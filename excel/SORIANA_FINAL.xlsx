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24.xml" ContentType="application/vnd.openxmlformats-officedocument.spreadsheetml.comments+xml"/>
  <Override PartName="/xl/drawings/vmlDrawing8.vml" ContentType="application/vnd.openxmlformats-officedocument.vmlDrawing"/>
  <Override PartName="/xl/drawings/vmlDrawing7.vml" ContentType="application/vnd.openxmlformats-officedocument.vmlDrawing"/>
  <Override PartName="/xl/drawings/drawing5.xml" ContentType="application/vnd.openxmlformats-officedocument.drawing+xml"/>
  <Override PartName="/xl/drawings/vmlDrawing4.vml" ContentType="application/vnd.openxmlformats-officedocument.vmlDrawing"/>
  <Override PartName="/xl/drawings/vmlDrawing6.vml" ContentType="application/vnd.openxmlformats-officedocument.vmlDrawing"/>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drawing1.xml" ContentType="application/vnd.openxmlformats-officedocument.drawing+xml"/>
  <Override PartName="/xl/drawings/vmlDrawing5.vml" ContentType="application/vnd.openxmlformats-officedocument.vmlDrawing"/>
  <Override PartName="/xl/drawings/drawing2.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drawing3.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drawings/drawing4.xml" ContentType="application/vnd.openxmlformats-officedocument.drawing+xml"/>
  <Override PartName="/xl/comments26.xml" ContentType="application/vnd.openxmlformats-officedocument.spreadsheetml.comments+xml"/>
  <Override PartName="/xl/comments14.xml" ContentType="application/vnd.openxmlformats-officedocument.spreadsheetml.comments+xml"/>
  <Override PartName="/xl/charts/chart9.xml" ContentType="application/vnd.openxmlformats-officedocument.drawingml.chart+xml"/>
  <Override PartName="/xl/charts/chart13.xml" ContentType="application/vnd.openxmlformats-officedocument.drawingml.chart+xml"/>
  <Override PartName="/xl/charts/chart8.xml" ContentType="application/vnd.openxmlformats-officedocument.drawingml.chart+xml"/>
  <Override PartName="/xl/charts/chart12.xml" ContentType="application/vnd.openxmlformats-officedocument.drawingml.chart+xml"/>
  <Override PartName="/xl/charts/chart7.xml" ContentType="application/vnd.openxmlformats-officedocument.drawingml.chart+xml"/>
  <Override PartName="/xl/charts/chart11.xml" ContentType="application/vnd.openxmlformats-officedocument.drawingml.chart+xml"/>
  <Override PartName="/xl/charts/chart6.xml" ContentType="application/vnd.openxmlformats-officedocument.drawingml.chart+xml"/>
  <Override PartName="/xl/charts/chart10.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3.xml" ContentType="application/vnd.openxmlformats-officedocument.drawingml.chart+xml"/>
  <Override PartName="/xl/charts/chart2.xml" ContentType="application/vnd.openxmlformats-officedocument.drawingml.chart+xml"/>
  <Override PartName="/xl/charts/chart1.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28.xml" ContentType="application/vnd.openxmlformats-officedocument.drawingml.chart+xml"/>
  <Override PartName="/xl/charts/chart16.xml" ContentType="application/vnd.openxmlformats-officedocument.drawingml.chart+xml"/>
  <Override PartName="/xl/charts/chart27.xml" ContentType="application/vnd.openxmlformats-officedocument.drawingml.chart+xml"/>
  <Override PartName="/xl/charts/chart26.xml" ContentType="application/vnd.openxmlformats-officedocument.drawingml.chart+xml"/>
  <Override PartName="/xl/charts/chart25.xml" ContentType="application/vnd.openxmlformats-officedocument.drawingml.chart+xml"/>
  <Override PartName="/xl/charts/chart24.xml" ContentType="application/vnd.openxmlformats-officedocument.drawingml.chart+xml"/>
  <Override PartName="/xl/charts/chart23.xml" ContentType="application/vnd.openxmlformats-officedocument.drawingml.chart+xml"/>
  <Override PartName="/xl/charts/chart22.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xl/charts/chart17.xml" ContentType="application/vnd.openxmlformats-officedocument.drawingml.chart+xml"/>
  <Override PartName="/xl/comments25.xml" ContentType="application/vnd.openxmlformats-officedocument.spreadsheetml.comments+xml"/>
  <Override PartName="/xl/sharedStrings.xml" ContentType="application/vnd.openxmlformats-officedocument.spreadsheetml.sharedStrings+xml"/>
  <Override PartName="/xl/comments34.xml" ContentType="application/vnd.openxmlformats-officedocument.spreadsheetml.comments+xml"/>
  <Override PartName="/xl/comments33.xml" ContentType="application/vnd.openxmlformats-officedocument.spreadsheetml.comments+xml"/>
  <Override PartName="/xl/styles.xml" ContentType="application/vnd.openxmlformats-officedocument.spreadsheetml.styles+xml"/>
  <Override PartName="/xl/comments32.xml" ContentType="application/vnd.openxmlformats-officedocument.spreadsheetml.comments+xml"/>
  <Override PartName="/xl/worksheets/_rels/sheet17.xml.rels" ContentType="application/vnd.openxmlformats-package.relationships+xml"/>
  <Override PartName="/xl/worksheets/_rels/sheet15.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27.xml.rels" ContentType="application/vnd.openxmlformats-package.relationships+xml"/>
  <Override PartName="/xl/worksheets/_rels/sheet26.xml.rels" ContentType="application/vnd.openxmlformats-package.relationships+xml"/>
  <Override PartName="/xl/worksheets/_rels/sheet14.xml.rels" ContentType="application/vnd.openxmlformats-package.relationships+xml"/>
  <Override PartName="/xl/worksheets/_rels/sheet25.xml.rels" ContentType="application/vnd.openxmlformats-package.relationships+xml"/>
  <Override PartName="/xl/worksheets/_rels/sheet34.xml.rels" ContentType="application/vnd.openxmlformats-package.relationships+xml"/>
  <Override PartName="/xl/worksheets/_rels/sheet33.xml.rels" ContentType="application/vnd.openxmlformats-package.relationships+xml"/>
  <Override PartName="/xl/worksheets/_rels/sheet21.xml.rels" ContentType="application/vnd.openxmlformats-package.relationships+xml"/>
  <Override PartName="/xl/worksheets/_rels/sheet32.xml.rels" ContentType="application/vnd.openxmlformats-package.relationships+xml"/>
  <Override PartName="/xl/worksheets/_rels/sheet11.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_rels/sheet28.xml.rels" ContentType="application/vnd.openxmlformats-package.relationships+xml"/>
  <Override PartName="/xl/worksheets/_rels/sheet30.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31.xml" ContentType="application/vnd.openxmlformats-officedocument.spreadsheetml.comments+xml"/>
  <Override PartName="/xl/comments29.xml" ContentType="application/vnd.openxmlformats-officedocument.spreadsheetml.comments+xml"/>
  <Override PartName="/xl/workbook.xml" ContentType="application/vnd.openxmlformats-officedocument.spreadsheetml.sheet.main+xml"/>
  <Override PartName="/xl/comments30.xml" ContentType="application/vnd.openxmlformats-officedocument.spreadsheetml.comments+xml"/>
  <Override PartName="/xl/comments28.xml" ContentType="application/vnd.openxmlformats-officedocument.spreadsheetml.comments+xml"/>
  <Override PartName="/xl/theme/theme1.xml" ContentType="application/vnd.openxmlformats-officedocument.theme+xml"/>
  <Override PartName="/xl/comments15.xml" ContentType="application/vnd.openxmlformats-officedocument.spreadsheetml.comments+xml"/>
  <Override PartName="/xl/_rels/workbook.xml.rels" ContentType="application/vnd.openxmlformats-package.relationships+xml"/>
  <Override PartName="/xl/comments27.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0"/>
  </bookViews>
  <sheets>
    <sheet name="Comparativo" sheetId="1" state="visible" r:id="rId3"/>
    <sheet name="Generales" sheetId="2" state="visible" r:id="rId4"/>
    <sheet name="Datos" sheetId="3" state="visible" r:id="rId5"/>
    <sheet name="Base de Datos" sheetId="4" state="visible" r:id="rId6"/>
    <sheet name="Rendimientos" sheetId="5" state="visible" r:id="rId7"/>
    <sheet name="Razones" sheetId="6" state="visible" r:id="rId8"/>
    <sheet name="WACC" sheetId="7" state="visible" r:id="rId9"/>
    <sheet name="Valuación" sheetId="8" state="visible" r:id="rId10"/>
    <sheet name="Proyección Soriana" sheetId="9" state="visible" r:id="rId11"/>
    <sheet name="MC Soriana" sheetId="10" state="visible" r:id="rId12"/>
    <sheet name="Inflación" sheetId="11" state="visible" r:id="rId13"/>
    <sheet name="Precio e IPC" sheetId="12" state="visible" r:id="rId14"/>
    <sheet name="Beta Regresión" sheetId="13" state="visible" r:id="rId15"/>
    <sheet name="Variables Externas" sheetId="14" state="hidden" r:id="rId16"/>
    <sheet name="Proyección Final Soriana" sheetId="15" state="visible" r:id="rId17"/>
    <sheet name="Beta y Kd" sheetId="16" state="visible" r:id="rId18"/>
    <sheet name="Crecimiento Perpetuo" sheetId="17" state="visible" r:id="rId19"/>
    <sheet name="Multiplos" sheetId="18" state="visible" r:id="rId20"/>
    <sheet name="Transacciones" sheetId="19" state="visible" r:id="rId21"/>
    <sheet name="Valuación Combinada" sheetId="20" state="visible" r:id="rId22"/>
    <sheet name="Escenarios" sheetId="21" state="visible" r:id="rId23"/>
    <sheet name="Validación" sheetId="22" state="visible" r:id="rId24"/>
    <sheet name="Conclusiones" sheetId="23" state="visible" r:id="rId25"/>
    <sheet name="Datos para escenarios" sheetId="24" state="hidden" r:id="rId26"/>
    <sheet name="Tornado 01" sheetId="25" state="hidden" r:id="rId27"/>
    <sheet name="Tornado 02" sheetId="26" state="hidden" r:id="rId28"/>
    <sheet name="Tornado 03" sheetId="27" state="hidden" r:id="rId29"/>
    <sheet name="Tornado 04" sheetId="28" state="hidden" r:id="rId30"/>
    <sheet name="Tornado 05" sheetId="29" state="hidden" r:id="rId31"/>
    <sheet name="Tornado 06" sheetId="30" state="hidden" r:id="rId32"/>
    <sheet name="Tornado 07" sheetId="31" state="hidden" r:id="rId33"/>
    <sheet name="Tornado 08" sheetId="32" state="hidden" r:id="rId34"/>
    <sheet name="Tornado 09" sheetId="33" state="hidden" r:id="rId35"/>
    <sheet name="Tornado 10" sheetId="34" state="hidden" r:id="rId36"/>
  </sheets>
  <definedNames>
    <definedName function="false" hidden="false" name="VF_BETA_HISTORICA" vbProcedure="false">'Beta Regresión'!$B$30</definedName>
    <definedName function="false" hidden="false" name="VF_BETA_REGRESION" vbProcedure="false">'Beta Regresión'!$B$44</definedName>
    <definedName function="false" hidden="false" name="VF_BETA_U" vbProcedure="false">'Beta y Kd'!$B$19</definedName>
    <definedName function="false" hidden="false" name="VF_ESC_SELECTOR" vbProcedure="false">Escenarios!$B$4</definedName>
    <definedName function="false" hidden="false" name="VF_INF_APLICADA" vbProcedure="false">Escenarios!$B$18:$F$18</definedName>
    <definedName function="false" hidden="false" name="VF_INF_MODELO_TRIM" vbProcedure="false">Inflación!$K$13</definedName>
    <definedName function="false" hidden="false" name="VF_INF_SELECTOR" vbProcedure="false">Escenarios!$B$4</definedName>
    <definedName function="false" hidden="false" name="VF_PT_VALOR" vbProcedure="false">Transacciones!$E$49</definedName>
    <definedName function="false" hidden="false" name="VF_TC_P25" vbProcedure="false">Multiplos!$D$74</definedName>
    <definedName function="false" hidden="false" name="VF_TC_P75" vbProcedure="false">Multiplos!$D$75</definedName>
    <definedName function="false" hidden="false" name="VF_TC_VALOR" vbProcedure="false">Multiplos!$D$73</definedName>
    <definedName function="false" hidden="false" name="VF_VALIDACION_RESUMEN" vbProcedure="false">Validación!$B$83</definedName>
    <definedName function="false" hidden="false" name="VF_VC_VALOR" vbProcedure="false">'Valuación Combinada'!$B$9</definedName>
  </definedNames>
  <calcPr iterateCount="100" refMode="A1" iterate="false" iterateDelta="0.000999999999999945"/>
  <extLst>
    <ext xmlns:loext="http://schemas.libreoffice.org/" uri="{7626C862-2A13-11E5-B345-FEFF819CDC9F}">
      <loext:extCalcPr stringRefSyntax="ExcelA1"/>
    </ext>
  </extLst>
</workbook>
</file>

<file path=xl/comments14.xml><?xml version="1.0" encoding="utf-8"?>
<comments xmlns="http://schemas.openxmlformats.org/spreadsheetml/2006/main" xmlns:xdr="http://schemas.openxmlformats.org/drawingml/2006/spreadsheetDrawing">
  <authors>
    <author>Unknown Author</author>
  </authors>
  <commentList>
    <comment ref="D5" authorId="0">
      <text>
        <r>
          <rPr>
            <sz val="10"/>
            <rFont val="Arial"/>
            <family val="2"/>
          </rPr>
          <t xml:space="preserve">syax ⠀:
Source: El Financiero, 26-ago-2026, https://www.elfinanciero.com.mx/economia/2026/08/26/banxico-le-apuesta-a-que-pib-de-mexico-crecera-15-en-2026/</t>
        </r>
      </text>
    </comment>
    <comment ref="D6" authorId="0">
      <text>
        <r>
          <rPr>
            <sz val="10"/>
            <rFont val="Arial"/>
            <family val="2"/>
          </rPr>
          <t xml:space="preserve">syax ⠀:
Source: Mexconomy (comunicado Banxico 24-sep-2026), https://www.mexconomy.com/2026/09/banxico-mantiene-tasa-en-650-con.html</t>
        </r>
      </text>
    </comment>
    <comment ref="D7" authorId="0">
      <text>
        <r>
          <rPr>
            <sz val="10"/>
            <rFont val="Arial"/>
            <family val="2"/>
          </rPr>
          <t xml:space="preserve">syax ⠀:
Source: Banco de México, Comunicado de prensa 24-sep-2026, https://www.banxico.org.mx/canales/%7B64E93EB1-E9FF-891E-60C6-9BBC812A50C6%7D.pdf</t>
        </r>
      </text>
    </comment>
    <comment ref="D8" authorId="0">
      <text>
        <r>
          <rPr>
            <sz val="10"/>
            <rFont val="Arial"/>
            <family val="2"/>
          </rPr>
          <t xml:space="preserve">syax ⠀:
Source: El Mañana (dato Banxico), 30-sep-2026, https://elmanana.com.mx/nacional/2026/9/30/precio-del-dolar-al-cierre-hoy-30-de-septiembre-de-2026-en-mexico-181626.html</t>
        </r>
      </text>
    </comment>
    <comment ref="D9" authorId="0">
      <text>
        <r>
          <rPr>
            <sz val="10"/>
            <rFont val="Arial"/>
            <family val="2"/>
          </rPr>
          <t xml:space="preserve">syax ⠀:
Source: Alto Nivel (dato Banxico), https://www.altonivel.com.mx/remesas-a-mexico-suben-1-4-en-primer-trimestre-de-2026-tras-un-ano-de-descensos/</t>
        </r>
      </text>
    </comment>
    <comment ref="D10" authorId="0">
      <text>
        <r>
          <rPr>
            <sz val="10"/>
            <rFont val="Arial"/>
            <family val="2"/>
          </rPr>
          <t xml:space="preserve">syax ⠀:
Source: El Universal, dic-2025, https://www.eluniversal.com.mx/nacion/sheinbaum-anuncia-aumento-al-salario-minimo-para-2026-destaca-acuerdo-de-jornada-laboral-de-40-horas/</t>
        </r>
      </text>
    </comment>
    <comment ref="D11" authorId="0">
      <text>
        <r>
          <rPr>
            <sz val="10"/>
            <rFont val="Arial"/>
            <family val="2"/>
          </rPr>
          <t xml:space="preserve">syax ⠀:
Source: ABC7 / AP, 3-dic-2025, https://abc7.com/post/mexico-aumentara-13-por-ciento-el-salario-minimo-en-2026-reducira-jornada-laboral-semanal/18255647/</t>
        </r>
      </text>
    </comment>
    <comment ref="D12" authorId="0">
      <text>
        <r>
          <rPr>
            <sz val="10"/>
            <rFont val="Arial"/>
            <family val="2"/>
          </rPr>
          <t xml:space="preserve">syax ⠀:
Source: Forbes México (minuta Banxico), https://forbes.com.mx/alza-de-impuestos-y-aranceles-a-productos-chinos-impactaran-transitoriamente-a-la-inflacion-dice-banxico/</t>
        </r>
      </text>
    </comment>
    <comment ref="D13" authorId="0">
      <text>
        <r>
          <rPr>
            <sz val="10"/>
            <rFont val="Arial"/>
            <family val="2"/>
          </rPr>
          <t xml:space="preserve">syax ⠀:
Source: TV Azteca, https://www.tvazteca.com/aztecanoticias/los-26-nuevos-impuestos-para-2026-suben-refrescos-sueros-orales-y-entradas-a-museos</t>
        </r>
      </text>
    </comment>
    <comment ref="D14" authorId="0">
      <text>
        <r>
          <rPr>
            <sz val="10"/>
            <rFont val="Arial"/>
            <family val="2"/>
          </rPr>
          <t xml:space="preserve">syax ⠀:
Source: El Diario / Agencia Reforma, 26-ago-2026, https://diario.mx/economia/2026/aug/26/sube-banxico-a-15-pronostico-de-pib-para-2026-1135214.html</t>
        </r>
      </text>
    </comment>
    <comment ref="D15" authorId="0">
      <text>
        <r>
          <rPr>
            <sz val="10"/>
            <rFont val="Arial"/>
            <family val="2"/>
          </rPr>
          <t xml:space="preserve">syax ⠀:
Source: La Jornada, 2-ago-2026, https://www.jornada.com.mx/noticia/2026/08/02/economia/el-tmec-ventaja-de-mexico-frente-a-la-guerra-de-aranceles</t>
        </r>
      </text>
    </comment>
    <comment ref="D16" authorId="0">
      <text>
        <r>
          <rPr>
            <sz val="10"/>
            <rFont val="Arial"/>
            <family val="2"/>
          </rPr>
          <t xml:space="preserve">syax ⠀:
Source: Infobae, 30-sep-2026, https://www.infobae.com/mexico/2026/09/30/dolar-hoy-en-mexico-cotizacion-de-apertura-del-30-de-septiembre/</t>
        </r>
      </text>
    </comment>
    <comment ref="D17" authorId="0">
      <text>
        <r>
          <rPr>
            <sz val="10"/>
            <rFont val="Arial"/>
            <family val="2"/>
          </rPr>
          <t xml:space="preserve">syax ⠀:
Source: ANTAD, Ventas de Agosto 2026, https://antad.net/cadenas-asociadas-a-la-antad-ventas-de-agosto-2026/ ; dato de autoservicio: Retailers, https://retailers.mx/antad-crece-1-7-a-tiendas-iguales-en-agosto/</t>
        </r>
      </text>
    </comment>
    <comment ref="D18" authorId="0">
      <text>
        <r>
          <rPr>
            <sz val="10"/>
            <rFont val="Arial"/>
            <family val="2"/>
          </rPr>
          <t xml:space="preserve">syax ⠀:
Source: La Razón, 26-jun-2026, https://www.razon.com.mx/negocios/2026/06/26/tiendas-3b-avanza-en-el-mercado-arrebata-participacion-a-bodega-aurrera/</t>
        </r>
      </text>
    </comment>
    <comment ref="D19" authorId="0">
      <text>
        <r>
          <rPr>
            <sz val="10"/>
            <rFont val="Arial"/>
            <family val="2"/>
          </rPr>
          <t xml:space="preserve">syax ⠀:
Source: ANTAD informa, https://antad.net/category/antad-informa/</t>
        </r>
      </text>
    </comment>
    <comment ref="D20" authorId="0">
      <text>
        <r>
          <rPr>
            <sz val="10"/>
            <rFont val="Arial"/>
            <family val="2"/>
          </rPr>
          <t xml:space="preserve">syax ⠀:
Source: El Financiero, 14-ago-2026, https://www.elfinanciero.com.mx/empresas/2026/08/14/rentas-de-locales-comerciales-se-disparan-11-por-ciento-en-el-primer-semestre/</t>
        </r>
      </text>
    </comment>
    <comment ref="D21" authorId="0">
      <text>
        <r>
          <rPr>
            <sz val="10"/>
            <rFont val="Arial"/>
            <family val="2"/>
          </rPr>
          <t xml:space="preserve">syax ⠀:
Source: El Financiero, 17-sep-2026, https://www.elfinanciero.com.mx/opinion/claudia-olguin/2026/09/17/centros-comerciales-mantienen-selectividad-en-la-expansion/</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B12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Base: Moody's Baa3 (https://www.elfinanciero.com.mx/economia/2026/05/22/pemex-se-salva-de-ser-reprobado-por-moodys-su-calificacion-queda-en-b1-con-perspectiva-estable/) y alza de la Fed sep-2026 (https://www.bankinter.com/blog/economia/fed-tipos-interes-referencia).</t>
        </r>
      </text>
    </comment>
    <comment ref="C10"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de Expectativas, 22-sep-2026 (inflación cierre 2026 3.93%, 2027 3.83%, prom. 2028–32 3.75%), https://www.imagenradio.com.mx/finanzas/banxico-mantendra-congelada-tasa-6-50-que-resta-2026-encuesta-citi ; https://www.elfinanciero.com.mx/economia/2026/09/04/racha-positiva-para-el-peso-mexicano-en-2026-analistas-de-encuesta-citi/</t>
        </r>
      </text>
    </comment>
    <comment ref="C1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22-sep-2026 (PIB 2026 1.4%, 2027 1.8%), https://revistafortuna.com.mx/2026/09/22/eleva-sondeo-de-citi-mexico-estimado-de-pib-de-2026-de-1-3-a-1-4-vendria-acompanado-de-una-menor-inflacion/ . 2028–2030 = supuesto del analista.</t>
        </r>
      </text>
    </comment>
    <comment ref="C1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ANTAD ago-2026 (autoservicio −0.7% tiendas iguales), https://retailers.mx/antad-crece-1-7-a-tiendas-iguales-en-agosto/ y Walmex 2T26 (ANTAD autoservicio ~0%), https://files.walmex.mx/upload/files/2026/ES/Trimestral/2T26/WALMEX%202T26%20BMV.pdf</t>
        </r>
      </text>
    </comment>
    <comment ref="C1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VMT 2T26: Soriana −4.5% (https://expansion.mx/empresas/2026/07/31/soriana-utilidad-crece-ventas-caen-segundo-trimestre-2026), Walmex +1.8%, La Comer +2.9%, Chedraui +1.3% (https://elceo.com/negocios/el-consumo-se-enfria-y-pega-a-los-supermercados-walmart-chedraui-y-la-comer-desaceleran-ventas/)</t>
        </r>
      </text>
    </comment>
    <comment ref="C1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812 vs 820 tiendas y plan de 20 cierres / 60 reducciones, https://www.informador.mx/economia/soriana-transformara-60-tiendas-en-mexico-y-cerrara-otras-20-durante-2026-asi-cambiara-su-negocio-20260826-0109.html</t>
        </r>
      </text>
    </comment>
    <comment ref="C3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gasto operativo −1.2% 2T26 y margen EBITDA 1S26 6.9% (+20 pb), https://expansion.mx/empresas/2026/07/31/soriana-utilidad-crece-ventas-caen-segundo-trimestre-2026</t>
        </r>
      </text>
    </comment>
    <comment ref="C3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salario mínimo +13% (2026) y jornada de 40 h, https://www.eluniversal.com.mx/nacion/sheinbaum-anuncia-aumento-al-salario-minimo-para-2026-destaca-acuerdo-de-jornada-laboral-de-40-horas/</t>
        </r>
      </text>
    </comment>
    <comment ref="C34"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canasta PACIC ago-2026 (Soriana $820.85 vs Bodega Aurrera $781.23), https://rotativo.com.mx/precio-canasta-pacic-supermercados-mexico-2026</t>
        </r>
      </text>
    </comment>
    <comment ref="C3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TC 18.08 al 30-sep-2026, https://elmanana.com.mx/nacional/2026/9/30/precio-del-dolar-al-cierre-hoy-30-de-septiembre-de-2026-en-mexico-181626.html</t>
        </r>
      </text>
    </comment>
    <comment ref="C3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rentas comerciales +11.09% 1S26, https://www.elfinanciero.com.mx/empresas/2026/08/14/rentas-de-locales-comerciales-se-disparan-11-por-ciento-en-el-primer-semestre/</t>
        </r>
      </text>
    </comment>
    <comment ref="C4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guía de Soriana (~4,000 mdp en 2026), https://eltiempomx.com/noticia/2026/soriana-reestructura-operaciones-y-preve-cerrar-20-tiendas-este-ano.html</t>
        </r>
      </text>
    </comment>
    <comment ref="C5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plan de 20 cierres y 60 reducciones de piso, https://www.informador.mx/economia/soriana-transformara-60-tiendas-en-mexico-y-cerrara-otras-20-durante-2026-asi-cambiara-su-negocio-20260826-0109.html</t>
        </r>
      </text>
    </comment>
    <comment ref="C59"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Soriana 2T26 — margen bruto 24.4% vs 23.9%, costo de ventas −5.6%, https://www.merca20.com/soriana-cierra-tiendas-y-vende-menos-pero-su-utilidad-crece-46-8-analizamos-su-ultimo-reporte/</t>
        </r>
      </text>
    </comment>
    <comment ref="C6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(tasa Banxico 6.50% a fin de 2026 y 2027), https://www.imagenradio.com.mx/finanzas/banxico-mantendra-congelada-tasa-6-50-que-resta-2026-encuesta-citi ; gastos financieros 1S26 de la hoja Datos.</t>
        </r>
      </text>
    </comment>
    <comment ref="D5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Paquete Económico 2027 (límite de deducciones PM &gt;50 mdp), https://www.pwc.com/mx/es/archivo/2026/paquete-economico-mx_2027.pdf</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J12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Base: Moody's Baa3 (https://www.elfinanciero.com.mx/economia/2026/05/22/pemex-se-salva-de-ser-reprobado-por-moodys-su-calificacion-queda-en-b1-con-perspectiva-estable/) y alza de la Fed sep-2026 (https://www.bankinter.com/blog/economia/fed-tipos-interes-referencia).</t>
        </r>
      </text>
    </comment>
    <comment ref="K10"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de Expectativas, 22-sep-2026 (inflación cierre 2026 3.93%, 2027 3.83%, prom. 2028–32 3.75%), https://www.imagenradio.com.mx/finanzas/banxico-mantendra-congelada-tasa-6-50-que-resta-2026-encuesta-citi ; https://www.elfinanciero.com.mx/economia/2026/09/04/racha-positiva-para-el-peso-mexicano-en-2026-analistas-de-encuesta-citi/</t>
        </r>
      </text>
    </comment>
    <comment ref="K1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22-sep-2026 (PIB 2026 1.4%, 2027 1.8%), https://revistafortuna.com.mx/2026/09/22/eleva-sondeo-de-citi-mexico-estimado-de-pib-de-2026-de-1-3-a-1-4-vendria-acompanado-de-una-menor-inflacion/ . 2028–2030 = supuesto del analista.</t>
        </r>
      </text>
    </comment>
    <comment ref="K1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ANTAD ago-2026 (autoservicio −0.7% tiendas iguales), https://retailers.mx/antad-crece-1-7-a-tiendas-iguales-en-agosto/ y Walmex 2T26 (ANTAD autoservicio ~0%), https://files.walmex.mx/upload/files/2026/ES/Trimestral/2T26/WALMEX%202T26%20BMV.pdf</t>
        </r>
      </text>
    </comment>
    <comment ref="K1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VMT 2T26: Soriana −4.5% (https://expansion.mx/empresas/2026/07/31/soriana-utilidad-crece-ventas-caen-segundo-trimestre-2026), Walmex +1.8%, La Comer +2.9%, Chedraui +1.3% (https://elceo.com/negocios/el-consumo-se-enfria-y-pega-a-los-supermercados-walmart-chedraui-y-la-comer-desaceleran-ventas/)</t>
        </r>
      </text>
    </comment>
    <comment ref="K1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812 vs 820 tiendas y plan de 20 cierres / 60 reducciones, https://www.informador.mx/economia/soriana-transformara-60-tiendas-en-mexico-y-cerrara-otras-20-durante-2026-asi-cambiara-su-negocio-20260826-0109.html</t>
        </r>
      </text>
    </comment>
    <comment ref="K3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gasto operativo −1.2% 2T26 y margen EBITDA 1S26 6.9% (+20 pb), https://expansion.mx/empresas/2026/07/31/soriana-utilidad-crece-ventas-caen-segundo-trimestre-2026</t>
        </r>
      </text>
    </comment>
    <comment ref="K3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salario mínimo +13% (2026) y jornada de 40 h, https://www.eluniversal.com.mx/nacion/sheinbaum-anuncia-aumento-al-salario-minimo-para-2026-destaca-acuerdo-de-jornada-laboral-de-40-horas/</t>
        </r>
      </text>
    </comment>
    <comment ref="K34"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canasta PACIC ago-2026 (Soriana $820.85 vs Bodega Aurrera $781.23), https://rotativo.com.mx/precio-canasta-pacic-supermercados-mexico-2026</t>
        </r>
      </text>
    </comment>
    <comment ref="K3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TC 18.08 al 30-sep-2026, https://elmanana.com.mx/nacional/2026/9/30/precio-del-dolar-al-cierre-hoy-30-de-septiembre-de-2026-en-mexico-181626.html</t>
        </r>
      </text>
    </comment>
    <comment ref="K3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rentas comerciales +11.09% 1S26, https://www.elfinanciero.com.mx/empresas/2026/08/14/rentas-de-locales-comerciales-se-disparan-11-por-ciento-en-el-primer-semestre/</t>
        </r>
      </text>
    </comment>
    <comment ref="K4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guía de Soriana (~4,000 mdp en 2026), https://eltiempomx.com/noticia/2026/soriana-reestructura-operaciones-y-preve-cerrar-20-tiendas-este-ano.html</t>
        </r>
      </text>
    </comment>
    <comment ref="K5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plan de 20 cierres y 60 reducciones de piso, https://www.informador.mx/economia/soriana-transformara-60-tiendas-en-mexico-y-cerrara-otras-20-durante-2026-asi-cambiara-su-negocio-20260826-0109.html</t>
        </r>
      </text>
    </comment>
    <comment ref="K59"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Soriana 2T26 — margen bruto 24.4% vs 23.9%, costo de ventas −5.6%, https://www.merca20.com/soriana-cierra-tiendas-y-vende-menos-pero-su-utilidad-crece-46-8-analizamos-su-ultimo-reporte/</t>
        </r>
      </text>
    </comment>
    <comment ref="K6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(tasa Banxico 6.50% a fin de 2026 y 2027), https://www.imagenradio.com.mx/finanzas/banxico-mantendra-congelada-tasa-6-50-que-resta-2026-encuesta-citi ; gastos financieros 1S26 de la hoja Datos.</t>
        </r>
      </text>
    </comment>
    <comment ref="L5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Paquete Económico 2027 (límite de deducciones PM &gt;50 mdp), https://www.pwc.com/mx/es/archivo/2026/paquete-economico-mx_2027.pdf</t>
        </r>
      </text>
    </comment>
    <comment ref="R12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Base: Moody's Baa3 (https://www.elfinanciero.com.mx/economia/2026/05/22/pemex-se-salva-de-ser-reprobado-por-moodys-su-calificacion-queda-en-b1-con-perspectiva-estable/) y alza de la Fed sep-2026 (https://www.bankinter.com/blog/economia/fed-tipos-interes-referencia).</t>
        </r>
      </text>
    </comment>
    <comment ref="S10"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de Expectativas, 22-sep-2026 (inflación cierre 2026 3.93%, 2027 3.83%, prom. 2028–32 3.75%), https://www.imagenradio.com.mx/finanzas/banxico-mantendra-congelada-tasa-6-50-que-resta-2026-encuesta-citi ; https://www.elfinanciero.com.mx/economia/2026/09/04/racha-positiva-para-el-peso-mexicano-en-2026-analistas-de-encuesta-citi/</t>
        </r>
      </text>
    </comment>
    <comment ref="S1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22-sep-2026 (PIB 2026 1.4%, 2027 1.8%), https://revistafortuna.com.mx/2026/09/22/eleva-sondeo-de-citi-mexico-estimado-de-pib-de-2026-de-1-3-a-1-4-vendria-acompanado-de-una-menor-inflacion/ . 2028–2030 = supuesto del analista.</t>
        </r>
      </text>
    </comment>
    <comment ref="S1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ANTAD ago-2026 (autoservicio −0.7% tiendas iguales), https://retailers.mx/antad-crece-1-7-a-tiendas-iguales-en-agosto/ y Walmex 2T26 (ANTAD autoservicio ~0%), https://files.walmex.mx/upload/files/2026/ES/Trimestral/2T26/WALMEX%202T26%20BMV.pdf</t>
        </r>
      </text>
    </comment>
    <comment ref="S1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VMT 2T26: Soriana −4.5% (https://expansion.mx/empresas/2026/07/31/soriana-utilidad-crece-ventas-caen-segundo-trimestre-2026), Walmex +1.8%, La Comer +2.9%, Chedraui +1.3% (https://elceo.com/negocios/el-consumo-se-enfria-y-pega-a-los-supermercados-walmart-chedraui-y-la-comer-desaceleran-ventas/)</t>
        </r>
      </text>
    </comment>
    <comment ref="S1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812 vs 820 tiendas y plan de 20 cierres / 60 reducciones, https://www.informador.mx/economia/soriana-transformara-60-tiendas-en-mexico-y-cerrara-otras-20-durante-2026-asi-cambiara-su-negocio-20260826-0109.html</t>
        </r>
      </text>
    </comment>
    <comment ref="S3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gasto operativo −1.2% 2T26 y margen EBITDA 1S26 6.9% (+20 pb), https://expansion.mx/empresas/2026/07/31/soriana-utilidad-crece-ventas-caen-segundo-trimestre-2026</t>
        </r>
      </text>
    </comment>
    <comment ref="S3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salario mínimo +13% (2026) y jornada de 40 h, https://www.eluniversal.com.mx/nacion/sheinbaum-anuncia-aumento-al-salario-minimo-para-2026-destaca-acuerdo-de-jornada-laboral-de-40-horas/</t>
        </r>
      </text>
    </comment>
    <comment ref="S34"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canasta PACIC ago-2026 (Soriana $820.85 vs Bodega Aurrera $781.23), https://rotativo.com.mx/precio-canasta-pacic-supermercados-mexico-2026</t>
        </r>
      </text>
    </comment>
    <comment ref="S3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TC 18.08 al 30-sep-2026, https://elmanana.com.mx/nacional/2026/9/30/precio-del-dolar-al-cierre-hoy-30-de-septiembre-de-2026-en-mexico-181626.html</t>
        </r>
      </text>
    </comment>
    <comment ref="S3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rentas comerciales +11.09% 1S26, https://www.elfinanciero.com.mx/empresas/2026/08/14/rentas-de-locales-comerciales-se-disparan-11-por-ciento-en-el-primer-semestre/</t>
        </r>
      </text>
    </comment>
    <comment ref="S4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guía de Soriana (~4,000 mdp en 2026), https://eltiempomx.com/noticia/2026/soriana-reestructura-operaciones-y-preve-cerrar-20-tiendas-este-ano.html</t>
        </r>
      </text>
    </comment>
    <comment ref="S5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plan de 20 cierres y 60 reducciones de piso, https://www.informador.mx/economia/soriana-transformara-60-tiendas-en-mexico-y-cerrara-otras-20-durante-2026-asi-cambiara-su-negocio-20260826-0109.html</t>
        </r>
      </text>
    </comment>
    <comment ref="S59"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Soriana 2T26 — margen bruto 24.4% vs 23.9%, costo de ventas −5.6%, https://www.merca20.com/soriana-cierra-tiendas-y-vende-menos-pero-su-utilidad-crece-46-8-analizamos-su-ultimo-reporte/</t>
        </r>
      </text>
    </comment>
    <comment ref="S6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(tasa Banxico 6.50% a fin de 2026 y 2027), https://www.imagenradio.com.mx/finanzas/banxico-mantendra-congelada-tasa-6-50-que-resta-2026-encuesta-citi ; gastos financieros 1S26 de la hoja Datos.</t>
        </r>
      </text>
    </comment>
    <comment ref="T5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Paquete Económico 2027 (límite de deducciones PM &gt;50 mdp), https://www.pwc.com/mx/es/archivo/2026/paquete-economico-mx_2027.pdf</t>
        </r>
      </text>
    </comment>
  </commentList>
</comments>
</file>

<file path=xl/comments25.xml><?xml version="1.0" encoding="utf-8"?>
<comments xmlns="http://schemas.openxmlformats.org/spreadsheetml/2006/main" xmlns:xdr="http://schemas.openxmlformats.org/drawingml/2006/spreadsheetDrawing">
  <authors>
    <author>Unknown Author</author>
  </authors>
  <commentList>
    <comment ref="B12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Base: Moody's Baa3 (https://www.elfinanciero.com.mx/economia/2026/05/22/pemex-se-salva-de-ser-reprobado-por-moodys-su-calificacion-queda-en-b1-con-perspectiva-estable/) y alza de la Fed sep-2026 (https://www.bankinter.com/blog/economia/fed-tipos-interes-referencia).</t>
        </r>
      </text>
    </comment>
    <comment ref="C10"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de Expectativas, 22-sep-2026 (inflación cierre 2026 3.93%, 2027 3.83%, prom. 2028–32 3.75%), https://www.imagenradio.com.mx/finanzas/banxico-mantendra-congelada-tasa-6-50-que-resta-2026-encuesta-citi ; https://www.elfinanciero.com.mx/economia/2026/09/04/racha-positiva-para-el-peso-mexicano-en-2026-analistas-de-encuesta-citi/</t>
        </r>
      </text>
    </comment>
    <comment ref="C1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22-sep-2026 (PIB 2026 1.4%, 2027 1.8%), https://revistafortuna.com.mx/2026/09/22/eleva-sondeo-de-citi-mexico-estimado-de-pib-de-2026-de-1-3-a-1-4-vendria-acompanado-de-una-menor-inflacion/ . 2028–2030 = supuesto del analista.</t>
        </r>
      </text>
    </comment>
    <comment ref="C1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ANTAD ago-2026 (autoservicio −0.7% tiendas iguales), https://retailers.mx/antad-crece-1-7-a-tiendas-iguales-en-agosto/ y Walmex 2T26 (ANTAD autoservicio ~0%), https://files.walmex.mx/upload/files/2026/ES/Trimestral/2T26/WALMEX%202T26%20BMV.pdf</t>
        </r>
      </text>
    </comment>
    <comment ref="C1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VMT 2T26: Soriana −4.5% (https://expansion.mx/empresas/2026/07/31/soriana-utilidad-crece-ventas-caen-segundo-trimestre-2026), Walmex +1.8%, La Comer +2.9%, Chedraui +1.3% (https://elceo.com/negocios/el-consumo-se-enfria-y-pega-a-los-supermercados-walmart-chedraui-y-la-comer-desaceleran-ventas/)</t>
        </r>
      </text>
    </comment>
    <comment ref="C1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812 vs 820 tiendas y plan de 20 cierres / 60 reducciones, https://www.informador.mx/economia/soriana-transformara-60-tiendas-en-mexico-y-cerrara-otras-20-durante-2026-asi-cambiara-su-negocio-20260826-0109.html</t>
        </r>
      </text>
    </comment>
    <comment ref="C3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gasto operativo −1.2% 2T26 y margen EBITDA 1S26 6.9% (+20 pb), https://expansion.mx/empresas/2026/07/31/soriana-utilidad-crece-ventas-caen-segundo-trimestre-2026</t>
        </r>
      </text>
    </comment>
    <comment ref="C3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salario mínimo +13% (2026) y jornada de 40 h, https://www.eluniversal.com.mx/nacion/sheinbaum-anuncia-aumento-al-salario-minimo-para-2026-destaca-acuerdo-de-jornada-laboral-de-40-horas/</t>
        </r>
      </text>
    </comment>
    <comment ref="C34"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canasta PACIC ago-2026 (Soriana $820.85 vs Bodega Aurrera $781.23), https://rotativo.com.mx/precio-canasta-pacic-supermercados-mexico-2026</t>
        </r>
      </text>
    </comment>
    <comment ref="C3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TC 18.08 al 30-sep-2026, https://elmanana.com.mx/nacional/2026/9/30/precio-del-dolar-al-cierre-hoy-30-de-septiembre-de-2026-en-mexico-181626.html</t>
        </r>
      </text>
    </comment>
    <comment ref="C3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rentas comerciales +11.09% 1S26, https://www.elfinanciero.com.mx/empresas/2026/08/14/rentas-de-locales-comerciales-se-disparan-11-por-ciento-en-el-primer-semestre/</t>
        </r>
      </text>
    </comment>
    <comment ref="C4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guía de Soriana (~4,000 mdp en 2026), https://eltiempomx.com/noticia/2026/soriana-reestructura-operaciones-y-preve-cerrar-20-tiendas-este-ano.html</t>
        </r>
      </text>
    </comment>
    <comment ref="C5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plan de 20 cierres y 60 reducciones de piso, https://www.informador.mx/economia/soriana-transformara-60-tiendas-en-mexico-y-cerrara-otras-20-durante-2026-asi-cambiara-su-negocio-20260826-0109.html</t>
        </r>
      </text>
    </comment>
    <comment ref="C59"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Soriana 2T26 — margen bruto 24.4% vs 23.9%, costo de ventas −5.6%, https://www.merca20.com/soriana-cierra-tiendas-y-vende-menos-pero-su-utilidad-crece-46-8-analizamos-su-ultimo-reporte/</t>
        </r>
      </text>
    </comment>
    <comment ref="C6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(tasa Banxico 6.50% a fin de 2026 y 2027), https://www.imagenradio.com.mx/finanzas/banxico-mantendra-congelada-tasa-6-50-que-resta-2026-encuesta-citi ; gastos financieros 1S26 de la hoja Datos.</t>
        </r>
      </text>
    </comment>
    <comment ref="D5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Paquete Económico 2027 (límite de deducciones PM &gt;50 mdp), https://www.pwc.com/mx/es/archivo/2026/paquete-economico-mx_2027.pdf</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B12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Base: Moody's Baa3 (https://www.elfinanciero.com.mx/economia/2026/05/22/pemex-se-salva-de-ser-reprobado-por-moodys-su-calificacion-queda-en-b1-con-perspectiva-estable/) y alza de la Fed sep-2026 (https://www.bankinter.com/blog/economia/fed-tipos-interes-referencia).</t>
        </r>
      </text>
    </comment>
    <comment ref="C10"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de Expectativas, 22-sep-2026 (inflación cierre 2026 3.93%, 2027 3.83%, prom. 2028–32 3.75%), https://www.imagenradio.com.mx/finanzas/banxico-mantendra-congelada-tasa-6-50-que-resta-2026-encuesta-citi ; https://www.elfinanciero.com.mx/economia/2026/09/04/racha-positiva-para-el-peso-mexicano-en-2026-analistas-de-encuesta-citi/</t>
        </r>
      </text>
    </comment>
    <comment ref="C1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22-sep-2026 (PIB 2026 1.4%, 2027 1.8%), https://revistafortuna.com.mx/2026/09/22/eleva-sondeo-de-citi-mexico-estimado-de-pib-de-2026-de-1-3-a-1-4-vendria-acompanado-de-una-menor-inflacion/ . 2028–2030 = supuesto del analista.</t>
        </r>
      </text>
    </comment>
    <comment ref="C1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ANTAD ago-2026 (autoservicio −0.7% tiendas iguales), https://retailers.mx/antad-crece-1-7-a-tiendas-iguales-en-agosto/ y Walmex 2T26 (ANTAD autoservicio ~0%), https://files.walmex.mx/upload/files/2026/ES/Trimestral/2T26/WALMEX%202T26%20BMV.pdf</t>
        </r>
      </text>
    </comment>
    <comment ref="C1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VMT 2T26: Soriana −4.5% (https://expansion.mx/empresas/2026/07/31/soriana-utilidad-crece-ventas-caen-segundo-trimestre-2026), Walmex +1.8%, La Comer +2.9%, Chedraui +1.3% (https://elceo.com/negocios/el-consumo-se-enfria-y-pega-a-los-supermercados-walmart-chedraui-y-la-comer-desaceleran-ventas/)</t>
        </r>
      </text>
    </comment>
    <comment ref="C1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812 vs 820 tiendas y plan de 20 cierres / 60 reducciones, https://www.informador.mx/economia/soriana-transformara-60-tiendas-en-mexico-y-cerrara-otras-20-durante-2026-asi-cambiara-su-negocio-20260826-0109.html</t>
        </r>
      </text>
    </comment>
    <comment ref="C3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gasto operativo −1.2% 2T26 y margen EBITDA 1S26 6.9% (+20 pb), https://expansion.mx/empresas/2026/07/31/soriana-utilidad-crece-ventas-caen-segundo-trimestre-2026</t>
        </r>
      </text>
    </comment>
    <comment ref="C3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salario mínimo +13% (2026) y jornada de 40 h, https://www.eluniversal.com.mx/nacion/sheinbaum-anuncia-aumento-al-salario-minimo-para-2026-destaca-acuerdo-de-jornada-laboral-de-40-horas/</t>
        </r>
      </text>
    </comment>
    <comment ref="C34"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canasta PACIC ago-2026 (Soriana $820.85 vs Bodega Aurrera $781.23), https://rotativo.com.mx/precio-canasta-pacic-supermercados-mexico-2026</t>
        </r>
      </text>
    </comment>
    <comment ref="C3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TC 18.08 al 30-sep-2026, https://elmanana.com.mx/nacional/2026/9/30/precio-del-dolar-al-cierre-hoy-30-de-septiembre-de-2026-en-mexico-181626.html</t>
        </r>
      </text>
    </comment>
    <comment ref="C3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rentas comerciales +11.09% 1S26, https://www.elfinanciero.com.mx/empresas/2026/08/14/rentas-de-locales-comerciales-se-disparan-11-por-ciento-en-el-primer-semestre/</t>
        </r>
      </text>
    </comment>
    <comment ref="C4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guía de Soriana (~4,000 mdp en 2026), https://eltiempomx.com/noticia/2026/soriana-reestructura-operaciones-y-preve-cerrar-20-tiendas-este-ano.html</t>
        </r>
      </text>
    </comment>
    <comment ref="C5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plan de 20 cierres y 60 reducciones de piso, https://www.informador.mx/economia/soriana-transformara-60-tiendas-en-mexico-y-cerrara-otras-20-durante-2026-asi-cambiara-su-negocio-20260826-0109.html</t>
        </r>
      </text>
    </comment>
    <comment ref="C59"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Soriana 2T26 — margen bruto 24.4% vs 23.9%, costo de ventas −5.6%, https://www.merca20.com/soriana-cierra-tiendas-y-vende-menos-pero-su-utilidad-crece-46-8-analizamos-su-ultimo-reporte/</t>
        </r>
      </text>
    </comment>
    <comment ref="C6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(tasa Banxico 6.50% a fin de 2026 y 2027), https://www.imagenradio.com.mx/finanzas/banxico-mantendra-congelada-tasa-6-50-que-resta-2026-encuesta-citi ; gastos financieros 1S26 de la hoja Datos.</t>
        </r>
      </text>
    </comment>
    <comment ref="D5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Paquete Económico 2027 (límite de deducciones PM &gt;50 mdp), https://www.pwc.com/mx/es/archivo/2026/paquete-economico-mx_2027.pdf</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B12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Base: Moody's Baa3 (https://www.elfinanciero.com.mx/economia/2026/05/22/pemex-se-salva-de-ser-reprobado-por-moodys-su-calificacion-queda-en-b1-con-perspectiva-estable/) y alza de la Fed sep-2026 (https://www.bankinter.com/blog/economia/fed-tipos-interes-referencia).</t>
        </r>
      </text>
    </comment>
    <comment ref="C10"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de Expectativas, 22-sep-2026 (inflación cierre 2026 3.93%, 2027 3.83%, prom. 2028–32 3.75%), https://www.imagenradio.com.mx/finanzas/banxico-mantendra-congelada-tasa-6-50-que-resta-2026-encuesta-citi ; https://www.elfinanciero.com.mx/economia/2026/09/04/racha-positiva-para-el-peso-mexicano-en-2026-analistas-de-encuesta-citi/</t>
        </r>
      </text>
    </comment>
    <comment ref="C1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22-sep-2026 (PIB 2026 1.4%, 2027 1.8%), https://revistafortuna.com.mx/2026/09/22/eleva-sondeo-de-citi-mexico-estimado-de-pib-de-2026-de-1-3-a-1-4-vendria-acompanado-de-una-menor-inflacion/ . 2028–2030 = supuesto del analista.</t>
        </r>
      </text>
    </comment>
    <comment ref="C1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ANTAD ago-2026 (autoservicio −0.7% tiendas iguales), https://retailers.mx/antad-crece-1-7-a-tiendas-iguales-en-agosto/ y Walmex 2T26 (ANTAD autoservicio ~0%), https://files.walmex.mx/upload/files/2026/ES/Trimestral/2T26/WALMEX%202T26%20BMV.pdf</t>
        </r>
      </text>
    </comment>
    <comment ref="C1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VMT 2T26: Soriana −4.5% (https://expansion.mx/empresas/2026/07/31/soriana-utilidad-crece-ventas-caen-segundo-trimestre-2026), Walmex +1.8%, La Comer +2.9%, Chedraui +1.3% (https://elceo.com/negocios/el-consumo-se-enfria-y-pega-a-los-supermercados-walmart-chedraui-y-la-comer-desaceleran-ventas/)</t>
        </r>
      </text>
    </comment>
    <comment ref="C1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812 vs 820 tiendas y plan de 20 cierres / 60 reducciones, https://www.informador.mx/economia/soriana-transformara-60-tiendas-en-mexico-y-cerrara-otras-20-durante-2026-asi-cambiara-su-negocio-20260826-0109.html</t>
        </r>
      </text>
    </comment>
    <comment ref="C3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gasto operativo −1.2% 2T26 y margen EBITDA 1S26 6.9% (+20 pb), https://expansion.mx/empresas/2026/07/31/soriana-utilidad-crece-ventas-caen-segundo-trimestre-2026</t>
        </r>
      </text>
    </comment>
    <comment ref="C3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salario mínimo +13% (2026) y jornada de 40 h, https://www.eluniversal.com.mx/nacion/sheinbaum-anuncia-aumento-al-salario-minimo-para-2026-destaca-acuerdo-de-jornada-laboral-de-40-horas/</t>
        </r>
      </text>
    </comment>
    <comment ref="C34"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canasta PACIC ago-2026 (Soriana $820.85 vs Bodega Aurrera $781.23), https://rotativo.com.mx/precio-canasta-pacic-supermercados-mexico-2026</t>
        </r>
      </text>
    </comment>
    <comment ref="C3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TC 18.08 al 30-sep-2026, https://elmanana.com.mx/nacional/2026/9/30/precio-del-dolar-al-cierre-hoy-30-de-septiembre-de-2026-en-mexico-181626.html</t>
        </r>
      </text>
    </comment>
    <comment ref="C3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rentas comerciales +11.09% 1S26, https://www.elfinanciero.com.mx/empresas/2026/08/14/rentas-de-locales-comerciales-se-disparan-11-por-ciento-en-el-primer-semestre/</t>
        </r>
      </text>
    </comment>
    <comment ref="C4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guía de Soriana (~4,000 mdp en 2026), https://eltiempomx.com/noticia/2026/soriana-reestructura-operaciones-y-preve-cerrar-20-tiendas-este-ano.html</t>
        </r>
      </text>
    </comment>
    <comment ref="C5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plan de 20 cierres y 60 reducciones de piso, https://www.informador.mx/economia/soriana-transformara-60-tiendas-en-mexico-y-cerrara-otras-20-durante-2026-asi-cambiara-su-negocio-20260826-0109.html</t>
        </r>
      </text>
    </comment>
    <comment ref="C59"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Soriana 2T26 — margen bruto 24.4% vs 23.9%, costo de ventas −5.6%, https://www.merca20.com/soriana-cierra-tiendas-y-vende-menos-pero-su-utilidad-crece-46-8-analizamos-su-ultimo-reporte/</t>
        </r>
      </text>
    </comment>
    <comment ref="C6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(tasa Banxico 6.50% a fin de 2026 y 2027), https://www.imagenradio.com.mx/finanzas/banxico-mantendra-congelada-tasa-6-50-que-resta-2026-encuesta-citi ; gastos financieros 1S26 de la hoja Datos.</t>
        </r>
      </text>
    </comment>
    <comment ref="D5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Paquete Económico 2027 (límite de deducciones PM &gt;50 mdp), https://www.pwc.com/mx/es/archivo/2026/paquete-economico-mx_2027.pdf</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B12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Base: Moody's Baa3 (https://www.elfinanciero.com.mx/economia/2026/05/22/pemex-se-salva-de-ser-reprobado-por-moodys-su-calificacion-queda-en-b1-con-perspectiva-estable/) y alza de la Fed sep-2026 (https://www.bankinter.com/blog/economia/fed-tipos-interes-referencia).</t>
        </r>
      </text>
    </comment>
    <comment ref="C10"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de Expectativas, 22-sep-2026 (inflación cierre 2026 3.93%, 2027 3.83%, prom. 2028–32 3.75%), https://www.imagenradio.com.mx/finanzas/banxico-mantendra-congelada-tasa-6-50-que-resta-2026-encuesta-citi ; https://www.elfinanciero.com.mx/economia/2026/09/04/racha-positiva-para-el-peso-mexicano-en-2026-analistas-de-encuesta-citi/</t>
        </r>
      </text>
    </comment>
    <comment ref="C1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22-sep-2026 (PIB 2026 1.4%, 2027 1.8%), https://revistafortuna.com.mx/2026/09/22/eleva-sondeo-de-citi-mexico-estimado-de-pib-de-2026-de-1-3-a-1-4-vendria-acompanado-de-una-menor-inflacion/ . 2028–2030 = supuesto del analista.</t>
        </r>
      </text>
    </comment>
    <comment ref="C1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ANTAD ago-2026 (autoservicio −0.7% tiendas iguales), https://retailers.mx/antad-crece-1-7-a-tiendas-iguales-en-agosto/ y Walmex 2T26 (ANTAD autoservicio ~0%), https://files.walmex.mx/upload/files/2026/ES/Trimestral/2T26/WALMEX%202T26%20BMV.pdf</t>
        </r>
      </text>
    </comment>
    <comment ref="C1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VMT 2T26: Soriana −4.5% (https://expansion.mx/empresas/2026/07/31/soriana-utilidad-crece-ventas-caen-segundo-trimestre-2026), Walmex +1.8%, La Comer +2.9%, Chedraui +1.3% (https://elceo.com/negocios/el-consumo-se-enfria-y-pega-a-los-supermercados-walmart-chedraui-y-la-comer-desaceleran-ventas/)</t>
        </r>
      </text>
    </comment>
    <comment ref="C1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812 vs 820 tiendas y plan de 20 cierres / 60 reducciones, https://www.informador.mx/economia/soriana-transformara-60-tiendas-en-mexico-y-cerrara-otras-20-durante-2026-asi-cambiara-su-negocio-20260826-0109.html</t>
        </r>
      </text>
    </comment>
    <comment ref="C3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gasto operativo −1.2% 2T26 y margen EBITDA 1S26 6.9% (+20 pb), https://expansion.mx/empresas/2026/07/31/soriana-utilidad-crece-ventas-caen-segundo-trimestre-2026</t>
        </r>
      </text>
    </comment>
    <comment ref="C3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salario mínimo +13% (2026) y jornada de 40 h, https://www.eluniversal.com.mx/nacion/sheinbaum-anuncia-aumento-al-salario-minimo-para-2026-destaca-acuerdo-de-jornada-laboral-de-40-horas/</t>
        </r>
      </text>
    </comment>
    <comment ref="C34"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canasta PACIC ago-2026 (Soriana $820.85 vs Bodega Aurrera $781.23), https://rotativo.com.mx/precio-canasta-pacic-supermercados-mexico-2026</t>
        </r>
      </text>
    </comment>
    <comment ref="C3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TC 18.08 al 30-sep-2026, https://elmanana.com.mx/nacional/2026/9/30/precio-del-dolar-al-cierre-hoy-30-de-septiembre-de-2026-en-mexico-181626.html</t>
        </r>
      </text>
    </comment>
    <comment ref="C3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rentas comerciales +11.09% 1S26, https://www.elfinanciero.com.mx/empresas/2026/08/14/rentas-de-locales-comerciales-se-disparan-11-por-ciento-en-el-primer-semestre/</t>
        </r>
      </text>
    </comment>
    <comment ref="C4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guía de Soriana (~4,000 mdp en 2026), https://eltiempomx.com/noticia/2026/soriana-reestructura-operaciones-y-preve-cerrar-20-tiendas-este-ano.html</t>
        </r>
      </text>
    </comment>
    <comment ref="C5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plan de 20 cierres y 60 reducciones de piso, https://www.informador.mx/economia/soriana-transformara-60-tiendas-en-mexico-y-cerrara-otras-20-durante-2026-asi-cambiara-su-negocio-20260826-0109.html</t>
        </r>
      </text>
    </comment>
    <comment ref="C59"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Soriana 2T26 — margen bruto 24.4% vs 23.9%, costo de ventas −5.6%, https://www.merca20.com/soriana-cierra-tiendas-y-vende-menos-pero-su-utilidad-crece-46-8-analizamos-su-ultimo-reporte/</t>
        </r>
      </text>
    </comment>
    <comment ref="C6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(tasa Banxico 6.50% a fin de 2026 y 2027), https://www.imagenradio.com.mx/finanzas/banxico-mantendra-congelada-tasa-6-50-que-resta-2026-encuesta-citi ; gastos financieros 1S26 de la hoja Datos.</t>
        </r>
      </text>
    </comment>
    <comment ref="D5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Paquete Económico 2027 (límite de deducciones PM &gt;50 mdp), https://www.pwc.com/mx/es/archivo/2026/paquete-economico-mx_2027.pdf</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B12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Base: Moody's Baa3 (https://www.elfinanciero.com.mx/economia/2026/05/22/pemex-se-salva-de-ser-reprobado-por-moodys-su-calificacion-queda-en-b1-con-perspectiva-estable/) y alza de la Fed sep-2026 (https://www.bankinter.com/blog/economia/fed-tipos-interes-referencia).</t>
        </r>
      </text>
    </comment>
    <comment ref="C10"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de Expectativas, 22-sep-2026 (inflación cierre 2026 3.93%, 2027 3.83%, prom. 2028–32 3.75%), https://www.imagenradio.com.mx/finanzas/banxico-mantendra-congelada-tasa-6-50-que-resta-2026-encuesta-citi ; https://www.elfinanciero.com.mx/economia/2026/09/04/racha-positiva-para-el-peso-mexicano-en-2026-analistas-de-encuesta-citi/</t>
        </r>
      </text>
    </comment>
    <comment ref="C1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22-sep-2026 (PIB 2026 1.4%, 2027 1.8%), https://revistafortuna.com.mx/2026/09/22/eleva-sondeo-de-citi-mexico-estimado-de-pib-de-2026-de-1-3-a-1-4-vendria-acompanado-de-una-menor-inflacion/ . 2028–2030 = supuesto del analista.</t>
        </r>
      </text>
    </comment>
    <comment ref="C1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ANTAD ago-2026 (autoservicio −0.7% tiendas iguales), https://retailers.mx/antad-crece-1-7-a-tiendas-iguales-en-agosto/ y Walmex 2T26 (ANTAD autoservicio ~0%), https://files.walmex.mx/upload/files/2026/ES/Trimestral/2T26/WALMEX%202T26%20BMV.pdf</t>
        </r>
      </text>
    </comment>
    <comment ref="C1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VMT 2T26: Soriana −4.5% (https://expansion.mx/empresas/2026/07/31/soriana-utilidad-crece-ventas-caen-segundo-trimestre-2026), Walmex +1.8%, La Comer +2.9%, Chedraui +1.3% (https://elceo.com/negocios/el-consumo-se-enfria-y-pega-a-los-supermercados-walmart-chedraui-y-la-comer-desaceleran-ventas/)</t>
        </r>
      </text>
    </comment>
    <comment ref="C1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812 vs 820 tiendas y plan de 20 cierres / 60 reducciones, https://www.informador.mx/economia/soriana-transformara-60-tiendas-en-mexico-y-cerrara-otras-20-durante-2026-asi-cambiara-su-negocio-20260826-0109.html</t>
        </r>
      </text>
    </comment>
    <comment ref="C3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gasto operativo −1.2% 2T26 y margen EBITDA 1S26 6.9% (+20 pb), https://expansion.mx/empresas/2026/07/31/soriana-utilidad-crece-ventas-caen-segundo-trimestre-2026</t>
        </r>
      </text>
    </comment>
    <comment ref="C3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salario mínimo +13% (2026) y jornada de 40 h, https://www.eluniversal.com.mx/nacion/sheinbaum-anuncia-aumento-al-salario-minimo-para-2026-destaca-acuerdo-de-jornada-laboral-de-40-horas/</t>
        </r>
      </text>
    </comment>
    <comment ref="C34"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canasta PACIC ago-2026 (Soriana $820.85 vs Bodega Aurrera $781.23), https://rotativo.com.mx/precio-canasta-pacic-supermercados-mexico-2026</t>
        </r>
      </text>
    </comment>
    <comment ref="C3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TC 18.08 al 30-sep-2026, https://elmanana.com.mx/nacional/2026/9/30/precio-del-dolar-al-cierre-hoy-30-de-septiembre-de-2026-en-mexico-181626.html</t>
        </r>
      </text>
    </comment>
    <comment ref="C3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rentas comerciales +11.09% 1S26, https://www.elfinanciero.com.mx/empresas/2026/08/14/rentas-de-locales-comerciales-se-disparan-11-por-ciento-en-el-primer-semestre/</t>
        </r>
      </text>
    </comment>
    <comment ref="C4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guía de Soriana (~4,000 mdp en 2026), https://eltiempomx.com/noticia/2026/soriana-reestructura-operaciones-y-preve-cerrar-20-tiendas-este-ano.html</t>
        </r>
      </text>
    </comment>
    <comment ref="C5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plan de 20 cierres y 60 reducciones de piso, https://www.informador.mx/economia/soriana-transformara-60-tiendas-en-mexico-y-cerrara-otras-20-durante-2026-asi-cambiara-su-negocio-20260826-0109.html</t>
        </r>
      </text>
    </comment>
    <comment ref="C59"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Soriana 2T26 — margen bruto 24.4% vs 23.9%, costo de ventas −5.6%, https://www.merca20.com/soriana-cierra-tiendas-y-vende-menos-pero-su-utilidad-crece-46-8-analizamos-su-ultimo-reporte/</t>
        </r>
      </text>
    </comment>
    <comment ref="C6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(tasa Banxico 6.50% a fin de 2026 y 2027), https://www.imagenradio.com.mx/finanzas/banxico-mantendra-congelada-tasa-6-50-que-resta-2026-encuesta-citi ; gastos financieros 1S26 de la hoja Datos.</t>
        </r>
      </text>
    </comment>
    <comment ref="D5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Paquete Económico 2027 (límite de deducciones PM &gt;50 mdp), https://www.pwc.com/mx/es/archivo/2026/paquete-economico-mx_2027.pdf</t>
        </r>
      </text>
    </comment>
  </commentList>
</comments>
</file>

<file path=xl/comments30.xml><?xml version="1.0" encoding="utf-8"?>
<comments xmlns="http://schemas.openxmlformats.org/spreadsheetml/2006/main" xmlns:xdr="http://schemas.openxmlformats.org/drawingml/2006/spreadsheetDrawing">
  <authors>
    <author>Unknown Author</author>
  </authors>
  <commentList>
    <comment ref="B12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Base: Moody's Baa3 (https://www.elfinanciero.com.mx/economia/2026/05/22/pemex-se-salva-de-ser-reprobado-por-moodys-su-calificacion-queda-en-b1-con-perspectiva-estable/) y alza de la Fed sep-2026 (https://www.bankinter.com/blog/economia/fed-tipos-interes-referencia).</t>
        </r>
      </text>
    </comment>
    <comment ref="C10"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de Expectativas, 22-sep-2026 (inflación cierre 2026 3.93%, 2027 3.83%, prom. 2028–32 3.75%), https://www.imagenradio.com.mx/finanzas/banxico-mantendra-congelada-tasa-6-50-que-resta-2026-encuesta-citi ; https://www.elfinanciero.com.mx/economia/2026/09/04/racha-positiva-para-el-peso-mexicano-en-2026-analistas-de-encuesta-citi/</t>
        </r>
      </text>
    </comment>
    <comment ref="C1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22-sep-2026 (PIB 2026 1.4%, 2027 1.8%), https://revistafortuna.com.mx/2026/09/22/eleva-sondeo-de-citi-mexico-estimado-de-pib-de-2026-de-1-3-a-1-4-vendria-acompanado-de-una-menor-inflacion/ . 2028–2030 = supuesto del analista.</t>
        </r>
      </text>
    </comment>
    <comment ref="C1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ANTAD ago-2026 (autoservicio −0.7% tiendas iguales), https://retailers.mx/antad-crece-1-7-a-tiendas-iguales-en-agosto/ y Walmex 2T26 (ANTAD autoservicio ~0%), https://files.walmex.mx/upload/files/2026/ES/Trimestral/2T26/WALMEX%202T26%20BMV.pdf</t>
        </r>
      </text>
    </comment>
    <comment ref="C1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VMT 2T26: Soriana −4.5% (https://expansion.mx/empresas/2026/07/31/soriana-utilidad-crece-ventas-caen-segundo-trimestre-2026), Walmex +1.8%, La Comer +2.9%, Chedraui +1.3% (https://elceo.com/negocios/el-consumo-se-enfria-y-pega-a-los-supermercados-walmart-chedraui-y-la-comer-desaceleran-ventas/)</t>
        </r>
      </text>
    </comment>
    <comment ref="C1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812 vs 820 tiendas y plan de 20 cierres / 60 reducciones, https://www.informador.mx/economia/soriana-transformara-60-tiendas-en-mexico-y-cerrara-otras-20-durante-2026-asi-cambiara-su-negocio-20260826-0109.html</t>
        </r>
      </text>
    </comment>
    <comment ref="C3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gasto operativo −1.2% 2T26 y margen EBITDA 1S26 6.9% (+20 pb), https://expansion.mx/empresas/2026/07/31/soriana-utilidad-crece-ventas-caen-segundo-trimestre-2026</t>
        </r>
      </text>
    </comment>
    <comment ref="C3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salario mínimo +13% (2026) y jornada de 40 h, https://www.eluniversal.com.mx/nacion/sheinbaum-anuncia-aumento-al-salario-minimo-para-2026-destaca-acuerdo-de-jornada-laboral-de-40-horas/</t>
        </r>
      </text>
    </comment>
    <comment ref="C34"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canasta PACIC ago-2026 (Soriana $820.85 vs Bodega Aurrera $781.23), https://rotativo.com.mx/precio-canasta-pacic-supermercados-mexico-2026</t>
        </r>
      </text>
    </comment>
    <comment ref="C3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TC 18.08 al 30-sep-2026, https://elmanana.com.mx/nacional/2026/9/30/precio-del-dolar-al-cierre-hoy-30-de-septiembre-de-2026-en-mexico-181626.html</t>
        </r>
      </text>
    </comment>
    <comment ref="C3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rentas comerciales +11.09% 1S26, https://www.elfinanciero.com.mx/empresas/2026/08/14/rentas-de-locales-comerciales-se-disparan-11-por-ciento-en-el-primer-semestre/</t>
        </r>
      </text>
    </comment>
    <comment ref="C4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guía de Soriana (~4,000 mdp en 2026), https://eltiempomx.com/noticia/2026/soriana-reestructura-operaciones-y-preve-cerrar-20-tiendas-este-ano.html</t>
        </r>
      </text>
    </comment>
    <comment ref="C5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plan de 20 cierres y 60 reducciones de piso, https://www.informador.mx/economia/soriana-transformara-60-tiendas-en-mexico-y-cerrara-otras-20-durante-2026-asi-cambiara-su-negocio-20260826-0109.html</t>
        </r>
      </text>
    </comment>
    <comment ref="C59"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Soriana 2T26 — margen bruto 24.4% vs 23.9%, costo de ventas −5.6%, https://www.merca20.com/soriana-cierra-tiendas-y-vende-menos-pero-su-utilidad-crece-46-8-analizamos-su-ultimo-reporte/</t>
        </r>
      </text>
    </comment>
    <comment ref="C6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(tasa Banxico 6.50% a fin de 2026 y 2027), https://www.imagenradio.com.mx/finanzas/banxico-mantendra-congelada-tasa-6-50-que-resta-2026-encuesta-citi ; gastos financieros 1S26 de la hoja Datos.</t>
        </r>
      </text>
    </comment>
    <comment ref="D5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Paquete Económico 2027 (límite de deducciones PM &gt;50 mdp), https://www.pwc.com/mx/es/archivo/2026/paquete-economico-mx_2027.pdf</t>
        </r>
      </text>
    </comment>
  </commentList>
</comments>
</file>

<file path=xl/comments31.xml><?xml version="1.0" encoding="utf-8"?>
<comments xmlns="http://schemas.openxmlformats.org/spreadsheetml/2006/main" xmlns:xdr="http://schemas.openxmlformats.org/drawingml/2006/spreadsheetDrawing">
  <authors>
    <author>Unknown Author</author>
  </authors>
  <commentList>
    <comment ref="B12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Base: Moody's Baa3 (https://www.elfinanciero.com.mx/economia/2026/05/22/pemex-se-salva-de-ser-reprobado-por-moodys-su-calificacion-queda-en-b1-con-perspectiva-estable/) y alza de la Fed sep-2026 (https://www.bankinter.com/blog/economia/fed-tipos-interes-referencia).</t>
        </r>
      </text>
    </comment>
    <comment ref="C10"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de Expectativas, 22-sep-2026 (inflación cierre 2026 3.93%, 2027 3.83%, prom. 2028–32 3.75%), https://www.imagenradio.com.mx/finanzas/banxico-mantendra-congelada-tasa-6-50-que-resta-2026-encuesta-citi ; https://www.elfinanciero.com.mx/economia/2026/09/04/racha-positiva-para-el-peso-mexicano-en-2026-analistas-de-encuesta-citi/</t>
        </r>
      </text>
    </comment>
    <comment ref="C1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22-sep-2026 (PIB 2026 1.4%, 2027 1.8%), https://revistafortuna.com.mx/2026/09/22/eleva-sondeo-de-citi-mexico-estimado-de-pib-de-2026-de-1-3-a-1-4-vendria-acompanado-de-una-menor-inflacion/ . 2028–2030 = supuesto del analista.</t>
        </r>
      </text>
    </comment>
    <comment ref="C1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ANTAD ago-2026 (autoservicio −0.7% tiendas iguales), https://retailers.mx/antad-crece-1-7-a-tiendas-iguales-en-agosto/ y Walmex 2T26 (ANTAD autoservicio ~0%), https://files.walmex.mx/upload/files/2026/ES/Trimestral/2T26/WALMEX%202T26%20BMV.pdf</t>
        </r>
      </text>
    </comment>
    <comment ref="C1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VMT 2T26: Soriana −4.5% (https://expansion.mx/empresas/2026/07/31/soriana-utilidad-crece-ventas-caen-segundo-trimestre-2026), Walmex +1.8%, La Comer +2.9%, Chedraui +1.3% (https://elceo.com/negocios/el-consumo-se-enfria-y-pega-a-los-supermercados-walmart-chedraui-y-la-comer-desaceleran-ventas/)</t>
        </r>
      </text>
    </comment>
    <comment ref="C1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812 vs 820 tiendas y plan de 20 cierres / 60 reducciones, https://www.informador.mx/economia/soriana-transformara-60-tiendas-en-mexico-y-cerrara-otras-20-durante-2026-asi-cambiara-su-negocio-20260826-0109.html</t>
        </r>
      </text>
    </comment>
    <comment ref="C3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gasto operativo −1.2% 2T26 y margen EBITDA 1S26 6.9% (+20 pb), https://expansion.mx/empresas/2026/07/31/soriana-utilidad-crece-ventas-caen-segundo-trimestre-2026</t>
        </r>
      </text>
    </comment>
    <comment ref="C3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salario mínimo +13% (2026) y jornada de 40 h, https://www.eluniversal.com.mx/nacion/sheinbaum-anuncia-aumento-al-salario-minimo-para-2026-destaca-acuerdo-de-jornada-laboral-de-40-horas/</t>
        </r>
      </text>
    </comment>
    <comment ref="C34"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canasta PACIC ago-2026 (Soriana $820.85 vs Bodega Aurrera $781.23), https://rotativo.com.mx/precio-canasta-pacic-supermercados-mexico-2026</t>
        </r>
      </text>
    </comment>
    <comment ref="C3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TC 18.08 al 30-sep-2026, https://elmanana.com.mx/nacional/2026/9/30/precio-del-dolar-al-cierre-hoy-30-de-septiembre-de-2026-en-mexico-181626.html</t>
        </r>
      </text>
    </comment>
    <comment ref="C3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rentas comerciales +11.09% 1S26, https://www.elfinanciero.com.mx/empresas/2026/08/14/rentas-de-locales-comerciales-se-disparan-11-por-ciento-en-el-primer-semestre/</t>
        </r>
      </text>
    </comment>
    <comment ref="C4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guía de Soriana (~4,000 mdp en 2026), https://eltiempomx.com/noticia/2026/soriana-reestructura-operaciones-y-preve-cerrar-20-tiendas-este-ano.html</t>
        </r>
      </text>
    </comment>
    <comment ref="C5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plan de 20 cierres y 60 reducciones de piso, https://www.informador.mx/economia/soriana-transformara-60-tiendas-en-mexico-y-cerrara-otras-20-durante-2026-asi-cambiara-su-negocio-20260826-0109.html</t>
        </r>
      </text>
    </comment>
    <comment ref="C59"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Soriana 2T26 — margen bruto 24.4% vs 23.9%, costo de ventas −5.6%, https://www.merca20.com/soriana-cierra-tiendas-y-vende-menos-pero-su-utilidad-crece-46-8-analizamos-su-ultimo-reporte/</t>
        </r>
      </text>
    </comment>
    <comment ref="C6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(tasa Banxico 6.50% a fin de 2026 y 2027), https://www.imagenradio.com.mx/finanzas/banxico-mantendra-congelada-tasa-6-50-que-resta-2026-encuesta-citi ; gastos financieros 1S26 de la hoja Datos.</t>
        </r>
      </text>
    </comment>
    <comment ref="D5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Paquete Económico 2027 (límite de deducciones PM &gt;50 mdp), https://www.pwc.com/mx/es/archivo/2026/paquete-economico-mx_2027.pdf</t>
        </r>
      </text>
    </comment>
  </commentList>
</comments>
</file>

<file path=xl/comments32.xml><?xml version="1.0" encoding="utf-8"?>
<comments xmlns="http://schemas.openxmlformats.org/spreadsheetml/2006/main" xmlns:xdr="http://schemas.openxmlformats.org/drawingml/2006/spreadsheetDrawing">
  <authors>
    <author>Unknown Author</author>
  </authors>
  <commentList>
    <comment ref="B12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Base: Moody's Baa3 (https://www.elfinanciero.com.mx/economia/2026/05/22/pemex-se-salva-de-ser-reprobado-por-moodys-su-calificacion-queda-en-b1-con-perspectiva-estable/) y alza de la Fed sep-2026 (https://www.bankinter.com/blog/economia/fed-tipos-interes-referencia).</t>
        </r>
      </text>
    </comment>
    <comment ref="C10"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de Expectativas, 22-sep-2026 (inflación cierre 2026 3.93%, 2027 3.83%, prom. 2028–32 3.75%), https://www.imagenradio.com.mx/finanzas/banxico-mantendra-congelada-tasa-6-50-que-resta-2026-encuesta-citi ; https://www.elfinanciero.com.mx/economia/2026/09/04/racha-positiva-para-el-peso-mexicano-en-2026-analistas-de-encuesta-citi/</t>
        </r>
      </text>
    </comment>
    <comment ref="C1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22-sep-2026 (PIB 2026 1.4%, 2027 1.8%), https://revistafortuna.com.mx/2026/09/22/eleva-sondeo-de-citi-mexico-estimado-de-pib-de-2026-de-1-3-a-1-4-vendria-acompanado-de-una-menor-inflacion/ . 2028–2030 = supuesto del analista.</t>
        </r>
      </text>
    </comment>
    <comment ref="C1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ANTAD ago-2026 (autoservicio −0.7% tiendas iguales), https://retailers.mx/antad-crece-1-7-a-tiendas-iguales-en-agosto/ y Walmex 2T26 (ANTAD autoservicio ~0%), https://files.walmex.mx/upload/files/2026/ES/Trimestral/2T26/WALMEX%202T26%20BMV.pdf</t>
        </r>
      </text>
    </comment>
    <comment ref="C1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VMT 2T26: Soriana −4.5% (https://expansion.mx/empresas/2026/07/31/soriana-utilidad-crece-ventas-caen-segundo-trimestre-2026), Walmex +1.8%, La Comer +2.9%, Chedraui +1.3% (https://elceo.com/negocios/el-consumo-se-enfria-y-pega-a-los-supermercados-walmart-chedraui-y-la-comer-desaceleran-ventas/)</t>
        </r>
      </text>
    </comment>
    <comment ref="C1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812 vs 820 tiendas y plan de 20 cierres / 60 reducciones, https://www.informador.mx/economia/soriana-transformara-60-tiendas-en-mexico-y-cerrara-otras-20-durante-2026-asi-cambiara-su-negocio-20260826-0109.html</t>
        </r>
      </text>
    </comment>
    <comment ref="C3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gasto operativo −1.2% 2T26 y margen EBITDA 1S26 6.9% (+20 pb), https://expansion.mx/empresas/2026/07/31/soriana-utilidad-crece-ventas-caen-segundo-trimestre-2026</t>
        </r>
      </text>
    </comment>
    <comment ref="C3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salario mínimo +13% (2026) y jornada de 40 h, https://www.eluniversal.com.mx/nacion/sheinbaum-anuncia-aumento-al-salario-minimo-para-2026-destaca-acuerdo-de-jornada-laboral-de-40-horas/</t>
        </r>
      </text>
    </comment>
    <comment ref="C34"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canasta PACIC ago-2026 (Soriana $820.85 vs Bodega Aurrera $781.23), https://rotativo.com.mx/precio-canasta-pacic-supermercados-mexico-2026</t>
        </r>
      </text>
    </comment>
    <comment ref="C3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TC 18.08 al 30-sep-2026, https://elmanana.com.mx/nacional/2026/9/30/precio-del-dolar-al-cierre-hoy-30-de-septiembre-de-2026-en-mexico-181626.html</t>
        </r>
      </text>
    </comment>
    <comment ref="C3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rentas comerciales +11.09% 1S26, https://www.elfinanciero.com.mx/empresas/2026/08/14/rentas-de-locales-comerciales-se-disparan-11-por-ciento-en-el-primer-semestre/</t>
        </r>
      </text>
    </comment>
    <comment ref="C4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guía de Soriana (~4,000 mdp en 2026), https://eltiempomx.com/noticia/2026/soriana-reestructura-operaciones-y-preve-cerrar-20-tiendas-este-ano.html</t>
        </r>
      </text>
    </comment>
    <comment ref="C5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plan de 20 cierres y 60 reducciones de piso, https://www.informador.mx/economia/soriana-transformara-60-tiendas-en-mexico-y-cerrara-otras-20-durante-2026-asi-cambiara-su-negocio-20260826-0109.html</t>
        </r>
      </text>
    </comment>
    <comment ref="C59"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Soriana 2T26 — margen bruto 24.4% vs 23.9%, costo de ventas −5.6%, https://www.merca20.com/soriana-cierra-tiendas-y-vende-menos-pero-su-utilidad-crece-46-8-analizamos-su-ultimo-reporte/</t>
        </r>
      </text>
    </comment>
    <comment ref="C6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(tasa Banxico 6.50% a fin de 2026 y 2027), https://www.imagenradio.com.mx/finanzas/banxico-mantendra-congelada-tasa-6-50-que-resta-2026-encuesta-citi ; gastos financieros 1S26 de la hoja Datos.</t>
        </r>
      </text>
    </comment>
    <comment ref="D5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Paquete Económico 2027 (límite de deducciones PM &gt;50 mdp), https://www.pwc.com/mx/es/archivo/2026/paquete-economico-mx_2027.pdf</t>
        </r>
      </text>
    </comment>
  </commentList>
</comments>
</file>

<file path=xl/comments33.xml><?xml version="1.0" encoding="utf-8"?>
<comments xmlns="http://schemas.openxmlformats.org/spreadsheetml/2006/main" xmlns:xdr="http://schemas.openxmlformats.org/drawingml/2006/spreadsheetDrawing">
  <authors>
    <author>Unknown Author</author>
  </authors>
  <commentList>
    <comment ref="B12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Base: Moody's Baa3 (https://www.elfinanciero.com.mx/economia/2026/05/22/pemex-se-salva-de-ser-reprobado-por-moodys-su-calificacion-queda-en-b1-con-perspectiva-estable/) y alza de la Fed sep-2026 (https://www.bankinter.com/blog/economia/fed-tipos-interes-referencia).</t>
        </r>
      </text>
    </comment>
    <comment ref="C10"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de Expectativas, 22-sep-2026 (inflación cierre 2026 3.93%, 2027 3.83%, prom. 2028–32 3.75%), https://www.imagenradio.com.mx/finanzas/banxico-mantendra-congelada-tasa-6-50-que-resta-2026-encuesta-citi ; https://www.elfinanciero.com.mx/economia/2026/09/04/racha-positiva-para-el-peso-mexicano-en-2026-analistas-de-encuesta-citi/</t>
        </r>
      </text>
    </comment>
    <comment ref="C1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22-sep-2026 (PIB 2026 1.4%, 2027 1.8%), https://revistafortuna.com.mx/2026/09/22/eleva-sondeo-de-citi-mexico-estimado-de-pib-de-2026-de-1-3-a-1-4-vendria-acompanado-de-una-menor-inflacion/ . 2028–2030 = supuesto del analista.</t>
        </r>
      </text>
    </comment>
    <comment ref="C1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ANTAD ago-2026 (autoservicio −0.7% tiendas iguales), https://retailers.mx/antad-crece-1-7-a-tiendas-iguales-en-agosto/ y Walmex 2T26 (ANTAD autoservicio ~0%), https://files.walmex.mx/upload/files/2026/ES/Trimestral/2T26/WALMEX%202T26%20BMV.pdf</t>
        </r>
      </text>
    </comment>
    <comment ref="C1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VMT 2T26: Soriana −4.5% (https://expansion.mx/empresas/2026/07/31/soriana-utilidad-crece-ventas-caen-segundo-trimestre-2026), Walmex +1.8%, La Comer +2.9%, Chedraui +1.3% (https://elceo.com/negocios/el-consumo-se-enfria-y-pega-a-los-supermercados-walmart-chedraui-y-la-comer-desaceleran-ventas/)</t>
        </r>
      </text>
    </comment>
    <comment ref="C1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812 vs 820 tiendas y plan de 20 cierres / 60 reducciones, https://www.informador.mx/economia/soriana-transformara-60-tiendas-en-mexico-y-cerrara-otras-20-durante-2026-asi-cambiara-su-negocio-20260826-0109.html</t>
        </r>
      </text>
    </comment>
    <comment ref="C3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gasto operativo −1.2% 2T26 y margen EBITDA 1S26 6.9% (+20 pb), https://expansion.mx/empresas/2026/07/31/soriana-utilidad-crece-ventas-caen-segundo-trimestre-2026</t>
        </r>
      </text>
    </comment>
    <comment ref="C3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salario mínimo +13% (2026) y jornada de 40 h, https://www.eluniversal.com.mx/nacion/sheinbaum-anuncia-aumento-al-salario-minimo-para-2026-destaca-acuerdo-de-jornada-laboral-de-40-horas/</t>
        </r>
      </text>
    </comment>
    <comment ref="C34"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canasta PACIC ago-2026 (Soriana $820.85 vs Bodega Aurrera $781.23), https://rotativo.com.mx/precio-canasta-pacic-supermercados-mexico-2026</t>
        </r>
      </text>
    </comment>
    <comment ref="C3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TC 18.08 al 30-sep-2026, https://elmanana.com.mx/nacional/2026/9/30/precio-del-dolar-al-cierre-hoy-30-de-septiembre-de-2026-en-mexico-181626.html</t>
        </r>
      </text>
    </comment>
    <comment ref="C3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rentas comerciales +11.09% 1S26, https://www.elfinanciero.com.mx/empresas/2026/08/14/rentas-de-locales-comerciales-se-disparan-11-por-ciento-en-el-primer-semestre/</t>
        </r>
      </text>
    </comment>
    <comment ref="C4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guía de Soriana (~4,000 mdp en 2026), https://eltiempomx.com/noticia/2026/soriana-reestructura-operaciones-y-preve-cerrar-20-tiendas-este-ano.html</t>
        </r>
      </text>
    </comment>
    <comment ref="C5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plan de 20 cierres y 60 reducciones de piso, https://www.informador.mx/economia/soriana-transformara-60-tiendas-en-mexico-y-cerrara-otras-20-durante-2026-asi-cambiara-su-negocio-20260826-0109.html</t>
        </r>
      </text>
    </comment>
    <comment ref="C59"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Soriana 2T26 — margen bruto 24.4% vs 23.9%, costo de ventas −5.6%, https://www.merca20.com/soriana-cierra-tiendas-y-vende-menos-pero-su-utilidad-crece-46-8-analizamos-su-ultimo-reporte/</t>
        </r>
      </text>
    </comment>
    <comment ref="C6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(tasa Banxico 6.50% a fin de 2026 y 2027), https://www.imagenradio.com.mx/finanzas/banxico-mantendra-congelada-tasa-6-50-que-resta-2026-encuesta-citi ; gastos financieros 1S26 de la hoja Datos.</t>
        </r>
      </text>
    </comment>
    <comment ref="D5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Paquete Económico 2027 (límite de deducciones PM &gt;50 mdp), https://www.pwc.com/mx/es/archivo/2026/paquete-economico-mx_2027.pdf</t>
        </r>
      </text>
    </comment>
  </commentList>
</comments>
</file>

<file path=xl/comments34.xml><?xml version="1.0" encoding="utf-8"?>
<comments xmlns="http://schemas.openxmlformats.org/spreadsheetml/2006/main" xmlns:xdr="http://schemas.openxmlformats.org/drawingml/2006/spreadsheetDrawing">
  <authors>
    <author>Unknown Author</author>
  </authors>
  <commentList>
    <comment ref="B12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Base: Moody's Baa3 (https://www.elfinanciero.com.mx/economia/2026/05/22/pemex-se-salva-de-ser-reprobado-por-moodys-su-calificacion-queda-en-b1-con-perspectiva-estable/) y alza de la Fed sep-2026 (https://www.bankinter.com/blog/economia/fed-tipos-interes-referencia).</t>
        </r>
      </text>
    </comment>
    <comment ref="C10"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de Expectativas, 22-sep-2026 (inflación cierre 2026 3.93%, 2027 3.83%, prom. 2028–32 3.75%), https://www.imagenradio.com.mx/finanzas/banxico-mantendra-congelada-tasa-6-50-que-resta-2026-encuesta-citi ; https://www.elfinanciero.com.mx/economia/2026/09/04/racha-positiva-para-el-peso-mexicano-en-2026-analistas-de-encuesta-citi/</t>
        </r>
      </text>
    </comment>
    <comment ref="C1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22-sep-2026 (PIB 2026 1.4%, 2027 1.8%), https://revistafortuna.com.mx/2026/09/22/eleva-sondeo-de-citi-mexico-estimado-de-pib-de-2026-de-1-3-a-1-4-vendria-acompanado-de-una-menor-inflacion/ . 2028–2030 = supuesto del analista.</t>
        </r>
      </text>
    </comment>
    <comment ref="C1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ANTAD ago-2026 (autoservicio −0.7% tiendas iguales), https://retailers.mx/antad-crece-1-7-a-tiendas-iguales-en-agosto/ y Walmex 2T26 (ANTAD autoservicio ~0%), https://files.walmex.mx/upload/files/2026/ES/Trimestral/2T26/WALMEX%202T26%20BMV.pdf</t>
        </r>
      </text>
    </comment>
    <comment ref="C1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del analista basado en VMT 2T26: Soriana −4.5% (https://expansion.mx/empresas/2026/07/31/soriana-utilidad-crece-ventas-caen-segundo-trimestre-2026), Walmex +1.8%, La Comer +2.9%, Chedraui +1.3% (https://elceo.com/negocios/el-consumo-se-enfria-y-pega-a-los-supermercados-walmart-chedraui-y-la-comer-desaceleran-ventas/)</t>
        </r>
      </text>
    </comment>
    <comment ref="C1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812 vs 820 tiendas y plan de 20 cierres / 60 reducciones, https://www.informador.mx/economia/soriana-transformara-60-tiendas-en-mexico-y-cerrara-otras-20-durante-2026-asi-cambiara-su-negocio-20260826-0109.html</t>
        </r>
      </text>
    </comment>
    <comment ref="C3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gasto operativo −1.2% 2T26 y margen EBITDA 1S26 6.9% (+20 pb), https://expansion.mx/empresas/2026/07/31/soriana-utilidad-crece-ventas-caen-segundo-trimestre-2026</t>
        </r>
      </text>
    </comment>
    <comment ref="C33"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salario mínimo +13% (2026) y jornada de 40 h, https://www.eluniversal.com.mx/nacion/sheinbaum-anuncia-aumento-al-salario-minimo-para-2026-destaca-acuerdo-de-jornada-laboral-de-40-horas/</t>
        </r>
      </text>
    </comment>
    <comment ref="C34"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canasta PACIC ago-2026 (Soriana $820.85 vs Bodega Aurrera $781.23), https://rotativo.com.mx/precio-canasta-pacic-supermercados-mexico-2026</t>
        </r>
      </text>
    </comment>
    <comment ref="C35"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TC 18.08 al 30-sep-2026, https://elmanana.com.mx/nacional/2026/9/30/precio-del-dolar-al-cierre-hoy-30-de-septiembre-de-2026-en-mexico-181626.html</t>
        </r>
      </text>
    </comment>
    <comment ref="C3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rentas comerciales +11.09% 1S26, https://www.elfinanciero.com.mx/empresas/2026/08/14/rentas-de-locales-comerciales-se-disparan-11-por-ciento-en-el-primer-semestre/</t>
        </r>
      </text>
    </comment>
    <comment ref="C47"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guía de Soriana (~4,000 mdp en 2026), https://eltiempomx.com/noticia/2026/soriana-reestructura-operaciones-y-preve-cerrar-20-tiendas-este-ano.html</t>
        </r>
      </text>
    </comment>
    <comment ref="C56"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plan de 20 cierres y 60 reducciones de piso, https://www.informador.mx/economia/soriana-transformara-60-tiendas-en-mexico-y-cerrara-otras-20-durante-2026-asi-cambiara-su-negocio-20260826-0109.html</t>
        </r>
      </text>
    </comment>
    <comment ref="C59"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Soriana 2T26 — margen bruto 24.4% vs 23.9%, costo de ventas −5.6%, https://www.merca20.com/soriana-cierra-tiendas-y-vende-menos-pero-su-utilidad-crece-46-8-analizamos-su-ultimo-reporte/</t>
        </r>
      </text>
    </comment>
    <comment ref="C61"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Fuente: Encuesta Citi (tasa Banxico 6.50% a fin de 2026 y 2027), https://www.imagenradio.com.mx/finanzas/banxico-mantendra-congelada-tasa-6-50-que-resta-2026-encuesta-citi ; gastos financieros 1S26 de la hoja Datos.</t>
        </r>
      </text>
    </comment>
    <comment ref="D52" authorId="0">
      <text>
        <r>
          <rPr>
            <sz val="10"/>
            <rFont val="Arial"/>
            <family val="2"/>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Supuesto basado en Paquete Económico 2027 (límite de deducciones PM &gt;50 mdp), https://www.pwc.com/mx/es/archivo/2026/paquete-economico-mx_2027.pdf</t>
        </r>
      </text>
    </comment>
  </commentList>
</comments>
</file>

<file path=xl/sharedStrings.xml><?xml version="1.0" encoding="utf-8"?>
<sst xmlns="http://schemas.openxmlformats.org/spreadsheetml/2006/main" count="8866" uniqueCount="2712">
  <si>
    <t xml:space="preserve">1. VALUACIÓN (DCF, base FY2025)</t>
  </si>
  <si>
    <t xml:space="preserve">Soriana</t>
  </si>
  <si>
    <t xml:space="preserve">Walmex</t>
  </si>
  <si>
    <t xml:space="preserve">Chedraui</t>
  </si>
  <si>
    <t xml:space="preserve">La Comer</t>
  </si>
  <si>
    <t xml:space="preserve">WACC</t>
  </si>
  <si>
    <t xml:space="preserve">Crecimiento perpetuo (g)</t>
  </si>
  <si>
    <t xml:space="preserve">FCF 2025A (flujo libre de efectivo)</t>
  </si>
  <si>
    <t xml:space="preserve">VPN de los FCF 2026E–2030E</t>
  </si>
  <si>
    <t xml:space="preserve">Valor terminal (TV) al 2030</t>
  </si>
  <si>
    <t xml:space="preserve">Valor presente del TV</t>
  </si>
  <si>
    <t xml:space="preserve">Enterprise Value (EV)</t>
  </si>
  <si>
    <t xml:space="preserve">Deuda total (bancaria/bursátil + arrendamientos)</t>
  </si>
  <si>
    <t xml:space="preserve">Efectivo y equivalentes</t>
  </si>
  <si>
    <t xml:space="preserve">Equity Value (valor para los accionistas)</t>
  </si>
  <si>
    <t xml:space="preserve">Valor intrínseco por acción (MXN)</t>
  </si>
  <si>
    <t xml:space="preserve">Precio actual en bolsa (MXN)</t>
  </si>
  <si>
    <t xml:space="preserve">Potencial de apreciación / (baja)</t>
  </si>
  <si>
    <t xml:space="preserve">Precio objetivo consenso de analistas (MXN)</t>
  </si>
  <si>
    <t xml:space="preserve">Recomendación consenso de analistas</t>
  </si>
  <si>
    <t xml:space="preserve">Venta (0 C / 1 M / 6 V)</t>
  </si>
  <si>
    <t xml:space="preserve">Neutral (5 C / 10 M / 3 V)</t>
  </si>
  <si>
    <t xml:space="preserve">Neutral (3 C / 12 M / 0 V)</t>
  </si>
  <si>
    <t xml:space="preserve">Compra (5 C / 4 M / 0 V)</t>
  </si>
  <si>
    <t xml:space="preserve">2. RAZONES FINANCIERAS – PROMEDIO DE LOS ÚLTIMOS 5 TRIMESTRES</t>
  </si>
  <si>
    <t xml:space="preserve">Circulante</t>
  </si>
  <si>
    <t xml:space="preserve">Prueba ácida</t>
  </si>
  <si>
    <t xml:space="preserve">Deuda / Activo total</t>
  </si>
  <si>
    <t xml:space="preserve">Capitalización a largo plazo</t>
  </si>
  <si>
    <t xml:space="preserve">Cobertura de intereses</t>
  </si>
  <si>
    <t xml:space="preserve">Rotación del inventario (trimestral)</t>
  </si>
  <si>
    <t xml:space="preserve">Rotación del inventario en días</t>
  </si>
  <si>
    <t xml:space="preserve">Rotación del activo total (trimestral)</t>
  </si>
  <si>
    <t xml:space="preserve">Margen bruto</t>
  </si>
  <si>
    <t xml:space="preserve">Margen neto</t>
  </si>
  <si>
    <t xml:space="preserve">ROA (trimestral)</t>
  </si>
  <si>
    <t xml:space="preserve">ROE (trimestral)</t>
  </si>
  <si>
    <t xml:space="preserve">ROI (trimestral)</t>
  </si>
  <si>
    <t xml:space="preserve">3. RAZONES FINANCIERAS ANUALES FY2025 (incluye Chedraui)</t>
  </si>
  <si>
    <t xml:space="preserve">Rotación del inventario (anual)</t>
  </si>
  <si>
    <t xml:space="preserve">Rotación del inventario en días (365)</t>
  </si>
  <si>
    <t xml:space="preserve">Rotación del activo total (anual)</t>
  </si>
  <si>
    <t xml:space="preserve">ROA (anual)</t>
  </si>
  <si>
    <t xml:space="preserve">ROE (anual)</t>
  </si>
  <si>
    <t xml:space="preserve">ROI (anual)</t>
  </si>
  <si>
    <t xml:space="preserve">1. INFORMACIÓN GENERAL DE LA EMPRESA</t>
  </si>
  <si>
    <t xml:space="preserve">Dato</t>
  </si>
  <si>
    <t xml:space="preserve">Clave de cotización</t>
  </si>
  <si>
    <t xml:space="preserve">SORIANA B (BMV, cotiza desde 1987)</t>
  </si>
  <si>
    <t xml:space="preserve">Fundación</t>
  </si>
  <si>
    <t xml:space="preserve">1968, Torreón, Coahuila</t>
  </si>
  <si>
    <t xml:space="preserve">Sede corporativa</t>
  </si>
  <si>
    <t xml:space="preserve">Monterrey, Nuevo León</t>
  </si>
  <si>
    <t xml:space="preserve">Giro</t>
  </si>
  <si>
    <t xml:space="preserve">Tiendas de autoservicio y clubes de membresía (multiformato)</t>
  </si>
  <si>
    <t xml:space="preserve">Tiendas en operación (2T26)</t>
  </si>
  <si>
    <t xml:space="preserve">Colaboradores (jun-2026)</t>
  </si>
  <si>
    <t xml:space="preserve">Acciones en circulación (millones)</t>
  </si>
  <si>
    <t xml:space="preserve">Capitalización de mercado a precio actual (mdp)</t>
  </si>
  <si>
    <t xml:space="preserve">2. NOTICIAS Y ANÁLISIS RECIENTES</t>
  </si>
  <si>
    <t xml:space="preserve">Fecha</t>
  </si>
  <si>
    <t xml:space="preserve">Resultados 2T26: menos ventas, más utilidad</t>
  </si>
  <si>
    <t xml:space="preserve">31-jul-2026</t>
  </si>
  <si>
    <t xml:space="preserve">Cierre de 20 tiendas en 2026</t>
  </si>
  <si>
    <t xml:space="preserve">26-ago-2026</t>
  </si>
  <si>
    <t xml:space="preserve">Reducción de plantilla y automatización</t>
  </si>
  <si>
    <t xml:space="preserve">2-sep-2026</t>
  </si>
  <si>
    <t xml:space="preserve">Plan de inversión 2S26</t>
  </si>
  <si>
    <t xml:space="preserve">sep-2026</t>
  </si>
  <si>
    <t xml:space="preserve">Sector: Walmart, Soriana y Chedraui sufren por ingresos e inflación</t>
  </si>
  <si>
    <t xml:space="preserve">2026</t>
  </si>
  <si>
    <t xml:space="preserve">3. CALIFICACIÓN Y CONSENSO DE ANALISTAS</t>
  </si>
  <si>
    <t xml:space="preserve">Calificación crediticia (HR Ratings)</t>
  </si>
  <si>
    <t xml:space="preserve">HR+1 (corto plazo)</t>
  </si>
  <si>
    <t xml:space="preserve">Consenso de analistas</t>
  </si>
  <si>
    <t xml:space="preserve">Venta</t>
  </si>
  <si>
    <t xml:space="preserve">Precio objetivo promedio 12 meses (MXN)</t>
  </si>
  <si>
    <t xml:space="preserve">4. ANÁLISIS FUNDAMENTAL – RESUMEN FINANCIERO FY2025 (mdp)</t>
  </si>
  <si>
    <t xml:space="preserve">Valor</t>
  </si>
  <si>
    <t xml:space="preserve">Ingresos totales</t>
  </si>
  <si>
    <t xml:space="preserve">Utilidad bruta</t>
  </si>
  <si>
    <t xml:space="preserve">Utilidad de operación (EBIT)</t>
  </si>
  <si>
    <t xml:space="preserve">Utilidad neta consolidada</t>
  </si>
  <si>
    <t xml:space="preserve">Margen de operación</t>
  </si>
  <si>
    <t xml:space="preserve">5. CUENTA DE RESULTADOS – ÚLTIMO TRIMESTRE (2T26 vs 2T25, mdp)</t>
  </si>
  <si>
    <t xml:space="preserve">2T26</t>
  </si>
  <si>
    <t xml:space="preserve">Costo de ventas</t>
  </si>
  <si>
    <t xml:space="preserve">Utilidad de operación</t>
  </si>
  <si>
    <t xml:space="preserve">Gastos financieros</t>
  </si>
  <si>
    <t xml:space="preserve">Utilidad neta</t>
  </si>
  <si>
    <t xml:space="preserve">6. BALANCE (cierre 2025 vs 1T26, mdp)</t>
  </si>
  <si>
    <t xml:space="preserve">Dic-2025</t>
  </si>
  <si>
    <t xml:space="preserve">Activo total</t>
  </si>
  <si>
    <t xml:space="preserve">Pasivo total</t>
  </si>
  <si>
    <t xml:space="preserve">Capital contable</t>
  </si>
  <si>
    <t xml:space="preserve">Deuda bancaria y bursátil</t>
  </si>
  <si>
    <t xml:space="preserve">Efectivo</t>
  </si>
  <si>
    <t xml:space="preserve">7. FLUJOS DE EFECTIVO FY2025 (mdp)</t>
  </si>
  <si>
    <t xml:space="preserve">Flujo neto de operación (CFO)</t>
  </si>
  <si>
    <t xml:space="preserve">Capex</t>
  </si>
  <si>
    <t xml:space="preserve">Flujo libre (CFO - Capex)</t>
  </si>
  <si>
    <t xml:space="preserve">8. ANÁLISIS FUNDAMENTAL – RATIOS DE MERCADO</t>
  </si>
  <si>
    <t xml:space="preserve">P/U (precio / utilidad por acción)</t>
  </si>
  <si>
    <t xml:space="preserve">Valor en libros por acción (MXN)</t>
  </si>
  <si>
    <t xml:space="preserve">P/VL (precio / valor en libros)</t>
  </si>
  <si>
    <t xml:space="preserve">ROE anual FY2025</t>
  </si>
  <si>
    <t xml:space="preserve">9. DIVIDENDOS</t>
  </si>
  <si>
    <t xml:space="preserve">Último dividendo por acción (MXN)</t>
  </si>
  <si>
    <t xml:space="preserve">Rendimiento por dividendo a precio actual</t>
  </si>
  <si>
    <t xml:space="preserve">10. REPORTE – PUNTOS CLAVE 2T26</t>
  </si>
  <si>
    <t xml:space="preserve">Ventas mismas tiendas 2T26</t>
  </si>
  <si>
    <t xml:space="preserve">-4.5%</t>
  </si>
  <si>
    <t xml:space="preserve">Margen bruto 2T26</t>
  </si>
  <si>
    <t xml:space="preserve">Costo financiero neto 2T26 (mdp)</t>
  </si>
  <si>
    <t xml:space="preserve">Deuda neta bancaria y bursátil al 2T26 (mdp)</t>
  </si>
  <si>
    <t xml:space="preserve">Capex acumulado 1S26 (mdp)</t>
  </si>
  <si>
    <t xml:space="preserve">11. PREVISIÓN</t>
  </si>
  <si>
    <t xml:space="preserve">Próximo reporte trimestral (3T26)</t>
  </si>
  <si>
    <t xml:space="preserve">23-oct-2026</t>
  </si>
  <si>
    <t xml:space="preserve">Precio objetivo consenso vs precio actual</t>
  </si>
  <si>
    <t xml:space="preserve">Proyección de ingresos 2027 HR Ratings (mdp)</t>
  </si>
  <si>
    <t xml:space="preserve">12. ANÁLISIS TÉCNICO</t>
  </si>
  <si>
    <t xml:space="preserve">Precio de cierre (MXN)</t>
  </si>
  <si>
    <t xml:space="preserve">Rango de 52 semanas (MXN)</t>
  </si>
  <si>
    <t xml:space="preserve">23.90 – 42.70</t>
  </si>
  <si>
    <t xml:space="preserve">Variación 1 año</t>
  </si>
  <si>
    <t xml:space="preserve">Señal técnica resumen (diaria, semanal y mensual)</t>
  </si>
  <si>
    <t xml:space="preserve">Compra fuerte</t>
  </si>
  <si>
    <t xml:space="preserve">RSI (14)</t>
  </si>
  <si>
    <t xml:space="preserve">MACD (12,26)</t>
  </si>
  <si>
    <t xml:space="preserve">Media móvil 50 días (MXN)</t>
  </si>
  <si>
    <t xml:space="preserve">Media móvil 200 días (MXN)</t>
  </si>
  <si>
    <t xml:space="preserve">13. COMPARATIVO BURSÁTIL DEL SECTOR</t>
  </si>
  <si>
    <t xml:space="preserve">Precio actual (MXN)</t>
  </si>
  <si>
    <t xml:space="preserve">P/U</t>
  </si>
  <si>
    <t xml:space="preserve">Rendimiento por dividendo</t>
  </si>
  <si>
    <t xml:space="preserve">Beta de regresión semanal (Soriana: hoja Beta Regresión; resto: referencia)</t>
  </si>
  <si>
    <t xml:space="preserve">Señal técnica resumen (diaria)</t>
  </si>
  <si>
    <t xml:space="preserve">Neutral</t>
  </si>
  <si>
    <t xml:space="preserve">Compra</t>
  </si>
  <si>
    <t xml:space="preserve">Precio objetivo consenso (MXN)</t>
  </si>
  <si>
    <t xml:space="preserve">Calificación crediticia</t>
  </si>
  <si>
    <t xml:space="preserve">HR+1 (HR Ratings, CP)</t>
  </si>
  <si>
    <t xml:space="preserve">n.d.</t>
  </si>
  <si>
    <t xml:space="preserve">AAA(mex) Fitch, perspectiva estable</t>
  </si>
  <si>
    <t xml:space="preserve">ORGANIZACIÓN SORIANA (SORIANA B)</t>
  </si>
  <si>
    <t xml:space="preserve">2T25</t>
  </si>
  <si>
    <t xml:space="preserve">3T25</t>
  </si>
  <si>
    <t xml:space="preserve">4T25</t>
  </si>
  <si>
    <t xml:space="preserve">1T26</t>
  </si>
  <si>
    <t xml:space="preserve">FY2025</t>
  </si>
  <si>
    <t xml:space="preserve">Gastos financieros (intereses)</t>
  </si>
  <si>
    <t xml:space="preserve">Utilidad antes de impuestos</t>
  </si>
  <si>
    <t xml:space="preserve">Impuestos a la utilidad</t>
  </si>
  <si>
    <t xml:space="preserve">Depreciación y amortización</t>
  </si>
  <si>
    <t xml:space="preserve">Capex (inmuebles, equipo e intangibles)</t>
  </si>
  <si>
    <t xml:space="preserve">Inventarios</t>
  </si>
  <si>
    <t xml:space="preserve">Activo circulante</t>
  </si>
  <si>
    <t xml:space="preserve">Pasivo circulante</t>
  </si>
  <si>
    <t xml:space="preserve">Pasivo a largo plazo</t>
  </si>
  <si>
    <t xml:space="preserve">Deuda bursátil y bancaria CP</t>
  </si>
  <si>
    <t xml:space="preserve">Deuda bursátil y bancaria LP</t>
  </si>
  <si>
    <t xml:space="preserve">Pasivo por arrendamiento CP</t>
  </si>
  <si>
    <t xml:space="preserve">Pasivo por arrendamiento LP</t>
  </si>
  <si>
    <t xml:space="preserve">Deuda total (financiera + arrendamientos)</t>
  </si>
  <si>
    <t xml:space="preserve">WALMART DE MÉXICO (WALMEX)</t>
  </si>
  <si>
    <t xml:space="preserve">GRUPO COMERCIAL CHEDRAUI (CHDRAUI B)</t>
  </si>
  <si>
    <t xml:space="preserve">Aux. FY2025</t>
  </si>
  <si>
    <t xml:space="preserve">Inversión neta (−flujo de inversión FY2025), proxy de capex</t>
  </si>
  <si>
    <t xml:space="preserve">LA COMER (LACOMER UBC)</t>
  </si>
  <si>
    <t xml:space="preserve">9M2025</t>
  </si>
  <si>
    <t xml:space="preserve">DETALLE DE CAPEX (mdp)</t>
  </si>
  <si>
    <t xml:space="preserve">Soriana – Inmuebles y equipo</t>
  </si>
  <si>
    <t xml:space="preserve">Soriana – Intangibles</t>
  </si>
  <si>
    <t xml:space="preserve">Soriana – Otros / ajustes</t>
  </si>
  <si>
    <t xml:space="preserve">Walmex – Inmuebles y equipo</t>
  </si>
  <si>
    <t xml:space="preserve">Walmex – Intangibles</t>
  </si>
  <si>
    <t xml:space="preserve">Walmex – Otros / ajustes</t>
  </si>
  <si>
    <t xml:space="preserve">Chedraui – Inmuebles y equipo</t>
  </si>
  <si>
    <t xml:space="preserve">Chedraui – Intangibles</t>
  </si>
  <si>
    <t xml:space="preserve">Chedraui – Otros / ajustes</t>
  </si>
  <si>
    <t xml:space="preserve">La Comer – Inmuebles y equipo</t>
  </si>
  <si>
    <t xml:space="preserve">La Comer – Intangibles</t>
  </si>
  <si>
    <t xml:space="preserve">La Comer – Otros / ajustes</t>
  </si>
  <si>
    <t xml:space="preserve">BASE DE DATOS DE MERCADO </t>
  </si>
  <si>
    <t xml:space="preserve">Última fecha</t>
  </si>
  <si>
    <t xml:space="preserve">Obs. válidas</t>
  </si>
  <si>
    <t xml:space="preserve">Última quincena</t>
  </si>
  <si>
    <t xml:space="preserve">SORIANA DIARIO</t>
  </si>
  <si>
    <t xml:space="preserve">IPC DIARIO </t>
  </si>
  <si>
    <t xml:space="preserve">SORIANA SEMANAL </t>
  </si>
  <si>
    <t xml:space="preserve">IPC SEMANAL</t>
  </si>
  <si>
    <t xml:space="preserve">INPC, variación anual quincenal (%). Banxico SIE, serie SP74833</t>
  </si>
  <si>
    <t xml:space="preserve">Último</t>
  </si>
  <si>
    <t xml:space="preserve">Apertura</t>
  </si>
  <si>
    <t xml:space="preserve">Máximo</t>
  </si>
  <si>
    <t xml:space="preserve">Mínimo</t>
  </si>
  <si>
    <t xml:space="preserve">Vol.</t>
  </si>
  <si>
    <t xml:space="preserve">% var.</t>
  </si>
  <si>
    <t xml:space="preserve">Quincena</t>
  </si>
  <si>
    <t xml:space="preserve">Inflación anual (%)</t>
  </si>
  <si>
    <t xml:space="preserve">3.40K</t>
  </si>
  <si>
    <t xml:space="preserve">01.07.2026</t>
  </si>
  <si>
    <t xml:space="preserve">162.40M</t>
  </si>
  <si>
    <t xml:space="preserve">10/17/2021</t>
  </si>
  <si>
    <t xml:space="preserve">1.05M</t>
  </si>
  <si>
    <t xml:space="preserve">17.10.2021</t>
  </si>
  <si>
    <t xml:space="preserve">699.14M</t>
  </si>
  <si>
    <t xml:space="preserve">3.17K</t>
  </si>
  <si>
    <t xml:space="preserve">02.07.2026</t>
  </si>
  <si>
    <t xml:space="preserve">102.82M</t>
  </si>
  <si>
    <t xml:space="preserve">10/24/2021</t>
  </si>
  <si>
    <t xml:space="preserve">174.31K</t>
  </si>
  <si>
    <t xml:space="preserve">24.10.2021</t>
  </si>
  <si>
    <t xml:space="preserve">678.31M</t>
  </si>
  <si>
    <t xml:space="preserve">1.20K</t>
  </si>
  <si>
    <t xml:space="preserve">03.07.2026</t>
  </si>
  <si>
    <t xml:space="preserve">28.96M</t>
  </si>
  <si>
    <t xml:space="preserve">10/31/2021</t>
  </si>
  <si>
    <t xml:space="preserve">48.46K</t>
  </si>
  <si>
    <t xml:space="preserve">31.10.2021</t>
  </si>
  <si>
    <t xml:space="preserve">674.32M</t>
  </si>
  <si>
    <t xml:space="preserve">2.36K</t>
  </si>
  <si>
    <t xml:space="preserve">06.07.2026</t>
  </si>
  <si>
    <t xml:space="preserve">154.90M</t>
  </si>
  <si>
    <t xml:space="preserve">104.02K</t>
  </si>
  <si>
    <t xml:space="preserve">07.11.2021</t>
  </si>
  <si>
    <t xml:space="preserve">831.59M</t>
  </si>
  <si>
    <t xml:space="preserve">0.85K</t>
  </si>
  <si>
    <t xml:space="preserve">07.07.2026</t>
  </si>
  <si>
    <t xml:space="preserve">128.25M</t>
  </si>
  <si>
    <t xml:space="preserve">11/14/2021</t>
  </si>
  <si>
    <t xml:space="preserve">88.93K</t>
  </si>
  <si>
    <t xml:space="preserve">14.11.2021</t>
  </si>
  <si>
    <t xml:space="preserve">652.74M</t>
  </si>
  <si>
    <t xml:space="preserve">1.26K</t>
  </si>
  <si>
    <t xml:space="preserve">08.07.2026</t>
  </si>
  <si>
    <t xml:space="preserve">105.53M</t>
  </si>
  <si>
    <t xml:space="preserve">11/21/2021</t>
  </si>
  <si>
    <t xml:space="preserve">228.56K</t>
  </si>
  <si>
    <t xml:space="preserve">21.11.2021</t>
  </si>
  <si>
    <t xml:space="preserve">690.57M</t>
  </si>
  <si>
    <t xml:space="preserve">0.83K</t>
  </si>
  <si>
    <t xml:space="preserve">09.07.2026</t>
  </si>
  <si>
    <t xml:space="preserve">142.19M</t>
  </si>
  <si>
    <t xml:space="preserve">11/28/2021</t>
  </si>
  <si>
    <t xml:space="preserve">162.78K</t>
  </si>
  <si>
    <t xml:space="preserve">28.11.2021</t>
  </si>
  <si>
    <t xml:space="preserve">1.65B</t>
  </si>
  <si>
    <t xml:space="preserve">1.12K</t>
  </si>
  <si>
    <t xml:space="preserve">10.07.2026</t>
  </si>
  <si>
    <t xml:space="preserve">127.90M</t>
  </si>
  <si>
    <t xml:space="preserve">314.98K</t>
  </si>
  <si>
    <t xml:space="preserve">05.12.2021</t>
  </si>
  <si>
    <t xml:space="preserve">720.22M</t>
  </si>
  <si>
    <t xml:space="preserve">07/13/2026</t>
  </si>
  <si>
    <t xml:space="preserve">1.75K</t>
  </si>
  <si>
    <t xml:space="preserve">13.07.2026</t>
  </si>
  <si>
    <t xml:space="preserve">124.72M</t>
  </si>
  <si>
    <t xml:space="preserve">578.94K</t>
  </si>
  <si>
    <t xml:space="preserve">12.12.2021</t>
  </si>
  <si>
    <t xml:space="preserve">1.32B</t>
  </si>
  <si>
    <t xml:space="preserve">07/15/2026</t>
  </si>
  <si>
    <t xml:space="preserve">1.37K</t>
  </si>
  <si>
    <t xml:space="preserve">14.07.2026</t>
  </si>
  <si>
    <t xml:space="preserve">130.40M</t>
  </si>
  <si>
    <t xml:space="preserve">12/19/2021</t>
  </si>
  <si>
    <t xml:space="preserve">252.84K</t>
  </si>
  <si>
    <t xml:space="preserve">19.12.2021</t>
  </si>
  <si>
    <t xml:space="preserve">481.82M</t>
  </si>
  <si>
    <t xml:space="preserve">07/16/2026</t>
  </si>
  <si>
    <t xml:space="preserve">1.50K</t>
  </si>
  <si>
    <t xml:space="preserve">15.07.2026</t>
  </si>
  <si>
    <t xml:space="preserve">134.99M</t>
  </si>
  <si>
    <t xml:space="preserve">12/26/2021</t>
  </si>
  <si>
    <t xml:space="preserve">228.19K</t>
  </si>
  <si>
    <t xml:space="preserve">26.12.2021</t>
  </si>
  <si>
    <t xml:space="preserve">334.71M</t>
  </si>
  <si>
    <t xml:space="preserve">07/17/2026</t>
  </si>
  <si>
    <t xml:space="preserve">0.58K</t>
  </si>
  <si>
    <t xml:space="preserve">16.07.2026</t>
  </si>
  <si>
    <t xml:space="preserve">113.88M</t>
  </si>
  <si>
    <t xml:space="preserve">162.67K</t>
  </si>
  <si>
    <t xml:space="preserve">02.01.2022</t>
  </si>
  <si>
    <t xml:space="preserve">522.29M</t>
  </si>
  <si>
    <t xml:space="preserve">07/21/2026</t>
  </si>
  <si>
    <t xml:space="preserve">1.65K</t>
  </si>
  <si>
    <t xml:space="preserve">17.07.2026</t>
  </si>
  <si>
    <t xml:space="preserve">140.85M</t>
  </si>
  <si>
    <t xml:space="preserve">62.43K</t>
  </si>
  <si>
    <t xml:space="preserve">09.01.2022</t>
  </si>
  <si>
    <t xml:space="preserve">754.89M</t>
  </si>
  <si>
    <t xml:space="preserve">07/22/2026</t>
  </si>
  <si>
    <t xml:space="preserve">0.46K</t>
  </si>
  <si>
    <t xml:space="preserve">20.07.2026</t>
  </si>
  <si>
    <t xml:space="preserve">111.58M</t>
  </si>
  <si>
    <t xml:space="preserve">01/16/2022</t>
  </si>
  <si>
    <t xml:space="preserve">30.66K</t>
  </si>
  <si>
    <t xml:space="preserve">16.01.2022</t>
  </si>
  <si>
    <t xml:space="preserve">673.67M</t>
  </si>
  <si>
    <t xml:space="preserve">07/24/2026</t>
  </si>
  <si>
    <t xml:space="preserve">1.36K</t>
  </si>
  <si>
    <t xml:space="preserve">21.07.2026</t>
  </si>
  <si>
    <t xml:space="preserve">109.35M</t>
  </si>
  <si>
    <t xml:space="preserve">01/23/2022</t>
  </si>
  <si>
    <t xml:space="preserve">534.04K</t>
  </si>
  <si>
    <t xml:space="preserve">23.01.2022</t>
  </si>
  <si>
    <t xml:space="preserve">1.05B</t>
  </si>
  <si>
    <t xml:space="preserve">07/27/2026</t>
  </si>
  <si>
    <t xml:space="preserve">0.78K</t>
  </si>
  <si>
    <t xml:space="preserve">22.07.2026</t>
  </si>
  <si>
    <t xml:space="preserve">115.68M</t>
  </si>
  <si>
    <t xml:space="preserve">01/30/2022</t>
  </si>
  <si>
    <t xml:space="preserve">99.04K</t>
  </si>
  <si>
    <t xml:space="preserve">30.01.2022</t>
  </si>
  <si>
    <t xml:space="preserve">647.19M</t>
  </si>
  <si>
    <t xml:space="preserve">07/28/2026</t>
  </si>
  <si>
    <t xml:space="preserve">1.09K</t>
  </si>
  <si>
    <t xml:space="preserve">23.07.2026</t>
  </si>
  <si>
    <t xml:space="preserve">142.31M</t>
  </si>
  <si>
    <t xml:space="preserve">104.46K</t>
  </si>
  <si>
    <t xml:space="preserve">06.02.2022</t>
  </si>
  <si>
    <t xml:space="preserve">798.15M</t>
  </si>
  <si>
    <t xml:space="preserve">07/29/2026</t>
  </si>
  <si>
    <t xml:space="preserve">24.07.2026</t>
  </si>
  <si>
    <t xml:space="preserve">111.29M</t>
  </si>
  <si>
    <t xml:space="preserve">02/13/2022</t>
  </si>
  <si>
    <t xml:space="preserve">85.82K</t>
  </si>
  <si>
    <t xml:space="preserve">13.02.2022</t>
  </si>
  <si>
    <t xml:space="preserve">853.91M</t>
  </si>
  <si>
    <t xml:space="preserve">07/31/2026</t>
  </si>
  <si>
    <t xml:space="preserve">27.07.2026</t>
  </si>
  <si>
    <t xml:space="preserve">101.99M</t>
  </si>
  <si>
    <t xml:space="preserve">02/20/2022</t>
  </si>
  <si>
    <t xml:space="preserve">100.05K</t>
  </si>
  <si>
    <t xml:space="preserve">20.02.2022</t>
  </si>
  <si>
    <t xml:space="preserve">927.82M</t>
  </si>
  <si>
    <t xml:space="preserve">0.80K</t>
  </si>
  <si>
    <t xml:space="preserve">28.07.2026</t>
  </si>
  <si>
    <t xml:space="preserve">118.94M</t>
  </si>
  <si>
    <t xml:space="preserve">02/27/2022</t>
  </si>
  <si>
    <t xml:space="preserve">130.61K</t>
  </si>
  <si>
    <t xml:space="preserve">27.02.2022</t>
  </si>
  <si>
    <t xml:space="preserve">1.78B</t>
  </si>
  <si>
    <t xml:space="preserve">1.77K</t>
  </si>
  <si>
    <t xml:space="preserve">29.07.2026</t>
  </si>
  <si>
    <t xml:space="preserve">170.04M</t>
  </si>
  <si>
    <t xml:space="preserve">120.75K</t>
  </si>
  <si>
    <t xml:space="preserve">06.03.2022</t>
  </si>
  <si>
    <t xml:space="preserve">1.07B</t>
  </si>
  <si>
    <t xml:space="preserve">1.00K</t>
  </si>
  <si>
    <t xml:space="preserve">30.07.2026</t>
  </si>
  <si>
    <t xml:space="preserve">112.07M</t>
  </si>
  <si>
    <t xml:space="preserve">03/13/2022</t>
  </si>
  <si>
    <t xml:space="preserve">181.81K</t>
  </si>
  <si>
    <t xml:space="preserve">13.03.2022</t>
  </si>
  <si>
    <t xml:space="preserve">1.76B</t>
  </si>
  <si>
    <t xml:space="preserve">1.19K</t>
  </si>
  <si>
    <t xml:space="preserve">31.07.2026</t>
  </si>
  <si>
    <t xml:space="preserve">138.50M</t>
  </si>
  <si>
    <t xml:space="preserve">03/20/2022</t>
  </si>
  <si>
    <t xml:space="preserve">276.61K</t>
  </si>
  <si>
    <t xml:space="preserve">20.03.2022</t>
  </si>
  <si>
    <t xml:space="preserve">709.14M</t>
  </si>
  <si>
    <t xml:space="preserve">2.26K</t>
  </si>
  <si>
    <t xml:space="preserve">03.08.2026</t>
  </si>
  <si>
    <t xml:space="preserve">96.86M</t>
  </si>
  <si>
    <t xml:space="preserve">03/27/2022</t>
  </si>
  <si>
    <t xml:space="preserve">363.74K</t>
  </si>
  <si>
    <t xml:space="preserve">27.03.2022</t>
  </si>
  <si>
    <t xml:space="preserve">991.94M</t>
  </si>
  <si>
    <t xml:space="preserve">1.10K</t>
  </si>
  <si>
    <t xml:space="preserve">04.08.2026</t>
  </si>
  <si>
    <t xml:space="preserve">119.77M</t>
  </si>
  <si>
    <t xml:space="preserve">85.49K</t>
  </si>
  <si>
    <t xml:space="preserve">03.04.2022</t>
  </si>
  <si>
    <t xml:space="preserve">829.89M</t>
  </si>
  <si>
    <t xml:space="preserve">0.73K</t>
  </si>
  <si>
    <t xml:space="preserve">05.08.2026</t>
  </si>
  <si>
    <t xml:space="preserve">134.78M</t>
  </si>
  <si>
    <t xml:space="preserve">45.68K</t>
  </si>
  <si>
    <t xml:space="preserve">10.04.2022</t>
  </si>
  <si>
    <t xml:space="preserve">403.99M</t>
  </si>
  <si>
    <t xml:space="preserve">08/13/2026</t>
  </si>
  <si>
    <t xml:space="preserve">10.40K</t>
  </si>
  <si>
    <t xml:space="preserve">06.08.2026</t>
  </si>
  <si>
    <t xml:space="preserve">129.95M</t>
  </si>
  <si>
    <t xml:space="preserve">04/17/2022</t>
  </si>
  <si>
    <t xml:space="preserve">26.94K</t>
  </si>
  <si>
    <t xml:space="preserve">17.04.2022</t>
  </si>
  <si>
    <t xml:space="preserve">739.48M</t>
  </si>
  <si>
    <t xml:space="preserve">08/14/2026</t>
  </si>
  <si>
    <t xml:space="preserve">5.43K</t>
  </si>
  <si>
    <t xml:space="preserve">07.08.2026</t>
  </si>
  <si>
    <t xml:space="preserve">113.36M</t>
  </si>
  <si>
    <t xml:space="preserve">04/24/2022</t>
  </si>
  <si>
    <t xml:space="preserve">268.82K</t>
  </si>
  <si>
    <t xml:space="preserve">24.04.2022</t>
  </si>
  <si>
    <t xml:space="preserve">975.60M</t>
  </si>
  <si>
    <t xml:space="preserve">08/17/2026</t>
  </si>
  <si>
    <t xml:space="preserve">0.61K</t>
  </si>
  <si>
    <t xml:space="preserve">10.08.2026</t>
  </si>
  <si>
    <t xml:space="preserve">97.22M</t>
  </si>
  <si>
    <t xml:space="preserve">35.68K</t>
  </si>
  <si>
    <t xml:space="preserve">01.05.2022</t>
  </si>
  <si>
    <t xml:space="preserve">805.17M</t>
  </si>
  <si>
    <t xml:space="preserve">08/18/2026</t>
  </si>
  <si>
    <t xml:space="preserve">0.42K</t>
  </si>
  <si>
    <t xml:space="preserve">11.08.2026</t>
  </si>
  <si>
    <t xml:space="preserve">105.48M</t>
  </si>
  <si>
    <t xml:space="preserve">20.98K</t>
  </si>
  <si>
    <t xml:space="preserve">08.05.2022</t>
  </si>
  <si>
    <t xml:space="preserve">1.12B</t>
  </si>
  <si>
    <t xml:space="preserve">08/19/2026</t>
  </si>
  <si>
    <t xml:space="preserve">0.79K</t>
  </si>
  <si>
    <t xml:space="preserve">12.08.2026</t>
  </si>
  <si>
    <t xml:space="preserve">187.04M</t>
  </si>
  <si>
    <t xml:space="preserve">05/15/2022</t>
  </si>
  <si>
    <t xml:space="preserve">190.80K</t>
  </si>
  <si>
    <t xml:space="preserve">15.05.2022</t>
  </si>
  <si>
    <t xml:space="preserve">1.13B</t>
  </si>
  <si>
    <t xml:space="preserve">08/20/2026</t>
  </si>
  <si>
    <t xml:space="preserve">0.94K</t>
  </si>
  <si>
    <t xml:space="preserve">13.08.2026</t>
  </si>
  <si>
    <t xml:space="preserve">204.09M</t>
  </si>
  <si>
    <t xml:space="preserve">05/22/2022</t>
  </si>
  <si>
    <t xml:space="preserve">125.95K</t>
  </si>
  <si>
    <t xml:space="preserve">22.05.2022</t>
  </si>
  <si>
    <t xml:space="preserve">1.02B</t>
  </si>
  <si>
    <t xml:space="preserve">08/21/2026</t>
  </si>
  <si>
    <t xml:space="preserve">2.01K</t>
  </si>
  <si>
    <t xml:space="preserve">14.08.2026</t>
  </si>
  <si>
    <t xml:space="preserve">93.51M</t>
  </si>
  <si>
    <t xml:space="preserve">05/29/2022</t>
  </si>
  <si>
    <t xml:space="preserve">118.27K</t>
  </si>
  <si>
    <t xml:space="preserve">29.05.2022</t>
  </si>
  <si>
    <t xml:space="preserve">1.95B</t>
  </si>
  <si>
    <t xml:space="preserve">08/24/2026</t>
  </si>
  <si>
    <t xml:space="preserve">0.41K</t>
  </si>
  <si>
    <t xml:space="preserve">17.08.2026</t>
  </si>
  <si>
    <t xml:space="preserve">69.01M</t>
  </si>
  <si>
    <t xml:space="preserve">38.05K</t>
  </si>
  <si>
    <t xml:space="preserve">05.06.2022</t>
  </si>
  <si>
    <t xml:space="preserve">711.74M</t>
  </si>
  <si>
    <t xml:space="preserve">08/25/2026</t>
  </si>
  <si>
    <t xml:space="preserve">1.40K</t>
  </si>
  <si>
    <t xml:space="preserve">18.08.2026</t>
  </si>
  <si>
    <t xml:space="preserve">102.63M</t>
  </si>
  <si>
    <t xml:space="preserve">158.20K</t>
  </si>
  <si>
    <t xml:space="preserve">12.06.2022</t>
  </si>
  <si>
    <t xml:space="preserve">1.56B</t>
  </si>
  <si>
    <t xml:space="preserve">08/26/2026</t>
  </si>
  <si>
    <t xml:space="preserve">0.91K</t>
  </si>
  <si>
    <t xml:space="preserve">19.08.2026</t>
  </si>
  <si>
    <t xml:space="preserve">93.95M</t>
  </si>
  <si>
    <t xml:space="preserve">06/19/2022</t>
  </si>
  <si>
    <t xml:space="preserve">421.74K</t>
  </si>
  <si>
    <t xml:space="preserve">19.06.2022</t>
  </si>
  <si>
    <t xml:space="preserve">651.65M</t>
  </si>
  <si>
    <t xml:space="preserve">08/27/2026</t>
  </si>
  <si>
    <t xml:space="preserve">1.03K</t>
  </si>
  <si>
    <t xml:space="preserve">20.08.2026</t>
  </si>
  <si>
    <t xml:space="preserve">109.72M</t>
  </si>
  <si>
    <t xml:space="preserve">06/26/2022</t>
  </si>
  <si>
    <t xml:space="preserve">345.90K</t>
  </si>
  <si>
    <t xml:space="preserve">26.06.2022</t>
  </si>
  <si>
    <t xml:space="preserve">800.48M</t>
  </si>
  <si>
    <t xml:space="preserve">08/28/2026</t>
  </si>
  <si>
    <t xml:space="preserve">0.87K</t>
  </si>
  <si>
    <t xml:space="preserve">21.08.2026</t>
  </si>
  <si>
    <t xml:space="preserve">152.83M</t>
  </si>
  <si>
    <t xml:space="preserve">461.32K</t>
  </si>
  <si>
    <t xml:space="preserve">03.07.2022</t>
  </si>
  <si>
    <t xml:space="preserve">640.60M</t>
  </si>
  <si>
    <t xml:space="preserve">08/31/2026</t>
  </si>
  <si>
    <t xml:space="preserve">1.18K</t>
  </si>
  <si>
    <t xml:space="preserve">24.08.2026</t>
  </si>
  <si>
    <t xml:space="preserve">113.34M</t>
  </si>
  <si>
    <t xml:space="preserve">239.01K</t>
  </si>
  <si>
    <t xml:space="preserve">10.07.2022</t>
  </si>
  <si>
    <t xml:space="preserve">676.86M</t>
  </si>
  <si>
    <t xml:space="preserve">0.51K</t>
  </si>
  <si>
    <t xml:space="preserve">25.08.2026</t>
  </si>
  <si>
    <t xml:space="preserve">92.47M</t>
  </si>
  <si>
    <t xml:space="preserve">07/17/2022</t>
  </si>
  <si>
    <t xml:space="preserve">273.05K</t>
  </si>
  <si>
    <t xml:space="preserve">17.07.2022</t>
  </si>
  <si>
    <t xml:space="preserve">545.04M</t>
  </si>
  <si>
    <t xml:space="preserve">26.08.2026</t>
  </si>
  <si>
    <t xml:space="preserve">108.51M</t>
  </si>
  <si>
    <t xml:space="preserve">07/24/2022</t>
  </si>
  <si>
    <t xml:space="preserve">518.38K</t>
  </si>
  <si>
    <t xml:space="preserve">24.07.2022</t>
  </si>
  <si>
    <t xml:space="preserve">801.82M</t>
  </si>
  <si>
    <t xml:space="preserve">0.37K</t>
  </si>
  <si>
    <t xml:space="preserve">27.08.2026</t>
  </si>
  <si>
    <t xml:space="preserve">93.21M</t>
  </si>
  <si>
    <t xml:space="preserve">07/31/2022</t>
  </si>
  <si>
    <t xml:space="preserve">879.30K</t>
  </si>
  <si>
    <t xml:space="preserve">31.07.2022</t>
  </si>
  <si>
    <t xml:space="preserve">808.83M</t>
  </si>
  <si>
    <t xml:space="preserve">2.99K</t>
  </si>
  <si>
    <t xml:space="preserve">28.08.2026</t>
  </si>
  <si>
    <t xml:space="preserve">98.33M</t>
  </si>
  <si>
    <t xml:space="preserve">129.35K</t>
  </si>
  <si>
    <t xml:space="preserve">07.08.2022</t>
  </si>
  <si>
    <t xml:space="preserve">810.01M</t>
  </si>
  <si>
    <t xml:space="preserve">0.35K</t>
  </si>
  <si>
    <t xml:space="preserve">31.08.2026</t>
  </si>
  <si>
    <t xml:space="preserve">452.10M</t>
  </si>
  <si>
    <t xml:space="preserve">08/14/2022</t>
  </si>
  <si>
    <t xml:space="preserve">183.08K</t>
  </si>
  <si>
    <t xml:space="preserve">14.08.2022</t>
  </si>
  <si>
    <t xml:space="preserve">574.42M</t>
  </si>
  <si>
    <t xml:space="preserve">1.44K</t>
  </si>
  <si>
    <t xml:space="preserve">01.09.2026</t>
  </si>
  <si>
    <t xml:space="preserve">141.53M</t>
  </si>
  <si>
    <t xml:space="preserve">08/21/2022</t>
  </si>
  <si>
    <t xml:space="preserve">126.58K</t>
  </si>
  <si>
    <t xml:space="preserve">21.08.2022</t>
  </si>
  <si>
    <t xml:space="preserve">564.56M</t>
  </si>
  <si>
    <t xml:space="preserve">2.63K</t>
  </si>
  <si>
    <t xml:space="preserve">02.09.2026</t>
  </si>
  <si>
    <t xml:space="preserve">151.59M</t>
  </si>
  <si>
    <t xml:space="preserve">08/28/2022</t>
  </si>
  <si>
    <t xml:space="preserve">35.02K</t>
  </si>
  <si>
    <t xml:space="preserve">28.08.2022</t>
  </si>
  <si>
    <t xml:space="preserve">1.08B</t>
  </si>
  <si>
    <t xml:space="preserve">3.28K</t>
  </si>
  <si>
    <t xml:space="preserve">03.09.2026</t>
  </si>
  <si>
    <t xml:space="preserve">198.90M</t>
  </si>
  <si>
    <t xml:space="preserve">195.29K</t>
  </si>
  <si>
    <t xml:space="preserve">04.09.2022</t>
  </si>
  <si>
    <t xml:space="preserve">532.32M</t>
  </si>
  <si>
    <t xml:space="preserve">09/14/2026</t>
  </si>
  <si>
    <t xml:space="preserve">1.96K</t>
  </si>
  <si>
    <t xml:space="preserve">04.09.2026</t>
  </si>
  <si>
    <t xml:space="preserve">167.94M</t>
  </si>
  <si>
    <t xml:space="preserve">67.35K</t>
  </si>
  <si>
    <t xml:space="preserve">11.09.2022</t>
  </si>
  <si>
    <t xml:space="preserve">1.25B</t>
  </si>
  <si>
    <t xml:space="preserve">09/15/2026</t>
  </si>
  <si>
    <t xml:space="preserve">19.02K</t>
  </si>
  <si>
    <t xml:space="preserve">07.09.2026</t>
  </si>
  <si>
    <t xml:space="preserve">30.48M</t>
  </si>
  <si>
    <t xml:space="preserve">09/18/2022</t>
  </si>
  <si>
    <t xml:space="preserve">222.76K</t>
  </si>
  <si>
    <t xml:space="preserve">18.09.2022</t>
  </si>
  <si>
    <t xml:space="preserve">909.42M</t>
  </si>
  <si>
    <t xml:space="preserve">09/17/2026</t>
  </si>
  <si>
    <t xml:space="preserve">18.42K</t>
  </si>
  <si>
    <t xml:space="preserve">08.09.2026</t>
  </si>
  <si>
    <t xml:space="preserve">138.99M</t>
  </si>
  <si>
    <t xml:space="preserve">09/25/2022</t>
  </si>
  <si>
    <t xml:space="preserve">453.66K</t>
  </si>
  <si>
    <t xml:space="preserve">25.09.2022</t>
  </si>
  <si>
    <t xml:space="preserve">806.44M</t>
  </si>
  <si>
    <t xml:space="preserve">09/18/2026</t>
  </si>
  <si>
    <t xml:space="preserve">8.53K</t>
  </si>
  <si>
    <t xml:space="preserve">09.09.2026</t>
  </si>
  <si>
    <t xml:space="preserve">169.80M</t>
  </si>
  <si>
    <t xml:space="preserve">58.24K</t>
  </si>
  <si>
    <t xml:space="preserve">02.10.2022</t>
  </si>
  <si>
    <t xml:space="preserve">877.75M</t>
  </si>
  <si>
    <t xml:space="preserve">09/21/2026</t>
  </si>
  <si>
    <t xml:space="preserve">6.90K</t>
  </si>
  <si>
    <t xml:space="preserve">10.09.2026</t>
  </si>
  <si>
    <t xml:space="preserve">114.90M</t>
  </si>
  <si>
    <t xml:space="preserve">29.87K</t>
  </si>
  <si>
    <t xml:space="preserve">09.10.2022</t>
  </si>
  <si>
    <t xml:space="preserve">831.94M</t>
  </si>
  <si>
    <t xml:space="preserve">09/23/2026</t>
  </si>
  <si>
    <t xml:space="preserve">1.02K</t>
  </si>
  <si>
    <t xml:space="preserve">11.09.2026</t>
  </si>
  <si>
    <t xml:space="preserve">100.92M</t>
  </si>
  <si>
    <t xml:space="preserve">10/16/2022</t>
  </si>
  <si>
    <t xml:space="preserve">78.29K</t>
  </si>
  <si>
    <t xml:space="preserve">16.10.2022</t>
  </si>
  <si>
    <t xml:space="preserve">09/24/2026</t>
  </si>
  <si>
    <t xml:space="preserve">14.62K</t>
  </si>
  <si>
    <t xml:space="preserve">14.09.2026</t>
  </si>
  <si>
    <t xml:space="preserve">107.09M</t>
  </si>
  <si>
    <t xml:space="preserve">10/23/2022</t>
  </si>
  <si>
    <t xml:space="preserve">323.35K</t>
  </si>
  <si>
    <t xml:space="preserve">23.10.2022</t>
  </si>
  <si>
    <t xml:space="preserve">1.11B</t>
  </si>
  <si>
    <t xml:space="preserve">09/25/2026</t>
  </si>
  <si>
    <t xml:space="preserve">15.41K</t>
  </si>
  <si>
    <t xml:space="preserve">15.09.2026</t>
  </si>
  <si>
    <t xml:space="preserve">136.87M</t>
  </si>
  <si>
    <t xml:space="preserve">10/30/2022</t>
  </si>
  <si>
    <t xml:space="preserve">147.25K</t>
  </si>
  <si>
    <t xml:space="preserve">30.10.2022</t>
  </si>
  <si>
    <t xml:space="preserve">775.53M</t>
  </si>
  <si>
    <t xml:space="preserve">09/28/2026</t>
  </si>
  <si>
    <t xml:space="preserve">10.19K</t>
  </si>
  <si>
    <t xml:space="preserve">17.09.2026</t>
  </si>
  <si>
    <t xml:space="preserve">129.22M</t>
  </si>
  <si>
    <t xml:space="preserve">70.15K</t>
  </si>
  <si>
    <t xml:space="preserve">06.11.2022</t>
  </si>
  <si>
    <t xml:space="preserve">920.79M</t>
  </si>
  <si>
    <t xml:space="preserve">09/29/2026</t>
  </si>
  <si>
    <t xml:space="preserve">12.53K</t>
  </si>
  <si>
    <t xml:space="preserve">18.09.2026</t>
  </si>
  <si>
    <t xml:space="preserve">931.78M</t>
  </si>
  <si>
    <t xml:space="preserve">11/13/2022</t>
  </si>
  <si>
    <t xml:space="preserve">125.13K</t>
  </si>
  <si>
    <t xml:space="preserve">13.11.2022</t>
  </si>
  <si>
    <t xml:space="preserve">926.38M</t>
  </si>
  <si>
    <t xml:space="preserve">09/30/2026</t>
  </si>
  <si>
    <t xml:space="preserve">54.99K</t>
  </si>
  <si>
    <t xml:space="preserve">21.09.2026</t>
  </si>
  <si>
    <t xml:space="preserve">142.88M</t>
  </si>
  <si>
    <t xml:space="preserve">11/20/2022</t>
  </si>
  <si>
    <t xml:space="preserve">74.19K</t>
  </si>
  <si>
    <t xml:space="preserve">20.11.2022</t>
  </si>
  <si>
    <t xml:space="preserve">484.82M</t>
  </si>
  <si>
    <t xml:space="preserve">3.66K</t>
  </si>
  <si>
    <t xml:space="preserve">22.09.2026</t>
  </si>
  <si>
    <t xml:space="preserve">145.33M</t>
  </si>
  <si>
    <t xml:space="preserve">11/27/2022</t>
  </si>
  <si>
    <t xml:space="preserve">16.92K</t>
  </si>
  <si>
    <t xml:space="preserve">27.11.2022</t>
  </si>
  <si>
    <t xml:space="preserve">1.38B</t>
  </si>
  <si>
    <t xml:space="preserve">6.12K</t>
  </si>
  <si>
    <t xml:space="preserve">23.09.2026</t>
  </si>
  <si>
    <t xml:space="preserve">132.96M</t>
  </si>
  <si>
    <t xml:space="preserve">71.25K</t>
  </si>
  <si>
    <t xml:space="preserve">04.12.2022</t>
  </si>
  <si>
    <t xml:space="preserve">640.75M</t>
  </si>
  <si>
    <t xml:space="preserve">2.29K</t>
  </si>
  <si>
    <t xml:space="preserve">24.09.2026</t>
  </si>
  <si>
    <t xml:space="preserve">140.78M</t>
  </si>
  <si>
    <t xml:space="preserve">12.99K</t>
  </si>
  <si>
    <t xml:space="preserve">11.12.2022</t>
  </si>
  <si>
    <t xml:space="preserve">0.66K</t>
  </si>
  <si>
    <t xml:space="preserve">25.09.2026</t>
  </si>
  <si>
    <t xml:space="preserve">107.33M</t>
  </si>
  <si>
    <t xml:space="preserve">12/18/2022</t>
  </si>
  <si>
    <t xml:space="preserve">20.13K</t>
  </si>
  <si>
    <t xml:space="preserve">18.12.2022</t>
  </si>
  <si>
    <t xml:space="preserve">453.77M</t>
  </si>
  <si>
    <t xml:space="preserve">0.69K</t>
  </si>
  <si>
    <t xml:space="preserve">28.09.2026</t>
  </si>
  <si>
    <t xml:space="preserve">130.60M</t>
  </si>
  <si>
    <t xml:space="preserve">12/25/2022</t>
  </si>
  <si>
    <t xml:space="preserve">192.86K</t>
  </si>
  <si>
    <t xml:space="preserve">25.12.2022</t>
  </si>
  <si>
    <t xml:space="preserve">323.26M</t>
  </si>
  <si>
    <t xml:space="preserve">29.09.2026</t>
  </si>
  <si>
    <t xml:space="preserve">159.54M</t>
  </si>
  <si>
    <t xml:space="preserve">32.44K</t>
  </si>
  <si>
    <t xml:space="preserve">01.01.2023</t>
  </si>
  <si>
    <t xml:space="preserve">437.49M</t>
  </si>
  <si>
    <t xml:space="preserve">30.09.2026</t>
  </si>
  <si>
    <t xml:space="preserve">224.11M</t>
  </si>
  <si>
    <t xml:space="preserve">29.17K</t>
  </si>
  <si>
    <t xml:space="preserve">08.01.2023</t>
  </si>
  <si>
    <t xml:space="preserve">715.81M</t>
  </si>
  <si>
    <t xml:space="preserve">01.10.2026</t>
  </si>
  <si>
    <t xml:space="preserve">151.90M</t>
  </si>
  <si>
    <t xml:space="preserve">01/15/2023</t>
  </si>
  <si>
    <t xml:space="preserve">25.59K</t>
  </si>
  <si>
    <t xml:space="preserve">15.01.2023</t>
  </si>
  <si>
    <t xml:space="preserve">588.07M</t>
  </si>
  <si>
    <t xml:space="preserve">02.10.2026</t>
  </si>
  <si>
    <t xml:space="preserve">171.20M</t>
  </si>
  <si>
    <t xml:space="preserve">01/22/2023</t>
  </si>
  <si>
    <t xml:space="preserve">32.85K</t>
  </si>
  <si>
    <t xml:space="preserve">22.01.2023</t>
  </si>
  <si>
    <t xml:space="preserve">681.60M</t>
  </si>
  <si>
    <t xml:space="preserve">05.10.2026</t>
  </si>
  <si>
    <t xml:space="preserve">138.67M</t>
  </si>
  <si>
    <t xml:space="preserve">01/29/2023</t>
  </si>
  <si>
    <t xml:space="preserve">24.96K</t>
  </si>
  <si>
    <t xml:space="preserve">29.01.2023</t>
  </si>
  <si>
    <t xml:space="preserve">862.01M</t>
  </si>
  <si>
    <t xml:space="preserve">06.10.2026</t>
  </si>
  <si>
    <t xml:space="preserve">189.98M</t>
  </si>
  <si>
    <t xml:space="preserve">13.04K</t>
  </si>
  <si>
    <t xml:space="preserve">05.02.2023</t>
  </si>
  <si>
    <t xml:space="preserve">650.63M</t>
  </si>
  <si>
    <t xml:space="preserve">07.10.2026</t>
  </si>
  <si>
    <t xml:space="preserve">145.82M</t>
  </si>
  <si>
    <t xml:space="preserve">52.45K</t>
  </si>
  <si>
    <t xml:space="preserve">12.02.2023</t>
  </si>
  <si>
    <t xml:space="preserve">886.11M</t>
  </si>
  <si>
    <t xml:space="preserve">08.10.2026</t>
  </si>
  <si>
    <t xml:space="preserve">142.42M</t>
  </si>
  <si>
    <t xml:space="preserve">02/19/2023</t>
  </si>
  <si>
    <t xml:space="preserve">8.15K</t>
  </si>
  <si>
    <t xml:space="preserve">19.02.2023</t>
  </si>
  <si>
    <t xml:space="preserve">713.12M</t>
  </si>
  <si>
    <t xml:space="preserve">09.10.2026</t>
  </si>
  <si>
    <t xml:space="preserve">144.17M</t>
  </si>
  <si>
    <t xml:space="preserve">02/26/2023</t>
  </si>
  <si>
    <t xml:space="preserve">54.29K</t>
  </si>
  <si>
    <t xml:space="preserve">26.02.2023</t>
  </si>
  <si>
    <t xml:space="preserve">1.20B</t>
  </si>
  <si>
    <t xml:space="preserve">12.10.2026</t>
  </si>
  <si>
    <t xml:space="preserve">112.87M</t>
  </si>
  <si>
    <t xml:space="preserve">30.36K</t>
  </si>
  <si>
    <t xml:space="preserve">05.03.2023</t>
  </si>
  <si>
    <t xml:space="preserve">797.66M</t>
  </si>
  <si>
    <t xml:space="preserve">85.68K</t>
  </si>
  <si>
    <t xml:space="preserve">12.03.2023</t>
  </si>
  <si>
    <t xml:space="preserve">1.46B</t>
  </si>
  <si>
    <t xml:space="preserve">03/19/2023</t>
  </si>
  <si>
    <t xml:space="preserve">92.46K</t>
  </si>
  <si>
    <t xml:space="preserve">19.03.2023</t>
  </si>
  <si>
    <t xml:space="preserve">624.52M</t>
  </si>
  <si>
    <t xml:space="preserve">03/26/2023</t>
  </si>
  <si>
    <t xml:space="preserve">45.18K</t>
  </si>
  <si>
    <t xml:space="preserve">26.03.2023</t>
  </si>
  <si>
    <t xml:space="preserve">930.49M</t>
  </si>
  <si>
    <t xml:space="preserve">8.08K</t>
  </si>
  <si>
    <t xml:space="preserve">02.04.2023</t>
  </si>
  <si>
    <t xml:space="preserve">145.69M</t>
  </si>
  <si>
    <t xml:space="preserve">25.57K</t>
  </si>
  <si>
    <t xml:space="preserve">09.04.2023</t>
  </si>
  <si>
    <t xml:space="preserve">528.00M</t>
  </si>
  <si>
    <t xml:space="preserve">04/16/2023</t>
  </si>
  <si>
    <t xml:space="preserve">17.69K</t>
  </si>
  <si>
    <t xml:space="preserve">16.04.2023</t>
  </si>
  <si>
    <t xml:space="preserve">855.20M</t>
  </si>
  <si>
    <t xml:space="preserve">04/23/2023</t>
  </si>
  <si>
    <t xml:space="preserve">22.61K</t>
  </si>
  <si>
    <t xml:space="preserve">23.04.2023</t>
  </si>
  <si>
    <t xml:space="preserve">868.05M</t>
  </si>
  <si>
    <t xml:space="preserve">04/30/2023</t>
  </si>
  <si>
    <t xml:space="preserve">12.02K</t>
  </si>
  <si>
    <t xml:space="preserve">30.04.2023</t>
  </si>
  <si>
    <t xml:space="preserve">786.48M</t>
  </si>
  <si>
    <t xml:space="preserve">65.88K</t>
  </si>
  <si>
    <t xml:space="preserve">07.05.2023</t>
  </si>
  <si>
    <t xml:space="preserve">859.49M</t>
  </si>
  <si>
    <t xml:space="preserve">05/14/2023</t>
  </si>
  <si>
    <t xml:space="preserve">61.40K</t>
  </si>
  <si>
    <t xml:space="preserve">14.05.2023</t>
  </si>
  <si>
    <t xml:space="preserve">874.45M</t>
  </si>
  <si>
    <t xml:space="preserve">05/21/2023</t>
  </si>
  <si>
    <t xml:space="preserve">14.32K</t>
  </si>
  <si>
    <t xml:space="preserve">21.05.2023</t>
  </si>
  <si>
    <t xml:space="preserve">995.32M</t>
  </si>
  <si>
    <t xml:space="preserve">05/28/2023</t>
  </si>
  <si>
    <t xml:space="preserve">37.96K</t>
  </si>
  <si>
    <t xml:space="preserve">28.05.2023</t>
  </si>
  <si>
    <t xml:space="preserve">2.53B</t>
  </si>
  <si>
    <t xml:space="preserve">23.34K</t>
  </si>
  <si>
    <t xml:space="preserve">04.06.2023</t>
  </si>
  <si>
    <t xml:space="preserve">1.09B</t>
  </si>
  <si>
    <t xml:space="preserve">50.68K</t>
  </si>
  <si>
    <t xml:space="preserve">11.06.2023</t>
  </si>
  <si>
    <t xml:space="preserve">1.51B</t>
  </si>
  <si>
    <t xml:space="preserve">06/18/2023</t>
  </si>
  <si>
    <t xml:space="preserve">45.58K</t>
  </si>
  <si>
    <t xml:space="preserve">18.06.2023</t>
  </si>
  <si>
    <t xml:space="preserve">717.07M</t>
  </si>
  <si>
    <t xml:space="preserve">06/25/2023</t>
  </si>
  <si>
    <t xml:space="preserve">93.95K</t>
  </si>
  <si>
    <t xml:space="preserve">25.06.2023</t>
  </si>
  <si>
    <t xml:space="preserve">932.90M</t>
  </si>
  <si>
    <t xml:space="preserve">37.55K</t>
  </si>
  <si>
    <t xml:space="preserve">02.07.2023</t>
  </si>
  <si>
    <t xml:space="preserve">676.41M</t>
  </si>
  <si>
    <t xml:space="preserve">19.62K</t>
  </si>
  <si>
    <t xml:space="preserve">09.07.2023</t>
  </si>
  <si>
    <t xml:space="preserve">888.09M</t>
  </si>
  <si>
    <t xml:space="preserve">07/16/2023</t>
  </si>
  <si>
    <t xml:space="preserve">5.37K</t>
  </si>
  <si>
    <t xml:space="preserve">16.07.2023</t>
  </si>
  <si>
    <t xml:space="preserve">736.05M</t>
  </si>
  <si>
    <t xml:space="preserve">07/23/2023</t>
  </si>
  <si>
    <t xml:space="preserve">14.50K</t>
  </si>
  <si>
    <t xml:space="preserve">23.07.2023</t>
  </si>
  <si>
    <t xml:space="preserve">1.23B</t>
  </si>
  <si>
    <t xml:space="preserve">07/30/2023</t>
  </si>
  <si>
    <t xml:space="preserve">5.91K</t>
  </si>
  <si>
    <t xml:space="preserve">30.07.2023</t>
  </si>
  <si>
    <t xml:space="preserve">74.31K</t>
  </si>
  <si>
    <t xml:space="preserve">06.08.2023</t>
  </si>
  <si>
    <t xml:space="preserve">1.17B</t>
  </si>
  <si>
    <t xml:space="preserve">08/13/2023</t>
  </si>
  <si>
    <t xml:space="preserve">864.74K</t>
  </si>
  <si>
    <t xml:space="preserve">13.08.2023</t>
  </si>
  <si>
    <t xml:space="preserve">08/20/2023</t>
  </si>
  <si>
    <t xml:space="preserve">2.45M</t>
  </si>
  <si>
    <t xml:space="preserve">20.08.2023</t>
  </si>
  <si>
    <t xml:space="preserve">08/27/2023</t>
  </si>
  <si>
    <t xml:space="preserve">2.93M</t>
  </si>
  <si>
    <t xml:space="preserve">27.08.2023</t>
  </si>
  <si>
    <t xml:space="preserve">3.17B</t>
  </si>
  <si>
    <t xml:space="preserve">4.43K</t>
  </si>
  <si>
    <t xml:space="preserve">03.09.2023</t>
  </si>
  <si>
    <t xml:space="preserve">855.71M</t>
  </si>
  <si>
    <t xml:space="preserve">547.42K</t>
  </si>
  <si>
    <t xml:space="preserve">10.09.2023</t>
  </si>
  <si>
    <t xml:space="preserve">1.86B</t>
  </si>
  <si>
    <t xml:space="preserve">09/17/2023</t>
  </si>
  <si>
    <t xml:space="preserve">159.59K</t>
  </si>
  <si>
    <t xml:space="preserve">17.09.2023</t>
  </si>
  <si>
    <t xml:space="preserve">962.05M</t>
  </si>
  <si>
    <t xml:space="preserve">09/24/2023</t>
  </si>
  <si>
    <t xml:space="preserve">191.52K</t>
  </si>
  <si>
    <t xml:space="preserve">24.09.2023</t>
  </si>
  <si>
    <t xml:space="preserve">32.02K</t>
  </si>
  <si>
    <t xml:space="preserve">01.10.2023</t>
  </si>
  <si>
    <t xml:space="preserve">18.36K</t>
  </si>
  <si>
    <t xml:space="preserve">08.10.2023</t>
  </si>
  <si>
    <t xml:space="preserve">1.03B</t>
  </si>
  <si>
    <t xml:space="preserve">10/15/2023</t>
  </si>
  <si>
    <t xml:space="preserve">3.25K</t>
  </si>
  <si>
    <t xml:space="preserve">15.10.2023</t>
  </si>
  <si>
    <t xml:space="preserve">10/22/2023</t>
  </si>
  <si>
    <t xml:space="preserve">38.27K</t>
  </si>
  <si>
    <t xml:space="preserve">22.10.2023</t>
  </si>
  <si>
    <t xml:space="preserve">927.57M</t>
  </si>
  <si>
    <t xml:space="preserve">10/29/2023</t>
  </si>
  <si>
    <t xml:space="preserve">74.40K</t>
  </si>
  <si>
    <t xml:space="preserve">29.10.2023</t>
  </si>
  <si>
    <t xml:space="preserve">893.23M</t>
  </si>
  <si>
    <t xml:space="preserve">23.73K</t>
  </si>
  <si>
    <t xml:space="preserve">05.11.2023</t>
  </si>
  <si>
    <t xml:space="preserve">987.41M</t>
  </si>
  <si>
    <t xml:space="preserve">38.04K</t>
  </si>
  <si>
    <t xml:space="preserve">12.11.2023</t>
  </si>
  <si>
    <t xml:space="preserve">956.05M</t>
  </si>
  <si>
    <t xml:space="preserve">11/19/2023</t>
  </si>
  <si>
    <t xml:space="preserve">8.86K</t>
  </si>
  <si>
    <t xml:space="preserve">19.11.2023</t>
  </si>
  <si>
    <t xml:space="preserve">465.74M</t>
  </si>
  <si>
    <t xml:space="preserve">11/26/2023</t>
  </si>
  <si>
    <t xml:space="preserve">1.08M</t>
  </si>
  <si>
    <t xml:space="preserve">26.11.2023</t>
  </si>
  <si>
    <t xml:space="preserve">1.57B</t>
  </si>
  <si>
    <t xml:space="preserve">883.43K</t>
  </si>
  <si>
    <t xml:space="preserve">03.12.2023</t>
  </si>
  <si>
    <t xml:space="preserve">830.39K</t>
  </si>
  <si>
    <t xml:space="preserve">10.12.2023</t>
  </si>
  <si>
    <t xml:space="preserve">1.36B</t>
  </si>
  <si>
    <t xml:space="preserve">12/17/2023</t>
  </si>
  <si>
    <t xml:space="preserve">393.50K</t>
  </si>
  <si>
    <t xml:space="preserve">17.12.2023</t>
  </si>
  <si>
    <t xml:space="preserve">811.65M</t>
  </si>
  <si>
    <t xml:space="preserve">12/24/2023</t>
  </si>
  <si>
    <t xml:space="preserve">148.03K</t>
  </si>
  <si>
    <t xml:space="preserve">24.12.2023</t>
  </si>
  <si>
    <t xml:space="preserve">343.90M</t>
  </si>
  <si>
    <t xml:space="preserve">12/31/2023</t>
  </si>
  <si>
    <t xml:space="preserve">11.34K</t>
  </si>
  <si>
    <t xml:space="preserve">31.12.2023</t>
  </si>
  <si>
    <t xml:space="preserve">384.76M</t>
  </si>
  <si>
    <t xml:space="preserve">2.76K</t>
  </si>
  <si>
    <t xml:space="preserve">07.01.2024</t>
  </si>
  <si>
    <t xml:space="preserve">846.57M</t>
  </si>
  <si>
    <t xml:space="preserve">01/14/2024</t>
  </si>
  <si>
    <t xml:space="preserve">594.08K</t>
  </si>
  <si>
    <t xml:space="preserve">14.01.2024</t>
  </si>
  <si>
    <t xml:space="preserve">924.52M</t>
  </si>
  <si>
    <t xml:space="preserve">01/21/2024</t>
  </si>
  <si>
    <t xml:space="preserve">25.33K</t>
  </si>
  <si>
    <t xml:space="preserve">21.01.2024</t>
  </si>
  <si>
    <t xml:space="preserve">1.10B</t>
  </si>
  <si>
    <t xml:space="preserve">01/28/2024</t>
  </si>
  <si>
    <t xml:space="preserve">18.67K</t>
  </si>
  <si>
    <t xml:space="preserve">28.01.2024</t>
  </si>
  <si>
    <t xml:space="preserve">1.06B</t>
  </si>
  <si>
    <t xml:space="preserve">13.85K</t>
  </si>
  <si>
    <t xml:space="preserve">04.02.2024</t>
  </si>
  <si>
    <t xml:space="preserve">830.47M</t>
  </si>
  <si>
    <t xml:space="preserve">12.50K</t>
  </si>
  <si>
    <t xml:space="preserve">11.02.2024</t>
  </si>
  <si>
    <t xml:space="preserve">915.87M</t>
  </si>
  <si>
    <t xml:space="preserve">02/18/2024</t>
  </si>
  <si>
    <t xml:space="preserve">13.61K</t>
  </si>
  <si>
    <t xml:space="preserve">18.02.2024</t>
  </si>
  <si>
    <t xml:space="preserve">890.17M</t>
  </si>
  <si>
    <t xml:space="preserve">02/25/2024</t>
  </si>
  <si>
    <t xml:space="preserve">16.02K</t>
  </si>
  <si>
    <t xml:space="preserve">25.02.2024</t>
  </si>
  <si>
    <t xml:space="preserve">1.30B</t>
  </si>
  <si>
    <t xml:space="preserve">2.01M</t>
  </si>
  <si>
    <t xml:space="preserve">03.03.2024</t>
  </si>
  <si>
    <t xml:space="preserve">791.67M</t>
  </si>
  <si>
    <t xml:space="preserve">34.40K</t>
  </si>
  <si>
    <t xml:space="preserve">10.03.2024</t>
  </si>
  <si>
    <t xml:space="preserve">03/17/2024</t>
  </si>
  <si>
    <t xml:space="preserve">157.40K</t>
  </si>
  <si>
    <t xml:space="preserve">17.03.2024</t>
  </si>
  <si>
    <t xml:space="preserve">735.18M</t>
  </si>
  <si>
    <t xml:space="preserve">03/24/2024</t>
  </si>
  <si>
    <t xml:space="preserve">11.12K</t>
  </si>
  <si>
    <t xml:space="preserve">24.03.2024</t>
  </si>
  <si>
    <t xml:space="preserve">328.54M</t>
  </si>
  <si>
    <t xml:space="preserve">03/31/2024</t>
  </si>
  <si>
    <t xml:space="preserve">6.64K</t>
  </si>
  <si>
    <t xml:space="preserve">31.03.2024</t>
  </si>
  <si>
    <t xml:space="preserve">932.06M</t>
  </si>
  <si>
    <t xml:space="preserve">3.20K</t>
  </si>
  <si>
    <t xml:space="preserve">07.04.2024</t>
  </si>
  <si>
    <t xml:space="preserve">916.04M</t>
  </si>
  <si>
    <t xml:space="preserve">04/14/2024</t>
  </si>
  <si>
    <t xml:space="preserve">3.79K</t>
  </si>
  <si>
    <t xml:space="preserve">14.04.2024</t>
  </si>
  <si>
    <t xml:space="preserve">988.06M</t>
  </si>
  <si>
    <t xml:space="preserve">04/21/2024</t>
  </si>
  <si>
    <t xml:space="preserve">40.99K</t>
  </si>
  <si>
    <t xml:space="preserve">21.04.2024</t>
  </si>
  <si>
    <t xml:space="preserve">04/28/2024</t>
  </si>
  <si>
    <t xml:space="preserve">4.37K</t>
  </si>
  <si>
    <t xml:space="preserve">28.04.2024</t>
  </si>
  <si>
    <t xml:space="preserve">955.12M</t>
  </si>
  <si>
    <t xml:space="preserve">16.85K</t>
  </si>
  <si>
    <t xml:space="preserve">05.05.2024</t>
  </si>
  <si>
    <t xml:space="preserve">1.14B</t>
  </si>
  <si>
    <t xml:space="preserve">12.05.2024</t>
  </si>
  <si>
    <t xml:space="preserve">818.89M</t>
  </si>
  <si>
    <t xml:space="preserve">05/19/2024</t>
  </si>
  <si>
    <t xml:space="preserve">4.51K</t>
  </si>
  <si>
    <t xml:space="preserve">19.05.2024</t>
  </si>
  <si>
    <t xml:space="preserve">772.43M</t>
  </si>
  <si>
    <t xml:space="preserve">05/26/2024</t>
  </si>
  <si>
    <t xml:space="preserve">17.52K</t>
  </si>
  <si>
    <t xml:space="preserve">26.05.2024</t>
  </si>
  <si>
    <t xml:space="preserve">1.42B</t>
  </si>
  <si>
    <t xml:space="preserve">4.92K</t>
  </si>
  <si>
    <t xml:space="preserve">02.06.2024</t>
  </si>
  <si>
    <t xml:space="preserve">1.52B</t>
  </si>
  <si>
    <t xml:space="preserve">43.62K</t>
  </si>
  <si>
    <t xml:space="preserve">09.06.2024</t>
  </si>
  <si>
    <t xml:space="preserve">1.19B</t>
  </si>
  <si>
    <t xml:space="preserve">06/16/2024</t>
  </si>
  <si>
    <t xml:space="preserve">38.38K</t>
  </si>
  <si>
    <t xml:space="preserve">16.06.2024</t>
  </si>
  <si>
    <t xml:space="preserve">1.70B</t>
  </si>
  <si>
    <t xml:space="preserve">06/23/2024</t>
  </si>
  <si>
    <t xml:space="preserve">20.38K</t>
  </si>
  <si>
    <t xml:space="preserve">23.06.2024</t>
  </si>
  <si>
    <t xml:space="preserve">1.31B</t>
  </si>
  <si>
    <t xml:space="preserve">06/30/2024</t>
  </si>
  <si>
    <t xml:space="preserve">15.43K</t>
  </si>
  <si>
    <t xml:space="preserve">30.06.2024</t>
  </si>
  <si>
    <t xml:space="preserve">789.22M</t>
  </si>
  <si>
    <t xml:space="preserve">12.89K</t>
  </si>
  <si>
    <t xml:space="preserve">07.07.2024</t>
  </si>
  <si>
    <t xml:space="preserve">07/14/2024</t>
  </si>
  <si>
    <t xml:space="preserve">21.62K</t>
  </si>
  <si>
    <t xml:space="preserve">14.07.2024</t>
  </si>
  <si>
    <t xml:space="preserve">988.12M</t>
  </si>
  <si>
    <t xml:space="preserve">07/21/2024</t>
  </si>
  <si>
    <t xml:space="preserve">8.18K</t>
  </si>
  <si>
    <t xml:space="preserve">21.07.2024</t>
  </si>
  <si>
    <t xml:space="preserve">1.41B</t>
  </si>
  <si>
    <t xml:space="preserve">07/28/2024</t>
  </si>
  <si>
    <t xml:space="preserve">10.96K</t>
  </si>
  <si>
    <t xml:space="preserve">28.07.2024</t>
  </si>
  <si>
    <t xml:space="preserve">8.67K</t>
  </si>
  <si>
    <t xml:space="preserve">04.08.2024</t>
  </si>
  <si>
    <t xml:space="preserve">927.07M</t>
  </si>
  <si>
    <t xml:space="preserve">18.14K</t>
  </si>
  <si>
    <t xml:space="preserve">11.08.2024</t>
  </si>
  <si>
    <t xml:space="preserve">890.45M</t>
  </si>
  <si>
    <t xml:space="preserve">08/18/2024</t>
  </si>
  <si>
    <t xml:space="preserve">6.03K</t>
  </si>
  <si>
    <t xml:space="preserve">18.08.2024</t>
  </si>
  <si>
    <t xml:space="preserve">08/25/2024</t>
  </si>
  <si>
    <t xml:space="preserve">3.37K</t>
  </si>
  <si>
    <t xml:space="preserve">25.08.2024</t>
  </si>
  <si>
    <t xml:space="preserve">1.33B</t>
  </si>
  <si>
    <t xml:space="preserve">3.96K</t>
  </si>
  <si>
    <t xml:space="preserve">01.09.2024</t>
  </si>
  <si>
    <t xml:space="preserve">751.47M</t>
  </si>
  <si>
    <t xml:space="preserve">15.62K</t>
  </si>
  <si>
    <t xml:space="preserve">08.09.2024</t>
  </si>
  <si>
    <t xml:space="preserve">1.00B</t>
  </si>
  <si>
    <t xml:space="preserve">09/15/2024</t>
  </si>
  <si>
    <t xml:space="preserve">5.67K</t>
  </si>
  <si>
    <t xml:space="preserve">15.09.2024</t>
  </si>
  <si>
    <t xml:space="preserve">1.59B</t>
  </si>
  <si>
    <t xml:space="preserve">09/22/2024</t>
  </si>
  <si>
    <t xml:space="preserve">30.58K</t>
  </si>
  <si>
    <t xml:space="preserve">22.09.2024</t>
  </si>
  <si>
    <t xml:space="preserve">1.18B</t>
  </si>
  <si>
    <t xml:space="preserve">09/29/2024</t>
  </si>
  <si>
    <t xml:space="preserve">57.17K</t>
  </si>
  <si>
    <t xml:space="preserve">29.09.2024</t>
  </si>
  <si>
    <t xml:space="preserve">8.47K</t>
  </si>
  <si>
    <t xml:space="preserve">06.10.2024</t>
  </si>
  <si>
    <t xml:space="preserve">10/13/2024</t>
  </si>
  <si>
    <t xml:space="preserve">22.75K</t>
  </si>
  <si>
    <t xml:space="preserve">13.10.2024</t>
  </si>
  <si>
    <t xml:space="preserve">10/20/2024</t>
  </si>
  <si>
    <t xml:space="preserve">33.39K</t>
  </si>
  <si>
    <t xml:space="preserve">20.10.2024</t>
  </si>
  <si>
    <t xml:space="preserve">10/27/2024</t>
  </si>
  <si>
    <t xml:space="preserve">3.43K</t>
  </si>
  <si>
    <t xml:space="preserve">27.10.2024</t>
  </si>
  <si>
    <t xml:space="preserve">29.08K</t>
  </si>
  <si>
    <t xml:space="preserve">03.11.2024</t>
  </si>
  <si>
    <t xml:space="preserve">985.00M</t>
  </si>
  <si>
    <t xml:space="preserve">5.06K</t>
  </si>
  <si>
    <t xml:space="preserve">10.11.2024</t>
  </si>
  <si>
    <t xml:space="preserve">858.12M</t>
  </si>
  <si>
    <t xml:space="preserve">11/17/2024</t>
  </si>
  <si>
    <t xml:space="preserve">1.64K</t>
  </si>
  <si>
    <t xml:space="preserve">17.11.2024</t>
  </si>
  <si>
    <t xml:space="preserve">859.01M</t>
  </si>
  <si>
    <t xml:space="preserve">11/24/2024</t>
  </si>
  <si>
    <t xml:space="preserve">738.34K</t>
  </si>
  <si>
    <t xml:space="preserve">24.11.2024</t>
  </si>
  <si>
    <t xml:space="preserve">1.39B</t>
  </si>
  <si>
    <t xml:space="preserve">3.44K</t>
  </si>
  <si>
    <t xml:space="preserve">01.12.2024</t>
  </si>
  <si>
    <t xml:space="preserve">1.04B</t>
  </si>
  <si>
    <t xml:space="preserve">3.08K</t>
  </si>
  <si>
    <t xml:space="preserve">08.12.2024</t>
  </si>
  <si>
    <t xml:space="preserve">843.10M</t>
  </si>
  <si>
    <t xml:space="preserve">12/15/2024</t>
  </si>
  <si>
    <t xml:space="preserve">7.02K</t>
  </si>
  <si>
    <t xml:space="preserve">15.12.2024</t>
  </si>
  <si>
    <t xml:space="preserve">1.73B</t>
  </si>
  <si>
    <t xml:space="preserve">12/22/2024</t>
  </si>
  <si>
    <t xml:space="preserve">3.92K</t>
  </si>
  <si>
    <t xml:space="preserve">22.12.2024</t>
  </si>
  <si>
    <t xml:space="preserve">272.40M</t>
  </si>
  <si>
    <t xml:space="preserve">12/29/2024</t>
  </si>
  <si>
    <t xml:space="preserve">2.08K</t>
  </si>
  <si>
    <t xml:space="preserve">29.12.2024</t>
  </si>
  <si>
    <t xml:space="preserve">396.21M</t>
  </si>
  <si>
    <t xml:space="preserve">108.75K</t>
  </si>
  <si>
    <t xml:space="preserve">05.01.2025</t>
  </si>
  <si>
    <t xml:space="preserve">660.64M</t>
  </si>
  <si>
    <t xml:space="preserve">4.83K</t>
  </si>
  <si>
    <t xml:space="preserve">12.01.2025</t>
  </si>
  <si>
    <t xml:space="preserve">902.97M</t>
  </si>
  <si>
    <t xml:space="preserve">01/19/2025</t>
  </si>
  <si>
    <t xml:space="preserve">2.96K</t>
  </si>
  <si>
    <t xml:space="preserve">19.01.2025</t>
  </si>
  <si>
    <t xml:space="preserve">838.88M</t>
  </si>
  <si>
    <t xml:space="preserve">01/26/2025</t>
  </si>
  <si>
    <t xml:space="preserve">272.30K</t>
  </si>
  <si>
    <t xml:space="preserve">26.01.2025</t>
  </si>
  <si>
    <t xml:space="preserve">914.04M</t>
  </si>
  <si>
    <t xml:space="preserve">5.28K</t>
  </si>
  <si>
    <t xml:space="preserve">02.02.2025</t>
  </si>
  <si>
    <t xml:space="preserve">929.22M</t>
  </si>
  <si>
    <t xml:space="preserve">7.45K</t>
  </si>
  <si>
    <t xml:space="preserve">09.02.2025</t>
  </si>
  <si>
    <t xml:space="preserve">02/16/2025</t>
  </si>
  <si>
    <t xml:space="preserve">17.44K</t>
  </si>
  <si>
    <t xml:space="preserve">16.02.2025</t>
  </si>
  <si>
    <t xml:space="preserve">655.45M</t>
  </si>
  <si>
    <t xml:space="preserve">02/23/2025</t>
  </si>
  <si>
    <t xml:space="preserve">4.07K</t>
  </si>
  <si>
    <t xml:space="preserve">23.02.2025</t>
  </si>
  <si>
    <t xml:space="preserve">1.34B</t>
  </si>
  <si>
    <t xml:space="preserve">3.48K</t>
  </si>
  <si>
    <t xml:space="preserve">02.03.2025</t>
  </si>
  <si>
    <t xml:space="preserve">6.23K</t>
  </si>
  <si>
    <t xml:space="preserve">09.03.2025</t>
  </si>
  <si>
    <t xml:space="preserve">03/16/2025</t>
  </si>
  <si>
    <t xml:space="preserve">16.03.2025</t>
  </si>
  <si>
    <t xml:space="preserve">03/23/2025</t>
  </si>
  <si>
    <t xml:space="preserve">4.03K</t>
  </si>
  <si>
    <t xml:space="preserve">23.03.2025</t>
  </si>
  <si>
    <t xml:space="preserve">898.12M</t>
  </si>
  <si>
    <t xml:space="preserve">03/30/2025</t>
  </si>
  <si>
    <t xml:space="preserve">33.16K</t>
  </si>
  <si>
    <t xml:space="preserve">30.03.2025</t>
  </si>
  <si>
    <t xml:space="preserve">4.59K</t>
  </si>
  <si>
    <t xml:space="preserve">06.04.2025</t>
  </si>
  <si>
    <t xml:space="preserve">1.66B</t>
  </si>
  <si>
    <t xml:space="preserve">04/13/2025</t>
  </si>
  <si>
    <t xml:space="preserve">42.88K</t>
  </si>
  <si>
    <t xml:space="preserve">13.04.2025</t>
  </si>
  <si>
    <t xml:space="preserve">519.32M</t>
  </si>
  <si>
    <t xml:space="preserve">04/20/2025</t>
  </si>
  <si>
    <t xml:space="preserve">65.18K</t>
  </si>
  <si>
    <t xml:space="preserve">20.04.2025</t>
  </si>
  <si>
    <t xml:space="preserve">04/27/2025</t>
  </si>
  <si>
    <t xml:space="preserve">14.00K</t>
  </si>
  <si>
    <t xml:space="preserve">27.04.2025</t>
  </si>
  <si>
    <t xml:space="preserve">3.60K</t>
  </si>
  <si>
    <t xml:space="preserve">04.05.2025</t>
  </si>
  <si>
    <t xml:space="preserve">897.37M</t>
  </si>
  <si>
    <t xml:space="preserve">11.90K</t>
  </si>
  <si>
    <t xml:space="preserve">11.05.2025</t>
  </si>
  <si>
    <t xml:space="preserve">830.61M</t>
  </si>
  <si>
    <t xml:space="preserve">05/18/2025</t>
  </si>
  <si>
    <t xml:space="preserve">2.46K</t>
  </si>
  <si>
    <t xml:space="preserve">18.05.2025</t>
  </si>
  <si>
    <t xml:space="preserve">897.58M</t>
  </si>
  <si>
    <t xml:space="preserve">05/25/2025</t>
  </si>
  <si>
    <t xml:space="preserve">179.30K</t>
  </si>
  <si>
    <t xml:space="preserve">25.05.2025</t>
  </si>
  <si>
    <t xml:space="preserve">3.16K</t>
  </si>
  <si>
    <t xml:space="preserve">01.06.2025</t>
  </si>
  <si>
    <t xml:space="preserve">891.14M</t>
  </si>
  <si>
    <t xml:space="preserve">6.92K</t>
  </si>
  <si>
    <t xml:space="preserve">08.06.2025</t>
  </si>
  <si>
    <t xml:space="preserve">857.31M</t>
  </si>
  <si>
    <t xml:space="preserve">06/15/2025</t>
  </si>
  <si>
    <t xml:space="preserve">4.17K</t>
  </si>
  <si>
    <t xml:space="preserve">15.06.2025</t>
  </si>
  <si>
    <t xml:space="preserve">1.69B</t>
  </si>
  <si>
    <t xml:space="preserve">06/22/2025</t>
  </si>
  <si>
    <t xml:space="preserve">14.14K</t>
  </si>
  <si>
    <t xml:space="preserve">22.06.2025</t>
  </si>
  <si>
    <t xml:space="preserve">780.09M</t>
  </si>
  <si>
    <t xml:space="preserve">06/29/2025</t>
  </si>
  <si>
    <t xml:space="preserve">8.71K</t>
  </si>
  <si>
    <t xml:space="preserve">29.06.2025</t>
  </si>
  <si>
    <t xml:space="preserve">732.28M</t>
  </si>
  <si>
    <t xml:space="preserve">19.23K</t>
  </si>
  <si>
    <t xml:space="preserve">06.07.2025</t>
  </si>
  <si>
    <t xml:space="preserve">753.29M</t>
  </si>
  <si>
    <t xml:space="preserve">07/13/2025</t>
  </si>
  <si>
    <t xml:space="preserve">27.47K</t>
  </si>
  <si>
    <t xml:space="preserve">13.07.2025</t>
  </si>
  <si>
    <t xml:space="preserve">893.26M</t>
  </si>
  <si>
    <t xml:space="preserve">07/20/2025</t>
  </si>
  <si>
    <t xml:space="preserve">44.54K</t>
  </si>
  <si>
    <t xml:space="preserve">20.07.2025</t>
  </si>
  <si>
    <t xml:space="preserve">07/27/2025</t>
  </si>
  <si>
    <t xml:space="preserve">61.60K</t>
  </si>
  <si>
    <t xml:space="preserve">27.07.2025</t>
  </si>
  <si>
    <t xml:space="preserve">874.20M</t>
  </si>
  <si>
    <t xml:space="preserve">18.75K</t>
  </si>
  <si>
    <t xml:space="preserve">03.08.2025</t>
  </si>
  <si>
    <t xml:space="preserve">732.56M</t>
  </si>
  <si>
    <t xml:space="preserve">29.63K</t>
  </si>
  <si>
    <t xml:space="preserve">10.08.2025</t>
  </si>
  <si>
    <t xml:space="preserve">653.37M</t>
  </si>
  <si>
    <t xml:space="preserve">08/17/2025</t>
  </si>
  <si>
    <t xml:space="preserve">14.37K</t>
  </si>
  <si>
    <t xml:space="preserve">17.08.2025</t>
  </si>
  <si>
    <t xml:space="preserve">873.12M</t>
  </si>
  <si>
    <t xml:space="preserve">08/24/2025</t>
  </si>
  <si>
    <t xml:space="preserve">27.40K</t>
  </si>
  <si>
    <t xml:space="preserve">24.08.2025</t>
  </si>
  <si>
    <t xml:space="preserve">1.01B</t>
  </si>
  <si>
    <t xml:space="preserve">08/31/2025</t>
  </si>
  <si>
    <t xml:space="preserve">22.95K</t>
  </si>
  <si>
    <t xml:space="preserve">31.08.2025</t>
  </si>
  <si>
    <t xml:space="preserve">733.86M</t>
  </si>
  <si>
    <t xml:space="preserve">13.87K</t>
  </si>
  <si>
    <t xml:space="preserve">07.09.2025</t>
  </si>
  <si>
    <t xml:space="preserve">862.57M</t>
  </si>
  <si>
    <t xml:space="preserve">09/14/2025</t>
  </si>
  <si>
    <t xml:space="preserve">18.18K</t>
  </si>
  <si>
    <t xml:space="preserve">14.09.2025</t>
  </si>
  <si>
    <t xml:space="preserve">09/21/2025</t>
  </si>
  <si>
    <t xml:space="preserve">28.02K</t>
  </si>
  <si>
    <t xml:space="preserve">21.09.2025</t>
  </si>
  <si>
    <t xml:space="preserve">730.28M</t>
  </si>
  <si>
    <t xml:space="preserve">09/28/2025</t>
  </si>
  <si>
    <t xml:space="preserve">24.33K</t>
  </si>
  <si>
    <t xml:space="preserve">28.09.2025</t>
  </si>
  <si>
    <t xml:space="preserve">908.28M</t>
  </si>
  <si>
    <t xml:space="preserve">1.82K</t>
  </si>
  <si>
    <t xml:space="preserve">05.10.2025</t>
  </si>
  <si>
    <t xml:space="preserve">751.98M</t>
  </si>
  <si>
    <t xml:space="preserve">41.38K</t>
  </si>
  <si>
    <t xml:space="preserve">12.10.2025</t>
  </si>
  <si>
    <t xml:space="preserve">905.52M</t>
  </si>
  <si>
    <t xml:space="preserve">10/19/2025</t>
  </si>
  <si>
    <t xml:space="preserve">16.34K</t>
  </si>
  <si>
    <t xml:space="preserve">19.10.2025</t>
  </si>
  <si>
    <t xml:space="preserve">739.66M</t>
  </si>
  <si>
    <t xml:space="preserve">10/26/2025</t>
  </si>
  <si>
    <t xml:space="preserve">33.61K</t>
  </si>
  <si>
    <t xml:space="preserve">26.10.2025</t>
  </si>
  <si>
    <t xml:space="preserve">924.86M</t>
  </si>
  <si>
    <t xml:space="preserve">6.74M</t>
  </si>
  <si>
    <t xml:space="preserve">02.11.2025</t>
  </si>
  <si>
    <t xml:space="preserve">674.91M</t>
  </si>
  <si>
    <t xml:space="preserve">25.03K</t>
  </si>
  <si>
    <t xml:space="preserve">09.11.2025</t>
  </si>
  <si>
    <t xml:space="preserve">796.97M</t>
  </si>
  <si>
    <t xml:space="preserve">11/16/2025</t>
  </si>
  <si>
    <t xml:space="preserve">16.11.2025</t>
  </si>
  <si>
    <t xml:space="preserve">702.00M</t>
  </si>
  <si>
    <t xml:space="preserve">11/23/2025</t>
  </si>
  <si>
    <t xml:space="preserve">52.84K</t>
  </si>
  <si>
    <t xml:space="preserve">23.11.2025</t>
  </si>
  <si>
    <t xml:space="preserve">928.30M</t>
  </si>
  <si>
    <t xml:space="preserve">11/30/2025</t>
  </si>
  <si>
    <t xml:space="preserve">6.02K</t>
  </si>
  <si>
    <t xml:space="preserve">30.11.2025</t>
  </si>
  <si>
    <t xml:space="preserve">727.84M</t>
  </si>
  <si>
    <t xml:space="preserve">111.25K</t>
  </si>
  <si>
    <t xml:space="preserve">07.12.2025</t>
  </si>
  <si>
    <t xml:space="preserve">658.90M</t>
  </si>
  <si>
    <t xml:space="preserve">12/14/2025</t>
  </si>
  <si>
    <t xml:space="preserve">92.83K</t>
  </si>
  <si>
    <t xml:space="preserve">14.12.2025</t>
  </si>
  <si>
    <t xml:space="preserve">12/21/2025</t>
  </si>
  <si>
    <t xml:space="preserve">126.01K</t>
  </si>
  <si>
    <t xml:space="preserve">21.12.2025</t>
  </si>
  <si>
    <t xml:space="preserve">317.29M</t>
  </si>
  <si>
    <t xml:space="preserve">12/28/2025</t>
  </si>
  <si>
    <t xml:space="preserve">57.08K</t>
  </si>
  <si>
    <t xml:space="preserve">28.12.2025</t>
  </si>
  <si>
    <t xml:space="preserve">260.40M</t>
  </si>
  <si>
    <t xml:space="preserve">48.36K</t>
  </si>
  <si>
    <t xml:space="preserve">04.01.2026</t>
  </si>
  <si>
    <t xml:space="preserve">732.03M</t>
  </si>
  <si>
    <t xml:space="preserve">10.29K</t>
  </si>
  <si>
    <t xml:space="preserve">11.01.2026</t>
  </si>
  <si>
    <t xml:space="preserve">946.95M</t>
  </si>
  <si>
    <t xml:space="preserve">01/18/2026</t>
  </si>
  <si>
    <t xml:space="preserve">23.60K</t>
  </si>
  <si>
    <t xml:space="preserve">18.01.2026</t>
  </si>
  <si>
    <t xml:space="preserve">730.91M</t>
  </si>
  <si>
    <t xml:space="preserve">01/25/2026</t>
  </si>
  <si>
    <t xml:space="preserve">89.54K</t>
  </si>
  <si>
    <t xml:space="preserve">25.01.2026</t>
  </si>
  <si>
    <t xml:space="preserve">968.61M</t>
  </si>
  <si>
    <t xml:space="preserve">1.43K</t>
  </si>
  <si>
    <t xml:space="preserve">01.02.2026</t>
  </si>
  <si>
    <t xml:space="preserve">818.70M</t>
  </si>
  <si>
    <t xml:space="preserve">206.28K</t>
  </si>
  <si>
    <t xml:space="preserve">08.02.2026</t>
  </si>
  <si>
    <t xml:space="preserve">920.91M</t>
  </si>
  <si>
    <t xml:space="preserve">02/15/2026</t>
  </si>
  <si>
    <t xml:space="preserve">212.03K</t>
  </si>
  <si>
    <t xml:space="preserve">15.02.2026</t>
  </si>
  <si>
    <t xml:space="preserve">621.23M</t>
  </si>
  <si>
    <t xml:space="preserve">02/22/2026</t>
  </si>
  <si>
    <t xml:space="preserve">52.59K</t>
  </si>
  <si>
    <t xml:space="preserve">22.02.2026</t>
  </si>
  <si>
    <t xml:space="preserve">1.16B</t>
  </si>
  <si>
    <t xml:space="preserve">10.73K</t>
  </si>
  <si>
    <t xml:space="preserve">01.03.2026</t>
  </si>
  <si>
    <t xml:space="preserve">935.57M</t>
  </si>
  <si>
    <t xml:space="preserve">16.69K</t>
  </si>
  <si>
    <t xml:space="preserve">08.03.2026</t>
  </si>
  <si>
    <t xml:space="preserve">928.45M</t>
  </si>
  <si>
    <t xml:space="preserve">03/15/2026</t>
  </si>
  <si>
    <t xml:space="preserve">220.33K</t>
  </si>
  <si>
    <t xml:space="preserve">15.03.2026</t>
  </si>
  <si>
    <t xml:space="preserve">03/22/2026</t>
  </si>
  <si>
    <t xml:space="preserve">303.69K</t>
  </si>
  <si>
    <t xml:space="preserve">22.03.2026</t>
  </si>
  <si>
    <t xml:space="preserve">934.52M</t>
  </si>
  <si>
    <t xml:space="preserve">03/29/2026</t>
  </si>
  <si>
    <t xml:space="preserve">27.16K</t>
  </si>
  <si>
    <t xml:space="preserve">29.03.2026</t>
  </si>
  <si>
    <t xml:space="preserve">677.86M</t>
  </si>
  <si>
    <t xml:space="preserve">32.04K</t>
  </si>
  <si>
    <t xml:space="preserve">05.04.2026</t>
  </si>
  <si>
    <t xml:space="preserve">674.62M</t>
  </si>
  <si>
    <t xml:space="preserve">14.66K</t>
  </si>
  <si>
    <t xml:space="preserve">12.04.2026</t>
  </si>
  <si>
    <t xml:space="preserve">987.66M</t>
  </si>
  <si>
    <t xml:space="preserve">04/19/2026</t>
  </si>
  <si>
    <t xml:space="preserve">20.52K</t>
  </si>
  <si>
    <t xml:space="preserve">19.04.2026</t>
  </si>
  <si>
    <t xml:space="preserve">869.74M</t>
  </si>
  <si>
    <t xml:space="preserve">04/26/2026</t>
  </si>
  <si>
    <t xml:space="preserve">25.04K</t>
  </si>
  <si>
    <t xml:space="preserve">26.04.2026</t>
  </si>
  <si>
    <t xml:space="preserve">695.82M</t>
  </si>
  <si>
    <t xml:space="preserve">8.83K</t>
  </si>
  <si>
    <t xml:space="preserve">03.05.2026</t>
  </si>
  <si>
    <t xml:space="preserve">24.81K</t>
  </si>
  <si>
    <t xml:space="preserve">10.05.2026</t>
  </si>
  <si>
    <t xml:space="preserve">610.00M</t>
  </si>
  <si>
    <t xml:space="preserve">05/17/2026</t>
  </si>
  <si>
    <t xml:space="preserve">8.63K</t>
  </si>
  <si>
    <t xml:space="preserve">17.05.2026</t>
  </si>
  <si>
    <t xml:space="preserve">810.67M</t>
  </si>
  <si>
    <t xml:space="preserve">05/24/2026</t>
  </si>
  <si>
    <t xml:space="preserve">98.30K</t>
  </si>
  <si>
    <t xml:space="preserve">24.05.2026</t>
  </si>
  <si>
    <t xml:space="preserve">05/31/2026</t>
  </si>
  <si>
    <t xml:space="preserve">13.16K</t>
  </si>
  <si>
    <t xml:space="preserve">31.05.2026</t>
  </si>
  <si>
    <t xml:space="preserve">928.05M</t>
  </si>
  <si>
    <t xml:space="preserve">2.77K</t>
  </si>
  <si>
    <t xml:space="preserve">07.06.2026</t>
  </si>
  <si>
    <t xml:space="preserve">931.45M</t>
  </si>
  <si>
    <t xml:space="preserve">06/14/2026</t>
  </si>
  <si>
    <t xml:space="preserve">820.60K</t>
  </si>
  <si>
    <t xml:space="preserve">14.06.2026</t>
  </si>
  <si>
    <t xml:space="preserve">1.24B</t>
  </si>
  <si>
    <t xml:space="preserve">06/28/2026</t>
  </si>
  <si>
    <t xml:space="preserve">9.26K</t>
  </si>
  <si>
    <t xml:space="preserve">21.06.2026</t>
  </si>
  <si>
    <t xml:space="preserve">931.77M</t>
  </si>
  <si>
    <t xml:space="preserve">6.43K</t>
  </si>
  <si>
    <t xml:space="preserve">28.06.2026</t>
  </si>
  <si>
    <t xml:space="preserve">548.95M</t>
  </si>
  <si>
    <t xml:space="preserve">5.34K</t>
  </si>
  <si>
    <t xml:space="preserve">05.07.2026</t>
  </si>
  <si>
    <t xml:space="preserve">658.77M</t>
  </si>
  <si>
    <t xml:space="preserve">07/19/2026</t>
  </si>
  <si>
    <t xml:space="preserve">4.04K</t>
  </si>
  <si>
    <t xml:space="preserve">12.07.2026</t>
  </si>
  <si>
    <t xml:space="preserve">644.83M</t>
  </si>
  <si>
    <t xml:space="preserve">07/26/2026</t>
  </si>
  <si>
    <t xml:space="preserve">4.33K</t>
  </si>
  <si>
    <t xml:space="preserve">19.07.2026</t>
  </si>
  <si>
    <t xml:space="preserve">590.22M</t>
  </si>
  <si>
    <t xml:space="preserve">5.07K</t>
  </si>
  <si>
    <t xml:space="preserve">26.07.2026</t>
  </si>
  <si>
    <t xml:space="preserve">641.54M</t>
  </si>
  <si>
    <t xml:space="preserve">19.91K</t>
  </si>
  <si>
    <t xml:space="preserve">02.08.2026</t>
  </si>
  <si>
    <t xml:space="preserve">594.72M</t>
  </si>
  <si>
    <t xml:space="preserve">08/16/2026</t>
  </si>
  <si>
    <t xml:space="preserve">4.77K</t>
  </si>
  <si>
    <t xml:space="preserve">09.08.2026</t>
  </si>
  <si>
    <t xml:space="preserve">687.34M</t>
  </si>
  <si>
    <t xml:space="preserve">08/23/2026</t>
  </si>
  <si>
    <t xml:space="preserve">4.63K</t>
  </si>
  <si>
    <t xml:space="preserve">16.08.2026</t>
  </si>
  <si>
    <t xml:space="preserve">528.14M</t>
  </si>
  <si>
    <t xml:space="preserve">08/30/2026</t>
  </si>
  <si>
    <t xml:space="preserve">6.45K</t>
  </si>
  <si>
    <t xml:space="preserve">23.08.2026</t>
  </si>
  <si>
    <t xml:space="preserve">505.85M</t>
  </si>
  <si>
    <t xml:space="preserve">8.00K</t>
  </si>
  <si>
    <t xml:space="preserve">30.08.2026</t>
  </si>
  <si>
    <t xml:space="preserve">09/13/2026</t>
  </si>
  <si>
    <t xml:space="preserve">47.93K</t>
  </si>
  <si>
    <t xml:space="preserve">06.09.2026</t>
  </si>
  <si>
    <t xml:space="preserve">555.08M</t>
  </si>
  <si>
    <t xml:space="preserve">09/20/2026</t>
  </si>
  <si>
    <t xml:space="preserve">38.41K</t>
  </si>
  <si>
    <t xml:space="preserve">13.09.2026</t>
  </si>
  <si>
    <t xml:space="preserve">09/27/2026</t>
  </si>
  <si>
    <t xml:space="preserve">87.48K</t>
  </si>
  <si>
    <t xml:space="preserve">20.09.2026</t>
  </si>
  <si>
    <t xml:space="preserve">669.28M</t>
  </si>
  <si>
    <t xml:space="preserve">4.10K</t>
  </si>
  <si>
    <t xml:space="preserve">27.09.2026</t>
  </si>
  <si>
    <t xml:space="preserve">837.35M</t>
  </si>
  <si>
    <t xml:space="preserve">04.10.2026</t>
  </si>
  <si>
    <t xml:space="preserve">761.07M</t>
  </si>
  <si>
    <t xml:space="preserve">11.10.2026</t>
  </si>
  <si>
    <t xml:space="preserve">RENDIMIENTOS</t>
  </si>
  <si>
    <t xml:space="preserve">Soriana diario</t>
  </si>
  <si>
    <t xml:space="preserve">IPC diario</t>
  </si>
  <si>
    <t xml:space="preserve">Soriana semanal</t>
  </si>
  <si>
    <t xml:space="preserve">IPC semanal</t>
  </si>
  <si>
    <t xml:space="preserve">Precio actual de Soriana B para el modelo</t>
  </si>
  <si>
    <t xml:space="preserve">Datos n </t>
  </si>
  <si>
    <t xml:space="preserve">Precio de cierre más reciente (MXN)</t>
  </si>
  <si>
    <t xml:space="preserve">Primera fecha</t>
  </si>
  <si>
    <t xml:space="preserve">Fecha del precio</t>
  </si>
  <si>
    <t xml:space="preserve">Fuente del precio</t>
  </si>
  <si>
    <t xml:space="preserve">Precio de respaldo (último registrado en el modelo anterior, MXN)</t>
  </si>
  <si>
    <t xml:space="preserve">LECTURA DE LO PEGADO</t>
  </si>
  <si>
    <t xml:space="preserve">Fecha de respaldo del precio</t>
  </si>
  <si>
    <t xml:space="preserve">Fecha Soriana D</t>
  </si>
  <si>
    <t xml:space="preserve">Último Soriana D</t>
  </si>
  <si>
    <t xml:space="preserve">Fecha IPC D</t>
  </si>
  <si>
    <t xml:space="preserve">Último IPC D</t>
  </si>
  <si>
    <t xml:space="preserve">Fecha Soriana S</t>
  </si>
  <si>
    <t xml:space="preserve">Último Soriana S</t>
  </si>
  <si>
    <t xml:space="preserve">Fecha IPC S</t>
  </si>
  <si>
    <t xml:space="preserve">Último IPC S</t>
  </si>
  <si>
    <t xml:space="preserve">Fecha de valuación del modelo (= fecha del precio; respaldo 01-oct-2026)</t>
  </si>
  <si>
    <t xml:space="preserve">SEMANAL (base para la beta)</t>
  </si>
  <si>
    <t xml:space="preserve">DIARIO (precio actual y comparación)</t>
  </si>
  <si>
    <t xml:space="preserve">k</t>
  </si>
  <si>
    <t xml:space="preserve">Soriana B </t>
  </si>
  <si>
    <t xml:space="preserve">IPC </t>
  </si>
  <si>
    <t xml:space="preserve">Rend Soriana</t>
  </si>
  <si>
    <t xml:space="preserve">Rend IPC</t>
  </si>
  <si>
    <t xml:space="preserve">Par válido</t>
  </si>
  <si>
    <t xml:space="preserve">y: Rend. Soriana (ventana)</t>
  </si>
  <si>
    <t xml:space="preserve">x: Rend. IPC (ventana)</t>
  </si>
  <si>
    <t xml:space="preserve">No. en ventana</t>
  </si>
  <si>
    <t xml:space="preserve">Y compacto (Análisis de datos)</t>
  </si>
  <si>
    <t xml:space="preserve">X compacto (Análisis de datos)</t>
  </si>
  <si>
    <t xml:space="preserve">y gráfica</t>
  </si>
  <si>
    <t xml:space="preserve">x gráfica</t>
  </si>
  <si>
    <t xml:space="preserve">Soriana B</t>
  </si>
  <si>
    <t xml:space="preserve">Rend. Soriana</t>
  </si>
  <si>
    <t xml:space="preserve">Rend. IPC</t>
  </si>
  <si>
    <t xml:space="preserve">y: Rend. Soriana</t>
  </si>
  <si>
    <t xml:space="preserve">x: Rend. IPC</t>
  </si>
  <si>
    <t xml:space="preserve">Días del trimestre</t>
  </si>
  <si>
    <t xml:space="preserve">ORGANIZACIÓN SORIANA</t>
  </si>
  <si>
    <t xml:space="preserve">Promedio 5T</t>
  </si>
  <si>
    <t xml:space="preserve">Rotación del inventario</t>
  </si>
  <si>
    <t xml:space="preserve">Rotación del activo total</t>
  </si>
  <si>
    <t xml:space="preserve">Rentabilidad sobre activos (ROA)</t>
  </si>
  <si>
    <t xml:space="preserve">Rentabilidad sobre capital (ROE)</t>
  </si>
  <si>
    <t xml:space="preserve">ROI (rendimiento sobre la inversión)</t>
  </si>
  <si>
    <t xml:space="preserve">WALMART DE MÉXICO</t>
  </si>
  <si>
    <t xml:space="preserve">GRUPO COMERCIAL CHEDRAUI</t>
  </si>
  <si>
    <t xml:space="preserve">LA COMER</t>
  </si>
  <si>
    <t xml:space="preserve">Concepto</t>
  </si>
  <si>
    <t xml:space="preserve">PARÁMETROS DE MERCADO</t>
  </si>
  <si>
    <t xml:space="preserve">Tasa libre de riesgo (Bono M 10 años)</t>
  </si>
  <si>
    <t xml:space="preserve">Prima de riesgo de mercado madura</t>
  </si>
  <si>
    <t xml:space="preserve">Prima de riesgo país México (referencia)</t>
  </si>
  <si>
    <t xml:space="preserve">Prima de riesgo de mercado aplicada (PRM)</t>
  </si>
  <si>
    <t xml:space="preserve">Beta desapalancada usada (Soriana: regresión semanal, selector en 'Beta y Kd'; comparables: Damodaran sector)</t>
  </si>
  <si>
    <t xml:space="preserve">Beta por regresión: hoja Beta Regresión. Los comparables (Walmex, Chedraui, La Comer) conservan la beta desapalancada sectorial de Damodaran.</t>
  </si>
  <si>
    <t xml:space="preserve">Tasa de impuestos (ISR)</t>
  </si>
  <si>
    <t xml:space="preserve">DATOS DE MERCADO</t>
  </si>
  <si>
    <t xml:space="preserve">Precio actual por acción (MXN) — último cierre pegado en Base de Datos</t>
  </si>
  <si>
    <t xml:space="preserve">21-ago-2026</t>
  </si>
  <si>
    <t xml:space="preserve">Capitalización de mercado reportada</t>
  </si>
  <si>
    <t xml:space="preserve">Precio de cierre asociado a esa capitalización (MXN)</t>
  </si>
  <si>
    <t xml:space="preserve">Valor de mercado del capital (E)</t>
  </si>
  <si>
    <t xml:space="preserve">ESTRUCTURA DE CAPITAL (cierre 2025)</t>
  </si>
  <si>
    <t xml:space="preserve">Deuda total (D) = bancaria/bursátil + arrendamientos</t>
  </si>
  <si>
    <t xml:space="preserve">D / E</t>
  </si>
  <si>
    <t xml:space="preserve">Peso de la deuda  D/(D+E)</t>
  </si>
  <si>
    <t xml:space="preserve">Peso del capital  E/(D+E)</t>
  </si>
  <si>
    <t xml:space="preserve">COSTO DE CAPITAL</t>
  </si>
  <si>
    <t xml:space="preserve">Beta apalancada beta apalancada = beta desapalancada x [1 + (1-t)xD/E]</t>
  </si>
  <si>
    <t xml:space="preserve">Costo del capital propio Ke = Rf + beta apalancada x PRM</t>
  </si>
  <si>
    <t xml:space="preserve">Gastos financieros FY2025</t>
  </si>
  <si>
    <t xml:space="preserve">Costo de la deuda antes de impuestos  Kd</t>
  </si>
  <si>
    <t xml:space="preserve">Costo de la deuda después de impuestos Kd(1-t)</t>
  </si>
  <si>
    <t xml:space="preserve">WACC = E/(D+E)xKe + D/(D+E)xKd(1-t)</t>
  </si>
  <si>
    <t xml:space="preserve">CÓMO SE CALCULA EL WACC (explicación)</t>
  </si>
  <si>
    <t xml:space="preserve">Fórmula: WACC = (peso del capital x costo del capital) + (peso de la deuda x costo de la deuda x (1 - tasa de impuestos)).</t>
  </si>
  <si>
    <t xml:space="preserve">Costo del capital: tasa libre de riesgo + beta x prima de riesgo de mercado (modelo CAPM).</t>
  </si>
  <si>
    <t xml:space="preserve">Interpretación: el WACC es la tasa con la que se traen a valor de hoy los flujos futuros de Soriana. Es el rendimiento mínimo que piden juntos los accionistas y los bancos. Entre más alto es el WACC, menos valen hoy los flujos futuros y menor es el valor de la empresa.</t>
  </si>
  <si>
    <t xml:space="preserve">Crecimiento perpetuo (g) para valor terminal</t>
  </si>
  <si>
    <t xml:space="preserve">Crecimiento anual de ventas 2026E–2030E (supuesto base)</t>
  </si>
  <si>
    <t xml:space="preserve">2025A</t>
  </si>
  <si>
    <t xml:space="preserve">2026E</t>
  </si>
  <si>
    <t xml:space="preserve">2027E</t>
  </si>
  <si>
    <t xml:space="preserve">2028E</t>
  </si>
  <si>
    <t xml:space="preserve">2029E</t>
  </si>
  <si>
    <t xml:space="preserve">2030E</t>
  </si>
  <si>
    <t xml:space="preserve">Crecimiento anual de ventas (explícito)</t>
  </si>
  <si>
    <t xml:space="preserve">Margen EBIT</t>
  </si>
  <si>
    <t xml:space="preserve">Depreciación y amortización (% ventas)</t>
  </si>
  <si>
    <t xml:space="preserve">Capex (% ventas)</t>
  </si>
  <si>
    <t xml:space="preserve">Inversión en capital de trabajo (% del incremento en ventas)</t>
  </si>
  <si>
    <t xml:space="preserve">Tasa de impuestos</t>
  </si>
  <si>
    <t xml:space="preserve">PROYECCIÓN DEL FLUJO LIBRE DE EFECTIVO (FCF)</t>
  </si>
  <si>
    <t xml:space="preserve">Periodo (n)</t>
  </si>
  <si>
    <t xml:space="preserve">Ventas</t>
  </si>
  <si>
    <t xml:space="preserve">(−) Impuestos sobre EBIT</t>
  </si>
  <si>
    <t xml:space="preserve">NOPAT (EBIT después de impuestos)</t>
  </si>
  <si>
    <t xml:space="preserve">(+) Depreciación y amortización</t>
  </si>
  <si>
    <t xml:space="preserve">(−) Capex</t>
  </si>
  <si>
    <t xml:space="preserve">(−) Inversión en capital de trabajo</t>
  </si>
  <si>
    <t xml:space="preserve">FCF – Flujo libre de efectivo</t>
  </si>
  <si>
    <t xml:space="preserve">Factor de descuento 1/(1+WACC)^n</t>
  </si>
  <si>
    <t xml:space="preserve">Valor presente del FCF</t>
  </si>
  <si>
    <t xml:space="preserve">FCF del año 6 (2031E)</t>
  </si>
  <si>
    <t xml:space="preserve">Valor terminal (TV) al cierre de 2030</t>
  </si>
  <si>
    <t xml:space="preserve">ENTERPRISE VALUE (EV)</t>
  </si>
  <si>
    <t xml:space="preserve">(−) Deuda total (bancaria/bursátil + arrendamientos)</t>
  </si>
  <si>
    <t xml:space="preserve">(+) Efectivo y equivalentes</t>
  </si>
  <si>
    <t xml:space="preserve">Deuda neta</t>
  </si>
  <si>
    <t xml:space="preserve">EQUITY VALUE (valor para los accionistas)</t>
  </si>
  <si>
    <t xml:space="preserve">Precio modelo integrado</t>
  </si>
  <si>
    <t xml:space="preserve">Diferencia vs integrado</t>
  </si>
  <si>
    <t xml:space="preserve">Diferencia (%)</t>
  </si>
  <si>
    <t xml:space="preserve">Peso del valor terminal en el EV</t>
  </si>
  <si>
    <t xml:space="preserve">SUPUESTOS</t>
  </si>
  <si>
    <t xml:space="preserve">Crecimiento de ventas</t>
  </si>
  <si>
    <t xml:space="preserve">Costo de ventas (% ventas)</t>
  </si>
  <si>
    <t xml:space="preserve">Gastos de operación sin D&amp;A (% ventas)</t>
  </si>
  <si>
    <t xml:space="preserve">Tasa de interés implícita (% deuda + arrendamientos)</t>
  </si>
  <si>
    <t xml:space="preserve">Días de inventario (sobre costo de ventas)</t>
  </si>
  <si>
    <t xml:space="preserve">Otros activos circulantes (% ventas)</t>
  </si>
  <si>
    <t xml:space="preserve">Pasivo circulante operativo (% ventas)</t>
  </si>
  <si>
    <t xml:space="preserve">Dividendos (% utilidad neta)</t>
  </si>
  <si>
    <t xml:space="preserve">1. ESTADO DE RESULTADOS</t>
  </si>
  <si>
    <t xml:space="preserve">Gastos de operación (sin D&amp;A)</t>
  </si>
  <si>
    <t xml:space="preserve">EBITDA</t>
  </si>
  <si>
    <t xml:space="preserve">Otros ingresos (gastos) netos</t>
  </si>
  <si>
    <t xml:space="preserve">Dividendos pagados</t>
  </si>
  <si>
    <t xml:space="preserve">2. BALANCE GENERAL</t>
  </si>
  <si>
    <t xml:space="preserve">Otros activos circulantes</t>
  </si>
  <si>
    <t xml:space="preserve">Activo no circulante</t>
  </si>
  <si>
    <t xml:space="preserve">Pasivo circulante operativo (proveedores y otros)</t>
  </si>
  <si>
    <t xml:space="preserve">Deuda bursátil y bancaria</t>
  </si>
  <si>
    <t xml:space="preserve">Pasivo por arrendamiento</t>
  </si>
  <si>
    <t xml:space="preserve">Otros pasivos a largo plazo</t>
  </si>
  <si>
    <t xml:space="preserve">Pasivo + capital</t>
  </si>
  <si>
    <t xml:space="preserve">Comprobación (activo − pasivo − capital)</t>
  </si>
  <si>
    <t xml:space="preserve">CONCILIACIÓN DE EFECTIVO</t>
  </si>
  <si>
    <t xml:space="preserve">(−) Aumento en inventarios</t>
  </si>
  <si>
    <t xml:space="preserve">(−) Aumento en otros activos circulantes</t>
  </si>
  <si>
    <t xml:space="preserve">(+) Aumento en pasivo circulante operativo</t>
  </si>
  <si>
    <t xml:space="preserve">Cambio neto en efectivo (después de dividendos)</t>
  </si>
  <si>
    <t xml:space="preserve">3. FLUJO LIBRE DE EFECTIVO (FFL)</t>
  </si>
  <si>
    <t xml:space="preserve">NOPAT</t>
  </si>
  <si>
    <t xml:space="preserve">Flujo libre de efectivo (FFL)</t>
  </si>
  <si>
    <t xml:space="preserve">Valor presente del FFL</t>
  </si>
  <si>
    <t xml:space="preserve">4. VALOR TERMINAL Y VALOR DE LA EMPRESA</t>
  </si>
  <si>
    <t xml:space="preserve">Suma VP de FFL 2026E–2030E</t>
  </si>
  <si>
    <t xml:space="preserve">FFL 2031E = FFL 2030E × (1+g)</t>
  </si>
  <si>
    <t xml:space="preserve">Valor terminal al cierre 2030 (Gordon)</t>
  </si>
  <si>
    <t xml:space="preserve">Valor presente del valor terminal</t>
  </si>
  <si>
    <t xml:space="preserve">Valor de la empresa (VE)</t>
  </si>
  <si>
    <t xml:space="preserve">Peso del valor terminal en el VE</t>
  </si>
  <si>
    <t xml:space="preserve">5. VALOR DEL CAPITAL Y PRECIO POR ACCIÓN</t>
  </si>
  <si>
    <t xml:space="preserve">(−) Deuda bursátil y bancaria (2025)</t>
  </si>
  <si>
    <t xml:space="preserve">(−) Pasivo por arrendamiento (2025)</t>
  </si>
  <si>
    <t xml:space="preserve">(+) Efectivo y equivalentes (2025)</t>
  </si>
  <si>
    <t xml:space="preserve">Valor del capital</t>
  </si>
  <si>
    <t xml:space="preserve">Precio por acción (MXN)</t>
  </si>
  <si>
    <t xml:space="preserve">1. FCFF PROYECTADO — MÍNIMOS CUADRADOS (sin ajustes externos)</t>
  </si>
  <si>
    <t xml:space="preserve">3T26</t>
  </si>
  <si>
    <t xml:space="preserve">4T26</t>
  </si>
  <si>
    <t xml:space="preserve">1T27</t>
  </si>
  <si>
    <t xml:space="preserve">2T27</t>
  </si>
  <si>
    <t xml:space="preserve">LTM proyectado (3T26–2T27)</t>
  </si>
  <si>
    <t xml:space="preserve">LTM actual (3T25–2T26)</t>
  </si>
  <si>
    <t xml:space="preserve">Variación vs. LTM actual</t>
  </si>
  <si>
    <t xml:space="preserve">X (pronóstico)</t>
  </si>
  <si>
    <t xml:space="preserve">Costos y gastos operativos</t>
  </si>
  <si>
    <t xml:space="preserve">EBIT</t>
  </si>
  <si>
    <t xml:space="preserve">Tasa de impuesto</t>
  </si>
  <si>
    <t xml:space="preserve">EBIT (1 − T)</t>
  </si>
  <si>
    <t xml:space="preserve">Capital de trabajo neto (cierre)</t>
  </si>
  <si>
    <t xml:space="preserve">(−) ΔNWC (cambio en capital de trabajo)</t>
  </si>
  <si>
    <t xml:space="preserve">FCFF = EBIT(1−T) + D&amp;A − Capex − ΔNWC</t>
  </si>
  <si>
    <t xml:space="preserve">2. FCFF PROYECTADO AJUSTADO POR VARIABLES EXTERNAS</t>
  </si>
  <si>
    <t xml:space="preserve">Ajuste neto a ventas</t>
  </si>
  <si>
    <t xml:space="preserve">Ajuste neto a costos y gastos</t>
  </si>
  <si>
    <t xml:space="preserve">Ajuste neto a capex</t>
  </si>
  <si>
    <t xml:space="preserve">LTM ajustado (3T26–2T27)</t>
  </si>
  <si>
    <t xml:space="preserve">LTM proyectado sin ajuste</t>
  </si>
  <si>
    <t xml:space="preserve">Variación vs. sin ajuste</t>
  </si>
  <si>
    <t xml:space="preserve">(−) ΔNWC</t>
  </si>
  <si>
    <t xml:space="preserve">FCFF ajustado</t>
  </si>
  <si>
    <t xml:space="preserve">DETALLE DE MÍNIMOS CUADRADOS POR PARTIDA DEL FCFF</t>
  </si>
  <si>
    <t xml:space="preserve">1. VENTAS (ingresos totales)</t>
  </si>
  <si>
    <t xml:space="preserve">Trimestre</t>
  </si>
  <si>
    <t xml:space="preserve">n</t>
  </si>
  <si>
    <t xml:space="preserve">X = n − (N+1)/2</t>
  </si>
  <si>
    <t xml:space="preserve">Y (mdp)</t>
  </si>
  <si>
    <t xml:space="preserve">XY</t>
  </si>
  <si>
    <t xml:space="preserve">X²</t>
  </si>
  <si>
    <t xml:space="preserve">Trimestre a pronosticar</t>
  </si>
  <si>
    <t xml:space="preserve">Y pronosticada</t>
  </si>
  <si>
    <t xml:space="preserve">Σ (sumas)</t>
  </si>
  <si>
    <t xml:space="preserve">N (trimestres)</t>
  </si>
  <si>
    <t xml:space="preserve">X̄ = ΣX / N</t>
  </si>
  <si>
    <t xml:space="preserve">b = ΣXY / ΣX²</t>
  </si>
  <si>
    <t xml:space="preserve">a = ΣY / N</t>
  </si>
  <si>
    <t xml:space="preserve">R² (ajuste)</t>
  </si>
  <si>
    <t xml:space="preserve">2. COSTOS Y GASTOS OPERATIVOS (ventas − EBIT)</t>
  </si>
  <si>
    <t xml:space="preserve">3. TASA DE IMPUESTO (impuestos / UAI)</t>
  </si>
  <si>
    <t xml:space="preserve">Y (tasa)</t>
  </si>
  <si>
    <t xml:space="preserve">4. DEPRECIACIÓN Y AMORTIZACIÓN</t>
  </si>
  <si>
    <t xml:space="preserve">5. CAPEX (inmuebles, equipo e intangibles)</t>
  </si>
  <si>
    <t xml:space="preserve">6. CAPITAL DE TRABAJO NETO (activo circ. − pasivo circ.)</t>
  </si>
  <si>
    <t xml:space="preserve">INFLACIÓN</t>
  </si>
  <si>
    <t xml:space="preserve">Cómo se hizo: igual que en clase. Se seleccionan los datos, se inserta una gráfica de dispersión, se agrega la línea de tendencia (lineal o exponencial) y se pide que muestre la ecuación. Las celdas de coeficientes calculan exactamente la misma ecuación de la gráfica y la proyección usa esas celdas.</t>
  </si>
  <si>
    <t xml:space="preserve">DATOS </t>
  </si>
  <si>
    <t xml:space="preserve">Observaciones quincenales</t>
  </si>
  <si>
    <t xml:space="preserve">Primera y última quincena</t>
  </si>
  <si>
    <t xml:space="preserve">Inicio de la ventana larga (editable)</t>
  </si>
  <si>
    <t xml:space="preserve">Índice donde inicia la ventana larga / quincenas en la ventana larga</t>
  </si>
  <si>
    <t xml:space="preserve">SERIE ORDENADA</t>
  </si>
  <si>
    <t xml:space="preserve">quincena</t>
  </si>
  <si>
    <t xml:space="preserve">infacion</t>
  </si>
  <si>
    <t xml:space="preserve">x</t>
  </si>
  <si>
    <t xml:space="preserve">y</t>
  </si>
  <si>
    <t xml:space="preserve">y último año</t>
  </si>
  <si>
    <t xml:space="preserve">ln y</t>
  </si>
  <si>
    <t xml:space="preserve">y trimestral</t>
  </si>
  <si>
    <t xml:space="preserve">Inicia</t>
  </si>
  <si>
    <t xml:space="preserve">y larga</t>
  </si>
  <si>
    <t xml:space="preserve">y trim. larga</t>
  </si>
  <si>
    <t xml:space="preserve">mes</t>
  </si>
  <si>
    <t xml:space="preserve">inflación anual promedio del mes</t>
  </si>
  <si>
    <t xml:space="preserve">precio de cierre de Soriana del mes</t>
  </si>
  <si>
    <t xml:space="preserve">rendimiento mensual del precio</t>
  </si>
  <si>
    <t xml:space="preserve">cambio de la inflación vs. mes anterior (puntos %)</t>
  </si>
  <si>
    <t xml:space="preserve">cambio relativo de la inflación vs mes anterior</t>
  </si>
  <si>
    <t xml:space="preserve">¿Mes con inflación y precio? 1 = sí</t>
  </si>
  <si>
    <t xml:space="preserve">posición contando desde el último mes válido</t>
  </si>
  <si>
    <t xml:space="preserve">Inflación del mes válido %</t>
  </si>
  <si>
    <t xml:space="preserve">Precio del mes válido</t>
  </si>
  <si>
    <t xml:space="preserve">Inflación, últimos 12 meses válidos (%)</t>
  </si>
  <si>
    <t xml:space="preserve">Precio, últimos 12 meses válidos (MXN)</t>
  </si>
  <si>
    <t xml:space="preserve">Inflación, últimos 6 meses válidos (%)</t>
  </si>
  <si>
    <t xml:space="preserve">Precio, últimos 6 meses válidos (MXN)</t>
  </si>
  <si>
    <t xml:space="preserve">Rendimiento mensual (meses con cambio de inflación)</t>
  </si>
  <si>
    <t xml:space="preserve">Cambio de inflación (meses con rendimiento)</t>
  </si>
  <si>
    <t xml:space="preserve">Rendimiento mensual (meses con inflación)</t>
  </si>
  <si>
    <t xml:space="preserve">Inflación del mes (meses con rendimiento)</t>
  </si>
  <si>
    <t xml:space="preserve">Gráfica: inflación de meses válidos</t>
  </si>
  <si>
    <t xml:space="preserve">Gráfica: precio de meses válidos</t>
  </si>
  <si>
    <t xml:space="preserve">Logaritmo natural del precio del mes válido</t>
  </si>
  <si>
    <t xml:space="preserve">Gráfica: rendimiento mensual</t>
  </si>
  <si>
    <t xml:space="preserve">Gráfica: cambio de inflación</t>
  </si>
  <si>
    <t xml:space="preserve">Gráfica: mes</t>
  </si>
  <si>
    <t xml:space="preserve">Gráfica: inflación mensual</t>
  </si>
  <si>
    <t xml:space="preserve">Gráfica: precio mensual</t>
  </si>
  <si>
    <t xml:space="preserve">Fecha leída</t>
  </si>
  <si>
    <t xml:space="preserve">Valor leído</t>
  </si>
  <si>
    <t xml:space="preserve">MODELOS </t>
  </si>
  <si>
    <t xml:space="preserve">Modelo</t>
  </si>
  <si>
    <t xml:space="preserve">pendiente</t>
  </si>
  <si>
    <t xml:space="preserve">ordenada</t>
  </si>
  <si>
    <t xml:space="preserve">R2</t>
  </si>
  <si>
    <t xml:space="preserve">mxx + b</t>
  </si>
  <si>
    <t xml:space="preserve">a</t>
  </si>
  <si>
    <t xml:space="preserve">b</t>
  </si>
  <si>
    <t xml:space="preserve">R2 exponencial</t>
  </si>
  <si>
    <t xml:space="preserve">axe^(bxx)</t>
  </si>
  <si>
    <t xml:space="preserve">ecuacion exponencial de la grafica</t>
  </si>
  <si>
    <t xml:space="preserve">ecuacion lineal de la grafica</t>
  </si>
  <si>
    <t xml:space="preserve">Ciclo inmediato: último año, quincenal</t>
  </si>
  <si>
    <t xml:space="preserve">Ciclo mediano plazo: último año, trimestral</t>
  </si>
  <si>
    <t xml:space="preserve">Tendencia larga: quincenal desde el inicio de la ventana larga</t>
  </si>
  <si>
    <t xml:space="preserve">Tendencia larga: trimestral (solo trimestres completos)</t>
  </si>
  <si>
    <t xml:space="preserve">Lectura: la pendiente negativa en los cuatro modelos dice que la inflación viene bajando desde el pico de 2022. La R cuadrada es baja en los modelos de un año (la inflación reciente sube y baja sin una dirección clara) y más alta en los de largo plazo (la bajada desde 2022 es muy clara).</t>
  </si>
  <si>
    <t xml:space="preserve">INFLACIÓN PARA LOS ESCENARIOS</t>
  </si>
  <si>
    <t xml:space="preserve">Escenario</t>
  </si>
  <si>
    <t xml:space="preserve">Inflación anual 2026–2030</t>
  </si>
  <si>
    <t xml:space="preserve">Cómo se eligió</t>
  </si>
  <si>
    <t xml:space="preserve">Conservador (más inflación)</t>
  </si>
  <si>
    <t xml:space="preserve">Es el techo del rango que acepta Banxico (meta de 3% más o menos 1 punto). Representa presión inflacionaria.</t>
  </si>
  <si>
    <t xml:space="preserve">Base (escenario central)</t>
  </si>
  <si>
    <t xml:space="preserve">Proyección del modelo exponencial trimestral del último año (el método de clase), redondeada a dos decimales.</t>
  </si>
  <si>
    <t xml:space="preserve">Optimista (menor presión inflacionaria)</t>
  </si>
  <si>
    <t xml:space="preserve">La proyección más baja de los cuatro modelos de tendencia: la inflación sigue bajando.</t>
  </si>
  <si>
    <t xml:space="preserve">Referencia: inflación esperada al cierre de 2026 (Banxico, encuesta de septiembre 2026)</t>
  </si>
  <si>
    <t xml:space="preserve">Referencia: inflación esperada promedio 2027 a 2030 (misma encuesta)</t>
  </si>
  <si>
    <t xml:space="preserve">Referencia: inflación esperada promedio 2031 a 2034 (misma encuesta)</t>
  </si>
  <si>
    <t xml:space="preserve">INFLACIÓN VS PRECIO DE SORIANA </t>
  </si>
  <si>
    <t xml:space="preserve">Meses con inflación y precio</t>
  </si>
  <si>
    <t xml:space="preserve">Correlación</t>
  </si>
  <si>
    <t xml:space="preserve">Coeficiente</t>
  </si>
  <si>
    <t xml:space="preserve">Nivel de precio vs nivel de inflación (toda la muestra)</t>
  </si>
  <si>
    <t xml:space="preserve">Nivel de precio vs nivel de inflación (últimos 12 meses)</t>
  </si>
  <si>
    <t xml:space="preserve">Nivel de precio vs nivel de inflación  (últimos 6 meses)</t>
  </si>
  <si>
    <t xml:space="preserve">Rendimiento mensual de Soriana vs cambio de la inflación</t>
  </si>
  <si>
    <t xml:space="preserve">Rendimiento mensual de Soriana vs nivel de la inflación</t>
  </si>
  <si>
    <t xml:space="preserve">Regresión del precio contra la inflación</t>
  </si>
  <si>
    <t xml:space="preserve">Precio estimado con la inflación base</t>
  </si>
  <si>
    <t xml:space="preserve">ecuacion</t>
  </si>
  <si>
    <t xml:space="preserve">lineal</t>
  </si>
  <si>
    <t xml:space="preserve">exponencial</t>
  </si>
  <si>
    <t xml:space="preserve">Periodos de mayor y menor variación de la inflación y comportamiento del activo</t>
  </si>
  <si>
    <t xml:space="preserve">Movimiento</t>
  </si>
  <si>
    <t xml:space="preserve">Mes</t>
  </si>
  <si>
    <t xml:space="preserve">Cambio de inflación pp</t>
  </si>
  <si>
    <t xml:space="preserve">Inflación del mes %</t>
  </si>
  <si>
    <t xml:space="preserve">Rendimiento de Soriana en el mes</t>
  </si>
  <si>
    <t xml:space="preserve">Mayor alza 1</t>
  </si>
  <si>
    <t xml:space="preserve">Mayor alza 2</t>
  </si>
  <si>
    <t xml:space="preserve">Mayor alza 3</t>
  </si>
  <si>
    <t xml:space="preserve">Mayor baja 1</t>
  </si>
  <si>
    <t xml:space="preserve">Mayor baja 2</t>
  </si>
  <si>
    <t xml:space="preserve">Mayor baja 3</t>
  </si>
  <si>
    <t xml:space="preserve">Rendimiento mensual promedio de Soriana en meses con inflación al alza</t>
  </si>
  <si>
    <t xml:space="preserve">Rendimiento mensual promedio de Soriana en meses con inflación a la baja</t>
  </si>
  <si>
    <t xml:space="preserve">INTERPRETACIÓN</t>
  </si>
  <si>
    <t xml:space="preserve">Razones económicas: Soriana vende productos básicos y puede pasar parte de la inflación a sus precios, así que sus ventas en pesos suben con ella. Pero la inflación también sube sus costos (salarios, energía, fletes) y mantiene altas las tasas de Banxico, lo que hace más caro el dinero y baja el valor presente de la empresa. Los dos efectos se compensan, por eso la relación con el precio es débil y cambia de un periodo a otro.</t>
  </si>
  <si>
    <t xml:space="preserve">PRECIO DE SORIANA B E IPC</t>
  </si>
  <si>
    <t xml:space="preserve">MODELOS DE TENDENCIA</t>
  </si>
  <si>
    <t xml:space="preserve">Serie</t>
  </si>
  <si>
    <t xml:space="preserve">Lineal: m</t>
  </si>
  <si>
    <t xml:space="preserve">Lineal: b</t>
  </si>
  <si>
    <t xml:space="preserve">R2 lineal</t>
  </si>
  <si>
    <t xml:space="preserve">x siguiente</t>
  </si>
  <si>
    <t xml:space="preserve">Proyección lineal = mxx + b</t>
  </si>
  <si>
    <t xml:space="preserve">Exponencial: a</t>
  </si>
  <si>
    <t xml:space="preserve">Exponencial: b</t>
  </si>
  <si>
    <t xml:space="preserve">Proyección exponencial = axe^(bxx)</t>
  </si>
  <si>
    <t xml:space="preserve">Crecimiento anual implícito = e^(52xb) - 1</t>
  </si>
  <si>
    <t xml:space="preserve">Proyección exponencial a 52 semanas</t>
  </si>
  <si>
    <t xml:space="preserve">Ecuación lineal</t>
  </si>
  <si>
    <t xml:space="preserve">Ecuación exponencial</t>
  </si>
  <si>
    <t xml:space="preserve">Soriana B (precio, MXN)</t>
  </si>
  <si>
    <t xml:space="preserve">IPC (puntos)</t>
  </si>
  <si>
    <t xml:space="preserve">RENDIMIENTOS SEMANALES</t>
  </si>
  <si>
    <t xml:space="preserve">IPC</t>
  </si>
  <si>
    <t xml:space="preserve">Observaciones de rendimiento</t>
  </si>
  <si>
    <t xml:space="preserve">x Soriana</t>
  </si>
  <si>
    <t xml:space="preserve">Precio</t>
  </si>
  <si>
    <t xml:space="preserve">ln precio</t>
  </si>
  <si>
    <t xml:space="preserve">x gráf.</t>
  </si>
  <si>
    <t xml:space="preserve">y gráf.</t>
  </si>
  <si>
    <t xml:space="preserve">x IPC</t>
  </si>
  <si>
    <t xml:space="preserve">ln IPC</t>
  </si>
  <si>
    <t xml:space="preserve">Fecha gráf.</t>
  </si>
  <si>
    <t xml:space="preserve">Soriana base 100</t>
  </si>
  <si>
    <t xml:space="preserve">IPC base 100</t>
  </si>
  <si>
    <t xml:space="preserve">Rendimiento promedio semanal</t>
  </si>
  <si>
    <t xml:space="preserve">Rendimiento anualizado </t>
  </si>
  <si>
    <t xml:space="preserve">Volatilidad semanal</t>
  </si>
  <si>
    <t xml:space="preserve">Volatilidad anualizada</t>
  </si>
  <si>
    <t xml:space="preserve">Rendimiento acumulado</t>
  </si>
  <si>
    <t xml:space="preserve">Correlación de rendimientos semanales</t>
  </si>
  <si>
    <t xml:space="preserve">BETA DE SORIANA POR REGRESIÓN LINEAL</t>
  </si>
  <si>
    <t xml:space="preserve">PARÁMETROS</t>
  </si>
  <si>
    <t xml:space="preserve">Semanas máximas de la ventana (260 = 5 años; 156 = 3 años)</t>
  </si>
  <si>
    <t xml:space="preserve">Mínimo de observaciones para que la regresión alimente el WACC</t>
  </si>
  <si>
    <t xml:space="preserve">Observaciones en la ventana (n)</t>
  </si>
  <si>
    <t xml:space="preserve">RESUMEN</t>
  </si>
  <si>
    <t xml:space="preserve">Estadísticas de la regresión</t>
  </si>
  <si>
    <t xml:space="preserve">Coeficiente de correlación múltiple</t>
  </si>
  <si>
    <t xml:space="preserve">Coeficiente de determinación R^2</t>
  </si>
  <si>
    <t xml:space="preserve">R^2 ajustado</t>
  </si>
  <si>
    <t xml:space="preserve">Error típico</t>
  </si>
  <si>
    <t xml:space="preserve">Observaciones</t>
  </si>
  <si>
    <t xml:space="preserve">ANÁLISIS DE VARIANZA</t>
  </si>
  <si>
    <t xml:space="preserve">Grados de libertad</t>
  </si>
  <si>
    <t xml:space="preserve">Suma de cuadrados</t>
  </si>
  <si>
    <t xml:space="preserve">Promedio de los cuadrados</t>
  </si>
  <si>
    <t xml:space="preserve">F</t>
  </si>
  <si>
    <t xml:space="preserve">Valor crítico de F</t>
  </si>
  <si>
    <t xml:space="preserve">Regresión</t>
  </si>
  <si>
    <t xml:space="preserve">Residuos</t>
  </si>
  <si>
    <t xml:space="preserve">Total</t>
  </si>
  <si>
    <t xml:space="preserve">Coeficientes</t>
  </si>
  <si>
    <t xml:space="preserve">Estadístico t</t>
  </si>
  <si>
    <t xml:space="preserve">Probabilidad</t>
  </si>
  <si>
    <t xml:space="preserve">Inferior 95%</t>
  </si>
  <si>
    <t xml:space="preserve">Superior 95%</t>
  </si>
  <si>
    <t xml:space="preserve">Intercepción (α)</t>
  </si>
  <si>
    <t xml:space="preserve">BETA</t>
  </si>
  <si>
    <t xml:space="preserve">BETA DE SORIANA</t>
  </si>
  <si>
    <t xml:space="preserve">Beta apalancada estimada (pendiente de la regresión)</t>
  </si>
  <si>
    <t xml:space="preserve">Error típico de la beta</t>
  </si>
  <si>
    <t xml:space="preserve">Intervalo de confianza 95% </t>
  </si>
  <si>
    <t xml:space="preserve">r</t>
  </si>
  <si>
    <t xml:space="preserve">1 - R2</t>
  </si>
  <si>
    <t xml:space="preserve">p</t>
  </si>
  <si>
    <t xml:space="preserve">Tasa fiscal</t>
  </si>
  <si>
    <t xml:space="preserve">D/E a valor de mercado</t>
  </si>
  <si>
    <t xml:space="preserve">Beta desapalancada por regresión</t>
  </si>
  <si>
    <t xml:space="preserve">VALORES QUE USA EL MODELO</t>
  </si>
  <si>
    <t xml:space="preserve">Beta apalancada usada</t>
  </si>
  <si>
    <t xml:space="preserve">Beta desapalancada usada</t>
  </si>
  <si>
    <t xml:space="preserve">Error típico usado para los escenarios</t>
  </si>
  <si>
    <t xml:space="preserve">Cómo se calculó: se regresan los rendimientos semanales de Soriana (y) contra los del IPC (x). La pendiente de la recta es la beta. La tabla de arriba reproduce con fórmulas lo que da Datos, Análisis de datos, Regresión.</t>
  </si>
  <si>
    <t xml:space="preserve">COMPARACIÓN: regresión con rendimientos diarios (referencia, no se usa)</t>
  </si>
  <si>
    <t xml:space="preserve">Observaciones diarias (pares)</t>
  </si>
  <si>
    <t xml:space="preserve">Beta diaria (pendiente)</t>
  </si>
  <si>
    <t xml:space="preserve">R2 diario</t>
  </si>
  <si>
    <t xml:space="preserve">#</t>
  </si>
  <si>
    <t xml:space="preserve">Categoría</t>
  </si>
  <si>
    <t xml:space="preserve">Variable</t>
  </si>
  <si>
    <t xml:space="preserve">Dato observado</t>
  </si>
  <si>
    <t xml:space="preserve">Canal de transmisión a Soriana</t>
  </si>
  <si>
    <t xml:space="preserve">Partida del FCFF afectada</t>
  </si>
  <si>
    <t xml:space="preserve">Efecto</t>
  </si>
  <si>
    <t xml:space="preserve">Ajuste a ventas (%)</t>
  </si>
  <si>
    <t xml:space="preserve">Ajuste a costos y gastos (%)</t>
  </si>
  <si>
    <t xml:space="preserve">Ajuste a capex (%)</t>
  </si>
  <si>
    <t xml:space="preserve">Macroeconomía México</t>
  </si>
  <si>
    <t xml:space="preserve">Crecimiento del PIB</t>
  </si>
  <si>
    <t xml:space="preserve">Banxico (Informe abr–jun 2026): PIB 2026 1.5% (rango 1.0–2.0%); 2027 2.0% (rango 1.2–2.8%)</t>
  </si>
  <si>
    <t xml:space="preserve">Banxico espera que el consumo privado retome tendencia positiva tras la debilidad de inicio de 2026: más volumen en autoservicio</t>
  </si>
  <si>
    <t xml:space="preserve">+</t>
  </si>
  <si>
    <t xml:space="preserve">Inflación</t>
  </si>
  <si>
    <t xml:space="preserve">General 3.42% y subyacente 3.79% (1a quincena sep-2026); convergencia a 3% hasta 4T27</t>
  </si>
  <si>
    <t xml:space="preserve">Eleva ventas nominales y costo de mercancía en proporción similar; efecto casi neutral en margen (ya capturado en la tendencia)</t>
  </si>
  <si>
    <t xml:space="preserve">Ventas y costos</t>
  </si>
  <si>
    <t xml:space="preserve">Política monetaria</t>
  </si>
  <si>
    <t xml:space="preserve">Tasa objetivo Banxico / Fed</t>
  </si>
  <si>
    <t xml:space="preserve">Banxico mantuvo 6.50% (24-sep-2026, unánime); la Fed subió 25 pb en septiembre</t>
  </si>
  <si>
    <t xml:space="preserve">Afecta costo de deuda y WACC (descuento del FCFF), no el FCFF operativo; crédito al consumo sigue caro</t>
  </si>
  <si>
    <t xml:space="preserve">WACC / gastos financieros</t>
  </si>
  <si>
    <t xml:space="preserve">− (valuación)</t>
  </si>
  <si>
    <t xml:space="preserve">Tipo de cambio</t>
  </si>
  <si>
    <t xml:space="preserve">18.08 MXN/USD al cierre del 30-sep-2026; el peso perdió 6.38% en septiembre</t>
  </si>
  <si>
    <t xml:space="preserve">Encarece mercancía general importada (electrónica, línea blanca) y equipo/refrigeración del programa de capex</t>
  </si>
  <si>
    <t xml:space="preserve">Costos y capex</t>
  </si>
  <si>
    <t xml:space="preserve">−</t>
  </si>
  <si>
    <t xml:space="preserve">Remesas</t>
  </si>
  <si>
    <t xml:space="preserve">2025: USD 61,791 mm (−4.6%), primera caída anual en 11 años; 1T26 +1.4%</t>
  </si>
  <si>
    <t xml:space="preserve">Menor ingreso de hogares en Bajío, Occidente y Norte (regiones clave de Soriana) por política migratoria de EU</t>
  </si>
  <si>
    <t xml:space="preserve">Política México (laboral)</t>
  </si>
  <si>
    <t xml:space="preserve">Salario mínimo 2026</t>
  </si>
  <si>
    <t xml:space="preserve">+13%: de 278.80 a 315.04 $/día (frontera norte +5%: 440.87 $/día); meta 2.5 canastas básicas a 2030</t>
  </si>
  <si>
    <t xml:space="preserve">Sube la nómina operativa de tiendas, pero también el ingreso disponible del cliente de bajos ingresos</t>
  </si>
  <si>
    <t xml:space="preserve">Costos (+) y ventas (+)</t>
  </si>
  <si>
    <t xml:space="preserve">Mixto</t>
  </si>
  <si>
    <t xml:space="preserve">Jornada laboral de 40 horas</t>
  </si>
  <si>
    <t xml:space="preserve">Reducción gradual de 48 a 40 h; 2026 es periodo de adecuación y los cambios inician en 2027</t>
  </si>
  <si>
    <t xml:space="preserve">Requiere más turnos/plantilla en tiendas de horario extendido o más automatización</t>
  </si>
  <si>
    <t xml:space="preserve">Costos</t>
  </si>
  <si>
    <t xml:space="preserve">Política México (fiscal)</t>
  </si>
  <si>
    <t xml:space="preserve">IEPS a bebidas y tabaco</t>
  </si>
  <si>
    <t xml:space="preserve">Bebidas azucaradas de 1.64 a 3.08 $/litro; tabaco de 160% a 200% ad valorem (2026)</t>
  </si>
  <si>
    <t xml:space="preserve">Menor volumen en categorías de alta rotación (refrescos, tabaco) dentro del ticket del autoservicio</t>
  </si>
  <si>
    <t xml:space="preserve">Política comercial México</t>
  </si>
  <si>
    <t xml:space="preserve">Aranceles a países sin tratado</t>
  </si>
  <si>
    <t xml:space="preserve">Aranceles nuevos o mayores de hasta 50% a importaciones de China, Corea del Sur, India, Vietnam, etc. desde 1-ene-2026</t>
  </si>
  <si>
    <t xml:space="preserve">Encarece ropa, juguetes, electrónicos y equipo de tienda de origen asiático</t>
  </si>
  <si>
    <t xml:space="preserve">T-MEC</t>
  </si>
  <si>
    <t xml:space="preserve">Revisión del T-MEC</t>
  </si>
  <si>
    <t xml:space="preserve">EU activó el mecanismo de revisiones anuales (no hubo extensión en jul-2026); Banxico prevé inversión débil por la incertidumbre comercial</t>
  </si>
  <si>
    <t xml:space="preserve">Frena inversión y empleo formal en el Norte industrial, base de clientes de Soriana (Coahuila, NL, Chihuahua)</t>
  </si>
  <si>
    <t xml:space="preserve">T-MEC / aranceles de EU</t>
  </si>
  <si>
    <t xml:space="preserve">Aranceles de EU a sectores estratégicos</t>
  </si>
  <si>
    <t xml:space="preserve">Persisten aranceles de EU a acero, aluminio y automotriz; bienes con origen T-MEC conservan exención; exportaciones a EU +7.7% acumulado a mayo</t>
  </si>
  <si>
    <t xml:space="preserve">Presión sobre empleo manufacturero (autopartes, acero) en ciudades del Norte donde Soriana concentra tiendas</t>
  </si>
  <si>
    <t xml:space="preserve">Geopolítica</t>
  </si>
  <si>
    <t xml:space="preserve">Conflicto en Medio Oriente / petróleo</t>
  </si>
  <si>
    <t xml:space="preserve">Petróleo por encima de USD 100, dólar fuerte e incertidumbre geopolítica presionan al peso (sep-2026)</t>
  </si>
  <si>
    <t xml:space="preserve">Encarece energía de tiendas, diésel y fletes de la logística; riesgo inflacionario</t>
  </si>
  <si>
    <t xml:space="preserve">Sector retail</t>
  </si>
  <si>
    <t xml:space="preserve">Ventas ANTAD (mismas tiendas)</t>
  </si>
  <si>
    <t xml:space="preserve">Ago-2026: tiendas iguales +1.7% y totales +4.2%; autoservicio −0.7% a tiendas iguales; acumulado ene–ago +1.5%</t>
  </si>
  <si>
    <t xml:space="preserve">Demanda del formato autoservicio crece por debajo de la inflación (caída real del ticket/tráfico)</t>
  </si>
  <si>
    <t xml:space="preserve">Megatendencia / retail</t>
  </si>
  <si>
    <t xml:space="preserve">Hard discount y búsqueda de valor</t>
  </si>
  <si>
    <t xml:space="preserve">Tiendas 3B pasó de 4% (2019) a 14% (2025) del mercado de descuento; Bodega Aurrera de 71% a 63% (Bain &amp; Company)</t>
  </si>
  <si>
    <t xml:space="preserve">Pérdida de tráfico en formatos Súper/Mercado y mayor gasto promocional para defender precio</t>
  </si>
  <si>
    <t xml:space="preserve">Ventas (−) y costos (+)</t>
  </si>
  <si>
    <t xml:space="preserve">Omnicanalidad y comercio digital</t>
  </si>
  <si>
    <t xml:space="preserve">Las temporalidades sostienen el eCommerce durante todo el año; los autoservicios invierten en surtido en línea y última milla (ANTAD)</t>
  </si>
  <si>
    <t xml:space="preserve">Ventas digitales incrementales, pero exige capex en tecnología, refrigeración y logística</t>
  </si>
  <si>
    <t xml:space="preserve">Ventas (+) y capex (+)</t>
  </si>
  <si>
    <t xml:space="preserve">Inmobiliario y arrendamientos</t>
  </si>
  <si>
    <t xml:space="preserve">Rentas de locales comerciales</t>
  </si>
  <si>
    <t xml:space="preserve">Rentas de locales comerciales +11.09% en 1S26; promedio USD 28.93/m² a jun-2026</t>
  </si>
  <si>
    <t xml:space="preserve">Encarece la renovación de contratos de tiendas arrendadas (pasivo por arrendamiento), pero valoriza m² propios y espacios subarrendables</t>
  </si>
  <si>
    <t xml:space="preserve">Costos (+) y otros ingresos (+)</t>
  </si>
  <si>
    <t xml:space="preserve">Ocupación de centros comerciales (FIBRAs)</t>
  </si>
  <si>
    <t xml:space="preserve">Los 10 jugadores institucionales con ocupación arriba de 91% (algunos 99%) al 2T26, rentas al alza y spreads de renovación altos</t>
  </si>
  <si>
    <t xml:space="preserve">Alta demanda por espacio facilita monetizar/subarrendar las áreas liberadas por cierres y reducción de tiendas</t>
  </si>
  <si>
    <t xml:space="preserve">Ventas (otros ingresos)</t>
  </si>
  <si>
    <t xml:space="preserve">TOTAL</t>
  </si>
  <si>
    <t xml:space="preserve">Ajuste neto aplicado a la proyección</t>
  </si>
  <si>
    <t xml:space="preserve">MODELO PRINCIPAL</t>
  </si>
  <si>
    <t xml:space="preserve">A. PONDERACIÓN DE MÉTODOS</t>
  </si>
  <si>
    <t xml:space="preserve">Las ventas y los márgenes se proyectan combinando dos métodos: variables externas (economía, competencia) y la tendencia de los últimos 5 trimestres. El peso de las variables externas sube cada año.</t>
  </si>
  <si>
    <t xml:space="preserve">Peso de variables externas</t>
  </si>
  <si>
    <t xml:space="preserve">Peso de mínimos cuadrados</t>
  </si>
  <si>
    <t xml:space="preserve">B. CRECIMIENTO DE VENTAS — VARIABLES EXTERNAS</t>
  </si>
  <si>
    <t xml:space="preserve">Crecimiento de ventas: inflación + crecimiento de la economía + efectos de competencia, tiendas, remesas, etc.</t>
  </si>
  <si>
    <t xml:space="preserve">Inflación esperada (INPC) — escenario de la hoja Escenarios</t>
  </si>
  <si>
    <t xml:space="preserve">Crecimiento real del PIB de México</t>
  </si>
  <si>
    <t xml:space="preserve">Elasticidad del volumen de autoservicio al PIB (x)</t>
  </si>
  <si>
    <t xml:space="preserve">Ajuste por debilidad del consumo</t>
  </si>
  <si>
    <t xml:space="preserve">Crecimiento nominal del mercado de autoservicio</t>
  </si>
  <si>
    <t xml:space="preserve">(más o menos ) Pérdida de participación (hard discount y competidores)</t>
  </si>
  <si>
    <t xml:space="preserve">(más o menos ) Cierre y reducción de tiendas</t>
  </si>
  <si>
    <t xml:space="preserve">(más o menos ) Remesas y política migratoria de EU</t>
  </si>
  <si>
    <t xml:space="preserve">(más o menos ) T-MEC y aranceles de EU (empleo industrial del Norte)</t>
  </si>
  <si>
    <t xml:space="preserve">(más o menos ) Programas sociales y salario mínimo (ingreso disponible)</t>
  </si>
  <si>
    <t xml:space="preserve">(más o menos ) Omnicanalidad y ventas digitales</t>
  </si>
  <si>
    <t xml:space="preserve">(más o menos ) PACIC e IEPS (precio tope y menor volumen)</t>
  </si>
  <si>
    <t xml:space="preserve">(más o menos ) Ingresos inmobiliarios y financieros (m2 liberados, Sofipo)</t>
  </si>
  <si>
    <t xml:space="preserve">Crecimiento de ventas — variables externas (incluye ajuste del escenario, Escenarios fila 8)</t>
  </si>
  <si>
    <t xml:space="preserve">C. CRECIMIENTO DE VENTAS — MÍNIMOS CUADRADOS</t>
  </si>
  <si>
    <t xml:space="preserve">Ventas por mínimos cuadrados (trayectoria lineal anualizada, mdp)</t>
  </si>
  <si>
    <t xml:space="preserve">Crecimiento de ventas — mínimos cuadrados</t>
  </si>
  <si>
    <t xml:space="preserve">CRECIMIENTO DE VENTAS FINAL (ponderado)</t>
  </si>
  <si>
    <t xml:space="preserve">D. MARGEN EBIT</t>
  </si>
  <si>
    <t xml:space="preserve">Margen de operación: parte del margen de 2025 y se ajusta por salarios, ahorros, energía y otros factores.</t>
  </si>
  <si>
    <t xml:space="preserve">Margen EBIT — variables externas (acumulado)</t>
  </si>
  <si>
    <t xml:space="preserve">(más o menos ) Austeridad, cierres y eficiencias</t>
  </si>
  <si>
    <t xml:space="preserve">(más o menos ) Salario mínimo +13% y jornada de 40 h</t>
  </si>
  <si>
    <t xml:space="preserve">(más o menos ) Inversión en precio (hard discount, PACIC)</t>
  </si>
  <si>
    <t xml:space="preserve">(más o menos ) Tipo de cambio y aranceles a importaciones de Asia</t>
  </si>
  <si>
    <t xml:space="preserve">(más o menos ) Energía, combustibles y fletes</t>
  </si>
  <si>
    <t xml:space="preserve">(más o menos ) Rentas comerciales (tiendas arrendadas)</t>
  </si>
  <si>
    <t xml:space="preserve">(más o menos ) Ingresos inmobiliarios y servicios financieros</t>
  </si>
  <si>
    <t xml:space="preserve">(más o menos ) Desapalancamiento operativo por menores ventas</t>
  </si>
  <si>
    <t xml:space="preserve">Margen EBIT — mínimos cuadrados</t>
  </si>
  <si>
    <t xml:space="preserve">MARGEN EBIT FINAL (ponderado, incluye ajuste del escenario, Escenarios fila 9)</t>
  </si>
  <si>
    <t xml:space="preserve">E. OTROS SUPUESTOS (FCF Y ESTADOS FINANCIEROS)</t>
  </si>
  <si>
    <t xml:space="preserve">D&amp;A (% ventas) — variables externas / histórico</t>
  </si>
  <si>
    <t xml:space="preserve">D&amp;A (% ventas) — mínimos cuadrados</t>
  </si>
  <si>
    <t xml:space="preserve">D&amp;A (% ventas) FINAL</t>
  </si>
  <si>
    <t xml:space="preserve">Capex guía de Soriana 2026 (mdp)</t>
  </si>
  <si>
    <t xml:space="preserve">(+) Inversión adicional en omnicanal y remodelación (% ventas)</t>
  </si>
  <si>
    <t xml:space="preserve">Capex (% ventas) — variables externas</t>
  </si>
  <si>
    <t xml:space="preserve">Capex (% ventas) — mínimos cuadrados</t>
  </si>
  <si>
    <t xml:space="preserve">Capex (% ventas) FINAL</t>
  </si>
  <si>
    <t xml:space="preserve">(+) Ajuste a la tasa por límite de deducciones (Paquete Económico 2027)</t>
  </si>
  <si>
    <t xml:space="preserve">Tasa de impuestos — variables externas</t>
  </si>
  <si>
    <t xml:space="preserve">Tasa de impuestos — mínimos cuadrados</t>
  </si>
  <si>
    <t xml:space="preserve">Tasa de impuestos FINAL</t>
  </si>
  <si>
    <t xml:space="preserve">Amortización neta de deuda bursátil y bancaria (mdp)</t>
  </si>
  <si>
    <t xml:space="preserve">1. PROYECCIÓN DE ESTADOS FINANCIEROS (mdp)</t>
  </si>
  <si>
    <t xml:space="preserve">Con esos supuestos se proyectan estado de resultados, balance y flujo de efectivo de 2026 a 2030. El balance cuadra en todos los años (fila 97).</t>
  </si>
  <si>
    <t xml:space="preserve">1.1 ESTADO DE RESULTADOS</t>
  </si>
  <si>
    <t xml:space="preserve">Margen EBITDA</t>
  </si>
  <si>
    <t xml:space="preserve">1.2 BALANCE GENERAL</t>
  </si>
  <si>
    <t xml:space="preserve">Comprobación (activo - pasivo - capital)</t>
  </si>
  <si>
    <t xml:space="preserve">1.3 CONCILIACIÓN DE EFECTIVO</t>
  </si>
  <si>
    <t xml:space="preserve">(-) Aumento en inventarios</t>
  </si>
  <si>
    <t xml:space="preserve">(-) Aumento en otros activos circulantes</t>
  </si>
  <si>
    <t xml:space="preserve">(-) Capex</t>
  </si>
  <si>
    <t xml:space="preserve">(-) Dividendos pagados</t>
  </si>
  <si>
    <t xml:space="preserve">(más o menos ) Amortización neta de deuda</t>
  </si>
  <si>
    <t xml:space="preserve">Cambio neto en efectivo</t>
  </si>
  <si>
    <t xml:space="preserve">2. FLUJO LIBRE DE EFECTIVO (FCF) — 5 AÑOS</t>
  </si>
  <si>
    <t xml:space="preserve">Flujo libre para la empresa = utilidad operativa después de impuestos + depreciación - inversión - aumento en capital de trabajo. Cada flujo se trae a valor de hoy con el WACC.</t>
  </si>
  <si>
    <t xml:space="preserve">(-) Impuestos sobre EBIT</t>
  </si>
  <si>
    <t xml:space="preserve">NOPAT = EBIT x (1 - T)</t>
  </si>
  <si>
    <t xml:space="preserve">(-) Inversión en capital de trabajo</t>
  </si>
  <si>
    <t xml:space="preserve">FCF = NOPAT + D&amp;A - Capex - cambioNWC</t>
  </si>
  <si>
    <t xml:space="preserve">3. VALOR TERMINAL</t>
  </si>
  <si>
    <t xml:space="preserve">Valor terminal: el valor de todos los flujos después de 2030. Por Gordon = flujo de 2031 / (WACC - g).</t>
  </si>
  <si>
    <t xml:space="preserve">Crecimiento perpetuo (g) — escenario (justificación en hoja Crecimiento Perpetuo)</t>
  </si>
  <si>
    <t xml:space="preserve">WACC base (iterado)</t>
  </si>
  <si>
    <t xml:space="preserve">(+) Prima por riesgo externo</t>
  </si>
  <si>
    <t xml:space="preserve">WACC final</t>
  </si>
  <si>
    <t xml:space="preserve">FCF 2030E (año 5)</t>
  </si>
  <si>
    <t xml:space="preserve">FCF + 1 (2031E) = FCF 2030E x (1 + g)</t>
  </si>
  <si>
    <t xml:space="preserve">Valor terminal = FCF+1 / (WACC - g)</t>
  </si>
  <si>
    <t xml:space="preserve">Factor de descuento del año 5</t>
  </si>
  <si>
    <t xml:space="preserve">4. VALOR DE LA EMPRESA (EV)</t>
  </si>
  <si>
    <t xml:space="preserve">Enterprise Value = valor de hoy de los flujos 2026 a 2030 + valor de hoy del valor terminal.</t>
  </si>
  <si>
    <t xml:space="preserve">Suma VP de FCF 2026E–2030E</t>
  </si>
  <si>
    <t xml:space="preserve">(+) VP del valor terminal</t>
  </si>
  <si>
    <t xml:space="preserve">Valor de la empresa (EV)</t>
  </si>
  <si>
    <t xml:space="preserve">5. EQUITY VALUE</t>
  </si>
  <si>
    <t xml:space="preserve">Equity Value = Enterprise Value - deuda - arrendamientos + efectivo. Es lo que les toca a los accionistas.</t>
  </si>
  <si>
    <t xml:space="preserve">(-) Deuda bursátil y bancaria (2025)</t>
  </si>
  <si>
    <t xml:space="preserve">(-) Pasivo por arrendamiento (2025)</t>
  </si>
  <si>
    <t xml:space="preserve">Deuda neta (memo)</t>
  </si>
  <si>
    <t xml:space="preserve">Equity Value (valor del capital)</t>
  </si>
  <si>
    <t xml:space="preserve">6. PRECIO POR ACCIÓN</t>
  </si>
  <si>
    <t xml:space="preserve">Valor por acción = Equity Value entre el número de acciones.</t>
  </si>
  <si>
    <t xml:space="preserve">Equity Value</t>
  </si>
  <si>
    <t xml:space="preserve">PRECIO POR ACCIÓN — PROYECCIÓN FINAL (MXN)</t>
  </si>
  <si>
    <t xml:space="preserve">Precio por acción de la proyección base (MXN)</t>
  </si>
  <si>
    <t xml:space="preserve">Diferencia vs. proyección base</t>
  </si>
  <si>
    <t xml:space="preserve">Umbral para recomendación (más o menos )</t>
  </si>
  <si>
    <t xml:space="preserve">Recomendación del modelo</t>
  </si>
  <si>
    <t xml:space="preserve">Comprobación del balance</t>
  </si>
  <si>
    <t xml:space="preserve">Comprobación WACC &gt; g</t>
  </si>
  <si>
    <t xml:space="preserve">7. SENSIBILIDAD WACC vs. g — PRECIO OBJETIVO FINAL POR ACCIÓN (MXN, a la fecha de valuación; Ke y flujos constantes)</t>
  </si>
  <si>
    <t xml:space="preserve">Sensibilidad: cómo cambia el precio objetivo si el WACC o g cambian medio punto o un punto.</t>
  </si>
  <si>
    <t xml:space="preserve">Paso de WACC y g</t>
  </si>
  <si>
    <t xml:space="preserve">WACC / g a</t>
  </si>
  <si>
    <t xml:space="preserve">Diferencia centro de la matriz vs. B265 (debe ser 0)</t>
  </si>
  <si>
    <t xml:space="preserve">8. MATRIZ DE FACTORES EXTERNOS (investigación)</t>
  </si>
  <si>
    <t xml:space="preserve">Impacto (1–5)</t>
  </si>
  <si>
    <t xml:space="preserve">Horizonte</t>
  </si>
  <si>
    <t xml:space="preserve">Partida</t>
  </si>
  <si>
    <t xml:space="preserve">Fila modelo</t>
  </si>
  <si>
    <t xml:space="preserve">MACRO — Crecimiento del PIB de México</t>
  </si>
  <si>
    <t xml:space="preserve">Alta</t>
  </si>
  <si>
    <t xml:space="preserve">CP–MP</t>
  </si>
  <si>
    <t xml:space="preserve">MACRO — Inflación</t>
  </si>
  <si>
    <t xml:space="preserve">MACRO — Consumo privado y confianza</t>
  </si>
  <si>
    <t xml:space="preserve">-</t>
  </si>
  <si>
    <t xml:space="preserve">CP</t>
  </si>
  <si>
    <t xml:space="preserve">MACRO — Empleo formal y masa salarial</t>
  </si>
  <si>
    <t xml:space="preserve">Media</t>
  </si>
  <si>
    <t xml:space="preserve">MACRO — Remesas</t>
  </si>
  <si>
    <t xml:space="preserve">MONETARIO — Tasa Banxico</t>
  </si>
  <si>
    <t xml:space="preserve">WACC / intereses</t>
  </si>
  <si>
    <t xml:space="preserve">61 / 126</t>
  </si>
  <si>
    <t xml:space="preserve">MONETARIO — Fed y tasas de EU</t>
  </si>
  <si>
    <t xml:space="preserve">WACC / TC</t>
  </si>
  <si>
    <t xml:space="preserve">CAMBIARIO — Tipo de cambio</t>
  </si>
  <si>
    <t xml:space="preserve">RIESGO PAÍS — Calificación soberana</t>
  </si>
  <si>
    <t xml:space="preserve">MP</t>
  </si>
  <si>
    <t xml:space="preserve">T-MEC — Revisiones anuales</t>
  </si>
  <si>
    <t xml:space="preserve">T-MEC — Aranceles de EU (232, 301)</t>
  </si>
  <si>
    <t xml:space="preserve">POLÍTICA COMERCIAL MX — Aranceles a Asia</t>
  </si>
  <si>
    <t xml:space="preserve">POLÍTICA LABORAL — Salario mínimo</t>
  </si>
  <si>
    <t xml:space="preserve">CP–LP</t>
  </si>
  <si>
    <t xml:space="preserve">Costos y ventas</t>
  </si>
  <si>
    <t xml:space="preserve">33 / 19</t>
  </si>
  <si>
    <t xml:space="preserve">POLÍTICA LABORAL — Jornada de 40 h</t>
  </si>
  <si>
    <t xml:space="preserve">POLÍTICA FISCAL — IEPS (refrescos, tabaco, sodio)</t>
  </si>
  <si>
    <t xml:space="preserve">POLÍTICA FISCAL — Paquete Económico 2027</t>
  </si>
  <si>
    <t xml:space="preserve">POLÍTICA SOCIAL — Programas del Bienestar</t>
  </si>
  <si>
    <t xml:space="preserve">REGULACIÓN — PACIC (canasta básica)</t>
  </si>
  <si>
    <t xml:space="preserve">Margen</t>
  </si>
  <si>
    <t xml:space="preserve">SECTOR RETAIL — Desempeño de competidores</t>
  </si>
  <si>
    <t xml:space="preserve">MEGATENDENCIA — Hard discount</t>
  </si>
  <si>
    <t xml:space="preserve">Ventas y margen</t>
  </si>
  <si>
    <t xml:space="preserve">15 / 34</t>
  </si>
  <si>
    <t xml:space="preserve">MEGATENDENCIA — Comercio electrónico</t>
  </si>
  <si>
    <t xml:space="preserve">MP–LP</t>
  </si>
  <si>
    <t xml:space="preserve">Ventas y capex</t>
  </si>
  <si>
    <t xml:space="preserve">20 / 48</t>
  </si>
  <si>
    <t xml:space="preserve">MEGATENDENCIA — Formatos más pequeños / proximidad</t>
  </si>
  <si>
    <t xml:space="preserve">INMOBILIARIO — Rentas comerciales</t>
  </si>
  <si>
    <t xml:space="preserve">37 / 38</t>
  </si>
  <si>
    <t xml:space="preserve">INMOBILIARIO — Ocupación de FIBRAs comerciales</t>
  </si>
  <si>
    <t xml:space="preserve">SORIANA — Servicios financieros (Sofipo)</t>
  </si>
  <si>
    <t xml:space="preserve">SORIANA — Austeridad y eficiencia</t>
  </si>
  <si>
    <t xml:space="preserve">SORIANA — Guía de inversión 2026</t>
  </si>
  <si>
    <t xml:space="preserve">GEOPOLÍTICA — Medio Oriente y petróleo</t>
  </si>
  <si>
    <t xml:space="preserve">GEOPOLÍTICA — Política migratoria de EU</t>
  </si>
  <si>
    <t xml:space="preserve">SEGURIDAD — Extorsión e inseguridad</t>
  </si>
  <si>
    <t xml:space="preserve">—</t>
  </si>
  <si>
    <t xml:space="preserve">9. ITERACIÓN DEL WACC (estructura de capital al valor DCF)</t>
  </si>
  <si>
    <t xml:space="preserve">El WACC se calcula de forma iterativa: con un WACC se obtiene el valor del capital, con ese valor se recalculan los pesos de deuda y capital, y se repite hasta que el WACC ya no cambia.</t>
  </si>
  <si>
    <t xml:space="preserve">Kd antes de impuestos (tasa implícita 2026E + ajuste del escenario por inflación)</t>
  </si>
  <si>
    <t xml:space="preserve">Tasa de impuestos para el escudo fiscal</t>
  </si>
  <si>
    <t xml:space="preserve">Kd después de impuestos</t>
  </si>
  <si>
    <t xml:space="preserve">Deuda total (D) = bancaria/bursátil + arrendamientos (2025)</t>
  </si>
  <si>
    <t xml:space="preserve">Tasa libre de riesgo (Bono M 10 años, ajustada por la inflación del escenario)</t>
  </si>
  <si>
    <t xml:space="preserve">Prima de riesgo de mercado (PRM)</t>
  </si>
  <si>
    <t xml:space="preserve">Beta desapalancada (beta desapalancada) del escenario (regresión semanal; ver Beta Regresión)</t>
  </si>
  <si>
    <t xml:space="preserve">Iteración</t>
  </si>
  <si>
    <t xml:space="preserve">WACC de entrada</t>
  </si>
  <si>
    <t xml:space="preserve">Equity DCF (mdp, Gordon, en vivo)</t>
  </si>
  <si>
    <t xml:space="preserve">Beta apalancada</t>
  </si>
  <si>
    <t xml:space="preserve">Ke (CAPM)</t>
  </si>
  <si>
    <t xml:space="preserve">WACC de salida</t>
  </si>
  <si>
    <t xml:space="preserve">0 (WACC de la hoja WACC)</t>
  </si>
  <si>
    <t xml:space="preserve">WACC convergido</t>
  </si>
  <si>
    <t xml:space="preserve">Ke convergido</t>
  </si>
  <si>
    <t xml:space="preserve">Variación de la última iteración (pb)</t>
  </si>
  <si>
    <t xml:space="preserve">10. VALOR TERMINAL POR MÚLTIPLOS (EV/EBITDA)</t>
  </si>
  <si>
    <t xml:space="preserve">Segundo método de valor terminal: múltiplo de salida (EV/EBITDA de los competidores con 10% de descuento). El modelo usa el promedio 50% Gordon y 50% múltiplo.</t>
  </si>
  <si>
    <t xml:space="preserve">(+) Deuda total (bancaria/bursátil + arrendamientos)</t>
  </si>
  <si>
    <t xml:space="preserve">(-) Efectivo y equivalentes</t>
  </si>
  <si>
    <t xml:space="preserve">EV de mercado</t>
  </si>
  <si>
    <t xml:space="preserve">EBITDA FY2025 (EBIT + D&amp;A)</t>
  </si>
  <si>
    <t xml:space="preserve">EV / EBITDA actual</t>
  </si>
  <si>
    <t xml:space="preserve">Mediana de comparables (Walmex, Chedraui, La Comer)</t>
  </si>
  <si>
    <t xml:space="preserve">(-) Descuento de Soriana vs. comparables</t>
  </si>
  <si>
    <t xml:space="preserve">Múltiplo de salida aplicado (EV/EBITDA)</t>
  </si>
  <si>
    <t xml:space="preserve">EBITDA 2030E</t>
  </si>
  <si>
    <t xml:space="preserve">Valor terminal por múltiplo al cierre de 2030</t>
  </si>
  <si>
    <t xml:space="preserve">Valor presente del valor terminal (múltiplo)</t>
  </si>
  <si>
    <t xml:space="preserve">EV por múltiplos</t>
  </si>
  <si>
    <t xml:space="preserve">Equity Value por múltiplos</t>
  </si>
  <si>
    <t xml:space="preserve">Precio por acción — múltiplos (MXN)</t>
  </si>
  <si>
    <t xml:space="preserve">Múltiplo EV/EBITDA implícito en Gordon</t>
  </si>
  <si>
    <t xml:space="preserve">g implícita en el múltiplo aplicado</t>
  </si>
  <si>
    <t xml:space="preserve">Peso del método Gordon</t>
  </si>
  <si>
    <t xml:space="preserve">Peso del método de múltiplos</t>
  </si>
  <si>
    <t xml:space="preserve">EV ponderado (cierre 2025)</t>
  </si>
  <si>
    <t xml:space="preserve">Precio por acción ponderado al cierre 2025 (MXN)</t>
  </si>
  <si>
    <t xml:space="preserve">11. VALOR A LA FECHA DE VALUACIÓN Y PRECIO OBJETIVO FINAL</t>
  </si>
  <si>
    <t xml:space="preserve">Puente a la fecha de valuación: el valor al cierre de 2025 se lleva al 30 de junio de 2026, se ajusta por el flujo del primer semestre, se resta la deuda y se suma el efectivo de junio, y se lleva a la fecha del precio con el costo del capital.</t>
  </si>
  <si>
    <t xml:space="preserve">Fecha base del descuento</t>
  </si>
  <si>
    <t xml:space="preserve">Fecha del último balance disponible (2T26)</t>
  </si>
  <si>
    <t xml:space="preserve">Fecha de valuación (= fecha del precio más reciente pegado en Base de Datos)</t>
  </si>
  <si>
    <t xml:space="preserve">Años del cierre 2025 al 2T26</t>
  </si>
  <si>
    <t xml:space="preserve">Años del 2T26 a la fecha de valuación</t>
  </si>
  <si>
    <t xml:space="preserve">EV ponderado al cierre 2025</t>
  </si>
  <si>
    <t xml:space="preserve">EV capitalizado al 2T26 = EV x (1 + WACC)^t</t>
  </si>
  <si>
    <t xml:space="preserve">(-) FCF de 1S26 (CFO - Capex real = -1,060.5; al ser negativo, restarlo aumenta el EV)</t>
  </si>
  <si>
    <t xml:space="preserve">EV al 2T26</t>
  </si>
  <si>
    <t xml:space="preserve">(-) Deuda bursátil y bancaria 2T26</t>
  </si>
  <si>
    <t xml:space="preserve">(-) Pasivo por arrendamiento 2T26</t>
  </si>
  <si>
    <t xml:space="preserve">(+) Efectivo y equivalentes 2T26</t>
  </si>
  <si>
    <t xml:space="preserve">Equity Value al 2T26</t>
  </si>
  <si>
    <t xml:space="preserve">Equity Value a la fecha de valuación = E x (1 + Ke)^t</t>
  </si>
  <si>
    <t xml:space="preserve">PRECIO OBJETIVO FINAL POR ACCIÓN (MXN)</t>
  </si>
  <si>
    <t xml:space="preserve">Recomendación final</t>
  </si>
  <si>
    <t xml:space="preserve">Diferencia vs. consenso</t>
  </si>
  <si>
    <t xml:space="preserve">1. FUENTE EXTERNA: Damodaran</t>
  </si>
  <si>
    <t xml:space="preserve">Fuente</t>
  </si>
  <si>
    <t xml:space="preserve">Aswath Damodaran, NYU Stern  Betas by Sector</t>
  </si>
  <si>
    <t xml:space="preserve">Fecha de los datos</t>
  </si>
  <si>
    <t xml:space="preserve">Enero de 2026</t>
  </si>
  <si>
    <t xml:space="preserve">Industria</t>
  </si>
  <si>
    <t xml:space="preserve">Retail (Grocery and Food)</t>
  </si>
  <si>
    <t xml:space="preserve">Número de empresas</t>
  </si>
  <si>
    <t xml:space="preserve">Beta apalancada promedio de la industria (beta apalancada)</t>
  </si>
  <si>
    <t xml:space="preserve">D/E de la industria</t>
  </si>
  <si>
    <t xml:space="preserve">Tasa efectiva de la industria</t>
  </si>
  <si>
    <t xml:space="preserve">Tasa marginal usada por Damodaran para desapalancar</t>
  </si>
  <si>
    <t xml:space="preserve">Beta desapalancada de la industria (beta desapalancada)</t>
  </si>
  <si>
    <t xml:space="preserve">Efectivo / valor de la empresa</t>
  </si>
  <si>
    <t xml:space="preserve">Beta desapalancada corregida por caja</t>
  </si>
  <si>
    <t xml:space="preserve">Control: beta desapalancada recalculada = 0.87 / [1 + (1 - 0.2537) x 0.4596]</t>
  </si>
  <si>
    <t xml:space="preserve">Beta desapalancada por regresión semanal (hoja Beta Regresión; si faltan datos, Damodaran provisional)</t>
  </si>
  <si>
    <t xml:space="preserve">Beta apalancada por regresión (pendiente)</t>
  </si>
  <si>
    <t xml:space="preserve">Beta heredada del Excel anterior (solo para reproducir el baseline histórico)</t>
  </si>
  <si>
    <t xml:space="preserve">Selector de beta (2 = regresión semanal, OFICIAL x 1 = Damodaran global x 0 = beta heredada 0.80)</t>
  </si>
  <si>
    <t xml:space="preserve">BETA DESAPALANCADA USADA EN EL WACC (beta desapalancada)</t>
  </si>
  <si>
    <t xml:space="preserve">3. REAPALANCAMIENTO CON LA ESTRUCTURA DE CAPITAL DE SORIANA</t>
  </si>
  <si>
    <t xml:space="preserve">A valor de mercado</t>
  </si>
  <si>
    <t xml:space="preserve">Iterado al valor DCF</t>
  </si>
  <si>
    <t xml:space="preserve">Beta desapalancada beta desapalancada</t>
  </si>
  <si>
    <t xml:space="preserve">D/E</t>
  </si>
  <si>
    <t xml:space="preserve">Tasa fiscal para reapalancar</t>
  </si>
  <si>
    <t xml:space="preserve">Beta reapalancada beta apalancada = beta desapalancada x [1 + (1 - t) x D/E]</t>
  </si>
  <si>
    <t xml:space="preserve">Tasa libre de riesgo</t>
  </si>
  <si>
    <t xml:space="preserve">Prima de riesgo de mercado</t>
  </si>
  <si>
    <t xml:space="preserve">Ke = Rf + beta apalancada x PRM</t>
  </si>
  <si>
    <t xml:space="preserve">WACC del modelo</t>
  </si>
  <si>
    <t xml:space="preserve">Control: beta apalancada de esta hoja = beta apalancada del modelo</t>
  </si>
  <si>
    <t xml:space="preserve">Referencia (NO usada): Ke con la beta apalancada de la industria 0.87 sin reapalancar</t>
  </si>
  <si>
    <t xml:space="preserve">4. COMPARACIÓN DE FUENTES DE BETA (a estructura de mercado)</t>
  </si>
  <si>
    <t xml:space="preserve">beta desapalancada heredada 0.80</t>
  </si>
  <si>
    <t xml:space="preserve">beta desapalancada Damodaran</t>
  </si>
  <si>
    <t xml:space="preserve">beta desapalancada regresión</t>
  </si>
  <si>
    <t xml:space="preserve">Lectura</t>
  </si>
  <si>
    <t xml:space="preserve">beta desapalancada</t>
  </si>
  <si>
    <t xml:space="preserve">Menor beta desapalancada a menor beta apalancada y Ke a menor WACC a mayor valor. La beta oficial es la de regresión (selector B18 = 2).</t>
  </si>
  <si>
    <t xml:space="preserve">beta apalancada a valor de mercado</t>
  </si>
  <si>
    <t xml:space="preserve">Ke a valor de mercado</t>
  </si>
  <si>
    <t xml:space="preserve">WACC a valor de mercado</t>
  </si>
  <si>
    <t xml:space="preserve">Diferencia de Ke vs. la fuente usada</t>
  </si>
  <si>
    <t xml:space="preserve">5. COSTO DE LA DEUDA (Kd) — se conserva 10% con su fuente</t>
  </si>
  <si>
    <t xml:space="preserve">Kd antes de impuestos usado en la iteración (Proyección Final!C61)</t>
  </si>
  <si>
    <t xml:space="preserve">Fuente (comentario original de la celda C61): Encuesta Citi — tasa Banxico 6.50% a fin de 2026 y 2027 (imagenradio.com.mx, 22-sep-2026) y gastos financieros 1S26 de la hoja Datos.</t>
  </si>
  <si>
    <t xml:space="preserve">Control: intereses 1S26 anualizados / deuda total 2T26</t>
  </si>
  <si>
    <t xml:space="preserve">(588 + 582) x 2 / 23,720.6 (deuda bancaria + arrendamientos al 2T26).</t>
  </si>
  <si>
    <t xml:space="preserve">Diferencia</t>
  </si>
  <si>
    <t xml:space="preserve">El 10% es consistente con el costo observado del 1S26.</t>
  </si>
  <si>
    <t xml:space="preserve">Referencia (NO usada): tasa implícita FY2025 = gastos financieros / deuda (WACC!B31)</t>
  </si>
  <si>
    <t xml:space="preserve">Incluye intereses de deuda ya amortizada en 2025; solo alimenta el WACC a valor de mercado (punto de partida).</t>
  </si>
  <si>
    <t xml:space="preserve">CRECIMIENTO PERPETUO g</t>
  </si>
  <si>
    <t xml:space="preserve">El crecimiento perpetuo (g) es lo que suponemos que crecerán los flujos de Soriana para siempre después de 2030. No puede ser mayor que lo que crece la economía ni que la tasa del bono del gobierno, y debe cuadrar con lo que la empresa reinvierte.</t>
  </si>
  <si>
    <t xml:space="preserve">referencias</t>
  </si>
  <si>
    <t xml:space="preserve">Para qué se usa</t>
  </si>
  <si>
    <t xml:space="preserve">Meta de inflación de Banxico</t>
  </si>
  <si>
    <t xml:space="preserve">permanente</t>
  </si>
  <si>
    <t xml:space="preserve">Banco de México, objetivo de inflación (3% más o menos 1 punto)</t>
  </si>
  <si>
    <t xml:space="preserve">Piso del g conservador</t>
  </si>
  <si>
    <t xml:space="preserve">Límite superior del intervalo de variabilidad de Banxico</t>
  </si>
  <si>
    <t xml:space="preserve">Banco de México</t>
  </si>
  <si>
    <t xml:space="preserve">Inflación del escenario conservador</t>
  </si>
  <si>
    <t xml:space="preserve">Expectativa de inflación general 2027–2030 (mediana)</t>
  </si>
  <si>
    <t xml:space="preserve">01-oct-2026</t>
  </si>
  <si>
    <t xml:space="preserve">Banxico, Encuesta de Expectativas de los Especialistas del Sector Privado, septiembre 2026</t>
  </si>
  <si>
    <t xml:space="preserve">Inflación de mediano plazo</t>
  </si>
  <si>
    <t xml:space="preserve">Expectativa de inflación general 2031–2034 (mediana)</t>
  </si>
  <si>
    <t xml:space="preserve">Banxico, misma encuesta</t>
  </si>
  <si>
    <t xml:space="preserve">Inflación de largo plazo: g sin crecimiento real</t>
  </si>
  <si>
    <t xml:space="preserve">Crecimiento real del PIB, promedio próximos 10 años (mediana)</t>
  </si>
  <si>
    <t xml:space="preserve">Crecimiento real de la economía</t>
  </si>
  <si>
    <t xml:space="preserve">Crecimiento real del PIB de México 2029–2031</t>
  </si>
  <si>
    <t xml:space="preserve">abr-2026</t>
  </si>
  <si>
    <t xml:space="preserve">FMI, World Economic Outlook, abril 2026</t>
  </si>
  <si>
    <t xml:space="preserve">Comparación internacional</t>
  </si>
  <si>
    <t xml:space="preserve">Bono M a 10 años, expectativa al cierre de 2026 (mediana)</t>
  </si>
  <si>
    <t xml:space="preserve">Techo: g debe ser menor que la tasa del bono</t>
  </si>
  <si>
    <t xml:space="preserve">Ventas de Soriana 2023 (mdp)</t>
  </si>
  <si>
    <t xml:space="preserve">feb-2024</t>
  </si>
  <si>
    <t xml:space="preserve">Reporte 4T23 de Soriana a la BMV (citado por Expansión, 23-feb-2024)</t>
  </si>
  <si>
    <t xml:space="preserve">Crecimiento histórico</t>
  </si>
  <si>
    <t xml:space="preserve">Ventas de Soriana 2024 (mdp, derivada)</t>
  </si>
  <si>
    <t xml:space="preserve">feb-2026</t>
  </si>
  <si>
    <t xml:space="preserve">Calculada: Soriana reportó ventas 2025 0.9% menores que 2024 (Expansión, 20-feb-2026)</t>
  </si>
  <si>
    <t xml:space="preserve">Ventas de Soriana 2025 (mdp)</t>
  </si>
  <si>
    <t xml:space="preserve">Reporte 4T25 de Soriana (hoja Datos)</t>
  </si>
  <si>
    <t xml:space="preserve">calculos</t>
  </si>
  <si>
    <t xml:space="preserve">Qué significa</t>
  </si>
  <si>
    <t xml:space="preserve">CAGR de ventas 2023–2025 (nominal)</t>
  </si>
  <si>
    <t xml:space="preserve">Cuánto crecieron las ventas en pesos cada año de 2023 a 2025.</t>
  </si>
  <si>
    <t xml:space="preserve">Inflación promedio 2024–2025</t>
  </si>
  <si>
    <t xml:space="preserve">Inflación promedio de esos años.</t>
  </si>
  <si>
    <t xml:space="preserve">Crecimiento real histórico de ventas</t>
  </si>
  <si>
    <t xml:space="preserve">Crecimiento quitando la inflación: negativo quiere decir que Soriana vendió menos en términos reales.</t>
  </si>
  <si>
    <t xml:space="preserve">Crecimiento nominal de largo plazo de la economía</t>
  </si>
  <si>
    <t xml:space="preserve">Lo que crecería la economía en pesos a largo plazo; g no debe pasar de aquí.</t>
  </si>
  <si>
    <t xml:space="preserve">Crecimiento de ventas del último año proyectado (2030E)</t>
  </si>
  <si>
    <t xml:space="preserve">Crecimiento de ventas del último año que proyecta el modelo.</t>
  </si>
  <si>
    <t xml:space="preserve">Reinversión neta 2030E </t>
  </si>
  <si>
    <t xml:space="preserve">Inversión menos depreciación más capital de trabajo en 2030: negativa quiere decir que Soriana reinvierte menos de lo que se desgasta.</t>
  </si>
  <si>
    <t xml:space="preserve">Tasa de reinversión</t>
  </si>
  <si>
    <t xml:space="preserve">Qué parte de la utilidad operativa se reinvierte.</t>
  </si>
  <si>
    <t xml:space="preserve">ROIC 2030E </t>
  </si>
  <si>
    <t xml:space="preserve">Rendimiento sobre el capital invertido.</t>
  </si>
  <si>
    <t xml:space="preserve">Crecimiento real sostenible</t>
  </si>
  <si>
    <t xml:space="preserve">Crecimiento real que la empresa puede sostener con lo que reinvierte (reinversión x rendimiento).</t>
  </si>
  <si>
    <t xml:space="preserve">g implícita en el múltiplo de salida</t>
  </si>
  <si>
    <t xml:space="preserve">El crecimiento que implica el múltiplo de salida con el WACC actual.</t>
  </si>
  <si>
    <t xml:space="preserve">G por escenario</t>
  </si>
  <si>
    <t xml:space="preserve">g</t>
  </si>
  <si>
    <t xml:space="preserve">Crecimiento real implícito</t>
  </si>
  <si>
    <t xml:space="preserve">Por qué</t>
  </si>
  <si>
    <t xml:space="preserve">Conservador</t>
  </si>
  <si>
    <t xml:space="preserve">Base</t>
  </si>
  <si>
    <t xml:space="preserve">Optimista</t>
  </si>
  <si>
    <t xml:space="preserve">controles</t>
  </si>
  <si>
    <t xml:space="preserve">Control</t>
  </si>
  <si>
    <t xml:space="preserve">Límite</t>
  </si>
  <si>
    <t xml:space="preserve">Estado</t>
  </si>
  <si>
    <t xml:space="preserve">g Base &lt; WACC del modelo</t>
  </si>
  <si>
    <t xml:space="preserve">g Base &lt; tasa libre de riesgo esperada (Bono M 10 años)</t>
  </si>
  <si>
    <t xml:space="preserve">g Optimista menor o igual a crecimiento nominal de largo plazo de la economía</t>
  </si>
  <si>
    <t xml:space="preserve">g Base menor o igual a inflación esperada de largo plazo + 0.5 pp</t>
  </si>
  <si>
    <t xml:space="preserve">Orden: Conservador &lt; Base &lt; Optimista</t>
  </si>
  <si>
    <t xml:space="preserve">Datos para la gráfica</t>
  </si>
  <si>
    <t xml:space="preserve">Meta Banxico</t>
  </si>
  <si>
    <t xml:space="preserve">g Conservador</t>
  </si>
  <si>
    <t xml:space="preserve">g Base</t>
  </si>
  <si>
    <t xml:space="preserve">Inflación LP esperada</t>
  </si>
  <si>
    <t xml:space="preserve">g Optimista</t>
  </si>
  <si>
    <t xml:space="preserve">g implícita en el múltiplo</t>
  </si>
  <si>
    <t xml:space="preserve">PIB nominal LP</t>
  </si>
  <si>
    <t xml:space="preserve">Bono M 10 años</t>
  </si>
  <si>
    <t xml:space="preserve">TRADING COMPS  (múltiplos de empresas públicas comparables)</t>
  </si>
  <si>
    <t xml:space="preserve">1. GRUPO COMPARABLE: datos CIQ y revisión de comparabilidad</t>
  </si>
  <si>
    <t xml:space="preserve">Empresa (CIQ)</t>
  </si>
  <si>
    <t xml:space="preserve">País</t>
  </si>
  <si>
    <t xml:space="preserve">Industria primaria (CIQ)</t>
  </si>
  <si>
    <t xml:space="preserve">Modelo de negocio</t>
  </si>
  <si>
    <t xml:space="preserve">TEV USD mm</t>
  </si>
  <si>
    <t xml:space="preserve">Ventas LTM USD mm</t>
  </si>
  <si>
    <t xml:space="preserve">Mg EBITDA</t>
  </si>
  <si>
    <t xml:space="preserve">Crec. ventas</t>
  </si>
  <si>
    <t xml:space="preserve">Deuda/ EBITDA</t>
  </si>
  <si>
    <t xml:space="preserve">Clasificación</t>
  </si>
  <si>
    <t xml:space="preserve">Incluir (1/0)</t>
  </si>
  <si>
    <t xml:space="preserve">Razón</t>
  </si>
  <si>
    <t xml:space="preserve">EV/Ventas LTM</t>
  </si>
  <si>
    <t xml:space="preserve">EV/EBITDA LTM</t>
  </si>
  <si>
    <t xml:space="preserve">EV/EBIT LTM</t>
  </si>
  <si>
    <t xml:space="preserve">P/U LTM</t>
  </si>
  <si>
    <t xml:space="preserve">P/VL tangible</t>
  </si>
  <si>
    <t xml:space="preserve">EV/EBITDA NTM</t>
  </si>
  <si>
    <t xml:space="preserve">P/U NTM</t>
  </si>
  <si>
    <t xml:space="preserve">Grupo Comercial Chedraui, S.A.B. de C.V. (BMV:CHDRAUI B)</t>
  </si>
  <si>
    <t xml:space="preserve">Mexico</t>
  </si>
  <si>
    <t xml:space="preserve">Food Retail</t>
  </si>
  <si>
    <t xml:space="preserve">Autoservicio multiformato</t>
  </si>
  <si>
    <t xml:space="preserve">Incluir</t>
  </si>
  <si>
    <t xml:space="preserve">Par más cercano: mismo formato y país; margen EBITDA (6.4%) y crecimiento (−3.4%) casi iguales a los de Soriana.</t>
  </si>
  <si>
    <t xml:space="preserve">Grupo Mateus S.A. (BOVESPA:GMAT3)</t>
  </si>
  <si>
    <t xml:space="preserve">Brazil</t>
  </si>
  <si>
    <t xml:space="preserve">Consumer Staples Merchandise Retail</t>
  </si>
  <si>
    <t xml:space="preserve">Supermercados y mayoreo</t>
  </si>
  <si>
    <t xml:space="preserve">Incluir con reserva</t>
  </si>
  <si>
    <t xml:space="preserve">Formato comparable; geografía (Brasil) y crecimiento (18.7%) distintos; P/U 4.7x atípico.</t>
  </si>
  <si>
    <t xml:space="preserve">El Puerto de Liverpool, S.A.B. de C.V. (BMV:LIVEPOL C-1)</t>
  </si>
  <si>
    <t xml:space="preserve">Broadline Retail</t>
  </si>
  <si>
    <t xml:space="preserve">Departamentales + crédito + inmobiliario</t>
  </si>
  <si>
    <t xml:space="preserve">Excluir</t>
  </si>
  <si>
    <t xml:space="preserve">Industria distinta (Broadline Retail); negocio financiero; margen EBITDA del doble (14.2%).</t>
  </si>
  <si>
    <t xml:space="preserve">Wal-Mart de México, S.A.B. de C.V. (BMV:WALMEX *)</t>
  </si>
  <si>
    <t xml:space="preserve">Autoservicio, descuento y club</t>
  </si>
  <si>
    <t xml:space="preserve">Competidor directo; 12 veces el tamaño de Soriana y líder del mercado (prima de múltiplo).</t>
  </si>
  <si>
    <t xml:space="preserve">La Comer, S.A.B. de C.V. (BMV:LACOMER UBC)</t>
  </si>
  <si>
    <t xml:space="preserve">Autoservicio premium</t>
  </si>
  <si>
    <t xml:space="preserve">Competidor directo; más pequeña, formato premium, más rentable (10.0%) y sin deuda neta.</t>
  </si>
  <si>
    <t xml:space="preserve">Sendas Distribuidora S.A. (BOVESPA:ASAI3)</t>
  </si>
  <si>
    <t xml:space="preserve">Mayoreo cash &amp; carry</t>
  </si>
  <si>
    <t xml:space="preserve">Formato comparable a City Club; Brasil; apalancamiento alto (4.0x) distorsiona P/U.</t>
  </si>
  <si>
    <t xml:space="preserve">Cencosud S.A. (SNSE:CENCOSUD)</t>
  </si>
  <si>
    <t xml:space="preserve">Chile</t>
  </si>
  <si>
    <t xml:space="preserve">Supermercados + mejoramiento del hogar + departamentales + centros comerciales</t>
  </si>
  <si>
    <t xml:space="preserve">Diversificada (Chile); EBITDA LTM −29.5% infla EV/EBITDA y EV/EBIT.</t>
  </si>
  <si>
    <t xml:space="preserve">InRetail Perú Corp. (BVL:INRETC1)</t>
  </si>
  <si>
    <t xml:space="preserve">Peru</t>
  </si>
  <si>
    <t xml:space="preserve">Supermercados, farmacias, centros comerciales</t>
  </si>
  <si>
    <t xml:space="preserve">Multiformato (Perú) con negocios no comparables (farmacia, inmobiliario).</t>
  </si>
  <si>
    <t xml:space="preserve">Fomento Económico Mexicano, S.A.B. de C.V. (BMV:FEMSA UBD)</t>
  </si>
  <si>
    <t xml:space="preserve">Soft Drinks and Non-alcoholic Beverages</t>
  </si>
  <si>
    <t xml:space="preserve">Embotellador Coca-Cola + OXXO + salud + combustible</t>
  </si>
  <si>
    <t xml:space="preserve">Industria distinta (Soft Drinks); P/U 25.9x.</t>
  </si>
  <si>
    <t xml:space="preserve">Falabella S.A. (SNSE:FALABELLA)</t>
  </si>
  <si>
    <t xml:space="preserve">Departamentales, mejoramiento del hogar, banca</t>
  </si>
  <si>
    <t xml:space="preserve">Industria distinta (Broadline Retail); negocio financiero.</t>
  </si>
  <si>
    <t xml:space="preserve">Organización Soriana, S. A. B. de C. V. (BMV:SORIANA B) - empresa objetivo (no forma parte de la muestra)</t>
  </si>
  <si>
    <t xml:space="preserve">2. MÉTRICAS DE SORIANA</t>
  </si>
  <si>
    <t xml:space="preserve">Ventas LTM (mdp)</t>
  </si>
  <si>
    <t xml:space="preserve">EBIT LTM (mdp)</t>
  </si>
  <si>
    <t xml:space="preserve">D&amp;A LTM (mdp)</t>
  </si>
  <si>
    <t xml:space="preserve">EBITDA LTM (mdp) = EBIT + D&amp;A</t>
  </si>
  <si>
    <t xml:space="preserve">Utilidad neta LTM (mdp)</t>
  </si>
  <si>
    <t xml:space="preserve">UPA LTM (MXN)</t>
  </si>
  <si>
    <t xml:space="preserve">(−) Deuda bursátil y bancaria 2T26</t>
  </si>
  <si>
    <t xml:space="preserve">(−) Pasivo por arrendamiento 2T26</t>
  </si>
  <si>
    <t xml:space="preserve">(−) Interés minoritario</t>
  </si>
  <si>
    <t xml:space="preserve">(−) Capital preferente</t>
  </si>
  <si>
    <t xml:space="preserve">Ajuste neto EV → capital (mdp)</t>
  </si>
  <si>
    <t xml:space="preserve">MÚLTIPLOS: selección</t>
  </si>
  <si>
    <t xml:space="preserve">Múltiplo</t>
  </si>
  <si>
    <t xml:space="preserve">Tipo</t>
  </si>
  <si>
    <t xml:space="preserve">Métrica de Soriana</t>
  </si>
  <si>
    <t xml:space="preserve">Usar (1/0)</t>
  </si>
  <si>
    <t xml:space="preserve">EV</t>
  </si>
  <si>
    <t xml:space="preserve">Usado</t>
  </si>
  <si>
    <t xml:space="preserve">P</t>
  </si>
  <si>
    <t xml:space="preserve">Excluido</t>
  </si>
  <si>
    <t xml:space="preserve">NA</t>
  </si>
  <si>
    <t xml:space="preserve">ESTADÍSTICOS DE LA MUESTRA</t>
  </si>
  <si>
    <t xml:space="preserve">Empresa</t>
  </si>
  <si>
    <t xml:space="preserve">EV/Ventas</t>
  </si>
  <si>
    <t xml:space="preserve">EV/EBITDA</t>
  </si>
  <si>
    <t xml:space="preserve">EV/EBIT</t>
  </si>
  <si>
    <t xml:space="preserve">PRECIOS IMPLICITOS POR ACCION</t>
  </si>
  <si>
    <t xml:space="preserve">Estadístico (múltiplo)</t>
  </si>
  <si>
    <t xml:space="preserve">Precio: EV/Ventas</t>
  </si>
  <si>
    <t xml:space="preserve">Precio: EV/EBITDA</t>
  </si>
  <si>
    <t xml:space="preserve">Precio: EV/EBIT</t>
  </si>
  <si>
    <t xml:space="preserve">Precio: P/U</t>
  </si>
  <si>
    <t xml:space="preserve">Percentil 25</t>
  </si>
  <si>
    <t xml:space="preserve">Mediana</t>
  </si>
  <si>
    <t xml:space="preserve">Percentil 75</t>
  </si>
  <si>
    <t xml:space="preserve">Detalle a la MEDIA</t>
  </si>
  <si>
    <t xml:space="preserve">Métrica de Soriana (mdp o MXN/acción)</t>
  </si>
  <si>
    <t xml:space="preserve">EV implícito (mdp)</t>
  </si>
  <si>
    <t xml:space="preserve">n.a. (múltiplo de precio)</t>
  </si>
  <si>
    <t xml:space="preserve">Equity Value implícito (mdp)</t>
  </si>
  <si>
    <t xml:space="preserve">Precio implícito (MXN/acción)</t>
  </si>
  <si>
    <t xml:space="preserve">VALOR DE TRADING COMPS</t>
  </si>
  <si>
    <t xml:space="preserve">TRADING COMPS — precio por acción (MXN)</t>
  </si>
  <si>
    <t xml:space="preserve">Rango P25 (promedio de precios a P25 de los múltiplos usados)</t>
  </si>
  <si>
    <t xml:space="preserve">Rango P75 (promedio de precios a P75 de los múltiplos usados)</t>
  </si>
  <si>
    <t xml:space="preserve">Precio de mercado de referencia (MXN)</t>
  </si>
  <si>
    <t xml:space="preserve">Potencial vs. precio</t>
  </si>
  <si>
    <t xml:space="preserve">Número de múltiplos usados</t>
  </si>
  <si>
    <t xml:space="preserve">VALUACION POR TRANSACCIONES</t>
  </si>
  <si>
    <t xml:space="preserve">PARÁMETROS DE SELECCIÓN</t>
  </si>
  <si>
    <t xml:space="preserve">Fecha de valuación</t>
  </si>
  <si>
    <t xml:space="preserve">Ventana (años)</t>
  </si>
  <si>
    <t xml:space="preserve">Inicio de la ventana</t>
  </si>
  <si>
    <t xml:space="preserve">Geografía de la empresa objetivo</t>
  </si>
  <si>
    <t xml:space="preserve">México</t>
  </si>
  <si>
    <t xml:space="preserve">Mínimo de múltiplos por operación</t>
  </si>
  <si>
    <t xml:space="preserve">2. OPERACIONES (datos CIQ) Y EVALUACIÓN DE CRITERIOS</t>
  </si>
  <si>
    <t xml:space="preserve">Anunciada</t>
  </si>
  <si>
    <t xml:space="preserve">ID CIQ</t>
  </si>
  <si>
    <t xml:space="preserve">Objetivo</t>
  </si>
  <si>
    <t xml:space="preserve">Comprador</t>
  </si>
  <si>
    <t xml:space="preserve">Vendedor</t>
  </si>
  <si>
    <t xml:space="preserve">TEV objetivo (MXN mm)</t>
  </si>
  <si>
    <t xml:space="preserve">Tamaño (MXN mm)</t>
  </si>
  <si>
    <t xml:space="preserve">País del objetivo</t>
  </si>
  <si>
    <t xml:space="preserve">¿Ventana?</t>
  </si>
  <si>
    <t xml:space="preserve">¿Geografía?</t>
  </si>
  <si>
    <t xml:space="preserve">¿≥2 múltiplos?</t>
  </si>
  <si>
    <t xml:space="preserve">¿Control?</t>
  </si>
  <si>
    <t xml:space="preserve">Industria del objetivo</t>
  </si>
  <si>
    <t xml:space="preserve">IQTR1859160803</t>
  </si>
  <si>
    <t xml:space="preserve">Almacenes Éxito S.A.</t>
  </si>
  <si>
    <t xml:space="preserve">Super Selectos El Salvador</t>
  </si>
  <si>
    <t xml:space="preserve">Casino, Guichard-Perrachon S.A., Companhia Brasileira De Distribuicao, GÉAnt International B.V., Segisor S.A.S., Helicco Participações Ltda., GPA 2 Empreendimentos E Participacoes LTDA.</t>
  </si>
  <si>
    <t xml:space="preserve">Colombia</t>
  </si>
  <si>
    <t xml:space="preserve">Sí</t>
  </si>
  <si>
    <t xml:space="preserve">Oferta por el control de Éxito; varios vendedores del grupo Casino. Única operación dentro de la ventana (por 15 días).</t>
  </si>
  <si>
    <t xml:space="preserve">Supermercados / autoservicio (Grupo Éxito)</t>
  </si>
  <si>
    <t xml:space="preserve">IQTR629442326</t>
  </si>
  <si>
    <t xml:space="preserve">InRetail Perú Corp.</t>
  </si>
  <si>
    <t xml:space="preserve">Nexus Group</t>
  </si>
  <si>
    <t xml:space="preserve">Perú</t>
  </si>
  <si>
    <t xml:space="preserve">Dudoso</t>
  </si>
  <si>
    <t xml:space="preserve">Comprador no identificado; tamaño 4,590 = 3.9% del TEV → probable venta minoritaria o secundaria, no de control. Fuera de la ventana.</t>
  </si>
  <si>
    <t xml:space="preserve">Supermercados, farmacias y centros comerciales</t>
  </si>
  <si>
    <t xml:space="preserve">IQTR626096522</t>
  </si>
  <si>
    <t xml:space="preserve">Sendas Distribuidora S.A.</t>
  </si>
  <si>
    <t xml:space="preserve">Casino, Guichard-Perrachon S.A.</t>
  </si>
  <si>
    <t xml:space="preserve">Vendedor Casino y comprador Sendas, ambos del grupo Casino según los datos → posible reestructura intra-grupo. Tamaño 130,645 &gt; TEV 56,675 (dato inconsistente). Fuera de la ventana.</t>
  </si>
  <si>
    <t xml:space="preserve">Cumplen la ventana</t>
  </si>
  <si>
    <t xml:space="preserve">Cumplen la geografía</t>
  </si>
  <si>
    <t xml:space="preserve">Operaciones de control claras</t>
  </si>
  <si>
    <t xml:space="preserve">Margen EBITDA implícito del objetivo (EV/Ventas ÷ EV/EBITDA)</t>
  </si>
  <si>
    <t xml:space="preserve">3. ESTADÍSTICOS (operaciones con Incluir = 1) Y PRECIO IMPLÍCITO (mismo puente al 2T26 que Trading Comps)</t>
  </si>
  <si>
    <t xml:space="preserve">Muestra filtrada (helper)</t>
  </si>
  <si>
    <t xml:space="preserve">Estadístico</t>
  </si>
  <si>
    <t xml:space="preserve">Precio EV/Ventas</t>
  </si>
  <si>
    <t xml:space="preserve">Precio EV/EBITDA</t>
  </si>
  <si>
    <t xml:space="preserve">Múltiplo (media de la muestra)</t>
  </si>
  <si>
    <t xml:space="preserve">Métrica de Soriana (mdp, LTM)</t>
  </si>
  <si>
    <t xml:space="preserve">(+/−) Ajuste neto EV → capital (mdp)</t>
  </si>
  <si>
    <t xml:space="preserve">4. VALOR DE PRECEDENT TRANSACTIONS</t>
  </si>
  <si>
    <t xml:space="preserve">Justificación</t>
  </si>
  <si>
    <t xml:space="preserve">Mismo criterio que Trading Comps.</t>
  </si>
  <si>
    <t xml:space="preserve">Mismo criterio que Trading Comps: ignora el margen; los márgenes implícitos de los objetivos van de 5.8% a 13.2% (fila de margen implícito).</t>
  </si>
  <si>
    <t xml:space="preserve">PRECEDENT TRANSACTIONS — precio por acción (MXN)</t>
  </si>
  <si>
    <t xml:space="preserve">Rango (mín–máx del EV/EBITDA)</t>
  </si>
  <si>
    <t xml:space="preserve">Solo 1 de 3 operaciones cumple la ventana de 3 años, ninguna la geografía, y 2 tienen carácter de control dudoso. Con n = 3 (o n = 1 dentro de la ventana) el resultado no es estadísticamente defendible. El método se calcula y se muestra como referencia, con peso 0% en la valuación combinada (decisión del proyecto)</t>
  </si>
  <si>
    <t xml:space="preserve">VALUACIÓN COMBINADA. DCF , Trading Comps y Precedent Transactions.</t>
  </si>
  <si>
    <t xml:space="preserve">Método</t>
  </si>
  <si>
    <t xml:space="preserve">Peso aplicado</t>
  </si>
  <si>
    <t xml:space="preserve">Peso regla de clase</t>
  </si>
  <si>
    <t xml:space="preserve">Contribución</t>
  </si>
  <si>
    <t xml:space="preserve">Origen del precio y del peso</t>
  </si>
  <si>
    <t xml:space="preserve">¿Contribuye?</t>
  </si>
  <si>
    <t xml:space="preserve">DCF (ValuFlow, precio objetivo a la fecha de valuación)</t>
  </si>
  <si>
    <t xml:space="preserve">Proyección Final Soriana!B265. Metodología principal existente. Peso: con Transactions en 0%, se conserva la regla de clase de pesos iguales entre los métodos activos (50/50).</t>
  </si>
  <si>
    <t xml:space="preserve">Trading Comps</t>
  </si>
  <si>
    <t xml:space="preserve">Trading Comps (sección 5). Metodología complementaria. Peso igual al DCF por la regla de pesos iguales de la diap. 18.</t>
  </si>
  <si>
    <t xml:space="preserve">Precedent Transactions</t>
  </si>
  <si>
    <t xml:space="preserve">Precedent Transactions (sección 4). Peso 0% por decisión del proyecto: la muestra no es defendible. El método sigue calculándose.</t>
  </si>
  <si>
    <t xml:space="preserve">Suma de pesos</t>
  </si>
  <si>
    <t xml:space="preserve">PRECIO COMBINADO (MXN por acción)</t>
  </si>
  <si>
    <t xml:space="preserve">Precio de mercado (MXN, último cierre; fecha en WACC!B14)</t>
  </si>
  <si>
    <t xml:space="preserve">Diferencia vs. precio (MXN)</t>
  </si>
  <si>
    <t xml:space="preserve">Potencial / (baja)</t>
  </si>
  <si>
    <t xml:space="preserve">Memo: resultado con la regla de clase (un tercio cada método)</t>
  </si>
  <si>
    <t xml:space="preserve">Solo como referencia de la regla de pesos iguales: incluye la muestra de transacciones no defendible.</t>
  </si>
  <si>
    <t xml:space="preserve">RANGO POR MÉTODO (MXN por acción)</t>
  </si>
  <si>
    <t xml:space="preserve">Bajo</t>
  </si>
  <si>
    <t xml:space="preserve">Central</t>
  </si>
  <si>
    <t xml:space="preserve">Alto</t>
  </si>
  <si>
    <t xml:space="preserve">DCF</t>
  </si>
  <si>
    <t xml:space="preserve">Precedent Transactions (referencia)</t>
  </si>
  <si>
    <t xml:space="preserve">ESCENARIOS CONSERVADOR, BASE Y OPTIMISTA — parámetros, tabla comparativa, tornado y sensibilidad</t>
  </si>
  <si>
    <t xml:space="preserve">Cada escenario corre el modelo completo (hoja oculta Datos para escenarios). El modelo principal usa el escenario que elijas en B4. Las hojas ocultas Tornado 01 a 10 mueven una sola variable a la vez para ver cuál pesa más.</t>
  </si>
  <si>
    <t xml:space="preserve">El escenario conservador tiene más inflación y un WACC más alto, como pide la actividad. La inflación también sube la tasa libre de riesgo y el costo de la deuda, así que ya no puede subir el valor solo por inflar las ventas.</t>
  </si>
  <si>
    <t xml:space="preserve">Escenario activo del modelo principal (1 = Conservador, 2 = Base, 3 = Optimista)</t>
  </si>
  <si>
    <t xml:space="preserve">Parámetro</t>
  </si>
  <si>
    <t xml:space="preserve">Seleccionado (modelo principal)</t>
  </si>
  <si>
    <t xml:space="preserve">T01 Inflación (cons.)</t>
  </si>
  <si>
    <t xml:space="preserve">T02 Inflación (opt.)</t>
  </si>
  <si>
    <t xml:space="preserve">T03 Crecimiento (cons.)</t>
  </si>
  <si>
    <t xml:space="preserve">T04 Crecimiento (opt.)</t>
  </si>
  <si>
    <t xml:space="preserve">T05 Margen (cons.)</t>
  </si>
  <si>
    <t xml:space="preserve">T06 Margen (opt.)</t>
  </si>
  <si>
    <t xml:space="preserve">T07 Beta (cons.)</t>
  </si>
  <si>
    <t xml:space="preserve">T08 Beta (opt.)</t>
  </si>
  <si>
    <t xml:space="preserve">T09 g (cons.)</t>
  </si>
  <si>
    <t xml:space="preserve">T10 g (opt.)</t>
  </si>
  <si>
    <t xml:space="preserve">Inflación anual 2026E–2030E</t>
  </si>
  <si>
    <t xml:space="preserve">Ajuste al crecimiento de ventas (pp por año, variables externas)</t>
  </si>
  <si>
    <t xml:space="preserve">Ajuste al margen EBIT (pp)</t>
  </si>
  <si>
    <t xml:space="preserve">Beta apalancada (con la deuda de Soriana a valor de mercado)</t>
  </si>
  <si>
    <t xml:space="preserve">Crecimiento perpetuo g</t>
  </si>
  <si>
    <t xml:space="preserve">Tasa real implícita (Fisher, con la inflación Base)</t>
  </si>
  <si>
    <t xml:space="preserve">Tasa libre de riesgo del escenario (se mueve con la inflación)</t>
  </si>
  <si>
    <t xml:space="preserve">Cambio en la tasa libre de riesgo vs. WACC!B5</t>
  </si>
  <si>
    <t xml:space="preserve">Cambio en el costo de la deuda Kd (= cambio en Rf)</t>
  </si>
  <si>
    <t xml:space="preserve">Beta sin deuda que usa el modelo en este escenario</t>
  </si>
  <si>
    <t xml:space="preserve">Inflación aplicada 2026E–2030E (escenario seleccionado)</t>
  </si>
  <si>
    <t xml:space="preserve">TABLA COMPARATIVA DE ESCENARIOS (resultados del DCF completo de cada hoja)</t>
  </si>
  <si>
    <t xml:space="preserve">SENSIBILIDAD WACC vs. g (precio objetivo, MXN) — del modelo principal</t>
  </si>
  <si>
    <t xml:space="preserve">Unidad</t>
  </si>
  <si>
    <t xml:space="preserve">WACC (filas) / g (columnas)</t>
  </si>
  <si>
    <t xml:space="preserve">Inflación (2026E–2030E)</t>
  </si>
  <si>
    <t xml:space="preserve">%</t>
  </si>
  <si>
    <t xml:space="preserve">Crecimiento de ventas (CAGR 2025–2030E)</t>
  </si>
  <si>
    <t xml:space="preserve">Margen EBIT promedio 2026E–2030E</t>
  </si>
  <si>
    <t xml:space="preserve">Beta apalancada (iterada en el DCF)</t>
  </si>
  <si>
    <t xml:space="preserve">Costo de capital Ke (iterado)</t>
  </si>
  <si>
    <t xml:space="preserve">WACC (iterado)</t>
  </si>
  <si>
    <t xml:space="preserve">INFLACIÓN vs. VALOR DE LA ACCIÓN (solo inflación, con su efecto en tasas)</t>
  </si>
  <si>
    <t xml:space="preserve">Valor por acción (MXN)</t>
  </si>
  <si>
    <t xml:space="preserve">Flujo proyectado: FCF 2030E</t>
  </si>
  <si>
    <t xml:space="preserve">mdp</t>
  </si>
  <si>
    <t xml:space="preserve">Suma del valor presente de FCF 2026E–2030E</t>
  </si>
  <si>
    <t xml:space="preserve">Valor terminal Gordon (2030E)</t>
  </si>
  <si>
    <t xml:space="preserve">Valor terminal ponderado 50% Gordon / 50% múltiplo (2030E)</t>
  </si>
  <si>
    <t xml:space="preserve">Enterprise Value (ponderado, cierre 2025)</t>
  </si>
  <si>
    <t xml:space="preserve">BETA VS COSTO DEL CAPITAL (costo del capital = tasa libre de riesgo + beta x prima de riesgo)</t>
  </si>
  <si>
    <t xml:space="preserve">Equity Value (a la fecha de valuación)</t>
  </si>
  <si>
    <t xml:space="preserve">Beta</t>
  </si>
  <si>
    <t xml:space="preserve">Ke</t>
  </si>
  <si>
    <t xml:space="preserve">Beta del modelo</t>
  </si>
  <si>
    <t xml:space="preserve">Valor por acción</t>
  </si>
  <si>
    <t xml:space="preserve">MXN</t>
  </si>
  <si>
    <t xml:space="preserve">Precio de mercado</t>
  </si>
  <si>
    <t xml:space="preserve">Diferencia absoluta (valor menos precio)</t>
  </si>
  <si>
    <t xml:space="preserve">Diferencia porcentual</t>
  </si>
  <si>
    <t xml:space="preserve">Recomendación (comprar o vender si la diferencia pasa de 15%)</t>
  </si>
  <si>
    <t xml:space="preserve">INTERPRETACIÓN (se actualiza sola)</t>
  </si>
  <si>
    <t xml:space="preserve">CRECIMIENTO PERPETUO vs. ENTERPRISE VALUE (WACC del modelo principal)</t>
  </si>
  <si>
    <t xml:space="preserve">EV ponderado (mdp)</t>
  </si>
  <si>
    <t xml:space="preserve">TORNADO — impacto de cada variable en el valor por acción (una a la vez; las demás en Base)</t>
  </si>
  <si>
    <t xml:space="preserve">Valor conservador</t>
  </si>
  <si>
    <t xml:space="preserve">Valor optimista</t>
  </si>
  <si>
    <t xml:space="preserve">Precio con valor conservador</t>
  </si>
  <si>
    <t xml:space="preserve">Precio con valor optimista</t>
  </si>
  <si>
    <t xml:space="preserve">Cambio vs Base (malo)</t>
  </si>
  <si>
    <t xml:space="preserve">Cambio vs Base (bueno)</t>
  </si>
  <si>
    <t xml:space="preserve">Rango (MXN)</t>
  </si>
  <si>
    <t xml:space="preserve">Lugar</t>
  </si>
  <si>
    <t xml:space="preserve">Inflación (con su efecto en tasas)</t>
  </si>
  <si>
    <t xml:space="preserve">Margen de operación (EBIT)</t>
  </si>
  <si>
    <t xml:space="preserve">Beta (más o menos un error típico)</t>
  </si>
  <si>
    <t xml:space="preserve">Variable (ordenada por impacto)</t>
  </si>
  <si>
    <t xml:space="preserve">Cambio caso malo</t>
  </si>
  <si>
    <t xml:space="preserve">Cambio caso bueno</t>
  </si>
  <si>
    <t xml:space="preserve">POR QUÉ SE ELIGIERON ESTOS SUPUESTOS</t>
  </si>
  <si>
    <t xml:space="preserve">1. Inflación: el Base usa el modelo exponencial trimestral del último año (método de clase). El Conservador usa 4%, que es el techo del rango que acepta Banxico. El Optimista usa la proyección más baja de los modelos de tendencia.</t>
  </si>
  <si>
    <t xml:space="preserve">2. Tasas: cuando sube la inflación también suben la tasa libre de riesgo y el costo de la deuda (se conserva la tasa real del escenario base). Por eso más inflación significa un WACC más alto.</t>
  </si>
  <si>
    <t xml:space="preserve">3. Crecimiento de ventas: un punto porcentual menos por año en el Conservador (Soriana sigue perdiendo clientes frente a tiendas de descuento y el consumo está débil) y uno más en el Optimista (recupera participación).</t>
  </si>
  <si>
    <t xml:space="preserve">4. Margen de operación: un cuarto de punto menos en el Conservador (salarios, energía y fletes que no se pueden pasar al precio) y un cuarto de punto más en el Optimista (ahorros y servicios financieros).</t>
  </si>
  <si>
    <t xml:space="preserve">5. Beta: el Base usa la beta de la regresión. El Conservador le suma un error típico y el Optimista se lo resta; es el rango que los propios datos no permiten descartar.</t>
  </si>
  <si>
    <t xml:space="preserve">6. Crecimiento perpetuo: 3.0%, 3.5% y 4.0%. Las razones están en la hoja Crecimiento Perpetuo (meta de Banxico, inflación esperada, crecimiento de la economía y tasa del bono).</t>
  </si>
  <si>
    <t xml:space="preserve">VALIDACIÓN DE RESULTADOS</t>
  </si>
  <si>
    <t xml:space="preserve">Aquí se compara el valor que calcula el modelo contra el precio real de la acción, se listan los supuestos y las limitaciones, se mide la sensibilidad y se comprueba que las fórmulas cuadren por otro camino.</t>
  </si>
  <si>
    <t xml:space="preserve">1. PRECIO DE MERCADO CONTRA VALOR ESTIMADO</t>
  </si>
  <si>
    <t xml:space="preserve">Modelo principal</t>
  </si>
  <si>
    <t xml:space="preserve">Precio de mercado (MXN)</t>
  </si>
  <si>
    <t xml:space="preserve">Último cierre de Soriana B pegado en Base de Datos (fecha en WACC B14).</t>
  </si>
  <si>
    <t xml:space="preserve">Valor estimado por acción (MXN)</t>
  </si>
  <si>
    <t xml:space="preserve">Resultado del DCF: valor del capital entre el número de acciones.</t>
  </si>
  <si>
    <t xml:space="preserve">Diferencia absoluta (MXN)</t>
  </si>
  <si>
    <t xml:space="preserve">Pesos de más (positivo) o de menos (negativo) que vale la acción según el modelo.</t>
  </si>
  <si>
    <t xml:space="preserve">Positiva: el modelo dice que la acción está barata. Negativa: que está cara.</t>
  </si>
  <si>
    <t xml:space="preserve">Enterprise Value (mdp, cierre 2025)</t>
  </si>
  <si>
    <t xml:space="preserve">Valor de toda la operación: flujos futuros traídos a hoy.</t>
  </si>
  <si>
    <t xml:space="preserve">Equity Value (mdp, fecha de valuación)</t>
  </si>
  <si>
    <t xml:space="preserve">Lo que les toca a los accionistas después de restar deuda y sumar efectivo.</t>
  </si>
  <si>
    <t xml:space="preserve">Valor terminal (mdp, 2030, promedio Gordon y múltiplo)</t>
  </si>
  <si>
    <t xml:space="preserve">Valor de todos los flujos después de 2030.</t>
  </si>
  <si>
    <t xml:space="preserve">Peso del valor terminal en el Enterprise Value</t>
  </si>
  <si>
    <t xml:space="preserve">Qué tanto del valor depende de lo que pase después de 2030.</t>
  </si>
  <si>
    <t xml:space="preserve">Recomendación (si la diferencia pasa de 15%)</t>
  </si>
  <si>
    <t xml:space="preserve">Comprar, mantener o vender.</t>
  </si>
  <si>
    <t xml:space="preserve">Precio combinado (50% DCF y 50% múltiplos de competidores)</t>
  </si>
  <si>
    <t xml:space="preserve">Contraste con el método de múltiplos.</t>
  </si>
  <si>
    <t xml:space="preserve">2. SUPUESTOS UTILIZADOS</t>
  </si>
  <si>
    <t xml:space="preserve">Supuesto</t>
  </si>
  <si>
    <t xml:space="preserve">De dónde sale</t>
  </si>
  <si>
    <t xml:space="preserve">Inflación anual 2026 a 2030</t>
  </si>
  <si>
    <t xml:space="preserve">Modelos de tendencia de la inflación (hoja Inflación), escenario activo.</t>
  </si>
  <si>
    <t xml:space="preserve">Crecimiento de ventas promedio 2026 a 2030</t>
  </si>
  <si>
    <t xml:space="preserve">Variables externas (economía, competencia) mezcladas con la tendencia de los últimos trimestres.</t>
  </si>
  <si>
    <t xml:space="preserve">Margen de operación (EBIT) promedio 2026 a 2030</t>
  </si>
  <si>
    <t xml:space="preserve">Margen de 2025 ajustado por salarios, energía, ahorros y otros factores.</t>
  </si>
  <si>
    <t xml:space="preserve">Bono M a 10 años (ajustado por la inflación del escenario).</t>
  </si>
  <si>
    <t xml:space="preserve">Rendimiento extra que se pide a las acciones sobre los bonos.</t>
  </si>
  <si>
    <t xml:space="preserve">Beta (regresión semanal, con la deuda del DCF)</t>
  </si>
  <si>
    <t xml:space="preserve">Regresión de rendimientos semanales de Soriana contra el IPC (hoja Beta Regresión).</t>
  </si>
  <si>
    <t xml:space="preserve">Costo del capital</t>
  </si>
  <si>
    <t xml:space="preserve">Tasa libre de riesgo + beta x prima de riesgo.</t>
  </si>
  <si>
    <t xml:space="preserve">Costo de la deuda antes de impuestos</t>
  </si>
  <si>
    <t xml:space="preserve">Tasa que se espera pagar en 2026.</t>
  </si>
  <si>
    <t xml:space="preserve">Tasa efectiva proyectada.</t>
  </si>
  <si>
    <t xml:space="preserve">Deuda total (mdp)</t>
  </si>
  <si>
    <t xml:space="preserve">Deuda bancaria y bursátil más arrendamientos (2025).</t>
  </si>
  <si>
    <t xml:space="preserve">WACC usado en el DCF</t>
  </si>
  <si>
    <t xml:space="preserve">WACC iterado (hoja Proyección Final, filas 205 a 222).</t>
  </si>
  <si>
    <t xml:space="preserve">Hoja Crecimiento Perpetuo.</t>
  </si>
  <si>
    <t xml:space="preserve">Múltiplo de salida EV/EBITDA</t>
  </si>
  <si>
    <t xml:space="preserve">Mediana de Walmex, Chedraui y La Comer con 10% de descuento.</t>
  </si>
  <si>
    <t xml:space="preserve">Peso de Gordon y del múltiplo en el valor terminal</t>
  </si>
  <si>
    <t xml:space="preserve">50% y 50%</t>
  </si>
  <si>
    <t xml:space="preserve">Promedio de los dos métodos.</t>
  </si>
  <si>
    <t xml:space="preserve">Hoja WACC.</t>
  </si>
  <si>
    <t xml:space="preserve">Fecha del último precio pegado.</t>
  </si>
  <si>
    <t xml:space="preserve">3. SENSIBILIDAD DE LOS RESULTADOS (precio objetivo en MXN)</t>
  </si>
  <si>
    <t xml:space="preserve">WACC (filas) / crecimiento perpetuo (columnas)</t>
  </si>
  <si>
    <t xml:space="preserve">4. POSIBLES RAZONES DE LA DIFERENCIA ENTRE EL VALOR Y EL PRECIO</t>
  </si>
  <si>
    <t xml:space="preserve">El mercado puede estar descontando riesgos que el modelo no capta del todo: pérdida de clientes frente a las tiendas de descuento, cierre de tiendas y poca liquidez de la acción (se negocia poco).</t>
  </si>
  <si>
    <t xml:space="preserve">El precio de un día se mueve por noticias de corto plazo; el DCF mide el valor de largo plazo con información pública al 30 de junio de 2026.</t>
  </si>
  <si>
    <t xml:space="preserve">5. LIMITACIONES DEL MODELO</t>
  </si>
  <si>
    <t xml:space="preserve">Las proyecciones de 2026 a 2030 dependen de supuestos de ventas y márgenes que pueden no cumplirse.</t>
  </si>
  <si>
    <t xml:space="preserve">La inflación se supone igual para todos los años dentro de cada escenario.</t>
  </si>
  <si>
    <t xml:space="preserve">El flujo libre del primer semestre de 2026 fue negativo (inversión mayor que el flujo de operación) y se ajusta en el puente al 30 de junio.</t>
  </si>
  <si>
    <t xml:space="preserve">La tasa libre de riesgo y la prima de mercado vienen del modelo anterior; conviene confirmarlas con una fuente fechada.</t>
  </si>
  <si>
    <t xml:space="preserve">Los precios de Soriana y del IPC vienen de Investing.com.</t>
  </si>
  <si>
    <t xml:space="preserve">6. COMPROBACIONES DE LAS FÓRMULAS (cada resultado se recalcula por otro camino)</t>
  </si>
  <si>
    <t xml:space="preserve">Comprobación</t>
  </si>
  <si>
    <t xml:space="preserve">Resultado del modelo</t>
  </si>
  <si>
    <t xml:space="preserve">Cálculo por otro camino</t>
  </si>
  <si>
    <t xml:space="preserve">El balance proyectado cuadra (activo = pasivo + capital)</t>
  </si>
  <si>
    <t xml:space="preserve">El WACC es mayor que g (condición de Gordon)</t>
  </si>
  <si>
    <t xml:space="preserve">La iteración del WACC ya no cambia (puntos base)</t>
  </si>
  <si>
    <t xml:space="preserve">Suma de flujos descontados</t>
  </si>
  <si>
    <t xml:space="preserve">Valor terminal de Gordon</t>
  </si>
  <si>
    <t xml:space="preserve">Equity Value al 30 de junio de 2026</t>
  </si>
  <si>
    <t xml:space="preserve">Valor por acción = Equity Value / acciones</t>
  </si>
  <si>
    <t xml:space="preserve">Centro de la tabla de sensibilidad = valor por acción</t>
  </si>
  <si>
    <t xml:space="preserve">Beta de la regresión = covarianza / varianza del IPC</t>
  </si>
  <si>
    <t xml:space="preserve">Inflación base = proyección del modelo trimestral</t>
  </si>
  <si>
    <t xml:space="preserve">Escenario Base de la hoja de escenarios = modelo principal</t>
  </si>
  <si>
    <t xml:space="preserve">Escenarios en orden: Conservador menor que Base menor que Optimista</t>
  </si>
  <si>
    <t xml:space="preserve">Conservador con más inflación y WACC más alto que el Base</t>
  </si>
  <si>
    <t xml:space="preserve">Datos semanales suficientes para la beta (mínimo 104 semanas)</t>
  </si>
  <si>
    <t xml:space="preserve">Controles del crecimiento perpetuo que cumplen (de 5)</t>
  </si>
  <si>
    <t xml:space="preserve">Resumen</t>
  </si>
  <si>
    <t xml:space="preserve">7. VALIDACIÓN CONTRA LA APLICACIÓN (se llena cuando la app esté lista, con los mismos supuestos)</t>
  </si>
  <si>
    <t xml:space="preserve">Resultado</t>
  </si>
  <si>
    <t xml:space="preserve">Excel</t>
  </si>
  <si>
    <t xml:space="preserve">Aplicación</t>
  </si>
  <si>
    <t xml:space="preserve">Diferencia %</t>
  </si>
  <si>
    <t xml:space="preserve">Crecimiento perpetuo</t>
  </si>
  <si>
    <t xml:space="preserve">Valor terminal (promedio, mdp)</t>
  </si>
  <si>
    <t xml:space="preserve">Enterprise Value (mdp)</t>
  </si>
  <si>
    <t xml:space="preserve">Equity Value (mdp)</t>
  </si>
  <si>
    <t xml:space="preserve">Si hay diferencias, se explican aquí (por ejemplo, redondeos o una fórmula distinta en la app).</t>
  </si>
  <si>
    <t xml:space="preserve">CONCLUSIONES DEL ESTUDIO</t>
  </si>
  <si>
    <t xml:space="preserve">Las cifras se actualizan solas con el modelo. Las respuestas a las preguntas de análisis van en el documento PDF.</t>
  </si>
  <si>
    <t xml:space="preserve">Datos</t>
  </si>
  <si>
    <t xml:space="preserve">Inflación y precio de Soriana</t>
  </si>
  <si>
    <t xml:space="preserve">Soriana y el mercado (IPC)</t>
  </si>
  <si>
    <t xml:space="preserve">Valuación</t>
  </si>
  <si>
    <t xml:space="preserve">Escenarios</t>
  </si>
  <si>
    <t xml:space="preserve">Validación</t>
  </si>
  <si>
    <t xml:space="preserve">Conclusión final</t>
  </si>
  <si>
    <t xml:space="preserve">ESCENARIOS</t>
  </si>
  <si>
    <t xml:space="preserve">OPTIMISTA</t>
  </si>
  <si>
    <t xml:space="preserve">BASE</t>
  </si>
  <si>
    <t xml:space="preserve">CONSERVADOR</t>
  </si>
  <si>
    <t xml:space="preserve">Ponderación de métodos</t>
  </si>
  <si>
    <t xml:space="preserve">Crecimiento de ventas  </t>
  </si>
  <si>
    <t xml:space="preserve">Inflación esperada</t>
  </si>
  <si>
    <t xml:space="preserve">Crecimiento del pib en México</t>
  </si>
  <si>
    <t xml:space="preserve">Crecimiento del mercado de autoservicio</t>
  </si>
  <si>
    <t xml:space="preserve">Pérdida de participación (hard discount y competidores)</t>
  </si>
  <si>
    <t xml:space="preserve">Cierre y reducción de tiendas</t>
  </si>
  <si>
    <t xml:space="preserve">Remesas y política migratoria de EU</t>
  </si>
  <si>
    <t xml:space="preserve">T-MEC y aranceles de EU</t>
  </si>
  <si>
    <t xml:space="preserve">Programas sociales y salario mínimo</t>
  </si>
  <si>
    <t xml:space="preserve">Omnicanalidad y ventas digitales</t>
  </si>
  <si>
    <t xml:space="preserve">PACIC e IEPS</t>
  </si>
  <si>
    <t xml:space="preserve">Ingresos inmobiliarios y financieros</t>
  </si>
  <si>
    <t xml:space="preserve">CRECIMIENTO DE VENTAS (MÍNIMOS CUADRADOS)</t>
  </si>
  <si>
    <t xml:space="preserve">CRECIMIENTO DE VENTAS ponderado</t>
  </si>
  <si>
    <t xml:space="preserve">MARGEN EBIT</t>
  </si>
  <si>
    <t xml:space="preserve">Austeridad, cierres y eficiencias</t>
  </si>
  <si>
    <t xml:space="preserve">Salario mínimo +13% y jornada de 40 h</t>
  </si>
  <si>
    <t xml:space="preserve">Inversión en precio (hard discount, PACIC)</t>
  </si>
  <si>
    <t xml:space="preserve">Tipo de cambio y aranceles a importaciones de Asia</t>
  </si>
  <si>
    <t xml:space="preserve">Energía, combustibles y fletes</t>
  </si>
  <si>
    <t xml:space="preserve">Rentas comerciales (tiendas arrendadas)</t>
  </si>
  <si>
    <t xml:space="preserve">Ingresos inmobiliarios y servicios financieros</t>
  </si>
  <si>
    <t xml:space="preserve">Desapalancamiento operativo por menores ventas</t>
  </si>
  <si>
    <t xml:space="preserve">Margen EBIT M. CUADRADOS</t>
  </si>
  <si>
    <t xml:space="preserve">MARGEN EBIT FINAL</t>
  </si>
  <si>
    <t xml:space="preserve">OTROS SUPUESTOS</t>
  </si>
  <si>
    <t xml:space="preserve">Depreciacion y amortización (% ventas) histórico</t>
  </si>
  <si>
    <t xml:space="preserve">Depreciación y amortización por minimos cuadrados</t>
  </si>
  <si>
    <t xml:space="preserve">Depreciación y amortizacióin (% ventas) FINAL</t>
  </si>
  <si>
    <t xml:space="preserve">Capex guía de Soriana 2026 mdp</t>
  </si>
  <si>
    <t xml:space="preserve">Inversión adicional en omnicanal y remodelación (% ventas)</t>
  </si>
  <si>
    <t xml:space="preserve">Capex (% ventas) mínimos cuadrados</t>
  </si>
  <si>
    <t xml:space="preserve">Ajuste a la tasa (paquete Económico 2027)</t>
  </si>
  <si>
    <t xml:space="preserve">ISR</t>
  </si>
  <si>
    <t xml:space="preserve">ISR, mínimos cuadrados</t>
  </si>
  <si>
    <t xml:space="preserve">ISR FINAL</t>
  </si>
  <si>
    <t xml:space="preserve">Días de inventario</t>
  </si>
  <si>
    <t xml:space="preserve">Pasivo circulante operativo</t>
  </si>
  <si>
    <t xml:space="preserve">Gastos de operación sin depreciación y amortización</t>
  </si>
  <si>
    <t xml:space="preserve">Amortización neta de deuda bursátil y bancaria </t>
  </si>
  <si>
    <t xml:space="preserve">EDOS FINANCIEROS PROYECTADOS</t>
  </si>
  <si>
    <t xml:space="preserve">ESTADO DE RESULTADOS</t>
  </si>
  <si>
    <t xml:space="preserve">Gastos de operación</t>
  </si>
  <si>
    <t xml:space="preserve">BALANCE GENERAL</t>
  </si>
  <si>
    <t xml:space="preserve">CAMBIOS EN EFECTIVO</t>
  </si>
  <si>
    <t xml:space="preserve">Aumento en inventarios</t>
  </si>
  <si>
    <t xml:space="preserve">Aumento en otros activos circulantes</t>
  </si>
  <si>
    <t xml:space="preserve">Aumento en pasivo circulante operativo</t>
  </si>
  <si>
    <t xml:space="preserve">Amortización neta de deuda</t>
  </si>
  <si>
    <t xml:space="preserve">FCF  </t>
  </si>
  <si>
    <t xml:space="preserve">Impuestos sobre EBIT</t>
  </si>
  <si>
    <t xml:space="preserve">EBIT × (1 − T)</t>
  </si>
  <si>
    <t xml:space="preserve">nversión en capital de trabajo</t>
  </si>
  <si>
    <t xml:space="preserve">FCF</t>
  </si>
  <si>
    <t xml:space="preserve">n </t>
  </si>
  <si>
    <t xml:space="preserve">1/(1+WACC)^n</t>
  </si>
  <si>
    <t xml:space="preserve">VALOR TERMINAL   </t>
  </si>
  <si>
    <t xml:space="preserve">FCF 2030 </t>
  </si>
  <si>
    <t xml:space="preserve">FCF 2030 × (1 + g)</t>
  </si>
  <si>
    <t xml:space="preserve">Valor terminal</t>
  </si>
  <si>
    <t xml:space="preserve">Factor de descuento del último año</t>
  </si>
  <si>
    <t xml:space="preserve">VPN Valor terminal</t>
  </si>
  <si>
    <t xml:space="preserve">VALOR DE LA EMPRESA, EV</t>
  </si>
  <si>
    <t xml:space="preserve">Suma de los valores presentes FCF</t>
  </si>
  <si>
    <t xml:space="preserve">VP del valor terminal</t>
  </si>
  <si>
    <t xml:space="preserve">Valor de la empresa EV</t>
  </si>
  <si>
    <t xml:space="preserve">Equity Value </t>
  </si>
  <si>
    <t xml:space="preserve">Deuda bursátil y bancaria 2025</t>
  </si>
  <si>
    <t xml:space="preserve">Pasivo por arrendamiento 2025</t>
  </si>
  <si>
    <t xml:space="preserve">Efectivo y equivalentes 2025</t>
  </si>
  <si>
    <t xml:space="preserve">PRECIO POR ACCIÓN</t>
  </si>
  <si>
    <t xml:space="preserve">PRECIO POR ACCIÓN PROYECCIÓN FINAL (MXN)</t>
  </si>
  <si>
    <t xml:space="preserve">Precio actual en bolsa</t>
  </si>
  <si>
    <t xml:space="preserve">Precio por acción de la proyección base</t>
  </si>
  <si>
    <t xml:space="preserve">Diferencia vs. Proyección</t>
  </si>
  <si>
    <t xml:space="preserve">Umbral para recomendación</t>
  </si>
  <si>
    <t xml:space="preserve">SENSIBILIDAD WACC vs g</t>
  </si>
  <si>
    <t xml:space="preserve">WACC / g </t>
  </si>
  <si>
    <t xml:space="preserve">MATRIZ DE FACTORES EXTERNOS (investigación)</t>
  </si>
  <si>
    <t xml:space="preserve">ITERACIÓN DEL WACC</t>
  </si>
  <si>
    <t xml:space="preserve">Kd antes de impuestos</t>
  </si>
  <si>
    <t xml:space="preserve">Deuda total</t>
  </si>
  <si>
    <t xml:space="preserve">Beta desapalancada</t>
  </si>
  <si>
    <t xml:space="preserve">VALOR TERMINAL POR MÚLTIPLOS</t>
  </si>
  <si>
    <t xml:space="preserve">Valor de mercado del capital €</t>
  </si>
  <si>
    <t xml:space="preserve">EBITDA FY2025</t>
  </si>
  <si>
    <t xml:space="preserve">Descuento de Soriana vs. comparables</t>
  </si>
  <si>
    <t xml:space="preserve">EBITDA 2030</t>
  </si>
  <si>
    <t xml:space="preserve">Valor terminal por múltiplo</t>
  </si>
  <si>
    <t xml:space="preserve">Precio por acción por múltiplos</t>
  </si>
  <si>
    <t xml:space="preserve">g implícita</t>
  </si>
  <si>
    <t xml:space="preserve">EV ponderado</t>
  </si>
  <si>
    <t xml:space="preserve">Precio por acción ponderado al cierre 2025</t>
  </si>
  <si>
    <t xml:space="preserve">datos</t>
  </si>
  <si>
    <t xml:space="preserve">Fecha del último balance disponible</t>
  </si>
  <si>
    <t xml:space="preserve">EV capitalizado al 2T26 = EV × (1 + WACC)^t</t>
  </si>
  <si>
    <t xml:space="preserve">(−) FCF de 1S26 (CFO − Capex real = −1,060.5; al ser negativo, restarlo aumenta el EV)</t>
  </si>
  <si>
    <t xml:space="preserve">Equity Value a la fecha de valuación = E × (1 + Ke)^t</t>
  </si>
  <si>
    <t xml:space="preserve">TORNADO 01 (UNA VARIABLE A LA VEZ) — copia completa del modelo principal con los parámetros de Escenarios!F7:F16</t>
  </si>
  <si>
    <t xml:space="preserve">Parámetros del escenario: Escenarios!E7:E16 (inflación fila 10, crecimiento fila 23, margen fila 41, g B123, Kd B206, Rf B210, βU B212). La iteración del WACC (filas 214–219) y la sensibilidad (filas 162–167) son fórmulas vivas.</t>
  </si>
  <si>
    <t xml:space="preserve">(±) Pérdida de participación (hard discount y competidores)</t>
  </si>
  <si>
    <t xml:space="preserve">(±) Cierre y reducción de tiendas</t>
  </si>
  <si>
    <t xml:space="preserve">(±) Remesas y política migratoria de EU</t>
  </si>
  <si>
    <t xml:space="preserve">(±) T-MEC y aranceles de EU (empleo industrial del Norte)</t>
  </si>
  <si>
    <t xml:space="preserve">(±) Programas sociales y salario mínimo (ingreso disponible)</t>
  </si>
  <si>
    <t xml:space="preserve">(±) Omnicanalidad y ventas digitales</t>
  </si>
  <si>
    <t xml:space="preserve">(±) PACIC e IEPS (precio tope y menor volumen)</t>
  </si>
  <si>
    <t xml:space="preserve">(±) Ingresos inmobiliarios y financieros (m² liberados, Sofipo)</t>
  </si>
  <si>
    <t xml:space="preserve">(±) Austeridad, cierres y eficiencias</t>
  </si>
  <si>
    <t xml:space="preserve">(±) Salario mínimo +13% y jornada de 40 h</t>
  </si>
  <si>
    <t xml:space="preserve">(±) Inversión en precio (hard discount, PACIC)</t>
  </si>
  <si>
    <t xml:space="preserve">(±) Tipo de cambio y aranceles a importaciones de Asia</t>
  </si>
  <si>
    <t xml:space="preserve">(±) Energía, combustibles y fletes</t>
  </si>
  <si>
    <t xml:space="preserve">(±) Rentas comerciales (tiendas arrendadas)</t>
  </si>
  <si>
    <t xml:space="preserve">(±) Ingresos inmobiliarios y servicios financieros</t>
  </si>
  <si>
    <t xml:space="preserve">(±) Desapalancamiento operativo por menores ventas</t>
  </si>
  <si>
    <t xml:space="preserve">(−) Dividendos pagados</t>
  </si>
  <si>
    <t xml:space="preserve">(±) Amortización neta de deuda</t>
  </si>
  <si>
    <t xml:space="preserve">NOPAT = EBIT × (1 − T)</t>
  </si>
  <si>
    <t xml:space="preserve">FCF = NOPAT + D&amp;A − Capex − ΔNWC</t>
  </si>
  <si>
    <t xml:space="preserve">FCF + 1 (2031E) = FCF 2030E × (1 + g)</t>
  </si>
  <si>
    <t xml:space="preserve">Valor terminal = FCF+1 / (WACC − g)</t>
  </si>
  <si>
    <t xml:space="preserve">Umbral para recomendación (±)</t>
  </si>
  <si>
    <t xml:space="preserve">WACC ↓ / g →</t>
  </si>
  <si>
    <t xml:space="preserve">Beta desapalancada (βU) del escenario (regresión semanal; ver Beta Regresión)</t>
  </si>
  <si>
    <t xml:space="preserve">(−) Efectivo y equivalentes</t>
  </si>
  <si>
    <t xml:space="preserve">(−) Descuento de Soriana vs. comparables</t>
  </si>
  <si>
    <t xml:space="preserve">TORNADO 02 (UNA VARIABLE A LA VEZ) — copia completa del modelo principal con los parámetros de Escenarios!G7:G16</t>
  </si>
  <si>
    <t xml:space="preserve">TORNADO 03 (UNA VARIABLE A LA VEZ) — copia completa del modelo principal con los parámetros de Escenarios!H7:H16</t>
  </si>
  <si>
    <t xml:space="preserve">TORNADO 04 (UNA VARIABLE A LA VEZ) — copia completa del modelo principal con los parámetros de Escenarios!I7:I16</t>
  </si>
  <si>
    <t xml:space="preserve">TORNADO 05 (UNA VARIABLE A LA VEZ) — copia completa del modelo principal con los parámetros de Escenarios!J7:J16</t>
  </si>
  <si>
    <t xml:space="preserve">TORNADO 06 (UNA VARIABLE A LA VEZ) — copia completa del modelo principal con los parámetros de Escenarios!K7:K16</t>
  </si>
  <si>
    <t xml:space="preserve">TORNADO 07 (UNA VARIABLE A LA VEZ) — copia completa del modelo principal con los parámetros de Escenarios!L7:L16</t>
  </si>
  <si>
    <t xml:space="preserve">TORNADO 08 (UNA VARIABLE A LA VEZ) — copia completa del modelo principal con los parámetros de Escenarios!M7:M16</t>
  </si>
  <si>
    <t xml:space="preserve">TORNADO 09 (UNA VARIABLE A LA VEZ) — copia completa del modelo principal con los parámetros de Escenarios!N7:N16</t>
  </si>
  <si>
    <t xml:space="preserve">TORNADO 10 (UNA VARIABLE A LA VEZ) — copia completa del modelo principal con los parámetros de Escenarios!O7:O16</t>
  </si>
</sst>
</file>

<file path=xl/styles.xml><?xml version="1.0" encoding="utf-8"?>
<styleSheet xmlns="http://schemas.openxmlformats.org/spreadsheetml/2006/main">
  <numFmts count="35">
    <numFmt numFmtId="164" formatCode="General"/>
    <numFmt numFmtId="165" formatCode="0.00%"/>
    <numFmt numFmtId="166" formatCode="#,##0.0;\(#,##0.0\);\-"/>
    <numFmt numFmtId="167" formatCode="\$#,##0.00"/>
    <numFmt numFmtId="168" formatCode="0.0%;\(0.0%\);\-"/>
    <numFmt numFmtId="169" formatCode="0.00\x"/>
    <numFmt numFmtId="170" formatCode="0.0%"/>
    <numFmt numFmtId="171" formatCode="0.0"/>
    <numFmt numFmtId="172" formatCode="#,##0"/>
    <numFmt numFmtId="173" formatCode="#,##0.0"/>
    <numFmt numFmtId="174" formatCode="\$#,##0.0000"/>
    <numFmt numFmtId="175" formatCode="@"/>
    <numFmt numFmtId="176" formatCode="0.0%;\(0.0%\)"/>
    <numFmt numFmtId="177" formatCode="0.000"/>
    <numFmt numFmtId="178" formatCode="0.00"/>
    <numFmt numFmtId="179" formatCode="dd\-mmm\-yyyy"/>
    <numFmt numFmtId="180" formatCode="m/d/yyyy"/>
    <numFmt numFmtId="181" formatCode="#,##0.00"/>
    <numFmt numFmtId="182" formatCode="General"/>
    <numFmt numFmtId="183" formatCode="mmm\-yy"/>
    <numFmt numFmtId="184" formatCode="0.000\x"/>
    <numFmt numFmtId="185" formatCode="0"/>
    <numFmt numFmtId="186" formatCode="0.0000"/>
    <numFmt numFmtId="187" formatCode="\$#,##0.00;&quot;($&quot;#,##0.00\);\-"/>
    <numFmt numFmtId="188" formatCode="0.00%;\(0.00%\);\-"/>
    <numFmt numFmtId="189" formatCode="0.0;\(0.0\);0.0"/>
    <numFmt numFmtId="190" formatCode="mmm\-yyyy"/>
    <numFmt numFmtId="191" formatCode="0.000000"/>
    <numFmt numFmtId="192" formatCode="0%"/>
    <numFmt numFmtId="193" formatCode="0.0000%"/>
    <numFmt numFmtId="194" formatCode="0.00000000"/>
    <numFmt numFmtId="195" formatCode="#,##0;\(#,##0\);\-"/>
    <numFmt numFmtId="196" formatCode="\$0.00"/>
    <numFmt numFmtId="197" formatCode="0.0\x"/>
    <numFmt numFmtId="198" formatCode="0.000%"/>
  </numFmts>
  <fonts count="47">
    <font>
      <sz val="11"/>
      <color theme="1"/>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theme="1"/>
      <name val="Calibri"/>
      <family val="2"/>
      <charset val="1"/>
    </font>
    <font>
      <sz val="11"/>
      <color rgb="FF000000"/>
      <name val="Calibri"/>
      <family val="2"/>
      <charset val="1"/>
    </font>
    <font>
      <sz val="9"/>
      <color rgb="FF000000"/>
      <name val="Calibri"/>
      <family val="2"/>
      <charset val="1"/>
    </font>
    <font>
      <b val="true"/>
      <sz val="14"/>
      <color theme="1"/>
      <name val="Calibri"/>
      <family val="2"/>
      <charset val="1"/>
    </font>
    <font>
      <i val="true"/>
      <sz val="9"/>
      <color theme="1"/>
      <name val="Calibri"/>
      <family val="2"/>
      <charset val="1"/>
    </font>
    <font>
      <sz val="11"/>
      <name val="Calibri"/>
      <family val="2"/>
      <charset val="1"/>
    </font>
    <font>
      <sz val="11"/>
      <color theme="1"/>
      <name val="Arial"/>
      <family val="2"/>
      <charset val="1"/>
    </font>
    <font>
      <b val="true"/>
      <sz val="14"/>
      <color theme="1"/>
      <name val="Arial"/>
      <family val="2"/>
      <charset val="1"/>
    </font>
    <font>
      <i val="true"/>
      <sz val="9"/>
      <color theme="1"/>
      <name val="Arial"/>
      <family val="2"/>
      <charset val="1"/>
    </font>
    <font>
      <b val="true"/>
      <sz val="11"/>
      <color theme="1"/>
      <name val="Arial"/>
      <family val="2"/>
      <charset val="1"/>
    </font>
    <font>
      <sz val="10"/>
      <color theme="1"/>
      <name val="Arial"/>
      <family val="2"/>
      <charset val="1"/>
    </font>
    <font>
      <b val="true"/>
      <sz val="10"/>
      <color theme="1"/>
      <name val="Arial"/>
      <family val="2"/>
      <charset val="1"/>
    </font>
    <font>
      <b val="true"/>
      <sz val="14"/>
      <name val="Arial"/>
      <family val="0"/>
      <charset val="1"/>
    </font>
    <font>
      <i val="true"/>
      <sz val="9"/>
      <color rgb="FF5D5D60"/>
      <name val="Arial"/>
      <family val="2"/>
      <charset val="1"/>
    </font>
    <font>
      <b val="true"/>
      <sz val="11"/>
      <name val="Arial"/>
      <family val="2"/>
      <charset val="1"/>
    </font>
    <font>
      <b val="true"/>
      <sz val="11"/>
      <name val="Arial"/>
      <family val="0"/>
      <charset val="1"/>
    </font>
    <font>
      <sz val="11"/>
      <name val="Arial"/>
      <family val="0"/>
      <charset val="1"/>
    </font>
    <font>
      <sz val="9"/>
      <color theme="1"/>
      <name val="Calibri"/>
      <family val="2"/>
      <charset val="1"/>
    </font>
    <font>
      <sz val="9"/>
      <color rgb="FF595959"/>
      <name val="Calibri"/>
      <family val="2"/>
      <charset val="1"/>
    </font>
    <font>
      <b val="true"/>
      <sz val="14"/>
      <color rgb="FF000000"/>
      <name val="Calibri"/>
      <family val="2"/>
      <charset val="1"/>
    </font>
    <font>
      <i val="true"/>
      <sz val="11"/>
      <color rgb="FF000000"/>
      <name val="Calibri"/>
      <family val="2"/>
      <charset val="1"/>
    </font>
    <font>
      <b val="true"/>
      <sz val="18"/>
      <color rgb="FF000000"/>
      <name val="Calibri"/>
      <family val="2"/>
    </font>
    <font>
      <sz val="10"/>
      <color rgb="FF000000"/>
      <name val="Calibri"/>
      <family val="2"/>
    </font>
    <font>
      <b val="true"/>
      <sz val="10"/>
      <color rgb="FF000000"/>
      <name val="Calibri"/>
      <family val="2"/>
    </font>
    <font>
      <i val="true"/>
      <sz val="11"/>
      <color theme="1"/>
      <name val="Calibri"/>
      <family val="2"/>
      <charset val="1"/>
    </font>
    <font>
      <b val="true"/>
      <sz val="11"/>
      <name val="Calibri"/>
      <family val="2"/>
      <charset val="1"/>
    </font>
    <font>
      <sz val="10"/>
      <name val="Arial"/>
      <family val="2"/>
    </font>
    <font>
      <sz val="11"/>
      <color rgb="FF000000"/>
      <name val="Arial"/>
      <family val="2"/>
      <charset val="1"/>
    </font>
    <font>
      <sz val="11"/>
      <name val="Arial"/>
      <family val="2"/>
      <charset val="1"/>
    </font>
    <font>
      <b val="true"/>
      <sz val="11"/>
      <color theme="1"/>
      <name val="Cambria"/>
      <family val="1"/>
      <charset val="1"/>
    </font>
    <font>
      <b val="true"/>
      <sz val="12"/>
      <color theme="1"/>
      <name val="Calibri"/>
      <family val="2"/>
      <charset val="1"/>
    </font>
    <font>
      <sz val="8"/>
      <color theme="1"/>
      <name val="Calibri"/>
      <family val="2"/>
      <charset val="1"/>
    </font>
    <font>
      <b val="true"/>
      <sz val="11"/>
      <color rgb="FFFF0000"/>
      <name val="Calibri"/>
      <family val="2"/>
      <charset val="1"/>
    </font>
    <font>
      <b val="true"/>
      <sz val="10"/>
      <color rgb="FF000000"/>
      <name val="Cambria"/>
      <family val="1"/>
      <charset val="1"/>
    </font>
    <font>
      <i val="true"/>
      <sz val="9"/>
      <color rgb="FF000000"/>
      <name val="Cambria"/>
      <family val="1"/>
      <charset val="1"/>
    </font>
    <font>
      <b val="true"/>
      <sz val="11"/>
      <color rgb="FF000000"/>
      <name val="Cambria"/>
      <family val="1"/>
      <charset val="1"/>
    </font>
    <font>
      <sz val="48"/>
      <color rgb="FF000000"/>
      <name val="Arial"/>
      <family val="2"/>
      <charset val="1"/>
    </font>
    <font>
      <b val="true"/>
      <sz val="11"/>
      <name val="Aptos Narrow"/>
      <family val="2"/>
      <charset val="1"/>
    </font>
    <font>
      <sz val="11"/>
      <name val="Aptos Narrow"/>
      <family val="2"/>
      <charset val="1"/>
    </font>
    <font>
      <b val="true"/>
      <sz val="11"/>
      <name val="Cambria"/>
      <family val="1"/>
      <charset val="1"/>
    </font>
    <font>
      <sz val="11"/>
      <color rgb="FF000000"/>
      <name val="Aptos Narrow"/>
      <family val="2"/>
      <charset val="1"/>
    </font>
    <font>
      <i val="true"/>
      <sz val="9"/>
      <color rgb="FF5D5D60"/>
      <name val="Cambria"/>
      <family val="1"/>
      <charset val="1"/>
    </font>
  </fonts>
  <fills count="5">
    <fill>
      <patternFill patternType="none"/>
    </fill>
    <fill>
      <patternFill patternType="gray125"/>
    </fill>
    <fill>
      <patternFill patternType="solid">
        <fgColor theme="4" tint="0.7998"/>
        <bgColor rgb="FFD9D9D9"/>
      </patternFill>
    </fill>
    <fill>
      <patternFill patternType="solid">
        <fgColor rgb="FFFFFF00"/>
        <bgColor rgb="FFFFFF00"/>
      </patternFill>
    </fill>
    <fill>
      <patternFill patternType="solid">
        <fgColor theme="0"/>
        <bgColor rgb="FFFFFFCC"/>
      </patternFill>
    </fill>
  </fills>
  <borders count="19">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style="thin"/>
      <right/>
      <top/>
      <bottom style="thin"/>
      <diagonal/>
    </border>
    <border diagonalUp="false" diagonalDown="false">
      <left style="thin"/>
      <right style="thin"/>
      <top/>
      <bottom style="thin"/>
      <diagonal/>
    </border>
    <border diagonalUp="false" diagonalDown="false">
      <left style="thin"/>
      <right/>
      <top/>
      <bottom/>
      <diagonal/>
    </border>
    <border diagonalUp="false" diagonalDown="false">
      <left style="medium"/>
      <right style="medium"/>
      <top style="medium"/>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right style="thin"/>
      <top style="thin"/>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7" fontId="6" fillId="0" borderId="1" xfId="0" applyFont="true" applyBorder="true" applyAlignment="true" applyProtection="false">
      <alignment horizontal="center" vertical="bottom" textRotation="0" wrapText="false" indent="0" shrinkToFit="false"/>
      <protection locked="true" hidden="false"/>
    </xf>
    <xf numFmtId="168" fontId="6"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9" fontId="6" fillId="0" borderId="1" xfId="0" applyFont="true" applyBorder="true" applyAlignment="true" applyProtection="false">
      <alignment horizontal="center" vertical="bottom" textRotation="0" wrapText="false" indent="0" shrinkToFit="false"/>
      <protection locked="true" hidden="false"/>
    </xf>
    <xf numFmtId="170" fontId="6" fillId="0" borderId="1" xfId="0" applyFont="true" applyBorder="true" applyAlignment="true" applyProtection="false">
      <alignment horizontal="center" vertical="bottom" textRotation="0" wrapText="false" indent="0" shrinkToFit="false"/>
      <protection locked="true" hidden="false"/>
    </xf>
    <xf numFmtId="171" fontId="6" fillId="0" borderId="1"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72" fontId="6" fillId="0" borderId="1" xfId="0" applyFont="true" applyBorder="true" applyAlignment="true" applyProtection="false">
      <alignment horizontal="center" vertical="center" textRotation="0" wrapText="false" indent="0" shrinkToFit="false"/>
      <protection locked="true" hidden="false"/>
    </xf>
    <xf numFmtId="173" fontId="6" fillId="0" borderId="1" xfId="0" applyFont="true" applyBorder="true" applyAlignment="true" applyProtection="false">
      <alignment horizontal="center" vertical="center" textRotation="0" wrapText="false" indent="0" shrinkToFit="false"/>
      <protection locked="true" hidden="false"/>
    </xf>
    <xf numFmtId="173" fontId="4"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73" fontId="10" fillId="0" borderId="2"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70" fontId="6" fillId="0" borderId="1" xfId="0" applyFont="true" applyBorder="true" applyAlignment="true" applyProtection="false">
      <alignment horizontal="center" vertical="center" textRotation="0" wrapText="false" indent="0" shrinkToFit="false"/>
      <protection locked="true" hidden="false"/>
    </xf>
    <xf numFmtId="169" fontId="6" fillId="0" borderId="1" xfId="0" applyFont="true" applyBorder="true" applyAlignment="true" applyProtection="false">
      <alignment horizontal="center" vertical="center" textRotation="0" wrapText="fals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74" fontId="6" fillId="0"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75" fontId="6" fillId="0" borderId="1" xfId="0" applyFont="true" applyBorder="true" applyAlignment="true" applyProtection="false">
      <alignment horizontal="center" vertical="center" textRotation="0" wrapText="false" indent="0" shrinkToFit="false"/>
      <protection locked="true" hidden="false"/>
    </xf>
    <xf numFmtId="176" fontId="6" fillId="0" borderId="1" xfId="0" applyFont="true" applyBorder="true" applyAlignment="true" applyProtection="false">
      <alignment horizontal="center" vertical="center" textRotation="0" wrapText="false" indent="0" shrinkToFit="false"/>
      <protection locked="true" hidden="false"/>
    </xf>
    <xf numFmtId="171" fontId="6" fillId="0" borderId="1" xfId="0" applyFont="true" applyBorder="true" applyAlignment="true" applyProtection="false">
      <alignment horizontal="center" vertical="center" textRotation="0" wrapText="false" indent="0" shrinkToFit="false"/>
      <protection locked="true" hidden="false"/>
    </xf>
    <xf numFmtId="177" fontId="6" fillId="0" borderId="1" xfId="0" applyFont="true" applyBorder="true" applyAlignment="true" applyProtection="false">
      <alignment horizontal="center" vertical="center" textRotation="0" wrapText="false" indent="0" shrinkToFit="false"/>
      <protection locked="true" hidden="false"/>
    </xf>
    <xf numFmtId="178" fontId="6"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4" fillId="0" borderId="1" xfId="0"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6" fontId="6" fillId="0" borderId="3" xfId="0" applyFont="true" applyBorder="true" applyAlignment="true" applyProtection="false">
      <alignment horizontal="center" vertical="bottom" textRotation="0" wrapText="false" indent="0" shrinkToFit="false"/>
      <protection locked="true" hidden="false"/>
    </xf>
    <xf numFmtId="166" fontId="4" fillId="0" borderId="3"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2" fontId="14" fillId="0" borderId="0" xfId="0" applyFont="true" applyBorder="false" applyAlignment="false" applyProtection="false">
      <alignment horizontal="general" vertical="bottom" textRotation="0" wrapText="false" indent="0" shrinkToFit="false"/>
      <protection locked="true" hidden="false"/>
    </xf>
    <xf numFmtId="179" fontId="1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80" fontId="1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81" fontId="15" fillId="0" borderId="0" xfId="0" applyFont="true" applyBorder="false" applyAlignment="false" applyProtection="false">
      <alignment horizontal="general" vertical="bottom" textRotation="0" wrapText="false" indent="0" shrinkToFit="false"/>
      <protection locked="true" hidden="false"/>
    </xf>
    <xf numFmtId="179" fontId="11" fillId="0" borderId="0" xfId="0" applyFont="true" applyBorder="false" applyAlignment="false" applyProtection="false">
      <alignment horizontal="general" vertical="bottom" textRotation="0" wrapText="false" indent="0" shrinkToFit="false"/>
      <protection locked="true" hidden="false"/>
    </xf>
    <xf numFmtId="178" fontId="11"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80"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left" vertical="center" textRotation="0" wrapText="fals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xf numFmtId="172" fontId="21" fillId="0" borderId="1" xfId="0" applyFont="true" applyBorder="true" applyAlignment="true" applyProtection="false">
      <alignment horizontal="center" vertical="center" textRotation="0" wrapText="false" indent="0" shrinkToFit="false"/>
      <protection locked="true" hidden="false"/>
    </xf>
    <xf numFmtId="164" fontId="21" fillId="0" borderId="1" xfId="0" applyFont="true" applyBorder="true" applyAlignment="true" applyProtection="false">
      <alignment horizontal="left" vertical="center" textRotation="0" wrapText="false" indent="0" shrinkToFit="false"/>
      <protection locked="true" hidden="false"/>
    </xf>
    <xf numFmtId="181" fontId="20" fillId="0" borderId="1" xfId="0" applyFont="true" applyBorder="true" applyAlignment="true" applyProtection="false">
      <alignment horizontal="center" vertical="center" textRotation="0" wrapText="false" indent="0" shrinkToFit="false"/>
      <protection locked="true" hidden="false"/>
    </xf>
    <xf numFmtId="179" fontId="21" fillId="0" borderId="1" xfId="0" applyFont="true" applyBorder="true" applyAlignment="true" applyProtection="false">
      <alignment horizontal="center" vertical="center" textRotation="0" wrapText="false" indent="0" shrinkToFit="false"/>
      <protection locked="true" hidden="false"/>
    </xf>
    <xf numFmtId="181" fontId="21" fillId="0"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79" fontId="21" fillId="0" borderId="0" xfId="0" applyFont="true" applyBorder="false" applyAlignment="false" applyProtection="false">
      <alignment horizontal="general" vertical="bottom" textRotation="0" wrapText="false" indent="0" shrinkToFit="false"/>
      <protection locked="true" hidden="false"/>
    </xf>
    <xf numFmtId="181" fontId="21" fillId="0" borderId="0" xfId="0" applyFont="true" applyBorder="false" applyAlignment="false" applyProtection="false">
      <alignment horizontal="general" vertical="bottom" textRotation="0" wrapText="false" indent="0" shrinkToFit="false"/>
      <protection locked="true" hidden="false"/>
    </xf>
    <xf numFmtId="182" fontId="21" fillId="0" borderId="0" xfId="0" applyFont="true" applyBorder="false" applyAlignment="false" applyProtection="false">
      <alignment horizontal="general" vertical="bottom" textRotation="0" wrapText="false" indent="0" shrinkToFit="false"/>
      <protection locked="true" hidden="false"/>
    </xf>
    <xf numFmtId="165" fontId="21" fillId="0" borderId="0" xfId="0" applyFont="true" applyBorder="false" applyAlignment="false" applyProtection="false">
      <alignment horizontal="general" vertical="bottom" textRotation="0" wrapText="false" indent="0" shrinkToFit="false"/>
      <protection locked="true" hidden="false"/>
    </xf>
    <xf numFmtId="178" fontId="4" fillId="0" borderId="1"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8" fontId="6" fillId="0"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81" fontId="6" fillId="0" borderId="1" xfId="0" applyFont="true" applyBorder="true" applyAlignment="true" applyProtection="false">
      <alignment horizontal="center" vertical="bottom" textRotation="0" wrapText="false" indent="0" shrinkToFit="false"/>
      <protection locked="true" hidden="false"/>
    </xf>
    <xf numFmtId="179" fontId="6" fillId="0" borderId="1" xfId="0" applyFont="true" applyBorder="true" applyAlignment="true" applyProtection="false">
      <alignment horizontal="center" vertical="bottom" textRotation="0" wrapText="false" indent="0" shrinkToFit="false"/>
      <protection locked="true" hidden="false"/>
    </xf>
    <xf numFmtId="183" fontId="6" fillId="0" borderId="1" xfId="0" applyFont="true" applyBorder="true" applyAlignment="true" applyProtection="false">
      <alignment horizontal="center" vertical="bottom" textRotation="0" wrapText="false" indent="0" shrinkToFit="false"/>
      <protection locked="true" hidden="false"/>
    </xf>
    <xf numFmtId="184" fontId="6" fillId="0" borderId="1"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4" fillId="0" borderId="4" xfId="0" applyFont="true" applyBorder="true" applyAlignment="true" applyProtection="false">
      <alignment horizontal="center" vertical="bottom" textRotation="0" wrapText="false" indent="0" shrinkToFit="false"/>
      <protection locked="true" hidden="false"/>
    </xf>
    <xf numFmtId="164" fontId="4" fillId="0" borderId="5" xfId="0" applyFont="true" applyBorder="true" applyAlignment="true" applyProtection="false">
      <alignment horizontal="center" vertical="bottom" textRotation="0" wrapText="false" indent="0" shrinkToFit="false"/>
      <protection locked="true" hidden="false"/>
    </xf>
    <xf numFmtId="185" fontId="6" fillId="0" borderId="1" xfId="0" applyFont="true" applyBorder="true" applyAlignment="true" applyProtection="false">
      <alignment horizontal="center" vertical="bottom" textRotation="0" wrapText="false" indent="0" shrinkToFit="false"/>
      <protection locked="true" hidden="false"/>
    </xf>
    <xf numFmtId="186" fontId="6"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7" fontId="6"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87" fontId="6" fillId="0" borderId="1" xfId="0" applyFont="true" applyBorder="true" applyAlignment="true" applyProtection="false">
      <alignment horizontal="center" vertical="center" textRotation="0" wrapText="true" indent="0" shrinkToFit="false"/>
      <protection locked="true" hidden="false"/>
    </xf>
    <xf numFmtId="168" fontId="6" fillId="0" borderId="1" xfId="0" applyFont="true" applyBorder="true" applyAlignment="true" applyProtection="false">
      <alignment horizontal="center" vertical="center" textRotation="0" wrapText="false" indent="0" shrinkToFit="false"/>
      <protection locked="true" hidden="false"/>
    </xf>
    <xf numFmtId="168" fontId="6" fillId="0" borderId="1"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0" borderId="1" xfId="0" applyFont="true" applyBorder="true" applyAlignment="true" applyProtection="false">
      <alignment horizontal="center" vertical="bottom" textRotation="0" wrapText="false" indent="0" shrinkToFit="false"/>
      <protection locked="true" hidden="false"/>
    </xf>
    <xf numFmtId="166" fontId="25" fillId="0" borderId="1" xfId="0" applyFont="true" applyBorder="true" applyAlignment="true" applyProtection="false">
      <alignment horizontal="center" vertical="bottom" textRotation="0" wrapText="false" indent="0" shrinkToFit="false"/>
      <protection locked="true" hidden="false"/>
    </xf>
    <xf numFmtId="173" fontId="6"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85" fontId="6" fillId="0" borderId="1" xfId="0" applyFont="true" applyBorder="true" applyAlignment="true" applyProtection="false">
      <alignment horizontal="center" vertical="center" textRotation="0" wrapText="false" indent="0" shrinkToFit="false"/>
      <protection locked="true" hidden="false"/>
    </xf>
    <xf numFmtId="188" fontId="6" fillId="0" borderId="1" xfId="0" applyFont="true" applyBorder="true" applyAlignment="true" applyProtection="false">
      <alignment horizontal="center" vertical="center" textRotation="0" wrapText="false" indent="0" shrinkToFit="false"/>
      <protection locked="true" hidden="false"/>
    </xf>
    <xf numFmtId="189" fontId="6" fillId="0" borderId="1" xfId="0" applyFont="true" applyBorder="true" applyAlignment="true" applyProtection="false">
      <alignment horizontal="center" vertical="center" textRotation="0" wrapText="false" indent="0" shrinkToFit="false"/>
      <protection locked="true" hidden="false"/>
    </xf>
    <xf numFmtId="166" fontId="4" fillId="0" borderId="1" xfId="0" applyFont="true" applyBorder="true" applyAlignment="true" applyProtection="false">
      <alignment horizontal="center" vertical="center" textRotation="0" wrapText="false" indent="0" shrinkToFit="false"/>
      <protection locked="true" hidden="false"/>
    </xf>
    <xf numFmtId="164" fontId="4" fillId="0" borderId="4" xfId="0" applyFont="true" applyBorder="true" applyAlignment="true" applyProtection="false">
      <alignment horizontal="center" vertical="center" textRotation="0" wrapText="false" indent="0" shrinkToFit="false"/>
      <protection locked="true" hidden="false"/>
    </xf>
    <xf numFmtId="189" fontId="4" fillId="0" borderId="1" xfId="0" applyFont="true" applyBorder="true" applyAlignment="true" applyProtection="false">
      <alignment horizontal="center" vertical="center" textRotation="0" wrapText="false" indent="0" shrinkToFit="false"/>
      <protection locked="true" hidden="false"/>
    </xf>
    <xf numFmtId="171" fontId="4" fillId="0" borderId="1" xfId="0" applyFont="true" applyBorder="true" applyAlignment="true" applyProtection="false">
      <alignment horizontal="center" vertical="center" textRotation="0" wrapText="false" indent="0" shrinkToFit="false"/>
      <protection locked="true" hidden="false"/>
    </xf>
    <xf numFmtId="186" fontId="6" fillId="0" borderId="1" xfId="0" applyFont="true" applyBorder="true" applyAlignment="true" applyProtection="false">
      <alignment horizontal="center" vertical="center" textRotation="0" wrapText="false" indent="0" shrinkToFit="false"/>
      <protection locked="true" hidden="false"/>
    </xf>
    <xf numFmtId="165" fontId="4" fillId="0" borderId="1" xfId="0" applyFont="true" applyBorder="true" applyAlignment="true" applyProtection="false">
      <alignment horizontal="center" vertical="center" textRotation="0" wrapText="false" indent="0" shrinkToFit="false"/>
      <protection locked="true" hidden="false"/>
    </xf>
    <xf numFmtId="186" fontId="4"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72" fontId="11" fillId="0" borderId="1" xfId="0" applyFont="true" applyBorder="true" applyAlignment="false" applyProtection="false">
      <alignment horizontal="general" vertical="bottom" textRotation="0" wrapText="false" indent="0" shrinkToFit="false"/>
      <protection locked="true" hidden="false"/>
    </xf>
    <xf numFmtId="179" fontId="11"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90" fontId="11" fillId="0" borderId="0" xfId="0" applyFont="true" applyBorder="false" applyAlignment="false" applyProtection="false">
      <alignment horizontal="general" vertical="bottom" textRotation="0" wrapText="false" indent="0" shrinkToFit="false"/>
      <protection locked="true" hidden="false"/>
    </xf>
    <xf numFmtId="181"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83" fontId="11"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91" fontId="11" fillId="0" borderId="1" xfId="0" applyFont="true" applyBorder="true" applyAlignment="false" applyProtection="false">
      <alignment horizontal="general" vertical="bottom" textRotation="0" wrapText="false" indent="0" shrinkToFit="false"/>
      <protection locked="true" hidden="false"/>
    </xf>
    <xf numFmtId="186" fontId="11"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77" fontId="11" fillId="0" borderId="1" xfId="0" applyFont="true" applyBorder="true" applyAlignment="true" applyProtection="false">
      <alignment horizontal="left" vertical="center" textRotation="0" wrapText="false" indent="0" shrinkToFit="false"/>
      <protection locked="true" hidden="false"/>
    </xf>
    <xf numFmtId="182" fontId="11" fillId="0" borderId="1" xfId="0" applyFont="true" applyBorder="true" applyAlignment="true" applyProtection="false">
      <alignment horizontal="left" vertical="center"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81" fontId="11" fillId="0" borderId="1" xfId="0" applyFont="true" applyBorder="true" applyAlignment="false" applyProtection="false">
      <alignment horizontal="general" vertical="bottom" textRotation="0" wrapText="false" indent="0" shrinkToFit="false"/>
      <protection locked="true" hidden="false"/>
    </xf>
    <xf numFmtId="190" fontId="11" fillId="0" borderId="1" xfId="0" applyFont="true" applyBorder="true" applyAlignment="false" applyProtection="false">
      <alignment horizontal="general" vertical="bottom" textRotation="0" wrapText="false" indent="0" shrinkToFit="false"/>
      <protection locked="true" hidden="false"/>
    </xf>
    <xf numFmtId="178" fontId="11" fillId="0" borderId="1" xfId="0" applyFont="true" applyBorder="true" applyAlignment="false" applyProtection="false">
      <alignment horizontal="general" vertical="bottom" textRotation="0" wrapText="false" indent="0" shrinkToFit="false"/>
      <protection locked="true" hidden="false"/>
    </xf>
    <xf numFmtId="193" fontId="11" fillId="0" borderId="1" xfId="0" applyFont="true" applyBorder="true" applyAlignment="false" applyProtection="false">
      <alignment horizontal="general" vertical="bottom" textRotation="0" wrapText="false" indent="0" shrinkToFit="false"/>
      <protection locked="true" hidden="false"/>
    </xf>
    <xf numFmtId="177" fontId="11" fillId="0" borderId="1" xfId="0" applyFont="true" applyBorder="true" applyAlignment="false" applyProtection="false">
      <alignment horizontal="general" vertical="bottom" textRotation="0" wrapText="false" indent="0" shrinkToFit="false"/>
      <protection locked="true" hidden="false"/>
    </xf>
    <xf numFmtId="194" fontId="11" fillId="0" borderId="1" xfId="0" applyFont="true" applyBorder="true" applyAlignment="false" applyProtection="false">
      <alignment horizontal="general" vertical="bottom" textRotation="0" wrapText="false" indent="0" shrinkToFit="false"/>
      <protection locked="true" hidden="false"/>
    </xf>
    <xf numFmtId="186" fontId="14" fillId="0" borderId="1" xfId="0" applyFont="true" applyBorder="tru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30" fillId="0" borderId="1" xfId="0" applyFont="true" applyBorder="true" applyAlignment="true" applyProtection="false">
      <alignment horizontal="center" vertical="center" textRotation="0" wrapText="true" indent="0" shrinkToFit="false"/>
      <protection locked="true" hidden="false"/>
    </xf>
    <xf numFmtId="164" fontId="30"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88" fontId="10" fillId="2" borderId="1" xfId="0" applyFont="true" applyBorder="true" applyAlignment="true" applyProtection="false">
      <alignment horizontal="general" vertical="center" textRotation="0" wrapText="true" indent="0" shrinkToFit="false"/>
      <protection locked="true" hidden="false"/>
    </xf>
    <xf numFmtId="164" fontId="30" fillId="0" borderId="1" xfId="0" applyFont="true" applyBorder="true" applyAlignment="true" applyProtection="false">
      <alignment horizontal="general" vertical="center" textRotation="0" wrapText="false" indent="0" shrinkToFit="false"/>
      <protection locked="true" hidden="false"/>
    </xf>
    <xf numFmtId="188" fontId="30" fillId="2" borderId="1" xfId="0" applyFont="true" applyBorder="tru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32" fillId="0" borderId="0" xfId="0" applyFont="true" applyBorder="false" applyAlignment="true" applyProtection="false">
      <alignment horizontal="left" vertical="center" textRotation="0" wrapText="false" indent="0" shrinkToFit="false"/>
      <protection locked="true" hidden="false"/>
    </xf>
    <xf numFmtId="164" fontId="33" fillId="0" borderId="1" xfId="0" applyFont="true" applyBorder="true" applyAlignment="true" applyProtection="false">
      <alignment horizontal="center" vertical="center" textRotation="0" wrapText="false" indent="0" shrinkToFit="false"/>
      <protection locked="true" hidden="false"/>
    </xf>
    <xf numFmtId="168" fontId="33" fillId="0" borderId="1" xfId="0" applyFont="true" applyBorder="tru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88" fontId="33" fillId="0" borderId="1" xfId="0" applyFont="true" applyBorder="true" applyAlignment="true" applyProtection="false">
      <alignment horizontal="center" vertical="center" textRotation="0" wrapText="false" indent="0" shrinkToFit="false"/>
      <protection locked="true" hidden="false"/>
    </xf>
    <xf numFmtId="169" fontId="33" fillId="0" borderId="1" xfId="0" applyFont="true" applyBorder="true" applyAlignment="true" applyProtection="false">
      <alignment horizontal="center" vertical="center" textRotation="0" wrapText="false" indent="0" shrinkToFit="false"/>
      <protection locked="true" hidden="false"/>
    </xf>
    <xf numFmtId="188" fontId="19" fillId="0" borderId="1" xfId="0" applyFont="true" applyBorder="true" applyAlignment="true" applyProtection="false">
      <alignment horizontal="center" vertical="center" textRotation="0" wrapText="false" indent="0" shrinkToFit="false"/>
      <protection locked="true" hidden="false"/>
    </xf>
    <xf numFmtId="195" fontId="33" fillId="0" borderId="1" xfId="0" applyFont="true" applyBorder="true" applyAlignment="true" applyProtection="false">
      <alignment horizontal="center" vertical="center" textRotation="0" wrapText="false" indent="0" shrinkToFit="false"/>
      <protection locked="true" hidden="false"/>
    </xf>
    <xf numFmtId="168" fontId="19" fillId="0" borderId="1" xfId="0" applyFont="true" applyBorder="true" applyAlignment="true" applyProtection="false">
      <alignment horizontal="center" vertical="center" textRotation="0" wrapText="false" indent="0" shrinkToFit="false"/>
      <protection locked="true" hidden="false"/>
    </xf>
    <xf numFmtId="171" fontId="33" fillId="0" borderId="1" xfId="0" applyFont="true" applyBorder="true" applyAlignment="true" applyProtection="false">
      <alignment horizontal="center" vertical="center" textRotation="0" wrapText="false" indent="0" shrinkToFit="false"/>
      <protection locked="true" hidden="false"/>
    </xf>
    <xf numFmtId="166" fontId="33" fillId="0" borderId="1" xfId="0" applyFont="true" applyBorder="true" applyAlignment="true" applyProtection="false">
      <alignment horizontal="center" vertical="center" textRotation="0" wrapText="false" indent="0" shrinkToFit="false"/>
      <protection locked="true" hidden="false"/>
    </xf>
    <xf numFmtId="166" fontId="19" fillId="0" borderId="1" xfId="0" applyFont="true" applyBorder="true" applyAlignment="true" applyProtection="false">
      <alignment horizontal="center" vertical="center" textRotation="0" wrapText="false" indent="0" shrinkToFit="false"/>
      <protection locked="true" hidden="false"/>
    </xf>
    <xf numFmtId="185" fontId="33" fillId="0" borderId="1" xfId="0" applyFont="true" applyBorder="true" applyAlignment="true" applyProtection="false">
      <alignment horizontal="center" vertical="center" textRotation="0" wrapText="false" indent="0" shrinkToFit="false"/>
      <protection locked="true" hidden="false"/>
    </xf>
    <xf numFmtId="186" fontId="33" fillId="0" borderId="1" xfId="0" applyFont="true" applyBorder="true" applyAlignment="true" applyProtection="false">
      <alignment horizontal="center" vertical="center" textRotation="0" wrapText="false" indent="0" shrinkToFit="false"/>
      <protection locked="true" hidden="false"/>
    </xf>
    <xf numFmtId="172" fontId="33" fillId="0" borderId="1" xfId="0" applyFont="true" applyBorder="true" applyAlignment="true" applyProtection="false">
      <alignment horizontal="center" vertical="center" textRotation="0" wrapText="false" indent="0" shrinkToFit="false"/>
      <protection locked="true" hidden="false"/>
    </xf>
    <xf numFmtId="196" fontId="19" fillId="0" borderId="1" xfId="0" applyFont="true" applyBorder="true" applyAlignment="true" applyProtection="false">
      <alignment horizontal="center" vertical="center" textRotation="0" wrapText="false" indent="0" shrinkToFit="false"/>
      <protection locked="true" hidden="false"/>
    </xf>
    <xf numFmtId="196" fontId="33" fillId="0" borderId="1" xfId="0" applyFont="true" applyBorder="true" applyAlignment="true" applyProtection="false">
      <alignment horizontal="center" vertical="center" textRotation="0" wrapText="false" indent="0" shrinkToFit="false"/>
      <protection locked="true" hidden="false"/>
    </xf>
    <xf numFmtId="196" fontId="19" fillId="3" borderId="1" xfId="0" applyFont="true" applyBorder="true" applyAlignment="true" applyProtection="false">
      <alignment horizontal="center" vertical="center" textRotation="0" wrapText="false" indent="0" shrinkToFit="false"/>
      <protection locked="true" hidden="false"/>
    </xf>
    <xf numFmtId="178" fontId="33" fillId="0" borderId="1" xfId="0" applyFont="true" applyBorder="true" applyAlignment="true" applyProtection="false">
      <alignment horizontal="center" vertical="center"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97" fontId="19" fillId="0" borderId="1" xfId="0" applyFont="true" applyBorder="true" applyAlignment="true" applyProtection="false">
      <alignment horizontal="center" vertical="center" textRotation="0" wrapText="false" indent="0" shrinkToFit="false"/>
      <protection locked="true" hidden="false"/>
    </xf>
    <xf numFmtId="185" fontId="19" fillId="0" borderId="1" xfId="0" applyFont="true" applyBorder="true" applyAlignment="true" applyProtection="false">
      <alignment horizontal="center" vertical="center" textRotation="0" wrapText="false" indent="0" shrinkToFit="false"/>
      <protection locked="true" hidden="false"/>
    </xf>
    <xf numFmtId="197" fontId="33" fillId="0" borderId="1" xfId="0" applyFont="true" applyBorder="true" applyAlignment="true" applyProtection="false">
      <alignment horizontal="center" vertical="center" textRotation="0" wrapText="false" indent="0" shrinkToFit="false"/>
      <protection locked="true" hidden="false"/>
    </xf>
    <xf numFmtId="179" fontId="33" fillId="0" borderId="1" xfId="0" applyFont="true" applyBorder="true" applyAlignment="true" applyProtection="false">
      <alignment horizontal="center" vertical="center" textRotation="0" wrapText="false" indent="0" shrinkToFit="false"/>
      <protection locked="true" hidden="false"/>
    </xf>
    <xf numFmtId="164" fontId="34" fillId="0" borderId="1" xfId="0" applyFont="true" applyBorder="true" applyAlignment="true" applyProtection="false">
      <alignment horizontal="center" vertical="bottom" textRotation="0" wrapText="false" indent="0" shrinkToFit="false"/>
      <protection locked="true" hidden="false"/>
    </xf>
    <xf numFmtId="164" fontId="34" fillId="0" borderId="6" xfId="0" applyFont="true" applyBorder="true" applyAlignment="true" applyProtection="false">
      <alignment horizontal="general" vertical="top" textRotation="0" wrapText="true" indent="0" shrinkToFit="false"/>
      <protection locked="true" hidden="false"/>
    </xf>
    <xf numFmtId="164" fontId="34" fillId="0" borderId="7" xfId="0" applyFont="true" applyBorder="true" applyAlignment="true" applyProtection="false">
      <alignment horizontal="general" vertical="top" textRotation="0" wrapText="true" indent="0" shrinkToFit="false"/>
      <protection locked="true" hidden="false"/>
    </xf>
    <xf numFmtId="164" fontId="34" fillId="0" borderId="0" xfId="0" applyFont="true" applyBorder="false" applyAlignment="true" applyProtection="false">
      <alignment horizontal="general" vertical="top" textRotation="0" wrapText="true" indent="0" shrinkToFit="false"/>
      <protection locked="true" hidden="false"/>
    </xf>
    <xf numFmtId="164" fontId="0" fillId="0" borderId="3"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78"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34" fillId="0" borderId="3" xfId="0" applyFont="true" applyBorder="true" applyAlignment="true" applyProtection="false">
      <alignment horizontal="general" vertical="top" textRotation="0" wrapText="true" indent="0" shrinkToFit="false"/>
      <protection locked="true" hidden="false"/>
    </xf>
    <xf numFmtId="186" fontId="0" fillId="0" borderId="3" xfId="0" applyFont="false" applyBorder="true" applyAlignment="false" applyProtection="false">
      <alignment horizontal="general" vertical="bottom" textRotation="0" wrapText="false" indent="0" shrinkToFit="false"/>
      <protection locked="true" hidden="false"/>
    </xf>
    <xf numFmtId="186" fontId="0" fillId="0"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86" fontId="1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34" fillId="0" borderId="1" xfId="0" applyFont="true" applyBorder="true" applyAlignment="true" applyProtection="false">
      <alignment horizontal="general" vertical="top" textRotation="0" wrapText="true" indent="0" shrinkToFit="false"/>
      <protection locked="true" hidden="false"/>
    </xf>
    <xf numFmtId="164" fontId="34" fillId="0" borderId="1" xfId="0" applyFont="true" applyBorder="true" applyAlignment="false" applyProtection="false">
      <alignment horizontal="general" vertical="bottom" textRotation="0" wrapText="false" indent="0" shrinkToFit="false"/>
      <protection locked="true" hidden="false"/>
    </xf>
    <xf numFmtId="178" fontId="34" fillId="0" borderId="1" xfId="0" applyFont="true" applyBorder="true" applyAlignment="false" applyProtection="false">
      <alignment horizontal="general" vertical="bottom" textRotation="0" wrapText="false" indent="0" shrinkToFit="false"/>
      <protection locked="true" hidden="false"/>
    </xf>
    <xf numFmtId="164" fontId="34" fillId="0" borderId="4" xfId="0" applyFont="true" applyBorder="true" applyAlignment="true" applyProtection="false">
      <alignment horizontal="center" vertical="top" textRotation="0" wrapText="true" indent="0" shrinkToFit="false"/>
      <protection locked="true" hidden="false"/>
    </xf>
    <xf numFmtId="193" fontId="0" fillId="0" borderId="1" xfId="0" applyFont="false" applyBorder="tru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34" fillId="0" borderId="1" xfId="0" applyFont="true" applyBorder="true" applyAlignment="true" applyProtection="false">
      <alignment horizontal="center" vertical="top" textRotation="0" wrapText="tru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5" fontId="21" fillId="0" borderId="1" xfId="0" applyFont="true" applyBorder="true" applyAlignment="false" applyProtection="false">
      <alignment horizontal="general" vertical="bottom" textRotation="0" wrapText="false" indent="0" shrinkToFit="false"/>
      <protection locked="true" hidden="false"/>
    </xf>
    <xf numFmtId="172" fontId="21" fillId="0" borderId="1"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72" fontId="0" fillId="0" borderId="1" xfId="0" applyFont="false" applyBorder="true" applyAlignment="true" applyProtection="false">
      <alignment horizontal="left" vertical="center" textRotation="0" wrapText="false" indent="0" shrinkToFit="false"/>
      <protection locked="true" hidden="false"/>
    </xf>
    <xf numFmtId="170" fontId="0" fillId="0" borderId="1" xfId="0" applyFont="false" applyBorder="true" applyAlignment="true" applyProtection="false">
      <alignment horizontal="left" vertical="center" textRotation="0" wrapText="false" indent="0" shrinkToFit="false"/>
      <protection locked="true" hidden="false"/>
    </xf>
    <xf numFmtId="171" fontId="0" fillId="0" borderId="1" xfId="0" applyFont="fals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9" fontId="0" fillId="0" borderId="1" xfId="0" applyFont="fals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81"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9" fontId="0" fillId="0" borderId="1"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9" fontId="0" fillId="0" borderId="0" xfId="0" applyFont="false" applyBorder="fals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85"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81" fontId="0" fillId="0" borderId="1" xfId="0" applyFont="false" applyBorder="true" applyAlignment="true" applyProtection="false">
      <alignment horizontal="center" vertical="center" textRotation="0" wrapText="false" indent="0" shrinkToFit="false"/>
      <protection locked="true" hidden="false"/>
    </xf>
    <xf numFmtId="173" fontId="0" fillId="0" borderId="1" xfId="0" applyFont="fals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true" applyProtection="false">
      <alignment horizontal="center" vertical="center"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4" fontId="0" fillId="0" borderId="1" xfId="0" applyFont="false" applyBorder="true" applyAlignment="true" applyProtection="false">
      <alignment horizontal="left" vertical="bottom" textRotation="0" wrapText="true" indent="0" shrinkToFit="false"/>
      <protection locked="true" hidden="false"/>
    </xf>
    <xf numFmtId="179" fontId="0" fillId="0" borderId="1" xfId="0" applyFont="fals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79" fontId="0" fillId="0" borderId="1" xfId="0" applyFont="fals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73" fontId="0" fillId="0" borderId="1" xfId="0" applyFont="false" applyBorder="true" applyAlignment="true" applyProtection="false">
      <alignment horizontal="left" vertical="bottom" textRotation="0" wrapText="false" indent="0" shrinkToFit="false"/>
      <protection locked="true" hidden="false"/>
    </xf>
    <xf numFmtId="169" fontId="0" fillId="0" borderId="1" xfId="0" applyFont="fals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3" xfId="0" applyFont="fals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85" fontId="0" fillId="0" borderId="0" xfId="0" applyFont="false" applyBorder="fals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top" textRotation="0" wrapText="tru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1" xfId="0" applyFont="true" applyBorder="true" applyAlignment="true" applyProtection="false">
      <alignment horizontal="general" vertical="top" textRotation="0" wrapText="tru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92" fontId="40"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92"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86" fontId="21" fillId="0" borderId="1" xfId="0" applyFont="true" applyBorder="true" applyAlignment="false" applyProtection="false">
      <alignment horizontal="general" vertical="bottom" textRotation="0" wrapText="false" indent="0" shrinkToFit="false"/>
      <protection locked="true" hidden="false"/>
    </xf>
    <xf numFmtId="193" fontId="21" fillId="0" borderId="1" xfId="0" applyFont="true" applyBorder="true" applyAlignment="false" applyProtection="false">
      <alignment horizontal="general" vertical="bottom" textRotation="0" wrapText="false" indent="0" shrinkToFit="false"/>
      <protection locked="true" hidden="false"/>
    </xf>
    <xf numFmtId="165" fontId="20" fillId="0" borderId="1" xfId="0" applyFont="true" applyBorder="true" applyAlignment="false" applyProtection="false">
      <alignment horizontal="general" vertical="bottom" textRotation="0" wrapText="false" indent="0" shrinkToFit="false"/>
      <protection locked="true" hidden="false"/>
    </xf>
    <xf numFmtId="181" fontId="21" fillId="0" borderId="1" xfId="0" applyFont="true" applyBorder="true" applyAlignment="false" applyProtection="false">
      <alignment horizontal="general" vertical="bottom" textRotation="0" wrapText="false" indent="0" shrinkToFit="false"/>
      <protection locked="true" hidden="false"/>
    </xf>
    <xf numFmtId="181" fontId="20" fillId="0" borderId="1" xfId="0" applyFont="true" applyBorder="true" applyAlignment="false" applyProtection="false">
      <alignment horizontal="general" vertical="bottom" textRotation="0" wrapText="false" indent="0" shrinkToFit="false"/>
      <protection locked="true" hidden="false"/>
    </xf>
    <xf numFmtId="178" fontId="21"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81" fontId="20" fillId="0" borderId="0" xfId="0" applyFont="true" applyBorder="false" applyAlignment="false" applyProtection="false">
      <alignment horizontal="general" vertical="bottom" textRotation="0" wrapText="false" indent="0" shrinkToFit="false"/>
      <protection locked="true" hidden="false"/>
    </xf>
    <xf numFmtId="172" fontId="21" fillId="0" borderId="0" xfId="0" applyFont="true" applyBorder="false" applyAlignment="false" applyProtection="false">
      <alignment horizontal="general" vertical="bottom" textRotation="0" wrapText="false" indent="0" shrinkToFit="false"/>
      <protection locked="true" hidden="false"/>
    </xf>
    <xf numFmtId="186" fontId="21" fillId="0" borderId="0" xfId="0" applyFont="true" applyBorder="false" applyAlignment="false" applyProtection="false">
      <alignment horizontal="general" vertical="bottom" textRotation="0" wrapText="false" indent="0" shrinkToFit="false"/>
      <protection locked="true" hidden="false"/>
    </xf>
    <xf numFmtId="178" fontId="21"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91" fontId="21" fillId="0" borderId="0" xfId="0" applyFont="true" applyBorder="false" applyAlignment="false" applyProtection="false">
      <alignment horizontal="general" vertical="bottom" textRotation="0" wrapText="false" indent="0" shrinkToFit="false"/>
      <protection locked="true" hidden="false"/>
    </xf>
    <xf numFmtId="198" fontId="21" fillId="0" borderId="0" xfId="0" applyFont="true" applyBorder="false" applyAlignment="false" applyProtection="false">
      <alignment horizontal="general" vertical="bottom" textRotation="0" wrapText="false" indent="0" shrinkToFit="false"/>
      <protection locked="true" hidden="false"/>
    </xf>
    <xf numFmtId="164" fontId="11" fillId="0" borderId="8"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left" vertical="center" textRotation="0" wrapText="false" indent="0" shrinkToFit="false"/>
      <protection locked="true" hidden="false"/>
    </xf>
    <xf numFmtId="164" fontId="41" fillId="0" borderId="9" xfId="0" applyFont="true" applyBorder="true" applyAlignment="true" applyProtection="false">
      <alignment horizontal="center" vertical="center" textRotation="0" wrapText="false" indent="0" shrinkToFit="false"/>
      <protection locked="true" hidden="false"/>
    </xf>
    <xf numFmtId="164" fontId="33" fillId="3" borderId="1" xfId="0" applyFont="true" applyBorder="true" applyAlignment="true" applyProtection="false">
      <alignment horizontal="center" vertical="center" textRotation="0" wrapText="false" indent="0" shrinkToFit="false"/>
      <protection locked="true" hidden="false"/>
    </xf>
    <xf numFmtId="164" fontId="33" fillId="0" borderId="7" xfId="0" applyFont="true" applyBorder="true" applyAlignment="true" applyProtection="false">
      <alignment horizontal="center" vertical="center" textRotation="0" wrapText="false" indent="0" shrinkToFit="false"/>
      <protection locked="true" hidden="false"/>
    </xf>
    <xf numFmtId="164" fontId="42" fillId="0" borderId="1" xfId="0" applyFont="true" applyBorder="true" applyAlignment="true" applyProtection="false">
      <alignment horizontal="center" vertical="center" textRotation="0" wrapText="false" indent="0" shrinkToFit="false"/>
      <protection locked="true" hidden="false"/>
    </xf>
    <xf numFmtId="164" fontId="43" fillId="0" borderId="1" xfId="0" applyFont="true" applyBorder="true" applyAlignment="true" applyProtection="false">
      <alignment horizontal="center" vertical="center" textRotation="0" wrapText="false" indent="0" shrinkToFit="false"/>
      <protection locked="true" hidden="false"/>
    </xf>
    <xf numFmtId="168" fontId="43" fillId="0" borderId="1" xfId="0" applyFont="true" applyBorder="true" applyAlignment="true" applyProtection="false">
      <alignment horizontal="center" vertical="center" textRotation="0" wrapText="false" indent="0" shrinkToFit="false"/>
      <protection locked="true" hidden="false"/>
    </xf>
    <xf numFmtId="164" fontId="43" fillId="0" borderId="0" xfId="0" applyFont="true" applyBorder="false" applyAlignment="true" applyProtection="false">
      <alignment horizontal="center" vertical="center" textRotation="0" wrapText="false" indent="0" shrinkToFit="false"/>
      <protection locked="true" hidden="false"/>
    </xf>
    <xf numFmtId="188" fontId="43" fillId="0" borderId="1" xfId="0" applyFont="true" applyBorder="true" applyAlignment="true" applyProtection="false">
      <alignment horizontal="center" vertical="center" textRotation="0" wrapText="false" indent="0" shrinkToFit="false"/>
      <protection locked="true" hidden="false"/>
    </xf>
    <xf numFmtId="169" fontId="43" fillId="0" borderId="1" xfId="0" applyFont="true" applyBorder="true" applyAlignment="true" applyProtection="false">
      <alignment horizontal="center" vertical="center" textRotation="0" wrapText="false" indent="0" shrinkToFit="false"/>
      <protection locked="true" hidden="false"/>
    </xf>
    <xf numFmtId="188" fontId="42" fillId="0" borderId="1" xfId="0" applyFont="true" applyBorder="true" applyAlignment="true" applyProtection="false">
      <alignment horizontal="center" vertical="center" textRotation="0" wrapText="false" indent="0" shrinkToFit="false"/>
      <protection locked="true" hidden="false"/>
    </xf>
    <xf numFmtId="195" fontId="43" fillId="0" borderId="1" xfId="0" applyFont="true" applyBorder="true" applyAlignment="true" applyProtection="false">
      <alignment horizontal="center" vertical="center" textRotation="0" wrapText="false" indent="0" shrinkToFit="false"/>
      <protection locked="true" hidden="false"/>
    </xf>
    <xf numFmtId="168" fontId="42" fillId="0" borderId="1" xfId="0" applyFont="true" applyBorder="true" applyAlignment="true" applyProtection="false">
      <alignment horizontal="center" vertical="center" textRotation="0" wrapText="false" indent="0" shrinkToFit="false"/>
      <protection locked="true" hidden="false"/>
    </xf>
    <xf numFmtId="171" fontId="10" fillId="0" borderId="1" xfId="0" applyFont="true" applyBorder="true" applyAlignment="true" applyProtection="false">
      <alignment horizontal="center" vertical="center" textRotation="0" wrapText="false" indent="0" shrinkToFit="false"/>
      <protection locked="true" hidden="false"/>
    </xf>
    <xf numFmtId="168" fontId="10" fillId="0" borderId="1" xfId="0" applyFont="true" applyBorder="true" applyAlignment="true" applyProtection="false">
      <alignment horizontal="center" vertical="center" textRotation="0" wrapText="false" indent="0" shrinkToFit="false"/>
      <protection locked="true" hidden="false"/>
    </xf>
    <xf numFmtId="188" fontId="10" fillId="0"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33" fillId="3" borderId="0" xfId="0" applyFont="true" applyBorder="false" applyAlignment="true" applyProtection="false">
      <alignment horizontal="left" vertical="center" textRotation="0" wrapText="false" indent="0" shrinkToFit="false"/>
      <protection locked="true" hidden="false"/>
    </xf>
    <xf numFmtId="164" fontId="30" fillId="0" borderId="1" xfId="0" applyFont="true" applyBorder="true" applyAlignment="true" applyProtection="false">
      <alignment horizontal="center" vertical="center" textRotation="0" wrapText="false" indent="0" shrinkToFit="false"/>
      <protection locked="true" hidden="false"/>
    </xf>
    <xf numFmtId="166" fontId="3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85" fontId="10" fillId="0" borderId="1" xfId="0" applyFont="true" applyBorder="true" applyAlignment="true" applyProtection="false">
      <alignment horizontal="center" vertical="center" textRotation="0" wrapText="false" indent="0" shrinkToFit="false"/>
      <protection locked="true" hidden="false"/>
    </xf>
    <xf numFmtId="186" fontId="10" fillId="0" borderId="1" xfId="0" applyFont="true" applyBorder="true" applyAlignment="true" applyProtection="false">
      <alignment horizontal="center" vertical="center" textRotation="0" wrapText="false" indent="0" shrinkToFit="false"/>
      <protection locked="true" hidden="false"/>
    </xf>
    <xf numFmtId="172" fontId="10" fillId="0" borderId="1" xfId="0" applyFont="true" applyBorder="true" applyAlignment="true" applyProtection="false">
      <alignment horizontal="center" vertical="center" textRotation="0" wrapText="false" indent="0" shrinkToFit="false"/>
      <protection locked="true" hidden="false"/>
    </xf>
    <xf numFmtId="196" fontId="30" fillId="0" borderId="1" xfId="0" applyFont="true" applyBorder="true" applyAlignment="true" applyProtection="false">
      <alignment horizontal="center" vertical="center" textRotation="0" wrapText="false" indent="0" shrinkToFit="false"/>
      <protection locked="true" hidden="false"/>
    </xf>
    <xf numFmtId="196" fontId="10" fillId="0" borderId="1" xfId="0" applyFont="true" applyBorder="true" applyAlignment="true" applyProtection="false">
      <alignment horizontal="center" vertical="center" textRotation="0" wrapText="false" indent="0" shrinkToFit="false"/>
      <protection locked="true" hidden="false"/>
    </xf>
    <xf numFmtId="164" fontId="33" fillId="0" borderId="4" xfId="0" applyFont="true" applyBorder="true" applyAlignment="true" applyProtection="false">
      <alignment horizontal="center" vertical="center" textRotation="0" wrapText="false" indent="0" shrinkToFit="false"/>
      <protection locked="true" hidden="false"/>
    </xf>
    <xf numFmtId="188" fontId="33" fillId="0" borderId="4" xfId="0" applyFont="true" applyBorder="true" applyAlignment="true" applyProtection="false">
      <alignment horizontal="center" vertical="center" textRotation="0" wrapText="false" indent="0" shrinkToFit="false"/>
      <protection locked="true" hidden="false"/>
    </xf>
    <xf numFmtId="188" fontId="10" fillId="0" borderId="4" xfId="0" applyFont="true" applyBorder="true" applyAlignment="true" applyProtection="false">
      <alignment horizontal="center" vertical="center" textRotation="0" wrapText="false" indent="0" shrinkToFit="false"/>
      <protection locked="true" hidden="false"/>
    </xf>
    <xf numFmtId="164" fontId="10" fillId="0" borderId="4" xfId="0" applyFont="true" applyBorder="true" applyAlignment="true" applyProtection="false">
      <alignment horizontal="center" vertical="center" textRotation="0" wrapText="false" indent="0" shrinkToFit="false"/>
      <protection locked="true" hidden="false"/>
    </xf>
    <xf numFmtId="164" fontId="33" fillId="0" borderId="10" xfId="0" applyFont="true" applyBorder="true" applyAlignment="true" applyProtection="false">
      <alignment horizontal="center" vertical="center" textRotation="0" wrapText="false" indent="0" shrinkToFit="false"/>
      <protection locked="true" hidden="false"/>
    </xf>
    <xf numFmtId="188" fontId="33" fillId="0" borderId="11" xfId="0" applyFont="true" applyBorder="true" applyAlignment="true" applyProtection="false">
      <alignment horizontal="center" vertical="center" textRotation="0" wrapText="false" indent="0" shrinkToFit="false"/>
      <protection locked="true" hidden="false"/>
    </xf>
    <xf numFmtId="188" fontId="33" fillId="0" borderId="12" xfId="0" applyFont="true" applyBorder="true" applyAlignment="true" applyProtection="false">
      <alignment horizontal="center" vertical="center" textRotation="0" wrapText="false" indent="0" shrinkToFit="false"/>
      <protection locked="true" hidden="false"/>
    </xf>
    <xf numFmtId="164" fontId="33" fillId="0" borderId="13" xfId="0" applyFont="true" applyBorder="true" applyAlignment="true" applyProtection="false">
      <alignment horizontal="center" vertical="center" textRotation="0" wrapText="false" indent="0" shrinkToFit="false"/>
      <protection locked="true" hidden="false"/>
    </xf>
    <xf numFmtId="188" fontId="30" fillId="0" borderId="10" xfId="0" applyFont="true" applyBorder="true" applyAlignment="true" applyProtection="false">
      <alignment horizontal="center" vertical="center" textRotation="0" wrapText="false" indent="0" shrinkToFit="false"/>
      <protection locked="true" hidden="false"/>
    </xf>
    <xf numFmtId="188" fontId="30" fillId="0" borderId="11" xfId="0" applyFont="true" applyBorder="true" applyAlignment="true" applyProtection="false">
      <alignment horizontal="center" vertical="center" textRotation="0" wrapText="false" indent="0" shrinkToFit="false"/>
      <protection locked="true" hidden="false"/>
    </xf>
    <xf numFmtId="188" fontId="30" fillId="0" borderId="12" xfId="0" applyFont="true" applyBorder="true" applyAlignment="true" applyProtection="false">
      <alignment horizontal="center" vertical="center" textRotation="0" wrapText="false" indent="0" shrinkToFit="false"/>
      <protection locked="true" hidden="false"/>
    </xf>
    <xf numFmtId="164" fontId="30" fillId="0" borderId="13" xfId="0" applyFont="true" applyBorder="true" applyAlignment="true" applyProtection="false">
      <alignment horizontal="center" vertical="center" textRotation="0" wrapText="false" indent="0" shrinkToFit="false"/>
      <protection locked="true" hidden="false"/>
    </xf>
    <xf numFmtId="188" fontId="33" fillId="0" borderId="14" xfId="0" applyFont="true" applyBorder="true" applyAlignment="true" applyProtection="false">
      <alignment horizontal="center" vertical="center" textRotation="0" wrapText="false" indent="0" shrinkToFit="false"/>
      <protection locked="true" hidden="false"/>
    </xf>
    <xf numFmtId="196" fontId="33" fillId="0" borderId="15" xfId="0" applyFont="true" applyBorder="true" applyAlignment="true" applyProtection="false">
      <alignment horizontal="center" vertical="center" textRotation="0" wrapText="false" indent="0" shrinkToFit="false"/>
      <protection locked="true" hidden="false"/>
    </xf>
    <xf numFmtId="165" fontId="11" fillId="0" borderId="8" xfId="0" applyFont="true" applyBorder="true" applyAlignment="false" applyProtection="false">
      <alignment horizontal="general" vertical="bottom" textRotation="0" wrapText="false" indent="0" shrinkToFit="false"/>
      <protection locked="true" hidden="false"/>
    </xf>
    <xf numFmtId="196" fontId="10" fillId="0" borderId="14" xfId="0" applyFont="true" applyBorder="true" applyAlignment="true" applyProtection="false">
      <alignment horizontal="center" vertical="center" textRotation="0" wrapText="false" indent="0" shrinkToFit="false"/>
      <protection locked="true" hidden="false"/>
    </xf>
    <xf numFmtId="196" fontId="10" fillId="0" borderId="15" xfId="0" applyFont="true" applyBorder="true" applyAlignment="true" applyProtection="false">
      <alignment horizontal="center" vertical="center" textRotation="0" wrapText="false" indent="0" shrinkToFit="false"/>
      <protection locked="true" hidden="false"/>
    </xf>
    <xf numFmtId="164" fontId="10" fillId="0" borderId="13" xfId="0" applyFont="true" applyBorder="true" applyAlignment="true" applyProtection="false">
      <alignment horizontal="center" vertical="center" textRotation="0" wrapText="false" indent="0" shrinkToFit="false"/>
      <protection locked="true" hidden="false"/>
    </xf>
    <xf numFmtId="196" fontId="33" fillId="3" borderId="1" xfId="0" applyFont="true" applyBorder="true" applyAlignment="true" applyProtection="false">
      <alignment horizontal="center" vertical="center" textRotation="0" wrapText="false" indent="0" shrinkToFit="false"/>
      <protection locked="true" hidden="false"/>
    </xf>
    <xf numFmtId="196" fontId="30" fillId="3" borderId="1" xfId="0" applyFont="true" applyBorder="true" applyAlignment="true" applyProtection="false">
      <alignment horizontal="center" vertical="center" textRotation="0" wrapText="false" indent="0" shrinkToFit="false"/>
      <protection locked="true" hidden="false"/>
    </xf>
    <xf numFmtId="188" fontId="33" fillId="0" borderId="16" xfId="0" applyFont="true" applyBorder="true" applyAlignment="true" applyProtection="false">
      <alignment horizontal="center" vertical="center" textRotation="0" wrapText="false" indent="0" shrinkToFit="false"/>
      <protection locked="true" hidden="false"/>
    </xf>
    <xf numFmtId="196" fontId="33" fillId="0" borderId="17" xfId="0" applyFont="true" applyBorder="true" applyAlignment="true" applyProtection="false">
      <alignment horizontal="center" vertical="center" textRotation="0" wrapText="false" indent="0" shrinkToFit="false"/>
      <protection locked="true" hidden="false"/>
    </xf>
    <xf numFmtId="196" fontId="33" fillId="0" borderId="18" xfId="0" applyFont="true" applyBorder="true" applyAlignment="true" applyProtection="false">
      <alignment horizontal="center" vertical="center" textRotation="0" wrapText="false" indent="0" shrinkToFit="false"/>
      <protection locked="true" hidden="false"/>
    </xf>
    <xf numFmtId="196" fontId="10" fillId="0" borderId="16" xfId="0" applyFont="true" applyBorder="true" applyAlignment="true" applyProtection="false">
      <alignment horizontal="center" vertical="center" textRotation="0" wrapText="false" indent="0" shrinkToFit="false"/>
      <protection locked="true" hidden="false"/>
    </xf>
    <xf numFmtId="196" fontId="10" fillId="0" borderId="17" xfId="0" applyFont="true" applyBorder="true" applyAlignment="true" applyProtection="false">
      <alignment horizontal="center" vertical="center" textRotation="0" wrapText="false" indent="0" shrinkToFit="false"/>
      <protection locked="true" hidden="false"/>
    </xf>
    <xf numFmtId="196" fontId="10" fillId="0" borderId="18" xfId="0" applyFont="true" applyBorder="true" applyAlignment="true" applyProtection="false">
      <alignment horizontal="center" vertical="center" textRotation="0" wrapText="false" indent="0" shrinkToFit="false"/>
      <protection locked="true" hidden="false"/>
    </xf>
    <xf numFmtId="178" fontId="33" fillId="0" borderId="7" xfId="0" applyFont="true" applyBorder="true" applyAlignment="true" applyProtection="false">
      <alignment horizontal="center" vertical="center" textRotation="0" wrapText="false" indent="0" shrinkToFit="false"/>
      <protection locked="true" hidden="false"/>
    </xf>
    <xf numFmtId="178" fontId="10" fillId="0" borderId="7" xfId="0" applyFont="true" applyBorder="true" applyAlignment="true" applyProtection="false">
      <alignment horizontal="center" vertical="center" textRotation="0" wrapText="false" indent="0" shrinkToFit="false"/>
      <protection locked="true" hidden="false"/>
    </xf>
    <xf numFmtId="164" fontId="10" fillId="0" borderId="7" xfId="0" applyFont="true" applyBorder="true" applyAlignment="true" applyProtection="false">
      <alignment horizontal="center" vertical="center" textRotation="0" wrapText="false" indent="0" shrinkToFit="false"/>
      <protection locked="true" hidden="false"/>
    </xf>
    <xf numFmtId="178" fontId="10" fillId="0" borderId="1" xfId="0" applyFont="true" applyBorder="true" applyAlignment="true" applyProtection="false">
      <alignment horizontal="center" vertical="center" textRotation="0" wrapText="false" indent="0" shrinkToFit="false"/>
      <protection locked="true" hidden="false"/>
    </xf>
    <xf numFmtId="188" fontId="30"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97" fontId="30" fillId="0" borderId="1" xfId="0" applyFont="true" applyBorder="true" applyAlignment="true" applyProtection="false">
      <alignment horizontal="center" vertical="center" textRotation="0" wrapText="false" indent="0" shrinkToFit="false"/>
      <protection locked="true" hidden="false"/>
    </xf>
    <xf numFmtId="185" fontId="30" fillId="0" borderId="1" xfId="0" applyFont="true" applyBorder="true" applyAlignment="true" applyProtection="false">
      <alignment horizontal="center" vertical="center" textRotation="0" wrapText="false" indent="0" shrinkToFit="false"/>
      <protection locked="true" hidden="false"/>
    </xf>
    <xf numFmtId="197" fontId="10" fillId="0" borderId="1" xfId="0" applyFont="true" applyBorder="true" applyAlignment="true" applyProtection="false">
      <alignment horizontal="center" vertical="center" textRotation="0" wrapText="false" indent="0" shrinkToFit="false"/>
      <protection locked="true" hidden="false"/>
    </xf>
    <xf numFmtId="179" fontId="10" fillId="0" borderId="1" xfId="0" applyFont="true" applyBorder="true" applyAlignment="true" applyProtection="false">
      <alignment horizontal="center" vertical="center" textRotation="0" wrapText="false" indent="0" shrinkToFit="false"/>
      <protection locked="true" hidden="false"/>
    </xf>
    <xf numFmtId="164" fontId="44" fillId="0" borderId="0" xfId="0" applyFont="true" applyBorder="false" applyAlignment="true" applyProtection="false">
      <alignment horizontal="left" vertical="center" textRotation="0" wrapText="false" indent="0" shrinkToFit="false"/>
      <protection locked="true" hidden="false"/>
    </xf>
    <xf numFmtId="164" fontId="45" fillId="0" borderId="0" xfId="0" applyFont="true" applyBorder="false" applyAlignment="true" applyProtection="false">
      <alignment horizontal="center" vertical="center" textRotation="0" wrapText="false" indent="0" shrinkToFit="false"/>
      <protection locked="true" hidden="false"/>
    </xf>
    <xf numFmtId="164" fontId="46" fillId="0" borderId="0" xfId="0" applyFont="true" applyBorder="false" applyAlignment="true" applyProtection="false">
      <alignment horizontal="left" vertical="center" textRotation="0" wrapText="false" indent="0" shrinkToFit="false"/>
      <protection locked="true" hidden="false"/>
    </xf>
    <xf numFmtId="164" fontId="45" fillId="0" borderId="0" xfId="0" applyFont="true" applyBorder="false" applyAlignment="true" applyProtection="false">
      <alignment horizontal="left" vertical="center" textRotation="0" wrapText="false" indent="0" shrinkToFit="false"/>
      <protection locked="true" hidden="false"/>
    </xf>
    <xf numFmtId="164" fontId="42" fillId="0"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3B3B3"/>
      <rgbColor rgb="FF7F7F7F"/>
      <rgbColor rgb="FF9999FF"/>
      <rgbColor rgb="FF993366"/>
      <rgbColor rgb="FFFFFFCC"/>
      <rgbColor rgb="FFDAE3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ED7D31"/>
      <rgbColor rgb="FF5D5D60"/>
      <rgbColor rgb="FF969696"/>
      <rgbColor rgb="FF003366"/>
      <rgbColor rgb="FF339966"/>
      <rgbColor rgb="FF003300"/>
      <rgbColor rgb="FF333300"/>
      <rgbColor rgb="FF993300"/>
      <rgbColor rgb="FF993366"/>
      <rgbColor rgb="FF1F4E7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Inflación anual quincenal</a:t>
            </a:r>
          </a:p>
        </c:rich>
      </c:tx>
      <c:overlay val="0"/>
      <c:spPr>
        <a:noFill/>
        <a:ln w="0">
          <a:noFill/>
        </a:ln>
      </c:spPr>
    </c:title>
    <c:autoTitleDeleted val="0"/>
    <c:plotArea>
      <c:scatterChart>
        <c:scatterStyle val="line"/>
        <c:varyColors val="0"/>
        <c:ser>
          <c:idx val="0"/>
          <c:order val="0"/>
          <c:tx>
            <c:strRef>
              <c:f>"Inflación %"</c:f>
              <c:strCache>
                <c:ptCount val="1"/>
                <c:pt idx="0">
                  <c:v>Inflación %</c:v>
                </c:pt>
              </c:strCache>
            </c:strRef>
          </c:tx>
          <c:spPr>
            <a:solidFill>
              <a:srgbClr val="1f4e79"/>
            </a:solidFill>
            <a:ln w="19080">
              <a:solidFill>
                <a:srgbClr val="1f4e79"/>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Inflación!$AH$10:$AH$309</c:f>
              <c:numCache>
                <c:formatCode>dd\-mmm\-yyyy</c:formatCode>
                <c:ptCount val="300"/>
                <c:pt idx="0">
                  <c:v>44562</c:v>
                </c:pt>
                <c:pt idx="1">
                  <c:v>44577</c:v>
                </c:pt>
                <c:pt idx="2">
                  <c:v>44593</c:v>
                </c:pt>
                <c:pt idx="3">
                  <c:v>44608</c:v>
                </c:pt>
                <c:pt idx="4">
                  <c:v>44621</c:v>
                </c:pt>
                <c:pt idx="5">
                  <c:v>44636</c:v>
                </c:pt>
                <c:pt idx="6">
                  <c:v>44652</c:v>
                </c:pt>
                <c:pt idx="7">
                  <c:v>44667</c:v>
                </c:pt>
                <c:pt idx="8">
                  <c:v>44682</c:v>
                </c:pt>
                <c:pt idx="9">
                  <c:v>44697</c:v>
                </c:pt>
                <c:pt idx="10">
                  <c:v>44713</c:v>
                </c:pt>
                <c:pt idx="11">
                  <c:v>44728</c:v>
                </c:pt>
                <c:pt idx="12">
                  <c:v>44743</c:v>
                </c:pt>
                <c:pt idx="13">
                  <c:v>44758</c:v>
                </c:pt>
                <c:pt idx="14">
                  <c:v>44774</c:v>
                </c:pt>
                <c:pt idx="15">
                  <c:v>44789</c:v>
                </c:pt>
                <c:pt idx="16">
                  <c:v>44805</c:v>
                </c:pt>
                <c:pt idx="17">
                  <c:v>44820</c:v>
                </c:pt>
                <c:pt idx="18">
                  <c:v>44835</c:v>
                </c:pt>
                <c:pt idx="19">
                  <c:v>44850</c:v>
                </c:pt>
                <c:pt idx="20">
                  <c:v>44866</c:v>
                </c:pt>
                <c:pt idx="21">
                  <c:v>44881</c:v>
                </c:pt>
                <c:pt idx="22">
                  <c:v>44896</c:v>
                </c:pt>
                <c:pt idx="23">
                  <c:v>44911</c:v>
                </c:pt>
                <c:pt idx="24">
                  <c:v>44927</c:v>
                </c:pt>
                <c:pt idx="25">
                  <c:v>44942</c:v>
                </c:pt>
                <c:pt idx="26">
                  <c:v>44958</c:v>
                </c:pt>
                <c:pt idx="27">
                  <c:v>44973</c:v>
                </c:pt>
                <c:pt idx="28">
                  <c:v>44986</c:v>
                </c:pt>
                <c:pt idx="29">
                  <c:v>45001</c:v>
                </c:pt>
                <c:pt idx="30">
                  <c:v>45017</c:v>
                </c:pt>
                <c:pt idx="31">
                  <c:v>45032</c:v>
                </c:pt>
                <c:pt idx="32">
                  <c:v>45047</c:v>
                </c:pt>
                <c:pt idx="33">
                  <c:v>45062</c:v>
                </c:pt>
                <c:pt idx="34">
                  <c:v>45078</c:v>
                </c:pt>
                <c:pt idx="35">
                  <c:v>45093</c:v>
                </c:pt>
                <c:pt idx="36">
                  <c:v>45108</c:v>
                </c:pt>
                <c:pt idx="37">
                  <c:v>45123</c:v>
                </c:pt>
                <c:pt idx="38">
                  <c:v>45139</c:v>
                </c:pt>
                <c:pt idx="39">
                  <c:v>45154</c:v>
                </c:pt>
                <c:pt idx="40">
                  <c:v>45170</c:v>
                </c:pt>
                <c:pt idx="41">
                  <c:v>45185</c:v>
                </c:pt>
                <c:pt idx="42">
                  <c:v>45200</c:v>
                </c:pt>
                <c:pt idx="43">
                  <c:v>45215</c:v>
                </c:pt>
                <c:pt idx="44">
                  <c:v>45231</c:v>
                </c:pt>
                <c:pt idx="45">
                  <c:v>45246</c:v>
                </c:pt>
                <c:pt idx="46">
                  <c:v>45261</c:v>
                </c:pt>
                <c:pt idx="47">
                  <c:v>45276</c:v>
                </c:pt>
                <c:pt idx="48">
                  <c:v>45292</c:v>
                </c:pt>
                <c:pt idx="49">
                  <c:v>45307</c:v>
                </c:pt>
                <c:pt idx="50">
                  <c:v>45323</c:v>
                </c:pt>
                <c:pt idx="51">
                  <c:v>45338</c:v>
                </c:pt>
                <c:pt idx="52">
                  <c:v>45352</c:v>
                </c:pt>
                <c:pt idx="53">
                  <c:v>45367</c:v>
                </c:pt>
                <c:pt idx="54">
                  <c:v>45383</c:v>
                </c:pt>
                <c:pt idx="55">
                  <c:v>45398</c:v>
                </c:pt>
                <c:pt idx="56">
                  <c:v>45413</c:v>
                </c:pt>
                <c:pt idx="57">
                  <c:v>45428</c:v>
                </c:pt>
                <c:pt idx="58">
                  <c:v>45444</c:v>
                </c:pt>
                <c:pt idx="59">
                  <c:v>45459</c:v>
                </c:pt>
                <c:pt idx="60">
                  <c:v>45474</c:v>
                </c:pt>
                <c:pt idx="61">
                  <c:v>45489</c:v>
                </c:pt>
                <c:pt idx="62">
                  <c:v>45505</c:v>
                </c:pt>
                <c:pt idx="63">
                  <c:v>45520</c:v>
                </c:pt>
                <c:pt idx="64">
                  <c:v>45536</c:v>
                </c:pt>
                <c:pt idx="65">
                  <c:v>45551</c:v>
                </c:pt>
                <c:pt idx="66">
                  <c:v>45566</c:v>
                </c:pt>
                <c:pt idx="67">
                  <c:v>45581</c:v>
                </c:pt>
                <c:pt idx="68">
                  <c:v>45597</c:v>
                </c:pt>
                <c:pt idx="69">
                  <c:v>45612</c:v>
                </c:pt>
                <c:pt idx="70">
                  <c:v>45627</c:v>
                </c:pt>
                <c:pt idx="71">
                  <c:v>45642</c:v>
                </c:pt>
                <c:pt idx="72">
                  <c:v>45658</c:v>
                </c:pt>
                <c:pt idx="73">
                  <c:v>45673</c:v>
                </c:pt>
                <c:pt idx="74">
                  <c:v>45689</c:v>
                </c:pt>
                <c:pt idx="75">
                  <c:v>45704</c:v>
                </c:pt>
                <c:pt idx="76">
                  <c:v>45717</c:v>
                </c:pt>
                <c:pt idx="77">
                  <c:v>45732</c:v>
                </c:pt>
                <c:pt idx="78">
                  <c:v>45748</c:v>
                </c:pt>
                <c:pt idx="79">
                  <c:v>45763</c:v>
                </c:pt>
                <c:pt idx="80">
                  <c:v>45778</c:v>
                </c:pt>
                <c:pt idx="81">
                  <c:v>45793</c:v>
                </c:pt>
                <c:pt idx="82">
                  <c:v>45809</c:v>
                </c:pt>
                <c:pt idx="83">
                  <c:v>45824</c:v>
                </c:pt>
                <c:pt idx="84">
                  <c:v>45839</c:v>
                </c:pt>
                <c:pt idx="85">
                  <c:v>45854</c:v>
                </c:pt>
                <c:pt idx="86">
                  <c:v>45870</c:v>
                </c:pt>
                <c:pt idx="87">
                  <c:v>45885</c:v>
                </c:pt>
                <c:pt idx="88">
                  <c:v>45901</c:v>
                </c:pt>
                <c:pt idx="89">
                  <c:v>45916</c:v>
                </c:pt>
                <c:pt idx="90">
                  <c:v>45931</c:v>
                </c:pt>
                <c:pt idx="91">
                  <c:v>45946</c:v>
                </c:pt>
                <c:pt idx="92">
                  <c:v>45962</c:v>
                </c:pt>
                <c:pt idx="93">
                  <c:v>45977</c:v>
                </c:pt>
                <c:pt idx="94">
                  <c:v>45992</c:v>
                </c:pt>
                <c:pt idx="95">
                  <c:v>46007</c:v>
                </c:pt>
                <c:pt idx="96">
                  <c:v>46023</c:v>
                </c:pt>
                <c:pt idx="97">
                  <c:v>46038</c:v>
                </c:pt>
                <c:pt idx="98">
                  <c:v>46054</c:v>
                </c:pt>
                <c:pt idx="99">
                  <c:v>46069</c:v>
                </c:pt>
                <c:pt idx="100">
                  <c:v>46082</c:v>
                </c:pt>
                <c:pt idx="101">
                  <c:v>46097</c:v>
                </c:pt>
                <c:pt idx="102">
                  <c:v>46113</c:v>
                </c:pt>
                <c:pt idx="103">
                  <c:v>46128</c:v>
                </c:pt>
                <c:pt idx="104">
                  <c:v>46143</c:v>
                </c:pt>
                <c:pt idx="105">
                  <c:v>46158</c:v>
                </c:pt>
                <c:pt idx="106">
                  <c:v>46174</c:v>
                </c:pt>
                <c:pt idx="107">
                  <c:v>46189</c:v>
                </c:pt>
                <c:pt idx="108">
                  <c:v>46204</c:v>
                </c:pt>
                <c:pt idx="109">
                  <c:v>46219</c:v>
                </c:pt>
                <c:pt idx="110">
                  <c:v>46235</c:v>
                </c:pt>
                <c:pt idx="111">
                  <c:v>46250</c:v>
                </c:pt>
                <c:pt idx="112">
                  <c:v>46266</c:v>
                </c:pt>
              </c:numCache>
            </c:numRef>
          </c:xVal>
          <c:yVal>
            <c:numRef>
              <c:f>Inflación!$AI$10:$AI$309</c:f>
              <c:numCache>
                <c:formatCode>0.00</c:formatCode>
                <c:ptCount val="300"/>
                <c:pt idx="0">
                  <c:v>7.13</c:v>
                </c:pt>
                <c:pt idx="1">
                  <c:v>7.01</c:v>
                </c:pt>
                <c:pt idx="2">
                  <c:v>7.22</c:v>
                </c:pt>
                <c:pt idx="3">
                  <c:v>7.34</c:v>
                </c:pt>
                <c:pt idx="4">
                  <c:v>7.29</c:v>
                </c:pt>
                <c:pt idx="5">
                  <c:v>7.62</c:v>
                </c:pt>
                <c:pt idx="6">
                  <c:v>7.72</c:v>
                </c:pt>
                <c:pt idx="7">
                  <c:v>7.65</c:v>
                </c:pt>
                <c:pt idx="8">
                  <c:v>7.58</c:v>
                </c:pt>
                <c:pt idx="9">
                  <c:v>7.72</c:v>
                </c:pt>
                <c:pt idx="10">
                  <c:v>7.88</c:v>
                </c:pt>
                <c:pt idx="11">
                  <c:v>8.09</c:v>
                </c:pt>
                <c:pt idx="12">
                  <c:v>8.16</c:v>
                </c:pt>
                <c:pt idx="13">
                  <c:v>8.14</c:v>
                </c:pt>
                <c:pt idx="14">
                  <c:v>8.62</c:v>
                </c:pt>
                <c:pt idx="15">
                  <c:v>8.77</c:v>
                </c:pt>
                <c:pt idx="16">
                  <c:v>8.76</c:v>
                </c:pt>
                <c:pt idx="17">
                  <c:v>8.64</c:v>
                </c:pt>
                <c:pt idx="18">
                  <c:v>8.53</c:v>
                </c:pt>
                <c:pt idx="19">
                  <c:v>8.28</c:v>
                </c:pt>
                <c:pt idx="20">
                  <c:v>8.14</c:v>
                </c:pt>
                <c:pt idx="21">
                  <c:v>7.46</c:v>
                </c:pt>
                <c:pt idx="22">
                  <c:v>7.77</c:v>
                </c:pt>
                <c:pt idx="23">
                  <c:v>7.86</c:v>
                </c:pt>
                <c:pt idx="24">
                  <c:v>7.94</c:v>
                </c:pt>
                <c:pt idx="25">
                  <c:v>7.88</c:v>
                </c:pt>
                <c:pt idx="26">
                  <c:v>7.76</c:v>
                </c:pt>
                <c:pt idx="27">
                  <c:v>7.48</c:v>
                </c:pt>
                <c:pt idx="28">
                  <c:v>7.12</c:v>
                </c:pt>
                <c:pt idx="29">
                  <c:v>6.58</c:v>
                </c:pt>
                <c:pt idx="30">
                  <c:v>6.24</c:v>
                </c:pt>
                <c:pt idx="31">
                  <c:v>6.27</c:v>
                </c:pt>
                <c:pt idx="32">
                  <c:v>6</c:v>
                </c:pt>
                <c:pt idx="33">
                  <c:v>5.67</c:v>
                </c:pt>
                <c:pt idx="34">
                  <c:v>5.18</c:v>
                </c:pt>
                <c:pt idx="35">
                  <c:v>4.93</c:v>
                </c:pt>
                <c:pt idx="36">
                  <c:v>4.79</c:v>
                </c:pt>
                <c:pt idx="37">
                  <c:v>4.78</c:v>
                </c:pt>
                <c:pt idx="38">
                  <c:v>4.67</c:v>
                </c:pt>
                <c:pt idx="39">
                  <c:v>4.6</c:v>
                </c:pt>
                <c:pt idx="40">
                  <c:v>4.44</c:v>
                </c:pt>
                <c:pt idx="41">
                  <c:v>4.47</c:v>
                </c:pt>
                <c:pt idx="42">
                  <c:v>4.27</c:v>
                </c:pt>
                <c:pt idx="43">
                  <c:v>4.25</c:v>
                </c:pt>
                <c:pt idx="44">
                  <c:v>4.32</c:v>
                </c:pt>
                <c:pt idx="45">
                  <c:v>4.33</c:v>
                </c:pt>
                <c:pt idx="46">
                  <c:v>4.46</c:v>
                </c:pt>
                <c:pt idx="47">
                  <c:v>4.86</c:v>
                </c:pt>
                <c:pt idx="48">
                  <c:v>4.9</c:v>
                </c:pt>
                <c:pt idx="49">
                  <c:v>4.87</c:v>
                </c:pt>
                <c:pt idx="50">
                  <c:v>4.45</c:v>
                </c:pt>
                <c:pt idx="51">
                  <c:v>4.35</c:v>
                </c:pt>
                <c:pt idx="52">
                  <c:v>4.48</c:v>
                </c:pt>
                <c:pt idx="53">
                  <c:v>4.37</c:v>
                </c:pt>
                <c:pt idx="54">
                  <c:v>4.63</c:v>
                </c:pt>
                <c:pt idx="55">
                  <c:v>4.67</c:v>
                </c:pt>
                <c:pt idx="56">
                  <c:v>4.78</c:v>
                </c:pt>
                <c:pt idx="57">
                  <c:v>4.59</c:v>
                </c:pt>
                <c:pt idx="58">
                  <c:v>4.78</c:v>
                </c:pt>
                <c:pt idx="59">
                  <c:v>5.17</c:v>
                </c:pt>
                <c:pt idx="60">
                  <c:v>5.61</c:v>
                </c:pt>
                <c:pt idx="61">
                  <c:v>5.52</c:v>
                </c:pt>
                <c:pt idx="62">
                  <c:v>5.16</c:v>
                </c:pt>
                <c:pt idx="63">
                  <c:v>4.83</c:v>
                </c:pt>
                <c:pt idx="64">
                  <c:v>4.66</c:v>
                </c:pt>
                <c:pt idx="65">
                  <c:v>4.5</c:v>
                </c:pt>
                <c:pt idx="66">
                  <c:v>4.69</c:v>
                </c:pt>
                <c:pt idx="67">
                  <c:v>4.83</c:v>
                </c:pt>
                <c:pt idx="68">
                  <c:v>4.56</c:v>
                </c:pt>
                <c:pt idx="69">
                  <c:v>4.54</c:v>
                </c:pt>
                <c:pt idx="70">
                  <c:v>4.44</c:v>
                </c:pt>
                <c:pt idx="71">
                  <c:v>3.99</c:v>
                </c:pt>
                <c:pt idx="72">
                  <c:v>3.69</c:v>
                </c:pt>
                <c:pt idx="73">
                  <c:v>3.48</c:v>
                </c:pt>
                <c:pt idx="74">
                  <c:v>3.74</c:v>
                </c:pt>
                <c:pt idx="75">
                  <c:v>3.81</c:v>
                </c:pt>
                <c:pt idx="76">
                  <c:v>3.67</c:v>
                </c:pt>
                <c:pt idx="77">
                  <c:v>3.93</c:v>
                </c:pt>
                <c:pt idx="78">
                  <c:v>3.96</c:v>
                </c:pt>
                <c:pt idx="79">
                  <c:v>3.9</c:v>
                </c:pt>
                <c:pt idx="80">
                  <c:v>4.22</c:v>
                </c:pt>
                <c:pt idx="81">
                  <c:v>4.62</c:v>
                </c:pt>
                <c:pt idx="82">
                  <c:v>4.51</c:v>
                </c:pt>
                <c:pt idx="83">
                  <c:v>4.13</c:v>
                </c:pt>
                <c:pt idx="84">
                  <c:v>3.55</c:v>
                </c:pt>
                <c:pt idx="85">
                  <c:v>3.48</c:v>
                </c:pt>
                <c:pt idx="86">
                  <c:v>3.49</c:v>
                </c:pt>
                <c:pt idx="87">
                  <c:v>3.65</c:v>
                </c:pt>
                <c:pt idx="88">
                  <c:v>3.74</c:v>
                </c:pt>
                <c:pt idx="89">
                  <c:v>3.78</c:v>
                </c:pt>
                <c:pt idx="90">
                  <c:v>3.63</c:v>
                </c:pt>
                <c:pt idx="91">
                  <c:v>3.5</c:v>
                </c:pt>
                <c:pt idx="92">
                  <c:v>3.61</c:v>
                </c:pt>
                <c:pt idx="93">
                  <c:v>3.99</c:v>
                </c:pt>
                <c:pt idx="94">
                  <c:v>3.72</c:v>
                </c:pt>
                <c:pt idx="95">
                  <c:v>3.66</c:v>
                </c:pt>
                <c:pt idx="96">
                  <c:v>3.77</c:v>
                </c:pt>
                <c:pt idx="97">
                  <c:v>3.82</c:v>
                </c:pt>
                <c:pt idx="98">
                  <c:v>3.92</c:v>
                </c:pt>
                <c:pt idx="99">
                  <c:v>4.13</c:v>
                </c:pt>
                <c:pt idx="100">
                  <c:v>4.63</c:v>
                </c:pt>
                <c:pt idx="101">
                  <c:v>4.55</c:v>
                </c:pt>
                <c:pt idx="102">
                  <c:v>4.53</c:v>
                </c:pt>
                <c:pt idx="103">
                  <c:v>4.37</c:v>
                </c:pt>
                <c:pt idx="104">
                  <c:v>4.11</c:v>
                </c:pt>
                <c:pt idx="105">
                  <c:v>3.77</c:v>
                </c:pt>
                <c:pt idx="106">
                  <c:v>3.55</c:v>
                </c:pt>
                <c:pt idx="107">
                  <c:v>3.18</c:v>
                </c:pt>
                <c:pt idx="108">
                  <c:v>3.1</c:v>
                </c:pt>
                <c:pt idx="109">
                  <c:v>3.14</c:v>
                </c:pt>
                <c:pt idx="110">
                  <c:v>3.26</c:v>
                </c:pt>
                <c:pt idx="111">
                  <c:v>3.26</c:v>
                </c:pt>
                <c:pt idx="112">
                  <c:v>3.42</c:v>
                </c:pt>
              </c:numCache>
            </c:numRef>
          </c:yVal>
          <c:smooth val="0"/>
        </c:ser>
        <c:axId val="86831124"/>
        <c:axId val="16330138"/>
      </c:scatterChart>
      <c:valAx>
        <c:axId val="86831124"/>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Quincena</a:t>
                </a:r>
              </a:p>
            </c:rich>
          </c:tx>
          <c:overlay val="0"/>
          <c:spPr>
            <a:noFill/>
            <a:ln w="0">
              <a:noFill/>
            </a:ln>
          </c:spPr>
        </c:title>
        <c:numFmt formatCode="mmm\-yy" sourceLinked="0"/>
        <c:majorTickMark val="out"/>
        <c:minorTickMark val="none"/>
        <c:tickLblPos val="nextTo"/>
        <c:spPr>
          <a:ln w="0">
            <a:solidFill>
              <a:srgbClr val="b3b3b3"/>
            </a:solidFill>
          </a:ln>
        </c:spPr>
        <c:txPr>
          <a:bodyPr/>
          <a:lstStyle/>
          <a:p>
            <a:pPr>
              <a:defRPr b="0" sz="1000" spc="-1" strike="noStrike">
                <a:solidFill>
                  <a:srgbClr val="000000"/>
                </a:solidFill>
                <a:latin typeface="Calibri"/>
              </a:defRPr>
            </a:pPr>
          </a:p>
        </c:txPr>
        <c:crossAx val="16330138"/>
        <c:crosses val="autoZero"/>
        <c:crossBetween val="midCat"/>
      </c:valAx>
      <c:valAx>
        <c:axId val="16330138"/>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Inflación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6831124"/>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Ciclo inmediato (último año) LINEAL</a:t>
            </a:r>
          </a:p>
        </c:rich>
      </c:tx>
      <c:overlay val="0"/>
      <c:spPr>
        <a:noFill/>
        <a:ln w="0">
          <a:noFill/>
        </a:ln>
      </c:spPr>
    </c:title>
    <c:autoTitleDeleted val="0"/>
    <c:plotArea>
      <c:scatterChart>
        <c:scatterStyle val="lineMarker"/>
        <c:varyColors val="0"/>
        <c:ser>
          <c:idx val="0"/>
          <c:order val="0"/>
          <c:tx>
            <c:strRef>
              <c:f>"Inflación %"</c:f>
              <c:strCache>
                <c:ptCount val="1"/>
                <c:pt idx="0">
                  <c:v>Inflación %</c:v>
                </c:pt>
              </c:strCache>
            </c:strRef>
          </c:tx>
          <c:spPr>
            <a:solidFill>
              <a:srgbClr val="1f4e79"/>
            </a:solidFill>
            <a:ln w="31680">
              <a:noFill/>
            </a:ln>
          </c:spPr>
          <c:marker>
            <c:symbol val="circle"/>
            <c:size val="5"/>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linear"/>
            <c:forward val="0"/>
            <c:backward val="0"/>
            <c:dispRSqr val="1"/>
            <c:dispEq val="1"/>
          </c:trendline>
          <c:xVal>
            <c:numRef>
              <c:f>Inflación!$AK$10:$AK$34</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xVal>
          <c:yVal>
            <c:numRef>
              <c:f>Inflación!$AL$10:$AL$34</c:f>
              <c:numCache>
                <c:formatCode>0.00</c:formatCode>
                <c:ptCount val="25"/>
                <c:pt idx="0">
                  <c:v>3.74</c:v>
                </c:pt>
                <c:pt idx="1">
                  <c:v>3.78</c:v>
                </c:pt>
                <c:pt idx="2">
                  <c:v>3.63</c:v>
                </c:pt>
                <c:pt idx="3">
                  <c:v>3.5</c:v>
                </c:pt>
                <c:pt idx="4">
                  <c:v>3.61</c:v>
                </c:pt>
                <c:pt idx="5">
                  <c:v>3.99</c:v>
                </c:pt>
                <c:pt idx="6">
                  <c:v>3.72</c:v>
                </c:pt>
                <c:pt idx="7">
                  <c:v>3.66</c:v>
                </c:pt>
                <c:pt idx="8">
                  <c:v>3.77</c:v>
                </c:pt>
                <c:pt idx="9">
                  <c:v>3.82</c:v>
                </c:pt>
                <c:pt idx="10">
                  <c:v>3.92</c:v>
                </c:pt>
                <c:pt idx="11">
                  <c:v>4.13</c:v>
                </c:pt>
                <c:pt idx="12">
                  <c:v>4.63</c:v>
                </c:pt>
                <c:pt idx="13">
                  <c:v>4.55</c:v>
                </c:pt>
                <c:pt idx="14">
                  <c:v>4.53</c:v>
                </c:pt>
                <c:pt idx="15">
                  <c:v>4.37</c:v>
                </c:pt>
                <c:pt idx="16">
                  <c:v>4.11</c:v>
                </c:pt>
                <c:pt idx="17">
                  <c:v>3.77</c:v>
                </c:pt>
                <c:pt idx="18">
                  <c:v>3.55</c:v>
                </c:pt>
                <c:pt idx="19">
                  <c:v>3.18</c:v>
                </c:pt>
                <c:pt idx="20">
                  <c:v>3.1</c:v>
                </c:pt>
                <c:pt idx="21">
                  <c:v>3.14</c:v>
                </c:pt>
                <c:pt idx="22">
                  <c:v>3.26</c:v>
                </c:pt>
                <c:pt idx="23">
                  <c:v>3.26</c:v>
                </c:pt>
                <c:pt idx="24">
                  <c:v>3.42</c:v>
                </c:pt>
              </c:numCache>
            </c:numRef>
          </c:yVal>
          <c:smooth val="1"/>
        </c:ser>
        <c:axId val="38971503"/>
        <c:axId val="40561448"/>
      </c:scatterChart>
      <c:valAx>
        <c:axId val="38971503"/>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x (quincena)</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0561448"/>
        <c:crosses val="autoZero"/>
        <c:crossBetween val="midCat"/>
      </c:valAx>
      <c:valAx>
        <c:axId val="40561448"/>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Inflación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8971503"/>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Ciclo inmediato (último año) EXPONENCIAL</a:t>
            </a:r>
          </a:p>
        </c:rich>
      </c:tx>
      <c:overlay val="0"/>
      <c:spPr>
        <a:noFill/>
        <a:ln w="0">
          <a:noFill/>
        </a:ln>
      </c:spPr>
    </c:title>
    <c:autoTitleDeleted val="0"/>
    <c:plotArea>
      <c:scatterChart>
        <c:scatterStyle val="lineMarker"/>
        <c:varyColors val="0"/>
        <c:ser>
          <c:idx val="0"/>
          <c:order val="0"/>
          <c:tx>
            <c:strRef>
              <c:f>"Inflación %"</c:f>
              <c:strCache>
                <c:ptCount val="1"/>
                <c:pt idx="0">
                  <c:v>Inflación %</c:v>
                </c:pt>
              </c:strCache>
            </c:strRef>
          </c:tx>
          <c:spPr>
            <a:solidFill>
              <a:srgbClr val="1f4e79"/>
            </a:solidFill>
            <a:ln w="31680">
              <a:noFill/>
            </a:ln>
          </c:spPr>
          <c:marker>
            <c:symbol val="circle"/>
            <c:size val="5"/>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exp"/>
            <c:forward val="0"/>
            <c:backward val="0"/>
            <c:dispRSqr val="1"/>
            <c:dispEq val="1"/>
          </c:trendline>
          <c:xVal>
            <c:numRef>
              <c:f>Inflación!$AK$10:$AK$34</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xVal>
          <c:yVal>
            <c:numRef>
              <c:f>Inflación!$AL$10:$AL$34</c:f>
              <c:numCache>
                <c:formatCode>0.00</c:formatCode>
                <c:ptCount val="25"/>
                <c:pt idx="0">
                  <c:v>3.74</c:v>
                </c:pt>
                <c:pt idx="1">
                  <c:v>3.78</c:v>
                </c:pt>
                <c:pt idx="2">
                  <c:v>3.63</c:v>
                </c:pt>
                <c:pt idx="3">
                  <c:v>3.5</c:v>
                </c:pt>
                <c:pt idx="4">
                  <c:v>3.61</c:v>
                </c:pt>
                <c:pt idx="5">
                  <c:v>3.99</c:v>
                </c:pt>
                <c:pt idx="6">
                  <c:v>3.72</c:v>
                </c:pt>
                <c:pt idx="7">
                  <c:v>3.66</c:v>
                </c:pt>
                <c:pt idx="8">
                  <c:v>3.77</c:v>
                </c:pt>
                <c:pt idx="9">
                  <c:v>3.82</c:v>
                </c:pt>
                <c:pt idx="10">
                  <c:v>3.92</c:v>
                </c:pt>
                <c:pt idx="11">
                  <c:v>4.13</c:v>
                </c:pt>
                <c:pt idx="12">
                  <c:v>4.63</c:v>
                </c:pt>
                <c:pt idx="13">
                  <c:v>4.55</c:v>
                </c:pt>
                <c:pt idx="14">
                  <c:v>4.53</c:v>
                </c:pt>
                <c:pt idx="15">
                  <c:v>4.37</c:v>
                </c:pt>
                <c:pt idx="16">
                  <c:v>4.11</c:v>
                </c:pt>
                <c:pt idx="17">
                  <c:v>3.77</c:v>
                </c:pt>
                <c:pt idx="18">
                  <c:v>3.55</c:v>
                </c:pt>
                <c:pt idx="19">
                  <c:v>3.18</c:v>
                </c:pt>
                <c:pt idx="20">
                  <c:v>3.1</c:v>
                </c:pt>
                <c:pt idx="21">
                  <c:v>3.14</c:v>
                </c:pt>
                <c:pt idx="22">
                  <c:v>3.26</c:v>
                </c:pt>
                <c:pt idx="23">
                  <c:v>3.26</c:v>
                </c:pt>
                <c:pt idx="24">
                  <c:v>3.42</c:v>
                </c:pt>
              </c:numCache>
            </c:numRef>
          </c:yVal>
          <c:smooth val="1"/>
        </c:ser>
        <c:axId val="82868253"/>
        <c:axId val="88992950"/>
      </c:scatterChart>
      <c:valAx>
        <c:axId val="82868253"/>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x (quincena)</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8992950"/>
        <c:crosses val="autoZero"/>
        <c:crossBetween val="midCat"/>
      </c:valAx>
      <c:valAx>
        <c:axId val="88992950"/>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Inflación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2868253"/>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Mediano plazo (último año, trimestral) LINEAL</a:t>
            </a:r>
          </a:p>
        </c:rich>
      </c:tx>
      <c:overlay val="0"/>
      <c:spPr>
        <a:noFill/>
        <a:ln w="0">
          <a:noFill/>
        </a:ln>
      </c:spPr>
    </c:title>
    <c:autoTitleDeleted val="0"/>
    <c:plotArea>
      <c:scatterChart>
        <c:scatterStyle val="lineMarker"/>
        <c:varyColors val="0"/>
        <c:ser>
          <c:idx val="0"/>
          <c:order val="0"/>
          <c:tx>
            <c:strRef>
              <c:f>"Inflación %"</c:f>
              <c:strCache>
                <c:ptCount val="1"/>
                <c:pt idx="0">
                  <c:v>Inflación %</c:v>
                </c:pt>
              </c:strCache>
            </c:strRef>
          </c:tx>
          <c:spPr>
            <a:solidFill>
              <a:srgbClr val="1f4e79"/>
            </a:solidFill>
            <a:ln w="31680">
              <a:noFill/>
            </a:ln>
          </c:spPr>
          <c:marker>
            <c:symbol val="circle"/>
            <c:size val="5"/>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linear"/>
            <c:forward val="0"/>
            <c:backward val="0"/>
            <c:dispRSqr val="1"/>
            <c:dispEq val="1"/>
          </c:trendline>
          <c:xVal>
            <c:numRef>
              <c:f>Inflación!$AP$10:$AP$13</c:f>
              <c:numCache>
                <c:formatCode>General</c:formatCode>
                <c:ptCount val="4"/>
                <c:pt idx="0">
                  <c:v>1</c:v>
                </c:pt>
                <c:pt idx="1">
                  <c:v>2</c:v>
                </c:pt>
                <c:pt idx="2">
                  <c:v>3</c:v>
                </c:pt>
                <c:pt idx="3">
                  <c:v>4</c:v>
                </c:pt>
              </c:numCache>
            </c:numRef>
          </c:xVal>
          <c:yVal>
            <c:numRef>
              <c:f>Inflación!$AQ$10:$AQ$13</c:f>
              <c:numCache>
                <c:formatCode>General</c:formatCode>
                <c:ptCount val="4"/>
                <c:pt idx="0">
                  <c:v>3.70833333333333</c:v>
                </c:pt>
                <c:pt idx="1">
                  <c:v>3.83666666666667</c:v>
                </c:pt>
                <c:pt idx="2">
                  <c:v>4.32666666666667</c:v>
                </c:pt>
                <c:pt idx="3">
                  <c:v>3.24833333333333</c:v>
                </c:pt>
              </c:numCache>
            </c:numRef>
          </c:yVal>
          <c:smooth val="1"/>
        </c:ser>
        <c:axId val="26723234"/>
        <c:axId val="97250269"/>
      </c:scatterChart>
      <c:valAx>
        <c:axId val="26723234"/>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x (trimestre)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7250269"/>
        <c:crosses val="autoZero"/>
        <c:crossBetween val="midCat"/>
      </c:valAx>
      <c:valAx>
        <c:axId val="97250269"/>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Inflación %</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6723234"/>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Mediano plazo (último año, trimestral) EXPONENCIAL</a:t>
            </a:r>
          </a:p>
        </c:rich>
      </c:tx>
      <c:overlay val="0"/>
      <c:spPr>
        <a:noFill/>
        <a:ln w="0">
          <a:noFill/>
        </a:ln>
      </c:spPr>
    </c:title>
    <c:autoTitleDeleted val="0"/>
    <c:plotArea>
      <c:scatterChart>
        <c:scatterStyle val="lineMarker"/>
        <c:varyColors val="0"/>
        <c:ser>
          <c:idx val="0"/>
          <c:order val="0"/>
          <c:tx>
            <c:strRef>
              <c:f>"Inflación %"</c:f>
              <c:strCache>
                <c:ptCount val="1"/>
                <c:pt idx="0">
                  <c:v>Inflación %</c:v>
                </c:pt>
              </c:strCache>
            </c:strRef>
          </c:tx>
          <c:spPr>
            <a:solidFill>
              <a:srgbClr val="1f4e79"/>
            </a:solidFill>
            <a:ln w="31680">
              <a:noFill/>
            </a:ln>
          </c:spPr>
          <c:marker>
            <c:symbol val="circle"/>
            <c:size val="5"/>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exp"/>
            <c:forward val="0"/>
            <c:backward val="0"/>
            <c:dispRSqr val="1"/>
            <c:dispEq val="1"/>
          </c:trendline>
          <c:xVal>
            <c:numRef>
              <c:f>Inflación!$AP$10:$AP$13</c:f>
              <c:numCache>
                <c:formatCode>General</c:formatCode>
                <c:ptCount val="4"/>
                <c:pt idx="0">
                  <c:v>1</c:v>
                </c:pt>
                <c:pt idx="1">
                  <c:v>2</c:v>
                </c:pt>
                <c:pt idx="2">
                  <c:v>3</c:v>
                </c:pt>
                <c:pt idx="3">
                  <c:v>4</c:v>
                </c:pt>
              </c:numCache>
            </c:numRef>
          </c:xVal>
          <c:yVal>
            <c:numRef>
              <c:f>Inflación!$AQ$10:$AQ$13</c:f>
              <c:numCache>
                <c:formatCode>General</c:formatCode>
                <c:ptCount val="4"/>
                <c:pt idx="0">
                  <c:v>3.70833333333333</c:v>
                </c:pt>
                <c:pt idx="1">
                  <c:v>3.83666666666667</c:v>
                </c:pt>
                <c:pt idx="2">
                  <c:v>4.32666666666667</c:v>
                </c:pt>
                <c:pt idx="3">
                  <c:v>3.24833333333333</c:v>
                </c:pt>
              </c:numCache>
            </c:numRef>
          </c:yVal>
          <c:smooth val="1"/>
        </c:ser>
        <c:axId val="48338438"/>
        <c:axId val="84519714"/>
      </c:scatterChart>
      <c:valAx>
        <c:axId val="48338438"/>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x (trimestre)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4519714"/>
        <c:crosses val="autoZero"/>
        <c:crossBetween val="midCat"/>
      </c:valAx>
      <c:valAx>
        <c:axId val="84519714"/>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Inflación %</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8338438"/>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Tendencia larga (quincenal) LINEAL</a:t>
            </a:r>
          </a:p>
        </c:rich>
      </c:tx>
      <c:overlay val="0"/>
      <c:spPr>
        <a:noFill/>
        <a:ln w="0">
          <a:noFill/>
        </a:ln>
      </c:spPr>
    </c:title>
    <c:autoTitleDeleted val="0"/>
    <c:plotArea>
      <c:scatterChart>
        <c:scatterStyle val="lineMarker"/>
        <c:varyColors val="0"/>
        <c:ser>
          <c:idx val="0"/>
          <c:order val="0"/>
          <c:tx>
            <c:strRef>
              <c:f>"Inflación %"</c:f>
              <c:strCache>
                <c:ptCount val="1"/>
                <c:pt idx="0">
                  <c:v>Inflación %</c:v>
                </c:pt>
              </c:strCache>
            </c:strRef>
          </c:tx>
          <c:spPr>
            <a:solidFill>
              <a:srgbClr val="1f4e79"/>
            </a:solidFill>
            <a:ln w="31680">
              <a:noFill/>
            </a:ln>
          </c:spPr>
          <c:marker>
            <c:symbol val="circle"/>
            <c:size val="5"/>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linear"/>
            <c:forward val="0"/>
            <c:backward val="0"/>
            <c:dispRSqr val="1"/>
            <c:dispEq val="1"/>
          </c:trendline>
          <c:xVal>
            <c:numRef>
              <c:f>Inflación!$AX$10:$AX$309</c:f>
              <c:numCache>
                <c:formatCode>General</c:formatCode>
                <c:ptCount val="3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numCache>
            </c:numRef>
          </c:xVal>
          <c:yVal>
            <c:numRef>
              <c:f>Inflación!$AW$10:$AW$309</c:f>
              <c:numCache>
                <c:formatCode>0.00</c:formatCode>
                <c:ptCount val="300"/>
                <c:pt idx="0">
                  <c:v>7.94</c:v>
                </c:pt>
                <c:pt idx="1">
                  <c:v>7.88</c:v>
                </c:pt>
                <c:pt idx="2">
                  <c:v>7.76</c:v>
                </c:pt>
                <c:pt idx="3">
                  <c:v>7.48</c:v>
                </c:pt>
                <c:pt idx="4">
                  <c:v>7.12</c:v>
                </c:pt>
                <c:pt idx="5">
                  <c:v>6.58</c:v>
                </c:pt>
                <c:pt idx="6">
                  <c:v>6.24</c:v>
                </c:pt>
                <c:pt idx="7">
                  <c:v>6.27</c:v>
                </c:pt>
                <c:pt idx="8">
                  <c:v>6</c:v>
                </c:pt>
                <c:pt idx="9">
                  <c:v>5.67</c:v>
                </c:pt>
                <c:pt idx="10">
                  <c:v>5.18</c:v>
                </c:pt>
                <c:pt idx="11">
                  <c:v>4.93</c:v>
                </c:pt>
                <c:pt idx="12">
                  <c:v>4.79</c:v>
                </c:pt>
                <c:pt idx="13">
                  <c:v>4.78</c:v>
                </c:pt>
                <c:pt idx="14">
                  <c:v>4.67</c:v>
                </c:pt>
                <c:pt idx="15">
                  <c:v>4.6</c:v>
                </c:pt>
                <c:pt idx="16">
                  <c:v>4.44</c:v>
                </c:pt>
                <c:pt idx="17">
                  <c:v>4.47</c:v>
                </c:pt>
                <c:pt idx="18">
                  <c:v>4.27</c:v>
                </c:pt>
                <c:pt idx="19">
                  <c:v>4.25</c:v>
                </c:pt>
                <c:pt idx="20">
                  <c:v>4.32</c:v>
                </c:pt>
                <c:pt idx="21">
                  <c:v>4.33</c:v>
                </c:pt>
                <c:pt idx="22">
                  <c:v>4.46</c:v>
                </c:pt>
                <c:pt idx="23">
                  <c:v>4.86</c:v>
                </c:pt>
                <c:pt idx="24">
                  <c:v>4.9</c:v>
                </c:pt>
                <c:pt idx="25">
                  <c:v>4.87</c:v>
                </c:pt>
                <c:pt idx="26">
                  <c:v>4.45</c:v>
                </c:pt>
                <c:pt idx="27">
                  <c:v>4.35</c:v>
                </c:pt>
                <c:pt idx="28">
                  <c:v>4.48</c:v>
                </c:pt>
                <c:pt idx="29">
                  <c:v>4.37</c:v>
                </c:pt>
                <c:pt idx="30">
                  <c:v>4.63</c:v>
                </c:pt>
                <c:pt idx="31">
                  <c:v>4.67</c:v>
                </c:pt>
                <c:pt idx="32">
                  <c:v>4.78</c:v>
                </c:pt>
                <c:pt idx="33">
                  <c:v>4.59</c:v>
                </c:pt>
                <c:pt idx="34">
                  <c:v>4.78</c:v>
                </c:pt>
                <c:pt idx="35">
                  <c:v>5.17</c:v>
                </c:pt>
                <c:pt idx="36">
                  <c:v>5.61</c:v>
                </c:pt>
                <c:pt idx="37">
                  <c:v>5.52</c:v>
                </c:pt>
                <c:pt idx="38">
                  <c:v>5.16</c:v>
                </c:pt>
                <c:pt idx="39">
                  <c:v>4.83</c:v>
                </c:pt>
                <c:pt idx="40">
                  <c:v>4.66</c:v>
                </c:pt>
                <c:pt idx="41">
                  <c:v>4.5</c:v>
                </c:pt>
                <c:pt idx="42">
                  <c:v>4.69</c:v>
                </c:pt>
                <c:pt idx="43">
                  <c:v>4.83</c:v>
                </c:pt>
                <c:pt idx="44">
                  <c:v>4.56</c:v>
                </c:pt>
                <c:pt idx="45">
                  <c:v>4.54</c:v>
                </c:pt>
                <c:pt idx="46">
                  <c:v>4.44</c:v>
                </c:pt>
                <c:pt idx="47">
                  <c:v>3.99</c:v>
                </c:pt>
                <c:pt idx="48">
                  <c:v>3.69</c:v>
                </c:pt>
                <c:pt idx="49">
                  <c:v>3.48</c:v>
                </c:pt>
                <c:pt idx="50">
                  <c:v>3.74</c:v>
                </c:pt>
                <c:pt idx="51">
                  <c:v>3.81</c:v>
                </c:pt>
                <c:pt idx="52">
                  <c:v>3.67</c:v>
                </c:pt>
                <c:pt idx="53">
                  <c:v>3.93</c:v>
                </c:pt>
                <c:pt idx="54">
                  <c:v>3.96</c:v>
                </c:pt>
                <c:pt idx="55">
                  <c:v>3.9</c:v>
                </c:pt>
                <c:pt idx="56">
                  <c:v>4.22</c:v>
                </c:pt>
                <c:pt idx="57">
                  <c:v>4.62</c:v>
                </c:pt>
                <c:pt idx="58">
                  <c:v>4.51</c:v>
                </c:pt>
                <c:pt idx="59">
                  <c:v>4.13</c:v>
                </c:pt>
                <c:pt idx="60">
                  <c:v>3.55</c:v>
                </c:pt>
                <c:pt idx="61">
                  <c:v>3.48</c:v>
                </c:pt>
                <c:pt idx="62">
                  <c:v>3.49</c:v>
                </c:pt>
                <c:pt idx="63">
                  <c:v>3.65</c:v>
                </c:pt>
                <c:pt idx="64">
                  <c:v>3.74</c:v>
                </c:pt>
                <c:pt idx="65">
                  <c:v>3.78</c:v>
                </c:pt>
                <c:pt idx="66">
                  <c:v>3.63</c:v>
                </c:pt>
                <c:pt idx="67">
                  <c:v>3.5</c:v>
                </c:pt>
                <c:pt idx="68">
                  <c:v>3.61</c:v>
                </c:pt>
                <c:pt idx="69">
                  <c:v>3.99</c:v>
                </c:pt>
                <c:pt idx="70">
                  <c:v>3.72</c:v>
                </c:pt>
                <c:pt idx="71">
                  <c:v>3.66</c:v>
                </c:pt>
                <c:pt idx="72">
                  <c:v>3.77</c:v>
                </c:pt>
                <c:pt idx="73">
                  <c:v>3.82</c:v>
                </c:pt>
                <c:pt idx="74">
                  <c:v>3.92</c:v>
                </c:pt>
                <c:pt idx="75">
                  <c:v>4.13</c:v>
                </c:pt>
                <c:pt idx="76">
                  <c:v>4.63</c:v>
                </c:pt>
                <c:pt idx="77">
                  <c:v>4.55</c:v>
                </c:pt>
                <c:pt idx="78">
                  <c:v>4.53</c:v>
                </c:pt>
                <c:pt idx="79">
                  <c:v>4.37</c:v>
                </c:pt>
                <c:pt idx="80">
                  <c:v>4.11</c:v>
                </c:pt>
                <c:pt idx="81">
                  <c:v>3.77</c:v>
                </c:pt>
                <c:pt idx="82">
                  <c:v>3.55</c:v>
                </c:pt>
                <c:pt idx="83">
                  <c:v>3.18</c:v>
                </c:pt>
                <c:pt idx="84">
                  <c:v>3.1</c:v>
                </c:pt>
                <c:pt idx="85">
                  <c:v>3.14</c:v>
                </c:pt>
                <c:pt idx="86">
                  <c:v>3.26</c:v>
                </c:pt>
                <c:pt idx="87">
                  <c:v>3.26</c:v>
                </c:pt>
                <c:pt idx="88">
                  <c:v>3.42</c:v>
                </c:pt>
              </c:numCache>
            </c:numRef>
          </c:yVal>
          <c:smooth val="1"/>
        </c:ser>
        <c:axId val="89906574"/>
        <c:axId val="99265948"/>
      </c:scatterChart>
      <c:valAx>
        <c:axId val="89906574"/>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x (quincena)</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9265948"/>
        <c:crosses val="autoZero"/>
        <c:crossBetween val="midCat"/>
      </c:valAx>
      <c:valAx>
        <c:axId val="99265948"/>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Inflación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9906574"/>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Tendencia larga (quincenal) EXPONENCIAL</a:t>
            </a:r>
          </a:p>
        </c:rich>
      </c:tx>
      <c:overlay val="0"/>
      <c:spPr>
        <a:noFill/>
        <a:ln w="0">
          <a:noFill/>
        </a:ln>
      </c:spPr>
    </c:title>
    <c:autoTitleDeleted val="0"/>
    <c:plotArea>
      <c:scatterChart>
        <c:scatterStyle val="lineMarker"/>
        <c:varyColors val="0"/>
        <c:ser>
          <c:idx val="0"/>
          <c:order val="0"/>
          <c:tx>
            <c:strRef>
              <c:f>"Inflación %"</c:f>
              <c:strCache>
                <c:ptCount val="1"/>
                <c:pt idx="0">
                  <c:v>Inflación %</c:v>
                </c:pt>
              </c:strCache>
            </c:strRef>
          </c:tx>
          <c:spPr>
            <a:solidFill>
              <a:srgbClr val="1f4e79"/>
            </a:solidFill>
            <a:ln w="31680">
              <a:noFill/>
            </a:ln>
          </c:spPr>
          <c:marker>
            <c:symbol val="circle"/>
            <c:size val="5"/>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exp"/>
            <c:forward val="0"/>
            <c:backward val="0"/>
            <c:dispRSqr val="1"/>
            <c:dispEq val="1"/>
          </c:trendline>
          <c:xVal>
            <c:numRef>
              <c:f>Inflación!$AX$10:$AX$309</c:f>
              <c:numCache>
                <c:formatCode>General</c:formatCode>
                <c:ptCount val="3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numCache>
            </c:numRef>
          </c:xVal>
          <c:yVal>
            <c:numRef>
              <c:f>Inflación!$AW$10:$AW$309</c:f>
              <c:numCache>
                <c:formatCode>0.00</c:formatCode>
                <c:ptCount val="300"/>
                <c:pt idx="0">
                  <c:v>7.94</c:v>
                </c:pt>
                <c:pt idx="1">
                  <c:v>7.88</c:v>
                </c:pt>
                <c:pt idx="2">
                  <c:v>7.76</c:v>
                </c:pt>
                <c:pt idx="3">
                  <c:v>7.48</c:v>
                </c:pt>
                <c:pt idx="4">
                  <c:v>7.12</c:v>
                </c:pt>
                <c:pt idx="5">
                  <c:v>6.58</c:v>
                </c:pt>
                <c:pt idx="6">
                  <c:v>6.24</c:v>
                </c:pt>
                <c:pt idx="7">
                  <c:v>6.27</c:v>
                </c:pt>
                <c:pt idx="8">
                  <c:v>6</c:v>
                </c:pt>
                <c:pt idx="9">
                  <c:v>5.67</c:v>
                </c:pt>
                <c:pt idx="10">
                  <c:v>5.18</c:v>
                </c:pt>
                <c:pt idx="11">
                  <c:v>4.93</c:v>
                </c:pt>
                <c:pt idx="12">
                  <c:v>4.79</c:v>
                </c:pt>
                <c:pt idx="13">
                  <c:v>4.78</c:v>
                </c:pt>
                <c:pt idx="14">
                  <c:v>4.67</c:v>
                </c:pt>
                <c:pt idx="15">
                  <c:v>4.6</c:v>
                </c:pt>
                <c:pt idx="16">
                  <c:v>4.44</c:v>
                </c:pt>
                <c:pt idx="17">
                  <c:v>4.47</c:v>
                </c:pt>
                <c:pt idx="18">
                  <c:v>4.27</c:v>
                </c:pt>
                <c:pt idx="19">
                  <c:v>4.25</c:v>
                </c:pt>
                <c:pt idx="20">
                  <c:v>4.32</c:v>
                </c:pt>
                <c:pt idx="21">
                  <c:v>4.33</c:v>
                </c:pt>
                <c:pt idx="22">
                  <c:v>4.46</c:v>
                </c:pt>
                <c:pt idx="23">
                  <c:v>4.86</c:v>
                </c:pt>
                <c:pt idx="24">
                  <c:v>4.9</c:v>
                </c:pt>
                <c:pt idx="25">
                  <c:v>4.87</c:v>
                </c:pt>
                <c:pt idx="26">
                  <c:v>4.45</c:v>
                </c:pt>
                <c:pt idx="27">
                  <c:v>4.35</c:v>
                </c:pt>
                <c:pt idx="28">
                  <c:v>4.48</c:v>
                </c:pt>
                <c:pt idx="29">
                  <c:v>4.37</c:v>
                </c:pt>
                <c:pt idx="30">
                  <c:v>4.63</c:v>
                </c:pt>
                <c:pt idx="31">
                  <c:v>4.67</c:v>
                </c:pt>
                <c:pt idx="32">
                  <c:v>4.78</c:v>
                </c:pt>
                <c:pt idx="33">
                  <c:v>4.59</c:v>
                </c:pt>
                <c:pt idx="34">
                  <c:v>4.78</c:v>
                </c:pt>
                <c:pt idx="35">
                  <c:v>5.17</c:v>
                </c:pt>
                <c:pt idx="36">
                  <c:v>5.61</c:v>
                </c:pt>
                <c:pt idx="37">
                  <c:v>5.52</c:v>
                </c:pt>
                <c:pt idx="38">
                  <c:v>5.16</c:v>
                </c:pt>
                <c:pt idx="39">
                  <c:v>4.83</c:v>
                </c:pt>
                <c:pt idx="40">
                  <c:v>4.66</c:v>
                </c:pt>
                <c:pt idx="41">
                  <c:v>4.5</c:v>
                </c:pt>
                <c:pt idx="42">
                  <c:v>4.69</c:v>
                </c:pt>
                <c:pt idx="43">
                  <c:v>4.83</c:v>
                </c:pt>
                <c:pt idx="44">
                  <c:v>4.56</c:v>
                </c:pt>
                <c:pt idx="45">
                  <c:v>4.54</c:v>
                </c:pt>
                <c:pt idx="46">
                  <c:v>4.44</c:v>
                </c:pt>
                <c:pt idx="47">
                  <c:v>3.99</c:v>
                </c:pt>
                <c:pt idx="48">
                  <c:v>3.69</c:v>
                </c:pt>
                <c:pt idx="49">
                  <c:v>3.48</c:v>
                </c:pt>
                <c:pt idx="50">
                  <c:v>3.74</c:v>
                </c:pt>
                <c:pt idx="51">
                  <c:v>3.81</c:v>
                </c:pt>
                <c:pt idx="52">
                  <c:v>3.67</c:v>
                </c:pt>
                <c:pt idx="53">
                  <c:v>3.93</c:v>
                </c:pt>
                <c:pt idx="54">
                  <c:v>3.96</c:v>
                </c:pt>
                <c:pt idx="55">
                  <c:v>3.9</c:v>
                </c:pt>
                <c:pt idx="56">
                  <c:v>4.22</c:v>
                </c:pt>
                <c:pt idx="57">
                  <c:v>4.62</c:v>
                </c:pt>
                <c:pt idx="58">
                  <c:v>4.51</c:v>
                </c:pt>
                <c:pt idx="59">
                  <c:v>4.13</c:v>
                </c:pt>
                <c:pt idx="60">
                  <c:v>3.55</c:v>
                </c:pt>
                <c:pt idx="61">
                  <c:v>3.48</c:v>
                </c:pt>
                <c:pt idx="62">
                  <c:v>3.49</c:v>
                </c:pt>
                <c:pt idx="63">
                  <c:v>3.65</c:v>
                </c:pt>
                <c:pt idx="64">
                  <c:v>3.74</c:v>
                </c:pt>
                <c:pt idx="65">
                  <c:v>3.78</c:v>
                </c:pt>
                <c:pt idx="66">
                  <c:v>3.63</c:v>
                </c:pt>
                <c:pt idx="67">
                  <c:v>3.5</c:v>
                </c:pt>
                <c:pt idx="68">
                  <c:v>3.61</c:v>
                </c:pt>
                <c:pt idx="69">
                  <c:v>3.99</c:v>
                </c:pt>
                <c:pt idx="70">
                  <c:v>3.72</c:v>
                </c:pt>
                <c:pt idx="71">
                  <c:v>3.66</c:v>
                </c:pt>
                <c:pt idx="72">
                  <c:v>3.77</c:v>
                </c:pt>
                <c:pt idx="73">
                  <c:v>3.82</c:v>
                </c:pt>
                <c:pt idx="74">
                  <c:v>3.92</c:v>
                </c:pt>
                <c:pt idx="75">
                  <c:v>4.13</c:v>
                </c:pt>
                <c:pt idx="76">
                  <c:v>4.63</c:v>
                </c:pt>
                <c:pt idx="77">
                  <c:v>4.55</c:v>
                </c:pt>
                <c:pt idx="78">
                  <c:v>4.53</c:v>
                </c:pt>
                <c:pt idx="79">
                  <c:v>4.37</c:v>
                </c:pt>
                <c:pt idx="80">
                  <c:v>4.11</c:v>
                </c:pt>
                <c:pt idx="81">
                  <c:v>3.77</c:v>
                </c:pt>
                <c:pt idx="82">
                  <c:v>3.55</c:v>
                </c:pt>
                <c:pt idx="83">
                  <c:v>3.18</c:v>
                </c:pt>
                <c:pt idx="84">
                  <c:v>3.1</c:v>
                </c:pt>
                <c:pt idx="85">
                  <c:v>3.14</c:v>
                </c:pt>
                <c:pt idx="86">
                  <c:v>3.26</c:v>
                </c:pt>
                <c:pt idx="87">
                  <c:v>3.26</c:v>
                </c:pt>
                <c:pt idx="88">
                  <c:v>3.42</c:v>
                </c:pt>
              </c:numCache>
            </c:numRef>
          </c:yVal>
          <c:smooth val="1"/>
        </c:ser>
        <c:axId val="95282677"/>
        <c:axId val="31436236"/>
      </c:scatterChart>
      <c:valAx>
        <c:axId val="95282677"/>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x (quincena)</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1436236"/>
        <c:crosses val="autoZero"/>
        <c:crossBetween val="midCat"/>
      </c:valAx>
      <c:valAx>
        <c:axId val="31436236"/>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Inflación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5282677"/>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Tendencia larga (trimestral) LINEAL</a:t>
            </a:r>
          </a:p>
        </c:rich>
      </c:tx>
      <c:overlay val="0"/>
      <c:spPr>
        <a:noFill/>
        <a:ln w="0">
          <a:noFill/>
        </a:ln>
      </c:spPr>
    </c:title>
    <c:autoTitleDeleted val="0"/>
    <c:plotArea>
      <c:scatterChart>
        <c:scatterStyle val="lineMarker"/>
        <c:varyColors val="0"/>
        <c:ser>
          <c:idx val="0"/>
          <c:order val="0"/>
          <c:tx>
            <c:strRef>
              <c:f>"Inflación %"</c:f>
              <c:strCache>
                <c:ptCount val="1"/>
                <c:pt idx="0">
                  <c:v>Inflación %</c:v>
                </c:pt>
              </c:strCache>
            </c:strRef>
          </c:tx>
          <c:spPr>
            <a:solidFill>
              <a:srgbClr val="1f4e79"/>
            </a:solidFill>
            <a:ln w="31680">
              <a:noFill/>
            </a:ln>
          </c:spPr>
          <c:marker>
            <c:symbol val="circle"/>
            <c:size val="5"/>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linear"/>
            <c:forward val="0"/>
            <c:backward val="0"/>
            <c:dispRSqr val="1"/>
            <c:dispEq val="1"/>
          </c:trendline>
          <c:xVal>
            <c:numRef>
              <c:f>Inflación!$BD$10:$BD$59</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Inflación!$BC$10:$BC$59</c:f>
              <c:numCache>
                <c:formatCode>General</c:formatCode>
                <c:ptCount val="50"/>
                <c:pt idx="0">
                  <c:v>7.46</c:v>
                </c:pt>
                <c:pt idx="1">
                  <c:v>5.715</c:v>
                </c:pt>
                <c:pt idx="2">
                  <c:v>4.625</c:v>
                </c:pt>
                <c:pt idx="3">
                  <c:v>4.415</c:v>
                </c:pt>
                <c:pt idx="4">
                  <c:v>4.57</c:v>
                </c:pt>
                <c:pt idx="5">
                  <c:v>4.77</c:v>
                </c:pt>
                <c:pt idx="6">
                  <c:v>5.04666666666667</c:v>
                </c:pt>
                <c:pt idx="7">
                  <c:v>4.50833333333333</c:v>
                </c:pt>
                <c:pt idx="8">
                  <c:v>3.72</c:v>
                </c:pt>
                <c:pt idx="9">
                  <c:v>4.22333333333333</c:v>
                </c:pt>
                <c:pt idx="10">
                  <c:v>3.615</c:v>
                </c:pt>
                <c:pt idx="11">
                  <c:v>3.685</c:v>
                </c:pt>
                <c:pt idx="12">
                  <c:v>4.13666666666667</c:v>
                </c:pt>
                <c:pt idx="13">
                  <c:v>3.91833333333333</c:v>
                </c:pt>
              </c:numCache>
            </c:numRef>
          </c:yVal>
          <c:smooth val="1"/>
        </c:ser>
        <c:axId val="11120876"/>
        <c:axId val="10865290"/>
      </c:scatterChart>
      <c:valAx>
        <c:axId val="11120876"/>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x (trimestre)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0865290"/>
        <c:crosses val="autoZero"/>
        <c:crossBetween val="midCat"/>
      </c:valAx>
      <c:valAx>
        <c:axId val="10865290"/>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Inflación %</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1120876"/>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Tendencia larga (trimestral) EXPONENCIAL</a:t>
            </a:r>
          </a:p>
        </c:rich>
      </c:tx>
      <c:overlay val="0"/>
      <c:spPr>
        <a:noFill/>
        <a:ln w="0">
          <a:noFill/>
        </a:ln>
      </c:spPr>
    </c:title>
    <c:autoTitleDeleted val="0"/>
    <c:plotArea>
      <c:scatterChart>
        <c:scatterStyle val="lineMarker"/>
        <c:varyColors val="0"/>
        <c:ser>
          <c:idx val="0"/>
          <c:order val="0"/>
          <c:tx>
            <c:strRef>
              <c:f>"Inflación %"</c:f>
              <c:strCache>
                <c:ptCount val="1"/>
                <c:pt idx="0">
                  <c:v>Inflación %</c:v>
                </c:pt>
              </c:strCache>
            </c:strRef>
          </c:tx>
          <c:spPr>
            <a:solidFill>
              <a:srgbClr val="1f4e79"/>
            </a:solidFill>
            <a:ln w="31680">
              <a:noFill/>
            </a:ln>
          </c:spPr>
          <c:marker>
            <c:symbol val="circle"/>
            <c:size val="5"/>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exp"/>
            <c:forward val="0"/>
            <c:backward val="0"/>
            <c:dispRSqr val="1"/>
            <c:dispEq val="1"/>
          </c:trendline>
          <c:xVal>
            <c:numRef>
              <c:f>Inflación!$BD$10:$BD$59</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xVal>
          <c:yVal>
            <c:numRef>
              <c:f>Inflación!$BC$10:$BC$59</c:f>
              <c:numCache>
                <c:formatCode>General</c:formatCode>
                <c:ptCount val="50"/>
                <c:pt idx="0">
                  <c:v>7.46</c:v>
                </c:pt>
                <c:pt idx="1">
                  <c:v>5.715</c:v>
                </c:pt>
                <c:pt idx="2">
                  <c:v>4.625</c:v>
                </c:pt>
                <c:pt idx="3">
                  <c:v>4.415</c:v>
                </c:pt>
                <c:pt idx="4">
                  <c:v>4.57</c:v>
                </c:pt>
                <c:pt idx="5">
                  <c:v>4.77</c:v>
                </c:pt>
                <c:pt idx="6">
                  <c:v>5.04666666666667</c:v>
                </c:pt>
                <c:pt idx="7">
                  <c:v>4.50833333333333</c:v>
                </c:pt>
                <c:pt idx="8">
                  <c:v>3.72</c:v>
                </c:pt>
                <c:pt idx="9">
                  <c:v>4.22333333333333</c:v>
                </c:pt>
                <c:pt idx="10">
                  <c:v>3.615</c:v>
                </c:pt>
                <c:pt idx="11">
                  <c:v>3.685</c:v>
                </c:pt>
                <c:pt idx="12">
                  <c:v>4.13666666666667</c:v>
                </c:pt>
                <c:pt idx="13">
                  <c:v>3.91833333333333</c:v>
                </c:pt>
              </c:numCache>
            </c:numRef>
          </c:yVal>
          <c:smooth val="1"/>
        </c:ser>
        <c:axId val="75907577"/>
        <c:axId val="20788935"/>
      </c:scatterChart>
      <c:valAx>
        <c:axId val="75907577"/>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x (trimestre)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0788935"/>
        <c:crosses val="autoZero"/>
        <c:crossBetween val="midCat"/>
      </c:valAx>
      <c:valAx>
        <c:axId val="20788935"/>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Inflación %</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5907577"/>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Proyección de inflación por modelo (%)</a:t>
            </a:r>
          </a:p>
        </c:rich>
      </c:tx>
      <c:overlay val="0"/>
      <c:spPr>
        <a:noFill/>
        <a:ln w="0">
          <a:noFill/>
        </a:ln>
      </c:spPr>
    </c:title>
    <c:autoTitleDeleted val="0"/>
    <c:plotArea>
      <c:barChart>
        <c:barDir val="col"/>
        <c:grouping val="clustered"/>
        <c:varyColors val="0"/>
        <c:ser>
          <c:idx val="0"/>
          <c:order val="0"/>
          <c:tx>
            <c:strRef>
              <c:f>Inflación!$G$11</c:f>
              <c:strCache>
                <c:ptCount val="1"/>
                <c:pt idx="0">
                  <c:v>mxx + b</c:v>
                </c:pt>
              </c:strCache>
            </c:strRef>
          </c:tx>
          <c:spPr>
            <a:solidFill>
              <a:srgbClr val="4472c4"/>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Inflación!$N$12:$N$15</c:f>
              <c:strCache>
                <c:ptCount val="4"/>
                <c:pt idx="0">
                  <c:v/>
                </c:pt>
                <c:pt idx="1">
                  <c:v/>
                </c:pt>
                <c:pt idx="2">
                  <c:v/>
                </c:pt>
                <c:pt idx="3">
                  <c:v/>
                </c:pt>
              </c:strCache>
            </c:strRef>
          </c:cat>
          <c:val>
            <c:numRef>
              <c:f>Inflación!$G$12:$G$15</c:f>
              <c:numCache>
                <c:formatCode>0.0000</c:formatCode>
                <c:ptCount val="4"/>
                <c:pt idx="0">
                  <c:v>3.5449</c:v>
                </c:pt>
                <c:pt idx="1">
                  <c:v>3.5575</c:v>
                </c:pt>
                <c:pt idx="2">
                  <c:v>3.15144024514811</c:v>
                </c:pt>
                <c:pt idx="3">
                  <c:v>3.23435897435897</c:v>
                </c:pt>
              </c:numCache>
            </c:numRef>
          </c:val>
        </c:ser>
        <c:ser>
          <c:idx val="1"/>
          <c:order val="1"/>
          <c:tx>
            <c:strRef>
              <c:f>Inflación!$K$11</c:f>
              <c:strCache>
                <c:ptCount val="1"/>
                <c:pt idx="0">
                  <c:v>axe^(bxx)</c:v>
                </c:pt>
              </c:strCache>
            </c:strRef>
          </c:tx>
          <c:spPr>
            <a:solidFill>
              <a:srgbClr val="ed7d31"/>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Inflación!$N$12:$N$15</c:f>
              <c:strCache>
                <c:ptCount val="4"/>
                <c:pt idx="0">
                  <c:v/>
                </c:pt>
                <c:pt idx="1">
                  <c:v/>
                </c:pt>
                <c:pt idx="2">
                  <c:v/>
                </c:pt>
                <c:pt idx="3">
                  <c:v/>
                </c:pt>
              </c:strCache>
            </c:strRef>
          </c:cat>
          <c:val>
            <c:numRef>
              <c:f>Inflación!$K$12:$K$15</c:f>
              <c:numCache>
                <c:formatCode>0.0000</c:formatCode>
                <c:ptCount val="4"/>
                <c:pt idx="0">
                  <c:v>3.50405233912861</c:v>
                </c:pt>
                <c:pt idx="1">
                  <c:v>3.50871363974646</c:v>
                </c:pt>
                <c:pt idx="2">
                  <c:v>3.32585421076776</c:v>
                </c:pt>
                <c:pt idx="3">
                  <c:v>3.43317546625646</c:v>
                </c:pt>
              </c:numCache>
            </c:numRef>
          </c:val>
        </c:ser>
        <c:gapWidth val="150"/>
        <c:overlap val="0"/>
        <c:axId val="77726407"/>
        <c:axId val="6637761"/>
      </c:barChart>
      <c:catAx>
        <c:axId val="7772640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637761"/>
        <c:crosses val="autoZero"/>
        <c:auto val="1"/>
        <c:lblAlgn val="ctr"/>
        <c:lblOffset val="100"/>
        <c:noMultiLvlLbl val="0"/>
      </c:catAx>
      <c:valAx>
        <c:axId val="6637761"/>
        <c:scaling>
          <c:orientation val="minMax"/>
        </c:scaling>
        <c:delete val="0"/>
        <c:axPos val="l"/>
        <c:majorGridlines>
          <c:spPr>
            <a:ln w="0">
              <a:solidFill>
                <a:srgbClr val="b3b3b3"/>
              </a:solidFill>
            </a:ln>
          </c:spPr>
        </c:majorGridlines>
        <c:numFmt formatCode="0.0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772640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Inflación vs precio de Soriana B en el tiempo</a:t>
            </a:r>
          </a:p>
        </c:rich>
      </c:tx>
      <c:overlay val="0"/>
      <c:spPr>
        <a:noFill/>
        <a:ln w="0">
          <a:noFill/>
        </a:ln>
      </c:spPr>
    </c:title>
    <c:autoTitleDeleted val="0"/>
    <c:plotArea>
      <c:scatterChart>
        <c:scatterStyle val="line"/>
        <c:varyColors val="0"/>
        <c:ser>
          <c:idx val="0"/>
          <c:order val="0"/>
          <c:tx>
            <c:strRef>
              <c:f>"Inflación %"</c:f>
              <c:strCache>
                <c:ptCount val="1"/>
                <c:pt idx="0">
                  <c:v>Inflación %</c:v>
                </c:pt>
              </c:strCache>
            </c:strRef>
          </c:tx>
          <c:spPr>
            <a:solidFill>
              <a:srgbClr val="1f4e79"/>
            </a:solidFill>
            <a:ln w="19080">
              <a:solidFill>
                <a:srgbClr val="1f4e79"/>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Inflación!$CD$10:$CD$69</c:f>
              <c:numCache>
                <c:formatCode>mmm\-yy</c:formatCode>
                <c:ptCount val="6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numCache>
            </c:numRef>
          </c:xVal>
          <c:yVal>
            <c:numRef>
              <c:f>Inflación!$CE$10:$CE$69</c:f>
              <c:numCache>
                <c:formatCode>General</c:formatCode>
                <c:ptCount val="60"/>
                <c:pt idx="0">
                  <c:v>7.07</c:v>
                </c:pt>
                <c:pt idx="1">
                  <c:v>7.28</c:v>
                </c:pt>
                <c:pt idx="2">
                  <c:v>7.455</c:v>
                </c:pt>
                <c:pt idx="3">
                  <c:v>7.685</c:v>
                </c:pt>
                <c:pt idx="4">
                  <c:v>7.65</c:v>
                </c:pt>
                <c:pt idx="5">
                  <c:v>7.985</c:v>
                </c:pt>
                <c:pt idx="6">
                  <c:v>8.15</c:v>
                </c:pt>
                <c:pt idx="7">
                  <c:v>8.695</c:v>
                </c:pt>
                <c:pt idx="8">
                  <c:v>8.7</c:v>
                </c:pt>
                <c:pt idx="9">
                  <c:v>8.405</c:v>
                </c:pt>
                <c:pt idx="10">
                  <c:v>7.8</c:v>
                </c:pt>
                <c:pt idx="11">
                  <c:v>7.815</c:v>
                </c:pt>
                <c:pt idx="12">
                  <c:v>7.91</c:v>
                </c:pt>
                <c:pt idx="13">
                  <c:v>7.62</c:v>
                </c:pt>
                <c:pt idx="14">
                  <c:v>6.85</c:v>
                </c:pt>
                <c:pt idx="15">
                  <c:v>6.255</c:v>
                </c:pt>
                <c:pt idx="16">
                  <c:v>5.835</c:v>
                </c:pt>
                <c:pt idx="17">
                  <c:v>5.055</c:v>
                </c:pt>
                <c:pt idx="18">
                  <c:v>4.785</c:v>
                </c:pt>
                <c:pt idx="19">
                  <c:v>4.635</c:v>
                </c:pt>
                <c:pt idx="20">
                  <c:v>4.455</c:v>
                </c:pt>
                <c:pt idx="21">
                  <c:v>4.26</c:v>
                </c:pt>
                <c:pt idx="22">
                  <c:v>4.325</c:v>
                </c:pt>
                <c:pt idx="23">
                  <c:v>4.66</c:v>
                </c:pt>
                <c:pt idx="24">
                  <c:v>4.885</c:v>
                </c:pt>
                <c:pt idx="25">
                  <c:v>4.4</c:v>
                </c:pt>
                <c:pt idx="26">
                  <c:v>4.425</c:v>
                </c:pt>
                <c:pt idx="27">
                  <c:v>4.65</c:v>
                </c:pt>
                <c:pt idx="28">
                  <c:v>4.685</c:v>
                </c:pt>
                <c:pt idx="29">
                  <c:v>4.975</c:v>
                </c:pt>
                <c:pt idx="30">
                  <c:v>5.565</c:v>
                </c:pt>
                <c:pt idx="31">
                  <c:v>4.995</c:v>
                </c:pt>
                <c:pt idx="32">
                  <c:v>4.58</c:v>
                </c:pt>
                <c:pt idx="33">
                  <c:v>4.76</c:v>
                </c:pt>
                <c:pt idx="34">
                  <c:v>4.55</c:v>
                </c:pt>
                <c:pt idx="35">
                  <c:v>4.215</c:v>
                </c:pt>
                <c:pt idx="36">
                  <c:v>3.585</c:v>
                </c:pt>
                <c:pt idx="37">
                  <c:v>3.775</c:v>
                </c:pt>
                <c:pt idx="38">
                  <c:v>3.8</c:v>
                </c:pt>
                <c:pt idx="39">
                  <c:v>3.93</c:v>
                </c:pt>
                <c:pt idx="40">
                  <c:v>4.42</c:v>
                </c:pt>
                <c:pt idx="41">
                  <c:v>4.32</c:v>
                </c:pt>
                <c:pt idx="42">
                  <c:v>3.515</c:v>
                </c:pt>
                <c:pt idx="43">
                  <c:v>3.57</c:v>
                </c:pt>
                <c:pt idx="44">
                  <c:v>3.76</c:v>
                </c:pt>
                <c:pt idx="45">
                  <c:v>3.565</c:v>
                </c:pt>
                <c:pt idx="46">
                  <c:v>3.8</c:v>
                </c:pt>
                <c:pt idx="47">
                  <c:v>3.69</c:v>
                </c:pt>
                <c:pt idx="48">
                  <c:v>3.795</c:v>
                </c:pt>
                <c:pt idx="49">
                  <c:v>4.025</c:v>
                </c:pt>
                <c:pt idx="50">
                  <c:v>4.59</c:v>
                </c:pt>
                <c:pt idx="51">
                  <c:v>4.45</c:v>
                </c:pt>
                <c:pt idx="52">
                  <c:v>3.94</c:v>
                </c:pt>
                <c:pt idx="53">
                  <c:v>3.365</c:v>
                </c:pt>
                <c:pt idx="54">
                  <c:v>3.12</c:v>
                </c:pt>
                <c:pt idx="55">
                  <c:v>3.26</c:v>
                </c:pt>
                <c:pt idx="56">
                  <c:v>3.42</c:v>
                </c:pt>
              </c:numCache>
            </c:numRef>
          </c:yVal>
          <c:smooth val="0"/>
        </c:ser>
        <c:axId val="23139600"/>
        <c:axId val="79623449"/>
      </c:scatterChart>
      <c:scatterChart>
        <c:scatterStyle val="line"/>
        <c:varyColors val="0"/>
        <c:ser>
          <c:idx val="1"/>
          <c:order val="1"/>
          <c:tx>
            <c:strRef>
              <c:f>"Precio Soriana B (MXN)"</c:f>
              <c:strCache>
                <c:ptCount val="1"/>
                <c:pt idx="0">
                  <c:v>Precio Soriana B (MXN)</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Inflación!$CD$10:$CD$69</c:f>
              <c:numCache>
                <c:formatCode>mmm\-yy</c:formatCode>
                <c:ptCount val="6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numCache>
            </c:numRef>
          </c:xVal>
          <c:yVal>
            <c:numRef>
              <c:f>Inflación!$CF$10:$CF$69</c:f>
              <c:numCache>
                <c:formatCode>#,##0.00</c:formatCode>
                <c:ptCount val="60"/>
                <c:pt idx="0">
                  <c:v>23.24</c:v>
                </c:pt>
                <c:pt idx="1">
                  <c:v>22.91</c:v>
                </c:pt>
                <c:pt idx="2">
                  <c:v>22.31</c:v>
                </c:pt>
                <c:pt idx="3">
                  <c:v>23.56</c:v>
                </c:pt>
                <c:pt idx="4">
                  <c:v>21.27</c:v>
                </c:pt>
                <c:pt idx="5">
                  <c:v>22.45</c:v>
                </c:pt>
                <c:pt idx="6">
                  <c:v>22.8</c:v>
                </c:pt>
                <c:pt idx="7">
                  <c:v>22.75</c:v>
                </c:pt>
                <c:pt idx="8">
                  <c:v>26.2</c:v>
                </c:pt>
                <c:pt idx="9">
                  <c:v>30.04</c:v>
                </c:pt>
                <c:pt idx="10">
                  <c:v>28.56</c:v>
                </c:pt>
                <c:pt idx="11">
                  <c:v>31.28</c:v>
                </c:pt>
                <c:pt idx="12">
                  <c:v>30.02</c:v>
                </c:pt>
                <c:pt idx="13">
                  <c:v>30.7</c:v>
                </c:pt>
                <c:pt idx="14">
                  <c:v>30.97</c:v>
                </c:pt>
                <c:pt idx="15">
                  <c:v>31.28</c:v>
                </c:pt>
                <c:pt idx="16">
                  <c:v>30.17</c:v>
                </c:pt>
                <c:pt idx="17">
                  <c:v>28.49</c:v>
                </c:pt>
                <c:pt idx="18">
                  <c:v>26.99</c:v>
                </c:pt>
                <c:pt idx="19">
                  <c:v>29.07</c:v>
                </c:pt>
                <c:pt idx="20">
                  <c:v>31.7</c:v>
                </c:pt>
                <c:pt idx="21">
                  <c:v>32.03</c:v>
                </c:pt>
                <c:pt idx="22">
                  <c:v>29.4</c:v>
                </c:pt>
                <c:pt idx="23">
                  <c:v>35.78</c:v>
                </c:pt>
                <c:pt idx="24">
                  <c:v>34.89</c:v>
                </c:pt>
                <c:pt idx="25">
                  <c:v>33.3</c:v>
                </c:pt>
                <c:pt idx="26">
                  <c:v>33.97</c:v>
                </c:pt>
                <c:pt idx="27">
                  <c:v>34</c:v>
                </c:pt>
                <c:pt idx="28">
                  <c:v>32.32</c:v>
                </c:pt>
                <c:pt idx="29">
                  <c:v>29.82</c:v>
                </c:pt>
                <c:pt idx="30">
                  <c:v>31.19</c:v>
                </c:pt>
                <c:pt idx="31">
                  <c:v>30.48</c:v>
                </c:pt>
                <c:pt idx="32">
                  <c:v>30.4</c:v>
                </c:pt>
                <c:pt idx="33">
                  <c:v>28.28</c:v>
                </c:pt>
                <c:pt idx="34">
                  <c:v>30.5</c:v>
                </c:pt>
                <c:pt idx="35">
                  <c:v>29.63</c:v>
                </c:pt>
                <c:pt idx="36">
                  <c:v>29.18</c:v>
                </c:pt>
                <c:pt idx="37">
                  <c:v>27.65</c:v>
                </c:pt>
                <c:pt idx="38">
                  <c:v>26.49</c:v>
                </c:pt>
                <c:pt idx="39">
                  <c:v>26.93</c:v>
                </c:pt>
                <c:pt idx="40">
                  <c:v>27.51</c:v>
                </c:pt>
                <c:pt idx="41">
                  <c:v>27</c:v>
                </c:pt>
                <c:pt idx="42">
                  <c:v>24.9</c:v>
                </c:pt>
                <c:pt idx="43">
                  <c:v>25.2</c:v>
                </c:pt>
                <c:pt idx="44">
                  <c:v>24.93</c:v>
                </c:pt>
                <c:pt idx="45">
                  <c:v>26.45</c:v>
                </c:pt>
                <c:pt idx="46">
                  <c:v>29</c:v>
                </c:pt>
                <c:pt idx="47">
                  <c:v>41.8</c:v>
                </c:pt>
                <c:pt idx="48">
                  <c:v>35.8</c:v>
                </c:pt>
                <c:pt idx="49">
                  <c:v>37.12</c:v>
                </c:pt>
                <c:pt idx="50">
                  <c:v>36.15</c:v>
                </c:pt>
                <c:pt idx="51">
                  <c:v>33.49</c:v>
                </c:pt>
                <c:pt idx="52">
                  <c:v>30.89</c:v>
                </c:pt>
                <c:pt idx="53">
                  <c:v>29.91</c:v>
                </c:pt>
                <c:pt idx="54">
                  <c:v>29.59</c:v>
                </c:pt>
                <c:pt idx="55">
                  <c:v>26</c:v>
                </c:pt>
                <c:pt idx="56">
                  <c:v>34.1</c:v>
                </c:pt>
              </c:numCache>
            </c:numRef>
          </c:yVal>
          <c:smooth val="0"/>
        </c:ser>
        <c:axId val="12058289"/>
        <c:axId val="49139769"/>
      </c:scatterChart>
      <c:valAx>
        <c:axId val="23139600"/>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Mes</a:t>
                </a:r>
              </a:p>
            </c:rich>
          </c:tx>
          <c:overlay val="0"/>
          <c:spPr>
            <a:noFill/>
            <a:ln w="0">
              <a:noFill/>
            </a:ln>
          </c:spPr>
        </c:title>
        <c:numFmt formatCode="mmm\-yy" sourceLinked="0"/>
        <c:majorTickMark val="out"/>
        <c:minorTickMark val="none"/>
        <c:tickLblPos val="nextTo"/>
        <c:spPr>
          <a:ln w="0">
            <a:solidFill>
              <a:srgbClr val="b3b3b3"/>
            </a:solidFill>
          </a:ln>
        </c:spPr>
        <c:txPr>
          <a:bodyPr/>
          <a:lstStyle/>
          <a:p>
            <a:pPr>
              <a:defRPr b="0" sz="1000" spc="-1" strike="noStrike">
                <a:solidFill>
                  <a:srgbClr val="000000"/>
                </a:solidFill>
                <a:latin typeface="Calibri"/>
              </a:defRPr>
            </a:pPr>
          </a:p>
        </c:txPr>
        <c:crossAx val="79623449"/>
        <c:crosses val="autoZero"/>
        <c:crossBetween val="midCat"/>
      </c:valAx>
      <c:valAx>
        <c:axId val="79623449"/>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Inflación %</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3139600"/>
        <c:crosses val="autoZero"/>
        <c:crossBetween val="midCat"/>
      </c:valAx>
      <c:valAx>
        <c:axId val="12058289"/>
        <c:scaling>
          <c:orientation val="minMax"/>
        </c:scaling>
        <c:delete val="0"/>
        <c:axPos val="t"/>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Mes</a:t>
                </a:r>
              </a:p>
            </c:rich>
          </c:tx>
          <c:overlay val="0"/>
          <c:spPr>
            <a:noFill/>
            <a:ln w="0">
              <a:noFill/>
            </a:ln>
          </c:spPr>
        </c:title>
        <c:numFmt formatCode="mmm\-yy" sourceLinked="0"/>
        <c:majorTickMark val="out"/>
        <c:minorTickMark val="none"/>
        <c:tickLblPos val="nextTo"/>
        <c:spPr>
          <a:ln w="0">
            <a:solidFill>
              <a:srgbClr val="b3b3b3"/>
            </a:solidFill>
          </a:ln>
        </c:spPr>
        <c:txPr>
          <a:bodyPr/>
          <a:lstStyle/>
          <a:p>
            <a:pPr>
              <a:defRPr b="0" sz="1000" spc="-1" strike="noStrike">
                <a:solidFill>
                  <a:srgbClr val="000000"/>
                </a:solidFill>
                <a:latin typeface="Calibri"/>
              </a:defRPr>
            </a:pPr>
          </a:p>
        </c:txPr>
        <c:crossAx val="49139769"/>
        <c:crosses val="autoZero"/>
        <c:crossBetween val="midCat"/>
      </c:valAx>
      <c:valAx>
        <c:axId val="49139769"/>
        <c:scaling>
          <c:orientation val="minMax"/>
        </c:scaling>
        <c:delete val="0"/>
        <c:axPos val="r"/>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Precio MXN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2058289"/>
        <c:crosses val="max"/>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Precio de Soriana vs. inflación LINEAL</a:t>
            </a:r>
          </a:p>
        </c:rich>
      </c:tx>
      <c:overlay val="0"/>
      <c:spPr>
        <a:noFill/>
        <a:ln w="0">
          <a:noFill/>
        </a:ln>
      </c:spPr>
    </c:title>
    <c:autoTitleDeleted val="0"/>
    <c:plotArea>
      <c:scatterChart>
        <c:scatterStyle val="lineMarker"/>
        <c:varyColors val="0"/>
        <c:ser>
          <c:idx val="0"/>
          <c:order val="0"/>
          <c:tx>
            <c:strRef>
              <c:f>"Precio MXN"</c:f>
              <c:strCache>
                <c:ptCount val="1"/>
                <c:pt idx="0">
                  <c:v>Precio MXN</c:v>
                </c:pt>
              </c:strCache>
            </c:strRef>
          </c:tx>
          <c:spPr>
            <a:solidFill>
              <a:srgbClr val="1f4e79"/>
            </a:solidFill>
            <a:ln w="31680">
              <a:noFill/>
            </a:ln>
          </c:spPr>
          <c:marker>
            <c:symbol val="circle"/>
            <c:size val="5"/>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linear"/>
            <c:forward val="0"/>
            <c:backward val="0"/>
            <c:dispRSqr val="1"/>
            <c:dispEq val="1"/>
          </c:trendline>
          <c:xVal>
            <c:numRef>
              <c:f>Inflación!$BY$10:$BY$69</c:f>
              <c:numCache>
                <c:formatCode>General</c:formatCode>
                <c:ptCount val="60"/>
                <c:pt idx="0">
                  <c:v>7.07</c:v>
                </c:pt>
                <c:pt idx="1">
                  <c:v>7.28</c:v>
                </c:pt>
                <c:pt idx="2">
                  <c:v>7.455</c:v>
                </c:pt>
                <c:pt idx="3">
                  <c:v>7.685</c:v>
                </c:pt>
                <c:pt idx="4">
                  <c:v>7.65</c:v>
                </c:pt>
                <c:pt idx="5">
                  <c:v>7.985</c:v>
                </c:pt>
                <c:pt idx="6">
                  <c:v>8.15</c:v>
                </c:pt>
                <c:pt idx="7">
                  <c:v>8.695</c:v>
                </c:pt>
                <c:pt idx="8">
                  <c:v>8.7</c:v>
                </c:pt>
                <c:pt idx="9">
                  <c:v>8.405</c:v>
                </c:pt>
                <c:pt idx="10">
                  <c:v>7.8</c:v>
                </c:pt>
                <c:pt idx="11">
                  <c:v>7.815</c:v>
                </c:pt>
                <c:pt idx="12">
                  <c:v>7.91</c:v>
                </c:pt>
                <c:pt idx="13">
                  <c:v>7.62</c:v>
                </c:pt>
                <c:pt idx="14">
                  <c:v>6.85</c:v>
                </c:pt>
                <c:pt idx="15">
                  <c:v>6.255</c:v>
                </c:pt>
                <c:pt idx="16">
                  <c:v>5.835</c:v>
                </c:pt>
                <c:pt idx="17">
                  <c:v>5.055</c:v>
                </c:pt>
                <c:pt idx="18">
                  <c:v>4.785</c:v>
                </c:pt>
                <c:pt idx="19">
                  <c:v>4.635</c:v>
                </c:pt>
                <c:pt idx="20">
                  <c:v>4.455</c:v>
                </c:pt>
                <c:pt idx="21">
                  <c:v>4.26</c:v>
                </c:pt>
                <c:pt idx="22">
                  <c:v>4.325</c:v>
                </c:pt>
                <c:pt idx="23">
                  <c:v>4.66</c:v>
                </c:pt>
                <c:pt idx="24">
                  <c:v>4.885</c:v>
                </c:pt>
                <c:pt idx="25">
                  <c:v>4.4</c:v>
                </c:pt>
                <c:pt idx="26">
                  <c:v>4.425</c:v>
                </c:pt>
                <c:pt idx="27">
                  <c:v>4.65</c:v>
                </c:pt>
                <c:pt idx="28">
                  <c:v>4.685</c:v>
                </c:pt>
                <c:pt idx="29">
                  <c:v>4.975</c:v>
                </c:pt>
                <c:pt idx="30">
                  <c:v>5.565</c:v>
                </c:pt>
                <c:pt idx="31">
                  <c:v>4.995</c:v>
                </c:pt>
                <c:pt idx="32">
                  <c:v>4.58</c:v>
                </c:pt>
                <c:pt idx="33">
                  <c:v>4.76</c:v>
                </c:pt>
                <c:pt idx="34">
                  <c:v>4.55</c:v>
                </c:pt>
                <c:pt idx="35">
                  <c:v>4.215</c:v>
                </c:pt>
                <c:pt idx="36">
                  <c:v>3.585</c:v>
                </c:pt>
                <c:pt idx="37">
                  <c:v>3.775</c:v>
                </c:pt>
                <c:pt idx="38">
                  <c:v>3.8</c:v>
                </c:pt>
                <c:pt idx="39">
                  <c:v>3.93</c:v>
                </c:pt>
                <c:pt idx="40">
                  <c:v>4.42</c:v>
                </c:pt>
                <c:pt idx="41">
                  <c:v>4.32</c:v>
                </c:pt>
                <c:pt idx="42">
                  <c:v>3.515</c:v>
                </c:pt>
                <c:pt idx="43">
                  <c:v>3.57</c:v>
                </c:pt>
                <c:pt idx="44">
                  <c:v>3.76</c:v>
                </c:pt>
                <c:pt idx="45">
                  <c:v>3.565</c:v>
                </c:pt>
                <c:pt idx="46">
                  <c:v>3.8</c:v>
                </c:pt>
                <c:pt idx="47">
                  <c:v>3.69</c:v>
                </c:pt>
                <c:pt idx="48">
                  <c:v>3.795</c:v>
                </c:pt>
                <c:pt idx="49">
                  <c:v>4.025</c:v>
                </c:pt>
                <c:pt idx="50">
                  <c:v>4.59</c:v>
                </c:pt>
                <c:pt idx="51">
                  <c:v>4.45</c:v>
                </c:pt>
                <c:pt idx="52">
                  <c:v>3.94</c:v>
                </c:pt>
                <c:pt idx="53">
                  <c:v>3.365</c:v>
                </c:pt>
                <c:pt idx="54">
                  <c:v>3.12</c:v>
                </c:pt>
                <c:pt idx="55">
                  <c:v>3.26</c:v>
                </c:pt>
                <c:pt idx="56">
                  <c:v>3.42</c:v>
                </c:pt>
              </c:numCache>
            </c:numRef>
          </c:xVal>
          <c:yVal>
            <c:numRef>
              <c:f>Inflación!$BZ$10:$BZ$69</c:f>
              <c:numCache>
                <c:formatCode>#,##0.00</c:formatCode>
                <c:ptCount val="60"/>
                <c:pt idx="0">
                  <c:v>23.24</c:v>
                </c:pt>
                <c:pt idx="1">
                  <c:v>22.91</c:v>
                </c:pt>
                <c:pt idx="2">
                  <c:v>22.31</c:v>
                </c:pt>
                <c:pt idx="3">
                  <c:v>23.56</c:v>
                </c:pt>
                <c:pt idx="4">
                  <c:v>21.27</c:v>
                </c:pt>
                <c:pt idx="5">
                  <c:v>22.45</c:v>
                </c:pt>
                <c:pt idx="6">
                  <c:v>22.8</c:v>
                </c:pt>
                <c:pt idx="7">
                  <c:v>22.75</c:v>
                </c:pt>
                <c:pt idx="8">
                  <c:v>26.2</c:v>
                </c:pt>
                <c:pt idx="9">
                  <c:v>30.04</c:v>
                </c:pt>
                <c:pt idx="10">
                  <c:v>28.56</c:v>
                </c:pt>
                <c:pt idx="11">
                  <c:v>31.28</c:v>
                </c:pt>
                <c:pt idx="12">
                  <c:v>30.02</c:v>
                </c:pt>
                <c:pt idx="13">
                  <c:v>30.7</c:v>
                </c:pt>
                <c:pt idx="14">
                  <c:v>30.97</c:v>
                </c:pt>
                <c:pt idx="15">
                  <c:v>31.28</c:v>
                </c:pt>
                <c:pt idx="16">
                  <c:v>30.17</c:v>
                </c:pt>
                <c:pt idx="17">
                  <c:v>28.49</c:v>
                </c:pt>
                <c:pt idx="18">
                  <c:v>26.99</c:v>
                </c:pt>
                <c:pt idx="19">
                  <c:v>29.07</c:v>
                </c:pt>
                <c:pt idx="20">
                  <c:v>31.7</c:v>
                </c:pt>
                <c:pt idx="21">
                  <c:v>32.03</c:v>
                </c:pt>
                <c:pt idx="22">
                  <c:v>29.4</c:v>
                </c:pt>
                <c:pt idx="23">
                  <c:v>35.78</c:v>
                </c:pt>
                <c:pt idx="24">
                  <c:v>34.89</c:v>
                </c:pt>
                <c:pt idx="25">
                  <c:v>33.3</c:v>
                </c:pt>
                <c:pt idx="26">
                  <c:v>33.97</c:v>
                </c:pt>
                <c:pt idx="27">
                  <c:v>34</c:v>
                </c:pt>
                <c:pt idx="28">
                  <c:v>32.32</c:v>
                </c:pt>
                <c:pt idx="29">
                  <c:v>29.82</c:v>
                </c:pt>
                <c:pt idx="30">
                  <c:v>31.19</c:v>
                </c:pt>
                <c:pt idx="31">
                  <c:v>30.48</c:v>
                </c:pt>
                <c:pt idx="32">
                  <c:v>30.4</c:v>
                </c:pt>
                <c:pt idx="33">
                  <c:v>28.28</c:v>
                </c:pt>
                <c:pt idx="34">
                  <c:v>30.5</c:v>
                </c:pt>
                <c:pt idx="35">
                  <c:v>29.63</c:v>
                </c:pt>
                <c:pt idx="36">
                  <c:v>29.18</c:v>
                </c:pt>
                <c:pt idx="37">
                  <c:v>27.65</c:v>
                </c:pt>
                <c:pt idx="38">
                  <c:v>26.49</c:v>
                </c:pt>
                <c:pt idx="39">
                  <c:v>26.93</c:v>
                </c:pt>
                <c:pt idx="40">
                  <c:v>27.51</c:v>
                </c:pt>
                <c:pt idx="41">
                  <c:v>27</c:v>
                </c:pt>
                <c:pt idx="42">
                  <c:v>24.9</c:v>
                </c:pt>
                <c:pt idx="43">
                  <c:v>25.2</c:v>
                </c:pt>
                <c:pt idx="44">
                  <c:v>24.93</c:v>
                </c:pt>
                <c:pt idx="45">
                  <c:v>26.45</c:v>
                </c:pt>
                <c:pt idx="46">
                  <c:v>29</c:v>
                </c:pt>
                <c:pt idx="47">
                  <c:v>41.8</c:v>
                </c:pt>
                <c:pt idx="48">
                  <c:v>35.8</c:v>
                </c:pt>
                <c:pt idx="49">
                  <c:v>37.12</c:v>
                </c:pt>
                <c:pt idx="50">
                  <c:v>36.15</c:v>
                </c:pt>
                <c:pt idx="51">
                  <c:v>33.49</c:v>
                </c:pt>
                <c:pt idx="52">
                  <c:v>30.89</c:v>
                </c:pt>
                <c:pt idx="53">
                  <c:v>29.91</c:v>
                </c:pt>
                <c:pt idx="54">
                  <c:v>29.59</c:v>
                </c:pt>
                <c:pt idx="55">
                  <c:v>26</c:v>
                </c:pt>
                <c:pt idx="56">
                  <c:v>34.1</c:v>
                </c:pt>
              </c:numCache>
            </c:numRef>
          </c:yVal>
          <c:smooth val="1"/>
        </c:ser>
        <c:axId val="41310752"/>
        <c:axId val="344512"/>
      </c:scatterChart>
      <c:valAx>
        <c:axId val="41310752"/>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Inflación %</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44512"/>
        <c:crosses val="autoZero"/>
        <c:crossBetween val="midCat"/>
      </c:valAx>
      <c:valAx>
        <c:axId val="344512"/>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Precio MXN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1310752"/>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Precio de Soriana vs inflación EXPONENCIAL</a:t>
            </a:r>
          </a:p>
        </c:rich>
      </c:tx>
      <c:overlay val="0"/>
      <c:spPr>
        <a:noFill/>
        <a:ln w="0">
          <a:noFill/>
        </a:ln>
      </c:spPr>
    </c:title>
    <c:autoTitleDeleted val="0"/>
    <c:plotArea>
      <c:scatterChart>
        <c:scatterStyle val="lineMarker"/>
        <c:varyColors val="0"/>
        <c:ser>
          <c:idx val="0"/>
          <c:order val="0"/>
          <c:tx>
            <c:strRef>
              <c:f>"Precio MXN"</c:f>
              <c:strCache>
                <c:ptCount val="1"/>
                <c:pt idx="0">
                  <c:v>Precio MXN</c:v>
                </c:pt>
              </c:strCache>
            </c:strRef>
          </c:tx>
          <c:spPr>
            <a:solidFill>
              <a:srgbClr val="1f4e79"/>
            </a:solidFill>
            <a:ln w="31680">
              <a:noFill/>
            </a:ln>
          </c:spPr>
          <c:marker>
            <c:symbol val="circle"/>
            <c:size val="5"/>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exp"/>
            <c:forward val="0"/>
            <c:backward val="0"/>
            <c:dispRSqr val="1"/>
            <c:dispEq val="1"/>
          </c:trendline>
          <c:xVal>
            <c:numRef>
              <c:f>Inflación!$BY$10:$BY$69</c:f>
              <c:numCache>
                <c:formatCode>General</c:formatCode>
                <c:ptCount val="60"/>
                <c:pt idx="0">
                  <c:v>7.07</c:v>
                </c:pt>
                <c:pt idx="1">
                  <c:v>7.28</c:v>
                </c:pt>
                <c:pt idx="2">
                  <c:v>7.455</c:v>
                </c:pt>
                <c:pt idx="3">
                  <c:v>7.685</c:v>
                </c:pt>
                <c:pt idx="4">
                  <c:v>7.65</c:v>
                </c:pt>
                <c:pt idx="5">
                  <c:v>7.985</c:v>
                </c:pt>
                <c:pt idx="6">
                  <c:v>8.15</c:v>
                </c:pt>
                <c:pt idx="7">
                  <c:v>8.695</c:v>
                </c:pt>
                <c:pt idx="8">
                  <c:v>8.7</c:v>
                </c:pt>
                <c:pt idx="9">
                  <c:v>8.405</c:v>
                </c:pt>
                <c:pt idx="10">
                  <c:v>7.8</c:v>
                </c:pt>
                <c:pt idx="11">
                  <c:v>7.815</c:v>
                </c:pt>
                <c:pt idx="12">
                  <c:v>7.91</c:v>
                </c:pt>
                <c:pt idx="13">
                  <c:v>7.62</c:v>
                </c:pt>
                <c:pt idx="14">
                  <c:v>6.85</c:v>
                </c:pt>
                <c:pt idx="15">
                  <c:v>6.255</c:v>
                </c:pt>
                <c:pt idx="16">
                  <c:v>5.835</c:v>
                </c:pt>
                <c:pt idx="17">
                  <c:v>5.055</c:v>
                </c:pt>
                <c:pt idx="18">
                  <c:v>4.785</c:v>
                </c:pt>
                <c:pt idx="19">
                  <c:v>4.635</c:v>
                </c:pt>
                <c:pt idx="20">
                  <c:v>4.455</c:v>
                </c:pt>
                <c:pt idx="21">
                  <c:v>4.26</c:v>
                </c:pt>
                <c:pt idx="22">
                  <c:v>4.325</c:v>
                </c:pt>
                <c:pt idx="23">
                  <c:v>4.66</c:v>
                </c:pt>
                <c:pt idx="24">
                  <c:v>4.885</c:v>
                </c:pt>
                <c:pt idx="25">
                  <c:v>4.4</c:v>
                </c:pt>
                <c:pt idx="26">
                  <c:v>4.425</c:v>
                </c:pt>
                <c:pt idx="27">
                  <c:v>4.65</c:v>
                </c:pt>
                <c:pt idx="28">
                  <c:v>4.685</c:v>
                </c:pt>
                <c:pt idx="29">
                  <c:v>4.975</c:v>
                </c:pt>
                <c:pt idx="30">
                  <c:v>5.565</c:v>
                </c:pt>
                <c:pt idx="31">
                  <c:v>4.995</c:v>
                </c:pt>
                <c:pt idx="32">
                  <c:v>4.58</c:v>
                </c:pt>
                <c:pt idx="33">
                  <c:v>4.76</c:v>
                </c:pt>
                <c:pt idx="34">
                  <c:v>4.55</c:v>
                </c:pt>
                <c:pt idx="35">
                  <c:v>4.215</c:v>
                </c:pt>
                <c:pt idx="36">
                  <c:v>3.585</c:v>
                </c:pt>
                <c:pt idx="37">
                  <c:v>3.775</c:v>
                </c:pt>
                <c:pt idx="38">
                  <c:v>3.8</c:v>
                </c:pt>
                <c:pt idx="39">
                  <c:v>3.93</c:v>
                </c:pt>
                <c:pt idx="40">
                  <c:v>4.42</c:v>
                </c:pt>
                <c:pt idx="41">
                  <c:v>4.32</c:v>
                </c:pt>
                <c:pt idx="42">
                  <c:v>3.515</c:v>
                </c:pt>
                <c:pt idx="43">
                  <c:v>3.57</c:v>
                </c:pt>
                <c:pt idx="44">
                  <c:v>3.76</c:v>
                </c:pt>
                <c:pt idx="45">
                  <c:v>3.565</c:v>
                </c:pt>
                <c:pt idx="46">
                  <c:v>3.8</c:v>
                </c:pt>
                <c:pt idx="47">
                  <c:v>3.69</c:v>
                </c:pt>
                <c:pt idx="48">
                  <c:v>3.795</c:v>
                </c:pt>
                <c:pt idx="49">
                  <c:v>4.025</c:v>
                </c:pt>
                <c:pt idx="50">
                  <c:v>4.59</c:v>
                </c:pt>
                <c:pt idx="51">
                  <c:v>4.45</c:v>
                </c:pt>
                <c:pt idx="52">
                  <c:v>3.94</c:v>
                </c:pt>
                <c:pt idx="53">
                  <c:v>3.365</c:v>
                </c:pt>
                <c:pt idx="54">
                  <c:v>3.12</c:v>
                </c:pt>
                <c:pt idx="55">
                  <c:v>3.26</c:v>
                </c:pt>
                <c:pt idx="56">
                  <c:v>3.42</c:v>
                </c:pt>
              </c:numCache>
            </c:numRef>
          </c:xVal>
          <c:yVal>
            <c:numRef>
              <c:f>Inflación!$BZ$10:$BZ$69</c:f>
              <c:numCache>
                <c:formatCode>#,##0.00</c:formatCode>
                <c:ptCount val="60"/>
                <c:pt idx="0">
                  <c:v>23.24</c:v>
                </c:pt>
                <c:pt idx="1">
                  <c:v>22.91</c:v>
                </c:pt>
                <c:pt idx="2">
                  <c:v>22.31</c:v>
                </c:pt>
                <c:pt idx="3">
                  <c:v>23.56</c:v>
                </c:pt>
                <c:pt idx="4">
                  <c:v>21.27</c:v>
                </c:pt>
                <c:pt idx="5">
                  <c:v>22.45</c:v>
                </c:pt>
                <c:pt idx="6">
                  <c:v>22.8</c:v>
                </c:pt>
                <c:pt idx="7">
                  <c:v>22.75</c:v>
                </c:pt>
                <c:pt idx="8">
                  <c:v>26.2</c:v>
                </c:pt>
                <c:pt idx="9">
                  <c:v>30.04</c:v>
                </c:pt>
                <c:pt idx="10">
                  <c:v>28.56</c:v>
                </c:pt>
                <c:pt idx="11">
                  <c:v>31.28</c:v>
                </c:pt>
                <c:pt idx="12">
                  <c:v>30.02</c:v>
                </c:pt>
                <c:pt idx="13">
                  <c:v>30.7</c:v>
                </c:pt>
                <c:pt idx="14">
                  <c:v>30.97</c:v>
                </c:pt>
                <c:pt idx="15">
                  <c:v>31.28</c:v>
                </c:pt>
                <c:pt idx="16">
                  <c:v>30.17</c:v>
                </c:pt>
                <c:pt idx="17">
                  <c:v>28.49</c:v>
                </c:pt>
                <c:pt idx="18">
                  <c:v>26.99</c:v>
                </c:pt>
                <c:pt idx="19">
                  <c:v>29.07</c:v>
                </c:pt>
                <c:pt idx="20">
                  <c:v>31.7</c:v>
                </c:pt>
                <c:pt idx="21">
                  <c:v>32.03</c:v>
                </c:pt>
                <c:pt idx="22">
                  <c:v>29.4</c:v>
                </c:pt>
                <c:pt idx="23">
                  <c:v>35.78</c:v>
                </c:pt>
                <c:pt idx="24">
                  <c:v>34.89</c:v>
                </c:pt>
                <c:pt idx="25">
                  <c:v>33.3</c:v>
                </c:pt>
                <c:pt idx="26">
                  <c:v>33.97</c:v>
                </c:pt>
                <c:pt idx="27">
                  <c:v>34</c:v>
                </c:pt>
                <c:pt idx="28">
                  <c:v>32.32</c:v>
                </c:pt>
                <c:pt idx="29">
                  <c:v>29.82</c:v>
                </c:pt>
                <c:pt idx="30">
                  <c:v>31.19</c:v>
                </c:pt>
                <c:pt idx="31">
                  <c:v>30.48</c:v>
                </c:pt>
                <c:pt idx="32">
                  <c:v>30.4</c:v>
                </c:pt>
                <c:pt idx="33">
                  <c:v>28.28</c:v>
                </c:pt>
                <c:pt idx="34">
                  <c:v>30.5</c:v>
                </c:pt>
                <c:pt idx="35">
                  <c:v>29.63</c:v>
                </c:pt>
                <c:pt idx="36">
                  <c:v>29.18</c:v>
                </c:pt>
                <c:pt idx="37">
                  <c:v>27.65</c:v>
                </c:pt>
                <c:pt idx="38">
                  <c:v>26.49</c:v>
                </c:pt>
                <c:pt idx="39">
                  <c:v>26.93</c:v>
                </c:pt>
                <c:pt idx="40">
                  <c:v>27.51</c:v>
                </c:pt>
                <c:pt idx="41">
                  <c:v>27</c:v>
                </c:pt>
                <c:pt idx="42">
                  <c:v>24.9</c:v>
                </c:pt>
                <c:pt idx="43">
                  <c:v>25.2</c:v>
                </c:pt>
                <c:pt idx="44">
                  <c:v>24.93</c:v>
                </c:pt>
                <c:pt idx="45">
                  <c:v>26.45</c:v>
                </c:pt>
                <c:pt idx="46">
                  <c:v>29</c:v>
                </c:pt>
                <c:pt idx="47">
                  <c:v>41.8</c:v>
                </c:pt>
                <c:pt idx="48">
                  <c:v>35.8</c:v>
                </c:pt>
                <c:pt idx="49">
                  <c:v>37.12</c:v>
                </c:pt>
                <c:pt idx="50">
                  <c:v>36.15</c:v>
                </c:pt>
                <c:pt idx="51">
                  <c:v>33.49</c:v>
                </c:pt>
                <c:pt idx="52">
                  <c:v>30.89</c:v>
                </c:pt>
                <c:pt idx="53">
                  <c:v>29.91</c:v>
                </c:pt>
                <c:pt idx="54">
                  <c:v>29.59</c:v>
                </c:pt>
                <c:pt idx="55">
                  <c:v>26</c:v>
                </c:pt>
                <c:pt idx="56">
                  <c:v>34.1</c:v>
                </c:pt>
              </c:numCache>
            </c:numRef>
          </c:yVal>
          <c:smooth val="1"/>
        </c:ser>
        <c:axId val="38646638"/>
        <c:axId val="67844936"/>
      </c:scatterChart>
      <c:valAx>
        <c:axId val="38646638"/>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Inflación %</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7844936"/>
        <c:crosses val="autoZero"/>
        <c:crossBetween val="midCat"/>
      </c:valAx>
      <c:valAx>
        <c:axId val="67844936"/>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Precio MXN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8646638"/>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Rendimiento mensual de Soriana vs cambio de inflación</a:t>
            </a:r>
          </a:p>
        </c:rich>
      </c:tx>
      <c:overlay val="0"/>
      <c:spPr>
        <a:noFill/>
        <a:ln w="0">
          <a:noFill/>
        </a:ln>
      </c:spPr>
    </c:title>
    <c:autoTitleDeleted val="0"/>
    <c:plotArea>
      <c:scatterChart>
        <c:scatterStyle val="lineMarker"/>
        <c:varyColors val="0"/>
        <c:ser>
          <c:idx val="0"/>
          <c:order val="0"/>
          <c:tx>
            <c:strRef>
              <c:f>"Rendimiento mensual"</c:f>
              <c:strCache>
                <c:ptCount val="1"/>
                <c:pt idx="0">
                  <c:v>Rendimiento mensual</c:v>
                </c:pt>
              </c:strCache>
            </c:strRef>
          </c:tx>
          <c:spPr>
            <a:solidFill>
              <a:srgbClr val="1f4e79"/>
            </a:solidFill>
            <a:ln w="31680">
              <a:noFill/>
            </a:ln>
          </c:spPr>
          <c:marker>
            <c:symbol val="circle"/>
            <c:size val="5"/>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linear"/>
            <c:forward val="0"/>
            <c:backward val="0"/>
            <c:dispRSqr val="1"/>
            <c:dispEq val="1"/>
          </c:trendline>
          <c:xVal>
            <c:numRef>
              <c:f>Inflación!$CC$10:$CC$69</c:f>
              <c:numCache>
                <c:formatCode>General</c:formatCode>
                <c:ptCount val="60"/>
                <c:pt idx="1">
                  <c:v>0.209999999999999</c:v>
                </c:pt>
                <c:pt idx="2">
                  <c:v>0.175000000000001</c:v>
                </c:pt>
                <c:pt idx="3">
                  <c:v>0.23</c:v>
                </c:pt>
                <c:pt idx="4">
                  <c:v>-0.0350000000000001</c:v>
                </c:pt>
                <c:pt idx="5">
                  <c:v>0.334999999999999</c:v>
                </c:pt>
                <c:pt idx="6">
                  <c:v>0.165000000000001</c:v>
                </c:pt>
                <c:pt idx="7">
                  <c:v>0.545</c:v>
                </c:pt>
                <c:pt idx="8">
                  <c:v>0.00499999999999901</c:v>
                </c:pt>
                <c:pt idx="9">
                  <c:v>-0.295</c:v>
                </c:pt>
                <c:pt idx="10">
                  <c:v>-0.604999999999999</c:v>
                </c:pt>
                <c:pt idx="11">
                  <c:v>0.0149999999999988</c:v>
                </c:pt>
                <c:pt idx="12">
                  <c:v>0.0950000000000006</c:v>
                </c:pt>
                <c:pt idx="13">
                  <c:v>-0.29</c:v>
                </c:pt>
                <c:pt idx="14">
                  <c:v>-0.770000000000001</c:v>
                </c:pt>
                <c:pt idx="15">
                  <c:v>-0.595</c:v>
                </c:pt>
                <c:pt idx="16">
                  <c:v>-0.42</c:v>
                </c:pt>
                <c:pt idx="17">
                  <c:v>-0.78</c:v>
                </c:pt>
                <c:pt idx="18">
                  <c:v>-0.27</c:v>
                </c:pt>
                <c:pt idx="19">
                  <c:v>-0.15</c:v>
                </c:pt>
                <c:pt idx="20">
                  <c:v>-0.18</c:v>
                </c:pt>
                <c:pt idx="21">
                  <c:v>-0.195</c:v>
                </c:pt>
                <c:pt idx="22">
                  <c:v>0.0650000000000004</c:v>
                </c:pt>
                <c:pt idx="23">
                  <c:v>0.335</c:v>
                </c:pt>
                <c:pt idx="24">
                  <c:v>0.225</c:v>
                </c:pt>
                <c:pt idx="25">
                  <c:v>-0.484999999999999</c:v>
                </c:pt>
                <c:pt idx="26">
                  <c:v>0.0250000000000004</c:v>
                </c:pt>
                <c:pt idx="27">
                  <c:v>0.225</c:v>
                </c:pt>
                <c:pt idx="28">
                  <c:v>0.0350000000000001</c:v>
                </c:pt>
                <c:pt idx="29">
                  <c:v>0.289999999999999</c:v>
                </c:pt>
                <c:pt idx="30">
                  <c:v>0.59</c:v>
                </c:pt>
                <c:pt idx="31">
                  <c:v>-0.569999999999999</c:v>
                </c:pt>
                <c:pt idx="32">
                  <c:v>-0.415</c:v>
                </c:pt>
                <c:pt idx="33">
                  <c:v>0.18</c:v>
                </c:pt>
                <c:pt idx="34">
                  <c:v>-0.21</c:v>
                </c:pt>
                <c:pt idx="35">
                  <c:v>-0.335</c:v>
                </c:pt>
                <c:pt idx="36">
                  <c:v>-0.63</c:v>
                </c:pt>
                <c:pt idx="37">
                  <c:v>0.19</c:v>
                </c:pt>
                <c:pt idx="38">
                  <c:v>0.0249999999999995</c:v>
                </c:pt>
                <c:pt idx="39">
                  <c:v>0.13</c:v>
                </c:pt>
                <c:pt idx="40">
                  <c:v>0.49</c:v>
                </c:pt>
                <c:pt idx="41">
                  <c:v>-0.0999999999999996</c:v>
                </c:pt>
                <c:pt idx="42">
                  <c:v>-0.805000000000001</c:v>
                </c:pt>
                <c:pt idx="43">
                  <c:v>0.0550000000000006</c:v>
                </c:pt>
                <c:pt idx="44">
                  <c:v>0.19</c:v>
                </c:pt>
                <c:pt idx="45">
                  <c:v>-0.195</c:v>
                </c:pt>
                <c:pt idx="46">
                  <c:v>0.235</c:v>
                </c:pt>
                <c:pt idx="47">
                  <c:v>-0.109999999999999</c:v>
                </c:pt>
                <c:pt idx="48">
                  <c:v>0.105</c:v>
                </c:pt>
                <c:pt idx="49">
                  <c:v>0.23</c:v>
                </c:pt>
                <c:pt idx="50">
                  <c:v>0.565</c:v>
                </c:pt>
                <c:pt idx="51">
                  <c:v>-0.14</c:v>
                </c:pt>
                <c:pt idx="52">
                  <c:v>-0.51</c:v>
                </c:pt>
                <c:pt idx="53">
                  <c:v>-0.575</c:v>
                </c:pt>
                <c:pt idx="54">
                  <c:v>-0.245</c:v>
                </c:pt>
                <c:pt idx="55">
                  <c:v>0.14</c:v>
                </c:pt>
                <c:pt idx="56">
                  <c:v>0.16</c:v>
                </c:pt>
              </c:numCache>
            </c:numRef>
          </c:xVal>
          <c:yVal>
            <c:numRef>
              <c:f>Inflación!$CB$10:$CB$69</c:f>
              <c:numCache>
                <c:formatCode>0.00%</c:formatCode>
                <c:ptCount val="60"/>
                <c:pt idx="1">
                  <c:v>-0.0141996557659207</c:v>
                </c:pt>
                <c:pt idx="2">
                  <c:v>-0.0261894369271062</c:v>
                </c:pt>
                <c:pt idx="3">
                  <c:v>0.0560286866875841</c:v>
                </c:pt>
                <c:pt idx="4">
                  <c:v>-0.0971986417657046</c:v>
                </c:pt>
                <c:pt idx="5">
                  <c:v>0.0554771979313586</c:v>
                </c:pt>
                <c:pt idx="6">
                  <c:v>0.0155902004454345</c:v>
                </c:pt>
                <c:pt idx="7">
                  <c:v>-0.00219298245614041</c:v>
                </c:pt>
                <c:pt idx="8">
                  <c:v>0.151648351648352</c:v>
                </c:pt>
                <c:pt idx="9">
                  <c:v>0.146564885496183</c:v>
                </c:pt>
                <c:pt idx="10">
                  <c:v>-0.0492676431424767</c:v>
                </c:pt>
                <c:pt idx="11">
                  <c:v>0.0952380952380953</c:v>
                </c:pt>
                <c:pt idx="12">
                  <c:v>-0.0402813299232737</c:v>
                </c:pt>
                <c:pt idx="13">
                  <c:v>0.022651565622918</c:v>
                </c:pt>
                <c:pt idx="14">
                  <c:v>0.00879478827361568</c:v>
                </c:pt>
                <c:pt idx="15">
                  <c:v>0.0100096867936714</c:v>
                </c:pt>
                <c:pt idx="16">
                  <c:v>-0.0354859335038363</c:v>
                </c:pt>
                <c:pt idx="17">
                  <c:v>-0.0556844547563806</c:v>
                </c:pt>
                <c:pt idx="18">
                  <c:v>-0.0526500526500526</c:v>
                </c:pt>
                <c:pt idx="19">
                  <c:v>0.0770655798443869</c:v>
                </c:pt>
                <c:pt idx="20">
                  <c:v>0.0904712762297901</c:v>
                </c:pt>
                <c:pt idx="21">
                  <c:v>0.0104100946372241</c:v>
                </c:pt>
                <c:pt idx="22">
                  <c:v>-0.0821105213862006</c:v>
                </c:pt>
                <c:pt idx="23">
                  <c:v>0.217006802721089</c:v>
                </c:pt>
                <c:pt idx="24">
                  <c:v>-0.0248742314141979</c:v>
                </c:pt>
                <c:pt idx="25">
                  <c:v>-0.0455717970765264</c:v>
                </c:pt>
                <c:pt idx="26">
                  <c:v>0.0201201201201202</c:v>
                </c:pt>
                <c:pt idx="27">
                  <c:v>0.000883132175448997</c:v>
                </c:pt>
                <c:pt idx="28">
                  <c:v>-0.0494117647058824</c:v>
                </c:pt>
                <c:pt idx="29">
                  <c:v>-0.0773514851485149</c:v>
                </c:pt>
                <c:pt idx="30">
                  <c:v>0.0459423205902079</c:v>
                </c:pt>
                <c:pt idx="31">
                  <c:v>-0.022763706316127</c:v>
                </c:pt>
                <c:pt idx="32">
                  <c:v>-0.00262467191601057</c:v>
                </c:pt>
                <c:pt idx="33">
                  <c:v>-0.0697368421052631</c:v>
                </c:pt>
                <c:pt idx="34">
                  <c:v>0.0785007072135784</c:v>
                </c:pt>
                <c:pt idx="35">
                  <c:v>-0.0285245901639345</c:v>
                </c:pt>
                <c:pt idx="36">
                  <c:v>-0.015187310158623</c:v>
                </c:pt>
                <c:pt idx="37">
                  <c:v>-0.0524331734064428</c:v>
                </c:pt>
                <c:pt idx="38">
                  <c:v>-0.0419529837251357</c:v>
                </c:pt>
                <c:pt idx="39">
                  <c:v>0.0166100415251038</c:v>
                </c:pt>
                <c:pt idx="40">
                  <c:v>0.0215373189751207</c:v>
                </c:pt>
                <c:pt idx="41">
                  <c:v>-0.0185387131952018</c:v>
                </c:pt>
                <c:pt idx="42">
                  <c:v>-0.0777777777777778</c:v>
                </c:pt>
                <c:pt idx="43">
                  <c:v>0.0120481927710843</c:v>
                </c:pt>
                <c:pt idx="44">
                  <c:v>-0.0107142857142857</c:v>
                </c:pt>
                <c:pt idx="45">
                  <c:v>0.0609707180104291</c:v>
                </c:pt>
                <c:pt idx="46">
                  <c:v>0.0964083175803403</c:v>
                </c:pt>
                <c:pt idx="47">
                  <c:v>0.441379310344828</c:v>
                </c:pt>
                <c:pt idx="48">
                  <c:v>-0.143540669856459</c:v>
                </c:pt>
                <c:pt idx="49">
                  <c:v>0.0368715083798883</c:v>
                </c:pt>
                <c:pt idx="50">
                  <c:v>-0.0261314655172413</c:v>
                </c:pt>
                <c:pt idx="51">
                  <c:v>-0.073582295988935</c:v>
                </c:pt>
                <c:pt idx="52">
                  <c:v>-0.0776351149596894</c:v>
                </c:pt>
                <c:pt idx="53">
                  <c:v>-0.0317254775008093</c:v>
                </c:pt>
                <c:pt idx="54">
                  <c:v>-0.0106987629555333</c:v>
                </c:pt>
                <c:pt idx="55">
                  <c:v>-0.121324771882393</c:v>
                </c:pt>
                <c:pt idx="56">
                  <c:v>0.311538461538462</c:v>
                </c:pt>
              </c:numCache>
            </c:numRef>
          </c:yVal>
          <c:smooth val="1"/>
        </c:ser>
        <c:axId val="21967419"/>
        <c:axId val="10049262"/>
      </c:scatterChart>
      <c:valAx>
        <c:axId val="21967419"/>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Cambio de inflación (pp)</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0049262"/>
        <c:crosses val="autoZero"/>
        <c:crossBetween val="midCat"/>
      </c:valAx>
      <c:valAx>
        <c:axId val="10049262"/>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Rendimiento mensual</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1967419"/>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Soriana B LINEAL</a:t>
            </a:r>
          </a:p>
        </c:rich>
      </c:tx>
      <c:overlay val="0"/>
      <c:spPr>
        <a:noFill/>
        <a:ln w="0">
          <a:noFill/>
        </a:ln>
      </c:spPr>
    </c:title>
    <c:autoTitleDeleted val="0"/>
    <c:plotArea>
      <c:scatterChart>
        <c:scatterStyle val="lineMarker"/>
        <c:varyColors val="0"/>
        <c:ser>
          <c:idx val="0"/>
          <c:order val="0"/>
          <c:tx>
            <c:strRef>
              <c:f>"Precio MXN"</c:f>
              <c:strCache>
                <c:ptCount val="1"/>
                <c:pt idx="0">
                  <c:v>Precio MXN</c:v>
                </c:pt>
              </c:strCache>
            </c:strRef>
          </c:tx>
          <c:spPr>
            <a:solidFill>
              <a:srgbClr val="1f4e79"/>
            </a:solidFill>
            <a:ln w="31680">
              <a:noFill/>
            </a:ln>
          </c:spPr>
          <c:marker>
            <c:symbol val="circle"/>
            <c:size val="5"/>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linear"/>
            <c:forward val="0"/>
            <c:backward val="0"/>
            <c:dispRSqr val="1"/>
            <c:dispEq val="1"/>
          </c:trendline>
          <c:xVal>
            <c:numRef>
              <c:f>'Precio e IPC'!$AH$13:$AH$412</c:f>
              <c:numCache>
                <c:formatCode>General</c:formatCode>
                <c:ptCount val="4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numCache>
            </c:numRef>
          </c:xVal>
          <c:yVal>
            <c:numRef>
              <c:f>'Precio e IPC'!$AI$13:$AI$412</c:f>
              <c:numCache>
                <c:formatCode>#,##0.00</c:formatCode>
                <c:ptCount val="400"/>
                <c:pt idx="0">
                  <c:v>25</c:v>
                </c:pt>
                <c:pt idx="1">
                  <c:v>24.77</c:v>
                </c:pt>
                <c:pt idx="2">
                  <c:v>24.48</c:v>
                </c:pt>
                <c:pt idx="3">
                  <c:v>23.77</c:v>
                </c:pt>
                <c:pt idx="4">
                  <c:v>22.99</c:v>
                </c:pt>
                <c:pt idx="5">
                  <c:v>22.73</c:v>
                </c:pt>
                <c:pt idx="6">
                  <c:v>23.94</c:v>
                </c:pt>
                <c:pt idx="7">
                  <c:v>23.26</c:v>
                </c:pt>
                <c:pt idx="8">
                  <c:v>22.59</c:v>
                </c:pt>
                <c:pt idx="9">
                  <c:v>24.8</c:v>
                </c:pt>
                <c:pt idx="10">
                  <c:v>25.98</c:v>
                </c:pt>
                <c:pt idx="11">
                  <c:v>24.04</c:v>
                </c:pt>
                <c:pt idx="12">
                  <c:v>23.98</c:v>
                </c:pt>
                <c:pt idx="13">
                  <c:v>22.92</c:v>
                </c:pt>
                <c:pt idx="14">
                  <c:v>22.39</c:v>
                </c:pt>
                <c:pt idx="15">
                  <c:v>23.24</c:v>
                </c:pt>
                <c:pt idx="16">
                  <c:v>22.57</c:v>
                </c:pt>
                <c:pt idx="17">
                  <c:v>23.11</c:v>
                </c:pt>
                <c:pt idx="18">
                  <c:v>23.25</c:v>
                </c:pt>
                <c:pt idx="19">
                  <c:v>22.91</c:v>
                </c:pt>
                <c:pt idx="20">
                  <c:v>22.7</c:v>
                </c:pt>
                <c:pt idx="21">
                  <c:v>21.62</c:v>
                </c:pt>
                <c:pt idx="22">
                  <c:v>22.13</c:v>
                </c:pt>
                <c:pt idx="23">
                  <c:v>22.31</c:v>
                </c:pt>
                <c:pt idx="24">
                  <c:v>21.58</c:v>
                </c:pt>
                <c:pt idx="25">
                  <c:v>21.68</c:v>
                </c:pt>
                <c:pt idx="26">
                  <c:v>21.01</c:v>
                </c:pt>
                <c:pt idx="27">
                  <c:v>23.56</c:v>
                </c:pt>
                <c:pt idx="28">
                  <c:v>22.07</c:v>
                </c:pt>
                <c:pt idx="29">
                  <c:v>22</c:v>
                </c:pt>
                <c:pt idx="30">
                  <c:v>21.35</c:v>
                </c:pt>
                <c:pt idx="31">
                  <c:v>21.34</c:v>
                </c:pt>
                <c:pt idx="32">
                  <c:v>21.27</c:v>
                </c:pt>
                <c:pt idx="33">
                  <c:v>21.06</c:v>
                </c:pt>
                <c:pt idx="34">
                  <c:v>19.21</c:v>
                </c:pt>
                <c:pt idx="35">
                  <c:v>21.24</c:v>
                </c:pt>
                <c:pt idx="36">
                  <c:v>22.45</c:v>
                </c:pt>
                <c:pt idx="37">
                  <c:v>22.7</c:v>
                </c:pt>
                <c:pt idx="38">
                  <c:v>22.83</c:v>
                </c:pt>
                <c:pt idx="39">
                  <c:v>23.6</c:v>
                </c:pt>
                <c:pt idx="40">
                  <c:v>22.64</c:v>
                </c:pt>
                <c:pt idx="41">
                  <c:v>22.8</c:v>
                </c:pt>
                <c:pt idx="42">
                  <c:v>22.75</c:v>
                </c:pt>
                <c:pt idx="43">
                  <c:v>22.75</c:v>
                </c:pt>
                <c:pt idx="44">
                  <c:v>22.74</c:v>
                </c:pt>
                <c:pt idx="45">
                  <c:v>22.75</c:v>
                </c:pt>
                <c:pt idx="46">
                  <c:v>23.29</c:v>
                </c:pt>
                <c:pt idx="47">
                  <c:v>24.99</c:v>
                </c:pt>
                <c:pt idx="48">
                  <c:v>26.2</c:v>
                </c:pt>
                <c:pt idx="49">
                  <c:v>26.2</c:v>
                </c:pt>
                <c:pt idx="50">
                  <c:v>26.43</c:v>
                </c:pt>
                <c:pt idx="51">
                  <c:v>26.5</c:v>
                </c:pt>
                <c:pt idx="52">
                  <c:v>27.7</c:v>
                </c:pt>
                <c:pt idx="53">
                  <c:v>30.43</c:v>
                </c:pt>
                <c:pt idx="54">
                  <c:v>30.04</c:v>
                </c:pt>
                <c:pt idx="55">
                  <c:v>29.95</c:v>
                </c:pt>
                <c:pt idx="56">
                  <c:v>30.2</c:v>
                </c:pt>
                <c:pt idx="57">
                  <c:v>30.45</c:v>
                </c:pt>
                <c:pt idx="58">
                  <c:v>28.56</c:v>
                </c:pt>
                <c:pt idx="59">
                  <c:v>30.43</c:v>
                </c:pt>
                <c:pt idx="60">
                  <c:v>30.63</c:v>
                </c:pt>
                <c:pt idx="61">
                  <c:v>30.83</c:v>
                </c:pt>
                <c:pt idx="62">
                  <c:v>31.28</c:v>
                </c:pt>
                <c:pt idx="63">
                  <c:v>31.65</c:v>
                </c:pt>
                <c:pt idx="64">
                  <c:v>30.99</c:v>
                </c:pt>
                <c:pt idx="65">
                  <c:v>30.77</c:v>
                </c:pt>
                <c:pt idx="66">
                  <c:v>31.12</c:v>
                </c:pt>
                <c:pt idx="67">
                  <c:v>30.02</c:v>
                </c:pt>
                <c:pt idx="68">
                  <c:v>30.69</c:v>
                </c:pt>
                <c:pt idx="69">
                  <c:v>29.8</c:v>
                </c:pt>
                <c:pt idx="70">
                  <c:v>30.2</c:v>
                </c:pt>
                <c:pt idx="71">
                  <c:v>30.7</c:v>
                </c:pt>
                <c:pt idx="72">
                  <c:v>30.1</c:v>
                </c:pt>
                <c:pt idx="73">
                  <c:v>30.51</c:v>
                </c:pt>
                <c:pt idx="74">
                  <c:v>30.51</c:v>
                </c:pt>
                <c:pt idx="75">
                  <c:v>30.97</c:v>
                </c:pt>
                <c:pt idx="76">
                  <c:v>30.6</c:v>
                </c:pt>
                <c:pt idx="77">
                  <c:v>31</c:v>
                </c:pt>
                <c:pt idx="78">
                  <c:v>30.94</c:v>
                </c:pt>
                <c:pt idx="79">
                  <c:v>31.13</c:v>
                </c:pt>
                <c:pt idx="80">
                  <c:v>31.28</c:v>
                </c:pt>
                <c:pt idx="81">
                  <c:v>30.8</c:v>
                </c:pt>
                <c:pt idx="82">
                  <c:v>30.54</c:v>
                </c:pt>
                <c:pt idx="83">
                  <c:v>30.3</c:v>
                </c:pt>
                <c:pt idx="84">
                  <c:v>30.17</c:v>
                </c:pt>
                <c:pt idx="85">
                  <c:v>30.05</c:v>
                </c:pt>
                <c:pt idx="86">
                  <c:v>29.07</c:v>
                </c:pt>
                <c:pt idx="87">
                  <c:v>28.86</c:v>
                </c:pt>
                <c:pt idx="88">
                  <c:v>28.49</c:v>
                </c:pt>
                <c:pt idx="89">
                  <c:v>27.74</c:v>
                </c:pt>
                <c:pt idx="90">
                  <c:v>27.69</c:v>
                </c:pt>
                <c:pt idx="91">
                  <c:v>27.24</c:v>
                </c:pt>
                <c:pt idx="92">
                  <c:v>27.38</c:v>
                </c:pt>
                <c:pt idx="93">
                  <c:v>26.99</c:v>
                </c:pt>
                <c:pt idx="94">
                  <c:v>27.19</c:v>
                </c:pt>
                <c:pt idx="95">
                  <c:v>27.2</c:v>
                </c:pt>
                <c:pt idx="96">
                  <c:v>26.49</c:v>
                </c:pt>
                <c:pt idx="97">
                  <c:v>29.07</c:v>
                </c:pt>
                <c:pt idx="98">
                  <c:v>28</c:v>
                </c:pt>
                <c:pt idx="99">
                  <c:v>26</c:v>
                </c:pt>
                <c:pt idx="100">
                  <c:v>28.35</c:v>
                </c:pt>
                <c:pt idx="101">
                  <c:v>31.7</c:v>
                </c:pt>
                <c:pt idx="102">
                  <c:v>29.34</c:v>
                </c:pt>
                <c:pt idx="103">
                  <c:v>29.85</c:v>
                </c:pt>
                <c:pt idx="104">
                  <c:v>29.05</c:v>
                </c:pt>
                <c:pt idx="105">
                  <c:v>32.09</c:v>
                </c:pt>
                <c:pt idx="106">
                  <c:v>32.03</c:v>
                </c:pt>
                <c:pt idx="107">
                  <c:v>29.94</c:v>
                </c:pt>
                <c:pt idx="108">
                  <c:v>30.49</c:v>
                </c:pt>
                <c:pt idx="109">
                  <c:v>30.3</c:v>
                </c:pt>
                <c:pt idx="110">
                  <c:v>29.4</c:v>
                </c:pt>
                <c:pt idx="111">
                  <c:v>31.97</c:v>
                </c:pt>
                <c:pt idx="112">
                  <c:v>33</c:v>
                </c:pt>
                <c:pt idx="113">
                  <c:v>35.43</c:v>
                </c:pt>
                <c:pt idx="114">
                  <c:v>36.34</c:v>
                </c:pt>
                <c:pt idx="115">
                  <c:v>35.78</c:v>
                </c:pt>
                <c:pt idx="116">
                  <c:v>34.82</c:v>
                </c:pt>
                <c:pt idx="117">
                  <c:v>34.41</c:v>
                </c:pt>
                <c:pt idx="118">
                  <c:v>34.91</c:v>
                </c:pt>
                <c:pt idx="119">
                  <c:v>34.89</c:v>
                </c:pt>
                <c:pt idx="120">
                  <c:v>34.94</c:v>
                </c:pt>
                <c:pt idx="121">
                  <c:v>34.88</c:v>
                </c:pt>
                <c:pt idx="122">
                  <c:v>33.86</c:v>
                </c:pt>
                <c:pt idx="123">
                  <c:v>33.3</c:v>
                </c:pt>
                <c:pt idx="124">
                  <c:v>33.95</c:v>
                </c:pt>
                <c:pt idx="125">
                  <c:v>32.99</c:v>
                </c:pt>
                <c:pt idx="126">
                  <c:v>33.82</c:v>
                </c:pt>
                <c:pt idx="127">
                  <c:v>33.96</c:v>
                </c:pt>
                <c:pt idx="128">
                  <c:v>33.97</c:v>
                </c:pt>
                <c:pt idx="129">
                  <c:v>34</c:v>
                </c:pt>
                <c:pt idx="130">
                  <c:v>33.99</c:v>
                </c:pt>
                <c:pt idx="131">
                  <c:v>33.87</c:v>
                </c:pt>
                <c:pt idx="132">
                  <c:v>34</c:v>
                </c:pt>
                <c:pt idx="133">
                  <c:v>32.87</c:v>
                </c:pt>
                <c:pt idx="134">
                  <c:v>33</c:v>
                </c:pt>
                <c:pt idx="135">
                  <c:v>33.3</c:v>
                </c:pt>
                <c:pt idx="136">
                  <c:v>32.32</c:v>
                </c:pt>
                <c:pt idx="137">
                  <c:v>31.8</c:v>
                </c:pt>
                <c:pt idx="138">
                  <c:v>31.3</c:v>
                </c:pt>
                <c:pt idx="139">
                  <c:v>29.48</c:v>
                </c:pt>
                <c:pt idx="140">
                  <c:v>30.36</c:v>
                </c:pt>
                <c:pt idx="141">
                  <c:v>29.82</c:v>
                </c:pt>
                <c:pt idx="142">
                  <c:v>30.8</c:v>
                </c:pt>
                <c:pt idx="143">
                  <c:v>30.79</c:v>
                </c:pt>
                <c:pt idx="144">
                  <c:v>29.39</c:v>
                </c:pt>
                <c:pt idx="145">
                  <c:v>31.19</c:v>
                </c:pt>
                <c:pt idx="146">
                  <c:v>31.14</c:v>
                </c:pt>
                <c:pt idx="147">
                  <c:v>30.98</c:v>
                </c:pt>
                <c:pt idx="148">
                  <c:v>30.47</c:v>
                </c:pt>
                <c:pt idx="149">
                  <c:v>30.48</c:v>
                </c:pt>
                <c:pt idx="150">
                  <c:v>29.79</c:v>
                </c:pt>
                <c:pt idx="151">
                  <c:v>30</c:v>
                </c:pt>
                <c:pt idx="152">
                  <c:v>30.48</c:v>
                </c:pt>
                <c:pt idx="153">
                  <c:v>31.04</c:v>
                </c:pt>
                <c:pt idx="154">
                  <c:v>30.4</c:v>
                </c:pt>
                <c:pt idx="155">
                  <c:v>30.59</c:v>
                </c:pt>
                <c:pt idx="156">
                  <c:v>29.3</c:v>
                </c:pt>
                <c:pt idx="157">
                  <c:v>28.91</c:v>
                </c:pt>
                <c:pt idx="158">
                  <c:v>28.28</c:v>
                </c:pt>
                <c:pt idx="159">
                  <c:v>29.59</c:v>
                </c:pt>
                <c:pt idx="160">
                  <c:v>28.75</c:v>
                </c:pt>
                <c:pt idx="161">
                  <c:v>29.68</c:v>
                </c:pt>
                <c:pt idx="162">
                  <c:v>30.5</c:v>
                </c:pt>
                <c:pt idx="163">
                  <c:v>30.22</c:v>
                </c:pt>
                <c:pt idx="164">
                  <c:v>30.07</c:v>
                </c:pt>
                <c:pt idx="165">
                  <c:v>29.62</c:v>
                </c:pt>
                <c:pt idx="166">
                  <c:v>29.69</c:v>
                </c:pt>
                <c:pt idx="167">
                  <c:v>29.63</c:v>
                </c:pt>
                <c:pt idx="168">
                  <c:v>29.9</c:v>
                </c:pt>
                <c:pt idx="169">
                  <c:v>30.8</c:v>
                </c:pt>
                <c:pt idx="170">
                  <c:v>29.2</c:v>
                </c:pt>
                <c:pt idx="171">
                  <c:v>29.18</c:v>
                </c:pt>
                <c:pt idx="172">
                  <c:v>29.9</c:v>
                </c:pt>
                <c:pt idx="173">
                  <c:v>29.17</c:v>
                </c:pt>
                <c:pt idx="174">
                  <c:v>28.49</c:v>
                </c:pt>
                <c:pt idx="175">
                  <c:v>27.65</c:v>
                </c:pt>
                <c:pt idx="176">
                  <c:v>27</c:v>
                </c:pt>
                <c:pt idx="177">
                  <c:v>28.24</c:v>
                </c:pt>
                <c:pt idx="178">
                  <c:v>27.94</c:v>
                </c:pt>
                <c:pt idx="179">
                  <c:v>27.7</c:v>
                </c:pt>
                <c:pt idx="180">
                  <c:v>26.49</c:v>
                </c:pt>
                <c:pt idx="181">
                  <c:v>26.89</c:v>
                </c:pt>
                <c:pt idx="182">
                  <c:v>26.1</c:v>
                </c:pt>
                <c:pt idx="183">
                  <c:v>25.8</c:v>
                </c:pt>
                <c:pt idx="184">
                  <c:v>26.93</c:v>
                </c:pt>
                <c:pt idx="185">
                  <c:v>27.84</c:v>
                </c:pt>
                <c:pt idx="186">
                  <c:v>28</c:v>
                </c:pt>
                <c:pt idx="187">
                  <c:v>27.34</c:v>
                </c:pt>
                <c:pt idx="188">
                  <c:v>27.51</c:v>
                </c:pt>
                <c:pt idx="189">
                  <c:v>27</c:v>
                </c:pt>
                <c:pt idx="190">
                  <c:v>27.38</c:v>
                </c:pt>
                <c:pt idx="191">
                  <c:v>27.27</c:v>
                </c:pt>
                <c:pt idx="192">
                  <c:v>27.98</c:v>
                </c:pt>
                <c:pt idx="193">
                  <c:v>27</c:v>
                </c:pt>
                <c:pt idx="194">
                  <c:v>25.33</c:v>
                </c:pt>
                <c:pt idx="195">
                  <c:v>25.99</c:v>
                </c:pt>
                <c:pt idx="196">
                  <c:v>25.64</c:v>
                </c:pt>
                <c:pt idx="197">
                  <c:v>24.9</c:v>
                </c:pt>
                <c:pt idx="198">
                  <c:v>24.97</c:v>
                </c:pt>
                <c:pt idx="199">
                  <c:v>25.24</c:v>
                </c:pt>
                <c:pt idx="200">
                  <c:v>25.4</c:v>
                </c:pt>
                <c:pt idx="201">
                  <c:v>25.73</c:v>
                </c:pt>
                <c:pt idx="202">
                  <c:v>25.2</c:v>
                </c:pt>
                <c:pt idx="203">
                  <c:v>24.9</c:v>
                </c:pt>
                <c:pt idx="204">
                  <c:v>24.82</c:v>
                </c:pt>
                <c:pt idx="205">
                  <c:v>25</c:v>
                </c:pt>
                <c:pt idx="206">
                  <c:v>24.93</c:v>
                </c:pt>
                <c:pt idx="207">
                  <c:v>24.78</c:v>
                </c:pt>
                <c:pt idx="208">
                  <c:v>25.06</c:v>
                </c:pt>
                <c:pt idx="209">
                  <c:v>24.88</c:v>
                </c:pt>
                <c:pt idx="210">
                  <c:v>26.45</c:v>
                </c:pt>
                <c:pt idx="211">
                  <c:v>25.74</c:v>
                </c:pt>
                <c:pt idx="212">
                  <c:v>27.39</c:v>
                </c:pt>
                <c:pt idx="213">
                  <c:v>28.49</c:v>
                </c:pt>
                <c:pt idx="214">
                  <c:v>31.05</c:v>
                </c:pt>
                <c:pt idx="215">
                  <c:v>29</c:v>
                </c:pt>
                <c:pt idx="216">
                  <c:v>31.4</c:v>
                </c:pt>
                <c:pt idx="217">
                  <c:v>39.16</c:v>
                </c:pt>
                <c:pt idx="218">
                  <c:v>39.84</c:v>
                </c:pt>
                <c:pt idx="219">
                  <c:v>41.8</c:v>
                </c:pt>
                <c:pt idx="220">
                  <c:v>37.17</c:v>
                </c:pt>
                <c:pt idx="221">
                  <c:v>35.36</c:v>
                </c:pt>
                <c:pt idx="222">
                  <c:v>34</c:v>
                </c:pt>
                <c:pt idx="223">
                  <c:v>35.8</c:v>
                </c:pt>
                <c:pt idx="224">
                  <c:v>36</c:v>
                </c:pt>
                <c:pt idx="225">
                  <c:v>38</c:v>
                </c:pt>
                <c:pt idx="226">
                  <c:v>37</c:v>
                </c:pt>
                <c:pt idx="227">
                  <c:v>37.12</c:v>
                </c:pt>
                <c:pt idx="228">
                  <c:v>36.5</c:v>
                </c:pt>
                <c:pt idx="229">
                  <c:v>33.5</c:v>
                </c:pt>
                <c:pt idx="230">
                  <c:v>32.96</c:v>
                </c:pt>
                <c:pt idx="231">
                  <c:v>34.2</c:v>
                </c:pt>
                <c:pt idx="232">
                  <c:v>36.15</c:v>
                </c:pt>
                <c:pt idx="233">
                  <c:v>34.93</c:v>
                </c:pt>
                <c:pt idx="234">
                  <c:v>33.38</c:v>
                </c:pt>
                <c:pt idx="235">
                  <c:v>31.63</c:v>
                </c:pt>
                <c:pt idx="236">
                  <c:v>33.49</c:v>
                </c:pt>
                <c:pt idx="237">
                  <c:v>31.52</c:v>
                </c:pt>
                <c:pt idx="238">
                  <c:v>30.39</c:v>
                </c:pt>
                <c:pt idx="239">
                  <c:v>29.01</c:v>
                </c:pt>
                <c:pt idx="240">
                  <c:v>34.49</c:v>
                </c:pt>
                <c:pt idx="241">
                  <c:v>30.89</c:v>
                </c:pt>
                <c:pt idx="242">
                  <c:v>31.14</c:v>
                </c:pt>
                <c:pt idx="243">
                  <c:v>31.25</c:v>
                </c:pt>
                <c:pt idx="244">
                  <c:v>29.91</c:v>
                </c:pt>
                <c:pt idx="245">
                  <c:v>30.6</c:v>
                </c:pt>
                <c:pt idx="246">
                  <c:v>30.27</c:v>
                </c:pt>
                <c:pt idx="247">
                  <c:v>29.41</c:v>
                </c:pt>
                <c:pt idx="248">
                  <c:v>29.59</c:v>
                </c:pt>
                <c:pt idx="249">
                  <c:v>29.47</c:v>
                </c:pt>
                <c:pt idx="250">
                  <c:v>27.5</c:v>
                </c:pt>
                <c:pt idx="251">
                  <c:v>27.08</c:v>
                </c:pt>
                <c:pt idx="252">
                  <c:v>27.07</c:v>
                </c:pt>
                <c:pt idx="253">
                  <c:v>26</c:v>
                </c:pt>
                <c:pt idx="254">
                  <c:v>26</c:v>
                </c:pt>
                <c:pt idx="255">
                  <c:v>30.24</c:v>
                </c:pt>
                <c:pt idx="256">
                  <c:v>33.48</c:v>
                </c:pt>
                <c:pt idx="257">
                  <c:v>34.1</c:v>
                </c:pt>
                <c:pt idx="258">
                  <c:v>33.1</c:v>
                </c:pt>
              </c:numCache>
            </c:numRef>
          </c:yVal>
          <c:smooth val="1"/>
        </c:ser>
        <c:axId val="7271023"/>
        <c:axId val="92159939"/>
      </c:scatterChart>
      <c:valAx>
        <c:axId val="7271023"/>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Semana</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2159939"/>
        <c:crosses val="autoZero"/>
        <c:crossBetween val="midCat"/>
      </c:valAx>
      <c:valAx>
        <c:axId val="92159939"/>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Precio MXN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271023"/>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Soriana B EXPONENCIAL</a:t>
            </a:r>
          </a:p>
        </c:rich>
      </c:tx>
      <c:overlay val="0"/>
      <c:spPr>
        <a:noFill/>
        <a:ln w="0">
          <a:noFill/>
        </a:ln>
      </c:spPr>
    </c:title>
    <c:autoTitleDeleted val="0"/>
    <c:plotArea>
      <c:scatterChart>
        <c:scatterStyle val="lineMarker"/>
        <c:varyColors val="0"/>
        <c:ser>
          <c:idx val="0"/>
          <c:order val="0"/>
          <c:tx>
            <c:strRef>
              <c:f>"Precio MXN"</c:f>
              <c:strCache>
                <c:ptCount val="1"/>
                <c:pt idx="0">
                  <c:v>Precio MXN</c:v>
                </c:pt>
              </c:strCache>
            </c:strRef>
          </c:tx>
          <c:spPr>
            <a:solidFill>
              <a:srgbClr val="1f4e79"/>
            </a:solidFill>
            <a:ln w="31680">
              <a:noFill/>
            </a:ln>
          </c:spPr>
          <c:marker>
            <c:symbol val="circle"/>
            <c:size val="5"/>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exp"/>
            <c:forward val="0"/>
            <c:backward val="0"/>
            <c:dispRSqr val="1"/>
            <c:dispEq val="1"/>
          </c:trendline>
          <c:xVal>
            <c:numRef>
              <c:f>'Precio e IPC'!$AH$13:$AH$412</c:f>
              <c:numCache>
                <c:formatCode>General</c:formatCode>
                <c:ptCount val="4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numCache>
            </c:numRef>
          </c:xVal>
          <c:yVal>
            <c:numRef>
              <c:f>'Precio e IPC'!$AI$13:$AI$412</c:f>
              <c:numCache>
                <c:formatCode>#,##0.00</c:formatCode>
                <c:ptCount val="400"/>
                <c:pt idx="0">
                  <c:v>25</c:v>
                </c:pt>
                <c:pt idx="1">
                  <c:v>24.77</c:v>
                </c:pt>
                <c:pt idx="2">
                  <c:v>24.48</c:v>
                </c:pt>
                <c:pt idx="3">
                  <c:v>23.77</c:v>
                </c:pt>
                <c:pt idx="4">
                  <c:v>22.99</c:v>
                </c:pt>
                <c:pt idx="5">
                  <c:v>22.73</c:v>
                </c:pt>
                <c:pt idx="6">
                  <c:v>23.94</c:v>
                </c:pt>
                <c:pt idx="7">
                  <c:v>23.26</c:v>
                </c:pt>
                <c:pt idx="8">
                  <c:v>22.59</c:v>
                </c:pt>
                <c:pt idx="9">
                  <c:v>24.8</c:v>
                </c:pt>
                <c:pt idx="10">
                  <c:v>25.98</c:v>
                </c:pt>
                <c:pt idx="11">
                  <c:v>24.04</c:v>
                </c:pt>
                <c:pt idx="12">
                  <c:v>23.98</c:v>
                </c:pt>
                <c:pt idx="13">
                  <c:v>22.92</c:v>
                </c:pt>
                <c:pt idx="14">
                  <c:v>22.39</c:v>
                </c:pt>
                <c:pt idx="15">
                  <c:v>23.24</c:v>
                </c:pt>
                <c:pt idx="16">
                  <c:v>22.57</c:v>
                </c:pt>
                <c:pt idx="17">
                  <c:v>23.11</c:v>
                </c:pt>
                <c:pt idx="18">
                  <c:v>23.25</c:v>
                </c:pt>
                <c:pt idx="19">
                  <c:v>22.91</c:v>
                </c:pt>
                <c:pt idx="20">
                  <c:v>22.7</c:v>
                </c:pt>
                <c:pt idx="21">
                  <c:v>21.62</c:v>
                </c:pt>
                <c:pt idx="22">
                  <c:v>22.13</c:v>
                </c:pt>
                <c:pt idx="23">
                  <c:v>22.31</c:v>
                </c:pt>
                <c:pt idx="24">
                  <c:v>21.58</c:v>
                </c:pt>
                <c:pt idx="25">
                  <c:v>21.68</c:v>
                </c:pt>
                <c:pt idx="26">
                  <c:v>21.01</c:v>
                </c:pt>
                <c:pt idx="27">
                  <c:v>23.56</c:v>
                </c:pt>
                <c:pt idx="28">
                  <c:v>22.07</c:v>
                </c:pt>
                <c:pt idx="29">
                  <c:v>22</c:v>
                </c:pt>
                <c:pt idx="30">
                  <c:v>21.35</c:v>
                </c:pt>
                <c:pt idx="31">
                  <c:v>21.34</c:v>
                </c:pt>
                <c:pt idx="32">
                  <c:v>21.27</c:v>
                </c:pt>
                <c:pt idx="33">
                  <c:v>21.06</c:v>
                </c:pt>
                <c:pt idx="34">
                  <c:v>19.21</c:v>
                </c:pt>
                <c:pt idx="35">
                  <c:v>21.24</c:v>
                </c:pt>
                <c:pt idx="36">
                  <c:v>22.45</c:v>
                </c:pt>
                <c:pt idx="37">
                  <c:v>22.7</c:v>
                </c:pt>
                <c:pt idx="38">
                  <c:v>22.83</c:v>
                </c:pt>
                <c:pt idx="39">
                  <c:v>23.6</c:v>
                </c:pt>
                <c:pt idx="40">
                  <c:v>22.64</c:v>
                </c:pt>
                <c:pt idx="41">
                  <c:v>22.8</c:v>
                </c:pt>
                <c:pt idx="42">
                  <c:v>22.75</c:v>
                </c:pt>
                <c:pt idx="43">
                  <c:v>22.75</c:v>
                </c:pt>
                <c:pt idx="44">
                  <c:v>22.74</c:v>
                </c:pt>
                <c:pt idx="45">
                  <c:v>22.75</c:v>
                </c:pt>
                <c:pt idx="46">
                  <c:v>23.29</c:v>
                </c:pt>
                <c:pt idx="47">
                  <c:v>24.99</c:v>
                </c:pt>
                <c:pt idx="48">
                  <c:v>26.2</c:v>
                </c:pt>
                <c:pt idx="49">
                  <c:v>26.2</c:v>
                </c:pt>
                <c:pt idx="50">
                  <c:v>26.43</c:v>
                </c:pt>
                <c:pt idx="51">
                  <c:v>26.5</c:v>
                </c:pt>
                <c:pt idx="52">
                  <c:v>27.7</c:v>
                </c:pt>
                <c:pt idx="53">
                  <c:v>30.43</c:v>
                </c:pt>
                <c:pt idx="54">
                  <c:v>30.04</c:v>
                </c:pt>
                <c:pt idx="55">
                  <c:v>29.95</c:v>
                </c:pt>
                <c:pt idx="56">
                  <c:v>30.2</c:v>
                </c:pt>
                <c:pt idx="57">
                  <c:v>30.45</c:v>
                </c:pt>
                <c:pt idx="58">
                  <c:v>28.56</c:v>
                </c:pt>
                <c:pt idx="59">
                  <c:v>30.43</c:v>
                </c:pt>
                <c:pt idx="60">
                  <c:v>30.63</c:v>
                </c:pt>
                <c:pt idx="61">
                  <c:v>30.83</c:v>
                </c:pt>
                <c:pt idx="62">
                  <c:v>31.28</c:v>
                </c:pt>
                <c:pt idx="63">
                  <c:v>31.65</c:v>
                </c:pt>
                <c:pt idx="64">
                  <c:v>30.99</c:v>
                </c:pt>
                <c:pt idx="65">
                  <c:v>30.77</c:v>
                </c:pt>
                <c:pt idx="66">
                  <c:v>31.12</c:v>
                </c:pt>
                <c:pt idx="67">
                  <c:v>30.02</c:v>
                </c:pt>
                <c:pt idx="68">
                  <c:v>30.69</c:v>
                </c:pt>
                <c:pt idx="69">
                  <c:v>29.8</c:v>
                </c:pt>
                <c:pt idx="70">
                  <c:v>30.2</c:v>
                </c:pt>
                <c:pt idx="71">
                  <c:v>30.7</c:v>
                </c:pt>
                <c:pt idx="72">
                  <c:v>30.1</c:v>
                </c:pt>
                <c:pt idx="73">
                  <c:v>30.51</c:v>
                </c:pt>
                <c:pt idx="74">
                  <c:v>30.51</c:v>
                </c:pt>
                <c:pt idx="75">
                  <c:v>30.97</c:v>
                </c:pt>
                <c:pt idx="76">
                  <c:v>30.6</c:v>
                </c:pt>
                <c:pt idx="77">
                  <c:v>31</c:v>
                </c:pt>
                <c:pt idx="78">
                  <c:v>30.94</c:v>
                </c:pt>
                <c:pt idx="79">
                  <c:v>31.13</c:v>
                </c:pt>
                <c:pt idx="80">
                  <c:v>31.28</c:v>
                </c:pt>
                <c:pt idx="81">
                  <c:v>30.8</c:v>
                </c:pt>
                <c:pt idx="82">
                  <c:v>30.54</c:v>
                </c:pt>
                <c:pt idx="83">
                  <c:v>30.3</c:v>
                </c:pt>
                <c:pt idx="84">
                  <c:v>30.17</c:v>
                </c:pt>
                <c:pt idx="85">
                  <c:v>30.05</c:v>
                </c:pt>
                <c:pt idx="86">
                  <c:v>29.07</c:v>
                </c:pt>
                <c:pt idx="87">
                  <c:v>28.86</c:v>
                </c:pt>
                <c:pt idx="88">
                  <c:v>28.49</c:v>
                </c:pt>
                <c:pt idx="89">
                  <c:v>27.74</c:v>
                </c:pt>
                <c:pt idx="90">
                  <c:v>27.69</c:v>
                </c:pt>
                <c:pt idx="91">
                  <c:v>27.24</c:v>
                </c:pt>
                <c:pt idx="92">
                  <c:v>27.38</c:v>
                </c:pt>
                <c:pt idx="93">
                  <c:v>26.99</c:v>
                </c:pt>
                <c:pt idx="94">
                  <c:v>27.19</c:v>
                </c:pt>
                <c:pt idx="95">
                  <c:v>27.2</c:v>
                </c:pt>
                <c:pt idx="96">
                  <c:v>26.49</c:v>
                </c:pt>
                <c:pt idx="97">
                  <c:v>29.07</c:v>
                </c:pt>
                <c:pt idx="98">
                  <c:v>28</c:v>
                </c:pt>
                <c:pt idx="99">
                  <c:v>26</c:v>
                </c:pt>
                <c:pt idx="100">
                  <c:v>28.35</c:v>
                </c:pt>
                <c:pt idx="101">
                  <c:v>31.7</c:v>
                </c:pt>
                <c:pt idx="102">
                  <c:v>29.34</c:v>
                </c:pt>
                <c:pt idx="103">
                  <c:v>29.85</c:v>
                </c:pt>
                <c:pt idx="104">
                  <c:v>29.05</c:v>
                </c:pt>
                <c:pt idx="105">
                  <c:v>32.09</c:v>
                </c:pt>
                <c:pt idx="106">
                  <c:v>32.03</c:v>
                </c:pt>
                <c:pt idx="107">
                  <c:v>29.94</c:v>
                </c:pt>
                <c:pt idx="108">
                  <c:v>30.49</c:v>
                </c:pt>
                <c:pt idx="109">
                  <c:v>30.3</c:v>
                </c:pt>
                <c:pt idx="110">
                  <c:v>29.4</c:v>
                </c:pt>
                <c:pt idx="111">
                  <c:v>31.97</c:v>
                </c:pt>
                <c:pt idx="112">
                  <c:v>33</c:v>
                </c:pt>
                <c:pt idx="113">
                  <c:v>35.43</c:v>
                </c:pt>
                <c:pt idx="114">
                  <c:v>36.34</c:v>
                </c:pt>
                <c:pt idx="115">
                  <c:v>35.78</c:v>
                </c:pt>
                <c:pt idx="116">
                  <c:v>34.82</c:v>
                </c:pt>
                <c:pt idx="117">
                  <c:v>34.41</c:v>
                </c:pt>
                <c:pt idx="118">
                  <c:v>34.91</c:v>
                </c:pt>
                <c:pt idx="119">
                  <c:v>34.89</c:v>
                </c:pt>
                <c:pt idx="120">
                  <c:v>34.94</c:v>
                </c:pt>
                <c:pt idx="121">
                  <c:v>34.88</c:v>
                </c:pt>
                <c:pt idx="122">
                  <c:v>33.86</c:v>
                </c:pt>
                <c:pt idx="123">
                  <c:v>33.3</c:v>
                </c:pt>
                <c:pt idx="124">
                  <c:v>33.95</c:v>
                </c:pt>
                <c:pt idx="125">
                  <c:v>32.99</c:v>
                </c:pt>
                <c:pt idx="126">
                  <c:v>33.82</c:v>
                </c:pt>
                <c:pt idx="127">
                  <c:v>33.96</c:v>
                </c:pt>
                <c:pt idx="128">
                  <c:v>33.97</c:v>
                </c:pt>
                <c:pt idx="129">
                  <c:v>34</c:v>
                </c:pt>
                <c:pt idx="130">
                  <c:v>33.99</c:v>
                </c:pt>
                <c:pt idx="131">
                  <c:v>33.87</c:v>
                </c:pt>
                <c:pt idx="132">
                  <c:v>34</c:v>
                </c:pt>
                <c:pt idx="133">
                  <c:v>32.87</c:v>
                </c:pt>
                <c:pt idx="134">
                  <c:v>33</c:v>
                </c:pt>
                <c:pt idx="135">
                  <c:v>33.3</c:v>
                </c:pt>
                <c:pt idx="136">
                  <c:v>32.32</c:v>
                </c:pt>
                <c:pt idx="137">
                  <c:v>31.8</c:v>
                </c:pt>
                <c:pt idx="138">
                  <c:v>31.3</c:v>
                </c:pt>
                <c:pt idx="139">
                  <c:v>29.48</c:v>
                </c:pt>
                <c:pt idx="140">
                  <c:v>30.36</c:v>
                </c:pt>
                <c:pt idx="141">
                  <c:v>29.82</c:v>
                </c:pt>
                <c:pt idx="142">
                  <c:v>30.8</c:v>
                </c:pt>
                <c:pt idx="143">
                  <c:v>30.79</c:v>
                </c:pt>
                <c:pt idx="144">
                  <c:v>29.39</c:v>
                </c:pt>
                <c:pt idx="145">
                  <c:v>31.19</c:v>
                </c:pt>
                <c:pt idx="146">
                  <c:v>31.14</c:v>
                </c:pt>
                <c:pt idx="147">
                  <c:v>30.98</c:v>
                </c:pt>
                <c:pt idx="148">
                  <c:v>30.47</c:v>
                </c:pt>
                <c:pt idx="149">
                  <c:v>30.48</c:v>
                </c:pt>
                <c:pt idx="150">
                  <c:v>29.79</c:v>
                </c:pt>
                <c:pt idx="151">
                  <c:v>30</c:v>
                </c:pt>
                <c:pt idx="152">
                  <c:v>30.48</c:v>
                </c:pt>
                <c:pt idx="153">
                  <c:v>31.04</c:v>
                </c:pt>
                <c:pt idx="154">
                  <c:v>30.4</c:v>
                </c:pt>
                <c:pt idx="155">
                  <c:v>30.59</c:v>
                </c:pt>
                <c:pt idx="156">
                  <c:v>29.3</c:v>
                </c:pt>
                <c:pt idx="157">
                  <c:v>28.91</c:v>
                </c:pt>
                <c:pt idx="158">
                  <c:v>28.28</c:v>
                </c:pt>
                <c:pt idx="159">
                  <c:v>29.59</c:v>
                </c:pt>
                <c:pt idx="160">
                  <c:v>28.75</c:v>
                </c:pt>
                <c:pt idx="161">
                  <c:v>29.68</c:v>
                </c:pt>
                <c:pt idx="162">
                  <c:v>30.5</c:v>
                </c:pt>
                <c:pt idx="163">
                  <c:v>30.22</c:v>
                </c:pt>
                <c:pt idx="164">
                  <c:v>30.07</c:v>
                </c:pt>
                <c:pt idx="165">
                  <c:v>29.62</c:v>
                </c:pt>
                <c:pt idx="166">
                  <c:v>29.69</c:v>
                </c:pt>
                <c:pt idx="167">
                  <c:v>29.63</c:v>
                </c:pt>
                <c:pt idx="168">
                  <c:v>29.9</c:v>
                </c:pt>
                <c:pt idx="169">
                  <c:v>30.8</c:v>
                </c:pt>
                <c:pt idx="170">
                  <c:v>29.2</c:v>
                </c:pt>
                <c:pt idx="171">
                  <c:v>29.18</c:v>
                </c:pt>
                <c:pt idx="172">
                  <c:v>29.9</c:v>
                </c:pt>
                <c:pt idx="173">
                  <c:v>29.17</c:v>
                </c:pt>
                <c:pt idx="174">
                  <c:v>28.49</c:v>
                </c:pt>
                <c:pt idx="175">
                  <c:v>27.65</c:v>
                </c:pt>
                <c:pt idx="176">
                  <c:v>27</c:v>
                </c:pt>
                <c:pt idx="177">
                  <c:v>28.24</c:v>
                </c:pt>
                <c:pt idx="178">
                  <c:v>27.94</c:v>
                </c:pt>
                <c:pt idx="179">
                  <c:v>27.7</c:v>
                </c:pt>
                <c:pt idx="180">
                  <c:v>26.49</c:v>
                </c:pt>
                <c:pt idx="181">
                  <c:v>26.89</c:v>
                </c:pt>
                <c:pt idx="182">
                  <c:v>26.1</c:v>
                </c:pt>
                <c:pt idx="183">
                  <c:v>25.8</c:v>
                </c:pt>
                <c:pt idx="184">
                  <c:v>26.93</c:v>
                </c:pt>
                <c:pt idx="185">
                  <c:v>27.84</c:v>
                </c:pt>
                <c:pt idx="186">
                  <c:v>28</c:v>
                </c:pt>
                <c:pt idx="187">
                  <c:v>27.34</c:v>
                </c:pt>
                <c:pt idx="188">
                  <c:v>27.51</c:v>
                </c:pt>
                <c:pt idx="189">
                  <c:v>27</c:v>
                </c:pt>
                <c:pt idx="190">
                  <c:v>27.38</c:v>
                </c:pt>
                <c:pt idx="191">
                  <c:v>27.27</c:v>
                </c:pt>
                <c:pt idx="192">
                  <c:v>27.98</c:v>
                </c:pt>
                <c:pt idx="193">
                  <c:v>27</c:v>
                </c:pt>
                <c:pt idx="194">
                  <c:v>25.33</c:v>
                </c:pt>
                <c:pt idx="195">
                  <c:v>25.99</c:v>
                </c:pt>
                <c:pt idx="196">
                  <c:v>25.64</c:v>
                </c:pt>
                <c:pt idx="197">
                  <c:v>24.9</c:v>
                </c:pt>
                <c:pt idx="198">
                  <c:v>24.97</c:v>
                </c:pt>
                <c:pt idx="199">
                  <c:v>25.24</c:v>
                </c:pt>
                <c:pt idx="200">
                  <c:v>25.4</c:v>
                </c:pt>
                <c:pt idx="201">
                  <c:v>25.73</c:v>
                </c:pt>
                <c:pt idx="202">
                  <c:v>25.2</c:v>
                </c:pt>
                <c:pt idx="203">
                  <c:v>24.9</c:v>
                </c:pt>
                <c:pt idx="204">
                  <c:v>24.82</c:v>
                </c:pt>
                <c:pt idx="205">
                  <c:v>25</c:v>
                </c:pt>
                <c:pt idx="206">
                  <c:v>24.93</c:v>
                </c:pt>
                <c:pt idx="207">
                  <c:v>24.78</c:v>
                </c:pt>
                <c:pt idx="208">
                  <c:v>25.06</c:v>
                </c:pt>
                <c:pt idx="209">
                  <c:v>24.88</c:v>
                </c:pt>
                <c:pt idx="210">
                  <c:v>26.45</c:v>
                </c:pt>
                <c:pt idx="211">
                  <c:v>25.74</c:v>
                </c:pt>
                <c:pt idx="212">
                  <c:v>27.39</c:v>
                </c:pt>
                <c:pt idx="213">
                  <c:v>28.49</c:v>
                </c:pt>
                <c:pt idx="214">
                  <c:v>31.05</c:v>
                </c:pt>
                <c:pt idx="215">
                  <c:v>29</c:v>
                </c:pt>
                <c:pt idx="216">
                  <c:v>31.4</c:v>
                </c:pt>
                <c:pt idx="217">
                  <c:v>39.16</c:v>
                </c:pt>
                <c:pt idx="218">
                  <c:v>39.84</c:v>
                </c:pt>
                <c:pt idx="219">
                  <c:v>41.8</c:v>
                </c:pt>
                <c:pt idx="220">
                  <c:v>37.17</c:v>
                </c:pt>
                <c:pt idx="221">
                  <c:v>35.36</c:v>
                </c:pt>
                <c:pt idx="222">
                  <c:v>34</c:v>
                </c:pt>
                <c:pt idx="223">
                  <c:v>35.8</c:v>
                </c:pt>
                <c:pt idx="224">
                  <c:v>36</c:v>
                </c:pt>
                <c:pt idx="225">
                  <c:v>38</c:v>
                </c:pt>
                <c:pt idx="226">
                  <c:v>37</c:v>
                </c:pt>
                <c:pt idx="227">
                  <c:v>37.12</c:v>
                </c:pt>
                <c:pt idx="228">
                  <c:v>36.5</c:v>
                </c:pt>
                <c:pt idx="229">
                  <c:v>33.5</c:v>
                </c:pt>
                <c:pt idx="230">
                  <c:v>32.96</c:v>
                </c:pt>
                <c:pt idx="231">
                  <c:v>34.2</c:v>
                </c:pt>
                <c:pt idx="232">
                  <c:v>36.15</c:v>
                </c:pt>
                <c:pt idx="233">
                  <c:v>34.93</c:v>
                </c:pt>
                <c:pt idx="234">
                  <c:v>33.38</c:v>
                </c:pt>
                <c:pt idx="235">
                  <c:v>31.63</c:v>
                </c:pt>
                <c:pt idx="236">
                  <c:v>33.49</c:v>
                </c:pt>
                <c:pt idx="237">
                  <c:v>31.52</c:v>
                </c:pt>
                <c:pt idx="238">
                  <c:v>30.39</c:v>
                </c:pt>
                <c:pt idx="239">
                  <c:v>29.01</c:v>
                </c:pt>
                <c:pt idx="240">
                  <c:v>34.49</c:v>
                </c:pt>
                <c:pt idx="241">
                  <c:v>30.89</c:v>
                </c:pt>
                <c:pt idx="242">
                  <c:v>31.14</c:v>
                </c:pt>
                <c:pt idx="243">
                  <c:v>31.25</c:v>
                </c:pt>
                <c:pt idx="244">
                  <c:v>29.91</c:v>
                </c:pt>
                <c:pt idx="245">
                  <c:v>30.6</c:v>
                </c:pt>
                <c:pt idx="246">
                  <c:v>30.27</c:v>
                </c:pt>
                <c:pt idx="247">
                  <c:v>29.41</c:v>
                </c:pt>
                <c:pt idx="248">
                  <c:v>29.59</c:v>
                </c:pt>
                <c:pt idx="249">
                  <c:v>29.47</c:v>
                </c:pt>
                <c:pt idx="250">
                  <c:v>27.5</c:v>
                </c:pt>
                <c:pt idx="251">
                  <c:v>27.08</c:v>
                </c:pt>
                <c:pt idx="252">
                  <c:v>27.07</c:v>
                </c:pt>
                <c:pt idx="253">
                  <c:v>26</c:v>
                </c:pt>
                <c:pt idx="254">
                  <c:v>26</c:v>
                </c:pt>
                <c:pt idx="255">
                  <c:v>30.24</c:v>
                </c:pt>
                <c:pt idx="256">
                  <c:v>33.48</c:v>
                </c:pt>
                <c:pt idx="257">
                  <c:v>34.1</c:v>
                </c:pt>
                <c:pt idx="258">
                  <c:v>33.1</c:v>
                </c:pt>
              </c:numCache>
            </c:numRef>
          </c:yVal>
          <c:smooth val="1"/>
        </c:ser>
        <c:axId val="89337967"/>
        <c:axId val="6120335"/>
      </c:scatterChart>
      <c:valAx>
        <c:axId val="89337967"/>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Semana</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120335"/>
        <c:crosses val="autoZero"/>
        <c:crossBetween val="midCat"/>
      </c:valAx>
      <c:valAx>
        <c:axId val="6120335"/>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Precio MXN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9337967"/>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IPC LINEAL</a:t>
            </a:r>
          </a:p>
        </c:rich>
      </c:tx>
      <c:overlay val="0"/>
      <c:spPr>
        <a:noFill/>
        <a:ln w="0">
          <a:noFill/>
        </a:ln>
      </c:spPr>
    </c:title>
    <c:autoTitleDeleted val="0"/>
    <c:plotArea>
      <c:scatterChart>
        <c:scatterStyle val="lineMarker"/>
        <c:varyColors val="0"/>
        <c:ser>
          <c:idx val="0"/>
          <c:order val="0"/>
          <c:tx>
            <c:strRef>
              <c:f>"Puntos"</c:f>
              <c:strCache>
                <c:ptCount val="1"/>
                <c:pt idx="0">
                  <c:v>Puntos</c:v>
                </c:pt>
              </c:strCache>
            </c:strRef>
          </c:tx>
          <c:spPr>
            <a:solidFill>
              <a:srgbClr val="1f4e79"/>
            </a:solidFill>
            <a:ln w="31680">
              <a:noFill/>
            </a:ln>
          </c:spPr>
          <c:marker>
            <c:symbol val="circle"/>
            <c:size val="5"/>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linear"/>
            <c:forward val="0"/>
            <c:backward val="0"/>
            <c:dispRSqr val="1"/>
            <c:dispEq val="1"/>
          </c:trendline>
          <c:xVal>
            <c:numRef>
              <c:f>'Precio e IPC'!$AN$13:$AN$412</c:f>
              <c:numCache>
                <c:formatCode>General</c:formatCode>
                <c:ptCount val="4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numCache>
            </c:numRef>
          </c:xVal>
          <c:yVal>
            <c:numRef>
              <c:f>'Precio e IPC'!$AO$13:$AO$412</c:f>
              <c:numCache>
                <c:formatCode>#,##0.00</c:formatCode>
                <c:ptCount val="400"/>
                <c:pt idx="0">
                  <c:v>51889.66</c:v>
                </c:pt>
                <c:pt idx="1">
                  <c:v>51309.84</c:v>
                </c:pt>
                <c:pt idx="2">
                  <c:v>51977.96</c:v>
                </c:pt>
                <c:pt idx="3">
                  <c:v>51432.54</c:v>
                </c:pt>
                <c:pt idx="4">
                  <c:v>50811.3</c:v>
                </c:pt>
                <c:pt idx="5">
                  <c:v>49492.52</c:v>
                </c:pt>
                <c:pt idx="6">
                  <c:v>50597.29</c:v>
                </c:pt>
                <c:pt idx="7">
                  <c:v>51213.48</c:v>
                </c:pt>
                <c:pt idx="8">
                  <c:v>52379.37</c:v>
                </c:pt>
                <c:pt idx="9">
                  <c:v>52853.38</c:v>
                </c:pt>
                <c:pt idx="10">
                  <c:v>53272.44</c:v>
                </c:pt>
                <c:pt idx="11">
                  <c:v>53202.11</c:v>
                </c:pt>
                <c:pt idx="12">
                  <c:v>53744.92</c:v>
                </c:pt>
                <c:pt idx="13">
                  <c:v>51599.38</c:v>
                </c:pt>
                <c:pt idx="14">
                  <c:v>50661.86</c:v>
                </c:pt>
                <c:pt idx="15">
                  <c:v>51255.31</c:v>
                </c:pt>
                <c:pt idx="16">
                  <c:v>53229.26</c:v>
                </c:pt>
                <c:pt idx="17">
                  <c:v>52281.53</c:v>
                </c:pt>
                <c:pt idx="18">
                  <c:v>52555.6</c:v>
                </c:pt>
                <c:pt idx="19">
                  <c:v>53322.05</c:v>
                </c:pt>
                <c:pt idx="20">
                  <c:v>53300.7</c:v>
                </c:pt>
                <c:pt idx="21">
                  <c:v>55467.06</c:v>
                </c:pt>
                <c:pt idx="22">
                  <c:v>55436.05</c:v>
                </c:pt>
                <c:pt idx="23">
                  <c:v>56609.54</c:v>
                </c:pt>
                <c:pt idx="24">
                  <c:v>54687.25</c:v>
                </c:pt>
                <c:pt idx="25">
                  <c:v>54172.62</c:v>
                </c:pt>
                <c:pt idx="26">
                  <c:v>53191.78</c:v>
                </c:pt>
                <c:pt idx="27">
                  <c:v>51417.97</c:v>
                </c:pt>
                <c:pt idx="28">
                  <c:v>49541.81</c:v>
                </c:pt>
                <c:pt idx="29">
                  <c:v>49579.9</c:v>
                </c:pt>
                <c:pt idx="30">
                  <c:v>51518.3</c:v>
                </c:pt>
                <c:pt idx="31">
                  <c:v>52463.55</c:v>
                </c:pt>
                <c:pt idx="32">
                  <c:v>50689.05</c:v>
                </c:pt>
                <c:pt idx="33">
                  <c:v>48471.52</c:v>
                </c:pt>
                <c:pt idx="34">
                  <c:v>48016.23</c:v>
                </c:pt>
                <c:pt idx="35">
                  <c:v>47741.5</c:v>
                </c:pt>
                <c:pt idx="36">
                  <c:v>47743.15</c:v>
                </c:pt>
                <c:pt idx="37">
                  <c:v>47582.11</c:v>
                </c:pt>
                <c:pt idx="38">
                  <c:v>47075.87</c:v>
                </c:pt>
                <c:pt idx="39">
                  <c:v>47264.86</c:v>
                </c:pt>
                <c:pt idx="40">
                  <c:v>48144.33</c:v>
                </c:pt>
                <c:pt idx="41">
                  <c:v>46723.43</c:v>
                </c:pt>
                <c:pt idx="42">
                  <c:v>48853.37</c:v>
                </c:pt>
                <c:pt idx="43">
                  <c:v>48463.26</c:v>
                </c:pt>
                <c:pt idx="44">
                  <c:v>47272.11</c:v>
                </c:pt>
                <c:pt idx="45">
                  <c:v>45888.63</c:v>
                </c:pt>
                <c:pt idx="46">
                  <c:v>47042.94</c:v>
                </c:pt>
                <c:pt idx="47">
                  <c:v>46769.78</c:v>
                </c:pt>
                <c:pt idx="48">
                  <c:v>45395.94</c:v>
                </c:pt>
                <c:pt idx="49">
                  <c:v>44626.8</c:v>
                </c:pt>
                <c:pt idx="50">
                  <c:v>45728.87</c:v>
                </c:pt>
                <c:pt idx="51">
                  <c:v>45443.35</c:v>
                </c:pt>
                <c:pt idx="52">
                  <c:v>47120.08</c:v>
                </c:pt>
                <c:pt idx="53">
                  <c:v>49086.3</c:v>
                </c:pt>
                <c:pt idx="54">
                  <c:v>51173.75</c:v>
                </c:pt>
                <c:pt idx="55">
                  <c:v>51959.2</c:v>
                </c:pt>
                <c:pt idx="56">
                  <c:v>51569.72</c:v>
                </c:pt>
                <c:pt idx="57">
                  <c:v>51668.64</c:v>
                </c:pt>
                <c:pt idx="58">
                  <c:v>51234.37</c:v>
                </c:pt>
                <c:pt idx="59">
                  <c:v>50466.25</c:v>
                </c:pt>
                <c:pt idx="60">
                  <c:v>49630.15</c:v>
                </c:pt>
                <c:pt idx="61">
                  <c:v>50578.09</c:v>
                </c:pt>
                <c:pt idx="62">
                  <c:v>48463.86</c:v>
                </c:pt>
                <c:pt idx="63">
                  <c:v>51730.5</c:v>
                </c:pt>
                <c:pt idx="64">
                  <c:v>53576.72</c:v>
                </c:pt>
                <c:pt idx="65">
                  <c:v>53947.04</c:v>
                </c:pt>
                <c:pt idx="66">
                  <c:v>54774.91</c:v>
                </c:pt>
                <c:pt idx="67">
                  <c:v>54049.05</c:v>
                </c:pt>
                <c:pt idx="68">
                  <c:v>52482.02</c:v>
                </c:pt>
                <c:pt idx="69">
                  <c:v>53789.64</c:v>
                </c:pt>
                <c:pt idx="70">
                  <c:v>52686.24</c:v>
                </c:pt>
                <c:pt idx="71">
                  <c:v>54182.27</c:v>
                </c:pt>
                <c:pt idx="72">
                  <c:v>52794.53</c:v>
                </c:pt>
                <c:pt idx="73">
                  <c:v>51925.61</c:v>
                </c:pt>
                <c:pt idx="74">
                  <c:v>52771.12</c:v>
                </c:pt>
                <c:pt idx="75">
                  <c:v>53904</c:v>
                </c:pt>
                <c:pt idx="76">
                  <c:v>53498.39</c:v>
                </c:pt>
                <c:pt idx="77">
                  <c:v>54460.06</c:v>
                </c:pt>
                <c:pt idx="78">
                  <c:v>54175.28</c:v>
                </c:pt>
                <c:pt idx="79">
                  <c:v>55121.22</c:v>
                </c:pt>
                <c:pt idx="80">
                  <c:v>54937.39</c:v>
                </c:pt>
                <c:pt idx="81">
                  <c:v>54948.34</c:v>
                </c:pt>
                <c:pt idx="82">
                  <c:v>54296.05</c:v>
                </c:pt>
                <c:pt idx="83">
                  <c:v>54025.45</c:v>
                </c:pt>
                <c:pt idx="84">
                  <c:v>53232.71</c:v>
                </c:pt>
                <c:pt idx="85">
                  <c:v>54512.14</c:v>
                </c:pt>
                <c:pt idx="86">
                  <c:v>54842.51</c:v>
                </c:pt>
                <c:pt idx="87">
                  <c:v>53341.91</c:v>
                </c:pt>
                <c:pt idx="88">
                  <c:v>53526.1</c:v>
                </c:pt>
                <c:pt idx="89">
                  <c:v>53904.29</c:v>
                </c:pt>
                <c:pt idx="90">
                  <c:v>53770.8</c:v>
                </c:pt>
                <c:pt idx="91">
                  <c:v>53702.16</c:v>
                </c:pt>
                <c:pt idx="92">
                  <c:v>54910.93</c:v>
                </c:pt>
                <c:pt idx="93">
                  <c:v>53991.42</c:v>
                </c:pt>
                <c:pt idx="94">
                  <c:v>53242.16</c:v>
                </c:pt>
                <c:pt idx="95">
                  <c:v>53194.39</c:v>
                </c:pt>
                <c:pt idx="96">
                  <c:v>53191.53</c:v>
                </c:pt>
                <c:pt idx="97">
                  <c:v>53145.36</c:v>
                </c:pt>
                <c:pt idx="98">
                  <c:v>52505.11</c:v>
                </c:pt>
                <c:pt idx="99">
                  <c:v>51351.6</c:v>
                </c:pt>
                <c:pt idx="100">
                  <c:v>51677.48</c:v>
                </c:pt>
                <c:pt idx="101">
                  <c:v>50874.98</c:v>
                </c:pt>
                <c:pt idx="102">
                  <c:v>49666.5</c:v>
                </c:pt>
                <c:pt idx="103">
                  <c:v>49379.58</c:v>
                </c:pt>
                <c:pt idx="104">
                  <c:v>48275.91</c:v>
                </c:pt>
                <c:pt idx="105">
                  <c:v>48973.85</c:v>
                </c:pt>
                <c:pt idx="106">
                  <c:v>51266.73</c:v>
                </c:pt>
                <c:pt idx="107">
                  <c:v>51258.24</c:v>
                </c:pt>
                <c:pt idx="108">
                  <c:v>52685.1</c:v>
                </c:pt>
                <c:pt idx="109">
                  <c:v>52938.42</c:v>
                </c:pt>
                <c:pt idx="110">
                  <c:v>53901.43</c:v>
                </c:pt>
                <c:pt idx="111">
                  <c:v>54393.01</c:v>
                </c:pt>
                <c:pt idx="112">
                  <c:v>57130.08</c:v>
                </c:pt>
                <c:pt idx="113">
                  <c:v>57313.47</c:v>
                </c:pt>
                <c:pt idx="114">
                  <c:v>57386.25</c:v>
                </c:pt>
                <c:pt idx="115">
                  <c:v>56192.78</c:v>
                </c:pt>
                <c:pt idx="116">
                  <c:v>55607.07</c:v>
                </c:pt>
                <c:pt idx="117">
                  <c:v>55452.1</c:v>
                </c:pt>
                <c:pt idx="118">
                  <c:v>56855.88</c:v>
                </c:pt>
                <c:pt idx="119">
                  <c:v>58226.77</c:v>
                </c:pt>
                <c:pt idx="120">
                  <c:v>57327.5</c:v>
                </c:pt>
                <c:pt idx="121">
                  <c:v>57132.11</c:v>
                </c:pt>
                <c:pt idx="122">
                  <c:v>56659.8</c:v>
                </c:pt>
                <c:pt idx="123">
                  <c:v>55536.32</c:v>
                </c:pt>
                <c:pt idx="124">
                  <c:v>54935.99</c:v>
                </c:pt>
                <c:pt idx="125">
                  <c:v>56228.4</c:v>
                </c:pt>
                <c:pt idx="126">
                  <c:v>56610.54</c:v>
                </c:pt>
                <c:pt idx="127">
                  <c:v>57369.01</c:v>
                </c:pt>
                <c:pt idx="128">
                  <c:v>58092.44</c:v>
                </c:pt>
                <c:pt idx="129">
                  <c:v>56565.92</c:v>
                </c:pt>
                <c:pt idx="130">
                  <c:v>55862.85</c:v>
                </c:pt>
                <c:pt idx="131">
                  <c:v>57833.85</c:v>
                </c:pt>
                <c:pt idx="132">
                  <c:v>57135.26</c:v>
                </c:pt>
                <c:pt idx="133">
                  <c:v>57718.04</c:v>
                </c:pt>
                <c:pt idx="134">
                  <c:v>57583.08</c:v>
                </c:pt>
                <c:pt idx="135">
                  <c:v>55413.12</c:v>
                </c:pt>
                <c:pt idx="136">
                  <c:v>55179.24</c:v>
                </c:pt>
                <c:pt idx="137">
                  <c:v>52977.32</c:v>
                </c:pt>
                <c:pt idx="138">
                  <c:v>52222.94</c:v>
                </c:pt>
                <c:pt idx="139">
                  <c:v>52788.5</c:v>
                </c:pt>
                <c:pt idx="140">
                  <c:v>52440.02</c:v>
                </c:pt>
                <c:pt idx="141">
                  <c:v>52333.16</c:v>
                </c:pt>
                <c:pt idx="142">
                  <c:v>54953.11</c:v>
                </c:pt>
                <c:pt idx="143">
                  <c:v>53678.52</c:v>
                </c:pt>
                <c:pt idx="144">
                  <c:v>52819.58</c:v>
                </c:pt>
                <c:pt idx="145">
                  <c:v>52242.38</c:v>
                </c:pt>
                <c:pt idx="146">
                  <c:v>53051.54</c:v>
                </c:pt>
                <c:pt idx="147">
                  <c:v>54083.78</c:v>
                </c:pt>
                <c:pt idx="148">
                  <c:v>53490.92</c:v>
                </c:pt>
                <c:pt idx="149">
                  <c:v>51985.87</c:v>
                </c:pt>
                <c:pt idx="150">
                  <c:v>51083.44</c:v>
                </c:pt>
                <c:pt idx="151">
                  <c:v>52016.85</c:v>
                </c:pt>
                <c:pt idx="152">
                  <c:v>52190.48</c:v>
                </c:pt>
                <c:pt idx="153">
                  <c:v>52778.17</c:v>
                </c:pt>
                <c:pt idx="154">
                  <c:v>52609.87</c:v>
                </c:pt>
                <c:pt idx="155">
                  <c:v>52395.66</c:v>
                </c:pt>
                <c:pt idx="156">
                  <c:v>53027.42</c:v>
                </c:pt>
                <c:pt idx="157">
                  <c:v>51784.33</c:v>
                </c:pt>
                <c:pt idx="158">
                  <c:v>50622.39</c:v>
                </c:pt>
                <c:pt idx="159">
                  <c:v>51845.17</c:v>
                </c:pt>
                <c:pt idx="160">
                  <c:v>50469.4</c:v>
                </c:pt>
                <c:pt idx="161">
                  <c:v>50430.02</c:v>
                </c:pt>
                <c:pt idx="162">
                  <c:v>49812.64</c:v>
                </c:pt>
                <c:pt idx="163">
                  <c:v>51348.8</c:v>
                </c:pt>
                <c:pt idx="164">
                  <c:v>51619.75</c:v>
                </c:pt>
                <c:pt idx="165">
                  <c:v>49586.21</c:v>
                </c:pt>
                <c:pt idx="166">
                  <c:v>49290.58</c:v>
                </c:pt>
                <c:pt idx="167">
                  <c:v>48957.24</c:v>
                </c:pt>
                <c:pt idx="168">
                  <c:v>49596.7</c:v>
                </c:pt>
                <c:pt idx="169">
                  <c:v>49940.89</c:v>
                </c:pt>
                <c:pt idx="170">
                  <c:v>51357.31</c:v>
                </c:pt>
                <c:pt idx="171">
                  <c:v>51209.53</c:v>
                </c:pt>
                <c:pt idx="172">
                  <c:v>52817.75</c:v>
                </c:pt>
                <c:pt idx="173">
                  <c:v>54077.94</c:v>
                </c:pt>
                <c:pt idx="174">
                  <c:v>53738.75</c:v>
                </c:pt>
                <c:pt idx="175">
                  <c:v>52325.73</c:v>
                </c:pt>
                <c:pt idx="176">
                  <c:v>52839.63</c:v>
                </c:pt>
                <c:pt idx="177">
                  <c:v>52484.28</c:v>
                </c:pt>
                <c:pt idx="178">
                  <c:v>52672.42</c:v>
                </c:pt>
                <c:pt idx="179">
                  <c:v>53172.97</c:v>
                </c:pt>
                <c:pt idx="180">
                  <c:v>51452.73</c:v>
                </c:pt>
                <c:pt idx="181">
                  <c:v>51498.9</c:v>
                </c:pt>
                <c:pt idx="182">
                  <c:v>53018.57</c:v>
                </c:pt>
                <c:pt idx="183">
                  <c:v>56720.12</c:v>
                </c:pt>
                <c:pt idx="184">
                  <c:v>55811.99</c:v>
                </c:pt>
                <c:pt idx="185">
                  <c:v>56551.18</c:v>
                </c:pt>
                <c:pt idx="186">
                  <c:v>57987.14</c:v>
                </c:pt>
                <c:pt idx="187">
                  <c:v>58410.37</c:v>
                </c:pt>
                <c:pt idx="188">
                  <c:v>57841.69</c:v>
                </c:pt>
                <c:pt idx="189">
                  <c:v>58061.41</c:v>
                </c:pt>
                <c:pt idx="190">
                  <c:v>57438.57</c:v>
                </c:pt>
                <c:pt idx="191">
                  <c:v>56264.69</c:v>
                </c:pt>
                <c:pt idx="192">
                  <c:v>57391.51</c:v>
                </c:pt>
                <c:pt idx="193">
                  <c:v>57977.76</c:v>
                </c:pt>
                <c:pt idx="194">
                  <c:v>56593.65</c:v>
                </c:pt>
                <c:pt idx="195">
                  <c:v>56273.45</c:v>
                </c:pt>
                <c:pt idx="196">
                  <c:v>57323.14</c:v>
                </c:pt>
                <c:pt idx="197">
                  <c:v>56900.07</c:v>
                </c:pt>
                <c:pt idx="198">
                  <c:v>58070.17</c:v>
                </c:pt>
                <c:pt idx="199">
                  <c:v>58320.48</c:v>
                </c:pt>
                <c:pt idx="200">
                  <c:v>59225.48</c:v>
                </c:pt>
                <c:pt idx="201">
                  <c:v>58708.86</c:v>
                </c:pt>
                <c:pt idx="202">
                  <c:v>60479.76</c:v>
                </c:pt>
                <c:pt idx="203">
                  <c:v>61798.94</c:v>
                </c:pt>
                <c:pt idx="204">
                  <c:v>61200.27</c:v>
                </c:pt>
                <c:pt idx="205">
                  <c:v>62307.07</c:v>
                </c:pt>
                <c:pt idx="206">
                  <c:v>61984.43</c:v>
                </c:pt>
                <c:pt idx="207">
                  <c:v>60568.93</c:v>
                </c:pt>
                <c:pt idx="208">
                  <c:v>61743.92</c:v>
                </c:pt>
                <c:pt idx="209">
                  <c:v>61145.49</c:v>
                </c:pt>
                <c:pt idx="210">
                  <c:v>62769.18</c:v>
                </c:pt>
                <c:pt idx="211">
                  <c:v>63376.13</c:v>
                </c:pt>
                <c:pt idx="212">
                  <c:v>62328.63</c:v>
                </c:pt>
                <c:pt idx="213">
                  <c:v>61877.27</c:v>
                </c:pt>
                <c:pt idx="214">
                  <c:v>63596.78</c:v>
                </c:pt>
                <c:pt idx="215">
                  <c:v>63378.3</c:v>
                </c:pt>
                <c:pt idx="216">
                  <c:v>64712.07</c:v>
                </c:pt>
                <c:pt idx="217">
                  <c:v>63966.98</c:v>
                </c:pt>
                <c:pt idx="218">
                  <c:v>65636.36</c:v>
                </c:pt>
                <c:pt idx="219">
                  <c:v>64141.36</c:v>
                </c:pt>
                <c:pt idx="220">
                  <c:v>66062.62</c:v>
                </c:pt>
                <c:pt idx="221">
                  <c:v>67141.11</c:v>
                </c:pt>
                <c:pt idx="222">
                  <c:v>68195.15</c:v>
                </c:pt>
                <c:pt idx="223">
                  <c:v>67598.95</c:v>
                </c:pt>
                <c:pt idx="224">
                  <c:v>70809.57</c:v>
                </c:pt>
                <c:pt idx="225">
                  <c:v>71478.81</c:v>
                </c:pt>
                <c:pt idx="226">
                  <c:v>71436.55</c:v>
                </c:pt>
                <c:pt idx="227">
                  <c:v>71405.77</c:v>
                </c:pt>
                <c:pt idx="228">
                  <c:v>67313.5</c:v>
                </c:pt>
                <c:pt idx="229">
                  <c:v>65648.91</c:v>
                </c:pt>
                <c:pt idx="230">
                  <c:v>64134.9</c:v>
                </c:pt>
                <c:pt idx="231">
                  <c:v>66685.76</c:v>
                </c:pt>
                <c:pt idx="232">
                  <c:v>69702.02</c:v>
                </c:pt>
                <c:pt idx="233">
                  <c:v>70023.39</c:v>
                </c:pt>
                <c:pt idx="234">
                  <c:v>69825.94</c:v>
                </c:pt>
                <c:pt idx="235">
                  <c:v>69230.56</c:v>
                </c:pt>
                <c:pt idx="236">
                  <c:v>67858.09</c:v>
                </c:pt>
                <c:pt idx="237">
                  <c:v>69855.58</c:v>
                </c:pt>
                <c:pt idx="238">
                  <c:v>67976.5</c:v>
                </c:pt>
                <c:pt idx="239">
                  <c:v>68333.47</c:v>
                </c:pt>
                <c:pt idx="240">
                  <c:v>68587.74</c:v>
                </c:pt>
                <c:pt idx="241">
                  <c:v>66141.38</c:v>
                </c:pt>
                <c:pt idx="242">
                  <c:v>67954.55</c:v>
                </c:pt>
                <c:pt idx="243">
                  <c:v>67705.37</c:v>
                </c:pt>
                <c:pt idx="244">
                  <c:v>67060.49</c:v>
                </c:pt>
                <c:pt idx="245">
                  <c:v>66496.1</c:v>
                </c:pt>
                <c:pt idx="246">
                  <c:v>66634.23</c:v>
                </c:pt>
                <c:pt idx="247">
                  <c:v>66383.26</c:v>
                </c:pt>
                <c:pt idx="248">
                  <c:v>66936.99</c:v>
                </c:pt>
                <c:pt idx="249">
                  <c:v>66938.64</c:v>
                </c:pt>
                <c:pt idx="250">
                  <c:v>64397.45</c:v>
                </c:pt>
                <c:pt idx="251">
                  <c:v>65729.18</c:v>
                </c:pt>
                <c:pt idx="252">
                  <c:v>65484.32</c:v>
                </c:pt>
                <c:pt idx="253">
                  <c:v>64866.61</c:v>
                </c:pt>
                <c:pt idx="254">
                  <c:v>63924.77</c:v>
                </c:pt>
                <c:pt idx="255">
                  <c:v>63375.93</c:v>
                </c:pt>
                <c:pt idx="256">
                  <c:v>64992.23</c:v>
                </c:pt>
                <c:pt idx="257">
                  <c:v>64531.68</c:v>
                </c:pt>
                <c:pt idx="258">
                  <c:v>66048.57</c:v>
                </c:pt>
              </c:numCache>
            </c:numRef>
          </c:yVal>
          <c:smooth val="1"/>
        </c:ser>
        <c:axId val="17365865"/>
        <c:axId val="75648861"/>
      </c:scatterChart>
      <c:valAx>
        <c:axId val="17365865"/>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Semana</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5648861"/>
        <c:crosses val="autoZero"/>
        <c:crossBetween val="midCat"/>
      </c:valAx>
      <c:valAx>
        <c:axId val="75648861"/>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Puntos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7365865"/>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IPC EXPONENCIAL</a:t>
            </a:r>
          </a:p>
        </c:rich>
      </c:tx>
      <c:overlay val="0"/>
      <c:spPr>
        <a:noFill/>
        <a:ln w="0">
          <a:noFill/>
        </a:ln>
      </c:spPr>
    </c:title>
    <c:autoTitleDeleted val="0"/>
    <c:plotArea>
      <c:scatterChart>
        <c:scatterStyle val="lineMarker"/>
        <c:varyColors val="0"/>
        <c:ser>
          <c:idx val="0"/>
          <c:order val="0"/>
          <c:tx>
            <c:strRef>
              <c:f>"Puntos"</c:f>
              <c:strCache>
                <c:ptCount val="1"/>
                <c:pt idx="0">
                  <c:v>Puntos</c:v>
                </c:pt>
              </c:strCache>
            </c:strRef>
          </c:tx>
          <c:spPr>
            <a:solidFill>
              <a:srgbClr val="1f4e79"/>
            </a:solidFill>
            <a:ln w="31680">
              <a:noFill/>
            </a:ln>
          </c:spPr>
          <c:marker>
            <c:symbol val="circle"/>
            <c:size val="5"/>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exp"/>
            <c:forward val="0"/>
            <c:backward val="0"/>
            <c:dispRSqr val="1"/>
            <c:dispEq val="1"/>
          </c:trendline>
          <c:xVal>
            <c:numRef>
              <c:f>'Precio e IPC'!$AN$13:$AN$412</c:f>
              <c:numCache>
                <c:formatCode>General</c:formatCode>
                <c:ptCount val="4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numCache>
            </c:numRef>
          </c:xVal>
          <c:yVal>
            <c:numRef>
              <c:f>'Precio e IPC'!$AO$13:$AO$412</c:f>
              <c:numCache>
                <c:formatCode>#,##0.00</c:formatCode>
                <c:ptCount val="400"/>
                <c:pt idx="0">
                  <c:v>51889.66</c:v>
                </c:pt>
                <c:pt idx="1">
                  <c:v>51309.84</c:v>
                </c:pt>
                <c:pt idx="2">
                  <c:v>51977.96</c:v>
                </c:pt>
                <c:pt idx="3">
                  <c:v>51432.54</c:v>
                </c:pt>
                <c:pt idx="4">
                  <c:v>50811.3</c:v>
                </c:pt>
                <c:pt idx="5">
                  <c:v>49492.52</c:v>
                </c:pt>
                <c:pt idx="6">
                  <c:v>50597.29</c:v>
                </c:pt>
                <c:pt idx="7">
                  <c:v>51213.48</c:v>
                </c:pt>
                <c:pt idx="8">
                  <c:v>52379.37</c:v>
                </c:pt>
                <c:pt idx="9">
                  <c:v>52853.38</c:v>
                </c:pt>
                <c:pt idx="10">
                  <c:v>53272.44</c:v>
                </c:pt>
                <c:pt idx="11">
                  <c:v>53202.11</c:v>
                </c:pt>
                <c:pt idx="12">
                  <c:v>53744.92</c:v>
                </c:pt>
                <c:pt idx="13">
                  <c:v>51599.38</c:v>
                </c:pt>
                <c:pt idx="14">
                  <c:v>50661.86</c:v>
                </c:pt>
                <c:pt idx="15">
                  <c:v>51255.31</c:v>
                </c:pt>
                <c:pt idx="16">
                  <c:v>53229.26</c:v>
                </c:pt>
                <c:pt idx="17">
                  <c:v>52281.53</c:v>
                </c:pt>
                <c:pt idx="18">
                  <c:v>52555.6</c:v>
                </c:pt>
                <c:pt idx="19">
                  <c:v>53322.05</c:v>
                </c:pt>
                <c:pt idx="20">
                  <c:v>53300.7</c:v>
                </c:pt>
                <c:pt idx="21">
                  <c:v>55467.06</c:v>
                </c:pt>
                <c:pt idx="22">
                  <c:v>55436.05</c:v>
                </c:pt>
                <c:pt idx="23">
                  <c:v>56609.54</c:v>
                </c:pt>
                <c:pt idx="24">
                  <c:v>54687.25</c:v>
                </c:pt>
                <c:pt idx="25">
                  <c:v>54172.62</c:v>
                </c:pt>
                <c:pt idx="26">
                  <c:v>53191.78</c:v>
                </c:pt>
                <c:pt idx="27">
                  <c:v>51417.97</c:v>
                </c:pt>
                <c:pt idx="28">
                  <c:v>49541.81</c:v>
                </c:pt>
                <c:pt idx="29">
                  <c:v>49579.9</c:v>
                </c:pt>
                <c:pt idx="30">
                  <c:v>51518.3</c:v>
                </c:pt>
                <c:pt idx="31">
                  <c:v>52463.55</c:v>
                </c:pt>
                <c:pt idx="32">
                  <c:v>50689.05</c:v>
                </c:pt>
                <c:pt idx="33">
                  <c:v>48471.52</c:v>
                </c:pt>
                <c:pt idx="34">
                  <c:v>48016.23</c:v>
                </c:pt>
                <c:pt idx="35">
                  <c:v>47741.5</c:v>
                </c:pt>
                <c:pt idx="36">
                  <c:v>47743.15</c:v>
                </c:pt>
                <c:pt idx="37">
                  <c:v>47582.11</c:v>
                </c:pt>
                <c:pt idx="38">
                  <c:v>47075.87</c:v>
                </c:pt>
                <c:pt idx="39">
                  <c:v>47264.86</c:v>
                </c:pt>
                <c:pt idx="40">
                  <c:v>48144.33</c:v>
                </c:pt>
                <c:pt idx="41">
                  <c:v>46723.43</c:v>
                </c:pt>
                <c:pt idx="42">
                  <c:v>48853.37</c:v>
                </c:pt>
                <c:pt idx="43">
                  <c:v>48463.26</c:v>
                </c:pt>
                <c:pt idx="44">
                  <c:v>47272.11</c:v>
                </c:pt>
                <c:pt idx="45">
                  <c:v>45888.63</c:v>
                </c:pt>
                <c:pt idx="46">
                  <c:v>47042.94</c:v>
                </c:pt>
                <c:pt idx="47">
                  <c:v>46769.78</c:v>
                </c:pt>
                <c:pt idx="48">
                  <c:v>45395.94</c:v>
                </c:pt>
                <c:pt idx="49">
                  <c:v>44626.8</c:v>
                </c:pt>
                <c:pt idx="50">
                  <c:v>45728.87</c:v>
                </c:pt>
                <c:pt idx="51">
                  <c:v>45443.35</c:v>
                </c:pt>
                <c:pt idx="52">
                  <c:v>47120.08</c:v>
                </c:pt>
                <c:pt idx="53">
                  <c:v>49086.3</c:v>
                </c:pt>
                <c:pt idx="54">
                  <c:v>51173.75</c:v>
                </c:pt>
                <c:pt idx="55">
                  <c:v>51959.2</c:v>
                </c:pt>
                <c:pt idx="56">
                  <c:v>51569.72</c:v>
                </c:pt>
                <c:pt idx="57">
                  <c:v>51668.64</c:v>
                </c:pt>
                <c:pt idx="58">
                  <c:v>51234.37</c:v>
                </c:pt>
                <c:pt idx="59">
                  <c:v>50466.25</c:v>
                </c:pt>
                <c:pt idx="60">
                  <c:v>49630.15</c:v>
                </c:pt>
                <c:pt idx="61">
                  <c:v>50578.09</c:v>
                </c:pt>
                <c:pt idx="62">
                  <c:v>48463.86</c:v>
                </c:pt>
                <c:pt idx="63">
                  <c:v>51730.5</c:v>
                </c:pt>
                <c:pt idx="64">
                  <c:v>53576.72</c:v>
                </c:pt>
                <c:pt idx="65">
                  <c:v>53947.04</c:v>
                </c:pt>
                <c:pt idx="66">
                  <c:v>54774.91</c:v>
                </c:pt>
                <c:pt idx="67">
                  <c:v>54049.05</c:v>
                </c:pt>
                <c:pt idx="68">
                  <c:v>52482.02</c:v>
                </c:pt>
                <c:pt idx="69">
                  <c:v>53789.64</c:v>
                </c:pt>
                <c:pt idx="70">
                  <c:v>52686.24</c:v>
                </c:pt>
                <c:pt idx="71">
                  <c:v>54182.27</c:v>
                </c:pt>
                <c:pt idx="72">
                  <c:v>52794.53</c:v>
                </c:pt>
                <c:pt idx="73">
                  <c:v>51925.61</c:v>
                </c:pt>
                <c:pt idx="74">
                  <c:v>52771.12</c:v>
                </c:pt>
                <c:pt idx="75">
                  <c:v>53904</c:v>
                </c:pt>
                <c:pt idx="76">
                  <c:v>53498.39</c:v>
                </c:pt>
                <c:pt idx="77">
                  <c:v>54460.06</c:v>
                </c:pt>
                <c:pt idx="78">
                  <c:v>54175.28</c:v>
                </c:pt>
                <c:pt idx="79">
                  <c:v>55121.22</c:v>
                </c:pt>
                <c:pt idx="80">
                  <c:v>54937.39</c:v>
                </c:pt>
                <c:pt idx="81">
                  <c:v>54948.34</c:v>
                </c:pt>
                <c:pt idx="82">
                  <c:v>54296.05</c:v>
                </c:pt>
                <c:pt idx="83">
                  <c:v>54025.45</c:v>
                </c:pt>
                <c:pt idx="84">
                  <c:v>53232.71</c:v>
                </c:pt>
                <c:pt idx="85">
                  <c:v>54512.14</c:v>
                </c:pt>
                <c:pt idx="86">
                  <c:v>54842.51</c:v>
                </c:pt>
                <c:pt idx="87">
                  <c:v>53341.91</c:v>
                </c:pt>
                <c:pt idx="88">
                  <c:v>53526.1</c:v>
                </c:pt>
                <c:pt idx="89">
                  <c:v>53904.29</c:v>
                </c:pt>
                <c:pt idx="90">
                  <c:v>53770.8</c:v>
                </c:pt>
                <c:pt idx="91">
                  <c:v>53702.16</c:v>
                </c:pt>
                <c:pt idx="92">
                  <c:v>54910.93</c:v>
                </c:pt>
                <c:pt idx="93">
                  <c:v>53991.42</c:v>
                </c:pt>
                <c:pt idx="94">
                  <c:v>53242.16</c:v>
                </c:pt>
                <c:pt idx="95">
                  <c:v>53194.39</c:v>
                </c:pt>
                <c:pt idx="96">
                  <c:v>53191.53</c:v>
                </c:pt>
                <c:pt idx="97">
                  <c:v>53145.36</c:v>
                </c:pt>
                <c:pt idx="98">
                  <c:v>52505.11</c:v>
                </c:pt>
                <c:pt idx="99">
                  <c:v>51351.6</c:v>
                </c:pt>
                <c:pt idx="100">
                  <c:v>51677.48</c:v>
                </c:pt>
                <c:pt idx="101">
                  <c:v>50874.98</c:v>
                </c:pt>
                <c:pt idx="102">
                  <c:v>49666.5</c:v>
                </c:pt>
                <c:pt idx="103">
                  <c:v>49379.58</c:v>
                </c:pt>
                <c:pt idx="104">
                  <c:v>48275.91</c:v>
                </c:pt>
                <c:pt idx="105">
                  <c:v>48973.85</c:v>
                </c:pt>
                <c:pt idx="106">
                  <c:v>51266.73</c:v>
                </c:pt>
                <c:pt idx="107">
                  <c:v>51258.24</c:v>
                </c:pt>
                <c:pt idx="108">
                  <c:v>52685.1</c:v>
                </c:pt>
                <c:pt idx="109">
                  <c:v>52938.42</c:v>
                </c:pt>
                <c:pt idx="110">
                  <c:v>53901.43</c:v>
                </c:pt>
                <c:pt idx="111">
                  <c:v>54393.01</c:v>
                </c:pt>
                <c:pt idx="112">
                  <c:v>57130.08</c:v>
                </c:pt>
                <c:pt idx="113">
                  <c:v>57313.47</c:v>
                </c:pt>
                <c:pt idx="114">
                  <c:v>57386.25</c:v>
                </c:pt>
                <c:pt idx="115">
                  <c:v>56192.78</c:v>
                </c:pt>
                <c:pt idx="116">
                  <c:v>55607.07</c:v>
                </c:pt>
                <c:pt idx="117">
                  <c:v>55452.1</c:v>
                </c:pt>
                <c:pt idx="118">
                  <c:v>56855.88</c:v>
                </c:pt>
                <c:pt idx="119">
                  <c:v>58226.77</c:v>
                </c:pt>
                <c:pt idx="120">
                  <c:v>57327.5</c:v>
                </c:pt>
                <c:pt idx="121">
                  <c:v>57132.11</c:v>
                </c:pt>
                <c:pt idx="122">
                  <c:v>56659.8</c:v>
                </c:pt>
                <c:pt idx="123">
                  <c:v>55536.32</c:v>
                </c:pt>
                <c:pt idx="124">
                  <c:v>54935.99</c:v>
                </c:pt>
                <c:pt idx="125">
                  <c:v>56228.4</c:v>
                </c:pt>
                <c:pt idx="126">
                  <c:v>56610.54</c:v>
                </c:pt>
                <c:pt idx="127">
                  <c:v>57369.01</c:v>
                </c:pt>
                <c:pt idx="128">
                  <c:v>58092.44</c:v>
                </c:pt>
                <c:pt idx="129">
                  <c:v>56565.92</c:v>
                </c:pt>
                <c:pt idx="130">
                  <c:v>55862.85</c:v>
                </c:pt>
                <c:pt idx="131">
                  <c:v>57833.85</c:v>
                </c:pt>
                <c:pt idx="132">
                  <c:v>57135.26</c:v>
                </c:pt>
                <c:pt idx="133">
                  <c:v>57718.04</c:v>
                </c:pt>
                <c:pt idx="134">
                  <c:v>57583.08</c:v>
                </c:pt>
                <c:pt idx="135">
                  <c:v>55413.12</c:v>
                </c:pt>
                <c:pt idx="136">
                  <c:v>55179.24</c:v>
                </c:pt>
                <c:pt idx="137">
                  <c:v>52977.32</c:v>
                </c:pt>
                <c:pt idx="138">
                  <c:v>52222.94</c:v>
                </c:pt>
                <c:pt idx="139">
                  <c:v>52788.5</c:v>
                </c:pt>
                <c:pt idx="140">
                  <c:v>52440.02</c:v>
                </c:pt>
                <c:pt idx="141">
                  <c:v>52333.16</c:v>
                </c:pt>
                <c:pt idx="142">
                  <c:v>54953.11</c:v>
                </c:pt>
                <c:pt idx="143">
                  <c:v>53678.52</c:v>
                </c:pt>
                <c:pt idx="144">
                  <c:v>52819.58</c:v>
                </c:pt>
                <c:pt idx="145">
                  <c:v>52242.38</c:v>
                </c:pt>
                <c:pt idx="146">
                  <c:v>53051.54</c:v>
                </c:pt>
                <c:pt idx="147">
                  <c:v>54083.78</c:v>
                </c:pt>
                <c:pt idx="148">
                  <c:v>53490.92</c:v>
                </c:pt>
                <c:pt idx="149">
                  <c:v>51985.87</c:v>
                </c:pt>
                <c:pt idx="150">
                  <c:v>51083.44</c:v>
                </c:pt>
                <c:pt idx="151">
                  <c:v>52016.85</c:v>
                </c:pt>
                <c:pt idx="152">
                  <c:v>52190.48</c:v>
                </c:pt>
                <c:pt idx="153">
                  <c:v>52778.17</c:v>
                </c:pt>
                <c:pt idx="154">
                  <c:v>52609.87</c:v>
                </c:pt>
                <c:pt idx="155">
                  <c:v>52395.66</c:v>
                </c:pt>
                <c:pt idx="156">
                  <c:v>53027.42</c:v>
                </c:pt>
                <c:pt idx="157">
                  <c:v>51784.33</c:v>
                </c:pt>
                <c:pt idx="158">
                  <c:v>50622.39</c:v>
                </c:pt>
                <c:pt idx="159">
                  <c:v>51845.17</c:v>
                </c:pt>
                <c:pt idx="160">
                  <c:v>50469.4</c:v>
                </c:pt>
                <c:pt idx="161">
                  <c:v>50430.02</c:v>
                </c:pt>
                <c:pt idx="162">
                  <c:v>49812.64</c:v>
                </c:pt>
                <c:pt idx="163">
                  <c:v>51348.8</c:v>
                </c:pt>
                <c:pt idx="164">
                  <c:v>51619.75</c:v>
                </c:pt>
                <c:pt idx="165">
                  <c:v>49586.21</c:v>
                </c:pt>
                <c:pt idx="166">
                  <c:v>49290.58</c:v>
                </c:pt>
                <c:pt idx="167">
                  <c:v>48957.24</c:v>
                </c:pt>
                <c:pt idx="168">
                  <c:v>49596.7</c:v>
                </c:pt>
                <c:pt idx="169">
                  <c:v>49940.89</c:v>
                </c:pt>
                <c:pt idx="170">
                  <c:v>51357.31</c:v>
                </c:pt>
                <c:pt idx="171">
                  <c:v>51209.53</c:v>
                </c:pt>
                <c:pt idx="172">
                  <c:v>52817.75</c:v>
                </c:pt>
                <c:pt idx="173">
                  <c:v>54077.94</c:v>
                </c:pt>
                <c:pt idx="174">
                  <c:v>53738.75</c:v>
                </c:pt>
                <c:pt idx="175">
                  <c:v>52325.73</c:v>
                </c:pt>
                <c:pt idx="176">
                  <c:v>52839.63</c:v>
                </c:pt>
                <c:pt idx="177">
                  <c:v>52484.28</c:v>
                </c:pt>
                <c:pt idx="178">
                  <c:v>52672.42</c:v>
                </c:pt>
                <c:pt idx="179">
                  <c:v>53172.97</c:v>
                </c:pt>
                <c:pt idx="180">
                  <c:v>51452.73</c:v>
                </c:pt>
                <c:pt idx="181">
                  <c:v>51498.9</c:v>
                </c:pt>
                <c:pt idx="182">
                  <c:v>53018.57</c:v>
                </c:pt>
                <c:pt idx="183">
                  <c:v>56720.12</c:v>
                </c:pt>
                <c:pt idx="184">
                  <c:v>55811.99</c:v>
                </c:pt>
                <c:pt idx="185">
                  <c:v>56551.18</c:v>
                </c:pt>
                <c:pt idx="186">
                  <c:v>57987.14</c:v>
                </c:pt>
                <c:pt idx="187">
                  <c:v>58410.37</c:v>
                </c:pt>
                <c:pt idx="188">
                  <c:v>57841.69</c:v>
                </c:pt>
                <c:pt idx="189">
                  <c:v>58061.41</c:v>
                </c:pt>
                <c:pt idx="190">
                  <c:v>57438.57</c:v>
                </c:pt>
                <c:pt idx="191">
                  <c:v>56264.69</c:v>
                </c:pt>
                <c:pt idx="192">
                  <c:v>57391.51</c:v>
                </c:pt>
                <c:pt idx="193">
                  <c:v>57977.76</c:v>
                </c:pt>
                <c:pt idx="194">
                  <c:v>56593.65</c:v>
                </c:pt>
                <c:pt idx="195">
                  <c:v>56273.45</c:v>
                </c:pt>
                <c:pt idx="196">
                  <c:v>57323.14</c:v>
                </c:pt>
                <c:pt idx="197">
                  <c:v>56900.07</c:v>
                </c:pt>
                <c:pt idx="198">
                  <c:v>58070.17</c:v>
                </c:pt>
                <c:pt idx="199">
                  <c:v>58320.48</c:v>
                </c:pt>
                <c:pt idx="200">
                  <c:v>59225.48</c:v>
                </c:pt>
                <c:pt idx="201">
                  <c:v>58708.86</c:v>
                </c:pt>
                <c:pt idx="202">
                  <c:v>60479.76</c:v>
                </c:pt>
                <c:pt idx="203">
                  <c:v>61798.94</c:v>
                </c:pt>
                <c:pt idx="204">
                  <c:v>61200.27</c:v>
                </c:pt>
                <c:pt idx="205">
                  <c:v>62307.07</c:v>
                </c:pt>
                <c:pt idx="206">
                  <c:v>61984.43</c:v>
                </c:pt>
                <c:pt idx="207">
                  <c:v>60568.93</c:v>
                </c:pt>
                <c:pt idx="208">
                  <c:v>61743.92</c:v>
                </c:pt>
                <c:pt idx="209">
                  <c:v>61145.49</c:v>
                </c:pt>
                <c:pt idx="210">
                  <c:v>62769.18</c:v>
                </c:pt>
                <c:pt idx="211">
                  <c:v>63376.13</c:v>
                </c:pt>
                <c:pt idx="212">
                  <c:v>62328.63</c:v>
                </c:pt>
                <c:pt idx="213">
                  <c:v>61877.27</c:v>
                </c:pt>
                <c:pt idx="214">
                  <c:v>63596.78</c:v>
                </c:pt>
                <c:pt idx="215">
                  <c:v>63378.3</c:v>
                </c:pt>
                <c:pt idx="216">
                  <c:v>64712.07</c:v>
                </c:pt>
                <c:pt idx="217">
                  <c:v>63966.98</c:v>
                </c:pt>
                <c:pt idx="218">
                  <c:v>65636.36</c:v>
                </c:pt>
                <c:pt idx="219">
                  <c:v>64141.36</c:v>
                </c:pt>
                <c:pt idx="220">
                  <c:v>66062.62</c:v>
                </c:pt>
                <c:pt idx="221">
                  <c:v>67141.11</c:v>
                </c:pt>
                <c:pt idx="222">
                  <c:v>68195.15</c:v>
                </c:pt>
                <c:pt idx="223">
                  <c:v>67598.95</c:v>
                </c:pt>
                <c:pt idx="224">
                  <c:v>70809.57</c:v>
                </c:pt>
                <c:pt idx="225">
                  <c:v>71478.81</c:v>
                </c:pt>
                <c:pt idx="226">
                  <c:v>71436.55</c:v>
                </c:pt>
                <c:pt idx="227">
                  <c:v>71405.77</c:v>
                </c:pt>
                <c:pt idx="228">
                  <c:v>67313.5</c:v>
                </c:pt>
                <c:pt idx="229">
                  <c:v>65648.91</c:v>
                </c:pt>
                <c:pt idx="230">
                  <c:v>64134.9</c:v>
                </c:pt>
                <c:pt idx="231">
                  <c:v>66685.76</c:v>
                </c:pt>
                <c:pt idx="232">
                  <c:v>69702.02</c:v>
                </c:pt>
                <c:pt idx="233">
                  <c:v>70023.39</c:v>
                </c:pt>
                <c:pt idx="234">
                  <c:v>69825.94</c:v>
                </c:pt>
                <c:pt idx="235">
                  <c:v>69230.56</c:v>
                </c:pt>
                <c:pt idx="236">
                  <c:v>67858.09</c:v>
                </c:pt>
                <c:pt idx="237">
                  <c:v>69855.58</c:v>
                </c:pt>
                <c:pt idx="238">
                  <c:v>67976.5</c:v>
                </c:pt>
                <c:pt idx="239">
                  <c:v>68333.47</c:v>
                </c:pt>
                <c:pt idx="240">
                  <c:v>68587.74</c:v>
                </c:pt>
                <c:pt idx="241">
                  <c:v>66141.38</c:v>
                </c:pt>
                <c:pt idx="242">
                  <c:v>67954.55</c:v>
                </c:pt>
                <c:pt idx="243">
                  <c:v>67705.37</c:v>
                </c:pt>
                <c:pt idx="244">
                  <c:v>67060.49</c:v>
                </c:pt>
                <c:pt idx="245">
                  <c:v>66496.1</c:v>
                </c:pt>
                <c:pt idx="246">
                  <c:v>66634.23</c:v>
                </c:pt>
                <c:pt idx="247">
                  <c:v>66383.26</c:v>
                </c:pt>
                <c:pt idx="248">
                  <c:v>66936.99</c:v>
                </c:pt>
                <c:pt idx="249">
                  <c:v>66938.64</c:v>
                </c:pt>
                <c:pt idx="250">
                  <c:v>64397.45</c:v>
                </c:pt>
                <c:pt idx="251">
                  <c:v>65729.18</c:v>
                </c:pt>
                <c:pt idx="252">
                  <c:v>65484.32</c:v>
                </c:pt>
                <c:pt idx="253">
                  <c:v>64866.61</c:v>
                </c:pt>
                <c:pt idx="254">
                  <c:v>63924.77</c:v>
                </c:pt>
                <c:pt idx="255">
                  <c:v>63375.93</c:v>
                </c:pt>
                <c:pt idx="256">
                  <c:v>64992.23</c:v>
                </c:pt>
                <c:pt idx="257">
                  <c:v>64531.68</c:v>
                </c:pt>
                <c:pt idx="258">
                  <c:v>66048.57</c:v>
                </c:pt>
              </c:numCache>
            </c:numRef>
          </c:yVal>
          <c:smooth val="1"/>
        </c:ser>
        <c:axId val="68565995"/>
        <c:axId val="8294106"/>
      </c:scatterChart>
      <c:valAx>
        <c:axId val="68565995"/>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Semana</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294106"/>
        <c:crosses val="autoZero"/>
        <c:crossBetween val="midCat"/>
      </c:valAx>
      <c:valAx>
        <c:axId val="8294106"/>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Puntos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8565995"/>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Soriana B vs IPC</a:t>
            </a:r>
          </a:p>
        </c:rich>
      </c:tx>
      <c:overlay val="0"/>
      <c:spPr>
        <a:noFill/>
        <a:ln w="0">
          <a:noFill/>
        </a:ln>
      </c:spPr>
    </c:title>
    <c:autoTitleDeleted val="0"/>
    <c:plotArea>
      <c:scatterChart>
        <c:scatterStyle val="line"/>
        <c:varyColors val="0"/>
        <c:ser>
          <c:idx val="0"/>
          <c:order val="0"/>
          <c:tx>
            <c:strRef>
              <c:f>"Soriana B"</c:f>
              <c:strCache>
                <c:ptCount val="1"/>
                <c:pt idx="0">
                  <c:v>Soriana B</c:v>
                </c:pt>
              </c:strCache>
            </c:strRef>
          </c:tx>
          <c:spPr>
            <a:solidFill>
              <a:srgbClr val="1f4e79"/>
            </a:solidFill>
            <a:ln w="19080">
              <a:solidFill>
                <a:srgbClr val="1f4e79"/>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'Precio e IPC'!$AQ$13:$AQ$412</c:f>
              <c:numCache>
                <c:formatCode>dd\-mmm\-yyyy</c:formatCode>
                <c:ptCount val="400"/>
                <c:pt idx="0">
                  <c:v>44486</c:v>
                </c:pt>
                <c:pt idx="1">
                  <c:v>44493</c:v>
                </c:pt>
                <c:pt idx="2">
                  <c:v>44500</c:v>
                </c:pt>
                <c:pt idx="3">
                  <c:v>44507</c:v>
                </c:pt>
                <c:pt idx="4">
                  <c:v>44514</c:v>
                </c:pt>
                <c:pt idx="5">
                  <c:v>44521</c:v>
                </c:pt>
                <c:pt idx="6">
                  <c:v>44528</c:v>
                </c:pt>
                <c:pt idx="7">
                  <c:v>44535</c:v>
                </c:pt>
                <c:pt idx="8">
                  <c:v>44542</c:v>
                </c:pt>
                <c:pt idx="9">
                  <c:v>44549</c:v>
                </c:pt>
                <c:pt idx="10">
                  <c:v>44556</c:v>
                </c:pt>
                <c:pt idx="11">
                  <c:v>44563</c:v>
                </c:pt>
                <c:pt idx="12">
                  <c:v>44570</c:v>
                </c:pt>
                <c:pt idx="13">
                  <c:v>44577</c:v>
                </c:pt>
                <c:pt idx="14">
                  <c:v>44584</c:v>
                </c:pt>
                <c:pt idx="15">
                  <c:v>44591</c:v>
                </c:pt>
                <c:pt idx="16">
                  <c:v>44598</c:v>
                </c:pt>
                <c:pt idx="17">
                  <c:v>44605</c:v>
                </c:pt>
                <c:pt idx="18">
                  <c:v>44612</c:v>
                </c:pt>
                <c:pt idx="19">
                  <c:v>44619</c:v>
                </c:pt>
                <c:pt idx="20">
                  <c:v>44626</c:v>
                </c:pt>
                <c:pt idx="21">
                  <c:v>44633</c:v>
                </c:pt>
                <c:pt idx="22">
                  <c:v>44640</c:v>
                </c:pt>
                <c:pt idx="23">
                  <c:v>44647</c:v>
                </c:pt>
                <c:pt idx="24">
                  <c:v>44654</c:v>
                </c:pt>
                <c:pt idx="25">
                  <c:v>44661</c:v>
                </c:pt>
                <c:pt idx="26">
                  <c:v>44668</c:v>
                </c:pt>
                <c:pt idx="27">
                  <c:v>44675</c:v>
                </c:pt>
                <c:pt idx="28">
                  <c:v>44682</c:v>
                </c:pt>
                <c:pt idx="29">
                  <c:v>44689</c:v>
                </c:pt>
                <c:pt idx="30">
                  <c:v>44696</c:v>
                </c:pt>
                <c:pt idx="31">
                  <c:v>44703</c:v>
                </c:pt>
                <c:pt idx="32">
                  <c:v>44710</c:v>
                </c:pt>
                <c:pt idx="33">
                  <c:v>44717</c:v>
                </c:pt>
                <c:pt idx="34">
                  <c:v>44724</c:v>
                </c:pt>
                <c:pt idx="35">
                  <c:v>44731</c:v>
                </c:pt>
                <c:pt idx="36">
                  <c:v>44738</c:v>
                </c:pt>
                <c:pt idx="37">
                  <c:v>44745</c:v>
                </c:pt>
                <c:pt idx="38">
                  <c:v>44752</c:v>
                </c:pt>
                <c:pt idx="39">
                  <c:v>44759</c:v>
                </c:pt>
                <c:pt idx="40">
                  <c:v>44766</c:v>
                </c:pt>
                <c:pt idx="41">
                  <c:v>44773</c:v>
                </c:pt>
                <c:pt idx="42">
                  <c:v>44780</c:v>
                </c:pt>
                <c:pt idx="43">
                  <c:v>44787</c:v>
                </c:pt>
                <c:pt idx="44">
                  <c:v>44794</c:v>
                </c:pt>
                <c:pt idx="45">
                  <c:v>44801</c:v>
                </c:pt>
                <c:pt idx="46">
                  <c:v>44808</c:v>
                </c:pt>
                <c:pt idx="47">
                  <c:v>44815</c:v>
                </c:pt>
                <c:pt idx="48">
                  <c:v>44822</c:v>
                </c:pt>
                <c:pt idx="49">
                  <c:v>44829</c:v>
                </c:pt>
                <c:pt idx="50">
                  <c:v>44836</c:v>
                </c:pt>
                <c:pt idx="51">
                  <c:v>44843</c:v>
                </c:pt>
                <c:pt idx="52">
                  <c:v>44850</c:v>
                </c:pt>
                <c:pt idx="53">
                  <c:v>44857</c:v>
                </c:pt>
                <c:pt idx="54">
                  <c:v>44864</c:v>
                </c:pt>
                <c:pt idx="55">
                  <c:v>44871</c:v>
                </c:pt>
                <c:pt idx="56">
                  <c:v>44878</c:v>
                </c:pt>
                <c:pt idx="57">
                  <c:v>44885</c:v>
                </c:pt>
                <c:pt idx="58">
                  <c:v>44892</c:v>
                </c:pt>
                <c:pt idx="59">
                  <c:v>44899</c:v>
                </c:pt>
                <c:pt idx="60">
                  <c:v>44906</c:v>
                </c:pt>
                <c:pt idx="61">
                  <c:v>44913</c:v>
                </c:pt>
                <c:pt idx="62">
                  <c:v>44920</c:v>
                </c:pt>
                <c:pt idx="63">
                  <c:v>44927</c:v>
                </c:pt>
                <c:pt idx="64">
                  <c:v>44934</c:v>
                </c:pt>
                <c:pt idx="65">
                  <c:v>44941</c:v>
                </c:pt>
                <c:pt idx="66">
                  <c:v>44948</c:v>
                </c:pt>
                <c:pt idx="67">
                  <c:v>44955</c:v>
                </c:pt>
                <c:pt idx="68">
                  <c:v>44962</c:v>
                </c:pt>
                <c:pt idx="69">
                  <c:v>44969</c:v>
                </c:pt>
                <c:pt idx="70">
                  <c:v>44976</c:v>
                </c:pt>
                <c:pt idx="71">
                  <c:v>44983</c:v>
                </c:pt>
                <c:pt idx="72">
                  <c:v>44990</c:v>
                </c:pt>
                <c:pt idx="73">
                  <c:v>44997</c:v>
                </c:pt>
                <c:pt idx="74">
                  <c:v>45004</c:v>
                </c:pt>
                <c:pt idx="75">
                  <c:v>45011</c:v>
                </c:pt>
                <c:pt idx="76">
                  <c:v>45018</c:v>
                </c:pt>
                <c:pt idx="77">
                  <c:v>45025</c:v>
                </c:pt>
                <c:pt idx="78">
                  <c:v>45032</c:v>
                </c:pt>
                <c:pt idx="79">
                  <c:v>45039</c:v>
                </c:pt>
                <c:pt idx="80">
                  <c:v>45046</c:v>
                </c:pt>
                <c:pt idx="81">
                  <c:v>45053</c:v>
                </c:pt>
                <c:pt idx="82">
                  <c:v>45060</c:v>
                </c:pt>
                <c:pt idx="83">
                  <c:v>45067</c:v>
                </c:pt>
                <c:pt idx="84">
                  <c:v>45074</c:v>
                </c:pt>
                <c:pt idx="85">
                  <c:v>45081</c:v>
                </c:pt>
                <c:pt idx="86">
                  <c:v>45088</c:v>
                </c:pt>
                <c:pt idx="87">
                  <c:v>45095</c:v>
                </c:pt>
                <c:pt idx="88">
                  <c:v>45102</c:v>
                </c:pt>
                <c:pt idx="89">
                  <c:v>45109</c:v>
                </c:pt>
                <c:pt idx="90">
                  <c:v>45116</c:v>
                </c:pt>
                <c:pt idx="91">
                  <c:v>45123</c:v>
                </c:pt>
                <c:pt idx="92">
                  <c:v>45130</c:v>
                </c:pt>
                <c:pt idx="93">
                  <c:v>45137</c:v>
                </c:pt>
                <c:pt idx="94">
                  <c:v>45144</c:v>
                </c:pt>
                <c:pt idx="95">
                  <c:v>45151</c:v>
                </c:pt>
                <c:pt idx="96">
                  <c:v>45158</c:v>
                </c:pt>
                <c:pt idx="97">
                  <c:v>45165</c:v>
                </c:pt>
                <c:pt idx="98">
                  <c:v>45172</c:v>
                </c:pt>
                <c:pt idx="99">
                  <c:v>45179</c:v>
                </c:pt>
                <c:pt idx="100">
                  <c:v>45186</c:v>
                </c:pt>
                <c:pt idx="101">
                  <c:v>45193</c:v>
                </c:pt>
                <c:pt idx="102">
                  <c:v>45200</c:v>
                </c:pt>
                <c:pt idx="103">
                  <c:v>45207</c:v>
                </c:pt>
                <c:pt idx="104">
                  <c:v>45214</c:v>
                </c:pt>
                <c:pt idx="105">
                  <c:v>45221</c:v>
                </c:pt>
                <c:pt idx="106">
                  <c:v>45228</c:v>
                </c:pt>
                <c:pt idx="107">
                  <c:v>45235</c:v>
                </c:pt>
                <c:pt idx="108">
                  <c:v>45242</c:v>
                </c:pt>
                <c:pt idx="109">
                  <c:v>45249</c:v>
                </c:pt>
                <c:pt idx="110">
                  <c:v>45256</c:v>
                </c:pt>
                <c:pt idx="111">
                  <c:v>45263</c:v>
                </c:pt>
                <c:pt idx="112">
                  <c:v>45270</c:v>
                </c:pt>
                <c:pt idx="113">
                  <c:v>45277</c:v>
                </c:pt>
                <c:pt idx="114">
                  <c:v>45284</c:v>
                </c:pt>
                <c:pt idx="115">
                  <c:v>45291</c:v>
                </c:pt>
                <c:pt idx="116">
                  <c:v>45298</c:v>
                </c:pt>
                <c:pt idx="117">
                  <c:v>45305</c:v>
                </c:pt>
                <c:pt idx="118">
                  <c:v>45312</c:v>
                </c:pt>
                <c:pt idx="119">
                  <c:v>45319</c:v>
                </c:pt>
                <c:pt idx="120">
                  <c:v>45326</c:v>
                </c:pt>
                <c:pt idx="121">
                  <c:v>45333</c:v>
                </c:pt>
                <c:pt idx="122">
                  <c:v>45340</c:v>
                </c:pt>
                <c:pt idx="123">
                  <c:v>45347</c:v>
                </c:pt>
                <c:pt idx="124">
                  <c:v>45354</c:v>
                </c:pt>
                <c:pt idx="125">
                  <c:v>45361</c:v>
                </c:pt>
                <c:pt idx="126">
                  <c:v>45368</c:v>
                </c:pt>
                <c:pt idx="127">
                  <c:v>45375</c:v>
                </c:pt>
                <c:pt idx="128">
                  <c:v>45382</c:v>
                </c:pt>
                <c:pt idx="129">
                  <c:v>45389</c:v>
                </c:pt>
                <c:pt idx="130">
                  <c:v>45396</c:v>
                </c:pt>
                <c:pt idx="131">
                  <c:v>45403</c:v>
                </c:pt>
                <c:pt idx="132">
                  <c:v>45410</c:v>
                </c:pt>
                <c:pt idx="133">
                  <c:v>45417</c:v>
                </c:pt>
                <c:pt idx="134">
                  <c:v>45424</c:v>
                </c:pt>
                <c:pt idx="135">
                  <c:v>45431</c:v>
                </c:pt>
                <c:pt idx="136">
                  <c:v>45438</c:v>
                </c:pt>
                <c:pt idx="137">
                  <c:v>45445</c:v>
                </c:pt>
                <c:pt idx="138">
                  <c:v>45452</c:v>
                </c:pt>
                <c:pt idx="139">
                  <c:v>45459</c:v>
                </c:pt>
                <c:pt idx="140">
                  <c:v>45466</c:v>
                </c:pt>
                <c:pt idx="141">
                  <c:v>45473</c:v>
                </c:pt>
                <c:pt idx="142">
                  <c:v>45480</c:v>
                </c:pt>
                <c:pt idx="143">
                  <c:v>45487</c:v>
                </c:pt>
                <c:pt idx="144">
                  <c:v>45494</c:v>
                </c:pt>
                <c:pt idx="145">
                  <c:v>45501</c:v>
                </c:pt>
                <c:pt idx="146">
                  <c:v>45508</c:v>
                </c:pt>
                <c:pt idx="147">
                  <c:v>45515</c:v>
                </c:pt>
                <c:pt idx="148">
                  <c:v>45522</c:v>
                </c:pt>
                <c:pt idx="149">
                  <c:v>45529</c:v>
                </c:pt>
                <c:pt idx="150">
                  <c:v>45536</c:v>
                </c:pt>
                <c:pt idx="151">
                  <c:v>45543</c:v>
                </c:pt>
                <c:pt idx="152">
                  <c:v>45550</c:v>
                </c:pt>
                <c:pt idx="153">
                  <c:v>45557</c:v>
                </c:pt>
                <c:pt idx="154">
                  <c:v>45564</c:v>
                </c:pt>
                <c:pt idx="155">
                  <c:v>45571</c:v>
                </c:pt>
                <c:pt idx="156">
                  <c:v>45578</c:v>
                </c:pt>
                <c:pt idx="157">
                  <c:v>45585</c:v>
                </c:pt>
                <c:pt idx="158">
                  <c:v>45592</c:v>
                </c:pt>
                <c:pt idx="159">
                  <c:v>45599</c:v>
                </c:pt>
                <c:pt idx="160">
                  <c:v>45606</c:v>
                </c:pt>
                <c:pt idx="161">
                  <c:v>45613</c:v>
                </c:pt>
                <c:pt idx="162">
                  <c:v>45620</c:v>
                </c:pt>
                <c:pt idx="163">
                  <c:v>45627</c:v>
                </c:pt>
                <c:pt idx="164">
                  <c:v>45634</c:v>
                </c:pt>
                <c:pt idx="165">
                  <c:v>45641</c:v>
                </c:pt>
                <c:pt idx="166">
                  <c:v>45648</c:v>
                </c:pt>
                <c:pt idx="167">
                  <c:v>45655</c:v>
                </c:pt>
                <c:pt idx="168">
                  <c:v>45662</c:v>
                </c:pt>
                <c:pt idx="169">
                  <c:v>45669</c:v>
                </c:pt>
                <c:pt idx="170">
                  <c:v>45676</c:v>
                </c:pt>
                <c:pt idx="171">
                  <c:v>45683</c:v>
                </c:pt>
                <c:pt idx="172">
                  <c:v>45690</c:v>
                </c:pt>
                <c:pt idx="173">
                  <c:v>45697</c:v>
                </c:pt>
                <c:pt idx="174">
                  <c:v>45704</c:v>
                </c:pt>
                <c:pt idx="175">
                  <c:v>45711</c:v>
                </c:pt>
                <c:pt idx="176">
                  <c:v>45718</c:v>
                </c:pt>
                <c:pt idx="177">
                  <c:v>45725</c:v>
                </c:pt>
                <c:pt idx="178">
                  <c:v>45732</c:v>
                </c:pt>
                <c:pt idx="179">
                  <c:v>45739</c:v>
                </c:pt>
                <c:pt idx="180">
                  <c:v>45746</c:v>
                </c:pt>
                <c:pt idx="181">
                  <c:v>45753</c:v>
                </c:pt>
                <c:pt idx="182">
                  <c:v>45760</c:v>
                </c:pt>
                <c:pt idx="183">
                  <c:v>45767</c:v>
                </c:pt>
                <c:pt idx="184">
                  <c:v>45774</c:v>
                </c:pt>
                <c:pt idx="185">
                  <c:v>45781</c:v>
                </c:pt>
                <c:pt idx="186">
                  <c:v>45788</c:v>
                </c:pt>
                <c:pt idx="187">
                  <c:v>45795</c:v>
                </c:pt>
                <c:pt idx="188">
                  <c:v>45802</c:v>
                </c:pt>
                <c:pt idx="189">
                  <c:v>45809</c:v>
                </c:pt>
                <c:pt idx="190">
                  <c:v>45816</c:v>
                </c:pt>
                <c:pt idx="191">
                  <c:v>45823</c:v>
                </c:pt>
                <c:pt idx="192">
                  <c:v>45830</c:v>
                </c:pt>
                <c:pt idx="193">
                  <c:v>45837</c:v>
                </c:pt>
                <c:pt idx="194">
                  <c:v>45844</c:v>
                </c:pt>
                <c:pt idx="195">
                  <c:v>45851</c:v>
                </c:pt>
                <c:pt idx="196">
                  <c:v>45858</c:v>
                </c:pt>
                <c:pt idx="197">
                  <c:v>45865</c:v>
                </c:pt>
                <c:pt idx="198">
                  <c:v>45872</c:v>
                </c:pt>
                <c:pt idx="199">
                  <c:v>45879</c:v>
                </c:pt>
                <c:pt idx="200">
                  <c:v>45886</c:v>
                </c:pt>
                <c:pt idx="201">
                  <c:v>45893</c:v>
                </c:pt>
                <c:pt idx="202">
                  <c:v>45900</c:v>
                </c:pt>
                <c:pt idx="203">
                  <c:v>45907</c:v>
                </c:pt>
                <c:pt idx="204">
                  <c:v>45914</c:v>
                </c:pt>
                <c:pt idx="205">
                  <c:v>45921</c:v>
                </c:pt>
                <c:pt idx="206">
                  <c:v>45928</c:v>
                </c:pt>
                <c:pt idx="207">
                  <c:v>45935</c:v>
                </c:pt>
                <c:pt idx="208">
                  <c:v>45942</c:v>
                </c:pt>
                <c:pt idx="209">
                  <c:v>45949</c:v>
                </c:pt>
                <c:pt idx="210">
                  <c:v>45956</c:v>
                </c:pt>
                <c:pt idx="211">
                  <c:v>45963</c:v>
                </c:pt>
                <c:pt idx="212">
                  <c:v>45970</c:v>
                </c:pt>
                <c:pt idx="213">
                  <c:v>45977</c:v>
                </c:pt>
                <c:pt idx="214">
                  <c:v>45984</c:v>
                </c:pt>
                <c:pt idx="215">
                  <c:v>45991</c:v>
                </c:pt>
                <c:pt idx="216">
                  <c:v>45998</c:v>
                </c:pt>
                <c:pt idx="217">
                  <c:v>46005</c:v>
                </c:pt>
                <c:pt idx="218">
                  <c:v>46012</c:v>
                </c:pt>
                <c:pt idx="219">
                  <c:v>46019</c:v>
                </c:pt>
                <c:pt idx="220">
                  <c:v>46026</c:v>
                </c:pt>
                <c:pt idx="221">
                  <c:v>46033</c:v>
                </c:pt>
                <c:pt idx="222">
                  <c:v>46040</c:v>
                </c:pt>
                <c:pt idx="223">
                  <c:v>46047</c:v>
                </c:pt>
                <c:pt idx="224">
                  <c:v>46054</c:v>
                </c:pt>
                <c:pt idx="225">
                  <c:v>46061</c:v>
                </c:pt>
                <c:pt idx="226">
                  <c:v>46068</c:v>
                </c:pt>
                <c:pt idx="227">
                  <c:v>46075</c:v>
                </c:pt>
                <c:pt idx="228">
                  <c:v>46082</c:v>
                </c:pt>
                <c:pt idx="229">
                  <c:v>46089</c:v>
                </c:pt>
                <c:pt idx="230">
                  <c:v>46096</c:v>
                </c:pt>
                <c:pt idx="231">
                  <c:v>46103</c:v>
                </c:pt>
                <c:pt idx="232">
                  <c:v>46110</c:v>
                </c:pt>
                <c:pt idx="233">
                  <c:v>46117</c:v>
                </c:pt>
                <c:pt idx="234">
                  <c:v>46124</c:v>
                </c:pt>
                <c:pt idx="235">
                  <c:v>46131</c:v>
                </c:pt>
                <c:pt idx="236">
                  <c:v>46138</c:v>
                </c:pt>
                <c:pt idx="237">
                  <c:v>46145</c:v>
                </c:pt>
                <c:pt idx="238">
                  <c:v>46152</c:v>
                </c:pt>
                <c:pt idx="239">
                  <c:v>46159</c:v>
                </c:pt>
                <c:pt idx="240">
                  <c:v>46166</c:v>
                </c:pt>
                <c:pt idx="241">
                  <c:v>46173</c:v>
                </c:pt>
                <c:pt idx="242">
                  <c:v>46180</c:v>
                </c:pt>
                <c:pt idx="243">
                  <c:v>46187</c:v>
                </c:pt>
                <c:pt idx="244">
                  <c:v>46201</c:v>
                </c:pt>
                <c:pt idx="245">
                  <c:v>46208</c:v>
                </c:pt>
                <c:pt idx="246">
                  <c:v>46215</c:v>
                </c:pt>
                <c:pt idx="247">
                  <c:v>46222</c:v>
                </c:pt>
                <c:pt idx="248">
                  <c:v>46229</c:v>
                </c:pt>
                <c:pt idx="249">
                  <c:v>46236</c:v>
                </c:pt>
                <c:pt idx="250">
                  <c:v>46243</c:v>
                </c:pt>
                <c:pt idx="251">
                  <c:v>46250</c:v>
                </c:pt>
                <c:pt idx="252">
                  <c:v>46257</c:v>
                </c:pt>
                <c:pt idx="253">
                  <c:v>46264</c:v>
                </c:pt>
                <c:pt idx="254">
                  <c:v>46271</c:v>
                </c:pt>
                <c:pt idx="255">
                  <c:v>46278</c:v>
                </c:pt>
                <c:pt idx="256">
                  <c:v>46285</c:v>
                </c:pt>
                <c:pt idx="257">
                  <c:v>46292</c:v>
                </c:pt>
                <c:pt idx="258">
                  <c:v>46299</c:v>
                </c:pt>
              </c:numCache>
            </c:numRef>
          </c:xVal>
          <c:yVal>
            <c:numRef>
              <c:f>'Precio e IPC'!$AR$13:$AR$412</c:f>
              <c:numCache>
                <c:formatCode>General</c:formatCode>
                <c:ptCount val="400"/>
                <c:pt idx="0">
                  <c:v>100</c:v>
                </c:pt>
                <c:pt idx="1">
                  <c:v>99.08</c:v>
                </c:pt>
                <c:pt idx="2">
                  <c:v>97.92</c:v>
                </c:pt>
                <c:pt idx="3">
                  <c:v>95.08</c:v>
                </c:pt>
                <c:pt idx="4">
                  <c:v>91.96</c:v>
                </c:pt>
                <c:pt idx="5">
                  <c:v>90.92</c:v>
                </c:pt>
                <c:pt idx="6">
                  <c:v>95.76</c:v>
                </c:pt>
                <c:pt idx="7">
                  <c:v>93.04</c:v>
                </c:pt>
                <c:pt idx="8">
                  <c:v>90.36</c:v>
                </c:pt>
                <c:pt idx="9">
                  <c:v>99.2</c:v>
                </c:pt>
                <c:pt idx="10">
                  <c:v>103.92</c:v>
                </c:pt>
                <c:pt idx="11">
                  <c:v>96.16</c:v>
                </c:pt>
                <c:pt idx="12">
                  <c:v>95.92</c:v>
                </c:pt>
                <c:pt idx="13">
                  <c:v>91.68</c:v>
                </c:pt>
                <c:pt idx="14">
                  <c:v>89.56</c:v>
                </c:pt>
                <c:pt idx="15">
                  <c:v>92.96</c:v>
                </c:pt>
                <c:pt idx="16">
                  <c:v>90.28</c:v>
                </c:pt>
                <c:pt idx="17">
                  <c:v>92.44</c:v>
                </c:pt>
                <c:pt idx="18">
                  <c:v>93</c:v>
                </c:pt>
                <c:pt idx="19">
                  <c:v>91.64</c:v>
                </c:pt>
                <c:pt idx="20">
                  <c:v>90.8</c:v>
                </c:pt>
                <c:pt idx="21">
                  <c:v>86.48</c:v>
                </c:pt>
                <c:pt idx="22">
                  <c:v>88.52</c:v>
                </c:pt>
                <c:pt idx="23">
                  <c:v>89.24</c:v>
                </c:pt>
                <c:pt idx="24">
                  <c:v>86.32</c:v>
                </c:pt>
                <c:pt idx="25">
                  <c:v>86.72</c:v>
                </c:pt>
                <c:pt idx="26">
                  <c:v>84.04</c:v>
                </c:pt>
                <c:pt idx="27">
                  <c:v>94.24</c:v>
                </c:pt>
                <c:pt idx="28">
                  <c:v>88.28</c:v>
                </c:pt>
                <c:pt idx="29">
                  <c:v>88</c:v>
                </c:pt>
                <c:pt idx="30">
                  <c:v>85.4</c:v>
                </c:pt>
                <c:pt idx="31">
                  <c:v>85.36</c:v>
                </c:pt>
                <c:pt idx="32">
                  <c:v>85.08</c:v>
                </c:pt>
                <c:pt idx="33">
                  <c:v>84.24</c:v>
                </c:pt>
                <c:pt idx="34">
                  <c:v>76.84</c:v>
                </c:pt>
                <c:pt idx="35">
                  <c:v>84.96</c:v>
                </c:pt>
                <c:pt idx="36">
                  <c:v>89.8</c:v>
                </c:pt>
                <c:pt idx="37">
                  <c:v>90.8</c:v>
                </c:pt>
                <c:pt idx="38">
                  <c:v>91.32</c:v>
                </c:pt>
                <c:pt idx="39">
                  <c:v>94.4</c:v>
                </c:pt>
                <c:pt idx="40">
                  <c:v>90.56</c:v>
                </c:pt>
                <c:pt idx="41">
                  <c:v>91.2</c:v>
                </c:pt>
                <c:pt idx="42">
                  <c:v>91</c:v>
                </c:pt>
                <c:pt idx="43">
                  <c:v>91</c:v>
                </c:pt>
                <c:pt idx="44">
                  <c:v>90.96</c:v>
                </c:pt>
                <c:pt idx="45">
                  <c:v>91</c:v>
                </c:pt>
                <c:pt idx="46">
                  <c:v>93.16</c:v>
                </c:pt>
                <c:pt idx="47">
                  <c:v>99.96</c:v>
                </c:pt>
                <c:pt idx="48">
                  <c:v>104.8</c:v>
                </c:pt>
                <c:pt idx="49">
                  <c:v>104.8</c:v>
                </c:pt>
                <c:pt idx="50">
                  <c:v>105.72</c:v>
                </c:pt>
                <c:pt idx="51">
                  <c:v>106</c:v>
                </c:pt>
                <c:pt idx="52">
                  <c:v>110.8</c:v>
                </c:pt>
                <c:pt idx="53">
                  <c:v>121.72</c:v>
                </c:pt>
                <c:pt idx="54">
                  <c:v>120.16</c:v>
                </c:pt>
                <c:pt idx="55">
                  <c:v>119.8</c:v>
                </c:pt>
                <c:pt idx="56">
                  <c:v>120.8</c:v>
                </c:pt>
                <c:pt idx="57">
                  <c:v>121.8</c:v>
                </c:pt>
                <c:pt idx="58">
                  <c:v>114.24</c:v>
                </c:pt>
                <c:pt idx="59">
                  <c:v>121.72</c:v>
                </c:pt>
                <c:pt idx="60">
                  <c:v>122.52</c:v>
                </c:pt>
                <c:pt idx="61">
                  <c:v>123.32</c:v>
                </c:pt>
                <c:pt idx="62">
                  <c:v>125.12</c:v>
                </c:pt>
                <c:pt idx="63">
                  <c:v>126.6</c:v>
                </c:pt>
                <c:pt idx="64">
                  <c:v>123.96</c:v>
                </c:pt>
                <c:pt idx="65">
                  <c:v>123.08</c:v>
                </c:pt>
                <c:pt idx="66">
                  <c:v>124.48</c:v>
                </c:pt>
                <c:pt idx="67">
                  <c:v>120.08</c:v>
                </c:pt>
                <c:pt idx="68">
                  <c:v>122.76</c:v>
                </c:pt>
                <c:pt idx="69">
                  <c:v>119.2</c:v>
                </c:pt>
                <c:pt idx="70">
                  <c:v>120.8</c:v>
                </c:pt>
                <c:pt idx="71">
                  <c:v>122.8</c:v>
                </c:pt>
                <c:pt idx="72">
                  <c:v>120.4</c:v>
                </c:pt>
                <c:pt idx="73">
                  <c:v>122.04</c:v>
                </c:pt>
                <c:pt idx="74">
                  <c:v>122.04</c:v>
                </c:pt>
                <c:pt idx="75">
                  <c:v>123.88</c:v>
                </c:pt>
                <c:pt idx="76">
                  <c:v>122.4</c:v>
                </c:pt>
                <c:pt idx="77">
                  <c:v>124</c:v>
                </c:pt>
                <c:pt idx="78">
                  <c:v>123.76</c:v>
                </c:pt>
                <c:pt idx="79">
                  <c:v>124.52</c:v>
                </c:pt>
                <c:pt idx="80">
                  <c:v>125.12</c:v>
                </c:pt>
                <c:pt idx="81">
                  <c:v>123.2</c:v>
                </c:pt>
                <c:pt idx="82">
                  <c:v>122.16</c:v>
                </c:pt>
                <c:pt idx="83">
                  <c:v>121.2</c:v>
                </c:pt>
                <c:pt idx="84">
                  <c:v>120.68</c:v>
                </c:pt>
                <c:pt idx="85">
                  <c:v>120.2</c:v>
                </c:pt>
                <c:pt idx="86">
                  <c:v>116.28</c:v>
                </c:pt>
                <c:pt idx="87">
                  <c:v>115.44</c:v>
                </c:pt>
                <c:pt idx="88">
                  <c:v>113.96</c:v>
                </c:pt>
                <c:pt idx="89">
                  <c:v>110.96</c:v>
                </c:pt>
                <c:pt idx="90">
                  <c:v>110.76</c:v>
                </c:pt>
                <c:pt idx="91">
                  <c:v>108.96</c:v>
                </c:pt>
                <c:pt idx="92">
                  <c:v>109.52</c:v>
                </c:pt>
                <c:pt idx="93">
                  <c:v>107.96</c:v>
                </c:pt>
                <c:pt idx="94">
                  <c:v>108.76</c:v>
                </c:pt>
                <c:pt idx="95">
                  <c:v>108.8</c:v>
                </c:pt>
                <c:pt idx="96">
                  <c:v>105.96</c:v>
                </c:pt>
                <c:pt idx="97">
                  <c:v>116.28</c:v>
                </c:pt>
                <c:pt idx="98">
                  <c:v>112</c:v>
                </c:pt>
                <c:pt idx="99">
                  <c:v>104</c:v>
                </c:pt>
                <c:pt idx="100">
                  <c:v>113.4</c:v>
                </c:pt>
                <c:pt idx="101">
                  <c:v>126.8</c:v>
                </c:pt>
                <c:pt idx="102">
                  <c:v>117.36</c:v>
                </c:pt>
                <c:pt idx="103">
                  <c:v>119.4</c:v>
                </c:pt>
                <c:pt idx="104">
                  <c:v>116.2</c:v>
                </c:pt>
                <c:pt idx="105">
                  <c:v>128.36</c:v>
                </c:pt>
                <c:pt idx="106">
                  <c:v>128.12</c:v>
                </c:pt>
                <c:pt idx="107">
                  <c:v>119.76</c:v>
                </c:pt>
                <c:pt idx="108">
                  <c:v>121.96</c:v>
                </c:pt>
                <c:pt idx="109">
                  <c:v>121.2</c:v>
                </c:pt>
                <c:pt idx="110">
                  <c:v>117.6</c:v>
                </c:pt>
                <c:pt idx="111">
                  <c:v>127.88</c:v>
                </c:pt>
                <c:pt idx="112">
                  <c:v>132</c:v>
                </c:pt>
                <c:pt idx="113">
                  <c:v>141.72</c:v>
                </c:pt>
                <c:pt idx="114">
                  <c:v>145.36</c:v>
                </c:pt>
                <c:pt idx="115">
                  <c:v>143.12</c:v>
                </c:pt>
                <c:pt idx="116">
                  <c:v>139.28</c:v>
                </c:pt>
                <c:pt idx="117">
                  <c:v>137.64</c:v>
                </c:pt>
                <c:pt idx="118">
                  <c:v>139.64</c:v>
                </c:pt>
                <c:pt idx="119">
                  <c:v>139.56</c:v>
                </c:pt>
                <c:pt idx="120">
                  <c:v>139.76</c:v>
                </c:pt>
                <c:pt idx="121">
                  <c:v>139.52</c:v>
                </c:pt>
                <c:pt idx="122">
                  <c:v>135.44</c:v>
                </c:pt>
                <c:pt idx="123">
                  <c:v>133.2</c:v>
                </c:pt>
                <c:pt idx="124">
                  <c:v>135.8</c:v>
                </c:pt>
                <c:pt idx="125">
                  <c:v>131.96</c:v>
                </c:pt>
                <c:pt idx="126">
                  <c:v>135.28</c:v>
                </c:pt>
                <c:pt idx="127">
                  <c:v>135.84</c:v>
                </c:pt>
                <c:pt idx="128">
                  <c:v>135.88</c:v>
                </c:pt>
                <c:pt idx="129">
                  <c:v>136</c:v>
                </c:pt>
                <c:pt idx="130">
                  <c:v>135.96</c:v>
                </c:pt>
                <c:pt idx="131">
                  <c:v>135.48</c:v>
                </c:pt>
                <c:pt idx="132">
                  <c:v>136</c:v>
                </c:pt>
                <c:pt idx="133">
                  <c:v>131.48</c:v>
                </c:pt>
                <c:pt idx="134">
                  <c:v>132</c:v>
                </c:pt>
                <c:pt idx="135">
                  <c:v>133.2</c:v>
                </c:pt>
                <c:pt idx="136">
                  <c:v>129.28</c:v>
                </c:pt>
                <c:pt idx="137">
                  <c:v>127.2</c:v>
                </c:pt>
                <c:pt idx="138">
                  <c:v>125.2</c:v>
                </c:pt>
                <c:pt idx="139">
                  <c:v>117.92</c:v>
                </c:pt>
                <c:pt idx="140">
                  <c:v>121.44</c:v>
                </c:pt>
                <c:pt idx="141">
                  <c:v>119.28</c:v>
                </c:pt>
                <c:pt idx="142">
                  <c:v>123.2</c:v>
                </c:pt>
                <c:pt idx="143">
                  <c:v>123.16</c:v>
                </c:pt>
                <c:pt idx="144">
                  <c:v>117.56</c:v>
                </c:pt>
                <c:pt idx="145">
                  <c:v>124.76</c:v>
                </c:pt>
                <c:pt idx="146">
                  <c:v>124.56</c:v>
                </c:pt>
                <c:pt idx="147">
                  <c:v>123.92</c:v>
                </c:pt>
                <c:pt idx="148">
                  <c:v>121.88</c:v>
                </c:pt>
                <c:pt idx="149">
                  <c:v>121.92</c:v>
                </c:pt>
                <c:pt idx="150">
                  <c:v>119.16</c:v>
                </c:pt>
                <c:pt idx="151">
                  <c:v>120</c:v>
                </c:pt>
                <c:pt idx="152">
                  <c:v>121.92</c:v>
                </c:pt>
                <c:pt idx="153">
                  <c:v>124.16</c:v>
                </c:pt>
                <c:pt idx="154">
                  <c:v>121.6</c:v>
                </c:pt>
                <c:pt idx="155">
                  <c:v>122.36</c:v>
                </c:pt>
                <c:pt idx="156">
                  <c:v>117.2</c:v>
                </c:pt>
                <c:pt idx="157">
                  <c:v>115.64</c:v>
                </c:pt>
                <c:pt idx="158">
                  <c:v>113.12</c:v>
                </c:pt>
                <c:pt idx="159">
                  <c:v>118.36</c:v>
                </c:pt>
                <c:pt idx="160">
                  <c:v>115</c:v>
                </c:pt>
                <c:pt idx="161">
                  <c:v>118.72</c:v>
                </c:pt>
                <c:pt idx="162">
                  <c:v>122</c:v>
                </c:pt>
                <c:pt idx="163">
                  <c:v>120.88</c:v>
                </c:pt>
                <c:pt idx="164">
                  <c:v>120.28</c:v>
                </c:pt>
                <c:pt idx="165">
                  <c:v>118.48</c:v>
                </c:pt>
                <c:pt idx="166">
                  <c:v>118.76</c:v>
                </c:pt>
                <c:pt idx="167">
                  <c:v>118.52</c:v>
                </c:pt>
                <c:pt idx="168">
                  <c:v>119.6</c:v>
                </c:pt>
                <c:pt idx="169">
                  <c:v>123.2</c:v>
                </c:pt>
                <c:pt idx="170">
                  <c:v>116.8</c:v>
                </c:pt>
                <c:pt idx="171">
                  <c:v>116.72</c:v>
                </c:pt>
                <c:pt idx="172">
                  <c:v>119.6</c:v>
                </c:pt>
                <c:pt idx="173">
                  <c:v>116.68</c:v>
                </c:pt>
                <c:pt idx="174">
                  <c:v>113.96</c:v>
                </c:pt>
                <c:pt idx="175">
                  <c:v>110.6</c:v>
                </c:pt>
                <c:pt idx="176">
                  <c:v>108</c:v>
                </c:pt>
                <c:pt idx="177">
                  <c:v>112.96</c:v>
                </c:pt>
                <c:pt idx="178">
                  <c:v>111.76</c:v>
                </c:pt>
                <c:pt idx="179">
                  <c:v>110.8</c:v>
                </c:pt>
                <c:pt idx="180">
                  <c:v>105.96</c:v>
                </c:pt>
                <c:pt idx="181">
                  <c:v>107.56</c:v>
                </c:pt>
                <c:pt idx="182">
                  <c:v>104.4</c:v>
                </c:pt>
                <c:pt idx="183">
                  <c:v>103.2</c:v>
                </c:pt>
                <c:pt idx="184">
                  <c:v>107.72</c:v>
                </c:pt>
                <c:pt idx="185">
                  <c:v>111.36</c:v>
                </c:pt>
                <c:pt idx="186">
                  <c:v>112</c:v>
                </c:pt>
                <c:pt idx="187">
                  <c:v>109.36</c:v>
                </c:pt>
                <c:pt idx="188">
                  <c:v>110.04</c:v>
                </c:pt>
                <c:pt idx="189">
                  <c:v>108</c:v>
                </c:pt>
                <c:pt idx="190">
                  <c:v>109.52</c:v>
                </c:pt>
                <c:pt idx="191">
                  <c:v>109.08</c:v>
                </c:pt>
                <c:pt idx="192">
                  <c:v>111.92</c:v>
                </c:pt>
                <c:pt idx="193">
                  <c:v>108</c:v>
                </c:pt>
                <c:pt idx="194">
                  <c:v>101.32</c:v>
                </c:pt>
                <c:pt idx="195">
                  <c:v>103.96</c:v>
                </c:pt>
                <c:pt idx="196">
                  <c:v>102.56</c:v>
                </c:pt>
                <c:pt idx="197">
                  <c:v>99.6</c:v>
                </c:pt>
                <c:pt idx="198">
                  <c:v>99.88</c:v>
                </c:pt>
                <c:pt idx="199">
                  <c:v>100.96</c:v>
                </c:pt>
                <c:pt idx="200">
                  <c:v>101.6</c:v>
                </c:pt>
                <c:pt idx="201">
                  <c:v>102.92</c:v>
                </c:pt>
                <c:pt idx="202">
                  <c:v>100.8</c:v>
                </c:pt>
                <c:pt idx="203">
                  <c:v>99.6</c:v>
                </c:pt>
                <c:pt idx="204">
                  <c:v>99.28</c:v>
                </c:pt>
                <c:pt idx="205">
                  <c:v>100</c:v>
                </c:pt>
                <c:pt idx="206">
                  <c:v>99.72</c:v>
                </c:pt>
                <c:pt idx="207">
                  <c:v>99.12</c:v>
                </c:pt>
                <c:pt idx="208">
                  <c:v>100.24</c:v>
                </c:pt>
                <c:pt idx="209">
                  <c:v>99.52</c:v>
                </c:pt>
                <c:pt idx="210">
                  <c:v>105.8</c:v>
                </c:pt>
                <c:pt idx="211">
                  <c:v>102.96</c:v>
                </c:pt>
                <c:pt idx="212">
                  <c:v>109.56</c:v>
                </c:pt>
                <c:pt idx="213">
                  <c:v>113.96</c:v>
                </c:pt>
                <c:pt idx="214">
                  <c:v>124.2</c:v>
                </c:pt>
                <c:pt idx="215">
                  <c:v>116</c:v>
                </c:pt>
                <c:pt idx="216">
                  <c:v>125.6</c:v>
                </c:pt>
                <c:pt idx="217">
                  <c:v>156.64</c:v>
                </c:pt>
                <c:pt idx="218">
                  <c:v>159.36</c:v>
                </c:pt>
                <c:pt idx="219">
                  <c:v>167.2</c:v>
                </c:pt>
                <c:pt idx="220">
                  <c:v>148.68</c:v>
                </c:pt>
                <c:pt idx="221">
                  <c:v>141.44</c:v>
                </c:pt>
                <c:pt idx="222">
                  <c:v>136</c:v>
                </c:pt>
                <c:pt idx="223">
                  <c:v>143.2</c:v>
                </c:pt>
                <c:pt idx="224">
                  <c:v>144</c:v>
                </c:pt>
                <c:pt idx="225">
                  <c:v>152</c:v>
                </c:pt>
                <c:pt idx="226">
                  <c:v>148</c:v>
                </c:pt>
                <c:pt idx="227">
                  <c:v>148.48</c:v>
                </c:pt>
                <c:pt idx="228">
                  <c:v>146</c:v>
                </c:pt>
                <c:pt idx="229">
                  <c:v>134</c:v>
                </c:pt>
                <c:pt idx="230">
                  <c:v>131.84</c:v>
                </c:pt>
                <c:pt idx="231">
                  <c:v>136.8</c:v>
                </c:pt>
                <c:pt idx="232">
                  <c:v>144.6</c:v>
                </c:pt>
                <c:pt idx="233">
                  <c:v>139.72</c:v>
                </c:pt>
                <c:pt idx="234">
                  <c:v>133.52</c:v>
                </c:pt>
                <c:pt idx="235">
                  <c:v>126.52</c:v>
                </c:pt>
                <c:pt idx="236">
                  <c:v>133.96</c:v>
                </c:pt>
                <c:pt idx="237">
                  <c:v>126.08</c:v>
                </c:pt>
                <c:pt idx="238">
                  <c:v>121.56</c:v>
                </c:pt>
                <c:pt idx="239">
                  <c:v>116.04</c:v>
                </c:pt>
                <c:pt idx="240">
                  <c:v>137.96</c:v>
                </c:pt>
                <c:pt idx="241">
                  <c:v>123.56</c:v>
                </c:pt>
                <c:pt idx="242">
                  <c:v>124.56</c:v>
                </c:pt>
                <c:pt idx="243">
                  <c:v>125</c:v>
                </c:pt>
                <c:pt idx="244">
                  <c:v>119.64</c:v>
                </c:pt>
                <c:pt idx="245">
                  <c:v>122.4</c:v>
                </c:pt>
                <c:pt idx="246">
                  <c:v>121.08</c:v>
                </c:pt>
                <c:pt idx="247">
                  <c:v>117.64</c:v>
                </c:pt>
                <c:pt idx="248">
                  <c:v>118.36</c:v>
                </c:pt>
                <c:pt idx="249">
                  <c:v>117.88</c:v>
                </c:pt>
                <c:pt idx="250">
                  <c:v>110</c:v>
                </c:pt>
                <c:pt idx="251">
                  <c:v>108.32</c:v>
                </c:pt>
                <c:pt idx="252">
                  <c:v>108.28</c:v>
                </c:pt>
                <c:pt idx="253">
                  <c:v>104</c:v>
                </c:pt>
                <c:pt idx="254">
                  <c:v>104</c:v>
                </c:pt>
                <c:pt idx="255">
                  <c:v>120.96</c:v>
                </c:pt>
                <c:pt idx="256">
                  <c:v>133.92</c:v>
                </c:pt>
                <c:pt idx="257">
                  <c:v>136.4</c:v>
                </c:pt>
                <c:pt idx="258">
                  <c:v>132.4</c:v>
                </c:pt>
              </c:numCache>
            </c:numRef>
          </c:yVal>
          <c:smooth val="0"/>
        </c:ser>
        <c:ser>
          <c:idx val="1"/>
          <c:order val="1"/>
          <c:tx>
            <c:strRef>
              <c:f>"IPC"</c:f>
              <c:strCache>
                <c:ptCount val="1"/>
                <c:pt idx="0">
                  <c:v>IPC</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'Precio e IPC'!$AQ$13:$AQ$412</c:f>
              <c:numCache>
                <c:formatCode>dd\-mmm\-yyyy</c:formatCode>
                <c:ptCount val="400"/>
                <c:pt idx="0">
                  <c:v>44486</c:v>
                </c:pt>
                <c:pt idx="1">
                  <c:v>44493</c:v>
                </c:pt>
                <c:pt idx="2">
                  <c:v>44500</c:v>
                </c:pt>
                <c:pt idx="3">
                  <c:v>44507</c:v>
                </c:pt>
                <c:pt idx="4">
                  <c:v>44514</c:v>
                </c:pt>
                <c:pt idx="5">
                  <c:v>44521</c:v>
                </c:pt>
                <c:pt idx="6">
                  <c:v>44528</c:v>
                </c:pt>
                <c:pt idx="7">
                  <c:v>44535</c:v>
                </c:pt>
                <c:pt idx="8">
                  <c:v>44542</c:v>
                </c:pt>
                <c:pt idx="9">
                  <c:v>44549</c:v>
                </c:pt>
                <c:pt idx="10">
                  <c:v>44556</c:v>
                </c:pt>
                <c:pt idx="11">
                  <c:v>44563</c:v>
                </c:pt>
                <c:pt idx="12">
                  <c:v>44570</c:v>
                </c:pt>
                <c:pt idx="13">
                  <c:v>44577</c:v>
                </c:pt>
                <c:pt idx="14">
                  <c:v>44584</c:v>
                </c:pt>
                <c:pt idx="15">
                  <c:v>44591</c:v>
                </c:pt>
                <c:pt idx="16">
                  <c:v>44598</c:v>
                </c:pt>
                <c:pt idx="17">
                  <c:v>44605</c:v>
                </c:pt>
                <c:pt idx="18">
                  <c:v>44612</c:v>
                </c:pt>
                <c:pt idx="19">
                  <c:v>44619</c:v>
                </c:pt>
                <c:pt idx="20">
                  <c:v>44626</c:v>
                </c:pt>
                <c:pt idx="21">
                  <c:v>44633</c:v>
                </c:pt>
                <c:pt idx="22">
                  <c:v>44640</c:v>
                </c:pt>
                <c:pt idx="23">
                  <c:v>44647</c:v>
                </c:pt>
                <c:pt idx="24">
                  <c:v>44654</c:v>
                </c:pt>
                <c:pt idx="25">
                  <c:v>44661</c:v>
                </c:pt>
                <c:pt idx="26">
                  <c:v>44668</c:v>
                </c:pt>
                <c:pt idx="27">
                  <c:v>44675</c:v>
                </c:pt>
                <c:pt idx="28">
                  <c:v>44682</c:v>
                </c:pt>
                <c:pt idx="29">
                  <c:v>44689</c:v>
                </c:pt>
                <c:pt idx="30">
                  <c:v>44696</c:v>
                </c:pt>
                <c:pt idx="31">
                  <c:v>44703</c:v>
                </c:pt>
                <c:pt idx="32">
                  <c:v>44710</c:v>
                </c:pt>
                <c:pt idx="33">
                  <c:v>44717</c:v>
                </c:pt>
                <c:pt idx="34">
                  <c:v>44724</c:v>
                </c:pt>
                <c:pt idx="35">
                  <c:v>44731</c:v>
                </c:pt>
                <c:pt idx="36">
                  <c:v>44738</c:v>
                </c:pt>
                <c:pt idx="37">
                  <c:v>44745</c:v>
                </c:pt>
                <c:pt idx="38">
                  <c:v>44752</c:v>
                </c:pt>
                <c:pt idx="39">
                  <c:v>44759</c:v>
                </c:pt>
                <c:pt idx="40">
                  <c:v>44766</c:v>
                </c:pt>
                <c:pt idx="41">
                  <c:v>44773</c:v>
                </c:pt>
                <c:pt idx="42">
                  <c:v>44780</c:v>
                </c:pt>
                <c:pt idx="43">
                  <c:v>44787</c:v>
                </c:pt>
                <c:pt idx="44">
                  <c:v>44794</c:v>
                </c:pt>
                <c:pt idx="45">
                  <c:v>44801</c:v>
                </c:pt>
                <c:pt idx="46">
                  <c:v>44808</c:v>
                </c:pt>
                <c:pt idx="47">
                  <c:v>44815</c:v>
                </c:pt>
                <c:pt idx="48">
                  <c:v>44822</c:v>
                </c:pt>
                <c:pt idx="49">
                  <c:v>44829</c:v>
                </c:pt>
                <c:pt idx="50">
                  <c:v>44836</c:v>
                </c:pt>
                <c:pt idx="51">
                  <c:v>44843</c:v>
                </c:pt>
                <c:pt idx="52">
                  <c:v>44850</c:v>
                </c:pt>
                <c:pt idx="53">
                  <c:v>44857</c:v>
                </c:pt>
                <c:pt idx="54">
                  <c:v>44864</c:v>
                </c:pt>
                <c:pt idx="55">
                  <c:v>44871</c:v>
                </c:pt>
                <c:pt idx="56">
                  <c:v>44878</c:v>
                </c:pt>
                <c:pt idx="57">
                  <c:v>44885</c:v>
                </c:pt>
                <c:pt idx="58">
                  <c:v>44892</c:v>
                </c:pt>
                <c:pt idx="59">
                  <c:v>44899</c:v>
                </c:pt>
                <c:pt idx="60">
                  <c:v>44906</c:v>
                </c:pt>
                <c:pt idx="61">
                  <c:v>44913</c:v>
                </c:pt>
                <c:pt idx="62">
                  <c:v>44920</c:v>
                </c:pt>
                <c:pt idx="63">
                  <c:v>44927</c:v>
                </c:pt>
                <c:pt idx="64">
                  <c:v>44934</c:v>
                </c:pt>
                <c:pt idx="65">
                  <c:v>44941</c:v>
                </c:pt>
                <c:pt idx="66">
                  <c:v>44948</c:v>
                </c:pt>
                <c:pt idx="67">
                  <c:v>44955</c:v>
                </c:pt>
                <c:pt idx="68">
                  <c:v>44962</c:v>
                </c:pt>
                <c:pt idx="69">
                  <c:v>44969</c:v>
                </c:pt>
                <c:pt idx="70">
                  <c:v>44976</c:v>
                </c:pt>
                <c:pt idx="71">
                  <c:v>44983</c:v>
                </c:pt>
                <c:pt idx="72">
                  <c:v>44990</c:v>
                </c:pt>
                <c:pt idx="73">
                  <c:v>44997</c:v>
                </c:pt>
                <c:pt idx="74">
                  <c:v>45004</c:v>
                </c:pt>
                <c:pt idx="75">
                  <c:v>45011</c:v>
                </c:pt>
                <c:pt idx="76">
                  <c:v>45018</c:v>
                </c:pt>
                <c:pt idx="77">
                  <c:v>45025</c:v>
                </c:pt>
                <c:pt idx="78">
                  <c:v>45032</c:v>
                </c:pt>
                <c:pt idx="79">
                  <c:v>45039</c:v>
                </c:pt>
                <c:pt idx="80">
                  <c:v>45046</c:v>
                </c:pt>
                <c:pt idx="81">
                  <c:v>45053</c:v>
                </c:pt>
                <c:pt idx="82">
                  <c:v>45060</c:v>
                </c:pt>
                <c:pt idx="83">
                  <c:v>45067</c:v>
                </c:pt>
                <c:pt idx="84">
                  <c:v>45074</c:v>
                </c:pt>
                <c:pt idx="85">
                  <c:v>45081</c:v>
                </c:pt>
                <c:pt idx="86">
                  <c:v>45088</c:v>
                </c:pt>
                <c:pt idx="87">
                  <c:v>45095</c:v>
                </c:pt>
                <c:pt idx="88">
                  <c:v>45102</c:v>
                </c:pt>
                <c:pt idx="89">
                  <c:v>45109</c:v>
                </c:pt>
                <c:pt idx="90">
                  <c:v>45116</c:v>
                </c:pt>
                <c:pt idx="91">
                  <c:v>45123</c:v>
                </c:pt>
                <c:pt idx="92">
                  <c:v>45130</c:v>
                </c:pt>
                <c:pt idx="93">
                  <c:v>45137</c:v>
                </c:pt>
                <c:pt idx="94">
                  <c:v>45144</c:v>
                </c:pt>
                <c:pt idx="95">
                  <c:v>45151</c:v>
                </c:pt>
                <c:pt idx="96">
                  <c:v>45158</c:v>
                </c:pt>
                <c:pt idx="97">
                  <c:v>45165</c:v>
                </c:pt>
                <c:pt idx="98">
                  <c:v>45172</c:v>
                </c:pt>
                <c:pt idx="99">
                  <c:v>45179</c:v>
                </c:pt>
                <c:pt idx="100">
                  <c:v>45186</c:v>
                </c:pt>
                <c:pt idx="101">
                  <c:v>45193</c:v>
                </c:pt>
                <c:pt idx="102">
                  <c:v>45200</c:v>
                </c:pt>
                <c:pt idx="103">
                  <c:v>45207</c:v>
                </c:pt>
                <c:pt idx="104">
                  <c:v>45214</c:v>
                </c:pt>
                <c:pt idx="105">
                  <c:v>45221</c:v>
                </c:pt>
                <c:pt idx="106">
                  <c:v>45228</c:v>
                </c:pt>
                <c:pt idx="107">
                  <c:v>45235</c:v>
                </c:pt>
                <c:pt idx="108">
                  <c:v>45242</c:v>
                </c:pt>
                <c:pt idx="109">
                  <c:v>45249</c:v>
                </c:pt>
                <c:pt idx="110">
                  <c:v>45256</c:v>
                </c:pt>
                <c:pt idx="111">
                  <c:v>45263</c:v>
                </c:pt>
                <c:pt idx="112">
                  <c:v>45270</c:v>
                </c:pt>
                <c:pt idx="113">
                  <c:v>45277</c:v>
                </c:pt>
                <c:pt idx="114">
                  <c:v>45284</c:v>
                </c:pt>
                <c:pt idx="115">
                  <c:v>45291</c:v>
                </c:pt>
                <c:pt idx="116">
                  <c:v>45298</c:v>
                </c:pt>
                <c:pt idx="117">
                  <c:v>45305</c:v>
                </c:pt>
                <c:pt idx="118">
                  <c:v>45312</c:v>
                </c:pt>
                <c:pt idx="119">
                  <c:v>45319</c:v>
                </c:pt>
                <c:pt idx="120">
                  <c:v>45326</c:v>
                </c:pt>
                <c:pt idx="121">
                  <c:v>45333</c:v>
                </c:pt>
                <c:pt idx="122">
                  <c:v>45340</c:v>
                </c:pt>
                <c:pt idx="123">
                  <c:v>45347</c:v>
                </c:pt>
                <c:pt idx="124">
                  <c:v>45354</c:v>
                </c:pt>
                <c:pt idx="125">
                  <c:v>45361</c:v>
                </c:pt>
                <c:pt idx="126">
                  <c:v>45368</c:v>
                </c:pt>
                <c:pt idx="127">
                  <c:v>45375</c:v>
                </c:pt>
                <c:pt idx="128">
                  <c:v>45382</c:v>
                </c:pt>
                <c:pt idx="129">
                  <c:v>45389</c:v>
                </c:pt>
                <c:pt idx="130">
                  <c:v>45396</c:v>
                </c:pt>
                <c:pt idx="131">
                  <c:v>45403</c:v>
                </c:pt>
                <c:pt idx="132">
                  <c:v>45410</c:v>
                </c:pt>
                <c:pt idx="133">
                  <c:v>45417</c:v>
                </c:pt>
                <c:pt idx="134">
                  <c:v>45424</c:v>
                </c:pt>
                <c:pt idx="135">
                  <c:v>45431</c:v>
                </c:pt>
                <c:pt idx="136">
                  <c:v>45438</c:v>
                </c:pt>
                <c:pt idx="137">
                  <c:v>45445</c:v>
                </c:pt>
                <c:pt idx="138">
                  <c:v>45452</c:v>
                </c:pt>
                <c:pt idx="139">
                  <c:v>45459</c:v>
                </c:pt>
                <c:pt idx="140">
                  <c:v>45466</c:v>
                </c:pt>
                <c:pt idx="141">
                  <c:v>45473</c:v>
                </c:pt>
                <c:pt idx="142">
                  <c:v>45480</c:v>
                </c:pt>
                <c:pt idx="143">
                  <c:v>45487</c:v>
                </c:pt>
                <c:pt idx="144">
                  <c:v>45494</c:v>
                </c:pt>
                <c:pt idx="145">
                  <c:v>45501</c:v>
                </c:pt>
                <c:pt idx="146">
                  <c:v>45508</c:v>
                </c:pt>
                <c:pt idx="147">
                  <c:v>45515</c:v>
                </c:pt>
                <c:pt idx="148">
                  <c:v>45522</c:v>
                </c:pt>
                <c:pt idx="149">
                  <c:v>45529</c:v>
                </c:pt>
                <c:pt idx="150">
                  <c:v>45536</c:v>
                </c:pt>
                <c:pt idx="151">
                  <c:v>45543</c:v>
                </c:pt>
                <c:pt idx="152">
                  <c:v>45550</c:v>
                </c:pt>
                <c:pt idx="153">
                  <c:v>45557</c:v>
                </c:pt>
                <c:pt idx="154">
                  <c:v>45564</c:v>
                </c:pt>
                <c:pt idx="155">
                  <c:v>45571</c:v>
                </c:pt>
                <c:pt idx="156">
                  <c:v>45578</c:v>
                </c:pt>
                <c:pt idx="157">
                  <c:v>45585</c:v>
                </c:pt>
                <c:pt idx="158">
                  <c:v>45592</c:v>
                </c:pt>
                <c:pt idx="159">
                  <c:v>45599</c:v>
                </c:pt>
                <c:pt idx="160">
                  <c:v>45606</c:v>
                </c:pt>
                <c:pt idx="161">
                  <c:v>45613</c:v>
                </c:pt>
                <c:pt idx="162">
                  <c:v>45620</c:v>
                </c:pt>
                <c:pt idx="163">
                  <c:v>45627</c:v>
                </c:pt>
                <c:pt idx="164">
                  <c:v>45634</c:v>
                </c:pt>
                <c:pt idx="165">
                  <c:v>45641</c:v>
                </c:pt>
                <c:pt idx="166">
                  <c:v>45648</c:v>
                </c:pt>
                <c:pt idx="167">
                  <c:v>45655</c:v>
                </c:pt>
                <c:pt idx="168">
                  <c:v>45662</c:v>
                </c:pt>
                <c:pt idx="169">
                  <c:v>45669</c:v>
                </c:pt>
                <c:pt idx="170">
                  <c:v>45676</c:v>
                </c:pt>
                <c:pt idx="171">
                  <c:v>45683</c:v>
                </c:pt>
                <c:pt idx="172">
                  <c:v>45690</c:v>
                </c:pt>
                <c:pt idx="173">
                  <c:v>45697</c:v>
                </c:pt>
                <c:pt idx="174">
                  <c:v>45704</c:v>
                </c:pt>
                <c:pt idx="175">
                  <c:v>45711</c:v>
                </c:pt>
                <c:pt idx="176">
                  <c:v>45718</c:v>
                </c:pt>
                <c:pt idx="177">
                  <c:v>45725</c:v>
                </c:pt>
                <c:pt idx="178">
                  <c:v>45732</c:v>
                </c:pt>
                <c:pt idx="179">
                  <c:v>45739</c:v>
                </c:pt>
                <c:pt idx="180">
                  <c:v>45746</c:v>
                </c:pt>
                <c:pt idx="181">
                  <c:v>45753</c:v>
                </c:pt>
                <c:pt idx="182">
                  <c:v>45760</c:v>
                </c:pt>
                <c:pt idx="183">
                  <c:v>45767</c:v>
                </c:pt>
                <c:pt idx="184">
                  <c:v>45774</c:v>
                </c:pt>
                <c:pt idx="185">
                  <c:v>45781</c:v>
                </c:pt>
                <c:pt idx="186">
                  <c:v>45788</c:v>
                </c:pt>
                <c:pt idx="187">
                  <c:v>45795</c:v>
                </c:pt>
                <c:pt idx="188">
                  <c:v>45802</c:v>
                </c:pt>
                <c:pt idx="189">
                  <c:v>45809</c:v>
                </c:pt>
                <c:pt idx="190">
                  <c:v>45816</c:v>
                </c:pt>
                <c:pt idx="191">
                  <c:v>45823</c:v>
                </c:pt>
                <c:pt idx="192">
                  <c:v>45830</c:v>
                </c:pt>
                <c:pt idx="193">
                  <c:v>45837</c:v>
                </c:pt>
                <c:pt idx="194">
                  <c:v>45844</c:v>
                </c:pt>
                <c:pt idx="195">
                  <c:v>45851</c:v>
                </c:pt>
                <c:pt idx="196">
                  <c:v>45858</c:v>
                </c:pt>
                <c:pt idx="197">
                  <c:v>45865</c:v>
                </c:pt>
                <c:pt idx="198">
                  <c:v>45872</c:v>
                </c:pt>
                <c:pt idx="199">
                  <c:v>45879</c:v>
                </c:pt>
                <c:pt idx="200">
                  <c:v>45886</c:v>
                </c:pt>
                <c:pt idx="201">
                  <c:v>45893</c:v>
                </c:pt>
                <c:pt idx="202">
                  <c:v>45900</c:v>
                </c:pt>
                <c:pt idx="203">
                  <c:v>45907</c:v>
                </c:pt>
                <c:pt idx="204">
                  <c:v>45914</c:v>
                </c:pt>
                <c:pt idx="205">
                  <c:v>45921</c:v>
                </c:pt>
                <c:pt idx="206">
                  <c:v>45928</c:v>
                </c:pt>
                <c:pt idx="207">
                  <c:v>45935</c:v>
                </c:pt>
                <c:pt idx="208">
                  <c:v>45942</c:v>
                </c:pt>
                <c:pt idx="209">
                  <c:v>45949</c:v>
                </c:pt>
                <c:pt idx="210">
                  <c:v>45956</c:v>
                </c:pt>
                <c:pt idx="211">
                  <c:v>45963</c:v>
                </c:pt>
                <c:pt idx="212">
                  <c:v>45970</c:v>
                </c:pt>
                <c:pt idx="213">
                  <c:v>45977</c:v>
                </c:pt>
                <c:pt idx="214">
                  <c:v>45984</c:v>
                </c:pt>
                <c:pt idx="215">
                  <c:v>45991</c:v>
                </c:pt>
                <c:pt idx="216">
                  <c:v>45998</c:v>
                </c:pt>
                <c:pt idx="217">
                  <c:v>46005</c:v>
                </c:pt>
                <c:pt idx="218">
                  <c:v>46012</c:v>
                </c:pt>
                <c:pt idx="219">
                  <c:v>46019</c:v>
                </c:pt>
                <c:pt idx="220">
                  <c:v>46026</c:v>
                </c:pt>
                <c:pt idx="221">
                  <c:v>46033</c:v>
                </c:pt>
                <c:pt idx="222">
                  <c:v>46040</c:v>
                </c:pt>
                <c:pt idx="223">
                  <c:v>46047</c:v>
                </c:pt>
                <c:pt idx="224">
                  <c:v>46054</c:v>
                </c:pt>
                <c:pt idx="225">
                  <c:v>46061</c:v>
                </c:pt>
                <c:pt idx="226">
                  <c:v>46068</c:v>
                </c:pt>
                <c:pt idx="227">
                  <c:v>46075</c:v>
                </c:pt>
                <c:pt idx="228">
                  <c:v>46082</c:v>
                </c:pt>
                <c:pt idx="229">
                  <c:v>46089</c:v>
                </c:pt>
                <c:pt idx="230">
                  <c:v>46096</c:v>
                </c:pt>
                <c:pt idx="231">
                  <c:v>46103</c:v>
                </c:pt>
                <c:pt idx="232">
                  <c:v>46110</c:v>
                </c:pt>
                <c:pt idx="233">
                  <c:v>46117</c:v>
                </c:pt>
                <c:pt idx="234">
                  <c:v>46124</c:v>
                </c:pt>
                <c:pt idx="235">
                  <c:v>46131</c:v>
                </c:pt>
                <c:pt idx="236">
                  <c:v>46138</c:v>
                </c:pt>
                <c:pt idx="237">
                  <c:v>46145</c:v>
                </c:pt>
                <c:pt idx="238">
                  <c:v>46152</c:v>
                </c:pt>
                <c:pt idx="239">
                  <c:v>46159</c:v>
                </c:pt>
                <c:pt idx="240">
                  <c:v>46166</c:v>
                </c:pt>
                <c:pt idx="241">
                  <c:v>46173</c:v>
                </c:pt>
                <c:pt idx="242">
                  <c:v>46180</c:v>
                </c:pt>
                <c:pt idx="243">
                  <c:v>46187</c:v>
                </c:pt>
                <c:pt idx="244">
                  <c:v>46201</c:v>
                </c:pt>
                <c:pt idx="245">
                  <c:v>46208</c:v>
                </c:pt>
                <c:pt idx="246">
                  <c:v>46215</c:v>
                </c:pt>
                <c:pt idx="247">
                  <c:v>46222</c:v>
                </c:pt>
                <c:pt idx="248">
                  <c:v>46229</c:v>
                </c:pt>
                <c:pt idx="249">
                  <c:v>46236</c:v>
                </c:pt>
                <c:pt idx="250">
                  <c:v>46243</c:v>
                </c:pt>
                <c:pt idx="251">
                  <c:v>46250</c:v>
                </c:pt>
                <c:pt idx="252">
                  <c:v>46257</c:v>
                </c:pt>
                <c:pt idx="253">
                  <c:v>46264</c:v>
                </c:pt>
                <c:pt idx="254">
                  <c:v>46271</c:v>
                </c:pt>
                <c:pt idx="255">
                  <c:v>46278</c:v>
                </c:pt>
                <c:pt idx="256">
                  <c:v>46285</c:v>
                </c:pt>
                <c:pt idx="257">
                  <c:v>46292</c:v>
                </c:pt>
                <c:pt idx="258">
                  <c:v>46299</c:v>
                </c:pt>
              </c:numCache>
            </c:numRef>
          </c:xVal>
          <c:yVal>
            <c:numRef>
              <c:f>'Precio e IPC'!$AS$13:$AS$412</c:f>
              <c:numCache>
                <c:formatCode>General</c:formatCode>
                <c:ptCount val="400"/>
                <c:pt idx="0">
                  <c:v>100</c:v>
                </c:pt>
                <c:pt idx="1">
                  <c:v>98.8825904814177</c:v>
                </c:pt>
                <c:pt idx="2">
                  <c:v>100.170168777363</c:v>
                </c:pt>
                <c:pt idx="3">
                  <c:v>99.1190537768026</c:v>
                </c:pt>
                <c:pt idx="4">
                  <c:v>97.9218210333234</c:v>
                </c:pt>
                <c:pt idx="5">
                  <c:v>95.3803127636604</c:v>
                </c:pt>
                <c:pt idx="6">
                  <c:v>97.5093881902483</c:v>
                </c:pt>
                <c:pt idx="7">
                  <c:v>98.6968887443086</c:v>
                </c:pt>
                <c:pt idx="8">
                  <c:v>100.943752570358</c:v>
                </c:pt>
                <c:pt idx="9">
                  <c:v>101.857248631037</c:v>
                </c:pt>
                <c:pt idx="10">
                  <c:v>102.664846907843</c:v>
                </c:pt>
                <c:pt idx="11">
                  <c:v>102.529309307481</c:v>
                </c:pt>
                <c:pt idx="12">
                  <c:v>103.575394404203</c:v>
                </c:pt>
                <c:pt idx="13">
                  <c:v>99.4405821892069</c:v>
                </c:pt>
                <c:pt idx="14">
                  <c:v>97.6338253131741</c:v>
                </c:pt>
                <c:pt idx="15">
                  <c:v>98.7775021073563</c:v>
                </c:pt>
                <c:pt idx="16">
                  <c:v>102.581631870396</c:v>
                </c:pt>
                <c:pt idx="17">
                  <c:v>100.755198627241</c:v>
                </c:pt>
                <c:pt idx="18">
                  <c:v>101.283377073583</c:v>
                </c:pt>
                <c:pt idx="19">
                  <c:v>102.760453624094</c:v>
                </c:pt>
                <c:pt idx="20">
                  <c:v>102.719308625264</c:v>
                </c:pt>
                <c:pt idx="21">
                  <c:v>106.894244440993</c:v>
                </c:pt>
                <c:pt idx="22">
                  <c:v>106.834483016462</c:v>
                </c:pt>
                <c:pt idx="23">
                  <c:v>109.095993305795</c:v>
                </c:pt>
                <c:pt idx="24">
                  <c:v>105.391420949761</c:v>
                </c:pt>
                <c:pt idx="25">
                  <c:v>104.399643397162</c:v>
                </c:pt>
                <c:pt idx="26">
                  <c:v>102.509401680412</c:v>
                </c:pt>
                <c:pt idx="27">
                  <c:v>99.0909749649545</c:v>
                </c:pt>
                <c:pt idx="28">
                  <c:v>95.4753027867209</c:v>
                </c:pt>
                <c:pt idx="29">
                  <c:v>95.5487085481</c:v>
                </c:pt>
                <c:pt idx="30">
                  <c:v>99.2843275519631</c:v>
                </c:pt>
                <c:pt idx="31">
                  <c:v>101.105981422888</c:v>
                </c:pt>
                <c:pt idx="32">
                  <c:v>97.6862249627382</c:v>
                </c:pt>
                <c:pt idx="33">
                  <c:v>93.4126760514522</c:v>
                </c:pt>
                <c:pt idx="34">
                  <c:v>92.5352565424403</c:v>
                </c:pt>
                <c:pt idx="35">
                  <c:v>92.0058061663923</c:v>
                </c:pt>
                <c:pt idx="36">
                  <c:v>92.0089859906579</c:v>
                </c:pt>
                <c:pt idx="37">
                  <c:v>91.6986351423386</c:v>
                </c:pt>
                <c:pt idx="38">
                  <c:v>90.7230265143383</c:v>
                </c:pt>
                <c:pt idx="39">
                  <c:v>91.0872416585501</c:v>
                </c:pt>
                <c:pt idx="40">
                  <c:v>92.7821265354215</c:v>
                </c:pt>
                <c:pt idx="41">
                  <c:v>90.0438160512133</c:v>
                </c:pt>
                <c:pt idx="42">
                  <c:v>94.1485644731532</c:v>
                </c:pt>
                <c:pt idx="43">
                  <c:v>93.3967576584622</c:v>
                </c:pt>
                <c:pt idx="44">
                  <c:v>91.1012136136564</c:v>
                </c:pt>
                <c:pt idx="45">
                  <c:v>88.4350176894587</c:v>
                </c:pt>
                <c:pt idx="46">
                  <c:v>90.6595649306625</c:v>
                </c:pt>
                <c:pt idx="47">
                  <c:v>90.1331402055824</c:v>
                </c:pt>
                <c:pt idx="48">
                  <c:v>87.4855221637606</c:v>
                </c:pt>
                <c:pt idx="49">
                  <c:v>86.0032615361134</c:v>
                </c:pt>
                <c:pt idx="50">
                  <c:v>88.127133613903</c:v>
                </c:pt>
                <c:pt idx="51">
                  <c:v>87.5768891143245</c:v>
                </c:pt>
                <c:pt idx="52">
                  <c:v>90.8082265329933</c:v>
                </c:pt>
                <c:pt idx="53">
                  <c:v>94.5974593011402</c:v>
                </c:pt>
                <c:pt idx="54">
                  <c:v>98.6203224303262</c:v>
                </c:pt>
                <c:pt idx="55">
                  <c:v>100.134015139047</c:v>
                </c:pt>
                <c:pt idx="56">
                  <c:v>99.3834224390755</c:v>
                </c:pt>
                <c:pt idx="57">
                  <c:v>99.5740577217118</c:v>
                </c:pt>
                <c:pt idx="58">
                  <c:v>98.7371472466769</c:v>
                </c:pt>
                <c:pt idx="59">
                  <c:v>97.2568523285757</c:v>
                </c:pt>
                <c:pt idx="60">
                  <c:v>95.6455486507331</c:v>
                </c:pt>
                <c:pt idx="61">
                  <c:v>97.4723865987944</c:v>
                </c:pt>
                <c:pt idx="62">
                  <c:v>93.3979139581951</c:v>
                </c:pt>
                <c:pt idx="63">
                  <c:v>99.6932722241772</c:v>
                </c:pt>
                <c:pt idx="64">
                  <c:v>103.251245045737</c:v>
                </c:pt>
                <c:pt idx="65">
                  <c:v>103.964913240904</c:v>
                </c:pt>
                <c:pt idx="66">
                  <c:v>105.560356340743</c:v>
                </c:pt>
                <c:pt idx="67">
                  <c:v>104.161503467165</c:v>
                </c:pt>
                <c:pt idx="68">
                  <c:v>101.141576183001</c:v>
                </c:pt>
                <c:pt idx="69">
                  <c:v>103.661577277631</c:v>
                </c:pt>
                <c:pt idx="70">
                  <c:v>101.535142068767</c:v>
                </c:pt>
                <c:pt idx="71">
                  <c:v>104.4182405512</c:v>
                </c:pt>
                <c:pt idx="72">
                  <c:v>101.743834898899</c:v>
                </c:pt>
                <c:pt idx="73">
                  <c:v>100.069281625665</c:v>
                </c:pt>
                <c:pt idx="74">
                  <c:v>101.698719937652</c:v>
                </c:pt>
                <c:pt idx="75">
                  <c:v>103.881968006728</c:v>
                </c:pt>
                <c:pt idx="76">
                  <c:v>103.100290115603</c:v>
                </c:pt>
                <c:pt idx="77">
                  <c:v>104.953588055886</c:v>
                </c:pt>
                <c:pt idx="78">
                  <c:v>104.404769659312</c:v>
                </c:pt>
                <c:pt idx="79">
                  <c:v>106.22775327493</c:v>
                </c:pt>
                <c:pt idx="80">
                  <c:v>105.873482308421</c:v>
                </c:pt>
                <c:pt idx="81">
                  <c:v>105.894584778547</c:v>
                </c:pt>
                <c:pt idx="82">
                  <c:v>104.637513523889</c:v>
                </c:pt>
                <c:pt idx="83">
                  <c:v>104.116022344336</c:v>
                </c:pt>
                <c:pt idx="84">
                  <c:v>102.58828059386</c:v>
                </c:pt>
                <c:pt idx="85">
                  <c:v>105.053954872705</c:v>
                </c:pt>
                <c:pt idx="86">
                  <c:v>105.69063277732</c:v>
                </c:pt>
                <c:pt idx="87">
                  <c:v>102.798727145254</c:v>
                </c:pt>
                <c:pt idx="88">
                  <c:v>103.153691891602</c:v>
                </c:pt>
                <c:pt idx="89">
                  <c:v>103.882526884932</c:v>
                </c:pt>
                <c:pt idx="90">
                  <c:v>103.625269466017</c:v>
                </c:pt>
                <c:pt idx="91">
                  <c:v>103.492988776569</c:v>
                </c:pt>
                <c:pt idx="92">
                  <c:v>105.822489490199</c:v>
                </c:pt>
                <c:pt idx="93">
                  <c:v>104.050440877817</c:v>
                </c:pt>
                <c:pt idx="94">
                  <c:v>102.606492314654</c:v>
                </c:pt>
                <c:pt idx="95">
                  <c:v>102.51443158425</c:v>
                </c:pt>
                <c:pt idx="96">
                  <c:v>102.508919888856</c:v>
                </c:pt>
                <c:pt idx="97">
                  <c:v>102.419942624407</c:v>
                </c:pt>
                <c:pt idx="98">
                  <c:v>101.186074451056</c:v>
                </c:pt>
                <c:pt idx="99">
                  <c:v>98.9630689428298</c:v>
                </c:pt>
                <c:pt idx="100">
                  <c:v>99.5910938711104</c:v>
                </c:pt>
                <c:pt idx="101">
                  <c:v>98.0445429783121</c:v>
                </c:pt>
                <c:pt idx="102">
                  <c:v>95.7156011428867</c:v>
                </c:pt>
                <c:pt idx="103">
                  <c:v>95.1626586105979</c:v>
                </c:pt>
                <c:pt idx="104">
                  <c:v>93.0357030668538</c:v>
                </c:pt>
                <c:pt idx="105">
                  <c:v>94.3807494595262</c:v>
                </c:pt>
                <c:pt idx="106">
                  <c:v>98.7995103456064</c:v>
                </c:pt>
                <c:pt idx="107">
                  <c:v>98.7831487043854</c:v>
                </c:pt>
                <c:pt idx="108">
                  <c:v>101.532945099274</c:v>
                </c:pt>
                <c:pt idx="109">
                  <c:v>102.021134846519</c:v>
                </c:pt>
                <c:pt idx="110">
                  <c:v>103.877015189539</c:v>
                </c:pt>
                <c:pt idx="111">
                  <c:v>104.824371560731</c:v>
                </c:pt>
                <c:pt idx="112">
                  <c:v>110.099160410764</c:v>
                </c:pt>
                <c:pt idx="113">
                  <c:v>110.452583424135</c:v>
                </c:pt>
                <c:pt idx="114">
                  <c:v>110.59284258174</c:v>
                </c:pt>
                <c:pt idx="115">
                  <c:v>108.2928275113</c:v>
                </c:pt>
                <c:pt idx="116">
                  <c:v>107.164066983673</c:v>
                </c:pt>
                <c:pt idx="117">
                  <c:v>106.865414034318</c:v>
                </c:pt>
                <c:pt idx="118">
                  <c:v>109.570731432813</c:v>
                </c:pt>
                <c:pt idx="119">
                  <c:v>112.212664334282</c:v>
                </c:pt>
                <c:pt idx="120">
                  <c:v>110.479621566223</c:v>
                </c:pt>
                <c:pt idx="121">
                  <c:v>110.103072558194</c:v>
                </c:pt>
                <c:pt idx="122">
                  <c:v>109.192852680091</c:v>
                </c:pt>
                <c:pt idx="123">
                  <c:v>107.027719973498</c:v>
                </c:pt>
                <c:pt idx="124">
                  <c:v>105.870784275711</c:v>
                </c:pt>
                <c:pt idx="125">
                  <c:v>108.361473172112</c:v>
                </c:pt>
                <c:pt idx="126">
                  <c:v>109.097920472017</c:v>
                </c:pt>
                <c:pt idx="127">
                  <c:v>110.55961823608</c:v>
                </c:pt>
                <c:pt idx="128">
                  <c:v>111.95378809574</c:v>
                </c:pt>
                <c:pt idx="129">
                  <c:v>109.011930315211</c:v>
                </c:pt>
                <c:pt idx="130">
                  <c:v>107.656997559822</c:v>
                </c:pt>
                <c:pt idx="131">
                  <c:v>111.455442182508</c:v>
                </c:pt>
                <c:pt idx="132">
                  <c:v>110.109143131792</c:v>
                </c:pt>
                <c:pt idx="133">
                  <c:v>111.23225706239</c:v>
                </c:pt>
                <c:pt idx="134">
                  <c:v>110.972166709129</c:v>
                </c:pt>
                <c:pt idx="135">
                  <c:v>106.790293095002</c:v>
                </c:pt>
                <c:pt idx="136">
                  <c:v>106.339567459105</c:v>
                </c:pt>
                <c:pt idx="137">
                  <c:v>102.096101612537</c:v>
                </c:pt>
                <c:pt idx="138">
                  <c:v>100.64228595832</c:v>
                </c:pt>
                <c:pt idx="139">
                  <c:v>101.732214086583</c:v>
                </c:pt>
                <c:pt idx="140">
                  <c:v>101.060635201695</c:v>
                </c:pt>
                <c:pt idx="141">
                  <c:v>100.85469821926</c:v>
                </c:pt>
                <c:pt idx="142">
                  <c:v>105.903777361424</c:v>
                </c:pt>
                <c:pt idx="143">
                  <c:v>103.447430567092</c:v>
                </c:pt>
                <c:pt idx="144">
                  <c:v>101.792110412749</c:v>
                </c:pt>
                <c:pt idx="145">
                  <c:v>100.679750069667</c:v>
                </c:pt>
                <c:pt idx="146">
                  <c:v>102.239135889501</c:v>
                </c:pt>
                <c:pt idx="147">
                  <c:v>104.228433950039</c:v>
                </c:pt>
                <c:pt idx="148">
                  <c:v>103.085894183928</c:v>
                </c:pt>
                <c:pt idx="149">
                  <c:v>100.185412662176</c:v>
                </c:pt>
                <c:pt idx="150">
                  <c:v>98.4462800488575</c:v>
                </c:pt>
                <c:pt idx="151">
                  <c:v>100.24511627172</c:v>
                </c:pt>
                <c:pt idx="152">
                  <c:v>100.579730142768</c:v>
                </c:pt>
                <c:pt idx="153">
                  <c:v>101.712306459514</c:v>
                </c:pt>
                <c:pt idx="154">
                  <c:v>101.387964384427</c:v>
                </c:pt>
                <c:pt idx="155">
                  <c:v>100.975146108107</c:v>
                </c:pt>
                <c:pt idx="156">
                  <c:v>102.192652640237</c:v>
                </c:pt>
                <c:pt idx="157">
                  <c:v>99.7970115818836</c:v>
                </c:pt>
                <c:pt idx="158">
                  <c:v>97.5577600624093</c:v>
                </c:pt>
                <c:pt idx="159">
                  <c:v>99.914260374803</c:v>
                </c:pt>
                <c:pt idx="160">
                  <c:v>97.2629229021736</c:v>
                </c:pt>
                <c:pt idx="161">
                  <c:v>97.1870310963687</c:v>
                </c:pt>
                <c:pt idx="162">
                  <c:v>95.9972372145048</c:v>
                </c:pt>
                <c:pt idx="163">
                  <c:v>98.9576728774095</c:v>
                </c:pt>
                <c:pt idx="164">
                  <c:v>99.4798385651399</c:v>
                </c:pt>
                <c:pt idx="165">
                  <c:v>95.560868966958</c:v>
                </c:pt>
                <c:pt idx="166">
                  <c:v>94.9911408168795</c:v>
                </c:pt>
                <c:pt idx="167">
                  <c:v>94.3487392285862</c:v>
                </c:pt>
                <c:pt idx="168">
                  <c:v>95.5810849406221</c:v>
                </c:pt>
                <c:pt idx="169">
                  <c:v>96.2443962824193</c:v>
                </c:pt>
                <c:pt idx="170">
                  <c:v>98.9740730619549</c:v>
                </c:pt>
                <c:pt idx="171">
                  <c:v>98.6892764377334</c:v>
                </c:pt>
                <c:pt idx="172">
                  <c:v>101.788583698563</c:v>
                </c:pt>
                <c:pt idx="173">
                  <c:v>104.217179299306</c:v>
                </c:pt>
                <c:pt idx="174">
                  <c:v>103.563503788616</c:v>
                </c:pt>
                <c:pt idx="175">
                  <c:v>100.840379374234</c:v>
                </c:pt>
                <c:pt idx="176">
                  <c:v>101.830750095491</c:v>
                </c:pt>
                <c:pt idx="177">
                  <c:v>101.145931578661</c:v>
                </c:pt>
                <c:pt idx="178">
                  <c:v>101.508508631585</c:v>
                </c:pt>
                <c:pt idx="179">
                  <c:v>102.473151683784</c:v>
                </c:pt>
                <c:pt idx="180">
                  <c:v>99.1579632628158</c:v>
                </c:pt>
                <c:pt idx="181">
                  <c:v>99.246940527265</c:v>
                </c:pt>
                <c:pt idx="182">
                  <c:v>102.175597219176</c:v>
                </c:pt>
                <c:pt idx="183">
                  <c:v>109.309099346575</c:v>
                </c:pt>
                <c:pt idx="184">
                  <c:v>107.558981885794</c:v>
                </c:pt>
                <c:pt idx="185">
                  <c:v>108.983523885105</c:v>
                </c:pt>
                <c:pt idx="186">
                  <c:v>111.75085749261</c:v>
                </c:pt>
                <c:pt idx="187">
                  <c:v>112.566492052559</c:v>
                </c:pt>
                <c:pt idx="188">
                  <c:v>111.470551165685</c:v>
                </c:pt>
                <c:pt idx="189">
                  <c:v>111.893988127885</c:v>
                </c:pt>
                <c:pt idx="190">
                  <c:v>110.693671918452</c:v>
                </c:pt>
                <c:pt idx="191">
                  <c:v>108.431410034292</c:v>
                </c:pt>
                <c:pt idx="192">
                  <c:v>110.602979476065</c:v>
                </c:pt>
                <c:pt idx="193">
                  <c:v>111.732780673452</c:v>
                </c:pt>
                <c:pt idx="194">
                  <c:v>109.065370634535</c:v>
                </c:pt>
                <c:pt idx="195">
                  <c:v>108.448292010393</c:v>
                </c:pt>
                <c:pt idx="196">
                  <c:v>110.471219121497</c:v>
                </c:pt>
                <c:pt idx="197">
                  <c:v>109.655892908144</c:v>
                </c:pt>
                <c:pt idx="198">
                  <c:v>111.910870103986</c:v>
                </c:pt>
                <c:pt idx="199">
                  <c:v>112.393259080904</c:v>
                </c:pt>
                <c:pt idx="200">
                  <c:v>114.137344511411</c:v>
                </c:pt>
                <c:pt idx="201">
                  <c:v>113.141731898031</c:v>
                </c:pt>
                <c:pt idx="202">
                  <c:v>116.554550559784</c:v>
                </c:pt>
                <c:pt idx="203">
                  <c:v>119.096829695936</c:v>
                </c:pt>
                <c:pt idx="204">
                  <c:v>117.943093094077</c:v>
                </c:pt>
                <c:pt idx="205">
                  <c:v>120.076080668095</c:v>
                </c:pt>
                <c:pt idx="206">
                  <c:v>119.454299758372</c:v>
                </c:pt>
                <c:pt idx="207">
                  <c:v>116.72639597176</c:v>
                </c:pt>
                <c:pt idx="208">
                  <c:v>118.990797010426</c:v>
                </c:pt>
                <c:pt idx="209">
                  <c:v>117.83752292846</c:v>
                </c:pt>
                <c:pt idx="210">
                  <c:v>120.966643450738</c:v>
                </c:pt>
                <c:pt idx="211">
                  <c:v>122.136336988911</c:v>
                </c:pt>
                <c:pt idx="212">
                  <c:v>120.117630371831</c:v>
                </c:pt>
                <c:pt idx="213">
                  <c:v>119.24778462607</c:v>
                </c:pt>
                <c:pt idx="214">
                  <c:v>122.561566215697</c:v>
                </c:pt>
                <c:pt idx="215">
                  <c:v>122.140518939611</c:v>
                </c:pt>
                <c:pt idx="216">
                  <c:v>124.710915430936</c:v>
                </c:pt>
                <c:pt idx="217">
                  <c:v>123.275003150917</c:v>
                </c:pt>
                <c:pt idx="218">
                  <c:v>126.492175897857</c:v>
                </c:pt>
                <c:pt idx="219">
                  <c:v>123.611062396632</c:v>
                </c:pt>
                <c:pt idx="220">
                  <c:v>127.313649771457</c:v>
                </c:pt>
                <c:pt idx="221">
                  <c:v>129.392079269743</c:v>
                </c:pt>
                <c:pt idx="222">
                  <c:v>131.423389553911</c:v>
                </c:pt>
                <c:pt idx="223">
                  <c:v>130.27441305262</c:v>
                </c:pt>
                <c:pt idx="224">
                  <c:v>136.46181146687</c:v>
                </c:pt>
                <c:pt idx="225">
                  <c:v>137.751548188984</c:v>
                </c:pt>
                <c:pt idx="226">
                  <c:v>137.670106144461</c:v>
                </c:pt>
                <c:pt idx="227">
                  <c:v>137.610787968162</c:v>
                </c:pt>
                <c:pt idx="228">
                  <c:v>129.724303454677</c:v>
                </c:pt>
                <c:pt idx="229">
                  <c:v>126.516361833938</c:v>
                </c:pt>
                <c:pt idx="230">
                  <c:v>123.59861290284</c:v>
                </c:pt>
                <c:pt idx="231">
                  <c:v>128.514544130757</c:v>
                </c:pt>
                <c:pt idx="232">
                  <c:v>134.327378518187</c:v>
                </c:pt>
                <c:pt idx="233">
                  <c:v>134.946711926808</c:v>
                </c:pt>
                <c:pt idx="234">
                  <c:v>134.566192956362</c:v>
                </c:pt>
                <c:pt idx="235">
                  <c:v>133.418796731372</c:v>
                </c:pt>
                <c:pt idx="236">
                  <c:v>130.773818907274</c:v>
                </c:pt>
                <c:pt idx="237">
                  <c:v>134.623314163169</c:v>
                </c:pt>
                <c:pt idx="238">
                  <c:v>131.002014659568</c:v>
                </c:pt>
                <c:pt idx="239">
                  <c:v>131.689955185677</c:v>
                </c:pt>
                <c:pt idx="240">
                  <c:v>132.179975740832</c:v>
                </c:pt>
                <c:pt idx="241">
                  <c:v>127.465433383067</c:v>
                </c:pt>
                <c:pt idx="242">
                  <c:v>130.959713361005</c:v>
                </c:pt>
                <c:pt idx="243">
                  <c:v>130.479502081918</c:v>
                </c:pt>
                <c:pt idx="244">
                  <c:v>129.236711128961</c:v>
                </c:pt>
                <c:pt idx="245">
                  <c:v>128.149037785177</c:v>
                </c:pt>
                <c:pt idx="246">
                  <c:v>128.415237255361</c:v>
                </c:pt>
                <c:pt idx="247">
                  <c:v>127.931576348737</c:v>
                </c:pt>
                <c:pt idx="248">
                  <c:v>128.998706100599</c:v>
                </c:pt>
                <c:pt idx="249">
                  <c:v>129.001885924864</c:v>
                </c:pt>
                <c:pt idx="250">
                  <c:v>124.10459039431</c:v>
                </c:pt>
                <c:pt idx="251">
                  <c:v>126.671055466542</c:v>
                </c:pt>
                <c:pt idx="252">
                  <c:v>126.199169545532</c:v>
                </c:pt>
                <c:pt idx="253">
                  <c:v>125.008739698815</c:v>
                </c:pt>
                <c:pt idx="254">
                  <c:v>123.193657464705</c:v>
                </c:pt>
                <c:pt idx="255">
                  <c:v>122.135951555666</c:v>
                </c:pt>
                <c:pt idx="256">
                  <c:v>125.250830319567</c:v>
                </c:pt>
                <c:pt idx="257">
                  <c:v>124.363273916229</c:v>
                </c:pt>
                <c:pt idx="258">
                  <c:v>127.286573086045</c:v>
                </c:pt>
              </c:numCache>
            </c:numRef>
          </c:yVal>
          <c:smooth val="0"/>
        </c:ser>
        <c:axId val="6891187"/>
        <c:axId val="26566963"/>
      </c:scatterChart>
      <c:valAx>
        <c:axId val="6891187"/>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Fecha</a:t>
                </a:r>
              </a:p>
            </c:rich>
          </c:tx>
          <c:overlay val="0"/>
          <c:spPr>
            <a:noFill/>
            <a:ln w="0">
              <a:noFill/>
            </a:ln>
          </c:spPr>
        </c:title>
        <c:numFmt formatCode="mmm\-yy" sourceLinked="0"/>
        <c:majorTickMark val="out"/>
        <c:minorTickMark val="none"/>
        <c:tickLblPos val="nextTo"/>
        <c:spPr>
          <a:ln w="0">
            <a:solidFill>
              <a:srgbClr val="b3b3b3"/>
            </a:solidFill>
          </a:ln>
        </c:spPr>
        <c:txPr>
          <a:bodyPr/>
          <a:lstStyle/>
          <a:p>
            <a:pPr>
              <a:defRPr b="0" sz="1000" spc="-1" strike="noStrike">
                <a:solidFill>
                  <a:srgbClr val="000000"/>
                </a:solidFill>
                <a:latin typeface="Calibri"/>
              </a:defRPr>
            </a:pPr>
          </a:p>
        </c:txPr>
        <c:crossAx val="26566963"/>
        <c:crosses val="autoZero"/>
        <c:crossBetween val="midCat"/>
      </c:valAx>
      <c:valAx>
        <c:axId val="26566963"/>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Índice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891187"/>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Rendimientos semanales: Soriana B vs. IPC (la pendiente es la beta)</a:t>
            </a:r>
          </a:p>
        </c:rich>
      </c:tx>
      <c:overlay val="0"/>
      <c:spPr>
        <a:noFill/>
        <a:ln w="0">
          <a:noFill/>
        </a:ln>
      </c:spPr>
    </c:title>
    <c:autoTitleDeleted val="0"/>
    <c:plotArea>
      <c:scatterChart>
        <c:scatterStyle val="lineMarker"/>
        <c:varyColors val="0"/>
        <c:ser>
          <c:idx val="0"/>
          <c:order val="0"/>
          <c:tx>
            <c:strRef>
              <c:f>"Rendimiento Soriana B"</c:f>
              <c:strCache>
                <c:ptCount val="1"/>
                <c:pt idx="0">
                  <c:v>Rendimiento Soriana B</c:v>
                </c:pt>
              </c:strCache>
            </c:strRef>
          </c:tx>
          <c:spPr>
            <a:solidFill>
              <a:srgbClr val="1f4e79"/>
            </a:solidFill>
            <a:ln w="31680">
              <a:noFill/>
            </a:ln>
          </c:spPr>
          <c:marker>
            <c:symbol val="circle"/>
            <c:size val="5"/>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trendline>
            <c:spPr>
              <a:ln w="0">
                <a:solidFill>
                  <a:srgbClr val="000000"/>
                </a:solidFill>
              </a:ln>
            </c:spPr>
            <c:trendlineType val="linear"/>
            <c:forward val="0"/>
            <c:backward val="0"/>
            <c:dispRSqr val="1"/>
            <c:dispEq val="1"/>
          </c:trendline>
          <c:xVal>
            <c:numRef>
              <c:f>Rendimientos!$P$13:$P$412</c:f>
              <c:numCache>
                <c:formatCode>0.00%</c:formatCode>
                <c:ptCount val="400"/>
                <c:pt idx="1">
                  <c:v>-0.0111740951858232</c:v>
                </c:pt>
                <c:pt idx="2">
                  <c:v>0.0130212840266117</c:v>
                </c:pt>
                <c:pt idx="3">
                  <c:v>-0.0104932936960204</c:v>
                </c:pt>
                <c:pt idx="4">
                  <c:v>-0.0120787345909807</c:v>
                </c:pt>
                <c:pt idx="5">
                  <c:v>-0.0259544628852245</c:v>
                </c:pt>
                <c:pt idx="6">
                  <c:v>0.0223219589546058</c:v>
                </c:pt>
                <c:pt idx="7">
                  <c:v>0.0121783202222887</c:v>
                </c:pt>
                <c:pt idx="8">
                  <c:v>0.0227652953870738</c:v>
                </c:pt>
                <c:pt idx="9">
                  <c:v>0.00904955519701733</c:v>
                </c:pt>
                <c:pt idx="10">
                  <c:v>0.00792872660178023</c:v>
                </c:pt>
                <c:pt idx="11">
                  <c:v>-0.00132019483244994</c:v>
                </c:pt>
                <c:pt idx="12">
                  <c:v>0.0102027908291606</c:v>
                </c:pt>
                <c:pt idx="13">
                  <c:v>-0.0399207962352535</c:v>
                </c:pt>
                <c:pt idx="14">
                  <c:v>-0.0181692105602819</c:v>
                </c:pt>
                <c:pt idx="15">
                  <c:v>0.0117139402303823</c:v>
                </c:pt>
                <c:pt idx="16">
                  <c:v>0.0385121073309283</c:v>
                </c:pt>
                <c:pt idx="17">
                  <c:v>-0.0178046811096003</c:v>
                </c:pt>
                <c:pt idx="18">
                  <c:v>0.00524219547515159</c:v>
                </c:pt>
                <c:pt idx="19">
                  <c:v>0.0145836028891309</c:v>
                </c:pt>
                <c:pt idx="20">
                  <c:v>-0.00040039720903462</c:v>
                </c:pt>
                <c:pt idx="21">
                  <c:v>0.0406441191203868</c:v>
                </c:pt>
                <c:pt idx="22">
                  <c:v>-0.000559070554667862</c:v>
                </c:pt>
                <c:pt idx="23">
                  <c:v>0.0211683552489761</c:v>
                </c:pt>
                <c:pt idx="24">
                  <c:v>-0.0339569973541563</c:v>
                </c:pt>
                <c:pt idx="25">
                  <c:v>-0.00941042016192073</c:v>
                </c:pt>
                <c:pt idx="26">
                  <c:v>-0.0181058254151267</c:v>
                </c:pt>
                <c:pt idx="27">
                  <c:v>-0.0333474457895562</c:v>
                </c:pt>
                <c:pt idx="28">
                  <c:v>-0.0364884105693011</c:v>
                </c:pt>
                <c:pt idx="29">
                  <c:v>0.000768845546821995</c:v>
                </c:pt>
                <c:pt idx="30">
                  <c:v>0.0390964886980409</c:v>
                </c:pt>
                <c:pt idx="31">
                  <c:v>0.0183478492108629</c:v>
                </c:pt>
                <c:pt idx="32">
                  <c:v>-0.0338234831611662</c:v>
                </c:pt>
                <c:pt idx="33">
                  <c:v>-0.0437477127703124</c:v>
                </c:pt>
                <c:pt idx="34">
                  <c:v>-0.00939293836875743</c:v>
                </c:pt>
                <c:pt idx="35">
                  <c:v>-0.00572160704828351</c:v>
                </c:pt>
                <c:pt idx="36">
                  <c:v>3.45611260643697E-005</c:v>
                </c:pt>
                <c:pt idx="37">
                  <c:v>-0.00337304932749516</c:v>
                </c:pt>
                <c:pt idx="38">
                  <c:v>-0.0106392927930266</c:v>
                </c:pt>
                <c:pt idx="39">
                  <c:v>0.00401458326739368</c:v>
                </c:pt>
                <c:pt idx="40">
                  <c:v>0.0186072697560091</c:v>
                </c:pt>
                <c:pt idx="41">
                  <c:v>-0.0295133404078943</c:v>
                </c:pt>
                <c:pt idx="42">
                  <c:v>0.0455861224229472</c:v>
                </c:pt>
                <c:pt idx="43">
                  <c:v>-0.00798532424682275</c:v>
                </c:pt>
                <c:pt idx="44">
                  <c:v>-0.0245784125954384</c:v>
                </c:pt>
                <c:pt idx="45">
                  <c:v>-0.0292663052273318</c:v>
                </c:pt>
                <c:pt idx="46">
                  <c:v>0.0251545971191558</c:v>
                </c:pt>
                <c:pt idx="47">
                  <c:v>-0.00580660987599846</c:v>
                </c:pt>
                <c:pt idx="48">
                  <c:v>-0.0293745234636553</c:v>
                </c:pt>
                <c:pt idx="49">
                  <c:v>-0.01694292485187</c:v>
                </c:pt>
                <c:pt idx="50">
                  <c:v>0.0246952503876594</c:v>
                </c:pt>
                <c:pt idx="51">
                  <c:v>-0.00624375804606592</c:v>
                </c:pt>
                <c:pt idx="52">
                  <c:v>0.0368971477674953</c:v>
                </c:pt>
                <c:pt idx="53">
                  <c:v>0.04172785784744</c:v>
                </c:pt>
                <c:pt idx="54">
                  <c:v>0.0425261223600066</c:v>
                </c:pt>
                <c:pt idx="55">
                  <c:v>0.0153486895136665</c:v>
                </c:pt>
                <c:pt idx="56">
                  <c:v>-0.00749588138385493</c:v>
                </c:pt>
                <c:pt idx="57">
                  <c:v>0.00191817989316201</c:v>
                </c:pt>
                <c:pt idx="58">
                  <c:v>-0.00840490479331368</c:v>
                </c:pt>
                <c:pt idx="59">
                  <c:v>-0.0149922795966848</c:v>
                </c:pt>
                <c:pt idx="60">
                  <c:v>-0.0165675079880118</c:v>
                </c:pt>
                <c:pt idx="61">
                  <c:v>0.0191000833162904</c:v>
                </c:pt>
                <c:pt idx="62">
                  <c:v>-0.0418013017098905</c:v>
                </c:pt>
                <c:pt idx="63">
                  <c:v>0.0674036281880972</c:v>
                </c:pt>
                <c:pt idx="64">
                  <c:v>0.0356891968954485</c:v>
                </c:pt>
                <c:pt idx="65">
                  <c:v>0.00691195728293925</c:v>
                </c:pt>
                <c:pt idx="66">
                  <c:v>0.0153459763501389</c:v>
                </c:pt>
                <c:pt idx="67">
                  <c:v>-0.0132516876796329</c:v>
                </c:pt>
                <c:pt idx="68">
                  <c:v>-0.0289927390028133</c:v>
                </c:pt>
                <c:pt idx="69">
                  <c:v>0.0249155806121792</c:v>
                </c:pt>
                <c:pt idx="70">
                  <c:v>-0.0205132438142364</c:v>
                </c:pt>
                <c:pt idx="71">
                  <c:v>0.0283950800057093</c:v>
                </c:pt>
                <c:pt idx="72">
                  <c:v>-0.0256124374264866</c:v>
                </c:pt>
                <c:pt idx="73">
                  <c:v>-0.0164585232598907</c:v>
                </c:pt>
                <c:pt idx="74">
                  <c:v>0.0162831019221537</c:v>
                </c:pt>
                <c:pt idx="75">
                  <c:v>0.0214678028436766</c:v>
                </c:pt>
                <c:pt idx="76">
                  <c:v>-0.0075246734936183</c:v>
                </c:pt>
                <c:pt idx="77">
                  <c:v>0.0179756811373202</c:v>
                </c:pt>
                <c:pt idx="78">
                  <c:v>-0.00522915325469708</c:v>
                </c:pt>
                <c:pt idx="79">
                  <c:v>0.0174607311674255</c:v>
                </c:pt>
                <c:pt idx="80">
                  <c:v>-0.00333501326712293</c:v>
                </c:pt>
                <c:pt idx="81">
                  <c:v>0.000199317805232413</c:v>
                </c:pt>
                <c:pt idx="82">
                  <c:v>-0.0118709682585496</c:v>
                </c:pt>
                <c:pt idx="83">
                  <c:v>-0.00498378795510923</c:v>
                </c:pt>
                <c:pt idx="84">
                  <c:v>-0.0146734548254572</c:v>
                </c:pt>
                <c:pt idx="85">
                  <c:v>0.0240346583895503</c:v>
                </c:pt>
                <c:pt idx="86">
                  <c:v>0.00606048487547906</c:v>
                </c:pt>
                <c:pt idx="87">
                  <c:v>-0.0273619861672998</c:v>
                </c:pt>
                <c:pt idx="88">
                  <c:v>0.00345300721327746</c:v>
                </c:pt>
                <c:pt idx="89">
                  <c:v>0.00706552504292302</c:v>
                </c:pt>
                <c:pt idx="90">
                  <c:v>-0.00247642627330769</c:v>
                </c:pt>
                <c:pt idx="91">
                  <c:v>-0.00127652926867372</c:v>
                </c:pt>
                <c:pt idx="92">
                  <c:v>0.0225087780454267</c:v>
                </c:pt>
                <c:pt idx="93">
                  <c:v>-0.0167454821836017</c:v>
                </c:pt>
                <c:pt idx="94">
                  <c:v>-0.0138773901482864</c:v>
                </c:pt>
                <c:pt idx="95">
                  <c:v>-0.000897221299812068</c:v>
                </c:pt>
                <c:pt idx="96">
                  <c:v>-5.37650680833002E-005</c:v>
                </c:pt>
                <c:pt idx="97">
                  <c:v>-0.000867995336851557</c:v>
                </c:pt>
                <c:pt idx="98">
                  <c:v>-0.0120471476719699</c:v>
                </c:pt>
                <c:pt idx="99">
                  <c:v>-0.0219694806848324</c:v>
                </c:pt>
                <c:pt idx="100">
                  <c:v>0.00634605348226747</c:v>
                </c:pt>
                <c:pt idx="101">
                  <c:v>-0.0155290079934238</c:v>
                </c:pt>
                <c:pt idx="102">
                  <c:v>-0.0237539159720555</c:v>
                </c:pt>
                <c:pt idx="103">
                  <c:v>-0.00577693213735608</c:v>
                </c:pt>
                <c:pt idx="104">
                  <c:v>-0.0223507368835457</c:v>
                </c:pt>
                <c:pt idx="105">
                  <c:v>0.0144573142173807</c:v>
                </c:pt>
                <c:pt idx="106">
                  <c:v>0.0468184551551492</c:v>
                </c:pt>
                <c:pt idx="107">
                  <c:v>-0.000165604476821568</c:v>
                </c:pt>
                <c:pt idx="108">
                  <c:v>0.0278366951342848</c:v>
                </c:pt>
                <c:pt idx="109">
                  <c:v>0.00480819055102866</c:v>
                </c:pt>
                <c:pt idx="110">
                  <c:v>0.0181911360407054</c:v>
                </c:pt>
                <c:pt idx="111">
                  <c:v>0.0091199806758373</c:v>
                </c:pt>
                <c:pt idx="112">
                  <c:v>0.0503202525471562</c:v>
                </c:pt>
                <c:pt idx="113">
                  <c:v>0.00321004276556236</c:v>
                </c:pt>
                <c:pt idx="114">
                  <c:v>0.00126985855157602</c:v>
                </c:pt>
                <c:pt idx="115">
                  <c:v>-0.0207971421725588</c:v>
                </c:pt>
                <c:pt idx="116">
                  <c:v>-0.0104232251901401</c:v>
                </c:pt>
                <c:pt idx="117">
                  <c:v>-0.00278687584150727</c:v>
                </c:pt>
                <c:pt idx="118">
                  <c:v>0.0253151819317934</c:v>
                </c:pt>
                <c:pt idx="119">
                  <c:v>0.024111666198817</c:v>
                </c:pt>
                <c:pt idx="120">
                  <c:v>-0.0154442707366388</c:v>
                </c:pt>
                <c:pt idx="121">
                  <c:v>-0.00340831189219837</c:v>
                </c:pt>
                <c:pt idx="122">
                  <c:v>-0.00826697981222813</c:v>
                </c:pt>
                <c:pt idx="123">
                  <c:v>-0.0198285203971776</c:v>
                </c:pt>
                <c:pt idx="124">
                  <c:v>-0.0108096827445535</c:v>
                </c:pt>
                <c:pt idx="125">
                  <c:v>0.0235257433241851</c:v>
                </c:pt>
                <c:pt idx="126">
                  <c:v>0.00679620974454198</c:v>
                </c:pt>
                <c:pt idx="127">
                  <c:v>0.0133980350655549</c:v>
                </c:pt>
                <c:pt idx="128">
                  <c:v>0.0126101182502538</c:v>
                </c:pt>
                <c:pt idx="129">
                  <c:v>-0.0262774295588205</c:v>
                </c:pt>
                <c:pt idx="130">
                  <c:v>-0.0124292153296544</c:v>
                </c:pt>
                <c:pt idx="131">
                  <c:v>0.0352828400269589</c:v>
                </c:pt>
                <c:pt idx="132">
                  <c:v>-0.012079258081556</c:v>
                </c:pt>
                <c:pt idx="133">
                  <c:v>0.0102000060908098</c:v>
                </c:pt>
                <c:pt idx="134">
                  <c:v>-0.00233826373868551</c:v>
                </c:pt>
                <c:pt idx="135">
                  <c:v>-0.0376839863376534</c:v>
                </c:pt>
                <c:pt idx="136">
                  <c:v>-0.00422066109975405</c:v>
                </c:pt>
                <c:pt idx="137">
                  <c:v>-0.0399048627708537</c:v>
                </c:pt>
                <c:pt idx="138">
                  <c:v>-0.0142396784133285</c:v>
                </c:pt>
                <c:pt idx="139">
                  <c:v>0.0108297234893324</c:v>
                </c:pt>
                <c:pt idx="140">
                  <c:v>-0.00660143781316014</c:v>
                </c:pt>
                <c:pt idx="141">
                  <c:v>-0.00203775665989436</c:v>
                </c:pt>
                <c:pt idx="142">
                  <c:v>0.0500629046669454</c:v>
                </c:pt>
                <c:pt idx="143">
                  <c:v>-0.023194137693026</c:v>
                </c:pt>
                <c:pt idx="144">
                  <c:v>-0.0160015589103425</c:v>
                </c:pt>
                <c:pt idx="145">
                  <c:v>-0.0109277658020001</c:v>
                </c:pt>
                <c:pt idx="146">
                  <c:v>0.0154885746016933</c:v>
                </c:pt>
                <c:pt idx="147">
                  <c:v>0.0194573051036784</c:v>
                </c:pt>
                <c:pt idx="148">
                  <c:v>-0.0109618817323789</c:v>
                </c:pt>
                <c:pt idx="149">
                  <c:v>-0.0281365510258562</c:v>
                </c:pt>
                <c:pt idx="150">
                  <c:v>-0.0173591400894128</c:v>
                </c:pt>
                <c:pt idx="151">
                  <c:v>0.0182722620089797</c:v>
                </c:pt>
                <c:pt idx="152">
                  <c:v>0.00333795683514104</c:v>
                </c:pt>
                <c:pt idx="153">
                  <c:v>0.0112604827547091</c:v>
                </c:pt>
                <c:pt idx="154">
                  <c:v>-0.00318881840730734</c:v>
                </c:pt>
                <c:pt idx="155">
                  <c:v>-0.00407166944149451</c:v>
                </c:pt>
                <c:pt idx="156">
                  <c:v>0.0120574872040928</c:v>
                </c:pt>
                <c:pt idx="157">
                  <c:v>-0.0234424001771159</c:v>
                </c:pt>
                <c:pt idx="158">
                  <c:v>-0.0224380618615709</c:v>
                </c:pt>
                <c:pt idx="159">
                  <c:v>0.0241549243328891</c:v>
                </c:pt>
                <c:pt idx="160">
                  <c:v>-0.0265361267018701</c:v>
                </c:pt>
                <c:pt idx="161">
                  <c:v>-0.000780274780362023</c:v>
                </c:pt>
                <c:pt idx="162">
                  <c:v>-0.0122423112265273</c:v>
                </c:pt>
                <c:pt idx="163">
                  <c:v>0.0308387589977164</c:v>
                </c:pt>
                <c:pt idx="164">
                  <c:v>0.00527665690337442</c:v>
                </c:pt>
                <c:pt idx="165">
                  <c:v>-0.0393946115585605</c:v>
                </c:pt>
                <c:pt idx="166">
                  <c:v>-0.00596193982157534</c:v>
                </c:pt>
                <c:pt idx="167">
                  <c:v>-0.00676275263955106</c:v>
                </c:pt>
                <c:pt idx="168">
                  <c:v>0.0130616023288894</c:v>
                </c:pt>
                <c:pt idx="169">
                  <c:v>0.00693977623511244</c:v>
                </c:pt>
                <c:pt idx="170">
                  <c:v>0.0283619294730231</c:v>
                </c:pt>
                <c:pt idx="171">
                  <c:v>-0.00287748715810854</c:v>
                </c:pt>
                <c:pt idx="172">
                  <c:v>0.0314047014295973</c:v>
                </c:pt>
                <c:pt idx="173">
                  <c:v>0.0238592139952951</c:v>
                </c:pt>
                <c:pt idx="174">
                  <c:v>-0.00627224335838239</c:v>
                </c:pt>
                <c:pt idx="175">
                  <c:v>-0.0262942476332255</c:v>
                </c:pt>
                <c:pt idx="176">
                  <c:v>0.00982117210787115</c:v>
                </c:pt>
                <c:pt idx="177">
                  <c:v>-0.00672506601579148</c:v>
                </c:pt>
                <c:pt idx="178">
                  <c:v>0.00358469240694537</c:v>
                </c:pt>
                <c:pt idx="179">
                  <c:v>0.00950307580323817</c:v>
                </c:pt>
                <c:pt idx="180">
                  <c:v>-0.032351775723643</c:v>
                </c:pt>
                <c:pt idx="181">
                  <c:v>0.000897328479946502</c:v>
                </c:pt>
                <c:pt idx="182">
                  <c:v>0.0295087856245473</c:v>
                </c:pt>
                <c:pt idx="183">
                  <c:v>0.0698161040556169</c:v>
                </c:pt>
                <c:pt idx="184">
                  <c:v>-0.0160107207107462</c:v>
                </c:pt>
                <c:pt idx="185">
                  <c:v>0.0132442867563045</c:v>
                </c:pt>
                <c:pt idx="186">
                  <c:v>0.0253922199324577</c:v>
                </c:pt>
                <c:pt idx="187">
                  <c:v>0.00729868726065819</c:v>
                </c:pt>
                <c:pt idx="188">
                  <c:v>-0.00973594243624887</c:v>
                </c:pt>
                <c:pt idx="189">
                  <c:v>0.00379864419590792</c:v>
                </c:pt>
                <c:pt idx="190">
                  <c:v>-0.0107272627378495</c:v>
                </c:pt>
                <c:pt idx="191">
                  <c:v>-0.0204371383201217</c:v>
                </c:pt>
                <c:pt idx="192">
                  <c:v>0.0200271253605058</c:v>
                </c:pt>
                <c:pt idx="193">
                  <c:v>0.0102149255177291</c:v>
                </c:pt>
                <c:pt idx="194">
                  <c:v>-0.0238731196238006</c:v>
                </c:pt>
                <c:pt idx="195">
                  <c:v>-0.00565787857825051</c:v>
                </c:pt>
                <c:pt idx="196">
                  <c:v>0.0186533791690398</c:v>
                </c:pt>
                <c:pt idx="197">
                  <c:v>-0.00738044008056782</c:v>
                </c:pt>
                <c:pt idx="198">
                  <c:v>0.0205641223288477</c:v>
                </c:pt>
                <c:pt idx="199">
                  <c:v>0.00431047472394175</c:v>
                </c:pt>
                <c:pt idx="200">
                  <c:v>0.0155177049297262</c:v>
                </c:pt>
                <c:pt idx="201">
                  <c:v>-0.00872293479090425</c:v>
                </c:pt>
                <c:pt idx="202">
                  <c:v>0.0301641012957841</c:v>
                </c:pt>
                <c:pt idx="203">
                  <c:v>0.0218119251795972</c:v>
                </c:pt>
                <c:pt idx="204">
                  <c:v>-0.00968738298747529</c:v>
                </c:pt>
                <c:pt idx="205">
                  <c:v>0.018084887533993</c:v>
                </c:pt>
                <c:pt idx="206">
                  <c:v>-0.00517822455782302</c:v>
                </c:pt>
                <c:pt idx="207">
                  <c:v>-0.0228363800393099</c:v>
                </c:pt>
                <c:pt idx="208">
                  <c:v>0.0193992200291468</c:v>
                </c:pt>
                <c:pt idx="209">
                  <c:v>-0.00969212839094114</c:v>
                </c:pt>
                <c:pt idx="210">
                  <c:v>0.0265545341120008</c:v>
                </c:pt>
                <c:pt idx="211">
                  <c:v>0.00966955438959061</c:v>
                </c:pt>
                <c:pt idx="212">
                  <c:v>-0.0165283048996523</c:v>
                </c:pt>
                <c:pt idx="213">
                  <c:v>-0.00724161593155503</c:v>
                </c:pt>
                <c:pt idx="214">
                  <c:v>0.0277890411131585</c:v>
                </c:pt>
                <c:pt idx="215">
                  <c:v>-0.00343539405611415</c:v>
                </c:pt>
                <c:pt idx="216">
                  <c:v>0.0210445846606804</c:v>
                </c:pt>
                <c:pt idx="217">
                  <c:v>-0.0115139262273637</c:v>
                </c:pt>
                <c:pt idx="218">
                  <c:v>0.026097527192936</c:v>
                </c:pt>
                <c:pt idx="219">
                  <c:v>-0.0227770095721335</c:v>
                </c:pt>
                <c:pt idx="220">
                  <c:v>0.0299535276458123</c:v>
                </c:pt>
                <c:pt idx="221">
                  <c:v>0.0163252683590207</c:v>
                </c:pt>
                <c:pt idx="222">
                  <c:v>0.0156988765899162</c:v>
                </c:pt>
                <c:pt idx="223">
                  <c:v>-0.00874255720531436</c:v>
                </c:pt>
                <c:pt idx="224">
                  <c:v>0.0474951164182285</c:v>
                </c:pt>
                <c:pt idx="225">
                  <c:v>0.00945126485021719</c:v>
                </c:pt>
                <c:pt idx="226">
                  <c:v>-0.000591224168393301</c:v>
                </c:pt>
                <c:pt idx="227">
                  <c:v>-0.000430871871611949</c:v>
                </c:pt>
                <c:pt idx="228">
                  <c:v>-0.057310074521989</c:v>
                </c:pt>
                <c:pt idx="229">
                  <c:v>-0.0247289176762462</c:v>
                </c:pt>
                <c:pt idx="230">
                  <c:v>-0.0230622260141106</c:v>
                </c:pt>
                <c:pt idx="231">
                  <c:v>0.0397733527299489</c:v>
                </c:pt>
                <c:pt idx="232">
                  <c:v>0.0452309458571067</c:v>
                </c:pt>
                <c:pt idx="233">
                  <c:v>0.00461062677953938</c:v>
                </c:pt>
                <c:pt idx="234">
                  <c:v>-0.00281977207901529</c:v>
                </c:pt>
                <c:pt idx="235">
                  <c:v>-0.00852663064757886</c:v>
                </c:pt>
                <c:pt idx="236">
                  <c:v>-0.0198246265810936</c:v>
                </c:pt>
                <c:pt idx="237">
                  <c:v>0.0294362838682904</c:v>
                </c:pt>
                <c:pt idx="238">
                  <c:v>-0.0268994975061405</c:v>
                </c:pt>
                <c:pt idx="239">
                  <c:v>0.00525137363647743</c:v>
                </c:pt>
                <c:pt idx="240">
                  <c:v>0.00372101694821003</c:v>
                </c:pt>
                <c:pt idx="241">
                  <c:v>-0.0356675989032442</c:v>
                </c:pt>
                <c:pt idx="242">
                  <c:v>0.0274135495812153</c:v>
                </c:pt>
                <c:pt idx="243">
                  <c:v>-0.00366686263097915</c:v>
                </c:pt>
                <c:pt idx="244">
                  <c:v>-0.00952479840225362</c:v>
                </c:pt>
                <c:pt idx="245">
                  <c:v>-0.00841613295697663</c:v>
                </c:pt>
                <c:pt idx="246">
                  <c:v>0.00207726468168801</c:v>
                </c:pt>
                <c:pt idx="247">
                  <c:v>-0.00376638253342165</c:v>
                </c:pt>
                <c:pt idx="248">
                  <c:v>0.00834141016876866</c:v>
                </c:pt>
                <c:pt idx="249">
                  <c:v>2.46500477538714E-005</c:v>
                </c:pt>
                <c:pt idx="250">
                  <c:v>-0.0379629762421226</c:v>
                </c:pt>
                <c:pt idx="251">
                  <c:v>0.0206798561123149</c:v>
                </c:pt>
                <c:pt idx="252">
                  <c:v>-0.00372528609059164</c:v>
                </c:pt>
                <c:pt idx="253">
                  <c:v>-0.00943294516916415</c:v>
                </c:pt>
                <c:pt idx="254">
                  <c:v>-0.0145196426944464</c:v>
                </c:pt>
                <c:pt idx="255">
                  <c:v>-0.00858571724231461</c:v>
                </c:pt>
                <c:pt idx="256">
                  <c:v>0.0255033732838319</c:v>
                </c:pt>
                <c:pt idx="257">
                  <c:v>-0.00708623169261935</c:v>
                </c:pt>
                <c:pt idx="258">
                  <c:v>0.0235061290826459</c:v>
                </c:pt>
              </c:numCache>
            </c:numRef>
          </c:xVal>
          <c:yVal>
            <c:numRef>
              <c:f>Rendimientos!$O$13:$O$412</c:f>
              <c:numCache>
                <c:formatCode>0.00%</c:formatCode>
                <c:ptCount val="400"/>
                <c:pt idx="1">
                  <c:v>-0.00919999999999999</c:v>
                </c:pt>
                <c:pt idx="2">
                  <c:v>-0.011707710940654</c:v>
                </c:pt>
                <c:pt idx="3">
                  <c:v>-0.0290032679738562</c:v>
                </c:pt>
                <c:pt idx="4">
                  <c:v>-0.0328144720235591</c:v>
                </c:pt>
                <c:pt idx="5">
                  <c:v>-0.0113092648977816</c:v>
                </c:pt>
                <c:pt idx="6">
                  <c:v>0.053233611966564</c:v>
                </c:pt>
                <c:pt idx="7">
                  <c:v>-0.0284043441938179</c:v>
                </c:pt>
                <c:pt idx="8">
                  <c:v>-0.028804815133276</c:v>
                </c:pt>
                <c:pt idx="9">
                  <c:v>0.0978308986277114</c:v>
                </c:pt>
                <c:pt idx="10">
                  <c:v>0.0475806451612904</c:v>
                </c:pt>
                <c:pt idx="11">
                  <c:v>-0.0746728252501925</c:v>
                </c:pt>
                <c:pt idx="12">
                  <c:v>-0.00249584026622296</c:v>
                </c:pt>
                <c:pt idx="13">
                  <c:v>-0.0442035029190993</c:v>
                </c:pt>
                <c:pt idx="14">
                  <c:v>-0.0231239092495638</c:v>
                </c:pt>
                <c:pt idx="15">
                  <c:v>0.0379633765073693</c:v>
                </c:pt>
                <c:pt idx="16">
                  <c:v>-0.0288296041308089</c:v>
                </c:pt>
                <c:pt idx="17">
                  <c:v>0.0239255649091714</c:v>
                </c:pt>
                <c:pt idx="18">
                  <c:v>0.0060579835569019</c:v>
                </c:pt>
                <c:pt idx="19">
                  <c:v>-0.0146236559139785</c:v>
                </c:pt>
                <c:pt idx="20">
                  <c:v>-0.00916630292448717</c:v>
                </c:pt>
                <c:pt idx="21">
                  <c:v>-0.0475770925110132</c:v>
                </c:pt>
                <c:pt idx="22">
                  <c:v>0.0235892691951896</c:v>
                </c:pt>
                <c:pt idx="23">
                  <c:v>0.00813375508359693</c:v>
                </c:pt>
                <c:pt idx="24">
                  <c:v>-0.0327207530255491</c:v>
                </c:pt>
                <c:pt idx="25">
                  <c:v>0.00463392029657106</c:v>
                </c:pt>
                <c:pt idx="26">
                  <c:v>-0.0309040590405903</c:v>
                </c:pt>
                <c:pt idx="27">
                  <c:v>0.121370775821037</c:v>
                </c:pt>
                <c:pt idx="28">
                  <c:v>-0.0632427843803055</c:v>
                </c:pt>
                <c:pt idx="29">
                  <c:v>-0.00317172632532847</c:v>
                </c:pt>
                <c:pt idx="30">
                  <c:v>-0.0295454545454544</c:v>
                </c:pt>
                <c:pt idx="31">
                  <c:v>-0.000468384074941541</c:v>
                </c:pt>
                <c:pt idx="32">
                  <c:v>-0.00328022492970947</c:v>
                </c:pt>
                <c:pt idx="33">
                  <c:v>-0.00987306064880122</c:v>
                </c:pt>
                <c:pt idx="34">
                  <c:v>-0.087844254510921</c:v>
                </c:pt>
                <c:pt idx="35">
                  <c:v>0.105674128058303</c:v>
                </c:pt>
                <c:pt idx="36">
                  <c:v>0.0569679849340867</c:v>
                </c:pt>
                <c:pt idx="37">
                  <c:v>0.0111358574610245</c:v>
                </c:pt>
                <c:pt idx="38">
                  <c:v>0.0057268722466961</c:v>
                </c:pt>
                <c:pt idx="39">
                  <c:v>0.0337275514673676</c:v>
                </c:pt>
                <c:pt idx="40">
                  <c:v>-0.0406779661016949</c:v>
                </c:pt>
                <c:pt idx="41">
                  <c:v>0.00706713780918733</c:v>
                </c:pt>
                <c:pt idx="42">
                  <c:v>-0.00219298245614041</c:v>
                </c:pt>
                <c:pt idx="43">
                  <c:v>0</c:v>
                </c:pt>
                <c:pt idx="44">
                  <c:v>-0.000439560439560505</c:v>
                </c:pt>
                <c:pt idx="45">
                  <c:v>0.000439753737906834</c:v>
                </c:pt>
                <c:pt idx="46">
                  <c:v>0.0237362637362637</c:v>
                </c:pt>
                <c:pt idx="47">
                  <c:v>0.0729927007299269</c:v>
                </c:pt>
                <c:pt idx="48">
                  <c:v>0.048419367747099</c:v>
                </c:pt>
                <c:pt idx="49">
                  <c:v>0</c:v>
                </c:pt>
                <c:pt idx="50">
                  <c:v>0.00877862595419843</c:v>
                </c:pt>
                <c:pt idx="51">
                  <c:v>0.00264850548619</c:v>
                </c:pt>
                <c:pt idx="52">
                  <c:v>0.0452830188679245</c:v>
                </c:pt>
                <c:pt idx="53">
                  <c:v>0.0985559566787004</c:v>
                </c:pt>
                <c:pt idx="54">
                  <c:v>-0.0128162997042393</c:v>
                </c:pt>
                <c:pt idx="55">
                  <c:v>-0.00299600532623168</c:v>
                </c:pt>
                <c:pt idx="56">
                  <c:v>0.00834724540901499</c:v>
                </c:pt>
                <c:pt idx="57">
                  <c:v>0.00827814569536423</c:v>
                </c:pt>
                <c:pt idx="58">
                  <c:v>-0.0620689655172414</c:v>
                </c:pt>
                <c:pt idx="59">
                  <c:v>0.0654761904761905</c:v>
                </c:pt>
                <c:pt idx="60">
                  <c:v>0.00657246138678924</c:v>
                </c:pt>
                <c:pt idx="61">
                  <c:v>0.00652954619653934</c:v>
                </c:pt>
                <c:pt idx="62">
                  <c:v>0.0145961725591957</c:v>
                </c:pt>
                <c:pt idx="63">
                  <c:v>0.0118286445012787</c:v>
                </c:pt>
                <c:pt idx="64">
                  <c:v>-0.0208530805687204</c:v>
                </c:pt>
                <c:pt idx="65">
                  <c:v>-0.00709906421426265</c:v>
                </c:pt>
                <c:pt idx="66">
                  <c:v>0.0113747156321093</c:v>
                </c:pt>
                <c:pt idx="67">
                  <c:v>-0.0353470437017995</c:v>
                </c:pt>
                <c:pt idx="68">
                  <c:v>0.0223184543637576</c:v>
                </c:pt>
                <c:pt idx="69">
                  <c:v>-0.0289996741609645</c:v>
                </c:pt>
                <c:pt idx="70">
                  <c:v>0.0134228187919463</c:v>
                </c:pt>
                <c:pt idx="71">
                  <c:v>0.0165562913907285</c:v>
                </c:pt>
                <c:pt idx="72">
                  <c:v>-0.019543973941368</c:v>
                </c:pt>
                <c:pt idx="73">
                  <c:v>0.0136212624584717</c:v>
                </c:pt>
                <c:pt idx="74">
                  <c:v>0</c:v>
                </c:pt>
                <c:pt idx="75">
                  <c:v>0.0150770239265814</c:v>
                </c:pt>
                <c:pt idx="76">
                  <c:v>-0.0119470455279301</c:v>
                </c:pt>
                <c:pt idx="77">
                  <c:v>0.0130718954248366</c:v>
                </c:pt>
                <c:pt idx="78">
                  <c:v>-0.00193548387096765</c:v>
                </c:pt>
                <c:pt idx="79">
                  <c:v>0.00614091790562377</c:v>
                </c:pt>
                <c:pt idx="80">
                  <c:v>0.00481850305171871</c:v>
                </c:pt>
                <c:pt idx="81">
                  <c:v>-0.0153452685421995</c:v>
                </c:pt>
                <c:pt idx="82">
                  <c:v>-0.00844155844155847</c:v>
                </c:pt>
                <c:pt idx="83">
                  <c:v>-0.00785854616895865</c:v>
                </c:pt>
                <c:pt idx="84">
                  <c:v>-0.00429042904290422</c:v>
                </c:pt>
                <c:pt idx="85">
                  <c:v>-0.00397746105402719</c:v>
                </c:pt>
                <c:pt idx="86">
                  <c:v>-0.0326123128119801</c:v>
                </c:pt>
                <c:pt idx="87">
                  <c:v>-0.00722394220846234</c:v>
                </c:pt>
                <c:pt idx="88">
                  <c:v>-0.0128205128205129</c:v>
                </c:pt>
                <c:pt idx="89">
                  <c:v>-0.0263250263250263</c:v>
                </c:pt>
                <c:pt idx="90">
                  <c:v>-0.00180245133381385</c:v>
                </c:pt>
                <c:pt idx="91">
                  <c:v>-0.0162513542795234</c:v>
                </c:pt>
                <c:pt idx="92">
                  <c:v>0.00513950073421432</c:v>
                </c:pt>
                <c:pt idx="93">
                  <c:v>-0.0142439737034332</c:v>
                </c:pt>
                <c:pt idx="94">
                  <c:v>0.00741015190811423</c:v>
                </c:pt>
                <c:pt idx="95">
                  <c:v>0.000367782272894468</c:v>
                </c:pt>
                <c:pt idx="96">
                  <c:v>-0.0261029411764706</c:v>
                </c:pt>
                <c:pt idx="97">
                  <c:v>0.0973952434881087</c:v>
                </c:pt>
                <c:pt idx="98">
                  <c:v>-0.0368077055383557</c:v>
                </c:pt>
                <c:pt idx="99">
                  <c:v>-0.0714285714285714</c:v>
                </c:pt>
                <c:pt idx="100">
                  <c:v>0.0903846153846155</c:v>
                </c:pt>
                <c:pt idx="101">
                  <c:v>0.118165784832451</c:v>
                </c:pt>
                <c:pt idx="102">
                  <c:v>-0.0744479495268139</c:v>
                </c:pt>
                <c:pt idx="103">
                  <c:v>0.0173824130879345</c:v>
                </c:pt>
                <c:pt idx="104">
                  <c:v>-0.0268006700167505</c:v>
                </c:pt>
                <c:pt idx="105">
                  <c:v>0.104647160068847</c:v>
                </c:pt>
                <c:pt idx="106">
                  <c:v>-0.00186974135244633</c:v>
                </c:pt>
                <c:pt idx="107">
                  <c:v>-0.065251326881049</c:v>
                </c:pt>
                <c:pt idx="108">
                  <c:v>0.0183700734802938</c:v>
                </c:pt>
                <c:pt idx="109">
                  <c:v>-0.00623155132830433</c:v>
                </c:pt>
                <c:pt idx="110">
                  <c:v>-0.0297029702970297</c:v>
                </c:pt>
                <c:pt idx="111">
                  <c:v>0.0874149659863945</c:v>
                </c:pt>
                <c:pt idx="112">
                  <c:v>0.0322177040975915</c:v>
                </c:pt>
                <c:pt idx="113">
                  <c:v>0.0736363636363637</c:v>
                </c:pt>
                <c:pt idx="114">
                  <c:v>0.0256844482077336</c:v>
                </c:pt>
                <c:pt idx="115">
                  <c:v>-0.015410016510732</c:v>
                </c:pt>
                <c:pt idx="116">
                  <c:v>-0.0268306316377865</c:v>
                </c:pt>
                <c:pt idx="117">
                  <c:v>-0.0117748420448019</c:v>
                </c:pt>
                <c:pt idx="118">
                  <c:v>0.0145306596919501</c:v>
                </c:pt>
                <c:pt idx="119">
                  <c:v>-0.000572901747350252</c:v>
                </c:pt>
                <c:pt idx="120">
                  <c:v>0.00143307537976489</c:v>
                </c:pt>
                <c:pt idx="121">
                  <c:v>-0.0017172295363479</c:v>
                </c:pt>
                <c:pt idx="122">
                  <c:v>-0.0292431192660552</c:v>
                </c:pt>
                <c:pt idx="123">
                  <c:v>-0.0165386887182517</c:v>
                </c:pt>
                <c:pt idx="124">
                  <c:v>0.0195195195195197</c:v>
                </c:pt>
                <c:pt idx="125">
                  <c:v>-0.0282768777614139</c:v>
                </c:pt>
                <c:pt idx="126">
                  <c:v>0.0251591391330706</c:v>
                </c:pt>
                <c:pt idx="127">
                  <c:v>0.00413956238911895</c:v>
                </c:pt>
                <c:pt idx="128">
                  <c:v>0.000294464075382805</c:v>
                </c:pt>
                <c:pt idx="129">
                  <c:v>0.000883132175448997</c:v>
                </c:pt>
                <c:pt idx="130">
                  <c:v>-0.000294117647058778</c:v>
                </c:pt>
                <c:pt idx="131">
                  <c:v>-0.00353045013239206</c:v>
                </c:pt>
                <c:pt idx="132">
                  <c:v>0.00383820490109255</c:v>
                </c:pt>
                <c:pt idx="133">
                  <c:v>-0.0332352941176471</c:v>
                </c:pt>
                <c:pt idx="134">
                  <c:v>0.00395497414055379</c:v>
                </c:pt>
                <c:pt idx="135">
                  <c:v>0.00909090909090904</c:v>
                </c:pt>
                <c:pt idx="136">
                  <c:v>-0.0294294294294294</c:v>
                </c:pt>
                <c:pt idx="137">
                  <c:v>-0.0160891089108911</c:v>
                </c:pt>
                <c:pt idx="138">
                  <c:v>-0.0157232704402516</c:v>
                </c:pt>
                <c:pt idx="139">
                  <c:v>-0.0581469648562301</c:v>
                </c:pt>
                <c:pt idx="140">
                  <c:v>0.0298507462686566</c:v>
                </c:pt>
                <c:pt idx="141">
                  <c:v>-0.0177865612648221</c:v>
                </c:pt>
                <c:pt idx="142">
                  <c:v>0.0328638497652582</c:v>
                </c:pt>
                <c:pt idx="143">
                  <c:v>-0.000324675324675394</c:v>
                </c:pt>
                <c:pt idx="144">
                  <c:v>-0.0454693082169535</c:v>
                </c:pt>
                <c:pt idx="145">
                  <c:v>0.0612453215379381</c:v>
                </c:pt>
                <c:pt idx="146">
                  <c:v>-0.00160307790958647</c:v>
                </c:pt>
                <c:pt idx="147">
                  <c:v>-0.00513808606294153</c:v>
                </c:pt>
                <c:pt idx="148">
                  <c:v>-0.0164622336991608</c:v>
                </c:pt>
                <c:pt idx="149">
                  <c:v>0.000328191663931721</c:v>
                </c:pt>
                <c:pt idx="150">
                  <c:v>-0.0226377952755906</c:v>
                </c:pt>
                <c:pt idx="151">
                  <c:v>0.00704934541792546</c:v>
                </c:pt>
                <c:pt idx="152">
                  <c:v>0.016</c:v>
                </c:pt>
                <c:pt idx="153">
                  <c:v>0.0183727034120735</c:v>
                </c:pt>
                <c:pt idx="154">
                  <c:v>-0.020618556701031</c:v>
                </c:pt>
                <c:pt idx="155">
                  <c:v>0.00625000000000009</c:v>
                </c:pt>
                <c:pt idx="156">
                  <c:v>-0.0421706440013075</c:v>
                </c:pt>
                <c:pt idx="157">
                  <c:v>-0.0133105802047782</c:v>
                </c:pt>
                <c:pt idx="158">
                  <c:v>-0.0217917675544794</c:v>
                </c:pt>
                <c:pt idx="159">
                  <c:v>0.0463224893917962</c:v>
                </c:pt>
                <c:pt idx="160">
                  <c:v>-0.028387968908415</c:v>
                </c:pt>
                <c:pt idx="161">
                  <c:v>0.0323478260869565</c:v>
                </c:pt>
                <c:pt idx="162">
                  <c:v>0.0276280323450135</c:v>
                </c:pt>
                <c:pt idx="163">
                  <c:v>-0.00918032786885248</c:v>
                </c:pt>
                <c:pt idx="164">
                  <c:v>-0.00496360026472531</c:v>
                </c:pt>
                <c:pt idx="165">
                  <c:v>-0.0149650814765547</c:v>
                </c:pt>
                <c:pt idx="166">
                  <c:v>0.00236326806212017</c:v>
                </c:pt>
                <c:pt idx="167">
                  <c:v>-0.00202088245200416</c:v>
                </c:pt>
                <c:pt idx="168">
                  <c:v>0.00911238609517384</c:v>
                </c:pt>
                <c:pt idx="169">
                  <c:v>0.0301003344481605</c:v>
                </c:pt>
                <c:pt idx="170">
                  <c:v>-0.051948051948052</c:v>
                </c:pt>
                <c:pt idx="171">
                  <c:v>-0.00068493150684934</c:v>
                </c:pt>
                <c:pt idx="172">
                  <c:v>0.0246744345442083</c:v>
                </c:pt>
                <c:pt idx="173">
                  <c:v>-0.0244147157190634</c:v>
                </c:pt>
                <c:pt idx="174">
                  <c:v>-0.0233116215289683</c:v>
                </c:pt>
                <c:pt idx="175">
                  <c:v>-0.0294840294840295</c:v>
                </c:pt>
                <c:pt idx="176">
                  <c:v>-0.023508137432188</c:v>
                </c:pt>
                <c:pt idx="177">
                  <c:v>0.0459259259259259</c:v>
                </c:pt>
                <c:pt idx="178">
                  <c:v>-0.0106232294617563</c:v>
                </c:pt>
                <c:pt idx="179">
                  <c:v>-0.00858983536148894</c:v>
                </c:pt>
                <c:pt idx="180">
                  <c:v>-0.0436823104693141</c:v>
                </c:pt>
                <c:pt idx="181">
                  <c:v>0.0151000377500945</c:v>
                </c:pt>
                <c:pt idx="182">
                  <c:v>-0.0293789512830048</c:v>
                </c:pt>
                <c:pt idx="183">
                  <c:v>-0.0114942528735632</c:v>
                </c:pt>
                <c:pt idx="184">
                  <c:v>0.0437984496124031</c:v>
                </c:pt>
                <c:pt idx="185">
                  <c:v>0.0337913108057928</c:v>
                </c:pt>
                <c:pt idx="186">
                  <c:v>0.00574712643678166</c:v>
                </c:pt>
                <c:pt idx="187">
                  <c:v>-0.0235714285714286</c:v>
                </c:pt>
                <c:pt idx="188">
                  <c:v>0.00621799561082659</c:v>
                </c:pt>
                <c:pt idx="189">
                  <c:v>-0.0185387131952018</c:v>
                </c:pt>
                <c:pt idx="190">
                  <c:v>0.0140740740740741</c:v>
                </c:pt>
                <c:pt idx="191">
                  <c:v>-0.00401753104455804</c:v>
                </c:pt>
                <c:pt idx="192">
                  <c:v>0.026035936927026</c:v>
                </c:pt>
                <c:pt idx="193">
                  <c:v>-0.0350250178699071</c:v>
                </c:pt>
                <c:pt idx="194">
                  <c:v>-0.0618518518518519</c:v>
                </c:pt>
                <c:pt idx="195">
                  <c:v>0.0260560600078958</c:v>
                </c:pt>
                <c:pt idx="196">
                  <c:v>-0.0134667179684493</c:v>
                </c:pt>
                <c:pt idx="197">
                  <c:v>-0.0288611544461779</c:v>
                </c:pt>
                <c:pt idx="198">
                  <c:v>0.00281124497991958</c:v>
                </c:pt>
                <c:pt idx="199">
                  <c:v>0.0108129755706847</c:v>
                </c:pt>
                <c:pt idx="200">
                  <c:v>0.00633914421553095</c:v>
                </c:pt>
                <c:pt idx="201">
                  <c:v>0.012992125984252</c:v>
                </c:pt>
                <c:pt idx="202">
                  <c:v>-0.0205985231247572</c:v>
                </c:pt>
                <c:pt idx="203">
                  <c:v>-0.011904761904762</c:v>
                </c:pt>
                <c:pt idx="204">
                  <c:v>-0.00321285140562244</c:v>
                </c:pt>
                <c:pt idx="205">
                  <c:v>0.00725221595487513</c:v>
                </c:pt>
                <c:pt idx="206">
                  <c:v>-0.00280000000000002</c:v>
                </c:pt>
                <c:pt idx="207">
                  <c:v>-0.00601684717208173</c:v>
                </c:pt>
                <c:pt idx="208">
                  <c:v>0.0112994350282485</c:v>
                </c:pt>
                <c:pt idx="209">
                  <c:v>-0.00718276137270546</c:v>
                </c:pt>
                <c:pt idx="210">
                  <c:v>0.0631028938906753</c:v>
                </c:pt>
                <c:pt idx="211">
                  <c:v>-0.0268431001890359</c:v>
                </c:pt>
                <c:pt idx="212">
                  <c:v>0.0641025641025641</c:v>
                </c:pt>
                <c:pt idx="213">
                  <c:v>0.040160642570281</c:v>
                </c:pt>
                <c:pt idx="214">
                  <c:v>0.0898560898560898</c:v>
                </c:pt>
                <c:pt idx="215">
                  <c:v>-0.0660225442834139</c:v>
                </c:pt>
                <c:pt idx="216">
                  <c:v>0.0827586206896551</c:v>
                </c:pt>
                <c:pt idx="217">
                  <c:v>0.247133757961783</c:v>
                </c:pt>
                <c:pt idx="218">
                  <c:v>0.0173646578140962</c:v>
                </c:pt>
                <c:pt idx="219">
                  <c:v>0.0491967871485943</c:v>
                </c:pt>
                <c:pt idx="220">
                  <c:v>-0.110765550239234</c:v>
                </c:pt>
                <c:pt idx="221">
                  <c:v>-0.0486951842884047</c:v>
                </c:pt>
                <c:pt idx="222">
                  <c:v>-0.0384615384615384</c:v>
                </c:pt>
                <c:pt idx="223">
                  <c:v>0.0529411764705881</c:v>
                </c:pt>
                <c:pt idx="224">
                  <c:v>0.005586592178771</c:v>
                </c:pt>
                <c:pt idx="225">
                  <c:v>0.0555555555555556</c:v>
                </c:pt>
                <c:pt idx="226">
                  <c:v>-0.0263157894736842</c:v>
                </c:pt>
                <c:pt idx="227">
                  <c:v>0.00324324324324321</c:v>
                </c:pt>
                <c:pt idx="228">
                  <c:v>-0.0167025862068965</c:v>
                </c:pt>
                <c:pt idx="229">
                  <c:v>-0.0821917808219178</c:v>
                </c:pt>
                <c:pt idx="230">
                  <c:v>-0.0161194029850746</c:v>
                </c:pt>
                <c:pt idx="231">
                  <c:v>0.037621359223301</c:v>
                </c:pt>
                <c:pt idx="232">
                  <c:v>0.057017543859649</c:v>
                </c:pt>
                <c:pt idx="233">
                  <c:v>-0.0337482710926694</c:v>
                </c:pt>
                <c:pt idx="234">
                  <c:v>-0.0443744632121385</c:v>
                </c:pt>
                <c:pt idx="235">
                  <c:v>-0.0524266027561415</c:v>
                </c:pt>
                <c:pt idx="236">
                  <c:v>0.0588049320265571</c:v>
                </c:pt>
                <c:pt idx="237">
                  <c:v>-0.0588235294117648</c:v>
                </c:pt>
                <c:pt idx="238">
                  <c:v>-0.0358502538071066</c:v>
                </c:pt>
                <c:pt idx="239">
                  <c:v>-0.0454096742349457</c:v>
                </c:pt>
                <c:pt idx="240">
                  <c:v>0.188900379179593</c:v>
                </c:pt>
                <c:pt idx="241">
                  <c:v>-0.104378080603073</c:v>
                </c:pt>
                <c:pt idx="242">
                  <c:v>0.00809323405632889</c:v>
                </c:pt>
                <c:pt idx="243">
                  <c:v>0.00353243416827231</c:v>
                </c:pt>
                <c:pt idx="244">
                  <c:v>-0.04288</c:v>
                </c:pt>
                <c:pt idx="245">
                  <c:v>0.0230692076228687</c:v>
                </c:pt>
                <c:pt idx="246">
                  <c:v>-0.0107843137254903</c:v>
                </c:pt>
                <c:pt idx="247">
                  <c:v>-0.028410967955071</c:v>
                </c:pt>
                <c:pt idx="248">
                  <c:v>0.00612036722203335</c:v>
                </c:pt>
                <c:pt idx="249">
                  <c:v>-0.00405542412977356</c:v>
                </c:pt>
                <c:pt idx="250">
                  <c:v>-0.0668476416694944</c:v>
                </c:pt>
                <c:pt idx="251">
                  <c:v>-0.0152727272727273</c:v>
                </c:pt>
                <c:pt idx="252">
                  <c:v>-0.000369276218611492</c:v>
                </c:pt>
                <c:pt idx="253">
                  <c:v>-0.0395271518285926</c:v>
                </c:pt>
                <c:pt idx="254">
                  <c:v>0</c:v>
                </c:pt>
                <c:pt idx="255">
                  <c:v>0.163076923076923</c:v>
                </c:pt>
                <c:pt idx="256">
                  <c:v>0.107142857142857</c:v>
                </c:pt>
                <c:pt idx="257">
                  <c:v>0.0185185185185186</c:v>
                </c:pt>
                <c:pt idx="258">
                  <c:v>-0.0293255131964809</c:v>
                </c:pt>
              </c:numCache>
            </c:numRef>
          </c:yVal>
          <c:smooth val="1"/>
        </c:ser>
        <c:axId val="83403873"/>
        <c:axId val="4196825"/>
      </c:scatterChart>
      <c:valAx>
        <c:axId val="83403873"/>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Rendimiento IPC</a:t>
                </a:r>
              </a:p>
            </c:rich>
          </c:tx>
          <c:overlay val="0"/>
          <c:spPr>
            <a:noFill/>
            <a:ln w="0">
              <a:noFill/>
            </a:ln>
          </c:spPr>
        </c:title>
        <c:numFmt formatCode="0%" sourceLinked="0"/>
        <c:majorTickMark val="out"/>
        <c:minorTickMark val="none"/>
        <c:tickLblPos val="nextTo"/>
        <c:spPr>
          <a:ln w="0">
            <a:solidFill>
              <a:srgbClr val="b3b3b3"/>
            </a:solidFill>
          </a:ln>
        </c:spPr>
        <c:txPr>
          <a:bodyPr/>
          <a:lstStyle/>
          <a:p>
            <a:pPr>
              <a:defRPr b="0" sz="1000" spc="-1" strike="noStrike">
                <a:solidFill>
                  <a:srgbClr val="000000"/>
                </a:solidFill>
                <a:latin typeface="Calibri"/>
              </a:defRPr>
            </a:pPr>
          </a:p>
        </c:txPr>
        <c:crossAx val="4196825"/>
        <c:crosses val="autoZero"/>
        <c:crossBetween val="midCat"/>
      </c:valAx>
      <c:valAx>
        <c:axId val="4196825"/>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Rendimiento Soriana B</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3403873"/>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g frente a sus referencias</a:t>
            </a:r>
          </a:p>
        </c:rich>
      </c:tx>
      <c:overlay val="0"/>
      <c:spPr>
        <a:noFill/>
        <a:ln w="0">
          <a:noFill/>
        </a:ln>
      </c:spPr>
    </c:title>
    <c:autoTitleDeleted val="0"/>
    <c:plotArea>
      <c:barChart>
        <c:barDir val="bar"/>
        <c:grouping val="clustered"/>
        <c:varyColors val="0"/>
        <c:ser>
          <c:idx val="0"/>
          <c:order val="0"/>
          <c:spPr>
            <a:solidFill>
              <a:srgbClr val="4472c4"/>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'Crecimiento Perpetuo'!$A$44:$A$51</c:f>
              <c:strCache>
                <c:ptCount val="8"/>
                <c:pt idx="0">
                  <c:v>Meta Banxico</c:v>
                </c:pt>
                <c:pt idx="1">
                  <c:v>g Conservador</c:v>
                </c:pt>
                <c:pt idx="2">
                  <c:v>g Base</c:v>
                </c:pt>
                <c:pt idx="3">
                  <c:v>Inflación LP esperada</c:v>
                </c:pt>
                <c:pt idx="4">
                  <c:v>g Optimista</c:v>
                </c:pt>
                <c:pt idx="5">
                  <c:v>g implícita en el múltiplo</c:v>
                </c:pt>
                <c:pt idx="6">
                  <c:v>PIB nominal LP</c:v>
                </c:pt>
                <c:pt idx="7">
                  <c:v>Bono M 10 años</c:v>
                </c:pt>
              </c:strCache>
            </c:strRef>
          </c:cat>
          <c:val>
            <c:numRef>
              <c:f>'Crecimiento Perpetuo'!$B$44:$B$51</c:f>
              <c:numCache>
                <c:formatCode>0.00%</c:formatCode>
                <c:ptCount val="8"/>
                <c:pt idx="0">
                  <c:v>0.03</c:v>
                </c:pt>
                <c:pt idx="1">
                  <c:v>0.03</c:v>
                </c:pt>
                <c:pt idx="2">
                  <c:v>0.035</c:v>
                </c:pt>
                <c:pt idx="3">
                  <c:v>0.037</c:v>
                </c:pt>
                <c:pt idx="4">
                  <c:v>0.04</c:v>
                </c:pt>
                <c:pt idx="5">
                  <c:v>0.00585519958893175</c:v>
                </c:pt>
                <c:pt idx="6">
                  <c:v>0.055666</c:v>
                </c:pt>
                <c:pt idx="7">
                  <c:v>0.0915</c:v>
                </c:pt>
              </c:numCache>
            </c:numRef>
          </c:val>
        </c:ser>
        <c:gapWidth val="150"/>
        <c:overlap val="0"/>
        <c:axId val="76262811"/>
        <c:axId val="80866645"/>
      </c:barChart>
      <c:catAx>
        <c:axId val="7626281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0866645"/>
        <c:crosses val="autoZero"/>
        <c:auto val="1"/>
        <c:lblAlgn val="ctr"/>
        <c:lblOffset val="100"/>
        <c:noMultiLvlLbl val="0"/>
      </c:catAx>
      <c:valAx>
        <c:axId val="80866645"/>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62628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Valor por acción por escenario vs. precio de mercado (MXN)</a:t>
            </a:r>
          </a:p>
        </c:rich>
      </c:tx>
      <c:overlay val="0"/>
      <c:spPr>
        <a:noFill/>
        <a:ln w="0">
          <a:noFill/>
        </a:ln>
      </c:spPr>
    </c:title>
    <c:autoTitleDeleted val="0"/>
    <c:plotArea>
      <c:barChart>
        <c:barDir val="col"/>
        <c:grouping val="clustered"/>
        <c:varyColors val="0"/>
        <c:ser>
          <c:idx val="0"/>
          <c:order val="0"/>
          <c:tx>
            <c:strRef>
              <c:f>"Valor DCF"</c:f>
              <c:strCache>
                <c:ptCount val="1"/>
                <c:pt idx="0">
                  <c:v>Valor DCF</c:v>
                </c:pt>
              </c:strCache>
            </c:strRef>
          </c:tx>
          <c:spPr>
            <a:solidFill>
              <a:srgbClr val="4472c4"/>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multiLvlStrRef>
              <c:f>Escenarios!$B$21:$D$21</c:f>
              <c:multiLvlStrCache>
                <c:ptCount val="1"/>
                <c:lvl>
                  <c:pt idx="0">
                    <c:v>Optimista</c:v>
                  </c:pt>
                </c:lvl>
                <c:lvl>
                  <c:pt idx="0">
                    <c:v>Base</c:v>
                  </c:pt>
                </c:lvl>
                <c:lvl>
                  <c:pt idx="0">
                    <c:v>Conservador</c:v>
                  </c:pt>
                </c:lvl>
              </c:multiLvlStrCache>
            </c:multiLvlStrRef>
          </c:cat>
          <c:val>
            <c:numRef>
              <c:f>Escenarios!$B$36:$D$36</c:f>
              <c:numCache>
                <c:formatCode>#,##0.00</c:formatCode>
                <c:ptCount val="3"/>
                <c:pt idx="0">
                  <c:v>32.1247976721337</c:v>
                </c:pt>
                <c:pt idx="1">
                  <c:v>39.2103079806326</c:v>
                </c:pt>
                <c:pt idx="2">
                  <c:v>47.7416662911104</c:v>
                </c:pt>
              </c:numCache>
            </c:numRef>
          </c:val>
        </c:ser>
        <c:ser>
          <c:idx val="1"/>
          <c:order val="1"/>
          <c:tx>
            <c:strRef>
              <c:f>"Precio de mercado"</c:f>
              <c:strCache>
                <c:ptCount val="1"/>
                <c:pt idx="0">
                  <c:v>Precio de mercado</c:v>
                </c:pt>
              </c:strCache>
            </c:strRef>
          </c:tx>
          <c:spPr>
            <a:solidFill>
              <a:srgbClr val="ed7d31"/>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multiLvlStrRef>
              <c:f>Escenarios!$B$21:$D$21</c:f>
              <c:multiLvlStrCache>
                <c:ptCount val="1"/>
                <c:lvl>
                  <c:pt idx="0">
                    <c:v>Optimista</c:v>
                  </c:pt>
                </c:lvl>
                <c:lvl>
                  <c:pt idx="0">
                    <c:v>Base</c:v>
                  </c:pt>
                </c:lvl>
                <c:lvl>
                  <c:pt idx="0">
                    <c:v>Conservador</c:v>
                  </c:pt>
                </c:lvl>
              </c:multiLvlStrCache>
            </c:multiLvlStrRef>
          </c:cat>
          <c:val>
            <c:numRef>
              <c:f>Escenarios!$B$37:$D$37</c:f>
              <c:numCache>
                <c:formatCode>#,##0.00</c:formatCode>
                <c:ptCount val="3"/>
                <c:pt idx="0">
                  <c:v>33.1</c:v>
                </c:pt>
                <c:pt idx="1">
                  <c:v>33.1</c:v>
                </c:pt>
                <c:pt idx="2">
                  <c:v>33.1</c:v>
                </c:pt>
              </c:numCache>
            </c:numRef>
          </c:val>
        </c:ser>
        <c:gapWidth val="150"/>
        <c:overlap val="0"/>
        <c:axId val="7472973"/>
        <c:axId val="40128987"/>
      </c:barChart>
      <c:catAx>
        <c:axId val="747297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0128987"/>
        <c:crosses val="autoZero"/>
        <c:auto val="1"/>
        <c:lblAlgn val="ctr"/>
        <c:lblOffset val="100"/>
        <c:noMultiLvlLbl val="0"/>
      </c:catAx>
      <c:valAx>
        <c:axId val="40128987"/>
        <c:scaling>
          <c:orientation val="minMax"/>
        </c:scaling>
        <c:delete val="0"/>
        <c:axPos val="l"/>
        <c:majorGridlines>
          <c:spPr>
            <a:ln w="0">
              <a:solidFill>
                <a:srgbClr val="b3b3b3"/>
              </a:solidFill>
            </a:ln>
          </c:spPr>
        </c:majorGridlines>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47297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Enterprise Value y Equity Value por escenario (mdp)</a:t>
            </a:r>
          </a:p>
        </c:rich>
      </c:tx>
      <c:overlay val="0"/>
      <c:spPr>
        <a:noFill/>
        <a:ln w="0">
          <a:noFill/>
        </a:ln>
      </c:spPr>
    </c:title>
    <c:autoTitleDeleted val="0"/>
    <c:plotArea>
      <c:barChart>
        <c:barDir val="col"/>
        <c:grouping val="clustered"/>
        <c:varyColors val="0"/>
        <c:ser>
          <c:idx val="0"/>
          <c:order val="0"/>
          <c:tx>
            <c:strRef>
              <c:f>"Enterprise Value"</c:f>
              <c:strCache>
                <c:ptCount val="1"/>
                <c:pt idx="0">
                  <c:v>Enterprise Value</c:v>
                </c:pt>
              </c:strCache>
            </c:strRef>
          </c:tx>
          <c:spPr>
            <a:solidFill>
              <a:srgbClr val="4472c4"/>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multiLvlStrRef>
              <c:f>Escenarios!$B$21:$D$21</c:f>
              <c:multiLvlStrCache>
                <c:ptCount val="1"/>
                <c:lvl>
                  <c:pt idx="0">
                    <c:v>Optimista</c:v>
                  </c:pt>
                </c:lvl>
                <c:lvl>
                  <c:pt idx="0">
                    <c:v>Base</c:v>
                  </c:pt>
                </c:lvl>
                <c:lvl>
                  <c:pt idx="0">
                    <c:v>Conservador</c:v>
                  </c:pt>
                </c:lvl>
              </c:multiLvlStrCache>
            </c:multiLvlStrRef>
          </c:cat>
          <c:val>
            <c:numRef>
              <c:f>Escenarios!$B$34:$D$34</c:f>
              <c:numCache>
                <c:formatCode>#,##0</c:formatCode>
                <c:ptCount val="3"/>
                <c:pt idx="0">
                  <c:v>68478.9165095676</c:v>
                </c:pt>
                <c:pt idx="1">
                  <c:v>80709.585445956</c:v>
                </c:pt>
                <c:pt idx="2">
                  <c:v>95332.846118684</c:v>
                </c:pt>
              </c:numCache>
            </c:numRef>
          </c:val>
        </c:ser>
        <c:ser>
          <c:idx val="1"/>
          <c:order val="1"/>
          <c:tx>
            <c:strRef>
              <c:f>"Equity Value"</c:f>
              <c:strCache>
                <c:ptCount val="1"/>
                <c:pt idx="0">
                  <c:v>Equity Value</c:v>
                </c:pt>
              </c:strCache>
            </c:strRef>
          </c:tx>
          <c:spPr>
            <a:solidFill>
              <a:srgbClr val="ed7d31"/>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multiLvlStrRef>
              <c:f>Escenarios!$B$21:$D$21</c:f>
              <c:multiLvlStrCache>
                <c:ptCount val="1"/>
                <c:lvl>
                  <c:pt idx="0">
                    <c:v>Optimista</c:v>
                  </c:pt>
                </c:lvl>
                <c:lvl>
                  <c:pt idx="0">
                    <c:v>Base</c:v>
                  </c:pt>
                </c:lvl>
                <c:lvl>
                  <c:pt idx="0">
                    <c:v>Conservador</c:v>
                  </c:pt>
                </c:lvl>
              </c:multiLvlStrCache>
            </c:multiLvlStrRef>
          </c:cat>
          <c:val>
            <c:numRef>
              <c:f>Escenarios!$B$35:$D$35</c:f>
              <c:numCache>
                <c:formatCode>#,##0</c:formatCode>
                <c:ptCount val="3"/>
                <c:pt idx="0">
                  <c:v>57824.6358098406</c:v>
                </c:pt>
                <c:pt idx="1">
                  <c:v>70578.5543651386</c:v>
                </c:pt>
                <c:pt idx="2">
                  <c:v>85934.9993239988</c:v>
                </c:pt>
              </c:numCache>
            </c:numRef>
          </c:val>
        </c:ser>
        <c:gapWidth val="150"/>
        <c:overlap val="0"/>
        <c:axId val="44279881"/>
        <c:axId val="69989647"/>
      </c:barChart>
      <c:catAx>
        <c:axId val="4427988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9989647"/>
        <c:crosses val="autoZero"/>
        <c:auto val="1"/>
        <c:lblAlgn val="ctr"/>
        <c:lblOffset val="100"/>
        <c:noMultiLvlLbl val="0"/>
      </c:catAx>
      <c:valAx>
        <c:axId val="69989647"/>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427988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Tornado: cambio en el valor por acción vs. Base (MXN)</a:t>
            </a:r>
          </a:p>
        </c:rich>
      </c:tx>
      <c:overlay val="0"/>
      <c:spPr>
        <a:noFill/>
        <a:ln w="0">
          <a:noFill/>
        </a:ln>
      </c:spPr>
    </c:title>
    <c:autoTitleDeleted val="0"/>
    <c:plotArea>
      <c:barChart>
        <c:barDir val="bar"/>
        <c:grouping val="clustered"/>
        <c:varyColors val="0"/>
        <c:ser>
          <c:idx val="0"/>
          <c:order val="0"/>
          <c:tx>
            <c:strRef>
              <c:f>Escenarios!$C$58</c:f>
              <c:strCache>
                <c:ptCount val="1"/>
                <c:pt idx="0">
                  <c:v>Cambio caso malo</c:v>
                </c:pt>
              </c:strCache>
            </c:strRef>
          </c:tx>
          <c:spPr>
            <a:solidFill>
              <a:srgbClr val="4472c4"/>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Escenarios!$A$59:$A$63</c:f>
              <c:strCache>
                <c:ptCount val="5"/>
                <c:pt idx="0">
                  <c:v>Margen de operación (EBIT)</c:v>
                </c:pt>
                <c:pt idx="1">
                  <c:v>Beta (más o menos un error típico)</c:v>
                </c:pt>
                <c:pt idx="2">
                  <c:v>Crecimiento perpetuo g</c:v>
                </c:pt>
                <c:pt idx="3">
                  <c:v>Crecimiento de ventas</c:v>
                </c:pt>
                <c:pt idx="4">
                  <c:v>Inflación (con su efecto en tasas)</c:v>
                </c:pt>
              </c:strCache>
            </c:strRef>
          </c:cat>
          <c:val>
            <c:numRef>
              <c:f>Escenarios!$C$59:$C$63</c:f>
              <c:numCache>
                <c:formatCode>#,##0.00</c:formatCode>
                <c:ptCount val="5"/>
                <c:pt idx="0">
                  <c:v>-2.06178681168579</c:v>
                </c:pt>
                <c:pt idx="1">
                  <c:v>-1.66692520868286</c:v>
                </c:pt>
                <c:pt idx="2">
                  <c:v>-1.48563519723453</c:v>
                </c:pt>
                <c:pt idx="3">
                  <c:v>-1.35743755821145</c:v>
                </c:pt>
                <c:pt idx="4">
                  <c:v>-1.39726921359453</c:v>
                </c:pt>
              </c:numCache>
            </c:numRef>
          </c:val>
        </c:ser>
        <c:ser>
          <c:idx val="1"/>
          <c:order val="1"/>
          <c:tx>
            <c:strRef>
              <c:f>Escenarios!$D$58</c:f>
              <c:strCache>
                <c:ptCount val="1"/>
                <c:pt idx="0">
                  <c:v>Cambio caso bueno</c:v>
                </c:pt>
              </c:strCache>
            </c:strRef>
          </c:tx>
          <c:spPr>
            <a:solidFill>
              <a:srgbClr val="ed7d31"/>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Escenarios!$A$59:$A$63</c:f>
              <c:strCache>
                <c:ptCount val="5"/>
                <c:pt idx="0">
                  <c:v>Margen de operación (EBIT)</c:v>
                </c:pt>
                <c:pt idx="1">
                  <c:v>Beta (más o menos un error típico)</c:v>
                </c:pt>
                <c:pt idx="2">
                  <c:v>Crecimiento perpetuo g</c:v>
                </c:pt>
                <c:pt idx="3">
                  <c:v>Crecimiento de ventas</c:v>
                </c:pt>
                <c:pt idx="4">
                  <c:v>Inflación (con su efecto en tasas)</c:v>
                </c:pt>
              </c:strCache>
            </c:strRef>
          </c:cat>
          <c:val>
            <c:numRef>
              <c:f>Escenarios!$D$59:$D$63</c:f>
              <c:numCache>
                <c:formatCode>#,##0.00</c:formatCode>
                <c:ptCount val="5"/>
                <c:pt idx="0">
                  <c:v>2.06109548003387</c:v>
                </c:pt>
                <c:pt idx="1">
                  <c:v>1.86273558640645</c:v>
                </c:pt>
                <c:pt idx="2">
                  <c:v>1.72789854020261</c:v>
                </c:pt>
                <c:pt idx="3">
                  <c:v>1.3925334042866</c:v>
                </c:pt>
                <c:pt idx="4">
                  <c:v>0.569680278363663</c:v>
                </c:pt>
              </c:numCache>
            </c:numRef>
          </c:val>
        </c:ser>
        <c:gapWidth val="150"/>
        <c:overlap val="100"/>
        <c:axId val="17489094"/>
        <c:axId val="33121649"/>
      </c:barChart>
      <c:catAx>
        <c:axId val="17489094"/>
        <c:scaling>
          <c:orientation val="maxMin"/>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3121649"/>
        <c:crosses val="autoZero"/>
        <c:auto val="1"/>
        <c:lblAlgn val="ctr"/>
        <c:lblOffset val="100"/>
        <c:noMultiLvlLbl val="0"/>
      </c:catAx>
      <c:valAx>
        <c:axId val="33121649"/>
        <c:scaling>
          <c:orientation val="minMax"/>
        </c:scaling>
        <c:delete val="0"/>
        <c:axPos val="l"/>
        <c:majorGridlines>
          <c:spPr>
            <a:ln w="0">
              <a:solidFill>
                <a:srgbClr val="b3b3b3"/>
              </a:solidFill>
            </a:ln>
          </c:spPr>
        </c:majorGridlines>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748909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Precio objetivo vs. WACC para tres valores de g</a:t>
            </a:r>
          </a:p>
        </c:rich>
      </c:tx>
      <c:overlay val="0"/>
      <c:spPr>
        <a:noFill/>
        <a:ln w="0">
          <a:noFill/>
        </a:ln>
      </c:spPr>
    </c:title>
    <c:autoTitleDeleted val="0"/>
    <c:plotArea>
      <c:scatterChart>
        <c:scatterStyle val="line"/>
        <c:varyColors val="0"/>
        <c:ser>
          <c:idx val="0"/>
          <c:order val="0"/>
          <c:tx>
            <c:strRef>
              <c:f>"g − 0.5 pp"</c:f>
              <c:strCache>
                <c:ptCount val="1"/>
                <c:pt idx="0">
                  <c:v>g − 0.5 pp</c:v>
                </c:pt>
              </c:strCache>
            </c:strRef>
          </c:tx>
          <c:spPr>
            <a:solidFill>
              <a:srgbClr val="7f7f7f"/>
            </a:solidFill>
            <a:ln w="19080">
              <a:solidFill>
                <a:srgbClr val="7f7f7f"/>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Escenarios!$T$22:$T$26</c:f>
              <c:numCache>
                <c:formatCode>0.00%</c:formatCode>
                <c:ptCount val="5"/>
                <c:pt idx="0">
                  <c:v>0.0863307440168375</c:v>
                </c:pt>
                <c:pt idx="1">
                  <c:v>0.0913307440168375</c:v>
                </c:pt>
                <c:pt idx="2">
                  <c:v>0.0963307440168375</c:v>
                </c:pt>
                <c:pt idx="3">
                  <c:v>0.101330744016837</c:v>
                </c:pt>
                <c:pt idx="4">
                  <c:v>0.106330744016837</c:v>
                </c:pt>
              </c:numCache>
            </c:numRef>
          </c:xVal>
          <c:yVal>
            <c:numRef>
              <c:f>Escenarios!$V$22:$V$26</c:f>
              <c:numCache>
                <c:formatCode>#,##0.00</c:formatCode>
                <c:ptCount val="5"/>
                <c:pt idx="0">
                  <c:v>42.7217263360192</c:v>
                </c:pt>
                <c:pt idx="1">
                  <c:v>39.9679580477011</c:v>
                </c:pt>
                <c:pt idx="2">
                  <c:v>37.5823995445421</c:v>
                </c:pt>
                <c:pt idx="3">
                  <c:v>35.4891966443159</c:v>
                </c:pt>
                <c:pt idx="4">
                  <c:v>33.6323137974818</c:v>
                </c:pt>
              </c:numCache>
            </c:numRef>
          </c:yVal>
          <c:smooth val="0"/>
        </c:ser>
        <c:ser>
          <c:idx val="1"/>
          <c:order val="1"/>
          <c:tx>
            <c:strRef>
              <c:f>"g del modelo"</c:f>
              <c:strCache>
                <c:ptCount val="1"/>
                <c:pt idx="0">
                  <c:v>g del modelo</c:v>
                </c:pt>
              </c:strCache>
            </c:strRef>
          </c:tx>
          <c:spPr>
            <a:solidFill>
              <a:srgbClr val="1f4e79"/>
            </a:solidFill>
            <a:ln w="19080">
              <a:solidFill>
                <a:srgbClr val="1f4e79"/>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Escenarios!$T$22:$T$26</c:f>
              <c:numCache>
                <c:formatCode>0.00%</c:formatCode>
                <c:ptCount val="5"/>
                <c:pt idx="0">
                  <c:v>0.0863307440168375</c:v>
                </c:pt>
                <c:pt idx="1">
                  <c:v>0.0913307440168375</c:v>
                </c:pt>
                <c:pt idx="2">
                  <c:v>0.0963307440168375</c:v>
                </c:pt>
                <c:pt idx="3">
                  <c:v>0.101330744016837</c:v>
                </c:pt>
                <c:pt idx="4">
                  <c:v>0.106330744016837</c:v>
                </c:pt>
              </c:numCache>
            </c:numRef>
          </c:xVal>
          <c:yVal>
            <c:numRef>
              <c:f>Escenarios!$W$22:$W$26</c:f>
              <c:numCache>
                <c:formatCode>#,##0.00</c:formatCode>
                <c:ptCount val="5"/>
                <c:pt idx="0">
                  <c:v>45.0867111569137</c:v>
                </c:pt>
                <c:pt idx="1">
                  <c:v>41.9157724194278</c:v>
                </c:pt>
                <c:pt idx="2">
                  <c:v>39.2103079806325</c:v>
                </c:pt>
                <c:pt idx="3">
                  <c:v>36.866770394504</c:v>
                </c:pt>
                <c:pt idx="4">
                  <c:v>34.8105841969584</c:v>
                </c:pt>
              </c:numCache>
            </c:numRef>
          </c:yVal>
          <c:smooth val="0"/>
        </c:ser>
        <c:ser>
          <c:idx val="2"/>
          <c:order val="2"/>
          <c:tx>
            <c:strRef>
              <c:f>"g + 0.5 pp"</c:f>
              <c:strCache>
                <c:ptCount val="1"/>
                <c:pt idx="0">
                  <c:v>g + 0.5 pp</c:v>
                </c:pt>
              </c:strCache>
            </c:strRef>
          </c:tx>
          <c:spPr>
            <a:solidFill>
              <a:srgbClr val="c00000"/>
            </a:solidFill>
            <a:ln w="19080">
              <a:solidFill>
                <a:srgbClr val="c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Escenarios!$T$22:$T$26</c:f>
              <c:numCache>
                <c:formatCode>0.00%</c:formatCode>
                <c:ptCount val="5"/>
                <c:pt idx="0">
                  <c:v>0.0863307440168375</c:v>
                </c:pt>
                <c:pt idx="1">
                  <c:v>0.0913307440168375</c:v>
                </c:pt>
                <c:pt idx="2">
                  <c:v>0.0963307440168375</c:v>
                </c:pt>
                <c:pt idx="3">
                  <c:v>0.101330744016837</c:v>
                </c:pt>
                <c:pt idx="4">
                  <c:v>0.106330744016837</c:v>
                </c:pt>
              </c:numCache>
            </c:numRef>
          </c:xVal>
          <c:yVal>
            <c:numRef>
              <c:f>Escenarios!$X$22:$X$26</c:f>
              <c:numCache>
                <c:formatCode>#,##0.00</c:formatCode>
                <c:ptCount val="5"/>
                <c:pt idx="0">
                  <c:v>47.9621528830622</c:v>
                </c:pt>
                <c:pt idx="1">
                  <c:v>44.2430502898889</c:v>
                </c:pt>
                <c:pt idx="2">
                  <c:v>41.1272075288595</c:v>
                </c:pt>
                <c:pt idx="3">
                  <c:v>38.4689580430349</c:v>
                </c:pt>
                <c:pt idx="4">
                  <c:v>36.166490233867</c:v>
                </c:pt>
              </c:numCache>
            </c:numRef>
          </c:yVal>
          <c:smooth val="0"/>
        </c:ser>
        <c:axId val="90889660"/>
        <c:axId val="15439028"/>
      </c:scatterChart>
      <c:valAx>
        <c:axId val="90889660"/>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WACC</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5439028"/>
        <c:crosses val="autoZero"/>
        <c:crossBetween val="midCat"/>
      </c:valAx>
      <c:valAx>
        <c:axId val="15439028"/>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MXN por acción</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0889660"/>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Inflación vs. valor de la acción</a:t>
            </a:r>
          </a:p>
        </c:rich>
      </c:tx>
      <c:overlay val="0"/>
      <c:spPr>
        <a:noFill/>
        <a:ln w="0">
          <a:noFill/>
        </a:ln>
      </c:spPr>
    </c:title>
    <c:autoTitleDeleted val="0"/>
    <c:plotArea>
      <c:scatterChart>
        <c:scatterStyle val="lineMarker"/>
        <c:varyColors val="0"/>
        <c:ser>
          <c:idx val="0"/>
          <c:order val="0"/>
          <c:tx>
            <c:strRef>
              <c:f>"MXN por acción"</c:f>
              <c:strCache>
                <c:ptCount val="1"/>
                <c:pt idx="0">
                  <c:v>MXN por acción</c:v>
                </c:pt>
              </c:strCache>
            </c:strRef>
          </c:tx>
          <c:spPr>
            <a:solidFill>
              <a:srgbClr val="1f4e79"/>
            </a:solidFill>
            <a:ln w="19080">
              <a:solidFill>
                <a:srgbClr val="1f4e79"/>
              </a:solidFill>
              <a:round/>
            </a:ln>
          </c:spPr>
          <c:marker>
            <c:symbol val="circle"/>
            <c:size val="7"/>
            <c:spPr>
              <a:solidFill>
                <a:srgbClr val="1f4e79"/>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Escenarios!$T$30:$T$32</c:f>
              <c:numCache>
                <c:formatCode>0.00%</c:formatCode>
                <c:ptCount val="3"/>
                <c:pt idx="0">
                  <c:v>0.0333</c:v>
                </c:pt>
                <c:pt idx="1">
                  <c:v>0.0351</c:v>
                </c:pt>
                <c:pt idx="2">
                  <c:v>0.04</c:v>
                </c:pt>
              </c:numCache>
            </c:numRef>
          </c:xVal>
          <c:yVal>
            <c:numRef>
              <c:f>Escenarios!$U$30:$U$32</c:f>
              <c:numCache>
                <c:formatCode>#,##0.00</c:formatCode>
                <c:ptCount val="3"/>
                <c:pt idx="0">
                  <c:v>39.7799882589962</c:v>
                </c:pt>
                <c:pt idx="1">
                  <c:v>39.2103079806326</c:v>
                </c:pt>
                <c:pt idx="2">
                  <c:v>37.813038767038</c:v>
                </c:pt>
              </c:numCache>
            </c:numRef>
          </c:yVal>
          <c:smooth val="0"/>
        </c:ser>
        <c:axId val="54981361"/>
        <c:axId val="86691734"/>
      </c:scatterChart>
      <c:valAx>
        <c:axId val="54981361"/>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Inflación</a:t>
                </a:r>
              </a:p>
            </c:rich>
          </c:tx>
          <c:overlay val="0"/>
          <c:spPr>
            <a:noFill/>
            <a:ln w="0">
              <a:noFill/>
            </a:ln>
          </c:spPr>
        </c:title>
        <c:numFmt formatCode="0.00%" sourceLinked="0"/>
        <c:majorTickMark val="out"/>
        <c:minorTickMark val="none"/>
        <c:tickLblPos val="nextTo"/>
        <c:spPr>
          <a:ln w="0">
            <a:solidFill>
              <a:srgbClr val="b3b3b3"/>
            </a:solidFill>
          </a:ln>
        </c:spPr>
        <c:txPr>
          <a:bodyPr/>
          <a:lstStyle/>
          <a:p>
            <a:pPr>
              <a:defRPr b="0" sz="1000" spc="-1" strike="noStrike">
                <a:solidFill>
                  <a:srgbClr val="000000"/>
                </a:solidFill>
                <a:latin typeface="Calibri"/>
              </a:defRPr>
            </a:pPr>
          </a:p>
        </c:txPr>
        <c:crossAx val="86691734"/>
        <c:crosses val="autoZero"/>
        <c:crossBetween val="midCat"/>
      </c:valAx>
      <c:valAx>
        <c:axId val="86691734"/>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MXN por acción</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4981361"/>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Beta vs. costo de capital (CAPM)</a:t>
            </a:r>
          </a:p>
        </c:rich>
      </c:tx>
      <c:overlay val="0"/>
      <c:spPr>
        <a:noFill/>
        <a:ln w="0">
          <a:noFill/>
        </a:ln>
      </c:spPr>
    </c:title>
    <c:autoTitleDeleted val="0"/>
    <c:plotArea>
      <c:scatterChart>
        <c:scatterStyle val="line"/>
        <c:varyColors val="0"/>
        <c:ser>
          <c:idx val="0"/>
          <c:order val="0"/>
          <c:tx>
            <c:strRef>
              <c:f>"Ke"</c:f>
              <c:strCache>
                <c:ptCount val="1"/>
                <c:pt idx="0">
                  <c:v>Ke</c:v>
                </c:pt>
              </c:strCache>
            </c:strRef>
          </c:tx>
          <c:spPr>
            <a:solidFill>
              <a:srgbClr val="1f4e79"/>
            </a:solidFill>
            <a:ln w="19080">
              <a:solidFill>
                <a:srgbClr val="1f4e79"/>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Escenarios!$T$36:$T$43</c:f>
              <c:numCache>
                <c:formatCode>0.00</c:formatCode>
                <c:ptCount val="8"/>
                <c:pt idx="0">
                  <c:v>0.2</c:v>
                </c:pt>
                <c:pt idx="1">
                  <c:v>0.4</c:v>
                </c:pt>
                <c:pt idx="2">
                  <c:v>0.6</c:v>
                </c:pt>
                <c:pt idx="3">
                  <c:v>0.8</c:v>
                </c:pt>
                <c:pt idx="4">
                  <c:v>1</c:v>
                </c:pt>
                <c:pt idx="5">
                  <c:v>1.2</c:v>
                </c:pt>
                <c:pt idx="6">
                  <c:v>1.4</c:v>
                </c:pt>
                <c:pt idx="7">
                  <c:v>1.6</c:v>
                </c:pt>
              </c:numCache>
            </c:numRef>
          </c:xVal>
          <c:yVal>
            <c:numRef>
              <c:f>Escenarios!$U$36:$U$43</c:f>
              <c:numCache>
                <c:formatCode>0.00%</c:formatCode>
                <c:ptCount val="8"/>
                <c:pt idx="0">
                  <c:v>0.10363</c:v>
                </c:pt>
                <c:pt idx="1">
                  <c:v>0.11209</c:v>
                </c:pt>
                <c:pt idx="2">
                  <c:v>0.12055</c:v>
                </c:pt>
                <c:pt idx="3">
                  <c:v>0.12901</c:v>
                </c:pt>
                <c:pt idx="4">
                  <c:v>0.13747</c:v>
                </c:pt>
                <c:pt idx="5">
                  <c:v>0.14593</c:v>
                </c:pt>
                <c:pt idx="6">
                  <c:v>0.15439</c:v>
                </c:pt>
                <c:pt idx="7">
                  <c:v>0.16285</c:v>
                </c:pt>
              </c:numCache>
            </c:numRef>
          </c:yVal>
          <c:smooth val="0"/>
        </c:ser>
        <c:axId val="56147001"/>
        <c:axId val="22118007"/>
      </c:scatterChart>
      <c:valAx>
        <c:axId val="56147001"/>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Beta</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2118007"/>
        <c:crosses val="autoZero"/>
        <c:crossBetween val="midCat"/>
      </c:valAx>
      <c:valAx>
        <c:axId val="22118007"/>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Ke</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6147001"/>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MX" sz="1800" spc="-1" strike="noStrike">
                <a:solidFill>
                  <a:srgbClr val="000000"/>
                </a:solidFill>
                <a:latin typeface="Calibri"/>
              </a:defRPr>
            </a:pPr>
            <a:r>
              <a:rPr b="1" lang="es-MX" sz="1800" spc="-1" strike="noStrike">
                <a:solidFill>
                  <a:srgbClr val="000000"/>
                </a:solidFill>
                <a:latin typeface="Calibri"/>
              </a:rPr>
              <a:t>Crecimiento perpetuo vs. Enterprise Value</a:t>
            </a:r>
          </a:p>
        </c:rich>
      </c:tx>
      <c:overlay val="0"/>
      <c:spPr>
        <a:noFill/>
        <a:ln w="0">
          <a:noFill/>
        </a:ln>
      </c:spPr>
    </c:title>
    <c:autoTitleDeleted val="0"/>
    <c:plotArea>
      <c:scatterChart>
        <c:scatterStyle val="line"/>
        <c:varyColors val="0"/>
        <c:ser>
          <c:idx val="0"/>
          <c:order val="0"/>
          <c:tx>
            <c:strRef>
              <c:f>"EV (mdp)"</c:f>
              <c:strCache>
                <c:ptCount val="1"/>
                <c:pt idx="0">
                  <c:v>EV (mdp)</c:v>
                </c:pt>
              </c:strCache>
            </c:strRef>
          </c:tx>
          <c:spPr>
            <a:solidFill>
              <a:srgbClr val="1f4e79"/>
            </a:solidFill>
            <a:ln w="19080">
              <a:solidFill>
                <a:srgbClr val="1f4e79"/>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Escenarios!$T$47:$T$51</c:f>
              <c:numCache>
                <c:formatCode>0.00%</c:formatCode>
                <c:ptCount val="5"/>
                <c:pt idx="0">
                  <c:v>0.025</c:v>
                </c:pt>
                <c:pt idx="1">
                  <c:v>0.03</c:v>
                </c:pt>
                <c:pt idx="2">
                  <c:v>0.035</c:v>
                </c:pt>
                <c:pt idx="3">
                  <c:v>0.04</c:v>
                </c:pt>
                <c:pt idx="4">
                  <c:v>0.045</c:v>
                </c:pt>
              </c:numCache>
            </c:numRef>
          </c:xVal>
          <c:yVal>
            <c:numRef>
              <c:f>Escenarios!$U$47:$U$51</c:f>
              <c:numCache>
                <c:formatCode>#,##0</c:formatCode>
                <c:ptCount val="5"/>
                <c:pt idx="0">
                  <c:v>75641.6783351675</c:v>
                </c:pt>
                <c:pt idx="1">
                  <c:v>77984.6229102651</c:v>
                </c:pt>
                <c:pt idx="2">
                  <c:v>80709.585445956</c:v>
                </c:pt>
                <c:pt idx="3">
                  <c:v>83918.2913767058</c:v>
                </c:pt>
                <c:pt idx="4">
                  <c:v>87752.1014223887</c:v>
                </c:pt>
              </c:numCache>
            </c:numRef>
          </c:yVal>
          <c:smooth val="0"/>
        </c:ser>
        <c:axId val="33169450"/>
        <c:axId val="56220475"/>
      </c:scatterChart>
      <c:valAx>
        <c:axId val="33169450"/>
        <c:scaling>
          <c:orientation val="minMax"/>
        </c:scaling>
        <c:delete val="0"/>
        <c:axPos val="b"/>
        <c:majorGridlines>
          <c:spPr>
            <a:ln w="0">
              <a:solidFill>
                <a:srgbClr val="b3b3b3"/>
              </a:solidFill>
            </a:ln>
          </c:spPr>
        </c:majorGridlines>
        <c:title>
          <c:tx>
            <c:rich>
              <a:bodyPr rot="0"/>
              <a:lstStyle/>
              <a:p>
                <a:pPr>
                  <a:defRPr b="1" lang="es-MX" sz="1000" spc="-1" strike="noStrike">
                    <a:solidFill>
                      <a:srgbClr val="000000"/>
                    </a:solidFill>
                    <a:latin typeface="Calibri"/>
                  </a:defRPr>
                </a:pPr>
                <a:r>
                  <a:rPr b="1" lang="es-MX" sz="1000" spc="-1" strike="noStrike">
                    <a:solidFill>
                      <a:srgbClr val="000000"/>
                    </a:solidFill>
                    <a:latin typeface="Calibri"/>
                  </a:rPr>
                  <a:t>g</a:t>
                </a:r>
              </a:p>
            </c:rich>
          </c:tx>
          <c:overlay val="0"/>
          <c:spPr>
            <a:noFill/>
            <a:ln w="0">
              <a:noFill/>
            </a:ln>
          </c:spPr>
        </c:title>
        <c:numFmt formatCode="0.0%" sourceLinked="0"/>
        <c:majorTickMark val="out"/>
        <c:minorTickMark val="none"/>
        <c:tickLblPos val="nextTo"/>
        <c:spPr>
          <a:ln w="0">
            <a:solidFill>
              <a:srgbClr val="b3b3b3"/>
            </a:solidFill>
          </a:ln>
        </c:spPr>
        <c:txPr>
          <a:bodyPr/>
          <a:lstStyle/>
          <a:p>
            <a:pPr>
              <a:defRPr b="0" sz="1000" spc="-1" strike="noStrike">
                <a:solidFill>
                  <a:srgbClr val="000000"/>
                </a:solidFill>
                <a:latin typeface="Calibri"/>
              </a:defRPr>
            </a:pPr>
          </a:p>
        </c:txPr>
        <c:crossAx val="56220475"/>
        <c:crosses val="autoZero"/>
        <c:crossBetween val="midCat"/>
      </c:valAx>
      <c:valAx>
        <c:axId val="56220475"/>
        <c:scaling>
          <c:orientation val="minMax"/>
        </c:scaling>
        <c:delete val="0"/>
        <c:axPos val="l"/>
        <c:majorGridlines>
          <c:spPr>
            <a:ln w="0">
              <a:solidFill>
                <a:srgbClr val="b3b3b3"/>
              </a:solidFill>
            </a:ln>
          </c:spPr>
        </c:majorGridlines>
        <c:title>
          <c:tx>
            <c:rich>
              <a:bodyPr rot="-5400000"/>
              <a:lstStyle/>
              <a:p>
                <a:pPr>
                  <a:defRPr b="1" lang="es-MX" sz="1000" spc="-1" strike="noStrike">
                    <a:solidFill>
                      <a:srgbClr val="000000"/>
                    </a:solidFill>
                    <a:latin typeface="Calibri"/>
                  </a:defRPr>
                </a:pPr>
                <a:r>
                  <a:rPr b="1" lang="es-MX" sz="1000" spc="-1" strike="noStrike">
                    <a:solidFill>
                      <a:srgbClr val="000000"/>
                    </a:solidFill>
                    <a:latin typeface="Calibri"/>
                  </a:rPr>
                  <a:t>EV (mdp)</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3169450"/>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
</Relationships>
</file>

<file path=xl/drawings/_rels/drawing2.xml.rels><?xml version="1.0" encoding="UTF-8"?>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5" Type="http://schemas.openxmlformats.org/officeDocument/2006/relationships/chart" Target="../charts/chart19.xml"/>
</Relationships>
</file>

<file path=xl/drawings/_rels/drawing3.xml.rels><?xml version="1.0" encoding="UTF-8"?>
<Relationships xmlns="http://schemas.openxmlformats.org/package/2006/relationships"><Relationship Id="rId1" Type="http://schemas.openxmlformats.org/officeDocument/2006/relationships/chart" Target="../charts/chart20.xml"/>
</Relationships>
</file>

<file path=xl/drawings/_rels/drawing4.xml.rels><?xml version="1.0" encoding="UTF-8"?>
<Relationships xmlns="http://schemas.openxmlformats.org/package/2006/relationships"><Relationship Id="rId1" Type="http://schemas.openxmlformats.org/officeDocument/2006/relationships/chart" Target="../charts/chart21.xml"/>
</Relationships>
</file>

<file path=xl/drawings/_rels/drawing5.xml.rels><?xml version="1.0" encoding="UTF-8"?>
<Relationships xmlns="http://schemas.openxmlformats.org/package/2006/relationships"><Relationship Id="rId1" Type="http://schemas.openxmlformats.org/officeDocument/2006/relationships/chart" Target="../charts/chart22.xml"/><Relationship Id="rId2" Type="http://schemas.openxmlformats.org/officeDocument/2006/relationships/chart" Target="../charts/chart23.xml"/><Relationship Id="rId3" Type="http://schemas.openxmlformats.org/officeDocument/2006/relationships/chart" Target="../charts/chart24.xml"/><Relationship Id="rId4" Type="http://schemas.openxmlformats.org/officeDocument/2006/relationships/chart" Target="../charts/chart25.xml"/><Relationship Id="rId5" Type="http://schemas.openxmlformats.org/officeDocument/2006/relationships/chart" Target="../charts/chart26.xml"/><Relationship Id="rId6" Type="http://schemas.openxmlformats.org/officeDocument/2006/relationships/chart" Target="../charts/chart27.xml"/><Relationship Id="rId7" Type="http://schemas.openxmlformats.org/officeDocument/2006/relationships/chart" Target="../charts/chart2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2</xdr:row>
      <xdr:rowOff>160920</xdr:rowOff>
    </xdr:from>
    <xdr:to>
      <xdr:col>20</xdr:col>
      <xdr:colOff>684360</xdr:colOff>
      <xdr:row>15</xdr:row>
      <xdr:rowOff>360</xdr:rowOff>
    </xdr:to>
    <xdr:graphicFrame>
      <xdr:nvGraphicFramePr>
        <xdr:cNvPr id="0" name="Chart 1"/>
        <xdr:cNvGraphicFramePr/>
      </xdr:nvGraphicFramePr>
      <xdr:xfrm>
        <a:off x="17915400" y="560880"/>
        <a:ext cx="5759280" cy="2944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0</xdr:colOff>
      <xdr:row>2</xdr:row>
      <xdr:rowOff>160920</xdr:rowOff>
    </xdr:from>
    <xdr:to>
      <xdr:col>28</xdr:col>
      <xdr:colOff>684360</xdr:colOff>
      <xdr:row>15</xdr:row>
      <xdr:rowOff>360</xdr:rowOff>
    </xdr:to>
    <xdr:graphicFrame>
      <xdr:nvGraphicFramePr>
        <xdr:cNvPr id="1" name="Chart 2"/>
        <xdr:cNvGraphicFramePr/>
      </xdr:nvGraphicFramePr>
      <xdr:xfrm>
        <a:off x="24681960" y="560880"/>
        <a:ext cx="5759280" cy="29448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0</xdr:colOff>
      <xdr:row>16</xdr:row>
      <xdr:rowOff>69840</xdr:rowOff>
    </xdr:from>
    <xdr:to>
      <xdr:col>20</xdr:col>
      <xdr:colOff>684360</xdr:colOff>
      <xdr:row>33</xdr:row>
      <xdr:rowOff>41760</xdr:rowOff>
    </xdr:to>
    <xdr:graphicFrame>
      <xdr:nvGraphicFramePr>
        <xdr:cNvPr id="2" name="Chart 3"/>
        <xdr:cNvGraphicFramePr/>
      </xdr:nvGraphicFramePr>
      <xdr:xfrm>
        <a:off x="17915400" y="3750480"/>
        <a:ext cx="5759280" cy="2951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0</xdr:colOff>
      <xdr:row>16</xdr:row>
      <xdr:rowOff>69840</xdr:rowOff>
    </xdr:from>
    <xdr:to>
      <xdr:col>28</xdr:col>
      <xdr:colOff>684360</xdr:colOff>
      <xdr:row>33</xdr:row>
      <xdr:rowOff>41760</xdr:rowOff>
    </xdr:to>
    <xdr:graphicFrame>
      <xdr:nvGraphicFramePr>
        <xdr:cNvPr id="3" name="Chart 4"/>
        <xdr:cNvGraphicFramePr/>
      </xdr:nvGraphicFramePr>
      <xdr:xfrm>
        <a:off x="24681960" y="3750480"/>
        <a:ext cx="5759280" cy="2951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0</xdr:colOff>
      <xdr:row>34</xdr:row>
      <xdr:rowOff>1080</xdr:rowOff>
    </xdr:from>
    <xdr:to>
      <xdr:col>20</xdr:col>
      <xdr:colOff>684360</xdr:colOff>
      <xdr:row>45</xdr:row>
      <xdr:rowOff>19440</xdr:rowOff>
    </xdr:to>
    <xdr:graphicFrame>
      <xdr:nvGraphicFramePr>
        <xdr:cNvPr id="4" name="Chart 5"/>
        <xdr:cNvGraphicFramePr/>
      </xdr:nvGraphicFramePr>
      <xdr:xfrm>
        <a:off x="17915400" y="6836400"/>
        <a:ext cx="5759280" cy="3104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0</xdr:colOff>
      <xdr:row>34</xdr:row>
      <xdr:rowOff>1080</xdr:rowOff>
    </xdr:from>
    <xdr:to>
      <xdr:col>28</xdr:col>
      <xdr:colOff>684360</xdr:colOff>
      <xdr:row>45</xdr:row>
      <xdr:rowOff>19440</xdr:rowOff>
    </xdr:to>
    <xdr:graphicFrame>
      <xdr:nvGraphicFramePr>
        <xdr:cNvPr id="5" name="Chart 6"/>
        <xdr:cNvGraphicFramePr/>
      </xdr:nvGraphicFramePr>
      <xdr:xfrm>
        <a:off x="24681960" y="6836400"/>
        <a:ext cx="5759280" cy="31042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0</xdr:colOff>
      <xdr:row>47</xdr:row>
      <xdr:rowOff>77040</xdr:rowOff>
    </xdr:from>
    <xdr:to>
      <xdr:col>20</xdr:col>
      <xdr:colOff>684360</xdr:colOff>
      <xdr:row>64</xdr:row>
      <xdr:rowOff>42480</xdr:rowOff>
    </xdr:to>
    <xdr:graphicFrame>
      <xdr:nvGraphicFramePr>
        <xdr:cNvPr id="6" name="Chart 7"/>
        <xdr:cNvGraphicFramePr/>
      </xdr:nvGraphicFramePr>
      <xdr:xfrm>
        <a:off x="17915400" y="10348920"/>
        <a:ext cx="5759280" cy="29448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0</xdr:colOff>
      <xdr:row>47</xdr:row>
      <xdr:rowOff>77040</xdr:rowOff>
    </xdr:from>
    <xdr:to>
      <xdr:col>28</xdr:col>
      <xdr:colOff>684360</xdr:colOff>
      <xdr:row>64</xdr:row>
      <xdr:rowOff>42480</xdr:rowOff>
    </xdr:to>
    <xdr:graphicFrame>
      <xdr:nvGraphicFramePr>
        <xdr:cNvPr id="7" name="Chart 8"/>
        <xdr:cNvGraphicFramePr/>
      </xdr:nvGraphicFramePr>
      <xdr:xfrm>
        <a:off x="24681960" y="10348920"/>
        <a:ext cx="5759280" cy="294480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0</xdr:colOff>
      <xdr:row>65</xdr:row>
      <xdr:rowOff>8280</xdr:rowOff>
    </xdr:from>
    <xdr:to>
      <xdr:col>20</xdr:col>
      <xdr:colOff>684360</xdr:colOff>
      <xdr:row>81</xdr:row>
      <xdr:rowOff>149400</xdr:rowOff>
    </xdr:to>
    <xdr:graphicFrame>
      <xdr:nvGraphicFramePr>
        <xdr:cNvPr id="8" name="Chart 9"/>
        <xdr:cNvGraphicFramePr/>
      </xdr:nvGraphicFramePr>
      <xdr:xfrm>
        <a:off x="17915400" y="13434840"/>
        <a:ext cx="5759280" cy="294516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22</xdr:col>
      <xdr:colOff>0</xdr:colOff>
      <xdr:row>65</xdr:row>
      <xdr:rowOff>8280</xdr:rowOff>
    </xdr:from>
    <xdr:to>
      <xdr:col>28</xdr:col>
      <xdr:colOff>684360</xdr:colOff>
      <xdr:row>81</xdr:row>
      <xdr:rowOff>149400</xdr:rowOff>
    </xdr:to>
    <xdr:graphicFrame>
      <xdr:nvGraphicFramePr>
        <xdr:cNvPr id="9" name="Chart 10"/>
        <xdr:cNvGraphicFramePr/>
      </xdr:nvGraphicFramePr>
      <xdr:xfrm>
        <a:off x="24681960" y="13434840"/>
        <a:ext cx="5759280" cy="294516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14</xdr:col>
      <xdr:colOff>0</xdr:colOff>
      <xdr:row>82</xdr:row>
      <xdr:rowOff>115200</xdr:rowOff>
    </xdr:from>
    <xdr:to>
      <xdr:col>20</xdr:col>
      <xdr:colOff>684360</xdr:colOff>
      <xdr:row>99</xdr:row>
      <xdr:rowOff>80640</xdr:rowOff>
    </xdr:to>
    <xdr:graphicFrame>
      <xdr:nvGraphicFramePr>
        <xdr:cNvPr id="10" name="Chart 11"/>
        <xdr:cNvGraphicFramePr/>
      </xdr:nvGraphicFramePr>
      <xdr:xfrm>
        <a:off x="17915400" y="16521120"/>
        <a:ext cx="5759280" cy="29448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0</xdr:colOff>
      <xdr:row>82</xdr:row>
      <xdr:rowOff>115200</xdr:rowOff>
    </xdr:from>
    <xdr:to>
      <xdr:col>28</xdr:col>
      <xdr:colOff>684360</xdr:colOff>
      <xdr:row>99</xdr:row>
      <xdr:rowOff>80640</xdr:rowOff>
    </xdr:to>
    <xdr:graphicFrame>
      <xdr:nvGraphicFramePr>
        <xdr:cNvPr id="11" name="Chart 12"/>
        <xdr:cNvGraphicFramePr/>
      </xdr:nvGraphicFramePr>
      <xdr:xfrm>
        <a:off x="24681960" y="16521120"/>
        <a:ext cx="5759280" cy="29448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14</xdr:col>
      <xdr:colOff>0</xdr:colOff>
      <xdr:row>100</xdr:row>
      <xdr:rowOff>46440</xdr:rowOff>
    </xdr:from>
    <xdr:to>
      <xdr:col>20</xdr:col>
      <xdr:colOff>684360</xdr:colOff>
      <xdr:row>117</xdr:row>
      <xdr:rowOff>12240</xdr:rowOff>
    </xdr:to>
    <xdr:graphicFrame>
      <xdr:nvGraphicFramePr>
        <xdr:cNvPr id="12" name="Chart 13"/>
        <xdr:cNvGraphicFramePr/>
      </xdr:nvGraphicFramePr>
      <xdr:xfrm>
        <a:off x="17915400" y="19607040"/>
        <a:ext cx="5759280" cy="294516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22</xdr:col>
      <xdr:colOff>0</xdr:colOff>
      <xdr:row>100</xdr:row>
      <xdr:rowOff>46440</xdr:rowOff>
    </xdr:from>
    <xdr:to>
      <xdr:col>28</xdr:col>
      <xdr:colOff>684360</xdr:colOff>
      <xdr:row>117</xdr:row>
      <xdr:rowOff>12240</xdr:rowOff>
    </xdr:to>
    <xdr:graphicFrame>
      <xdr:nvGraphicFramePr>
        <xdr:cNvPr id="13" name="Chart 14"/>
        <xdr:cNvGraphicFramePr/>
      </xdr:nvGraphicFramePr>
      <xdr:xfrm>
        <a:off x="24681960" y="19607040"/>
        <a:ext cx="5759280" cy="294516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21</xdr:row>
      <xdr:rowOff>122040</xdr:rowOff>
    </xdr:from>
    <xdr:to>
      <xdr:col>2</xdr:col>
      <xdr:colOff>754920</xdr:colOff>
      <xdr:row>38</xdr:row>
      <xdr:rowOff>93960</xdr:rowOff>
    </xdr:to>
    <xdr:graphicFrame>
      <xdr:nvGraphicFramePr>
        <xdr:cNvPr id="14" name="Chart 1"/>
        <xdr:cNvGraphicFramePr/>
      </xdr:nvGraphicFramePr>
      <xdr:xfrm>
        <a:off x="0" y="4240800"/>
        <a:ext cx="5759280" cy="2951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21</xdr:row>
      <xdr:rowOff>122040</xdr:rowOff>
    </xdr:from>
    <xdr:to>
      <xdr:col>10</xdr:col>
      <xdr:colOff>613800</xdr:colOff>
      <xdr:row>38</xdr:row>
      <xdr:rowOff>93960</xdr:rowOff>
    </xdr:to>
    <xdr:graphicFrame>
      <xdr:nvGraphicFramePr>
        <xdr:cNvPr id="15" name="Chart 2"/>
        <xdr:cNvGraphicFramePr/>
      </xdr:nvGraphicFramePr>
      <xdr:xfrm>
        <a:off x="6837120" y="4240800"/>
        <a:ext cx="5759280" cy="2951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39</xdr:row>
      <xdr:rowOff>53280</xdr:rowOff>
    </xdr:from>
    <xdr:to>
      <xdr:col>2</xdr:col>
      <xdr:colOff>754920</xdr:colOff>
      <xdr:row>56</xdr:row>
      <xdr:rowOff>25200</xdr:rowOff>
    </xdr:to>
    <xdr:graphicFrame>
      <xdr:nvGraphicFramePr>
        <xdr:cNvPr id="16" name="Chart 3"/>
        <xdr:cNvGraphicFramePr/>
      </xdr:nvGraphicFramePr>
      <xdr:xfrm>
        <a:off x="0" y="7326720"/>
        <a:ext cx="5759280" cy="2951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0</xdr:colOff>
      <xdr:row>39</xdr:row>
      <xdr:rowOff>53280</xdr:rowOff>
    </xdr:from>
    <xdr:to>
      <xdr:col>10</xdr:col>
      <xdr:colOff>613800</xdr:colOff>
      <xdr:row>56</xdr:row>
      <xdr:rowOff>25200</xdr:rowOff>
    </xdr:to>
    <xdr:graphicFrame>
      <xdr:nvGraphicFramePr>
        <xdr:cNvPr id="17" name="Chart 4"/>
        <xdr:cNvGraphicFramePr/>
      </xdr:nvGraphicFramePr>
      <xdr:xfrm>
        <a:off x="6837120" y="7326720"/>
        <a:ext cx="5759280" cy="2951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56</xdr:row>
      <xdr:rowOff>160200</xdr:rowOff>
    </xdr:from>
    <xdr:to>
      <xdr:col>2</xdr:col>
      <xdr:colOff>754920</xdr:colOff>
      <xdr:row>73</xdr:row>
      <xdr:rowOff>132120</xdr:rowOff>
    </xdr:to>
    <xdr:graphicFrame>
      <xdr:nvGraphicFramePr>
        <xdr:cNvPr id="18" name="Chart 5"/>
        <xdr:cNvGraphicFramePr/>
      </xdr:nvGraphicFramePr>
      <xdr:xfrm>
        <a:off x="0" y="10413000"/>
        <a:ext cx="5759280" cy="2951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34</xdr:row>
      <xdr:rowOff>127800</xdr:rowOff>
    </xdr:from>
    <xdr:to>
      <xdr:col>13</xdr:col>
      <xdr:colOff>135720</xdr:colOff>
      <xdr:row>54</xdr:row>
      <xdr:rowOff>117360</xdr:rowOff>
    </xdr:to>
    <xdr:graphicFrame>
      <xdr:nvGraphicFramePr>
        <xdr:cNvPr id="19" name="Chart 1"/>
        <xdr:cNvGraphicFramePr/>
      </xdr:nvGraphicFramePr>
      <xdr:xfrm>
        <a:off x="11207160" y="6277320"/>
        <a:ext cx="6479280" cy="3494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12600</xdr:colOff>
      <xdr:row>41</xdr:row>
      <xdr:rowOff>125640</xdr:rowOff>
    </xdr:from>
    <xdr:to>
      <xdr:col>4</xdr:col>
      <xdr:colOff>133200</xdr:colOff>
      <xdr:row>58</xdr:row>
      <xdr:rowOff>126720</xdr:rowOff>
    </xdr:to>
    <xdr:graphicFrame>
      <xdr:nvGraphicFramePr>
        <xdr:cNvPr id="20" name="Chart 1"/>
        <xdr:cNvGraphicFramePr/>
      </xdr:nvGraphicFramePr>
      <xdr:xfrm>
        <a:off x="8799840" y="7936200"/>
        <a:ext cx="646416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17</xdr:row>
      <xdr:rowOff>11520</xdr:rowOff>
    </xdr:from>
    <xdr:to>
      <xdr:col>16</xdr:col>
      <xdr:colOff>566280</xdr:colOff>
      <xdr:row>34</xdr:row>
      <xdr:rowOff>12240</xdr:rowOff>
    </xdr:to>
    <xdr:graphicFrame>
      <xdr:nvGraphicFramePr>
        <xdr:cNvPr id="21" name="Chart 1"/>
        <xdr:cNvGraphicFramePr/>
      </xdr:nvGraphicFramePr>
      <xdr:xfrm>
        <a:off x="13321800" y="3669120"/>
        <a:ext cx="5758560" cy="323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35</xdr:row>
      <xdr:rowOff>11520</xdr:rowOff>
    </xdr:from>
    <xdr:to>
      <xdr:col>16</xdr:col>
      <xdr:colOff>566280</xdr:colOff>
      <xdr:row>50</xdr:row>
      <xdr:rowOff>53280</xdr:rowOff>
    </xdr:to>
    <xdr:graphicFrame>
      <xdr:nvGraphicFramePr>
        <xdr:cNvPr id="22" name="Chart 2"/>
        <xdr:cNvGraphicFramePr/>
      </xdr:nvGraphicFramePr>
      <xdr:xfrm>
        <a:off x="13321800" y="7098120"/>
        <a:ext cx="5758560" cy="3089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51</xdr:row>
      <xdr:rowOff>52560</xdr:rowOff>
    </xdr:from>
    <xdr:to>
      <xdr:col>16</xdr:col>
      <xdr:colOff>566280</xdr:colOff>
      <xdr:row>68</xdr:row>
      <xdr:rowOff>53280</xdr:rowOff>
    </xdr:to>
    <xdr:graphicFrame>
      <xdr:nvGraphicFramePr>
        <xdr:cNvPr id="23" name="Chart 3"/>
        <xdr:cNvGraphicFramePr/>
      </xdr:nvGraphicFramePr>
      <xdr:xfrm>
        <a:off x="13321800" y="10377720"/>
        <a:ext cx="5758560" cy="323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0</xdr:colOff>
      <xdr:row>17</xdr:row>
      <xdr:rowOff>11520</xdr:rowOff>
    </xdr:from>
    <xdr:to>
      <xdr:col>35</xdr:col>
      <xdr:colOff>255600</xdr:colOff>
      <xdr:row>34</xdr:row>
      <xdr:rowOff>12240</xdr:rowOff>
    </xdr:to>
    <xdr:graphicFrame>
      <xdr:nvGraphicFramePr>
        <xdr:cNvPr id="24" name="Chart 4"/>
        <xdr:cNvGraphicFramePr/>
      </xdr:nvGraphicFramePr>
      <xdr:xfrm>
        <a:off x="27160200" y="3669120"/>
        <a:ext cx="5753520" cy="323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0</xdr:colOff>
      <xdr:row>35</xdr:row>
      <xdr:rowOff>11520</xdr:rowOff>
    </xdr:from>
    <xdr:to>
      <xdr:col>35</xdr:col>
      <xdr:colOff>255600</xdr:colOff>
      <xdr:row>49</xdr:row>
      <xdr:rowOff>64080</xdr:rowOff>
    </xdr:to>
    <xdr:graphicFrame>
      <xdr:nvGraphicFramePr>
        <xdr:cNvPr id="25" name="Chart 5"/>
        <xdr:cNvGraphicFramePr/>
      </xdr:nvGraphicFramePr>
      <xdr:xfrm>
        <a:off x="27160200" y="7098120"/>
        <a:ext cx="5753520" cy="29102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0</xdr:colOff>
      <xdr:row>51</xdr:row>
      <xdr:rowOff>52560</xdr:rowOff>
    </xdr:from>
    <xdr:to>
      <xdr:col>35</xdr:col>
      <xdr:colOff>255600</xdr:colOff>
      <xdr:row>67</xdr:row>
      <xdr:rowOff>64080</xdr:rowOff>
    </xdr:to>
    <xdr:graphicFrame>
      <xdr:nvGraphicFramePr>
        <xdr:cNvPr id="26" name="Chart 6"/>
        <xdr:cNvGraphicFramePr/>
      </xdr:nvGraphicFramePr>
      <xdr:xfrm>
        <a:off x="27160200" y="10377720"/>
        <a:ext cx="5753520" cy="305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34</xdr:col>
      <xdr:colOff>0</xdr:colOff>
      <xdr:row>17</xdr:row>
      <xdr:rowOff>11520</xdr:rowOff>
    </xdr:from>
    <xdr:to>
      <xdr:col>43</xdr:col>
      <xdr:colOff>255600</xdr:colOff>
      <xdr:row>33</xdr:row>
      <xdr:rowOff>22680</xdr:rowOff>
    </xdr:to>
    <xdr:graphicFrame>
      <xdr:nvGraphicFramePr>
        <xdr:cNvPr id="27" name="Chart 7"/>
        <xdr:cNvGraphicFramePr/>
      </xdr:nvGraphicFramePr>
      <xdr:xfrm>
        <a:off x="32047200" y="3669120"/>
        <a:ext cx="5753520" cy="30592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xmlns:r="http://schemas.openxmlformats.org/officeDocument/2006/relationships"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1.xml.rels><?xml version="1.0" encoding="UTF-8"?>
<Relationships xmlns="http://schemas.openxmlformats.org/package/2006/relationships"><Relationship Id="rId1" Type="http://schemas.openxmlformats.org/officeDocument/2006/relationships/drawing" Target="../drawings/drawing1.xml"/>
</Relationships>
</file>

<file path=xl/worksheets/_rels/sheet12.xml.rels><?xml version="1.0" encoding="UTF-8"?>
<Relationships xmlns="http://schemas.openxmlformats.org/package/2006/relationships"><Relationship Id="rId1" Type="http://schemas.openxmlformats.org/officeDocument/2006/relationships/drawing" Target="../drawings/drawing2.xml"/>
</Relationships>
</file>

<file path=xl/worksheets/_rels/sheet13.xml.rels><?xml version="1.0" encoding="UTF-8"?>
<Relationships xmlns="http://schemas.openxmlformats.org/package/2006/relationships"><Relationship Id="rId1" Type="http://schemas.openxmlformats.org/officeDocument/2006/relationships/drawing" Target="../drawings/drawing3.x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2.vml"/>
</Relationships>
</file>

<file path=xl/worksheets/_rels/sheet17.xml.rels><?xml version="1.0" encoding="UTF-8"?>
<Relationships xmlns="http://schemas.openxmlformats.org/package/2006/relationships"><Relationship Id="rId1" Type="http://schemas.openxmlformats.org/officeDocument/2006/relationships/drawing" Target="../drawings/drawing4.xml"/>
</Relationships>
</file>

<file path=xl/worksheets/_rels/sheet21.xml.rels><?xml version="1.0" encoding="UTF-8"?>
<Relationships xmlns="http://schemas.openxmlformats.org/package/2006/relationships"><Relationship Id="rId1" Type="http://schemas.openxmlformats.org/officeDocument/2006/relationships/drawing" Target="../drawings/drawing5.x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3.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4.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5.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6.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7.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8.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9.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10.vml"/>
</Relationships>
</file>

<file path=xl/worksheets/_rels/sheet32.xml.rels><?xml version="1.0" encoding="UTF-8"?>
<Relationships xmlns="http://schemas.openxmlformats.org/package/2006/relationships"><Relationship Id="rId1" Type="http://schemas.openxmlformats.org/officeDocument/2006/relationships/comments" Target="../comments32.xml"/><Relationship Id="rId2" Type="http://schemas.openxmlformats.org/officeDocument/2006/relationships/vmlDrawing" Target="../drawings/vmlDrawing11.vml"/>
</Relationships>
</file>

<file path=xl/worksheets/_rels/sheet33.xml.rels><?xml version="1.0" encoding="UTF-8"?>
<Relationships xmlns="http://schemas.openxmlformats.org/package/2006/relationships"><Relationship Id="rId1" Type="http://schemas.openxmlformats.org/officeDocument/2006/relationships/comments" Target="../comments33.xml"/><Relationship Id="rId2" Type="http://schemas.openxmlformats.org/officeDocument/2006/relationships/vmlDrawing" Target="../drawings/vmlDrawing12.vml"/>
</Relationships>
</file>

<file path=xl/worksheets/_rels/sheet34.xml.rels><?xml version="1.0" encoding="UTF-8"?>
<Relationships xmlns="http://schemas.openxmlformats.org/package/2006/relationships"><Relationship Id="rId1" Type="http://schemas.openxmlformats.org/officeDocument/2006/relationships/comments" Target="../comments34.xml"/><Relationship Id="rId2" Type="http://schemas.openxmlformats.org/officeDocument/2006/relationships/vmlDrawing" Target="../drawings/vmlDrawing1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J49"/>
  <sheetViews>
    <sheetView showFormulas="false" showGridLines="true" showRowColHeaders="true" showZeros="true" rightToLeft="false" tabSelected="false" showOutlineSymbols="true" defaultGridColor="true" view="normal" topLeftCell="A1" colorId="64" zoomScale="99" zoomScaleNormal="99" zoomScalePageLayoutView="100" workbookViewId="0">
      <selection pane="topLeft" activeCell="D11" activeCellId="0" sqref="D11"/>
    </sheetView>
  </sheetViews>
  <sheetFormatPr defaultColWidth="11.5078125" defaultRowHeight="15" zeroHeight="false" outlineLevelRow="0" outlineLevelCol="0"/>
  <cols>
    <col collapsed="false" customWidth="true" hidden="false" outlineLevel="0" max="1" min="1" style="0" width="61.16"/>
    <col collapsed="false" customWidth="true" hidden="false" outlineLevel="0" max="5" min="2" style="0" width="22.16"/>
  </cols>
  <sheetData>
    <row r="4" customFormat="false" ht="15" hidden="false" customHeight="false" outlineLevel="0" collapsed="false">
      <c r="A4" s="1" t="s">
        <v>0</v>
      </c>
      <c r="B4" s="1" t="s">
        <v>1</v>
      </c>
      <c r="C4" s="1" t="s">
        <v>2</v>
      </c>
      <c r="D4" s="1" t="s">
        <v>3</v>
      </c>
      <c r="E4" s="1" t="s">
        <v>4</v>
      </c>
      <c r="F4" s="2"/>
      <c r="G4" s="2"/>
      <c r="H4" s="2"/>
      <c r="I4" s="2"/>
      <c r="J4" s="2"/>
    </row>
    <row r="5" customFormat="false" ht="15" hidden="false" customHeight="false" outlineLevel="0" collapsed="false">
      <c r="A5" s="3" t="s">
        <v>5</v>
      </c>
      <c r="B5" s="4" t="n">
        <f aca="false">Valuación!B15</f>
        <v>0.100615773284249</v>
      </c>
      <c r="C5" s="4" t="n">
        <f aca="false">Valuación!B53</f>
        <v>0.122289471513545</v>
      </c>
      <c r="D5" s="4" t="n">
        <f aca="false">Valuación!B91</f>
        <v>0.100912937683063</v>
      </c>
      <c r="E5" s="4" t="n">
        <f aca="false">Valuación!B129</f>
        <v>0.120853587694298</v>
      </c>
    </row>
    <row r="6" customFormat="false" ht="15" hidden="false" customHeight="false" outlineLevel="0" collapsed="false">
      <c r="A6" s="3" t="s">
        <v>6</v>
      </c>
      <c r="B6" s="4" t="n">
        <f aca="false">Valuación!B16</f>
        <v>0.035</v>
      </c>
      <c r="C6" s="4" t="n">
        <f aca="false">Valuación!B54</f>
        <v>0.035</v>
      </c>
      <c r="D6" s="4" t="n">
        <f aca="false">Valuación!B92</f>
        <v>0.035</v>
      </c>
      <c r="E6" s="4" t="n">
        <f aca="false">Valuación!B130</f>
        <v>0.035</v>
      </c>
    </row>
    <row r="7" customFormat="false" ht="15" hidden="false" customHeight="false" outlineLevel="0" collapsed="false">
      <c r="A7" s="3" t="s">
        <v>7</v>
      </c>
      <c r="B7" s="5" t="n">
        <f aca="false">Valuación!B27</f>
        <v>6761.4</v>
      </c>
      <c r="C7" s="5" t="n">
        <f aca="false">Valuación!B65</f>
        <v>40916.76</v>
      </c>
      <c r="D7" s="5" t="n">
        <f aca="false">Valuación!B103</f>
        <v>12113.9</v>
      </c>
      <c r="E7" s="5" t="n">
        <f aca="false">Valuación!B141</f>
        <v>302.924418660537</v>
      </c>
    </row>
    <row r="8" customFormat="false" ht="15" hidden="false" customHeight="false" outlineLevel="0" collapsed="false">
      <c r="A8" s="3" t="s">
        <v>8</v>
      </c>
      <c r="B8" s="5" t="n">
        <f aca="false">Valuación!B31</f>
        <v>27699.24966994</v>
      </c>
      <c r="C8" s="5" t="n">
        <f aca="false">Valuación!B69</f>
        <v>161517.967154604</v>
      </c>
      <c r="D8" s="5" t="n">
        <f aca="false">Valuación!B107</f>
        <v>50520.7877622278</v>
      </c>
      <c r="E8" s="5" t="n">
        <f aca="false">Valuación!B145</f>
        <v>1200.14250161543</v>
      </c>
    </row>
    <row r="9" customFormat="false" ht="15" hidden="false" customHeight="false" outlineLevel="0" collapsed="false">
      <c r="A9" s="3" t="s">
        <v>9</v>
      </c>
      <c r="B9" s="5" t="n">
        <f aca="false">Valuación!B33</f>
        <v>124330.710434668</v>
      </c>
      <c r="C9" s="5" t="n">
        <f aca="false">Valuación!B71</f>
        <v>576210.902582394</v>
      </c>
      <c r="D9" s="5" t="n">
        <f aca="false">Valuación!B109</f>
        <v>225920.382572045</v>
      </c>
      <c r="E9" s="5" t="n">
        <f aca="false">Valuación!B147</f>
        <v>4337.28473228394</v>
      </c>
    </row>
    <row r="10" customFormat="false" ht="15" hidden="false" customHeight="false" outlineLevel="0" collapsed="false">
      <c r="A10" s="3" t="s">
        <v>10</v>
      </c>
      <c r="B10" s="5" t="n">
        <f aca="false">Valuación!B34</f>
        <v>76983.8723325077</v>
      </c>
      <c r="C10" s="5" t="n">
        <f aca="false">Valuación!B72</f>
        <v>323636.151271103</v>
      </c>
      <c r="D10" s="5" t="n">
        <f aca="false">Valuación!B110</f>
        <v>139698.112209846</v>
      </c>
      <c r="E10" s="5" t="n">
        <f aca="false">Valuación!B148</f>
        <v>2451.7348599928</v>
      </c>
    </row>
    <row r="11" customFormat="false" ht="15" hidden="false" customHeight="false" outlineLevel="0" collapsed="false">
      <c r="A11" s="3" t="s">
        <v>11</v>
      </c>
      <c r="B11" s="5" t="n">
        <f aca="false">Valuación!B35</f>
        <v>104683.122002448</v>
      </c>
      <c r="C11" s="5" t="n">
        <f aca="false">Valuación!B73</f>
        <v>485154.118425707</v>
      </c>
      <c r="D11" s="5" t="n">
        <f aca="false">Valuación!B111</f>
        <v>190218.899972074</v>
      </c>
      <c r="E11" s="5" t="n">
        <f aca="false">Valuación!B149</f>
        <v>3651.87736160823</v>
      </c>
    </row>
    <row r="12" customFormat="false" ht="15" hidden="false" customHeight="false" outlineLevel="0" collapsed="false">
      <c r="A12" s="3" t="s">
        <v>12</v>
      </c>
      <c r="B12" s="5" t="n">
        <f aca="false">-Valuación!B36</f>
        <v>23618</v>
      </c>
      <c r="C12" s="5" t="n">
        <f aca="false">-Valuación!B74</f>
        <v>80848.1</v>
      </c>
      <c r="D12" s="5" t="n">
        <f aca="false">-Valuación!B112</f>
        <v>56744.34</v>
      </c>
      <c r="E12" s="5" t="n">
        <f aca="false">-Valuación!B150</f>
        <v>2441.8</v>
      </c>
    </row>
    <row r="13" customFormat="false" ht="15" hidden="false" customHeight="false" outlineLevel="0" collapsed="false">
      <c r="A13" s="3" t="s">
        <v>13</v>
      </c>
      <c r="B13" s="5" t="n">
        <f aca="false">Valuación!B37</f>
        <v>9295</v>
      </c>
      <c r="C13" s="5" t="n">
        <f aca="false">Valuación!B75</f>
        <v>28591.2</v>
      </c>
      <c r="D13" s="5" t="n">
        <f aca="false">Valuación!B113</f>
        <v>14640.16</v>
      </c>
      <c r="E13" s="5" t="n">
        <f aca="false">Valuación!B151</f>
        <v>2962.8</v>
      </c>
    </row>
    <row r="14" customFormat="false" ht="15" hidden="false" customHeight="false" outlineLevel="0" collapsed="false">
      <c r="A14" s="3" t="s">
        <v>14</v>
      </c>
      <c r="B14" s="5" t="n">
        <f aca="false">Valuación!B39</f>
        <v>90360.1220024477</v>
      </c>
      <c r="C14" s="5" t="n">
        <f aca="false">Valuación!B77</f>
        <v>432897.218425707</v>
      </c>
      <c r="D14" s="5" t="n">
        <f aca="false">Valuación!B115</f>
        <v>148114.719972074</v>
      </c>
      <c r="E14" s="5" t="n">
        <f aca="false">Valuación!B153</f>
        <v>4172.87736160823</v>
      </c>
    </row>
    <row r="15" customFormat="false" ht="15" hidden="false" customHeight="false" outlineLevel="0" collapsed="false">
      <c r="A15" s="3" t="s">
        <v>15</v>
      </c>
      <c r="B15" s="6" t="n">
        <f aca="false">Valuación!B41</f>
        <v>50.2000677791376</v>
      </c>
      <c r="C15" s="6" t="n">
        <f aca="false">Valuación!B79</f>
        <v>24.7940633241141</v>
      </c>
      <c r="D15" s="6" t="n">
        <f aca="false">Valuación!B117</f>
        <v>154.24532363665</v>
      </c>
      <c r="E15" s="6" t="n">
        <f aca="false">Valuación!B155</f>
        <v>3.91535261071635</v>
      </c>
    </row>
    <row r="16" customFormat="false" ht="15" hidden="false" customHeight="false" outlineLevel="0" collapsed="false">
      <c r="A16" s="3" t="s">
        <v>16</v>
      </c>
      <c r="B16" s="6" t="n">
        <f aca="false">Valuación!B42</f>
        <v>33.1</v>
      </c>
      <c r="C16" s="6" t="n">
        <f aca="false">Valuación!B80</f>
        <v>46.6</v>
      </c>
      <c r="D16" s="6" t="n">
        <f aca="false">Valuación!B118</f>
        <v>92.94</v>
      </c>
      <c r="E16" s="6" t="n">
        <f aca="false">Valuación!B156</f>
        <v>32.08</v>
      </c>
    </row>
    <row r="17" customFormat="false" ht="15" hidden="false" customHeight="false" outlineLevel="0" collapsed="false">
      <c r="A17" s="3" t="s">
        <v>17</v>
      </c>
      <c r="B17" s="7" t="n">
        <f aca="false">Valuación!B43</f>
        <v>0.51661836190748</v>
      </c>
      <c r="C17" s="7" t="n">
        <f aca="false">Valuación!B81</f>
        <v>-0.467938555276522</v>
      </c>
      <c r="D17" s="7" t="n">
        <f aca="false">Valuación!B119</f>
        <v>0.65962259131321</v>
      </c>
      <c r="E17" s="7" t="n">
        <f aca="false">Valuación!B157</f>
        <v>-0.877950355027545</v>
      </c>
    </row>
    <row r="18" customFormat="false" ht="15" hidden="false" customHeight="false" outlineLevel="0" collapsed="false">
      <c r="A18" s="3" t="s">
        <v>18</v>
      </c>
      <c r="B18" s="6" t="n">
        <f aca="false">Generales!B24</f>
        <v>23.357</v>
      </c>
      <c r="C18" s="6" t="n">
        <v>60.094</v>
      </c>
      <c r="D18" s="6" t="n">
        <v>128.933</v>
      </c>
      <c r="E18" s="6" t="n">
        <v>47.67</v>
      </c>
    </row>
    <row r="19" customFormat="false" ht="15" hidden="false" customHeight="false" outlineLevel="0" collapsed="false">
      <c r="A19" s="3" t="s">
        <v>19</v>
      </c>
      <c r="B19" s="8" t="s">
        <v>20</v>
      </c>
      <c r="C19" s="8" t="s">
        <v>21</v>
      </c>
      <c r="D19" s="8" t="s">
        <v>22</v>
      </c>
      <c r="E19" s="8" t="s">
        <v>23</v>
      </c>
    </row>
    <row r="20" customFormat="false" ht="15" hidden="false" customHeight="false" outlineLevel="0" collapsed="false">
      <c r="B20" s="9"/>
      <c r="C20" s="9"/>
      <c r="D20" s="9"/>
      <c r="E20" s="9"/>
    </row>
    <row r="21" customFormat="false" ht="15" hidden="false" customHeight="false" outlineLevel="0" collapsed="false">
      <c r="A21" s="1" t="s">
        <v>24</v>
      </c>
      <c r="B21" s="1" t="s">
        <v>1</v>
      </c>
      <c r="C21" s="1" t="s">
        <v>2</v>
      </c>
      <c r="D21" s="1" t="s">
        <v>3</v>
      </c>
      <c r="E21" s="1" t="s">
        <v>4</v>
      </c>
      <c r="F21" s="2"/>
      <c r="G21" s="2"/>
      <c r="H21" s="2"/>
      <c r="I21" s="2"/>
      <c r="J21" s="2"/>
    </row>
    <row r="22" customFormat="false" ht="15" hidden="false" customHeight="false" outlineLevel="0" collapsed="false">
      <c r="A22" s="3" t="s">
        <v>25</v>
      </c>
      <c r="B22" s="10" t="n">
        <f aca="false">Razones!G7</f>
        <v>1.25418892001401</v>
      </c>
      <c r="C22" s="10" t="n">
        <f aca="false">Razones!G23</f>
        <v>0.976875895293384</v>
      </c>
      <c r="D22" s="10" t="n">
        <f aca="false">Razones!G39</f>
        <v>0.933732004803489</v>
      </c>
      <c r="E22" s="10" t="n">
        <f aca="false">Razones!G55</f>
        <v>1.22904633256153</v>
      </c>
    </row>
    <row r="23" customFormat="false" ht="15" hidden="false" customHeight="false" outlineLevel="0" collapsed="false">
      <c r="A23" s="3" t="s">
        <v>26</v>
      </c>
      <c r="B23" s="10" t="n">
        <f aca="false">Razones!G8</f>
        <v>0.354737814602396</v>
      </c>
      <c r="C23" s="10" t="n">
        <f aca="false">Razones!G24</f>
        <v>0.347045108009281</v>
      </c>
      <c r="D23" s="10" t="n">
        <f aca="false">Razones!G40</f>
        <v>0.406756413708896</v>
      </c>
      <c r="E23" s="10" t="n">
        <f aca="false">Razones!G56</f>
        <v>0.480415765868067</v>
      </c>
    </row>
    <row r="24" customFormat="false" ht="15" hidden="false" customHeight="false" outlineLevel="0" collapsed="false">
      <c r="A24" s="3" t="s">
        <v>27</v>
      </c>
      <c r="B24" s="11" t="n">
        <f aca="false">Razones!G9</f>
        <v>0.455053782765908</v>
      </c>
      <c r="C24" s="11" t="n">
        <f aca="false">Razones!G25</f>
        <v>0.528557762871997</v>
      </c>
      <c r="D24" s="11" t="n">
        <f aca="false">Razones!G41</f>
        <v>0.663102687084851</v>
      </c>
      <c r="E24" s="11" t="n">
        <f aca="false">Razones!G57</f>
        <v>0.257837797646854</v>
      </c>
    </row>
    <row r="25" customFormat="false" ht="15" hidden="false" customHeight="false" outlineLevel="0" collapsed="false">
      <c r="A25" s="3" t="s">
        <v>28</v>
      </c>
      <c r="B25" s="11" t="n">
        <f aca="false">Razones!G10</f>
        <v>0.206542067671418</v>
      </c>
      <c r="C25" s="11" t="n">
        <f aca="false">Razones!G26</f>
        <v>0.18040972193492</v>
      </c>
      <c r="D25" s="11" t="n">
        <f aca="false">Razones!G42</f>
        <v>0.380129883946277</v>
      </c>
      <c r="E25" s="11" t="n">
        <f aca="false">Razones!G58</f>
        <v>0.0645470020444197</v>
      </c>
    </row>
    <row r="26" customFormat="false" ht="15" hidden="false" customHeight="false" outlineLevel="0" collapsed="false">
      <c r="A26" s="3" t="s">
        <v>29</v>
      </c>
      <c r="B26" s="10" t="n">
        <f aca="false">Razones!G11</f>
        <v>2.89841957405126</v>
      </c>
      <c r="C26" s="10" t="n">
        <f aca="false">Razones!G27</f>
        <v>6.64533154492505</v>
      </c>
      <c r="D26" s="10" t="n">
        <f aca="false">Razones!G43</f>
        <v>4.15041856863133</v>
      </c>
      <c r="E26" s="10" t="n">
        <f aca="false">Razones!G59</f>
        <v>11.8447463750953</v>
      </c>
    </row>
    <row r="27" customFormat="false" ht="15" hidden="false" customHeight="false" outlineLevel="0" collapsed="false">
      <c r="A27" s="3" t="s">
        <v>30</v>
      </c>
      <c r="B27" s="10" t="n">
        <f aca="false">Razones!G12</f>
        <v>0.95612726248195</v>
      </c>
      <c r="C27" s="10" t="n">
        <f aca="false">Razones!G28</f>
        <v>1.77521332887847</v>
      </c>
      <c r="D27" s="10" t="n">
        <f aca="false">Razones!G44</f>
        <v>2.38335037627841</v>
      </c>
      <c r="E27" s="10" t="n">
        <f aca="false">Razones!G60</f>
        <v>1.34886945490829</v>
      </c>
    </row>
    <row r="28" customFormat="false" ht="15" hidden="false" customHeight="false" outlineLevel="0" collapsed="false">
      <c r="A28" s="3" t="s">
        <v>31</v>
      </c>
      <c r="B28" s="12" t="n">
        <f aca="false">Razones!G13</f>
        <v>96.0324359169449</v>
      </c>
      <c r="C28" s="12" t="n">
        <f aca="false">Razones!G29</f>
        <v>51.6580422556317</v>
      </c>
      <c r="D28" s="12" t="n">
        <f aca="false">Razones!G45</f>
        <v>38.3800881212528</v>
      </c>
      <c r="E28" s="12" t="n">
        <f aca="false">Razones!G61</f>
        <v>67.8506811030141</v>
      </c>
    </row>
    <row r="29" customFormat="false" ht="15" hidden="false" customHeight="false" outlineLevel="0" collapsed="false">
      <c r="A29" s="3" t="s">
        <v>32</v>
      </c>
      <c r="B29" s="10" t="n">
        <f aca="false">Razones!G14</f>
        <v>0.281664068510104</v>
      </c>
      <c r="C29" s="10" t="n">
        <f aca="false">Razones!G30</f>
        <v>0.51157675075635</v>
      </c>
      <c r="D29" s="10" t="n">
        <f aca="false">Razones!G46</f>
        <v>0.463653361438474</v>
      </c>
      <c r="E29" s="10" t="n">
        <f aca="false">Razones!G62</f>
        <v>0.27644939756534</v>
      </c>
    </row>
    <row r="30" customFormat="false" ht="15" hidden="false" customHeight="false" outlineLevel="0" collapsed="false">
      <c r="A30" s="3" t="s">
        <v>33</v>
      </c>
      <c r="B30" s="11" t="n">
        <f aca="false">Razones!G15</f>
        <v>0.245661529453551</v>
      </c>
      <c r="C30" s="11" t="n">
        <f aca="false">Razones!G31</f>
        <v>0.242350153950201</v>
      </c>
      <c r="D30" s="11" t="n">
        <f aca="false">Razones!G47</f>
        <v>0.235275479519844</v>
      </c>
      <c r="E30" s="11" t="n">
        <f aca="false">Razones!G63</f>
        <v>0.296720686789468</v>
      </c>
    </row>
    <row r="31" customFormat="false" ht="15" hidden="false" customHeight="false" outlineLevel="0" collapsed="false">
      <c r="A31" s="3" t="s">
        <v>34</v>
      </c>
      <c r="B31" s="11" t="n">
        <f aca="false">Razones!G16</f>
        <v>0.0206059352199188</v>
      </c>
      <c r="C31" s="11" t="n">
        <f aca="false">Razones!G32</f>
        <v>0.0482605376650122</v>
      </c>
      <c r="D31" s="11" t="n">
        <f aca="false">Razones!G48</f>
        <v>0.0234187860283346</v>
      </c>
      <c r="E31" s="11" t="n">
        <f aca="false">Razones!G64</f>
        <v>0.054882539722843</v>
      </c>
    </row>
    <row r="32" customFormat="false" ht="15" hidden="false" customHeight="false" outlineLevel="0" collapsed="false">
      <c r="A32" s="3" t="s">
        <v>35</v>
      </c>
      <c r="B32" s="4" t="n">
        <f aca="false">Razones!G17</f>
        <v>0.00584301903428532</v>
      </c>
      <c r="C32" s="4" t="n">
        <f aca="false">Razones!G33</f>
        <v>0.0247284817302854</v>
      </c>
      <c r="D32" s="4" t="n">
        <f aca="false">Razones!G49</f>
        <v>0.0108672015701412</v>
      </c>
      <c r="E32" s="4" t="n">
        <f aca="false">Razones!G65</f>
        <v>0.0151568685075889</v>
      </c>
    </row>
    <row r="33" customFormat="false" ht="15" hidden="false" customHeight="false" outlineLevel="0" collapsed="false">
      <c r="A33" s="3" t="s">
        <v>36</v>
      </c>
      <c r="B33" s="4" t="n">
        <f aca="false">Razones!G18</f>
        <v>0.0107033889520413</v>
      </c>
      <c r="C33" s="4" t="n">
        <f aca="false">Razones!G34</f>
        <v>0.0524769212384537</v>
      </c>
      <c r="D33" s="4" t="n">
        <f aca="false">Razones!G50</f>
        <v>0.0322403315207314</v>
      </c>
      <c r="E33" s="4" t="n">
        <f aca="false">Razones!G66</f>
        <v>0.0204396504412437</v>
      </c>
    </row>
    <row r="34" customFormat="false" ht="15" hidden="false" customHeight="false" outlineLevel="0" collapsed="false">
      <c r="A34" s="3" t="s">
        <v>37</v>
      </c>
      <c r="B34" s="4" t="n">
        <f aca="false">Razones!G19</f>
        <v>0.0120314355406303</v>
      </c>
      <c r="C34" s="4" t="n">
        <f aca="false">Razones!G35</f>
        <v>0.0424320224854647</v>
      </c>
      <c r="D34" s="4" t="n">
        <f aca="false">Razones!G51</f>
        <v>0.0242902936444572</v>
      </c>
      <c r="E34" s="4" t="n">
        <f aca="false">Razones!G67</f>
        <v>0.0178614151514322</v>
      </c>
    </row>
    <row r="35" customFormat="false" ht="15" hidden="false" customHeight="false" outlineLevel="0" collapsed="false">
      <c r="B35" s="9"/>
      <c r="C35" s="9"/>
      <c r="D35" s="9"/>
      <c r="E35" s="9"/>
    </row>
    <row r="36" customFormat="false" ht="15" hidden="false" customHeight="false" outlineLevel="0" collapsed="false">
      <c r="A36" s="1" t="s">
        <v>38</v>
      </c>
      <c r="B36" s="1" t="s">
        <v>1</v>
      </c>
      <c r="C36" s="1" t="s">
        <v>2</v>
      </c>
      <c r="D36" s="1" t="s">
        <v>3</v>
      </c>
      <c r="E36" s="1" t="s">
        <v>4</v>
      </c>
      <c r="F36" s="2"/>
      <c r="G36" s="2"/>
      <c r="H36" s="2"/>
      <c r="I36" s="2"/>
      <c r="J36" s="2"/>
    </row>
    <row r="37" customFormat="false" ht="15" hidden="false" customHeight="false" outlineLevel="0" collapsed="false">
      <c r="A37" s="3" t="s">
        <v>25</v>
      </c>
      <c r="B37" s="10" t="n">
        <f aca="false">IFERROR(Datos!G19/Datos!G21,"n.d.")</f>
        <v>1.23738494097249</v>
      </c>
      <c r="C37" s="10" t="n">
        <f aca="false">IFERROR(Datos!G45/Datos!G47,"n.d.")</f>
        <v>0.966960823537106</v>
      </c>
      <c r="D37" s="10" t="n">
        <f aca="false">IFERROR(Datos!G71/Datos!G73,"n.d.")</f>
        <v>0.920796669614483</v>
      </c>
      <c r="E37" s="10" t="n">
        <f aca="false">IFERROR(Datos!G97/Datos!G99,"n.d.")</f>
        <v>1.20703724410292</v>
      </c>
    </row>
    <row r="38" customFormat="false" ht="15" hidden="false" customHeight="false" outlineLevel="0" collapsed="false">
      <c r="A38" s="3" t="s">
        <v>26</v>
      </c>
      <c r="B38" s="10" t="n">
        <f aca="false">IFERROR((Datos!G19-Datos!G18)/Datos!G21,"n.d.")</f>
        <v>0.414237996889263</v>
      </c>
      <c r="C38" s="10" t="n">
        <f aca="false">IFERROR((Datos!G45-Datos!G44)/Datos!G47,"n.d.")</f>
        <v>0.333841631377466</v>
      </c>
      <c r="D38" s="10" t="n">
        <f aca="false">IFERROR((Datos!G71-Datos!G70)/Datos!G73,"n.d.")</f>
        <v>0.437355231355408</v>
      </c>
      <c r="E38" s="10" t="n">
        <f aca="false">IFERROR((Datos!G97-Datos!G96)/Datos!G99,"n.d.")</f>
        <v>0.500089214555057</v>
      </c>
    </row>
    <row r="39" customFormat="false" ht="15" hidden="false" customHeight="false" outlineLevel="0" collapsed="false">
      <c r="A39" s="3" t="s">
        <v>27</v>
      </c>
      <c r="B39" s="11" t="n">
        <f aca="false">IFERROR(Datos!G23/Datos!G20,"n.d.")</f>
        <v>0.45697842833156</v>
      </c>
      <c r="C39" s="11" t="n">
        <f aca="false">IFERROR(Datos!G49/Datos!G46,"n.d.")</f>
        <v>0.52434322625508</v>
      </c>
      <c r="D39" s="11" t="n">
        <f aca="false">IFERROR(Datos!G75/Datos!G72,"n.d.")</f>
        <v>0.673566388163133</v>
      </c>
      <c r="E39" s="11" t="n">
        <f aca="false">IFERROR(Datos!G101/Datos!G98,"n.d.")</f>
        <v>0.254482501103228</v>
      </c>
    </row>
    <row r="40" customFormat="false" ht="15" hidden="false" customHeight="false" outlineLevel="0" collapsed="false">
      <c r="A40" s="3" t="s">
        <v>28</v>
      </c>
      <c r="B40" s="11" t="n">
        <f aca="false">IFERROR(Datos!G22/Datos!G20,"n.d.")</f>
        <v>0.205629397967162</v>
      </c>
      <c r="C40" s="11" t="n">
        <f aca="false">IFERROR(Datos!G48/Datos!G46,"n.d.")</f>
        <v>0.181670402987603</v>
      </c>
      <c r="D40" s="11" t="n">
        <f aca="false">IFERROR(Datos!G74/Datos!G72,"n.d.")</f>
        <v>0.371348721647642</v>
      </c>
      <c r="E40" s="11" t="n">
        <f aca="false">IFERROR(Datos!G100/Datos!G98,"n.d.")</f>
        <v>0.0642361700442423</v>
      </c>
    </row>
    <row r="41" customFormat="false" ht="15" hidden="false" customHeight="false" outlineLevel="0" collapsed="false">
      <c r="A41" s="3" t="s">
        <v>29</v>
      </c>
      <c r="B41" s="10" t="n">
        <f aca="false">IFERROR(Datos!G9/Datos!G10,"n.d.")</f>
        <v>2.45673389720234</v>
      </c>
      <c r="C41" s="10" t="n">
        <f aca="false">IFERROR(Datos!G35/Datos!G36,"n.d.")</f>
        <v>6.84656380018666</v>
      </c>
      <c r="D41" s="10" t="n">
        <f aca="false">IFERROR(Datos!G61/Datos!G62,"n.d.")</f>
        <v>3.92470281188181</v>
      </c>
      <c r="E41" s="10" t="n">
        <f aca="false">IFERROR(Datos!G87/Datos!G88,"n.d.")</f>
        <v>13.4007369529253</v>
      </c>
    </row>
    <row r="42" customFormat="false" ht="15" hidden="false" customHeight="false" outlineLevel="0" collapsed="false">
      <c r="A42" s="3" t="s">
        <v>39</v>
      </c>
      <c r="B42" s="10" t="n">
        <f aca="false">IFERROR(Datos!G7/Datos!G18,"n.d.")</f>
        <v>4.17408543196109</v>
      </c>
      <c r="C42" s="10" t="n">
        <f aca="false">IFERROR(Datos!G33/Datos!G44,"n.d.")</f>
        <v>7.13256008092999</v>
      </c>
      <c r="D42" s="10" t="n">
        <f aca="false">IFERROR(Datos!G59/Datos!G70,"n.d.")</f>
        <v>9.71023018879762</v>
      </c>
      <c r="E42" s="10" t="n">
        <f aca="false">IFERROR(Datos!G85/Datos!G96,"n.d.")</f>
        <v>5.62686308492201</v>
      </c>
    </row>
    <row r="43" customFormat="false" ht="15" hidden="false" customHeight="false" outlineLevel="0" collapsed="false">
      <c r="A43" s="3" t="s">
        <v>40</v>
      </c>
      <c r="B43" s="12" t="n">
        <f aca="false">IFERROR(365*Datos!G18/Datos!G7,"n.d.")</f>
        <v>87.4443050938019</v>
      </c>
      <c r="C43" s="12" t="n">
        <f aca="false">IFERROR(365*Datos!G44/Datos!G33,"n.d.")</f>
        <v>51.1737715292276</v>
      </c>
      <c r="D43" s="12" t="n">
        <f aca="false">IFERROR(365*Datos!G70/Datos!G59,"n.d.")</f>
        <v>37.5892221814771</v>
      </c>
      <c r="E43" s="12" t="n">
        <f aca="false">IFERROR(365*Datos!G96/Datos!G85,"n.d.")</f>
        <v>64.8674038254227</v>
      </c>
    </row>
    <row r="44" customFormat="false" ht="15" hidden="false" customHeight="false" outlineLevel="0" collapsed="false">
      <c r="A44" s="3" t="s">
        <v>41</v>
      </c>
      <c r="B44" s="10" t="n">
        <f aca="false">IFERROR(Datos!G6/Datos!G20,"n.d.")</f>
        <v>1.13763954934055</v>
      </c>
      <c r="C44" s="10" t="n">
        <f aca="false">IFERROR(Datos!G32/Datos!G46,"n.d.")</f>
        <v>2.04250441120085</v>
      </c>
      <c r="D44" s="10" t="n">
        <f aca="false">IFERROR(Datos!G58/Datos!G72,"n.d.")</f>
        <v>1.84150466113609</v>
      </c>
      <c r="E44" s="10" t="n">
        <f aca="false">IFERROR(Datos!G84/Datos!G98,"n.d.")</f>
        <v>1.07554318431266</v>
      </c>
    </row>
    <row r="45" customFormat="false" ht="15" hidden="false" customHeight="false" outlineLevel="0" collapsed="false">
      <c r="A45" s="3" t="s">
        <v>33</v>
      </c>
      <c r="B45" s="11" t="n">
        <f aca="false">IFERROR(Datos!G8/Datos!G6,"n.d.")</f>
        <v>0.240903585612483</v>
      </c>
      <c r="C45" s="11" t="n">
        <f aca="false">IFERROR(Datos!G34/Datos!G32,"n.d.")</f>
        <v>0.242386723025028</v>
      </c>
      <c r="D45" s="11" t="n">
        <f aca="false">IFERROR(Datos!G60/Datos!G58,"n.d.")</f>
        <v>0.229592638200097</v>
      </c>
      <c r="E45" s="11" t="n">
        <f aca="false">IFERROR(Datos!G86/Datos!G84,"n.d.")</f>
        <v>0.296373360288041</v>
      </c>
    </row>
    <row r="46" customFormat="false" ht="15" hidden="false" customHeight="false" outlineLevel="0" collapsed="false">
      <c r="A46" s="3" t="s">
        <v>34</v>
      </c>
      <c r="B46" s="11" t="n">
        <f aca="false">IFERROR(Datos!G13/Datos!G6,"n.d.")</f>
        <v>0.01878151142157</v>
      </c>
      <c r="C46" s="11" t="n">
        <f aca="false">IFERROR(Datos!G39/Datos!G32,"n.d.")</f>
        <v>0.0493187065730366</v>
      </c>
      <c r="D46" s="11" t="n">
        <f aca="false">IFERROR(Datos!G65/Datos!G58,"n.d.")</f>
        <v>0.0224170132332183</v>
      </c>
      <c r="E46" s="11" t="n">
        <f aca="false">IFERROR(Datos!G91/Datos!G84,"n.d.")</f>
        <v>0.0564887397888847</v>
      </c>
    </row>
    <row r="47" customFormat="false" ht="15" hidden="false" customHeight="false" outlineLevel="0" collapsed="false">
      <c r="A47" s="3" t="s">
        <v>42</v>
      </c>
      <c r="B47" s="4" t="n">
        <f aca="false">IFERROR(Datos!G13/Datos!G20,"n.d.")</f>
        <v>0.0213665901895692</v>
      </c>
      <c r="C47" s="4" t="n">
        <f aca="false">IFERROR(Datos!G39/Datos!G46,"n.d.")</f>
        <v>0.100733675730147</v>
      </c>
      <c r="D47" s="4" t="n">
        <f aca="false">IFERROR(Datos!G65/Datos!G72,"n.d.")</f>
        <v>0.0412810343577209</v>
      </c>
      <c r="E47" s="4" t="n">
        <f aca="false">IFERROR(Datos!G91/Datos!G98,"n.d.")</f>
        <v>0.0607560790703464</v>
      </c>
    </row>
    <row r="48" customFormat="false" ht="15" hidden="false" customHeight="false" outlineLevel="0" collapsed="false">
      <c r="A48" s="3" t="s">
        <v>43</v>
      </c>
      <c r="B48" s="4" t="n">
        <f aca="false">IFERROR(Datos!G13/Datos!G24,"n.d.")</f>
        <v>0.0393475900486239</v>
      </c>
      <c r="C48" s="4" t="n">
        <f aca="false">IFERROR(Datos!G39/Datos!G50,"n.d.")</f>
        <v>0.211778074633638</v>
      </c>
      <c r="D48" s="4" t="n">
        <f aca="false">IFERROR(Datos!G65/Datos!G76,"n.d.")</f>
        <v>0.126460734620523</v>
      </c>
      <c r="E48" s="4" t="n">
        <f aca="false">IFERROR(Datos!G91/Datos!G102,"n.d.")</f>
        <v>0.0814951750431802</v>
      </c>
    </row>
    <row r="49" customFormat="false" ht="15" hidden="false" customHeight="false" outlineLevel="0" collapsed="false">
      <c r="A49" s="3" t="s">
        <v>44</v>
      </c>
      <c r="B49" s="4" t="n">
        <f aca="false">IFERROR(Datos!G9*(1-WACC!$B$10)/(Datos!G24+Datos!G29),"n.d.")</f>
        <v>0.0487900323027227</v>
      </c>
      <c r="C49" s="4" t="n">
        <f aca="false">IFERROR(Datos!G35*(1-WACC!$B$10)/(Datos!G50+Datos!G55),"n.d.")</f>
        <v>0.173643373125404</v>
      </c>
      <c r="D49" s="4" t="n">
        <f aca="false">IFERROR(Datos!G61*(1-WACC!$B$10)/(Datos!G76+Datos!G81),"n.d.")</f>
        <v>0.0968763348702483</v>
      </c>
      <c r="E49" s="4" t="n">
        <f aca="false">IFERROR(Datos!G87*(1-WACC!$B$10)/(Datos!G102+Datos!G107),"n.d.")</f>
        <v>0.0705054387298609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8"/>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D9" activeCellId="0" sqref="D9"/>
    </sheetView>
  </sheetViews>
  <sheetFormatPr defaultColWidth="11.5078125" defaultRowHeight="15" zeroHeight="false" outlineLevelRow="0" outlineLevelCol="0"/>
  <cols>
    <col collapsed="false" customWidth="true" hidden="false" outlineLevel="0" max="1" min="1" style="13" width="61.16"/>
    <col collapsed="false" customWidth="true" hidden="false" outlineLevel="0" max="2" min="2" style="13" width="50.67"/>
    <col collapsed="false" customWidth="true" hidden="false" outlineLevel="0" max="5" min="3" style="13" width="13.5"/>
    <col collapsed="false" customWidth="false" hidden="false" outlineLevel="0" max="16384" min="6" style="13" width="11.5"/>
  </cols>
  <sheetData>
    <row r="1" customFormat="false" ht="18.75" hidden="false" customHeight="true" outlineLevel="0" collapsed="false">
      <c r="A1" s="14"/>
    </row>
    <row r="2" customFormat="false" ht="15" hidden="false" customHeight="false" outlineLevel="0" collapsed="false">
      <c r="A2" s="15"/>
    </row>
    <row r="4" customFormat="false" ht="15" hidden="false" customHeight="false" outlineLevel="0" collapsed="false">
      <c r="A4" s="16" t="s">
        <v>45</v>
      </c>
      <c r="B4" s="16" t="s">
        <v>46</v>
      </c>
      <c r="C4" s="17"/>
      <c r="D4" s="17"/>
      <c r="E4" s="17"/>
      <c r="F4" s="17"/>
      <c r="G4" s="17"/>
      <c r="H4" s="17"/>
      <c r="I4" s="17"/>
      <c r="J4" s="17"/>
    </row>
    <row r="5" customFormat="false" ht="15" hidden="false" customHeight="false" outlineLevel="0" collapsed="false">
      <c r="A5" s="18" t="s">
        <v>47</v>
      </c>
      <c r="B5" s="18" t="s">
        <v>48</v>
      </c>
    </row>
    <row r="6" customFormat="false" ht="15" hidden="false" customHeight="false" outlineLevel="0" collapsed="false">
      <c r="A6" s="18" t="s">
        <v>49</v>
      </c>
      <c r="B6" s="18" t="s">
        <v>50</v>
      </c>
    </row>
    <row r="7" customFormat="false" ht="15" hidden="false" customHeight="false" outlineLevel="0" collapsed="false">
      <c r="A7" s="18" t="s">
        <v>51</v>
      </c>
      <c r="B7" s="18" t="s">
        <v>52</v>
      </c>
    </row>
    <row r="8" customFormat="false" ht="15" hidden="false" customHeight="false" outlineLevel="0" collapsed="false">
      <c r="A8" s="18" t="s">
        <v>53</v>
      </c>
      <c r="B8" s="18" t="s">
        <v>54</v>
      </c>
    </row>
    <row r="9" customFormat="false" ht="15" hidden="false" customHeight="false" outlineLevel="0" collapsed="false">
      <c r="A9" s="18" t="s">
        <v>55</v>
      </c>
      <c r="B9" s="19" t="n">
        <v>812</v>
      </c>
    </row>
    <row r="10" customFormat="false" ht="15" hidden="false" customHeight="false" outlineLevel="0" collapsed="false">
      <c r="A10" s="18" t="s">
        <v>56</v>
      </c>
      <c r="B10" s="19" t="n">
        <v>82064</v>
      </c>
    </row>
    <row r="11" customFormat="false" ht="15" hidden="false" customHeight="false" outlineLevel="0" collapsed="false">
      <c r="A11" s="18" t="s">
        <v>57</v>
      </c>
      <c r="B11" s="20" t="n">
        <f aca="false">WACC!B17</f>
        <v>1800</v>
      </c>
    </row>
    <row r="12" customFormat="false" ht="15" hidden="false" customHeight="false" outlineLevel="0" collapsed="false">
      <c r="A12" s="18" t="s">
        <v>58</v>
      </c>
      <c r="B12" s="20" t="n">
        <f aca="false">WACC!B18</f>
        <v>59580</v>
      </c>
    </row>
    <row r="14" customFormat="false" ht="15" hidden="false" customHeight="false" outlineLevel="0" collapsed="false">
      <c r="A14" s="16" t="s">
        <v>59</v>
      </c>
      <c r="B14" s="21" t="s">
        <v>60</v>
      </c>
      <c r="C14" s="17"/>
      <c r="D14" s="17"/>
      <c r="E14" s="17"/>
      <c r="F14" s="17"/>
      <c r="G14" s="17"/>
      <c r="H14" s="17"/>
      <c r="I14" s="17"/>
      <c r="J14" s="17"/>
    </row>
    <row r="15" customFormat="false" ht="15" hidden="false" customHeight="false" outlineLevel="0" collapsed="false">
      <c r="A15" s="18" t="s">
        <v>61</v>
      </c>
      <c r="B15" s="20" t="s">
        <v>62</v>
      </c>
    </row>
    <row r="16" customFormat="false" ht="15" hidden="false" customHeight="false" outlineLevel="0" collapsed="false">
      <c r="A16" s="18" t="s">
        <v>63</v>
      </c>
      <c r="B16" s="20" t="s">
        <v>64</v>
      </c>
    </row>
    <row r="17" customFormat="false" ht="15" hidden="false" customHeight="false" outlineLevel="0" collapsed="false">
      <c r="A17" s="18" t="s">
        <v>65</v>
      </c>
      <c r="B17" s="20" t="s">
        <v>66</v>
      </c>
    </row>
    <row r="18" customFormat="false" ht="15" hidden="false" customHeight="false" outlineLevel="0" collapsed="false">
      <c r="A18" s="18" t="s">
        <v>67</v>
      </c>
      <c r="B18" s="20" t="s">
        <v>68</v>
      </c>
    </row>
    <row r="19" customFormat="false" ht="15" hidden="false" customHeight="false" outlineLevel="0" collapsed="false">
      <c r="A19" s="18" t="s">
        <v>69</v>
      </c>
      <c r="B19" s="20" t="s">
        <v>70</v>
      </c>
    </row>
    <row r="20" customFormat="false" ht="15" hidden="false" customHeight="false" outlineLevel="0" collapsed="false">
      <c r="A20" s="22"/>
      <c r="B20" s="23"/>
    </row>
    <row r="21" customFormat="false" ht="15" hidden="false" customHeight="false" outlineLevel="0" collapsed="false">
      <c r="A21" s="16" t="s">
        <v>71</v>
      </c>
      <c r="B21" s="16" t="s">
        <v>46</v>
      </c>
      <c r="C21" s="17"/>
      <c r="D21" s="17"/>
      <c r="E21" s="17"/>
      <c r="F21" s="17"/>
      <c r="G21" s="17"/>
      <c r="H21" s="17"/>
      <c r="I21" s="17"/>
      <c r="J21" s="17"/>
    </row>
    <row r="22" customFormat="false" ht="15" hidden="false" customHeight="false" outlineLevel="0" collapsed="false">
      <c r="A22" s="18" t="s">
        <v>72</v>
      </c>
      <c r="B22" s="18" t="s">
        <v>73</v>
      </c>
    </row>
    <row r="23" customFormat="false" ht="15" hidden="false" customHeight="false" outlineLevel="0" collapsed="false">
      <c r="A23" s="18" t="s">
        <v>74</v>
      </c>
      <c r="B23" s="18" t="s">
        <v>75</v>
      </c>
    </row>
    <row r="24" customFormat="false" ht="15" hidden="false" customHeight="false" outlineLevel="0" collapsed="false">
      <c r="A24" s="18" t="s">
        <v>76</v>
      </c>
      <c r="B24" s="18" t="n">
        <v>23.357</v>
      </c>
    </row>
    <row r="25" customFormat="false" ht="15" hidden="false" customHeight="false" outlineLevel="0" collapsed="false">
      <c r="A25" s="22"/>
      <c r="B25" s="22"/>
    </row>
    <row r="26" customFormat="false" ht="15" hidden="false" customHeight="false" outlineLevel="0" collapsed="false">
      <c r="A26" s="16" t="s">
        <v>77</v>
      </c>
      <c r="B26" s="16" t="s">
        <v>78</v>
      </c>
      <c r="C26" s="17"/>
      <c r="D26" s="17"/>
      <c r="E26" s="17"/>
      <c r="F26" s="17"/>
      <c r="G26" s="17"/>
      <c r="H26" s="17"/>
      <c r="I26" s="17"/>
      <c r="J26" s="17"/>
    </row>
    <row r="27" customFormat="false" ht="15" hidden="false" customHeight="false" outlineLevel="0" collapsed="false">
      <c r="A27" s="18" t="s">
        <v>79</v>
      </c>
      <c r="B27" s="24" t="n">
        <f aca="false">Datos!G6</f>
        <v>177515</v>
      </c>
    </row>
    <row r="28" customFormat="false" ht="15" hidden="false" customHeight="false" outlineLevel="0" collapsed="false">
      <c r="A28" s="18" t="s">
        <v>80</v>
      </c>
      <c r="B28" s="24" t="n">
        <f aca="false">Datos!G8</f>
        <v>42764</v>
      </c>
    </row>
    <row r="29" customFormat="false" ht="15" hidden="false" customHeight="false" outlineLevel="0" collapsed="false">
      <c r="A29" s="18" t="s">
        <v>81</v>
      </c>
      <c r="B29" s="24" t="n">
        <f aca="false">Datos!G9</f>
        <v>7552</v>
      </c>
    </row>
    <row r="30" customFormat="false" ht="15" hidden="false" customHeight="false" outlineLevel="0" collapsed="false">
      <c r="A30" s="18" t="s">
        <v>82</v>
      </c>
      <c r="B30" s="24" t="n">
        <f aca="false">Datos!G13</f>
        <v>3334</v>
      </c>
    </row>
    <row r="31" customFormat="false" ht="15" hidden="false" customHeight="false" outlineLevel="0" collapsed="false">
      <c r="A31" s="18" t="s">
        <v>33</v>
      </c>
      <c r="B31" s="25" t="n">
        <f aca="false">Datos!G8/Datos!G6</f>
        <v>0.240903585612483</v>
      </c>
    </row>
    <row r="32" customFormat="false" ht="15" hidden="false" customHeight="false" outlineLevel="0" collapsed="false">
      <c r="A32" s="18" t="s">
        <v>83</v>
      </c>
      <c r="B32" s="25" t="n">
        <f aca="false">Datos!G9/Datos!G6</f>
        <v>0.042542883699969</v>
      </c>
    </row>
    <row r="33" customFormat="false" ht="15" hidden="false" customHeight="false" outlineLevel="0" collapsed="false">
      <c r="A33" s="18" t="s">
        <v>34</v>
      </c>
      <c r="B33" s="25" t="n">
        <f aca="false">Datos!G13/Datos!G6</f>
        <v>0.01878151142157</v>
      </c>
    </row>
    <row r="35" customFormat="false" ht="15" hidden="false" customHeight="false" outlineLevel="0" collapsed="false">
      <c r="A35" s="16" t="s">
        <v>84</v>
      </c>
      <c r="B35" s="16" t="s">
        <v>85</v>
      </c>
      <c r="C35" s="17"/>
      <c r="D35" s="17"/>
      <c r="E35" s="17"/>
      <c r="F35" s="17"/>
      <c r="G35" s="17"/>
      <c r="H35" s="17"/>
      <c r="I35" s="17"/>
      <c r="J35" s="17"/>
    </row>
    <row r="36" customFormat="false" ht="15" hidden="false" customHeight="false" outlineLevel="0" collapsed="false">
      <c r="A36" s="18" t="s">
        <v>79</v>
      </c>
      <c r="B36" s="24" t="n">
        <f aca="false">Datos!F6</f>
        <v>43559</v>
      </c>
    </row>
    <row r="37" customFormat="false" ht="15" hidden="false" customHeight="false" outlineLevel="0" collapsed="false">
      <c r="A37" s="18" t="s">
        <v>86</v>
      </c>
      <c r="B37" s="24" t="n">
        <f aca="false">Datos!F7</f>
        <v>32919</v>
      </c>
    </row>
    <row r="38" customFormat="false" ht="15" hidden="false" customHeight="false" outlineLevel="0" collapsed="false">
      <c r="A38" s="18" t="s">
        <v>80</v>
      </c>
      <c r="B38" s="24" t="n">
        <f aca="false">Datos!F8</f>
        <v>10640</v>
      </c>
    </row>
    <row r="39" customFormat="false" ht="15" hidden="false" customHeight="false" outlineLevel="0" collapsed="false">
      <c r="A39" s="18" t="s">
        <v>87</v>
      </c>
      <c r="B39" s="24" t="n">
        <f aca="false">Datos!F9</f>
        <v>1855</v>
      </c>
    </row>
    <row r="40" customFormat="false" ht="15" hidden="false" customHeight="false" outlineLevel="0" collapsed="false">
      <c r="A40" s="18" t="s">
        <v>88</v>
      </c>
      <c r="B40" s="24" t="n">
        <f aca="false">Datos!F10</f>
        <v>582</v>
      </c>
    </row>
    <row r="41" customFormat="false" ht="15" hidden="false" customHeight="false" outlineLevel="0" collapsed="false">
      <c r="A41" s="18" t="s">
        <v>89</v>
      </c>
      <c r="B41" s="24" t="n">
        <f aca="false">Datos!F13</f>
        <v>1090</v>
      </c>
    </row>
    <row r="43" customFormat="false" ht="15" hidden="false" customHeight="false" outlineLevel="0" collapsed="false">
      <c r="A43" s="16" t="s">
        <v>90</v>
      </c>
      <c r="B43" s="16" t="s">
        <v>91</v>
      </c>
      <c r="C43" s="17"/>
      <c r="D43" s="17"/>
      <c r="E43" s="17"/>
      <c r="F43" s="17"/>
      <c r="G43" s="17"/>
      <c r="H43" s="17"/>
      <c r="I43" s="17"/>
      <c r="J43" s="17"/>
    </row>
    <row r="44" customFormat="false" ht="15" hidden="false" customHeight="false" outlineLevel="0" collapsed="false">
      <c r="A44" s="18" t="s">
        <v>92</v>
      </c>
      <c r="B44" s="24" t="n">
        <f aca="false">Datos!G20</f>
        <v>156038</v>
      </c>
    </row>
    <row r="45" customFormat="false" ht="15" hidden="false" customHeight="false" outlineLevel="0" collapsed="false">
      <c r="A45" s="18" t="s">
        <v>93</v>
      </c>
      <c r="B45" s="24" t="n">
        <f aca="false">Datos!G23</f>
        <v>71306</v>
      </c>
    </row>
    <row r="46" customFormat="false" ht="15" hidden="false" customHeight="false" outlineLevel="0" collapsed="false">
      <c r="A46" s="18" t="s">
        <v>94</v>
      </c>
      <c r="B46" s="24" t="n">
        <f aca="false">Datos!G24</f>
        <v>84732</v>
      </c>
    </row>
    <row r="47" customFormat="false" ht="15" hidden="false" customHeight="false" outlineLevel="0" collapsed="false">
      <c r="A47" s="18" t="s">
        <v>95</v>
      </c>
      <c r="B47" s="24" t="n">
        <f aca="false">Datos!G25+Datos!G26</f>
        <v>11500</v>
      </c>
    </row>
    <row r="48" customFormat="false" ht="15" hidden="false" customHeight="false" outlineLevel="0" collapsed="false">
      <c r="A48" s="18" t="s">
        <v>96</v>
      </c>
      <c r="B48" s="24" t="n">
        <f aca="false">Datos!G17</f>
        <v>9295</v>
      </c>
    </row>
    <row r="50" customFormat="false" ht="15" hidden="false" customHeight="false" outlineLevel="0" collapsed="false">
      <c r="A50" s="16" t="s">
        <v>97</v>
      </c>
      <c r="B50" s="16" t="s">
        <v>78</v>
      </c>
      <c r="C50" s="17"/>
      <c r="D50" s="17"/>
      <c r="E50" s="17"/>
      <c r="F50" s="17"/>
      <c r="G50" s="17"/>
      <c r="H50" s="17"/>
      <c r="I50" s="17"/>
      <c r="J50" s="17"/>
    </row>
    <row r="51" customFormat="false" ht="15" hidden="false" customHeight="false" outlineLevel="0" collapsed="false">
      <c r="A51" s="18" t="s">
        <v>98</v>
      </c>
      <c r="B51" s="24" t="n">
        <f aca="false">Datos!G15</f>
        <v>13738</v>
      </c>
    </row>
    <row r="52" customFormat="false" ht="15" hidden="false" customHeight="false" outlineLevel="0" collapsed="false">
      <c r="A52" s="18" t="s">
        <v>99</v>
      </c>
      <c r="B52" s="24" t="n">
        <f aca="false">Datos!G16</f>
        <v>2867</v>
      </c>
    </row>
    <row r="53" customFormat="false" ht="15" hidden="false" customHeight="false" outlineLevel="0" collapsed="false">
      <c r="A53" s="18" t="s">
        <v>100</v>
      </c>
      <c r="B53" s="24" t="n">
        <f aca="false">B51-B52</f>
        <v>10871</v>
      </c>
    </row>
    <row r="55" customFormat="false" ht="15" hidden="false" customHeight="false" outlineLevel="0" collapsed="false">
      <c r="A55" s="16" t="s">
        <v>101</v>
      </c>
      <c r="B55" s="16" t="s">
        <v>78</v>
      </c>
      <c r="C55" s="17"/>
      <c r="D55" s="17"/>
      <c r="E55" s="17"/>
      <c r="F55" s="17"/>
      <c r="G55" s="17"/>
      <c r="H55" s="17"/>
      <c r="I55" s="17"/>
      <c r="J55" s="17"/>
    </row>
    <row r="56" customFormat="false" ht="15" hidden="false" customHeight="false" outlineLevel="0" collapsed="false">
      <c r="A56" s="18" t="s">
        <v>102</v>
      </c>
      <c r="B56" s="26" t="n">
        <f aca="false">WACC!B13/(Datos!G13/WACC!B17)</f>
        <v>17.870425914817</v>
      </c>
    </row>
    <row r="57" customFormat="false" ht="15" hidden="false" customHeight="false" outlineLevel="0" collapsed="false">
      <c r="A57" s="18" t="s">
        <v>103</v>
      </c>
      <c r="B57" s="27" t="n">
        <f aca="false">Datos!G24/WACC!B17</f>
        <v>47.0733333333333</v>
      </c>
    </row>
    <row r="58" customFormat="false" ht="15" hidden="false" customHeight="false" outlineLevel="0" collapsed="false">
      <c r="A58" s="18" t="s">
        <v>104</v>
      </c>
      <c r="B58" s="26" t="n">
        <f aca="false">WACC!B13/B57</f>
        <v>0.703158192890526</v>
      </c>
    </row>
    <row r="59" customFormat="false" ht="15" hidden="false" customHeight="false" outlineLevel="0" collapsed="false">
      <c r="A59" s="18" t="s">
        <v>105</v>
      </c>
      <c r="B59" s="25" t="n">
        <f aca="false">Comparativo!B48</f>
        <v>0.0393475900486239</v>
      </c>
    </row>
    <row r="61" customFormat="false" ht="15" hidden="false" customHeight="false" outlineLevel="0" collapsed="false">
      <c r="A61" s="16" t="s">
        <v>106</v>
      </c>
      <c r="B61" s="16" t="s">
        <v>78</v>
      </c>
      <c r="C61" s="17"/>
      <c r="D61" s="17"/>
      <c r="E61" s="17"/>
      <c r="F61" s="17"/>
      <c r="G61" s="17"/>
      <c r="H61" s="17"/>
      <c r="I61" s="17"/>
      <c r="J61" s="17"/>
    </row>
    <row r="62" customFormat="false" ht="15" hidden="false" customHeight="false" outlineLevel="0" collapsed="false">
      <c r="A62" s="18" t="s">
        <v>107</v>
      </c>
      <c r="B62" s="28" t="n">
        <v>0.5556</v>
      </c>
    </row>
    <row r="63" customFormat="false" ht="15" hidden="false" customHeight="false" outlineLevel="0" collapsed="false">
      <c r="A63" s="18" t="s">
        <v>108</v>
      </c>
      <c r="B63" s="29" t="n">
        <f aca="false">B62/WACC!B13</f>
        <v>0.016785498489426</v>
      </c>
    </row>
    <row r="65" customFormat="false" ht="15" hidden="false" customHeight="false" outlineLevel="0" collapsed="false">
      <c r="A65" s="16" t="s">
        <v>109</v>
      </c>
      <c r="B65" s="16"/>
      <c r="C65" s="17"/>
      <c r="D65" s="17"/>
      <c r="E65" s="17"/>
      <c r="F65" s="17"/>
      <c r="G65" s="17"/>
      <c r="H65" s="17"/>
      <c r="I65" s="17"/>
      <c r="J65" s="17"/>
    </row>
    <row r="66" customFormat="false" ht="15" hidden="false" customHeight="false" outlineLevel="0" collapsed="false">
      <c r="A66" s="18" t="s">
        <v>110</v>
      </c>
      <c r="B66" s="18" t="s">
        <v>111</v>
      </c>
    </row>
    <row r="67" customFormat="false" ht="15" hidden="false" customHeight="false" outlineLevel="0" collapsed="false">
      <c r="A67" s="18" t="s">
        <v>112</v>
      </c>
      <c r="B67" s="25" t="n">
        <f aca="false">Datos!F8/Datos!F6</f>
        <v>0.244266397300214</v>
      </c>
    </row>
    <row r="68" customFormat="false" ht="15" hidden="false" customHeight="false" outlineLevel="0" collapsed="false">
      <c r="A68" s="18" t="s">
        <v>113</v>
      </c>
      <c r="B68" s="19" t="n">
        <v>477</v>
      </c>
    </row>
    <row r="69" customFormat="false" ht="15" hidden="false" customHeight="false" outlineLevel="0" collapsed="false">
      <c r="A69" s="18" t="s">
        <v>114</v>
      </c>
      <c r="B69" s="19" t="n">
        <f aca="false">Datos!F25+Datos!F26-Datos!F17</f>
        <v>4624.616</v>
      </c>
    </row>
    <row r="70" customFormat="false" ht="15" hidden="false" customHeight="false" outlineLevel="0" collapsed="false">
      <c r="A70" s="18" t="s">
        <v>115</v>
      </c>
      <c r="B70" s="19" t="n">
        <f aca="false">Datos!E16+Datos!F16</f>
        <v>1410.9</v>
      </c>
    </row>
    <row r="72" customFormat="false" ht="15" hidden="false" customHeight="false" outlineLevel="0" collapsed="false">
      <c r="A72" s="16" t="s">
        <v>116</v>
      </c>
      <c r="B72" s="16" t="s">
        <v>78</v>
      </c>
      <c r="C72" s="17"/>
      <c r="D72" s="17"/>
      <c r="E72" s="17"/>
      <c r="F72" s="17"/>
      <c r="G72" s="17"/>
      <c r="H72" s="17"/>
      <c r="I72" s="17"/>
      <c r="J72" s="17"/>
    </row>
    <row r="73" customFormat="false" ht="15" hidden="false" customHeight="false" outlineLevel="0" collapsed="false">
      <c r="A73" s="18" t="s">
        <v>117</v>
      </c>
      <c r="B73" s="30" t="s">
        <v>118</v>
      </c>
    </row>
    <row r="74" customFormat="false" ht="15" hidden="false" customHeight="false" outlineLevel="0" collapsed="false">
      <c r="A74" s="18" t="s">
        <v>119</v>
      </c>
      <c r="B74" s="31" t="n">
        <f aca="false">B24/WACC!B13-1</f>
        <v>-0.294350453172206</v>
      </c>
    </row>
    <row r="75" customFormat="false" ht="15" hidden="false" customHeight="false" outlineLevel="0" collapsed="false">
      <c r="A75" s="18" t="s">
        <v>120</v>
      </c>
      <c r="B75" s="19" t="n">
        <v>196480</v>
      </c>
    </row>
    <row r="77" customFormat="false" ht="15" hidden="false" customHeight="false" outlineLevel="0" collapsed="false">
      <c r="A77" s="16" t="s">
        <v>121</v>
      </c>
      <c r="B77" s="16" t="s">
        <v>78</v>
      </c>
      <c r="C77" s="17"/>
      <c r="D77" s="17"/>
      <c r="E77" s="17"/>
      <c r="F77" s="17"/>
      <c r="G77" s="17"/>
      <c r="H77" s="17"/>
      <c r="I77" s="17"/>
      <c r="J77" s="17"/>
    </row>
    <row r="78" customFormat="false" ht="15" hidden="false" customHeight="false" outlineLevel="0" collapsed="false">
      <c r="A78" s="18" t="s">
        <v>122</v>
      </c>
      <c r="B78" s="27" t="n">
        <f aca="false">WACC!B13</f>
        <v>33.1</v>
      </c>
    </row>
    <row r="79" customFormat="false" ht="15" hidden="false" customHeight="false" outlineLevel="0" collapsed="false">
      <c r="A79" s="18" t="s">
        <v>123</v>
      </c>
      <c r="B79" s="18" t="s">
        <v>124</v>
      </c>
    </row>
    <row r="80" customFormat="false" ht="15" hidden="false" customHeight="false" outlineLevel="0" collapsed="false">
      <c r="A80" s="18" t="s">
        <v>125</v>
      </c>
      <c r="B80" s="25" t="n">
        <v>0.2127</v>
      </c>
    </row>
    <row r="81" customFormat="false" ht="15" hidden="false" customHeight="false" outlineLevel="0" collapsed="false">
      <c r="A81" s="18" t="s">
        <v>126</v>
      </c>
      <c r="B81" s="18" t="s">
        <v>127</v>
      </c>
    </row>
    <row r="82" customFormat="false" ht="15" hidden="false" customHeight="false" outlineLevel="0" collapsed="false">
      <c r="A82" s="18" t="s">
        <v>128</v>
      </c>
      <c r="B82" s="32" t="n">
        <v>75</v>
      </c>
    </row>
    <row r="83" customFormat="false" ht="15" hidden="false" customHeight="false" outlineLevel="0" collapsed="false">
      <c r="A83" s="18" t="s">
        <v>129</v>
      </c>
      <c r="B83" s="33" t="n">
        <v>1.154</v>
      </c>
    </row>
    <row r="84" customFormat="false" ht="15" hidden="false" customHeight="false" outlineLevel="0" collapsed="false">
      <c r="A84" s="18" t="s">
        <v>130</v>
      </c>
      <c r="B84" s="27" t="n">
        <v>29.68</v>
      </c>
    </row>
    <row r="85" customFormat="false" ht="15" hidden="false" customHeight="false" outlineLevel="0" collapsed="false">
      <c r="A85" s="18" t="s">
        <v>131</v>
      </c>
      <c r="B85" s="27" t="n">
        <v>29.71</v>
      </c>
    </row>
    <row r="88" customFormat="false" ht="15" hidden="false" customHeight="false" outlineLevel="0" collapsed="false">
      <c r="A88" s="16" t="s">
        <v>132</v>
      </c>
      <c r="B88" s="16" t="s">
        <v>1</v>
      </c>
      <c r="C88" s="16" t="s">
        <v>2</v>
      </c>
      <c r="D88" s="16" t="s">
        <v>3</v>
      </c>
      <c r="E88" s="16" t="s">
        <v>4</v>
      </c>
      <c r="F88" s="17"/>
      <c r="G88" s="17"/>
      <c r="H88" s="17"/>
      <c r="I88" s="17"/>
      <c r="J88" s="17"/>
    </row>
    <row r="89" customFormat="false" ht="15" hidden="false" customHeight="false" outlineLevel="0" collapsed="false">
      <c r="A89" s="18" t="s">
        <v>133</v>
      </c>
      <c r="B89" s="27" t="n">
        <f aca="false">WACC!B13</f>
        <v>33.1</v>
      </c>
      <c r="C89" s="27" t="n">
        <f aca="false">WACC!C13</f>
        <v>46.6</v>
      </c>
      <c r="D89" s="27" t="n">
        <f aca="false">WACC!D13</f>
        <v>92.94</v>
      </c>
      <c r="E89" s="27" t="n">
        <f aca="false">WACC!E13</f>
        <v>32.08</v>
      </c>
    </row>
    <row r="90" customFormat="false" ht="15" hidden="false" customHeight="false" outlineLevel="0" collapsed="false">
      <c r="A90" s="18" t="s">
        <v>134</v>
      </c>
      <c r="B90" s="26" t="n">
        <f aca="false">B56</f>
        <v>17.870425914817</v>
      </c>
      <c r="C90" s="26" t="n">
        <f aca="false">WACC!C13/(Datos!G39/WACC!C17)</f>
        <v>16.3081016006914</v>
      </c>
      <c r="D90" s="26" t="n">
        <f aca="false">WACC!D13/(Datos!G65/WACC!D17)</f>
        <v>13.4811709005336</v>
      </c>
      <c r="E90" s="26" t="n">
        <f aca="false">WACC!E13/(Datos!G91/WACC!E17)</f>
        <v>12.7350338210316</v>
      </c>
    </row>
    <row r="91" customFormat="false" ht="15" hidden="false" customHeight="false" outlineLevel="0" collapsed="false">
      <c r="A91" s="18" t="s">
        <v>135</v>
      </c>
      <c r="B91" s="25" t="n">
        <f aca="false">B63</f>
        <v>0.016785498489426</v>
      </c>
      <c r="C91" s="25" t="n">
        <v>0.0253</v>
      </c>
      <c r="D91" s="25" t="n">
        <v>0.0249</v>
      </c>
      <c r="E91" s="25" t="n">
        <v>0.0088</v>
      </c>
    </row>
    <row r="92" customFormat="false" ht="15" hidden="false" customHeight="false" outlineLevel="0" collapsed="false">
      <c r="A92" s="18" t="s">
        <v>125</v>
      </c>
      <c r="B92" s="25" t="n">
        <f aca="false">B80</f>
        <v>0.2127</v>
      </c>
      <c r="C92" s="25" t="n">
        <v>-0.1686</v>
      </c>
      <c r="D92" s="25" t="n">
        <v>-0.4125</v>
      </c>
      <c r="E92" s="25" t="n">
        <v>-0.2051</v>
      </c>
    </row>
    <row r="93" customFormat="false" ht="15" hidden="false" customHeight="false" outlineLevel="0" collapsed="false">
      <c r="A93" s="18" t="s">
        <v>136</v>
      </c>
      <c r="B93" s="34" t="n">
        <f aca="false">IF('Beta Regresión'!B7&gt;2,'Beta Regresión'!B30,"n.d. (pega datos)")</f>
        <v>0.217837909377843</v>
      </c>
      <c r="C93" s="34" t="n">
        <v>0.03</v>
      </c>
      <c r="D93" s="34" t="n">
        <v>-0.06</v>
      </c>
      <c r="E93" s="34" t="n">
        <v>0.17</v>
      </c>
    </row>
    <row r="94" customFormat="false" ht="15" hidden="false" customHeight="false" outlineLevel="0" collapsed="false">
      <c r="A94" s="18" t="s">
        <v>137</v>
      </c>
      <c r="B94" s="18" t="s">
        <v>127</v>
      </c>
      <c r="C94" s="18" t="s">
        <v>127</v>
      </c>
      <c r="D94" s="18" t="s">
        <v>127</v>
      </c>
      <c r="E94" s="18" t="s">
        <v>127</v>
      </c>
    </row>
    <row r="95" customFormat="false" ht="15" hidden="false" customHeight="false" outlineLevel="0" collapsed="false">
      <c r="A95" s="18" t="s">
        <v>128</v>
      </c>
      <c r="B95" s="32" t="n">
        <f aca="false">B82</f>
        <v>75</v>
      </c>
      <c r="C95" s="32" t="n">
        <v>41.07</v>
      </c>
      <c r="D95" s="32" t="n">
        <v>60.23</v>
      </c>
      <c r="E95" s="32" t="n">
        <v>40.03</v>
      </c>
    </row>
    <row r="96" customFormat="false" ht="15" hidden="false" customHeight="false" outlineLevel="0" collapsed="false">
      <c r="A96" s="18" t="s">
        <v>74</v>
      </c>
      <c r="B96" s="18" t="s">
        <v>75</v>
      </c>
      <c r="C96" s="18" t="s">
        <v>138</v>
      </c>
      <c r="D96" s="18" t="s">
        <v>138</v>
      </c>
      <c r="E96" s="18" t="s">
        <v>139</v>
      </c>
    </row>
    <row r="97" customFormat="false" ht="15" hidden="false" customHeight="false" outlineLevel="0" collapsed="false">
      <c r="A97" s="18" t="s">
        <v>140</v>
      </c>
      <c r="B97" s="27" t="n">
        <f aca="false">Comparativo!B18</f>
        <v>23.357</v>
      </c>
      <c r="C97" s="27" t="n">
        <f aca="false">Comparativo!C18</f>
        <v>60.094</v>
      </c>
      <c r="D97" s="27" t="n">
        <f aca="false">Comparativo!D18</f>
        <v>128.933</v>
      </c>
      <c r="E97" s="27" t="n">
        <f aca="false">Comparativo!E18</f>
        <v>47.67</v>
      </c>
    </row>
    <row r="98" customFormat="false" ht="15" hidden="false" customHeight="false" outlineLevel="0" collapsed="false">
      <c r="A98" s="18" t="s">
        <v>141</v>
      </c>
      <c r="B98" s="18" t="s">
        <v>142</v>
      </c>
      <c r="C98" s="18" t="s">
        <v>143</v>
      </c>
      <c r="D98" s="18" t="s">
        <v>144</v>
      </c>
      <c r="E98" s="18" t="s">
        <v>143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1"/>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J44" activeCellId="0" sqref="J44"/>
    </sheetView>
  </sheetViews>
  <sheetFormatPr defaultColWidth="11.5078125" defaultRowHeight="15" zeroHeight="false" outlineLevelRow="0" outlineLevelCol="0"/>
  <cols>
    <col collapsed="false" customWidth="true" hidden="false" outlineLevel="0" max="1" min="1" style="0" width="48.16"/>
    <col collapsed="false" customWidth="true" hidden="false" outlineLevel="0" max="9" min="2" style="0" width="14.51"/>
    <col collapsed="false" customWidth="true" hidden="false" outlineLevel="0" max="10" min="10" style="0" width="48.16"/>
  </cols>
  <sheetData>
    <row r="1" customFormat="false" ht="18.75" hidden="false" customHeight="true" outlineLevel="0" collapsed="false">
      <c r="A1" s="35"/>
    </row>
    <row r="2" customFormat="false" ht="15" hidden="false" customHeight="false" outlineLevel="0" collapsed="false">
      <c r="A2" s="36"/>
    </row>
    <row r="5" customFormat="false" ht="15" hidden="false" customHeight="false" outlineLevel="0" collapsed="false">
      <c r="A5" s="1" t="s">
        <v>145</v>
      </c>
      <c r="B5" s="1" t="s">
        <v>146</v>
      </c>
      <c r="C5" s="1" t="s">
        <v>147</v>
      </c>
      <c r="D5" s="1" t="s">
        <v>148</v>
      </c>
      <c r="E5" s="1" t="s">
        <v>149</v>
      </c>
      <c r="F5" s="1" t="s">
        <v>85</v>
      </c>
      <c r="G5" s="1" t="s">
        <v>150</v>
      </c>
      <c r="H5" s="2"/>
      <c r="I5" s="2"/>
      <c r="J5" s="2"/>
    </row>
    <row r="6" customFormat="false" ht="15" hidden="false" customHeight="false" outlineLevel="0" collapsed="false">
      <c r="A6" s="3" t="s">
        <v>79</v>
      </c>
      <c r="B6" s="5" t="n">
        <v>45810</v>
      </c>
      <c r="C6" s="5" t="n">
        <v>42683</v>
      </c>
      <c r="D6" s="5" t="n">
        <v>47592</v>
      </c>
      <c r="E6" s="5" t="n">
        <v>40444</v>
      </c>
      <c r="F6" s="5" t="n">
        <v>43559</v>
      </c>
      <c r="G6" s="5" t="n">
        <v>177515</v>
      </c>
    </row>
    <row r="7" customFormat="false" ht="15" hidden="false" customHeight="false" outlineLevel="0" collapsed="false">
      <c r="A7" s="3" t="s">
        <v>86</v>
      </c>
      <c r="B7" s="5" t="n">
        <v>34856</v>
      </c>
      <c r="C7" s="5" t="n">
        <v>31998</v>
      </c>
      <c r="D7" s="5" t="n">
        <v>35795</v>
      </c>
      <c r="E7" s="5" t="n">
        <v>30466</v>
      </c>
      <c r="F7" s="5" t="n">
        <v>32919</v>
      </c>
      <c r="G7" s="5" t="n">
        <v>134752</v>
      </c>
      <c r="H7" s="9"/>
      <c r="I7" s="9"/>
    </row>
    <row r="8" customFormat="false" ht="15" hidden="false" customHeight="false" outlineLevel="0" collapsed="false">
      <c r="A8" s="3" t="s">
        <v>80</v>
      </c>
      <c r="B8" s="5" t="n">
        <v>10954</v>
      </c>
      <c r="C8" s="5" t="n">
        <v>10685</v>
      </c>
      <c r="D8" s="5" t="n">
        <v>11797</v>
      </c>
      <c r="E8" s="5" t="n">
        <v>9978</v>
      </c>
      <c r="F8" s="5" t="n">
        <v>10640</v>
      </c>
      <c r="G8" s="5" t="n">
        <v>42764</v>
      </c>
      <c r="H8" s="9"/>
      <c r="I8" s="9"/>
    </row>
    <row r="9" customFormat="false" ht="15" hidden="false" customHeight="false" outlineLevel="0" collapsed="false">
      <c r="A9" s="3" t="s">
        <v>81</v>
      </c>
      <c r="B9" s="5" t="n">
        <v>1909</v>
      </c>
      <c r="C9" s="5" t="n">
        <v>1468</v>
      </c>
      <c r="D9" s="5" t="n">
        <v>2486</v>
      </c>
      <c r="E9" s="5" t="n">
        <v>1822</v>
      </c>
      <c r="F9" s="5" t="n">
        <v>1855</v>
      </c>
      <c r="G9" s="5" t="n">
        <v>7552</v>
      </c>
      <c r="H9" s="9"/>
      <c r="I9" s="9"/>
    </row>
    <row r="10" customFormat="false" ht="15" hidden="false" customHeight="false" outlineLevel="0" collapsed="false">
      <c r="A10" s="3" t="s">
        <v>151</v>
      </c>
      <c r="B10" s="5" t="n">
        <v>829</v>
      </c>
      <c r="C10" s="5" t="n">
        <v>786</v>
      </c>
      <c r="D10" s="5" t="n">
        <v>616</v>
      </c>
      <c r="E10" s="5" t="n">
        <v>588</v>
      </c>
      <c r="F10" s="5" t="n">
        <v>582</v>
      </c>
      <c r="G10" s="5" t="n">
        <v>3074</v>
      </c>
      <c r="H10" s="9"/>
      <c r="I10" s="9"/>
    </row>
    <row r="11" customFormat="false" ht="15" hidden="false" customHeight="false" outlineLevel="0" collapsed="false">
      <c r="A11" s="3" t="s">
        <v>152</v>
      </c>
      <c r="B11" s="5" t="n">
        <v>1203</v>
      </c>
      <c r="C11" s="5" t="n">
        <v>764</v>
      </c>
      <c r="D11" s="5" t="n">
        <v>1763</v>
      </c>
      <c r="E11" s="5" t="n">
        <v>1326</v>
      </c>
      <c r="F11" s="5" t="n">
        <v>1372</v>
      </c>
      <c r="G11" s="5" t="n">
        <v>4766</v>
      </c>
      <c r="H11" s="9"/>
      <c r="I11" s="9"/>
    </row>
    <row r="12" customFormat="false" ht="15" hidden="false" customHeight="false" outlineLevel="0" collapsed="false">
      <c r="A12" s="3" t="s">
        <v>153</v>
      </c>
      <c r="B12" s="5" t="n">
        <v>461</v>
      </c>
      <c r="C12" s="5" t="n">
        <v>179</v>
      </c>
      <c r="D12" s="5" t="n">
        <v>455</v>
      </c>
      <c r="E12" s="5" t="n">
        <v>492</v>
      </c>
      <c r="F12" s="5" t="n">
        <v>282</v>
      </c>
      <c r="G12" s="5" t="n">
        <v>1433</v>
      </c>
      <c r="H12" s="9"/>
      <c r="I12" s="9"/>
    </row>
    <row r="13" customFormat="false" ht="15" hidden="false" customHeight="false" outlineLevel="0" collapsed="false">
      <c r="A13" s="3" t="s">
        <v>82</v>
      </c>
      <c r="B13" s="5" t="n">
        <v>743</v>
      </c>
      <c r="C13" s="5" t="n">
        <v>584</v>
      </c>
      <c r="D13" s="5" t="n">
        <v>1308</v>
      </c>
      <c r="E13" s="5" t="n">
        <v>834</v>
      </c>
      <c r="F13" s="5" t="n">
        <v>1090</v>
      </c>
      <c r="G13" s="5" t="n">
        <v>3334</v>
      </c>
      <c r="H13" s="9"/>
      <c r="I13" s="9"/>
    </row>
    <row r="14" customFormat="false" ht="15" hidden="false" customHeight="false" outlineLevel="0" collapsed="false">
      <c r="A14" s="3" t="s">
        <v>154</v>
      </c>
      <c r="B14" s="5" t="n">
        <v>1105.905</v>
      </c>
      <c r="C14" s="5" t="n">
        <v>1049.349</v>
      </c>
      <c r="D14" s="5" t="n">
        <v>1051</v>
      </c>
      <c r="E14" s="5" t="n">
        <v>1048.889</v>
      </c>
      <c r="F14" s="5" t="n">
        <v>1030.633</v>
      </c>
      <c r="G14" s="5" t="n">
        <v>4342</v>
      </c>
      <c r="H14" s="9"/>
      <c r="I14" s="9"/>
    </row>
    <row r="15" customFormat="false" ht="15" hidden="false" customHeight="false" outlineLevel="0" collapsed="false">
      <c r="A15" s="3" t="s">
        <v>98</v>
      </c>
      <c r="B15" s="5" t="n">
        <v>4013.113</v>
      </c>
      <c r="C15" s="5" t="n">
        <v>-205.9</v>
      </c>
      <c r="D15" s="5" t="n">
        <v>13017</v>
      </c>
      <c r="E15" s="5" t="n">
        <v>-3565.6</v>
      </c>
      <c r="F15" s="5" t="n">
        <v>3916.003</v>
      </c>
      <c r="G15" s="5" t="n">
        <v>13738</v>
      </c>
      <c r="H15" s="9"/>
      <c r="I15" s="9"/>
    </row>
    <row r="16" customFormat="false" ht="15" hidden="false" customHeight="false" outlineLevel="0" collapsed="false">
      <c r="A16" s="3" t="s">
        <v>155</v>
      </c>
      <c r="B16" s="5" t="n">
        <f aca="false">SUM(B110:B112)</f>
        <v>663.2</v>
      </c>
      <c r="C16" s="5" t="n">
        <f aca="false">SUM(C110:C112)</f>
        <v>775.2</v>
      </c>
      <c r="D16" s="5" t="n">
        <f aca="false">SUM(D110:D112)</f>
        <v>816</v>
      </c>
      <c r="E16" s="5" t="n">
        <f aca="false">SUM(E110:E112)</f>
        <v>501</v>
      </c>
      <c r="F16" s="5" t="n">
        <f aca="false">SUM(F110:F112)</f>
        <v>909.9</v>
      </c>
      <c r="G16" s="5" t="n">
        <v>2867</v>
      </c>
      <c r="H16" s="9"/>
      <c r="I16" s="9"/>
    </row>
    <row r="17" customFormat="false" ht="15" hidden="false" customHeight="false" outlineLevel="0" collapsed="false">
      <c r="A17" s="3" t="s">
        <v>13</v>
      </c>
      <c r="B17" s="5" t="n">
        <v>7540</v>
      </c>
      <c r="C17" s="5" t="n">
        <v>5798</v>
      </c>
      <c r="D17" s="5" t="n">
        <v>9295</v>
      </c>
      <c r="E17" s="5" t="n">
        <v>4589</v>
      </c>
      <c r="F17" s="5" t="n">
        <v>6875.384</v>
      </c>
      <c r="G17" s="5" t="n">
        <f aca="false">D17</f>
        <v>9295</v>
      </c>
      <c r="H17" s="9"/>
      <c r="I17" s="9"/>
    </row>
    <row r="18" customFormat="false" ht="15" hidden="false" customHeight="false" outlineLevel="0" collapsed="false">
      <c r="A18" s="3" t="s">
        <v>156</v>
      </c>
      <c r="B18" s="5" t="n">
        <v>37421</v>
      </c>
      <c r="C18" s="5" t="n">
        <v>36394</v>
      </c>
      <c r="D18" s="5" t="n">
        <v>32283</v>
      </c>
      <c r="E18" s="5" t="n">
        <v>32635</v>
      </c>
      <c r="F18" s="5" t="n">
        <v>35486.661</v>
      </c>
      <c r="G18" s="5" t="n">
        <f aca="false">D18</f>
        <v>32283</v>
      </c>
      <c r="H18" s="9"/>
      <c r="I18" s="9"/>
    </row>
    <row r="19" customFormat="false" ht="15" hidden="false" customHeight="false" outlineLevel="0" collapsed="false">
      <c r="A19" s="3" t="s">
        <v>157</v>
      </c>
      <c r="B19" s="5" t="n">
        <v>52131</v>
      </c>
      <c r="C19" s="5" t="n">
        <v>49767</v>
      </c>
      <c r="D19" s="5" t="n">
        <v>48529</v>
      </c>
      <c r="E19" s="5" t="n">
        <v>43562</v>
      </c>
      <c r="F19" s="5" t="n">
        <v>49259.847</v>
      </c>
      <c r="G19" s="5" t="n">
        <f aca="false">D19</f>
        <v>48529</v>
      </c>
      <c r="H19" s="9"/>
      <c r="I19" s="9"/>
    </row>
    <row r="20" customFormat="false" ht="15" hidden="false" customHeight="false" outlineLevel="0" collapsed="false">
      <c r="A20" s="3" t="s">
        <v>92</v>
      </c>
      <c r="B20" s="5" t="n">
        <v>159842</v>
      </c>
      <c r="C20" s="5" t="n">
        <v>157502</v>
      </c>
      <c r="D20" s="5" t="n">
        <v>156038</v>
      </c>
      <c r="E20" s="5" t="n">
        <v>150941</v>
      </c>
      <c r="F20" s="5" t="n">
        <f aca="false">F23+F24</f>
        <v>156813</v>
      </c>
      <c r="G20" s="5" t="n">
        <f aca="false">D20</f>
        <v>156038</v>
      </c>
      <c r="H20" s="9"/>
      <c r="I20" s="9"/>
    </row>
    <row r="21" customFormat="false" ht="15" hidden="false" customHeight="false" outlineLevel="0" collapsed="false">
      <c r="A21" s="3" t="s">
        <v>158</v>
      </c>
      <c r="B21" s="5" t="n">
        <v>41065</v>
      </c>
      <c r="C21" s="5" t="n">
        <v>38190</v>
      </c>
      <c r="D21" s="5" t="n">
        <v>39219</v>
      </c>
      <c r="E21" s="5" t="n">
        <v>33850</v>
      </c>
      <c r="F21" s="5" t="n">
        <v>41957.933</v>
      </c>
      <c r="G21" s="5" t="n">
        <f aca="false">D21</f>
        <v>39219</v>
      </c>
      <c r="H21" s="9"/>
      <c r="I21" s="9"/>
    </row>
    <row r="22" customFormat="false" ht="15" hidden="false" customHeight="false" outlineLevel="0" collapsed="false">
      <c r="A22" s="3" t="s">
        <v>159</v>
      </c>
      <c r="B22" s="5" t="n">
        <v>34801</v>
      </c>
      <c r="C22" s="5" t="n">
        <v>34753</v>
      </c>
      <c r="D22" s="5" t="n">
        <v>32086</v>
      </c>
      <c r="E22" s="5" t="n">
        <v>31527</v>
      </c>
      <c r="F22" s="5" t="n">
        <f aca="false">F23-F21</f>
        <v>28201.067</v>
      </c>
      <c r="G22" s="5" t="n">
        <f aca="false">D22</f>
        <v>32086</v>
      </c>
      <c r="H22" s="9"/>
      <c r="I22" s="9"/>
    </row>
    <row r="23" customFormat="false" ht="15" hidden="false" customHeight="false" outlineLevel="0" collapsed="false">
      <c r="A23" s="3" t="s">
        <v>93</v>
      </c>
      <c r="B23" s="5" t="n">
        <v>75866</v>
      </c>
      <c r="C23" s="5" t="n">
        <v>72943</v>
      </c>
      <c r="D23" s="5" t="n">
        <v>71306</v>
      </c>
      <c r="E23" s="5" t="n">
        <v>65377</v>
      </c>
      <c r="F23" s="5" t="n">
        <v>70159</v>
      </c>
      <c r="G23" s="5" t="n">
        <f aca="false">D23</f>
        <v>71306</v>
      </c>
      <c r="H23" s="9"/>
      <c r="I23" s="9"/>
    </row>
    <row r="24" customFormat="false" ht="15" hidden="false" customHeight="false" outlineLevel="0" collapsed="false">
      <c r="A24" s="3" t="s">
        <v>94</v>
      </c>
      <c r="B24" s="5" t="n">
        <v>83976</v>
      </c>
      <c r="C24" s="5" t="n">
        <v>84559</v>
      </c>
      <c r="D24" s="5" t="n">
        <v>84732</v>
      </c>
      <c r="E24" s="5" t="n">
        <v>85564</v>
      </c>
      <c r="F24" s="5" t="n">
        <v>86654</v>
      </c>
      <c r="G24" s="5" t="n">
        <f aca="false">D24</f>
        <v>84732</v>
      </c>
      <c r="H24" s="9"/>
      <c r="I24" s="9"/>
    </row>
    <row r="25" customFormat="false" ht="15" hidden="false" customHeight="false" outlineLevel="0" collapsed="false">
      <c r="A25" s="3" t="s">
        <v>160</v>
      </c>
      <c r="B25" s="5" t="n">
        <v>6627</v>
      </c>
      <c r="C25" s="5" t="n">
        <v>6553</v>
      </c>
      <c r="D25" s="5" t="n">
        <v>3000</v>
      </c>
      <c r="E25" s="5" t="n">
        <v>3000</v>
      </c>
      <c r="F25" s="5" t="n">
        <v>6500</v>
      </c>
      <c r="G25" s="5" t="n">
        <f aca="false">D25</f>
        <v>3000</v>
      </c>
      <c r="H25" s="9"/>
      <c r="I25" s="9"/>
    </row>
    <row r="26" customFormat="false" ht="15" hidden="false" customHeight="false" outlineLevel="0" collapsed="false">
      <c r="A26" s="3" t="s">
        <v>161</v>
      </c>
      <c r="B26" s="5" t="n">
        <v>11500</v>
      </c>
      <c r="C26" s="5" t="n">
        <v>11500</v>
      </c>
      <c r="D26" s="5" t="n">
        <v>8500</v>
      </c>
      <c r="E26" s="5" t="n">
        <v>8500</v>
      </c>
      <c r="F26" s="5" t="n">
        <v>5000</v>
      </c>
      <c r="G26" s="5" t="n">
        <f aca="false">D26</f>
        <v>8500</v>
      </c>
      <c r="H26" s="9"/>
      <c r="I26" s="9"/>
    </row>
    <row r="27" customFormat="false" ht="15" hidden="false" customHeight="false" outlineLevel="0" collapsed="false">
      <c r="A27" s="3" t="s">
        <v>162</v>
      </c>
      <c r="B27" s="5" t="n">
        <v>638</v>
      </c>
      <c r="C27" s="5" t="n">
        <v>659</v>
      </c>
      <c r="D27" s="5" t="n">
        <v>676</v>
      </c>
      <c r="E27" s="5" t="n">
        <v>683</v>
      </c>
      <c r="F27" s="5" t="n">
        <v>639.968</v>
      </c>
      <c r="G27" s="5" t="n">
        <f aca="false">D27</f>
        <v>676</v>
      </c>
      <c r="H27" s="9"/>
      <c r="I27" s="9"/>
    </row>
    <row r="28" customFormat="false" ht="15" hidden="false" customHeight="false" outlineLevel="0" collapsed="false">
      <c r="A28" s="3" t="s">
        <v>163</v>
      </c>
      <c r="B28" s="5" t="n">
        <v>11389</v>
      </c>
      <c r="C28" s="5" t="n">
        <v>11506</v>
      </c>
      <c r="D28" s="5" t="n">
        <v>11442</v>
      </c>
      <c r="E28" s="5" t="n">
        <v>11540</v>
      </c>
      <c r="F28" s="5" t="n">
        <v>11580.62</v>
      </c>
      <c r="G28" s="5" t="n">
        <f aca="false">D28</f>
        <v>11442</v>
      </c>
      <c r="H28" s="9"/>
      <c r="I28" s="9"/>
    </row>
    <row r="29" customFormat="false" ht="15" hidden="false" customHeight="false" outlineLevel="0" collapsed="false">
      <c r="A29" s="3" t="s">
        <v>164</v>
      </c>
      <c r="B29" s="5" t="n">
        <f aca="false">IF(COUNT(B25:B28)=4,SUM(B25:B28),"n.d.")</f>
        <v>30154</v>
      </c>
      <c r="C29" s="5" t="n">
        <f aca="false">IF(COUNT(C25:C28)=4,SUM(C25:C28),"n.d.")</f>
        <v>30218</v>
      </c>
      <c r="D29" s="5" t="n">
        <f aca="false">IF(COUNT(D25:D28)=4,SUM(D25:D28),"n.d.")</f>
        <v>23618</v>
      </c>
      <c r="E29" s="5" t="n">
        <f aca="false">IF(COUNT(E25:E28)=4,SUM(E25:E28),"n.d.")</f>
        <v>23723</v>
      </c>
      <c r="F29" s="5" t="n">
        <f aca="false">IF(COUNT(F25:F28)=4,SUM(F25:F28),"n.d.")</f>
        <v>23720.588</v>
      </c>
      <c r="G29" s="5" t="n">
        <f aca="false">IF(COUNT(G25:G28)=4,SUM(G25:G28),"n.d.")</f>
        <v>23618</v>
      </c>
      <c r="H29" s="9"/>
      <c r="I29" s="9"/>
    </row>
    <row r="30" customFormat="false" ht="15" hidden="false" customHeight="false" outlineLevel="0" collapsed="false">
      <c r="B30" s="9"/>
      <c r="C30" s="9"/>
      <c r="D30" s="9"/>
      <c r="E30" s="9"/>
      <c r="F30" s="9"/>
      <c r="G30" s="9"/>
      <c r="H30" s="9"/>
      <c r="I30" s="9"/>
    </row>
    <row r="31" customFormat="false" ht="15" hidden="false" customHeight="false" outlineLevel="0" collapsed="false">
      <c r="A31" s="3" t="s">
        <v>165</v>
      </c>
      <c r="B31" s="3" t="s">
        <v>146</v>
      </c>
      <c r="C31" s="3" t="s">
        <v>147</v>
      </c>
      <c r="D31" s="3" t="s">
        <v>148</v>
      </c>
      <c r="E31" s="3" t="s">
        <v>149</v>
      </c>
      <c r="F31" s="3" t="s">
        <v>85</v>
      </c>
      <c r="G31" s="3" t="s">
        <v>150</v>
      </c>
    </row>
    <row r="32" customFormat="false" ht="15" hidden="false" customHeight="false" outlineLevel="0" collapsed="false">
      <c r="A32" s="1" t="s">
        <v>79</v>
      </c>
      <c r="B32" s="37" t="n">
        <v>246253.8</v>
      </c>
      <c r="C32" s="37" t="n">
        <v>241520.2</v>
      </c>
      <c r="D32" s="37" t="n">
        <v>282849.3</v>
      </c>
      <c r="E32" s="37" t="n">
        <v>245018.5</v>
      </c>
      <c r="F32" s="37" t="n">
        <v>250947.8</v>
      </c>
      <c r="G32" s="37" t="n">
        <v>1011597.9</v>
      </c>
      <c r="H32" s="2"/>
      <c r="I32" s="2"/>
      <c r="J32" s="2"/>
    </row>
    <row r="33" customFormat="false" ht="15" hidden="false" customHeight="false" outlineLevel="0" collapsed="false">
      <c r="A33" s="3" t="s">
        <v>86</v>
      </c>
      <c r="B33" s="5" t="n">
        <v>186848.1</v>
      </c>
      <c r="C33" s="5" t="n">
        <v>181746.3</v>
      </c>
      <c r="D33" s="5" t="n">
        <v>214905.4</v>
      </c>
      <c r="E33" s="5" t="n">
        <v>185425.3</v>
      </c>
      <c r="F33" s="5" t="n">
        <v>190822.8</v>
      </c>
      <c r="G33" s="5" t="n">
        <v>766400</v>
      </c>
      <c r="H33" s="9"/>
      <c r="I33" s="9"/>
    </row>
    <row r="34" customFormat="false" ht="15" hidden="false" customHeight="false" outlineLevel="0" collapsed="false">
      <c r="A34" s="3" t="s">
        <v>80</v>
      </c>
      <c r="B34" s="5" t="n">
        <v>59405.7</v>
      </c>
      <c r="C34" s="5" t="n">
        <v>59773.8</v>
      </c>
      <c r="D34" s="5" t="n">
        <v>67943.9</v>
      </c>
      <c r="E34" s="5" t="n">
        <v>59593.2</v>
      </c>
      <c r="F34" s="5" t="n">
        <v>60125</v>
      </c>
      <c r="G34" s="5" t="n">
        <v>245197.9</v>
      </c>
      <c r="H34" s="9"/>
      <c r="I34" s="9"/>
    </row>
    <row r="35" customFormat="false" ht="15" hidden="false" customHeight="false" outlineLevel="0" collapsed="false">
      <c r="A35" s="3" t="s">
        <v>81</v>
      </c>
      <c r="B35" s="5" t="n">
        <v>17267.1</v>
      </c>
      <c r="C35" s="5" t="n">
        <v>19020.8</v>
      </c>
      <c r="D35" s="5" t="n">
        <v>23317</v>
      </c>
      <c r="E35" s="5" t="n">
        <v>18471.6</v>
      </c>
      <c r="F35" s="5" t="n">
        <v>17019.7</v>
      </c>
      <c r="G35" s="5" t="n">
        <v>78493.8</v>
      </c>
      <c r="H35" s="9"/>
      <c r="I35" s="9"/>
    </row>
    <row r="36" customFormat="false" ht="15" hidden="false" customHeight="false" outlineLevel="0" collapsed="false">
      <c r="A36" s="3" t="s">
        <v>151</v>
      </c>
      <c r="B36" s="5" t="n">
        <v>2646.3</v>
      </c>
      <c r="C36" s="5" t="n">
        <v>3223.3</v>
      </c>
      <c r="D36" s="5" t="n">
        <v>2795.1</v>
      </c>
      <c r="E36" s="5" t="n">
        <v>2895.6</v>
      </c>
      <c r="F36" s="5" t="n">
        <v>2799.6</v>
      </c>
      <c r="G36" s="5" t="n">
        <v>11464.7</v>
      </c>
      <c r="H36" s="9"/>
      <c r="I36" s="9"/>
    </row>
    <row r="37" customFormat="false" ht="15" hidden="false" customHeight="false" outlineLevel="0" collapsed="false">
      <c r="A37" s="3" t="s">
        <v>152</v>
      </c>
      <c r="B37" s="5" t="n">
        <v>15076.8</v>
      </c>
      <c r="C37" s="5" t="n">
        <v>16328</v>
      </c>
      <c r="D37" s="5" t="n">
        <v>21053.3</v>
      </c>
      <c r="E37" s="5" t="n">
        <v>16176.4</v>
      </c>
      <c r="F37" s="5" t="n">
        <v>14754.6</v>
      </c>
      <c r="G37" s="5" t="n">
        <v>68876.6</v>
      </c>
      <c r="H37" s="9"/>
      <c r="I37" s="9"/>
    </row>
    <row r="38" customFormat="false" ht="15" hidden="false" customHeight="false" outlineLevel="0" collapsed="false">
      <c r="A38" s="3" t="s">
        <v>153</v>
      </c>
      <c r="B38" s="5" t="n">
        <v>3849.9</v>
      </c>
      <c r="C38" s="5" t="n">
        <v>4580.7</v>
      </c>
      <c r="D38" s="5" t="n">
        <v>6453.5</v>
      </c>
      <c r="E38" s="5" t="n">
        <v>3676.9</v>
      </c>
      <c r="F38" s="5" t="n">
        <v>3602.2</v>
      </c>
      <c r="G38" s="5" t="n">
        <v>18985.9</v>
      </c>
      <c r="H38" s="9"/>
      <c r="I38" s="9"/>
    </row>
    <row r="39" customFormat="false" ht="15" hidden="false" customHeight="false" outlineLevel="0" collapsed="false">
      <c r="A39" s="3" t="s">
        <v>82</v>
      </c>
      <c r="B39" s="5" t="n">
        <v>11226.9</v>
      </c>
      <c r="C39" s="5" t="n">
        <v>11747.3</v>
      </c>
      <c r="D39" s="5" t="n">
        <v>14599.8</v>
      </c>
      <c r="E39" s="5" t="n">
        <v>12499.6</v>
      </c>
      <c r="F39" s="5" t="n">
        <v>11152.4</v>
      </c>
      <c r="G39" s="5" t="n">
        <v>49890.7</v>
      </c>
      <c r="H39" s="9"/>
      <c r="I39" s="9"/>
    </row>
    <row r="40" customFormat="false" ht="15" hidden="false" customHeight="false" outlineLevel="0" collapsed="false">
      <c r="A40" s="3" t="s">
        <v>154</v>
      </c>
      <c r="B40" s="5" t="n">
        <v>6227.732</v>
      </c>
      <c r="C40" s="5" t="n">
        <v>6245.37</v>
      </c>
      <c r="D40" s="5" t="n">
        <v>6277.929</v>
      </c>
      <c r="E40" s="5" t="n">
        <v>6506.919</v>
      </c>
      <c r="F40" s="5" t="n">
        <v>6620.741</v>
      </c>
      <c r="G40" s="5" t="n">
        <v>24953.1</v>
      </c>
      <c r="H40" s="9"/>
      <c r="I40" s="9"/>
    </row>
    <row r="41" customFormat="false" ht="15" hidden="false" customHeight="false" outlineLevel="0" collapsed="false">
      <c r="A41" s="3" t="s">
        <v>98</v>
      </c>
      <c r="B41" s="5" t="n">
        <v>21549.377</v>
      </c>
      <c r="C41" s="5" t="n">
        <v>22017.152</v>
      </c>
      <c r="D41" s="5" t="n">
        <v>43314.63</v>
      </c>
      <c r="E41" s="5" t="n">
        <v>4955.647</v>
      </c>
      <c r="F41" s="5" t="n">
        <v>18326.104</v>
      </c>
      <c r="G41" s="5" t="n">
        <v>82437.7</v>
      </c>
      <c r="H41" s="9"/>
      <c r="I41" s="9"/>
    </row>
    <row r="42" customFormat="false" ht="15" hidden="false" customHeight="false" outlineLevel="0" collapsed="false">
      <c r="A42" s="3" t="s">
        <v>155</v>
      </c>
      <c r="B42" s="5" t="n">
        <f aca="false">SUM(B113:B115)</f>
        <v>7989.7</v>
      </c>
      <c r="C42" s="5" t="n">
        <f aca="false">SUM(C113:C115)</f>
        <v>11746.3</v>
      </c>
      <c r="D42" s="5" t="n">
        <f aca="false">SUM(D113:D115)</f>
        <v>15831.8</v>
      </c>
      <c r="E42" s="5" t="n">
        <f aca="false">SUM(E113:E115)</f>
        <v>2436.5</v>
      </c>
      <c r="F42" s="5" t="n">
        <f aca="false">SUM(F113:F115)</f>
        <v>9264.9</v>
      </c>
      <c r="G42" s="5" t="n">
        <v>38982</v>
      </c>
      <c r="H42" s="9"/>
      <c r="I42" s="9"/>
    </row>
    <row r="43" customFormat="false" ht="15" hidden="false" customHeight="false" outlineLevel="0" collapsed="false">
      <c r="A43" s="3" t="s">
        <v>13</v>
      </c>
      <c r="B43" s="5" t="n">
        <v>32443.8</v>
      </c>
      <c r="C43" s="5" t="n">
        <v>35181.7</v>
      </c>
      <c r="D43" s="5" t="n">
        <v>28591.2</v>
      </c>
      <c r="E43" s="5" t="n">
        <v>28085.1</v>
      </c>
      <c r="F43" s="5" t="n">
        <v>30118.3</v>
      </c>
      <c r="G43" s="5" t="n">
        <f aca="false">D43</f>
        <v>28591.2</v>
      </c>
      <c r="H43" s="9"/>
      <c r="I43" s="9"/>
    </row>
    <row r="44" customFormat="false" ht="15" hidden="false" customHeight="false" outlineLevel="0" collapsed="false">
      <c r="A44" s="3" t="s">
        <v>156</v>
      </c>
      <c r="B44" s="5" t="n">
        <v>106742.4</v>
      </c>
      <c r="C44" s="5" t="n">
        <v>113238.4</v>
      </c>
      <c r="D44" s="5" t="n">
        <v>107450.9</v>
      </c>
      <c r="E44" s="5" t="n">
        <v>106202</v>
      </c>
      <c r="F44" s="5" t="n">
        <v>107528.9</v>
      </c>
      <c r="G44" s="5" t="n">
        <f aca="false">D44</f>
        <v>107450.9</v>
      </c>
      <c r="H44" s="9"/>
      <c r="I44" s="9"/>
    </row>
    <row r="45" customFormat="false" ht="15" hidden="false" customHeight="false" outlineLevel="0" collapsed="false">
      <c r="A45" s="3" t="s">
        <v>157</v>
      </c>
      <c r="B45" s="5" t="n">
        <v>166663.9</v>
      </c>
      <c r="C45" s="5" t="n">
        <v>176974.1</v>
      </c>
      <c r="D45" s="5" t="n">
        <v>164109.4</v>
      </c>
      <c r="E45" s="5" t="n">
        <v>163317.9</v>
      </c>
      <c r="F45" s="5" t="n">
        <v>168653.5</v>
      </c>
      <c r="G45" s="5" t="n">
        <f aca="false">D45</f>
        <v>164109.4</v>
      </c>
      <c r="H45" s="9"/>
      <c r="I45" s="9"/>
    </row>
    <row r="46" customFormat="false" ht="15" hidden="false" customHeight="false" outlineLevel="0" collapsed="false">
      <c r="A46" s="3" t="s">
        <v>92</v>
      </c>
      <c r="B46" s="5" t="n">
        <v>480957.5</v>
      </c>
      <c r="C46" s="5" t="n">
        <v>497334.5</v>
      </c>
      <c r="D46" s="5" t="n">
        <v>495273.3</v>
      </c>
      <c r="E46" s="5" t="n">
        <v>496840.7</v>
      </c>
      <c r="F46" s="5" t="n">
        <v>505946.6</v>
      </c>
      <c r="G46" s="5" t="n">
        <f aca="false">D46</f>
        <v>495273.3</v>
      </c>
      <c r="H46" s="9"/>
      <c r="I46" s="9"/>
    </row>
    <row r="47" customFormat="false" ht="15" hidden="false" customHeight="false" outlineLevel="0" collapsed="false">
      <c r="A47" s="3" t="s">
        <v>158</v>
      </c>
      <c r="B47" s="5" t="n">
        <v>177161.4</v>
      </c>
      <c r="C47" s="5" t="n">
        <v>186356.5</v>
      </c>
      <c r="D47" s="5" t="n">
        <v>169716.7</v>
      </c>
      <c r="E47" s="5" t="n">
        <v>153660.1</v>
      </c>
      <c r="F47" s="5" t="n">
        <v>174921.4</v>
      </c>
      <c r="G47" s="5" t="n">
        <f aca="false">D47</f>
        <v>169716.7</v>
      </c>
      <c r="H47" s="9"/>
      <c r="I47" s="9"/>
    </row>
    <row r="48" customFormat="false" ht="15" hidden="false" customHeight="false" outlineLevel="0" collapsed="false">
      <c r="A48" s="3" t="s">
        <v>159</v>
      </c>
      <c r="B48" s="5" t="n">
        <v>86252.9</v>
      </c>
      <c r="C48" s="5" t="n">
        <v>87538.9</v>
      </c>
      <c r="D48" s="5" t="n">
        <v>89976.5</v>
      </c>
      <c r="E48" s="5" t="n">
        <v>90611.7</v>
      </c>
      <c r="F48" s="5" t="n">
        <v>92411.4</v>
      </c>
      <c r="G48" s="5" t="n">
        <f aca="false">D48</f>
        <v>89976.5</v>
      </c>
      <c r="H48" s="9"/>
      <c r="I48" s="9"/>
    </row>
    <row r="49" customFormat="false" ht="15" hidden="false" customHeight="false" outlineLevel="0" collapsed="false">
      <c r="A49" s="3" t="s">
        <v>93</v>
      </c>
      <c r="B49" s="5" t="n">
        <v>263414.3</v>
      </c>
      <c r="C49" s="5" t="n">
        <v>273895.4</v>
      </c>
      <c r="D49" s="5" t="n">
        <v>259693.2</v>
      </c>
      <c r="E49" s="5" t="n">
        <v>244271.8</v>
      </c>
      <c r="F49" s="5" t="n">
        <v>267332.8</v>
      </c>
      <c r="G49" s="5" t="n">
        <f aca="false">D49</f>
        <v>259693.2</v>
      </c>
      <c r="H49" s="9"/>
      <c r="I49" s="9"/>
    </row>
    <row r="50" customFormat="false" ht="15" hidden="false" customHeight="false" outlineLevel="0" collapsed="false">
      <c r="A50" s="3" t="s">
        <v>94</v>
      </c>
      <c r="B50" s="5" t="n">
        <v>217543.2</v>
      </c>
      <c r="C50" s="5" t="n">
        <v>223439.1</v>
      </c>
      <c r="D50" s="5" t="n">
        <v>235580.1</v>
      </c>
      <c r="E50" s="5" t="n">
        <v>252568.9</v>
      </c>
      <c r="F50" s="5" t="n">
        <v>238613.8</v>
      </c>
      <c r="G50" s="5" t="n">
        <f aca="false">D50</f>
        <v>235580.1</v>
      </c>
      <c r="H50" s="9"/>
      <c r="I50" s="9"/>
    </row>
    <row r="51" customFormat="false" ht="15" hidden="false" customHeight="false" outlineLevel="0" collapsed="false">
      <c r="A51" s="3" t="s">
        <v>160</v>
      </c>
      <c r="B51" s="5" t="n">
        <v>0</v>
      </c>
      <c r="C51" s="5" t="n">
        <v>0</v>
      </c>
      <c r="D51" s="5" t="n">
        <v>0</v>
      </c>
      <c r="E51" s="5" t="n">
        <v>0</v>
      </c>
      <c r="F51" s="5" t="n">
        <v>0</v>
      </c>
      <c r="G51" s="5" t="n">
        <f aca="false">D51</f>
        <v>0</v>
      </c>
      <c r="H51" s="9"/>
      <c r="I51" s="9"/>
    </row>
    <row r="52" customFormat="false" ht="15" hidden="false" customHeight="false" outlineLevel="0" collapsed="false">
      <c r="A52" s="3" t="s">
        <v>161</v>
      </c>
      <c r="B52" s="5" t="n">
        <v>0</v>
      </c>
      <c r="C52" s="5" t="n">
        <v>0</v>
      </c>
      <c r="D52" s="5" t="n">
        <v>0</v>
      </c>
      <c r="E52" s="5" t="n">
        <v>0</v>
      </c>
      <c r="F52" s="5" t="n">
        <v>0</v>
      </c>
      <c r="G52" s="5" t="n">
        <f aca="false">D52</f>
        <v>0</v>
      </c>
      <c r="H52" s="9"/>
      <c r="I52" s="9"/>
    </row>
    <row r="53" customFormat="false" ht="15" hidden="false" customHeight="false" outlineLevel="0" collapsed="false">
      <c r="A53" s="3" t="s">
        <v>162</v>
      </c>
      <c r="B53" s="5" t="n">
        <v>4917.5</v>
      </c>
      <c r="C53" s="5" t="n">
        <v>4981.5</v>
      </c>
      <c r="D53" s="5" t="n">
        <v>5186.9</v>
      </c>
      <c r="E53" s="5" t="n">
        <v>5317.6</v>
      </c>
      <c r="F53" s="5" t="n">
        <v>5495.2</v>
      </c>
      <c r="G53" s="5" t="n">
        <f aca="false">D53</f>
        <v>5186.9</v>
      </c>
      <c r="H53" s="9"/>
      <c r="I53" s="9"/>
    </row>
    <row r="54" customFormat="false" ht="15" hidden="false" customHeight="false" outlineLevel="0" collapsed="false">
      <c r="A54" s="3" t="s">
        <v>163</v>
      </c>
      <c r="B54" s="5" t="n">
        <v>73863</v>
      </c>
      <c r="C54" s="5" t="n">
        <v>74013.7</v>
      </c>
      <c r="D54" s="5" t="n">
        <v>75661.2</v>
      </c>
      <c r="E54" s="5" t="n">
        <v>75952.9</v>
      </c>
      <c r="F54" s="5" t="n">
        <v>77602.9</v>
      </c>
      <c r="G54" s="5" t="n">
        <f aca="false">D54</f>
        <v>75661.2</v>
      </c>
      <c r="H54" s="9"/>
      <c r="I54" s="9"/>
    </row>
    <row r="55" customFormat="false" ht="15" hidden="false" customHeight="false" outlineLevel="0" collapsed="false">
      <c r="A55" s="3" t="s">
        <v>164</v>
      </c>
      <c r="B55" s="5" t="n">
        <f aca="false">IF(COUNT(B51:B54)=4,SUM(B51:B54),"n.d.")</f>
        <v>78780.5</v>
      </c>
      <c r="C55" s="5" t="n">
        <f aca="false">IF(COUNT(C51:C54)=4,SUM(C51:C54),"n.d.")</f>
        <v>78995.2</v>
      </c>
      <c r="D55" s="5" t="n">
        <f aca="false">IF(COUNT(D51:D54)=4,SUM(D51:D54),"n.d.")</f>
        <v>80848.1</v>
      </c>
      <c r="E55" s="5" t="n">
        <f aca="false">IF(COUNT(E51:E54)=4,SUM(E51:E54),"n.d.")</f>
        <v>81270.5</v>
      </c>
      <c r="F55" s="5" t="n">
        <f aca="false">IF(COUNT(F51:F54)=4,SUM(F51:F54),"n.d.")</f>
        <v>83098.1</v>
      </c>
      <c r="G55" s="5" t="n">
        <f aca="false">IF(COUNT(G51:G54)=4,SUM(G51:G54),"n.d.")</f>
        <v>80848.1</v>
      </c>
      <c r="H55" s="9"/>
      <c r="I55" s="9"/>
    </row>
    <row r="56" customFormat="false" ht="15" hidden="false" customHeight="false" outlineLevel="0" collapsed="false">
      <c r="B56" s="9"/>
      <c r="C56" s="9"/>
      <c r="D56" s="9"/>
      <c r="E56" s="9"/>
      <c r="F56" s="9"/>
      <c r="G56" s="9"/>
      <c r="H56" s="9"/>
      <c r="I56" s="9"/>
    </row>
    <row r="57" customFormat="false" ht="15" hidden="false" customHeight="false" outlineLevel="0" collapsed="false">
      <c r="A57" s="3" t="s">
        <v>166</v>
      </c>
      <c r="B57" s="3" t="s">
        <v>146</v>
      </c>
      <c r="C57" s="3" t="s">
        <v>147</v>
      </c>
      <c r="D57" s="3" t="s">
        <v>148</v>
      </c>
      <c r="E57" s="3" t="s">
        <v>149</v>
      </c>
      <c r="F57" s="38" t="s">
        <v>85</v>
      </c>
      <c r="G57" s="3" t="s">
        <v>150</v>
      </c>
      <c r="H57" s="39"/>
      <c r="I57" s="39" t="s">
        <v>167</v>
      </c>
      <c r="J57" s="39"/>
    </row>
    <row r="58" customFormat="false" ht="15" hidden="false" customHeight="false" outlineLevel="0" collapsed="false">
      <c r="A58" s="3" t="s">
        <v>79</v>
      </c>
      <c r="B58" s="5" t="n">
        <v>73883.849</v>
      </c>
      <c r="C58" s="5" t="n">
        <v>71768.073</v>
      </c>
      <c r="D58" s="5" t="n">
        <v>75221.137</v>
      </c>
      <c r="E58" s="5" t="n">
        <v>69795.808</v>
      </c>
      <c r="F58" s="40" t="n">
        <v>71034.917</v>
      </c>
      <c r="G58" s="5" t="n">
        <v>295313.65</v>
      </c>
      <c r="H58" s="39"/>
      <c r="I58" s="39"/>
      <c r="J58" s="39"/>
    </row>
    <row r="59" customFormat="false" ht="15" hidden="false" customHeight="false" outlineLevel="0" collapsed="false">
      <c r="A59" s="1" t="s">
        <v>86</v>
      </c>
      <c r="B59" s="37" t="n">
        <v>56049.956</v>
      </c>
      <c r="C59" s="37" t="n">
        <v>54122.158</v>
      </c>
      <c r="D59" s="37" t="n">
        <v>60335.176</v>
      </c>
      <c r="E59" s="37" t="n">
        <v>52843.176</v>
      </c>
      <c r="F59" s="41" t="n">
        <v>53394.045</v>
      </c>
      <c r="G59" s="37" t="n">
        <v>227511.81</v>
      </c>
      <c r="H59" s="42"/>
      <c r="I59" s="42"/>
      <c r="J59" s="42"/>
    </row>
    <row r="60" customFormat="false" ht="15" hidden="false" customHeight="false" outlineLevel="0" collapsed="false">
      <c r="A60" s="3" t="s">
        <v>80</v>
      </c>
      <c r="B60" s="5" t="n">
        <v>17833.893</v>
      </c>
      <c r="C60" s="5" t="n">
        <v>17645.915</v>
      </c>
      <c r="D60" s="5" t="n">
        <v>14885.961</v>
      </c>
      <c r="E60" s="5" t="n">
        <v>16952.632</v>
      </c>
      <c r="F60" s="40" t="n">
        <v>17640.872</v>
      </c>
      <c r="G60" s="5" t="n">
        <v>67801.84</v>
      </c>
      <c r="H60" s="39"/>
      <c r="I60" s="39"/>
      <c r="J60" s="39"/>
    </row>
    <row r="61" customFormat="false" ht="15" hidden="false" customHeight="false" outlineLevel="0" collapsed="false">
      <c r="A61" s="3" t="s">
        <v>81</v>
      </c>
      <c r="B61" s="5" t="n">
        <v>4247.997</v>
      </c>
      <c r="C61" s="5" t="n">
        <v>3745.26</v>
      </c>
      <c r="D61" s="5" t="n">
        <v>3402.984</v>
      </c>
      <c r="E61" s="5" t="n">
        <v>3680.616</v>
      </c>
      <c r="F61" s="40" t="n">
        <v>4016.894</v>
      </c>
      <c r="G61" s="5" t="n">
        <v>15097.9</v>
      </c>
      <c r="H61" s="39"/>
      <c r="I61" s="39"/>
      <c r="J61" s="39"/>
    </row>
    <row r="62" customFormat="false" ht="15" hidden="false" customHeight="false" outlineLevel="0" collapsed="false">
      <c r="A62" s="3" t="s">
        <v>151</v>
      </c>
      <c r="B62" s="5" t="n">
        <v>880.6</v>
      </c>
      <c r="C62" s="5" t="n">
        <v>944.2</v>
      </c>
      <c r="D62" s="5" t="n">
        <v>1003.1</v>
      </c>
      <c r="E62" s="5" t="n">
        <v>904.7</v>
      </c>
      <c r="F62" s="40" t="n">
        <v>892.5</v>
      </c>
      <c r="G62" s="5" t="n">
        <v>3846.89</v>
      </c>
      <c r="H62" s="39"/>
      <c r="I62" s="39"/>
      <c r="J62" s="39"/>
    </row>
    <row r="63" customFormat="false" ht="15" hidden="false" customHeight="false" outlineLevel="0" collapsed="false">
      <c r="A63" s="3" t="s">
        <v>152</v>
      </c>
      <c r="B63" s="5" t="n">
        <v>2986.855</v>
      </c>
      <c r="C63" s="5" t="n">
        <v>2417.756</v>
      </c>
      <c r="D63" s="5" t="n">
        <v>1813.805</v>
      </c>
      <c r="E63" s="5" t="n">
        <v>2306.498</v>
      </c>
      <c r="F63" s="40" t="n">
        <v>2653.783</v>
      </c>
      <c r="G63" s="5" t="n">
        <v>9508.62</v>
      </c>
      <c r="H63" s="39"/>
      <c r="I63" s="39"/>
      <c r="J63" s="39"/>
    </row>
    <row r="64" customFormat="false" ht="15" hidden="false" customHeight="false" outlineLevel="0" collapsed="false">
      <c r="A64" s="3" t="s">
        <v>153</v>
      </c>
      <c r="B64" s="5" t="n">
        <v>924.533</v>
      </c>
      <c r="C64" s="5" t="n">
        <v>771.393</v>
      </c>
      <c r="D64" s="5" t="n">
        <v>469.642</v>
      </c>
      <c r="E64" s="5" t="n">
        <v>723.238</v>
      </c>
      <c r="F64" s="40" t="n">
        <v>829.095</v>
      </c>
      <c r="G64" s="5" t="n">
        <v>2888.58</v>
      </c>
      <c r="H64" s="39"/>
      <c r="I64" s="39"/>
      <c r="J64" s="39"/>
    </row>
    <row r="65" customFormat="false" ht="15" hidden="false" customHeight="false" outlineLevel="0" collapsed="false">
      <c r="A65" s="3" t="s">
        <v>82</v>
      </c>
      <c r="B65" s="5" t="n">
        <v>2062.322</v>
      </c>
      <c r="C65" s="5" t="n">
        <v>1646.363</v>
      </c>
      <c r="D65" s="5" t="n">
        <v>1344.163</v>
      </c>
      <c r="E65" s="5" t="n">
        <v>1583.26</v>
      </c>
      <c r="F65" s="40" t="n">
        <v>1824.688</v>
      </c>
      <c r="G65" s="5" t="n">
        <v>6620.05</v>
      </c>
      <c r="H65" s="39"/>
      <c r="I65" s="39"/>
      <c r="J65" s="39"/>
    </row>
    <row r="66" customFormat="false" ht="15" hidden="false" customHeight="false" outlineLevel="0" collapsed="false">
      <c r="A66" s="3" t="s">
        <v>154</v>
      </c>
      <c r="B66" s="5" t="n">
        <v>2303.668</v>
      </c>
      <c r="C66" s="5" t="n">
        <v>2297.228</v>
      </c>
      <c r="D66" s="5" t="n">
        <v>2308.71</v>
      </c>
      <c r="E66" s="5" t="n">
        <v>2258.954</v>
      </c>
      <c r="F66" s="40" t="n">
        <v>2312.731</v>
      </c>
      <c r="G66" s="5" t="n">
        <v>9293.25</v>
      </c>
      <c r="H66" s="39"/>
      <c r="I66" s="39"/>
      <c r="J66" s="39"/>
    </row>
    <row r="67" customFormat="false" ht="15" hidden="false" customHeight="false" outlineLevel="0" collapsed="false">
      <c r="A67" s="3" t="s">
        <v>98</v>
      </c>
      <c r="B67" s="5" t="n">
        <v>5617.816</v>
      </c>
      <c r="C67" s="5" t="n">
        <v>4366.019</v>
      </c>
      <c r="D67" s="5" t="n">
        <v>10197.404</v>
      </c>
      <c r="E67" s="5" t="n">
        <v>-756.9</v>
      </c>
      <c r="F67" s="40" t="n">
        <v>5978.777</v>
      </c>
      <c r="G67" s="5" t="n">
        <v>18240.86</v>
      </c>
      <c r="H67" s="39"/>
      <c r="I67" s="39"/>
      <c r="J67" s="39"/>
    </row>
    <row r="68" customFormat="false" ht="15" hidden="false" customHeight="false" outlineLevel="0" collapsed="false">
      <c r="A68" s="3" t="s">
        <v>155</v>
      </c>
      <c r="B68" s="5" t="n">
        <f aca="false">SUM(B116:B118)</f>
        <v>2185.9</v>
      </c>
      <c r="C68" s="5" t="n">
        <f aca="false">SUM(C116:C118)</f>
        <v>2286.1</v>
      </c>
      <c r="D68" s="5" t="n">
        <f aca="false">SUM(D116:D118)</f>
        <v>2688.875</v>
      </c>
      <c r="E68" s="5" t="n">
        <f aca="false">SUM(E116:E118)</f>
        <v>2195.6</v>
      </c>
      <c r="F68" s="40" t="n">
        <f aca="false">SUM(F116:F118)</f>
        <v>2859.1</v>
      </c>
      <c r="G68" s="5" t="n">
        <f aca="false">I68</f>
        <v>7747.88</v>
      </c>
      <c r="H68" s="39"/>
      <c r="I68" s="43" t="n">
        <v>7747.88</v>
      </c>
      <c r="J68" s="39" t="s">
        <v>168</v>
      </c>
    </row>
    <row r="69" customFormat="false" ht="15" hidden="false" customHeight="false" outlineLevel="0" collapsed="false">
      <c r="A69" s="3" t="s">
        <v>13</v>
      </c>
      <c r="B69" s="5" t="n">
        <v>9740.315</v>
      </c>
      <c r="C69" s="5" t="n">
        <v>9638.014</v>
      </c>
      <c r="D69" s="5" t="n">
        <v>14640.162</v>
      </c>
      <c r="E69" s="5" t="n">
        <v>10487.937</v>
      </c>
      <c r="F69" s="40" t="n">
        <v>8499.778</v>
      </c>
      <c r="G69" s="5" t="n">
        <v>14640.16</v>
      </c>
      <c r="H69" s="39"/>
      <c r="I69" s="39"/>
      <c r="J69" s="39"/>
    </row>
    <row r="70" customFormat="false" ht="15" hidden="false" customHeight="false" outlineLevel="0" collapsed="false">
      <c r="A70" s="3" t="s">
        <v>156</v>
      </c>
      <c r="B70" s="5" t="n">
        <v>22914.705</v>
      </c>
      <c r="C70" s="5" t="n">
        <v>23527.624</v>
      </c>
      <c r="D70" s="5" t="n">
        <v>23430.115</v>
      </c>
      <c r="E70" s="5" t="n">
        <v>23660.893</v>
      </c>
      <c r="F70" s="40" t="n">
        <v>22606.468</v>
      </c>
      <c r="G70" s="5" t="n">
        <f aca="false">D70</f>
        <v>23430.115</v>
      </c>
      <c r="H70" s="39"/>
      <c r="I70" s="39"/>
      <c r="J70" s="39"/>
    </row>
    <row r="71" customFormat="false" ht="15" hidden="false" customHeight="false" outlineLevel="0" collapsed="false">
      <c r="A71" s="3" t="s">
        <v>157</v>
      </c>
      <c r="B71" s="5" t="n">
        <v>39608.185</v>
      </c>
      <c r="C71" s="5" t="n">
        <v>41642.553</v>
      </c>
      <c r="D71" s="5" t="n">
        <v>44626.647</v>
      </c>
      <c r="E71" s="5" t="n">
        <v>41294.339</v>
      </c>
      <c r="F71" s="40" t="n">
        <v>38968.064</v>
      </c>
      <c r="G71" s="5" t="n">
        <v>44626.65</v>
      </c>
      <c r="H71" s="39"/>
      <c r="I71" s="39"/>
      <c r="J71" s="39"/>
    </row>
    <row r="72" customFormat="false" ht="15" hidden="false" customHeight="false" outlineLevel="0" collapsed="false">
      <c r="A72" s="3" t="s">
        <v>92</v>
      </c>
      <c r="B72" s="5" t="n">
        <v>154895.839</v>
      </c>
      <c r="C72" s="5" t="n">
        <v>155620.701</v>
      </c>
      <c r="D72" s="5" t="n">
        <v>160365.41</v>
      </c>
      <c r="E72" s="5" t="n">
        <v>156233.205</v>
      </c>
      <c r="F72" s="40" t="n">
        <v>152993.188</v>
      </c>
      <c r="G72" s="5" t="n">
        <v>160365.41</v>
      </c>
      <c r="H72" s="39"/>
      <c r="I72" s="39"/>
      <c r="J72" s="39"/>
    </row>
    <row r="73" customFormat="false" ht="15" hidden="false" customHeight="false" outlineLevel="0" collapsed="false">
      <c r="A73" s="3" t="s">
        <v>158</v>
      </c>
      <c r="B73" s="5" t="n">
        <v>42247.697</v>
      </c>
      <c r="C73" s="5" t="n">
        <v>43507.303</v>
      </c>
      <c r="D73" s="5" t="n">
        <v>48465.257</v>
      </c>
      <c r="E73" s="5" t="n">
        <v>43264.981</v>
      </c>
      <c r="F73" s="40" t="n">
        <v>43358.105</v>
      </c>
      <c r="G73" s="5" t="n">
        <v>48465.26</v>
      </c>
      <c r="H73" s="39"/>
      <c r="I73" s="39"/>
      <c r="J73" s="39"/>
    </row>
    <row r="74" customFormat="false" ht="15" hidden="false" customHeight="false" outlineLevel="0" collapsed="false">
      <c r="A74" s="3" t="s">
        <v>159</v>
      </c>
      <c r="B74" s="5" t="n">
        <f aca="false">B75-B73</f>
        <v>61262.859</v>
      </c>
      <c r="C74" s="5" t="n">
        <f aca="false">C75-C73</f>
        <v>60415.588</v>
      </c>
      <c r="D74" s="5" t="n">
        <f aca="false">D75-D73</f>
        <v>59551.489</v>
      </c>
      <c r="E74" s="5" t="n">
        <f aca="false">E75-E73</f>
        <v>58979.77</v>
      </c>
      <c r="F74" s="40" t="n">
        <f aca="false">F75-F73</f>
        <v>56310.095</v>
      </c>
      <c r="G74" s="5" t="n">
        <f aca="false">G75-G73</f>
        <v>59551.49</v>
      </c>
      <c r="H74" s="39"/>
      <c r="I74" s="39"/>
      <c r="J74" s="39"/>
    </row>
    <row r="75" customFormat="false" ht="15" hidden="false" customHeight="false" outlineLevel="0" collapsed="false">
      <c r="A75" s="3" t="s">
        <v>93</v>
      </c>
      <c r="B75" s="5" t="n">
        <v>103510.556</v>
      </c>
      <c r="C75" s="5" t="n">
        <v>103922.891</v>
      </c>
      <c r="D75" s="5" t="n">
        <v>108016.746</v>
      </c>
      <c r="E75" s="5" t="n">
        <v>102244.751</v>
      </c>
      <c r="F75" s="40" t="n">
        <v>99668.2</v>
      </c>
      <c r="G75" s="5" t="n">
        <v>108016.75</v>
      </c>
      <c r="H75" s="39"/>
      <c r="I75" s="39"/>
      <c r="J75" s="39"/>
    </row>
    <row r="76" customFormat="false" ht="15" hidden="false" customHeight="false" outlineLevel="0" collapsed="false">
      <c r="A76" s="3" t="s">
        <v>94</v>
      </c>
      <c r="B76" s="5" t="n">
        <v>51385.283</v>
      </c>
      <c r="C76" s="5" t="n">
        <v>51697.81</v>
      </c>
      <c r="D76" s="5" t="n">
        <v>52348.664</v>
      </c>
      <c r="E76" s="5" t="n">
        <v>53988.454</v>
      </c>
      <c r="F76" s="40" t="n">
        <v>53324.988</v>
      </c>
      <c r="G76" s="5" t="n">
        <v>52348.66</v>
      </c>
      <c r="H76" s="39"/>
      <c r="I76" s="39"/>
      <c r="J76" s="39"/>
    </row>
    <row r="77" customFormat="false" ht="15" hidden="false" customHeight="false" outlineLevel="0" collapsed="false">
      <c r="A77" s="3" t="s">
        <v>160</v>
      </c>
      <c r="B77" s="5" t="n">
        <v>1055.054</v>
      </c>
      <c r="C77" s="5" t="n">
        <v>1541.907</v>
      </c>
      <c r="D77" s="5" t="n">
        <v>530.018</v>
      </c>
      <c r="E77" s="5" t="n">
        <v>705.319</v>
      </c>
      <c r="F77" s="40" t="n">
        <v>1087.08</v>
      </c>
      <c r="G77" s="5" t="n">
        <f aca="false">D77</f>
        <v>530.018</v>
      </c>
      <c r="H77" s="39"/>
      <c r="I77" s="39"/>
      <c r="J77" s="39"/>
    </row>
    <row r="78" customFormat="false" ht="15" hidden="false" customHeight="false" outlineLevel="0" collapsed="false">
      <c r="A78" s="3" t="s">
        <v>161</v>
      </c>
      <c r="B78" s="5" t="n">
        <v>7557.12</v>
      </c>
      <c r="C78" s="5" t="n">
        <v>7353.001</v>
      </c>
      <c r="D78" s="5" t="n">
        <v>7186.68</v>
      </c>
      <c r="E78" s="5" t="n">
        <v>7226.68</v>
      </c>
      <c r="F78" s="40" t="n">
        <v>5241</v>
      </c>
      <c r="G78" s="5" t="n">
        <f aca="false">D78</f>
        <v>7186.68</v>
      </c>
      <c r="H78" s="39"/>
      <c r="I78" s="39"/>
      <c r="J78" s="39"/>
    </row>
    <row r="79" customFormat="false" ht="15" hidden="false" customHeight="false" outlineLevel="0" collapsed="false">
      <c r="A79" s="3" t="s">
        <v>162</v>
      </c>
      <c r="B79" s="5" t="n">
        <v>2674.355</v>
      </c>
      <c r="C79" s="5" t="n">
        <v>2626.869</v>
      </c>
      <c r="D79" s="5" t="n">
        <v>2925.974</v>
      </c>
      <c r="E79" s="5" t="n">
        <v>3014.648</v>
      </c>
      <c r="F79" s="40" t="n">
        <v>3015.621</v>
      </c>
      <c r="G79" s="5" t="n">
        <f aca="false">D79</f>
        <v>2925.974</v>
      </c>
      <c r="H79" s="39"/>
      <c r="I79" s="39"/>
      <c r="J79" s="39"/>
    </row>
    <row r="80" customFormat="false" ht="15" hidden="false" customHeight="false" outlineLevel="0" collapsed="false">
      <c r="A80" s="3" t="s">
        <v>163</v>
      </c>
      <c r="B80" s="5" t="n">
        <v>48473.083</v>
      </c>
      <c r="C80" s="5" t="n">
        <v>47033.289</v>
      </c>
      <c r="D80" s="5" t="n">
        <v>46631.683</v>
      </c>
      <c r="E80" s="5" t="n">
        <v>46405.889</v>
      </c>
      <c r="F80" s="40" t="n">
        <v>45276.747</v>
      </c>
      <c r="G80" s="5" t="n">
        <f aca="false">D80</f>
        <v>46631.683</v>
      </c>
      <c r="H80" s="39"/>
      <c r="I80" s="39"/>
      <c r="J80" s="39"/>
    </row>
    <row r="81" customFormat="false" ht="15" hidden="false" customHeight="false" outlineLevel="0" collapsed="false">
      <c r="A81" s="3" t="s">
        <v>164</v>
      </c>
      <c r="B81" s="5" t="n">
        <f aca="false">IF(COUNT(B77:B80)=4,SUM(B77:B80),"n.d.")</f>
        <v>59759.612</v>
      </c>
      <c r="C81" s="5" t="n">
        <f aca="false">IF(COUNT(C77:C80)=4,SUM(C77:C80),"n.d.")</f>
        <v>58555.066</v>
      </c>
      <c r="D81" s="5" t="n">
        <f aca="false">IF(COUNT(D77:D80)=4,SUM(D77:D80),"n.d.")</f>
        <v>57274.355</v>
      </c>
      <c r="E81" s="5" t="n">
        <f aca="false">IF(COUNT(E77:E80)=4,SUM(E77:E80),"n.d.")</f>
        <v>57352.536</v>
      </c>
      <c r="F81" s="40" t="n">
        <f aca="false">IF(COUNT(F77:F80)=4,SUM(F77:F80),"n.d.")</f>
        <v>54620.448</v>
      </c>
      <c r="G81" s="5" t="n">
        <v>56744.34</v>
      </c>
      <c r="H81" s="39"/>
      <c r="I81" s="39"/>
      <c r="J81" s="39"/>
    </row>
    <row r="82" customFormat="false" ht="15" hidden="false" customHeight="false" outlineLevel="0" collapsed="false">
      <c r="B82" s="9"/>
      <c r="C82" s="9"/>
      <c r="D82" s="9"/>
      <c r="E82" s="9"/>
      <c r="F82" s="9"/>
      <c r="G82" s="9"/>
      <c r="H82" s="9"/>
      <c r="I82" s="9"/>
    </row>
    <row r="83" customFormat="false" ht="15" hidden="false" customHeight="false" outlineLevel="0" collapsed="false">
      <c r="A83" s="3" t="s">
        <v>169</v>
      </c>
      <c r="B83" s="3" t="s">
        <v>146</v>
      </c>
      <c r="C83" s="3" t="s">
        <v>147</v>
      </c>
      <c r="D83" s="3" t="s">
        <v>148</v>
      </c>
      <c r="E83" s="3" t="s">
        <v>149</v>
      </c>
      <c r="F83" s="38" t="s">
        <v>85</v>
      </c>
      <c r="G83" s="3" t="s">
        <v>150</v>
      </c>
      <c r="H83" s="39"/>
      <c r="I83" s="3" t="s">
        <v>170</v>
      </c>
    </row>
    <row r="84" customFormat="false" ht="15" hidden="false" customHeight="false" outlineLevel="0" collapsed="false">
      <c r="A84" s="3" t="s">
        <v>79</v>
      </c>
      <c r="B84" s="5" t="n">
        <v>12232.6</v>
      </c>
      <c r="C84" s="5" t="n">
        <v>11813.2</v>
      </c>
      <c r="D84" s="5" t="n">
        <f aca="false">G84-I84</f>
        <v>12404.39</v>
      </c>
      <c r="E84" s="5" t="n">
        <v>12006.5</v>
      </c>
      <c r="F84" s="40" t="n">
        <v>12933.1</v>
      </c>
      <c r="G84" s="5" t="n">
        <v>47526.64</v>
      </c>
      <c r="H84" s="39"/>
      <c r="I84" s="5" t="n">
        <v>35122.25</v>
      </c>
    </row>
    <row r="85" customFormat="false" ht="15" hidden="false" customHeight="false" outlineLevel="0" collapsed="false">
      <c r="A85" s="3" t="s">
        <v>86</v>
      </c>
      <c r="B85" s="5" t="n">
        <v>8718.1</v>
      </c>
      <c r="C85" s="5" t="n">
        <v>8306.7</v>
      </c>
      <c r="D85" s="5" t="n">
        <f aca="false">G85-I85</f>
        <v>8694.29</v>
      </c>
      <c r="E85" s="5" t="n">
        <v>8328.1</v>
      </c>
      <c r="F85" s="40" t="n">
        <v>9130.7</v>
      </c>
      <c r="G85" s="5" t="n">
        <v>33441.01</v>
      </c>
      <c r="H85" s="39"/>
      <c r="I85" s="5" t="n">
        <v>24746.72</v>
      </c>
    </row>
    <row r="86" customFormat="false" ht="15" hidden="false" customHeight="false" outlineLevel="0" collapsed="false">
      <c r="A86" s="1" t="s">
        <v>80</v>
      </c>
      <c r="B86" s="37" t="n">
        <v>3514.5</v>
      </c>
      <c r="C86" s="37" t="n">
        <v>3506.5</v>
      </c>
      <c r="D86" s="37" t="n">
        <f aca="false">G86-I86</f>
        <v>3710.1</v>
      </c>
      <c r="E86" s="37" t="n">
        <v>3678.4</v>
      </c>
      <c r="F86" s="41" t="n">
        <v>3802.4</v>
      </c>
      <c r="G86" s="37" t="n">
        <v>14085.63</v>
      </c>
      <c r="H86" s="42"/>
      <c r="I86" s="37" t="n">
        <v>10375.53</v>
      </c>
      <c r="J86" s="2"/>
    </row>
    <row r="87" customFormat="false" ht="15" hidden="false" customHeight="false" outlineLevel="0" collapsed="false">
      <c r="A87" s="3" t="s">
        <v>81</v>
      </c>
      <c r="B87" s="5" t="n">
        <v>1026.3</v>
      </c>
      <c r="C87" s="5" t="n">
        <v>839</v>
      </c>
      <c r="D87" s="5" t="n">
        <f aca="false">G87-I87</f>
        <v>712.57</v>
      </c>
      <c r="E87" s="5" t="n">
        <v>1001.4</v>
      </c>
      <c r="F87" s="40" t="n">
        <v>932.2</v>
      </c>
      <c r="G87" s="5" t="n">
        <v>3564.06</v>
      </c>
      <c r="H87" s="39"/>
      <c r="I87" s="5" t="n">
        <v>2851.49</v>
      </c>
    </row>
    <row r="88" customFormat="false" ht="15" hidden="false" customHeight="false" outlineLevel="0" collapsed="false">
      <c r="A88" s="3" t="s">
        <v>151</v>
      </c>
      <c r="B88" s="5" t="n">
        <v>90.2</v>
      </c>
      <c r="C88" s="5" t="n">
        <v>76.7</v>
      </c>
      <c r="D88" s="5" t="n">
        <v>64.9</v>
      </c>
      <c r="E88" s="5" t="n">
        <v>73.3</v>
      </c>
      <c r="F88" s="40" t="n">
        <v>76</v>
      </c>
      <c r="G88" s="5" t="n">
        <v>265.96</v>
      </c>
      <c r="H88" s="39"/>
      <c r="I88" s="5" t="n">
        <v>235.52</v>
      </c>
    </row>
    <row r="89" customFormat="false" ht="15" hidden="false" customHeight="false" outlineLevel="0" collapsed="false">
      <c r="A89" s="3" t="s">
        <v>152</v>
      </c>
      <c r="B89" s="5" t="n">
        <v>1003.4</v>
      </c>
      <c r="C89" s="5" t="n">
        <v>817</v>
      </c>
      <c r="D89" s="5" t="n">
        <f aca="false">G89-I89</f>
        <v>697.65</v>
      </c>
      <c r="E89" s="5" t="n">
        <v>992.7</v>
      </c>
      <c r="F89" s="40" t="n">
        <v>893.8</v>
      </c>
      <c r="G89" s="5" t="n">
        <v>3507.62</v>
      </c>
      <c r="H89" s="39"/>
      <c r="I89" s="5" t="n">
        <v>2809.97</v>
      </c>
    </row>
    <row r="90" customFormat="false" ht="15" hidden="false" customHeight="false" outlineLevel="0" collapsed="false">
      <c r="A90" s="3" t="s">
        <v>153</v>
      </c>
      <c r="B90" s="5" t="n">
        <v>200.4</v>
      </c>
      <c r="C90" s="5" t="n">
        <v>176.1</v>
      </c>
      <c r="D90" s="5" t="n">
        <f aca="false">G90-I90</f>
        <v>191.44</v>
      </c>
      <c r="E90" s="5" t="n">
        <v>250.5</v>
      </c>
      <c r="F90" s="40" t="n">
        <v>222.6</v>
      </c>
      <c r="G90" s="5" t="n">
        <v>822.9</v>
      </c>
      <c r="H90" s="39"/>
      <c r="I90" s="5" t="n">
        <v>631.46</v>
      </c>
    </row>
    <row r="91" customFormat="false" ht="15" hidden="false" customHeight="false" outlineLevel="0" collapsed="false">
      <c r="A91" s="3" t="s">
        <v>82</v>
      </c>
      <c r="B91" s="5" t="n">
        <v>803</v>
      </c>
      <c r="C91" s="5" t="n">
        <v>640.9</v>
      </c>
      <c r="D91" s="5" t="n">
        <f aca="false">G91-I91</f>
        <v>506.21</v>
      </c>
      <c r="E91" s="5" t="n">
        <v>742.2</v>
      </c>
      <c r="F91" s="40" t="n">
        <v>671.1</v>
      </c>
      <c r="G91" s="5" t="n">
        <v>2684.72</v>
      </c>
      <c r="H91" s="39"/>
      <c r="I91" s="5" t="n">
        <v>2178.51</v>
      </c>
    </row>
    <row r="92" customFormat="false" ht="15" hidden="false" customHeight="false" outlineLevel="0" collapsed="false">
      <c r="A92" s="3" t="s">
        <v>154</v>
      </c>
      <c r="B92" s="5" t="n">
        <v>407.835</v>
      </c>
      <c r="C92" s="5" t="n">
        <v>411.717</v>
      </c>
      <c r="D92" s="5" t="n">
        <v>397.26</v>
      </c>
      <c r="E92" s="5" t="n">
        <v>386.412</v>
      </c>
      <c r="F92" s="40" t="n">
        <v>399.125</v>
      </c>
      <c r="G92" s="5" t="n">
        <f aca="false">I92/I84*G84</f>
        <v>1650.75481788325</v>
      </c>
      <c r="H92" s="39"/>
      <c r="I92" s="5" t="n">
        <v>1219.91</v>
      </c>
    </row>
    <row r="93" customFormat="false" ht="15" hidden="false" customHeight="false" outlineLevel="0" collapsed="false">
      <c r="A93" s="3" t="s">
        <v>98</v>
      </c>
      <c r="B93" s="5" t="n">
        <v>1576.03</v>
      </c>
      <c r="C93" s="5" t="n">
        <v>468.589</v>
      </c>
      <c r="D93" s="5" t="n">
        <v>1924.595</v>
      </c>
      <c r="E93" s="5" t="n">
        <v>583.825</v>
      </c>
      <c r="F93" s="40" t="n">
        <v>988.725</v>
      </c>
      <c r="G93" s="5" t="n">
        <f aca="false">744.022+B93+C93+D93</f>
        <v>4713.236</v>
      </c>
      <c r="H93" s="39"/>
      <c r="I93" s="5" t="n">
        <v>2788.64</v>
      </c>
    </row>
    <row r="94" customFormat="false" ht="15" hidden="false" customHeight="false" outlineLevel="0" collapsed="false">
      <c r="A94" s="3" t="s">
        <v>155</v>
      </c>
      <c r="B94" s="5" t="n">
        <f aca="false">SUM(B119:B121)</f>
        <v>1484.5</v>
      </c>
      <c r="C94" s="5" t="n">
        <f aca="false">SUM(C119:C121)</f>
        <v>912.2</v>
      </c>
      <c r="D94" s="5" t="n">
        <f aca="false">SUM(D119:D121)</f>
        <v>1480.1</v>
      </c>
      <c r="E94" s="5" t="n">
        <f aca="false">SUM(E119:E121)</f>
        <v>606.8</v>
      </c>
      <c r="F94" s="40" t="n">
        <f aca="false">SUM(F119:F121)</f>
        <v>1670.1</v>
      </c>
      <c r="G94" s="5" t="n">
        <f aca="false">I94/I84*G84</f>
        <v>3842.67239922271</v>
      </c>
      <c r="H94" s="39"/>
      <c r="I94" s="5" t="n">
        <v>2839.74</v>
      </c>
    </row>
    <row r="95" customFormat="false" ht="15" hidden="false" customHeight="false" outlineLevel="0" collapsed="false">
      <c r="A95" s="3" t="s">
        <v>13</v>
      </c>
      <c r="B95" s="5" t="n">
        <v>3071.774</v>
      </c>
      <c r="C95" s="5" t="n">
        <v>2615.8</v>
      </c>
      <c r="D95" s="5" t="n">
        <v>2962.8</v>
      </c>
      <c r="E95" s="5" t="n">
        <v>2813</v>
      </c>
      <c r="F95" s="40" t="n">
        <v>1665.7</v>
      </c>
      <c r="G95" s="5" t="n">
        <f aca="false">D95</f>
        <v>2962.8</v>
      </c>
      <c r="H95" s="39"/>
      <c r="I95" s="39"/>
    </row>
    <row r="96" customFormat="false" ht="15" hidden="false" customHeight="false" outlineLevel="0" collapsed="false">
      <c r="A96" s="3" t="s">
        <v>156</v>
      </c>
      <c r="B96" s="5" t="n">
        <v>6630.422</v>
      </c>
      <c r="C96" s="5" t="n">
        <v>6020.2</v>
      </c>
      <c r="D96" s="5" t="n">
        <v>5943.1</v>
      </c>
      <c r="E96" s="5" t="n">
        <v>6182.4</v>
      </c>
      <c r="F96" s="40" t="n">
        <v>7365.3</v>
      </c>
      <c r="G96" s="5" t="n">
        <f aca="false">D96</f>
        <v>5943.1</v>
      </c>
      <c r="H96" s="39"/>
      <c r="I96" s="39"/>
    </row>
    <row r="97" customFormat="false" ht="15" hidden="false" customHeight="false" outlineLevel="0" collapsed="false">
      <c r="A97" s="3" t="s">
        <v>157</v>
      </c>
      <c r="B97" s="5" t="n">
        <v>11202.654</v>
      </c>
      <c r="C97" s="5" t="n">
        <v>10026.3</v>
      </c>
      <c r="D97" s="5" t="n">
        <v>10147.2</v>
      </c>
      <c r="E97" s="5" t="n">
        <v>10422.3</v>
      </c>
      <c r="F97" s="40" t="n">
        <v>10810.2</v>
      </c>
      <c r="G97" s="5" t="n">
        <f aca="false">D97</f>
        <v>10147.2</v>
      </c>
      <c r="H97" s="39"/>
      <c r="I97" s="39"/>
    </row>
    <row r="98" customFormat="false" ht="15" hidden="false" customHeight="false" outlineLevel="0" collapsed="false">
      <c r="A98" s="3" t="s">
        <v>92</v>
      </c>
      <c r="B98" s="5" t="n">
        <v>43616.194</v>
      </c>
      <c r="C98" s="5" t="n">
        <v>42970.2</v>
      </c>
      <c r="D98" s="5" t="n">
        <v>44188.5</v>
      </c>
      <c r="E98" s="5" t="n">
        <v>44754.6</v>
      </c>
      <c r="F98" s="40" t="n">
        <v>46541.8</v>
      </c>
      <c r="G98" s="5" t="n">
        <f aca="false">D98</f>
        <v>44188.5</v>
      </c>
      <c r="H98" s="39"/>
      <c r="I98" s="39"/>
    </row>
    <row r="99" customFormat="false" ht="15" hidden="false" customHeight="false" outlineLevel="0" collapsed="false">
      <c r="A99" s="3" t="s">
        <v>158</v>
      </c>
      <c r="B99" s="5" t="n">
        <v>9031.024</v>
      </c>
      <c r="C99" s="5" t="n">
        <v>7608.5</v>
      </c>
      <c r="D99" s="5" t="n">
        <v>8406.7</v>
      </c>
      <c r="E99" s="5" t="n">
        <v>8294</v>
      </c>
      <c r="F99" s="40" t="n">
        <v>9623.2</v>
      </c>
      <c r="G99" s="5" t="n">
        <f aca="false">D99</f>
        <v>8406.7</v>
      </c>
      <c r="H99" s="39"/>
      <c r="I99" s="39"/>
    </row>
    <row r="100" customFormat="false" ht="15" hidden="false" customHeight="false" outlineLevel="0" collapsed="false">
      <c r="A100" s="3" t="s">
        <v>159</v>
      </c>
      <c r="B100" s="5" t="n">
        <f aca="false">B101-B99</f>
        <v>2754.765</v>
      </c>
      <c r="C100" s="5" t="n">
        <v>2852.9</v>
      </c>
      <c r="D100" s="5" t="n">
        <v>2838.5</v>
      </c>
      <c r="E100" s="5" t="n">
        <v>2853</v>
      </c>
      <c r="F100" s="40" t="n">
        <v>3034.5</v>
      </c>
      <c r="G100" s="5" t="n">
        <f aca="false">D100</f>
        <v>2838.5</v>
      </c>
      <c r="H100" s="39"/>
      <c r="I100" s="39"/>
    </row>
    <row r="101" customFormat="false" ht="15" hidden="false" customHeight="false" outlineLevel="0" collapsed="false">
      <c r="A101" s="3" t="s">
        <v>93</v>
      </c>
      <c r="B101" s="5" t="n">
        <v>11785.789</v>
      </c>
      <c r="C101" s="5" t="n">
        <v>10461.4</v>
      </c>
      <c r="D101" s="5" t="n">
        <v>11245.2</v>
      </c>
      <c r="E101" s="5" t="n">
        <v>11147</v>
      </c>
      <c r="F101" s="40" t="n">
        <v>12657.7</v>
      </c>
      <c r="G101" s="5" t="n">
        <f aca="false">D101</f>
        <v>11245.2</v>
      </c>
      <c r="H101" s="39"/>
      <c r="I101" s="39"/>
    </row>
    <row r="102" customFormat="false" ht="15" hidden="false" customHeight="false" outlineLevel="0" collapsed="false">
      <c r="A102" s="3" t="s">
        <v>94</v>
      </c>
      <c r="B102" s="5" t="n">
        <v>31830.405</v>
      </c>
      <c r="C102" s="5" t="n">
        <v>32508.8</v>
      </c>
      <c r="D102" s="5" t="n">
        <v>32943.3</v>
      </c>
      <c r="E102" s="5" t="n">
        <v>33607.6</v>
      </c>
      <c r="F102" s="40" t="n">
        <v>33884.1</v>
      </c>
      <c r="G102" s="5" t="n">
        <f aca="false">D102</f>
        <v>32943.3</v>
      </c>
      <c r="H102" s="39"/>
      <c r="I102" s="39"/>
    </row>
    <row r="103" customFormat="false" ht="15" hidden="false" customHeight="false" outlineLevel="0" collapsed="false">
      <c r="A103" s="3" t="s">
        <v>160</v>
      </c>
      <c r="B103" s="5" t="n">
        <v>0</v>
      </c>
      <c r="C103" s="5" t="n">
        <v>0</v>
      </c>
      <c r="D103" s="5" t="n">
        <v>0</v>
      </c>
      <c r="E103" s="5" t="n">
        <v>0</v>
      </c>
      <c r="F103" s="40" t="n">
        <v>0</v>
      </c>
      <c r="G103" s="5" t="n">
        <f aca="false">D103</f>
        <v>0</v>
      </c>
      <c r="H103" s="39"/>
      <c r="I103" s="39"/>
    </row>
    <row r="104" customFormat="false" ht="15" hidden="false" customHeight="false" outlineLevel="0" collapsed="false">
      <c r="A104" s="3" t="s">
        <v>161</v>
      </c>
      <c r="B104" s="5" t="n">
        <v>0</v>
      </c>
      <c r="C104" s="5" t="n">
        <v>0</v>
      </c>
      <c r="D104" s="5" t="n">
        <v>0</v>
      </c>
      <c r="E104" s="5" t="n">
        <v>0</v>
      </c>
      <c r="F104" s="40" t="n">
        <v>0</v>
      </c>
      <c r="G104" s="5" t="n">
        <f aca="false">D104</f>
        <v>0</v>
      </c>
      <c r="H104" s="39"/>
      <c r="I104" s="39"/>
    </row>
    <row r="105" customFormat="false" ht="15" hidden="false" customHeight="false" outlineLevel="0" collapsed="false">
      <c r="A105" s="3" t="s">
        <v>162</v>
      </c>
      <c r="B105" s="5" t="n">
        <v>93.389</v>
      </c>
      <c r="C105" s="5" t="n">
        <v>92.3</v>
      </c>
      <c r="D105" s="5" t="n">
        <v>98.3</v>
      </c>
      <c r="E105" s="5" t="n">
        <v>99.7</v>
      </c>
      <c r="F105" s="40" t="n">
        <v>105.6</v>
      </c>
      <c r="G105" s="5" t="n">
        <f aca="false">D105</f>
        <v>98.3</v>
      </c>
      <c r="H105" s="39"/>
      <c r="I105" s="39"/>
    </row>
    <row r="106" customFormat="false" ht="15" hidden="false" customHeight="false" outlineLevel="0" collapsed="false">
      <c r="A106" s="3" t="s">
        <v>163</v>
      </c>
      <c r="B106" s="5" t="n">
        <v>2260.347</v>
      </c>
      <c r="C106" s="5" t="n">
        <v>2272.5</v>
      </c>
      <c r="D106" s="5" t="n">
        <v>2343.5</v>
      </c>
      <c r="E106" s="5" t="n">
        <v>2344.7</v>
      </c>
      <c r="F106" s="40" t="n">
        <v>2443.7</v>
      </c>
      <c r="G106" s="5" t="n">
        <f aca="false">D106</f>
        <v>2343.5</v>
      </c>
      <c r="H106" s="39"/>
      <c r="I106" s="39"/>
    </row>
    <row r="107" customFormat="false" ht="15" hidden="false" customHeight="false" outlineLevel="0" collapsed="false">
      <c r="A107" s="3" t="s">
        <v>164</v>
      </c>
      <c r="B107" s="5" t="n">
        <f aca="false">IF(COUNT(B103:B106)=4,SUM(B103:B106),"n.d.")</f>
        <v>2353.736</v>
      </c>
      <c r="C107" s="5" t="n">
        <f aca="false">IF(COUNT(C103:C106)=4,SUM(C103:C106),"n.d.")</f>
        <v>2364.8</v>
      </c>
      <c r="D107" s="5" t="n">
        <f aca="false">IF(COUNT(D103:D106)=4,SUM(D103:D106),"n.d.")</f>
        <v>2441.8</v>
      </c>
      <c r="E107" s="5" t="n">
        <f aca="false">IF(COUNT(E103:E106)=4,SUM(E103:E106),"n.d.")</f>
        <v>2444.4</v>
      </c>
      <c r="F107" s="40" t="n">
        <f aca="false">IF(COUNT(F103:F106)=4,SUM(F103:F106),"n.d.")</f>
        <v>2549.3</v>
      </c>
      <c r="G107" s="5" t="n">
        <f aca="false">IF(COUNT(G103:G106)=4,SUM(G103:G106),"n.d.")</f>
        <v>2441.8</v>
      </c>
      <c r="H107" s="39"/>
      <c r="I107" s="39"/>
    </row>
    <row r="109" customFormat="false" ht="15" hidden="false" customHeight="false" outlineLevel="0" collapsed="false">
      <c r="A109" s="1" t="s">
        <v>171</v>
      </c>
      <c r="B109" s="1" t="str">
        <f aca="false">B5</f>
        <v>2T25</v>
      </c>
      <c r="C109" s="1" t="str">
        <f aca="false">C5</f>
        <v>3T25</v>
      </c>
      <c r="D109" s="1" t="str">
        <f aca="false">D5</f>
        <v>4T25</v>
      </c>
      <c r="E109" s="1" t="str">
        <f aca="false">E5</f>
        <v>1T26</v>
      </c>
      <c r="F109" s="1" t="str">
        <f aca="false">F5</f>
        <v>2T26</v>
      </c>
    </row>
    <row r="110" customFormat="false" ht="15" hidden="false" customHeight="false" outlineLevel="0" collapsed="false">
      <c r="A110" s="3" t="s">
        <v>172</v>
      </c>
      <c r="B110" s="5" t="n">
        <v>543.7</v>
      </c>
      <c r="C110" s="5" t="n">
        <v>1033.7</v>
      </c>
      <c r="D110" s="5" t="n">
        <v>816</v>
      </c>
      <c r="E110" s="5" t="n">
        <v>384.7</v>
      </c>
      <c r="F110" s="5" t="n">
        <v>795.5</v>
      </c>
    </row>
    <row r="111" customFormat="false" ht="15" hidden="false" customHeight="false" outlineLevel="0" collapsed="false">
      <c r="A111" s="3" t="s">
        <v>173</v>
      </c>
      <c r="B111" s="5" t="n">
        <v>119.5</v>
      </c>
      <c r="C111" s="5" t="n">
        <v>0</v>
      </c>
      <c r="D111" s="5" t="n">
        <v>0</v>
      </c>
      <c r="E111" s="5" t="n">
        <v>116.3</v>
      </c>
      <c r="F111" s="5" t="n">
        <v>114.4</v>
      </c>
    </row>
    <row r="112" customFormat="false" ht="15" hidden="false" customHeight="false" outlineLevel="0" collapsed="false">
      <c r="A112" s="3" t="s">
        <v>174</v>
      </c>
      <c r="B112" s="5" t="n">
        <v>0</v>
      </c>
      <c r="C112" s="5" t="n">
        <v>-258.5</v>
      </c>
      <c r="D112" s="5" t="n">
        <v>0</v>
      </c>
      <c r="E112" s="5" t="n">
        <v>0</v>
      </c>
      <c r="F112" s="5" t="n">
        <v>0</v>
      </c>
    </row>
    <row r="113" customFormat="false" ht="15" hidden="false" customHeight="false" outlineLevel="0" collapsed="false">
      <c r="A113" s="3" t="s">
        <v>175</v>
      </c>
      <c r="B113" s="5" t="n">
        <v>7989.7</v>
      </c>
      <c r="C113" s="5" t="n">
        <v>11746.3</v>
      </c>
      <c r="D113" s="5" t="n">
        <v>15831.8</v>
      </c>
      <c r="E113" s="5" t="n">
        <v>2436.5</v>
      </c>
      <c r="F113" s="5" t="n">
        <v>9264.9</v>
      </c>
    </row>
    <row r="114" customFormat="false" ht="15" hidden="false" customHeight="false" outlineLevel="0" collapsed="false">
      <c r="A114" s="3" t="s">
        <v>176</v>
      </c>
      <c r="B114" s="5" t="n">
        <v>0</v>
      </c>
      <c r="C114" s="5" t="n">
        <v>0</v>
      </c>
      <c r="D114" s="5" t="n">
        <v>0</v>
      </c>
      <c r="E114" s="5" t="n">
        <v>0</v>
      </c>
      <c r="F114" s="5" t="n">
        <v>0</v>
      </c>
    </row>
    <row r="115" customFormat="false" ht="15" hidden="false" customHeight="false" outlineLevel="0" collapsed="false">
      <c r="A115" s="3" t="s">
        <v>177</v>
      </c>
      <c r="B115" s="5" t="n">
        <v>0</v>
      </c>
      <c r="C115" s="5" t="n">
        <v>0</v>
      </c>
      <c r="D115" s="5" t="n">
        <v>0</v>
      </c>
      <c r="E115" s="5" t="n">
        <v>0</v>
      </c>
      <c r="F115" s="5" t="n">
        <v>0</v>
      </c>
    </row>
    <row r="116" customFormat="false" ht="15" hidden="false" customHeight="false" outlineLevel="0" collapsed="false">
      <c r="A116" s="3" t="s">
        <v>178</v>
      </c>
      <c r="B116" s="5" t="n">
        <v>2117.2</v>
      </c>
      <c r="C116" s="5" t="n">
        <v>2215.3</v>
      </c>
      <c r="D116" s="5" t="n">
        <v>8220.6</v>
      </c>
      <c r="E116" s="5" t="n">
        <v>2159.3</v>
      </c>
      <c r="F116" s="5" t="n">
        <v>2752.3</v>
      </c>
    </row>
    <row r="117" customFormat="false" ht="15" hidden="false" customHeight="false" outlineLevel="0" collapsed="false">
      <c r="A117" s="3" t="s">
        <v>179</v>
      </c>
      <c r="B117" s="5" t="n">
        <v>68.7</v>
      </c>
      <c r="C117" s="5" t="n">
        <v>70.8</v>
      </c>
      <c r="D117" s="5" t="n">
        <v>140.6</v>
      </c>
      <c r="E117" s="5" t="n">
        <v>36.3</v>
      </c>
      <c r="F117" s="5" t="n">
        <v>106.8</v>
      </c>
    </row>
    <row r="118" customFormat="false" ht="15" hidden="false" customHeight="false" outlineLevel="0" collapsed="false">
      <c r="A118" s="3" t="s">
        <v>180</v>
      </c>
      <c r="B118" s="5" t="n">
        <v>0</v>
      </c>
      <c r="C118" s="5" t="n">
        <v>0</v>
      </c>
      <c r="D118" s="5" t="n">
        <v>-5672.325</v>
      </c>
      <c r="E118" s="5" t="n">
        <v>0</v>
      </c>
      <c r="F118" s="5" t="n">
        <v>0</v>
      </c>
    </row>
    <row r="119" customFormat="false" ht="15" hidden="false" customHeight="false" outlineLevel="0" collapsed="false">
      <c r="A119" s="3" t="s">
        <v>181</v>
      </c>
      <c r="B119" s="5" t="n">
        <v>1484.5</v>
      </c>
      <c r="C119" s="5" t="n">
        <v>912.2</v>
      </c>
      <c r="D119" s="5" t="n">
        <v>1447.7</v>
      </c>
      <c r="E119" s="5" t="n">
        <v>606.8</v>
      </c>
      <c r="F119" s="5" t="n">
        <v>1670.1</v>
      </c>
    </row>
    <row r="120" customFormat="false" ht="15" hidden="false" customHeight="false" outlineLevel="0" collapsed="false">
      <c r="A120" s="3" t="s">
        <v>182</v>
      </c>
      <c r="B120" s="5" t="n">
        <v>0</v>
      </c>
      <c r="C120" s="5" t="n">
        <v>0</v>
      </c>
      <c r="D120" s="5" t="n">
        <v>32.4</v>
      </c>
      <c r="E120" s="5" t="n">
        <v>0</v>
      </c>
      <c r="F120" s="5" t="n">
        <v>0</v>
      </c>
    </row>
    <row r="121" customFormat="false" ht="15" hidden="false" customHeight="false" outlineLevel="0" collapsed="false">
      <c r="A121" s="3" t="s">
        <v>183</v>
      </c>
      <c r="B121" s="5" t="n">
        <v>0</v>
      </c>
      <c r="C121" s="5" t="n">
        <v>0</v>
      </c>
      <c r="D121" s="5" t="n">
        <v>0</v>
      </c>
      <c r="E121" s="5" t="n">
        <v>0</v>
      </c>
      <c r="F121" s="5"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Y267"/>
  <sheetViews>
    <sheetView showFormulas="false" showGridLines="true" showRowColHeaders="true" showZeros="true" rightToLeft="false" tabSelected="false" showOutlineSymbols="true" defaultGridColor="true" view="normal" topLeftCell="K1" colorId="64" zoomScale="132" zoomScaleNormal="132" zoomScalePageLayoutView="100" workbookViewId="0">
      <selection pane="topLeft" activeCell="S32" activeCellId="0" sqref="S32"/>
    </sheetView>
  </sheetViews>
  <sheetFormatPr defaultColWidth="8.66796875" defaultRowHeight="13.5" zeroHeight="false" outlineLevelRow="0" outlineLevelCol="0"/>
  <cols>
    <col collapsed="false" customWidth="true" hidden="false" outlineLevel="0" max="1" min="1" style="44" width="13"/>
    <col collapsed="false" customWidth="true" hidden="false" outlineLevel="0" max="8" min="2" style="44" width="11"/>
    <col collapsed="false" customWidth="true" hidden="false" outlineLevel="0" max="9" min="9" style="44" width="13"/>
    <col collapsed="false" customWidth="true" hidden="false" outlineLevel="0" max="16" min="10" style="44" width="11"/>
    <col collapsed="false" customWidth="true" hidden="false" outlineLevel="0" max="17" min="17" style="44" width="13"/>
    <col collapsed="false" customWidth="true" hidden="false" outlineLevel="0" max="24" min="18" style="44" width="11"/>
    <col collapsed="false" customWidth="true" hidden="false" outlineLevel="0" max="25" min="25" style="44" width="13"/>
    <col collapsed="false" customWidth="true" hidden="false" outlineLevel="0" max="32" min="26" style="44" width="11"/>
    <col collapsed="false" customWidth="true" hidden="false" outlineLevel="0" max="33" min="33" style="44" width="13"/>
    <col collapsed="false" customWidth="true" hidden="false" outlineLevel="0" max="35" min="34" style="44" width="11"/>
    <col collapsed="false" customWidth="true" hidden="false" outlineLevel="0" max="36" min="36" style="44" width="11.67"/>
    <col collapsed="false" customWidth="false" hidden="false" outlineLevel="0" max="16384" min="37" style="44" width="8.67"/>
  </cols>
  <sheetData>
    <row r="1" customFormat="false" ht="18" hidden="false" customHeight="true" outlineLevel="0" collapsed="false">
      <c r="A1" s="45" t="s">
        <v>184</v>
      </c>
    </row>
    <row r="2" customFormat="false" ht="13.5" hidden="false" customHeight="false" outlineLevel="0" collapsed="false">
      <c r="A2" s="46"/>
    </row>
    <row r="3" customFormat="false" ht="13.5" hidden="false" customHeight="false" outlineLevel="0" collapsed="false">
      <c r="A3" s="46"/>
      <c r="B3" s="47" t="n">
        <f aca="false">COUNT(Rendimientos!$AD$10:$AD$509)</f>
        <v>63</v>
      </c>
      <c r="C3" s="46" t="s">
        <v>185</v>
      </c>
      <c r="D3" s="48" t="n">
        <f aca="false">IF(COUNT(Rendimientos!$AD$10:$AD$509)=0,"sin datos",MAX(Rendimientos!$AD$10:$AD$509))</f>
        <v>46302</v>
      </c>
      <c r="I3" s="46"/>
      <c r="J3" s="47" t="n">
        <f aca="false">COUNT(Rendimientos!$AF$10:$AF$509)</f>
        <v>73</v>
      </c>
      <c r="K3" s="46" t="s">
        <v>185</v>
      </c>
      <c r="L3" s="48" t="n">
        <f aca="false">IF(COUNT(Rendimientos!$AF$10:$AF$509)=0,"sin datos",MAX(Rendimientos!$AF$10:$AF$509))</f>
        <v>46307</v>
      </c>
      <c r="Q3" s="46"/>
      <c r="R3" s="47" t="n">
        <f aca="false">COUNT(Rendimientos!$AH$10:$AH$409)</f>
        <v>259</v>
      </c>
      <c r="S3" s="46" t="s">
        <v>185</v>
      </c>
      <c r="T3" s="48" t="n">
        <f aca="false">IF(COUNT(Rendimientos!$AH$10:$AH$409)=0,"sin datos",MAX(Rendimientos!$AH$10:$AH$409))</f>
        <v>46299</v>
      </c>
      <c r="Y3" s="46"/>
      <c r="Z3" s="47" t="n">
        <f aca="false">COUNT(Rendimientos!$AJ$10:$AJ$409)</f>
        <v>261</v>
      </c>
      <c r="AA3" s="46" t="s">
        <v>185</v>
      </c>
      <c r="AB3" s="48" t="n">
        <f aca="false">IF(COUNT(Rendimientos!$AJ$10:$AJ$409)=0,"sin datos",MAX(Rendimientos!$AJ$10:$AJ$409))</f>
        <v>46306</v>
      </c>
      <c r="AG3" s="46" t="s">
        <v>186</v>
      </c>
      <c r="AH3" s="47" t="n">
        <f aca="false">COUNT(Inflación!$CH$10:$CH$309)</f>
        <v>113</v>
      </c>
      <c r="AI3" s="46" t="s">
        <v>187</v>
      </c>
      <c r="AJ3" s="48" t="n">
        <f aca="false">MAX(Inflación!$CH$10:$CH$309)</f>
        <v>46266</v>
      </c>
    </row>
    <row r="4" customFormat="false" ht="13.5" hidden="false" customHeight="false" outlineLevel="0" collapsed="false">
      <c r="A4" s="49" t="s">
        <v>188</v>
      </c>
      <c r="I4" s="49" t="s">
        <v>189</v>
      </c>
      <c r="Q4" s="49" t="s">
        <v>190</v>
      </c>
      <c r="Y4" s="49" t="s">
        <v>191</v>
      </c>
      <c r="AG4" s="49" t="s">
        <v>192</v>
      </c>
    </row>
    <row r="5" customFormat="false" ht="13.5" hidden="false" customHeight="false" outlineLevel="0" collapsed="false">
      <c r="A5" s="50" t="s">
        <v>60</v>
      </c>
      <c r="B5" s="50" t="s">
        <v>193</v>
      </c>
      <c r="C5" s="50" t="s">
        <v>194</v>
      </c>
      <c r="D5" s="50" t="s">
        <v>195</v>
      </c>
      <c r="E5" s="50" t="s">
        <v>196</v>
      </c>
      <c r="F5" s="50" t="s">
        <v>197</v>
      </c>
      <c r="G5" s="50" t="s">
        <v>198</v>
      </c>
      <c r="I5" s="50" t="s">
        <v>60</v>
      </c>
      <c r="J5" s="50" t="s">
        <v>193</v>
      </c>
      <c r="K5" s="50" t="s">
        <v>194</v>
      </c>
      <c r="L5" s="50" t="s">
        <v>195</v>
      </c>
      <c r="M5" s="50" t="s">
        <v>196</v>
      </c>
      <c r="N5" s="50" t="s">
        <v>197</v>
      </c>
      <c r="O5" s="50" t="s">
        <v>198</v>
      </c>
      <c r="Q5" s="50" t="s">
        <v>60</v>
      </c>
      <c r="R5" s="50" t="s">
        <v>193</v>
      </c>
      <c r="S5" s="50" t="s">
        <v>194</v>
      </c>
      <c r="T5" s="50" t="s">
        <v>195</v>
      </c>
      <c r="U5" s="50" t="s">
        <v>196</v>
      </c>
      <c r="V5" s="50" t="s">
        <v>197</v>
      </c>
      <c r="W5" s="50" t="s">
        <v>198</v>
      </c>
      <c r="Y5" s="50" t="s">
        <v>60</v>
      </c>
      <c r="Z5" s="50" t="s">
        <v>193</v>
      </c>
      <c r="AA5" s="50" t="s">
        <v>194</v>
      </c>
      <c r="AB5" s="50" t="s">
        <v>195</v>
      </c>
      <c r="AC5" s="50" t="s">
        <v>196</v>
      </c>
      <c r="AD5" s="50" t="s">
        <v>197</v>
      </c>
      <c r="AE5" s="50" t="s">
        <v>198</v>
      </c>
      <c r="AG5" s="50" t="s">
        <v>199</v>
      </c>
      <c r="AH5" s="50" t="s">
        <v>200</v>
      </c>
      <c r="AI5" s="46"/>
    </row>
    <row r="6" customFormat="false" ht="13.5" hidden="false" customHeight="false" outlineLevel="0" collapsed="false">
      <c r="A6" s="51" t="n">
        <v>46029</v>
      </c>
      <c r="B6" s="52" t="n">
        <v>30.34</v>
      </c>
      <c r="C6" s="52" t="n">
        <v>29.64</v>
      </c>
      <c r="D6" s="52" t="n">
        <v>30.34</v>
      </c>
      <c r="E6" s="52" t="n">
        <v>29.5</v>
      </c>
      <c r="F6" s="52" t="s">
        <v>201</v>
      </c>
      <c r="G6" s="53" t="n">
        <v>0.003</v>
      </c>
      <c r="I6" s="52" t="s">
        <v>202</v>
      </c>
      <c r="J6" s="54" t="n">
        <v>67247.79</v>
      </c>
      <c r="K6" s="54" t="n">
        <v>66966.68</v>
      </c>
      <c r="L6" s="54" t="n">
        <v>67435.72</v>
      </c>
      <c r="M6" s="54" t="n">
        <v>66614.42</v>
      </c>
      <c r="N6" s="52" t="s">
        <v>203</v>
      </c>
      <c r="O6" s="53" t="n">
        <v>0.0042</v>
      </c>
      <c r="Q6" s="52" t="s">
        <v>204</v>
      </c>
      <c r="R6" s="52" t="n">
        <v>25</v>
      </c>
      <c r="S6" s="52" t="n">
        <v>25.29</v>
      </c>
      <c r="T6" s="52" t="n">
        <v>25.7</v>
      </c>
      <c r="U6" s="52" t="n">
        <v>24.15</v>
      </c>
      <c r="V6" s="52" t="s">
        <v>205</v>
      </c>
      <c r="W6" s="53" t="n">
        <v>-0.0192</v>
      </c>
      <c r="Y6" s="52" t="s">
        <v>206</v>
      </c>
      <c r="Z6" s="54" t="n">
        <v>51889.66</v>
      </c>
      <c r="AA6" s="54" t="n">
        <v>52834.71</v>
      </c>
      <c r="AB6" s="54" t="n">
        <v>52942.26</v>
      </c>
      <c r="AC6" s="54" t="n">
        <v>51521.94</v>
      </c>
      <c r="AD6" s="52" t="s">
        <v>207</v>
      </c>
      <c r="AE6" s="53" t="n">
        <v>-0.0172</v>
      </c>
      <c r="AG6" s="55" t="n">
        <v>44562</v>
      </c>
      <c r="AH6" s="56" t="n">
        <v>7.13</v>
      </c>
      <c r="AU6" s="57"/>
      <c r="AV6" s="57"/>
      <c r="AW6" s="57"/>
      <c r="AX6" s="57"/>
      <c r="AY6" s="57"/>
      <c r="AZ6" s="57"/>
      <c r="BA6" s="57"/>
      <c r="BC6" s="57"/>
      <c r="BD6" s="57"/>
      <c r="BE6" s="57"/>
      <c r="BF6" s="57"/>
      <c r="BG6" s="57"/>
      <c r="BH6" s="57"/>
      <c r="BI6" s="57"/>
      <c r="BK6" s="57"/>
      <c r="BL6" s="57"/>
      <c r="BM6" s="57"/>
      <c r="BN6" s="57"/>
      <c r="BO6" s="57"/>
      <c r="BP6" s="57"/>
      <c r="BQ6" s="57"/>
      <c r="BS6" s="57"/>
      <c r="BT6" s="57"/>
      <c r="BU6" s="57"/>
      <c r="BV6" s="57"/>
      <c r="BW6" s="57"/>
      <c r="BX6" s="57"/>
      <c r="BY6" s="57"/>
    </row>
    <row r="7" customFormat="false" ht="13.5" hidden="false" customHeight="false" outlineLevel="0" collapsed="false">
      <c r="A7" s="51" t="n">
        <v>46060</v>
      </c>
      <c r="B7" s="52" t="n">
        <v>30.7</v>
      </c>
      <c r="C7" s="52" t="n">
        <v>29.73</v>
      </c>
      <c r="D7" s="52" t="n">
        <v>30.9</v>
      </c>
      <c r="E7" s="52" t="n">
        <v>29.73</v>
      </c>
      <c r="F7" s="52" t="s">
        <v>208</v>
      </c>
      <c r="G7" s="53" t="n">
        <v>0.0119</v>
      </c>
      <c r="I7" s="52" t="s">
        <v>209</v>
      </c>
      <c r="J7" s="54" t="n">
        <v>67071.11</v>
      </c>
      <c r="K7" s="54" t="n">
        <v>66990.87</v>
      </c>
      <c r="L7" s="54" t="n">
        <v>68044.67</v>
      </c>
      <c r="M7" s="54" t="n">
        <v>66976.91</v>
      </c>
      <c r="N7" s="52" t="s">
        <v>210</v>
      </c>
      <c r="O7" s="53" t="n">
        <v>-0.0026</v>
      </c>
      <c r="Q7" s="52" t="s">
        <v>211</v>
      </c>
      <c r="R7" s="52" t="n">
        <v>24.77</v>
      </c>
      <c r="S7" s="52" t="n">
        <v>24.4</v>
      </c>
      <c r="T7" s="52" t="n">
        <v>25.5</v>
      </c>
      <c r="U7" s="52" t="n">
        <v>23.6</v>
      </c>
      <c r="V7" s="52" t="s">
        <v>212</v>
      </c>
      <c r="W7" s="53" t="n">
        <v>-0.0092</v>
      </c>
      <c r="Y7" s="52" t="s">
        <v>213</v>
      </c>
      <c r="Z7" s="54" t="n">
        <v>51309.84</v>
      </c>
      <c r="AA7" s="54" t="n">
        <v>51892.32</v>
      </c>
      <c r="AB7" s="54" t="n">
        <v>52244.72</v>
      </c>
      <c r="AC7" s="54" t="n">
        <v>50997.11</v>
      </c>
      <c r="AD7" s="52" t="s">
        <v>214</v>
      </c>
      <c r="AE7" s="53" t="n">
        <v>-0.0112</v>
      </c>
      <c r="AG7" s="55" t="n">
        <v>44577</v>
      </c>
      <c r="AH7" s="56" t="n">
        <v>7.01</v>
      </c>
      <c r="AU7" s="57"/>
      <c r="AV7" s="52"/>
      <c r="AW7" s="52"/>
      <c r="AX7" s="52"/>
      <c r="AY7" s="52"/>
      <c r="AZ7" s="52"/>
      <c r="BA7" s="53"/>
      <c r="BC7" s="57"/>
      <c r="BD7" s="54"/>
      <c r="BE7" s="54"/>
      <c r="BF7" s="54"/>
      <c r="BG7" s="54"/>
      <c r="BH7" s="52"/>
      <c r="BI7" s="53"/>
      <c r="BK7" s="58"/>
      <c r="BL7" s="52"/>
      <c r="BM7" s="52"/>
      <c r="BN7" s="52"/>
      <c r="BO7" s="52"/>
      <c r="BP7" s="52"/>
      <c r="BQ7" s="53"/>
      <c r="BS7" s="57"/>
      <c r="BT7" s="54"/>
      <c r="BU7" s="54"/>
      <c r="BV7" s="54"/>
      <c r="BW7" s="54"/>
      <c r="BX7" s="52"/>
      <c r="BY7" s="53"/>
    </row>
    <row r="8" customFormat="false" ht="13.5" hidden="false" customHeight="false" outlineLevel="0" collapsed="false">
      <c r="A8" s="51" t="n">
        <v>46088</v>
      </c>
      <c r="B8" s="52" t="n">
        <v>29.91</v>
      </c>
      <c r="C8" s="52" t="n">
        <v>30.08</v>
      </c>
      <c r="D8" s="52" t="n">
        <v>30.08</v>
      </c>
      <c r="E8" s="52" t="n">
        <v>29.91</v>
      </c>
      <c r="F8" s="52" t="s">
        <v>215</v>
      </c>
      <c r="G8" s="53" t="n">
        <v>-0.0257</v>
      </c>
      <c r="I8" s="52" t="s">
        <v>216</v>
      </c>
      <c r="J8" s="54" t="n">
        <v>67060.49</v>
      </c>
      <c r="K8" s="54" t="n">
        <v>67352.67</v>
      </c>
      <c r="L8" s="54" t="n">
        <v>67402.75</v>
      </c>
      <c r="M8" s="54" t="n">
        <v>66816.77</v>
      </c>
      <c r="N8" s="52" t="s">
        <v>217</v>
      </c>
      <c r="O8" s="53" t="n">
        <v>-0.0002</v>
      </c>
      <c r="Q8" s="52" t="s">
        <v>218</v>
      </c>
      <c r="R8" s="52" t="n">
        <v>24.48</v>
      </c>
      <c r="S8" s="52" t="n">
        <v>24.77</v>
      </c>
      <c r="T8" s="52" t="n">
        <v>24.77</v>
      </c>
      <c r="U8" s="52" t="n">
        <v>24.02</v>
      </c>
      <c r="V8" s="52" t="s">
        <v>219</v>
      </c>
      <c r="W8" s="53" t="n">
        <v>-0.0117</v>
      </c>
      <c r="Y8" s="52" t="s">
        <v>220</v>
      </c>
      <c r="Z8" s="54" t="n">
        <v>51977.96</v>
      </c>
      <c r="AA8" s="54" t="n">
        <v>51353.61</v>
      </c>
      <c r="AB8" s="54" t="n">
        <v>52220.4</v>
      </c>
      <c r="AC8" s="54" t="n">
        <v>51338.69</v>
      </c>
      <c r="AD8" s="52" t="s">
        <v>221</v>
      </c>
      <c r="AE8" s="53" t="n">
        <v>0.013</v>
      </c>
      <c r="AG8" s="55" t="n">
        <v>44593</v>
      </c>
      <c r="AH8" s="56" t="n">
        <v>7.22</v>
      </c>
      <c r="AU8" s="57"/>
      <c r="AV8" s="52"/>
      <c r="AW8" s="52"/>
      <c r="AX8" s="52"/>
      <c r="AY8" s="52"/>
      <c r="AZ8" s="52"/>
      <c r="BA8" s="53"/>
      <c r="BC8" s="57"/>
      <c r="BD8" s="54"/>
      <c r="BE8" s="54"/>
      <c r="BF8" s="54"/>
      <c r="BG8" s="54"/>
      <c r="BH8" s="52"/>
      <c r="BI8" s="53"/>
      <c r="BK8" s="58"/>
      <c r="BL8" s="52"/>
      <c r="BM8" s="52"/>
      <c r="BN8" s="52"/>
      <c r="BO8" s="52"/>
      <c r="BP8" s="52"/>
      <c r="BQ8" s="53"/>
      <c r="BS8" s="57"/>
      <c r="BT8" s="54"/>
      <c r="BU8" s="54"/>
      <c r="BV8" s="54"/>
      <c r="BW8" s="54"/>
      <c r="BX8" s="52"/>
      <c r="BY8" s="53"/>
    </row>
    <row r="9" customFormat="false" ht="13.5" hidden="false" customHeight="false" outlineLevel="0" collapsed="false">
      <c r="A9" s="51" t="n">
        <v>46180</v>
      </c>
      <c r="B9" s="52" t="n">
        <v>29.6</v>
      </c>
      <c r="C9" s="52" t="n">
        <v>30</v>
      </c>
      <c r="D9" s="52" t="n">
        <v>30</v>
      </c>
      <c r="E9" s="52" t="n">
        <v>29.51</v>
      </c>
      <c r="F9" s="52" t="s">
        <v>222</v>
      </c>
      <c r="G9" s="53" t="n">
        <v>-0.0104</v>
      </c>
      <c r="I9" s="52" t="s">
        <v>223</v>
      </c>
      <c r="J9" s="54" t="n">
        <v>67466.46</v>
      </c>
      <c r="K9" s="54" t="n">
        <v>67132.1</v>
      </c>
      <c r="L9" s="54" t="n">
        <v>67780.34</v>
      </c>
      <c r="M9" s="54" t="n">
        <v>67099.66</v>
      </c>
      <c r="N9" s="52" t="s">
        <v>224</v>
      </c>
      <c r="O9" s="53" t="n">
        <v>0.0061</v>
      </c>
      <c r="Q9" s="51" t="n">
        <v>44388</v>
      </c>
      <c r="R9" s="52" t="n">
        <v>23.77</v>
      </c>
      <c r="S9" s="52" t="n">
        <v>24.4</v>
      </c>
      <c r="T9" s="52" t="n">
        <v>24.5</v>
      </c>
      <c r="U9" s="52" t="n">
        <v>23.5</v>
      </c>
      <c r="V9" s="52" t="s">
        <v>225</v>
      </c>
      <c r="W9" s="53" t="n">
        <v>-0.029</v>
      </c>
      <c r="Y9" s="52" t="s">
        <v>226</v>
      </c>
      <c r="Z9" s="54" t="n">
        <v>51432.54</v>
      </c>
      <c r="AA9" s="54" t="n">
        <v>52000.21</v>
      </c>
      <c r="AB9" s="54" t="n">
        <v>52577.33</v>
      </c>
      <c r="AC9" s="54" t="n">
        <v>51350.36</v>
      </c>
      <c r="AD9" s="52" t="s">
        <v>227</v>
      </c>
      <c r="AE9" s="53" t="n">
        <v>-0.0105</v>
      </c>
      <c r="AG9" s="55" t="n">
        <v>44608</v>
      </c>
      <c r="AH9" s="56" t="n">
        <v>7.34</v>
      </c>
      <c r="AU9" s="57"/>
      <c r="AV9" s="52"/>
      <c r="AW9" s="52"/>
      <c r="AX9" s="52"/>
      <c r="AY9" s="52"/>
      <c r="AZ9" s="52"/>
      <c r="BA9" s="53"/>
      <c r="BC9" s="57"/>
      <c r="BD9" s="54"/>
      <c r="BE9" s="54"/>
      <c r="BF9" s="54"/>
      <c r="BG9" s="54"/>
      <c r="BH9" s="52"/>
      <c r="BI9" s="53"/>
      <c r="BK9" s="58"/>
      <c r="BL9" s="52"/>
      <c r="BM9" s="52"/>
      <c r="BN9" s="52"/>
      <c r="BO9" s="52"/>
      <c r="BP9" s="52"/>
      <c r="BQ9" s="53"/>
      <c r="BS9" s="57"/>
      <c r="BT9" s="54"/>
      <c r="BU9" s="54"/>
      <c r="BV9" s="54"/>
      <c r="BW9" s="54"/>
      <c r="BX9" s="52"/>
      <c r="BY9" s="53"/>
    </row>
    <row r="10" customFormat="false" ht="13.5" hidden="false" customHeight="false" outlineLevel="0" collapsed="false">
      <c r="A10" s="51" t="n">
        <v>46210</v>
      </c>
      <c r="B10" s="52" t="n">
        <v>30.29</v>
      </c>
      <c r="C10" s="52" t="n">
        <v>29.6</v>
      </c>
      <c r="D10" s="52" t="n">
        <v>30.49</v>
      </c>
      <c r="E10" s="52" t="n">
        <v>29.6</v>
      </c>
      <c r="F10" s="52" t="s">
        <v>228</v>
      </c>
      <c r="G10" s="53" t="n">
        <v>0.0233</v>
      </c>
      <c r="I10" s="52" t="s">
        <v>229</v>
      </c>
      <c r="J10" s="54" t="n">
        <v>66674.7</v>
      </c>
      <c r="K10" s="54" t="n">
        <v>67450.26</v>
      </c>
      <c r="L10" s="54" t="n">
        <v>67666.07</v>
      </c>
      <c r="M10" s="54" t="n">
        <v>66526.12</v>
      </c>
      <c r="N10" s="52" t="s">
        <v>230</v>
      </c>
      <c r="O10" s="53" t="n">
        <v>-0.0117</v>
      </c>
      <c r="Q10" s="52" t="s">
        <v>231</v>
      </c>
      <c r="R10" s="52" t="n">
        <v>22.99</v>
      </c>
      <c r="S10" s="52" t="n">
        <v>23.99</v>
      </c>
      <c r="T10" s="52" t="n">
        <v>24.13</v>
      </c>
      <c r="U10" s="52" t="n">
        <v>22.92</v>
      </c>
      <c r="V10" s="52" t="s">
        <v>232</v>
      </c>
      <c r="W10" s="53" t="n">
        <v>-0.0328</v>
      </c>
      <c r="Y10" s="52" t="s">
        <v>233</v>
      </c>
      <c r="Z10" s="54" t="n">
        <v>50811.3</v>
      </c>
      <c r="AA10" s="54" t="n">
        <v>51422.13</v>
      </c>
      <c r="AB10" s="54" t="n">
        <v>51585.64</v>
      </c>
      <c r="AC10" s="54" t="n">
        <v>50535.11</v>
      </c>
      <c r="AD10" s="52" t="s">
        <v>234</v>
      </c>
      <c r="AE10" s="53" t="n">
        <v>-0.0121</v>
      </c>
      <c r="AG10" s="55" t="n">
        <v>44621</v>
      </c>
      <c r="AH10" s="56" t="n">
        <v>7.29</v>
      </c>
      <c r="AU10" s="58"/>
      <c r="AV10" s="52"/>
      <c r="AW10" s="52"/>
      <c r="AX10" s="52"/>
      <c r="AY10" s="52"/>
      <c r="AZ10" s="52"/>
      <c r="BA10" s="53"/>
      <c r="BC10" s="57"/>
      <c r="BD10" s="54"/>
      <c r="BE10" s="54"/>
      <c r="BF10" s="54"/>
      <c r="BG10" s="54"/>
      <c r="BH10" s="52"/>
      <c r="BI10" s="53"/>
      <c r="BK10" s="58"/>
      <c r="BL10" s="52"/>
      <c r="BM10" s="52"/>
      <c r="BN10" s="52"/>
      <c r="BO10" s="52"/>
      <c r="BP10" s="52"/>
      <c r="BQ10" s="53"/>
      <c r="BS10" s="57"/>
      <c r="BT10" s="54"/>
      <c r="BU10" s="54"/>
      <c r="BV10" s="54"/>
      <c r="BW10" s="54"/>
      <c r="BX10" s="52"/>
      <c r="BY10" s="53"/>
    </row>
    <row r="11" customFormat="false" ht="13.5" hidden="false" customHeight="false" outlineLevel="0" collapsed="false">
      <c r="A11" s="51" t="n">
        <v>46241</v>
      </c>
      <c r="B11" s="52" t="n">
        <v>30</v>
      </c>
      <c r="C11" s="52" t="n">
        <v>29.68</v>
      </c>
      <c r="D11" s="52" t="n">
        <v>30.65</v>
      </c>
      <c r="E11" s="52" t="n">
        <v>29.68</v>
      </c>
      <c r="F11" s="52" t="s">
        <v>235</v>
      </c>
      <c r="G11" s="53" t="n">
        <v>-0.0096</v>
      </c>
      <c r="I11" s="52" t="s">
        <v>236</v>
      </c>
      <c r="J11" s="54" t="n">
        <v>66609.64</v>
      </c>
      <c r="K11" s="54" t="n">
        <v>66526.65</v>
      </c>
      <c r="L11" s="54" t="n">
        <v>66763.02</v>
      </c>
      <c r="M11" s="54" t="n">
        <v>65846.95</v>
      </c>
      <c r="N11" s="52" t="s">
        <v>237</v>
      </c>
      <c r="O11" s="53" t="n">
        <v>-0.001</v>
      </c>
      <c r="Q11" s="52" t="s">
        <v>238</v>
      </c>
      <c r="R11" s="52" t="n">
        <v>22.73</v>
      </c>
      <c r="S11" s="52" t="n">
        <v>22.8</v>
      </c>
      <c r="T11" s="52" t="n">
        <v>24</v>
      </c>
      <c r="U11" s="52" t="n">
        <v>21.76</v>
      </c>
      <c r="V11" s="52" t="s">
        <v>239</v>
      </c>
      <c r="W11" s="53" t="n">
        <v>-0.0113</v>
      </c>
      <c r="Y11" s="52" t="s">
        <v>240</v>
      </c>
      <c r="Z11" s="54" t="n">
        <v>49492.52</v>
      </c>
      <c r="AA11" s="54" t="n">
        <v>50864.01</v>
      </c>
      <c r="AB11" s="54" t="n">
        <v>51236.58</v>
      </c>
      <c r="AC11" s="54" t="n">
        <v>49064.67</v>
      </c>
      <c r="AD11" s="52" t="s">
        <v>241</v>
      </c>
      <c r="AE11" s="53" t="n">
        <v>-0.026</v>
      </c>
      <c r="AG11" s="55" t="n">
        <v>44636</v>
      </c>
      <c r="AH11" s="56" t="n">
        <v>7.62</v>
      </c>
      <c r="AU11" s="57"/>
      <c r="AV11" s="52"/>
      <c r="AW11" s="52"/>
      <c r="AX11" s="52"/>
      <c r="AY11" s="52"/>
      <c r="AZ11" s="52"/>
      <c r="BA11" s="53"/>
      <c r="BC11" s="57"/>
      <c r="BD11" s="54"/>
      <c r="BE11" s="54"/>
      <c r="BF11" s="54"/>
      <c r="BG11" s="54"/>
      <c r="BH11" s="52"/>
      <c r="BI11" s="53"/>
      <c r="BK11" s="58"/>
      <c r="BL11" s="52"/>
      <c r="BM11" s="52"/>
      <c r="BN11" s="52"/>
      <c r="BO11" s="52"/>
      <c r="BP11" s="52"/>
      <c r="BQ11" s="53"/>
      <c r="BS11" s="57"/>
      <c r="BT11" s="54"/>
      <c r="BU11" s="54"/>
      <c r="BV11" s="54"/>
      <c r="BW11" s="54"/>
      <c r="BX11" s="52"/>
      <c r="BY11" s="53"/>
    </row>
    <row r="12" customFormat="false" ht="13.5" hidden="false" customHeight="false" outlineLevel="0" collapsed="false">
      <c r="A12" s="51" t="n">
        <v>46272</v>
      </c>
      <c r="B12" s="52" t="n">
        <v>30.76</v>
      </c>
      <c r="C12" s="52" t="n">
        <v>30.6</v>
      </c>
      <c r="D12" s="52" t="n">
        <v>30.76</v>
      </c>
      <c r="E12" s="52" t="n">
        <v>30.6</v>
      </c>
      <c r="F12" s="52" t="s">
        <v>242</v>
      </c>
      <c r="G12" s="53" t="n">
        <v>0.0253</v>
      </c>
      <c r="I12" s="52" t="s">
        <v>243</v>
      </c>
      <c r="J12" s="54" t="n">
        <v>66107.28</v>
      </c>
      <c r="K12" s="54" t="n">
        <v>66831.04</v>
      </c>
      <c r="L12" s="54" t="n">
        <v>66945.12</v>
      </c>
      <c r="M12" s="54" t="n">
        <v>66019.15</v>
      </c>
      <c r="N12" s="52" t="s">
        <v>244</v>
      </c>
      <c r="O12" s="53" t="n">
        <v>-0.0075</v>
      </c>
      <c r="Q12" s="52" t="s">
        <v>245</v>
      </c>
      <c r="R12" s="52" t="n">
        <v>23.94</v>
      </c>
      <c r="S12" s="52" t="n">
        <v>22.7</v>
      </c>
      <c r="T12" s="52" t="n">
        <v>24.49</v>
      </c>
      <c r="U12" s="52" t="n">
        <v>22.54</v>
      </c>
      <c r="V12" s="52" t="s">
        <v>246</v>
      </c>
      <c r="W12" s="53" t="n">
        <v>0.0532</v>
      </c>
      <c r="Y12" s="52" t="s">
        <v>247</v>
      </c>
      <c r="Z12" s="54" t="n">
        <v>50597.29</v>
      </c>
      <c r="AA12" s="54" t="n">
        <v>49520.3</v>
      </c>
      <c r="AB12" s="54" t="n">
        <v>51413.06</v>
      </c>
      <c r="AC12" s="54" t="n">
        <v>49116.94</v>
      </c>
      <c r="AD12" s="52" t="s">
        <v>248</v>
      </c>
      <c r="AE12" s="53" t="n">
        <v>0.0223</v>
      </c>
      <c r="AG12" s="55" t="n">
        <v>44652</v>
      </c>
      <c r="AH12" s="56" t="n">
        <v>7.72</v>
      </c>
      <c r="AU12" s="57"/>
      <c r="AV12" s="52"/>
      <c r="AW12" s="52"/>
      <c r="AX12" s="52"/>
      <c r="AY12" s="52"/>
      <c r="AZ12" s="52"/>
      <c r="BA12" s="53"/>
      <c r="BC12" s="57"/>
      <c r="BD12" s="54"/>
      <c r="BE12" s="54"/>
      <c r="BF12" s="54"/>
      <c r="BG12" s="54"/>
      <c r="BH12" s="52"/>
      <c r="BI12" s="53"/>
      <c r="BK12" s="58"/>
      <c r="BL12" s="52"/>
      <c r="BM12" s="52"/>
      <c r="BN12" s="52"/>
      <c r="BO12" s="52"/>
      <c r="BP12" s="52"/>
      <c r="BQ12" s="53"/>
      <c r="BS12" s="57"/>
      <c r="BT12" s="54"/>
      <c r="BU12" s="54"/>
      <c r="BV12" s="54"/>
      <c r="BW12" s="54"/>
      <c r="BX12" s="52"/>
      <c r="BY12" s="53"/>
    </row>
    <row r="13" customFormat="false" ht="13.5" hidden="false" customHeight="false" outlineLevel="0" collapsed="false">
      <c r="A13" s="51" t="n">
        <v>46302</v>
      </c>
      <c r="B13" s="52" t="n">
        <v>30.6</v>
      </c>
      <c r="C13" s="52" t="n">
        <v>30.14</v>
      </c>
      <c r="D13" s="52" t="n">
        <v>30.65</v>
      </c>
      <c r="E13" s="52" t="n">
        <v>30.14</v>
      </c>
      <c r="F13" s="52" t="s">
        <v>249</v>
      </c>
      <c r="G13" s="53" t="n">
        <v>-0.0052</v>
      </c>
      <c r="I13" s="52" t="s">
        <v>250</v>
      </c>
      <c r="J13" s="54" t="n">
        <v>66496.1</v>
      </c>
      <c r="K13" s="54" t="n">
        <v>66140.53</v>
      </c>
      <c r="L13" s="54" t="n">
        <v>66798.05</v>
      </c>
      <c r="M13" s="54" t="n">
        <v>66140.53</v>
      </c>
      <c r="N13" s="52" t="s">
        <v>251</v>
      </c>
      <c r="O13" s="53" t="n">
        <v>0.0059</v>
      </c>
      <c r="Q13" s="51" t="n">
        <v>44328</v>
      </c>
      <c r="R13" s="52" t="n">
        <v>23.26</v>
      </c>
      <c r="S13" s="52" t="n">
        <v>23.9</v>
      </c>
      <c r="T13" s="52" t="n">
        <v>23.98</v>
      </c>
      <c r="U13" s="52" t="n">
        <v>22.82</v>
      </c>
      <c r="V13" s="52" t="s">
        <v>252</v>
      </c>
      <c r="W13" s="53" t="n">
        <v>-0.0284</v>
      </c>
      <c r="Y13" s="52" t="s">
        <v>253</v>
      </c>
      <c r="Z13" s="54" t="n">
        <v>51213.48</v>
      </c>
      <c r="AA13" s="54" t="n">
        <v>50590.86</v>
      </c>
      <c r="AB13" s="54" t="n">
        <v>51305.44</v>
      </c>
      <c r="AC13" s="54" t="n">
        <v>50445.25</v>
      </c>
      <c r="AD13" s="52" t="s">
        <v>254</v>
      </c>
      <c r="AE13" s="53" t="n">
        <v>0.0122</v>
      </c>
      <c r="AG13" s="55" t="n">
        <v>44667</v>
      </c>
      <c r="AH13" s="56" t="n">
        <v>7.65</v>
      </c>
      <c r="AU13" s="57"/>
      <c r="AV13" s="52"/>
      <c r="AW13" s="52"/>
      <c r="AX13" s="52"/>
      <c r="AY13" s="52"/>
      <c r="AZ13" s="52"/>
      <c r="BA13" s="53"/>
      <c r="BC13" s="57"/>
      <c r="BD13" s="54"/>
      <c r="BE13" s="54"/>
      <c r="BF13" s="54"/>
      <c r="BG13" s="54"/>
      <c r="BH13" s="52"/>
      <c r="BI13" s="53"/>
      <c r="BK13" s="58"/>
      <c r="BL13" s="52"/>
      <c r="BM13" s="52"/>
      <c r="BN13" s="52"/>
      <c r="BO13" s="52"/>
      <c r="BP13" s="52"/>
      <c r="BQ13" s="53"/>
      <c r="BS13" s="57"/>
      <c r="BT13" s="54"/>
      <c r="BU13" s="54"/>
      <c r="BV13" s="54"/>
      <c r="BW13" s="54"/>
      <c r="BX13" s="52"/>
      <c r="BY13" s="53"/>
    </row>
    <row r="14" customFormat="false" ht="13.5" hidden="false" customHeight="false" outlineLevel="0" collapsed="false">
      <c r="A14" s="52" t="s">
        <v>255</v>
      </c>
      <c r="B14" s="52" t="n">
        <v>30</v>
      </c>
      <c r="C14" s="52" t="n">
        <v>30.46</v>
      </c>
      <c r="D14" s="52" t="n">
        <v>30.57</v>
      </c>
      <c r="E14" s="52" t="n">
        <v>30</v>
      </c>
      <c r="F14" s="52" t="s">
        <v>256</v>
      </c>
      <c r="G14" s="53" t="n">
        <v>-0.0196</v>
      </c>
      <c r="I14" s="52" t="s">
        <v>257</v>
      </c>
      <c r="J14" s="54" t="n">
        <v>65973.08</v>
      </c>
      <c r="K14" s="54" t="n">
        <v>66345.02</v>
      </c>
      <c r="L14" s="54" t="n">
        <v>66614.98</v>
      </c>
      <c r="M14" s="54" t="n">
        <v>65875.46</v>
      </c>
      <c r="N14" s="52" t="s">
        <v>258</v>
      </c>
      <c r="O14" s="53" t="n">
        <v>-0.0079</v>
      </c>
      <c r="Q14" s="51" t="n">
        <v>44542</v>
      </c>
      <c r="R14" s="52" t="n">
        <v>22.59</v>
      </c>
      <c r="S14" s="52" t="n">
        <v>23.44</v>
      </c>
      <c r="T14" s="52" t="n">
        <v>23.44</v>
      </c>
      <c r="U14" s="52" t="n">
        <v>22.19</v>
      </c>
      <c r="V14" s="52" t="s">
        <v>259</v>
      </c>
      <c r="W14" s="53" t="n">
        <v>-0.0288</v>
      </c>
      <c r="Y14" s="52" t="s">
        <v>260</v>
      </c>
      <c r="Z14" s="54" t="n">
        <v>52379.37</v>
      </c>
      <c r="AA14" s="54" t="n">
        <v>51214.61</v>
      </c>
      <c r="AB14" s="54" t="n">
        <v>52477.83</v>
      </c>
      <c r="AC14" s="54" t="n">
        <v>50291.02</v>
      </c>
      <c r="AD14" s="52" t="s">
        <v>261</v>
      </c>
      <c r="AE14" s="53" t="n">
        <v>0.0228</v>
      </c>
      <c r="AG14" s="55" t="n">
        <v>44682</v>
      </c>
      <c r="AH14" s="56" t="n">
        <v>7.58</v>
      </c>
      <c r="AU14" s="58"/>
      <c r="AV14" s="52"/>
      <c r="AW14" s="52"/>
      <c r="AX14" s="52"/>
      <c r="AY14" s="52"/>
      <c r="AZ14" s="52"/>
      <c r="BA14" s="53"/>
      <c r="BC14" s="57"/>
      <c r="BD14" s="54"/>
      <c r="BE14" s="54"/>
      <c r="BF14" s="54"/>
      <c r="BG14" s="54"/>
      <c r="BH14" s="52"/>
      <c r="BI14" s="53"/>
      <c r="BK14" s="58"/>
      <c r="BL14" s="52"/>
      <c r="BM14" s="52"/>
      <c r="BN14" s="52"/>
      <c r="BO14" s="52"/>
      <c r="BP14" s="52"/>
      <c r="BQ14" s="53"/>
      <c r="BS14" s="57"/>
      <c r="BT14" s="54"/>
      <c r="BU14" s="54"/>
      <c r="BV14" s="54"/>
      <c r="BW14" s="54"/>
      <c r="BX14" s="52"/>
      <c r="BY14" s="53"/>
    </row>
    <row r="15" customFormat="false" ht="13.5" hidden="false" customHeight="false" outlineLevel="0" collapsed="false">
      <c r="A15" s="52" t="s">
        <v>262</v>
      </c>
      <c r="B15" s="52" t="n">
        <v>30.04</v>
      </c>
      <c r="C15" s="52" t="n">
        <v>29.61</v>
      </c>
      <c r="D15" s="52" t="n">
        <v>30.2</v>
      </c>
      <c r="E15" s="52" t="n">
        <v>29.5</v>
      </c>
      <c r="F15" s="52" t="s">
        <v>263</v>
      </c>
      <c r="G15" s="53" t="n">
        <v>0.0013</v>
      </c>
      <c r="I15" s="52" t="s">
        <v>264</v>
      </c>
      <c r="J15" s="54" t="n">
        <v>66514.3</v>
      </c>
      <c r="K15" s="54" t="n">
        <v>65930.2</v>
      </c>
      <c r="L15" s="54" t="n">
        <v>66984.89</v>
      </c>
      <c r="M15" s="54" t="n">
        <v>65930.2</v>
      </c>
      <c r="N15" s="52" t="s">
        <v>265</v>
      </c>
      <c r="O15" s="53" t="n">
        <v>0.0082</v>
      </c>
      <c r="Q15" s="52" t="s">
        <v>266</v>
      </c>
      <c r="R15" s="52" t="n">
        <v>24.8</v>
      </c>
      <c r="S15" s="52" t="n">
        <v>22.59</v>
      </c>
      <c r="T15" s="52" t="n">
        <v>24.8</v>
      </c>
      <c r="U15" s="52" t="n">
        <v>22.33</v>
      </c>
      <c r="V15" s="52" t="s">
        <v>267</v>
      </c>
      <c r="W15" s="53" t="n">
        <v>0.0978</v>
      </c>
      <c r="Y15" s="52" t="s">
        <v>268</v>
      </c>
      <c r="Z15" s="54" t="n">
        <v>52853.38</v>
      </c>
      <c r="AA15" s="54" t="n">
        <v>52333.26</v>
      </c>
      <c r="AB15" s="54" t="n">
        <v>52901.72</v>
      </c>
      <c r="AC15" s="54" t="n">
        <v>51319.55</v>
      </c>
      <c r="AD15" s="52" t="s">
        <v>269</v>
      </c>
      <c r="AE15" s="53" t="n">
        <v>0.009</v>
      </c>
      <c r="AG15" s="55" t="n">
        <v>44697</v>
      </c>
      <c r="AH15" s="56" t="n">
        <v>7.72</v>
      </c>
      <c r="AU15" s="58"/>
      <c r="AV15" s="52"/>
      <c r="AW15" s="52"/>
      <c r="AX15" s="52"/>
      <c r="AY15" s="52"/>
      <c r="AZ15" s="52"/>
      <c r="BA15" s="53"/>
      <c r="BC15" s="57"/>
      <c r="BD15" s="54"/>
      <c r="BE15" s="54"/>
      <c r="BF15" s="54"/>
      <c r="BG15" s="54"/>
      <c r="BH15" s="52"/>
      <c r="BI15" s="53"/>
      <c r="BK15" s="57"/>
      <c r="BL15" s="52"/>
      <c r="BM15" s="52"/>
      <c r="BN15" s="52"/>
      <c r="BO15" s="52"/>
      <c r="BP15" s="52"/>
      <c r="BQ15" s="53"/>
      <c r="BS15" s="57"/>
      <c r="BT15" s="54"/>
      <c r="BU15" s="54"/>
      <c r="BV15" s="54"/>
      <c r="BW15" s="54"/>
      <c r="BX15" s="52"/>
      <c r="BY15" s="53"/>
    </row>
    <row r="16" customFormat="false" ht="13.5" hidden="false" customHeight="false" outlineLevel="0" collapsed="false">
      <c r="A16" s="52" t="s">
        <v>270</v>
      </c>
      <c r="B16" s="52" t="n">
        <v>29.96</v>
      </c>
      <c r="C16" s="52" t="n">
        <v>30.18</v>
      </c>
      <c r="D16" s="52" t="n">
        <v>30.58</v>
      </c>
      <c r="E16" s="52" t="n">
        <v>29.96</v>
      </c>
      <c r="F16" s="52" t="s">
        <v>271</v>
      </c>
      <c r="G16" s="53" t="n">
        <v>-0.0027</v>
      </c>
      <c r="I16" s="52" t="s">
        <v>272</v>
      </c>
      <c r="J16" s="54" t="n">
        <v>66399.71</v>
      </c>
      <c r="K16" s="54" t="n">
        <v>66688.79</v>
      </c>
      <c r="L16" s="54" t="n">
        <v>66807.81</v>
      </c>
      <c r="M16" s="54" t="n">
        <v>66269.87</v>
      </c>
      <c r="N16" s="52" t="s">
        <v>273</v>
      </c>
      <c r="O16" s="53" t="n">
        <v>-0.0017</v>
      </c>
      <c r="Q16" s="52" t="s">
        <v>274</v>
      </c>
      <c r="R16" s="52" t="n">
        <v>25.98</v>
      </c>
      <c r="S16" s="52" t="n">
        <v>24.6</v>
      </c>
      <c r="T16" s="52" t="n">
        <v>26.15</v>
      </c>
      <c r="U16" s="52" t="n">
        <v>24.5</v>
      </c>
      <c r="V16" s="52" t="s">
        <v>275</v>
      </c>
      <c r="W16" s="53" t="n">
        <v>0.0476</v>
      </c>
      <c r="Y16" s="52" t="s">
        <v>276</v>
      </c>
      <c r="Z16" s="54" t="n">
        <v>53272.44</v>
      </c>
      <c r="AA16" s="54" t="n">
        <v>52853.66</v>
      </c>
      <c r="AB16" s="54" t="n">
        <v>53630.53</v>
      </c>
      <c r="AC16" s="54" t="n">
        <v>52558.85</v>
      </c>
      <c r="AD16" s="52" t="s">
        <v>277</v>
      </c>
      <c r="AE16" s="53" t="n">
        <v>0.0079</v>
      </c>
      <c r="AG16" s="55" t="n">
        <v>44713</v>
      </c>
      <c r="AH16" s="56" t="n">
        <v>7.88</v>
      </c>
      <c r="AU16" s="57"/>
      <c r="AV16" s="52"/>
      <c r="AW16" s="52"/>
      <c r="AX16" s="52"/>
      <c r="AY16" s="52"/>
      <c r="AZ16" s="52"/>
      <c r="BA16" s="53"/>
      <c r="BC16" s="57"/>
      <c r="BD16" s="54"/>
      <c r="BE16" s="54"/>
      <c r="BF16" s="54"/>
      <c r="BG16" s="54"/>
      <c r="BH16" s="52"/>
      <c r="BI16" s="53"/>
      <c r="BK16" s="57"/>
      <c r="BL16" s="52"/>
      <c r="BM16" s="52"/>
      <c r="BN16" s="52"/>
      <c r="BO16" s="52"/>
      <c r="BP16" s="52"/>
      <c r="BQ16" s="53"/>
      <c r="BS16" s="57"/>
      <c r="BT16" s="54"/>
      <c r="BU16" s="54"/>
      <c r="BV16" s="54"/>
      <c r="BW16" s="54"/>
      <c r="BX16" s="52"/>
      <c r="BY16" s="53"/>
    </row>
    <row r="17" customFormat="false" ht="13.5" hidden="false" customHeight="false" outlineLevel="0" collapsed="false">
      <c r="A17" s="52" t="s">
        <v>278</v>
      </c>
      <c r="B17" s="52" t="n">
        <v>30.27</v>
      </c>
      <c r="C17" s="52" t="n">
        <v>30.27</v>
      </c>
      <c r="D17" s="52" t="n">
        <v>30.27</v>
      </c>
      <c r="E17" s="52" t="n">
        <v>30.27</v>
      </c>
      <c r="F17" s="52" t="s">
        <v>279</v>
      </c>
      <c r="G17" s="53" t="n">
        <v>0.0103</v>
      </c>
      <c r="I17" s="52" t="s">
        <v>280</v>
      </c>
      <c r="J17" s="54" t="n">
        <v>66356.09</v>
      </c>
      <c r="K17" s="54" t="n">
        <v>66338.62</v>
      </c>
      <c r="L17" s="54" t="n">
        <v>66717.57</v>
      </c>
      <c r="M17" s="54" t="n">
        <v>65999.7</v>
      </c>
      <c r="N17" s="52" t="s">
        <v>281</v>
      </c>
      <c r="O17" s="53" t="n">
        <v>-0.0007</v>
      </c>
      <c r="Q17" s="51" t="n">
        <v>44593</v>
      </c>
      <c r="R17" s="52" t="n">
        <v>24.04</v>
      </c>
      <c r="S17" s="52" t="n">
        <v>26.2</v>
      </c>
      <c r="T17" s="52" t="n">
        <v>26.2</v>
      </c>
      <c r="U17" s="52" t="n">
        <v>23.5</v>
      </c>
      <c r="V17" s="52" t="s">
        <v>282</v>
      </c>
      <c r="W17" s="53" t="n">
        <v>-0.0747</v>
      </c>
      <c r="Y17" s="52" t="s">
        <v>283</v>
      </c>
      <c r="Z17" s="54" t="n">
        <v>53202.11</v>
      </c>
      <c r="AA17" s="54" t="n">
        <v>53278.11</v>
      </c>
      <c r="AB17" s="54" t="n">
        <v>53603.83</v>
      </c>
      <c r="AC17" s="54" t="n">
        <v>52768.81</v>
      </c>
      <c r="AD17" s="52" t="s">
        <v>284</v>
      </c>
      <c r="AE17" s="53" t="n">
        <v>-0.0013</v>
      </c>
      <c r="AG17" s="55" t="n">
        <v>44728</v>
      </c>
      <c r="AH17" s="56" t="n">
        <v>8.09</v>
      </c>
      <c r="AU17" s="57"/>
      <c r="AV17" s="52"/>
      <c r="AW17" s="52"/>
      <c r="AX17" s="52"/>
      <c r="AY17" s="52"/>
      <c r="AZ17" s="52"/>
      <c r="BA17" s="53"/>
      <c r="BC17" s="57"/>
      <c r="BD17" s="54"/>
      <c r="BE17" s="54"/>
      <c r="BF17" s="54"/>
      <c r="BG17" s="54"/>
      <c r="BH17" s="52"/>
      <c r="BI17" s="53"/>
      <c r="BK17" s="57"/>
      <c r="BL17" s="52"/>
      <c r="BM17" s="52"/>
      <c r="BN17" s="52"/>
      <c r="BO17" s="52"/>
      <c r="BP17" s="52"/>
      <c r="BQ17" s="53"/>
      <c r="BS17" s="57"/>
      <c r="BT17" s="54"/>
      <c r="BU17" s="54"/>
      <c r="BV17" s="54"/>
      <c r="BW17" s="54"/>
      <c r="BX17" s="52"/>
      <c r="BY17" s="53"/>
    </row>
    <row r="18" customFormat="false" ht="13.5" hidden="false" customHeight="false" outlineLevel="0" collapsed="false">
      <c r="A18" s="52" t="s">
        <v>285</v>
      </c>
      <c r="B18" s="52" t="n">
        <v>29.8</v>
      </c>
      <c r="C18" s="52" t="n">
        <v>29.99</v>
      </c>
      <c r="D18" s="52" t="n">
        <v>29.99</v>
      </c>
      <c r="E18" s="52" t="n">
        <v>29.8</v>
      </c>
      <c r="F18" s="52" t="s">
        <v>286</v>
      </c>
      <c r="G18" s="53" t="n">
        <v>-0.0155</v>
      </c>
      <c r="I18" s="52" t="s">
        <v>287</v>
      </c>
      <c r="J18" s="54" t="n">
        <v>66634.23</v>
      </c>
      <c r="K18" s="54" t="n">
        <v>66328.36</v>
      </c>
      <c r="L18" s="54" t="n">
        <v>66822.62</v>
      </c>
      <c r="M18" s="54" t="n">
        <v>65997.21</v>
      </c>
      <c r="N18" s="52" t="s">
        <v>288</v>
      </c>
      <c r="O18" s="53" t="n">
        <v>0.0042</v>
      </c>
      <c r="Q18" s="51" t="n">
        <v>44805</v>
      </c>
      <c r="R18" s="52" t="n">
        <v>23.98</v>
      </c>
      <c r="S18" s="52" t="n">
        <v>23.57</v>
      </c>
      <c r="T18" s="52" t="n">
        <v>24.9</v>
      </c>
      <c r="U18" s="52" t="n">
        <v>23.11</v>
      </c>
      <c r="V18" s="52" t="s">
        <v>289</v>
      </c>
      <c r="W18" s="53" t="n">
        <v>-0.0025</v>
      </c>
      <c r="Y18" s="52" t="s">
        <v>290</v>
      </c>
      <c r="Z18" s="54" t="n">
        <v>53744.92</v>
      </c>
      <c r="AA18" s="54" t="n">
        <v>53202.84</v>
      </c>
      <c r="AB18" s="54" t="n">
        <v>54102.49</v>
      </c>
      <c r="AC18" s="54" t="n">
        <v>52740.35</v>
      </c>
      <c r="AD18" s="52" t="s">
        <v>291</v>
      </c>
      <c r="AE18" s="53" t="n">
        <v>0.0102</v>
      </c>
      <c r="AG18" s="55" t="n">
        <v>44743</v>
      </c>
      <c r="AH18" s="56" t="n">
        <v>8.16</v>
      </c>
      <c r="AU18" s="58"/>
      <c r="AV18" s="52"/>
      <c r="AW18" s="52"/>
      <c r="AX18" s="52"/>
      <c r="AY18" s="52"/>
      <c r="AZ18" s="52"/>
      <c r="BA18" s="53"/>
      <c r="BC18" s="57"/>
      <c r="BD18" s="54"/>
      <c r="BE18" s="54"/>
      <c r="BF18" s="54"/>
      <c r="BG18" s="54"/>
      <c r="BH18" s="52"/>
      <c r="BI18" s="53"/>
      <c r="BK18" s="57"/>
      <c r="BL18" s="52"/>
      <c r="BM18" s="52"/>
      <c r="BN18" s="52"/>
      <c r="BO18" s="52"/>
      <c r="BP18" s="52"/>
      <c r="BQ18" s="53"/>
      <c r="BS18" s="57"/>
      <c r="BT18" s="54"/>
      <c r="BU18" s="54"/>
      <c r="BV18" s="54"/>
      <c r="BW18" s="54"/>
      <c r="BX18" s="52"/>
      <c r="BY18" s="53"/>
    </row>
    <row r="19" customFormat="false" ht="13.5" hidden="false" customHeight="false" outlineLevel="0" collapsed="false">
      <c r="A19" s="52" t="s">
        <v>292</v>
      </c>
      <c r="B19" s="52" t="n">
        <v>29.3</v>
      </c>
      <c r="C19" s="52" t="n">
        <v>29.3</v>
      </c>
      <c r="D19" s="52" t="n">
        <v>29.3</v>
      </c>
      <c r="E19" s="52" t="n">
        <v>29.3</v>
      </c>
      <c r="F19" s="52" t="s">
        <v>293</v>
      </c>
      <c r="G19" s="53" t="n">
        <v>-0.0168</v>
      </c>
      <c r="I19" s="52" t="s">
        <v>294</v>
      </c>
      <c r="J19" s="54" t="n">
        <v>66122.78</v>
      </c>
      <c r="K19" s="54" t="n">
        <v>66605.9</v>
      </c>
      <c r="L19" s="54" t="n">
        <v>67001.16</v>
      </c>
      <c r="M19" s="54" t="n">
        <v>66094.86</v>
      </c>
      <c r="N19" s="52" t="s">
        <v>295</v>
      </c>
      <c r="O19" s="53" t="n">
        <v>-0.0077</v>
      </c>
      <c r="Q19" s="52" t="s">
        <v>296</v>
      </c>
      <c r="R19" s="52" t="n">
        <v>22.92</v>
      </c>
      <c r="S19" s="52" t="n">
        <v>24.9</v>
      </c>
      <c r="T19" s="52" t="n">
        <v>24.9</v>
      </c>
      <c r="U19" s="52" t="n">
        <v>22.61</v>
      </c>
      <c r="V19" s="52" t="s">
        <v>297</v>
      </c>
      <c r="W19" s="53" t="n">
        <v>-0.0442</v>
      </c>
      <c r="Y19" s="52" t="s">
        <v>298</v>
      </c>
      <c r="Z19" s="54" t="n">
        <v>51599.38</v>
      </c>
      <c r="AA19" s="54" t="n">
        <v>53742.37</v>
      </c>
      <c r="AB19" s="54" t="n">
        <v>54219.14</v>
      </c>
      <c r="AC19" s="54" t="n">
        <v>51386.68</v>
      </c>
      <c r="AD19" s="52" t="s">
        <v>299</v>
      </c>
      <c r="AE19" s="53" t="n">
        <v>-0.0399</v>
      </c>
      <c r="AG19" s="55" t="n">
        <v>44758</v>
      </c>
      <c r="AH19" s="56" t="n">
        <v>8.14</v>
      </c>
      <c r="AU19" s="58"/>
      <c r="AV19" s="52"/>
      <c r="AW19" s="52"/>
      <c r="AX19" s="52"/>
      <c r="AY19" s="52"/>
      <c r="AZ19" s="52"/>
      <c r="BA19" s="53"/>
      <c r="BC19" s="57"/>
      <c r="BD19" s="54"/>
      <c r="BE19" s="54"/>
      <c r="BF19" s="54"/>
      <c r="BG19" s="54"/>
      <c r="BH19" s="52"/>
      <c r="BI19" s="53"/>
      <c r="BK19" s="57"/>
      <c r="BL19" s="52"/>
      <c r="BM19" s="52"/>
      <c r="BN19" s="52"/>
      <c r="BO19" s="52"/>
      <c r="BP19" s="52"/>
      <c r="BQ19" s="53"/>
      <c r="BS19" s="57"/>
      <c r="BT19" s="54"/>
      <c r="BU19" s="54"/>
      <c r="BV19" s="54"/>
      <c r="BW19" s="54"/>
      <c r="BX19" s="52"/>
      <c r="BY19" s="53"/>
    </row>
    <row r="20" customFormat="false" ht="13.5" hidden="false" customHeight="false" outlineLevel="0" collapsed="false">
      <c r="A20" s="52" t="s">
        <v>300</v>
      </c>
      <c r="B20" s="52" t="n">
        <v>29.41</v>
      </c>
      <c r="C20" s="52" t="n">
        <v>30.26</v>
      </c>
      <c r="D20" s="52" t="n">
        <v>30.26</v>
      </c>
      <c r="E20" s="52" t="n">
        <v>29.41</v>
      </c>
      <c r="F20" s="52" t="s">
        <v>301</v>
      </c>
      <c r="G20" s="53" t="n">
        <v>0.0038</v>
      </c>
      <c r="I20" s="52" t="s">
        <v>302</v>
      </c>
      <c r="J20" s="54" t="n">
        <v>66713.83</v>
      </c>
      <c r="K20" s="54" t="n">
        <v>66129.07</v>
      </c>
      <c r="L20" s="54" t="n">
        <v>66809.65</v>
      </c>
      <c r="M20" s="54" t="n">
        <v>66101.66</v>
      </c>
      <c r="N20" s="52" t="s">
        <v>303</v>
      </c>
      <c r="O20" s="53" t="n">
        <v>0.0089</v>
      </c>
      <c r="Q20" s="52" t="s">
        <v>304</v>
      </c>
      <c r="R20" s="52" t="n">
        <v>22.39</v>
      </c>
      <c r="S20" s="52" t="n">
        <v>22.5</v>
      </c>
      <c r="T20" s="52" t="n">
        <v>23</v>
      </c>
      <c r="U20" s="52" t="n">
        <v>21.83</v>
      </c>
      <c r="V20" s="52" t="s">
        <v>305</v>
      </c>
      <c r="W20" s="53" t="n">
        <v>-0.0231</v>
      </c>
      <c r="Y20" s="52" t="s">
        <v>306</v>
      </c>
      <c r="Z20" s="54" t="n">
        <v>50661.86</v>
      </c>
      <c r="AA20" s="54" t="n">
        <v>51578.42</v>
      </c>
      <c r="AB20" s="54" t="n">
        <v>51578.42</v>
      </c>
      <c r="AC20" s="54" t="n">
        <v>49673.64</v>
      </c>
      <c r="AD20" s="52" t="s">
        <v>307</v>
      </c>
      <c r="AE20" s="53" t="n">
        <v>-0.0182</v>
      </c>
      <c r="AG20" s="55" t="n">
        <v>44774</v>
      </c>
      <c r="AH20" s="56" t="n">
        <v>8.62</v>
      </c>
      <c r="AU20" s="57"/>
      <c r="AV20" s="52"/>
      <c r="AW20" s="52"/>
      <c r="AX20" s="52"/>
      <c r="AY20" s="52"/>
      <c r="AZ20" s="52"/>
      <c r="BA20" s="53"/>
      <c r="BC20" s="57"/>
      <c r="BD20" s="54"/>
      <c r="BE20" s="54"/>
      <c r="BF20" s="54"/>
      <c r="BG20" s="54"/>
      <c r="BH20" s="52"/>
      <c r="BI20" s="53"/>
      <c r="BK20" s="57"/>
      <c r="BL20" s="52"/>
      <c r="BM20" s="52"/>
      <c r="BN20" s="52"/>
      <c r="BO20" s="52"/>
      <c r="BP20" s="52"/>
      <c r="BQ20" s="53"/>
      <c r="BS20" s="57"/>
      <c r="BT20" s="54"/>
      <c r="BU20" s="54"/>
      <c r="BV20" s="54"/>
      <c r="BW20" s="54"/>
      <c r="BX20" s="52"/>
      <c r="BY20" s="53"/>
    </row>
    <row r="21" customFormat="false" ht="13.5" hidden="false" customHeight="false" outlineLevel="0" collapsed="false">
      <c r="A21" s="52" t="s">
        <v>308</v>
      </c>
      <c r="B21" s="52" t="n">
        <v>29.03</v>
      </c>
      <c r="C21" s="52" t="n">
        <v>29.35</v>
      </c>
      <c r="D21" s="52" t="n">
        <v>29.35</v>
      </c>
      <c r="E21" s="52" t="n">
        <v>29.03</v>
      </c>
      <c r="F21" s="52" t="s">
        <v>309</v>
      </c>
      <c r="G21" s="53" t="n">
        <v>-0.0129</v>
      </c>
      <c r="I21" s="52" t="s">
        <v>310</v>
      </c>
      <c r="J21" s="54" t="n">
        <v>67303.83</v>
      </c>
      <c r="K21" s="54" t="n">
        <v>66683.27</v>
      </c>
      <c r="L21" s="54" t="n">
        <v>67656.3</v>
      </c>
      <c r="M21" s="54" t="n">
        <v>66634.23</v>
      </c>
      <c r="N21" s="52" t="s">
        <v>311</v>
      </c>
      <c r="O21" s="53" t="n">
        <v>0.0088</v>
      </c>
      <c r="Q21" s="52" t="s">
        <v>312</v>
      </c>
      <c r="R21" s="52" t="n">
        <v>23.24</v>
      </c>
      <c r="S21" s="52" t="n">
        <v>22.39</v>
      </c>
      <c r="T21" s="52" t="n">
        <v>23.31</v>
      </c>
      <c r="U21" s="52" t="n">
        <v>22.33</v>
      </c>
      <c r="V21" s="52" t="s">
        <v>313</v>
      </c>
      <c r="W21" s="53" t="n">
        <v>0.038</v>
      </c>
      <c r="Y21" s="52" t="s">
        <v>314</v>
      </c>
      <c r="Z21" s="54" t="n">
        <v>51255.31</v>
      </c>
      <c r="AA21" s="54" t="n">
        <v>50670.28</v>
      </c>
      <c r="AB21" s="54" t="n">
        <v>52120.64</v>
      </c>
      <c r="AC21" s="54" t="n">
        <v>50631.62</v>
      </c>
      <c r="AD21" s="52" t="s">
        <v>315</v>
      </c>
      <c r="AE21" s="53" t="n">
        <v>0.0117</v>
      </c>
      <c r="AG21" s="55" t="n">
        <v>44789</v>
      </c>
      <c r="AH21" s="56" t="n">
        <v>8.77</v>
      </c>
      <c r="AU21" s="57"/>
      <c r="AV21" s="52"/>
      <c r="AW21" s="52"/>
      <c r="AX21" s="52"/>
      <c r="AY21" s="52"/>
      <c r="AZ21" s="52"/>
      <c r="BA21" s="53"/>
      <c r="BC21" s="57"/>
      <c r="BD21" s="54"/>
      <c r="BE21" s="54"/>
      <c r="BF21" s="54"/>
      <c r="BG21" s="54"/>
      <c r="BH21" s="52"/>
      <c r="BI21" s="53"/>
      <c r="BK21" s="57"/>
      <c r="BL21" s="52"/>
      <c r="BM21" s="52"/>
      <c r="BN21" s="52"/>
      <c r="BO21" s="52"/>
      <c r="BP21" s="52"/>
      <c r="BQ21" s="53"/>
      <c r="BS21" s="57"/>
      <c r="BT21" s="54"/>
      <c r="BU21" s="54"/>
      <c r="BV21" s="54"/>
      <c r="BW21" s="54"/>
      <c r="BX21" s="52"/>
      <c r="BY21" s="53"/>
    </row>
    <row r="22" customFormat="false" ht="13.5" hidden="false" customHeight="false" outlineLevel="0" collapsed="false">
      <c r="A22" s="52" t="s">
        <v>316</v>
      </c>
      <c r="B22" s="52" t="n">
        <v>29.5</v>
      </c>
      <c r="C22" s="52" t="n">
        <v>29.61</v>
      </c>
      <c r="D22" s="52" t="n">
        <v>29.61</v>
      </c>
      <c r="E22" s="52" t="n">
        <v>29.5</v>
      </c>
      <c r="F22" s="52" t="s">
        <v>317</v>
      </c>
      <c r="G22" s="53" t="n">
        <v>0.0162</v>
      </c>
      <c r="I22" s="52" t="s">
        <v>318</v>
      </c>
      <c r="J22" s="54" t="n">
        <v>66266.01</v>
      </c>
      <c r="K22" s="54" t="n">
        <v>67369.19</v>
      </c>
      <c r="L22" s="54" t="n">
        <v>67369.19</v>
      </c>
      <c r="M22" s="54" t="n">
        <v>66181.08</v>
      </c>
      <c r="N22" s="52" t="s">
        <v>319</v>
      </c>
      <c r="O22" s="53" t="n">
        <v>-0.0154</v>
      </c>
      <c r="Q22" s="51" t="n">
        <v>44714</v>
      </c>
      <c r="R22" s="52" t="n">
        <v>22.57</v>
      </c>
      <c r="S22" s="52" t="n">
        <v>22.78</v>
      </c>
      <c r="T22" s="52" t="n">
        <v>23</v>
      </c>
      <c r="U22" s="52" t="n">
        <v>21.98</v>
      </c>
      <c r="V22" s="52" t="s">
        <v>320</v>
      </c>
      <c r="W22" s="53" t="n">
        <v>-0.0288</v>
      </c>
      <c r="Y22" s="52" t="s">
        <v>321</v>
      </c>
      <c r="Z22" s="54" t="n">
        <v>53229.26</v>
      </c>
      <c r="AA22" s="54" t="n">
        <v>51281.26</v>
      </c>
      <c r="AB22" s="54" t="n">
        <v>53630.05</v>
      </c>
      <c r="AC22" s="54" t="n">
        <v>51011.87</v>
      </c>
      <c r="AD22" s="52" t="s">
        <v>322</v>
      </c>
      <c r="AE22" s="53" t="n">
        <v>0.0385</v>
      </c>
      <c r="AG22" s="55" t="n">
        <v>44805</v>
      </c>
      <c r="AH22" s="56" t="n">
        <v>8.76</v>
      </c>
      <c r="AU22" s="57"/>
      <c r="AV22" s="52"/>
      <c r="AW22" s="52"/>
      <c r="AX22" s="52"/>
      <c r="AY22" s="52"/>
      <c r="AZ22" s="52"/>
      <c r="BA22" s="53"/>
      <c r="BC22" s="57"/>
      <c r="BD22" s="54"/>
      <c r="BE22" s="54"/>
      <c r="BF22" s="54"/>
      <c r="BG22" s="54"/>
      <c r="BH22" s="52"/>
      <c r="BI22" s="53"/>
      <c r="BK22" s="57"/>
      <c r="BL22" s="52"/>
      <c r="BM22" s="52"/>
      <c r="BN22" s="52"/>
      <c r="BO22" s="52"/>
      <c r="BP22" s="52"/>
      <c r="BQ22" s="53"/>
      <c r="BS22" s="57"/>
      <c r="BT22" s="54"/>
      <c r="BU22" s="54"/>
      <c r="BV22" s="54"/>
      <c r="BW22" s="54"/>
      <c r="BX22" s="52"/>
      <c r="BY22" s="53"/>
    </row>
    <row r="23" customFormat="false" ht="13.5" hidden="false" customHeight="false" outlineLevel="0" collapsed="false">
      <c r="A23" s="52" t="s">
        <v>323</v>
      </c>
      <c r="B23" s="52" t="n">
        <v>29.6</v>
      </c>
      <c r="C23" s="52" t="n">
        <v>29.6</v>
      </c>
      <c r="D23" s="52" t="n">
        <v>29.6</v>
      </c>
      <c r="E23" s="52" t="n">
        <v>29.55</v>
      </c>
      <c r="F23" s="52" t="s">
        <v>242</v>
      </c>
      <c r="G23" s="53" t="n">
        <v>0.0034</v>
      </c>
      <c r="I23" s="52" t="s">
        <v>324</v>
      </c>
      <c r="J23" s="54" t="n">
        <v>66383.26</v>
      </c>
      <c r="K23" s="54" t="n">
        <v>66290.18</v>
      </c>
      <c r="L23" s="54" t="n">
        <v>66748.08</v>
      </c>
      <c r="M23" s="54" t="n">
        <v>65759.85</v>
      </c>
      <c r="N23" s="52" t="s">
        <v>325</v>
      </c>
      <c r="O23" s="53" t="n">
        <v>0.0018</v>
      </c>
      <c r="Q23" s="52" t="s">
        <v>326</v>
      </c>
      <c r="R23" s="52" t="n">
        <v>23.11</v>
      </c>
      <c r="S23" s="52" t="n">
        <v>22.26</v>
      </c>
      <c r="T23" s="52" t="n">
        <v>23.27</v>
      </c>
      <c r="U23" s="52" t="n">
        <v>22</v>
      </c>
      <c r="V23" s="52" t="s">
        <v>327</v>
      </c>
      <c r="W23" s="53" t="n">
        <v>0.0239</v>
      </c>
      <c r="Y23" s="52" t="s">
        <v>328</v>
      </c>
      <c r="Z23" s="54" t="n">
        <v>52281.53</v>
      </c>
      <c r="AA23" s="54" t="n">
        <v>53232.26</v>
      </c>
      <c r="AB23" s="54" t="n">
        <v>53901.91</v>
      </c>
      <c r="AC23" s="54" t="n">
        <v>52161.67</v>
      </c>
      <c r="AD23" s="52" t="s">
        <v>329</v>
      </c>
      <c r="AE23" s="53" t="n">
        <v>-0.0178</v>
      </c>
      <c r="AG23" s="55" t="n">
        <v>44820</v>
      </c>
      <c r="AH23" s="56" t="n">
        <v>8.64</v>
      </c>
      <c r="AU23" s="58"/>
      <c r="AV23" s="52"/>
      <c r="AW23" s="52"/>
      <c r="AX23" s="52"/>
      <c r="AY23" s="52"/>
      <c r="AZ23" s="52"/>
      <c r="BA23" s="53"/>
      <c r="BC23" s="57"/>
      <c r="BD23" s="54"/>
      <c r="BE23" s="54"/>
      <c r="BF23" s="54"/>
      <c r="BG23" s="54"/>
      <c r="BH23" s="52"/>
      <c r="BI23" s="53"/>
      <c r="BK23" s="57"/>
      <c r="BL23" s="52"/>
      <c r="BM23" s="52"/>
      <c r="BN23" s="52"/>
      <c r="BO23" s="52"/>
      <c r="BP23" s="52"/>
      <c r="BQ23" s="53"/>
      <c r="BS23" s="57"/>
      <c r="BT23" s="54"/>
      <c r="BU23" s="54"/>
      <c r="BV23" s="54"/>
      <c r="BW23" s="54"/>
      <c r="BX23" s="52"/>
      <c r="BY23" s="53"/>
    </row>
    <row r="24" customFormat="false" ht="13.5" hidden="false" customHeight="false" outlineLevel="0" collapsed="false">
      <c r="A24" s="52" t="s">
        <v>330</v>
      </c>
      <c r="B24" s="52" t="n">
        <v>29.59</v>
      </c>
      <c r="C24" s="52" t="n">
        <v>29.82</v>
      </c>
      <c r="D24" s="52" t="n">
        <v>29.82</v>
      </c>
      <c r="E24" s="52" t="n">
        <v>29.59</v>
      </c>
      <c r="F24" s="52" t="s">
        <v>301</v>
      </c>
      <c r="G24" s="53" t="n">
        <v>-0.0003</v>
      </c>
      <c r="I24" s="52" t="s">
        <v>331</v>
      </c>
      <c r="J24" s="54" t="n">
        <v>67157.91</v>
      </c>
      <c r="K24" s="54" t="n">
        <v>66342.71</v>
      </c>
      <c r="L24" s="54" t="n">
        <v>67427.57</v>
      </c>
      <c r="M24" s="54" t="n">
        <v>66342.71</v>
      </c>
      <c r="N24" s="52" t="s">
        <v>332</v>
      </c>
      <c r="O24" s="53" t="n">
        <v>0.0117</v>
      </c>
      <c r="Q24" s="52" t="s">
        <v>333</v>
      </c>
      <c r="R24" s="52" t="n">
        <v>23.25</v>
      </c>
      <c r="S24" s="52" t="n">
        <v>23.29</v>
      </c>
      <c r="T24" s="52" t="n">
        <v>24.2</v>
      </c>
      <c r="U24" s="52" t="n">
        <v>22.75</v>
      </c>
      <c r="V24" s="52" t="s">
        <v>334</v>
      </c>
      <c r="W24" s="53" t="n">
        <v>0.0061</v>
      </c>
      <c r="Y24" s="52" t="s">
        <v>335</v>
      </c>
      <c r="Z24" s="54" t="n">
        <v>52555.6</v>
      </c>
      <c r="AA24" s="54" t="n">
        <v>52281.53</v>
      </c>
      <c r="AB24" s="54" t="n">
        <v>52664.38</v>
      </c>
      <c r="AC24" s="54" t="n">
        <v>50003.09</v>
      </c>
      <c r="AD24" s="52" t="s">
        <v>336</v>
      </c>
      <c r="AE24" s="53" t="n">
        <v>0.0052</v>
      </c>
      <c r="AG24" s="55" t="n">
        <v>44835</v>
      </c>
      <c r="AH24" s="56" t="n">
        <v>8.53</v>
      </c>
      <c r="AU24" s="57"/>
      <c r="AV24" s="52"/>
      <c r="AW24" s="52"/>
      <c r="AX24" s="52"/>
      <c r="AY24" s="52"/>
      <c r="AZ24" s="52"/>
      <c r="BA24" s="53"/>
      <c r="BC24" s="57"/>
      <c r="BD24" s="54"/>
      <c r="BE24" s="54"/>
      <c r="BF24" s="54"/>
      <c r="BG24" s="54"/>
      <c r="BH24" s="52"/>
      <c r="BI24" s="53"/>
      <c r="BK24" s="57"/>
      <c r="BL24" s="52"/>
      <c r="BM24" s="52"/>
      <c r="BN24" s="52"/>
      <c r="BO24" s="52"/>
      <c r="BP24" s="52"/>
      <c r="BQ24" s="53"/>
      <c r="BS24" s="57"/>
      <c r="BT24" s="54"/>
      <c r="BU24" s="54"/>
      <c r="BV24" s="54"/>
      <c r="BW24" s="54"/>
      <c r="BX24" s="52"/>
      <c r="BY24" s="53"/>
    </row>
    <row r="25" customFormat="false" ht="13.5" hidden="false" customHeight="false" outlineLevel="0" collapsed="false">
      <c r="A25" s="51" t="n">
        <v>46089</v>
      </c>
      <c r="B25" s="52" t="n">
        <v>29.8</v>
      </c>
      <c r="C25" s="52" t="n">
        <v>29.1</v>
      </c>
      <c r="D25" s="52" t="n">
        <v>29.8</v>
      </c>
      <c r="E25" s="52" t="n">
        <v>29.1</v>
      </c>
      <c r="F25" s="52" t="s">
        <v>337</v>
      </c>
      <c r="G25" s="53" t="n">
        <v>0.0071</v>
      </c>
      <c r="I25" s="52" t="s">
        <v>338</v>
      </c>
      <c r="J25" s="54" t="n">
        <v>67307.54</v>
      </c>
      <c r="K25" s="54" t="n">
        <v>66998.96</v>
      </c>
      <c r="L25" s="54" t="n">
        <v>68457.09</v>
      </c>
      <c r="M25" s="54" t="n">
        <v>66676.41</v>
      </c>
      <c r="N25" s="52" t="s">
        <v>339</v>
      </c>
      <c r="O25" s="53" t="n">
        <v>0.0022</v>
      </c>
      <c r="Q25" s="52" t="s">
        <v>340</v>
      </c>
      <c r="R25" s="52" t="n">
        <v>22.91</v>
      </c>
      <c r="S25" s="52" t="n">
        <v>22.85</v>
      </c>
      <c r="T25" s="52" t="n">
        <v>24.4</v>
      </c>
      <c r="U25" s="52" t="n">
        <v>22.71</v>
      </c>
      <c r="V25" s="52" t="s">
        <v>341</v>
      </c>
      <c r="W25" s="53" t="n">
        <v>-0.0146</v>
      </c>
      <c r="Y25" s="52" t="s">
        <v>342</v>
      </c>
      <c r="Z25" s="54" t="n">
        <v>53322.05</v>
      </c>
      <c r="AA25" s="54" t="n">
        <v>52528.71</v>
      </c>
      <c r="AB25" s="54" t="n">
        <v>54095.65</v>
      </c>
      <c r="AC25" s="54" t="n">
        <v>51990.91</v>
      </c>
      <c r="AD25" s="52" t="s">
        <v>343</v>
      </c>
      <c r="AE25" s="53" t="n">
        <v>0.0146</v>
      </c>
      <c r="AG25" s="55" t="n">
        <v>44850</v>
      </c>
      <c r="AH25" s="56" t="n">
        <v>8.28</v>
      </c>
      <c r="AU25" s="57"/>
      <c r="AV25" s="52"/>
      <c r="AW25" s="52"/>
      <c r="AX25" s="52"/>
      <c r="AY25" s="52"/>
      <c r="AZ25" s="52"/>
      <c r="BA25" s="53"/>
      <c r="BC25" s="57"/>
      <c r="BD25" s="54"/>
      <c r="BE25" s="54"/>
      <c r="BF25" s="54"/>
      <c r="BG25" s="54"/>
      <c r="BH25" s="52"/>
      <c r="BI25" s="53"/>
      <c r="BK25" s="57"/>
      <c r="BL25" s="52"/>
      <c r="BM25" s="52"/>
      <c r="BN25" s="52"/>
      <c r="BO25" s="52"/>
      <c r="BP25" s="52"/>
      <c r="BQ25" s="53"/>
      <c r="BS25" s="57"/>
      <c r="BT25" s="54"/>
      <c r="BU25" s="54"/>
      <c r="BV25" s="54"/>
      <c r="BW25" s="54"/>
      <c r="BX25" s="52"/>
      <c r="BY25" s="53"/>
    </row>
    <row r="26" customFormat="false" ht="13.5" hidden="false" customHeight="false" outlineLevel="0" collapsed="false">
      <c r="A26" s="51" t="n">
        <v>46150</v>
      </c>
      <c r="B26" s="52" t="n">
        <v>29</v>
      </c>
      <c r="C26" s="52" t="n">
        <v>29.21</v>
      </c>
      <c r="D26" s="52" t="n">
        <v>29.21</v>
      </c>
      <c r="E26" s="52" t="n">
        <v>29</v>
      </c>
      <c r="F26" s="52" t="s">
        <v>344</v>
      </c>
      <c r="G26" s="53" t="n">
        <v>-0.0268</v>
      </c>
      <c r="I26" s="52" t="s">
        <v>345</v>
      </c>
      <c r="J26" s="54" t="n">
        <v>66479.89</v>
      </c>
      <c r="K26" s="54" t="n">
        <v>67332.48</v>
      </c>
      <c r="L26" s="54" t="n">
        <v>67432.33</v>
      </c>
      <c r="M26" s="54" t="n">
        <v>66353.78</v>
      </c>
      <c r="N26" s="52" t="s">
        <v>346</v>
      </c>
      <c r="O26" s="53" t="n">
        <v>-0.0123</v>
      </c>
      <c r="Q26" s="51" t="n">
        <v>44715</v>
      </c>
      <c r="R26" s="52" t="n">
        <v>22.7</v>
      </c>
      <c r="S26" s="52" t="n">
        <v>23.19</v>
      </c>
      <c r="T26" s="52" t="n">
        <v>23.47</v>
      </c>
      <c r="U26" s="52" t="n">
        <v>22.2</v>
      </c>
      <c r="V26" s="52" t="s">
        <v>347</v>
      </c>
      <c r="W26" s="53" t="n">
        <v>-0.0092</v>
      </c>
      <c r="Y26" s="52" t="s">
        <v>348</v>
      </c>
      <c r="Z26" s="54" t="n">
        <v>53300.7</v>
      </c>
      <c r="AA26" s="54" t="n">
        <v>53354.94</v>
      </c>
      <c r="AB26" s="54" t="n">
        <v>54019.43</v>
      </c>
      <c r="AC26" s="54" t="n">
        <v>51884.08</v>
      </c>
      <c r="AD26" s="52" t="s">
        <v>349</v>
      </c>
      <c r="AE26" s="53" t="n">
        <v>-0.0004</v>
      </c>
      <c r="AG26" s="55" t="n">
        <v>44866</v>
      </c>
      <c r="AH26" s="56" t="n">
        <v>8.14</v>
      </c>
      <c r="AU26" s="57"/>
      <c r="AV26" s="52"/>
      <c r="AW26" s="52"/>
      <c r="AX26" s="52"/>
      <c r="AY26" s="52"/>
      <c r="AZ26" s="52"/>
      <c r="BA26" s="53"/>
      <c r="BC26" s="57"/>
      <c r="BD26" s="54"/>
      <c r="BE26" s="54"/>
      <c r="BF26" s="54"/>
      <c r="BG26" s="54"/>
      <c r="BH26" s="52"/>
      <c r="BI26" s="53"/>
      <c r="BK26" s="58"/>
      <c r="BL26" s="52"/>
      <c r="BM26" s="52"/>
      <c r="BN26" s="52"/>
      <c r="BO26" s="52"/>
      <c r="BP26" s="52"/>
      <c r="BQ26" s="53"/>
      <c r="BS26" s="57"/>
      <c r="BT26" s="54"/>
      <c r="BU26" s="54"/>
      <c r="BV26" s="54"/>
      <c r="BW26" s="54"/>
      <c r="BX26" s="52"/>
      <c r="BY26" s="53"/>
    </row>
    <row r="27" customFormat="false" ht="13.5" hidden="false" customHeight="false" outlineLevel="0" collapsed="false">
      <c r="A27" s="51" t="n">
        <v>46181</v>
      </c>
      <c r="B27" s="52" t="n">
        <v>29</v>
      </c>
      <c r="C27" s="52" t="n">
        <v>29.01</v>
      </c>
      <c r="D27" s="52" t="n">
        <v>29.01</v>
      </c>
      <c r="E27" s="52" t="n">
        <v>29</v>
      </c>
      <c r="F27" s="52" t="s">
        <v>350</v>
      </c>
      <c r="G27" s="53" t="n">
        <v>0</v>
      </c>
      <c r="I27" s="52" t="s">
        <v>351</v>
      </c>
      <c r="J27" s="54" t="n">
        <v>67290.4</v>
      </c>
      <c r="K27" s="54" t="n">
        <v>66527.56</v>
      </c>
      <c r="L27" s="54" t="n">
        <v>67467.66</v>
      </c>
      <c r="M27" s="54" t="n">
        <v>66472.21</v>
      </c>
      <c r="N27" s="52" t="s">
        <v>352</v>
      </c>
      <c r="O27" s="53" t="n">
        <v>0.0122</v>
      </c>
      <c r="Q27" s="52" t="s">
        <v>353</v>
      </c>
      <c r="R27" s="52" t="n">
        <v>21.62</v>
      </c>
      <c r="S27" s="52" t="n">
        <v>23.07</v>
      </c>
      <c r="T27" s="52" t="n">
        <v>23.07</v>
      </c>
      <c r="U27" s="52" t="n">
        <v>21</v>
      </c>
      <c r="V27" s="52" t="s">
        <v>354</v>
      </c>
      <c r="W27" s="53" t="n">
        <v>-0.0476</v>
      </c>
      <c r="Y27" s="52" t="s">
        <v>355</v>
      </c>
      <c r="Z27" s="54" t="n">
        <v>55467.06</v>
      </c>
      <c r="AA27" s="54" t="n">
        <v>53300.7</v>
      </c>
      <c r="AB27" s="54" t="n">
        <v>55788.87</v>
      </c>
      <c r="AC27" s="54" t="n">
        <v>52427.58</v>
      </c>
      <c r="AD27" s="52" t="s">
        <v>356</v>
      </c>
      <c r="AE27" s="53" t="n">
        <v>0.0406</v>
      </c>
      <c r="AG27" s="55" t="n">
        <v>44881</v>
      </c>
      <c r="AH27" s="56" t="n">
        <v>7.46</v>
      </c>
      <c r="AU27" s="58"/>
      <c r="AV27" s="52"/>
      <c r="AW27" s="52"/>
      <c r="AX27" s="52"/>
      <c r="AY27" s="52"/>
      <c r="AZ27" s="52"/>
      <c r="BA27" s="53"/>
      <c r="BC27" s="57"/>
      <c r="BD27" s="54"/>
      <c r="BE27" s="54"/>
      <c r="BF27" s="54"/>
      <c r="BG27" s="54"/>
      <c r="BH27" s="52"/>
      <c r="BI27" s="53"/>
      <c r="BK27" s="58"/>
      <c r="BL27" s="52"/>
      <c r="BM27" s="52"/>
      <c r="BN27" s="52"/>
      <c r="BO27" s="52"/>
      <c r="BP27" s="52"/>
      <c r="BQ27" s="53"/>
      <c r="BS27" s="57"/>
      <c r="BT27" s="54"/>
      <c r="BU27" s="54"/>
      <c r="BV27" s="54"/>
      <c r="BW27" s="54"/>
      <c r="BX27" s="52"/>
      <c r="BY27" s="53"/>
    </row>
    <row r="28" customFormat="false" ht="13.5" hidden="false" customHeight="false" outlineLevel="0" collapsed="false">
      <c r="A28" s="51" t="n">
        <v>46211</v>
      </c>
      <c r="B28" s="52" t="n">
        <v>29.47</v>
      </c>
      <c r="C28" s="52" t="n">
        <v>29.45</v>
      </c>
      <c r="D28" s="52" t="n">
        <v>29.47</v>
      </c>
      <c r="E28" s="52" t="n">
        <v>29.45</v>
      </c>
      <c r="F28" s="52" t="s">
        <v>357</v>
      </c>
      <c r="G28" s="53" t="n">
        <v>0.0162</v>
      </c>
      <c r="I28" s="52" t="s">
        <v>358</v>
      </c>
      <c r="J28" s="54" t="n">
        <v>66936.99</v>
      </c>
      <c r="K28" s="54" t="n">
        <v>67302.17</v>
      </c>
      <c r="L28" s="54" t="n">
        <v>67613.02</v>
      </c>
      <c r="M28" s="54" t="n">
        <v>66832.91</v>
      </c>
      <c r="N28" s="52" t="s">
        <v>359</v>
      </c>
      <c r="O28" s="53" t="n">
        <v>-0.0053</v>
      </c>
      <c r="Q28" s="52" t="s">
        <v>360</v>
      </c>
      <c r="R28" s="52" t="n">
        <v>22.13</v>
      </c>
      <c r="S28" s="52" t="n">
        <v>21.63</v>
      </c>
      <c r="T28" s="52" t="n">
        <v>22.7</v>
      </c>
      <c r="U28" s="52" t="n">
        <v>21.41</v>
      </c>
      <c r="V28" s="52" t="s">
        <v>361</v>
      </c>
      <c r="W28" s="53" t="n">
        <v>0.0236</v>
      </c>
      <c r="Y28" s="52" t="s">
        <v>362</v>
      </c>
      <c r="Z28" s="54" t="n">
        <v>55436.05</v>
      </c>
      <c r="AA28" s="54" t="n">
        <v>55468.11</v>
      </c>
      <c r="AB28" s="54" t="n">
        <v>55907.49</v>
      </c>
      <c r="AC28" s="54" t="n">
        <v>54990.07</v>
      </c>
      <c r="AD28" s="52" t="s">
        <v>363</v>
      </c>
      <c r="AE28" s="53" t="n">
        <v>-0.0006</v>
      </c>
      <c r="AG28" s="55" t="n">
        <v>44896</v>
      </c>
      <c r="AH28" s="56" t="n">
        <v>7.77</v>
      </c>
      <c r="AU28" s="57"/>
      <c r="AV28" s="52"/>
      <c r="AW28" s="52"/>
      <c r="AX28" s="52"/>
      <c r="AY28" s="52"/>
      <c r="AZ28" s="52"/>
      <c r="BA28" s="53"/>
      <c r="BC28" s="57"/>
      <c r="BD28" s="54"/>
      <c r="BE28" s="54"/>
      <c r="BF28" s="54"/>
      <c r="BG28" s="54"/>
      <c r="BH28" s="52"/>
      <c r="BI28" s="53"/>
      <c r="BK28" s="58"/>
      <c r="BL28" s="52"/>
      <c r="BM28" s="52"/>
      <c r="BN28" s="52"/>
      <c r="BO28" s="52"/>
      <c r="BP28" s="52"/>
      <c r="BQ28" s="53"/>
      <c r="BS28" s="57"/>
      <c r="BT28" s="54"/>
      <c r="BU28" s="54"/>
      <c r="BV28" s="54"/>
      <c r="BW28" s="54"/>
      <c r="BX28" s="52"/>
      <c r="BY28" s="53"/>
    </row>
    <row r="29" customFormat="false" ht="13.5" hidden="false" customHeight="false" outlineLevel="0" collapsed="false">
      <c r="A29" s="51" t="n">
        <v>46303</v>
      </c>
      <c r="B29" s="52" t="n">
        <v>29.36</v>
      </c>
      <c r="C29" s="52" t="n">
        <v>29</v>
      </c>
      <c r="D29" s="52" t="n">
        <v>29.45</v>
      </c>
      <c r="E29" s="52" t="n">
        <v>29</v>
      </c>
      <c r="F29" s="52" t="s">
        <v>364</v>
      </c>
      <c r="G29" s="53" t="n">
        <v>-0.0037</v>
      </c>
      <c r="I29" s="52" t="s">
        <v>365</v>
      </c>
      <c r="J29" s="54" t="n">
        <v>66697.22</v>
      </c>
      <c r="K29" s="54" t="n">
        <v>66933.91</v>
      </c>
      <c r="L29" s="54" t="n">
        <v>67087.56</v>
      </c>
      <c r="M29" s="54" t="n">
        <v>66429.74</v>
      </c>
      <c r="N29" s="52" t="s">
        <v>366</v>
      </c>
      <c r="O29" s="53" t="n">
        <v>-0.0036</v>
      </c>
      <c r="Q29" s="52" t="s">
        <v>367</v>
      </c>
      <c r="R29" s="52" t="n">
        <v>22.31</v>
      </c>
      <c r="S29" s="52" t="n">
        <v>22.15</v>
      </c>
      <c r="T29" s="52" t="n">
        <v>22.5</v>
      </c>
      <c r="U29" s="52" t="n">
        <v>21.83</v>
      </c>
      <c r="V29" s="52" t="s">
        <v>368</v>
      </c>
      <c r="W29" s="53" t="n">
        <v>0.0081</v>
      </c>
      <c r="Y29" s="52" t="s">
        <v>369</v>
      </c>
      <c r="Z29" s="54" t="n">
        <v>56609.54</v>
      </c>
      <c r="AA29" s="54" t="n">
        <v>55436.45</v>
      </c>
      <c r="AB29" s="54" t="n">
        <v>57064.16</v>
      </c>
      <c r="AC29" s="54" t="n">
        <v>55335.86</v>
      </c>
      <c r="AD29" s="52" t="s">
        <v>370</v>
      </c>
      <c r="AE29" s="53" t="n">
        <v>0.0212</v>
      </c>
      <c r="AG29" s="55" t="n">
        <v>44911</v>
      </c>
      <c r="AH29" s="56" t="n">
        <v>7.86</v>
      </c>
      <c r="AU29" s="57"/>
      <c r="AV29" s="52"/>
      <c r="AW29" s="52"/>
      <c r="AX29" s="52"/>
      <c r="AY29" s="52"/>
      <c r="AZ29" s="52"/>
      <c r="BA29" s="53"/>
      <c r="BC29" s="57"/>
      <c r="BD29" s="54"/>
      <c r="BE29" s="54"/>
      <c r="BF29" s="54"/>
      <c r="BG29" s="54"/>
      <c r="BH29" s="52"/>
      <c r="BI29" s="53"/>
      <c r="BK29" s="58"/>
      <c r="BL29" s="52"/>
      <c r="BM29" s="52"/>
      <c r="BN29" s="52"/>
      <c r="BO29" s="52"/>
      <c r="BP29" s="52"/>
      <c r="BQ29" s="53"/>
      <c r="BS29" s="57"/>
      <c r="BT29" s="54"/>
      <c r="BU29" s="54"/>
      <c r="BV29" s="54"/>
      <c r="BW29" s="54"/>
      <c r="BX29" s="52"/>
      <c r="BY29" s="53"/>
    </row>
    <row r="30" customFormat="false" ht="13.5" hidden="false" customHeight="false" outlineLevel="0" collapsed="false">
      <c r="A30" s="51" t="n">
        <v>46334</v>
      </c>
      <c r="B30" s="52" t="n">
        <v>28.75</v>
      </c>
      <c r="C30" s="52" t="n">
        <v>29</v>
      </c>
      <c r="D30" s="52" t="n">
        <v>29</v>
      </c>
      <c r="E30" s="52" t="n">
        <v>28.71</v>
      </c>
      <c r="F30" s="52" t="s">
        <v>371</v>
      </c>
      <c r="G30" s="53" t="n">
        <v>-0.0208</v>
      </c>
      <c r="I30" s="52" t="s">
        <v>372</v>
      </c>
      <c r="J30" s="54" t="n">
        <v>66833.16</v>
      </c>
      <c r="K30" s="54" t="n">
        <v>66814.85</v>
      </c>
      <c r="L30" s="54" t="n">
        <v>67668.58</v>
      </c>
      <c r="M30" s="54" t="n">
        <v>66622.25</v>
      </c>
      <c r="N30" s="52" t="s">
        <v>373</v>
      </c>
      <c r="O30" s="53" t="n">
        <v>0.002</v>
      </c>
      <c r="Q30" s="51" t="n">
        <v>44624</v>
      </c>
      <c r="R30" s="52" t="n">
        <v>21.58</v>
      </c>
      <c r="S30" s="52" t="n">
        <v>22.07</v>
      </c>
      <c r="T30" s="52" t="n">
        <v>22.3</v>
      </c>
      <c r="U30" s="52" t="n">
        <v>21.2</v>
      </c>
      <c r="V30" s="52" t="s">
        <v>374</v>
      </c>
      <c r="W30" s="53" t="n">
        <v>-0.0327</v>
      </c>
      <c r="Y30" s="52" t="s">
        <v>375</v>
      </c>
      <c r="Z30" s="54" t="n">
        <v>54687.25</v>
      </c>
      <c r="AA30" s="54" t="n">
        <v>56610.03</v>
      </c>
      <c r="AB30" s="54" t="n">
        <v>56783.68</v>
      </c>
      <c r="AC30" s="54" t="n">
        <v>54591.73</v>
      </c>
      <c r="AD30" s="52" t="s">
        <v>376</v>
      </c>
      <c r="AE30" s="53" t="n">
        <v>-0.034</v>
      </c>
      <c r="AG30" s="55" t="n">
        <v>44927</v>
      </c>
      <c r="AH30" s="56" t="n">
        <v>7.94</v>
      </c>
      <c r="AU30" s="57"/>
      <c r="AV30" s="52"/>
      <c r="AW30" s="52"/>
      <c r="AX30" s="52"/>
      <c r="AY30" s="52"/>
      <c r="AZ30" s="52"/>
      <c r="BA30" s="53"/>
      <c r="BC30" s="57"/>
      <c r="BD30" s="54"/>
      <c r="BE30" s="54"/>
      <c r="BF30" s="54"/>
      <c r="BG30" s="54"/>
      <c r="BH30" s="52"/>
      <c r="BI30" s="53"/>
      <c r="BK30" s="58"/>
      <c r="BL30" s="52"/>
      <c r="BM30" s="52"/>
      <c r="BN30" s="52"/>
      <c r="BO30" s="52"/>
      <c r="BP30" s="52"/>
      <c r="BQ30" s="53"/>
      <c r="BS30" s="57"/>
      <c r="BT30" s="54"/>
      <c r="BU30" s="54"/>
      <c r="BV30" s="54"/>
      <c r="BW30" s="54"/>
      <c r="BX30" s="52"/>
      <c r="BY30" s="53"/>
    </row>
    <row r="31" customFormat="false" ht="13.5" hidden="false" customHeight="false" outlineLevel="0" collapsed="false">
      <c r="A31" s="51" t="n">
        <v>46364</v>
      </c>
      <c r="B31" s="52" t="n">
        <v>28.75</v>
      </c>
      <c r="C31" s="52" t="n">
        <v>28.75</v>
      </c>
      <c r="D31" s="52" t="n">
        <v>28.75</v>
      </c>
      <c r="E31" s="52" t="n">
        <v>28.75</v>
      </c>
      <c r="F31" s="52" t="s">
        <v>377</v>
      </c>
      <c r="G31" s="53" t="n">
        <v>0</v>
      </c>
      <c r="I31" s="52" t="s">
        <v>378</v>
      </c>
      <c r="J31" s="54" t="n">
        <v>66525.18</v>
      </c>
      <c r="K31" s="54" t="n">
        <v>66833.38</v>
      </c>
      <c r="L31" s="54" t="n">
        <v>67168.39</v>
      </c>
      <c r="M31" s="54" t="n">
        <v>66432.18</v>
      </c>
      <c r="N31" s="52" t="s">
        <v>379</v>
      </c>
      <c r="O31" s="53" t="n">
        <v>-0.0046</v>
      </c>
      <c r="Q31" s="51" t="n">
        <v>44838</v>
      </c>
      <c r="R31" s="52" t="n">
        <v>21.68</v>
      </c>
      <c r="S31" s="52" t="n">
        <v>21.56</v>
      </c>
      <c r="T31" s="52" t="n">
        <v>21.9</v>
      </c>
      <c r="U31" s="52" t="n">
        <v>21.19</v>
      </c>
      <c r="V31" s="52" t="s">
        <v>380</v>
      </c>
      <c r="W31" s="53" t="n">
        <v>0.0046</v>
      </c>
      <c r="Y31" s="52" t="s">
        <v>381</v>
      </c>
      <c r="Z31" s="54" t="n">
        <v>54172.62</v>
      </c>
      <c r="AA31" s="54" t="n">
        <v>54678.05</v>
      </c>
      <c r="AB31" s="54" t="n">
        <v>54809.11</v>
      </c>
      <c r="AC31" s="54" t="n">
        <v>53697.42</v>
      </c>
      <c r="AD31" s="52" t="s">
        <v>382</v>
      </c>
      <c r="AE31" s="53" t="n">
        <v>-0.0094</v>
      </c>
      <c r="AG31" s="55" t="n">
        <v>44942</v>
      </c>
      <c r="AH31" s="56" t="n">
        <v>7.88</v>
      </c>
      <c r="AU31" s="58"/>
      <c r="AV31" s="52"/>
      <c r="AW31" s="52"/>
      <c r="AX31" s="52"/>
      <c r="AY31" s="52"/>
      <c r="AZ31" s="52"/>
      <c r="BA31" s="53"/>
      <c r="BC31" s="57"/>
      <c r="BD31" s="54"/>
      <c r="BE31" s="54"/>
      <c r="BF31" s="54"/>
      <c r="BG31" s="54"/>
      <c r="BH31" s="52"/>
      <c r="BI31" s="53"/>
      <c r="BK31" s="58"/>
      <c r="BL31" s="52"/>
      <c r="BM31" s="52"/>
      <c r="BN31" s="52"/>
      <c r="BO31" s="52"/>
      <c r="BP31" s="52"/>
      <c r="BQ31" s="53"/>
      <c r="BS31" s="57"/>
      <c r="BT31" s="54"/>
      <c r="BU31" s="54"/>
      <c r="BV31" s="54"/>
      <c r="BW31" s="54"/>
      <c r="BX31" s="52"/>
      <c r="BY31" s="53"/>
    </row>
    <row r="32" customFormat="false" ht="13.5" hidden="false" customHeight="false" outlineLevel="0" collapsed="false">
      <c r="A32" s="52" t="s">
        <v>383</v>
      </c>
      <c r="B32" s="52" t="n">
        <v>27.95</v>
      </c>
      <c r="C32" s="52" t="n">
        <v>28.75</v>
      </c>
      <c r="D32" s="52" t="n">
        <v>28.75</v>
      </c>
      <c r="E32" s="52" t="n">
        <v>27.61</v>
      </c>
      <c r="F32" s="52" t="s">
        <v>384</v>
      </c>
      <c r="G32" s="53" t="n">
        <v>-0.0278</v>
      </c>
      <c r="I32" s="52" t="s">
        <v>385</v>
      </c>
      <c r="J32" s="54" t="n">
        <v>66396.15</v>
      </c>
      <c r="K32" s="54" t="n">
        <v>66432.36</v>
      </c>
      <c r="L32" s="54" t="n">
        <v>67247.56</v>
      </c>
      <c r="M32" s="54" t="n">
        <v>66336.76</v>
      </c>
      <c r="N32" s="52" t="s">
        <v>386</v>
      </c>
      <c r="O32" s="53" t="n">
        <v>-0.0019</v>
      </c>
      <c r="Q32" s="52" t="s">
        <v>387</v>
      </c>
      <c r="R32" s="52" t="n">
        <v>21.01</v>
      </c>
      <c r="S32" s="52" t="n">
        <v>21.72</v>
      </c>
      <c r="T32" s="52" t="n">
        <v>21.74</v>
      </c>
      <c r="U32" s="52" t="n">
        <v>21</v>
      </c>
      <c r="V32" s="52" t="s">
        <v>388</v>
      </c>
      <c r="W32" s="53" t="n">
        <v>-0.0309</v>
      </c>
      <c r="Y32" s="52" t="s">
        <v>389</v>
      </c>
      <c r="Z32" s="54" t="n">
        <v>53191.78</v>
      </c>
      <c r="AA32" s="54" t="n">
        <v>54172.62</v>
      </c>
      <c r="AB32" s="54" t="n">
        <v>54718.34</v>
      </c>
      <c r="AC32" s="54" t="n">
        <v>53027.2</v>
      </c>
      <c r="AD32" s="52" t="s">
        <v>390</v>
      </c>
      <c r="AE32" s="53" t="n">
        <v>-0.0181</v>
      </c>
      <c r="AG32" s="55" t="n">
        <v>44958</v>
      </c>
      <c r="AH32" s="56" t="n">
        <v>7.76</v>
      </c>
      <c r="AU32" s="58"/>
      <c r="AV32" s="52"/>
      <c r="AW32" s="52"/>
      <c r="AX32" s="52"/>
      <c r="AY32" s="52"/>
      <c r="AZ32" s="52"/>
      <c r="BA32" s="53"/>
      <c r="BC32" s="57"/>
      <c r="BD32" s="54"/>
      <c r="BE32" s="54"/>
      <c r="BF32" s="54"/>
      <c r="BG32" s="54"/>
      <c r="BH32" s="52"/>
      <c r="BI32" s="53"/>
      <c r="BK32" s="58"/>
      <c r="BL32" s="52"/>
      <c r="BM32" s="52"/>
      <c r="BN32" s="52"/>
      <c r="BO32" s="52"/>
      <c r="BP32" s="52"/>
      <c r="BQ32" s="53"/>
      <c r="BS32" s="57"/>
      <c r="BT32" s="54"/>
      <c r="BU32" s="54"/>
      <c r="BV32" s="54"/>
      <c r="BW32" s="54"/>
      <c r="BX32" s="52"/>
      <c r="BY32" s="53"/>
    </row>
    <row r="33" customFormat="false" ht="13.5" hidden="false" customHeight="false" outlineLevel="0" collapsed="false">
      <c r="A33" s="52" t="s">
        <v>391</v>
      </c>
      <c r="B33" s="52" t="n">
        <v>27.5</v>
      </c>
      <c r="C33" s="52" t="n">
        <v>27.01</v>
      </c>
      <c r="D33" s="52" t="n">
        <v>27.93</v>
      </c>
      <c r="E33" s="52" t="n">
        <v>27.01</v>
      </c>
      <c r="F33" s="52" t="s">
        <v>392</v>
      </c>
      <c r="G33" s="53" t="n">
        <v>-0.0161</v>
      </c>
      <c r="I33" s="52" t="s">
        <v>393</v>
      </c>
      <c r="J33" s="54" t="n">
        <v>66938.64</v>
      </c>
      <c r="K33" s="54" t="n">
        <v>66394.89</v>
      </c>
      <c r="L33" s="54" t="n">
        <v>67185.88</v>
      </c>
      <c r="M33" s="54" t="n">
        <v>66394.89</v>
      </c>
      <c r="N33" s="52" t="s">
        <v>394</v>
      </c>
      <c r="O33" s="53" t="n">
        <v>0.0082</v>
      </c>
      <c r="Q33" s="52" t="s">
        <v>395</v>
      </c>
      <c r="R33" s="52" t="n">
        <v>23.56</v>
      </c>
      <c r="S33" s="52" t="n">
        <v>21.01</v>
      </c>
      <c r="T33" s="52" t="n">
        <v>23.75</v>
      </c>
      <c r="U33" s="52" t="n">
        <v>21.01</v>
      </c>
      <c r="V33" s="52" t="s">
        <v>396</v>
      </c>
      <c r="W33" s="53" t="n">
        <v>0.1214</v>
      </c>
      <c r="Y33" s="52" t="s">
        <v>397</v>
      </c>
      <c r="Z33" s="54" t="n">
        <v>51417.97</v>
      </c>
      <c r="AA33" s="54" t="n">
        <v>53183.12</v>
      </c>
      <c r="AB33" s="54" t="n">
        <v>53183.12</v>
      </c>
      <c r="AC33" s="54" t="n">
        <v>51315.04</v>
      </c>
      <c r="AD33" s="52" t="s">
        <v>398</v>
      </c>
      <c r="AE33" s="53" t="n">
        <v>-0.0333</v>
      </c>
      <c r="AG33" s="55" t="n">
        <v>44973</v>
      </c>
      <c r="AH33" s="56" t="n">
        <v>7.48</v>
      </c>
      <c r="AU33" s="57"/>
      <c r="AV33" s="52"/>
      <c r="AW33" s="52"/>
      <c r="AX33" s="52"/>
      <c r="AY33" s="52"/>
      <c r="AZ33" s="52"/>
      <c r="BA33" s="53"/>
      <c r="BC33" s="57"/>
      <c r="BD33" s="54"/>
      <c r="BE33" s="54"/>
      <c r="BF33" s="54"/>
      <c r="BG33" s="54"/>
      <c r="BH33" s="52"/>
      <c r="BI33" s="53"/>
      <c r="BK33" s="57"/>
      <c r="BL33" s="52"/>
      <c r="BM33" s="52"/>
      <c r="BN33" s="52"/>
      <c r="BO33" s="52"/>
      <c r="BP33" s="52"/>
      <c r="BQ33" s="53"/>
      <c r="BS33" s="57"/>
      <c r="BT33" s="54"/>
      <c r="BU33" s="54"/>
      <c r="BV33" s="54"/>
      <c r="BW33" s="54"/>
      <c r="BX33" s="52"/>
      <c r="BY33" s="53"/>
    </row>
    <row r="34" customFormat="false" ht="13.5" hidden="false" customHeight="false" outlineLevel="0" collapsed="false">
      <c r="A34" s="52" t="s">
        <v>399</v>
      </c>
      <c r="B34" s="52" t="n">
        <v>27.5</v>
      </c>
      <c r="C34" s="52" t="n">
        <v>27.5</v>
      </c>
      <c r="D34" s="52" t="n">
        <v>27.5</v>
      </c>
      <c r="E34" s="52" t="n">
        <v>27.5</v>
      </c>
      <c r="F34" s="52" t="s">
        <v>400</v>
      </c>
      <c r="G34" s="53" t="n">
        <v>0</v>
      </c>
      <c r="I34" s="52" t="s">
        <v>401</v>
      </c>
      <c r="J34" s="54" t="n">
        <v>66438.58</v>
      </c>
      <c r="K34" s="54" t="n">
        <v>66933.01</v>
      </c>
      <c r="L34" s="54" t="n">
        <v>66955.02</v>
      </c>
      <c r="M34" s="54" t="n">
        <v>66247</v>
      </c>
      <c r="N34" s="52" t="s">
        <v>402</v>
      </c>
      <c r="O34" s="53" t="n">
        <v>-0.0075</v>
      </c>
      <c r="Q34" s="51" t="n">
        <v>44566</v>
      </c>
      <c r="R34" s="52" t="n">
        <v>22.07</v>
      </c>
      <c r="S34" s="52" t="n">
        <v>23.68</v>
      </c>
      <c r="T34" s="52" t="n">
        <v>23.68</v>
      </c>
      <c r="U34" s="52" t="n">
        <v>21.45</v>
      </c>
      <c r="V34" s="52" t="s">
        <v>403</v>
      </c>
      <c r="W34" s="53" t="n">
        <v>-0.0632</v>
      </c>
      <c r="Y34" s="52" t="s">
        <v>404</v>
      </c>
      <c r="Z34" s="54" t="n">
        <v>49541.81</v>
      </c>
      <c r="AA34" s="54" t="n">
        <v>51426.27</v>
      </c>
      <c r="AB34" s="54" t="n">
        <v>51922.71</v>
      </c>
      <c r="AC34" s="54" t="n">
        <v>49451.28</v>
      </c>
      <c r="AD34" s="52" t="s">
        <v>405</v>
      </c>
      <c r="AE34" s="53" t="n">
        <v>-0.0365</v>
      </c>
      <c r="AG34" s="55" t="n">
        <v>44986</v>
      </c>
      <c r="AH34" s="56" t="n">
        <v>7.12</v>
      </c>
      <c r="AU34" s="57"/>
      <c r="AV34" s="52"/>
      <c r="AW34" s="52"/>
      <c r="AX34" s="52"/>
      <c r="AY34" s="52"/>
      <c r="AZ34" s="52"/>
      <c r="BA34" s="53"/>
      <c r="BC34" s="57"/>
      <c r="BD34" s="54"/>
      <c r="BE34" s="54"/>
      <c r="BF34" s="54"/>
      <c r="BG34" s="54"/>
      <c r="BH34" s="52"/>
      <c r="BI34" s="53"/>
      <c r="BK34" s="57"/>
      <c r="BL34" s="52"/>
      <c r="BM34" s="52"/>
      <c r="BN34" s="52"/>
      <c r="BO34" s="52"/>
      <c r="BP34" s="52"/>
      <c r="BQ34" s="53"/>
      <c r="BS34" s="57"/>
      <c r="BT34" s="54"/>
      <c r="BU34" s="54"/>
      <c r="BV34" s="54"/>
      <c r="BW34" s="54"/>
      <c r="BX34" s="52"/>
      <c r="BY34" s="53"/>
    </row>
    <row r="35" customFormat="false" ht="13.5" hidden="false" customHeight="false" outlineLevel="0" collapsed="false">
      <c r="A35" s="52" t="s">
        <v>406</v>
      </c>
      <c r="B35" s="52" t="n">
        <v>27.5</v>
      </c>
      <c r="C35" s="52" t="n">
        <v>27.5</v>
      </c>
      <c r="D35" s="52" t="n">
        <v>27.5</v>
      </c>
      <c r="E35" s="52" t="n">
        <v>27.5</v>
      </c>
      <c r="F35" s="52" t="s">
        <v>407</v>
      </c>
      <c r="G35" s="53" t="n">
        <v>0</v>
      </c>
      <c r="I35" s="52" t="s">
        <v>408</v>
      </c>
      <c r="J35" s="54" t="n">
        <v>65564.76</v>
      </c>
      <c r="K35" s="54" t="n">
        <v>66398.29</v>
      </c>
      <c r="L35" s="54" t="n">
        <v>66459.17</v>
      </c>
      <c r="M35" s="54" t="n">
        <v>65509.9</v>
      </c>
      <c r="N35" s="52" t="s">
        <v>409</v>
      </c>
      <c r="O35" s="53" t="n">
        <v>-0.0132</v>
      </c>
      <c r="Q35" s="51" t="n">
        <v>44778</v>
      </c>
      <c r="R35" s="52" t="n">
        <v>22</v>
      </c>
      <c r="S35" s="52" t="n">
        <v>21.52</v>
      </c>
      <c r="T35" s="52" t="n">
        <v>22.03</v>
      </c>
      <c r="U35" s="52" t="n">
        <v>20.97</v>
      </c>
      <c r="V35" s="52" t="s">
        <v>410</v>
      </c>
      <c r="W35" s="53" t="n">
        <v>-0.0032</v>
      </c>
      <c r="Y35" s="52" t="s">
        <v>411</v>
      </c>
      <c r="Z35" s="54" t="n">
        <v>49579.9</v>
      </c>
      <c r="AA35" s="54" t="n">
        <v>49419.02</v>
      </c>
      <c r="AB35" s="54" t="n">
        <v>49732.05</v>
      </c>
      <c r="AC35" s="54" t="n">
        <v>48669.21</v>
      </c>
      <c r="AD35" s="52" t="s">
        <v>412</v>
      </c>
      <c r="AE35" s="53" t="n">
        <v>0.0008</v>
      </c>
      <c r="AG35" s="55" t="n">
        <v>45001</v>
      </c>
      <c r="AH35" s="56" t="n">
        <v>6.58</v>
      </c>
      <c r="AU35" s="58"/>
      <c r="AV35" s="52"/>
      <c r="AW35" s="52"/>
      <c r="AX35" s="52"/>
      <c r="AY35" s="52"/>
      <c r="AZ35" s="52"/>
      <c r="BA35" s="53"/>
      <c r="BC35" s="57"/>
      <c r="BD35" s="54"/>
      <c r="BE35" s="54"/>
      <c r="BF35" s="54"/>
      <c r="BG35" s="54"/>
      <c r="BH35" s="52"/>
      <c r="BI35" s="53"/>
      <c r="BK35" s="57"/>
      <c r="BL35" s="52"/>
      <c r="BM35" s="52"/>
      <c r="BN35" s="52"/>
      <c r="BO35" s="52"/>
      <c r="BP35" s="52"/>
      <c r="BQ35" s="53"/>
      <c r="BS35" s="57"/>
      <c r="BT35" s="54"/>
      <c r="BU35" s="54"/>
      <c r="BV35" s="54"/>
      <c r="BW35" s="54"/>
      <c r="BX35" s="52"/>
      <c r="BY35" s="53"/>
    </row>
    <row r="36" customFormat="false" ht="13.5" hidden="false" customHeight="false" outlineLevel="0" collapsed="false">
      <c r="A36" s="52" t="s">
        <v>413</v>
      </c>
      <c r="B36" s="52" t="n">
        <v>27.49</v>
      </c>
      <c r="C36" s="52" t="n">
        <v>27.99</v>
      </c>
      <c r="D36" s="52" t="n">
        <v>27.99</v>
      </c>
      <c r="E36" s="52" t="n">
        <v>27.49</v>
      </c>
      <c r="F36" s="52" t="s">
        <v>414</v>
      </c>
      <c r="G36" s="53" t="n">
        <v>-0.0004</v>
      </c>
      <c r="I36" s="52" t="s">
        <v>415</v>
      </c>
      <c r="J36" s="54" t="n">
        <v>65755.97</v>
      </c>
      <c r="K36" s="54" t="n">
        <v>65746.89</v>
      </c>
      <c r="L36" s="54" t="n">
        <v>66120.72</v>
      </c>
      <c r="M36" s="54" t="n">
        <v>65404.51</v>
      </c>
      <c r="N36" s="52" t="s">
        <v>416</v>
      </c>
      <c r="O36" s="53" t="n">
        <v>0.0029</v>
      </c>
      <c r="Q36" s="52" t="s">
        <v>417</v>
      </c>
      <c r="R36" s="52" t="n">
        <v>21.35</v>
      </c>
      <c r="S36" s="52" t="n">
        <v>21.5</v>
      </c>
      <c r="T36" s="52" t="n">
        <v>22.5</v>
      </c>
      <c r="U36" s="52" t="n">
        <v>21.04</v>
      </c>
      <c r="V36" s="52" t="s">
        <v>418</v>
      </c>
      <c r="W36" s="53" t="n">
        <v>-0.0295</v>
      </c>
      <c r="Y36" s="52" t="s">
        <v>419</v>
      </c>
      <c r="Z36" s="54" t="n">
        <v>51518.3</v>
      </c>
      <c r="AA36" s="54" t="n">
        <v>49604.95</v>
      </c>
      <c r="AB36" s="54" t="n">
        <v>51868.44</v>
      </c>
      <c r="AC36" s="54" t="n">
        <v>49472.51</v>
      </c>
      <c r="AD36" s="52" t="s">
        <v>420</v>
      </c>
      <c r="AE36" s="53" t="n">
        <v>0.0391</v>
      </c>
      <c r="AG36" s="55" t="n">
        <v>45017</v>
      </c>
      <c r="AH36" s="56" t="n">
        <v>6.24</v>
      </c>
      <c r="AU36" s="58"/>
      <c r="AV36" s="52"/>
      <c r="AW36" s="52"/>
      <c r="AX36" s="52"/>
      <c r="AY36" s="52"/>
      <c r="AZ36" s="52"/>
      <c r="BA36" s="53"/>
      <c r="BC36" s="57"/>
      <c r="BD36" s="54"/>
      <c r="BE36" s="54"/>
      <c r="BF36" s="54"/>
      <c r="BG36" s="54"/>
      <c r="BH36" s="52"/>
      <c r="BI36" s="53"/>
      <c r="BK36" s="57"/>
      <c r="BL36" s="52"/>
      <c r="BM36" s="52"/>
      <c r="BN36" s="52"/>
      <c r="BO36" s="52"/>
      <c r="BP36" s="52"/>
      <c r="BQ36" s="53"/>
      <c r="BS36" s="57"/>
      <c r="BT36" s="54"/>
      <c r="BU36" s="54"/>
      <c r="BV36" s="54"/>
      <c r="BW36" s="54"/>
      <c r="BX36" s="52"/>
      <c r="BY36" s="53"/>
    </row>
    <row r="37" customFormat="false" ht="13.5" hidden="false" customHeight="false" outlineLevel="0" collapsed="false">
      <c r="A37" s="52" t="s">
        <v>421</v>
      </c>
      <c r="B37" s="52" t="n">
        <v>27.49</v>
      </c>
      <c r="C37" s="52" t="n">
        <v>27.49</v>
      </c>
      <c r="D37" s="52" t="n">
        <v>27.49</v>
      </c>
      <c r="E37" s="52" t="n">
        <v>27.49</v>
      </c>
      <c r="F37" s="52" t="s">
        <v>422</v>
      </c>
      <c r="G37" s="53" t="n">
        <v>0</v>
      </c>
      <c r="I37" s="52" t="s">
        <v>423</v>
      </c>
      <c r="J37" s="54" t="n">
        <v>64826.39</v>
      </c>
      <c r="K37" s="54" t="n">
        <v>65890.72</v>
      </c>
      <c r="L37" s="54" t="n">
        <v>65890.72</v>
      </c>
      <c r="M37" s="54" t="n">
        <v>64750.07</v>
      </c>
      <c r="N37" s="52" t="s">
        <v>424</v>
      </c>
      <c r="O37" s="53" t="n">
        <v>-0.0141</v>
      </c>
      <c r="Q37" s="52" t="s">
        <v>425</v>
      </c>
      <c r="R37" s="52" t="n">
        <v>21.34</v>
      </c>
      <c r="S37" s="52" t="n">
        <v>21.35</v>
      </c>
      <c r="T37" s="52" t="n">
        <v>22.12</v>
      </c>
      <c r="U37" s="52" t="n">
        <v>21.2</v>
      </c>
      <c r="V37" s="52" t="s">
        <v>426</v>
      </c>
      <c r="W37" s="53" t="n">
        <v>-0.0005</v>
      </c>
      <c r="Y37" s="52" t="s">
        <v>427</v>
      </c>
      <c r="Z37" s="54" t="n">
        <v>52463.55</v>
      </c>
      <c r="AA37" s="54" t="n">
        <v>51621.72</v>
      </c>
      <c r="AB37" s="54" t="n">
        <v>52617.31</v>
      </c>
      <c r="AC37" s="54" t="n">
        <v>50866.15</v>
      </c>
      <c r="AD37" s="52" t="s">
        <v>428</v>
      </c>
      <c r="AE37" s="53" t="n">
        <v>0.0183</v>
      </c>
      <c r="AG37" s="55" t="n">
        <v>45032</v>
      </c>
      <c r="AH37" s="56" t="n">
        <v>6.27</v>
      </c>
      <c r="AU37" s="57"/>
      <c r="AV37" s="52"/>
      <c r="AW37" s="52"/>
      <c r="AX37" s="52"/>
      <c r="AY37" s="52"/>
      <c r="AZ37" s="52"/>
      <c r="BA37" s="53"/>
      <c r="BC37" s="57"/>
      <c r="BD37" s="54"/>
      <c r="BE37" s="54"/>
      <c r="BF37" s="54"/>
      <c r="BG37" s="54"/>
      <c r="BH37" s="52"/>
      <c r="BI37" s="53"/>
      <c r="BK37" s="57"/>
      <c r="BL37" s="52"/>
      <c r="BM37" s="52"/>
      <c r="BN37" s="52"/>
      <c r="BO37" s="52"/>
      <c r="BP37" s="52"/>
      <c r="BQ37" s="53"/>
      <c r="BS37" s="57"/>
      <c r="BT37" s="54"/>
      <c r="BU37" s="54"/>
      <c r="BV37" s="54"/>
      <c r="BW37" s="54"/>
      <c r="BX37" s="52"/>
      <c r="BY37" s="53"/>
    </row>
    <row r="38" customFormat="false" ht="13.5" hidden="false" customHeight="false" outlineLevel="0" collapsed="false">
      <c r="A38" s="52" t="s">
        <v>429</v>
      </c>
      <c r="B38" s="52" t="n">
        <v>27.08</v>
      </c>
      <c r="C38" s="52" t="n">
        <v>27.4</v>
      </c>
      <c r="D38" s="52" t="n">
        <v>27.4</v>
      </c>
      <c r="E38" s="52" t="n">
        <v>26.6</v>
      </c>
      <c r="F38" s="52" t="s">
        <v>430</v>
      </c>
      <c r="G38" s="53" t="n">
        <v>-0.0149</v>
      </c>
      <c r="I38" s="52" t="s">
        <v>431</v>
      </c>
      <c r="J38" s="54" t="n">
        <v>64397.45</v>
      </c>
      <c r="K38" s="54" t="n">
        <v>65038.55</v>
      </c>
      <c r="L38" s="54" t="n">
        <v>65038.55</v>
      </c>
      <c r="M38" s="54" t="n">
        <v>64329.53</v>
      </c>
      <c r="N38" s="52" t="s">
        <v>432</v>
      </c>
      <c r="O38" s="53" t="n">
        <v>-0.0066</v>
      </c>
      <c r="Q38" s="52" t="s">
        <v>433</v>
      </c>
      <c r="R38" s="52" t="n">
        <v>21.27</v>
      </c>
      <c r="S38" s="52" t="n">
        <v>22.14</v>
      </c>
      <c r="T38" s="52" t="n">
        <v>22.14</v>
      </c>
      <c r="U38" s="52" t="n">
        <v>20.78</v>
      </c>
      <c r="V38" s="52" t="s">
        <v>434</v>
      </c>
      <c r="W38" s="53" t="n">
        <v>-0.0033</v>
      </c>
      <c r="Y38" s="52" t="s">
        <v>435</v>
      </c>
      <c r="Z38" s="54" t="n">
        <v>50689.05</v>
      </c>
      <c r="AA38" s="54" t="n">
        <v>52438.79</v>
      </c>
      <c r="AB38" s="54" t="n">
        <v>52745.98</v>
      </c>
      <c r="AC38" s="54" t="n">
        <v>50482.85</v>
      </c>
      <c r="AD38" s="52" t="s">
        <v>436</v>
      </c>
      <c r="AE38" s="53" t="n">
        <v>-0.0338</v>
      </c>
      <c r="AG38" s="55" t="n">
        <v>45047</v>
      </c>
      <c r="AH38" s="56" t="n">
        <v>6</v>
      </c>
      <c r="AU38" s="57"/>
      <c r="AV38" s="52"/>
      <c r="AW38" s="52"/>
      <c r="AX38" s="52"/>
      <c r="AY38" s="52"/>
      <c r="AZ38" s="52"/>
      <c r="BA38" s="53"/>
      <c r="BC38" s="57"/>
      <c r="BD38" s="54"/>
      <c r="BE38" s="54"/>
      <c r="BF38" s="54"/>
      <c r="BG38" s="54"/>
      <c r="BH38" s="52"/>
      <c r="BI38" s="53"/>
      <c r="BK38" s="57"/>
      <c r="BL38" s="52"/>
      <c r="BM38" s="52"/>
      <c r="BN38" s="52"/>
      <c r="BO38" s="52"/>
      <c r="BP38" s="52"/>
      <c r="BQ38" s="53"/>
      <c r="BS38" s="57"/>
      <c r="BT38" s="54"/>
      <c r="BU38" s="54"/>
      <c r="BV38" s="54"/>
      <c r="BW38" s="54"/>
      <c r="BX38" s="52"/>
      <c r="BY38" s="53"/>
    </row>
    <row r="39" customFormat="false" ht="13.5" hidden="false" customHeight="false" outlineLevel="0" collapsed="false">
      <c r="A39" s="52" t="s">
        <v>437</v>
      </c>
      <c r="B39" s="52" t="n">
        <v>27.08</v>
      </c>
      <c r="C39" s="52" t="n">
        <v>27</v>
      </c>
      <c r="D39" s="52" t="n">
        <v>27.08</v>
      </c>
      <c r="E39" s="52" t="n">
        <v>27</v>
      </c>
      <c r="F39" s="52" t="s">
        <v>438</v>
      </c>
      <c r="G39" s="53" t="n">
        <v>0</v>
      </c>
      <c r="I39" s="52" t="s">
        <v>439</v>
      </c>
      <c r="J39" s="54" t="n">
        <v>64254.98</v>
      </c>
      <c r="K39" s="54" t="n">
        <v>64457.26</v>
      </c>
      <c r="L39" s="54" t="n">
        <v>64534.98</v>
      </c>
      <c r="M39" s="54" t="n">
        <v>64024</v>
      </c>
      <c r="N39" s="52" t="s">
        <v>440</v>
      </c>
      <c r="O39" s="53" t="n">
        <v>-0.0022</v>
      </c>
      <c r="Q39" s="51" t="n">
        <v>44687</v>
      </c>
      <c r="R39" s="52" t="n">
        <v>21.06</v>
      </c>
      <c r="S39" s="52" t="n">
        <v>21.29</v>
      </c>
      <c r="T39" s="52" t="n">
        <v>21.32</v>
      </c>
      <c r="U39" s="52" t="n">
        <v>20.86</v>
      </c>
      <c r="V39" s="52" t="s">
        <v>441</v>
      </c>
      <c r="W39" s="53" t="n">
        <v>-0.0099</v>
      </c>
      <c r="Y39" s="52" t="s">
        <v>442</v>
      </c>
      <c r="Z39" s="54" t="n">
        <v>48471.52</v>
      </c>
      <c r="AA39" s="54" t="n">
        <v>50723.91</v>
      </c>
      <c r="AB39" s="54" t="n">
        <v>51029.28</v>
      </c>
      <c r="AC39" s="54" t="n">
        <v>48398.78</v>
      </c>
      <c r="AD39" s="52" t="s">
        <v>443</v>
      </c>
      <c r="AE39" s="53" t="n">
        <v>-0.0437</v>
      </c>
      <c r="AG39" s="55" t="n">
        <v>45062</v>
      </c>
      <c r="AH39" s="56" t="n">
        <v>5.67</v>
      </c>
      <c r="AU39" s="57"/>
      <c r="AV39" s="52"/>
      <c r="AW39" s="52"/>
      <c r="AX39" s="52"/>
      <c r="AY39" s="52"/>
      <c r="AZ39" s="52"/>
      <c r="BA39" s="53"/>
      <c r="BC39" s="57"/>
      <c r="BD39" s="54"/>
      <c r="BE39" s="54"/>
      <c r="BF39" s="54"/>
      <c r="BG39" s="54"/>
      <c r="BH39" s="52"/>
      <c r="BI39" s="53"/>
      <c r="BK39" s="57"/>
      <c r="BL39" s="52"/>
      <c r="BM39" s="52"/>
      <c r="BN39" s="52"/>
      <c r="BO39" s="52"/>
      <c r="BP39" s="52"/>
      <c r="BQ39" s="53"/>
      <c r="BS39" s="57"/>
      <c r="BT39" s="54"/>
      <c r="BU39" s="54"/>
      <c r="BV39" s="54"/>
      <c r="BW39" s="54"/>
      <c r="BX39" s="52"/>
      <c r="BY39" s="53"/>
    </row>
    <row r="40" customFormat="false" ht="13.5" hidden="false" customHeight="false" outlineLevel="0" collapsed="false">
      <c r="A40" s="52" t="s">
        <v>444</v>
      </c>
      <c r="B40" s="52" t="n">
        <v>27.29</v>
      </c>
      <c r="C40" s="52" t="n">
        <v>27.5</v>
      </c>
      <c r="D40" s="52" t="n">
        <v>27.5</v>
      </c>
      <c r="E40" s="52" t="n">
        <v>27.17</v>
      </c>
      <c r="F40" s="52" t="s">
        <v>445</v>
      </c>
      <c r="G40" s="53" t="n">
        <v>0.0078</v>
      </c>
      <c r="I40" s="52" t="s">
        <v>446</v>
      </c>
      <c r="J40" s="54" t="n">
        <v>63933.69</v>
      </c>
      <c r="K40" s="54" t="n">
        <v>64289.47</v>
      </c>
      <c r="L40" s="54" t="n">
        <v>64665.94</v>
      </c>
      <c r="M40" s="54" t="n">
        <v>63841.29</v>
      </c>
      <c r="N40" s="52" t="s">
        <v>447</v>
      </c>
      <c r="O40" s="53" t="n">
        <v>-0.005</v>
      </c>
      <c r="Q40" s="51" t="n">
        <v>44901</v>
      </c>
      <c r="R40" s="52" t="n">
        <v>19.21</v>
      </c>
      <c r="S40" s="52" t="n">
        <v>21</v>
      </c>
      <c r="T40" s="52" t="n">
        <v>21</v>
      </c>
      <c r="U40" s="52" t="n">
        <v>19.02</v>
      </c>
      <c r="V40" s="52" t="s">
        <v>448</v>
      </c>
      <c r="W40" s="53" t="n">
        <v>-0.0878</v>
      </c>
      <c r="Y40" s="52" t="s">
        <v>449</v>
      </c>
      <c r="Z40" s="54" t="n">
        <v>48016.23</v>
      </c>
      <c r="AA40" s="54" t="n">
        <v>48408.2</v>
      </c>
      <c r="AB40" s="54" t="n">
        <v>48717.67</v>
      </c>
      <c r="AC40" s="54" t="n">
        <v>47323.36</v>
      </c>
      <c r="AD40" s="52" t="s">
        <v>450</v>
      </c>
      <c r="AE40" s="53" t="n">
        <v>-0.0094</v>
      </c>
      <c r="AG40" s="55" t="n">
        <v>45078</v>
      </c>
      <c r="AH40" s="56" t="n">
        <v>5.18</v>
      </c>
      <c r="AU40" s="58"/>
      <c r="AV40" s="52"/>
      <c r="AW40" s="52"/>
      <c r="AX40" s="52"/>
      <c r="AY40" s="52"/>
      <c r="AZ40" s="52"/>
      <c r="BA40" s="53"/>
      <c r="BC40" s="57"/>
      <c r="BD40" s="54"/>
      <c r="BE40" s="54"/>
      <c r="BF40" s="54"/>
      <c r="BG40" s="54"/>
      <c r="BH40" s="52"/>
      <c r="BI40" s="53"/>
      <c r="BK40" s="57"/>
      <c r="BL40" s="52"/>
      <c r="BM40" s="52"/>
      <c r="BN40" s="52"/>
      <c r="BO40" s="52"/>
      <c r="BP40" s="52"/>
      <c r="BQ40" s="53"/>
      <c r="BS40" s="57"/>
      <c r="BT40" s="54"/>
      <c r="BU40" s="54"/>
      <c r="BV40" s="54"/>
      <c r="BW40" s="54"/>
      <c r="BX40" s="52"/>
      <c r="BY40" s="53"/>
    </row>
    <row r="41" customFormat="false" ht="13.5" hidden="false" customHeight="false" outlineLevel="0" collapsed="false">
      <c r="A41" s="52" t="s">
        <v>451</v>
      </c>
      <c r="B41" s="52" t="n">
        <v>27.29</v>
      </c>
      <c r="C41" s="52" t="n">
        <v>26.51</v>
      </c>
      <c r="D41" s="52" t="n">
        <v>27.29</v>
      </c>
      <c r="E41" s="52" t="n">
        <v>26.51</v>
      </c>
      <c r="F41" s="52" t="s">
        <v>452</v>
      </c>
      <c r="G41" s="53" t="n">
        <v>0</v>
      </c>
      <c r="I41" s="52" t="s">
        <v>453</v>
      </c>
      <c r="J41" s="54" t="n">
        <v>63999.26</v>
      </c>
      <c r="K41" s="54" t="n">
        <v>63990.05</v>
      </c>
      <c r="L41" s="54" t="n">
        <v>64584.42</v>
      </c>
      <c r="M41" s="54" t="n">
        <v>63924.2</v>
      </c>
      <c r="N41" s="52" t="s">
        <v>454</v>
      </c>
      <c r="O41" s="53" t="n">
        <v>0.001</v>
      </c>
      <c r="Q41" s="52" t="s">
        <v>455</v>
      </c>
      <c r="R41" s="52" t="n">
        <v>21.24</v>
      </c>
      <c r="S41" s="52" t="n">
        <v>19</v>
      </c>
      <c r="T41" s="52" t="n">
        <v>21.35</v>
      </c>
      <c r="U41" s="52" t="n">
        <v>18.96</v>
      </c>
      <c r="V41" s="52" t="s">
        <v>456</v>
      </c>
      <c r="W41" s="53" t="n">
        <v>0.1057</v>
      </c>
      <c r="Y41" s="52" t="s">
        <v>457</v>
      </c>
      <c r="Z41" s="54" t="n">
        <v>47741.5</v>
      </c>
      <c r="AA41" s="54" t="n">
        <v>47996.72</v>
      </c>
      <c r="AB41" s="54" t="n">
        <v>48321.17</v>
      </c>
      <c r="AC41" s="54" t="n">
        <v>46344.94</v>
      </c>
      <c r="AD41" s="52" t="s">
        <v>458</v>
      </c>
      <c r="AE41" s="53" t="n">
        <v>-0.0057</v>
      </c>
      <c r="AG41" s="55" t="n">
        <v>45093</v>
      </c>
      <c r="AH41" s="56" t="n">
        <v>4.93</v>
      </c>
      <c r="AU41" s="58"/>
      <c r="AV41" s="52"/>
      <c r="AW41" s="52"/>
      <c r="AX41" s="52"/>
      <c r="AY41" s="52"/>
      <c r="AZ41" s="52"/>
      <c r="BA41" s="53"/>
      <c r="BC41" s="57"/>
      <c r="BD41" s="54"/>
      <c r="BE41" s="54"/>
      <c r="BF41" s="54"/>
      <c r="BG41" s="54"/>
      <c r="BH41" s="52"/>
      <c r="BI41" s="53"/>
      <c r="BK41" s="57"/>
      <c r="BL41" s="52"/>
      <c r="BM41" s="52"/>
      <c r="BN41" s="52"/>
      <c r="BO41" s="52"/>
      <c r="BP41" s="52"/>
      <c r="BQ41" s="53"/>
      <c r="BS41" s="57"/>
      <c r="BT41" s="54"/>
      <c r="BU41" s="54"/>
      <c r="BV41" s="54"/>
      <c r="BW41" s="54"/>
      <c r="BX41" s="52"/>
      <c r="BY41" s="53"/>
    </row>
    <row r="42" customFormat="false" ht="13.5" hidden="false" customHeight="false" outlineLevel="0" collapsed="false">
      <c r="A42" s="52" t="s">
        <v>459</v>
      </c>
      <c r="B42" s="52" t="n">
        <v>27.07</v>
      </c>
      <c r="C42" s="52" t="n">
        <v>27.49</v>
      </c>
      <c r="D42" s="52" t="n">
        <v>27.49</v>
      </c>
      <c r="E42" s="52" t="n">
        <v>27.07</v>
      </c>
      <c r="F42" s="52" t="s">
        <v>460</v>
      </c>
      <c r="G42" s="53" t="n">
        <v>-0.0081</v>
      </c>
      <c r="I42" s="52" t="s">
        <v>461</v>
      </c>
      <c r="J42" s="54" t="n">
        <v>64349.8</v>
      </c>
      <c r="K42" s="54" t="n">
        <v>64007.42</v>
      </c>
      <c r="L42" s="54" t="n">
        <v>64547.11</v>
      </c>
      <c r="M42" s="54" t="n">
        <v>63937.99</v>
      </c>
      <c r="N42" s="52" t="s">
        <v>462</v>
      </c>
      <c r="O42" s="53" t="n">
        <v>0.0055</v>
      </c>
      <c r="Q42" s="52" t="s">
        <v>463</v>
      </c>
      <c r="R42" s="52" t="n">
        <v>22.45</v>
      </c>
      <c r="S42" s="52" t="n">
        <v>21.05</v>
      </c>
      <c r="T42" s="52" t="n">
        <v>22.5</v>
      </c>
      <c r="U42" s="52" t="n">
        <v>20.36</v>
      </c>
      <c r="V42" s="52" t="s">
        <v>464</v>
      </c>
      <c r="W42" s="53" t="n">
        <v>0.057</v>
      </c>
      <c r="Y42" s="52" t="s">
        <v>465</v>
      </c>
      <c r="Z42" s="54" t="n">
        <v>47743.15</v>
      </c>
      <c r="AA42" s="54" t="n">
        <v>47781.35</v>
      </c>
      <c r="AB42" s="54" t="n">
        <v>48796.23</v>
      </c>
      <c r="AC42" s="54" t="n">
        <v>47135.18</v>
      </c>
      <c r="AD42" s="52" t="s">
        <v>466</v>
      </c>
      <c r="AE42" s="53" t="n">
        <v>0</v>
      </c>
      <c r="AG42" s="55" t="n">
        <v>45108</v>
      </c>
      <c r="AH42" s="56" t="n">
        <v>4.79</v>
      </c>
      <c r="AU42" s="57"/>
      <c r="AV42" s="52"/>
      <c r="AW42" s="52"/>
      <c r="AX42" s="52"/>
      <c r="AY42" s="52"/>
      <c r="AZ42" s="52"/>
      <c r="BA42" s="53"/>
      <c r="BC42" s="57"/>
      <c r="BD42" s="54"/>
      <c r="BE42" s="54"/>
      <c r="BF42" s="54"/>
      <c r="BG42" s="54"/>
      <c r="BH42" s="52"/>
      <c r="BI42" s="53"/>
      <c r="BK42" s="57"/>
      <c r="BL42" s="52"/>
      <c r="BM42" s="52"/>
      <c r="BN42" s="52"/>
      <c r="BO42" s="52"/>
      <c r="BP42" s="52"/>
      <c r="BQ42" s="53"/>
      <c r="BS42" s="57"/>
      <c r="BT42" s="54"/>
      <c r="BU42" s="54"/>
      <c r="BV42" s="54"/>
      <c r="BW42" s="54"/>
      <c r="BX42" s="52"/>
      <c r="BY42" s="53"/>
    </row>
    <row r="43" customFormat="false" ht="13.5" hidden="false" customHeight="false" outlineLevel="0" collapsed="false">
      <c r="A43" s="52" t="s">
        <v>467</v>
      </c>
      <c r="B43" s="52" t="n">
        <v>27.07</v>
      </c>
      <c r="C43" s="52" t="n">
        <v>27.56</v>
      </c>
      <c r="D43" s="52" t="n">
        <v>27.56</v>
      </c>
      <c r="E43" s="52" t="n">
        <v>27.07</v>
      </c>
      <c r="F43" s="52" t="s">
        <v>468</v>
      </c>
      <c r="G43" s="53" t="n">
        <v>0</v>
      </c>
      <c r="I43" s="52" t="s">
        <v>469</v>
      </c>
      <c r="J43" s="54" t="n">
        <v>65729.18</v>
      </c>
      <c r="K43" s="54" t="n">
        <v>64559.79</v>
      </c>
      <c r="L43" s="54" t="n">
        <v>66082.15</v>
      </c>
      <c r="M43" s="54" t="n">
        <v>64559.79</v>
      </c>
      <c r="N43" s="52" t="s">
        <v>470</v>
      </c>
      <c r="O43" s="53" t="n">
        <v>0.0214</v>
      </c>
      <c r="Q43" s="51" t="n">
        <v>44627</v>
      </c>
      <c r="R43" s="52" t="n">
        <v>22.7</v>
      </c>
      <c r="S43" s="52" t="n">
        <v>22.19</v>
      </c>
      <c r="T43" s="52" t="n">
        <v>23</v>
      </c>
      <c r="U43" s="52" t="n">
        <v>21.5</v>
      </c>
      <c r="V43" s="52" t="s">
        <v>471</v>
      </c>
      <c r="W43" s="53" t="n">
        <v>0.0111</v>
      </c>
      <c r="Y43" s="52" t="s">
        <v>472</v>
      </c>
      <c r="Z43" s="54" t="n">
        <v>47582.11</v>
      </c>
      <c r="AA43" s="54" t="n">
        <v>47740.32</v>
      </c>
      <c r="AB43" s="54" t="n">
        <v>48584.14</v>
      </c>
      <c r="AC43" s="54" t="n">
        <v>46927.07</v>
      </c>
      <c r="AD43" s="52" t="s">
        <v>473</v>
      </c>
      <c r="AE43" s="53" t="n">
        <v>-0.0034</v>
      </c>
      <c r="AG43" s="55" t="n">
        <v>45123</v>
      </c>
      <c r="AH43" s="56" t="n">
        <v>4.78</v>
      </c>
      <c r="AU43" s="57"/>
      <c r="AV43" s="52"/>
      <c r="AW43" s="52"/>
      <c r="AX43" s="52"/>
      <c r="AY43" s="52"/>
      <c r="AZ43" s="52"/>
      <c r="BA43" s="53"/>
      <c r="BC43" s="57"/>
      <c r="BD43" s="54"/>
      <c r="BE43" s="54"/>
      <c r="BF43" s="54"/>
      <c r="BG43" s="54"/>
      <c r="BH43" s="52"/>
      <c r="BI43" s="53"/>
      <c r="BK43" s="57"/>
      <c r="BL43" s="52"/>
      <c r="BM43" s="52"/>
      <c r="BN43" s="52"/>
      <c r="BO43" s="52"/>
      <c r="BP43" s="52"/>
      <c r="BQ43" s="53"/>
      <c r="BS43" s="57"/>
      <c r="BT43" s="54"/>
      <c r="BU43" s="54"/>
      <c r="BV43" s="54"/>
      <c r="BW43" s="54"/>
      <c r="BX43" s="52"/>
      <c r="BY43" s="53"/>
    </row>
    <row r="44" customFormat="false" ht="13.5" hidden="false" customHeight="false" outlineLevel="0" collapsed="false">
      <c r="A44" s="52" t="s">
        <v>474</v>
      </c>
      <c r="B44" s="52" t="n">
        <v>27.06</v>
      </c>
      <c r="C44" s="52" t="n">
        <v>27.5</v>
      </c>
      <c r="D44" s="52" t="n">
        <v>27.54</v>
      </c>
      <c r="E44" s="52" t="n">
        <v>27.06</v>
      </c>
      <c r="F44" s="52" t="s">
        <v>475</v>
      </c>
      <c r="G44" s="53" t="n">
        <v>-0.0004</v>
      </c>
      <c r="I44" s="52" t="s">
        <v>476</v>
      </c>
      <c r="J44" s="54" t="n">
        <v>65770.85</v>
      </c>
      <c r="K44" s="54" t="n">
        <v>65751.65</v>
      </c>
      <c r="L44" s="54" t="n">
        <v>66152.15</v>
      </c>
      <c r="M44" s="54" t="n">
        <v>65510.82</v>
      </c>
      <c r="N44" s="52" t="s">
        <v>477</v>
      </c>
      <c r="O44" s="53" t="n">
        <v>0.0006</v>
      </c>
      <c r="Q44" s="51" t="n">
        <v>44841</v>
      </c>
      <c r="R44" s="52" t="n">
        <v>22.83</v>
      </c>
      <c r="S44" s="52" t="n">
        <v>22.5</v>
      </c>
      <c r="T44" s="52" t="n">
        <v>23.02</v>
      </c>
      <c r="U44" s="52" t="n">
        <v>22.1</v>
      </c>
      <c r="V44" s="52" t="s">
        <v>478</v>
      </c>
      <c r="W44" s="53" t="n">
        <v>0.0057</v>
      </c>
      <c r="Y44" s="52" t="s">
        <v>479</v>
      </c>
      <c r="Z44" s="54" t="n">
        <v>47075.87</v>
      </c>
      <c r="AA44" s="54" t="n">
        <v>47541.46</v>
      </c>
      <c r="AB44" s="54" t="n">
        <v>47800.36</v>
      </c>
      <c r="AC44" s="54" t="n">
        <v>46581.32</v>
      </c>
      <c r="AD44" s="52" t="s">
        <v>480</v>
      </c>
      <c r="AE44" s="53" t="n">
        <v>-0.0106</v>
      </c>
      <c r="AG44" s="55" t="n">
        <v>45139</v>
      </c>
      <c r="AH44" s="56" t="n">
        <v>4.67</v>
      </c>
      <c r="AU44" s="58"/>
      <c r="AV44" s="52"/>
      <c r="AW44" s="52"/>
      <c r="AX44" s="52"/>
      <c r="AY44" s="52"/>
      <c r="AZ44" s="52"/>
      <c r="BA44" s="53"/>
      <c r="BC44" s="57"/>
      <c r="BD44" s="54"/>
      <c r="BE44" s="54"/>
      <c r="BF44" s="54"/>
      <c r="BG44" s="54"/>
      <c r="BH44" s="52"/>
      <c r="BI44" s="53"/>
      <c r="BK44" s="57"/>
      <c r="BL44" s="52"/>
      <c r="BM44" s="52"/>
      <c r="BN44" s="52"/>
      <c r="BO44" s="52"/>
      <c r="BP44" s="52"/>
      <c r="BQ44" s="53"/>
      <c r="BS44" s="57"/>
      <c r="BT44" s="54"/>
      <c r="BU44" s="54"/>
      <c r="BV44" s="54"/>
      <c r="BW44" s="54"/>
      <c r="BX44" s="52"/>
      <c r="BY44" s="53"/>
    </row>
    <row r="45" customFormat="false" ht="13.5" hidden="false" customHeight="false" outlineLevel="0" collapsed="false">
      <c r="A45" s="51" t="n">
        <v>46031</v>
      </c>
      <c r="B45" s="52" t="n">
        <v>26.92</v>
      </c>
      <c r="C45" s="52" t="n">
        <v>26.6</v>
      </c>
      <c r="D45" s="52" t="n">
        <v>26.92</v>
      </c>
      <c r="E45" s="52" t="n">
        <v>26.6</v>
      </c>
      <c r="F45" s="52" t="s">
        <v>481</v>
      </c>
      <c r="G45" s="53" t="n">
        <v>-0.0052</v>
      </c>
      <c r="I45" s="52" t="s">
        <v>482</v>
      </c>
      <c r="J45" s="54" t="n">
        <v>66293.07</v>
      </c>
      <c r="K45" s="54" t="n">
        <v>65750.89</v>
      </c>
      <c r="L45" s="54" t="n">
        <v>66359.58</v>
      </c>
      <c r="M45" s="54" t="n">
        <v>65019.88</v>
      </c>
      <c r="N45" s="52" t="s">
        <v>483</v>
      </c>
      <c r="O45" s="53" t="n">
        <v>0.0079</v>
      </c>
      <c r="Q45" s="52" t="s">
        <v>484</v>
      </c>
      <c r="R45" s="52" t="n">
        <v>23.6</v>
      </c>
      <c r="S45" s="52" t="n">
        <v>22.63</v>
      </c>
      <c r="T45" s="52" t="n">
        <v>24</v>
      </c>
      <c r="U45" s="52" t="n">
        <v>22.5</v>
      </c>
      <c r="V45" s="52" t="s">
        <v>485</v>
      </c>
      <c r="W45" s="53" t="n">
        <v>0.0337</v>
      </c>
      <c r="Y45" s="52" t="s">
        <v>486</v>
      </c>
      <c r="Z45" s="54" t="n">
        <v>47264.86</v>
      </c>
      <c r="AA45" s="54" t="n">
        <v>47198.01</v>
      </c>
      <c r="AB45" s="54" t="n">
        <v>47595.79</v>
      </c>
      <c r="AC45" s="54" t="n">
        <v>46767.74</v>
      </c>
      <c r="AD45" s="52" t="s">
        <v>487</v>
      </c>
      <c r="AE45" s="53" t="n">
        <v>0.004</v>
      </c>
      <c r="AG45" s="55" t="n">
        <v>45154</v>
      </c>
      <c r="AH45" s="56" t="n">
        <v>4.6</v>
      </c>
      <c r="AU45" s="58"/>
      <c r="AV45" s="52"/>
      <c r="AW45" s="52"/>
      <c r="AX45" s="52"/>
      <c r="AY45" s="52"/>
      <c r="AZ45" s="52"/>
      <c r="BA45" s="53"/>
      <c r="BC45" s="57"/>
      <c r="BD45" s="54"/>
      <c r="BE45" s="54"/>
      <c r="BF45" s="54"/>
      <c r="BG45" s="54"/>
      <c r="BH45" s="52"/>
      <c r="BI45" s="53"/>
      <c r="BK45" s="57"/>
      <c r="BL45" s="52"/>
      <c r="BM45" s="52"/>
      <c r="BN45" s="52"/>
      <c r="BO45" s="52"/>
      <c r="BP45" s="52"/>
      <c r="BQ45" s="53"/>
      <c r="BS45" s="57"/>
      <c r="BT45" s="54"/>
      <c r="BU45" s="54"/>
      <c r="BV45" s="54"/>
      <c r="BW45" s="54"/>
      <c r="BX45" s="52"/>
      <c r="BY45" s="53"/>
    </row>
    <row r="46" customFormat="false" ht="13.5" hidden="false" customHeight="false" outlineLevel="0" collapsed="false">
      <c r="A46" s="51" t="n">
        <v>46062</v>
      </c>
      <c r="B46" s="52" t="n">
        <v>26.75</v>
      </c>
      <c r="C46" s="52" t="n">
        <v>26.38</v>
      </c>
      <c r="D46" s="52" t="n">
        <v>26.86</v>
      </c>
      <c r="E46" s="52" t="n">
        <v>26.38</v>
      </c>
      <c r="F46" s="52" t="s">
        <v>445</v>
      </c>
      <c r="G46" s="53" t="n">
        <v>-0.0063</v>
      </c>
      <c r="I46" s="52" t="s">
        <v>488</v>
      </c>
      <c r="J46" s="54" t="n">
        <v>66191.11</v>
      </c>
      <c r="K46" s="54" t="n">
        <v>66146.09</v>
      </c>
      <c r="L46" s="54" t="n">
        <v>66823.1</v>
      </c>
      <c r="M46" s="54" t="n">
        <v>66107.32</v>
      </c>
      <c r="N46" s="52" t="s">
        <v>489</v>
      </c>
      <c r="O46" s="53" t="n">
        <v>-0.0015</v>
      </c>
      <c r="Q46" s="52" t="s">
        <v>490</v>
      </c>
      <c r="R46" s="52" t="n">
        <v>22.64</v>
      </c>
      <c r="S46" s="52" t="n">
        <v>23.71</v>
      </c>
      <c r="T46" s="52" t="n">
        <v>23.71</v>
      </c>
      <c r="U46" s="52" t="n">
        <v>22.21</v>
      </c>
      <c r="V46" s="52" t="s">
        <v>491</v>
      </c>
      <c r="W46" s="53" t="n">
        <v>-0.0407</v>
      </c>
      <c r="Y46" s="52" t="s">
        <v>492</v>
      </c>
      <c r="Z46" s="54" t="n">
        <v>48144.33</v>
      </c>
      <c r="AA46" s="54" t="n">
        <v>47254.55</v>
      </c>
      <c r="AB46" s="54" t="n">
        <v>48338.9</v>
      </c>
      <c r="AC46" s="54" t="n">
        <v>46164.27</v>
      </c>
      <c r="AD46" s="52" t="s">
        <v>493</v>
      </c>
      <c r="AE46" s="53" t="n">
        <v>0.0186</v>
      </c>
      <c r="AG46" s="55" t="n">
        <v>45170</v>
      </c>
      <c r="AH46" s="56" t="n">
        <v>4.44</v>
      </c>
      <c r="AU46" s="57"/>
      <c r="AV46" s="52"/>
      <c r="AW46" s="52"/>
      <c r="AX46" s="52"/>
      <c r="AY46" s="52"/>
      <c r="AZ46" s="52"/>
      <c r="BA46" s="53"/>
      <c r="BC46" s="57"/>
      <c r="BD46" s="54"/>
      <c r="BE46" s="54"/>
      <c r="BF46" s="54"/>
      <c r="BG46" s="54"/>
      <c r="BH46" s="52"/>
      <c r="BI46" s="53"/>
      <c r="BK46" s="58"/>
      <c r="BL46" s="52"/>
      <c r="BM46" s="52"/>
      <c r="BN46" s="52"/>
      <c r="BO46" s="52"/>
      <c r="BP46" s="52"/>
      <c r="BQ46" s="53"/>
      <c r="BS46" s="57"/>
      <c r="BT46" s="54"/>
      <c r="BU46" s="54"/>
      <c r="BV46" s="54"/>
      <c r="BW46" s="54"/>
      <c r="BX46" s="52"/>
      <c r="BY46" s="53"/>
    </row>
    <row r="47" customFormat="false" ht="13.5" hidden="false" customHeight="false" outlineLevel="0" collapsed="false">
      <c r="A47" s="51" t="n">
        <v>46090</v>
      </c>
      <c r="B47" s="52" t="n">
        <v>26.75</v>
      </c>
      <c r="C47" s="52" t="n">
        <v>26.75</v>
      </c>
      <c r="D47" s="52" t="n">
        <v>26.75</v>
      </c>
      <c r="E47" s="52" t="n">
        <v>26.75</v>
      </c>
      <c r="F47" s="52" t="s">
        <v>494</v>
      </c>
      <c r="G47" s="53" t="n">
        <v>0</v>
      </c>
      <c r="I47" s="52" t="s">
        <v>495</v>
      </c>
      <c r="J47" s="54" t="n">
        <v>65829.98</v>
      </c>
      <c r="K47" s="54" t="n">
        <v>66096.55</v>
      </c>
      <c r="L47" s="54" t="n">
        <v>66239.84</v>
      </c>
      <c r="M47" s="54" t="n">
        <v>65649.86</v>
      </c>
      <c r="N47" s="52" t="s">
        <v>496</v>
      </c>
      <c r="O47" s="53" t="n">
        <v>-0.0055</v>
      </c>
      <c r="Q47" s="52" t="s">
        <v>497</v>
      </c>
      <c r="R47" s="52" t="n">
        <v>22.8</v>
      </c>
      <c r="S47" s="52" t="n">
        <v>22.7</v>
      </c>
      <c r="T47" s="52" t="n">
        <v>23.01</v>
      </c>
      <c r="U47" s="52" t="n">
        <v>22.51</v>
      </c>
      <c r="V47" s="52" t="s">
        <v>498</v>
      </c>
      <c r="W47" s="53" t="n">
        <v>0.0071</v>
      </c>
      <c r="Y47" s="52" t="s">
        <v>499</v>
      </c>
      <c r="Z47" s="54" t="n">
        <v>46723.43</v>
      </c>
      <c r="AA47" s="54" t="n">
        <v>48094.47</v>
      </c>
      <c r="AB47" s="54" t="n">
        <v>48417.03</v>
      </c>
      <c r="AC47" s="54" t="n">
        <v>46283.75</v>
      </c>
      <c r="AD47" s="52" t="s">
        <v>500</v>
      </c>
      <c r="AE47" s="53" t="n">
        <v>-0.0295</v>
      </c>
      <c r="AG47" s="55" t="n">
        <v>45185</v>
      </c>
      <c r="AH47" s="56" t="n">
        <v>4.47</v>
      </c>
      <c r="AU47" s="57"/>
      <c r="AV47" s="52"/>
      <c r="AW47" s="52"/>
      <c r="AX47" s="52"/>
      <c r="AY47" s="52"/>
      <c r="AZ47" s="52"/>
      <c r="BA47" s="53"/>
      <c r="BC47" s="57"/>
      <c r="BD47" s="54"/>
      <c r="BE47" s="54"/>
      <c r="BF47" s="54"/>
      <c r="BG47" s="54"/>
      <c r="BH47" s="52"/>
      <c r="BI47" s="53"/>
      <c r="BK47" s="58"/>
      <c r="BL47" s="52"/>
      <c r="BM47" s="52"/>
      <c r="BN47" s="52"/>
      <c r="BO47" s="52"/>
      <c r="BP47" s="52"/>
      <c r="BQ47" s="53"/>
      <c r="BS47" s="57"/>
      <c r="BT47" s="54"/>
      <c r="BU47" s="54"/>
      <c r="BV47" s="54"/>
      <c r="BW47" s="54"/>
      <c r="BX47" s="52"/>
      <c r="BY47" s="53"/>
    </row>
    <row r="48" customFormat="false" ht="13.5" hidden="false" customHeight="false" outlineLevel="0" collapsed="false">
      <c r="A48" s="51" t="n">
        <v>46121</v>
      </c>
      <c r="B48" s="52" t="n">
        <v>26</v>
      </c>
      <c r="C48" s="52" t="n">
        <v>27.2</v>
      </c>
      <c r="D48" s="52" t="n">
        <v>27.2</v>
      </c>
      <c r="E48" s="52" t="n">
        <v>26</v>
      </c>
      <c r="F48" s="52" t="s">
        <v>501</v>
      </c>
      <c r="G48" s="53" t="n">
        <v>-0.028</v>
      </c>
      <c r="I48" s="52" t="s">
        <v>502</v>
      </c>
      <c r="J48" s="54" t="n">
        <v>65484.32</v>
      </c>
      <c r="K48" s="54" t="n">
        <v>65876.02</v>
      </c>
      <c r="L48" s="54" t="n">
        <v>65964.57</v>
      </c>
      <c r="M48" s="54" t="n">
        <v>65202.8</v>
      </c>
      <c r="N48" s="52" t="s">
        <v>503</v>
      </c>
      <c r="O48" s="53" t="n">
        <v>-0.0053</v>
      </c>
      <c r="Q48" s="51" t="n">
        <v>44750</v>
      </c>
      <c r="R48" s="52" t="n">
        <v>22.75</v>
      </c>
      <c r="S48" s="52" t="n">
        <v>22.8</v>
      </c>
      <c r="T48" s="52" t="n">
        <v>22.84</v>
      </c>
      <c r="U48" s="52" t="n">
        <v>22.32</v>
      </c>
      <c r="V48" s="52" t="s">
        <v>504</v>
      </c>
      <c r="W48" s="53" t="n">
        <v>-0.0022</v>
      </c>
      <c r="Y48" s="52" t="s">
        <v>505</v>
      </c>
      <c r="Z48" s="54" t="n">
        <v>48853.37</v>
      </c>
      <c r="AA48" s="54" t="n">
        <v>46787.91</v>
      </c>
      <c r="AB48" s="54" t="n">
        <v>48909.17</v>
      </c>
      <c r="AC48" s="54" t="n">
        <v>46787.91</v>
      </c>
      <c r="AD48" s="52" t="s">
        <v>506</v>
      </c>
      <c r="AE48" s="53" t="n">
        <v>0.0456</v>
      </c>
      <c r="AG48" s="55" t="n">
        <v>45200</v>
      </c>
      <c r="AH48" s="56" t="n">
        <v>4.27</v>
      </c>
      <c r="AU48" s="57"/>
      <c r="AV48" s="52"/>
      <c r="AW48" s="52"/>
      <c r="AX48" s="52"/>
      <c r="AY48" s="52"/>
      <c r="AZ48" s="52"/>
      <c r="BA48" s="53"/>
      <c r="BC48" s="57"/>
      <c r="BD48" s="54"/>
      <c r="BE48" s="54"/>
      <c r="BF48" s="54"/>
      <c r="BG48" s="54"/>
      <c r="BH48" s="52"/>
      <c r="BI48" s="53"/>
      <c r="BK48" s="58"/>
      <c r="BL48" s="52"/>
      <c r="BM48" s="52"/>
      <c r="BN48" s="52"/>
      <c r="BO48" s="52"/>
      <c r="BP48" s="52"/>
      <c r="BQ48" s="53"/>
      <c r="BS48" s="57"/>
      <c r="BT48" s="54"/>
      <c r="BU48" s="54"/>
      <c r="BV48" s="54"/>
      <c r="BW48" s="54"/>
      <c r="BX48" s="52"/>
      <c r="BY48" s="53"/>
    </row>
    <row r="49" customFormat="false" ht="13.5" hidden="false" customHeight="false" outlineLevel="0" collapsed="false">
      <c r="A49" s="51" t="n">
        <v>46243</v>
      </c>
      <c r="B49" s="52" t="n">
        <v>26.25</v>
      </c>
      <c r="C49" s="52" t="n">
        <v>26.25</v>
      </c>
      <c r="D49" s="52" t="n">
        <v>26.25</v>
      </c>
      <c r="E49" s="52" t="n">
        <v>26.25</v>
      </c>
      <c r="F49" s="52" t="s">
        <v>507</v>
      </c>
      <c r="G49" s="53" t="n">
        <v>0.0096</v>
      </c>
      <c r="I49" s="52" t="s">
        <v>508</v>
      </c>
      <c r="J49" s="54" t="n">
        <v>65430.32</v>
      </c>
      <c r="K49" s="54" t="n">
        <v>65325.71</v>
      </c>
      <c r="L49" s="54" t="n">
        <v>65570.92</v>
      </c>
      <c r="M49" s="54" t="n">
        <v>64913.8</v>
      </c>
      <c r="N49" s="52" t="s">
        <v>509</v>
      </c>
      <c r="O49" s="53" t="n">
        <v>-0.0008</v>
      </c>
      <c r="Q49" s="52" t="s">
        <v>510</v>
      </c>
      <c r="R49" s="52" t="n">
        <v>22.75</v>
      </c>
      <c r="S49" s="52" t="n">
        <v>22.73</v>
      </c>
      <c r="T49" s="52" t="n">
        <v>22.75</v>
      </c>
      <c r="U49" s="52" t="n">
        <v>22.1</v>
      </c>
      <c r="V49" s="52" t="s">
        <v>511</v>
      </c>
      <c r="W49" s="53" t="n">
        <v>0</v>
      </c>
      <c r="Y49" s="52" t="s">
        <v>512</v>
      </c>
      <c r="Z49" s="54" t="n">
        <v>48463.26</v>
      </c>
      <c r="AA49" s="54" t="n">
        <v>48770.31</v>
      </c>
      <c r="AB49" s="54" t="n">
        <v>48944.49</v>
      </c>
      <c r="AC49" s="54" t="n">
        <v>48270.23</v>
      </c>
      <c r="AD49" s="52" t="s">
        <v>513</v>
      </c>
      <c r="AE49" s="53" t="n">
        <v>-0.008</v>
      </c>
      <c r="AG49" s="55" t="n">
        <v>45215</v>
      </c>
      <c r="AH49" s="56" t="n">
        <v>4.25</v>
      </c>
      <c r="AU49" s="58"/>
      <c r="AV49" s="52"/>
      <c r="AW49" s="52"/>
      <c r="AX49" s="52"/>
      <c r="AY49" s="52"/>
      <c r="AZ49" s="52"/>
      <c r="BA49" s="53"/>
      <c r="BC49" s="57"/>
      <c r="BD49" s="54"/>
      <c r="BE49" s="54"/>
      <c r="BF49" s="54"/>
      <c r="BG49" s="54"/>
      <c r="BH49" s="52"/>
      <c r="BI49" s="53"/>
      <c r="BK49" s="58"/>
      <c r="BL49" s="52"/>
      <c r="BM49" s="52"/>
      <c r="BN49" s="52"/>
      <c r="BO49" s="52"/>
      <c r="BP49" s="52"/>
      <c r="BQ49" s="53"/>
      <c r="BS49" s="57"/>
      <c r="BT49" s="54"/>
      <c r="BU49" s="54"/>
      <c r="BV49" s="54"/>
      <c r="BW49" s="54"/>
      <c r="BX49" s="52"/>
      <c r="BY49" s="53"/>
    </row>
    <row r="50" customFormat="false" ht="13.5" hidden="false" customHeight="false" outlineLevel="0" collapsed="false">
      <c r="A50" s="51" t="n">
        <v>46274</v>
      </c>
      <c r="B50" s="52" t="n">
        <v>26.5</v>
      </c>
      <c r="C50" s="52" t="n">
        <v>26.5</v>
      </c>
      <c r="D50" s="52" t="n">
        <v>26.52</v>
      </c>
      <c r="E50" s="52" t="n">
        <v>26.5</v>
      </c>
      <c r="F50" s="52" t="s">
        <v>514</v>
      </c>
      <c r="G50" s="53" t="n">
        <v>0.0095</v>
      </c>
      <c r="I50" s="52" t="s">
        <v>515</v>
      </c>
      <c r="J50" s="54" t="n">
        <v>64514.25</v>
      </c>
      <c r="K50" s="54" t="n">
        <v>65348.35</v>
      </c>
      <c r="L50" s="54" t="n">
        <v>65743.72</v>
      </c>
      <c r="M50" s="54" t="n">
        <v>64393.19</v>
      </c>
      <c r="N50" s="52" t="s">
        <v>516</v>
      </c>
      <c r="O50" s="53" t="n">
        <v>-0.014</v>
      </c>
      <c r="Q50" s="52" t="s">
        <v>517</v>
      </c>
      <c r="R50" s="52" t="n">
        <v>22.74</v>
      </c>
      <c r="S50" s="52" t="n">
        <v>22.75</v>
      </c>
      <c r="T50" s="52" t="n">
        <v>22.75</v>
      </c>
      <c r="U50" s="52" t="n">
        <v>22.61</v>
      </c>
      <c r="V50" s="52" t="s">
        <v>518</v>
      </c>
      <c r="W50" s="53" t="n">
        <v>-0.0004</v>
      </c>
      <c r="Y50" s="52" t="s">
        <v>519</v>
      </c>
      <c r="Z50" s="54" t="n">
        <v>47272.11</v>
      </c>
      <c r="AA50" s="54" t="n">
        <v>48366.14</v>
      </c>
      <c r="AB50" s="54" t="n">
        <v>48464.22</v>
      </c>
      <c r="AC50" s="54" t="n">
        <v>46992.75</v>
      </c>
      <c r="AD50" s="52" t="s">
        <v>520</v>
      </c>
      <c r="AE50" s="53" t="n">
        <v>-0.0246</v>
      </c>
      <c r="AG50" s="55" t="n">
        <v>45231</v>
      </c>
      <c r="AH50" s="56" t="n">
        <v>4.32</v>
      </c>
      <c r="AU50" s="57"/>
      <c r="AV50" s="52"/>
      <c r="AW50" s="52"/>
      <c r="AX50" s="52"/>
      <c r="AY50" s="52"/>
      <c r="AZ50" s="52"/>
      <c r="BA50" s="53"/>
      <c r="BC50" s="57"/>
      <c r="BD50" s="54"/>
      <c r="BE50" s="54"/>
      <c r="BF50" s="54"/>
      <c r="BG50" s="54"/>
      <c r="BH50" s="52"/>
      <c r="BI50" s="53"/>
      <c r="BK50" s="58"/>
      <c r="BL50" s="52"/>
      <c r="BM50" s="52"/>
      <c r="BN50" s="52"/>
      <c r="BO50" s="52"/>
      <c r="BP50" s="52"/>
      <c r="BQ50" s="53"/>
      <c r="BS50" s="57"/>
      <c r="BT50" s="54"/>
      <c r="BU50" s="54"/>
      <c r="BV50" s="54"/>
      <c r="BW50" s="54"/>
      <c r="BX50" s="52"/>
      <c r="BY50" s="53"/>
    </row>
    <row r="51" customFormat="false" ht="13.5" hidden="false" customHeight="false" outlineLevel="0" collapsed="false">
      <c r="A51" s="51" t="n">
        <v>46304</v>
      </c>
      <c r="B51" s="52" t="n">
        <v>25.56</v>
      </c>
      <c r="C51" s="52" t="n">
        <v>26.06</v>
      </c>
      <c r="D51" s="52" t="n">
        <v>26.06</v>
      </c>
      <c r="E51" s="52" t="n">
        <v>25.56</v>
      </c>
      <c r="F51" s="52" t="s">
        <v>521</v>
      </c>
      <c r="G51" s="53" t="n">
        <v>-0.0355</v>
      </c>
      <c r="I51" s="52" t="s">
        <v>522</v>
      </c>
      <c r="J51" s="54" t="n">
        <v>64884.28</v>
      </c>
      <c r="K51" s="54" t="n">
        <v>64500.71</v>
      </c>
      <c r="L51" s="54" t="n">
        <v>65088.9</v>
      </c>
      <c r="M51" s="54" t="n">
        <v>64312.59</v>
      </c>
      <c r="N51" s="52" t="s">
        <v>523</v>
      </c>
      <c r="O51" s="53" t="n">
        <v>0.0057</v>
      </c>
      <c r="Q51" s="52" t="s">
        <v>524</v>
      </c>
      <c r="R51" s="52" t="n">
        <v>22.75</v>
      </c>
      <c r="S51" s="52" t="n">
        <v>22.5</v>
      </c>
      <c r="T51" s="52" t="n">
        <v>22.75</v>
      </c>
      <c r="U51" s="52" t="n">
        <v>22.36</v>
      </c>
      <c r="V51" s="52" t="s">
        <v>525</v>
      </c>
      <c r="W51" s="53" t="n">
        <v>0.0004</v>
      </c>
      <c r="Y51" s="52" t="s">
        <v>526</v>
      </c>
      <c r="Z51" s="54" t="n">
        <v>45888.63</v>
      </c>
      <c r="AA51" s="54" t="n">
        <v>47105.9</v>
      </c>
      <c r="AB51" s="54" t="n">
        <v>47105.9</v>
      </c>
      <c r="AC51" s="54" t="n">
        <v>44518.73</v>
      </c>
      <c r="AD51" s="52" t="s">
        <v>527</v>
      </c>
      <c r="AE51" s="53" t="n">
        <v>-0.0293</v>
      </c>
      <c r="AG51" s="55" t="n">
        <v>45246</v>
      </c>
      <c r="AH51" s="56" t="n">
        <v>4.33</v>
      </c>
      <c r="AU51" s="57"/>
      <c r="AV51" s="52"/>
      <c r="AW51" s="52"/>
      <c r="AX51" s="52"/>
      <c r="AY51" s="52"/>
      <c r="AZ51" s="52"/>
      <c r="BA51" s="53"/>
      <c r="BC51" s="57"/>
      <c r="BD51" s="54"/>
      <c r="BE51" s="54"/>
      <c r="BF51" s="54"/>
      <c r="BG51" s="54"/>
      <c r="BH51" s="52"/>
      <c r="BI51" s="53"/>
      <c r="BK51" s="58"/>
      <c r="BL51" s="52"/>
      <c r="BM51" s="52"/>
      <c r="BN51" s="52"/>
      <c r="BO51" s="52"/>
      <c r="BP51" s="52"/>
      <c r="BQ51" s="53"/>
      <c r="BS51" s="57"/>
      <c r="BT51" s="54"/>
      <c r="BU51" s="54"/>
      <c r="BV51" s="54"/>
      <c r="BW51" s="54"/>
      <c r="BX51" s="52"/>
      <c r="BY51" s="53"/>
    </row>
    <row r="52" customFormat="false" ht="13.5" hidden="false" customHeight="false" outlineLevel="0" collapsed="false">
      <c r="A52" s="51" t="n">
        <v>46335</v>
      </c>
      <c r="B52" s="52" t="n">
        <v>26</v>
      </c>
      <c r="C52" s="52" t="n">
        <v>25.5</v>
      </c>
      <c r="D52" s="52" t="n">
        <v>26.49</v>
      </c>
      <c r="E52" s="52" t="n">
        <v>25.5</v>
      </c>
      <c r="F52" s="52" t="s">
        <v>528</v>
      </c>
      <c r="G52" s="53" t="n">
        <v>0.0172</v>
      </c>
      <c r="I52" s="52" t="s">
        <v>529</v>
      </c>
      <c r="J52" s="54" t="n">
        <v>65436.16</v>
      </c>
      <c r="K52" s="54" t="n">
        <v>65031.95</v>
      </c>
      <c r="L52" s="54" t="n">
        <v>65689.15</v>
      </c>
      <c r="M52" s="54" t="n">
        <v>65024.32</v>
      </c>
      <c r="N52" s="52" t="s">
        <v>530</v>
      </c>
      <c r="O52" s="53" t="n">
        <v>0.0085</v>
      </c>
      <c r="Q52" s="51" t="n">
        <v>44660</v>
      </c>
      <c r="R52" s="52" t="n">
        <v>23.29</v>
      </c>
      <c r="S52" s="52" t="n">
        <v>22.2</v>
      </c>
      <c r="T52" s="52" t="n">
        <v>23.29</v>
      </c>
      <c r="U52" s="52" t="n">
        <v>22.2</v>
      </c>
      <c r="V52" s="52" t="s">
        <v>531</v>
      </c>
      <c r="W52" s="53" t="n">
        <v>0.0237</v>
      </c>
      <c r="Y52" s="52" t="s">
        <v>532</v>
      </c>
      <c r="Z52" s="54" t="n">
        <v>47042.94</v>
      </c>
      <c r="AA52" s="54" t="n">
        <v>45905.86</v>
      </c>
      <c r="AB52" s="54" t="n">
        <v>47072.99</v>
      </c>
      <c r="AC52" s="54" t="n">
        <v>45482.77</v>
      </c>
      <c r="AD52" s="52" t="s">
        <v>533</v>
      </c>
      <c r="AE52" s="53" t="n">
        <v>0.0252</v>
      </c>
      <c r="AG52" s="55" t="n">
        <v>45261</v>
      </c>
      <c r="AH52" s="56" t="n">
        <v>4.46</v>
      </c>
      <c r="AU52" s="57"/>
      <c r="AV52" s="52"/>
      <c r="AW52" s="52"/>
      <c r="AX52" s="52"/>
      <c r="AY52" s="52"/>
      <c r="AZ52" s="52"/>
      <c r="BA52" s="53"/>
      <c r="BC52" s="57"/>
      <c r="BD52" s="54"/>
      <c r="BE52" s="54"/>
      <c r="BF52" s="54"/>
      <c r="BG52" s="54"/>
      <c r="BH52" s="52"/>
      <c r="BI52" s="53"/>
      <c r="BK52" s="58"/>
      <c r="BL52" s="52"/>
      <c r="BM52" s="52"/>
      <c r="BN52" s="52"/>
      <c r="BO52" s="52"/>
      <c r="BP52" s="52"/>
      <c r="BQ52" s="53"/>
      <c r="BS52" s="57"/>
      <c r="BT52" s="54"/>
      <c r="BU52" s="54"/>
      <c r="BV52" s="54"/>
      <c r="BW52" s="54"/>
      <c r="BX52" s="52"/>
      <c r="BY52" s="53"/>
    </row>
    <row r="53" customFormat="false" ht="13.5" hidden="false" customHeight="false" outlineLevel="0" collapsed="false">
      <c r="A53" s="52" t="s">
        <v>534</v>
      </c>
      <c r="B53" s="52" t="n">
        <v>27.56</v>
      </c>
      <c r="C53" s="52" t="n">
        <v>26.52</v>
      </c>
      <c r="D53" s="52" t="n">
        <v>27.56</v>
      </c>
      <c r="E53" s="52" t="n">
        <v>26.52</v>
      </c>
      <c r="F53" s="52" t="s">
        <v>535</v>
      </c>
      <c r="G53" s="53" t="n">
        <v>0.06</v>
      </c>
      <c r="I53" s="52" t="s">
        <v>536</v>
      </c>
      <c r="J53" s="54" t="n">
        <v>64866.61</v>
      </c>
      <c r="K53" s="54" t="n">
        <v>65248.38</v>
      </c>
      <c r="L53" s="54" t="n">
        <v>65451.49</v>
      </c>
      <c r="M53" s="54" t="n">
        <v>64768.5</v>
      </c>
      <c r="N53" s="52" t="s">
        <v>537</v>
      </c>
      <c r="O53" s="53" t="n">
        <v>-0.0087</v>
      </c>
      <c r="Q53" s="51" t="n">
        <v>44874</v>
      </c>
      <c r="R53" s="52" t="n">
        <v>24.99</v>
      </c>
      <c r="S53" s="52" t="n">
        <v>23.3</v>
      </c>
      <c r="T53" s="52" t="n">
        <v>25</v>
      </c>
      <c r="U53" s="52" t="n">
        <v>23.3</v>
      </c>
      <c r="V53" s="52" t="s">
        <v>538</v>
      </c>
      <c r="W53" s="53" t="n">
        <v>0.073</v>
      </c>
      <c r="Y53" s="52" t="s">
        <v>539</v>
      </c>
      <c r="Z53" s="54" t="n">
        <v>46769.78</v>
      </c>
      <c r="AA53" s="54" t="n">
        <v>47168.11</v>
      </c>
      <c r="AB53" s="54" t="n">
        <v>47944.6</v>
      </c>
      <c r="AC53" s="54" t="n">
        <v>46545.13</v>
      </c>
      <c r="AD53" s="52" t="s">
        <v>540</v>
      </c>
      <c r="AE53" s="53" t="n">
        <v>-0.0058</v>
      </c>
      <c r="AG53" s="55" t="n">
        <v>45276</v>
      </c>
      <c r="AH53" s="56" t="n">
        <v>4.86</v>
      </c>
      <c r="AU53" s="58"/>
      <c r="AV53" s="52"/>
      <c r="AW53" s="52"/>
      <c r="AX53" s="52"/>
      <c r="AY53" s="52"/>
      <c r="AZ53" s="52"/>
      <c r="BA53" s="53"/>
      <c r="BC53" s="57"/>
      <c r="BD53" s="54"/>
      <c r="BE53" s="54"/>
      <c r="BF53" s="54"/>
      <c r="BG53" s="54"/>
      <c r="BH53" s="52"/>
      <c r="BI53" s="53"/>
      <c r="BK53" s="58"/>
      <c r="BL53" s="52"/>
      <c r="BM53" s="52"/>
      <c r="BN53" s="52"/>
      <c r="BO53" s="52"/>
      <c r="BP53" s="52"/>
      <c r="BQ53" s="53"/>
      <c r="BS53" s="57"/>
      <c r="BT53" s="54"/>
      <c r="BU53" s="54"/>
      <c r="BV53" s="54"/>
      <c r="BW53" s="54"/>
      <c r="BX53" s="52"/>
      <c r="BY53" s="53"/>
    </row>
    <row r="54" customFormat="false" ht="13.5" hidden="false" customHeight="false" outlineLevel="0" collapsed="false">
      <c r="A54" s="52" t="s">
        <v>541</v>
      </c>
      <c r="B54" s="52" t="n">
        <v>29.66</v>
      </c>
      <c r="C54" s="52" t="n">
        <v>27.89</v>
      </c>
      <c r="D54" s="52" t="n">
        <v>30.4</v>
      </c>
      <c r="E54" s="52" t="n">
        <v>27.89</v>
      </c>
      <c r="F54" s="52" t="s">
        <v>542</v>
      </c>
      <c r="G54" s="53" t="n">
        <v>0.0762</v>
      </c>
      <c r="I54" s="52" t="s">
        <v>543</v>
      </c>
      <c r="J54" s="54" t="n">
        <v>64727.54</v>
      </c>
      <c r="K54" s="54" t="n">
        <v>64972.75</v>
      </c>
      <c r="L54" s="54" t="n">
        <v>65019.23</v>
      </c>
      <c r="M54" s="54" t="n">
        <v>64525.23</v>
      </c>
      <c r="N54" s="52" t="s">
        <v>544</v>
      </c>
      <c r="O54" s="53" t="n">
        <v>-0.0021</v>
      </c>
      <c r="Q54" s="52" t="s">
        <v>545</v>
      </c>
      <c r="R54" s="52" t="n">
        <v>26.2</v>
      </c>
      <c r="S54" s="52" t="n">
        <v>24.9</v>
      </c>
      <c r="T54" s="52" t="n">
        <v>26.2</v>
      </c>
      <c r="U54" s="52" t="n">
        <v>23.79</v>
      </c>
      <c r="V54" s="52" t="s">
        <v>546</v>
      </c>
      <c r="W54" s="53" t="n">
        <v>0.0484</v>
      </c>
      <c r="Y54" s="52" t="s">
        <v>547</v>
      </c>
      <c r="Z54" s="54" t="n">
        <v>45395.94</v>
      </c>
      <c r="AA54" s="54" t="n">
        <v>46712.13</v>
      </c>
      <c r="AB54" s="54" t="n">
        <v>47432.52</v>
      </c>
      <c r="AC54" s="54" t="n">
        <v>45069.02</v>
      </c>
      <c r="AD54" s="52" t="s">
        <v>548</v>
      </c>
      <c r="AE54" s="53" t="n">
        <v>-0.0294</v>
      </c>
      <c r="AG54" s="55" t="n">
        <v>45292</v>
      </c>
      <c r="AH54" s="56" t="n">
        <v>4.9</v>
      </c>
      <c r="AU54" s="58"/>
      <c r="AV54" s="52"/>
      <c r="AW54" s="52"/>
      <c r="AX54" s="52"/>
      <c r="AY54" s="52"/>
      <c r="AZ54" s="52"/>
      <c r="BA54" s="53"/>
      <c r="BC54" s="57"/>
      <c r="BD54" s="54"/>
      <c r="BE54" s="54"/>
      <c r="BF54" s="54"/>
      <c r="BG54" s="54"/>
      <c r="BH54" s="52"/>
      <c r="BI54" s="53"/>
      <c r="BK54" s="57"/>
      <c r="BL54" s="52"/>
      <c r="BM54" s="52"/>
      <c r="BN54" s="52"/>
      <c r="BO54" s="52"/>
      <c r="BP54" s="52"/>
      <c r="BQ54" s="53"/>
      <c r="BS54" s="57"/>
      <c r="BT54" s="54"/>
      <c r="BU54" s="54"/>
      <c r="BV54" s="54"/>
      <c r="BW54" s="54"/>
      <c r="BX54" s="52"/>
      <c r="BY54" s="53"/>
    </row>
    <row r="55" customFormat="false" ht="13.5" hidden="false" customHeight="false" outlineLevel="0" collapsed="false">
      <c r="A55" s="52" t="s">
        <v>549</v>
      </c>
      <c r="B55" s="52" t="n">
        <v>30.02</v>
      </c>
      <c r="C55" s="52" t="n">
        <v>30.25</v>
      </c>
      <c r="D55" s="52" t="n">
        <v>30.25</v>
      </c>
      <c r="E55" s="52" t="n">
        <v>29.5</v>
      </c>
      <c r="F55" s="52" t="s">
        <v>550</v>
      </c>
      <c r="G55" s="53" t="n">
        <v>0.0121</v>
      </c>
      <c r="I55" s="52" t="s">
        <v>551</v>
      </c>
      <c r="J55" s="54" t="n">
        <v>65065.56</v>
      </c>
      <c r="K55" s="54" t="n">
        <v>64707.67</v>
      </c>
      <c r="L55" s="54" t="n">
        <v>65153.75</v>
      </c>
      <c r="M55" s="54" t="n">
        <v>64554.17</v>
      </c>
      <c r="N55" s="52" t="s">
        <v>552</v>
      </c>
      <c r="O55" s="53" t="n">
        <v>0.0052</v>
      </c>
      <c r="Q55" s="52" t="s">
        <v>553</v>
      </c>
      <c r="R55" s="52" t="n">
        <v>26.2</v>
      </c>
      <c r="S55" s="52" t="n">
        <v>26</v>
      </c>
      <c r="T55" s="52" t="n">
        <v>26.2</v>
      </c>
      <c r="U55" s="52" t="n">
        <v>25.76</v>
      </c>
      <c r="V55" s="52" t="s">
        <v>554</v>
      </c>
      <c r="W55" s="53" t="n">
        <v>0</v>
      </c>
      <c r="Y55" s="52" t="s">
        <v>555</v>
      </c>
      <c r="Z55" s="54" t="n">
        <v>44626.8</v>
      </c>
      <c r="AA55" s="54" t="n">
        <v>45410.86</v>
      </c>
      <c r="AB55" s="54" t="n">
        <v>45826.95</v>
      </c>
      <c r="AC55" s="54" t="n">
        <v>44558.81</v>
      </c>
      <c r="AD55" s="52" t="s">
        <v>556</v>
      </c>
      <c r="AE55" s="53" t="n">
        <v>-0.0169</v>
      </c>
      <c r="AG55" s="55" t="n">
        <v>45307</v>
      </c>
      <c r="AH55" s="56" t="n">
        <v>4.87</v>
      </c>
      <c r="AU55" s="57"/>
      <c r="AV55" s="52"/>
      <c r="AW55" s="52"/>
      <c r="AX55" s="52"/>
      <c r="AY55" s="52"/>
      <c r="AZ55" s="52"/>
      <c r="BA55" s="53"/>
      <c r="BC55" s="57"/>
      <c r="BD55" s="54"/>
      <c r="BE55" s="54"/>
      <c r="BF55" s="54"/>
      <c r="BG55" s="54"/>
      <c r="BH55" s="52"/>
      <c r="BI55" s="53"/>
      <c r="BK55" s="57"/>
      <c r="BL55" s="52"/>
      <c r="BM55" s="52"/>
      <c r="BN55" s="52"/>
      <c r="BO55" s="52"/>
      <c r="BP55" s="52"/>
      <c r="BQ55" s="53"/>
      <c r="BS55" s="57"/>
      <c r="BT55" s="54"/>
      <c r="BU55" s="54"/>
      <c r="BV55" s="54"/>
      <c r="BW55" s="54"/>
      <c r="BX55" s="52"/>
      <c r="BY55" s="53"/>
    </row>
    <row r="56" customFormat="false" ht="13.5" hidden="false" customHeight="false" outlineLevel="0" collapsed="false">
      <c r="A56" s="52" t="s">
        <v>557</v>
      </c>
      <c r="B56" s="52" t="n">
        <v>30.24</v>
      </c>
      <c r="C56" s="52" t="n">
        <v>30.1</v>
      </c>
      <c r="D56" s="52" t="n">
        <v>30.29</v>
      </c>
      <c r="E56" s="52" t="n">
        <v>30.1</v>
      </c>
      <c r="F56" s="52" t="s">
        <v>558</v>
      </c>
      <c r="G56" s="53" t="n">
        <v>0.0073</v>
      </c>
      <c r="I56" s="52" t="s">
        <v>559</v>
      </c>
      <c r="J56" s="54" t="n">
        <v>64814.97</v>
      </c>
      <c r="K56" s="54" t="n">
        <v>64905.29</v>
      </c>
      <c r="L56" s="54" t="n">
        <v>65263.32</v>
      </c>
      <c r="M56" s="54" t="n">
        <v>64682.05</v>
      </c>
      <c r="N56" s="52" t="s">
        <v>560</v>
      </c>
      <c r="O56" s="53" t="n">
        <v>-0.0039</v>
      </c>
      <c r="Q56" s="51" t="n">
        <v>44602</v>
      </c>
      <c r="R56" s="52" t="n">
        <v>26.43</v>
      </c>
      <c r="S56" s="52" t="n">
        <v>26.5</v>
      </c>
      <c r="T56" s="52" t="n">
        <v>28</v>
      </c>
      <c r="U56" s="52" t="n">
        <v>26</v>
      </c>
      <c r="V56" s="52" t="s">
        <v>561</v>
      </c>
      <c r="W56" s="53" t="n">
        <v>0.0088</v>
      </c>
      <c r="Y56" s="52" t="s">
        <v>562</v>
      </c>
      <c r="Z56" s="54" t="n">
        <v>45728.87</v>
      </c>
      <c r="AA56" s="54" t="n">
        <v>44779.2</v>
      </c>
      <c r="AB56" s="54" t="n">
        <v>46654.91</v>
      </c>
      <c r="AC56" s="54" t="n">
        <v>44686.64</v>
      </c>
      <c r="AD56" s="52" t="s">
        <v>563</v>
      </c>
      <c r="AE56" s="53" t="n">
        <v>0.0247</v>
      </c>
      <c r="AG56" s="55" t="n">
        <v>45323</v>
      </c>
      <c r="AH56" s="56" t="n">
        <v>4.45</v>
      </c>
      <c r="AU56" s="57"/>
      <c r="AV56" s="52"/>
      <c r="AW56" s="52"/>
      <c r="AX56" s="52"/>
      <c r="AY56" s="52"/>
      <c r="AZ56" s="52"/>
      <c r="BA56" s="53"/>
      <c r="BC56" s="57"/>
      <c r="BD56" s="54"/>
      <c r="BE56" s="54"/>
      <c r="BF56" s="54"/>
      <c r="BG56" s="54"/>
      <c r="BH56" s="52"/>
      <c r="BI56" s="53"/>
      <c r="BK56" s="57"/>
      <c r="BL56" s="52"/>
      <c r="BM56" s="52"/>
      <c r="BN56" s="52"/>
      <c r="BO56" s="52"/>
      <c r="BP56" s="52"/>
      <c r="BQ56" s="53"/>
      <c r="BS56" s="57"/>
      <c r="BT56" s="54"/>
      <c r="BU56" s="54"/>
      <c r="BV56" s="54"/>
      <c r="BW56" s="54"/>
      <c r="BX56" s="52"/>
      <c r="BY56" s="53"/>
    </row>
    <row r="57" customFormat="false" ht="13.5" hidden="false" customHeight="false" outlineLevel="0" collapsed="false">
      <c r="A57" s="52" t="s">
        <v>564</v>
      </c>
      <c r="B57" s="52" t="n">
        <v>30.1</v>
      </c>
      <c r="C57" s="52" t="n">
        <v>30.2</v>
      </c>
      <c r="D57" s="52" t="n">
        <v>30.22</v>
      </c>
      <c r="E57" s="52" t="n">
        <v>30.1</v>
      </c>
      <c r="F57" s="52" t="s">
        <v>565</v>
      </c>
      <c r="G57" s="53" t="n">
        <v>-0.0046</v>
      </c>
      <c r="I57" s="52" t="s">
        <v>566</v>
      </c>
      <c r="J57" s="54" t="n">
        <v>64106.82</v>
      </c>
      <c r="K57" s="54" t="n">
        <v>64529.27</v>
      </c>
      <c r="L57" s="54" t="n">
        <v>64675.47</v>
      </c>
      <c r="M57" s="54" t="n">
        <v>64023.32</v>
      </c>
      <c r="N57" s="52" t="s">
        <v>567</v>
      </c>
      <c r="O57" s="53" t="n">
        <v>-0.0109</v>
      </c>
      <c r="Q57" s="51" t="n">
        <v>44814</v>
      </c>
      <c r="R57" s="52" t="n">
        <v>26.5</v>
      </c>
      <c r="S57" s="52" t="n">
        <v>26.4</v>
      </c>
      <c r="T57" s="52" t="n">
        <v>26.8</v>
      </c>
      <c r="U57" s="52" t="n">
        <v>25.9</v>
      </c>
      <c r="V57" s="52" t="s">
        <v>568</v>
      </c>
      <c r="W57" s="53" t="n">
        <v>0.0026</v>
      </c>
      <c r="Y57" s="52" t="s">
        <v>569</v>
      </c>
      <c r="Z57" s="54" t="n">
        <v>45443.35</v>
      </c>
      <c r="AA57" s="54" t="n">
        <v>45688.15</v>
      </c>
      <c r="AB57" s="54" t="n">
        <v>46245.02</v>
      </c>
      <c r="AC57" s="54" t="n">
        <v>45026.43</v>
      </c>
      <c r="AD57" s="52" t="s">
        <v>570</v>
      </c>
      <c r="AE57" s="53" t="n">
        <v>-0.0062</v>
      </c>
      <c r="AG57" s="55" t="n">
        <v>45338</v>
      </c>
      <c r="AH57" s="56" t="n">
        <v>4.35</v>
      </c>
      <c r="AU57" s="58"/>
      <c r="AV57" s="52"/>
      <c r="AW57" s="52"/>
      <c r="AX57" s="52"/>
      <c r="AY57" s="52"/>
      <c r="AZ57" s="52"/>
      <c r="BA57" s="53"/>
      <c r="BC57" s="57"/>
      <c r="BD57" s="54"/>
      <c r="BE57" s="54"/>
      <c r="BF57" s="54"/>
      <c r="BG57" s="54"/>
      <c r="BH57" s="52"/>
      <c r="BI57" s="53"/>
      <c r="BK57" s="57"/>
      <c r="BL57" s="52"/>
      <c r="BM57" s="52"/>
      <c r="BN57" s="52"/>
      <c r="BO57" s="52"/>
      <c r="BP57" s="52"/>
      <c r="BQ57" s="53"/>
      <c r="BS57" s="57"/>
      <c r="BT57" s="54"/>
      <c r="BU57" s="54"/>
      <c r="BV57" s="54"/>
      <c r="BW57" s="54"/>
      <c r="BX57" s="52"/>
      <c r="BY57" s="53"/>
    </row>
    <row r="58" customFormat="false" ht="13.5" hidden="false" customHeight="false" outlineLevel="0" collapsed="false">
      <c r="A58" s="52" t="s">
        <v>571</v>
      </c>
      <c r="B58" s="52" t="n">
        <v>30.8</v>
      </c>
      <c r="C58" s="52" t="n">
        <v>30.1</v>
      </c>
      <c r="D58" s="52" t="n">
        <v>30.8</v>
      </c>
      <c r="E58" s="52" t="n">
        <v>30.1</v>
      </c>
      <c r="F58" s="52" t="s">
        <v>572</v>
      </c>
      <c r="G58" s="53" t="n">
        <v>0.0233</v>
      </c>
      <c r="I58" s="52" t="s">
        <v>573</v>
      </c>
      <c r="J58" s="54" t="n">
        <v>63924.77</v>
      </c>
      <c r="K58" s="54" t="n">
        <v>64210.93</v>
      </c>
      <c r="L58" s="54" t="n">
        <v>64454.3</v>
      </c>
      <c r="M58" s="54" t="n">
        <v>63768.4</v>
      </c>
      <c r="N58" s="52" t="s">
        <v>574</v>
      </c>
      <c r="O58" s="53" t="n">
        <v>-0.0028</v>
      </c>
      <c r="Q58" s="52" t="s">
        <v>575</v>
      </c>
      <c r="R58" s="52" t="n">
        <v>27.7</v>
      </c>
      <c r="S58" s="52" t="n">
        <v>26.13</v>
      </c>
      <c r="T58" s="52" t="n">
        <v>27.97</v>
      </c>
      <c r="U58" s="52" t="n">
        <v>25.98</v>
      </c>
      <c r="V58" s="52" t="s">
        <v>576</v>
      </c>
      <c r="W58" s="53" t="n">
        <v>0.0453</v>
      </c>
      <c r="Y58" s="52" t="s">
        <v>577</v>
      </c>
      <c r="Z58" s="54" t="n">
        <v>47120.08</v>
      </c>
      <c r="AA58" s="54" t="n">
        <v>45633.3</v>
      </c>
      <c r="AB58" s="54" t="n">
        <v>47172.33</v>
      </c>
      <c r="AC58" s="54" t="n">
        <v>45616</v>
      </c>
      <c r="AD58" s="52" t="s">
        <v>349</v>
      </c>
      <c r="AE58" s="53" t="n">
        <v>0.0369</v>
      </c>
      <c r="AG58" s="55" t="n">
        <v>45352</v>
      </c>
      <c r="AH58" s="56" t="n">
        <v>4.48</v>
      </c>
      <c r="AU58" s="58"/>
      <c r="AV58" s="52"/>
      <c r="AW58" s="52"/>
      <c r="AX58" s="52"/>
      <c r="AY58" s="52"/>
      <c r="AZ58" s="52"/>
      <c r="BA58" s="53"/>
      <c r="BC58" s="57"/>
      <c r="BD58" s="54"/>
      <c r="BE58" s="54"/>
      <c r="BF58" s="54"/>
      <c r="BG58" s="54"/>
      <c r="BH58" s="52"/>
      <c r="BI58" s="53"/>
      <c r="BK58" s="57"/>
      <c r="BL58" s="52"/>
      <c r="BM58" s="52"/>
      <c r="BN58" s="52"/>
      <c r="BO58" s="52"/>
      <c r="BP58" s="52"/>
      <c r="BQ58" s="53"/>
      <c r="BS58" s="57"/>
      <c r="BT58" s="54"/>
      <c r="BU58" s="54"/>
      <c r="BV58" s="54"/>
      <c r="BW58" s="54"/>
      <c r="BX58" s="52"/>
      <c r="BY58" s="53"/>
    </row>
    <row r="59" customFormat="false" ht="13.5" hidden="false" customHeight="false" outlineLevel="0" collapsed="false">
      <c r="A59" s="52" t="s">
        <v>578</v>
      </c>
      <c r="B59" s="52" t="n">
        <v>32.9</v>
      </c>
      <c r="C59" s="52" t="n">
        <v>30.18</v>
      </c>
      <c r="D59" s="52" t="n">
        <v>32.9</v>
      </c>
      <c r="E59" s="52" t="n">
        <v>30.18</v>
      </c>
      <c r="F59" s="52" t="s">
        <v>579</v>
      </c>
      <c r="G59" s="53" t="n">
        <v>0.0682</v>
      </c>
      <c r="I59" s="52" t="s">
        <v>580</v>
      </c>
      <c r="J59" s="54" t="n">
        <v>64216.98</v>
      </c>
      <c r="K59" s="54" t="n">
        <v>63863.57</v>
      </c>
      <c r="L59" s="54" t="n">
        <v>64301.09</v>
      </c>
      <c r="M59" s="54" t="n">
        <v>63509.34</v>
      </c>
      <c r="N59" s="52" t="s">
        <v>581</v>
      </c>
      <c r="O59" s="53" t="n">
        <v>0.0046</v>
      </c>
      <c r="Q59" s="52" t="s">
        <v>582</v>
      </c>
      <c r="R59" s="52" t="n">
        <v>30.43</v>
      </c>
      <c r="S59" s="52" t="n">
        <v>27.94</v>
      </c>
      <c r="T59" s="52" t="n">
        <v>30.63</v>
      </c>
      <c r="U59" s="52" t="n">
        <v>27</v>
      </c>
      <c r="V59" s="52" t="s">
        <v>583</v>
      </c>
      <c r="W59" s="53" t="n">
        <v>0.0986</v>
      </c>
      <c r="Y59" s="52" t="s">
        <v>584</v>
      </c>
      <c r="Z59" s="54" t="n">
        <v>49086.3</v>
      </c>
      <c r="AA59" s="54" t="n">
        <v>47088.17</v>
      </c>
      <c r="AB59" s="54" t="n">
        <v>49408.27</v>
      </c>
      <c r="AC59" s="54" t="n">
        <v>47065.42</v>
      </c>
      <c r="AD59" s="52" t="s">
        <v>585</v>
      </c>
      <c r="AE59" s="53" t="n">
        <v>0.0417</v>
      </c>
      <c r="AG59" s="55" t="n">
        <v>45367</v>
      </c>
      <c r="AH59" s="56" t="n">
        <v>4.37</v>
      </c>
      <c r="AU59" s="57"/>
      <c r="AV59" s="52"/>
      <c r="AW59" s="52"/>
      <c r="AX59" s="52"/>
      <c r="AY59" s="52"/>
      <c r="AZ59" s="52"/>
      <c r="BA59" s="53"/>
      <c r="BC59" s="57"/>
      <c r="BD59" s="54"/>
      <c r="BE59" s="54"/>
      <c r="BF59" s="54"/>
      <c r="BG59" s="54"/>
      <c r="BH59" s="52"/>
      <c r="BI59" s="53"/>
      <c r="BK59" s="57"/>
      <c r="BL59" s="52"/>
      <c r="BM59" s="52"/>
      <c r="BN59" s="52"/>
      <c r="BO59" s="52"/>
      <c r="BP59" s="52"/>
      <c r="BQ59" s="53"/>
      <c r="BS59" s="57"/>
      <c r="BT59" s="54"/>
      <c r="BU59" s="54"/>
      <c r="BV59" s="54"/>
      <c r="BW59" s="54"/>
      <c r="BX59" s="52"/>
      <c r="BY59" s="53"/>
    </row>
    <row r="60" customFormat="false" ht="13.5" hidden="false" customHeight="false" outlineLevel="0" collapsed="false">
      <c r="A60" s="52" t="s">
        <v>586</v>
      </c>
      <c r="B60" s="52" t="n">
        <v>33.48</v>
      </c>
      <c r="C60" s="52" t="n">
        <v>32.9</v>
      </c>
      <c r="D60" s="52" t="n">
        <v>33.5</v>
      </c>
      <c r="E60" s="52" t="n">
        <v>32.5</v>
      </c>
      <c r="F60" s="52" t="s">
        <v>587</v>
      </c>
      <c r="G60" s="53" t="n">
        <v>0.0176</v>
      </c>
      <c r="I60" s="52" t="s">
        <v>588</v>
      </c>
      <c r="J60" s="54" t="n">
        <v>63507.11</v>
      </c>
      <c r="K60" s="54" t="n">
        <v>64260.84</v>
      </c>
      <c r="L60" s="54" t="n">
        <v>64375.85</v>
      </c>
      <c r="M60" s="54" t="n">
        <v>63375.52</v>
      </c>
      <c r="N60" s="52" t="s">
        <v>589</v>
      </c>
      <c r="O60" s="53" t="n">
        <v>-0.0111</v>
      </c>
      <c r="Q60" s="52" t="s">
        <v>590</v>
      </c>
      <c r="R60" s="52" t="n">
        <v>30.04</v>
      </c>
      <c r="S60" s="52" t="n">
        <v>30</v>
      </c>
      <c r="T60" s="52" t="n">
        <v>30.48</v>
      </c>
      <c r="U60" s="52" t="n">
        <v>29.6</v>
      </c>
      <c r="V60" s="52" t="s">
        <v>591</v>
      </c>
      <c r="W60" s="53" t="n">
        <v>-0.0128</v>
      </c>
      <c r="Y60" s="52" t="s">
        <v>592</v>
      </c>
      <c r="Z60" s="54" t="n">
        <v>51173.75</v>
      </c>
      <c r="AA60" s="54" t="n">
        <v>49110.67</v>
      </c>
      <c r="AB60" s="54" t="n">
        <v>51319.88</v>
      </c>
      <c r="AC60" s="54" t="n">
        <v>48873.17</v>
      </c>
      <c r="AD60" s="52" t="s">
        <v>593</v>
      </c>
      <c r="AE60" s="53" t="n">
        <v>0.0425</v>
      </c>
      <c r="AG60" s="55" t="n">
        <v>45383</v>
      </c>
      <c r="AH60" s="56" t="n">
        <v>4.63</v>
      </c>
      <c r="AU60" s="57"/>
      <c r="AV60" s="52"/>
      <c r="AW60" s="52"/>
      <c r="AX60" s="52"/>
      <c r="AY60" s="52"/>
      <c r="AZ60" s="52"/>
      <c r="BA60" s="53"/>
      <c r="BC60" s="57"/>
      <c r="BD60" s="54"/>
      <c r="BE60" s="54"/>
      <c r="BF60" s="54"/>
      <c r="BG60" s="54"/>
      <c r="BH60" s="52"/>
      <c r="BI60" s="53"/>
      <c r="BK60" s="57"/>
      <c r="BL60" s="52"/>
      <c r="BM60" s="52"/>
      <c r="BN60" s="52"/>
      <c r="BO60" s="52"/>
      <c r="BP60" s="52"/>
      <c r="BQ60" s="53"/>
      <c r="BS60" s="57"/>
      <c r="BT60" s="54"/>
      <c r="BU60" s="54"/>
      <c r="BV60" s="54"/>
      <c r="BW60" s="54"/>
      <c r="BX60" s="52"/>
      <c r="BY60" s="53"/>
    </row>
    <row r="61" customFormat="false" ht="13.5" hidden="false" customHeight="false" outlineLevel="0" collapsed="false">
      <c r="A61" s="52" t="s">
        <v>594</v>
      </c>
      <c r="B61" s="52" t="n">
        <v>33.85</v>
      </c>
      <c r="C61" s="52" t="n">
        <v>33.48</v>
      </c>
      <c r="D61" s="52" t="n">
        <v>33.85</v>
      </c>
      <c r="E61" s="52" t="n">
        <v>33.48</v>
      </c>
      <c r="F61" s="52" t="s">
        <v>595</v>
      </c>
      <c r="G61" s="53" t="n">
        <v>0.0111</v>
      </c>
      <c r="I61" s="52" t="s">
        <v>596</v>
      </c>
      <c r="J61" s="54" t="n">
        <v>63873.32</v>
      </c>
      <c r="K61" s="54" t="n">
        <v>63666.04</v>
      </c>
      <c r="L61" s="54" t="n">
        <v>63979.43</v>
      </c>
      <c r="M61" s="54" t="n">
        <v>63464.96</v>
      </c>
      <c r="N61" s="52" t="s">
        <v>597</v>
      </c>
      <c r="O61" s="53" t="n">
        <v>0.0058</v>
      </c>
      <c r="Q61" s="51" t="n">
        <v>44723</v>
      </c>
      <c r="R61" s="52" t="n">
        <v>29.95</v>
      </c>
      <c r="S61" s="52" t="n">
        <v>30.23</v>
      </c>
      <c r="T61" s="52" t="n">
        <v>30.25</v>
      </c>
      <c r="U61" s="52" t="n">
        <v>29</v>
      </c>
      <c r="V61" s="52" t="s">
        <v>598</v>
      </c>
      <c r="W61" s="53" t="n">
        <v>-0.003</v>
      </c>
      <c r="Y61" s="52" t="s">
        <v>599</v>
      </c>
      <c r="Z61" s="54" t="n">
        <v>51959.2</v>
      </c>
      <c r="AA61" s="54" t="n">
        <v>51166.86</v>
      </c>
      <c r="AB61" s="54" t="n">
        <v>52126.9</v>
      </c>
      <c r="AC61" s="54" t="n">
        <v>50333.12</v>
      </c>
      <c r="AD61" s="52" t="s">
        <v>600</v>
      </c>
      <c r="AE61" s="53" t="n">
        <v>0.0153</v>
      </c>
      <c r="AG61" s="55" t="n">
        <v>45398</v>
      </c>
      <c r="AH61" s="56" t="n">
        <v>4.67</v>
      </c>
      <c r="AU61" s="57"/>
      <c r="AV61" s="52"/>
      <c r="AW61" s="52"/>
      <c r="AX61" s="52"/>
      <c r="AY61" s="52"/>
      <c r="AZ61" s="52"/>
      <c r="BA61" s="53"/>
      <c r="BC61" s="57"/>
      <c r="BD61" s="54"/>
      <c r="BE61" s="54"/>
      <c r="BF61" s="54"/>
      <c r="BG61" s="54"/>
      <c r="BH61" s="52"/>
      <c r="BI61" s="53"/>
      <c r="BK61" s="57"/>
      <c r="BL61" s="52"/>
      <c r="BM61" s="52"/>
      <c r="BN61" s="52"/>
      <c r="BO61" s="52"/>
      <c r="BP61" s="52"/>
      <c r="BQ61" s="53"/>
      <c r="BS61" s="57"/>
      <c r="BT61" s="54"/>
      <c r="BU61" s="54"/>
      <c r="BV61" s="54"/>
      <c r="BW61" s="54"/>
      <c r="BX61" s="52"/>
      <c r="BY61" s="53"/>
    </row>
    <row r="62" customFormat="false" ht="13.5" hidden="false" customHeight="false" outlineLevel="0" collapsed="false">
      <c r="A62" s="52" t="s">
        <v>601</v>
      </c>
      <c r="B62" s="52" t="n">
        <v>34.5</v>
      </c>
      <c r="C62" s="52" t="n">
        <v>34</v>
      </c>
      <c r="D62" s="52" t="n">
        <v>34.5</v>
      </c>
      <c r="E62" s="52" t="n">
        <v>33.82</v>
      </c>
      <c r="F62" s="52" t="s">
        <v>602</v>
      </c>
      <c r="G62" s="53" t="n">
        <v>0.0192</v>
      </c>
      <c r="I62" s="52" t="s">
        <v>603</v>
      </c>
      <c r="J62" s="54" t="n">
        <v>63375.93</v>
      </c>
      <c r="K62" s="54" t="n">
        <v>63909.05</v>
      </c>
      <c r="L62" s="54" t="n">
        <v>64020.04</v>
      </c>
      <c r="M62" s="54" t="n">
        <v>63296.67</v>
      </c>
      <c r="N62" s="52" t="s">
        <v>604</v>
      </c>
      <c r="O62" s="53" t="n">
        <v>-0.0078</v>
      </c>
      <c r="Q62" s="52" t="s">
        <v>605</v>
      </c>
      <c r="R62" s="52" t="n">
        <v>30.2</v>
      </c>
      <c r="S62" s="52" t="n">
        <v>29.64</v>
      </c>
      <c r="T62" s="52" t="n">
        <v>30.49</v>
      </c>
      <c r="U62" s="52" t="n">
        <v>29.09</v>
      </c>
      <c r="V62" s="52" t="s">
        <v>606</v>
      </c>
      <c r="W62" s="53" t="n">
        <v>0.0083</v>
      </c>
      <c r="Y62" s="52" t="s">
        <v>607</v>
      </c>
      <c r="Z62" s="54" t="n">
        <v>51569.72</v>
      </c>
      <c r="AA62" s="54" t="n">
        <v>51915.63</v>
      </c>
      <c r="AB62" s="54" t="n">
        <v>52457.14</v>
      </c>
      <c r="AC62" s="54" t="n">
        <v>51057.38</v>
      </c>
      <c r="AD62" s="52" t="s">
        <v>608</v>
      </c>
      <c r="AE62" s="53" t="n">
        <v>-0.0075</v>
      </c>
      <c r="AG62" s="55" t="n">
        <v>45413</v>
      </c>
      <c r="AH62" s="56" t="n">
        <v>4.78</v>
      </c>
      <c r="AU62" s="58"/>
      <c r="AV62" s="52"/>
      <c r="AW62" s="52"/>
      <c r="AX62" s="52"/>
      <c r="AY62" s="52"/>
      <c r="AZ62" s="52"/>
      <c r="BA62" s="53"/>
      <c r="BC62" s="57"/>
      <c r="BD62" s="54"/>
      <c r="BE62" s="54"/>
      <c r="BF62" s="54"/>
      <c r="BG62" s="54"/>
      <c r="BH62" s="52"/>
      <c r="BI62" s="53"/>
      <c r="BK62" s="57"/>
      <c r="BL62" s="52"/>
      <c r="BM62" s="52"/>
      <c r="BN62" s="52"/>
      <c r="BO62" s="52"/>
      <c r="BP62" s="52"/>
      <c r="BQ62" s="53"/>
      <c r="BS62" s="57"/>
      <c r="BT62" s="54"/>
      <c r="BU62" s="54"/>
      <c r="BV62" s="54"/>
      <c r="BW62" s="54"/>
      <c r="BX62" s="52"/>
      <c r="BY62" s="53"/>
    </row>
    <row r="63" customFormat="false" ht="13.5" hidden="false" customHeight="false" outlineLevel="0" collapsed="false">
      <c r="A63" s="52" t="s">
        <v>609</v>
      </c>
      <c r="B63" s="52" t="n">
        <v>35</v>
      </c>
      <c r="C63" s="52" t="n">
        <v>33.81</v>
      </c>
      <c r="D63" s="52" t="n">
        <v>35</v>
      </c>
      <c r="E63" s="52" t="n">
        <v>33.81</v>
      </c>
      <c r="F63" s="52" t="s">
        <v>610</v>
      </c>
      <c r="G63" s="53" t="n">
        <v>0.0145</v>
      </c>
      <c r="I63" s="52" t="s">
        <v>611</v>
      </c>
      <c r="J63" s="54" t="n">
        <v>63536.96</v>
      </c>
      <c r="K63" s="54" t="n">
        <v>63741.55</v>
      </c>
      <c r="L63" s="54" t="n">
        <v>63741.55</v>
      </c>
      <c r="M63" s="54" t="n">
        <v>63059.32</v>
      </c>
      <c r="N63" s="52" t="s">
        <v>612</v>
      </c>
      <c r="O63" s="53" t="n">
        <v>0.0025</v>
      </c>
      <c r="Q63" s="52" t="s">
        <v>613</v>
      </c>
      <c r="R63" s="52" t="n">
        <v>30.45</v>
      </c>
      <c r="S63" s="52" t="n">
        <v>30.39</v>
      </c>
      <c r="T63" s="52" t="n">
        <v>30.48</v>
      </c>
      <c r="U63" s="52" t="n">
        <v>30.17</v>
      </c>
      <c r="V63" s="52" t="s">
        <v>614</v>
      </c>
      <c r="W63" s="53" t="n">
        <v>0.0083</v>
      </c>
      <c r="Y63" s="52" t="s">
        <v>615</v>
      </c>
      <c r="Z63" s="54" t="n">
        <v>51668.64</v>
      </c>
      <c r="AA63" s="54" t="n">
        <v>51614.16</v>
      </c>
      <c r="AB63" s="54" t="n">
        <v>52371.02</v>
      </c>
      <c r="AC63" s="54" t="n">
        <v>51289.91</v>
      </c>
      <c r="AD63" s="52" t="s">
        <v>616</v>
      </c>
      <c r="AE63" s="53" t="n">
        <v>0.0019</v>
      </c>
      <c r="AG63" s="55" t="n">
        <v>45428</v>
      </c>
      <c r="AH63" s="56" t="n">
        <v>4.59</v>
      </c>
      <c r="AU63" s="57"/>
      <c r="AV63" s="52"/>
      <c r="AW63" s="52"/>
      <c r="AX63" s="52"/>
      <c r="AY63" s="52"/>
      <c r="AZ63" s="52"/>
      <c r="BA63" s="53"/>
      <c r="BC63" s="57"/>
      <c r="BD63" s="54"/>
      <c r="BE63" s="54"/>
      <c r="BF63" s="54"/>
      <c r="BG63" s="54"/>
      <c r="BH63" s="52"/>
      <c r="BI63" s="53"/>
      <c r="BK63" s="57"/>
      <c r="BL63" s="52"/>
      <c r="BM63" s="52"/>
      <c r="BN63" s="52"/>
      <c r="BO63" s="52"/>
      <c r="BP63" s="52"/>
      <c r="BQ63" s="53"/>
      <c r="BS63" s="57"/>
      <c r="BT63" s="54"/>
      <c r="BU63" s="54"/>
      <c r="BV63" s="54"/>
      <c r="BW63" s="54"/>
      <c r="BX63" s="52"/>
      <c r="BY63" s="53"/>
    </row>
    <row r="64" customFormat="false" ht="13.5" hidden="false" customHeight="false" outlineLevel="0" collapsed="false">
      <c r="A64" s="51" t="n">
        <v>46032</v>
      </c>
      <c r="B64" s="52" t="n">
        <v>34</v>
      </c>
      <c r="C64" s="52" t="n">
        <v>35</v>
      </c>
      <c r="D64" s="52" t="n">
        <v>35</v>
      </c>
      <c r="E64" s="52" t="n">
        <v>34</v>
      </c>
      <c r="F64" s="52" t="s">
        <v>617</v>
      </c>
      <c r="G64" s="53" t="n">
        <v>-0.0286</v>
      </c>
      <c r="I64" s="52" t="s">
        <v>618</v>
      </c>
      <c r="J64" s="54" t="n">
        <v>64456.59</v>
      </c>
      <c r="K64" s="54" t="n">
        <v>63598.64</v>
      </c>
      <c r="L64" s="54" t="n">
        <v>64477.59</v>
      </c>
      <c r="M64" s="54" t="n">
        <v>63505.34</v>
      </c>
      <c r="N64" s="52" t="s">
        <v>619</v>
      </c>
      <c r="O64" s="53" t="n">
        <v>0.0145</v>
      </c>
      <c r="Q64" s="52" t="s">
        <v>620</v>
      </c>
      <c r="R64" s="52" t="n">
        <v>28.56</v>
      </c>
      <c r="S64" s="52" t="n">
        <v>30.45</v>
      </c>
      <c r="T64" s="52" t="n">
        <v>30.45</v>
      </c>
      <c r="U64" s="52" t="n">
        <v>27.71</v>
      </c>
      <c r="V64" s="52" t="s">
        <v>621</v>
      </c>
      <c r="W64" s="53" t="n">
        <v>-0.0621</v>
      </c>
      <c r="Y64" s="52" t="s">
        <v>622</v>
      </c>
      <c r="Z64" s="54" t="n">
        <v>51234.37</v>
      </c>
      <c r="AA64" s="54" t="n">
        <v>51619.81</v>
      </c>
      <c r="AB64" s="54" t="n">
        <v>52120.23</v>
      </c>
      <c r="AC64" s="54" t="n">
        <v>50111.49</v>
      </c>
      <c r="AD64" s="52" t="s">
        <v>623</v>
      </c>
      <c r="AE64" s="53" t="n">
        <v>-0.0084</v>
      </c>
      <c r="AG64" s="55" t="n">
        <v>45444</v>
      </c>
      <c r="AH64" s="56" t="n">
        <v>4.78</v>
      </c>
      <c r="AU64" s="57"/>
      <c r="AV64" s="52"/>
      <c r="AW64" s="52"/>
      <c r="AX64" s="52"/>
      <c r="AY64" s="52"/>
      <c r="AZ64" s="52"/>
      <c r="BA64" s="53"/>
      <c r="BC64" s="57"/>
      <c r="BD64" s="54"/>
      <c r="BE64" s="54"/>
      <c r="BF64" s="54"/>
      <c r="BG64" s="54"/>
      <c r="BH64" s="52"/>
      <c r="BI64" s="53"/>
      <c r="BK64" s="57"/>
      <c r="BL64" s="52"/>
      <c r="BM64" s="52"/>
      <c r="BN64" s="52"/>
      <c r="BO64" s="52"/>
      <c r="BP64" s="52"/>
      <c r="BQ64" s="53"/>
      <c r="BS64" s="57"/>
      <c r="BT64" s="54"/>
      <c r="BU64" s="54"/>
      <c r="BV64" s="54"/>
      <c r="BW64" s="54"/>
      <c r="BX64" s="52"/>
      <c r="BY64" s="53"/>
    </row>
    <row r="65" customFormat="false" ht="13.5" hidden="false" customHeight="false" outlineLevel="0" collapsed="false">
      <c r="A65" s="51" t="n">
        <v>46063</v>
      </c>
      <c r="B65" s="52" t="n">
        <v>34.1</v>
      </c>
      <c r="C65" s="52" t="n">
        <v>34.97</v>
      </c>
      <c r="D65" s="52" t="n">
        <v>35</v>
      </c>
      <c r="E65" s="52" t="n">
        <v>34</v>
      </c>
      <c r="F65" s="52" t="s">
        <v>624</v>
      </c>
      <c r="G65" s="53" t="n">
        <v>0.0029</v>
      </c>
      <c r="I65" s="52" t="s">
        <v>625</v>
      </c>
      <c r="J65" s="54" t="n">
        <v>64276.72</v>
      </c>
      <c r="K65" s="54" t="n">
        <v>64295.29</v>
      </c>
      <c r="L65" s="54" t="n">
        <v>64525.3</v>
      </c>
      <c r="M65" s="54" t="n">
        <v>64003.79</v>
      </c>
      <c r="N65" s="52" t="s">
        <v>626</v>
      </c>
      <c r="O65" s="53" t="n">
        <v>-0.0028</v>
      </c>
      <c r="Q65" s="51" t="n">
        <v>44663</v>
      </c>
      <c r="R65" s="52" t="n">
        <v>30.43</v>
      </c>
      <c r="S65" s="52" t="n">
        <v>28.56</v>
      </c>
      <c r="T65" s="52" t="n">
        <v>30.43</v>
      </c>
      <c r="U65" s="52" t="n">
        <v>28.5</v>
      </c>
      <c r="V65" s="52" t="s">
        <v>627</v>
      </c>
      <c r="W65" s="53" t="n">
        <v>0.0655</v>
      </c>
      <c r="Y65" s="52" t="s">
        <v>628</v>
      </c>
      <c r="Z65" s="54" t="n">
        <v>50466.25</v>
      </c>
      <c r="AA65" s="54" t="n">
        <v>51197.73</v>
      </c>
      <c r="AB65" s="54" t="n">
        <v>51481.81</v>
      </c>
      <c r="AC65" s="54" t="n">
        <v>50423.74</v>
      </c>
      <c r="AD65" s="52" t="s">
        <v>629</v>
      </c>
      <c r="AE65" s="53" t="n">
        <v>-0.015</v>
      </c>
      <c r="AG65" s="55" t="n">
        <v>45459</v>
      </c>
      <c r="AH65" s="56" t="n">
        <v>5.17</v>
      </c>
      <c r="AU65" s="57"/>
      <c r="AV65" s="52"/>
      <c r="AW65" s="52"/>
      <c r="AX65" s="52"/>
      <c r="AY65" s="52"/>
      <c r="AZ65" s="52"/>
      <c r="BA65" s="53"/>
      <c r="BC65" s="57"/>
      <c r="BD65" s="54"/>
      <c r="BE65" s="54"/>
      <c r="BF65" s="54"/>
      <c r="BG65" s="54"/>
      <c r="BH65" s="52"/>
      <c r="BI65" s="53"/>
      <c r="BK65" s="58"/>
      <c r="BL65" s="52"/>
      <c r="BM65" s="52"/>
      <c r="BN65" s="52"/>
      <c r="BO65" s="52"/>
      <c r="BP65" s="52"/>
      <c r="BQ65" s="53"/>
      <c r="BS65" s="57"/>
      <c r="BT65" s="54"/>
      <c r="BU65" s="54"/>
      <c r="BV65" s="54"/>
      <c r="BW65" s="54"/>
      <c r="BX65" s="52"/>
      <c r="BY65" s="53"/>
    </row>
    <row r="66" customFormat="false" ht="13.5" hidden="false" customHeight="false" outlineLevel="0" collapsed="false">
      <c r="A66" s="51" t="n">
        <v>46152</v>
      </c>
      <c r="B66" s="52" t="n">
        <v>33.79</v>
      </c>
      <c r="C66" s="52" t="n">
        <v>34.48</v>
      </c>
      <c r="D66" s="52" t="n">
        <v>34.48</v>
      </c>
      <c r="E66" s="52" t="n">
        <v>33.4</v>
      </c>
      <c r="F66" s="52" t="s">
        <v>630</v>
      </c>
      <c r="G66" s="53" t="n">
        <v>-0.0091</v>
      </c>
      <c r="I66" s="52" t="s">
        <v>631</v>
      </c>
      <c r="J66" s="54" t="n">
        <v>64264.16</v>
      </c>
      <c r="K66" s="54" t="n">
        <v>64044.17</v>
      </c>
      <c r="L66" s="54" t="n">
        <v>64327.02</v>
      </c>
      <c r="M66" s="54" t="n">
        <v>63806.19</v>
      </c>
      <c r="N66" s="52" t="s">
        <v>632</v>
      </c>
      <c r="O66" s="53" t="n">
        <v>-0.0002</v>
      </c>
      <c r="Q66" s="51" t="n">
        <v>44877</v>
      </c>
      <c r="R66" s="52" t="n">
        <v>30.63</v>
      </c>
      <c r="S66" s="52" t="n">
        <v>30.49</v>
      </c>
      <c r="T66" s="52" t="n">
        <v>30.63</v>
      </c>
      <c r="U66" s="52" t="n">
        <v>29.99</v>
      </c>
      <c r="V66" s="52" t="s">
        <v>633</v>
      </c>
      <c r="W66" s="53" t="n">
        <v>0.0066</v>
      </c>
      <c r="Y66" s="52" t="s">
        <v>634</v>
      </c>
      <c r="Z66" s="54" t="n">
        <v>49630.15</v>
      </c>
      <c r="AA66" s="54" t="n">
        <v>50638.82</v>
      </c>
      <c r="AB66" s="54" t="n">
        <v>51084.44</v>
      </c>
      <c r="AC66" s="54" t="n">
        <v>49113.71</v>
      </c>
      <c r="AD66" s="52" t="s">
        <v>585</v>
      </c>
      <c r="AE66" s="53" t="n">
        <v>-0.0166</v>
      </c>
      <c r="AG66" s="55" t="n">
        <v>45474</v>
      </c>
      <c r="AH66" s="56" t="n">
        <v>5.61</v>
      </c>
      <c r="AU66" s="58"/>
      <c r="AV66" s="52"/>
      <c r="AW66" s="52"/>
      <c r="AX66" s="52"/>
      <c r="AY66" s="52"/>
      <c r="AZ66" s="52"/>
      <c r="BA66" s="53"/>
      <c r="BC66" s="57"/>
      <c r="BD66" s="54"/>
      <c r="BE66" s="54"/>
      <c r="BF66" s="54"/>
      <c r="BG66" s="54"/>
      <c r="BH66" s="52"/>
      <c r="BI66" s="53"/>
      <c r="BK66" s="58"/>
      <c r="BL66" s="52"/>
      <c r="BM66" s="52"/>
      <c r="BN66" s="52"/>
      <c r="BO66" s="52"/>
      <c r="BP66" s="52"/>
      <c r="BQ66" s="53"/>
      <c r="BS66" s="57"/>
      <c r="BT66" s="54"/>
      <c r="BU66" s="54"/>
      <c r="BV66" s="54"/>
      <c r="BW66" s="54"/>
      <c r="BX66" s="52"/>
      <c r="BY66" s="53"/>
    </row>
    <row r="67" customFormat="false" ht="13.5" hidden="false" customHeight="false" outlineLevel="0" collapsed="false">
      <c r="A67" s="51" t="n">
        <v>46183</v>
      </c>
      <c r="B67" s="52" t="n">
        <v>33.11</v>
      </c>
      <c r="C67" s="52" t="n">
        <v>32.85</v>
      </c>
      <c r="D67" s="52" t="n">
        <v>33.11</v>
      </c>
      <c r="E67" s="52" t="n">
        <v>32.85</v>
      </c>
      <c r="F67" s="52" t="s">
        <v>635</v>
      </c>
      <c r="G67" s="53" t="n">
        <v>-0.0201</v>
      </c>
      <c r="I67" s="52" t="s">
        <v>636</v>
      </c>
      <c r="J67" s="54" t="n">
        <v>64992.23</v>
      </c>
      <c r="K67" s="54" t="n">
        <v>64205.49</v>
      </c>
      <c r="L67" s="54" t="n">
        <v>65035.96</v>
      </c>
      <c r="M67" s="54" t="n">
        <v>64205.49</v>
      </c>
      <c r="N67" s="52" t="s">
        <v>637</v>
      </c>
      <c r="O67" s="53" t="n">
        <v>0.0113</v>
      </c>
      <c r="Q67" s="52" t="s">
        <v>638</v>
      </c>
      <c r="R67" s="52" t="n">
        <v>30.83</v>
      </c>
      <c r="S67" s="52" t="n">
        <v>30.6</v>
      </c>
      <c r="T67" s="52" t="n">
        <v>30.83</v>
      </c>
      <c r="U67" s="52" t="n">
        <v>30.55</v>
      </c>
      <c r="V67" s="52" t="s">
        <v>639</v>
      </c>
      <c r="W67" s="53" t="n">
        <v>0.0065</v>
      </c>
      <c r="Y67" s="52" t="s">
        <v>640</v>
      </c>
      <c r="Z67" s="54" t="n">
        <v>50578.09</v>
      </c>
      <c r="AA67" s="54" t="n">
        <v>49694.69</v>
      </c>
      <c r="AB67" s="54" t="n">
        <v>50791.38</v>
      </c>
      <c r="AC67" s="54" t="n">
        <v>49534.65</v>
      </c>
      <c r="AD67" s="52" t="s">
        <v>641</v>
      </c>
      <c r="AE67" s="53" t="n">
        <v>0.0191</v>
      </c>
      <c r="AG67" s="55" t="n">
        <v>45489</v>
      </c>
      <c r="AH67" s="56" t="n">
        <v>5.52</v>
      </c>
      <c r="AU67" s="58"/>
      <c r="AV67" s="52"/>
      <c r="AW67" s="52"/>
      <c r="AX67" s="52"/>
      <c r="AY67" s="52"/>
      <c r="AZ67" s="52"/>
      <c r="BA67" s="53"/>
      <c r="BC67" s="57"/>
      <c r="BD67" s="54"/>
      <c r="BE67" s="54"/>
      <c r="BF67" s="54"/>
      <c r="BG67" s="54"/>
      <c r="BH67" s="52"/>
      <c r="BI67" s="53"/>
      <c r="BK67" s="58"/>
      <c r="BL67" s="52"/>
      <c r="BM67" s="52"/>
      <c r="BN67" s="52"/>
      <c r="BO67" s="52"/>
      <c r="BP67" s="52"/>
      <c r="BQ67" s="53"/>
      <c r="BS67" s="57"/>
      <c r="BT67" s="54"/>
      <c r="BU67" s="54"/>
      <c r="BV67" s="54"/>
      <c r="BW67" s="54"/>
      <c r="BX67" s="52"/>
      <c r="BY67" s="53"/>
    </row>
    <row r="68" customFormat="false" ht="13.5" hidden="false" customHeight="false" outlineLevel="0" collapsed="false">
      <c r="A68" s="51" t="n">
        <v>46213</v>
      </c>
      <c r="B68" s="52" t="n">
        <v>33.1</v>
      </c>
      <c r="C68" s="52" t="n">
        <v>33.1</v>
      </c>
      <c r="D68" s="52" t="n">
        <v>33.1</v>
      </c>
      <c r="E68" s="52" t="n">
        <v>33.1</v>
      </c>
      <c r="F68" s="52" t="s">
        <v>642</v>
      </c>
      <c r="G68" s="53" t="n">
        <v>-0.0003</v>
      </c>
      <c r="I68" s="52" t="s">
        <v>643</v>
      </c>
      <c r="J68" s="54" t="n">
        <v>64944.41</v>
      </c>
      <c r="K68" s="54" t="n">
        <v>64803.3</v>
      </c>
      <c r="L68" s="54" t="n">
        <v>65127.99</v>
      </c>
      <c r="M68" s="54" t="n">
        <v>64621.9</v>
      </c>
      <c r="N68" s="52" t="s">
        <v>644</v>
      </c>
      <c r="O68" s="53" t="n">
        <v>-0.0007</v>
      </c>
      <c r="Q68" s="52" t="s">
        <v>645</v>
      </c>
      <c r="R68" s="52" t="n">
        <v>31.28</v>
      </c>
      <c r="S68" s="52" t="n">
        <v>30.99</v>
      </c>
      <c r="T68" s="52" t="n">
        <v>31.32</v>
      </c>
      <c r="U68" s="52" t="n">
        <v>30.61</v>
      </c>
      <c r="V68" s="52" t="s">
        <v>646</v>
      </c>
      <c r="W68" s="53" t="n">
        <v>0.0146</v>
      </c>
      <c r="Y68" s="52" t="s">
        <v>647</v>
      </c>
      <c r="Z68" s="54" t="n">
        <v>48463.86</v>
      </c>
      <c r="AA68" s="54" t="n">
        <v>50530.63</v>
      </c>
      <c r="AB68" s="54" t="n">
        <v>50838.65</v>
      </c>
      <c r="AC68" s="54" t="n">
        <v>48383.2</v>
      </c>
      <c r="AD68" s="52" t="s">
        <v>648</v>
      </c>
      <c r="AE68" s="53" t="n">
        <v>-0.0418</v>
      </c>
      <c r="AG68" s="55" t="n">
        <v>45505</v>
      </c>
      <c r="AH68" s="56" t="n">
        <v>5.16</v>
      </c>
      <c r="AU68" s="57"/>
      <c r="AV68" s="52"/>
      <c r="AW68" s="52"/>
      <c r="AX68" s="52"/>
      <c r="AY68" s="52"/>
      <c r="AZ68" s="52"/>
      <c r="BA68" s="53"/>
      <c r="BC68" s="57"/>
      <c r="BD68" s="54"/>
      <c r="BE68" s="54"/>
      <c r="BF68" s="54"/>
      <c r="BG68" s="54"/>
      <c r="BH68" s="52"/>
      <c r="BI68" s="53"/>
      <c r="BK68" s="58"/>
      <c r="BL68" s="52"/>
      <c r="BM68" s="52"/>
      <c r="BN68" s="52"/>
      <c r="BO68" s="52"/>
      <c r="BP68" s="52"/>
      <c r="BQ68" s="53"/>
      <c r="BS68" s="57"/>
      <c r="BT68" s="54"/>
      <c r="BU68" s="54"/>
      <c r="BV68" s="54"/>
      <c r="BW68" s="54"/>
      <c r="BX68" s="52"/>
      <c r="BY68" s="53"/>
    </row>
    <row r="69" customFormat="false" ht="13.5" hidden="false" customHeight="false" outlineLevel="0" collapsed="false">
      <c r="A69" s="51"/>
      <c r="B69" s="52"/>
      <c r="C69" s="52"/>
      <c r="D69" s="52"/>
      <c r="E69" s="52"/>
      <c r="F69" s="52"/>
      <c r="G69" s="53"/>
      <c r="I69" s="52" t="s">
        <v>649</v>
      </c>
      <c r="J69" s="54" t="n">
        <v>65110.57</v>
      </c>
      <c r="K69" s="54" t="n">
        <v>64988.34</v>
      </c>
      <c r="L69" s="54" t="n">
        <v>65565.2</v>
      </c>
      <c r="M69" s="54" t="n">
        <v>64817.06</v>
      </c>
      <c r="N69" s="52" t="s">
        <v>650</v>
      </c>
      <c r="O69" s="53" t="n">
        <v>0.0026</v>
      </c>
      <c r="Q69" s="51" t="n">
        <v>44927</v>
      </c>
      <c r="R69" s="52" t="n">
        <v>31.65</v>
      </c>
      <c r="S69" s="52" t="n">
        <v>31.59</v>
      </c>
      <c r="T69" s="52" t="n">
        <v>31.78</v>
      </c>
      <c r="U69" s="52" t="n">
        <v>31.3</v>
      </c>
      <c r="V69" s="52" t="s">
        <v>651</v>
      </c>
      <c r="W69" s="53" t="n">
        <v>0.0118</v>
      </c>
      <c r="Y69" s="52" t="s">
        <v>652</v>
      </c>
      <c r="Z69" s="54" t="n">
        <v>51730.5</v>
      </c>
      <c r="AA69" s="54" t="n">
        <v>48506.04</v>
      </c>
      <c r="AB69" s="54" t="n">
        <v>52004.83</v>
      </c>
      <c r="AC69" s="54" t="n">
        <v>48478.94</v>
      </c>
      <c r="AD69" s="52" t="s">
        <v>653</v>
      </c>
      <c r="AE69" s="53" t="n">
        <v>0.0674</v>
      </c>
      <c r="AG69" s="55" t="n">
        <v>45520</v>
      </c>
      <c r="AH69" s="56" t="n">
        <v>4.83</v>
      </c>
      <c r="AU69" s="57"/>
      <c r="AV69" s="52"/>
      <c r="AW69" s="52"/>
      <c r="AX69" s="52"/>
      <c r="AY69" s="52"/>
      <c r="AZ69" s="52"/>
      <c r="BA69" s="53"/>
      <c r="BC69" s="57"/>
      <c r="BD69" s="54"/>
      <c r="BE69" s="54"/>
      <c r="BF69" s="54"/>
      <c r="BG69" s="54"/>
      <c r="BH69" s="52"/>
      <c r="BI69" s="53"/>
      <c r="BK69" s="58"/>
      <c r="BL69" s="52"/>
      <c r="BM69" s="52"/>
      <c r="BN69" s="52"/>
      <c r="BO69" s="52"/>
      <c r="BP69" s="52"/>
      <c r="BQ69" s="53"/>
      <c r="BS69" s="57"/>
      <c r="BT69" s="54"/>
      <c r="BU69" s="54"/>
      <c r="BV69" s="54"/>
      <c r="BW69" s="54"/>
      <c r="BX69" s="52"/>
      <c r="BY69" s="53"/>
    </row>
    <row r="70" customFormat="false" ht="13.5" hidden="false" customHeight="false" outlineLevel="0" collapsed="false">
      <c r="A70" s="51"/>
      <c r="B70" s="52"/>
      <c r="C70" s="52"/>
      <c r="D70" s="52"/>
      <c r="E70" s="52"/>
      <c r="F70" s="52"/>
      <c r="G70" s="53"/>
      <c r="I70" s="52" t="s">
        <v>654</v>
      </c>
      <c r="J70" s="54" t="n">
        <v>64214.36</v>
      </c>
      <c r="K70" s="54" t="n">
        <v>65185.46</v>
      </c>
      <c r="L70" s="54" t="n">
        <v>65185.46</v>
      </c>
      <c r="M70" s="54" t="n">
        <v>64145.55</v>
      </c>
      <c r="N70" s="52" t="s">
        <v>655</v>
      </c>
      <c r="O70" s="53" t="n">
        <v>-0.0138</v>
      </c>
      <c r="Q70" s="51" t="n">
        <v>45139</v>
      </c>
      <c r="R70" s="52" t="n">
        <v>30.99</v>
      </c>
      <c r="S70" s="52" t="n">
        <v>31.23</v>
      </c>
      <c r="T70" s="52" t="n">
        <v>31.23</v>
      </c>
      <c r="U70" s="52" t="n">
        <v>30</v>
      </c>
      <c r="V70" s="52" t="s">
        <v>656</v>
      </c>
      <c r="W70" s="53" t="n">
        <v>-0.0209</v>
      </c>
      <c r="Y70" s="52" t="s">
        <v>657</v>
      </c>
      <c r="Z70" s="54" t="n">
        <v>53576.72</v>
      </c>
      <c r="AA70" s="54" t="n">
        <v>51770.1</v>
      </c>
      <c r="AB70" s="54" t="n">
        <v>53903.9</v>
      </c>
      <c r="AC70" s="54" t="n">
        <v>51744.84</v>
      </c>
      <c r="AD70" s="52" t="s">
        <v>658</v>
      </c>
      <c r="AE70" s="53" t="n">
        <v>0.0357</v>
      </c>
      <c r="AG70" s="55" t="n">
        <v>45536</v>
      </c>
      <c r="AH70" s="56" t="n">
        <v>4.66</v>
      </c>
      <c r="AU70" s="58"/>
      <c r="AV70" s="52"/>
      <c r="AW70" s="52"/>
      <c r="AX70" s="52"/>
      <c r="AY70" s="52"/>
      <c r="AZ70" s="52"/>
      <c r="BA70" s="53"/>
      <c r="BC70" s="57"/>
      <c r="BD70" s="54"/>
      <c r="BE70" s="54"/>
      <c r="BF70" s="54"/>
      <c r="BG70" s="54"/>
      <c r="BH70" s="52"/>
      <c r="BI70" s="53"/>
      <c r="BS70" s="57"/>
      <c r="BT70" s="54"/>
      <c r="BU70" s="54"/>
      <c r="BV70" s="54"/>
      <c r="BW70" s="54"/>
      <c r="BX70" s="52"/>
      <c r="BY70" s="53"/>
    </row>
    <row r="71" customFormat="false" ht="13.5" hidden="false" customHeight="false" outlineLevel="0" collapsed="false">
      <c r="A71" s="52"/>
      <c r="B71" s="52"/>
      <c r="C71" s="52"/>
      <c r="D71" s="52"/>
      <c r="E71" s="52"/>
      <c r="F71" s="52"/>
      <c r="G71" s="53"/>
      <c r="I71" s="52" t="s">
        <v>659</v>
      </c>
      <c r="J71" s="54" t="n">
        <v>63828.6</v>
      </c>
      <c r="K71" s="54" t="n">
        <v>64208.95</v>
      </c>
      <c r="L71" s="54" t="n">
        <v>64219.68</v>
      </c>
      <c r="M71" s="54" t="n">
        <v>63294.94</v>
      </c>
      <c r="N71" s="52" t="s">
        <v>660</v>
      </c>
      <c r="O71" s="53" t="n">
        <v>-0.006</v>
      </c>
      <c r="Q71" s="52" t="s">
        <v>661</v>
      </c>
      <c r="R71" s="52" t="n">
        <v>30.77</v>
      </c>
      <c r="S71" s="52" t="n">
        <v>30.7</v>
      </c>
      <c r="T71" s="52" t="n">
        <v>30.9</v>
      </c>
      <c r="U71" s="52" t="n">
        <v>29.63</v>
      </c>
      <c r="V71" s="52" t="s">
        <v>662</v>
      </c>
      <c r="W71" s="53" t="n">
        <v>-0.0071</v>
      </c>
      <c r="Y71" s="52" t="s">
        <v>663</v>
      </c>
      <c r="Z71" s="54" t="n">
        <v>53947.04</v>
      </c>
      <c r="AA71" s="54" t="n">
        <v>53591.88</v>
      </c>
      <c r="AB71" s="54" t="n">
        <v>54112.36</v>
      </c>
      <c r="AC71" s="54" t="n">
        <v>52936.91</v>
      </c>
      <c r="AD71" s="52" t="s">
        <v>664</v>
      </c>
      <c r="AE71" s="53" t="n">
        <v>0.0069</v>
      </c>
      <c r="AG71" s="55" t="n">
        <v>45551</v>
      </c>
      <c r="AH71" s="56" t="n">
        <v>4.5</v>
      </c>
      <c r="AU71" s="58"/>
      <c r="AV71" s="52"/>
      <c r="AW71" s="52"/>
      <c r="AX71" s="52"/>
      <c r="AY71" s="52"/>
      <c r="AZ71" s="52"/>
      <c r="BA71" s="53"/>
      <c r="BC71" s="57"/>
      <c r="BD71" s="54"/>
      <c r="BE71" s="54"/>
      <c r="BF71" s="54"/>
      <c r="BG71" s="54"/>
      <c r="BH71" s="52"/>
      <c r="BI71" s="53"/>
      <c r="BS71" s="57"/>
      <c r="BT71" s="54"/>
      <c r="BU71" s="54"/>
      <c r="BV71" s="54"/>
      <c r="BW71" s="54"/>
      <c r="BX71" s="52"/>
      <c r="BY71" s="53"/>
    </row>
    <row r="72" customFormat="false" ht="13.5" hidden="false" customHeight="false" outlineLevel="0" collapsed="false">
      <c r="A72" s="52"/>
      <c r="B72" s="52"/>
      <c r="C72" s="52"/>
      <c r="D72" s="52"/>
      <c r="E72" s="52"/>
      <c r="F72" s="52"/>
      <c r="G72" s="53"/>
      <c r="I72" s="52" t="s">
        <v>665</v>
      </c>
      <c r="J72" s="54" t="n">
        <v>64531.68</v>
      </c>
      <c r="K72" s="54" t="n">
        <v>63796.86</v>
      </c>
      <c r="L72" s="54" t="n">
        <v>64723.05</v>
      </c>
      <c r="M72" s="54" t="n">
        <v>63219.85</v>
      </c>
      <c r="N72" s="52" t="s">
        <v>666</v>
      </c>
      <c r="O72" s="53" t="n">
        <v>0.011</v>
      </c>
      <c r="Q72" s="52" t="s">
        <v>667</v>
      </c>
      <c r="R72" s="52" t="n">
        <v>31.12</v>
      </c>
      <c r="S72" s="52" t="n">
        <v>30.71</v>
      </c>
      <c r="T72" s="52" t="n">
        <v>31.3</v>
      </c>
      <c r="U72" s="52" t="n">
        <v>29</v>
      </c>
      <c r="V72" s="52" t="s">
        <v>668</v>
      </c>
      <c r="W72" s="53" t="n">
        <v>0.0114</v>
      </c>
      <c r="Y72" s="52" t="s">
        <v>669</v>
      </c>
      <c r="Z72" s="54" t="n">
        <v>54774.91</v>
      </c>
      <c r="AA72" s="54" t="n">
        <v>53965.28</v>
      </c>
      <c r="AB72" s="54" t="n">
        <v>55309.97</v>
      </c>
      <c r="AC72" s="54" t="n">
        <v>53943</v>
      </c>
      <c r="AD72" s="52" t="s">
        <v>670</v>
      </c>
      <c r="AE72" s="53" t="n">
        <v>0.0153</v>
      </c>
      <c r="AG72" s="55" t="n">
        <v>45566</v>
      </c>
      <c r="AH72" s="56" t="n">
        <v>4.69</v>
      </c>
      <c r="AU72" s="57"/>
      <c r="AV72" s="52"/>
      <c r="AW72" s="52"/>
      <c r="AX72" s="52"/>
      <c r="AY72" s="52"/>
      <c r="AZ72" s="52"/>
      <c r="BA72" s="53"/>
      <c r="BC72" s="57"/>
      <c r="BD72" s="54"/>
      <c r="BE72" s="54"/>
      <c r="BF72" s="54"/>
      <c r="BG72" s="54"/>
      <c r="BH72" s="52"/>
      <c r="BI72" s="53"/>
      <c r="BS72" s="57"/>
      <c r="BT72" s="54"/>
      <c r="BU72" s="54"/>
      <c r="BV72" s="54"/>
      <c r="BW72" s="54"/>
      <c r="BX72" s="52"/>
      <c r="BY72" s="53"/>
    </row>
    <row r="73" customFormat="false" ht="13.5" hidden="false" customHeight="false" outlineLevel="0" collapsed="false">
      <c r="A73" s="52"/>
      <c r="B73" s="52"/>
      <c r="C73" s="52"/>
      <c r="D73" s="52"/>
      <c r="E73" s="52"/>
      <c r="F73" s="52"/>
      <c r="G73" s="53"/>
      <c r="I73" s="52" t="s">
        <v>671</v>
      </c>
      <c r="J73" s="54" t="n">
        <v>64975.08</v>
      </c>
      <c r="K73" s="54" t="n">
        <v>64783.18</v>
      </c>
      <c r="L73" s="54" t="n">
        <v>65117.63</v>
      </c>
      <c r="M73" s="54" t="n">
        <v>64162.09</v>
      </c>
      <c r="N73" s="52" t="s">
        <v>672</v>
      </c>
      <c r="O73" s="53" t="n">
        <v>0.0069</v>
      </c>
      <c r="Q73" s="52" t="s">
        <v>673</v>
      </c>
      <c r="R73" s="52" t="n">
        <v>30.02</v>
      </c>
      <c r="S73" s="52" t="n">
        <v>31.3</v>
      </c>
      <c r="T73" s="52" t="n">
        <v>31.83</v>
      </c>
      <c r="U73" s="52" t="n">
        <v>30</v>
      </c>
      <c r="V73" s="52" t="s">
        <v>674</v>
      </c>
      <c r="W73" s="53" t="n">
        <v>-0.0353</v>
      </c>
      <c r="Y73" s="52" t="s">
        <v>675</v>
      </c>
      <c r="Z73" s="54" t="n">
        <v>54049.05</v>
      </c>
      <c r="AA73" s="54" t="n">
        <v>54767.41</v>
      </c>
      <c r="AB73" s="54" t="n">
        <v>55173.58</v>
      </c>
      <c r="AC73" s="54" t="n">
        <v>53733.7</v>
      </c>
      <c r="AD73" s="52" t="s">
        <v>676</v>
      </c>
      <c r="AE73" s="53" t="n">
        <v>-0.0133</v>
      </c>
      <c r="AG73" s="55" t="n">
        <v>45581</v>
      </c>
      <c r="AH73" s="56" t="n">
        <v>4.83</v>
      </c>
      <c r="AU73" s="57"/>
      <c r="AV73" s="52"/>
      <c r="AW73" s="52"/>
      <c r="AX73" s="52"/>
      <c r="AY73" s="52"/>
      <c r="AZ73" s="52"/>
      <c r="BA73" s="53"/>
      <c r="BC73" s="57"/>
      <c r="BD73" s="54"/>
      <c r="BE73" s="54"/>
      <c r="BF73" s="54"/>
      <c r="BG73" s="54"/>
      <c r="BH73" s="52"/>
      <c r="BI73" s="53"/>
      <c r="BS73" s="57"/>
      <c r="BT73" s="54"/>
      <c r="BU73" s="54"/>
      <c r="BV73" s="54"/>
      <c r="BW73" s="54"/>
      <c r="BX73" s="52"/>
      <c r="BY73" s="53"/>
    </row>
    <row r="74" customFormat="false" ht="13.5" hidden="false" customHeight="false" outlineLevel="0" collapsed="false">
      <c r="A74" s="51"/>
      <c r="B74" s="52"/>
      <c r="C74" s="52"/>
      <c r="D74" s="52"/>
      <c r="E74" s="52"/>
      <c r="F74" s="52"/>
      <c r="G74" s="53"/>
      <c r="I74" s="52" t="s">
        <v>677</v>
      </c>
      <c r="J74" s="54" t="n">
        <v>65312.46</v>
      </c>
      <c r="K74" s="54" t="n">
        <v>64894.31</v>
      </c>
      <c r="L74" s="54" t="n">
        <v>65520.17</v>
      </c>
      <c r="M74" s="54" t="n">
        <v>64669.02</v>
      </c>
      <c r="N74" s="52" t="s">
        <v>678</v>
      </c>
      <c r="O74" s="53" t="n">
        <v>0.0052</v>
      </c>
      <c r="Q74" s="51" t="n">
        <v>45048</v>
      </c>
      <c r="R74" s="52" t="n">
        <v>30.69</v>
      </c>
      <c r="S74" s="52" t="n">
        <v>29.5</v>
      </c>
      <c r="T74" s="52" t="n">
        <v>30.7</v>
      </c>
      <c r="U74" s="52" t="n">
        <v>29.5</v>
      </c>
      <c r="V74" s="52" t="s">
        <v>679</v>
      </c>
      <c r="W74" s="53" t="n">
        <v>0.0223</v>
      </c>
      <c r="Y74" s="52" t="s">
        <v>680</v>
      </c>
      <c r="Z74" s="54" t="n">
        <v>52482.02</v>
      </c>
      <c r="AA74" s="54" t="n">
        <v>54001.56</v>
      </c>
      <c r="AB74" s="54" t="n">
        <v>54079.49</v>
      </c>
      <c r="AC74" s="54" t="n">
        <v>52141.14</v>
      </c>
      <c r="AD74" s="52" t="s">
        <v>681</v>
      </c>
      <c r="AE74" s="53" t="n">
        <v>-0.029</v>
      </c>
      <c r="AG74" s="55" t="n">
        <v>45597</v>
      </c>
      <c r="AH74" s="56" t="n">
        <v>4.56</v>
      </c>
      <c r="AU74" s="57"/>
      <c r="AV74" s="52"/>
      <c r="AW74" s="52"/>
      <c r="AX74" s="52"/>
      <c r="AY74" s="52"/>
      <c r="AZ74" s="52"/>
      <c r="BA74" s="53"/>
      <c r="BC74" s="57"/>
      <c r="BD74" s="54"/>
      <c r="BE74" s="54"/>
      <c r="BF74" s="54"/>
      <c r="BG74" s="54"/>
      <c r="BH74" s="52"/>
      <c r="BI74" s="53"/>
      <c r="BS74" s="57"/>
      <c r="BT74" s="54"/>
      <c r="BU74" s="54"/>
      <c r="BV74" s="54"/>
      <c r="BW74" s="54"/>
      <c r="BX74" s="52"/>
      <c r="BY74" s="53"/>
    </row>
    <row r="75" customFormat="false" ht="13.5" hidden="false" customHeight="false" outlineLevel="0" collapsed="false">
      <c r="A75" s="51"/>
      <c r="B75" s="52"/>
      <c r="C75" s="52"/>
      <c r="D75" s="52"/>
      <c r="E75" s="52"/>
      <c r="F75" s="52"/>
      <c r="G75" s="53"/>
      <c r="I75" s="52" t="s">
        <v>682</v>
      </c>
      <c r="J75" s="54" t="n">
        <v>64653.33</v>
      </c>
      <c r="K75" s="54" t="n">
        <v>65284.36</v>
      </c>
      <c r="L75" s="54" t="n">
        <v>65284.36</v>
      </c>
      <c r="M75" s="54" t="n">
        <v>64381.75</v>
      </c>
      <c r="N75" s="52" t="s">
        <v>683</v>
      </c>
      <c r="O75" s="53" t="n">
        <v>-0.0101</v>
      </c>
      <c r="Q75" s="51" t="n">
        <v>45262</v>
      </c>
      <c r="R75" s="52" t="n">
        <v>29.8</v>
      </c>
      <c r="S75" s="52" t="n">
        <v>30.3</v>
      </c>
      <c r="T75" s="52" t="n">
        <v>30.67</v>
      </c>
      <c r="U75" s="52" t="n">
        <v>28.2</v>
      </c>
      <c r="V75" s="52" t="s">
        <v>684</v>
      </c>
      <c r="W75" s="53" t="n">
        <v>-0.029</v>
      </c>
      <c r="Y75" s="52" t="s">
        <v>685</v>
      </c>
      <c r="Z75" s="54" t="n">
        <v>53789.64</v>
      </c>
      <c r="AA75" s="54" t="n">
        <v>52476.29</v>
      </c>
      <c r="AB75" s="54" t="n">
        <v>54143.61</v>
      </c>
      <c r="AC75" s="54" t="n">
        <v>52463.89</v>
      </c>
      <c r="AD75" s="52" t="s">
        <v>686</v>
      </c>
      <c r="AE75" s="53" t="n">
        <v>0.0249</v>
      </c>
      <c r="AG75" s="55" t="n">
        <v>45612</v>
      </c>
      <c r="AH75" s="56" t="n">
        <v>4.54</v>
      </c>
      <c r="AU75" s="58"/>
      <c r="AV75" s="52"/>
      <c r="AW75" s="52"/>
      <c r="AX75" s="52"/>
      <c r="AY75" s="52"/>
      <c r="AZ75" s="52"/>
      <c r="BA75" s="53"/>
      <c r="BC75" s="57"/>
      <c r="BD75" s="54"/>
      <c r="BE75" s="54"/>
      <c r="BF75" s="54"/>
      <c r="BG75" s="54"/>
      <c r="BH75" s="52"/>
      <c r="BI75" s="53"/>
      <c r="BS75" s="57"/>
      <c r="BT75" s="54"/>
      <c r="BU75" s="54"/>
      <c r="BV75" s="54"/>
      <c r="BW75" s="54"/>
      <c r="BX75" s="52"/>
      <c r="BY75" s="53"/>
    </row>
    <row r="76" customFormat="false" ht="13.5" hidden="false" customHeight="false" outlineLevel="0" collapsed="false">
      <c r="A76" s="52"/>
      <c r="B76" s="52"/>
      <c r="C76" s="52"/>
      <c r="D76" s="52"/>
      <c r="E76" s="52"/>
      <c r="F76" s="52"/>
      <c r="G76" s="53"/>
      <c r="I76" s="52" t="s">
        <v>687</v>
      </c>
      <c r="J76" s="54" t="n">
        <v>64986.91</v>
      </c>
      <c r="K76" s="54" t="n">
        <v>64660.37</v>
      </c>
      <c r="L76" s="54" t="n">
        <v>65045.3</v>
      </c>
      <c r="M76" s="54" t="n">
        <v>64498.93</v>
      </c>
      <c r="N76" s="52" t="s">
        <v>688</v>
      </c>
      <c r="O76" s="53" t="n">
        <v>0.0052</v>
      </c>
      <c r="Q76" s="52" t="s">
        <v>689</v>
      </c>
      <c r="R76" s="52" t="n">
        <v>30.2</v>
      </c>
      <c r="S76" s="52" t="n">
        <v>30.1</v>
      </c>
      <c r="T76" s="52" t="n">
        <v>30.49</v>
      </c>
      <c r="U76" s="52" t="n">
        <v>29.9</v>
      </c>
      <c r="V76" s="52" t="s">
        <v>690</v>
      </c>
      <c r="W76" s="53" t="n">
        <v>0.0134</v>
      </c>
      <c r="Y76" s="52" t="s">
        <v>691</v>
      </c>
      <c r="Z76" s="54" t="n">
        <v>52686.24</v>
      </c>
      <c r="AA76" s="54" t="n">
        <v>53832.19</v>
      </c>
      <c r="AB76" s="54" t="n">
        <v>54087.19</v>
      </c>
      <c r="AC76" s="54" t="n">
        <v>52420.64</v>
      </c>
      <c r="AD76" s="52" t="s">
        <v>692</v>
      </c>
      <c r="AE76" s="53" t="n">
        <v>-0.0205</v>
      </c>
      <c r="AG76" s="55" t="n">
        <v>45627</v>
      </c>
      <c r="AH76" s="56" t="n">
        <v>4.44</v>
      </c>
      <c r="AU76" s="58"/>
      <c r="AV76" s="52"/>
      <c r="AW76" s="52"/>
      <c r="AX76" s="52"/>
      <c r="AY76" s="52"/>
      <c r="AZ76" s="52"/>
      <c r="BA76" s="53"/>
      <c r="BC76" s="57"/>
      <c r="BD76" s="54"/>
      <c r="BE76" s="54"/>
      <c r="BF76" s="54"/>
      <c r="BG76" s="54"/>
      <c r="BH76" s="52"/>
      <c r="BI76" s="53"/>
      <c r="BS76" s="57"/>
      <c r="BT76" s="54"/>
      <c r="BU76" s="54"/>
      <c r="BV76" s="54"/>
      <c r="BW76" s="54"/>
      <c r="BX76" s="52"/>
      <c r="BY76" s="53"/>
    </row>
    <row r="77" customFormat="false" ht="13.5" hidden="false" customHeight="false" outlineLevel="0" collapsed="false">
      <c r="A77" s="52"/>
      <c r="B77" s="52"/>
      <c r="C77" s="52"/>
      <c r="D77" s="52"/>
      <c r="E77" s="52"/>
      <c r="F77" s="52"/>
      <c r="G77" s="53"/>
      <c r="I77" s="52" t="s">
        <v>693</v>
      </c>
      <c r="J77" s="54" t="n">
        <v>66048.57</v>
      </c>
      <c r="K77" s="54" t="n">
        <v>64934.81</v>
      </c>
      <c r="L77" s="54" t="n">
        <v>66176.26</v>
      </c>
      <c r="M77" s="54" t="n">
        <v>64934.81</v>
      </c>
      <c r="N77" s="52" t="s">
        <v>694</v>
      </c>
      <c r="O77" s="53" t="n">
        <v>0.0163</v>
      </c>
      <c r="Q77" s="52" t="s">
        <v>695</v>
      </c>
      <c r="R77" s="52" t="n">
        <v>30.7</v>
      </c>
      <c r="S77" s="52" t="n">
        <v>30.19</v>
      </c>
      <c r="T77" s="52" t="n">
        <v>30.75</v>
      </c>
      <c r="U77" s="52" t="n">
        <v>29.1</v>
      </c>
      <c r="V77" s="52" t="s">
        <v>696</v>
      </c>
      <c r="W77" s="53" t="n">
        <v>0.0166</v>
      </c>
      <c r="Y77" s="52" t="s">
        <v>697</v>
      </c>
      <c r="Z77" s="54" t="n">
        <v>54182.27</v>
      </c>
      <c r="AA77" s="54" t="n">
        <v>52739.42</v>
      </c>
      <c r="AB77" s="54" t="n">
        <v>54409.37</v>
      </c>
      <c r="AC77" s="54" t="n">
        <v>52495.86</v>
      </c>
      <c r="AD77" s="52" t="s">
        <v>698</v>
      </c>
      <c r="AE77" s="53" t="n">
        <v>0.0284</v>
      </c>
      <c r="AG77" s="55" t="n">
        <v>45642</v>
      </c>
      <c r="AH77" s="56" t="n">
        <v>3.99</v>
      </c>
      <c r="AU77" s="57"/>
      <c r="AV77" s="52"/>
      <c r="AW77" s="52"/>
      <c r="AX77" s="52"/>
      <c r="AY77" s="52"/>
      <c r="AZ77" s="52"/>
      <c r="BA77" s="53"/>
      <c r="BC77" s="57"/>
      <c r="BD77" s="54"/>
      <c r="BE77" s="54"/>
      <c r="BF77" s="54"/>
      <c r="BG77" s="54"/>
      <c r="BH77" s="52"/>
      <c r="BI77" s="53"/>
      <c r="BS77" s="57"/>
      <c r="BT77" s="54"/>
      <c r="BU77" s="54"/>
      <c r="BV77" s="54"/>
      <c r="BW77" s="54"/>
      <c r="BX77" s="52"/>
      <c r="BY77" s="53"/>
    </row>
    <row r="78" customFormat="false" ht="13.5" hidden="false" customHeight="false" outlineLevel="0" collapsed="false">
      <c r="A78" s="51"/>
      <c r="B78" s="52"/>
      <c r="C78" s="52"/>
      <c r="D78" s="52"/>
      <c r="E78" s="52"/>
      <c r="F78" s="52"/>
      <c r="G78" s="53"/>
      <c r="I78" s="52" t="s">
        <v>699</v>
      </c>
      <c r="J78" s="54" t="n">
        <v>66746.78</v>
      </c>
      <c r="K78" s="54" t="n">
        <v>65930.45</v>
      </c>
      <c r="L78" s="54" t="n">
        <v>66867.88</v>
      </c>
      <c r="M78" s="54" t="n">
        <v>65869.03</v>
      </c>
      <c r="N78" s="52" t="s">
        <v>700</v>
      </c>
      <c r="O78" s="53" t="n">
        <v>0.0106</v>
      </c>
      <c r="Q78" s="51" t="n">
        <v>45049</v>
      </c>
      <c r="R78" s="52" t="n">
        <v>30.1</v>
      </c>
      <c r="S78" s="52" t="n">
        <v>30.46</v>
      </c>
      <c r="T78" s="52" t="n">
        <v>30.85</v>
      </c>
      <c r="U78" s="52" t="n">
        <v>29.57</v>
      </c>
      <c r="V78" s="52" t="s">
        <v>701</v>
      </c>
      <c r="W78" s="53" t="n">
        <v>-0.0195</v>
      </c>
      <c r="Y78" s="52" t="s">
        <v>702</v>
      </c>
      <c r="Z78" s="54" t="n">
        <v>52794.53</v>
      </c>
      <c r="AA78" s="54" t="n">
        <v>54146.1</v>
      </c>
      <c r="AB78" s="54" t="n">
        <v>54326.11</v>
      </c>
      <c r="AC78" s="54" t="n">
        <v>52716.96</v>
      </c>
      <c r="AD78" s="52" t="s">
        <v>703</v>
      </c>
      <c r="AE78" s="53" t="n">
        <v>-0.0256</v>
      </c>
      <c r="AG78" s="55" t="n">
        <v>45658</v>
      </c>
      <c r="AH78" s="56" t="n">
        <v>3.69</v>
      </c>
      <c r="AU78" s="57"/>
      <c r="AV78" s="52"/>
      <c r="AW78" s="52"/>
      <c r="AX78" s="52"/>
      <c r="AY78" s="52"/>
      <c r="AZ78" s="52"/>
      <c r="BA78" s="53"/>
      <c r="BC78" s="57"/>
      <c r="BD78" s="54"/>
      <c r="BE78" s="54"/>
      <c r="BF78" s="54"/>
      <c r="BG78" s="54"/>
      <c r="BH78" s="52"/>
      <c r="BI78" s="53"/>
      <c r="BS78" s="57"/>
      <c r="BT78" s="54"/>
      <c r="BU78" s="54"/>
      <c r="BV78" s="54"/>
      <c r="BW78" s="54"/>
      <c r="BX78" s="52"/>
      <c r="BY78" s="53"/>
    </row>
    <row r="79" customFormat="false" ht="13.5" hidden="false" customHeight="false" outlineLevel="0" collapsed="false">
      <c r="A79" s="51"/>
      <c r="B79" s="52"/>
      <c r="C79" s="52"/>
      <c r="D79" s="52"/>
      <c r="E79" s="52"/>
      <c r="F79" s="52"/>
      <c r="G79" s="53"/>
      <c r="I79" s="52"/>
      <c r="J79" s="54"/>
      <c r="K79" s="54"/>
      <c r="L79" s="54"/>
      <c r="M79" s="54"/>
      <c r="N79" s="52"/>
      <c r="O79" s="53"/>
      <c r="Q79" s="51" t="n">
        <v>45263</v>
      </c>
      <c r="R79" s="52" t="n">
        <v>30.51</v>
      </c>
      <c r="S79" s="52" t="n">
        <v>30.08</v>
      </c>
      <c r="T79" s="52" t="n">
        <v>30.95</v>
      </c>
      <c r="U79" s="52" t="n">
        <v>29</v>
      </c>
      <c r="V79" s="52" t="s">
        <v>704</v>
      </c>
      <c r="W79" s="53" t="n">
        <v>0.0136</v>
      </c>
      <c r="Y79" s="52" t="s">
        <v>705</v>
      </c>
      <c r="Z79" s="54" t="n">
        <v>51925.61</v>
      </c>
      <c r="AA79" s="54" t="n">
        <v>52788.29</v>
      </c>
      <c r="AB79" s="54" t="n">
        <v>53615.08</v>
      </c>
      <c r="AC79" s="54" t="n">
        <v>51814.68</v>
      </c>
      <c r="AD79" s="52" t="s">
        <v>706</v>
      </c>
      <c r="AE79" s="53" t="n">
        <v>-0.0165</v>
      </c>
      <c r="AG79" s="55" t="n">
        <v>45673</v>
      </c>
      <c r="AH79" s="56" t="n">
        <v>3.48</v>
      </c>
      <c r="AU79" s="58"/>
      <c r="AV79" s="52"/>
      <c r="AW79" s="52"/>
      <c r="AX79" s="52"/>
      <c r="AY79" s="52"/>
      <c r="AZ79" s="52"/>
      <c r="BA79" s="53"/>
      <c r="BC79" s="57"/>
      <c r="BD79" s="54"/>
      <c r="BE79" s="54"/>
      <c r="BF79" s="54"/>
      <c r="BG79" s="54"/>
      <c r="BH79" s="52"/>
      <c r="BI79" s="53"/>
      <c r="BS79" s="57"/>
      <c r="BT79" s="54"/>
      <c r="BU79" s="54"/>
      <c r="BV79" s="54"/>
      <c r="BW79" s="54"/>
      <c r="BX79" s="52"/>
      <c r="BY79" s="53"/>
    </row>
    <row r="80" customFormat="false" ht="13.5" hidden="false" customHeight="false" outlineLevel="0" collapsed="false">
      <c r="A80" s="52"/>
      <c r="B80" s="52"/>
      <c r="C80" s="52"/>
      <c r="D80" s="52"/>
      <c r="E80" s="52"/>
      <c r="F80" s="52"/>
      <c r="G80" s="53"/>
      <c r="I80" s="52"/>
      <c r="J80" s="54"/>
      <c r="K80" s="54"/>
      <c r="L80" s="54"/>
      <c r="M80" s="54"/>
      <c r="N80" s="52"/>
      <c r="O80" s="53"/>
      <c r="Q80" s="52" t="s">
        <v>707</v>
      </c>
      <c r="R80" s="52" t="n">
        <v>30.51</v>
      </c>
      <c r="S80" s="52" t="n">
        <v>30.56</v>
      </c>
      <c r="T80" s="52" t="n">
        <v>31.31</v>
      </c>
      <c r="U80" s="52" t="n">
        <v>29.92</v>
      </c>
      <c r="V80" s="52" t="s">
        <v>708</v>
      </c>
      <c r="W80" s="53" t="n">
        <v>0</v>
      </c>
      <c r="Y80" s="52" t="s">
        <v>709</v>
      </c>
      <c r="Z80" s="54" t="n">
        <v>52771.12</v>
      </c>
      <c r="AA80" s="54" t="n">
        <v>52282.98</v>
      </c>
      <c r="AB80" s="54" t="n">
        <v>53089.11</v>
      </c>
      <c r="AC80" s="54" t="n">
        <v>52131.38</v>
      </c>
      <c r="AD80" s="52" t="s">
        <v>710</v>
      </c>
      <c r="AE80" s="53" t="n">
        <v>0.0163</v>
      </c>
      <c r="AG80" s="55" t="n">
        <v>45689</v>
      </c>
      <c r="AH80" s="56" t="n">
        <v>3.74</v>
      </c>
      <c r="AU80" s="58"/>
      <c r="AV80" s="52"/>
      <c r="AW80" s="52"/>
      <c r="AX80" s="52"/>
      <c r="AY80" s="52"/>
      <c r="AZ80" s="52"/>
      <c r="BA80" s="53"/>
      <c r="BC80" s="57"/>
      <c r="BD80" s="54"/>
      <c r="BE80" s="54"/>
      <c r="BF80" s="54"/>
      <c r="BG80" s="54"/>
      <c r="BH80" s="52"/>
      <c r="BI80" s="53"/>
    </row>
    <row r="81" customFormat="false" ht="13.5" hidden="false" customHeight="false" outlineLevel="0" collapsed="false">
      <c r="A81" s="52"/>
      <c r="B81" s="52"/>
      <c r="C81" s="52"/>
      <c r="D81" s="52"/>
      <c r="E81" s="52"/>
      <c r="F81" s="52"/>
      <c r="G81" s="53"/>
      <c r="I81" s="52"/>
      <c r="J81" s="54"/>
      <c r="K81" s="54"/>
      <c r="L81" s="54"/>
      <c r="M81" s="54"/>
      <c r="N81" s="52"/>
      <c r="O81" s="53"/>
      <c r="Q81" s="52" t="s">
        <v>711</v>
      </c>
      <c r="R81" s="52" t="n">
        <v>30.97</v>
      </c>
      <c r="S81" s="52" t="n">
        <v>30.52</v>
      </c>
      <c r="T81" s="52" t="n">
        <v>31</v>
      </c>
      <c r="U81" s="52" t="n">
        <v>29.84</v>
      </c>
      <c r="V81" s="52" t="s">
        <v>712</v>
      </c>
      <c r="W81" s="53" t="n">
        <v>0.0151</v>
      </c>
      <c r="Y81" s="52" t="s">
        <v>713</v>
      </c>
      <c r="Z81" s="54" t="n">
        <v>53904</v>
      </c>
      <c r="AA81" s="54" t="n">
        <v>52792.75</v>
      </c>
      <c r="AB81" s="54" t="n">
        <v>54604.07</v>
      </c>
      <c r="AC81" s="54" t="n">
        <v>52740.78</v>
      </c>
      <c r="AD81" s="52" t="s">
        <v>714</v>
      </c>
      <c r="AE81" s="53" t="n">
        <v>0.0215</v>
      </c>
      <c r="AG81" s="55" t="n">
        <v>45704</v>
      </c>
      <c r="AH81" s="56" t="n">
        <v>3.81</v>
      </c>
      <c r="AU81" s="57"/>
      <c r="AV81" s="52"/>
      <c r="AW81" s="52"/>
      <c r="AX81" s="52"/>
      <c r="AY81" s="52"/>
      <c r="AZ81" s="52"/>
      <c r="BA81" s="53"/>
      <c r="BC81" s="57"/>
      <c r="BD81" s="54"/>
      <c r="BE81" s="54"/>
      <c r="BF81" s="54"/>
      <c r="BG81" s="54"/>
      <c r="BH81" s="52"/>
      <c r="BI81" s="53"/>
    </row>
    <row r="82" customFormat="false" ht="13.5" hidden="false" customHeight="false" outlineLevel="0" collapsed="false">
      <c r="A82" s="51"/>
      <c r="B82" s="52"/>
      <c r="C82" s="52"/>
      <c r="D82" s="52"/>
      <c r="E82" s="52"/>
      <c r="F82" s="52"/>
      <c r="G82" s="53"/>
      <c r="I82" s="52"/>
      <c r="J82" s="54"/>
      <c r="K82" s="54"/>
      <c r="L82" s="54"/>
      <c r="M82" s="54"/>
      <c r="N82" s="52"/>
      <c r="O82" s="53"/>
      <c r="Q82" s="51" t="n">
        <v>44961</v>
      </c>
      <c r="R82" s="52" t="n">
        <v>30.6</v>
      </c>
      <c r="S82" s="52" t="n">
        <v>30.36</v>
      </c>
      <c r="T82" s="52" t="n">
        <v>31</v>
      </c>
      <c r="U82" s="52" t="n">
        <v>30.1</v>
      </c>
      <c r="V82" s="52" t="s">
        <v>715</v>
      </c>
      <c r="W82" s="53" t="n">
        <v>-0.0119</v>
      </c>
      <c r="Y82" s="52" t="s">
        <v>716</v>
      </c>
      <c r="Z82" s="54" t="n">
        <v>53498.39</v>
      </c>
      <c r="AA82" s="54" t="n">
        <v>54037.67</v>
      </c>
      <c r="AB82" s="54" t="n">
        <v>54532.08</v>
      </c>
      <c r="AC82" s="54" t="n">
        <v>53308.07</v>
      </c>
      <c r="AD82" s="52" t="s">
        <v>717</v>
      </c>
      <c r="AE82" s="53" t="n">
        <v>-0.0075</v>
      </c>
      <c r="AG82" s="55" t="n">
        <v>45717</v>
      </c>
      <c r="AH82" s="56" t="n">
        <v>3.67</v>
      </c>
      <c r="AU82" s="57"/>
      <c r="AV82" s="52"/>
      <c r="AW82" s="52"/>
      <c r="AX82" s="52"/>
      <c r="AY82" s="52"/>
      <c r="AZ82" s="52"/>
      <c r="BA82" s="53"/>
      <c r="BC82" s="57"/>
      <c r="BD82" s="54"/>
      <c r="BE82" s="54"/>
      <c r="BF82" s="54"/>
      <c r="BG82" s="54"/>
      <c r="BH82" s="52"/>
      <c r="BI82" s="53"/>
    </row>
    <row r="83" customFormat="false" ht="13.5" hidden="false" customHeight="false" outlineLevel="0" collapsed="false">
      <c r="A83" s="51"/>
      <c r="B83" s="52"/>
      <c r="C83" s="52"/>
      <c r="D83" s="52"/>
      <c r="E83" s="52"/>
      <c r="F83" s="52"/>
      <c r="G83" s="53"/>
      <c r="I83" s="52"/>
      <c r="J83" s="54"/>
      <c r="K83" s="54"/>
      <c r="L83" s="54"/>
      <c r="M83" s="54"/>
      <c r="N83" s="52"/>
      <c r="O83" s="53"/>
      <c r="Q83" s="51" t="n">
        <v>45173</v>
      </c>
      <c r="R83" s="52" t="n">
        <v>31</v>
      </c>
      <c r="S83" s="52" t="n">
        <v>30.67</v>
      </c>
      <c r="T83" s="52" t="n">
        <v>31</v>
      </c>
      <c r="U83" s="52" t="n">
        <v>30.6</v>
      </c>
      <c r="V83" s="52" t="s">
        <v>718</v>
      </c>
      <c r="W83" s="53" t="n">
        <v>0.0131</v>
      </c>
      <c r="Y83" s="52" t="s">
        <v>719</v>
      </c>
      <c r="Z83" s="54" t="n">
        <v>54460.06</v>
      </c>
      <c r="AA83" s="54" t="n">
        <v>53473.71</v>
      </c>
      <c r="AB83" s="54" t="n">
        <v>54908.53</v>
      </c>
      <c r="AC83" s="54" t="n">
        <v>53446.67</v>
      </c>
      <c r="AD83" s="52" t="s">
        <v>720</v>
      </c>
      <c r="AE83" s="53" t="n">
        <v>0.018</v>
      </c>
      <c r="AG83" s="55" t="n">
        <v>45732</v>
      </c>
      <c r="AH83" s="56" t="n">
        <v>3.93</v>
      </c>
      <c r="AU83" s="58"/>
      <c r="AV83" s="52"/>
      <c r="AW83" s="52"/>
      <c r="AX83" s="52"/>
      <c r="AY83" s="52"/>
      <c r="AZ83" s="52"/>
      <c r="BA83" s="53"/>
      <c r="BC83" s="57"/>
      <c r="BD83" s="54"/>
      <c r="BE83" s="54"/>
      <c r="BF83" s="54"/>
      <c r="BG83" s="54"/>
      <c r="BH83" s="52"/>
      <c r="BI83" s="53"/>
    </row>
    <row r="84" customFormat="false" ht="13.5" hidden="false" customHeight="false" outlineLevel="0" collapsed="false">
      <c r="A84" s="52"/>
      <c r="B84" s="52"/>
      <c r="C84" s="52"/>
      <c r="D84" s="52"/>
      <c r="E84" s="52"/>
      <c r="F84" s="52"/>
      <c r="G84" s="53"/>
      <c r="I84" s="52"/>
      <c r="J84" s="54"/>
      <c r="K84" s="54"/>
      <c r="L84" s="54"/>
      <c r="M84" s="54"/>
      <c r="N84" s="52"/>
      <c r="O84" s="53"/>
      <c r="Q84" s="52" t="s">
        <v>721</v>
      </c>
      <c r="R84" s="52" t="n">
        <v>30.94</v>
      </c>
      <c r="S84" s="52" t="n">
        <v>31</v>
      </c>
      <c r="T84" s="52" t="n">
        <v>31</v>
      </c>
      <c r="U84" s="52" t="n">
        <v>30.5</v>
      </c>
      <c r="V84" s="52" t="s">
        <v>722</v>
      </c>
      <c r="W84" s="53" t="n">
        <v>-0.0019</v>
      </c>
      <c r="Y84" s="52" t="s">
        <v>723</v>
      </c>
      <c r="Z84" s="54" t="n">
        <v>54175.28</v>
      </c>
      <c r="AA84" s="54" t="n">
        <v>54444.68</v>
      </c>
      <c r="AB84" s="54" t="n">
        <v>54924.75</v>
      </c>
      <c r="AC84" s="54" t="n">
        <v>53662.91</v>
      </c>
      <c r="AD84" s="52" t="s">
        <v>724</v>
      </c>
      <c r="AE84" s="53" t="n">
        <v>-0.0052</v>
      </c>
      <c r="AG84" s="55" t="n">
        <v>45748</v>
      </c>
      <c r="AH84" s="56" t="n">
        <v>3.96</v>
      </c>
      <c r="AU84" s="58"/>
      <c r="AV84" s="52"/>
      <c r="AW84" s="52"/>
      <c r="AX84" s="52"/>
      <c r="AY84" s="52"/>
      <c r="AZ84" s="52"/>
      <c r="BA84" s="53"/>
      <c r="BC84" s="57"/>
      <c r="BD84" s="54"/>
      <c r="BE84" s="54"/>
      <c r="BF84" s="54"/>
      <c r="BG84" s="54"/>
      <c r="BH84" s="52"/>
      <c r="BI84" s="53"/>
    </row>
    <row r="85" customFormat="false" ht="13.5" hidden="false" customHeight="false" outlineLevel="0" collapsed="false">
      <c r="A85" s="52"/>
      <c r="B85" s="52"/>
      <c r="C85" s="52"/>
      <c r="D85" s="52"/>
      <c r="E85" s="52"/>
      <c r="F85" s="52"/>
      <c r="G85" s="53"/>
      <c r="I85" s="52"/>
      <c r="J85" s="54"/>
      <c r="K85" s="54"/>
      <c r="L85" s="54"/>
      <c r="M85" s="54"/>
      <c r="N85" s="52"/>
      <c r="O85" s="53"/>
      <c r="Q85" s="52" t="s">
        <v>725</v>
      </c>
      <c r="R85" s="52" t="n">
        <v>31.13</v>
      </c>
      <c r="S85" s="52" t="n">
        <v>31</v>
      </c>
      <c r="T85" s="52" t="n">
        <v>31.5</v>
      </c>
      <c r="U85" s="52" t="n">
        <v>30.35</v>
      </c>
      <c r="V85" s="52" t="s">
        <v>726</v>
      </c>
      <c r="W85" s="53" t="n">
        <v>0.0061</v>
      </c>
      <c r="Y85" s="52" t="s">
        <v>727</v>
      </c>
      <c r="Z85" s="54" t="n">
        <v>55121.22</v>
      </c>
      <c r="AA85" s="54" t="n">
        <v>54203.8</v>
      </c>
      <c r="AB85" s="54" t="n">
        <v>55178.62</v>
      </c>
      <c r="AC85" s="54" t="n">
        <v>53902.05</v>
      </c>
      <c r="AD85" s="52" t="s">
        <v>728</v>
      </c>
      <c r="AE85" s="53" t="n">
        <v>0.0175</v>
      </c>
      <c r="AG85" s="55" t="n">
        <v>45763</v>
      </c>
      <c r="AH85" s="56" t="n">
        <v>3.9</v>
      </c>
      <c r="AU85" s="57"/>
      <c r="AV85" s="52"/>
      <c r="AW85" s="52"/>
      <c r="AX85" s="52"/>
      <c r="AY85" s="52"/>
      <c r="AZ85" s="52"/>
      <c r="BA85" s="53"/>
      <c r="BC85" s="57"/>
      <c r="BD85" s="54"/>
      <c r="BE85" s="54"/>
      <c r="BF85" s="54"/>
      <c r="BG85" s="54"/>
      <c r="BH85" s="52"/>
      <c r="BI85" s="53"/>
    </row>
    <row r="86" customFormat="false" ht="13.5" hidden="false" customHeight="false" outlineLevel="0" collapsed="false">
      <c r="A86" s="52"/>
      <c r="B86" s="52"/>
      <c r="C86" s="52"/>
      <c r="D86" s="52"/>
      <c r="E86" s="52"/>
      <c r="F86" s="52"/>
      <c r="G86" s="53"/>
      <c r="I86" s="52"/>
      <c r="J86" s="54"/>
      <c r="K86" s="54"/>
      <c r="L86" s="54"/>
      <c r="M86" s="54"/>
      <c r="N86" s="52"/>
      <c r="O86" s="53"/>
      <c r="Q86" s="52" t="s">
        <v>729</v>
      </c>
      <c r="R86" s="52" t="n">
        <v>31.28</v>
      </c>
      <c r="S86" s="52" t="n">
        <v>30.98</v>
      </c>
      <c r="T86" s="52" t="n">
        <v>31.76</v>
      </c>
      <c r="U86" s="52" t="n">
        <v>30.98</v>
      </c>
      <c r="V86" s="52" t="s">
        <v>730</v>
      </c>
      <c r="W86" s="53" t="n">
        <v>0.0048</v>
      </c>
      <c r="Y86" s="52" t="s">
        <v>731</v>
      </c>
      <c r="Z86" s="54" t="n">
        <v>54937.39</v>
      </c>
      <c r="AA86" s="54" t="n">
        <v>55059.26</v>
      </c>
      <c r="AB86" s="54" t="n">
        <v>55323.65</v>
      </c>
      <c r="AC86" s="54" t="n">
        <v>54593.06</v>
      </c>
      <c r="AD86" s="52" t="s">
        <v>732</v>
      </c>
      <c r="AE86" s="53" t="n">
        <v>-0.0033</v>
      </c>
      <c r="AG86" s="55" t="n">
        <v>45778</v>
      </c>
      <c r="AH86" s="56" t="n">
        <v>4.22</v>
      </c>
      <c r="AU86" s="57"/>
      <c r="AV86" s="52"/>
      <c r="AW86" s="52"/>
      <c r="AX86" s="52"/>
      <c r="AY86" s="52"/>
      <c r="AZ86" s="52"/>
      <c r="BA86" s="53"/>
      <c r="BC86" s="57"/>
      <c r="BD86" s="54"/>
      <c r="BE86" s="54"/>
      <c r="BF86" s="54"/>
      <c r="BG86" s="54"/>
      <c r="BH86" s="52"/>
      <c r="BI86" s="53"/>
    </row>
    <row r="87" customFormat="false" ht="13.5" hidden="false" customHeight="false" outlineLevel="0" collapsed="false">
      <c r="A87" s="51"/>
      <c r="B87" s="52"/>
      <c r="C87" s="52"/>
      <c r="D87" s="52"/>
      <c r="E87" s="52"/>
      <c r="F87" s="52"/>
      <c r="G87" s="53"/>
      <c r="I87" s="52"/>
      <c r="J87" s="54"/>
      <c r="K87" s="54"/>
      <c r="L87" s="54"/>
      <c r="M87" s="54"/>
      <c r="N87" s="52"/>
      <c r="O87" s="53"/>
      <c r="Q87" s="51" t="n">
        <v>45112</v>
      </c>
      <c r="R87" s="52" t="n">
        <v>30.8</v>
      </c>
      <c r="S87" s="52" t="n">
        <v>31.27</v>
      </c>
      <c r="T87" s="52" t="n">
        <v>31.3</v>
      </c>
      <c r="U87" s="52" t="n">
        <v>30</v>
      </c>
      <c r="V87" s="52" t="s">
        <v>733</v>
      </c>
      <c r="W87" s="53" t="n">
        <v>-0.0153</v>
      </c>
      <c r="Y87" s="52" t="s">
        <v>734</v>
      </c>
      <c r="Z87" s="54" t="n">
        <v>54948.34</v>
      </c>
      <c r="AA87" s="54" t="n">
        <v>54989.64</v>
      </c>
      <c r="AB87" s="54" t="n">
        <v>55626.51</v>
      </c>
      <c r="AC87" s="54" t="n">
        <v>54724.18</v>
      </c>
      <c r="AD87" s="52" t="s">
        <v>735</v>
      </c>
      <c r="AE87" s="53" t="n">
        <v>0.0002</v>
      </c>
      <c r="AG87" s="55" t="n">
        <v>45793</v>
      </c>
      <c r="AH87" s="56" t="n">
        <v>4.62</v>
      </c>
      <c r="AU87" s="57"/>
      <c r="AV87" s="52"/>
      <c r="AW87" s="52"/>
      <c r="AX87" s="52"/>
      <c r="AY87" s="52"/>
      <c r="AZ87" s="52"/>
      <c r="BA87" s="53"/>
      <c r="BC87" s="57"/>
      <c r="BD87" s="54"/>
      <c r="BE87" s="54"/>
      <c r="BF87" s="54"/>
      <c r="BG87" s="54"/>
      <c r="BH87" s="52"/>
      <c r="BI87" s="53"/>
    </row>
    <row r="88" customFormat="false" ht="13.5" hidden="false" customHeight="false" outlineLevel="0" collapsed="false">
      <c r="A88" s="52"/>
      <c r="B88" s="52"/>
      <c r="C88" s="52"/>
      <c r="D88" s="52"/>
      <c r="E88" s="52"/>
      <c r="F88" s="52"/>
      <c r="G88" s="53"/>
      <c r="I88" s="52"/>
      <c r="J88" s="54"/>
      <c r="K88" s="54"/>
      <c r="L88" s="54"/>
      <c r="M88" s="54"/>
      <c r="N88" s="52"/>
      <c r="O88" s="53"/>
      <c r="Q88" s="52" t="s">
        <v>736</v>
      </c>
      <c r="R88" s="52" t="n">
        <v>30.54</v>
      </c>
      <c r="S88" s="52" t="n">
        <v>30.84</v>
      </c>
      <c r="T88" s="52" t="n">
        <v>31.26</v>
      </c>
      <c r="U88" s="52" t="n">
        <v>30.02</v>
      </c>
      <c r="V88" s="52" t="s">
        <v>737</v>
      </c>
      <c r="W88" s="53" t="n">
        <v>-0.0084</v>
      </c>
      <c r="Y88" s="52" t="s">
        <v>738</v>
      </c>
      <c r="Z88" s="54" t="n">
        <v>54296.05</v>
      </c>
      <c r="AA88" s="54" t="n">
        <v>54993.48</v>
      </c>
      <c r="AB88" s="54" t="n">
        <v>55589.72</v>
      </c>
      <c r="AC88" s="54" t="n">
        <v>54244.79</v>
      </c>
      <c r="AD88" s="52" t="s">
        <v>739</v>
      </c>
      <c r="AE88" s="53" t="n">
        <v>-0.0119</v>
      </c>
      <c r="AG88" s="55" t="n">
        <v>45809</v>
      </c>
      <c r="AH88" s="56" t="n">
        <v>4.51</v>
      </c>
      <c r="AU88" s="58"/>
      <c r="AV88" s="52"/>
      <c r="AW88" s="52"/>
      <c r="AX88" s="52"/>
      <c r="AY88" s="52"/>
      <c r="AZ88" s="52"/>
      <c r="BA88" s="53"/>
      <c r="BC88" s="57"/>
      <c r="BD88" s="54"/>
      <c r="BE88" s="54"/>
      <c r="BF88" s="54"/>
      <c r="BG88" s="54"/>
      <c r="BH88" s="52"/>
      <c r="BI88" s="53"/>
    </row>
    <row r="89" customFormat="false" ht="13.5" hidden="false" customHeight="false" outlineLevel="0" collapsed="false">
      <c r="A89" s="52"/>
      <c r="B89" s="52"/>
      <c r="C89" s="52"/>
      <c r="D89" s="52"/>
      <c r="E89" s="52"/>
      <c r="F89" s="52"/>
      <c r="G89" s="53"/>
      <c r="I89" s="52"/>
      <c r="J89" s="54"/>
      <c r="K89" s="54"/>
      <c r="L89" s="54"/>
      <c r="M89" s="54"/>
      <c r="N89" s="52"/>
      <c r="O89" s="53"/>
      <c r="Q89" s="52" t="s">
        <v>740</v>
      </c>
      <c r="R89" s="52" t="n">
        <v>30.3</v>
      </c>
      <c r="S89" s="52" t="n">
        <v>30.9</v>
      </c>
      <c r="T89" s="52" t="n">
        <v>31.17</v>
      </c>
      <c r="U89" s="52" t="n">
        <v>29.5</v>
      </c>
      <c r="V89" s="52" t="s">
        <v>741</v>
      </c>
      <c r="W89" s="53" t="n">
        <v>-0.0079</v>
      </c>
      <c r="Y89" s="52" t="s">
        <v>742</v>
      </c>
      <c r="Z89" s="54" t="n">
        <v>54025.45</v>
      </c>
      <c r="AA89" s="54" t="n">
        <v>54305.68</v>
      </c>
      <c r="AB89" s="54" t="n">
        <v>54746.26</v>
      </c>
      <c r="AC89" s="54" t="n">
        <v>52997.32</v>
      </c>
      <c r="AD89" s="52" t="s">
        <v>743</v>
      </c>
      <c r="AE89" s="53" t="n">
        <v>-0.005</v>
      </c>
      <c r="AG89" s="55" t="n">
        <v>45824</v>
      </c>
      <c r="AH89" s="56" t="n">
        <v>4.13</v>
      </c>
      <c r="AU89" s="57"/>
      <c r="AV89" s="52"/>
      <c r="AW89" s="52"/>
      <c r="AX89" s="52"/>
      <c r="AY89" s="52"/>
      <c r="AZ89" s="52"/>
      <c r="BA89" s="53"/>
      <c r="BC89" s="57"/>
      <c r="BD89" s="54"/>
      <c r="BE89" s="54"/>
      <c r="BF89" s="54"/>
      <c r="BG89" s="54"/>
      <c r="BH89" s="52"/>
      <c r="BI89" s="53"/>
    </row>
    <row r="90" customFormat="false" ht="13.5" hidden="false" customHeight="false" outlineLevel="0" collapsed="false">
      <c r="A90" s="52"/>
      <c r="B90" s="52"/>
      <c r="C90" s="52"/>
      <c r="D90" s="52"/>
      <c r="E90" s="52"/>
      <c r="F90" s="52"/>
      <c r="G90" s="53"/>
      <c r="I90" s="52"/>
      <c r="J90" s="54"/>
      <c r="K90" s="54"/>
      <c r="L90" s="54"/>
      <c r="M90" s="54"/>
      <c r="N90" s="52"/>
      <c r="O90" s="53"/>
      <c r="Q90" s="52" t="s">
        <v>744</v>
      </c>
      <c r="R90" s="52" t="n">
        <v>30.17</v>
      </c>
      <c r="S90" s="52" t="n">
        <v>30.05</v>
      </c>
      <c r="T90" s="52" t="n">
        <v>30.2</v>
      </c>
      <c r="U90" s="52" t="n">
        <v>29.88</v>
      </c>
      <c r="V90" s="52" t="s">
        <v>745</v>
      </c>
      <c r="W90" s="53" t="n">
        <v>-0.0043</v>
      </c>
      <c r="Y90" s="52" t="s">
        <v>746</v>
      </c>
      <c r="Z90" s="54" t="n">
        <v>53232.71</v>
      </c>
      <c r="AA90" s="54" t="n">
        <v>54002.65</v>
      </c>
      <c r="AB90" s="54" t="n">
        <v>54347.85</v>
      </c>
      <c r="AC90" s="54" t="n">
        <v>52575.14</v>
      </c>
      <c r="AD90" s="52" t="s">
        <v>747</v>
      </c>
      <c r="AE90" s="53" t="n">
        <v>-0.0147</v>
      </c>
      <c r="AG90" s="55" t="n">
        <v>45839</v>
      </c>
      <c r="AH90" s="56" t="n">
        <v>3.55</v>
      </c>
      <c r="AU90" s="57"/>
      <c r="AV90" s="52"/>
      <c r="AW90" s="52"/>
      <c r="AX90" s="52"/>
      <c r="AY90" s="52"/>
      <c r="AZ90" s="52"/>
      <c r="BA90" s="53"/>
      <c r="BC90" s="57"/>
      <c r="BD90" s="54"/>
      <c r="BE90" s="54"/>
      <c r="BF90" s="54"/>
      <c r="BG90" s="54"/>
      <c r="BH90" s="52"/>
      <c r="BI90" s="53"/>
    </row>
    <row r="91" customFormat="false" ht="13.5" hidden="false" customHeight="false" outlineLevel="0" collapsed="false">
      <c r="A91" s="51"/>
      <c r="B91" s="52"/>
      <c r="C91" s="52"/>
      <c r="D91" s="52"/>
      <c r="E91" s="52"/>
      <c r="F91" s="52"/>
      <c r="G91" s="53"/>
      <c r="I91" s="52"/>
      <c r="J91" s="54"/>
      <c r="K91" s="54"/>
      <c r="L91" s="54"/>
      <c r="M91" s="54"/>
      <c r="N91" s="52"/>
      <c r="O91" s="53"/>
      <c r="Q91" s="51" t="n">
        <v>45022</v>
      </c>
      <c r="R91" s="52" t="n">
        <v>30.05</v>
      </c>
      <c r="S91" s="52" t="n">
        <v>30</v>
      </c>
      <c r="T91" s="52" t="n">
        <v>30.1</v>
      </c>
      <c r="U91" s="52" t="n">
        <v>29.8</v>
      </c>
      <c r="V91" s="52" t="s">
        <v>748</v>
      </c>
      <c r="W91" s="53" t="n">
        <v>-0.004</v>
      </c>
      <c r="Y91" s="52" t="s">
        <v>749</v>
      </c>
      <c r="Z91" s="54" t="n">
        <v>54512.14</v>
      </c>
      <c r="AA91" s="54" t="n">
        <v>53262.27</v>
      </c>
      <c r="AB91" s="54" t="n">
        <v>54796.94</v>
      </c>
      <c r="AC91" s="54" t="n">
        <v>53238.63</v>
      </c>
      <c r="AD91" s="52" t="s">
        <v>750</v>
      </c>
      <c r="AE91" s="53" t="n">
        <v>0.024</v>
      </c>
      <c r="AG91" s="55" t="n">
        <v>45854</v>
      </c>
      <c r="AH91" s="56" t="n">
        <v>3.48</v>
      </c>
      <c r="AU91" s="57"/>
      <c r="AV91" s="52"/>
      <c r="AW91" s="52"/>
      <c r="AX91" s="52"/>
      <c r="AY91" s="52"/>
      <c r="AZ91" s="52"/>
      <c r="BA91" s="53"/>
      <c r="BC91" s="57"/>
      <c r="BD91" s="54"/>
      <c r="BE91" s="54"/>
      <c r="BF91" s="54"/>
      <c r="BG91" s="54"/>
      <c r="BH91" s="52"/>
      <c r="BI91" s="53"/>
    </row>
    <row r="92" customFormat="false" ht="13.5" hidden="false" customHeight="false" outlineLevel="0" collapsed="false">
      <c r="A92" s="51"/>
      <c r="B92" s="52"/>
      <c r="C92" s="52"/>
      <c r="D92" s="52"/>
      <c r="E92" s="52"/>
      <c r="F92" s="52"/>
      <c r="G92" s="53"/>
      <c r="I92" s="52"/>
      <c r="J92" s="54"/>
      <c r="K92" s="54"/>
      <c r="L92" s="54"/>
      <c r="M92" s="54"/>
      <c r="N92" s="52"/>
      <c r="O92" s="53"/>
      <c r="Q92" s="51" t="n">
        <v>45236</v>
      </c>
      <c r="R92" s="52" t="n">
        <v>29.07</v>
      </c>
      <c r="S92" s="52" t="n">
        <v>30.1</v>
      </c>
      <c r="T92" s="52" t="n">
        <v>30.1</v>
      </c>
      <c r="U92" s="52" t="n">
        <v>28.6</v>
      </c>
      <c r="V92" s="52" t="s">
        <v>751</v>
      </c>
      <c r="W92" s="53" t="n">
        <v>-0.0326</v>
      </c>
      <c r="Y92" s="52" t="s">
        <v>752</v>
      </c>
      <c r="Z92" s="54" t="n">
        <v>54842.51</v>
      </c>
      <c r="AA92" s="54" t="n">
        <v>54475.19</v>
      </c>
      <c r="AB92" s="54" t="n">
        <v>55407.72</v>
      </c>
      <c r="AC92" s="54" t="n">
        <v>54149.9</v>
      </c>
      <c r="AD92" s="52" t="s">
        <v>753</v>
      </c>
      <c r="AE92" s="53" t="n">
        <v>0.0061</v>
      </c>
      <c r="AG92" s="55" t="n">
        <v>45870</v>
      </c>
      <c r="AH92" s="56" t="n">
        <v>3.49</v>
      </c>
      <c r="AU92" s="58"/>
      <c r="AV92" s="52"/>
      <c r="AW92" s="52"/>
      <c r="AX92" s="52"/>
      <c r="AY92" s="52"/>
      <c r="AZ92" s="52"/>
      <c r="BA92" s="53"/>
      <c r="BC92" s="57"/>
      <c r="BD92" s="54"/>
      <c r="BE92" s="54"/>
      <c r="BF92" s="54"/>
      <c r="BG92" s="54"/>
      <c r="BH92" s="52"/>
      <c r="BI92" s="53"/>
    </row>
    <row r="93" customFormat="false" ht="13.5" hidden="false" customHeight="false" outlineLevel="0" collapsed="false">
      <c r="A93" s="52"/>
      <c r="B93" s="52"/>
      <c r="C93" s="52"/>
      <c r="D93" s="52"/>
      <c r="E93" s="52"/>
      <c r="F93" s="52"/>
      <c r="G93" s="53"/>
      <c r="I93" s="52"/>
      <c r="J93" s="54"/>
      <c r="K93" s="54"/>
      <c r="L93" s="54"/>
      <c r="M93" s="54"/>
      <c r="N93" s="52"/>
      <c r="O93" s="53"/>
      <c r="Q93" s="52" t="s">
        <v>754</v>
      </c>
      <c r="R93" s="52" t="n">
        <v>28.86</v>
      </c>
      <c r="S93" s="52" t="n">
        <v>29.08</v>
      </c>
      <c r="T93" s="52" t="n">
        <v>29.6</v>
      </c>
      <c r="U93" s="52" t="n">
        <v>28.16</v>
      </c>
      <c r="V93" s="52" t="s">
        <v>755</v>
      </c>
      <c r="W93" s="53" t="n">
        <v>-0.0072</v>
      </c>
      <c r="Y93" s="52" t="s">
        <v>756</v>
      </c>
      <c r="Z93" s="54" t="n">
        <v>53341.91</v>
      </c>
      <c r="AA93" s="54" t="n">
        <v>54953.82</v>
      </c>
      <c r="AB93" s="54" t="n">
        <v>55074.79</v>
      </c>
      <c r="AC93" s="54" t="n">
        <v>53127.22</v>
      </c>
      <c r="AD93" s="52" t="s">
        <v>757</v>
      </c>
      <c r="AE93" s="53" t="n">
        <v>-0.0274</v>
      </c>
      <c r="AG93" s="55" t="n">
        <v>45885</v>
      </c>
      <c r="AH93" s="56" t="n">
        <v>3.65</v>
      </c>
      <c r="AU93" s="58"/>
      <c r="AV93" s="52"/>
      <c r="AW93" s="52"/>
      <c r="AX93" s="52"/>
      <c r="AY93" s="52"/>
      <c r="AZ93" s="52"/>
      <c r="BA93" s="53"/>
      <c r="BC93" s="57"/>
      <c r="BD93" s="54"/>
      <c r="BE93" s="54"/>
      <c r="BF93" s="54"/>
      <c r="BG93" s="54"/>
      <c r="BH93" s="52"/>
      <c r="BI93" s="53"/>
    </row>
    <row r="94" customFormat="false" ht="13.5" hidden="false" customHeight="false" outlineLevel="0" collapsed="false">
      <c r="A94" s="52"/>
      <c r="B94" s="52"/>
      <c r="C94" s="52"/>
      <c r="D94" s="52"/>
      <c r="E94" s="52"/>
      <c r="F94" s="52"/>
      <c r="G94" s="53"/>
      <c r="I94" s="52"/>
      <c r="J94" s="54"/>
      <c r="K94" s="54"/>
      <c r="L94" s="54"/>
      <c r="M94" s="54"/>
      <c r="N94" s="52"/>
      <c r="O94" s="53"/>
      <c r="Q94" s="52" t="s">
        <v>758</v>
      </c>
      <c r="R94" s="52" t="n">
        <v>28.49</v>
      </c>
      <c r="S94" s="52" t="n">
        <v>29.4</v>
      </c>
      <c r="T94" s="52" t="n">
        <v>29.48</v>
      </c>
      <c r="U94" s="52" t="n">
        <v>27.3</v>
      </c>
      <c r="V94" s="52" t="s">
        <v>759</v>
      </c>
      <c r="W94" s="53" t="n">
        <v>-0.0128</v>
      </c>
      <c r="Y94" s="52" t="s">
        <v>760</v>
      </c>
      <c r="Z94" s="54" t="n">
        <v>53526.1</v>
      </c>
      <c r="AA94" s="54" t="n">
        <v>53354.29</v>
      </c>
      <c r="AB94" s="54" t="n">
        <v>54008.03</v>
      </c>
      <c r="AC94" s="54" t="n">
        <v>53212.73</v>
      </c>
      <c r="AD94" s="52" t="s">
        <v>761</v>
      </c>
      <c r="AE94" s="53" t="n">
        <v>0.0035</v>
      </c>
      <c r="AG94" s="55" t="n">
        <v>45901</v>
      </c>
      <c r="AH94" s="56" t="n">
        <v>3.74</v>
      </c>
      <c r="AU94" s="57"/>
      <c r="AV94" s="52"/>
      <c r="AW94" s="52"/>
      <c r="AX94" s="52"/>
      <c r="AY94" s="52"/>
      <c r="AZ94" s="52"/>
      <c r="BA94" s="53"/>
      <c r="BC94" s="57"/>
      <c r="BD94" s="54"/>
      <c r="BE94" s="54"/>
      <c r="BF94" s="54"/>
      <c r="BG94" s="54"/>
      <c r="BH94" s="52"/>
      <c r="BI94" s="53"/>
    </row>
    <row r="95" customFormat="false" ht="13.5" hidden="false" customHeight="false" outlineLevel="0" collapsed="false">
      <c r="A95" s="51"/>
      <c r="B95" s="52"/>
      <c r="C95" s="52"/>
      <c r="D95" s="52"/>
      <c r="E95" s="52"/>
      <c r="F95" s="52"/>
      <c r="G95" s="53"/>
      <c r="I95" s="52"/>
      <c r="J95" s="54"/>
      <c r="K95" s="54"/>
      <c r="L95" s="54"/>
      <c r="M95" s="54"/>
      <c r="N95" s="52"/>
      <c r="O95" s="53"/>
      <c r="Q95" s="51" t="n">
        <v>44964</v>
      </c>
      <c r="R95" s="52" t="n">
        <v>27.74</v>
      </c>
      <c r="S95" s="52" t="n">
        <v>28.5</v>
      </c>
      <c r="T95" s="52" t="n">
        <v>28.98</v>
      </c>
      <c r="U95" s="52" t="n">
        <v>27.2</v>
      </c>
      <c r="V95" s="52" t="s">
        <v>762</v>
      </c>
      <c r="W95" s="53" t="n">
        <v>-0.0263</v>
      </c>
      <c r="Y95" s="52" t="s">
        <v>763</v>
      </c>
      <c r="Z95" s="54" t="n">
        <v>53904.29</v>
      </c>
      <c r="AA95" s="54" t="n">
        <v>53536.94</v>
      </c>
      <c r="AB95" s="54" t="n">
        <v>54501.58</v>
      </c>
      <c r="AC95" s="54" t="n">
        <v>53117.59</v>
      </c>
      <c r="AD95" s="52" t="s">
        <v>764</v>
      </c>
      <c r="AE95" s="53" t="n">
        <v>0.0071</v>
      </c>
      <c r="AG95" s="55" t="n">
        <v>45916</v>
      </c>
      <c r="AH95" s="56" t="n">
        <v>3.78</v>
      </c>
      <c r="AU95" s="57"/>
      <c r="AV95" s="52"/>
      <c r="AW95" s="52"/>
      <c r="AX95" s="52"/>
      <c r="AY95" s="52"/>
      <c r="AZ95" s="52"/>
      <c r="BA95" s="53"/>
      <c r="BC95" s="57"/>
      <c r="BD95" s="54"/>
      <c r="BE95" s="54"/>
      <c r="BF95" s="54"/>
      <c r="BG95" s="54"/>
      <c r="BH95" s="52"/>
      <c r="BI95" s="53"/>
    </row>
    <row r="96" customFormat="false" ht="13.5" hidden="false" customHeight="false" outlineLevel="0" collapsed="false">
      <c r="A96" s="51"/>
      <c r="B96" s="52"/>
      <c r="C96" s="52"/>
      <c r="D96" s="52"/>
      <c r="E96" s="52"/>
      <c r="F96" s="52"/>
      <c r="G96" s="53"/>
      <c r="I96" s="52"/>
      <c r="J96" s="54"/>
      <c r="K96" s="54"/>
      <c r="L96" s="54"/>
      <c r="M96" s="54"/>
      <c r="N96" s="52"/>
      <c r="O96" s="53"/>
      <c r="Q96" s="51" t="n">
        <v>45176</v>
      </c>
      <c r="R96" s="52" t="n">
        <v>27.69</v>
      </c>
      <c r="S96" s="52" t="n">
        <v>27.92</v>
      </c>
      <c r="T96" s="52" t="n">
        <v>28</v>
      </c>
      <c r="U96" s="52" t="n">
        <v>27.02</v>
      </c>
      <c r="V96" s="52" t="s">
        <v>765</v>
      </c>
      <c r="W96" s="53" t="n">
        <v>-0.0018</v>
      </c>
      <c r="Y96" s="52" t="s">
        <v>766</v>
      </c>
      <c r="Z96" s="54" t="n">
        <v>53770.8</v>
      </c>
      <c r="AA96" s="54" t="n">
        <v>53991.75</v>
      </c>
      <c r="AB96" s="54" t="n">
        <v>54605.5</v>
      </c>
      <c r="AC96" s="54" t="n">
        <v>53339.38</v>
      </c>
      <c r="AD96" s="52" t="s">
        <v>767</v>
      </c>
      <c r="AE96" s="53" t="n">
        <v>-0.0025</v>
      </c>
      <c r="AG96" s="55" t="n">
        <v>45931</v>
      </c>
      <c r="AH96" s="56" t="n">
        <v>3.63</v>
      </c>
      <c r="AU96" s="58"/>
      <c r="AV96" s="52"/>
      <c r="AW96" s="52"/>
      <c r="AX96" s="52"/>
      <c r="AY96" s="52"/>
      <c r="AZ96" s="52"/>
      <c r="BA96" s="53"/>
      <c r="BC96" s="57"/>
      <c r="BD96" s="54"/>
      <c r="BE96" s="54"/>
      <c r="BF96" s="54"/>
      <c r="BG96" s="54"/>
      <c r="BH96" s="52"/>
      <c r="BI96" s="53"/>
    </row>
    <row r="97" customFormat="false" ht="13.5" hidden="false" customHeight="false" outlineLevel="0" collapsed="false">
      <c r="A97" s="52"/>
      <c r="B97" s="52"/>
      <c r="C97" s="52"/>
      <c r="D97" s="52"/>
      <c r="E97" s="52"/>
      <c r="F97" s="52"/>
      <c r="G97" s="53"/>
      <c r="I97" s="52"/>
      <c r="J97" s="54"/>
      <c r="K97" s="54"/>
      <c r="L97" s="54"/>
      <c r="M97" s="54"/>
      <c r="N97" s="52"/>
      <c r="O97" s="53"/>
      <c r="Q97" s="52" t="s">
        <v>768</v>
      </c>
      <c r="R97" s="52" t="n">
        <v>27.24</v>
      </c>
      <c r="S97" s="52" t="n">
        <v>27.69</v>
      </c>
      <c r="T97" s="52" t="n">
        <v>27.69</v>
      </c>
      <c r="U97" s="52" t="n">
        <v>27.24</v>
      </c>
      <c r="V97" s="52" t="s">
        <v>769</v>
      </c>
      <c r="W97" s="53" t="n">
        <v>-0.0163</v>
      </c>
      <c r="Y97" s="52" t="s">
        <v>770</v>
      </c>
      <c r="Z97" s="54" t="n">
        <v>53702.16</v>
      </c>
      <c r="AA97" s="54" t="n">
        <v>53652.12</v>
      </c>
      <c r="AB97" s="54" t="n">
        <v>54333.02</v>
      </c>
      <c r="AC97" s="54" t="n">
        <v>53336.24</v>
      </c>
      <c r="AD97" s="52" t="s">
        <v>771</v>
      </c>
      <c r="AE97" s="53" t="n">
        <v>-0.0013</v>
      </c>
      <c r="AG97" s="55" t="n">
        <v>45946</v>
      </c>
      <c r="AH97" s="56" t="n">
        <v>3.5</v>
      </c>
      <c r="AU97" s="58"/>
      <c r="AV97" s="52"/>
      <c r="AW97" s="52"/>
      <c r="AX97" s="52"/>
      <c r="AY97" s="52"/>
      <c r="AZ97" s="52"/>
      <c r="BA97" s="53"/>
      <c r="BC97" s="57"/>
      <c r="BD97" s="54"/>
      <c r="BE97" s="54"/>
      <c r="BF97" s="54"/>
      <c r="BG97" s="54"/>
      <c r="BH97" s="52"/>
      <c r="BI97" s="53"/>
    </row>
    <row r="98" customFormat="false" ht="13.5" hidden="false" customHeight="false" outlineLevel="0" collapsed="false">
      <c r="A98" s="52"/>
      <c r="B98" s="52"/>
      <c r="C98" s="52"/>
      <c r="D98" s="52"/>
      <c r="E98" s="52"/>
      <c r="F98" s="52"/>
      <c r="G98" s="53"/>
      <c r="I98" s="52"/>
      <c r="J98" s="54"/>
      <c r="K98" s="54"/>
      <c r="L98" s="54"/>
      <c r="M98" s="54"/>
      <c r="N98" s="52"/>
      <c r="O98" s="53"/>
      <c r="Q98" s="52" t="s">
        <v>772</v>
      </c>
      <c r="R98" s="52" t="n">
        <v>27.38</v>
      </c>
      <c r="S98" s="52" t="n">
        <v>26.52</v>
      </c>
      <c r="T98" s="52" t="n">
        <v>28</v>
      </c>
      <c r="U98" s="52" t="n">
        <v>26.52</v>
      </c>
      <c r="V98" s="52" t="s">
        <v>773</v>
      </c>
      <c r="W98" s="53" t="n">
        <v>0.0051</v>
      </c>
      <c r="Y98" s="52" t="s">
        <v>774</v>
      </c>
      <c r="Z98" s="54" t="n">
        <v>54910.93</v>
      </c>
      <c r="AA98" s="54" t="n">
        <v>53701.46</v>
      </c>
      <c r="AB98" s="54" t="n">
        <v>55169.49</v>
      </c>
      <c r="AC98" s="54" t="n">
        <v>53329.97</v>
      </c>
      <c r="AD98" s="52" t="s">
        <v>775</v>
      </c>
      <c r="AE98" s="53" t="n">
        <v>0.0225</v>
      </c>
      <c r="AG98" s="55" t="n">
        <v>45962</v>
      </c>
      <c r="AH98" s="56" t="n">
        <v>3.61</v>
      </c>
      <c r="AU98" s="57"/>
      <c r="AV98" s="52"/>
      <c r="AW98" s="52"/>
      <c r="AX98" s="52"/>
      <c r="AY98" s="52"/>
      <c r="AZ98" s="52"/>
      <c r="BA98" s="53"/>
      <c r="BC98" s="57"/>
      <c r="BD98" s="54"/>
      <c r="BE98" s="54"/>
      <c r="BF98" s="54"/>
      <c r="BG98" s="54"/>
      <c r="BH98" s="52"/>
      <c r="BI98" s="53"/>
    </row>
    <row r="99" customFormat="false" ht="13.5" hidden="false" customHeight="false" outlineLevel="0" collapsed="false">
      <c r="A99" s="52"/>
      <c r="B99" s="52"/>
      <c r="C99" s="52"/>
      <c r="D99" s="52"/>
      <c r="E99" s="52"/>
      <c r="F99" s="52"/>
      <c r="G99" s="53"/>
      <c r="I99" s="52"/>
      <c r="J99" s="54"/>
      <c r="K99" s="54"/>
      <c r="L99" s="54"/>
      <c r="M99" s="54"/>
      <c r="N99" s="52"/>
      <c r="O99" s="53"/>
      <c r="Q99" s="52" t="s">
        <v>776</v>
      </c>
      <c r="R99" s="52" t="n">
        <v>26.99</v>
      </c>
      <c r="S99" s="52" t="n">
        <v>27.48</v>
      </c>
      <c r="T99" s="52" t="n">
        <v>27.53</v>
      </c>
      <c r="U99" s="52" t="n">
        <v>26.98</v>
      </c>
      <c r="V99" s="52" t="s">
        <v>777</v>
      </c>
      <c r="W99" s="53" t="n">
        <v>-0.0142</v>
      </c>
      <c r="Y99" s="52" t="s">
        <v>778</v>
      </c>
      <c r="Z99" s="54" t="n">
        <v>53991.42</v>
      </c>
      <c r="AA99" s="54" t="n">
        <v>54998.42</v>
      </c>
      <c r="AB99" s="54" t="n">
        <v>55244.82</v>
      </c>
      <c r="AC99" s="54" t="n">
        <v>53019.22</v>
      </c>
      <c r="AD99" s="52" t="s">
        <v>428</v>
      </c>
      <c r="AE99" s="53" t="n">
        <v>-0.0167</v>
      </c>
      <c r="AG99" s="55" t="n">
        <v>45977</v>
      </c>
      <c r="AH99" s="56" t="n">
        <v>3.99</v>
      </c>
      <c r="AU99" s="57"/>
      <c r="AV99" s="52"/>
      <c r="AW99" s="52"/>
      <c r="AX99" s="52"/>
      <c r="AY99" s="52"/>
      <c r="AZ99" s="52"/>
      <c r="BA99" s="53"/>
      <c r="BC99" s="57"/>
      <c r="BD99" s="54"/>
      <c r="BE99" s="54"/>
      <c r="BF99" s="54"/>
      <c r="BG99" s="54"/>
      <c r="BH99" s="52"/>
      <c r="BI99" s="53"/>
    </row>
    <row r="100" customFormat="false" ht="13.5" hidden="false" customHeight="false" outlineLevel="0" collapsed="false">
      <c r="A100" s="51"/>
      <c r="B100" s="52"/>
      <c r="C100" s="52"/>
      <c r="D100" s="52"/>
      <c r="E100" s="52"/>
      <c r="F100" s="52"/>
      <c r="G100" s="53"/>
      <c r="I100" s="52"/>
      <c r="J100" s="54"/>
      <c r="K100" s="54"/>
      <c r="L100" s="54"/>
      <c r="M100" s="54"/>
      <c r="N100" s="52"/>
      <c r="O100" s="53"/>
      <c r="Q100" s="51" t="n">
        <v>45085</v>
      </c>
      <c r="R100" s="52" t="n">
        <v>27.19</v>
      </c>
      <c r="S100" s="52" t="n">
        <v>26.99</v>
      </c>
      <c r="T100" s="52" t="n">
        <v>27.2</v>
      </c>
      <c r="U100" s="52" t="n">
        <v>26.54</v>
      </c>
      <c r="V100" s="52" t="s">
        <v>779</v>
      </c>
      <c r="W100" s="53" t="n">
        <v>0.0074</v>
      </c>
      <c r="Y100" s="52" t="s">
        <v>780</v>
      </c>
      <c r="Z100" s="54" t="n">
        <v>53242.16</v>
      </c>
      <c r="AA100" s="54" t="n">
        <v>54014.74</v>
      </c>
      <c r="AB100" s="54" t="n">
        <v>54435.43</v>
      </c>
      <c r="AC100" s="54" t="n">
        <v>53171.02</v>
      </c>
      <c r="AD100" s="52" t="s">
        <v>781</v>
      </c>
      <c r="AE100" s="53" t="n">
        <v>-0.0139</v>
      </c>
      <c r="AG100" s="55" t="n">
        <v>45992</v>
      </c>
      <c r="AH100" s="56" t="n">
        <v>3.72</v>
      </c>
      <c r="AU100" s="57"/>
      <c r="AV100" s="52"/>
      <c r="AW100" s="52"/>
      <c r="AX100" s="52"/>
      <c r="AY100" s="52"/>
      <c r="AZ100" s="52"/>
      <c r="BA100" s="53"/>
      <c r="BC100" s="57"/>
      <c r="BD100" s="54"/>
      <c r="BE100" s="54"/>
      <c r="BF100" s="54"/>
      <c r="BG100" s="54"/>
      <c r="BH100" s="52"/>
      <c r="BI100" s="53"/>
    </row>
    <row r="101" customFormat="false" ht="13.5" hidden="false" customHeight="false" outlineLevel="0" collapsed="false">
      <c r="A101" s="52"/>
      <c r="B101" s="52"/>
      <c r="C101" s="52"/>
      <c r="D101" s="52"/>
      <c r="E101" s="52"/>
      <c r="F101" s="52"/>
      <c r="G101" s="53"/>
      <c r="I101" s="52"/>
      <c r="J101" s="54"/>
      <c r="K101" s="54"/>
      <c r="L101" s="54"/>
      <c r="M101" s="54"/>
      <c r="N101" s="52"/>
      <c r="O101" s="53"/>
      <c r="Q101" s="52" t="s">
        <v>782</v>
      </c>
      <c r="R101" s="52" t="n">
        <v>27.2</v>
      </c>
      <c r="S101" s="52" t="n">
        <v>27.19</v>
      </c>
      <c r="T101" s="52" t="n">
        <v>27.2</v>
      </c>
      <c r="U101" s="52" t="n">
        <v>26.69</v>
      </c>
      <c r="V101" s="52" t="s">
        <v>783</v>
      </c>
      <c r="W101" s="53" t="n">
        <v>0.0004</v>
      </c>
      <c r="Y101" s="52" t="s">
        <v>784</v>
      </c>
      <c r="Z101" s="54" t="n">
        <v>53194.39</v>
      </c>
      <c r="AA101" s="54" t="n">
        <v>53244.42</v>
      </c>
      <c r="AB101" s="54" t="n">
        <v>53968.96</v>
      </c>
      <c r="AC101" s="54" t="n">
        <v>52610.14</v>
      </c>
      <c r="AD101" s="52" t="s">
        <v>540</v>
      </c>
      <c r="AE101" s="53" t="n">
        <v>-0.0009</v>
      </c>
      <c r="AG101" s="55" t="n">
        <v>46007</v>
      </c>
      <c r="AH101" s="56" t="n">
        <v>3.66</v>
      </c>
      <c r="AU101" s="58"/>
      <c r="AV101" s="52"/>
      <c r="AW101" s="52"/>
      <c r="AX101" s="52"/>
      <c r="AY101" s="52"/>
      <c r="AZ101" s="52"/>
      <c r="BA101" s="53"/>
      <c r="BC101" s="57"/>
      <c r="BD101" s="54"/>
      <c r="BE101" s="54"/>
      <c r="BF101" s="54"/>
      <c r="BG101" s="54"/>
      <c r="BH101" s="52"/>
      <c r="BI101" s="53"/>
    </row>
    <row r="102" customFormat="false" ht="13.5" hidden="false" customHeight="false" outlineLevel="0" collapsed="false">
      <c r="A102" s="52"/>
      <c r="B102" s="52"/>
      <c r="C102" s="52"/>
      <c r="D102" s="52"/>
      <c r="E102" s="52"/>
      <c r="F102" s="52"/>
      <c r="G102" s="53"/>
      <c r="I102" s="52"/>
      <c r="J102" s="54"/>
      <c r="K102" s="54"/>
      <c r="L102" s="54"/>
      <c r="M102" s="54"/>
      <c r="N102" s="52"/>
      <c r="O102" s="53"/>
      <c r="Q102" s="52" t="s">
        <v>785</v>
      </c>
      <c r="R102" s="52" t="n">
        <v>26.49</v>
      </c>
      <c r="S102" s="52" t="n">
        <v>26.7</v>
      </c>
      <c r="T102" s="52" t="n">
        <v>27.2</v>
      </c>
      <c r="U102" s="52" t="n">
        <v>24.55</v>
      </c>
      <c r="V102" s="52" t="s">
        <v>786</v>
      </c>
      <c r="W102" s="53" t="n">
        <v>-0.0261</v>
      </c>
      <c r="Y102" s="52" t="s">
        <v>787</v>
      </c>
      <c r="Z102" s="54" t="n">
        <v>53191.53</v>
      </c>
      <c r="AA102" s="54" t="n">
        <v>53286.21</v>
      </c>
      <c r="AB102" s="54" t="n">
        <v>53784.29</v>
      </c>
      <c r="AC102" s="54" t="n">
        <v>52681.11</v>
      </c>
      <c r="AD102" s="52" t="s">
        <v>428</v>
      </c>
      <c r="AE102" s="53" t="n">
        <v>-0.0001</v>
      </c>
      <c r="AG102" s="55" t="n">
        <v>46023</v>
      </c>
      <c r="AH102" s="56" t="n">
        <v>3.77</v>
      </c>
      <c r="AU102" s="57"/>
      <c r="AV102" s="52"/>
      <c r="AW102" s="52"/>
      <c r="AX102" s="52"/>
      <c r="AY102" s="52"/>
      <c r="AZ102" s="52"/>
      <c r="BA102" s="53"/>
      <c r="BC102" s="57"/>
      <c r="BD102" s="54"/>
      <c r="BE102" s="54"/>
      <c r="BF102" s="54"/>
      <c r="BG102" s="54"/>
      <c r="BH102" s="52"/>
      <c r="BI102" s="53"/>
    </row>
    <row r="103" customFormat="false" ht="13.5" hidden="false" customHeight="false" outlineLevel="0" collapsed="false">
      <c r="A103" s="52"/>
      <c r="B103" s="52"/>
      <c r="C103" s="52"/>
      <c r="D103" s="52"/>
      <c r="E103" s="52"/>
      <c r="F103" s="52"/>
      <c r="G103" s="53"/>
      <c r="I103" s="52"/>
      <c r="J103" s="54"/>
      <c r="K103" s="54"/>
      <c r="L103" s="54"/>
      <c r="M103" s="54"/>
      <c r="N103" s="52"/>
      <c r="O103" s="53"/>
      <c r="Q103" s="52" t="s">
        <v>788</v>
      </c>
      <c r="R103" s="52" t="n">
        <v>29.07</v>
      </c>
      <c r="S103" s="52" t="n">
        <v>26.49</v>
      </c>
      <c r="T103" s="52" t="n">
        <v>31</v>
      </c>
      <c r="U103" s="52" t="n">
        <v>26.49</v>
      </c>
      <c r="V103" s="52" t="s">
        <v>789</v>
      </c>
      <c r="W103" s="53" t="n">
        <v>0.0974</v>
      </c>
      <c r="Y103" s="52" t="s">
        <v>790</v>
      </c>
      <c r="Z103" s="54" t="n">
        <v>53145.36</v>
      </c>
      <c r="AA103" s="54" t="n">
        <v>53193.85</v>
      </c>
      <c r="AB103" s="54" t="n">
        <v>54604.19</v>
      </c>
      <c r="AC103" s="54" t="n">
        <v>52875.8</v>
      </c>
      <c r="AD103" s="52" t="s">
        <v>791</v>
      </c>
      <c r="AE103" s="53" t="n">
        <v>-0.0009</v>
      </c>
      <c r="AG103" s="55" t="n">
        <v>46038</v>
      </c>
      <c r="AH103" s="56" t="n">
        <v>3.82</v>
      </c>
      <c r="AU103" s="57"/>
      <c r="AV103" s="52"/>
      <c r="AW103" s="52"/>
      <c r="AX103" s="52"/>
      <c r="AY103" s="52"/>
      <c r="AZ103" s="52"/>
      <c r="BA103" s="53"/>
      <c r="BC103" s="57"/>
      <c r="BD103" s="54"/>
      <c r="BE103" s="54"/>
      <c r="BF103" s="54"/>
      <c r="BG103" s="54"/>
      <c r="BH103" s="52"/>
      <c r="BI103" s="53"/>
    </row>
    <row r="104" customFormat="false" ht="13.5" hidden="false" customHeight="false" outlineLevel="0" collapsed="false">
      <c r="A104" s="51"/>
      <c r="B104" s="52"/>
      <c r="C104" s="52"/>
      <c r="D104" s="52"/>
      <c r="E104" s="52"/>
      <c r="F104" s="52"/>
      <c r="G104" s="53"/>
      <c r="I104" s="52"/>
      <c r="J104" s="54"/>
      <c r="K104" s="54"/>
      <c r="L104" s="54"/>
      <c r="M104" s="54"/>
      <c r="N104" s="52"/>
      <c r="O104" s="53"/>
      <c r="Q104" s="51" t="n">
        <v>44994</v>
      </c>
      <c r="R104" s="52" t="n">
        <v>28</v>
      </c>
      <c r="S104" s="52" t="n">
        <v>28.65</v>
      </c>
      <c r="T104" s="52" t="n">
        <v>28.99</v>
      </c>
      <c r="U104" s="52" t="n">
        <v>27.6</v>
      </c>
      <c r="V104" s="52" t="s">
        <v>792</v>
      </c>
      <c r="W104" s="53" t="n">
        <v>-0.0368</v>
      </c>
      <c r="Y104" s="52" t="s">
        <v>793</v>
      </c>
      <c r="Z104" s="54" t="n">
        <v>52505.11</v>
      </c>
      <c r="AA104" s="54" t="n">
        <v>53161.61</v>
      </c>
      <c r="AB104" s="54" t="n">
        <v>53317.4</v>
      </c>
      <c r="AC104" s="54" t="n">
        <v>52211.02</v>
      </c>
      <c r="AD104" s="52" t="s">
        <v>794</v>
      </c>
      <c r="AE104" s="53" t="n">
        <v>-0.012</v>
      </c>
      <c r="AG104" s="55" t="n">
        <v>46054</v>
      </c>
      <c r="AH104" s="56" t="n">
        <v>3.92</v>
      </c>
      <c r="AU104" s="57"/>
      <c r="AV104" s="52"/>
      <c r="AW104" s="52"/>
      <c r="AX104" s="52"/>
      <c r="AY104" s="52"/>
      <c r="AZ104" s="52"/>
      <c r="BA104" s="53"/>
      <c r="BC104" s="57"/>
      <c r="BD104" s="54"/>
      <c r="BE104" s="54"/>
      <c r="BF104" s="54"/>
      <c r="BG104" s="54"/>
      <c r="BH104" s="52"/>
      <c r="BI104" s="53"/>
    </row>
    <row r="105" customFormat="false" ht="13.5" hidden="false" customHeight="false" outlineLevel="0" collapsed="false">
      <c r="A105" s="51"/>
      <c r="B105" s="52"/>
      <c r="C105" s="52"/>
      <c r="D105" s="52"/>
      <c r="E105" s="52"/>
      <c r="F105" s="52"/>
      <c r="G105" s="53"/>
      <c r="I105" s="52"/>
      <c r="J105" s="54"/>
      <c r="K105" s="54"/>
      <c r="L105" s="54"/>
      <c r="M105" s="54"/>
      <c r="N105" s="52"/>
      <c r="O105" s="53"/>
      <c r="Q105" s="51" t="n">
        <v>45208</v>
      </c>
      <c r="R105" s="52" t="n">
        <v>26</v>
      </c>
      <c r="S105" s="52" t="n">
        <v>27.76</v>
      </c>
      <c r="T105" s="52" t="n">
        <v>27.76</v>
      </c>
      <c r="U105" s="52" t="n">
        <v>25.8</v>
      </c>
      <c r="V105" s="52" t="s">
        <v>795</v>
      </c>
      <c r="W105" s="53" t="n">
        <v>-0.0714</v>
      </c>
      <c r="Y105" s="52" t="s">
        <v>796</v>
      </c>
      <c r="Z105" s="54" t="n">
        <v>51351.6</v>
      </c>
      <c r="AA105" s="54" t="n">
        <v>52549.58</v>
      </c>
      <c r="AB105" s="54" t="n">
        <v>52748.51</v>
      </c>
      <c r="AC105" s="54" t="n">
        <v>51108.09</v>
      </c>
      <c r="AD105" s="52" t="s">
        <v>797</v>
      </c>
      <c r="AE105" s="53" t="n">
        <v>-0.022</v>
      </c>
      <c r="AG105" s="55" t="n">
        <v>46069</v>
      </c>
      <c r="AH105" s="56" t="n">
        <v>4.13</v>
      </c>
      <c r="AU105" s="58"/>
      <c r="AV105" s="52"/>
      <c r="AW105" s="52"/>
      <c r="AX105" s="52"/>
      <c r="AY105" s="52"/>
      <c r="AZ105" s="52"/>
      <c r="BA105" s="53"/>
      <c r="BC105" s="57"/>
      <c r="BD105" s="54"/>
      <c r="BE105" s="54"/>
      <c r="BF105" s="54"/>
      <c r="BG105" s="54"/>
      <c r="BH105" s="52"/>
      <c r="BI105" s="53"/>
    </row>
    <row r="106" customFormat="false" ht="13.5" hidden="false" customHeight="false" outlineLevel="0" collapsed="false">
      <c r="A106" s="52"/>
      <c r="B106" s="52"/>
      <c r="C106" s="52"/>
      <c r="D106" s="52"/>
      <c r="E106" s="52"/>
      <c r="F106" s="52"/>
      <c r="G106" s="53"/>
      <c r="I106" s="52"/>
      <c r="J106" s="54"/>
      <c r="K106" s="54"/>
      <c r="L106" s="54"/>
      <c r="M106" s="54"/>
      <c r="N106" s="52"/>
      <c r="O106" s="53"/>
      <c r="Q106" s="52" t="s">
        <v>798</v>
      </c>
      <c r="R106" s="52" t="n">
        <v>28.35</v>
      </c>
      <c r="S106" s="52" t="n">
        <v>26</v>
      </c>
      <c r="T106" s="52" t="n">
        <v>28.4</v>
      </c>
      <c r="U106" s="52" t="n">
        <v>24.78</v>
      </c>
      <c r="V106" s="52" t="s">
        <v>799</v>
      </c>
      <c r="W106" s="53" t="n">
        <v>0.0904</v>
      </c>
      <c r="Y106" s="52" t="s">
        <v>800</v>
      </c>
      <c r="Z106" s="54" t="n">
        <v>51677.48</v>
      </c>
      <c r="AA106" s="54" t="n">
        <v>51452.59</v>
      </c>
      <c r="AB106" s="54" t="n">
        <v>52904.07</v>
      </c>
      <c r="AC106" s="54" t="n">
        <v>50961.14</v>
      </c>
      <c r="AD106" s="52" t="s">
        <v>801</v>
      </c>
      <c r="AE106" s="53" t="n">
        <v>0.0063</v>
      </c>
      <c r="AG106" s="55" t="n">
        <v>46082</v>
      </c>
      <c r="AH106" s="56" t="n">
        <v>4.63</v>
      </c>
      <c r="AU106" s="58"/>
      <c r="AV106" s="52"/>
      <c r="AW106" s="52"/>
      <c r="AX106" s="52"/>
      <c r="AY106" s="52"/>
      <c r="AZ106" s="52"/>
      <c r="BA106" s="53"/>
      <c r="BC106" s="57"/>
      <c r="BD106" s="54"/>
      <c r="BE106" s="54"/>
      <c r="BF106" s="54"/>
      <c r="BG106" s="54"/>
      <c r="BH106" s="52"/>
      <c r="BI106" s="53"/>
    </row>
    <row r="107" customFormat="false" ht="13.5" hidden="false" customHeight="false" outlineLevel="0" collapsed="false">
      <c r="A107" s="52"/>
      <c r="B107" s="52"/>
      <c r="C107" s="52"/>
      <c r="D107" s="52"/>
      <c r="E107" s="52"/>
      <c r="F107" s="52"/>
      <c r="G107" s="53"/>
      <c r="I107" s="52"/>
      <c r="J107" s="54"/>
      <c r="K107" s="54"/>
      <c r="L107" s="54"/>
      <c r="M107" s="54"/>
      <c r="N107" s="52"/>
      <c r="O107" s="53"/>
      <c r="Q107" s="52" t="s">
        <v>802</v>
      </c>
      <c r="R107" s="52" t="n">
        <v>31.7</v>
      </c>
      <c r="S107" s="52" t="n">
        <v>28.4</v>
      </c>
      <c r="T107" s="52" t="n">
        <v>32.48</v>
      </c>
      <c r="U107" s="52" t="n">
        <v>28.4</v>
      </c>
      <c r="V107" s="52" t="s">
        <v>803</v>
      </c>
      <c r="W107" s="53" t="n">
        <v>0.1182</v>
      </c>
      <c r="Y107" s="52" t="s">
        <v>804</v>
      </c>
      <c r="Z107" s="54" t="n">
        <v>50874.98</v>
      </c>
      <c r="AA107" s="54" t="n">
        <v>51684.61</v>
      </c>
      <c r="AB107" s="54" t="n">
        <v>51852.12</v>
      </c>
      <c r="AC107" s="54" t="n">
        <v>50783.07</v>
      </c>
      <c r="AD107" s="52" t="s">
        <v>412</v>
      </c>
      <c r="AE107" s="53" t="n">
        <v>-0.0155</v>
      </c>
      <c r="AG107" s="55" t="n">
        <v>46097</v>
      </c>
      <c r="AH107" s="56" t="n">
        <v>4.55</v>
      </c>
      <c r="AU107" s="57"/>
      <c r="AV107" s="52"/>
      <c r="AW107" s="52"/>
      <c r="AX107" s="52"/>
      <c r="AY107" s="52"/>
      <c r="AZ107" s="52"/>
      <c r="BA107" s="53"/>
      <c r="BC107" s="57"/>
      <c r="BD107" s="54"/>
      <c r="BE107" s="54"/>
      <c r="BF107" s="54"/>
      <c r="BG107" s="54"/>
      <c r="BH107" s="52"/>
      <c r="BI107" s="53"/>
    </row>
    <row r="108" customFormat="false" ht="13.5" hidden="false" customHeight="false" outlineLevel="0" collapsed="false">
      <c r="A108" s="51"/>
      <c r="B108" s="52"/>
      <c r="C108" s="52"/>
      <c r="D108" s="52"/>
      <c r="E108" s="52"/>
      <c r="F108" s="52"/>
      <c r="G108" s="53"/>
      <c r="I108" s="52"/>
      <c r="J108" s="54"/>
      <c r="K108" s="54"/>
      <c r="L108" s="54"/>
      <c r="M108" s="54"/>
      <c r="N108" s="52"/>
      <c r="O108" s="53"/>
      <c r="Q108" s="51" t="n">
        <v>44936</v>
      </c>
      <c r="R108" s="52" t="n">
        <v>29.34</v>
      </c>
      <c r="S108" s="52" t="n">
        <v>31.7</v>
      </c>
      <c r="T108" s="52" t="n">
        <v>31.7</v>
      </c>
      <c r="U108" s="52" t="n">
        <v>28.88</v>
      </c>
      <c r="V108" s="52" t="s">
        <v>805</v>
      </c>
      <c r="W108" s="53" t="n">
        <v>-0.0744</v>
      </c>
      <c r="Y108" s="52" t="s">
        <v>806</v>
      </c>
      <c r="Z108" s="54" t="n">
        <v>49666.5</v>
      </c>
      <c r="AA108" s="54" t="n">
        <v>51001.79</v>
      </c>
      <c r="AB108" s="54" t="n">
        <v>51305.93</v>
      </c>
      <c r="AC108" s="54" t="n">
        <v>48484.91</v>
      </c>
      <c r="AD108" s="52" t="s">
        <v>750</v>
      </c>
      <c r="AE108" s="53" t="n">
        <v>-0.0238</v>
      </c>
      <c r="AG108" s="55" t="n">
        <v>46113</v>
      </c>
      <c r="AH108" s="56" t="n">
        <v>4.53</v>
      </c>
      <c r="AU108" s="57"/>
      <c r="AV108" s="52"/>
      <c r="AW108" s="52"/>
      <c r="AX108" s="52"/>
      <c r="AY108" s="52"/>
      <c r="AZ108" s="52"/>
      <c r="BA108" s="53"/>
      <c r="BC108" s="57"/>
      <c r="BD108" s="54"/>
      <c r="BE108" s="54"/>
      <c r="BF108" s="54"/>
      <c r="BG108" s="54"/>
      <c r="BH108" s="52"/>
      <c r="BI108" s="53"/>
    </row>
    <row r="109" customFormat="false" ht="13.5" hidden="false" customHeight="false" outlineLevel="0" collapsed="false">
      <c r="A109" s="51"/>
      <c r="B109" s="52"/>
      <c r="C109" s="52"/>
      <c r="D109" s="52"/>
      <c r="E109" s="52"/>
      <c r="F109" s="52"/>
      <c r="G109" s="53"/>
      <c r="I109" s="52"/>
      <c r="J109" s="54"/>
      <c r="K109" s="54"/>
      <c r="L109" s="54"/>
      <c r="M109" s="54"/>
      <c r="N109" s="52"/>
      <c r="O109" s="53"/>
      <c r="Q109" s="51" t="n">
        <v>45148</v>
      </c>
      <c r="R109" s="52" t="n">
        <v>29.85</v>
      </c>
      <c r="S109" s="52" t="n">
        <v>29.04</v>
      </c>
      <c r="T109" s="52" t="n">
        <v>29.85</v>
      </c>
      <c r="U109" s="52" t="n">
        <v>28.94</v>
      </c>
      <c r="V109" s="52" t="s">
        <v>807</v>
      </c>
      <c r="W109" s="53" t="n">
        <v>0.0174</v>
      </c>
      <c r="Y109" s="52" t="s">
        <v>808</v>
      </c>
      <c r="Z109" s="54" t="n">
        <v>49379.58</v>
      </c>
      <c r="AA109" s="54" t="n">
        <v>49658.39</v>
      </c>
      <c r="AB109" s="54" t="n">
        <v>50427.12</v>
      </c>
      <c r="AC109" s="54" t="n">
        <v>49020.25</v>
      </c>
      <c r="AD109" s="52" t="s">
        <v>809</v>
      </c>
      <c r="AE109" s="53" t="n">
        <v>-0.0058</v>
      </c>
      <c r="AG109" s="55" t="n">
        <v>46128</v>
      </c>
      <c r="AH109" s="56" t="n">
        <v>4.37</v>
      </c>
      <c r="AU109" s="58"/>
      <c r="AV109" s="52"/>
      <c r="AW109" s="52"/>
      <c r="AX109" s="52"/>
      <c r="AY109" s="52"/>
      <c r="AZ109" s="52"/>
      <c r="BA109" s="53"/>
      <c r="BC109" s="57"/>
      <c r="BD109" s="54"/>
      <c r="BE109" s="54"/>
      <c r="BF109" s="54"/>
      <c r="BG109" s="54"/>
      <c r="BH109" s="52"/>
      <c r="BI109" s="53"/>
    </row>
    <row r="110" customFormat="false" ht="13.5" hidden="false" customHeight="false" outlineLevel="0" collapsed="false">
      <c r="A110" s="52"/>
      <c r="B110" s="52"/>
      <c r="C110" s="52"/>
      <c r="D110" s="52"/>
      <c r="E110" s="52"/>
      <c r="F110" s="52"/>
      <c r="G110" s="53"/>
      <c r="I110" s="52"/>
      <c r="J110" s="54"/>
      <c r="K110" s="54"/>
      <c r="L110" s="54"/>
      <c r="M110" s="54"/>
      <c r="N110" s="52"/>
      <c r="O110" s="53"/>
      <c r="Q110" s="52" t="s">
        <v>810</v>
      </c>
      <c r="R110" s="52" t="n">
        <v>29.05</v>
      </c>
      <c r="S110" s="52" t="n">
        <v>29.85</v>
      </c>
      <c r="T110" s="52" t="n">
        <v>29.85</v>
      </c>
      <c r="U110" s="52" t="n">
        <v>28.9</v>
      </c>
      <c r="V110" s="52" t="s">
        <v>811</v>
      </c>
      <c r="W110" s="53" t="n">
        <v>-0.0268</v>
      </c>
      <c r="Y110" s="52" t="s">
        <v>812</v>
      </c>
      <c r="Z110" s="54" t="n">
        <v>48275.91</v>
      </c>
      <c r="AA110" s="54" t="n">
        <v>49402.33</v>
      </c>
      <c r="AB110" s="54" t="n">
        <v>50004.83</v>
      </c>
      <c r="AC110" s="54" t="n">
        <v>48226.48</v>
      </c>
      <c r="AD110" s="52" t="s">
        <v>420</v>
      </c>
      <c r="AE110" s="53" t="n">
        <v>-0.0224</v>
      </c>
      <c r="AG110" s="55" t="n">
        <v>46143</v>
      </c>
      <c r="AH110" s="56" t="n">
        <v>4.11</v>
      </c>
      <c r="AU110" s="58"/>
      <c r="AV110" s="52"/>
      <c r="AW110" s="52"/>
      <c r="AX110" s="52"/>
      <c r="AY110" s="52"/>
      <c r="AZ110" s="52"/>
      <c r="BA110" s="53"/>
      <c r="BC110" s="57"/>
      <c r="BD110" s="54"/>
      <c r="BE110" s="54"/>
      <c r="BF110" s="54"/>
      <c r="BG110" s="54"/>
      <c r="BH110" s="52"/>
      <c r="BI110" s="53"/>
    </row>
    <row r="111" customFormat="false" ht="13.5" hidden="false" customHeight="false" outlineLevel="0" collapsed="false">
      <c r="A111" s="52"/>
      <c r="B111" s="52"/>
      <c r="C111" s="52"/>
      <c r="D111" s="52"/>
      <c r="E111" s="52"/>
      <c r="F111" s="52"/>
      <c r="G111" s="53"/>
      <c r="I111" s="52"/>
      <c r="J111" s="54"/>
      <c r="K111" s="54"/>
      <c r="L111" s="54"/>
      <c r="M111" s="54"/>
      <c r="N111" s="52"/>
      <c r="O111" s="53"/>
      <c r="Q111" s="52" t="s">
        <v>813</v>
      </c>
      <c r="R111" s="52" t="n">
        <v>32.09</v>
      </c>
      <c r="S111" s="52" t="n">
        <v>29.05</v>
      </c>
      <c r="T111" s="52" t="n">
        <v>32.5</v>
      </c>
      <c r="U111" s="52" t="n">
        <v>28.74</v>
      </c>
      <c r="V111" s="52" t="s">
        <v>814</v>
      </c>
      <c r="W111" s="53" t="n">
        <v>0.1046</v>
      </c>
      <c r="Y111" s="52" t="s">
        <v>815</v>
      </c>
      <c r="Z111" s="54" t="n">
        <v>48973.85</v>
      </c>
      <c r="AA111" s="54" t="n">
        <v>48290.33</v>
      </c>
      <c r="AB111" s="54" t="n">
        <v>49609.33</v>
      </c>
      <c r="AC111" s="54" t="n">
        <v>47765.06</v>
      </c>
      <c r="AD111" s="52" t="s">
        <v>816</v>
      </c>
      <c r="AE111" s="53" t="n">
        <v>0.0145</v>
      </c>
      <c r="AG111" s="55" t="n">
        <v>46158</v>
      </c>
      <c r="AH111" s="56" t="n">
        <v>3.77</v>
      </c>
      <c r="AU111" s="57"/>
      <c r="AV111" s="52"/>
      <c r="AW111" s="52"/>
      <c r="AX111" s="52"/>
      <c r="AY111" s="52"/>
      <c r="AZ111" s="52"/>
      <c r="BA111" s="53"/>
      <c r="BC111" s="57"/>
      <c r="BD111" s="54"/>
      <c r="BE111" s="54"/>
      <c r="BF111" s="54"/>
      <c r="BG111" s="54"/>
      <c r="BH111" s="52"/>
      <c r="BI111" s="53"/>
    </row>
    <row r="112" customFormat="false" ht="13.5" hidden="false" customHeight="false" outlineLevel="0" collapsed="false">
      <c r="A112" s="52"/>
      <c r="B112" s="52"/>
      <c r="C112" s="52"/>
      <c r="D112" s="52"/>
      <c r="E112" s="52"/>
      <c r="F112" s="52"/>
      <c r="G112" s="53"/>
      <c r="I112" s="52"/>
      <c r="J112" s="54"/>
      <c r="K112" s="54"/>
      <c r="L112" s="54"/>
      <c r="M112" s="54"/>
      <c r="N112" s="52"/>
      <c r="O112" s="53"/>
      <c r="Q112" s="52" t="s">
        <v>817</v>
      </c>
      <c r="R112" s="52" t="n">
        <v>32.03</v>
      </c>
      <c r="S112" s="52" t="n">
        <v>31.12</v>
      </c>
      <c r="T112" s="52" t="n">
        <v>32.45</v>
      </c>
      <c r="U112" s="52" t="n">
        <v>28.3</v>
      </c>
      <c r="V112" s="52" t="s">
        <v>818</v>
      </c>
      <c r="W112" s="53" t="n">
        <v>-0.0019</v>
      </c>
      <c r="Y112" s="52" t="s">
        <v>819</v>
      </c>
      <c r="Z112" s="54" t="n">
        <v>51266.73</v>
      </c>
      <c r="AA112" s="54" t="n">
        <v>48963.47</v>
      </c>
      <c r="AB112" s="54" t="n">
        <v>51926.51</v>
      </c>
      <c r="AC112" s="54" t="n">
        <v>48807.35</v>
      </c>
      <c r="AD112" s="52" t="s">
        <v>820</v>
      </c>
      <c r="AE112" s="53" t="n">
        <v>0.0468</v>
      </c>
      <c r="AG112" s="55" t="n">
        <v>46174</v>
      </c>
      <c r="AH112" s="56" t="n">
        <v>3.55</v>
      </c>
      <c r="AU112" s="57"/>
      <c r="AV112" s="52"/>
      <c r="AW112" s="52"/>
      <c r="AX112" s="52"/>
      <c r="AY112" s="52"/>
      <c r="AZ112" s="52"/>
      <c r="BA112" s="53"/>
      <c r="BC112" s="57"/>
      <c r="BD112" s="54"/>
      <c r="BE112" s="54"/>
      <c r="BF112" s="54"/>
      <c r="BG112" s="54"/>
      <c r="BH112" s="52"/>
      <c r="BI112" s="53"/>
    </row>
    <row r="113" customFormat="false" ht="13.5" hidden="false" customHeight="false" outlineLevel="0" collapsed="false">
      <c r="A113" s="51"/>
      <c r="B113" s="52"/>
      <c r="C113" s="52"/>
      <c r="D113" s="52"/>
      <c r="E113" s="52"/>
      <c r="F113" s="52"/>
      <c r="G113" s="53"/>
      <c r="I113" s="52"/>
      <c r="J113" s="54"/>
      <c r="K113" s="54"/>
      <c r="L113" s="54"/>
      <c r="M113" s="54"/>
      <c r="N113" s="52"/>
      <c r="O113" s="53"/>
      <c r="Q113" s="51" t="n">
        <v>45057</v>
      </c>
      <c r="R113" s="52" t="n">
        <v>29.94</v>
      </c>
      <c r="S113" s="52" t="n">
        <v>31.07</v>
      </c>
      <c r="T113" s="52" t="n">
        <v>31.41</v>
      </c>
      <c r="U113" s="52" t="n">
        <v>29.19</v>
      </c>
      <c r="V113" s="52" t="s">
        <v>821</v>
      </c>
      <c r="W113" s="53" t="n">
        <v>-0.0653</v>
      </c>
      <c r="Y113" s="52" t="s">
        <v>822</v>
      </c>
      <c r="Z113" s="54" t="n">
        <v>51258.24</v>
      </c>
      <c r="AA113" s="54" t="n">
        <v>51127.32</v>
      </c>
      <c r="AB113" s="54" t="n">
        <v>52181.65</v>
      </c>
      <c r="AC113" s="54" t="n">
        <v>50812.14</v>
      </c>
      <c r="AD113" s="52" t="s">
        <v>823</v>
      </c>
      <c r="AE113" s="53" t="n">
        <v>-0.0002</v>
      </c>
      <c r="AG113" s="55" t="n">
        <v>46189</v>
      </c>
      <c r="AH113" s="56" t="n">
        <v>3.18</v>
      </c>
      <c r="AU113" s="57"/>
      <c r="AV113" s="52"/>
      <c r="AW113" s="52"/>
      <c r="AX113" s="52"/>
      <c r="AY113" s="52"/>
      <c r="AZ113" s="52"/>
      <c r="BA113" s="53"/>
      <c r="BC113" s="57"/>
      <c r="BD113" s="54"/>
      <c r="BE113" s="54"/>
      <c r="BF113" s="54"/>
      <c r="BG113" s="54"/>
      <c r="BH113" s="52"/>
      <c r="BI113" s="53"/>
    </row>
    <row r="114" customFormat="false" ht="13.5" hidden="false" customHeight="false" outlineLevel="0" collapsed="false">
      <c r="A114" s="51"/>
      <c r="B114" s="52"/>
      <c r="C114" s="52"/>
      <c r="D114" s="52"/>
      <c r="E114" s="52"/>
      <c r="F114" s="52"/>
      <c r="G114" s="53"/>
      <c r="I114" s="52"/>
      <c r="J114" s="54"/>
      <c r="K114" s="54"/>
      <c r="L114" s="54"/>
      <c r="M114" s="54"/>
      <c r="N114" s="52"/>
      <c r="O114" s="53"/>
      <c r="Q114" s="51" t="n">
        <v>45271</v>
      </c>
      <c r="R114" s="52" t="n">
        <v>30.49</v>
      </c>
      <c r="S114" s="52" t="n">
        <v>29.88</v>
      </c>
      <c r="T114" s="52" t="n">
        <v>31.2</v>
      </c>
      <c r="U114" s="52" t="n">
        <v>29</v>
      </c>
      <c r="V114" s="52" t="s">
        <v>824</v>
      </c>
      <c r="W114" s="53" t="n">
        <v>0.0184</v>
      </c>
      <c r="Y114" s="52" t="s">
        <v>825</v>
      </c>
      <c r="Z114" s="54" t="n">
        <v>52685.1</v>
      </c>
      <c r="AA114" s="54" t="n">
        <v>51216.27</v>
      </c>
      <c r="AB114" s="54" t="n">
        <v>52916.83</v>
      </c>
      <c r="AC114" s="54" t="n">
        <v>51046.7</v>
      </c>
      <c r="AD114" s="52" t="s">
        <v>826</v>
      </c>
      <c r="AE114" s="53" t="n">
        <v>0.0278</v>
      </c>
      <c r="AG114" s="55" t="n">
        <v>46204</v>
      </c>
      <c r="AH114" s="56" t="n">
        <v>3.1</v>
      </c>
      <c r="AU114" s="58"/>
      <c r="AV114" s="52"/>
      <c r="AW114" s="52"/>
      <c r="AX114" s="52"/>
      <c r="AY114" s="52"/>
      <c r="AZ114" s="52"/>
      <c r="BA114" s="53"/>
      <c r="BC114" s="57"/>
      <c r="BD114" s="54"/>
      <c r="BE114" s="54"/>
      <c r="BF114" s="54"/>
      <c r="BG114" s="54"/>
      <c r="BH114" s="52"/>
      <c r="BI114" s="53"/>
    </row>
    <row r="115" customFormat="false" ht="13.5" hidden="false" customHeight="false" outlineLevel="0" collapsed="false">
      <c r="A115" s="52"/>
      <c r="B115" s="52"/>
      <c r="C115" s="52"/>
      <c r="D115" s="52"/>
      <c r="E115" s="52"/>
      <c r="F115" s="52"/>
      <c r="G115" s="53"/>
      <c r="I115" s="52"/>
      <c r="J115" s="54"/>
      <c r="K115" s="54"/>
      <c r="L115" s="54"/>
      <c r="M115" s="54"/>
      <c r="N115" s="52"/>
      <c r="O115" s="53"/>
      <c r="Q115" s="52" t="s">
        <v>827</v>
      </c>
      <c r="R115" s="52" t="n">
        <v>30.3</v>
      </c>
      <c r="S115" s="52" t="n">
        <v>30.4</v>
      </c>
      <c r="T115" s="52" t="n">
        <v>30.5</v>
      </c>
      <c r="U115" s="52" t="n">
        <v>29.92</v>
      </c>
      <c r="V115" s="52" t="s">
        <v>828</v>
      </c>
      <c r="W115" s="53" t="n">
        <v>-0.0062</v>
      </c>
      <c r="Y115" s="52" t="s">
        <v>829</v>
      </c>
      <c r="Z115" s="54" t="n">
        <v>52938.42</v>
      </c>
      <c r="AA115" s="54" t="n">
        <v>52467</v>
      </c>
      <c r="AB115" s="54" t="n">
        <v>53180.46</v>
      </c>
      <c r="AC115" s="54" t="n">
        <v>51986.84</v>
      </c>
      <c r="AD115" s="52" t="s">
        <v>830</v>
      </c>
      <c r="AE115" s="53" t="n">
        <v>0.0048</v>
      </c>
      <c r="AG115" s="55" t="n">
        <v>46219</v>
      </c>
      <c r="AH115" s="56" t="n">
        <v>3.14</v>
      </c>
      <c r="AU115" s="58"/>
      <c r="AV115" s="52"/>
      <c r="AW115" s="52"/>
      <c r="AX115" s="52"/>
      <c r="AY115" s="52"/>
      <c r="AZ115" s="52"/>
      <c r="BA115" s="53"/>
      <c r="BC115" s="57"/>
      <c r="BD115" s="54"/>
      <c r="BE115" s="54"/>
      <c r="BF115" s="54"/>
      <c r="BG115" s="54"/>
      <c r="BH115" s="52"/>
      <c r="BI115" s="53"/>
    </row>
    <row r="116" customFormat="false" ht="13.5" hidden="false" customHeight="false" outlineLevel="0" collapsed="false">
      <c r="A116" s="52"/>
      <c r="B116" s="52"/>
      <c r="C116" s="52"/>
      <c r="D116" s="52"/>
      <c r="E116" s="52"/>
      <c r="F116" s="52"/>
      <c r="G116" s="53"/>
      <c r="I116" s="52"/>
      <c r="J116" s="54"/>
      <c r="K116" s="54"/>
      <c r="L116" s="54"/>
      <c r="M116" s="54"/>
      <c r="N116" s="52"/>
      <c r="O116" s="53"/>
      <c r="Q116" s="52" t="s">
        <v>831</v>
      </c>
      <c r="R116" s="52" t="n">
        <v>29.4</v>
      </c>
      <c r="S116" s="52" t="n">
        <v>30.07</v>
      </c>
      <c r="T116" s="52" t="n">
        <v>30.95</v>
      </c>
      <c r="U116" s="52" t="n">
        <v>28.01</v>
      </c>
      <c r="V116" s="52" t="s">
        <v>832</v>
      </c>
      <c r="W116" s="53" t="n">
        <v>-0.0297</v>
      </c>
      <c r="Y116" s="52" t="s">
        <v>833</v>
      </c>
      <c r="Z116" s="54" t="n">
        <v>53901.43</v>
      </c>
      <c r="AA116" s="54" t="n">
        <v>52919.82</v>
      </c>
      <c r="AB116" s="54" t="n">
        <v>54165.81</v>
      </c>
      <c r="AC116" s="54" t="n">
        <v>52132.41</v>
      </c>
      <c r="AD116" s="52" t="s">
        <v>834</v>
      </c>
      <c r="AE116" s="53" t="n">
        <v>0.0182</v>
      </c>
      <c r="AG116" s="55" t="n">
        <v>46235</v>
      </c>
      <c r="AH116" s="56" t="n">
        <v>3.26</v>
      </c>
      <c r="AU116" s="57"/>
      <c r="AV116" s="52"/>
      <c r="AW116" s="52"/>
      <c r="AX116" s="52"/>
      <c r="AY116" s="52"/>
      <c r="AZ116" s="52"/>
      <c r="BA116" s="53"/>
      <c r="BC116" s="57"/>
      <c r="BD116" s="54"/>
      <c r="BE116" s="54"/>
      <c r="BF116" s="54"/>
      <c r="BG116" s="54"/>
      <c r="BH116" s="52"/>
      <c r="BI116" s="53"/>
    </row>
    <row r="117" customFormat="false" ht="13.5" hidden="false" customHeight="false" outlineLevel="0" collapsed="false">
      <c r="A117" s="51"/>
      <c r="B117" s="52"/>
      <c r="C117" s="52"/>
      <c r="D117" s="52"/>
      <c r="E117" s="52"/>
      <c r="F117" s="52"/>
      <c r="G117" s="53"/>
      <c r="I117" s="52"/>
      <c r="J117" s="54"/>
      <c r="K117" s="54"/>
      <c r="L117" s="54"/>
      <c r="M117" s="54"/>
      <c r="N117" s="52"/>
      <c r="O117" s="53"/>
      <c r="Q117" s="51" t="n">
        <v>44997</v>
      </c>
      <c r="R117" s="52" t="n">
        <v>31.97</v>
      </c>
      <c r="S117" s="52" t="n">
        <v>29.13</v>
      </c>
      <c r="T117" s="52" t="n">
        <v>32.15</v>
      </c>
      <c r="U117" s="52" t="n">
        <v>29</v>
      </c>
      <c r="V117" s="52" t="s">
        <v>835</v>
      </c>
      <c r="W117" s="53" t="n">
        <v>0.0874</v>
      </c>
      <c r="Y117" s="52" t="s">
        <v>836</v>
      </c>
      <c r="Z117" s="54" t="n">
        <v>54393.01</v>
      </c>
      <c r="AA117" s="54" t="n">
        <v>53924.38</v>
      </c>
      <c r="AB117" s="54" t="n">
        <v>54574.11</v>
      </c>
      <c r="AC117" s="54" t="n">
        <v>53400.76</v>
      </c>
      <c r="AD117" s="52" t="s">
        <v>585</v>
      </c>
      <c r="AE117" s="53" t="n">
        <v>0.0091</v>
      </c>
      <c r="AG117" s="55" t="n">
        <v>46250</v>
      </c>
      <c r="AH117" s="56" t="n">
        <v>3.26</v>
      </c>
      <c r="AU117" s="57"/>
      <c r="AV117" s="52"/>
      <c r="AW117" s="52"/>
      <c r="AX117" s="52"/>
      <c r="AY117" s="52"/>
      <c r="AZ117" s="52"/>
      <c r="BA117" s="53"/>
      <c r="BC117" s="57"/>
      <c r="BD117" s="54"/>
      <c r="BE117" s="54"/>
      <c r="BF117" s="54"/>
      <c r="BG117" s="54"/>
      <c r="BH117" s="52"/>
      <c r="BI117" s="53"/>
    </row>
    <row r="118" customFormat="false" ht="13.5" hidden="false" customHeight="false" outlineLevel="0" collapsed="false">
      <c r="A118" s="51"/>
      <c r="B118" s="52"/>
      <c r="C118" s="52"/>
      <c r="D118" s="52"/>
      <c r="E118" s="52"/>
      <c r="F118" s="52"/>
      <c r="G118" s="53"/>
      <c r="I118" s="52"/>
      <c r="J118" s="54"/>
      <c r="K118" s="54"/>
      <c r="L118" s="54"/>
      <c r="M118" s="54"/>
      <c r="N118" s="52"/>
      <c r="O118" s="53"/>
      <c r="Q118" s="51" t="n">
        <v>45211</v>
      </c>
      <c r="R118" s="52" t="n">
        <v>33</v>
      </c>
      <c r="S118" s="52" t="n">
        <v>31.73</v>
      </c>
      <c r="T118" s="52" t="n">
        <v>33.42</v>
      </c>
      <c r="U118" s="52" t="n">
        <v>31.73</v>
      </c>
      <c r="V118" s="52" t="s">
        <v>837</v>
      </c>
      <c r="W118" s="53" t="n">
        <v>0.0322</v>
      </c>
      <c r="Y118" s="52" t="s">
        <v>838</v>
      </c>
      <c r="Z118" s="54" t="n">
        <v>57130.08</v>
      </c>
      <c r="AA118" s="54" t="n">
        <v>54438.22</v>
      </c>
      <c r="AB118" s="54" t="n">
        <v>57502.12</v>
      </c>
      <c r="AC118" s="54" t="n">
        <v>53933.3</v>
      </c>
      <c r="AD118" s="52" t="s">
        <v>839</v>
      </c>
      <c r="AE118" s="53" t="n">
        <v>0.0503</v>
      </c>
      <c r="AG118" s="55" t="n">
        <v>46266</v>
      </c>
      <c r="AH118" s="56" t="n">
        <v>3.42</v>
      </c>
      <c r="AU118" s="58"/>
      <c r="AV118" s="52"/>
      <c r="AW118" s="52"/>
      <c r="AX118" s="52"/>
      <c r="AY118" s="52"/>
      <c r="AZ118" s="52"/>
      <c r="BA118" s="53"/>
      <c r="BC118" s="57"/>
      <c r="BD118" s="54"/>
      <c r="BE118" s="54"/>
      <c r="BF118" s="54"/>
      <c r="BG118" s="54"/>
      <c r="BH118" s="52"/>
      <c r="BI118" s="53"/>
    </row>
    <row r="119" customFormat="false" ht="13.5" hidden="false" customHeight="false" outlineLevel="0" collapsed="false">
      <c r="A119" s="52"/>
      <c r="B119" s="52"/>
      <c r="C119" s="52"/>
      <c r="D119" s="52"/>
      <c r="E119" s="52"/>
      <c r="F119" s="52"/>
      <c r="G119" s="53"/>
      <c r="I119" s="52"/>
      <c r="J119" s="54"/>
      <c r="K119" s="54"/>
      <c r="L119" s="54"/>
      <c r="M119" s="54"/>
      <c r="N119" s="52"/>
      <c r="O119" s="53"/>
      <c r="Q119" s="52" t="s">
        <v>840</v>
      </c>
      <c r="R119" s="52" t="n">
        <v>35.43</v>
      </c>
      <c r="S119" s="52" t="n">
        <v>33</v>
      </c>
      <c r="T119" s="52" t="n">
        <v>35.5</v>
      </c>
      <c r="U119" s="52" t="n">
        <v>33</v>
      </c>
      <c r="V119" s="52" t="s">
        <v>841</v>
      </c>
      <c r="W119" s="53" t="n">
        <v>0.0736</v>
      </c>
      <c r="Y119" s="52" t="s">
        <v>842</v>
      </c>
      <c r="Z119" s="54" t="n">
        <v>57313.47</v>
      </c>
      <c r="AA119" s="54" t="n">
        <v>57074.21</v>
      </c>
      <c r="AB119" s="54" t="n">
        <v>58338.32</v>
      </c>
      <c r="AC119" s="54" t="n">
        <v>56772.14</v>
      </c>
      <c r="AD119" s="52" t="s">
        <v>843</v>
      </c>
      <c r="AE119" s="53" t="n">
        <v>0.0032</v>
      </c>
      <c r="AU119" s="58"/>
      <c r="AV119" s="52"/>
      <c r="AW119" s="52"/>
      <c r="AX119" s="52"/>
      <c r="AY119" s="52"/>
      <c r="AZ119" s="52"/>
      <c r="BA119" s="53"/>
      <c r="BC119" s="57"/>
      <c r="BD119" s="54"/>
      <c r="BE119" s="54"/>
      <c r="BF119" s="54"/>
      <c r="BG119" s="54"/>
      <c r="BH119" s="52"/>
      <c r="BI119" s="53"/>
    </row>
    <row r="120" customFormat="false" ht="13.5" hidden="false" customHeight="false" outlineLevel="0" collapsed="false">
      <c r="A120" s="52"/>
      <c r="B120" s="52"/>
      <c r="C120" s="52"/>
      <c r="D120" s="52"/>
      <c r="E120" s="52"/>
      <c r="F120" s="52"/>
      <c r="G120" s="53"/>
      <c r="I120" s="52"/>
      <c r="J120" s="54"/>
      <c r="K120" s="54"/>
      <c r="L120" s="54"/>
      <c r="M120" s="54"/>
      <c r="N120" s="52"/>
      <c r="O120" s="53"/>
      <c r="Q120" s="52" t="s">
        <v>844</v>
      </c>
      <c r="R120" s="52" t="n">
        <v>36.34</v>
      </c>
      <c r="S120" s="52" t="n">
        <v>35.48</v>
      </c>
      <c r="T120" s="52" t="n">
        <v>36.38</v>
      </c>
      <c r="U120" s="52" t="n">
        <v>34.06</v>
      </c>
      <c r="V120" s="52" t="s">
        <v>845</v>
      </c>
      <c r="W120" s="53" t="n">
        <v>0.0257</v>
      </c>
      <c r="Y120" s="52" t="s">
        <v>846</v>
      </c>
      <c r="Z120" s="54" t="n">
        <v>57386.25</v>
      </c>
      <c r="AA120" s="54" t="n">
        <v>57603.17</v>
      </c>
      <c r="AB120" s="54" t="n">
        <v>57974.92</v>
      </c>
      <c r="AC120" s="54" t="n">
        <v>57178.47</v>
      </c>
      <c r="AD120" s="52" t="s">
        <v>847</v>
      </c>
      <c r="AE120" s="53" t="n">
        <v>0.0013</v>
      </c>
      <c r="AU120" s="57"/>
      <c r="AV120" s="52"/>
      <c r="AW120" s="52"/>
      <c r="AX120" s="52"/>
      <c r="AY120" s="52"/>
      <c r="AZ120" s="52"/>
      <c r="BA120" s="53"/>
      <c r="BC120" s="57"/>
      <c r="BD120" s="54"/>
      <c r="BE120" s="54"/>
      <c r="BF120" s="54"/>
      <c r="BG120" s="54"/>
      <c r="BH120" s="52"/>
      <c r="BI120" s="53"/>
    </row>
    <row r="121" customFormat="false" ht="13.5" hidden="false" customHeight="false" outlineLevel="0" collapsed="false">
      <c r="A121" s="52"/>
      <c r="B121" s="52"/>
      <c r="C121" s="52"/>
      <c r="D121" s="52"/>
      <c r="E121" s="52"/>
      <c r="F121" s="52"/>
      <c r="G121" s="53"/>
      <c r="I121" s="52"/>
      <c r="J121" s="54"/>
      <c r="K121" s="54"/>
      <c r="L121" s="54"/>
      <c r="M121" s="54"/>
      <c r="N121" s="52"/>
      <c r="O121" s="53"/>
      <c r="Q121" s="52" t="s">
        <v>848</v>
      </c>
      <c r="R121" s="52" t="n">
        <v>35.78</v>
      </c>
      <c r="S121" s="52" t="n">
        <v>35.25</v>
      </c>
      <c r="T121" s="52" t="n">
        <v>35.78</v>
      </c>
      <c r="U121" s="52" t="n">
        <v>34</v>
      </c>
      <c r="V121" s="52" t="s">
        <v>849</v>
      </c>
      <c r="W121" s="53" t="n">
        <v>-0.0154</v>
      </c>
      <c r="Y121" s="52" t="s">
        <v>850</v>
      </c>
      <c r="Z121" s="54" t="n">
        <v>56192.78</v>
      </c>
      <c r="AA121" s="54" t="n">
        <v>57456.81</v>
      </c>
      <c r="AB121" s="54" t="n">
        <v>57456.81</v>
      </c>
      <c r="AC121" s="54" t="n">
        <v>55203.99</v>
      </c>
      <c r="AD121" s="52" t="s">
        <v>851</v>
      </c>
      <c r="AE121" s="53" t="n">
        <v>-0.0208</v>
      </c>
      <c r="AU121" s="57"/>
      <c r="AV121" s="52"/>
      <c r="AW121" s="52"/>
      <c r="AX121" s="52"/>
      <c r="AY121" s="52"/>
      <c r="AZ121" s="52"/>
      <c r="BA121" s="53"/>
      <c r="BC121" s="57"/>
      <c r="BD121" s="54"/>
      <c r="BE121" s="54"/>
      <c r="BF121" s="54"/>
      <c r="BG121" s="54"/>
      <c r="BH121" s="52"/>
      <c r="BI121" s="53"/>
    </row>
    <row r="122" customFormat="false" ht="13.5" hidden="false" customHeight="false" outlineLevel="0" collapsed="false">
      <c r="A122" s="51"/>
      <c r="B122" s="52"/>
      <c r="C122" s="52"/>
      <c r="D122" s="52"/>
      <c r="E122" s="52"/>
      <c r="F122" s="52"/>
      <c r="G122" s="53"/>
      <c r="I122" s="52"/>
      <c r="J122" s="54"/>
      <c r="K122" s="54"/>
      <c r="L122" s="54"/>
      <c r="M122" s="54"/>
      <c r="N122" s="52"/>
      <c r="O122" s="53"/>
      <c r="Q122" s="51" t="n">
        <v>45474</v>
      </c>
      <c r="R122" s="52" t="n">
        <v>34.82</v>
      </c>
      <c r="S122" s="52" t="n">
        <v>35.32</v>
      </c>
      <c r="T122" s="52" t="n">
        <v>35.32</v>
      </c>
      <c r="U122" s="52" t="n">
        <v>34.41</v>
      </c>
      <c r="V122" s="52" t="s">
        <v>852</v>
      </c>
      <c r="W122" s="53" t="n">
        <v>-0.0268</v>
      </c>
      <c r="Y122" s="52" t="s">
        <v>853</v>
      </c>
      <c r="Z122" s="54" t="n">
        <v>55607.07</v>
      </c>
      <c r="AA122" s="54" t="n">
        <v>56227.93</v>
      </c>
      <c r="AB122" s="54" t="n">
        <v>56301.52</v>
      </c>
      <c r="AC122" s="54" t="n">
        <v>55029.48</v>
      </c>
      <c r="AD122" s="52" t="s">
        <v>854</v>
      </c>
      <c r="AE122" s="53" t="n">
        <v>-0.0104</v>
      </c>
      <c r="AU122" s="57"/>
      <c r="AV122" s="52"/>
      <c r="AW122" s="52"/>
      <c r="AX122" s="52"/>
      <c r="AY122" s="52"/>
      <c r="AZ122" s="52"/>
      <c r="BA122" s="53"/>
      <c r="BC122" s="57"/>
      <c r="BD122" s="54"/>
      <c r="BE122" s="54"/>
      <c r="BF122" s="54"/>
      <c r="BG122" s="54"/>
      <c r="BH122" s="52"/>
      <c r="BI122" s="53"/>
    </row>
    <row r="123" customFormat="false" ht="13.5" hidden="false" customHeight="false" outlineLevel="0" collapsed="false">
      <c r="A123" s="52"/>
      <c r="B123" s="52"/>
      <c r="C123" s="52"/>
      <c r="D123" s="52"/>
      <c r="E123" s="52"/>
      <c r="F123" s="52"/>
      <c r="G123" s="53"/>
      <c r="I123" s="57"/>
      <c r="J123" s="54"/>
      <c r="K123" s="54"/>
      <c r="L123" s="54"/>
      <c r="M123" s="54"/>
      <c r="N123" s="52"/>
      <c r="O123" s="53"/>
      <c r="Q123" s="52" t="s">
        <v>855</v>
      </c>
      <c r="R123" s="52" t="n">
        <v>34.41</v>
      </c>
      <c r="S123" s="52" t="n">
        <v>34.31</v>
      </c>
      <c r="T123" s="52" t="n">
        <v>35</v>
      </c>
      <c r="U123" s="52" t="n">
        <v>33.34</v>
      </c>
      <c r="V123" s="52" t="s">
        <v>856</v>
      </c>
      <c r="W123" s="53" t="n">
        <v>-0.0118</v>
      </c>
      <c r="Y123" s="52" t="s">
        <v>857</v>
      </c>
      <c r="Z123" s="54" t="n">
        <v>55452.1</v>
      </c>
      <c r="AA123" s="54" t="n">
        <v>55654.39</v>
      </c>
      <c r="AB123" s="54" t="n">
        <v>55671.98</v>
      </c>
      <c r="AC123" s="54" t="n">
        <v>54346.58</v>
      </c>
      <c r="AD123" s="52" t="s">
        <v>858</v>
      </c>
      <c r="AE123" s="53" t="n">
        <v>-0.0028</v>
      </c>
      <c r="AU123" s="58"/>
      <c r="AV123" s="52"/>
      <c r="AW123" s="52"/>
      <c r="AX123" s="52"/>
      <c r="AY123" s="52"/>
      <c r="AZ123" s="52"/>
      <c r="BA123" s="53"/>
      <c r="BC123" s="57"/>
      <c r="BD123" s="54"/>
      <c r="BE123" s="54"/>
      <c r="BF123" s="54"/>
      <c r="BG123" s="54"/>
      <c r="BH123" s="52"/>
      <c r="BI123" s="53"/>
    </row>
    <row r="124" customFormat="false" ht="13.5" hidden="false" customHeight="false" outlineLevel="0" collapsed="false">
      <c r="A124" s="57"/>
      <c r="B124" s="52"/>
      <c r="C124" s="52"/>
      <c r="D124" s="52"/>
      <c r="E124" s="52"/>
      <c r="F124" s="52"/>
      <c r="G124" s="53"/>
      <c r="I124" s="57"/>
      <c r="J124" s="54"/>
      <c r="K124" s="54"/>
      <c r="L124" s="54"/>
      <c r="M124" s="54"/>
      <c r="N124" s="52"/>
      <c r="O124" s="53"/>
      <c r="Q124" s="52" t="s">
        <v>859</v>
      </c>
      <c r="R124" s="52" t="n">
        <v>34.91</v>
      </c>
      <c r="S124" s="52" t="n">
        <v>34.64</v>
      </c>
      <c r="T124" s="52" t="n">
        <v>35</v>
      </c>
      <c r="U124" s="52" t="n">
        <v>34.07</v>
      </c>
      <c r="V124" s="52" t="s">
        <v>860</v>
      </c>
      <c r="W124" s="53" t="n">
        <v>0.0145</v>
      </c>
      <c r="Y124" s="52" t="s">
        <v>861</v>
      </c>
      <c r="Z124" s="54" t="n">
        <v>56855.88</v>
      </c>
      <c r="AA124" s="54" t="n">
        <v>55418.1</v>
      </c>
      <c r="AB124" s="54" t="n">
        <v>57164.08</v>
      </c>
      <c r="AC124" s="54" t="n">
        <v>54629.19</v>
      </c>
      <c r="AD124" s="52" t="s">
        <v>862</v>
      </c>
      <c r="AE124" s="53" t="n">
        <v>0.0253</v>
      </c>
      <c r="AU124" s="57"/>
      <c r="AV124" s="52"/>
      <c r="AW124" s="52"/>
      <c r="AX124" s="52"/>
      <c r="AY124" s="52"/>
      <c r="AZ124" s="52"/>
      <c r="BA124" s="53"/>
      <c r="BC124" s="57"/>
      <c r="BD124" s="54"/>
      <c r="BE124" s="54"/>
      <c r="BF124" s="54"/>
      <c r="BG124" s="54"/>
      <c r="BH124" s="52"/>
      <c r="BI124" s="53"/>
    </row>
    <row r="125" customFormat="false" ht="13.5" hidden="false" customHeight="false" outlineLevel="0" collapsed="false">
      <c r="A125" s="57"/>
      <c r="B125" s="52"/>
      <c r="C125" s="52"/>
      <c r="D125" s="52"/>
      <c r="E125" s="52"/>
      <c r="F125" s="52"/>
      <c r="G125" s="53"/>
      <c r="I125" s="57"/>
      <c r="J125" s="54"/>
      <c r="K125" s="54"/>
      <c r="L125" s="54"/>
      <c r="M125" s="54"/>
      <c r="N125" s="52"/>
      <c r="O125" s="53"/>
      <c r="Q125" s="52" t="s">
        <v>863</v>
      </c>
      <c r="R125" s="52" t="n">
        <v>34.89</v>
      </c>
      <c r="S125" s="52" t="n">
        <v>34.91</v>
      </c>
      <c r="T125" s="52" t="n">
        <v>34.95</v>
      </c>
      <c r="U125" s="52" t="n">
        <v>33.55</v>
      </c>
      <c r="V125" s="52" t="s">
        <v>864</v>
      </c>
      <c r="W125" s="53" t="n">
        <v>-0.0006</v>
      </c>
      <c r="Y125" s="52" t="s">
        <v>865</v>
      </c>
      <c r="Z125" s="54" t="n">
        <v>58226.77</v>
      </c>
      <c r="AA125" s="54" t="n">
        <v>56813.73</v>
      </c>
      <c r="AB125" s="54" t="n">
        <v>58273.17</v>
      </c>
      <c r="AC125" s="54" t="n">
        <v>56711.94</v>
      </c>
      <c r="AD125" s="52" t="s">
        <v>866</v>
      </c>
      <c r="AE125" s="53" t="n">
        <v>0.0241</v>
      </c>
      <c r="AU125" s="57"/>
      <c r="AV125" s="52"/>
      <c r="AW125" s="52"/>
      <c r="AX125" s="52"/>
      <c r="AY125" s="52"/>
      <c r="AZ125" s="52"/>
      <c r="BA125" s="53"/>
      <c r="BC125" s="57"/>
      <c r="BD125" s="54"/>
      <c r="BE125" s="54"/>
      <c r="BF125" s="54"/>
      <c r="BG125" s="54"/>
      <c r="BH125" s="52"/>
      <c r="BI125" s="53"/>
    </row>
    <row r="126" customFormat="false" ht="13.5" hidden="false" customHeight="false" outlineLevel="0" collapsed="false">
      <c r="A126" s="58"/>
      <c r="B126" s="52"/>
      <c r="C126" s="52"/>
      <c r="D126" s="52"/>
      <c r="E126" s="52"/>
      <c r="F126" s="52"/>
      <c r="G126" s="53"/>
      <c r="I126" s="57"/>
      <c r="J126" s="54"/>
      <c r="K126" s="54"/>
      <c r="L126" s="54"/>
      <c r="M126" s="54"/>
      <c r="N126" s="52"/>
      <c r="O126" s="53"/>
      <c r="Q126" s="51" t="n">
        <v>45384</v>
      </c>
      <c r="R126" s="52" t="n">
        <v>34.94</v>
      </c>
      <c r="S126" s="52" t="n">
        <v>34.89</v>
      </c>
      <c r="T126" s="52" t="n">
        <v>34.94</v>
      </c>
      <c r="U126" s="52" t="n">
        <v>34</v>
      </c>
      <c r="V126" s="52" t="s">
        <v>867</v>
      </c>
      <c r="W126" s="53" t="n">
        <v>0.0014</v>
      </c>
      <c r="Y126" s="52" t="s">
        <v>868</v>
      </c>
      <c r="Z126" s="54" t="n">
        <v>57327.5</v>
      </c>
      <c r="AA126" s="54" t="n">
        <v>58271.75</v>
      </c>
      <c r="AB126" s="54" t="n">
        <v>59020.55</v>
      </c>
      <c r="AC126" s="54" t="n">
        <v>57287.34</v>
      </c>
      <c r="AD126" s="52" t="s">
        <v>869</v>
      </c>
      <c r="AE126" s="53" t="n">
        <v>-0.0154</v>
      </c>
      <c r="AU126" s="57"/>
      <c r="AV126" s="52"/>
      <c r="AW126" s="52"/>
      <c r="AX126" s="52"/>
      <c r="AY126" s="52"/>
      <c r="AZ126" s="52"/>
      <c r="BA126" s="53"/>
      <c r="BC126" s="57"/>
      <c r="BD126" s="54"/>
      <c r="BE126" s="54"/>
      <c r="BF126" s="54"/>
      <c r="BG126" s="54"/>
      <c r="BH126" s="52"/>
      <c r="BI126" s="53"/>
    </row>
    <row r="127" customFormat="false" ht="13.5" hidden="false" customHeight="false" outlineLevel="0" collapsed="false">
      <c r="A127" s="58"/>
      <c r="B127" s="52"/>
      <c r="C127" s="52"/>
      <c r="D127" s="52"/>
      <c r="E127" s="52"/>
      <c r="F127" s="52"/>
      <c r="G127" s="53"/>
      <c r="I127" s="57"/>
      <c r="J127" s="54"/>
      <c r="K127" s="54"/>
      <c r="L127" s="54"/>
      <c r="M127" s="54"/>
      <c r="N127" s="52"/>
      <c r="O127" s="53"/>
      <c r="Q127" s="51" t="n">
        <v>45598</v>
      </c>
      <c r="R127" s="52" t="n">
        <v>34.88</v>
      </c>
      <c r="S127" s="52" t="n">
        <v>34.94</v>
      </c>
      <c r="T127" s="52" t="n">
        <v>34.94</v>
      </c>
      <c r="U127" s="52" t="n">
        <v>34.01</v>
      </c>
      <c r="V127" s="52" t="s">
        <v>870</v>
      </c>
      <c r="W127" s="53" t="n">
        <v>-0.0017</v>
      </c>
      <c r="Y127" s="52" t="s">
        <v>871</v>
      </c>
      <c r="Z127" s="54" t="n">
        <v>57132.11</v>
      </c>
      <c r="AA127" s="54" t="n">
        <v>57339.97</v>
      </c>
      <c r="AB127" s="54" t="n">
        <v>57802.24</v>
      </c>
      <c r="AC127" s="54" t="n">
        <v>56812.64</v>
      </c>
      <c r="AD127" s="52" t="s">
        <v>872</v>
      </c>
      <c r="AE127" s="53" t="n">
        <v>-0.0034</v>
      </c>
      <c r="AU127" s="58"/>
      <c r="AV127" s="52"/>
      <c r="AW127" s="52"/>
      <c r="AX127" s="52"/>
      <c r="AY127" s="52"/>
      <c r="AZ127" s="52"/>
      <c r="BA127" s="53"/>
      <c r="BC127" s="57"/>
      <c r="BD127" s="54"/>
      <c r="BE127" s="54"/>
      <c r="BF127" s="54"/>
      <c r="BG127" s="54"/>
      <c r="BH127" s="52"/>
      <c r="BI127" s="53"/>
    </row>
    <row r="128" customFormat="false" ht="13.5" hidden="false" customHeight="false" outlineLevel="0" collapsed="false">
      <c r="A128" s="57"/>
      <c r="B128" s="52"/>
      <c r="C128" s="52"/>
      <c r="D128" s="52"/>
      <c r="E128" s="52"/>
      <c r="F128" s="52"/>
      <c r="G128" s="53"/>
      <c r="I128" s="57"/>
      <c r="J128" s="54"/>
      <c r="K128" s="54"/>
      <c r="L128" s="54"/>
      <c r="M128" s="54"/>
      <c r="N128" s="52"/>
      <c r="O128" s="53"/>
      <c r="Q128" s="52" t="s">
        <v>873</v>
      </c>
      <c r="R128" s="52" t="n">
        <v>33.86</v>
      </c>
      <c r="S128" s="52" t="n">
        <v>34.36</v>
      </c>
      <c r="T128" s="52" t="n">
        <v>34.36</v>
      </c>
      <c r="U128" s="52" t="n">
        <v>32.5</v>
      </c>
      <c r="V128" s="52" t="s">
        <v>874</v>
      </c>
      <c r="W128" s="53" t="n">
        <v>-0.0292</v>
      </c>
      <c r="Y128" s="52" t="s">
        <v>875</v>
      </c>
      <c r="Z128" s="54" t="n">
        <v>56659.8</v>
      </c>
      <c r="AA128" s="54" t="n">
        <v>57205.06</v>
      </c>
      <c r="AB128" s="54" t="n">
        <v>57602.21</v>
      </c>
      <c r="AC128" s="54" t="n">
        <v>56432.61</v>
      </c>
      <c r="AD128" s="52" t="s">
        <v>876</v>
      </c>
      <c r="AE128" s="53" t="n">
        <v>-0.0083</v>
      </c>
      <c r="AU128" s="58"/>
      <c r="AV128" s="52"/>
      <c r="AW128" s="52"/>
      <c r="AX128" s="52"/>
      <c r="AY128" s="52"/>
      <c r="AZ128" s="52"/>
      <c r="BA128" s="53"/>
      <c r="BC128" s="57"/>
      <c r="BD128" s="54"/>
      <c r="BE128" s="54"/>
      <c r="BF128" s="54"/>
      <c r="BG128" s="54"/>
      <c r="BH128" s="52"/>
      <c r="BI128" s="53"/>
    </row>
    <row r="129" customFormat="false" ht="13.5" hidden="false" customHeight="false" outlineLevel="0" collapsed="false">
      <c r="A129" s="57"/>
      <c r="B129" s="52"/>
      <c r="C129" s="52"/>
      <c r="D129" s="52"/>
      <c r="E129" s="52"/>
      <c r="F129" s="52"/>
      <c r="G129" s="53"/>
      <c r="I129" s="57"/>
      <c r="J129" s="54"/>
      <c r="K129" s="54"/>
      <c r="L129" s="54"/>
      <c r="M129" s="54"/>
      <c r="N129" s="52"/>
      <c r="O129" s="53"/>
      <c r="Q129" s="52" t="s">
        <v>877</v>
      </c>
      <c r="R129" s="52" t="n">
        <v>33.3</v>
      </c>
      <c r="S129" s="52" t="n">
        <v>33.95</v>
      </c>
      <c r="T129" s="52" t="n">
        <v>33.99</v>
      </c>
      <c r="U129" s="52" t="n">
        <v>32.6</v>
      </c>
      <c r="V129" s="52" t="s">
        <v>878</v>
      </c>
      <c r="W129" s="53" t="n">
        <v>-0.0165</v>
      </c>
      <c r="Y129" s="52" t="s">
        <v>879</v>
      </c>
      <c r="Z129" s="54" t="n">
        <v>55536.32</v>
      </c>
      <c r="AA129" s="54" t="n">
        <v>56649.42</v>
      </c>
      <c r="AB129" s="54" t="n">
        <v>56649.42</v>
      </c>
      <c r="AC129" s="54" t="n">
        <v>55085.8</v>
      </c>
      <c r="AD129" s="52" t="s">
        <v>880</v>
      </c>
      <c r="AE129" s="53" t="n">
        <v>-0.0198</v>
      </c>
      <c r="AU129" s="57"/>
      <c r="AV129" s="52"/>
      <c r="AW129" s="52"/>
      <c r="AX129" s="52"/>
      <c r="AY129" s="52"/>
      <c r="AZ129" s="52"/>
      <c r="BA129" s="53"/>
      <c r="BC129" s="57"/>
      <c r="BD129" s="54"/>
      <c r="BE129" s="54"/>
      <c r="BF129" s="54"/>
      <c r="BG129" s="54"/>
      <c r="BH129" s="52"/>
      <c r="BI129" s="53"/>
    </row>
    <row r="130" customFormat="false" ht="13.5" hidden="false" customHeight="false" outlineLevel="0" collapsed="false">
      <c r="A130" s="58"/>
      <c r="B130" s="52"/>
      <c r="C130" s="52"/>
      <c r="D130" s="52"/>
      <c r="E130" s="52"/>
      <c r="F130" s="52"/>
      <c r="G130" s="53"/>
      <c r="I130" s="57"/>
      <c r="J130" s="54"/>
      <c r="K130" s="54"/>
      <c r="L130" s="54"/>
      <c r="M130" s="54"/>
      <c r="N130" s="52"/>
      <c r="O130" s="53"/>
      <c r="Q130" s="51" t="n">
        <v>45354</v>
      </c>
      <c r="R130" s="52" t="n">
        <v>33.95</v>
      </c>
      <c r="S130" s="52" t="n">
        <v>32.64</v>
      </c>
      <c r="T130" s="52" t="n">
        <v>33.95</v>
      </c>
      <c r="U130" s="52" t="n">
        <v>32.2</v>
      </c>
      <c r="V130" s="52" t="s">
        <v>881</v>
      </c>
      <c r="W130" s="53" t="n">
        <v>0.0195</v>
      </c>
      <c r="Y130" s="52" t="s">
        <v>882</v>
      </c>
      <c r="Z130" s="54" t="n">
        <v>54935.99</v>
      </c>
      <c r="AA130" s="54" t="n">
        <v>55451.05</v>
      </c>
      <c r="AB130" s="54" t="n">
        <v>55852.78</v>
      </c>
      <c r="AC130" s="54" t="n">
        <v>54890.26</v>
      </c>
      <c r="AD130" s="52" t="s">
        <v>883</v>
      </c>
      <c r="AE130" s="53" t="n">
        <v>-0.0108</v>
      </c>
      <c r="AU130" s="57"/>
      <c r="AV130" s="52"/>
      <c r="AW130" s="52"/>
      <c r="AX130" s="52"/>
      <c r="AY130" s="52"/>
      <c r="AZ130" s="52"/>
      <c r="BA130" s="53"/>
      <c r="BC130" s="57"/>
      <c r="BD130" s="54"/>
      <c r="BE130" s="54"/>
      <c r="BF130" s="54"/>
      <c r="BG130" s="54"/>
      <c r="BH130" s="52"/>
      <c r="BI130" s="53"/>
    </row>
    <row r="131" customFormat="false" ht="13.5" hidden="false" customHeight="false" outlineLevel="0" collapsed="false">
      <c r="A131" s="58"/>
      <c r="B131" s="52"/>
      <c r="C131" s="52"/>
      <c r="D131" s="52"/>
      <c r="E131" s="52"/>
      <c r="F131" s="52"/>
      <c r="G131" s="53"/>
      <c r="I131" s="57"/>
      <c r="J131" s="54"/>
      <c r="K131" s="54"/>
      <c r="L131" s="54"/>
      <c r="M131" s="54"/>
      <c r="N131" s="52"/>
      <c r="O131" s="53"/>
      <c r="Q131" s="51" t="n">
        <v>45568</v>
      </c>
      <c r="R131" s="52" t="n">
        <v>32.99</v>
      </c>
      <c r="S131" s="52" t="n">
        <v>34.2</v>
      </c>
      <c r="T131" s="52" t="n">
        <v>34.69</v>
      </c>
      <c r="U131" s="52" t="n">
        <v>32.9</v>
      </c>
      <c r="V131" s="52" t="s">
        <v>884</v>
      </c>
      <c r="W131" s="53" t="n">
        <v>-0.0283</v>
      </c>
      <c r="Y131" s="52" t="s">
        <v>885</v>
      </c>
      <c r="Z131" s="54" t="n">
        <v>56228.4</v>
      </c>
      <c r="AA131" s="54" t="n">
        <v>54876.61</v>
      </c>
      <c r="AB131" s="54" t="n">
        <v>56575.51</v>
      </c>
      <c r="AC131" s="54" t="n">
        <v>54713.48</v>
      </c>
      <c r="AD131" s="52" t="s">
        <v>356</v>
      </c>
      <c r="AE131" s="53" t="n">
        <v>0.0235</v>
      </c>
      <c r="AU131" s="58"/>
      <c r="AV131" s="52"/>
      <c r="AW131" s="52"/>
      <c r="AX131" s="52"/>
      <c r="AY131" s="52"/>
      <c r="AZ131" s="52"/>
      <c r="BA131" s="53"/>
      <c r="BC131" s="57"/>
      <c r="BD131" s="54"/>
      <c r="BE131" s="54"/>
      <c r="BF131" s="54"/>
      <c r="BG131" s="54"/>
      <c r="BH131" s="52"/>
      <c r="BI131" s="53"/>
    </row>
    <row r="132" customFormat="false" ht="13.5" hidden="false" customHeight="false" outlineLevel="0" collapsed="false">
      <c r="A132" s="57"/>
      <c r="B132" s="52"/>
      <c r="C132" s="52"/>
      <c r="D132" s="52"/>
      <c r="E132" s="52"/>
      <c r="F132" s="52"/>
      <c r="G132" s="53"/>
      <c r="I132" s="57"/>
      <c r="J132" s="54"/>
      <c r="K132" s="54"/>
      <c r="L132" s="54"/>
      <c r="M132" s="54"/>
      <c r="N132" s="52"/>
      <c r="O132" s="53"/>
      <c r="Q132" s="52" t="s">
        <v>886</v>
      </c>
      <c r="R132" s="52" t="n">
        <v>33.82</v>
      </c>
      <c r="S132" s="52" t="n">
        <v>33</v>
      </c>
      <c r="T132" s="52" t="n">
        <v>34</v>
      </c>
      <c r="U132" s="52" t="n">
        <v>32</v>
      </c>
      <c r="V132" s="52" t="s">
        <v>887</v>
      </c>
      <c r="W132" s="53" t="n">
        <v>0.0252</v>
      </c>
      <c r="Y132" s="52" t="s">
        <v>888</v>
      </c>
      <c r="Z132" s="54" t="n">
        <v>56610.54</v>
      </c>
      <c r="AA132" s="54" t="n">
        <v>56137.15</v>
      </c>
      <c r="AB132" s="54" t="n">
        <v>57015.82</v>
      </c>
      <c r="AC132" s="54" t="n">
        <v>55416.19</v>
      </c>
      <c r="AD132" s="52" t="s">
        <v>889</v>
      </c>
      <c r="AE132" s="53" t="n">
        <v>0.0068</v>
      </c>
      <c r="AU132" s="58"/>
      <c r="AV132" s="52"/>
      <c r="AW132" s="52"/>
      <c r="AX132" s="52"/>
      <c r="AY132" s="52"/>
      <c r="AZ132" s="52"/>
      <c r="BA132" s="53"/>
      <c r="BC132" s="57"/>
      <c r="BD132" s="54"/>
      <c r="BE132" s="54"/>
      <c r="BF132" s="54"/>
      <c r="BG132" s="54"/>
      <c r="BH132" s="52"/>
      <c r="BI132" s="53"/>
    </row>
    <row r="133" customFormat="false" ht="13.5" hidden="false" customHeight="false" outlineLevel="0" collapsed="false">
      <c r="A133" s="57"/>
      <c r="B133" s="52"/>
      <c r="C133" s="52"/>
      <c r="D133" s="52"/>
      <c r="E133" s="52"/>
      <c r="F133" s="52"/>
      <c r="G133" s="53"/>
      <c r="I133" s="57"/>
      <c r="J133" s="54"/>
      <c r="K133" s="54"/>
      <c r="L133" s="54"/>
      <c r="M133" s="54"/>
      <c r="N133" s="52"/>
      <c r="O133" s="53"/>
      <c r="Q133" s="52" t="s">
        <v>890</v>
      </c>
      <c r="R133" s="52" t="n">
        <v>33.96</v>
      </c>
      <c r="S133" s="52" t="n">
        <v>34</v>
      </c>
      <c r="T133" s="52" t="n">
        <v>34</v>
      </c>
      <c r="U133" s="52" t="n">
        <v>33</v>
      </c>
      <c r="V133" s="52" t="s">
        <v>891</v>
      </c>
      <c r="W133" s="53" t="n">
        <v>0.0041</v>
      </c>
      <c r="Y133" s="52" t="s">
        <v>892</v>
      </c>
      <c r="Z133" s="54" t="n">
        <v>57369.01</v>
      </c>
      <c r="AA133" s="54" t="n">
        <v>56565.11</v>
      </c>
      <c r="AB133" s="54" t="n">
        <v>57599.08</v>
      </c>
      <c r="AC133" s="54" t="n">
        <v>56311.99</v>
      </c>
      <c r="AD133" s="52" t="s">
        <v>893</v>
      </c>
      <c r="AE133" s="53" t="n">
        <v>0.0134</v>
      </c>
      <c r="AU133" s="57"/>
      <c r="AV133" s="52"/>
      <c r="AW133" s="52"/>
      <c r="AX133" s="52"/>
      <c r="AY133" s="52"/>
      <c r="AZ133" s="52"/>
      <c r="BA133" s="53"/>
      <c r="BC133" s="57"/>
      <c r="BD133" s="54"/>
      <c r="BE133" s="54"/>
      <c r="BF133" s="54"/>
      <c r="BG133" s="54"/>
      <c r="BH133" s="52"/>
      <c r="BI133" s="53"/>
    </row>
    <row r="134" customFormat="false" ht="13.5" hidden="false" customHeight="false" outlineLevel="0" collapsed="false">
      <c r="A134" s="57"/>
      <c r="B134" s="52"/>
      <c r="C134" s="52"/>
      <c r="D134" s="52"/>
      <c r="E134" s="52"/>
      <c r="F134" s="52"/>
      <c r="G134" s="53"/>
      <c r="I134" s="57"/>
      <c r="J134" s="54"/>
      <c r="K134" s="54"/>
      <c r="L134" s="54"/>
      <c r="M134" s="54"/>
      <c r="N134" s="52"/>
      <c r="O134" s="53"/>
      <c r="Q134" s="52" t="s">
        <v>894</v>
      </c>
      <c r="R134" s="52" t="n">
        <v>33.97</v>
      </c>
      <c r="S134" s="52" t="n">
        <v>33.6</v>
      </c>
      <c r="T134" s="52" t="n">
        <v>34.49</v>
      </c>
      <c r="U134" s="52" t="n">
        <v>33.5</v>
      </c>
      <c r="V134" s="52" t="s">
        <v>895</v>
      </c>
      <c r="W134" s="53" t="n">
        <v>0.0003</v>
      </c>
      <c r="Y134" s="52" t="s">
        <v>896</v>
      </c>
      <c r="Z134" s="54" t="n">
        <v>58092.44</v>
      </c>
      <c r="AA134" s="54" t="n">
        <v>57423.51</v>
      </c>
      <c r="AB134" s="54" t="n">
        <v>58227.84</v>
      </c>
      <c r="AC134" s="54" t="n">
        <v>57235.59</v>
      </c>
      <c r="AD134" s="52" t="s">
        <v>897</v>
      </c>
      <c r="AE134" s="53" t="n">
        <v>0.0126</v>
      </c>
      <c r="AU134" s="57"/>
      <c r="AV134" s="52"/>
      <c r="AW134" s="52"/>
      <c r="AX134" s="52"/>
      <c r="AY134" s="52"/>
      <c r="AZ134" s="52"/>
      <c r="BA134" s="53"/>
      <c r="BC134" s="57"/>
      <c r="BD134" s="54"/>
      <c r="BE134" s="54"/>
      <c r="BF134" s="54"/>
      <c r="BG134" s="54"/>
      <c r="BH134" s="52"/>
      <c r="BI134" s="53"/>
    </row>
    <row r="135" customFormat="false" ht="13.5" hidden="false" customHeight="false" outlineLevel="0" collapsed="false">
      <c r="A135" s="58"/>
      <c r="B135" s="52"/>
      <c r="C135" s="52"/>
      <c r="D135" s="52"/>
      <c r="E135" s="52"/>
      <c r="F135" s="52"/>
      <c r="G135" s="53"/>
      <c r="I135" s="57"/>
      <c r="J135" s="54"/>
      <c r="K135" s="54"/>
      <c r="L135" s="54"/>
      <c r="M135" s="54"/>
      <c r="N135" s="52"/>
      <c r="O135" s="53"/>
      <c r="Q135" s="51" t="n">
        <v>45477</v>
      </c>
      <c r="R135" s="52" t="n">
        <v>34</v>
      </c>
      <c r="S135" s="52" t="n">
        <v>34.28</v>
      </c>
      <c r="T135" s="52" t="n">
        <v>34.9</v>
      </c>
      <c r="U135" s="52" t="n">
        <v>33.49</v>
      </c>
      <c r="V135" s="52" t="s">
        <v>898</v>
      </c>
      <c r="W135" s="53" t="n">
        <v>0.0009</v>
      </c>
      <c r="Y135" s="52" t="s">
        <v>899</v>
      </c>
      <c r="Z135" s="54" t="n">
        <v>56565.92</v>
      </c>
      <c r="AA135" s="54" t="n">
        <v>58021.66</v>
      </c>
      <c r="AB135" s="54" t="n">
        <v>58298.77</v>
      </c>
      <c r="AC135" s="54" t="n">
        <v>56374.63</v>
      </c>
      <c r="AD135" s="52" t="s">
        <v>900</v>
      </c>
      <c r="AE135" s="53" t="n">
        <v>-0.0263</v>
      </c>
      <c r="AU135" s="57"/>
      <c r="AV135" s="52"/>
      <c r="AW135" s="52"/>
      <c r="AX135" s="52"/>
      <c r="AY135" s="52"/>
      <c r="AZ135" s="52"/>
      <c r="BA135" s="53"/>
      <c r="BC135" s="57"/>
      <c r="BD135" s="54"/>
      <c r="BE135" s="54"/>
      <c r="BF135" s="54"/>
      <c r="BG135" s="54"/>
      <c r="BH135" s="52"/>
      <c r="BI135" s="53"/>
    </row>
    <row r="136" customFormat="false" ht="13.5" hidden="false" customHeight="false" outlineLevel="0" collapsed="false">
      <c r="A136" s="57"/>
      <c r="B136" s="52"/>
      <c r="C136" s="52"/>
      <c r="D136" s="52"/>
      <c r="E136" s="52"/>
      <c r="F136" s="52"/>
      <c r="G136" s="53"/>
      <c r="I136" s="57"/>
      <c r="J136" s="54"/>
      <c r="K136" s="54"/>
      <c r="L136" s="54"/>
      <c r="M136" s="54"/>
      <c r="N136" s="52"/>
      <c r="O136" s="53"/>
      <c r="Q136" s="52" t="s">
        <v>901</v>
      </c>
      <c r="R136" s="52" t="n">
        <v>33.99</v>
      </c>
      <c r="S136" s="52" t="n">
        <v>33.8</v>
      </c>
      <c r="T136" s="52" t="n">
        <v>33.99</v>
      </c>
      <c r="U136" s="52" t="n">
        <v>33.8</v>
      </c>
      <c r="V136" s="52" t="s">
        <v>902</v>
      </c>
      <c r="W136" s="53" t="n">
        <v>-0.0003</v>
      </c>
      <c r="Y136" s="52" t="s">
        <v>903</v>
      </c>
      <c r="Z136" s="54" t="n">
        <v>55862.85</v>
      </c>
      <c r="AA136" s="54" t="n">
        <v>56536.47</v>
      </c>
      <c r="AB136" s="54" t="n">
        <v>56709.12</v>
      </c>
      <c r="AC136" s="54" t="n">
        <v>55383.25</v>
      </c>
      <c r="AD136" s="52" t="s">
        <v>904</v>
      </c>
      <c r="AE136" s="53" t="n">
        <v>-0.0124</v>
      </c>
      <c r="AU136" s="58"/>
      <c r="AV136" s="52"/>
      <c r="AW136" s="52"/>
      <c r="AX136" s="52"/>
      <c r="AY136" s="52"/>
      <c r="AZ136" s="52"/>
      <c r="BA136" s="53"/>
      <c r="BC136" s="57"/>
      <c r="BD136" s="54"/>
      <c r="BE136" s="54"/>
      <c r="BF136" s="54"/>
      <c r="BG136" s="54"/>
      <c r="BH136" s="52"/>
      <c r="BI136" s="53"/>
    </row>
    <row r="137" customFormat="false" ht="13.5" hidden="false" customHeight="false" outlineLevel="0" collapsed="false">
      <c r="A137" s="57"/>
      <c r="B137" s="52"/>
      <c r="C137" s="52"/>
      <c r="D137" s="52"/>
      <c r="E137" s="52"/>
      <c r="F137" s="52"/>
      <c r="G137" s="53"/>
      <c r="I137" s="57"/>
      <c r="J137" s="54"/>
      <c r="K137" s="54"/>
      <c r="L137" s="54"/>
      <c r="M137" s="54"/>
      <c r="N137" s="52"/>
      <c r="O137" s="53"/>
      <c r="Q137" s="52" t="s">
        <v>905</v>
      </c>
      <c r="R137" s="52" t="n">
        <v>33.87</v>
      </c>
      <c r="S137" s="52" t="n">
        <v>33.31</v>
      </c>
      <c r="T137" s="52" t="n">
        <v>33.96</v>
      </c>
      <c r="U137" s="52" t="n">
        <v>32.84</v>
      </c>
      <c r="V137" s="52" t="s">
        <v>906</v>
      </c>
      <c r="W137" s="53" t="n">
        <v>-0.0035</v>
      </c>
      <c r="Y137" s="52" t="s">
        <v>907</v>
      </c>
      <c r="Z137" s="54" t="n">
        <v>57833.85</v>
      </c>
      <c r="AA137" s="54" t="n">
        <v>55852.28</v>
      </c>
      <c r="AB137" s="54" t="n">
        <v>58002.17</v>
      </c>
      <c r="AC137" s="54" t="n">
        <v>55771.55</v>
      </c>
      <c r="AD137" s="52" t="s">
        <v>866</v>
      </c>
      <c r="AE137" s="53" t="n">
        <v>0.0353</v>
      </c>
      <c r="AU137" s="57"/>
      <c r="AV137" s="52"/>
      <c r="AW137" s="52"/>
      <c r="AX137" s="52"/>
      <c r="AY137" s="52"/>
      <c r="AZ137" s="52"/>
      <c r="BA137" s="53"/>
      <c r="BC137" s="57"/>
      <c r="BD137" s="54"/>
      <c r="BE137" s="54"/>
      <c r="BF137" s="54"/>
      <c r="BG137" s="54"/>
      <c r="BH137" s="52"/>
      <c r="BI137" s="53"/>
    </row>
    <row r="138" customFormat="false" ht="13.5" hidden="false" customHeight="false" outlineLevel="0" collapsed="false">
      <c r="A138" s="57"/>
      <c r="B138" s="52"/>
      <c r="C138" s="52"/>
      <c r="D138" s="52"/>
      <c r="E138" s="52"/>
      <c r="F138" s="52"/>
      <c r="G138" s="53"/>
      <c r="I138" s="57"/>
      <c r="J138" s="54"/>
      <c r="K138" s="54"/>
      <c r="L138" s="54"/>
      <c r="M138" s="54"/>
      <c r="N138" s="52"/>
      <c r="O138" s="53"/>
      <c r="Q138" s="52" t="s">
        <v>908</v>
      </c>
      <c r="R138" s="52" t="n">
        <v>34</v>
      </c>
      <c r="S138" s="52" t="n">
        <v>33.95</v>
      </c>
      <c r="T138" s="52" t="n">
        <v>34</v>
      </c>
      <c r="U138" s="52" t="n">
        <v>33.78</v>
      </c>
      <c r="V138" s="52" t="s">
        <v>909</v>
      </c>
      <c r="W138" s="53" t="n">
        <v>0.0038</v>
      </c>
      <c r="Y138" s="52" t="s">
        <v>910</v>
      </c>
      <c r="Z138" s="54" t="n">
        <v>57135.26</v>
      </c>
      <c r="AA138" s="54" t="n">
        <v>57890.49</v>
      </c>
      <c r="AB138" s="54" t="n">
        <v>58110.37</v>
      </c>
      <c r="AC138" s="54" t="n">
        <v>56607.3</v>
      </c>
      <c r="AD138" s="52" t="s">
        <v>911</v>
      </c>
      <c r="AE138" s="53" t="n">
        <v>-0.0121</v>
      </c>
      <c r="AU138" s="57"/>
      <c r="AV138" s="52"/>
      <c r="AW138" s="52"/>
      <c r="AX138" s="52"/>
      <c r="AY138" s="52"/>
      <c r="AZ138" s="52"/>
      <c r="BA138" s="53"/>
      <c r="BC138" s="57"/>
      <c r="BD138" s="54"/>
      <c r="BE138" s="54"/>
      <c r="BF138" s="54"/>
      <c r="BG138" s="54"/>
      <c r="BH138" s="52"/>
      <c r="BI138" s="53"/>
    </row>
    <row r="139" customFormat="false" ht="13.5" hidden="false" customHeight="false" outlineLevel="0" collapsed="false">
      <c r="A139" s="58"/>
      <c r="B139" s="52"/>
      <c r="C139" s="52"/>
      <c r="D139" s="52"/>
      <c r="E139" s="52"/>
      <c r="F139" s="52"/>
      <c r="G139" s="53"/>
      <c r="I139" s="57"/>
      <c r="J139" s="54"/>
      <c r="K139" s="54"/>
      <c r="L139" s="54"/>
      <c r="M139" s="54"/>
      <c r="N139" s="52"/>
      <c r="O139" s="53"/>
      <c r="Q139" s="51" t="n">
        <v>45417</v>
      </c>
      <c r="R139" s="52" t="n">
        <v>32.87</v>
      </c>
      <c r="S139" s="52" t="n">
        <v>34.67</v>
      </c>
      <c r="T139" s="52" t="n">
        <v>34.67</v>
      </c>
      <c r="U139" s="52" t="n">
        <v>32.5</v>
      </c>
      <c r="V139" s="52" t="s">
        <v>912</v>
      </c>
      <c r="W139" s="53" t="n">
        <v>-0.0332</v>
      </c>
      <c r="Y139" s="52" t="s">
        <v>913</v>
      </c>
      <c r="Z139" s="54" t="n">
        <v>57718.04</v>
      </c>
      <c r="AA139" s="54" t="n">
        <v>57204.53</v>
      </c>
      <c r="AB139" s="54" t="n">
        <v>58090.25</v>
      </c>
      <c r="AC139" s="54" t="n">
        <v>56661.76</v>
      </c>
      <c r="AD139" s="52" t="s">
        <v>914</v>
      </c>
      <c r="AE139" s="53" t="n">
        <v>0.0102</v>
      </c>
      <c r="AU139" s="57"/>
      <c r="AV139" s="52"/>
      <c r="AW139" s="52"/>
      <c r="AX139" s="52"/>
      <c r="AY139" s="52"/>
      <c r="AZ139" s="52"/>
      <c r="BA139" s="53"/>
      <c r="BC139" s="57"/>
      <c r="BD139" s="54"/>
      <c r="BE139" s="54"/>
      <c r="BF139" s="54"/>
      <c r="BG139" s="54"/>
      <c r="BH139" s="52"/>
      <c r="BI139" s="53"/>
    </row>
    <row r="140" customFormat="false" ht="13.5" hidden="false" customHeight="false" outlineLevel="0" collapsed="false">
      <c r="A140" s="58"/>
      <c r="B140" s="52"/>
      <c r="C140" s="52"/>
      <c r="D140" s="52"/>
      <c r="E140" s="52"/>
      <c r="F140" s="52"/>
      <c r="G140" s="53"/>
      <c r="I140" s="57"/>
      <c r="J140" s="54"/>
      <c r="K140" s="54"/>
      <c r="L140" s="54"/>
      <c r="M140" s="54"/>
      <c r="N140" s="52"/>
      <c r="O140" s="53"/>
      <c r="Q140" s="51" t="n">
        <v>45631</v>
      </c>
      <c r="R140" s="52" t="n">
        <v>33</v>
      </c>
      <c r="S140" s="52" t="n">
        <v>32.86</v>
      </c>
      <c r="T140" s="52" t="n">
        <v>33.7</v>
      </c>
      <c r="U140" s="52" t="n">
        <v>32.11</v>
      </c>
      <c r="V140" s="52" t="s">
        <v>811</v>
      </c>
      <c r="W140" s="53" t="n">
        <v>0.004</v>
      </c>
      <c r="Y140" s="52" t="s">
        <v>915</v>
      </c>
      <c r="Z140" s="54" t="n">
        <v>57583.08</v>
      </c>
      <c r="AA140" s="54" t="n">
        <v>57735.01</v>
      </c>
      <c r="AB140" s="54" t="n">
        <v>58169.69</v>
      </c>
      <c r="AC140" s="54" t="n">
        <v>57127.46</v>
      </c>
      <c r="AD140" s="52" t="s">
        <v>916</v>
      </c>
      <c r="AE140" s="53" t="n">
        <v>-0.0023</v>
      </c>
      <c r="AU140" s="58"/>
      <c r="AV140" s="52"/>
      <c r="AW140" s="52"/>
      <c r="AX140" s="52"/>
      <c r="AY140" s="52"/>
      <c r="AZ140" s="52"/>
      <c r="BA140" s="53"/>
      <c r="BC140" s="57"/>
      <c r="BD140" s="54"/>
      <c r="BE140" s="54"/>
      <c r="BF140" s="54"/>
      <c r="BG140" s="54"/>
      <c r="BH140" s="52"/>
      <c r="BI140" s="53"/>
    </row>
    <row r="141" customFormat="false" ht="13.5" hidden="false" customHeight="false" outlineLevel="0" collapsed="false">
      <c r="A141" s="57"/>
      <c r="B141" s="52"/>
      <c r="C141" s="52"/>
      <c r="D141" s="52"/>
      <c r="E141" s="52"/>
      <c r="F141" s="52"/>
      <c r="G141" s="53"/>
      <c r="I141" s="57"/>
      <c r="J141" s="54"/>
      <c r="K141" s="54"/>
      <c r="L141" s="54"/>
      <c r="M141" s="54"/>
      <c r="N141" s="52"/>
      <c r="O141" s="53"/>
      <c r="Q141" s="52" t="s">
        <v>917</v>
      </c>
      <c r="R141" s="52" t="n">
        <v>33.3</v>
      </c>
      <c r="S141" s="52" t="n">
        <v>32.68</v>
      </c>
      <c r="T141" s="52" t="n">
        <v>33.3</v>
      </c>
      <c r="U141" s="52" t="n">
        <v>32.08</v>
      </c>
      <c r="V141" s="52" t="s">
        <v>918</v>
      </c>
      <c r="W141" s="53" t="n">
        <v>0.0091</v>
      </c>
      <c r="Y141" s="52" t="s">
        <v>919</v>
      </c>
      <c r="Z141" s="54" t="n">
        <v>55413.12</v>
      </c>
      <c r="AA141" s="54" t="n">
        <v>57604.25</v>
      </c>
      <c r="AB141" s="54" t="n">
        <v>57725.82</v>
      </c>
      <c r="AC141" s="54" t="n">
        <v>55368.21</v>
      </c>
      <c r="AD141" s="52" t="s">
        <v>920</v>
      </c>
      <c r="AE141" s="53" t="n">
        <v>-0.0377</v>
      </c>
      <c r="AU141" s="58"/>
      <c r="AV141" s="52"/>
      <c r="AW141" s="52"/>
      <c r="AX141" s="52"/>
      <c r="AY141" s="52"/>
      <c r="AZ141" s="52"/>
      <c r="BA141" s="53"/>
      <c r="BC141" s="57"/>
      <c r="BD141" s="54"/>
      <c r="BE141" s="54"/>
      <c r="BF141" s="54"/>
      <c r="BG141" s="54"/>
      <c r="BH141" s="52"/>
      <c r="BI141" s="53"/>
    </row>
    <row r="142" customFormat="false" ht="13.5" hidden="false" customHeight="false" outlineLevel="0" collapsed="false">
      <c r="A142" s="57"/>
      <c r="B142" s="52"/>
      <c r="C142" s="52"/>
      <c r="D142" s="52"/>
      <c r="E142" s="52"/>
      <c r="F142" s="52"/>
      <c r="G142" s="53"/>
      <c r="I142" s="57"/>
      <c r="J142" s="54"/>
      <c r="K142" s="54"/>
      <c r="L142" s="54"/>
      <c r="M142" s="54"/>
      <c r="N142" s="52"/>
      <c r="O142" s="53"/>
      <c r="Q142" s="52" t="s">
        <v>921</v>
      </c>
      <c r="R142" s="52" t="n">
        <v>32.32</v>
      </c>
      <c r="S142" s="52" t="n">
        <v>32.3</v>
      </c>
      <c r="T142" s="52" t="n">
        <v>33.12</v>
      </c>
      <c r="U142" s="52" t="n">
        <v>31.5</v>
      </c>
      <c r="V142" s="52" t="s">
        <v>922</v>
      </c>
      <c r="W142" s="53" t="n">
        <v>-0.0294</v>
      </c>
      <c r="Y142" s="52" t="s">
        <v>923</v>
      </c>
      <c r="Z142" s="54" t="n">
        <v>55179.24</v>
      </c>
      <c r="AA142" s="54" t="n">
        <v>55428.24</v>
      </c>
      <c r="AB142" s="54" t="n">
        <v>55683.57</v>
      </c>
      <c r="AC142" s="54" t="n">
        <v>54352.15</v>
      </c>
      <c r="AD142" s="52" t="s">
        <v>924</v>
      </c>
      <c r="AE142" s="53" t="n">
        <v>-0.0042</v>
      </c>
      <c r="AU142" s="57"/>
      <c r="AV142" s="52"/>
      <c r="AW142" s="52"/>
      <c r="AX142" s="52"/>
      <c r="AY142" s="52"/>
      <c r="AZ142" s="52"/>
      <c r="BA142" s="53"/>
      <c r="BC142" s="57"/>
      <c r="BD142" s="54"/>
      <c r="BE142" s="54"/>
      <c r="BF142" s="54"/>
      <c r="BG142" s="54"/>
      <c r="BH142" s="52"/>
      <c r="BI142" s="53"/>
    </row>
    <row r="143" customFormat="false" ht="13.5" hidden="false" customHeight="false" outlineLevel="0" collapsed="false">
      <c r="A143" s="58"/>
      <c r="B143" s="52"/>
      <c r="C143" s="52"/>
      <c r="D143" s="52"/>
      <c r="E143" s="52"/>
      <c r="F143" s="52"/>
      <c r="G143" s="53"/>
      <c r="I143" s="57"/>
      <c r="J143" s="54"/>
      <c r="K143" s="54"/>
      <c r="L143" s="54"/>
      <c r="M143" s="54"/>
      <c r="N143" s="52"/>
      <c r="O143" s="53"/>
      <c r="Q143" s="51" t="n">
        <v>45328</v>
      </c>
      <c r="R143" s="52" t="n">
        <v>31.8</v>
      </c>
      <c r="S143" s="52" t="n">
        <v>31.5</v>
      </c>
      <c r="T143" s="52" t="n">
        <v>31.86</v>
      </c>
      <c r="U143" s="52" t="n">
        <v>31.21</v>
      </c>
      <c r="V143" s="52" t="s">
        <v>925</v>
      </c>
      <c r="W143" s="53" t="n">
        <v>-0.0161</v>
      </c>
      <c r="Y143" s="52" t="s">
        <v>926</v>
      </c>
      <c r="Z143" s="54" t="n">
        <v>52977.32</v>
      </c>
      <c r="AA143" s="54" t="n">
        <v>54967.91</v>
      </c>
      <c r="AB143" s="54" t="n">
        <v>55730.31</v>
      </c>
      <c r="AC143" s="54" t="n">
        <v>51358.97</v>
      </c>
      <c r="AD143" s="52" t="s">
        <v>927</v>
      </c>
      <c r="AE143" s="53" t="n">
        <v>-0.0399</v>
      </c>
      <c r="AU143" s="57"/>
      <c r="AV143" s="52"/>
      <c r="AW143" s="52"/>
      <c r="AX143" s="52"/>
      <c r="AY143" s="52"/>
      <c r="AZ143" s="52"/>
      <c r="BA143" s="53"/>
      <c r="BC143" s="57"/>
      <c r="BD143" s="54"/>
      <c r="BE143" s="54"/>
      <c r="BF143" s="54"/>
      <c r="BG143" s="54"/>
      <c r="BH143" s="52"/>
      <c r="BI143" s="53"/>
    </row>
    <row r="144" customFormat="false" ht="13.5" hidden="false" customHeight="false" outlineLevel="0" collapsed="false">
      <c r="A144" s="58"/>
      <c r="B144" s="52"/>
      <c r="C144" s="52"/>
      <c r="D144" s="52"/>
      <c r="E144" s="52"/>
      <c r="F144" s="52"/>
      <c r="G144" s="53"/>
      <c r="I144" s="57"/>
      <c r="J144" s="54"/>
      <c r="K144" s="54"/>
      <c r="L144" s="54"/>
      <c r="M144" s="54"/>
      <c r="N144" s="52"/>
      <c r="O144" s="53"/>
      <c r="Q144" s="51" t="n">
        <v>45541</v>
      </c>
      <c r="R144" s="52" t="n">
        <v>31.3</v>
      </c>
      <c r="S144" s="52" t="n">
        <v>30.5</v>
      </c>
      <c r="T144" s="52" t="n">
        <v>31.48</v>
      </c>
      <c r="U144" s="52" t="n">
        <v>30.08</v>
      </c>
      <c r="V144" s="52" t="s">
        <v>928</v>
      </c>
      <c r="W144" s="53" t="n">
        <v>-0.0157</v>
      </c>
      <c r="Y144" s="52" t="s">
        <v>929</v>
      </c>
      <c r="Z144" s="54" t="n">
        <v>52222.94</v>
      </c>
      <c r="AA144" s="54" t="n">
        <v>52989.2</v>
      </c>
      <c r="AB144" s="54" t="n">
        <v>53767.39</v>
      </c>
      <c r="AC144" s="54" t="n">
        <v>51872.13</v>
      </c>
      <c r="AD144" s="52" t="s">
        <v>930</v>
      </c>
      <c r="AE144" s="53" t="n">
        <v>-0.0142</v>
      </c>
      <c r="AU144" s="58"/>
      <c r="AV144" s="52"/>
      <c r="AW144" s="52"/>
      <c r="AX144" s="52"/>
      <c r="AY144" s="52"/>
      <c r="AZ144" s="52"/>
      <c r="BA144" s="53"/>
      <c r="BC144" s="57"/>
      <c r="BD144" s="54"/>
      <c r="BE144" s="54"/>
      <c r="BF144" s="54"/>
      <c r="BG144" s="54"/>
      <c r="BH144" s="52"/>
      <c r="BI144" s="53"/>
    </row>
    <row r="145" customFormat="false" ht="13.5" hidden="false" customHeight="false" outlineLevel="0" collapsed="false">
      <c r="A145" s="57"/>
      <c r="B145" s="52"/>
      <c r="C145" s="52"/>
      <c r="D145" s="52"/>
      <c r="E145" s="52"/>
      <c r="F145" s="52"/>
      <c r="G145" s="53"/>
      <c r="I145" s="57"/>
      <c r="J145" s="54"/>
      <c r="K145" s="54"/>
      <c r="L145" s="54"/>
      <c r="M145" s="54"/>
      <c r="N145" s="52"/>
      <c r="O145" s="53"/>
      <c r="Q145" s="52" t="s">
        <v>931</v>
      </c>
      <c r="R145" s="52" t="n">
        <v>29.48</v>
      </c>
      <c r="S145" s="52" t="n">
        <v>31.3</v>
      </c>
      <c r="T145" s="52" t="n">
        <v>31.3</v>
      </c>
      <c r="U145" s="52" t="n">
        <v>29.34</v>
      </c>
      <c r="V145" s="52" t="s">
        <v>932</v>
      </c>
      <c r="W145" s="53" t="n">
        <v>-0.0581</v>
      </c>
      <c r="Y145" s="52" t="s">
        <v>933</v>
      </c>
      <c r="Z145" s="54" t="n">
        <v>52788.5</v>
      </c>
      <c r="AA145" s="54" t="n">
        <v>52247.33</v>
      </c>
      <c r="AB145" s="54" t="n">
        <v>53547.49</v>
      </c>
      <c r="AC145" s="54" t="n">
        <v>52000.77</v>
      </c>
      <c r="AD145" s="52" t="s">
        <v>934</v>
      </c>
      <c r="AE145" s="53" t="n">
        <v>0.0108</v>
      </c>
      <c r="AU145" s="58"/>
      <c r="AV145" s="52"/>
      <c r="AW145" s="52"/>
      <c r="AX145" s="52"/>
      <c r="AY145" s="52"/>
      <c r="AZ145" s="52"/>
      <c r="BA145" s="53"/>
      <c r="BC145" s="57"/>
      <c r="BD145" s="54"/>
      <c r="BE145" s="54"/>
      <c r="BF145" s="54"/>
      <c r="BG145" s="54"/>
      <c r="BH145" s="52"/>
      <c r="BI145" s="53"/>
    </row>
    <row r="146" customFormat="false" ht="13.5" hidden="false" customHeight="false" outlineLevel="0" collapsed="false">
      <c r="A146" s="57"/>
      <c r="B146" s="52"/>
      <c r="C146" s="52"/>
      <c r="D146" s="52"/>
      <c r="E146" s="52"/>
      <c r="F146" s="52"/>
      <c r="G146" s="53"/>
      <c r="I146" s="57"/>
      <c r="J146" s="54"/>
      <c r="K146" s="54"/>
      <c r="L146" s="54"/>
      <c r="M146" s="54"/>
      <c r="N146" s="52"/>
      <c r="O146" s="53"/>
      <c r="Q146" s="52" t="s">
        <v>935</v>
      </c>
      <c r="R146" s="52" t="n">
        <v>30.36</v>
      </c>
      <c r="S146" s="52" t="n">
        <v>29</v>
      </c>
      <c r="T146" s="52" t="n">
        <v>31</v>
      </c>
      <c r="U146" s="52" t="n">
        <v>28.98</v>
      </c>
      <c r="V146" s="52" t="s">
        <v>936</v>
      </c>
      <c r="W146" s="53" t="n">
        <v>0.0299</v>
      </c>
      <c r="Y146" s="52" t="s">
        <v>937</v>
      </c>
      <c r="Z146" s="54" t="n">
        <v>52440.02</v>
      </c>
      <c r="AA146" s="54" t="n">
        <v>52741.54</v>
      </c>
      <c r="AB146" s="54" t="n">
        <v>53136.73</v>
      </c>
      <c r="AC146" s="54" t="n">
        <v>51847.71</v>
      </c>
      <c r="AD146" s="52" t="s">
        <v>938</v>
      </c>
      <c r="AE146" s="53" t="n">
        <v>-0.0066</v>
      </c>
      <c r="AU146" s="57"/>
      <c r="AV146" s="52"/>
      <c r="AW146" s="52"/>
      <c r="AX146" s="52"/>
      <c r="AY146" s="52"/>
      <c r="AZ146" s="52"/>
      <c r="BA146" s="53"/>
      <c r="BC146" s="57"/>
      <c r="BD146" s="54"/>
      <c r="BE146" s="54"/>
      <c r="BF146" s="54"/>
      <c r="BG146" s="54"/>
      <c r="BH146" s="52"/>
      <c r="BI146" s="53"/>
    </row>
    <row r="147" customFormat="false" ht="13.5" hidden="false" customHeight="false" outlineLevel="0" collapsed="false">
      <c r="A147" s="57"/>
      <c r="B147" s="52"/>
      <c r="C147" s="52"/>
      <c r="D147" s="52"/>
      <c r="E147" s="52"/>
      <c r="F147" s="52"/>
      <c r="G147" s="53"/>
      <c r="I147" s="57"/>
      <c r="J147" s="54"/>
      <c r="K147" s="54"/>
      <c r="L147" s="54"/>
      <c r="M147" s="54"/>
      <c r="N147" s="52"/>
      <c r="O147" s="53"/>
      <c r="Q147" s="52" t="s">
        <v>939</v>
      </c>
      <c r="R147" s="52" t="n">
        <v>29.82</v>
      </c>
      <c r="S147" s="52" t="n">
        <v>30.35</v>
      </c>
      <c r="T147" s="52" t="n">
        <v>31.26</v>
      </c>
      <c r="U147" s="52" t="n">
        <v>29.08</v>
      </c>
      <c r="V147" s="52" t="s">
        <v>940</v>
      </c>
      <c r="W147" s="53" t="n">
        <v>-0.0178</v>
      </c>
      <c r="Y147" s="52" t="s">
        <v>941</v>
      </c>
      <c r="Z147" s="54" t="n">
        <v>52333.16</v>
      </c>
      <c r="AA147" s="54" t="n">
        <v>52452.44</v>
      </c>
      <c r="AB147" s="54" t="n">
        <v>53159.3</v>
      </c>
      <c r="AC147" s="54" t="n">
        <v>51802.5</v>
      </c>
      <c r="AD147" s="52" t="s">
        <v>942</v>
      </c>
      <c r="AE147" s="53" t="n">
        <v>-0.002</v>
      </c>
      <c r="AU147" s="57"/>
      <c r="AV147" s="52"/>
      <c r="AW147" s="52"/>
      <c r="AX147" s="52"/>
      <c r="AY147" s="52"/>
      <c r="AZ147" s="52"/>
      <c r="BA147" s="53"/>
      <c r="BC147" s="57"/>
      <c r="BD147" s="54"/>
      <c r="BE147" s="54"/>
      <c r="BF147" s="54"/>
      <c r="BG147" s="54"/>
      <c r="BH147" s="52"/>
      <c r="BI147" s="53"/>
    </row>
    <row r="148" customFormat="false" ht="13.5" hidden="false" customHeight="false" outlineLevel="0" collapsed="false">
      <c r="A148" s="58"/>
      <c r="B148" s="52"/>
      <c r="C148" s="52"/>
      <c r="D148" s="52"/>
      <c r="E148" s="52"/>
      <c r="F148" s="52"/>
      <c r="G148" s="53"/>
      <c r="I148" s="57"/>
      <c r="J148" s="54"/>
      <c r="K148" s="54"/>
      <c r="L148" s="54"/>
      <c r="M148" s="54"/>
      <c r="N148" s="52"/>
      <c r="O148" s="53"/>
      <c r="Q148" s="51" t="n">
        <v>45480</v>
      </c>
      <c r="R148" s="52" t="n">
        <v>30.8</v>
      </c>
      <c r="S148" s="52" t="n">
        <v>29.83</v>
      </c>
      <c r="T148" s="52" t="n">
        <v>31.15</v>
      </c>
      <c r="U148" s="52" t="n">
        <v>29.05</v>
      </c>
      <c r="V148" s="52" t="s">
        <v>943</v>
      </c>
      <c r="W148" s="53" t="n">
        <v>0.0329</v>
      </c>
      <c r="Y148" s="52" t="s">
        <v>944</v>
      </c>
      <c r="Z148" s="54" t="n">
        <v>54953.11</v>
      </c>
      <c r="AA148" s="54" t="n">
        <v>52227.48</v>
      </c>
      <c r="AB148" s="54" t="n">
        <v>55078.15</v>
      </c>
      <c r="AC148" s="54" t="n">
        <v>52214.51</v>
      </c>
      <c r="AD148" s="52" t="s">
        <v>307</v>
      </c>
      <c r="AE148" s="53" t="n">
        <v>0.0501</v>
      </c>
      <c r="AU148" s="57"/>
      <c r="AV148" s="52"/>
      <c r="AW148" s="52"/>
      <c r="AX148" s="52"/>
      <c r="AY148" s="52"/>
      <c r="AZ148" s="52"/>
      <c r="BA148" s="53"/>
      <c r="BC148" s="57"/>
      <c r="BD148" s="54"/>
      <c r="BE148" s="54"/>
      <c r="BF148" s="54"/>
      <c r="BG148" s="54"/>
      <c r="BH148" s="52"/>
      <c r="BI148" s="53"/>
    </row>
    <row r="149" customFormat="false" ht="13.5" hidden="false" customHeight="false" outlineLevel="0" collapsed="false">
      <c r="A149" s="57"/>
      <c r="B149" s="52"/>
      <c r="C149" s="52"/>
      <c r="D149" s="52"/>
      <c r="E149" s="52"/>
      <c r="F149" s="52"/>
      <c r="G149" s="53"/>
      <c r="I149" s="57"/>
      <c r="J149" s="54"/>
      <c r="K149" s="54"/>
      <c r="L149" s="54"/>
      <c r="M149" s="54"/>
      <c r="N149" s="52"/>
      <c r="O149" s="53"/>
      <c r="Q149" s="52" t="s">
        <v>945</v>
      </c>
      <c r="R149" s="52" t="n">
        <v>30.79</v>
      </c>
      <c r="S149" s="52" t="n">
        <v>30.18</v>
      </c>
      <c r="T149" s="52" t="n">
        <v>30.87</v>
      </c>
      <c r="U149" s="52" t="n">
        <v>29.57</v>
      </c>
      <c r="V149" s="52" t="s">
        <v>946</v>
      </c>
      <c r="W149" s="53" t="n">
        <v>-0.0003</v>
      </c>
      <c r="Y149" s="52" t="s">
        <v>947</v>
      </c>
      <c r="Z149" s="54" t="n">
        <v>53678.52</v>
      </c>
      <c r="AA149" s="54" t="n">
        <v>54894.92</v>
      </c>
      <c r="AB149" s="54" t="n">
        <v>55120.42</v>
      </c>
      <c r="AC149" s="54" t="n">
        <v>52889.88</v>
      </c>
      <c r="AD149" s="52" t="s">
        <v>948</v>
      </c>
      <c r="AE149" s="53" t="n">
        <v>-0.0232</v>
      </c>
      <c r="AU149" s="58"/>
      <c r="AV149" s="52"/>
      <c r="AW149" s="52"/>
      <c r="AX149" s="52"/>
      <c r="AY149" s="52"/>
      <c r="AZ149" s="52"/>
      <c r="BA149" s="53"/>
      <c r="BC149" s="57"/>
      <c r="BD149" s="54"/>
      <c r="BE149" s="54"/>
      <c r="BF149" s="54"/>
      <c r="BG149" s="54"/>
      <c r="BH149" s="52"/>
      <c r="BI149" s="53"/>
    </row>
    <row r="150" customFormat="false" ht="13.5" hidden="false" customHeight="false" outlineLevel="0" collapsed="false">
      <c r="A150" s="57"/>
      <c r="B150" s="52"/>
      <c r="C150" s="52"/>
      <c r="D150" s="52"/>
      <c r="E150" s="52"/>
      <c r="F150" s="52"/>
      <c r="G150" s="53"/>
      <c r="I150" s="57"/>
      <c r="J150" s="54"/>
      <c r="K150" s="54"/>
      <c r="L150" s="54"/>
      <c r="M150" s="54"/>
      <c r="N150" s="52"/>
      <c r="O150" s="53"/>
      <c r="Q150" s="52" t="s">
        <v>949</v>
      </c>
      <c r="R150" s="52" t="n">
        <v>29.39</v>
      </c>
      <c r="S150" s="52" t="n">
        <v>30.89</v>
      </c>
      <c r="T150" s="52" t="n">
        <v>30.89</v>
      </c>
      <c r="U150" s="52" t="n">
        <v>29</v>
      </c>
      <c r="V150" s="52" t="s">
        <v>950</v>
      </c>
      <c r="W150" s="53" t="n">
        <v>-0.0455</v>
      </c>
      <c r="Y150" s="52" t="s">
        <v>951</v>
      </c>
      <c r="Z150" s="54" t="n">
        <v>52819.58</v>
      </c>
      <c r="AA150" s="54" t="n">
        <v>53656.17</v>
      </c>
      <c r="AB150" s="54" t="n">
        <v>54161.08</v>
      </c>
      <c r="AC150" s="54" t="n">
        <v>52559.26</v>
      </c>
      <c r="AD150" s="52" t="s">
        <v>952</v>
      </c>
      <c r="AE150" s="53" t="n">
        <v>-0.016</v>
      </c>
      <c r="AU150" s="57"/>
      <c r="AV150" s="52"/>
      <c r="AW150" s="52"/>
      <c r="AX150" s="52"/>
      <c r="AY150" s="52"/>
      <c r="AZ150" s="52"/>
      <c r="BA150" s="53"/>
      <c r="BC150" s="57"/>
      <c r="BD150" s="54"/>
      <c r="BE150" s="54"/>
      <c r="BF150" s="54"/>
      <c r="BG150" s="54"/>
      <c r="BH150" s="52"/>
      <c r="BI150" s="53"/>
    </row>
    <row r="151" customFormat="false" ht="13.5" hidden="false" customHeight="false" outlineLevel="0" collapsed="false">
      <c r="A151" s="57"/>
      <c r="B151" s="52"/>
      <c r="C151" s="52"/>
      <c r="D151" s="52"/>
      <c r="E151" s="52"/>
      <c r="F151" s="52"/>
      <c r="G151" s="53"/>
      <c r="I151" s="57"/>
      <c r="J151" s="54"/>
      <c r="K151" s="54"/>
      <c r="L151" s="54"/>
      <c r="M151" s="54"/>
      <c r="N151" s="52"/>
      <c r="O151" s="53"/>
      <c r="Q151" s="52" t="s">
        <v>953</v>
      </c>
      <c r="R151" s="52" t="n">
        <v>31.19</v>
      </c>
      <c r="S151" s="52" t="n">
        <v>29.99</v>
      </c>
      <c r="T151" s="52" t="n">
        <v>31.21</v>
      </c>
      <c r="U151" s="52" t="n">
        <v>29.99</v>
      </c>
      <c r="V151" s="52" t="s">
        <v>954</v>
      </c>
      <c r="W151" s="53" t="n">
        <v>0.0612</v>
      </c>
      <c r="Y151" s="52" t="s">
        <v>955</v>
      </c>
      <c r="Z151" s="54" t="n">
        <v>52242.38</v>
      </c>
      <c r="AA151" s="54" t="n">
        <v>52837.3</v>
      </c>
      <c r="AB151" s="54" t="n">
        <v>53313.56</v>
      </c>
      <c r="AC151" s="54" t="n">
        <v>51734.41</v>
      </c>
      <c r="AD151" s="52" t="s">
        <v>927</v>
      </c>
      <c r="AE151" s="53" t="n">
        <v>-0.0109</v>
      </c>
      <c r="AU151" s="57"/>
      <c r="AV151" s="52"/>
      <c r="AW151" s="52"/>
      <c r="AX151" s="52"/>
      <c r="AY151" s="52"/>
      <c r="AZ151" s="52"/>
      <c r="BA151" s="53"/>
      <c r="BC151" s="57"/>
      <c r="BD151" s="54"/>
      <c r="BE151" s="54"/>
      <c r="BF151" s="54"/>
      <c r="BG151" s="54"/>
      <c r="BH151" s="52"/>
      <c r="BI151" s="53"/>
    </row>
    <row r="152" customFormat="false" ht="13.5" hidden="false" customHeight="false" outlineLevel="0" collapsed="false">
      <c r="A152" s="58"/>
      <c r="B152" s="52"/>
      <c r="C152" s="52"/>
      <c r="D152" s="52"/>
      <c r="E152" s="52"/>
      <c r="F152" s="52"/>
      <c r="G152" s="53"/>
      <c r="I152" s="57"/>
      <c r="J152" s="54"/>
      <c r="K152" s="54"/>
      <c r="L152" s="54"/>
      <c r="M152" s="54"/>
      <c r="N152" s="52"/>
      <c r="O152" s="53"/>
      <c r="Q152" s="51" t="n">
        <v>45390</v>
      </c>
      <c r="R152" s="52" t="n">
        <v>31.14</v>
      </c>
      <c r="S152" s="52" t="n">
        <v>31</v>
      </c>
      <c r="T152" s="52" t="n">
        <v>31.21</v>
      </c>
      <c r="U152" s="52" t="n">
        <v>30.37</v>
      </c>
      <c r="V152" s="52" t="s">
        <v>956</v>
      </c>
      <c r="W152" s="53" t="n">
        <v>-0.0016</v>
      </c>
      <c r="Y152" s="52" t="s">
        <v>957</v>
      </c>
      <c r="Z152" s="54" t="n">
        <v>53051.54</v>
      </c>
      <c r="AA152" s="54" t="n">
        <v>52047.16</v>
      </c>
      <c r="AB152" s="54" t="n">
        <v>53118.01</v>
      </c>
      <c r="AC152" s="54" t="n">
        <v>51259.73</v>
      </c>
      <c r="AD152" s="52" t="s">
        <v>958</v>
      </c>
      <c r="AE152" s="53" t="n">
        <v>0.0155</v>
      </c>
      <c r="AU152" s="57"/>
      <c r="AV152" s="52"/>
      <c r="AW152" s="52"/>
      <c r="AX152" s="52"/>
      <c r="AY152" s="52"/>
      <c r="AZ152" s="52"/>
      <c r="BA152" s="53"/>
      <c r="BC152" s="57"/>
      <c r="BD152" s="54"/>
      <c r="BE152" s="54"/>
      <c r="BF152" s="54"/>
      <c r="BG152" s="54"/>
      <c r="BH152" s="52"/>
      <c r="BI152" s="53"/>
    </row>
    <row r="153" customFormat="false" ht="13.5" hidden="false" customHeight="false" outlineLevel="0" collapsed="false">
      <c r="A153" s="58"/>
      <c r="B153" s="52"/>
      <c r="C153" s="52"/>
      <c r="D153" s="52"/>
      <c r="E153" s="52"/>
      <c r="F153" s="52"/>
      <c r="G153" s="53"/>
      <c r="I153" s="57"/>
      <c r="J153" s="54"/>
      <c r="K153" s="54"/>
      <c r="L153" s="54"/>
      <c r="M153" s="54"/>
      <c r="N153" s="52"/>
      <c r="O153" s="53"/>
      <c r="Q153" s="51" t="n">
        <v>45604</v>
      </c>
      <c r="R153" s="52" t="n">
        <v>30.98</v>
      </c>
      <c r="S153" s="52" t="n">
        <v>31.15</v>
      </c>
      <c r="T153" s="52" t="n">
        <v>31.16</v>
      </c>
      <c r="U153" s="52" t="n">
        <v>29.09</v>
      </c>
      <c r="V153" s="52" t="s">
        <v>959</v>
      </c>
      <c r="W153" s="53" t="n">
        <v>-0.0051</v>
      </c>
      <c r="Y153" s="52" t="s">
        <v>960</v>
      </c>
      <c r="Z153" s="54" t="n">
        <v>54083.78</v>
      </c>
      <c r="AA153" s="54" t="n">
        <v>53085.63</v>
      </c>
      <c r="AB153" s="54" t="n">
        <v>54343.28</v>
      </c>
      <c r="AC153" s="54" t="n">
        <v>52626.94</v>
      </c>
      <c r="AD153" s="52" t="s">
        <v>961</v>
      </c>
      <c r="AE153" s="53" t="n">
        <v>0.0195</v>
      </c>
      <c r="AU153" s="58"/>
      <c r="AV153" s="52"/>
      <c r="AW153" s="52"/>
      <c r="AX153" s="52"/>
      <c r="AY153" s="52"/>
      <c r="AZ153" s="52"/>
      <c r="BA153" s="53"/>
      <c r="BC153" s="57"/>
      <c r="BD153" s="54"/>
      <c r="BE153" s="54"/>
      <c r="BF153" s="54"/>
      <c r="BG153" s="54"/>
      <c r="BH153" s="52"/>
      <c r="BI153" s="53"/>
    </row>
    <row r="154" customFormat="false" ht="13.5" hidden="false" customHeight="false" outlineLevel="0" collapsed="false">
      <c r="A154" s="57"/>
      <c r="B154" s="52"/>
      <c r="C154" s="52"/>
      <c r="D154" s="52"/>
      <c r="E154" s="52"/>
      <c r="F154" s="52"/>
      <c r="G154" s="53"/>
      <c r="I154" s="57"/>
      <c r="J154" s="54"/>
      <c r="K154" s="54"/>
      <c r="L154" s="54"/>
      <c r="M154" s="54"/>
      <c r="N154" s="52"/>
      <c r="O154" s="53"/>
      <c r="Q154" s="52" t="s">
        <v>962</v>
      </c>
      <c r="R154" s="52" t="n">
        <v>30.47</v>
      </c>
      <c r="S154" s="52" t="n">
        <v>30.95</v>
      </c>
      <c r="T154" s="52" t="n">
        <v>30.95</v>
      </c>
      <c r="U154" s="52" t="n">
        <v>29.62</v>
      </c>
      <c r="V154" s="52" t="s">
        <v>963</v>
      </c>
      <c r="W154" s="53" t="n">
        <v>-0.0165</v>
      </c>
      <c r="Y154" s="52" t="s">
        <v>964</v>
      </c>
      <c r="Z154" s="54" t="n">
        <v>53490.92</v>
      </c>
      <c r="AA154" s="54" t="n">
        <v>54026.93</v>
      </c>
      <c r="AB154" s="54" t="n">
        <v>54302.27</v>
      </c>
      <c r="AC154" s="54" t="n">
        <v>53273.12</v>
      </c>
      <c r="AD154" s="52" t="s">
        <v>527</v>
      </c>
      <c r="AE154" s="53" t="n">
        <v>-0.011</v>
      </c>
      <c r="AU154" s="58"/>
      <c r="AV154" s="52"/>
      <c r="AW154" s="52"/>
      <c r="AX154" s="52"/>
      <c r="AY154" s="52"/>
      <c r="AZ154" s="52"/>
      <c r="BA154" s="53"/>
      <c r="BC154" s="57"/>
      <c r="BD154" s="54"/>
      <c r="BE154" s="54"/>
      <c r="BF154" s="54"/>
      <c r="BG154" s="54"/>
      <c r="BH154" s="52"/>
      <c r="BI154" s="53"/>
    </row>
    <row r="155" customFormat="false" ht="13.5" hidden="false" customHeight="false" outlineLevel="0" collapsed="false">
      <c r="A155" s="57"/>
      <c r="B155" s="52"/>
      <c r="C155" s="52"/>
      <c r="D155" s="52"/>
      <c r="E155" s="52"/>
      <c r="F155" s="52"/>
      <c r="G155" s="53"/>
      <c r="I155" s="57"/>
      <c r="J155" s="54"/>
      <c r="K155" s="54"/>
      <c r="L155" s="54"/>
      <c r="M155" s="54"/>
      <c r="N155" s="52"/>
      <c r="O155" s="53"/>
      <c r="Q155" s="52" t="s">
        <v>965</v>
      </c>
      <c r="R155" s="52" t="n">
        <v>30.48</v>
      </c>
      <c r="S155" s="52" t="n">
        <v>29.31</v>
      </c>
      <c r="T155" s="52" t="n">
        <v>30.48</v>
      </c>
      <c r="U155" s="52" t="n">
        <v>29.31</v>
      </c>
      <c r="V155" s="52" t="s">
        <v>966</v>
      </c>
      <c r="W155" s="53" t="n">
        <v>0.0003</v>
      </c>
      <c r="Y155" s="52" t="s">
        <v>967</v>
      </c>
      <c r="Z155" s="54" t="n">
        <v>51985.87</v>
      </c>
      <c r="AA155" s="54" t="n">
        <v>53436.98</v>
      </c>
      <c r="AB155" s="54" t="n">
        <v>53733.69</v>
      </c>
      <c r="AC155" s="54" t="n">
        <v>52388.48</v>
      </c>
      <c r="AD155" s="52" t="s">
        <v>968</v>
      </c>
      <c r="AE155" s="53" t="n">
        <v>-0.0281</v>
      </c>
      <c r="AU155" s="57"/>
      <c r="AV155" s="52"/>
      <c r="AW155" s="52"/>
      <c r="AX155" s="52"/>
      <c r="AY155" s="52"/>
      <c r="AZ155" s="52"/>
      <c r="BA155" s="53"/>
      <c r="BC155" s="57"/>
      <c r="BD155" s="54"/>
      <c r="BE155" s="54"/>
      <c r="BF155" s="54"/>
      <c r="BG155" s="54"/>
      <c r="BH155" s="52"/>
      <c r="BI155" s="53"/>
    </row>
    <row r="156" customFormat="false" ht="13.5" hidden="false" customHeight="false" outlineLevel="0" collapsed="false">
      <c r="A156" s="58"/>
      <c r="B156" s="52"/>
      <c r="C156" s="52"/>
      <c r="D156" s="52"/>
      <c r="E156" s="52"/>
      <c r="F156" s="52"/>
      <c r="G156" s="53"/>
      <c r="I156" s="57"/>
      <c r="J156" s="54"/>
      <c r="K156" s="54"/>
      <c r="L156" s="54"/>
      <c r="M156" s="54"/>
      <c r="N156" s="52"/>
      <c r="O156" s="53"/>
      <c r="Q156" s="51" t="n">
        <v>45300</v>
      </c>
      <c r="R156" s="52" t="n">
        <v>29.79</v>
      </c>
      <c r="S156" s="52" t="n">
        <v>29.87</v>
      </c>
      <c r="T156" s="52" t="n">
        <v>30.49</v>
      </c>
      <c r="U156" s="52" t="n">
        <v>29.79</v>
      </c>
      <c r="V156" s="52" t="s">
        <v>969</v>
      </c>
      <c r="W156" s="53" t="n">
        <v>-0.0226</v>
      </c>
      <c r="Y156" s="52" t="s">
        <v>970</v>
      </c>
      <c r="Z156" s="54" t="n">
        <v>51083.44</v>
      </c>
      <c r="AA156" s="54" t="n">
        <v>52133.89</v>
      </c>
      <c r="AB156" s="54" t="n">
        <v>52737.12</v>
      </c>
      <c r="AC156" s="54" t="n">
        <v>50912.97</v>
      </c>
      <c r="AD156" s="52" t="s">
        <v>971</v>
      </c>
      <c r="AE156" s="53" t="n">
        <v>-0.0174</v>
      </c>
      <c r="AU156" s="57"/>
      <c r="AV156" s="52"/>
      <c r="AW156" s="52"/>
      <c r="AX156" s="52"/>
      <c r="AY156" s="52"/>
      <c r="AZ156" s="52"/>
      <c r="BA156" s="53"/>
      <c r="BC156" s="57"/>
      <c r="BD156" s="54"/>
      <c r="BE156" s="54"/>
      <c r="BF156" s="54"/>
      <c r="BG156" s="54"/>
      <c r="BH156" s="52"/>
      <c r="BI156" s="53"/>
    </row>
    <row r="157" customFormat="false" ht="13.5" hidden="false" customHeight="false" outlineLevel="0" collapsed="false">
      <c r="A157" s="58"/>
      <c r="B157" s="52"/>
      <c r="C157" s="52"/>
      <c r="D157" s="52"/>
      <c r="E157" s="52"/>
      <c r="F157" s="52"/>
      <c r="G157" s="53"/>
      <c r="I157" s="57"/>
      <c r="J157" s="54"/>
      <c r="K157" s="54"/>
      <c r="L157" s="54"/>
      <c r="M157" s="54"/>
      <c r="N157" s="52"/>
      <c r="O157" s="53"/>
      <c r="Q157" s="51" t="n">
        <v>45513</v>
      </c>
      <c r="R157" s="52" t="n">
        <v>30</v>
      </c>
      <c r="S157" s="52" t="n">
        <v>29.87</v>
      </c>
      <c r="T157" s="52" t="n">
        <v>30</v>
      </c>
      <c r="U157" s="52" t="n">
        <v>29.6</v>
      </c>
      <c r="V157" s="52" t="s">
        <v>972</v>
      </c>
      <c r="W157" s="53" t="n">
        <v>0.007</v>
      </c>
      <c r="Y157" s="52" t="s">
        <v>973</v>
      </c>
      <c r="Z157" s="54" t="n">
        <v>52016.85</v>
      </c>
      <c r="AA157" s="54" t="n">
        <v>51044.56</v>
      </c>
      <c r="AB157" s="54" t="n">
        <v>52431.65</v>
      </c>
      <c r="AC157" s="54" t="n">
        <v>50782.11</v>
      </c>
      <c r="AD157" s="52" t="s">
        <v>974</v>
      </c>
      <c r="AE157" s="53" t="n">
        <v>0.0183</v>
      </c>
      <c r="AU157" s="58"/>
      <c r="AV157" s="52"/>
      <c r="AW157" s="52"/>
      <c r="AX157" s="52"/>
      <c r="AY157" s="52"/>
      <c r="AZ157" s="52"/>
      <c r="BA157" s="53"/>
      <c r="BC157" s="57"/>
      <c r="BD157" s="54"/>
      <c r="BE157" s="54"/>
      <c r="BF157" s="54"/>
      <c r="BG157" s="54"/>
      <c r="BH157" s="52"/>
      <c r="BI157" s="53"/>
    </row>
    <row r="158" customFormat="false" ht="13.5" hidden="false" customHeight="false" outlineLevel="0" collapsed="false">
      <c r="A158" s="57"/>
      <c r="B158" s="52"/>
      <c r="C158" s="52"/>
      <c r="D158" s="52"/>
      <c r="E158" s="52"/>
      <c r="F158" s="52"/>
      <c r="G158" s="53"/>
      <c r="I158" s="57"/>
      <c r="J158" s="54"/>
      <c r="K158" s="54"/>
      <c r="L158" s="54"/>
      <c r="M158" s="54"/>
      <c r="N158" s="52"/>
      <c r="O158" s="53"/>
      <c r="Q158" s="52" t="s">
        <v>975</v>
      </c>
      <c r="R158" s="52" t="n">
        <v>30.48</v>
      </c>
      <c r="S158" s="52" t="n">
        <v>29.98</v>
      </c>
      <c r="T158" s="52" t="n">
        <v>30.49</v>
      </c>
      <c r="U158" s="52" t="n">
        <v>29.75</v>
      </c>
      <c r="V158" s="52" t="s">
        <v>976</v>
      </c>
      <c r="W158" s="53" t="n">
        <v>0.016</v>
      </c>
      <c r="Y158" s="52" t="s">
        <v>977</v>
      </c>
      <c r="Z158" s="54" t="n">
        <v>52190.48</v>
      </c>
      <c r="AA158" s="54" t="n">
        <v>51978.63</v>
      </c>
      <c r="AB158" s="54" t="n">
        <v>53114.01</v>
      </c>
      <c r="AC158" s="54" t="n">
        <v>51978.63</v>
      </c>
      <c r="AD158" s="52" t="s">
        <v>978</v>
      </c>
      <c r="AE158" s="53" t="n">
        <v>0.0033</v>
      </c>
      <c r="AU158" s="58"/>
      <c r="AV158" s="52"/>
      <c r="AW158" s="52"/>
      <c r="AX158" s="52"/>
      <c r="AY158" s="52"/>
      <c r="AZ158" s="52"/>
      <c r="BA158" s="53"/>
      <c r="BC158" s="57"/>
      <c r="BD158" s="54"/>
      <c r="BE158" s="54"/>
      <c r="BF158" s="54"/>
      <c r="BG158" s="54"/>
      <c r="BH158" s="52"/>
      <c r="BI158" s="53"/>
    </row>
    <row r="159" customFormat="false" ht="13.5" hidden="false" customHeight="false" outlineLevel="0" collapsed="false">
      <c r="A159" s="57"/>
      <c r="B159" s="52"/>
      <c r="C159" s="52"/>
      <c r="D159" s="52"/>
      <c r="E159" s="52"/>
      <c r="F159" s="52"/>
      <c r="G159" s="53"/>
      <c r="I159" s="57"/>
      <c r="J159" s="54"/>
      <c r="K159" s="54"/>
      <c r="L159" s="54"/>
      <c r="M159" s="54"/>
      <c r="N159" s="52"/>
      <c r="O159" s="53"/>
      <c r="Q159" s="52" t="s">
        <v>979</v>
      </c>
      <c r="R159" s="52" t="n">
        <v>31.04</v>
      </c>
      <c r="S159" s="52" t="n">
        <v>29.95</v>
      </c>
      <c r="T159" s="52" t="n">
        <v>31.25</v>
      </c>
      <c r="U159" s="52" t="n">
        <v>29.5</v>
      </c>
      <c r="V159" s="52" t="s">
        <v>980</v>
      </c>
      <c r="W159" s="53" t="n">
        <v>0.0184</v>
      </c>
      <c r="Y159" s="52" t="s">
        <v>981</v>
      </c>
      <c r="Z159" s="54" t="n">
        <v>52778.17</v>
      </c>
      <c r="AA159" s="54" t="n">
        <v>52231.93</v>
      </c>
      <c r="AB159" s="54" t="n">
        <v>54201.46</v>
      </c>
      <c r="AC159" s="54" t="n">
        <v>51895.92</v>
      </c>
      <c r="AD159" s="52" t="s">
        <v>982</v>
      </c>
      <c r="AE159" s="53" t="n">
        <v>0.0113</v>
      </c>
      <c r="AU159" s="57"/>
      <c r="AV159" s="52"/>
      <c r="AW159" s="52"/>
      <c r="AX159" s="52"/>
      <c r="AY159" s="52"/>
      <c r="AZ159" s="52"/>
      <c r="BA159" s="53"/>
      <c r="BC159" s="57"/>
      <c r="BD159" s="54"/>
      <c r="BE159" s="54"/>
      <c r="BF159" s="54"/>
      <c r="BG159" s="54"/>
      <c r="BH159" s="52"/>
      <c r="BI159" s="53"/>
    </row>
    <row r="160" customFormat="false" ht="13.5" hidden="false" customHeight="false" outlineLevel="0" collapsed="false">
      <c r="A160" s="57"/>
      <c r="B160" s="52"/>
      <c r="C160" s="52"/>
      <c r="D160" s="52"/>
      <c r="E160" s="52"/>
      <c r="F160" s="52"/>
      <c r="G160" s="53"/>
      <c r="I160" s="57"/>
      <c r="J160" s="54"/>
      <c r="K160" s="54"/>
      <c r="L160" s="54"/>
      <c r="M160" s="54"/>
      <c r="N160" s="52"/>
      <c r="O160" s="53"/>
      <c r="Q160" s="52" t="s">
        <v>983</v>
      </c>
      <c r="R160" s="52" t="n">
        <v>30.4</v>
      </c>
      <c r="S160" s="52" t="n">
        <v>31.18</v>
      </c>
      <c r="T160" s="52" t="n">
        <v>31.18</v>
      </c>
      <c r="U160" s="52" t="n">
        <v>29.5</v>
      </c>
      <c r="V160" s="52" t="s">
        <v>984</v>
      </c>
      <c r="W160" s="53" t="n">
        <v>-0.0206</v>
      </c>
      <c r="Y160" s="52" t="s">
        <v>985</v>
      </c>
      <c r="Z160" s="54" t="n">
        <v>52609.87</v>
      </c>
      <c r="AA160" s="54" t="n">
        <v>52854.82</v>
      </c>
      <c r="AB160" s="54" t="n">
        <v>52984.36</v>
      </c>
      <c r="AC160" s="54" t="n">
        <v>51507.52</v>
      </c>
      <c r="AD160" s="52" t="s">
        <v>809</v>
      </c>
      <c r="AE160" s="53" t="n">
        <v>-0.0032</v>
      </c>
      <c r="AU160" s="57"/>
      <c r="AV160" s="52"/>
      <c r="AW160" s="52"/>
      <c r="AX160" s="52"/>
      <c r="AY160" s="52"/>
      <c r="AZ160" s="52"/>
      <c r="BA160" s="53"/>
      <c r="BC160" s="57"/>
      <c r="BD160" s="54"/>
      <c r="BE160" s="54"/>
      <c r="BF160" s="54"/>
      <c r="BG160" s="54"/>
      <c r="BH160" s="52"/>
      <c r="BI160" s="53"/>
    </row>
    <row r="161" customFormat="false" ht="13.5" hidden="false" customHeight="false" outlineLevel="0" collapsed="false">
      <c r="A161" s="58"/>
      <c r="B161" s="52"/>
      <c r="C161" s="52"/>
      <c r="D161" s="52"/>
      <c r="E161" s="52"/>
      <c r="F161" s="52"/>
      <c r="G161" s="53"/>
      <c r="I161" s="57"/>
      <c r="J161" s="54"/>
      <c r="K161" s="54"/>
      <c r="L161" s="54"/>
      <c r="M161" s="54"/>
      <c r="N161" s="52"/>
      <c r="O161" s="53"/>
      <c r="Q161" s="51" t="n">
        <v>45453</v>
      </c>
      <c r="R161" s="52" t="n">
        <v>30.59</v>
      </c>
      <c r="S161" s="52" t="n">
        <v>30.29</v>
      </c>
      <c r="T161" s="52" t="n">
        <v>31.2</v>
      </c>
      <c r="U161" s="52" t="n">
        <v>29.99</v>
      </c>
      <c r="V161" s="52" t="s">
        <v>986</v>
      </c>
      <c r="W161" s="53" t="n">
        <v>0.0063</v>
      </c>
      <c r="Y161" s="52" t="s">
        <v>987</v>
      </c>
      <c r="Z161" s="54" t="n">
        <v>52395.66</v>
      </c>
      <c r="AA161" s="54" t="n">
        <v>52587.77</v>
      </c>
      <c r="AB161" s="54" t="n">
        <v>53067.02</v>
      </c>
      <c r="AC161" s="54" t="n">
        <v>51567.96</v>
      </c>
      <c r="AD161" s="52" t="s">
        <v>974</v>
      </c>
      <c r="AE161" s="53" t="n">
        <v>-0.0041</v>
      </c>
      <c r="AU161" s="57"/>
      <c r="AV161" s="52"/>
      <c r="AW161" s="52"/>
      <c r="AX161" s="52"/>
      <c r="AY161" s="52"/>
      <c r="AZ161" s="52"/>
      <c r="BA161" s="53"/>
      <c r="BC161" s="57"/>
      <c r="BD161" s="54"/>
      <c r="BE161" s="54"/>
      <c r="BF161" s="54"/>
      <c r="BG161" s="54"/>
      <c r="BH161" s="52"/>
      <c r="BI161" s="53"/>
    </row>
    <row r="162" customFormat="false" ht="13.5" hidden="false" customHeight="false" outlineLevel="0" collapsed="false">
      <c r="A162" s="57"/>
      <c r="B162" s="52"/>
      <c r="C162" s="52"/>
      <c r="D162" s="52"/>
      <c r="E162" s="52"/>
      <c r="F162" s="52"/>
      <c r="G162" s="53"/>
      <c r="I162" s="57"/>
      <c r="J162" s="54"/>
      <c r="K162" s="54"/>
      <c r="L162" s="54"/>
      <c r="M162" s="54"/>
      <c r="N162" s="52"/>
      <c r="O162" s="53"/>
      <c r="Q162" s="52" t="s">
        <v>988</v>
      </c>
      <c r="R162" s="52" t="n">
        <v>29.3</v>
      </c>
      <c r="S162" s="52" t="n">
        <v>29.95</v>
      </c>
      <c r="T162" s="52" t="n">
        <v>29.95</v>
      </c>
      <c r="U162" s="52" t="n">
        <v>29.06</v>
      </c>
      <c r="V162" s="52" t="s">
        <v>989</v>
      </c>
      <c r="W162" s="53" t="n">
        <v>-0.0422</v>
      </c>
      <c r="Y162" s="52" t="s">
        <v>990</v>
      </c>
      <c r="Z162" s="54" t="n">
        <v>53027.42</v>
      </c>
      <c r="AA162" s="54" t="n">
        <v>52375.54</v>
      </c>
      <c r="AB162" s="54" t="n">
        <v>53076.69</v>
      </c>
      <c r="AC162" s="54" t="n">
        <v>51864.78</v>
      </c>
      <c r="AD162" s="52" t="s">
        <v>809</v>
      </c>
      <c r="AE162" s="53" t="n">
        <v>0.0121</v>
      </c>
      <c r="AU162" s="58"/>
      <c r="AV162" s="52"/>
      <c r="AW162" s="52"/>
      <c r="AX162" s="52"/>
      <c r="AY162" s="52"/>
      <c r="AZ162" s="52"/>
      <c r="BA162" s="53"/>
      <c r="BC162" s="57"/>
      <c r="BD162" s="54"/>
      <c r="BE162" s="54"/>
      <c r="BF162" s="54"/>
      <c r="BG162" s="54"/>
      <c r="BH162" s="52"/>
      <c r="BI162" s="53"/>
    </row>
    <row r="163" customFormat="false" ht="13.5" hidden="false" customHeight="false" outlineLevel="0" collapsed="false">
      <c r="A163" s="57"/>
      <c r="B163" s="52"/>
      <c r="C163" s="52"/>
      <c r="D163" s="52"/>
      <c r="E163" s="52"/>
      <c r="F163" s="52"/>
      <c r="G163" s="53"/>
      <c r="I163" s="57"/>
      <c r="J163" s="54"/>
      <c r="K163" s="54"/>
      <c r="L163" s="54"/>
      <c r="M163" s="54"/>
      <c r="N163" s="52"/>
      <c r="O163" s="53"/>
      <c r="Q163" s="52" t="s">
        <v>991</v>
      </c>
      <c r="R163" s="52" t="n">
        <v>28.91</v>
      </c>
      <c r="S163" s="52" t="n">
        <v>29</v>
      </c>
      <c r="T163" s="52" t="n">
        <v>29.61</v>
      </c>
      <c r="U163" s="52" t="n">
        <v>28</v>
      </c>
      <c r="V163" s="52" t="s">
        <v>992</v>
      </c>
      <c r="W163" s="53" t="n">
        <v>-0.0133</v>
      </c>
      <c r="Y163" s="52" t="s">
        <v>993</v>
      </c>
      <c r="Z163" s="54" t="n">
        <v>51784.33</v>
      </c>
      <c r="AA163" s="54" t="n">
        <v>53054.25</v>
      </c>
      <c r="AB163" s="54" t="n">
        <v>53141.54</v>
      </c>
      <c r="AC163" s="54" t="n">
        <v>51543.17</v>
      </c>
      <c r="AD163" s="52" t="s">
        <v>428</v>
      </c>
      <c r="AE163" s="53" t="n">
        <v>-0.0234</v>
      </c>
      <c r="AU163" s="57"/>
      <c r="AV163" s="52"/>
      <c r="AW163" s="52"/>
      <c r="AX163" s="52"/>
      <c r="AY163" s="52"/>
      <c r="AZ163" s="52"/>
      <c r="BA163" s="53"/>
      <c r="BC163" s="57"/>
      <c r="BD163" s="54"/>
      <c r="BE163" s="54"/>
      <c r="BF163" s="54"/>
      <c r="BG163" s="54"/>
      <c r="BH163" s="52"/>
      <c r="BI163" s="53"/>
    </row>
    <row r="164" customFormat="false" ht="13.5" hidden="false" customHeight="false" outlineLevel="0" collapsed="false">
      <c r="A164" s="57"/>
      <c r="B164" s="52"/>
      <c r="C164" s="52"/>
      <c r="D164" s="52"/>
      <c r="E164" s="52"/>
      <c r="F164" s="52"/>
      <c r="G164" s="53"/>
      <c r="I164" s="57"/>
      <c r="J164" s="54"/>
      <c r="K164" s="54"/>
      <c r="L164" s="54"/>
      <c r="M164" s="54"/>
      <c r="N164" s="52"/>
      <c r="O164" s="53"/>
      <c r="Q164" s="52" t="s">
        <v>994</v>
      </c>
      <c r="R164" s="52" t="n">
        <v>28.28</v>
      </c>
      <c r="S164" s="52" t="n">
        <v>28.6</v>
      </c>
      <c r="T164" s="52" t="n">
        <v>28.6</v>
      </c>
      <c r="U164" s="52" t="n">
        <v>28</v>
      </c>
      <c r="V164" s="52" t="s">
        <v>995</v>
      </c>
      <c r="W164" s="53" t="n">
        <v>-0.0218</v>
      </c>
      <c r="Y164" s="52" t="s">
        <v>996</v>
      </c>
      <c r="Z164" s="54" t="n">
        <v>50622.39</v>
      </c>
      <c r="AA164" s="54" t="n">
        <v>51744.79</v>
      </c>
      <c r="AB164" s="54" t="n">
        <v>51911.31</v>
      </c>
      <c r="AC164" s="54" t="n">
        <v>50520.96</v>
      </c>
      <c r="AD164" s="52" t="s">
        <v>809</v>
      </c>
      <c r="AE164" s="53" t="n">
        <v>-0.0224</v>
      </c>
      <c r="AU164" s="57"/>
      <c r="AV164" s="52"/>
      <c r="AW164" s="52"/>
      <c r="AX164" s="52"/>
      <c r="AY164" s="52"/>
      <c r="AZ164" s="52"/>
      <c r="BA164" s="53"/>
      <c r="BC164" s="57"/>
      <c r="BD164" s="54"/>
      <c r="BE164" s="54"/>
      <c r="BF164" s="54"/>
      <c r="BG164" s="54"/>
      <c r="BH164" s="52"/>
      <c r="BI164" s="53"/>
    </row>
    <row r="165" customFormat="false" ht="13.5" hidden="false" customHeight="false" outlineLevel="0" collapsed="false">
      <c r="A165" s="58"/>
      <c r="B165" s="52"/>
      <c r="C165" s="52"/>
      <c r="D165" s="52"/>
      <c r="E165" s="52"/>
      <c r="F165" s="52"/>
      <c r="G165" s="53"/>
      <c r="I165" s="57"/>
      <c r="J165" s="54"/>
      <c r="K165" s="54"/>
      <c r="L165" s="54"/>
      <c r="M165" s="54"/>
      <c r="N165" s="52"/>
      <c r="O165" s="53"/>
      <c r="Q165" s="51" t="n">
        <v>45362</v>
      </c>
      <c r="R165" s="52" t="n">
        <v>29.59</v>
      </c>
      <c r="S165" s="52" t="n">
        <v>28.38</v>
      </c>
      <c r="T165" s="52" t="n">
        <v>29.59</v>
      </c>
      <c r="U165" s="52" t="n">
        <v>28.25</v>
      </c>
      <c r="V165" s="52" t="s">
        <v>997</v>
      </c>
      <c r="W165" s="53" t="n">
        <v>0.0463</v>
      </c>
      <c r="Y165" s="52" t="s">
        <v>998</v>
      </c>
      <c r="Z165" s="54" t="n">
        <v>51845.17</v>
      </c>
      <c r="AA165" s="54" t="n">
        <v>50595.33</v>
      </c>
      <c r="AB165" s="54" t="n">
        <v>52594.22</v>
      </c>
      <c r="AC165" s="54" t="n">
        <v>49486.17</v>
      </c>
      <c r="AD165" s="52" t="s">
        <v>999</v>
      </c>
      <c r="AE165" s="53" t="n">
        <v>0.0242</v>
      </c>
      <c r="AU165" s="57"/>
      <c r="AV165" s="52"/>
      <c r="AW165" s="52"/>
      <c r="AX165" s="52"/>
      <c r="AY165" s="52"/>
      <c r="AZ165" s="52"/>
      <c r="BA165" s="53"/>
      <c r="BC165" s="57"/>
      <c r="BD165" s="54"/>
      <c r="BE165" s="54"/>
      <c r="BF165" s="54"/>
      <c r="BG165" s="54"/>
      <c r="BH165" s="52"/>
      <c r="BI165" s="53"/>
    </row>
    <row r="166" customFormat="false" ht="13.5" hidden="false" customHeight="false" outlineLevel="0" collapsed="false">
      <c r="A166" s="58"/>
      <c r="B166" s="52"/>
      <c r="C166" s="52"/>
      <c r="D166" s="52"/>
      <c r="E166" s="52"/>
      <c r="F166" s="52"/>
      <c r="G166" s="53"/>
      <c r="I166" s="57"/>
      <c r="J166" s="54"/>
      <c r="K166" s="54"/>
      <c r="L166" s="54"/>
      <c r="M166" s="54"/>
      <c r="N166" s="52"/>
      <c r="O166" s="53"/>
      <c r="Q166" s="51" t="n">
        <v>45576</v>
      </c>
      <c r="R166" s="52" t="n">
        <v>28.75</v>
      </c>
      <c r="S166" s="52" t="n">
        <v>28.7</v>
      </c>
      <c r="T166" s="52" t="n">
        <v>29.5</v>
      </c>
      <c r="U166" s="52" t="n">
        <v>28.03</v>
      </c>
      <c r="V166" s="52" t="s">
        <v>1000</v>
      </c>
      <c r="W166" s="53" t="n">
        <v>-0.0284</v>
      </c>
      <c r="Y166" s="52" t="s">
        <v>1001</v>
      </c>
      <c r="Z166" s="54" t="n">
        <v>50469.4</v>
      </c>
      <c r="AA166" s="54" t="n">
        <v>51765.41</v>
      </c>
      <c r="AB166" s="54" t="n">
        <v>51907.05</v>
      </c>
      <c r="AC166" s="54" t="n">
        <v>50321.77</v>
      </c>
      <c r="AD166" s="52" t="s">
        <v>1002</v>
      </c>
      <c r="AE166" s="53" t="n">
        <v>-0.0265</v>
      </c>
      <c r="AU166" s="58"/>
      <c r="AV166" s="52"/>
      <c r="AW166" s="52"/>
      <c r="AX166" s="52"/>
      <c r="AY166" s="52"/>
      <c r="AZ166" s="52"/>
      <c r="BA166" s="53"/>
      <c r="BC166" s="57"/>
      <c r="BD166" s="54"/>
      <c r="BE166" s="54"/>
      <c r="BF166" s="54"/>
      <c r="BG166" s="54"/>
      <c r="BH166" s="52"/>
      <c r="BI166" s="53"/>
    </row>
    <row r="167" customFormat="false" ht="13.5" hidden="false" customHeight="false" outlineLevel="0" collapsed="false">
      <c r="A167" s="57"/>
      <c r="B167" s="52"/>
      <c r="C167" s="52"/>
      <c r="D167" s="52"/>
      <c r="E167" s="52"/>
      <c r="F167" s="52"/>
      <c r="G167" s="53"/>
      <c r="I167" s="57"/>
      <c r="J167" s="54"/>
      <c r="K167" s="54"/>
      <c r="L167" s="54"/>
      <c r="M167" s="54"/>
      <c r="N167" s="52"/>
      <c r="O167" s="53"/>
      <c r="Q167" s="52" t="s">
        <v>1003</v>
      </c>
      <c r="R167" s="52" t="n">
        <v>29.68</v>
      </c>
      <c r="S167" s="52" t="n">
        <v>29.1</v>
      </c>
      <c r="T167" s="52" t="n">
        <v>29.68</v>
      </c>
      <c r="U167" s="52" t="n">
        <v>29.1</v>
      </c>
      <c r="V167" s="52" t="s">
        <v>1004</v>
      </c>
      <c r="W167" s="53" t="n">
        <v>0.0323</v>
      </c>
      <c r="Y167" s="52" t="s">
        <v>1005</v>
      </c>
      <c r="Z167" s="54" t="n">
        <v>50430.02</v>
      </c>
      <c r="AA167" s="54" t="n">
        <v>50493.48</v>
      </c>
      <c r="AB167" s="54" t="n">
        <v>50759.37</v>
      </c>
      <c r="AC167" s="54" t="n">
        <v>49921.78</v>
      </c>
      <c r="AD167" s="52" t="s">
        <v>1006</v>
      </c>
      <c r="AE167" s="53" t="n">
        <v>-0.0008</v>
      </c>
      <c r="AU167" s="58"/>
      <c r="AV167" s="52"/>
      <c r="AW167" s="52"/>
      <c r="AX167" s="52"/>
      <c r="AY167" s="52"/>
      <c r="AZ167" s="52"/>
      <c r="BA167" s="53"/>
      <c r="BC167" s="57"/>
      <c r="BD167" s="54"/>
      <c r="BE167" s="54"/>
      <c r="BF167" s="54"/>
      <c r="BG167" s="54"/>
      <c r="BH167" s="52"/>
      <c r="BI167" s="53"/>
    </row>
    <row r="168" customFormat="false" ht="13.5" hidden="false" customHeight="false" outlineLevel="0" collapsed="false">
      <c r="A168" s="57"/>
      <c r="B168" s="52"/>
      <c r="C168" s="52"/>
      <c r="D168" s="52"/>
      <c r="E168" s="52"/>
      <c r="F168" s="52"/>
      <c r="G168" s="53"/>
      <c r="I168" s="57"/>
      <c r="J168" s="54"/>
      <c r="K168" s="54"/>
      <c r="L168" s="54"/>
      <c r="M168" s="54"/>
      <c r="N168" s="52"/>
      <c r="O168" s="53"/>
      <c r="Q168" s="52" t="s">
        <v>1007</v>
      </c>
      <c r="R168" s="52" t="n">
        <v>30.5</v>
      </c>
      <c r="S168" s="52" t="n">
        <v>29.29</v>
      </c>
      <c r="T168" s="52" t="n">
        <v>30.5</v>
      </c>
      <c r="U168" s="52" t="n">
        <v>29.09</v>
      </c>
      <c r="V168" s="52" t="s">
        <v>1008</v>
      </c>
      <c r="W168" s="53" t="n">
        <v>0.0276</v>
      </c>
      <c r="Y168" s="52" t="s">
        <v>1009</v>
      </c>
      <c r="Z168" s="54" t="n">
        <v>49812.64</v>
      </c>
      <c r="AA168" s="54" t="n">
        <v>50366.75</v>
      </c>
      <c r="AB168" s="54" t="n">
        <v>50931.28</v>
      </c>
      <c r="AC168" s="54" t="n">
        <v>49458.79</v>
      </c>
      <c r="AD168" s="52" t="s">
        <v>1010</v>
      </c>
      <c r="AE168" s="53" t="n">
        <v>-0.0122</v>
      </c>
      <c r="AU168" s="57"/>
      <c r="AV168" s="52"/>
      <c r="AW168" s="52"/>
      <c r="AX168" s="52"/>
      <c r="AY168" s="52"/>
      <c r="AZ168" s="52"/>
      <c r="BA168" s="53"/>
      <c r="BC168" s="57"/>
      <c r="BD168" s="54"/>
      <c r="BE168" s="54"/>
      <c r="BF168" s="54"/>
      <c r="BG168" s="54"/>
      <c r="BH168" s="52"/>
      <c r="BI168" s="53"/>
    </row>
    <row r="169" customFormat="false" ht="13.5" hidden="false" customHeight="false" outlineLevel="0" collapsed="false">
      <c r="A169" s="58"/>
      <c r="B169" s="52"/>
      <c r="C169" s="52"/>
      <c r="D169" s="52"/>
      <c r="E169" s="52"/>
      <c r="F169" s="52"/>
      <c r="G169" s="53"/>
      <c r="I169" s="57"/>
      <c r="J169" s="54"/>
      <c r="K169" s="54"/>
      <c r="L169" s="54"/>
      <c r="M169" s="54"/>
      <c r="N169" s="52"/>
      <c r="O169" s="53"/>
      <c r="Q169" s="51" t="n">
        <v>45303</v>
      </c>
      <c r="R169" s="52" t="n">
        <v>30.22</v>
      </c>
      <c r="S169" s="52" t="n">
        <v>30.19</v>
      </c>
      <c r="T169" s="52" t="n">
        <v>30.44</v>
      </c>
      <c r="U169" s="52" t="n">
        <v>29.6</v>
      </c>
      <c r="V169" s="52" t="s">
        <v>1011</v>
      </c>
      <c r="W169" s="53" t="n">
        <v>-0.0092</v>
      </c>
      <c r="Y169" s="52" t="s">
        <v>1012</v>
      </c>
      <c r="Z169" s="54" t="n">
        <v>51348.8</v>
      </c>
      <c r="AA169" s="54" t="n">
        <v>49954.98</v>
      </c>
      <c r="AB169" s="54" t="n">
        <v>51912.21</v>
      </c>
      <c r="AC169" s="54" t="n">
        <v>49954.98</v>
      </c>
      <c r="AD169" s="52" t="s">
        <v>1013</v>
      </c>
      <c r="AE169" s="53" t="n">
        <v>0.0308</v>
      </c>
      <c r="AU169" s="57"/>
      <c r="AV169" s="52"/>
      <c r="AW169" s="52"/>
      <c r="AX169" s="52"/>
      <c r="AY169" s="52"/>
      <c r="AZ169" s="52"/>
      <c r="BA169" s="53"/>
      <c r="BC169" s="57"/>
      <c r="BD169" s="54"/>
      <c r="BE169" s="54"/>
      <c r="BF169" s="54"/>
      <c r="BG169" s="54"/>
      <c r="BH169" s="52"/>
      <c r="BI169" s="53"/>
    </row>
    <row r="170" customFormat="false" ht="13.5" hidden="false" customHeight="false" outlineLevel="0" collapsed="false">
      <c r="A170" s="58"/>
      <c r="B170" s="52"/>
      <c r="C170" s="52"/>
      <c r="D170" s="52"/>
      <c r="E170" s="52"/>
      <c r="F170" s="52"/>
      <c r="G170" s="53"/>
      <c r="I170" s="57"/>
      <c r="J170" s="54"/>
      <c r="K170" s="54"/>
      <c r="L170" s="54"/>
      <c r="M170" s="54"/>
      <c r="N170" s="52"/>
      <c r="O170" s="53"/>
      <c r="Q170" s="51" t="n">
        <v>45516</v>
      </c>
      <c r="R170" s="52" t="n">
        <v>30.07</v>
      </c>
      <c r="S170" s="52" t="n">
        <v>30.43</v>
      </c>
      <c r="T170" s="52" t="n">
        <v>30.43</v>
      </c>
      <c r="U170" s="52" t="n">
        <v>29.67</v>
      </c>
      <c r="V170" s="52" t="s">
        <v>1014</v>
      </c>
      <c r="W170" s="53" t="n">
        <v>-0.005</v>
      </c>
      <c r="Y170" s="52" t="s">
        <v>1015</v>
      </c>
      <c r="Z170" s="54" t="n">
        <v>51619.75</v>
      </c>
      <c r="AA170" s="54" t="n">
        <v>51417.93</v>
      </c>
      <c r="AB170" s="54" t="n">
        <v>52291.89</v>
      </c>
      <c r="AC170" s="54" t="n">
        <v>50975.49</v>
      </c>
      <c r="AD170" s="52" t="s">
        <v>1016</v>
      </c>
      <c r="AE170" s="53" t="n">
        <v>0.0053</v>
      </c>
      <c r="AU170" s="58"/>
      <c r="AV170" s="52"/>
      <c r="AW170" s="52"/>
      <c r="AX170" s="52"/>
      <c r="AY170" s="52"/>
      <c r="AZ170" s="52"/>
      <c r="BA170" s="53"/>
      <c r="BC170" s="57"/>
      <c r="BD170" s="54"/>
      <c r="BE170" s="54"/>
      <c r="BF170" s="54"/>
      <c r="BG170" s="54"/>
      <c r="BH170" s="52"/>
      <c r="BI170" s="53"/>
    </row>
    <row r="171" customFormat="false" ht="13.5" hidden="false" customHeight="false" outlineLevel="0" collapsed="false">
      <c r="A171" s="57"/>
      <c r="B171" s="52"/>
      <c r="C171" s="52"/>
      <c r="D171" s="52"/>
      <c r="E171" s="52"/>
      <c r="F171" s="52"/>
      <c r="G171" s="53"/>
      <c r="I171" s="57"/>
      <c r="J171" s="54"/>
      <c r="K171" s="54"/>
      <c r="L171" s="54"/>
      <c r="M171" s="54"/>
      <c r="N171" s="52"/>
      <c r="O171" s="53"/>
      <c r="Q171" s="52" t="s">
        <v>1017</v>
      </c>
      <c r="R171" s="52" t="n">
        <v>29.62</v>
      </c>
      <c r="S171" s="52" t="n">
        <v>29.5</v>
      </c>
      <c r="T171" s="52" t="n">
        <v>30.43</v>
      </c>
      <c r="U171" s="52" t="n">
        <v>29</v>
      </c>
      <c r="V171" s="52" t="s">
        <v>1018</v>
      </c>
      <c r="W171" s="53" t="n">
        <v>-0.015</v>
      </c>
      <c r="Y171" s="52" t="s">
        <v>1019</v>
      </c>
      <c r="Z171" s="54" t="n">
        <v>49586.21</v>
      </c>
      <c r="AA171" s="54" t="n">
        <v>51626.66</v>
      </c>
      <c r="AB171" s="54" t="n">
        <v>51639.95</v>
      </c>
      <c r="AC171" s="54" t="n">
        <v>49174.44</v>
      </c>
      <c r="AD171" s="52" t="s">
        <v>1020</v>
      </c>
      <c r="AE171" s="53" t="n">
        <v>-0.0394</v>
      </c>
      <c r="AU171" s="58"/>
      <c r="AV171" s="52"/>
      <c r="AW171" s="52"/>
      <c r="AX171" s="52"/>
      <c r="AY171" s="52"/>
      <c r="AZ171" s="52"/>
      <c r="BA171" s="53"/>
      <c r="BC171" s="57"/>
      <c r="BD171" s="54"/>
      <c r="BE171" s="54"/>
      <c r="BF171" s="54"/>
      <c r="BG171" s="54"/>
      <c r="BH171" s="52"/>
      <c r="BI171" s="53"/>
    </row>
    <row r="172" customFormat="false" ht="13.5" hidden="false" customHeight="false" outlineLevel="0" collapsed="false">
      <c r="A172" s="57"/>
      <c r="B172" s="52"/>
      <c r="C172" s="52"/>
      <c r="D172" s="52"/>
      <c r="E172" s="52"/>
      <c r="F172" s="52"/>
      <c r="G172" s="53"/>
      <c r="I172" s="57"/>
      <c r="J172" s="54"/>
      <c r="K172" s="54"/>
      <c r="L172" s="54"/>
      <c r="M172" s="54"/>
      <c r="N172" s="52"/>
      <c r="O172" s="53"/>
      <c r="Q172" s="52" t="s">
        <v>1021</v>
      </c>
      <c r="R172" s="52" t="n">
        <v>29.69</v>
      </c>
      <c r="S172" s="52" t="n">
        <v>29.62</v>
      </c>
      <c r="T172" s="52" t="n">
        <v>29.7</v>
      </c>
      <c r="U172" s="52" t="n">
        <v>28.49</v>
      </c>
      <c r="V172" s="52" t="s">
        <v>1022</v>
      </c>
      <c r="W172" s="53" t="n">
        <v>0.0024</v>
      </c>
      <c r="Y172" s="52" t="s">
        <v>1023</v>
      </c>
      <c r="Z172" s="54" t="n">
        <v>49290.58</v>
      </c>
      <c r="AA172" s="54" t="n">
        <v>49530.78</v>
      </c>
      <c r="AB172" s="54" t="n">
        <v>50209.7</v>
      </c>
      <c r="AC172" s="54" t="n">
        <v>49031.88</v>
      </c>
      <c r="AD172" s="52" t="s">
        <v>1024</v>
      </c>
      <c r="AE172" s="53" t="n">
        <v>-0.006</v>
      </c>
      <c r="AU172" s="57"/>
      <c r="AV172" s="52"/>
      <c r="AW172" s="52"/>
      <c r="AX172" s="52"/>
      <c r="AY172" s="52"/>
      <c r="AZ172" s="52"/>
      <c r="BA172" s="53"/>
      <c r="BC172" s="57"/>
      <c r="BD172" s="54"/>
      <c r="BE172" s="54"/>
      <c r="BF172" s="54"/>
      <c r="BG172" s="54"/>
      <c r="BH172" s="52"/>
      <c r="BI172" s="53"/>
    </row>
    <row r="173" customFormat="false" ht="13.5" hidden="false" customHeight="false" outlineLevel="0" collapsed="false">
      <c r="A173" s="57"/>
      <c r="B173" s="52"/>
      <c r="C173" s="52"/>
      <c r="D173" s="52"/>
      <c r="E173" s="52"/>
      <c r="F173" s="52"/>
      <c r="G173" s="53"/>
      <c r="I173" s="57"/>
      <c r="J173" s="54"/>
      <c r="K173" s="54"/>
      <c r="L173" s="54"/>
      <c r="M173" s="54"/>
      <c r="N173" s="52"/>
      <c r="O173" s="53"/>
      <c r="Q173" s="52" t="s">
        <v>1025</v>
      </c>
      <c r="R173" s="52" t="n">
        <v>29.63</v>
      </c>
      <c r="S173" s="52" t="n">
        <v>28.61</v>
      </c>
      <c r="T173" s="52" t="n">
        <v>29.63</v>
      </c>
      <c r="U173" s="52" t="n">
        <v>28.61</v>
      </c>
      <c r="V173" s="52" t="s">
        <v>1026</v>
      </c>
      <c r="W173" s="53" t="n">
        <v>-0.002</v>
      </c>
      <c r="Y173" s="52" t="s">
        <v>1027</v>
      </c>
      <c r="Z173" s="54" t="n">
        <v>48957.24</v>
      </c>
      <c r="AA173" s="54" t="n">
        <v>49298.89</v>
      </c>
      <c r="AB173" s="54" t="n">
        <v>50023.97</v>
      </c>
      <c r="AC173" s="54" t="n">
        <v>48769.88</v>
      </c>
      <c r="AD173" s="52" t="s">
        <v>1028</v>
      </c>
      <c r="AE173" s="53" t="n">
        <v>-0.0068</v>
      </c>
      <c r="AU173" s="57"/>
      <c r="AV173" s="52"/>
      <c r="AW173" s="52"/>
      <c r="AX173" s="52"/>
      <c r="AY173" s="52"/>
      <c r="AZ173" s="52"/>
      <c r="BA173" s="53"/>
      <c r="BC173" s="57"/>
      <c r="BD173" s="54"/>
      <c r="BE173" s="54"/>
      <c r="BF173" s="54"/>
      <c r="BG173" s="54"/>
      <c r="BH173" s="52"/>
      <c r="BI173" s="53"/>
    </row>
    <row r="174" customFormat="false" ht="13.5" hidden="false" customHeight="false" outlineLevel="0" collapsed="false">
      <c r="A174" s="58"/>
      <c r="B174" s="52"/>
      <c r="C174" s="52"/>
      <c r="D174" s="52"/>
      <c r="E174" s="52"/>
      <c r="F174" s="52"/>
      <c r="G174" s="53"/>
      <c r="I174" s="57"/>
      <c r="J174" s="54"/>
      <c r="K174" s="54"/>
      <c r="L174" s="54"/>
      <c r="M174" s="54"/>
      <c r="N174" s="52"/>
      <c r="O174" s="53"/>
      <c r="Q174" s="51" t="n">
        <v>45778</v>
      </c>
      <c r="R174" s="52" t="n">
        <v>29.9</v>
      </c>
      <c r="S174" s="52" t="n">
        <v>29.95</v>
      </c>
      <c r="T174" s="52" t="n">
        <v>30.75</v>
      </c>
      <c r="U174" s="52" t="n">
        <v>29.08</v>
      </c>
      <c r="V174" s="52" t="s">
        <v>1029</v>
      </c>
      <c r="W174" s="53" t="n">
        <v>0.0091</v>
      </c>
      <c r="Y174" s="52" t="s">
        <v>1030</v>
      </c>
      <c r="Z174" s="54" t="n">
        <v>49596.7</v>
      </c>
      <c r="AA174" s="54" t="n">
        <v>49187.91</v>
      </c>
      <c r="AB174" s="54" t="n">
        <v>50609.89</v>
      </c>
      <c r="AC174" s="54" t="n">
        <v>49093.64</v>
      </c>
      <c r="AD174" s="52" t="s">
        <v>1031</v>
      </c>
      <c r="AE174" s="53" t="n">
        <v>0.0131</v>
      </c>
      <c r="AU174" s="57"/>
      <c r="AV174" s="52"/>
      <c r="AW174" s="52"/>
      <c r="AX174" s="52"/>
      <c r="AY174" s="52"/>
      <c r="AZ174" s="52"/>
      <c r="BA174" s="53"/>
      <c r="BC174" s="57"/>
      <c r="BD174" s="54"/>
      <c r="BE174" s="54"/>
      <c r="BF174" s="54"/>
      <c r="BG174" s="54"/>
      <c r="BH174" s="52"/>
      <c r="BI174" s="53"/>
    </row>
    <row r="175" customFormat="false" ht="13.5" hidden="false" customHeight="false" outlineLevel="0" collapsed="false">
      <c r="A175" s="58"/>
      <c r="B175" s="52"/>
      <c r="C175" s="52"/>
      <c r="D175" s="52"/>
      <c r="E175" s="52"/>
      <c r="F175" s="52"/>
      <c r="G175" s="53"/>
      <c r="I175" s="57"/>
      <c r="J175" s="54"/>
      <c r="K175" s="54"/>
      <c r="L175" s="54"/>
      <c r="M175" s="54"/>
      <c r="N175" s="52"/>
      <c r="O175" s="53"/>
      <c r="Q175" s="51" t="n">
        <v>45992</v>
      </c>
      <c r="R175" s="52" t="n">
        <v>30.8</v>
      </c>
      <c r="S175" s="52" t="n">
        <v>30.68</v>
      </c>
      <c r="T175" s="52" t="n">
        <v>30.8</v>
      </c>
      <c r="U175" s="52" t="n">
        <v>30.22</v>
      </c>
      <c r="V175" s="52" t="s">
        <v>1032</v>
      </c>
      <c r="W175" s="53" t="n">
        <v>0.0301</v>
      </c>
      <c r="Y175" s="52" t="s">
        <v>1033</v>
      </c>
      <c r="Z175" s="54" t="n">
        <v>49940.89</v>
      </c>
      <c r="AA175" s="54" t="n">
        <v>49609.82</v>
      </c>
      <c r="AB175" s="54" t="n">
        <v>50434.73</v>
      </c>
      <c r="AC175" s="54" t="n">
        <v>49320.01</v>
      </c>
      <c r="AD175" s="52" t="s">
        <v>1034</v>
      </c>
      <c r="AE175" s="53" t="n">
        <v>0.0069</v>
      </c>
      <c r="AU175" s="58"/>
      <c r="AV175" s="52"/>
      <c r="AW175" s="52"/>
      <c r="AX175" s="52"/>
      <c r="AY175" s="52"/>
      <c r="AZ175" s="52"/>
      <c r="BA175" s="53"/>
      <c r="BC175" s="57"/>
      <c r="BD175" s="54"/>
      <c r="BE175" s="54"/>
      <c r="BF175" s="54"/>
      <c r="BG175" s="54"/>
      <c r="BH175" s="52"/>
      <c r="BI175" s="53"/>
    </row>
    <row r="176" customFormat="false" ht="13.5" hidden="false" customHeight="false" outlineLevel="0" collapsed="false">
      <c r="A176" s="57"/>
      <c r="B176" s="52"/>
      <c r="C176" s="52"/>
      <c r="D176" s="52"/>
      <c r="E176" s="52"/>
      <c r="F176" s="52"/>
      <c r="G176" s="53"/>
      <c r="I176" s="57"/>
      <c r="J176" s="54"/>
      <c r="K176" s="54"/>
      <c r="L176" s="54"/>
      <c r="M176" s="54"/>
      <c r="N176" s="52"/>
      <c r="O176" s="53"/>
      <c r="Q176" s="52" t="s">
        <v>1035</v>
      </c>
      <c r="R176" s="52" t="n">
        <v>29.2</v>
      </c>
      <c r="S176" s="52" t="n">
        <v>30.45</v>
      </c>
      <c r="T176" s="52" t="n">
        <v>30.8</v>
      </c>
      <c r="U176" s="52" t="n">
        <v>29.2</v>
      </c>
      <c r="V176" s="52" t="s">
        <v>1036</v>
      </c>
      <c r="W176" s="53" t="n">
        <v>-0.0519</v>
      </c>
      <c r="Y176" s="52" t="s">
        <v>1037</v>
      </c>
      <c r="Z176" s="54" t="n">
        <v>51357.31</v>
      </c>
      <c r="AA176" s="54" t="n">
        <v>49923.78</v>
      </c>
      <c r="AB176" s="54" t="n">
        <v>51455.54</v>
      </c>
      <c r="AC176" s="54" t="n">
        <v>49895.97</v>
      </c>
      <c r="AD176" s="52" t="s">
        <v>1038</v>
      </c>
      <c r="AE176" s="53" t="n">
        <v>0.0284</v>
      </c>
      <c r="AU176" s="58"/>
      <c r="AV176" s="52"/>
      <c r="AW176" s="52"/>
      <c r="AX176" s="52"/>
      <c r="AY176" s="52"/>
      <c r="AZ176" s="52"/>
      <c r="BA176" s="53"/>
      <c r="BC176" s="57"/>
      <c r="BD176" s="54"/>
      <c r="BE176" s="54"/>
      <c r="BF176" s="54"/>
      <c r="BG176" s="54"/>
      <c r="BH176" s="52"/>
      <c r="BI176" s="53"/>
    </row>
    <row r="177" customFormat="false" ht="13.5" hidden="false" customHeight="false" outlineLevel="0" collapsed="false">
      <c r="A177" s="57"/>
      <c r="B177" s="52"/>
      <c r="C177" s="52"/>
      <c r="D177" s="52"/>
      <c r="E177" s="52"/>
      <c r="F177" s="52"/>
      <c r="G177" s="53"/>
      <c r="I177" s="57"/>
      <c r="J177" s="54"/>
      <c r="K177" s="54"/>
      <c r="L177" s="54"/>
      <c r="M177" s="54"/>
      <c r="N177" s="52"/>
      <c r="O177" s="53"/>
      <c r="Q177" s="52" t="s">
        <v>1039</v>
      </c>
      <c r="R177" s="52" t="n">
        <v>29.18</v>
      </c>
      <c r="S177" s="52" t="n">
        <v>28.32</v>
      </c>
      <c r="T177" s="52" t="n">
        <v>29.59</v>
      </c>
      <c r="U177" s="52" t="n">
        <v>28.32</v>
      </c>
      <c r="V177" s="52" t="s">
        <v>1040</v>
      </c>
      <c r="W177" s="53" t="n">
        <v>-0.0007</v>
      </c>
      <c r="Y177" s="52" t="s">
        <v>1041</v>
      </c>
      <c r="Z177" s="54" t="n">
        <v>51209.53</v>
      </c>
      <c r="AA177" s="54" t="n">
        <v>51173.41</v>
      </c>
      <c r="AB177" s="54" t="n">
        <v>52375.65</v>
      </c>
      <c r="AC177" s="54" t="n">
        <v>51022.67</v>
      </c>
      <c r="AD177" s="52" t="s">
        <v>1042</v>
      </c>
      <c r="AE177" s="53" t="n">
        <v>-0.0029</v>
      </c>
      <c r="AU177" s="57"/>
      <c r="AV177" s="52"/>
      <c r="AW177" s="52"/>
      <c r="AX177" s="52"/>
      <c r="AY177" s="52"/>
      <c r="AZ177" s="52"/>
      <c r="BA177" s="53"/>
      <c r="BC177" s="57"/>
      <c r="BD177" s="54"/>
      <c r="BE177" s="54"/>
      <c r="BF177" s="54"/>
      <c r="BG177" s="54"/>
      <c r="BH177" s="52"/>
      <c r="BI177" s="53"/>
    </row>
    <row r="178" customFormat="false" ht="13.5" hidden="false" customHeight="false" outlineLevel="0" collapsed="false">
      <c r="A178" s="58"/>
      <c r="B178" s="52"/>
      <c r="C178" s="52"/>
      <c r="D178" s="52"/>
      <c r="E178" s="52"/>
      <c r="F178" s="52"/>
      <c r="G178" s="53"/>
      <c r="I178" s="57"/>
      <c r="J178" s="54"/>
      <c r="K178" s="54"/>
      <c r="L178" s="54"/>
      <c r="M178" s="54"/>
      <c r="N178" s="52"/>
      <c r="O178" s="53"/>
      <c r="Q178" s="51" t="n">
        <v>45690</v>
      </c>
      <c r="R178" s="52" t="n">
        <v>29.9</v>
      </c>
      <c r="S178" s="52" t="n">
        <v>29.9</v>
      </c>
      <c r="T178" s="52" t="n">
        <v>29.91</v>
      </c>
      <c r="U178" s="52" t="n">
        <v>29.81</v>
      </c>
      <c r="V178" s="52" t="s">
        <v>1043</v>
      </c>
      <c r="W178" s="53" t="n">
        <v>0.0247</v>
      </c>
      <c r="Y178" s="52" t="s">
        <v>1044</v>
      </c>
      <c r="Z178" s="54" t="n">
        <v>52817.75</v>
      </c>
      <c r="AA178" s="54" t="n">
        <v>51407.23</v>
      </c>
      <c r="AB178" s="54" t="n">
        <v>52955.76</v>
      </c>
      <c r="AC178" s="54" t="n">
        <v>51200.4</v>
      </c>
      <c r="AD178" s="52" t="s">
        <v>1045</v>
      </c>
      <c r="AE178" s="53" t="n">
        <v>0.0314</v>
      </c>
      <c r="AU178" s="57"/>
      <c r="AV178" s="52"/>
      <c r="AW178" s="52"/>
      <c r="AX178" s="52"/>
      <c r="AY178" s="52"/>
      <c r="AZ178" s="52"/>
      <c r="BA178" s="53"/>
      <c r="BC178" s="57"/>
      <c r="BD178" s="54"/>
      <c r="BE178" s="54"/>
      <c r="BF178" s="54"/>
      <c r="BG178" s="54"/>
      <c r="BH178" s="52"/>
      <c r="BI178" s="53"/>
    </row>
    <row r="179" customFormat="false" ht="13.5" hidden="false" customHeight="false" outlineLevel="0" collapsed="false">
      <c r="A179" s="58"/>
      <c r="B179" s="52"/>
      <c r="C179" s="52"/>
      <c r="D179" s="52"/>
      <c r="E179" s="52"/>
      <c r="F179" s="52"/>
      <c r="G179" s="53"/>
      <c r="I179" s="57"/>
      <c r="J179" s="54"/>
      <c r="K179" s="54"/>
      <c r="L179" s="54"/>
      <c r="M179" s="54"/>
      <c r="N179" s="52"/>
      <c r="O179" s="53"/>
      <c r="Q179" s="51" t="n">
        <v>45902</v>
      </c>
      <c r="R179" s="52" t="n">
        <v>29.17</v>
      </c>
      <c r="S179" s="52" t="n">
        <v>29.9</v>
      </c>
      <c r="T179" s="52" t="n">
        <v>30</v>
      </c>
      <c r="U179" s="52" t="n">
        <v>29.1</v>
      </c>
      <c r="V179" s="52" t="s">
        <v>1046</v>
      </c>
      <c r="W179" s="53" t="n">
        <v>-0.0244</v>
      </c>
      <c r="Y179" s="52" t="s">
        <v>1047</v>
      </c>
      <c r="Z179" s="54" t="n">
        <v>54077.94</v>
      </c>
      <c r="AA179" s="54" t="n">
        <v>52883.23</v>
      </c>
      <c r="AB179" s="54" t="n">
        <v>54440.37</v>
      </c>
      <c r="AC179" s="54" t="n">
        <v>52572.94</v>
      </c>
      <c r="AD179" s="52" t="s">
        <v>914</v>
      </c>
      <c r="AE179" s="53" t="n">
        <v>0.0239</v>
      </c>
      <c r="AU179" s="58"/>
      <c r="AV179" s="52"/>
      <c r="AW179" s="52"/>
      <c r="AX179" s="52"/>
      <c r="AY179" s="52"/>
      <c r="AZ179" s="52"/>
      <c r="BA179" s="53"/>
      <c r="BC179" s="57"/>
      <c r="BD179" s="54"/>
      <c r="BE179" s="54"/>
      <c r="BF179" s="54"/>
      <c r="BG179" s="54"/>
      <c r="BH179" s="52"/>
      <c r="BI179" s="53"/>
    </row>
    <row r="180" customFormat="false" ht="13.5" hidden="false" customHeight="false" outlineLevel="0" collapsed="false">
      <c r="A180" s="57"/>
      <c r="B180" s="52"/>
      <c r="C180" s="52"/>
      <c r="D180" s="52"/>
      <c r="E180" s="52"/>
      <c r="F180" s="52"/>
      <c r="G180" s="53"/>
      <c r="I180" s="57"/>
      <c r="J180" s="54"/>
      <c r="K180" s="54"/>
      <c r="L180" s="54"/>
      <c r="M180" s="54"/>
      <c r="N180" s="52"/>
      <c r="O180" s="53"/>
      <c r="Q180" s="52" t="s">
        <v>1048</v>
      </c>
      <c r="R180" s="52" t="n">
        <v>28.49</v>
      </c>
      <c r="S180" s="52" t="n">
        <v>29.17</v>
      </c>
      <c r="T180" s="52" t="n">
        <v>29.17</v>
      </c>
      <c r="U180" s="52" t="n">
        <v>28</v>
      </c>
      <c r="V180" s="52" t="s">
        <v>1049</v>
      </c>
      <c r="W180" s="53" t="n">
        <v>-0.0233</v>
      </c>
      <c r="Y180" s="52" t="s">
        <v>1050</v>
      </c>
      <c r="Z180" s="54" t="n">
        <v>53738.75</v>
      </c>
      <c r="AA180" s="54" t="n">
        <v>54068.05</v>
      </c>
      <c r="AB180" s="54" t="n">
        <v>54670.85</v>
      </c>
      <c r="AC180" s="54" t="n">
        <v>53462.9</v>
      </c>
      <c r="AD180" s="52" t="s">
        <v>1051</v>
      </c>
      <c r="AE180" s="53" t="n">
        <v>-0.0063</v>
      </c>
      <c r="AU180" s="58"/>
      <c r="AV180" s="52"/>
      <c r="AW180" s="52"/>
      <c r="AX180" s="52"/>
      <c r="AY180" s="52"/>
      <c r="AZ180" s="52"/>
      <c r="BA180" s="53"/>
      <c r="BC180" s="57"/>
      <c r="BD180" s="54"/>
      <c r="BE180" s="54"/>
      <c r="BF180" s="54"/>
      <c r="BG180" s="54"/>
      <c r="BH180" s="52"/>
      <c r="BI180" s="53"/>
    </row>
    <row r="181" customFormat="false" ht="13.5" hidden="false" customHeight="false" outlineLevel="0" collapsed="false">
      <c r="A181" s="57"/>
      <c r="B181" s="52"/>
      <c r="C181" s="52"/>
      <c r="D181" s="52"/>
      <c r="E181" s="52"/>
      <c r="F181" s="52"/>
      <c r="G181" s="53"/>
      <c r="I181" s="57"/>
      <c r="J181" s="54"/>
      <c r="K181" s="54"/>
      <c r="L181" s="54"/>
      <c r="M181" s="54"/>
      <c r="N181" s="52"/>
      <c r="O181" s="53"/>
      <c r="Q181" s="52" t="s">
        <v>1052</v>
      </c>
      <c r="R181" s="52" t="n">
        <v>27.65</v>
      </c>
      <c r="S181" s="52" t="n">
        <v>27.92</v>
      </c>
      <c r="T181" s="52" t="n">
        <v>27.92</v>
      </c>
      <c r="U181" s="52" t="n">
        <v>27.08</v>
      </c>
      <c r="V181" s="52" t="s">
        <v>1053</v>
      </c>
      <c r="W181" s="53" t="n">
        <v>-0.0295</v>
      </c>
      <c r="Y181" s="52" t="s">
        <v>1054</v>
      </c>
      <c r="Z181" s="54" t="n">
        <v>52325.73</v>
      </c>
      <c r="AA181" s="54" t="n">
        <v>53784.45</v>
      </c>
      <c r="AB181" s="54" t="n">
        <v>53980.45</v>
      </c>
      <c r="AC181" s="54" t="n">
        <v>52235.22</v>
      </c>
      <c r="AD181" s="52" t="s">
        <v>1055</v>
      </c>
      <c r="AE181" s="53" t="n">
        <v>-0.0263</v>
      </c>
      <c r="AU181" s="57"/>
      <c r="AV181" s="52"/>
      <c r="AW181" s="52"/>
      <c r="AX181" s="52"/>
      <c r="AY181" s="52"/>
      <c r="AZ181" s="52"/>
      <c r="BA181" s="53"/>
      <c r="BC181" s="57"/>
      <c r="BD181" s="54"/>
      <c r="BE181" s="54"/>
      <c r="BF181" s="54"/>
      <c r="BG181" s="54"/>
      <c r="BH181" s="52"/>
      <c r="BI181" s="53"/>
    </row>
    <row r="182" customFormat="false" ht="13.5" hidden="false" customHeight="false" outlineLevel="0" collapsed="false">
      <c r="A182" s="58"/>
      <c r="B182" s="52"/>
      <c r="C182" s="52"/>
      <c r="D182" s="52"/>
      <c r="E182" s="52"/>
      <c r="F182" s="52"/>
      <c r="G182" s="53"/>
      <c r="I182" s="57"/>
      <c r="J182" s="54"/>
      <c r="K182" s="54"/>
      <c r="L182" s="54"/>
      <c r="M182" s="54"/>
      <c r="N182" s="52"/>
      <c r="O182" s="53"/>
      <c r="Q182" s="51" t="n">
        <v>45691</v>
      </c>
      <c r="R182" s="52" t="n">
        <v>27</v>
      </c>
      <c r="S182" s="52" t="n">
        <v>28.2</v>
      </c>
      <c r="T182" s="52" t="n">
        <v>28.2</v>
      </c>
      <c r="U182" s="52" t="n">
        <v>27</v>
      </c>
      <c r="V182" s="52" t="s">
        <v>1056</v>
      </c>
      <c r="W182" s="53" t="n">
        <v>-0.0235</v>
      </c>
      <c r="Y182" s="52" t="s">
        <v>1057</v>
      </c>
      <c r="Z182" s="54" t="n">
        <v>52839.63</v>
      </c>
      <c r="AA182" s="54" t="n">
        <v>52259.49</v>
      </c>
      <c r="AB182" s="54" t="n">
        <v>53372.92</v>
      </c>
      <c r="AC182" s="54" t="n">
        <v>50964.73</v>
      </c>
      <c r="AD182" s="52" t="s">
        <v>527</v>
      </c>
      <c r="AE182" s="53" t="n">
        <v>0.0098</v>
      </c>
      <c r="AU182" s="57"/>
      <c r="AV182" s="52"/>
      <c r="AW182" s="52"/>
      <c r="AX182" s="52"/>
      <c r="AY182" s="52"/>
      <c r="AZ182" s="52"/>
      <c r="BA182" s="53"/>
      <c r="BC182" s="57"/>
      <c r="BD182" s="54"/>
      <c r="BE182" s="54"/>
      <c r="BF182" s="54"/>
      <c r="BG182" s="54"/>
      <c r="BH182" s="52"/>
      <c r="BI182" s="53"/>
    </row>
    <row r="183" customFormat="false" ht="13.5" hidden="false" customHeight="false" outlineLevel="0" collapsed="false">
      <c r="A183" s="58"/>
      <c r="B183" s="52"/>
      <c r="C183" s="52"/>
      <c r="D183" s="52"/>
      <c r="E183" s="52"/>
      <c r="F183" s="52"/>
      <c r="G183" s="53"/>
      <c r="I183" s="57"/>
      <c r="J183" s="54"/>
      <c r="K183" s="54"/>
      <c r="L183" s="54"/>
      <c r="M183" s="54"/>
      <c r="N183" s="52"/>
      <c r="O183" s="53"/>
      <c r="Q183" s="51" t="n">
        <v>45903</v>
      </c>
      <c r="R183" s="52" t="n">
        <v>28.24</v>
      </c>
      <c r="S183" s="52" t="n">
        <v>26.78</v>
      </c>
      <c r="T183" s="52" t="n">
        <v>28.3</v>
      </c>
      <c r="U183" s="52" t="n">
        <v>26.5</v>
      </c>
      <c r="V183" s="52" t="s">
        <v>1058</v>
      </c>
      <c r="W183" s="53" t="n">
        <v>0.0459</v>
      </c>
      <c r="Y183" s="52" t="s">
        <v>1059</v>
      </c>
      <c r="Z183" s="54" t="n">
        <v>52484.28</v>
      </c>
      <c r="AA183" s="54" t="n">
        <v>52858.46</v>
      </c>
      <c r="AB183" s="54" t="n">
        <v>52858.46</v>
      </c>
      <c r="AC183" s="54" t="n">
        <v>51159.4</v>
      </c>
      <c r="AD183" s="52" t="s">
        <v>307</v>
      </c>
      <c r="AE183" s="53" t="n">
        <v>-0.0067</v>
      </c>
      <c r="AU183" s="58"/>
      <c r="AV183" s="52"/>
      <c r="AW183" s="52"/>
      <c r="AX183" s="52"/>
      <c r="AY183" s="52"/>
      <c r="AZ183" s="52"/>
      <c r="BA183" s="53"/>
      <c r="BC183" s="57"/>
      <c r="BD183" s="54"/>
      <c r="BE183" s="54"/>
      <c r="BF183" s="54"/>
      <c r="BG183" s="54"/>
      <c r="BH183" s="52"/>
      <c r="BI183" s="53"/>
    </row>
    <row r="184" customFormat="false" ht="13.5" hidden="false" customHeight="false" outlineLevel="0" collapsed="false">
      <c r="A184" s="57"/>
      <c r="B184" s="52"/>
      <c r="C184" s="52"/>
      <c r="D184" s="52"/>
      <c r="E184" s="52"/>
      <c r="F184" s="52"/>
      <c r="G184" s="53"/>
      <c r="I184" s="57"/>
      <c r="J184" s="54"/>
      <c r="K184" s="54"/>
      <c r="L184" s="54"/>
      <c r="M184" s="54"/>
      <c r="N184" s="52"/>
      <c r="O184" s="53"/>
      <c r="Q184" s="52" t="s">
        <v>1060</v>
      </c>
      <c r="R184" s="52" t="n">
        <v>27.94</v>
      </c>
      <c r="S184" s="52" t="n">
        <v>27.5</v>
      </c>
      <c r="T184" s="52" t="n">
        <v>27.96</v>
      </c>
      <c r="U184" s="52" t="n">
        <v>27.5</v>
      </c>
      <c r="V184" s="52" t="s">
        <v>452</v>
      </c>
      <c r="W184" s="53" t="n">
        <v>-0.0106</v>
      </c>
      <c r="Y184" s="52" t="s">
        <v>1061</v>
      </c>
      <c r="Z184" s="54" t="n">
        <v>52672.42</v>
      </c>
      <c r="AA184" s="54" t="n">
        <v>52665.89</v>
      </c>
      <c r="AB184" s="54" t="n">
        <v>53339.99</v>
      </c>
      <c r="AC184" s="54" t="n">
        <v>52525.64</v>
      </c>
      <c r="AD184" s="52" t="s">
        <v>938</v>
      </c>
      <c r="AE184" s="53" t="n">
        <v>0.0036</v>
      </c>
      <c r="AU184" s="58"/>
      <c r="AV184" s="52"/>
      <c r="AW184" s="52"/>
      <c r="AX184" s="52"/>
      <c r="AY184" s="52"/>
      <c r="AZ184" s="52"/>
      <c r="BA184" s="53"/>
      <c r="BC184" s="57"/>
      <c r="BD184" s="54"/>
      <c r="BE184" s="54"/>
      <c r="BF184" s="54"/>
      <c r="BG184" s="54"/>
      <c r="BH184" s="52"/>
      <c r="BI184" s="53"/>
    </row>
    <row r="185" customFormat="false" ht="13.5" hidden="false" customHeight="false" outlineLevel="0" collapsed="false">
      <c r="A185" s="57"/>
      <c r="B185" s="52"/>
      <c r="C185" s="52"/>
      <c r="D185" s="52"/>
      <c r="E185" s="52"/>
      <c r="F185" s="52"/>
      <c r="G185" s="53"/>
      <c r="I185" s="57"/>
      <c r="J185" s="54"/>
      <c r="K185" s="54"/>
      <c r="L185" s="54"/>
      <c r="M185" s="54"/>
      <c r="N185" s="52"/>
      <c r="O185" s="53"/>
      <c r="Q185" s="52" t="s">
        <v>1062</v>
      </c>
      <c r="R185" s="52" t="n">
        <v>27.7</v>
      </c>
      <c r="S185" s="52" t="n">
        <v>27.87</v>
      </c>
      <c r="T185" s="52" t="n">
        <v>27.87</v>
      </c>
      <c r="U185" s="52" t="n">
        <v>27.17</v>
      </c>
      <c r="V185" s="52" t="s">
        <v>1063</v>
      </c>
      <c r="W185" s="53" t="n">
        <v>-0.0086</v>
      </c>
      <c r="Y185" s="52" t="s">
        <v>1064</v>
      </c>
      <c r="Z185" s="54" t="n">
        <v>53172.97</v>
      </c>
      <c r="AA185" s="54" t="n">
        <v>52780.79</v>
      </c>
      <c r="AB185" s="54" t="n">
        <v>53573.31</v>
      </c>
      <c r="AC185" s="54" t="n">
        <v>52599.94</v>
      </c>
      <c r="AD185" s="52" t="s">
        <v>1065</v>
      </c>
      <c r="AE185" s="53" t="n">
        <v>0.0095</v>
      </c>
      <c r="AU185" s="57"/>
      <c r="AV185" s="52"/>
      <c r="AW185" s="52"/>
      <c r="AX185" s="52"/>
      <c r="AY185" s="52"/>
      <c r="AZ185" s="52"/>
      <c r="BA185" s="53"/>
      <c r="BC185" s="57"/>
      <c r="BD185" s="54"/>
      <c r="BE185" s="54"/>
      <c r="BF185" s="54"/>
      <c r="BG185" s="54"/>
      <c r="BH185" s="52"/>
      <c r="BI185" s="53"/>
    </row>
    <row r="186" customFormat="false" ht="13.5" hidden="false" customHeight="false" outlineLevel="0" collapsed="false">
      <c r="A186" s="57"/>
      <c r="B186" s="52"/>
      <c r="C186" s="52"/>
      <c r="D186" s="52"/>
      <c r="E186" s="52"/>
      <c r="F186" s="52"/>
      <c r="G186" s="53"/>
      <c r="I186" s="57"/>
      <c r="J186" s="54"/>
      <c r="K186" s="54"/>
      <c r="L186" s="54"/>
      <c r="M186" s="54"/>
      <c r="N186" s="52"/>
      <c r="O186" s="53"/>
      <c r="Q186" s="52" t="s">
        <v>1066</v>
      </c>
      <c r="R186" s="52" t="n">
        <v>26.49</v>
      </c>
      <c r="S186" s="52" t="n">
        <v>27.56</v>
      </c>
      <c r="T186" s="52" t="n">
        <v>27.8</v>
      </c>
      <c r="U186" s="52" t="n">
        <v>26.49</v>
      </c>
      <c r="V186" s="52" t="s">
        <v>1067</v>
      </c>
      <c r="W186" s="53" t="n">
        <v>-0.0437</v>
      </c>
      <c r="Y186" s="52" t="s">
        <v>1068</v>
      </c>
      <c r="Z186" s="54" t="n">
        <v>51452.73</v>
      </c>
      <c r="AA186" s="54" t="n">
        <v>53068.68</v>
      </c>
      <c r="AB186" s="54" t="n">
        <v>54874.93</v>
      </c>
      <c r="AC186" s="54" t="n">
        <v>51175.01</v>
      </c>
      <c r="AD186" s="52" t="s">
        <v>974</v>
      </c>
      <c r="AE186" s="53" t="n">
        <v>-0.0324</v>
      </c>
      <c r="AU186" s="57"/>
      <c r="AV186" s="52"/>
      <c r="AW186" s="52"/>
      <c r="AX186" s="52"/>
      <c r="AY186" s="52"/>
      <c r="AZ186" s="52"/>
      <c r="BA186" s="53"/>
      <c r="BC186" s="57"/>
      <c r="BD186" s="54"/>
      <c r="BE186" s="54"/>
      <c r="BF186" s="54"/>
      <c r="BG186" s="54"/>
      <c r="BH186" s="52"/>
      <c r="BI186" s="53"/>
    </row>
    <row r="187" customFormat="false" ht="13.5" hidden="false" customHeight="false" outlineLevel="0" collapsed="false">
      <c r="A187" s="58"/>
      <c r="B187" s="52"/>
      <c r="C187" s="52"/>
      <c r="D187" s="52"/>
      <c r="E187" s="52"/>
      <c r="F187" s="52"/>
      <c r="G187" s="53"/>
      <c r="I187" s="57"/>
      <c r="J187" s="54"/>
      <c r="K187" s="54"/>
      <c r="L187" s="54"/>
      <c r="M187" s="54"/>
      <c r="N187" s="52"/>
      <c r="O187" s="53"/>
      <c r="Q187" s="51" t="n">
        <v>45812</v>
      </c>
      <c r="R187" s="52" t="n">
        <v>26.89</v>
      </c>
      <c r="S187" s="52" t="n">
        <v>26.39</v>
      </c>
      <c r="T187" s="52" t="n">
        <v>27.6</v>
      </c>
      <c r="U187" s="52" t="n">
        <v>26.3</v>
      </c>
      <c r="V187" s="52" t="s">
        <v>1069</v>
      </c>
      <c r="W187" s="53" t="n">
        <v>0.0151</v>
      </c>
      <c r="Y187" s="52" t="s">
        <v>1070</v>
      </c>
      <c r="Z187" s="54" t="n">
        <v>51498.9</v>
      </c>
      <c r="AA187" s="54" t="n">
        <v>51313.7</v>
      </c>
      <c r="AB187" s="54" t="n">
        <v>52721.89</v>
      </c>
      <c r="AC187" s="54" t="n">
        <v>49799.28</v>
      </c>
      <c r="AD187" s="52" t="s">
        <v>1071</v>
      </c>
      <c r="AE187" s="53" t="n">
        <v>0.0009</v>
      </c>
      <c r="AU187" s="57"/>
      <c r="AV187" s="52"/>
      <c r="AW187" s="52"/>
      <c r="AX187" s="52"/>
      <c r="AY187" s="52"/>
      <c r="AZ187" s="52"/>
      <c r="BA187" s="53"/>
      <c r="BC187" s="57"/>
      <c r="BD187" s="54"/>
      <c r="BE187" s="54"/>
      <c r="BF187" s="54"/>
      <c r="BG187" s="54"/>
      <c r="BH187" s="52"/>
      <c r="BI187" s="53"/>
    </row>
    <row r="188" customFormat="false" ht="13.5" hidden="false" customHeight="false" outlineLevel="0" collapsed="false">
      <c r="A188" s="57"/>
      <c r="B188" s="52"/>
      <c r="C188" s="52"/>
      <c r="D188" s="52"/>
      <c r="E188" s="52"/>
      <c r="F188" s="52"/>
      <c r="G188" s="53"/>
      <c r="I188" s="57"/>
      <c r="J188" s="54"/>
      <c r="K188" s="54"/>
      <c r="L188" s="54"/>
      <c r="M188" s="54"/>
      <c r="N188" s="52"/>
      <c r="O188" s="53"/>
      <c r="Q188" s="52" t="s">
        <v>1072</v>
      </c>
      <c r="R188" s="52" t="n">
        <v>26.1</v>
      </c>
      <c r="S188" s="52" t="n">
        <v>26.3</v>
      </c>
      <c r="T188" s="52" t="n">
        <v>26.3</v>
      </c>
      <c r="U188" s="52" t="n">
        <v>26.1</v>
      </c>
      <c r="V188" s="52" t="s">
        <v>1073</v>
      </c>
      <c r="W188" s="53" t="n">
        <v>-0.0294</v>
      </c>
      <c r="Y188" s="52" t="s">
        <v>1074</v>
      </c>
      <c r="Z188" s="54" t="n">
        <v>53018.57</v>
      </c>
      <c r="AA188" s="54" t="n">
        <v>51553.56</v>
      </c>
      <c r="AB188" s="54" t="n">
        <v>53459.57</v>
      </c>
      <c r="AC188" s="54" t="n">
        <v>51553.56</v>
      </c>
      <c r="AD188" s="52" t="s">
        <v>1075</v>
      </c>
      <c r="AE188" s="53" t="n">
        <v>0.0295</v>
      </c>
      <c r="AU188" s="58"/>
      <c r="AV188" s="52"/>
      <c r="AW188" s="52"/>
      <c r="AX188" s="52"/>
      <c r="AY188" s="52"/>
      <c r="AZ188" s="52"/>
      <c r="BA188" s="53"/>
      <c r="BC188" s="57"/>
      <c r="BD188" s="54"/>
      <c r="BE188" s="54"/>
      <c r="BF188" s="54"/>
      <c r="BG188" s="54"/>
      <c r="BH188" s="52"/>
      <c r="BI188" s="53"/>
    </row>
    <row r="189" customFormat="false" ht="13.5" hidden="false" customHeight="false" outlineLevel="0" collapsed="false">
      <c r="A189" s="57"/>
      <c r="B189" s="52"/>
      <c r="C189" s="52"/>
      <c r="D189" s="52"/>
      <c r="E189" s="52"/>
      <c r="F189" s="52"/>
      <c r="G189" s="53"/>
      <c r="I189" s="57"/>
      <c r="J189" s="54"/>
      <c r="K189" s="54"/>
      <c r="L189" s="54"/>
      <c r="M189" s="54"/>
      <c r="N189" s="52"/>
      <c r="O189" s="53"/>
      <c r="Q189" s="52" t="s">
        <v>1076</v>
      </c>
      <c r="R189" s="52" t="n">
        <v>25.8</v>
      </c>
      <c r="S189" s="52" t="n">
        <v>26.1</v>
      </c>
      <c r="T189" s="52" t="n">
        <v>26.1</v>
      </c>
      <c r="U189" s="52" t="n">
        <v>25.5</v>
      </c>
      <c r="V189" s="52" t="s">
        <v>1077</v>
      </c>
      <c r="W189" s="53" t="n">
        <v>-0.0115</v>
      </c>
      <c r="Y189" s="52" t="s">
        <v>1078</v>
      </c>
      <c r="Z189" s="54" t="n">
        <v>56720.12</v>
      </c>
      <c r="AA189" s="54" t="n">
        <v>53117.82</v>
      </c>
      <c r="AB189" s="54" t="n">
        <v>56842.66</v>
      </c>
      <c r="AC189" s="54" t="n">
        <v>53117.44</v>
      </c>
      <c r="AD189" s="52" t="s">
        <v>412</v>
      </c>
      <c r="AE189" s="53" t="n">
        <v>0.0698</v>
      </c>
      <c r="AU189" s="57"/>
      <c r="AV189" s="52"/>
      <c r="AW189" s="52"/>
      <c r="AX189" s="52"/>
      <c r="AY189" s="52"/>
      <c r="AZ189" s="52"/>
      <c r="BA189" s="53"/>
      <c r="BC189" s="57"/>
      <c r="BD189" s="54"/>
      <c r="BE189" s="54"/>
      <c r="BF189" s="54"/>
      <c r="BG189" s="54"/>
      <c r="BH189" s="52"/>
      <c r="BI189" s="53"/>
    </row>
    <row r="190" customFormat="false" ht="13.5" hidden="false" customHeight="false" outlineLevel="0" collapsed="false">
      <c r="A190" s="57"/>
      <c r="B190" s="52"/>
      <c r="C190" s="52"/>
      <c r="D190" s="52"/>
      <c r="E190" s="52"/>
      <c r="F190" s="52"/>
      <c r="G190" s="53"/>
      <c r="I190" s="57"/>
      <c r="J190" s="54"/>
      <c r="K190" s="54"/>
      <c r="L190" s="54"/>
      <c r="M190" s="54"/>
      <c r="N190" s="52"/>
      <c r="O190" s="53"/>
      <c r="Q190" s="52" t="s">
        <v>1079</v>
      </c>
      <c r="R190" s="52" t="n">
        <v>26.93</v>
      </c>
      <c r="S190" s="52" t="n">
        <v>25.9</v>
      </c>
      <c r="T190" s="52" t="n">
        <v>26.99</v>
      </c>
      <c r="U190" s="52" t="n">
        <v>25</v>
      </c>
      <c r="V190" s="52" t="s">
        <v>1080</v>
      </c>
      <c r="W190" s="53" t="n">
        <v>0.0438</v>
      </c>
      <c r="Y190" s="52" t="s">
        <v>1081</v>
      </c>
      <c r="Z190" s="54" t="n">
        <v>55811.99</v>
      </c>
      <c r="AA190" s="54" t="n">
        <v>56804.88</v>
      </c>
      <c r="AB190" s="54" t="n">
        <v>57415.86</v>
      </c>
      <c r="AC190" s="54" t="n">
        <v>55241.51</v>
      </c>
      <c r="AD190" s="52" t="s">
        <v>527</v>
      </c>
      <c r="AE190" s="53" t="n">
        <v>-0.016</v>
      </c>
      <c r="AU190" s="57"/>
      <c r="AV190" s="52"/>
      <c r="AW190" s="52"/>
      <c r="AX190" s="52"/>
      <c r="AY190" s="52"/>
      <c r="AZ190" s="52"/>
      <c r="BA190" s="53"/>
      <c r="BC190" s="57"/>
      <c r="BD190" s="54"/>
      <c r="BE190" s="54"/>
      <c r="BF190" s="54"/>
      <c r="BG190" s="54"/>
      <c r="BH190" s="52"/>
      <c r="BI190" s="53"/>
    </row>
    <row r="191" customFormat="false" ht="13.5" hidden="false" customHeight="false" outlineLevel="0" collapsed="false">
      <c r="A191" s="58"/>
      <c r="B191" s="52"/>
      <c r="C191" s="52"/>
      <c r="D191" s="52"/>
      <c r="E191" s="52"/>
      <c r="F191" s="52"/>
      <c r="G191" s="53"/>
      <c r="I191" s="57"/>
      <c r="J191" s="54"/>
      <c r="K191" s="54"/>
      <c r="L191" s="54"/>
      <c r="M191" s="54"/>
      <c r="N191" s="52"/>
      <c r="O191" s="53"/>
      <c r="Q191" s="51" t="n">
        <v>45752</v>
      </c>
      <c r="R191" s="52" t="n">
        <v>27.84</v>
      </c>
      <c r="S191" s="52" t="n">
        <v>26.93</v>
      </c>
      <c r="T191" s="52" t="n">
        <v>28</v>
      </c>
      <c r="U191" s="52" t="n">
        <v>26.68</v>
      </c>
      <c r="V191" s="52" t="s">
        <v>1082</v>
      </c>
      <c r="W191" s="53" t="n">
        <v>0.0338</v>
      </c>
      <c r="Y191" s="52" t="s">
        <v>1083</v>
      </c>
      <c r="Z191" s="54" t="n">
        <v>56551.18</v>
      </c>
      <c r="AA191" s="54" t="n">
        <v>55754.22</v>
      </c>
      <c r="AB191" s="54" t="n">
        <v>58392.6</v>
      </c>
      <c r="AC191" s="54" t="n">
        <v>55405.87</v>
      </c>
      <c r="AD191" s="52" t="s">
        <v>1084</v>
      </c>
      <c r="AE191" s="53" t="n">
        <v>0.0132</v>
      </c>
      <c r="AU191" s="57"/>
      <c r="AV191" s="52"/>
      <c r="AW191" s="52"/>
      <c r="AX191" s="52"/>
      <c r="AY191" s="52"/>
      <c r="AZ191" s="52"/>
      <c r="BA191" s="53"/>
      <c r="BC191" s="57"/>
      <c r="BD191" s="54"/>
      <c r="BE191" s="54"/>
      <c r="BF191" s="54"/>
      <c r="BG191" s="54"/>
      <c r="BH191" s="52"/>
      <c r="BI191" s="53"/>
    </row>
    <row r="192" customFormat="false" ht="13.5" hidden="false" customHeight="false" outlineLevel="0" collapsed="false">
      <c r="A192" s="58"/>
      <c r="B192" s="52"/>
      <c r="C192" s="52"/>
      <c r="D192" s="52"/>
      <c r="E192" s="52"/>
      <c r="F192" s="52"/>
      <c r="G192" s="53"/>
      <c r="I192" s="57"/>
      <c r="J192" s="54"/>
      <c r="K192" s="54"/>
      <c r="L192" s="54"/>
      <c r="M192" s="54"/>
      <c r="N192" s="52"/>
      <c r="O192" s="53"/>
      <c r="Q192" s="51" t="n">
        <v>45966</v>
      </c>
      <c r="R192" s="52" t="n">
        <v>28</v>
      </c>
      <c r="S192" s="52" t="n">
        <v>27.08</v>
      </c>
      <c r="T192" s="52" t="n">
        <v>28.08</v>
      </c>
      <c r="U192" s="52" t="n">
        <v>27.08</v>
      </c>
      <c r="V192" s="52" t="s">
        <v>1085</v>
      </c>
      <c r="W192" s="53" t="n">
        <v>0.0057</v>
      </c>
      <c r="Y192" s="52" t="s">
        <v>1086</v>
      </c>
      <c r="Z192" s="54" t="n">
        <v>57987.14</v>
      </c>
      <c r="AA192" s="54" t="n">
        <v>56985.19</v>
      </c>
      <c r="AB192" s="54" t="n">
        <v>58223.94</v>
      </c>
      <c r="AC192" s="54" t="n">
        <v>55872.66</v>
      </c>
      <c r="AD192" s="52" t="s">
        <v>1087</v>
      </c>
      <c r="AE192" s="53" t="n">
        <v>0.0254</v>
      </c>
      <c r="AU192" s="58"/>
      <c r="AV192" s="52"/>
      <c r="AW192" s="52"/>
      <c r="AX192" s="52"/>
      <c r="AY192" s="52"/>
      <c r="AZ192" s="52"/>
      <c r="BA192" s="53"/>
      <c r="BC192" s="57"/>
      <c r="BD192" s="54"/>
      <c r="BE192" s="54"/>
      <c r="BF192" s="54"/>
      <c r="BG192" s="54"/>
      <c r="BH192" s="52"/>
      <c r="BI192" s="53"/>
    </row>
    <row r="193" customFormat="false" ht="13.5" hidden="false" customHeight="false" outlineLevel="0" collapsed="false">
      <c r="A193" s="57"/>
      <c r="B193" s="52"/>
      <c r="C193" s="52"/>
      <c r="D193" s="52"/>
      <c r="E193" s="52"/>
      <c r="F193" s="52"/>
      <c r="G193" s="53"/>
      <c r="I193" s="57"/>
      <c r="J193" s="54"/>
      <c r="K193" s="54"/>
      <c r="L193" s="54"/>
      <c r="M193" s="54"/>
      <c r="N193" s="52"/>
      <c r="O193" s="53"/>
      <c r="Q193" s="52" t="s">
        <v>1088</v>
      </c>
      <c r="R193" s="52" t="n">
        <v>27.34</v>
      </c>
      <c r="S193" s="52" t="n">
        <v>27.22</v>
      </c>
      <c r="T193" s="52" t="n">
        <v>28</v>
      </c>
      <c r="U193" s="52" t="n">
        <v>27.22</v>
      </c>
      <c r="V193" s="52" t="s">
        <v>1089</v>
      </c>
      <c r="W193" s="53" t="n">
        <v>-0.0236</v>
      </c>
      <c r="Y193" s="52" t="s">
        <v>1090</v>
      </c>
      <c r="Z193" s="54" t="n">
        <v>58410.37</v>
      </c>
      <c r="AA193" s="54" t="n">
        <v>58016.74</v>
      </c>
      <c r="AB193" s="54" t="n">
        <v>58857.61</v>
      </c>
      <c r="AC193" s="54" t="n">
        <v>57234.38</v>
      </c>
      <c r="AD193" s="52" t="s">
        <v>1091</v>
      </c>
      <c r="AE193" s="53" t="n">
        <v>0.0073</v>
      </c>
      <c r="AU193" s="58"/>
      <c r="AV193" s="52"/>
      <c r="AW193" s="52"/>
      <c r="AX193" s="52"/>
      <c r="AY193" s="52"/>
      <c r="AZ193" s="52"/>
      <c r="BA193" s="53"/>
      <c r="BC193" s="57"/>
      <c r="BD193" s="54"/>
      <c r="BE193" s="54"/>
      <c r="BF193" s="54"/>
      <c r="BG193" s="54"/>
      <c r="BH193" s="52"/>
      <c r="BI193" s="53"/>
    </row>
    <row r="194" customFormat="false" ht="13.5" hidden="false" customHeight="false" outlineLevel="0" collapsed="false">
      <c r="A194" s="57"/>
      <c r="B194" s="52"/>
      <c r="C194" s="52"/>
      <c r="D194" s="52"/>
      <c r="E194" s="52"/>
      <c r="F194" s="52"/>
      <c r="G194" s="53"/>
      <c r="I194" s="57"/>
      <c r="J194" s="54"/>
      <c r="K194" s="54"/>
      <c r="L194" s="54"/>
      <c r="M194" s="54"/>
      <c r="N194" s="52"/>
      <c r="O194" s="53"/>
      <c r="Q194" s="52" t="s">
        <v>1092</v>
      </c>
      <c r="R194" s="52" t="n">
        <v>27.51</v>
      </c>
      <c r="S194" s="52" t="n">
        <v>27.75</v>
      </c>
      <c r="T194" s="52" t="n">
        <v>27.78</v>
      </c>
      <c r="U194" s="52" t="n">
        <v>26.35</v>
      </c>
      <c r="V194" s="52" t="s">
        <v>1093</v>
      </c>
      <c r="W194" s="53" t="n">
        <v>0.0062</v>
      </c>
      <c r="Y194" s="52" t="s">
        <v>1094</v>
      </c>
      <c r="Z194" s="54" t="n">
        <v>57841.69</v>
      </c>
      <c r="AA194" s="54" t="n">
        <v>58337.47</v>
      </c>
      <c r="AB194" s="54" t="n">
        <v>59735.43</v>
      </c>
      <c r="AC194" s="54" t="n">
        <v>57796.14</v>
      </c>
      <c r="AD194" s="52" t="s">
        <v>930</v>
      </c>
      <c r="AE194" s="53" t="n">
        <v>-0.0097</v>
      </c>
      <c r="AU194" s="57"/>
      <c r="AV194" s="52"/>
      <c r="AW194" s="52"/>
      <c r="AX194" s="52"/>
      <c r="AY194" s="52"/>
      <c r="AZ194" s="52"/>
      <c r="BA194" s="53"/>
      <c r="BC194" s="57"/>
      <c r="BD194" s="54"/>
      <c r="BE194" s="54"/>
      <c r="BF194" s="54"/>
      <c r="BG194" s="54"/>
      <c r="BH194" s="52"/>
      <c r="BI194" s="53"/>
    </row>
    <row r="195" customFormat="false" ht="13.5" hidden="false" customHeight="false" outlineLevel="0" collapsed="false">
      <c r="A195" s="58"/>
      <c r="B195" s="52"/>
      <c r="C195" s="52"/>
      <c r="D195" s="52"/>
      <c r="E195" s="52"/>
      <c r="F195" s="52"/>
      <c r="G195" s="53"/>
      <c r="I195" s="57"/>
      <c r="J195" s="54"/>
      <c r="K195" s="54"/>
      <c r="L195" s="54"/>
      <c r="M195" s="54"/>
      <c r="N195" s="52"/>
      <c r="O195" s="53"/>
      <c r="Q195" s="51" t="n">
        <v>45663</v>
      </c>
      <c r="R195" s="52" t="n">
        <v>27</v>
      </c>
      <c r="S195" s="52" t="n">
        <v>26.82</v>
      </c>
      <c r="T195" s="52" t="n">
        <v>27.48</v>
      </c>
      <c r="U195" s="52" t="n">
        <v>26.5</v>
      </c>
      <c r="V195" s="52" t="s">
        <v>1095</v>
      </c>
      <c r="W195" s="53" t="n">
        <v>-0.0185</v>
      </c>
      <c r="Y195" s="52" t="s">
        <v>1096</v>
      </c>
      <c r="Z195" s="54" t="n">
        <v>58061.41</v>
      </c>
      <c r="AA195" s="54" t="n">
        <v>57973.4</v>
      </c>
      <c r="AB195" s="54" t="n">
        <v>58600.78</v>
      </c>
      <c r="AC195" s="54" t="n">
        <v>57145.56</v>
      </c>
      <c r="AD195" s="52" t="s">
        <v>1097</v>
      </c>
      <c r="AE195" s="53" t="n">
        <v>0.0038</v>
      </c>
      <c r="AU195" s="57"/>
      <c r="AV195" s="52"/>
      <c r="AW195" s="52"/>
      <c r="AX195" s="52"/>
      <c r="AY195" s="52"/>
      <c r="AZ195" s="52"/>
      <c r="BA195" s="53"/>
      <c r="BC195" s="57"/>
      <c r="BD195" s="54"/>
      <c r="BE195" s="54"/>
      <c r="BF195" s="54"/>
      <c r="BG195" s="54"/>
      <c r="BH195" s="52"/>
      <c r="BI195" s="53"/>
    </row>
    <row r="196" customFormat="false" ht="13.5" hidden="false" customHeight="false" outlineLevel="0" collapsed="false">
      <c r="A196" s="58"/>
      <c r="B196" s="52"/>
      <c r="C196" s="52"/>
      <c r="D196" s="52"/>
      <c r="E196" s="52"/>
      <c r="F196" s="52"/>
      <c r="G196" s="53"/>
      <c r="I196" s="57"/>
      <c r="J196" s="54"/>
      <c r="K196" s="54"/>
      <c r="L196" s="54"/>
      <c r="M196" s="54"/>
      <c r="N196" s="52"/>
      <c r="O196" s="53"/>
      <c r="Q196" s="51" t="n">
        <v>45875</v>
      </c>
      <c r="R196" s="52" t="n">
        <v>27.38</v>
      </c>
      <c r="S196" s="52" t="n">
        <v>27.1</v>
      </c>
      <c r="T196" s="52" t="n">
        <v>27.5</v>
      </c>
      <c r="U196" s="52" t="n">
        <v>27.1</v>
      </c>
      <c r="V196" s="52" t="s">
        <v>1098</v>
      </c>
      <c r="W196" s="53" t="n">
        <v>0.0141</v>
      </c>
      <c r="Y196" s="52" t="s">
        <v>1099</v>
      </c>
      <c r="Z196" s="54" t="n">
        <v>57438.57</v>
      </c>
      <c r="AA196" s="54" t="n">
        <v>58147.59</v>
      </c>
      <c r="AB196" s="54" t="n">
        <v>58431.08</v>
      </c>
      <c r="AC196" s="54" t="n">
        <v>57156.48</v>
      </c>
      <c r="AD196" s="52" t="s">
        <v>1100</v>
      </c>
      <c r="AE196" s="53" t="n">
        <v>-0.0107</v>
      </c>
      <c r="AU196" s="58"/>
      <c r="AV196" s="52"/>
      <c r="AW196" s="52"/>
      <c r="AX196" s="52"/>
      <c r="AY196" s="52"/>
      <c r="AZ196" s="52"/>
      <c r="BA196" s="53"/>
      <c r="BC196" s="57"/>
      <c r="BD196" s="54"/>
      <c r="BE196" s="54"/>
      <c r="BF196" s="54"/>
      <c r="BG196" s="54"/>
      <c r="BH196" s="52"/>
      <c r="BI196" s="53"/>
    </row>
    <row r="197" customFormat="false" ht="13.5" hidden="false" customHeight="false" outlineLevel="0" collapsed="false">
      <c r="A197" s="57"/>
      <c r="B197" s="52"/>
      <c r="C197" s="52"/>
      <c r="D197" s="52"/>
      <c r="E197" s="52"/>
      <c r="F197" s="52"/>
      <c r="G197" s="53"/>
      <c r="I197" s="57"/>
      <c r="J197" s="54"/>
      <c r="K197" s="54"/>
      <c r="L197" s="54"/>
      <c r="M197" s="54"/>
      <c r="N197" s="52"/>
      <c r="O197" s="53"/>
      <c r="Q197" s="52" t="s">
        <v>1101</v>
      </c>
      <c r="R197" s="52" t="n">
        <v>27.27</v>
      </c>
      <c r="S197" s="52" t="n">
        <v>27.38</v>
      </c>
      <c r="T197" s="52" t="n">
        <v>27.38</v>
      </c>
      <c r="U197" s="52" t="n">
        <v>26.66</v>
      </c>
      <c r="V197" s="52" t="s">
        <v>1102</v>
      </c>
      <c r="W197" s="53" t="n">
        <v>-0.004</v>
      </c>
      <c r="Y197" s="52" t="s">
        <v>1103</v>
      </c>
      <c r="Z197" s="54" t="n">
        <v>56264.69</v>
      </c>
      <c r="AA197" s="54" t="n">
        <v>57495.71</v>
      </c>
      <c r="AB197" s="54" t="n">
        <v>57834.53</v>
      </c>
      <c r="AC197" s="54" t="n">
        <v>55920.25</v>
      </c>
      <c r="AD197" s="52" t="s">
        <v>1104</v>
      </c>
      <c r="AE197" s="53" t="n">
        <v>-0.0204</v>
      </c>
      <c r="AU197" s="58"/>
      <c r="AV197" s="52"/>
      <c r="AW197" s="52"/>
      <c r="AX197" s="52"/>
      <c r="AY197" s="52"/>
      <c r="AZ197" s="52"/>
      <c r="BA197" s="53"/>
      <c r="BC197" s="57"/>
      <c r="BD197" s="54"/>
      <c r="BE197" s="54"/>
      <c r="BF197" s="54"/>
      <c r="BG197" s="54"/>
      <c r="BH197" s="52"/>
      <c r="BI197" s="53"/>
    </row>
    <row r="198" customFormat="false" ht="13.5" hidden="false" customHeight="false" outlineLevel="0" collapsed="false">
      <c r="A198" s="57"/>
      <c r="B198" s="52"/>
      <c r="C198" s="52"/>
      <c r="D198" s="52"/>
      <c r="E198" s="52"/>
      <c r="F198" s="52"/>
      <c r="G198" s="53"/>
      <c r="I198" s="57"/>
      <c r="J198" s="54"/>
      <c r="K198" s="54"/>
      <c r="L198" s="54"/>
      <c r="M198" s="54"/>
      <c r="N198" s="52"/>
      <c r="O198" s="53"/>
      <c r="Q198" s="52" t="s">
        <v>1105</v>
      </c>
      <c r="R198" s="52" t="n">
        <v>27.98</v>
      </c>
      <c r="S198" s="52" t="n">
        <v>27</v>
      </c>
      <c r="T198" s="52" t="n">
        <v>27.98</v>
      </c>
      <c r="U198" s="52" t="n">
        <v>27</v>
      </c>
      <c r="V198" s="52" t="s">
        <v>1106</v>
      </c>
      <c r="W198" s="53" t="n">
        <v>0.026</v>
      </c>
      <c r="Y198" s="52" t="s">
        <v>1107</v>
      </c>
      <c r="Z198" s="54" t="n">
        <v>57391.51</v>
      </c>
      <c r="AA198" s="54" t="n">
        <v>56104.74</v>
      </c>
      <c r="AB198" s="54" t="n">
        <v>57901.22</v>
      </c>
      <c r="AC198" s="54" t="n">
        <v>55603.77</v>
      </c>
      <c r="AD198" s="52" t="s">
        <v>1108</v>
      </c>
      <c r="AE198" s="53" t="n">
        <v>0.02</v>
      </c>
      <c r="AU198" s="57"/>
      <c r="AV198" s="52"/>
      <c r="AW198" s="52"/>
      <c r="AX198" s="52"/>
      <c r="AY198" s="52"/>
      <c r="AZ198" s="52"/>
      <c r="BA198" s="53"/>
      <c r="BC198" s="57"/>
      <c r="BD198" s="54"/>
      <c r="BE198" s="54"/>
      <c r="BF198" s="54"/>
      <c r="BG198" s="54"/>
      <c r="BH198" s="52"/>
      <c r="BI198" s="53"/>
    </row>
    <row r="199" customFormat="false" ht="13.5" hidden="false" customHeight="false" outlineLevel="0" collapsed="false">
      <c r="A199" s="57"/>
      <c r="B199" s="52"/>
      <c r="C199" s="52"/>
      <c r="D199" s="52"/>
      <c r="E199" s="52"/>
      <c r="F199" s="52"/>
      <c r="G199" s="53"/>
      <c r="I199" s="57"/>
      <c r="J199" s="54"/>
      <c r="K199" s="54"/>
      <c r="L199" s="54"/>
      <c r="M199" s="54"/>
      <c r="N199" s="52"/>
      <c r="O199" s="53"/>
      <c r="Q199" s="52" t="s">
        <v>1109</v>
      </c>
      <c r="R199" s="52" t="n">
        <v>27</v>
      </c>
      <c r="S199" s="52" t="n">
        <v>27.98</v>
      </c>
      <c r="T199" s="52" t="n">
        <v>27.98</v>
      </c>
      <c r="U199" s="52" t="n">
        <v>26.8</v>
      </c>
      <c r="V199" s="52" t="s">
        <v>1110</v>
      </c>
      <c r="W199" s="53" t="n">
        <v>-0.035</v>
      </c>
      <c r="Y199" s="52" t="s">
        <v>1111</v>
      </c>
      <c r="Z199" s="54" t="n">
        <v>57977.76</v>
      </c>
      <c r="AA199" s="54" t="n">
        <v>57336.04</v>
      </c>
      <c r="AB199" s="54" t="n">
        <v>58680.87</v>
      </c>
      <c r="AC199" s="54" t="n">
        <v>57244.85</v>
      </c>
      <c r="AD199" s="52" t="s">
        <v>1112</v>
      </c>
      <c r="AE199" s="53" t="n">
        <v>0.0102</v>
      </c>
      <c r="AU199" s="57"/>
      <c r="AV199" s="52"/>
      <c r="AW199" s="52"/>
      <c r="AX199" s="52"/>
      <c r="AY199" s="52"/>
      <c r="AZ199" s="52"/>
      <c r="BA199" s="53"/>
      <c r="BC199" s="57"/>
      <c r="BD199" s="54"/>
      <c r="BE199" s="54"/>
      <c r="BF199" s="54"/>
      <c r="BG199" s="54"/>
      <c r="BH199" s="52"/>
      <c r="BI199" s="53"/>
    </row>
    <row r="200" customFormat="false" ht="13.5" hidden="false" customHeight="false" outlineLevel="0" collapsed="false">
      <c r="A200" s="58"/>
      <c r="B200" s="52"/>
      <c r="C200" s="52"/>
      <c r="D200" s="52"/>
      <c r="E200" s="52"/>
      <c r="F200" s="52"/>
      <c r="G200" s="53"/>
      <c r="I200" s="57"/>
      <c r="J200" s="54"/>
      <c r="K200" s="54"/>
      <c r="L200" s="54"/>
      <c r="M200" s="54"/>
      <c r="N200" s="52"/>
      <c r="O200" s="53"/>
      <c r="Q200" s="51" t="n">
        <v>45815</v>
      </c>
      <c r="R200" s="52" t="n">
        <v>25.33</v>
      </c>
      <c r="S200" s="52" t="n">
        <v>26.77</v>
      </c>
      <c r="T200" s="52" t="n">
        <v>27.49</v>
      </c>
      <c r="U200" s="52" t="n">
        <v>23</v>
      </c>
      <c r="V200" s="52" t="s">
        <v>1113</v>
      </c>
      <c r="W200" s="53" t="n">
        <v>-0.0619</v>
      </c>
      <c r="Y200" s="52" t="s">
        <v>1114</v>
      </c>
      <c r="Z200" s="54" t="n">
        <v>56593.65</v>
      </c>
      <c r="AA200" s="54" t="n">
        <v>58005.61</v>
      </c>
      <c r="AB200" s="54" t="n">
        <v>58062.86</v>
      </c>
      <c r="AC200" s="54" t="n">
        <v>56100.69</v>
      </c>
      <c r="AD200" s="52" t="s">
        <v>1115</v>
      </c>
      <c r="AE200" s="53" t="n">
        <v>-0.0239</v>
      </c>
      <c r="AU200" s="57"/>
      <c r="AV200" s="52"/>
      <c r="AW200" s="52"/>
      <c r="AX200" s="52"/>
      <c r="AY200" s="52"/>
      <c r="AZ200" s="52"/>
      <c r="BA200" s="53"/>
      <c r="BC200" s="57"/>
      <c r="BD200" s="54"/>
      <c r="BE200" s="54"/>
      <c r="BF200" s="54"/>
      <c r="BG200" s="54"/>
      <c r="BH200" s="52"/>
      <c r="BI200" s="53"/>
    </row>
    <row r="201" customFormat="false" ht="13.5" hidden="false" customHeight="false" outlineLevel="0" collapsed="false">
      <c r="A201" s="57"/>
      <c r="B201" s="52"/>
      <c r="C201" s="52"/>
      <c r="D201" s="52"/>
      <c r="E201" s="52"/>
      <c r="F201" s="52"/>
      <c r="G201" s="53"/>
      <c r="I201" s="57"/>
      <c r="J201" s="54"/>
      <c r="K201" s="54"/>
      <c r="L201" s="54"/>
      <c r="M201" s="54"/>
      <c r="N201" s="52"/>
      <c r="O201" s="53"/>
      <c r="Q201" s="52" t="s">
        <v>1116</v>
      </c>
      <c r="R201" s="52" t="n">
        <v>25.99</v>
      </c>
      <c r="S201" s="52" t="n">
        <v>25.35</v>
      </c>
      <c r="T201" s="52" t="n">
        <v>26.05</v>
      </c>
      <c r="U201" s="52" t="n">
        <v>25</v>
      </c>
      <c r="V201" s="52" t="s">
        <v>1117</v>
      </c>
      <c r="W201" s="53" t="n">
        <v>0.0261</v>
      </c>
      <c r="Y201" s="52" t="s">
        <v>1118</v>
      </c>
      <c r="Z201" s="54" t="n">
        <v>56273.45</v>
      </c>
      <c r="AA201" s="54" t="n">
        <v>56567.29</v>
      </c>
      <c r="AB201" s="54" t="n">
        <v>56864.03</v>
      </c>
      <c r="AC201" s="54" t="n">
        <v>56085.24</v>
      </c>
      <c r="AD201" s="52" t="s">
        <v>1119</v>
      </c>
      <c r="AE201" s="53" t="n">
        <v>-0.0057</v>
      </c>
      <c r="AU201" s="58"/>
      <c r="AV201" s="52"/>
      <c r="AW201" s="52"/>
      <c r="AX201" s="52"/>
      <c r="AY201" s="52"/>
      <c r="AZ201" s="52"/>
      <c r="BA201" s="53"/>
      <c r="BC201" s="57"/>
      <c r="BD201" s="54"/>
      <c r="BE201" s="54"/>
      <c r="BF201" s="54"/>
      <c r="BG201" s="54"/>
      <c r="BH201" s="52"/>
      <c r="BI201" s="53"/>
    </row>
    <row r="202" customFormat="false" ht="13.5" hidden="false" customHeight="false" outlineLevel="0" collapsed="false">
      <c r="A202" s="57"/>
      <c r="B202" s="52"/>
      <c r="C202" s="52"/>
      <c r="D202" s="52"/>
      <c r="E202" s="52"/>
      <c r="F202" s="52"/>
      <c r="G202" s="53"/>
      <c r="I202" s="57"/>
      <c r="J202" s="54"/>
      <c r="K202" s="54"/>
      <c r="L202" s="54"/>
      <c r="M202" s="54"/>
      <c r="N202" s="52"/>
      <c r="O202" s="53"/>
      <c r="Q202" s="52" t="s">
        <v>1120</v>
      </c>
      <c r="R202" s="52" t="n">
        <v>25.64</v>
      </c>
      <c r="S202" s="52" t="n">
        <v>26</v>
      </c>
      <c r="T202" s="52" t="n">
        <v>26</v>
      </c>
      <c r="U202" s="52" t="n">
        <v>25</v>
      </c>
      <c r="V202" s="52" t="s">
        <v>1121</v>
      </c>
      <c r="W202" s="53" t="n">
        <v>-0.0135</v>
      </c>
      <c r="Y202" s="52" t="s">
        <v>1122</v>
      </c>
      <c r="Z202" s="54" t="n">
        <v>57323.14</v>
      </c>
      <c r="AA202" s="54" t="n">
        <v>56325.89</v>
      </c>
      <c r="AB202" s="54" t="n">
        <v>57358.08</v>
      </c>
      <c r="AC202" s="54" t="n">
        <v>55287.9</v>
      </c>
      <c r="AD202" s="52" t="s">
        <v>914</v>
      </c>
      <c r="AE202" s="53" t="n">
        <v>0.0187</v>
      </c>
      <c r="AU202" s="57"/>
      <c r="AV202" s="52"/>
      <c r="AW202" s="52"/>
      <c r="AX202" s="52"/>
      <c r="AY202" s="52"/>
      <c r="AZ202" s="52"/>
      <c r="BA202" s="53"/>
      <c r="BC202" s="57"/>
      <c r="BD202" s="54"/>
      <c r="BE202" s="54"/>
      <c r="BF202" s="54"/>
      <c r="BG202" s="54"/>
      <c r="BH202" s="52"/>
      <c r="BI202" s="53"/>
    </row>
    <row r="203" customFormat="false" ht="13.5" hidden="false" customHeight="false" outlineLevel="0" collapsed="false">
      <c r="A203" s="57"/>
      <c r="B203" s="52"/>
      <c r="C203" s="52"/>
      <c r="D203" s="52"/>
      <c r="E203" s="52"/>
      <c r="F203" s="52"/>
      <c r="G203" s="53"/>
      <c r="I203" s="57"/>
      <c r="J203" s="54"/>
      <c r="K203" s="54"/>
      <c r="L203" s="54"/>
      <c r="M203" s="54"/>
      <c r="N203" s="52"/>
      <c r="O203" s="53"/>
      <c r="Q203" s="52" t="s">
        <v>1123</v>
      </c>
      <c r="R203" s="52" t="n">
        <v>24.9</v>
      </c>
      <c r="S203" s="52" t="n">
        <v>25.3</v>
      </c>
      <c r="T203" s="52" t="n">
        <v>26</v>
      </c>
      <c r="U203" s="52" t="n">
        <v>24</v>
      </c>
      <c r="V203" s="52" t="s">
        <v>1124</v>
      </c>
      <c r="W203" s="53" t="n">
        <v>-0.0289</v>
      </c>
      <c r="Y203" s="52" t="s">
        <v>1125</v>
      </c>
      <c r="Z203" s="54" t="n">
        <v>56900.07</v>
      </c>
      <c r="AA203" s="54" t="n">
        <v>57369.62</v>
      </c>
      <c r="AB203" s="54" t="n">
        <v>57961.29</v>
      </c>
      <c r="AC203" s="54" t="n">
        <v>56566.25</v>
      </c>
      <c r="AD203" s="52" t="s">
        <v>1126</v>
      </c>
      <c r="AE203" s="53" t="n">
        <v>-0.0074</v>
      </c>
      <c r="AU203" s="57"/>
      <c r="AV203" s="52"/>
      <c r="AW203" s="52"/>
      <c r="AX203" s="52"/>
      <c r="AY203" s="52"/>
      <c r="AZ203" s="52"/>
      <c r="BA203" s="53"/>
      <c r="BC203" s="57"/>
      <c r="BD203" s="54"/>
      <c r="BE203" s="54"/>
      <c r="BF203" s="54"/>
      <c r="BG203" s="54"/>
      <c r="BH203" s="52"/>
      <c r="BI203" s="53"/>
    </row>
    <row r="204" customFormat="false" ht="13.5" hidden="false" customHeight="false" outlineLevel="0" collapsed="false">
      <c r="A204" s="58"/>
      <c r="B204" s="52"/>
      <c r="C204" s="52"/>
      <c r="D204" s="52"/>
      <c r="E204" s="52"/>
      <c r="F204" s="52"/>
      <c r="G204" s="53"/>
      <c r="I204" s="57"/>
      <c r="J204" s="54"/>
      <c r="K204" s="54"/>
      <c r="L204" s="54"/>
      <c r="M204" s="54"/>
      <c r="N204" s="52"/>
      <c r="O204" s="53"/>
      <c r="Q204" s="51" t="n">
        <v>45724</v>
      </c>
      <c r="R204" s="52" t="n">
        <v>24.97</v>
      </c>
      <c r="S204" s="52" t="n">
        <v>25.25</v>
      </c>
      <c r="T204" s="52" t="n">
        <v>25.83</v>
      </c>
      <c r="U204" s="52" t="n">
        <v>24.1</v>
      </c>
      <c r="V204" s="52" t="s">
        <v>1127</v>
      </c>
      <c r="W204" s="53" t="n">
        <v>0.0028</v>
      </c>
      <c r="Y204" s="52" t="s">
        <v>1128</v>
      </c>
      <c r="Z204" s="54" t="n">
        <v>58070.17</v>
      </c>
      <c r="AA204" s="54" t="n">
        <v>56851.9</v>
      </c>
      <c r="AB204" s="54" t="n">
        <v>58496.4</v>
      </c>
      <c r="AC204" s="54" t="n">
        <v>56486.86</v>
      </c>
      <c r="AD204" s="52" t="s">
        <v>1129</v>
      </c>
      <c r="AE204" s="53" t="n">
        <v>0.0206</v>
      </c>
      <c r="AU204" s="57"/>
      <c r="AV204" s="52"/>
      <c r="AW204" s="52"/>
      <c r="AX204" s="52"/>
      <c r="AY204" s="52"/>
      <c r="AZ204" s="52"/>
      <c r="BA204" s="53"/>
      <c r="BC204" s="57"/>
      <c r="BD204" s="54"/>
      <c r="BE204" s="54"/>
      <c r="BF204" s="54"/>
      <c r="BG204" s="54"/>
      <c r="BH204" s="52"/>
      <c r="BI204" s="53"/>
    </row>
    <row r="205" customFormat="false" ht="13.5" hidden="false" customHeight="false" outlineLevel="0" collapsed="false">
      <c r="A205" s="58"/>
      <c r="B205" s="52"/>
      <c r="C205" s="52"/>
      <c r="D205" s="52"/>
      <c r="E205" s="52"/>
      <c r="F205" s="52"/>
      <c r="G205" s="53"/>
      <c r="I205" s="57"/>
      <c r="J205" s="54"/>
      <c r="K205" s="54"/>
      <c r="L205" s="54"/>
      <c r="M205" s="54"/>
      <c r="N205" s="52"/>
      <c r="O205" s="53"/>
      <c r="Q205" s="51" t="n">
        <v>45938</v>
      </c>
      <c r="R205" s="52" t="n">
        <v>25.24</v>
      </c>
      <c r="S205" s="52" t="n">
        <v>25.5</v>
      </c>
      <c r="T205" s="52" t="n">
        <v>25.5</v>
      </c>
      <c r="U205" s="52" t="n">
        <v>24.7</v>
      </c>
      <c r="V205" s="52" t="s">
        <v>1130</v>
      </c>
      <c r="W205" s="53" t="n">
        <v>0.0108</v>
      </c>
      <c r="Y205" s="52" t="s">
        <v>1131</v>
      </c>
      <c r="Z205" s="54" t="n">
        <v>58320.48</v>
      </c>
      <c r="AA205" s="54" t="n">
        <v>58034.36</v>
      </c>
      <c r="AB205" s="54" t="n">
        <v>58847.21</v>
      </c>
      <c r="AC205" s="54" t="n">
        <v>57922.42</v>
      </c>
      <c r="AD205" s="52" t="s">
        <v>1132</v>
      </c>
      <c r="AE205" s="53" t="n">
        <v>0.0043</v>
      </c>
      <c r="AU205" s="58"/>
      <c r="AV205" s="52"/>
      <c r="AW205" s="52"/>
      <c r="AX205" s="52"/>
      <c r="AY205" s="52"/>
      <c r="AZ205" s="52"/>
      <c r="BA205" s="53"/>
      <c r="BC205" s="57"/>
      <c r="BD205" s="54"/>
      <c r="BE205" s="54"/>
      <c r="BF205" s="54"/>
      <c r="BG205" s="54"/>
      <c r="BH205" s="52"/>
      <c r="BI205" s="53"/>
    </row>
    <row r="206" customFormat="false" ht="13.5" hidden="false" customHeight="false" outlineLevel="0" collapsed="false">
      <c r="A206" s="57"/>
      <c r="B206" s="52"/>
      <c r="C206" s="52"/>
      <c r="D206" s="52"/>
      <c r="E206" s="52"/>
      <c r="F206" s="52"/>
      <c r="G206" s="53"/>
      <c r="I206" s="57"/>
      <c r="J206" s="54"/>
      <c r="K206" s="54"/>
      <c r="L206" s="54"/>
      <c r="M206" s="54"/>
      <c r="N206" s="52"/>
      <c r="O206" s="53"/>
      <c r="Q206" s="52" t="s">
        <v>1133</v>
      </c>
      <c r="R206" s="52" t="n">
        <v>25.4</v>
      </c>
      <c r="S206" s="52" t="n">
        <v>24.64</v>
      </c>
      <c r="T206" s="52" t="n">
        <v>25.5</v>
      </c>
      <c r="U206" s="52" t="n">
        <v>24.64</v>
      </c>
      <c r="V206" s="52" t="s">
        <v>1134</v>
      </c>
      <c r="W206" s="53" t="n">
        <v>0.0063</v>
      </c>
      <c r="Y206" s="52" t="s">
        <v>1135</v>
      </c>
      <c r="Z206" s="54" t="n">
        <v>59225.48</v>
      </c>
      <c r="AA206" s="54" t="n">
        <v>58378.87</v>
      </c>
      <c r="AB206" s="54" t="n">
        <v>59399.72</v>
      </c>
      <c r="AC206" s="54" t="n">
        <v>58028.56</v>
      </c>
      <c r="AD206" s="52" t="s">
        <v>1136</v>
      </c>
      <c r="AE206" s="53" t="n">
        <v>0.0155</v>
      </c>
      <c r="AU206" s="58"/>
      <c r="AV206" s="52"/>
      <c r="AW206" s="52"/>
      <c r="AX206" s="52"/>
      <c r="AY206" s="52"/>
      <c r="AZ206" s="52"/>
      <c r="BA206" s="53"/>
      <c r="BC206" s="57"/>
      <c r="BD206" s="54"/>
      <c r="BE206" s="54"/>
      <c r="BF206" s="54"/>
      <c r="BG206" s="54"/>
      <c r="BH206" s="52"/>
      <c r="BI206" s="53"/>
    </row>
    <row r="207" customFormat="false" ht="13.5" hidden="false" customHeight="false" outlineLevel="0" collapsed="false">
      <c r="A207" s="57"/>
      <c r="B207" s="52"/>
      <c r="C207" s="52"/>
      <c r="D207" s="52"/>
      <c r="E207" s="52"/>
      <c r="F207" s="52"/>
      <c r="G207" s="53"/>
      <c r="I207" s="57"/>
      <c r="J207" s="54"/>
      <c r="K207" s="54"/>
      <c r="L207" s="54"/>
      <c r="M207" s="54"/>
      <c r="N207" s="52"/>
      <c r="O207" s="53"/>
      <c r="Q207" s="52" t="s">
        <v>1137</v>
      </c>
      <c r="R207" s="52" t="n">
        <v>25.73</v>
      </c>
      <c r="S207" s="52" t="n">
        <v>24.6</v>
      </c>
      <c r="T207" s="52" t="n">
        <v>25.8</v>
      </c>
      <c r="U207" s="52" t="n">
        <v>24.51</v>
      </c>
      <c r="V207" s="52" t="s">
        <v>1138</v>
      </c>
      <c r="W207" s="53" t="n">
        <v>0.013</v>
      </c>
      <c r="Y207" s="52" t="s">
        <v>1139</v>
      </c>
      <c r="Z207" s="54" t="n">
        <v>58708.86</v>
      </c>
      <c r="AA207" s="54" t="n">
        <v>59242.39</v>
      </c>
      <c r="AB207" s="54" t="n">
        <v>59421.61</v>
      </c>
      <c r="AC207" s="54" t="n">
        <v>57623.87</v>
      </c>
      <c r="AD207" s="52" t="s">
        <v>1140</v>
      </c>
      <c r="AE207" s="53" t="n">
        <v>-0.0087</v>
      </c>
      <c r="AU207" s="57"/>
      <c r="AV207" s="52"/>
      <c r="AW207" s="52"/>
      <c r="AX207" s="52"/>
      <c r="AY207" s="52"/>
      <c r="AZ207" s="52"/>
      <c r="BA207" s="53"/>
      <c r="BC207" s="57"/>
      <c r="BD207" s="54"/>
      <c r="BE207" s="54"/>
      <c r="BF207" s="54"/>
      <c r="BG207" s="54"/>
      <c r="BH207" s="52"/>
      <c r="BI207" s="53"/>
    </row>
    <row r="208" customFormat="false" ht="13.5" hidden="false" customHeight="false" outlineLevel="0" collapsed="false">
      <c r="A208" s="57"/>
      <c r="B208" s="52"/>
      <c r="C208" s="52"/>
      <c r="D208" s="52"/>
      <c r="E208" s="52"/>
      <c r="F208" s="52"/>
      <c r="G208" s="53"/>
      <c r="I208" s="57"/>
      <c r="J208" s="54"/>
      <c r="K208" s="54"/>
      <c r="L208" s="54"/>
      <c r="M208" s="54"/>
      <c r="N208" s="52"/>
      <c r="O208" s="53"/>
      <c r="Q208" s="52" t="s">
        <v>1141</v>
      </c>
      <c r="R208" s="52" t="n">
        <v>25.2</v>
      </c>
      <c r="S208" s="52" t="n">
        <v>25.44</v>
      </c>
      <c r="T208" s="52" t="n">
        <v>25.49</v>
      </c>
      <c r="U208" s="52" t="n">
        <v>24.71</v>
      </c>
      <c r="V208" s="52" t="s">
        <v>1142</v>
      </c>
      <c r="W208" s="53" t="n">
        <v>-0.0206</v>
      </c>
      <c r="Y208" s="52" t="s">
        <v>1143</v>
      </c>
      <c r="Z208" s="54" t="n">
        <v>60479.76</v>
      </c>
      <c r="AA208" s="54" t="n">
        <v>58670.29</v>
      </c>
      <c r="AB208" s="54" t="n">
        <v>60560.44</v>
      </c>
      <c r="AC208" s="54" t="n">
        <v>58398.75</v>
      </c>
      <c r="AD208" s="52" t="s">
        <v>1144</v>
      </c>
      <c r="AE208" s="53" t="n">
        <v>0.0302</v>
      </c>
      <c r="AU208" s="57"/>
      <c r="AV208" s="52"/>
      <c r="AW208" s="52"/>
      <c r="AX208" s="52"/>
      <c r="AY208" s="52"/>
      <c r="AZ208" s="52"/>
      <c r="BA208" s="53"/>
      <c r="BC208" s="57"/>
      <c r="BD208" s="54"/>
      <c r="BE208" s="54"/>
      <c r="BF208" s="54"/>
      <c r="BG208" s="54"/>
      <c r="BH208" s="52"/>
      <c r="BI208" s="53"/>
    </row>
    <row r="209" customFormat="false" ht="13.5" hidden="false" customHeight="false" outlineLevel="0" collapsed="false">
      <c r="A209" s="58"/>
      <c r="B209" s="52"/>
      <c r="C209" s="52"/>
      <c r="D209" s="52"/>
      <c r="E209" s="52"/>
      <c r="F209" s="52"/>
      <c r="G209" s="53"/>
      <c r="I209" s="57"/>
      <c r="J209" s="54"/>
      <c r="K209" s="54"/>
      <c r="L209" s="54"/>
      <c r="M209" s="54"/>
      <c r="N209" s="52"/>
      <c r="O209" s="53"/>
      <c r="Q209" s="51" t="n">
        <v>45847</v>
      </c>
      <c r="R209" s="52" t="n">
        <v>24.9</v>
      </c>
      <c r="S209" s="52" t="n">
        <v>25</v>
      </c>
      <c r="T209" s="52" t="n">
        <v>25</v>
      </c>
      <c r="U209" s="52" t="n">
        <v>24.6</v>
      </c>
      <c r="V209" s="52" t="s">
        <v>1145</v>
      </c>
      <c r="W209" s="53" t="n">
        <v>-0.0119</v>
      </c>
      <c r="Y209" s="52" t="s">
        <v>1146</v>
      </c>
      <c r="Z209" s="54" t="n">
        <v>61798.94</v>
      </c>
      <c r="AA209" s="54" t="n">
        <v>60489.14</v>
      </c>
      <c r="AB209" s="54" t="n">
        <v>61941.99</v>
      </c>
      <c r="AC209" s="54" t="n">
        <v>60199.84</v>
      </c>
      <c r="AD209" s="52" t="s">
        <v>1147</v>
      </c>
      <c r="AE209" s="53" t="n">
        <v>0.0218</v>
      </c>
      <c r="AU209" s="57"/>
      <c r="AV209" s="52"/>
      <c r="AW209" s="52"/>
      <c r="AX209" s="52"/>
      <c r="AY209" s="52"/>
      <c r="AZ209" s="52"/>
      <c r="BA209" s="53"/>
      <c r="BC209" s="57"/>
      <c r="BD209" s="54"/>
      <c r="BE209" s="54"/>
      <c r="BF209" s="54"/>
      <c r="BG209" s="54"/>
      <c r="BH209" s="52"/>
      <c r="BI209" s="53"/>
    </row>
    <row r="210" customFormat="false" ht="13.5" hidden="false" customHeight="false" outlineLevel="0" collapsed="false">
      <c r="A210" s="57"/>
      <c r="B210" s="52"/>
      <c r="C210" s="52"/>
      <c r="D210" s="52"/>
      <c r="E210" s="52"/>
      <c r="F210" s="52"/>
      <c r="G210" s="53"/>
      <c r="I210" s="57"/>
      <c r="J210" s="54"/>
      <c r="K210" s="54"/>
      <c r="L210" s="54"/>
      <c r="M210" s="54"/>
      <c r="N210" s="52"/>
      <c r="O210" s="53"/>
      <c r="Q210" s="52" t="s">
        <v>1148</v>
      </c>
      <c r="R210" s="52" t="n">
        <v>24.82</v>
      </c>
      <c r="S210" s="52" t="n">
        <v>24.86</v>
      </c>
      <c r="T210" s="52" t="n">
        <v>24.86</v>
      </c>
      <c r="U210" s="52" t="n">
        <v>24.5</v>
      </c>
      <c r="V210" s="52" t="s">
        <v>1149</v>
      </c>
      <c r="W210" s="53" t="n">
        <v>-0.0032</v>
      </c>
      <c r="Y210" s="52" t="s">
        <v>1150</v>
      </c>
      <c r="Z210" s="54" t="n">
        <v>61200.27</v>
      </c>
      <c r="AA210" s="54" t="n">
        <v>61894.85</v>
      </c>
      <c r="AB210" s="54" t="n">
        <v>62252.13</v>
      </c>
      <c r="AC210" s="54" t="n">
        <v>60860.09</v>
      </c>
      <c r="AD210" s="52" t="s">
        <v>934</v>
      </c>
      <c r="AE210" s="53" t="n">
        <v>-0.0097</v>
      </c>
      <c r="AU210" s="58"/>
      <c r="AV210" s="52"/>
      <c r="AW210" s="52"/>
      <c r="AX210" s="52"/>
      <c r="AY210" s="52"/>
      <c r="AZ210" s="52"/>
      <c r="BA210" s="53"/>
      <c r="BC210" s="57"/>
      <c r="BD210" s="54"/>
      <c r="BE210" s="54"/>
      <c r="BF210" s="54"/>
      <c r="BG210" s="54"/>
      <c r="BH210" s="52"/>
      <c r="BI210" s="53"/>
    </row>
    <row r="211" customFormat="false" ht="13.5" hidden="false" customHeight="false" outlineLevel="0" collapsed="false">
      <c r="A211" s="57"/>
      <c r="B211" s="52"/>
      <c r="C211" s="52"/>
      <c r="D211" s="52"/>
      <c r="E211" s="52"/>
      <c r="F211" s="52"/>
      <c r="G211" s="53"/>
      <c r="I211" s="57"/>
      <c r="J211" s="54"/>
      <c r="K211" s="54"/>
      <c r="L211" s="54"/>
      <c r="M211" s="54"/>
      <c r="N211" s="52"/>
      <c r="O211" s="53"/>
      <c r="Q211" s="52" t="s">
        <v>1151</v>
      </c>
      <c r="R211" s="52" t="n">
        <v>25</v>
      </c>
      <c r="S211" s="52" t="n">
        <v>24.82</v>
      </c>
      <c r="T211" s="52" t="n">
        <v>25</v>
      </c>
      <c r="U211" s="52" t="n">
        <v>24.5</v>
      </c>
      <c r="V211" s="52" t="s">
        <v>1152</v>
      </c>
      <c r="W211" s="53" t="n">
        <v>0.0073</v>
      </c>
      <c r="Y211" s="52" t="s">
        <v>1153</v>
      </c>
      <c r="Z211" s="54" t="n">
        <v>62307.07</v>
      </c>
      <c r="AA211" s="54" t="n">
        <v>61175.56</v>
      </c>
      <c r="AB211" s="54" t="n">
        <v>62665.94</v>
      </c>
      <c r="AC211" s="54" t="n">
        <v>61102.77</v>
      </c>
      <c r="AD211" s="52" t="s">
        <v>1154</v>
      </c>
      <c r="AE211" s="53" t="n">
        <v>0.0181</v>
      </c>
      <c r="AU211" s="57"/>
      <c r="AV211" s="52"/>
      <c r="AW211" s="52"/>
      <c r="AX211" s="52"/>
      <c r="AY211" s="52"/>
      <c r="AZ211" s="52"/>
      <c r="BA211" s="53"/>
      <c r="BC211" s="57"/>
      <c r="BD211" s="54"/>
      <c r="BE211" s="54"/>
      <c r="BF211" s="54"/>
      <c r="BG211" s="54"/>
      <c r="BH211" s="52"/>
      <c r="BI211" s="53"/>
    </row>
    <row r="212" customFormat="false" ht="13.5" hidden="false" customHeight="false" outlineLevel="0" collapsed="false">
      <c r="A212" s="57"/>
      <c r="B212" s="52"/>
      <c r="C212" s="52"/>
      <c r="D212" s="52"/>
      <c r="E212" s="52"/>
      <c r="F212" s="52"/>
      <c r="G212" s="53"/>
      <c r="I212" s="57"/>
      <c r="J212" s="54"/>
      <c r="K212" s="54"/>
      <c r="L212" s="54"/>
      <c r="M212" s="54"/>
      <c r="N212" s="52"/>
      <c r="O212" s="53"/>
      <c r="Q212" s="52" t="s">
        <v>1155</v>
      </c>
      <c r="R212" s="52" t="n">
        <v>24.93</v>
      </c>
      <c r="S212" s="52" t="n">
        <v>24.9</v>
      </c>
      <c r="T212" s="52" t="n">
        <v>25</v>
      </c>
      <c r="U212" s="52" t="n">
        <v>24.88</v>
      </c>
      <c r="V212" s="52" t="s">
        <v>1156</v>
      </c>
      <c r="W212" s="53" t="n">
        <v>-0.0028</v>
      </c>
      <c r="Y212" s="52" t="s">
        <v>1157</v>
      </c>
      <c r="Z212" s="54" t="n">
        <v>61984.43</v>
      </c>
      <c r="AA212" s="54" t="n">
        <v>62274.63</v>
      </c>
      <c r="AB212" s="54" t="n">
        <v>63182.59</v>
      </c>
      <c r="AC212" s="54" t="n">
        <v>61184.81</v>
      </c>
      <c r="AD212" s="52" t="s">
        <v>1158</v>
      </c>
      <c r="AE212" s="53" t="n">
        <v>-0.0052</v>
      </c>
      <c r="AU212" s="57"/>
      <c r="AV212" s="52"/>
      <c r="AW212" s="52"/>
      <c r="AX212" s="52"/>
      <c r="AY212" s="52"/>
      <c r="AZ212" s="52"/>
      <c r="BA212" s="53"/>
      <c r="BC212" s="57"/>
      <c r="BD212" s="54"/>
      <c r="BE212" s="54"/>
      <c r="BF212" s="54"/>
      <c r="BG212" s="54"/>
      <c r="BH212" s="52"/>
      <c r="BI212" s="53"/>
    </row>
    <row r="213" customFormat="false" ht="13.5" hidden="false" customHeight="false" outlineLevel="0" collapsed="false">
      <c r="A213" s="58"/>
      <c r="B213" s="52"/>
      <c r="C213" s="52"/>
      <c r="D213" s="52"/>
      <c r="E213" s="52"/>
      <c r="F213" s="52"/>
      <c r="G213" s="53"/>
      <c r="I213" s="57"/>
      <c r="J213" s="54"/>
      <c r="K213" s="54"/>
      <c r="L213" s="54"/>
      <c r="M213" s="54"/>
      <c r="N213" s="52"/>
      <c r="O213" s="53"/>
      <c r="Q213" s="51" t="n">
        <v>45787</v>
      </c>
      <c r="R213" s="52" t="n">
        <v>24.78</v>
      </c>
      <c r="S213" s="52" t="n">
        <v>24.91</v>
      </c>
      <c r="T213" s="52" t="n">
        <v>24.91</v>
      </c>
      <c r="U213" s="52" t="n">
        <v>24.5</v>
      </c>
      <c r="V213" s="52" t="s">
        <v>1159</v>
      </c>
      <c r="W213" s="53" t="n">
        <v>-0.006</v>
      </c>
      <c r="Y213" s="52" t="s">
        <v>1160</v>
      </c>
      <c r="Z213" s="54" t="n">
        <v>60568.93</v>
      </c>
      <c r="AA213" s="54" t="n">
        <v>60749.65</v>
      </c>
      <c r="AB213" s="54" t="n">
        <v>61274.75</v>
      </c>
      <c r="AC213" s="54" t="n">
        <v>60110.48</v>
      </c>
      <c r="AD213" s="52" t="s">
        <v>1161</v>
      </c>
      <c r="AE213" s="53" t="n">
        <v>-0.0228</v>
      </c>
      <c r="AU213" s="57"/>
      <c r="AV213" s="52"/>
      <c r="AW213" s="52"/>
      <c r="AX213" s="52"/>
      <c r="AY213" s="52"/>
      <c r="AZ213" s="52"/>
      <c r="BA213" s="53"/>
      <c r="BC213" s="57"/>
      <c r="BD213" s="54"/>
      <c r="BE213" s="54"/>
      <c r="BF213" s="54"/>
      <c r="BG213" s="54"/>
      <c r="BH213" s="52"/>
      <c r="BI213" s="53"/>
    </row>
    <row r="214" customFormat="false" ht="13.5" hidden="false" customHeight="false" outlineLevel="0" collapsed="false">
      <c r="A214" s="58"/>
      <c r="B214" s="52"/>
      <c r="C214" s="52"/>
      <c r="D214" s="52"/>
      <c r="E214" s="52"/>
      <c r="F214" s="52"/>
      <c r="G214" s="53"/>
      <c r="I214" s="57"/>
      <c r="J214" s="54"/>
      <c r="K214" s="54"/>
      <c r="L214" s="54"/>
      <c r="M214" s="54"/>
      <c r="N214" s="52"/>
      <c r="O214" s="53"/>
      <c r="Q214" s="51" t="n">
        <v>46001</v>
      </c>
      <c r="R214" s="52" t="n">
        <v>25.06</v>
      </c>
      <c r="S214" s="52" t="n">
        <v>24.93</v>
      </c>
      <c r="T214" s="52" t="n">
        <v>25.09</v>
      </c>
      <c r="U214" s="52" t="n">
        <v>23.9</v>
      </c>
      <c r="V214" s="52" t="s">
        <v>1162</v>
      </c>
      <c r="W214" s="53" t="n">
        <v>0.0113</v>
      </c>
      <c r="Y214" s="52" t="s">
        <v>1163</v>
      </c>
      <c r="Z214" s="54" t="n">
        <v>61743.92</v>
      </c>
      <c r="AA214" s="54" t="n">
        <v>60808</v>
      </c>
      <c r="AB214" s="54" t="n">
        <v>62920.8</v>
      </c>
      <c r="AC214" s="54" t="n">
        <v>60678.03</v>
      </c>
      <c r="AD214" s="52" t="s">
        <v>1164</v>
      </c>
      <c r="AE214" s="53" t="n">
        <v>0.0194</v>
      </c>
      <c r="AU214" s="58"/>
      <c r="AV214" s="52"/>
      <c r="AW214" s="52"/>
      <c r="AX214" s="52"/>
      <c r="AY214" s="52"/>
      <c r="AZ214" s="52"/>
      <c r="BA214" s="53"/>
      <c r="BC214" s="57"/>
      <c r="BD214" s="54"/>
      <c r="BE214" s="54"/>
      <c r="BF214" s="54"/>
      <c r="BG214" s="54"/>
      <c r="BH214" s="52"/>
      <c r="BI214" s="53"/>
    </row>
    <row r="215" customFormat="false" ht="13.5" hidden="false" customHeight="false" outlineLevel="0" collapsed="false">
      <c r="A215" s="57"/>
      <c r="B215" s="52"/>
      <c r="C215" s="52"/>
      <c r="D215" s="52"/>
      <c r="E215" s="52"/>
      <c r="F215" s="52"/>
      <c r="G215" s="53"/>
      <c r="I215" s="57"/>
      <c r="J215" s="54"/>
      <c r="K215" s="54"/>
      <c r="L215" s="54"/>
      <c r="M215" s="54"/>
      <c r="N215" s="52"/>
      <c r="O215" s="53"/>
      <c r="Q215" s="52" t="s">
        <v>1165</v>
      </c>
      <c r="R215" s="52" t="n">
        <v>24.88</v>
      </c>
      <c r="S215" s="52" t="n">
        <v>25.09</v>
      </c>
      <c r="T215" s="52" t="n">
        <v>25.18</v>
      </c>
      <c r="U215" s="52" t="n">
        <v>24.5</v>
      </c>
      <c r="V215" s="52" t="s">
        <v>1166</v>
      </c>
      <c r="W215" s="53" t="n">
        <v>-0.0072</v>
      </c>
      <c r="Y215" s="52" t="s">
        <v>1167</v>
      </c>
      <c r="Z215" s="54" t="n">
        <v>61145.49</v>
      </c>
      <c r="AA215" s="54" t="n">
        <v>61871.33</v>
      </c>
      <c r="AB215" s="54" t="n">
        <v>62086.52</v>
      </c>
      <c r="AC215" s="54" t="n">
        <v>60599.1</v>
      </c>
      <c r="AD215" s="52" t="s">
        <v>1168</v>
      </c>
      <c r="AE215" s="53" t="n">
        <v>-0.0097</v>
      </c>
      <c r="AU215" s="58"/>
      <c r="AV215" s="52"/>
      <c r="AW215" s="52"/>
      <c r="AX215" s="52"/>
      <c r="AY215" s="52"/>
      <c r="AZ215" s="52"/>
      <c r="BA215" s="53"/>
      <c r="BC215" s="57"/>
      <c r="BD215" s="54"/>
      <c r="BE215" s="54"/>
      <c r="BF215" s="54"/>
      <c r="BG215" s="54"/>
      <c r="BH215" s="52"/>
      <c r="BI215" s="53"/>
    </row>
    <row r="216" customFormat="false" ht="13.5" hidden="false" customHeight="false" outlineLevel="0" collapsed="false">
      <c r="A216" s="57"/>
      <c r="B216" s="52"/>
      <c r="C216" s="52"/>
      <c r="D216" s="52"/>
      <c r="E216" s="52"/>
      <c r="F216" s="52"/>
      <c r="G216" s="53"/>
      <c r="I216" s="57"/>
      <c r="J216" s="54"/>
      <c r="K216" s="54"/>
      <c r="L216" s="54"/>
      <c r="M216" s="54"/>
      <c r="N216" s="52"/>
      <c r="O216" s="53"/>
      <c r="Q216" s="52" t="s">
        <v>1169</v>
      </c>
      <c r="R216" s="52" t="n">
        <v>26.45</v>
      </c>
      <c r="S216" s="52" t="n">
        <v>24.01</v>
      </c>
      <c r="T216" s="52" t="n">
        <v>26.5</v>
      </c>
      <c r="U216" s="52" t="n">
        <v>24.01</v>
      </c>
      <c r="V216" s="52" t="s">
        <v>1170</v>
      </c>
      <c r="W216" s="53" t="n">
        <v>0.0631</v>
      </c>
      <c r="Y216" s="52" t="s">
        <v>1171</v>
      </c>
      <c r="Z216" s="54" t="n">
        <v>62769.18</v>
      </c>
      <c r="AA216" s="54" t="n">
        <v>61424.85</v>
      </c>
      <c r="AB216" s="54" t="n">
        <v>63540.28</v>
      </c>
      <c r="AC216" s="54" t="n">
        <v>61219.45</v>
      </c>
      <c r="AD216" s="52" t="s">
        <v>1172</v>
      </c>
      <c r="AE216" s="53" t="n">
        <v>0.0266</v>
      </c>
      <c r="AU216" s="57"/>
      <c r="AV216" s="52"/>
      <c r="AW216" s="52"/>
      <c r="AX216" s="52"/>
      <c r="AY216" s="52"/>
      <c r="AZ216" s="52"/>
      <c r="BA216" s="53"/>
      <c r="BC216" s="57"/>
      <c r="BD216" s="54"/>
      <c r="BE216" s="54"/>
      <c r="BF216" s="54"/>
      <c r="BG216" s="54"/>
      <c r="BH216" s="52"/>
      <c r="BI216" s="53"/>
    </row>
    <row r="217" customFormat="false" ht="13.5" hidden="false" customHeight="false" outlineLevel="0" collapsed="false">
      <c r="A217" s="58"/>
      <c r="B217" s="52"/>
      <c r="C217" s="52"/>
      <c r="D217" s="52"/>
      <c r="E217" s="52"/>
      <c r="F217" s="52"/>
      <c r="G217" s="53"/>
      <c r="I217" s="57"/>
      <c r="J217" s="54"/>
      <c r="K217" s="54"/>
      <c r="L217" s="54"/>
      <c r="M217" s="54"/>
      <c r="N217" s="52"/>
      <c r="O217" s="53"/>
      <c r="Q217" s="51" t="n">
        <v>45699</v>
      </c>
      <c r="R217" s="52" t="n">
        <v>25.74</v>
      </c>
      <c r="S217" s="52" t="n">
        <v>26.45</v>
      </c>
      <c r="T217" s="52" t="n">
        <v>26.65</v>
      </c>
      <c r="U217" s="52" t="n">
        <v>25.28</v>
      </c>
      <c r="V217" s="52" t="s">
        <v>1173</v>
      </c>
      <c r="W217" s="53" t="n">
        <v>-0.0268</v>
      </c>
      <c r="Y217" s="52" t="s">
        <v>1174</v>
      </c>
      <c r="Z217" s="54" t="n">
        <v>63376.13</v>
      </c>
      <c r="AA217" s="54" t="n">
        <v>62729.51</v>
      </c>
      <c r="AB217" s="54" t="n">
        <v>63682.8</v>
      </c>
      <c r="AC217" s="54" t="n">
        <v>61289.77</v>
      </c>
      <c r="AD217" s="52" t="s">
        <v>1175</v>
      </c>
      <c r="AE217" s="53" t="n">
        <v>0.0097</v>
      </c>
      <c r="AU217" s="57"/>
      <c r="AV217" s="52"/>
      <c r="AW217" s="52"/>
      <c r="AX217" s="52"/>
      <c r="AY217" s="52"/>
      <c r="AZ217" s="52"/>
      <c r="BA217" s="53"/>
      <c r="BC217" s="57"/>
      <c r="BD217" s="54"/>
      <c r="BE217" s="54"/>
      <c r="BF217" s="54"/>
      <c r="BG217" s="54"/>
      <c r="BH217" s="52"/>
      <c r="BI217" s="53"/>
    </row>
    <row r="218" customFormat="false" ht="13.5" hidden="false" customHeight="false" outlineLevel="0" collapsed="false">
      <c r="A218" s="58"/>
      <c r="B218" s="52"/>
      <c r="C218" s="52"/>
      <c r="D218" s="52"/>
      <c r="E218" s="52"/>
      <c r="F218" s="52"/>
      <c r="G218" s="53"/>
      <c r="I218" s="57"/>
      <c r="J218" s="54"/>
      <c r="K218" s="54"/>
      <c r="L218" s="54"/>
      <c r="M218" s="54"/>
      <c r="N218" s="52"/>
      <c r="O218" s="53"/>
      <c r="Q218" s="51" t="n">
        <v>45911</v>
      </c>
      <c r="R218" s="52" t="n">
        <v>27.39</v>
      </c>
      <c r="S218" s="52" t="n">
        <v>25.72</v>
      </c>
      <c r="T218" s="52" t="n">
        <v>27.63</v>
      </c>
      <c r="U218" s="52" t="n">
        <v>25.72</v>
      </c>
      <c r="V218" s="52" t="s">
        <v>1176</v>
      </c>
      <c r="W218" s="53" t="n">
        <v>0.0641</v>
      </c>
      <c r="Y218" s="52" t="s">
        <v>1177</v>
      </c>
      <c r="Z218" s="54" t="n">
        <v>62328.63</v>
      </c>
      <c r="AA218" s="54" t="n">
        <v>63379.65</v>
      </c>
      <c r="AB218" s="54" t="n">
        <v>64406.21</v>
      </c>
      <c r="AC218" s="54" t="n">
        <v>62180.97</v>
      </c>
      <c r="AD218" s="52" t="s">
        <v>1178</v>
      </c>
      <c r="AE218" s="53" t="n">
        <v>-0.0165</v>
      </c>
      <c r="AU218" s="58"/>
      <c r="AV218" s="52"/>
      <c r="AW218" s="52"/>
      <c r="AX218" s="52"/>
      <c r="AY218" s="52"/>
      <c r="AZ218" s="52"/>
      <c r="BA218" s="53"/>
      <c r="BC218" s="57"/>
      <c r="BD218" s="54"/>
      <c r="BE218" s="54"/>
      <c r="BF218" s="54"/>
      <c r="BG218" s="54"/>
      <c r="BH218" s="52"/>
      <c r="BI218" s="53"/>
    </row>
    <row r="219" customFormat="false" ht="13.5" hidden="false" customHeight="false" outlineLevel="0" collapsed="false">
      <c r="A219" s="57"/>
      <c r="B219" s="52"/>
      <c r="C219" s="52"/>
      <c r="D219" s="52"/>
      <c r="E219" s="52"/>
      <c r="F219" s="52"/>
      <c r="G219" s="53"/>
      <c r="I219" s="57"/>
      <c r="J219" s="54"/>
      <c r="K219" s="54"/>
      <c r="L219" s="54"/>
      <c r="M219" s="54"/>
      <c r="N219" s="52"/>
      <c r="O219" s="53"/>
      <c r="Q219" s="52" t="s">
        <v>1179</v>
      </c>
      <c r="R219" s="52" t="n">
        <v>28.49</v>
      </c>
      <c r="S219" s="52" t="n">
        <v>26.5</v>
      </c>
      <c r="T219" s="52" t="n">
        <v>29</v>
      </c>
      <c r="U219" s="52" t="n">
        <v>26.5</v>
      </c>
      <c r="V219" s="52" t="s">
        <v>639</v>
      </c>
      <c r="W219" s="53" t="n">
        <v>0.0402</v>
      </c>
      <c r="Y219" s="52" t="s">
        <v>1180</v>
      </c>
      <c r="Z219" s="54" t="n">
        <v>61877.27</v>
      </c>
      <c r="AA219" s="54" t="n">
        <v>62388.78</v>
      </c>
      <c r="AB219" s="54" t="n">
        <v>62764.31</v>
      </c>
      <c r="AC219" s="54" t="n">
        <v>61454.54</v>
      </c>
      <c r="AD219" s="52" t="s">
        <v>1181</v>
      </c>
      <c r="AE219" s="53" t="n">
        <v>-0.0072</v>
      </c>
      <c r="AU219" s="58"/>
      <c r="AV219" s="52"/>
      <c r="AW219" s="52"/>
      <c r="AX219" s="52"/>
      <c r="AY219" s="52"/>
      <c r="AZ219" s="52"/>
      <c r="BA219" s="53"/>
      <c r="BC219" s="57"/>
      <c r="BD219" s="54"/>
      <c r="BE219" s="54"/>
      <c r="BF219" s="54"/>
      <c r="BG219" s="54"/>
      <c r="BH219" s="52"/>
      <c r="BI219" s="53"/>
    </row>
    <row r="220" customFormat="false" ht="13.5" hidden="false" customHeight="false" outlineLevel="0" collapsed="false">
      <c r="A220" s="57"/>
      <c r="B220" s="52"/>
      <c r="C220" s="52"/>
      <c r="D220" s="52"/>
      <c r="E220" s="52"/>
      <c r="F220" s="52"/>
      <c r="G220" s="53"/>
      <c r="I220" s="57"/>
      <c r="J220" s="54"/>
      <c r="K220" s="54"/>
      <c r="L220" s="54"/>
      <c r="M220" s="54"/>
      <c r="N220" s="52"/>
      <c r="O220" s="53"/>
      <c r="Q220" s="52" t="s">
        <v>1182</v>
      </c>
      <c r="R220" s="52" t="n">
        <v>31.05</v>
      </c>
      <c r="S220" s="52" t="n">
        <v>28.49</v>
      </c>
      <c r="T220" s="52" t="n">
        <v>31.4</v>
      </c>
      <c r="U220" s="52" t="n">
        <v>27.85</v>
      </c>
      <c r="V220" s="52" t="s">
        <v>1183</v>
      </c>
      <c r="W220" s="53" t="n">
        <v>0.0899</v>
      </c>
      <c r="Y220" s="52" t="s">
        <v>1184</v>
      </c>
      <c r="Z220" s="54" t="n">
        <v>63596.78</v>
      </c>
      <c r="AA220" s="54" t="n">
        <v>61840.51</v>
      </c>
      <c r="AB220" s="54" t="n">
        <v>63876.43</v>
      </c>
      <c r="AC220" s="54" t="n">
        <v>61840.51</v>
      </c>
      <c r="AD220" s="52" t="s">
        <v>1185</v>
      </c>
      <c r="AE220" s="53" t="n">
        <v>0.0278</v>
      </c>
      <c r="AU220" s="57"/>
      <c r="AV220" s="52"/>
      <c r="AW220" s="52"/>
      <c r="AX220" s="52"/>
      <c r="AY220" s="52"/>
      <c r="AZ220" s="52"/>
      <c r="BA220" s="53"/>
      <c r="BC220" s="57"/>
      <c r="BD220" s="54"/>
      <c r="BE220" s="54"/>
      <c r="BF220" s="54"/>
      <c r="BG220" s="54"/>
      <c r="BH220" s="52"/>
      <c r="BI220" s="53"/>
    </row>
    <row r="221" customFormat="false" ht="13.5" hidden="false" customHeight="false" outlineLevel="0" collapsed="false">
      <c r="A221" s="57"/>
      <c r="B221" s="52"/>
      <c r="C221" s="52"/>
      <c r="D221" s="52"/>
      <c r="E221" s="52"/>
      <c r="F221" s="52"/>
      <c r="G221" s="53"/>
      <c r="I221" s="57"/>
      <c r="J221" s="54"/>
      <c r="K221" s="54"/>
      <c r="L221" s="54"/>
      <c r="M221" s="54"/>
      <c r="N221" s="52"/>
      <c r="O221" s="53"/>
      <c r="Q221" s="52" t="s">
        <v>1186</v>
      </c>
      <c r="R221" s="52" t="n">
        <v>29</v>
      </c>
      <c r="S221" s="52" t="n">
        <v>30.15</v>
      </c>
      <c r="T221" s="52" t="n">
        <v>30.4</v>
      </c>
      <c r="U221" s="52" t="n">
        <v>29</v>
      </c>
      <c r="V221" s="52" t="s">
        <v>1187</v>
      </c>
      <c r="W221" s="53" t="n">
        <v>-0.066</v>
      </c>
      <c r="Y221" s="52" t="s">
        <v>1188</v>
      </c>
      <c r="Z221" s="54" t="n">
        <v>63378.3</v>
      </c>
      <c r="AA221" s="54" t="n">
        <v>63720.63</v>
      </c>
      <c r="AB221" s="54" t="n">
        <v>64077.48</v>
      </c>
      <c r="AC221" s="54" t="n">
        <v>63106.87</v>
      </c>
      <c r="AD221" s="52" t="s">
        <v>1189</v>
      </c>
      <c r="AE221" s="53" t="n">
        <v>-0.0034</v>
      </c>
      <c r="AU221" s="57"/>
      <c r="AV221" s="52"/>
      <c r="AW221" s="52"/>
      <c r="AX221" s="52"/>
      <c r="AY221" s="52"/>
      <c r="AZ221" s="52"/>
      <c r="BA221" s="53"/>
      <c r="BC221" s="57"/>
      <c r="BD221" s="54"/>
      <c r="BE221" s="54"/>
      <c r="BF221" s="54"/>
      <c r="BG221" s="54"/>
      <c r="BH221" s="52"/>
      <c r="BI221" s="53"/>
    </row>
    <row r="222" customFormat="false" ht="13.5" hidden="false" customHeight="false" outlineLevel="0" collapsed="false">
      <c r="A222" s="58"/>
      <c r="B222" s="52"/>
      <c r="C222" s="52"/>
      <c r="D222" s="52"/>
      <c r="E222" s="52"/>
      <c r="F222" s="52"/>
      <c r="G222" s="53"/>
      <c r="I222" s="57"/>
      <c r="J222" s="54"/>
      <c r="K222" s="54"/>
      <c r="L222" s="54"/>
      <c r="M222" s="54"/>
      <c r="N222" s="52"/>
      <c r="O222" s="53"/>
      <c r="Q222" s="51" t="n">
        <v>45850</v>
      </c>
      <c r="R222" s="52" t="n">
        <v>31.4</v>
      </c>
      <c r="S222" s="52" t="n">
        <v>28.95</v>
      </c>
      <c r="T222" s="52" t="n">
        <v>32</v>
      </c>
      <c r="U222" s="52" t="n">
        <v>28.4</v>
      </c>
      <c r="V222" s="52" t="s">
        <v>1190</v>
      </c>
      <c r="W222" s="53" t="n">
        <v>0.0828</v>
      </c>
      <c r="Y222" s="52" t="s">
        <v>1191</v>
      </c>
      <c r="Z222" s="54" t="n">
        <v>64712.07</v>
      </c>
      <c r="AA222" s="54" t="n">
        <v>63496.47</v>
      </c>
      <c r="AB222" s="54" t="n">
        <v>65016.87</v>
      </c>
      <c r="AC222" s="54" t="n">
        <v>63166.49</v>
      </c>
      <c r="AD222" s="52" t="s">
        <v>1192</v>
      </c>
      <c r="AE222" s="53" t="n">
        <v>0.021</v>
      </c>
      <c r="AU222" s="57"/>
      <c r="AV222" s="52"/>
      <c r="AW222" s="52"/>
      <c r="AX222" s="52"/>
      <c r="AY222" s="52"/>
      <c r="AZ222" s="52"/>
      <c r="BA222" s="53"/>
      <c r="BC222" s="57"/>
      <c r="BD222" s="54"/>
      <c r="BE222" s="54"/>
      <c r="BF222" s="54"/>
      <c r="BG222" s="54"/>
      <c r="BH222" s="52"/>
      <c r="BI222" s="53"/>
    </row>
    <row r="223" customFormat="false" ht="13.5" hidden="false" customHeight="false" outlineLevel="0" collapsed="false">
      <c r="A223" s="57"/>
      <c r="B223" s="52"/>
      <c r="C223" s="52"/>
      <c r="D223" s="52"/>
      <c r="E223" s="52"/>
      <c r="F223" s="52"/>
      <c r="G223" s="53"/>
      <c r="I223" s="57"/>
      <c r="J223" s="54"/>
      <c r="K223" s="54"/>
      <c r="L223" s="54"/>
      <c r="M223" s="54"/>
      <c r="N223" s="52"/>
      <c r="O223" s="53"/>
      <c r="Q223" s="52" t="s">
        <v>1193</v>
      </c>
      <c r="R223" s="52" t="n">
        <v>39.16</v>
      </c>
      <c r="S223" s="52" t="n">
        <v>31.39</v>
      </c>
      <c r="T223" s="52" t="n">
        <v>39.38</v>
      </c>
      <c r="U223" s="52" t="n">
        <v>31.38</v>
      </c>
      <c r="V223" s="52" t="s">
        <v>1194</v>
      </c>
      <c r="W223" s="53" t="n">
        <v>0.2471</v>
      </c>
      <c r="Y223" s="52" t="s">
        <v>1195</v>
      </c>
      <c r="Z223" s="54" t="n">
        <v>63966.98</v>
      </c>
      <c r="AA223" s="54" t="n">
        <v>64736.67</v>
      </c>
      <c r="AB223" s="54" t="n">
        <v>65250.14</v>
      </c>
      <c r="AC223" s="54" t="n">
        <v>62461.06</v>
      </c>
      <c r="AD223" s="52" t="s">
        <v>1055</v>
      </c>
      <c r="AE223" s="53" t="n">
        <v>-0.0115</v>
      </c>
      <c r="AU223" s="58"/>
      <c r="AV223" s="52"/>
      <c r="AW223" s="52"/>
      <c r="AX223" s="52"/>
      <c r="AY223" s="52"/>
      <c r="AZ223" s="52"/>
      <c r="BA223" s="53"/>
      <c r="BC223" s="57"/>
      <c r="BD223" s="54"/>
      <c r="BE223" s="54"/>
      <c r="BF223" s="54"/>
      <c r="BG223" s="54"/>
      <c r="BH223" s="52"/>
      <c r="BI223" s="53"/>
    </row>
    <row r="224" customFormat="false" ht="13.5" hidden="false" customHeight="false" outlineLevel="0" collapsed="false">
      <c r="A224" s="57"/>
      <c r="B224" s="52"/>
      <c r="C224" s="52"/>
      <c r="D224" s="52"/>
      <c r="E224" s="52"/>
      <c r="F224" s="52"/>
      <c r="G224" s="53"/>
      <c r="I224" s="57"/>
      <c r="J224" s="54"/>
      <c r="K224" s="54"/>
      <c r="L224" s="54"/>
      <c r="M224" s="54"/>
      <c r="N224" s="52"/>
      <c r="O224" s="53"/>
      <c r="Q224" s="52" t="s">
        <v>1196</v>
      </c>
      <c r="R224" s="52" t="n">
        <v>39.84</v>
      </c>
      <c r="S224" s="52" t="n">
        <v>38.37</v>
      </c>
      <c r="T224" s="52" t="n">
        <v>40.5</v>
      </c>
      <c r="U224" s="52" t="n">
        <v>37.24</v>
      </c>
      <c r="V224" s="52" t="s">
        <v>1197</v>
      </c>
      <c r="W224" s="53" t="n">
        <v>0.0174</v>
      </c>
      <c r="Y224" s="52" t="s">
        <v>1198</v>
      </c>
      <c r="Z224" s="54" t="n">
        <v>65636.36</v>
      </c>
      <c r="AA224" s="54" t="n">
        <v>64102</v>
      </c>
      <c r="AB224" s="54" t="n">
        <v>65882.59</v>
      </c>
      <c r="AC224" s="54" t="n">
        <v>63720.49</v>
      </c>
      <c r="AD224" s="52" t="s">
        <v>1199</v>
      </c>
      <c r="AE224" s="53" t="n">
        <v>0.0261</v>
      </c>
      <c r="AU224" s="57"/>
      <c r="AV224" s="52"/>
      <c r="AW224" s="52"/>
      <c r="AX224" s="52"/>
      <c r="AY224" s="52"/>
      <c r="AZ224" s="52"/>
      <c r="BA224" s="53"/>
      <c r="BC224" s="57"/>
      <c r="BD224" s="54"/>
      <c r="BE224" s="54"/>
      <c r="BF224" s="54"/>
      <c r="BG224" s="54"/>
      <c r="BH224" s="52"/>
      <c r="BI224" s="53"/>
    </row>
    <row r="225" customFormat="false" ht="13.5" hidden="false" customHeight="false" outlineLevel="0" collapsed="false">
      <c r="A225" s="57"/>
      <c r="B225" s="52"/>
      <c r="C225" s="52"/>
      <c r="D225" s="52"/>
      <c r="E225" s="52"/>
      <c r="F225" s="52"/>
      <c r="G225" s="53"/>
      <c r="I225" s="57"/>
      <c r="J225" s="54"/>
      <c r="K225" s="54"/>
      <c r="L225" s="54"/>
      <c r="M225" s="54"/>
      <c r="N225" s="52"/>
      <c r="O225" s="53"/>
      <c r="Q225" s="52" t="s">
        <v>1200</v>
      </c>
      <c r="R225" s="52" t="n">
        <v>41.8</v>
      </c>
      <c r="S225" s="52" t="n">
        <v>39.04</v>
      </c>
      <c r="T225" s="52" t="n">
        <v>41.8</v>
      </c>
      <c r="U225" s="52" t="n">
        <v>37</v>
      </c>
      <c r="V225" s="52" t="s">
        <v>1201</v>
      </c>
      <c r="W225" s="53" t="n">
        <v>0.0492</v>
      </c>
      <c r="Y225" s="52" t="s">
        <v>1202</v>
      </c>
      <c r="Z225" s="54" t="n">
        <v>64141.36</v>
      </c>
      <c r="AA225" s="54" t="n">
        <v>65608.54</v>
      </c>
      <c r="AB225" s="54" t="n">
        <v>65697.63</v>
      </c>
      <c r="AC225" s="54" t="n">
        <v>63802.14</v>
      </c>
      <c r="AD225" s="52" t="s">
        <v>1203</v>
      </c>
      <c r="AE225" s="53" t="n">
        <v>-0.0228</v>
      </c>
      <c r="AU225" s="57"/>
      <c r="AV225" s="52"/>
      <c r="AW225" s="52"/>
      <c r="AX225" s="52"/>
      <c r="AY225" s="52"/>
      <c r="AZ225" s="52"/>
      <c r="BA225" s="53"/>
      <c r="BC225" s="57"/>
      <c r="BD225" s="54"/>
      <c r="BE225" s="54"/>
      <c r="BF225" s="54"/>
      <c r="BG225" s="54"/>
      <c r="BH225" s="52"/>
      <c r="BI225" s="53"/>
    </row>
    <row r="226" customFormat="false" ht="13.5" hidden="false" customHeight="false" outlineLevel="0" collapsed="false">
      <c r="A226" s="58"/>
      <c r="B226" s="52"/>
      <c r="C226" s="52"/>
      <c r="D226" s="52"/>
      <c r="E226" s="52"/>
      <c r="F226" s="52"/>
      <c r="G226" s="53"/>
      <c r="I226" s="57"/>
      <c r="J226" s="54"/>
      <c r="K226" s="54"/>
      <c r="L226" s="54"/>
      <c r="M226" s="54"/>
      <c r="N226" s="52"/>
      <c r="O226" s="53"/>
      <c r="Q226" s="51" t="n">
        <v>46113</v>
      </c>
      <c r="R226" s="52" t="n">
        <v>37.17</v>
      </c>
      <c r="S226" s="52" t="n">
        <v>40.97</v>
      </c>
      <c r="T226" s="52" t="n">
        <v>42.7</v>
      </c>
      <c r="U226" s="52" t="n">
        <v>36.86</v>
      </c>
      <c r="V226" s="52" t="s">
        <v>1204</v>
      </c>
      <c r="W226" s="53" t="n">
        <v>-0.1108</v>
      </c>
      <c r="Y226" s="52" t="s">
        <v>1205</v>
      </c>
      <c r="Z226" s="54" t="n">
        <v>66062.62</v>
      </c>
      <c r="AA226" s="54" t="n">
        <v>64306.17</v>
      </c>
      <c r="AB226" s="54" t="n">
        <v>66152.73</v>
      </c>
      <c r="AC226" s="54" t="n">
        <v>64043.15</v>
      </c>
      <c r="AD226" s="52" t="s">
        <v>1206</v>
      </c>
      <c r="AE226" s="53" t="n">
        <v>0.03</v>
      </c>
      <c r="AU226" s="57"/>
      <c r="AV226" s="52"/>
      <c r="AW226" s="52"/>
      <c r="AX226" s="52"/>
      <c r="AY226" s="52"/>
      <c r="AZ226" s="52"/>
      <c r="BA226" s="53"/>
      <c r="BC226" s="57"/>
      <c r="BD226" s="54"/>
      <c r="BE226" s="54"/>
      <c r="BF226" s="54"/>
      <c r="BG226" s="54"/>
      <c r="BH226" s="52"/>
      <c r="BI226" s="53"/>
    </row>
    <row r="227" customFormat="false" ht="13.5" hidden="false" customHeight="false" outlineLevel="0" collapsed="false">
      <c r="A227" s="58"/>
      <c r="B227" s="52"/>
      <c r="C227" s="52"/>
      <c r="D227" s="52"/>
      <c r="E227" s="52"/>
      <c r="F227" s="52"/>
      <c r="G227" s="53"/>
      <c r="I227" s="57"/>
      <c r="J227" s="54"/>
      <c r="K227" s="54"/>
      <c r="L227" s="54"/>
      <c r="M227" s="54"/>
      <c r="N227" s="52"/>
      <c r="O227" s="53"/>
      <c r="Q227" s="51" t="n">
        <v>46327</v>
      </c>
      <c r="R227" s="52" t="n">
        <v>35.36</v>
      </c>
      <c r="S227" s="52" t="n">
        <v>36.42</v>
      </c>
      <c r="T227" s="52" t="n">
        <v>36.42</v>
      </c>
      <c r="U227" s="52" t="n">
        <v>34.5</v>
      </c>
      <c r="V227" s="52" t="s">
        <v>1207</v>
      </c>
      <c r="W227" s="53" t="n">
        <v>-0.0487</v>
      </c>
      <c r="Y227" s="52" t="s">
        <v>1208</v>
      </c>
      <c r="Z227" s="54" t="n">
        <v>67141.11</v>
      </c>
      <c r="AA227" s="54" t="n">
        <v>66113.53</v>
      </c>
      <c r="AB227" s="54" t="n">
        <v>67656.97</v>
      </c>
      <c r="AC227" s="54" t="n">
        <v>66038.6</v>
      </c>
      <c r="AD227" s="52" t="s">
        <v>1209</v>
      </c>
      <c r="AE227" s="53" t="n">
        <v>0.0163</v>
      </c>
      <c r="AU227" s="58"/>
      <c r="AV227" s="52"/>
      <c r="AW227" s="52"/>
      <c r="AX227" s="52"/>
      <c r="AY227" s="52"/>
      <c r="AZ227" s="52"/>
      <c r="BA227" s="53"/>
      <c r="BC227" s="57"/>
      <c r="BD227" s="54"/>
      <c r="BE227" s="54"/>
      <c r="BF227" s="54"/>
      <c r="BG227" s="54"/>
      <c r="BH227" s="52"/>
      <c r="BI227" s="53"/>
    </row>
    <row r="228" customFormat="false" ht="13.5" hidden="false" customHeight="false" outlineLevel="0" collapsed="false">
      <c r="A228" s="57"/>
      <c r="B228" s="52"/>
      <c r="C228" s="52"/>
      <c r="D228" s="52"/>
      <c r="E228" s="52"/>
      <c r="F228" s="52"/>
      <c r="G228" s="53"/>
      <c r="I228" s="57"/>
      <c r="J228" s="54"/>
      <c r="K228" s="54"/>
      <c r="L228" s="54"/>
      <c r="M228" s="54"/>
      <c r="N228" s="52"/>
      <c r="O228" s="53"/>
      <c r="Q228" s="52" t="s">
        <v>1210</v>
      </c>
      <c r="R228" s="52" t="n">
        <v>34</v>
      </c>
      <c r="S228" s="52" t="n">
        <v>34.5</v>
      </c>
      <c r="T228" s="52" t="n">
        <v>34.5</v>
      </c>
      <c r="U228" s="52" t="n">
        <v>33.5</v>
      </c>
      <c r="V228" s="52" t="s">
        <v>1211</v>
      </c>
      <c r="W228" s="53" t="n">
        <v>-0.0385</v>
      </c>
      <c r="Y228" s="52" t="s">
        <v>1212</v>
      </c>
      <c r="Z228" s="54" t="n">
        <v>68195.15</v>
      </c>
      <c r="AA228" s="54" t="n">
        <v>67254.28</v>
      </c>
      <c r="AB228" s="54" t="n">
        <v>68799.7</v>
      </c>
      <c r="AC228" s="54" t="n">
        <v>66762.29</v>
      </c>
      <c r="AD228" s="52" t="s">
        <v>1213</v>
      </c>
      <c r="AE228" s="53" t="n">
        <v>0.0157</v>
      </c>
      <c r="AU228" s="58"/>
      <c r="AV228" s="52"/>
      <c r="AW228" s="52"/>
      <c r="AX228" s="52"/>
      <c r="AY228" s="52"/>
      <c r="AZ228" s="52"/>
      <c r="BA228" s="53"/>
      <c r="BC228" s="57"/>
      <c r="BD228" s="54"/>
      <c r="BE228" s="54"/>
      <c r="BF228" s="54"/>
      <c r="BG228" s="54"/>
      <c r="BH228" s="52"/>
      <c r="BI228" s="53"/>
    </row>
    <row r="229" customFormat="false" ht="13.5" hidden="false" customHeight="false" outlineLevel="0" collapsed="false">
      <c r="A229" s="57"/>
      <c r="B229" s="52"/>
      <c r="C229" s="52"/>
      <c r="D229" s="52"/>
      <c r="E229" s="52"/>
      <c r="F229" s="52"/>
      <c r="G229" s="53"/>
      <c r="I229" s="57"/>
      <c r="J229" s="54"/>
      <c r="K229" s="54"/>
      <c r="L229" s="54"/>
      <c r="M229" s="54"/>
      <c r="N229" s="52"/>
      <c r="O229" s="53"/>
      <c r="Q229" s="52" t="s">
        <v>1214</v>
      </c>
      <c r="R229" s="52" t="n">
        <v>35.8</v>
      </c>
      <c r="S229" s="52" t="n">
        <v>33.72</v>
      </c>
      <c r="T229" s="52" t="n">
        <v>35.8</v>
      </c>
      <c r="U229" s="52" t="n">
        <v>33.72</v>
      </c>
      <c r="V229" s="52" t="s">
        <v>1215</v>
      </c>
      <c r="W229" s="53" t="n">
        <v>0.0529</v>
      </c>
      <c r="Y229" s="52" t="s">
        <v>1216</v>
      </c>
      <c r="Z229" s="54" t="n">
        <v>67598.95</v>
      </c>
      <c r="AA229" s="54" t="n">
        <v>68420.1</v>
      </c>
      <c r="AB229" s="54" t="n">
        <v>70483.16</v>
      </c>
      <c r="AC229" s="54" t="n">
        <v>67468.04</v>
      </c>
      <c r="AD229" s="52" t="s">
        <v>1217</v>
      </c>
      <c r="AE229" s="53" t="n">
        <v>-0.0087</v>
      </c>
      <c r="AU229" s="57"/>
      <c r="AV229" s="52"/>
      <c r="AW229" s="52"/>
      <c r="AX229" s="52"/>
      <c r="AY229" s="52"/>
      <c r="AZ229" s="52"/>
      <c r="BA229" s="53"/>
      <c r="BC229" s="57"/>
      <c r="BD229" s="54"/>
      <c r="BE229" s="54"/>
      <c r="BF229" s="54"/>
      <c r="BG229" s="54"/>
      <c r="BH229" s="52"/>
      <c r="BI229" s="53"/>
    </row>
    <row r="230" customFormat="false" ht="13.5" hidden="false" customHeight="false" outlineLevel="0" collapsed="false">
      <c r="A230" s="58"/>
      <c r="B230" s="52"/>
      <c r="C230" s="52"/>
      <c r="D230" s="52"/>
      <c r="E230" s="52"/>
      <c r="F230" s="52"/>
      <c r="G230" s="53"/>
      <c r="I230" s="57"/>
      <c r="J230" s="54"/>
      <c r="K230" s="54"/>
      <c r="L230" s="54"/>
      <c r="M230" s="54"/>
      <c r="N230" s="52"/>
      <c r="O230" s="53"/>
      <c r="Q230" s="51" t="n">
        <v>46024</v>
      </c>
      <c r="R230" s="52" t="n">
        <v>36</v>
      </c>
      <c r="S230" s="52" t="n">
        <v>34.8</v>
      </c>
      <c r="T230" s="52" t="n">
        <v>36</v>
      </c>
      <c r="U230" s="52" t="n">
        <v>34.8</v>
      </c>
      <c r="V230" s="52" t="s">
        <v>1218</v>
      </c>
      <c r="W230" s="53" t="n">
        <v>0.0056</v>
      </c>
      <c r="Y230" s="52" t="s">
        <v>1219</v>
      </c>
      <c r="Z230" s="54" t="n">
        <v>70809.57</v>
      </c>
      <c r="AA230" s="54" t="n">
        <v>68001.12</v>
      </c>
      <c r="AB230" s="54" t="n">
        <v>70870.57</v>
      </c>
      <c r="AC230" s="54" t="n">
        <v>67721.97</v>
      </c>
      <c r="AD230" s="52" t="s">
        <v>1220</v>
      </c>
      <c r="AE230" s="53" t="n">
        <v>0.0475</v>
      </c>
      <c r="AU230" s="57"/>
      <c r="AV230" s="52"/>
      <c r="AW230" s="52"/>
      <c r="AX230" s="52"/>
      <c r="AY230" s="52"/>
      <c r="AZ230" s="52"/>
      <c r="BA230" s="53"/>
      <c r="BC230" s="57"/>
      <c r="BD230" s="54"/>
      <c r="BE230" s="54"/>
      <c r="BF230" s="54"/>
      <c r="BG230" s="54"/>
      <c r="BH230" s="52"/>
      <c r="BI230" s="53"/>
    </row>
    <row r="231" customFormat="false" ht="13.5" hidden="false" customHeight="false" outlineLevel="0" collapsed="false">
      <c r="A231" s="58"/>
      <c r="B231" s="52"/>
      <c r="C231" s="52"/>
      <c r="D231" s="52"/>
      <c r="E231" s="52"/>
      <c r="F231" s="52"/>
      <c r="G231" s="53"/>
      <c r="I231" s="57"/>
      <c r="J231" s="54"/>
      <c r="K231" s="54"/>
      <c r="L231" s="54"/>
      <c r="M231" s="54"/>
      <c r="N231" s="52"/>
      <c r="O231" s="53"/>
      <c r="Q231" s="51" t="n">
        <v>46236</v>
      </c>
      <c r="R231" s="52" t="n">
        <v>38</v>
      </c>
      <c r="S231" s="52" t="n">
        <v>35.28</v>
      </c>
      <c r="T231" s="52" t="n">
        <v>38.21</v>
      </c>
      <c r="U231" s="52" t="n">
        <v>35.25</v>
      </c>
      <c r="V231" s="52" t="s">
        <v>1221</v>
      </c>
      <c r="W231" s="53" t="n">
        <v>0.0556</v>
      </c>
      <c r="Y231" s="52" t="s">
        <v>1222</v>
      </c>
      <c r="Z231" s="54" t="n">
        <v>71478.81</v>
      </c>
      <c r="AA231" s="54" t="n">
        <v>70806.18</v>
      </c>
      <c r="AB231" s="54" t="n">
        <v>72111.41</v>
      </c>
      <c r="AC231" s="54" t="n">
        <v>70329.29</v>
      </c>
      <c r="AD231" s="52" t="s">
        <v>1223</v>
      </c>
      <c r="AE231" s="53" t="n">
        <v>0.0095</v>
      </c>
      <c r="AU231" s="58"/>
      <c r="AV231" s="52"/>
      <c r="AW231" s="52"/>
      <c r="AX231" s="52"/>
      <c r="AY231" s="52"/>
      <c r="AZ231" s="52"/>
      <c r="BA231" s="53"/>
      <c r="BC231" s="57"/>
      <c r="BD231" s="54"/>
      <c r="BE231" s="54"/>
      <c r="BF231" s="54"/>
      <c r="BG231" s="54"/>
      <c r="BH231" s="52"/>
      <c r="BI231" s="53"/>
    </row>
    <row r="232" customFormat="false" ht="13.5" hidden="false" customHeight="false" outlineLevel="0" collapsed="false">
      <c r="A232" s="57"/>
      <c r="B232" s="52"/>
      <c r="C232" s="52"/>
      <c r="D232" s="52"/>
      <c r="E232" s="52"/>
      <c r="F232" s="52"/>
      <c r="G232" s="53"/>
      <c r="I232" s="57"/>
      <c r="J232" s="54"/>
      <c r="K232" s="54"/>
      <c r="L232" s="54"/>
      <c r="M232" s="54"/>
      <c r="N232" s="52"/>
      <c r="O232" s="53"/>
      <c r="Q232" s="52" t="s">
        <v>1224</v>
      </c>
      <c r="R232" s="52" t="n">
        <v>37</v>
      </c>
      <c r="S232" s="52" t="n">
        <v>38</v>
      </c>
      <c r="T232" s="52" t="n">
        <v>38.8</v>
      </c>
      <c r="U232" s="52" t="n">
        <v>36.99</v>
      </c>
      <c r="V232" s="52" t="s">
        <v>1225</v>
      </c>
      <c r="W232" s="53" t="n">
        <v>-0.0263</v>
      </c>
      <c r="Y232" s="52" t="s">
        <v>1226</v>
      </c>
      <c r="Z232" s="54" t="n">
        <v>71436.55</v>
      </c>
      <c r="AA232" s="54" t="n">
        <v>71468.99</v>
      </c>
      <c r="AB232" s="54" t="n">
        <v>71694.88</v>
      </c>
      <c r="AC232" s="54" t="n">
        <v>70691.03</v>
      </c>
      <c r="AD232" s="52" t="s">
        <v>1227</v>
      </c>
      <c r="AE232" s="53" t="n">
        <v>-0.0006</v>
      </c>
      <c r="AU232" s="58"/>
      <c r="AV232" s="52"/>
      <c r="AW232" s="52"/>
      <c r="AX232" s="52"/>
      <c r="AY232" s="52"/>
      <c r="AZ232" s="52"/>
      <c r="BA232" s="53"/>
      <c r="BC232" s="57"/>
      <c r="BD232" s="54"/>
      <c r="BE232" s="54"/>
      <c r="BF232" s="54"/>
      <c r="BG232" s="54"/>
      <c r="BH232" s="52"/>
      <c r="BI232" s="53"/>
    </row>
    <row r="233" customFormat="false" ht="13.5" hidden="false" customHeight="false" outlineLevel="0" collapsed="false">
      <c r="A233" s="57"/>
      <c r="B233" s="52"/>
      <c r="C233" s="52"/>
      <c r="D233" s="52"/>
      <c r="E233" s="52"/>
      <c r="F233" s="52"/>
      <c r="G233" s="53"/>
      <c r="I233" s="57"/>
      <c r="J233" s="54"/>
      <c r="K233" s="54"/>
      <c r="L233" s="54"/>
      <c r="M233" s="54"/>
      <c r="N233" s="52"/>
      <c r="O233" s="53"/>
      <c r="Q233" s="52" t="s">
        <v>1228</v>
      </c>
      <c r="R233" s="52" t="n">
        <v>37.12</v>
      </c>
      <c r="S233" s="52" t="n">
        <v>35.4</v>
      </c>
      <c r="T233" s="52" t="n">
        <v>38.5</v>
      </c>
      <c r="U233" s="52" t="n">
        <v>33.9</v>
      </c>
      <c r="V233" s="52" t="s">
        <v>1229</v>
      </c>
      <c r="W233" s="53" t="n">
        <v>0.0032</v>
      </c>
      <c r="Y233" s="52" t="s">
        <v>1230</v>
      </c>
      <c r="Z233" s="54" t="n">
        <v>71405.77</v>
      </c>
      <c r="AA233" s="54" t="n">
        <v>71171.68</v>
      </c>
      <c r="AB233" s="54" t="n">
        <v>71890.34</v>
      </c>
      <c r="AC233" s="54" t="n">
        <v>69853.6</v>
      </c>
      <c r="AD233" s="52" t="s">
        <v>1231</v>
      </c>
      <c r="AE233" s="53" t="n">
        <v>-0.0004</v>
      </c>
      <c r="AU233" s="57"/>
      <c r="AV233" s="52"/>
      <c r="AW233" s="52"/>
      <c r="AX233" s="52"/>
      <c r="AY233" s="52"/>
      <c r="AZ233" s="52"/>
      <c r="BA233" s="53"/>
      <c r="BC233" s="57"/>
      <c r="BD233" s="54"/>
      <c r="BE233" s="54"/>
      <c r="BF233" s="54"/>
      <c r="BG233" s="54"/>
      <c r="BH233" s="52"/>
      <c r="BI233" s="53"/>
    </row>
    <row r="234" customFormat="false" ht="13.5" hidden="false" customHeight="false" outlineLevel="0" collapsed="false">
      <c r="A234" s="58"/>
      <c r="B234" s="52"/>
      <c r="C234" s="52"/>
      <c r="D234" s="52"/>
      <c r="E234" s="52"/>
      <c r="F234" s="52"/>
      <c r="G234" s="53"/>
      <c r="I234" s="57"/>
      <c r="J234" s="54"/>
      <c r="K234" s="54"/>
      <c r="L234" s="54"/>
      <c r="M234" s="54"/>
      <c r="N234" s="52"/>
      <c r="O234" s="53"/>
      <c r="Q234" s="51" t="n">
        <v>46025</v>
      </c>
      <c r="R234" s="52" t="n">
        <v>36.5</v>
      </c>
      <c r="S234" s="52" t="n">
        <v>37.5</v>
      </c>
      <c r="T234" s="52" t="n">
        <v>37.5</v>
      </c>
      <c r="U234" s="52" t="n">
        <v>35.26</v>
      </c>
      <c r="V234" s="52" t="s">
        <v>1232</v>
      </c>
      <c r="W234" s="53" t="n">
        <v>-0.0167</v>
      </c>
      <c r="Y234" s="52" t="s">
        <v>1233</v>
      </c>
      <c r="Z234" s="54" t="n">
        <v>67313.5</v>
      </c>
      <c r="AA234" s="54" t="n">
        <v>71487.82</v>
      </c>
      <c r="AB234" s="54" t="n">
        <v>71487.82</v>
      </c>
      <c r="AC234" s="54" t="n">
        <v>66938.45</v>
      </c>
      <c r="AD234" s="52" t="s">
        <v>1234</v>
      </c>
      <c r="AE234" s="53" t="n">
        <v>-0.0573</v>
      </c>
      <c r="AU234" s="57"/>
      <c r="AV234" s="52"/>
      <c r="AW234" s="52"/>
      <c r="AX234" s="52"/>
      <c r="AY234" s="52"/>
      <c r="AZ234" s="52"/>
      <c r="BA234" s="53"/>
      <c r="BC234" s="57"/>
      <c r="BD234" s="54"/>
      <c r="BE234" s="54"/>
      <c r="BF234" s="54"/>
      <c r="BG234" s="54"/>
      <c r="BH234" s="52"/>
      <c r="BI234" s="53"/>
    </row>
    <row r="235" customFormat="false" ht="13.5" hidden="false" customHeight="false" outlineLevel="0" collapsed="false">
      <c r="A235" s="58"/>
      <c r="B235" s="52"/>
      <c r="C235" s="52"/>
      <c r="D235" s="52"/>
      <c r="E235" s="52"/>
      <c r="F235" s="52"/>
      <c r="G235" s="53"/>
      <c r="I235" s="57"/>
      <c r="J235" s="54"/>
      <c r="K235" s="54"/>
      <c r="L235" s="54"/>
      <c r="M235" s="54"/>
      <c r="N235" s="52"/>
      <c r="O235" s="53"/>
      <c r="Q235" s="51" t="n">
        <v>46237</v>
      </c>
      <c r="R235" s="52" t="n">
        <v>33.5</v>
      </c>
      <c r="S235" s="52" t="n">
        <v>35.77</v>
      </c>
      <c r="T235" s="52" t="n">
        <v>36.4</v>
      </c>
      <c r="U235" s="52" t="n">
        <v>32.95</v>
      </c>
      <c r="V235" s="52" t="s">
        <v>1235</v>
      </c>
      <c r="W235" s="53" t="n">
        <v>-0.0822</v>
      </c>
      <c r="Y235" s="52" t="s">
        <v>1236</v>
      </c>
      <c r="Z235" s="54" t="n">
        <v>65648.91</v>
      </c>
      <c r="AA235" s="54" t="n">
        <v>67180.14</v>
      </c>
      <c r="AB235" s="54" t="n">
        <v>67866.65</v>
      </c>
      <c r="AC235" s="54" t="n">
        <v>65426.98</v>
      </c>
      <c r="AD235" s="52" t="s">
        <v>1237</v>
      </c>
      <c r="AE235" s="53" t="n">
        <v>-0.0247</v>
      </c>
      <c r="AU235" s="58"/>
      <c r="AV235" s="52"/>
      <c r="AW235" s="52"/>
      <c r="AX235" s="52"/>
      <c r="AY235" s="52"/>
      <c r="AZ235" s="52"/>
      <c r="BA235" s="53"/>
      <c r="BC235" s="57"/>
      <c r="BD235" s="54"/>
      <c r="BE235" s="54"/>
      <c r="BF235" s="54"/>
      <c r="BG235" s="54"/>
      <c r="BH235" s="52"/>
      <c r="BI235" s="53"/>
    </row>
    <row r="236" customFormat="false" ht="13.5" hidden="false" customHeight="false" outlineLevel="0" collapsed="false">
      <c r="A236" s="57"/>
      <c r="B236" s="52"/>
      <c r="C236" s="52"/>
      <c r="D236" s="52"/>
      <c r="E236" s="52"/>
      <c r="F236" s="52"/>
      <c r="G236" s="53"/>
      <c r="I236" s="57"/>
      <c r="J236" s="54"/>
      <c r="K236" s="54"/>
      <c r="L236" s="54"/>
      <c r="M236" s="54"/>
      <c r="N236" s="52"/>
      <c r="O236" s="53"/>
      <c r="Q236" s="52" t="s">
        <v>1238</v>
      </c>
      <c r="R236" s="52" t="n">
        <v>32.96</v>
      </c>
      <c r="S236" s="52" t="n">
        <v>33.99</v>
      </c>
      <c r="T236" s="52" t="n">
        <v>35.1</v>
      </c>
      <c r="U236" s="52" t="n">
        <v>32.25</v>
      </c>
      <c r="V236" s="52" t="s">
        <v>1239</v>
      </c>
      <c r="W236" s="53" t="n">
        <v>-0.0161</v>
      </c>
      <c r="Y236" s="52" t="s">
        <v>1240</v>
      </c>
      <c r="Z236" s="54" t="n">
        <v>64134.9</v>
      </c>
      <c r="AA236" s="54" t="n">
        <v>65829.47</v>
      </c>
      <c r="AB236" s="54" t="n">
        <v>66691.97</v>
      </c>
      <c r="AC236" s="54" t="n">
        <v>63781.25</v>
      </c>
      <c r="AD236" s="52" t="s">
        <v>527</v>
      </c>
      <c r="AE236" s="53" t="n">
        <v>-0.0231</v>
      </c>
      <c r="AU236" s="58"/>
      <c r="AV236" s="52"/>
      <c r="AW236" s="52"/>
      <c r="AX236" s="52"/>
      <c r="AY236" s="52"/>
      <c r="AZ236" s="52"/>
      <c r="BA236" s="53"/>
      <c r="BC236" s="57"/>
      <c r="BD236" s="54"/>
      <c r="BE236" s="54"/>
      <c r="BF236" s="54"/>
      <c r="BG236" s="54"/>
      <c r="BH236" s="52"/>
      <c r="BI236" s="53"/>
    </row>
    <row r="237" customFormat="false" ht="13.5" hidden="false" customHeight="false" outlineLevel="0" collapsed="false">
      <c r="A237" s="57"/>
      <c r="B237" s="52"/>
      <c r="C237" s="52"/>
      <c r="D237" s="52"/>
      <c r="E237" s="52"/>
      <c r="F237" s="52"/>
      <c r="G237" s="53"/>
      <c r="I237" s="57"/>
      <c r="J237" s="54"/>
      <c r="K237" s="54"/>
      <c r="L237" s="54"/>
      <c r="M237" s="54"/>
      <c r="N237" s="52"/>
      <c r="O237" s="53"/>
      <c r="Q237" s="52" t="s">
        <v>1241</v>
      </c>
      <c r="R237" s="52" t="n">
        <v>34.2</v>
      </c>
      <c r="S237" s="52" t="n">
        <v>32.49</v>
      </c>
      <c r="T237" s="52" t="n">
        <v>36</v>
      </c>
      <c r="U237" s="52" t="n">
        <v>32.49</v>
      </c>
      <c r="V237" s="52" t="s">
        <v>1242</v>
      </c>
      <c r="W237" s="53" t="n">
        <v>0.0376</v>
      </c>
      <c r="Y237" s="52" t="s">
        <v>1243</v>
      </c>
      <c r="Z237" s="54" t="n">
        <v>66685.76</v>
      </c>
      <c r="AA237" s="54" t="n">
        <v>64290.54</v>
      </c>
      <c r="AB237" s="54" t="n">
        <v>68267.2</v>
      </c>
      <c r="AC237" s="54" t="n">
        <v>64099.55</v>
      </c>
      <c r="AD237" s="52" t="s">
        <v>1244</v>
      </c>
      <c r="AE237" s="53" t="n">
        <v>0.0398</v>
      </c>
      <c r="AU237" s="57"/>
      <c r="AV237" s="52"/>
      <c r="AW237" s="52"/>
      <c r="AX237" s="52"/>
      <c r="AY237" s="52"/>
      <c r="AZ237" s="52"/>
      <c r="BA237" s="53"/>
      <c r="BC237" s="57"/>
      <c r="BD237" s="54"/>
      <c r="BE237" s="54"/>
      <c r="BF237" s="54"/>
      <c r="BG237" s="54"/>
      <c r="BH237" s="52"/>
      <c r="BI237" s="53"/>
    </row>
    <row r="238" customFormat="false" ht="13.5" hidden="false" customHeight="false" outlineLevel="0" collapsed="false">
      <c r="A238" s="57"/>
      <c r="B238" s="52"/>
      <c r="C238" s="52"/>
      <c r="D238" s="52"/>
      <c r="E238" s="52"/>
      <c r="F238" s="52"/>
      <c r="G238" s="53"/>
      <c r="I238" s="57"/>
      <c r="J238" s="54"/>
      <c r="K238" s="54"/>
      <c r="L238" s="54"/>
      <c r="M238" s="54"/>
      <c r="N238" s="52"/>
      <c r="O238" s="53"/>
      <c r="Q238" s="52" t="s">
        <v>1245</v>
      </c>
      <c r="R238" s="52" t="n">
        <v>36.15</v>
      </c>
      <c r="S238" s="52" t="n">
        <v>34.2</v>
      </c>
      <c r="T238" s="52" t="n">
        <v>38</v>
      </c>
      <c r="U238" s="52" t="n">
        <v>33.02</v>
      </c>
      <c r="V238" s="52" t="s">
        <v>1246</v>
      </c>
      <c r="W238" s="53" t="n">
        <v>0.057</v>
      </c>
      <c r="Y238" s="52" t="s">
        <v>1247</v>
      </c>
      <c r="Z238" s="54" t="n">
        <v>69702.02</v>
      </c>
      <c r="AA238" s="54" t="n">
        <v>66728.97</v>
      </c>
      <c r="AB238" s="54" t="n">
        <v>69928.49</v>
      </c>
      <c r="AC238" s="54" t="n">
        <v>66728.97</v>
      </c>
      <c r="AD238" s="52" t="s">
        <v>1248</v>
      </c>
      <c r="AE238" s="53" t="n">
        <v>0.0452</v>
      </c>
      <c r="AU238" s="57"/>
      <c r="AV238" s="52"/>
      <c r="AW238" s="52"/>
      <c r="AX238" s="52"/>
      <c r="AY238" s="52"/>
      <c r="AZ238" s="52"/>
      <c r="BA238" s="53"/>
      <c r="BC238" s="57"/>
      <c r="BD238" s="54"/>
      <c r="BE238" s="54"/>
      <c r="BF238" s="54"/>
      <c r="BG238" s="54"/>
      <c r="BH238" s="52"/>
      <c r="BI238" s="53"/>
    </row>
    <row r="239" customFormat="false" ht="13.5" hidden="false" customHeight="false" outlineLevel="0" collapsed="false">
      <c r="A239" s="58"/>
      <c r="B239" s="52"/>
      <c r="C239" s="52"/>
      <c r="D239" s="52"/>
      <c r="E239" s="52"/>
      <c r="F239" s="52"/>
      <c r="G239" s="53"/>
      <c r="I239" s="57"/>
      <c r="J239" s="54"/>
      <c r="K239" s="54"/>
      <c r="L239" s="54"/>
      <c r="M239" s="54"/>
      <c r="N239" s="52"/>
      <c r="O239" s="53"/>
      <c r="Q239" s="51" t="n">
        <v>46146</v>
      </c>
      <c r="R239" s="52" t="n">
        <v>34.93</v>
      </c>
      <c r="S239" s="52" t="n">
        <v>37</v>
      </c>
      <c r="T239" s="52" t="n">
        <v>38</v>
      </c>
      <c r="U239" s="52" t="n">
        <v>34</v>
      </c>
      <c r="V239" s="52" t="s">
        <v>1249</v>
      </c>
      <c r="W239" s="53" t="n">
        <v>-0.0337</v>
      </c>
      <c r="Y239" s="52" t="s">
        <v>1250</v>
      </c>
      <c r="Z239" s="54" t="n">
        <v>70023.39</v>
      </c>
      <c r="AA239" s="54" t="n">
        <v>69811.32</v>
      </c>
      <c r="AB239" s="54" t="n">
        <v>71221.55</v>
      </c>
      <c r="AC239" s="54" t="n">
        <v>68169.29</v>
      </c>
      <c r="AD239" s="52" t="s">
        <v>1251</v>
      </c>
      <c r="AE239" s="53" t="n">
        <v>0.0046</v>
      </c>
      <c r="AU239" s="57"/>
      <c r="AV239" s="52"/>
      <c r="AW239" s="52"/>
      <c r="AX239" s="52"/>
      <c r="AY239" s="52"/>
      <c r="AZ239" s="52"/>
      <c r="BA239" s="53"/>
      <c r="BC239" s="57"/>
      <c r="BD239" s="54"/>
      <c r="BE239" s="54"/>
      <c r="BF239" s="54"/>
      <c r="BG239" s="54"/>
      <c r="BH239" s="52"/>
      <c r="BI239" s="53"/>
    </row>
    <row r="240" customFormat="false" ht="13.5" hidden="false" customHeight="false" outlineLevel="0" collapsed="false">
      <c r="A240" s="58"/>
      <c r="B240" s="52"/>
      <c r="C240" s="52"/>
      <c r="D240" s="52"/>
      <c r="E240" s="52"/>
      <c r="F240" s="52"/>
      <c r="G240" s="53"/>
      <c r="I240" s="57"/>
      <c r="J240" s="54"/>
      <c r="K240" s="54"/>
      <c r="L240" s="54"/>
      <c r="M240" s="54"/>
      <c r="N240" s="52"/>
      <c r="O240" s="53"/>
      <c r="Q240" s="51" t="n">
        <v>46360</v>
      </c>
      <c r="R240" s="52" t="n">
        <v>33.38</v>
      </c>
      <c r="S240" s="52" t="n">
        <v>35.3</v>
      </c>
      <c r="T240" s="52" t="n">
        <v>35.58</v>
      </c>
      <c r="U240" s="52" t="n">
        <v>33.01</v>
      </c>
      <c r="V240" s="52" t="s">
        <v>1252</v>
      </c>
      <c r="W240" s="53" t="n">
        <v>-0.0444</v>
      </c>
      <c r="Y240" s="52" t="s">
        <v>1253</v>
      </c>
      <c r="Z240" s="54" t="n">
        <v>69825.94</v>
      </c>
      <c r="AA240" s="54" t="n">
        <v>70005.14</v>
      </c>
      <c r="AB240" s="54" t="n">
        <v>70058.96</v>
      </c>
      <c r="AC240" s="54" t="n">
        <v>68539.21</v>
      </c>
      <c r="AD240" s="52" t="s">
        <v>1254</v>
      </c>
      <c r="AE240" s="53" t="n">
        <v>-0.0028</v>
      </c>
      <c r="AU240" s="58"/>
      <c r="AV240" s="52"/>
      <c r="AW240" s="52"/>
      <c r="AX240" s="52"/>
      <c r="AY240" s="52"/>
      <c r="AZ240" s="52"/>
      <c r="BA240" s="53"/>
      <c r="BC240" s="57"/>
      <c r="BD240" s="54"/>
      <c r="BE240" s="54"/>
      <c r="BF240" s="54"/>
      <c r="BG240" s="54"/>
      <c r="BH240" s="52"/>
      <c r="BI240" s="53"/>
    </row>
    <row r="241" customFormat="false" ht="13.5" hidden="false" customHeight="false" outlineLevel="0" collapsed="false">
      <c r="A241" s="57"/>
      <c r="B241" s="52"/>
      <c r="C241" s="52"/>
      <c r="D241" s="52"/>
      <c r="E241" s="52"/>
      <c r="F241" s="52"/>
      <c r="G241" s="53"/>
      <c r="I241" s="57"/>
      <c r="J241" s="54"/>
      <c r="K241" s="54"/>
      <c r="L241" s="54"/>
      <c r="M241" s="54"/>
      <c r="N241" s="52"/>
      <c r="O241" s="53"/>
      <c r="Q241" s="52" t="s">
        <v>1255</v>
      </c>
      <c r="R241" s="52" t="n">
        <v>31.63</v>
      </c>
      <c r="S241" s="52" t="n">
        <v>34.6</v>
      </c>
      <c r="T241" s="52" t="n">
        <v>34.77</v>
      </c>
      <c r="U241" s="52" t="n">
        <v>31.21</v>
      </c>
      <c r="V241" s="52" t="s">
        <v>1256</v>
      </c>
      <c r="W241" s="53" t="n">
        <v>-0.0524</v>
      </c>
      <c r="Y241" s="52" t="s">
        <v>1257</v>
      </c>
      <c r="Z241" s="54" t="n">
        <v>69230.56</v>
      </c>
      <c r="AA241" s="54" t="n">
        <v>69789.81</v>
      </c>
      <c r="AB241" s="54" t="n">
        <v>70448.58</v>
      </c>
      <c r="AC241" s="54" t="n">
        <v>68511.72</v>
      </c>
      <c r="AD241" s="52" t="s">
        <v>1258</v>
      </c>
      <c r="AE241" s="53" t="n">
        <v>-0.0085</v>
      </c>
      <c r="AU241" s="58"/>
      <c r="AV241" s="52"/>
      <c r="AW241" s="52"/>
      <c r="AX241" s="52"/>
      <c r="AY241" s="52"/>
      <c r="AZ241" s="52"/>
      <c r="BA241" s="53"/>
      <c r="BC241" s="57"/>
      <c r="BD241" s="54"/>
      <c r="BE241" s="54"/>
      <c r="BF241" s="54"/>
      <c r="BG241" s="54"/>
      <c r="BH241" s="52"/>
      <c r="BI241" s="53"/>
    </row>
    <row r="242" customFormat="false" ht="13.5" hidden="false" customHeight="false" outlineLevel="0" collapsed="false">
      <c r="A242" s="57"/>
      <c r="B242" s="52"/>
      <c r="C242" s="52"/>
      <c r="D242" s="52"/>
      <c r="E242" s="52"/>
      <c r="F242" s="52"/>
      <c r="G242" s="53"/>
      <c r="I242" s="57"/>
      <c r="J242" s="54"/>
      <c r="K242" s="54"/>
      <c r="L242" s="54"/>
      <c r="M242" s="54"/>
      <c r="N242" s="52"/>
      <c r="O242" s="53"/>
      <c r="Q242" s="52" t="s">
        <v>1259</v>
      </c>
      <c r="R242" s="52" t="n">
        <v>33.49</v>
      </c>
      <c r="S242" s="52" t="n">
        <v>31.6</v>
      </c>
      <c r="T242" s="52" t="n">
        <v>34</v>
      </c>
      <c r="U242" s="52" t="n">
        <v>28.01</v>
      </c>
      <c r="V242" s="52" t="s">
        <v>1260</v>
      </c>
      <c r="W242" s="53" t="n">
        <v>0.0588</v>
      </c>
      <c r="Y242" s="52" t="s">
        <v>1261</v>
      </c>
      <c r="Z242" s="54" t="n">
        <v>67858.09</v>
      </c>
      <c r="AA242" s="54" t="n">
        <v>69153.58</v>
      </c>
      <c r="AB242" s="54" t="n">
        <v>69176.77</v>
      </c>
      <c r="AC242" s="54" t="n">
        <v>66861.93</v>
      </c>
      <c r="AD242" s="52" t="s">
        <v>1262</v>
      </c>
      <c r="AE242" s="53" t="n">
        <v>-0.0198</v>
      </c>
      <c r="AU242" s="57"/>
      <c r="AV242" s="52"/>
      <c r="AW242" s="52"/>
      <c r="AX242" s="52"/>
      <c r="AY242" s="52"/>
      <c r="AZ242" s="52"/>
      <c r="BA242" s="53"/>
      <c r="BC242" s="57"/>
      <c r="BD242" s="54"/>
      <c r="BE242" s="54"/>
      <c r="BF242" s="54"/>
      <c r="BG242" s="54"/>
      <c r="BH242" s="52"/>
      <c r="BI242" s="53"/>
    </row>
    <row r="243" customFormat="false" ht="13.5" hidden="false" customHeight="false" outlineLevel="0" collapsed="false">
      <c r="A243" s="58"/>
      <c r="B243" s="52"/>
      <c r="C243" s="52"/>
      <c r="D243" s="52"/>
      <c r="E243" s="52"/>
      <c r="F243" s="52"/>
      <c r="G243" s="53"/>
      <c r="I243" s="57"/>
      <c r="J243" s="54"/>
      <c r="K243" s="54"/>
      <c r="L243" s="54"/>
      <c r="M243" s="54"/>
      <c r="N243" s="52"/>
      <c r="O243" s="53"/>
      <c r="Q243" s="51" t="n">
        <v>46086</v>
      </c>
      <c r="R243" s="52" t="n">
        <v>31.52</v>
      </c>
      <c r="S243" s="52" t="n">
        <v>33.94</v>
      </c>
      <c r="T243" s="52" t="n">
        <v>34</v>
      </c>
      <c r="U243" s="52" t="n">
        <v>31.52</v>
      </c>
      <c r="V243" s="52" t="s">
        <v>1263</v>
      </c>
      <c r="W243" s="53" t="n">
        <v>-0.0588</v>
      </c>
      <c r="Y243" s="52" t="s">
        <v>1264</v>
      </c>
      <c r="Z243" s="54" t="n">
        <v>69855.58</v>
      </c>
      <c r="AA243" s="54" t="n">
        <v>67983.51</v>
      </c>
      <c r="AB243" s="54" t="n">
        <v>70708.53</v>
      </c>
      <c r="AC243" s="54" t="n">
        <v>67201.17</v>
      </c>
      <c r="AD243" s="52" t="s">
        <v>428</v>
      </c>
      <c r="AE243" s="53" t="n">
        <v>0.0294</v>
      </c>
      <c r="AU243" s="57"/>
      <c r="AV243" s="52"/>
      <c r="AW243" s="52"/>
      <c r="AX243" s="52"/>
      <c r="AY243" s="52"/>
      <c r="AZ243" s="52"/>
      <c r="BA243" s="53"/>
      <c r="BC243" s="57"/>
      <c r="BD243" s="54"/>
      <c r="BE243" s="54"/>
      <c r="BF243" s="54"/>
      <c r="BG243" s="54"/>
      <c r="BH243" s="52"/>
      <c r="BI243" s="53"/>
    </row>
    <row r="244" customFormat="false" ht="13.5" hidden="false" customHeight="false" outlineLevel="0" collapsed="false">
      <c r="A244" s="58"/>
      <c r="B244" s="52"/>
      <c r="C244" s="52"/>
      <c r="D244" s="52"/>
      <c r="E244" s="52"/>
      <c r="F244" s="52"/>
      <c r="G244" s="53"/>
      <c r="I244" s="57"/>
      <c r="J244" s="54"/>
      <c r="K244" s="54"/>
      <c r="L244" s="54"/>
      <c r="M244" s="54"/>
      <c r="N244" s="52"/>
      <c r="O244" s="53"/>
      <c r="Q244" s="51" t="n">
        <v>46300</v>
      </c>
      <c r="R244" s="52" t="n">
        <v>30.39</v>
      </c>
      <c r="S244" s="52" t="n">
        <v>32.1</v>
      </c>
      <c r="T244" s="52" t="n">
        <v>33.48</v>
      </c>
      <c r="U244" s="52" t="n">
        <v>30.01</v>
      </c>
      <c r="V244" s="52" t="s">
        <v>1265</v>
      </c>
      <c r="W244" s="53" t="n">
        <v>-0.0359</v>
      </c>
      <c r="Y244" s="52" t="s">
        <v>1266</v>
      </c>
      <c r="Z244" s="54" t="n">
        <v>67976.5</v>
      </c>
      <c r="AA244" s="54" t="n">
        <v>69762.46</v>
      </c>
      <c r="AB244" s="54" t="n">
        <v>70890.09</v>
      </c>
      <c r="AC244" s="54" t="n">
        <v>67721.71</v>
      </c>
      <c r="AD244" s="52" t="s">
        <v>1267</v>
      </c>
      <c r="AE244" s="53" t="n">
        <v>-0.0269</v>
      </c>
      <c r="AU244" s="58"/>
      <c r="AV244" s="52"/>
      <c r="AW244" s="52"/>
      <c r="AX244" s="52"/>
      <c r="AY244" s="52"/>
      <c r="AZ244" s="52"/>
      <c r="BA244" s="53"/>
      <c r="BC244" s="57"/>
      <c r="BD244" s="54"/>
      <c r="BE244" s="54"/>
      <c r="BF244" s="54"/>
      <c r="BG244" s="54"/>
      <c r="BH244" s="52"/>
      <c r="BI244" s="53"/>
    </row>
    <row r="245" customFormat="false" ht="13.5" hidden="false" customHeight="false" outlineLevel="0" collapsed="false">
      <c r="A245" s="57"/>
      <c r="B245" s="52"/>
      <c r="C245" s="52"/>
      <c r="D245" s="52"/>
      <c r="E245" s="52"/>
      <c r="F245" s="52"/>
      <c r="G245" s="53"/>
      <c r="I245" s="57"/>
      <c r="J245" s="54"/>
      <c r="K245" s="54"/>
      <c r="L245" s="54"/>
      <c r="M245" s="54"/>
      <c r="N245" s="52"/>
      <c r="O245" s="53"/>
      <c r="Q245" s="52" t="s">
        <v>1268</v>
      </c>
      <c r="R245" s="52" t="n">
        <v>29.01</v>
      </c>
      <c r="S245" s="52" t="n">
        <v>30</v>
      </c>
      <c r="T245" s="52" t="n">
        <v>30.88</v>
      </c>
      <c r="U245" s="52" t="n">
        <v>29.01</v>
      </c>
      <c r="V245" s="52" t="s">
        <v>1269</v>
      </c>
      <c r="W245" s="53" t="n">
        <v>-0.0454</v>
      </c>
      <c r="Y245" s="52" t="s">
        <v>1270</v>
      </c>
      <c r="Z245" s="54" t="n">
        <v>68333.47</v>
      </c>
      <c r="AA245" s="54" t="n">
        <v>68111.46</v>
      </c>
      <c r="AB245" s="54" t="n">
        <v>69136.7</v>
      </c>
      <c r="AC245" s="54" t="n">
        <v>67607.38</v>
      </c>
      <c r="AD245" s="52" t="s">
        <v>1271</v>
      </c>
      <c r="AE245" s="53" t="n">
        <v>0.0053</v>
      </c>
      <c r="AU245" s="58"/>
      <c r="AV245" s="52"/>
      <c r="AW245" s="52"/>
      <c r="AX245" s="52"/>
      <c r="AY245" s="52"/>
      <c r="AZ245" s="52"/>
      <c r="BA245" s="53"/>
      <c r="BC245" s="57"/>
      <c r="BD245" s="54"/>
      <c r="BE245" s="54"/>
      <c r="BF245" s="54"/>
      <c r="BG245" s="54"/>
      <c r="BH245" s="52"/>
      <c r="BI245" s="53"/>
    </row>
    <row r="246" customFormat="false" ht="13.5" hidden="false" customHeight="false" outlineLevel="0" collapsed="false">
      <c r="A246" s="57"/>
      <c r="B246" s="52"/>
      <c r="C246" s="52"/>
      <c r="D246" s="52"/>
      <c r="E246" s="52"/>
      <c r="F246" s="52"/>
      <c r="G246" s="53"/>
      <c r="I246" s="57"/>
      <c r="J246" s="54"/>
      <c r="K246" s="54"/>
      <c r="L246" s="54"/>
      <c r="M246" s="54"/>
      <c r="N246" s="52"/>
      <c r="O246" s="53"/>
      <c r="Q246" s="52" t="s">
        <v>1272</v>
      </c>
      <c r="R246" s="52" t="n">
        <v>34.49</v>
      </c>
      <c r="S246" s="52" t="n">
        <v>29.15</v>
      </c>
      <c r="T246" s="52" t="n">
        <v>34.8</v>
      </c>
      <c r="U246" s="52" t="n">
        <v>29.01</v>
      </c>
      <c r="V246" s="52" t="s">
        <v>1273</v>
      </c>
      <c r="W246" s="53" t="n">
        <v>0.1889</v>
      </c>
      <c r="Y246" s="52" t="s">
        <v>1274</v>
      </c>
      <c r="Z246" s="54" t="n">
        <v>68587.74</v>
      </c>
      <c r="AA246" s="54" t="n">
        <v>68411.96</v>
      </c>
      <c r="AB246" s="54" t="n">
        <v>70458.18</v>
      </c>
      <c r="AC246" s="54" t="n">
        <v>67709.99</v>
      </c>
      <c r="AD246" s="52" t="s">
        <v>450</v>
      </c>
      <c r="AE246" s="53" t="n">
        <v>0.0037</v>
      </c>
      <c r="AU246" s="57"/>
      <c r="AV246" s="52"/>
      <c r="AW246" s="52"/>
      <c r="AX246" s="52"/>
      <c r="AY246" s="52"/>
      <c r="AZ246" s="52"/>
      <c r="BA246" s="53"/>
      <c r="BC246" s="57"/>
      <c r="BD246" s="54"/>
      <c r="BE246" s="54"/>
      <c r="BF246" s="54"/>
      <c r="BG246" s="54"/>
      <c r="BH246" s="52"/>
      <c r="BI246" s="53"/>
    </row>
    <row r="247" customFormat="false" ht="13.5" hidden="false" customHeight="false" outlineLevel="0" collapsed="false">
      <c r="A247" s="57"/>
      <c r="B247" s="52"/>
      <c r="C247" s="52"/>
      <c r="D247" s="52"/>
      <c r="E247" s="52"/>
      <c r="F247" s="52"/>
      <c r="G247" s="53"/>
      <c r="I247" s="57"/>
      <c r="J247" s="54"/>
      <c r="K247" s="54"/>
      <c r="L247" s="54"/>
      <c r="M247" s="54"/>
      <c r="N247" s="52"/>
      <c r="O247" s="53"/>
      <c r="Q247" s="52" t="s">
        <v>1275</v>
      </c>
      <c r="R247" s="52" t="n">
        <v>30.89</v>
      </c>
      <c r="S247" s="52" t="n">
        <v>33.79</v>
      </c>
      <c r="T247" s="52" t="n">
        <v>33.79</v>
      </c>
      <c r="U247" s="52" t="n">
        <v>29.22</v>
      </c>
      <c r="V247" s="52" t="s">
        <v>1276</v>
      </c>
      <c r="W247" s="53" t="n">
        <v>-0.1044</v>
      </c>
      <c r="Y247" s="52" t="s">
        <v>1277</v>
      </c>
      <c r="Z247" s="54" t="n">
        <v>66141.38</v>
      </c>
      <c r="AA247" s="54" t="n">
        <v>68503.55</v>
      </c>
      <c r="AB247" s="54" t="n">
        <v>69213.71</v>
      </c>
      <c r="AC247" s="54" t="n">
        <v>65955.41</v>
      </c>
      <c r="AD247" s="52" t="s">
        <v>1278</v>
      </c>
      <c r="AE247" s="53" t="n">
        <v>-0.0357</v>
      </c>
      <c r="AU247" s="57"/>
      <c r="AV247" s="52"/>
      <c r="AW247" s="52"/>
      <c r="AX247" s="52"/>
      <c r="AY247" s="52"/>
      <c r="AZ247" s="52"/>
      <c r="BA247" s="53"/>
      <c r="BC247" s="57"/>
      <c r="BD247" s="54"/>
      <c r="BE247" s="54"/>
      <c r="BF247" s="54"/>
      <c r="BG247" s="54"/>
      <c r="BH247" s="52"/>
      <c r="BI247" s="53"/>
    </row>
    <row r="248" customFormat="false" ht="13.5" hidden="false" customHeight="false" outlineLevel="0" collapsed="false">
      <c r="A248" s="58"/>
      <c r="B248" s="52"/>
      <c r="C248" s="52"/>
      <c r="D248" s="52"/>
      <c r="E248" s="52"/>
      <c r="F248" s="52"/>
      <c r="G248" s="53"/>
      <c r="I248" s="57"/>
      <c r="J248" s="54"/>
      <c r="K248" s="54"/>
      <c r="L248" s="54"/>
      <c r="M248" s="54"/>
      <c r="N248" s="52"/>
      <c r="O248" s="53"/>
      <c r="Q248" s="51" t="n">
        <v>46209</v>
      </c>
      <c r="R248" s="52" t="n">
        <v>31.14</v>
      </c>
      <c r="S248" s="52" t="n">
        <v>31.48</v>
      </c>
      <c r="T248" s="52" t="n">
        <v>31.48</v>
      </c>
      <c r="U248" s="52" t="n">
        <v>31.14</v>
      </c>
      <c r="V248" s="52" t="s">
        <v>1279</v>
      </c>
      <c r="W248" s="53" t="n">
        <v>0.0081</v>
      </c>
      <c r="Y248" s="52" t="s">
        <v>1280</v>
      </c>
      <c r="Z248" s="54" t="n">
        <v>67954.55</v>
      </c>
      <c r="AA248" s="54" t="n">
        <v>66247.62</v>
      </c>
      <c r="AB248" s="54" t="n">
        <v>68207.88</v>
      </c>
      <c r="AC248" s="54" t="n">
        <v>64666.24</v>
      </c>
      <c r="AD248" s="52" t="s">
        <v>1281</v>
      </c>
      <c r="AE248" s="53" t="n">
        <v>0.0274</v>
      </c>
      <c r="AU248" s="57"/>
      <c r="AV248" s="52"/>
      <c r="AW248" s="52"/>
      <c r="AX248" s="52"/>
      <c r="AY248" s="52"/>
      <c r="AZ248" s="52"/>
      <c r="BA248" s="53"/>
      <c r="BC248" s="57"/>
      <c r="BD248" s="54"/>
      <c r="BE248" s="54"/>
      <c r="BF248" s="54"/>
      <c r="BG248" s="54"/>
      <c r="BH248" s="52"/>
      <c r="BI248" s="53"/>
    </row>
    <row r="249" customFormat="false" ht="13.5" hidden="false" customHeight="false" outlineLevel="0" collapsed="false">
      <c r="A249" s="57"/>
      <c r="B249" s="52"/>
      <c r="C249" s="52"/>
      <c r="D249" s="52"/>
      <c r="E249" s="52"/>
      <c r="F249" s="52"/>
      <c r="G249" s="53"/>
      <c r="I249" s="57"/>
      <c r="J249" s="54"/>
      <c r="K249" s="54"/>
      <c r="L249" s="54"/>
      <c r="M249" s="54"/>
      <c r="N249" s="52"/>
      <c r="O249" s="53"/>
      <c r="Q249" s="52" t="s">
        <v>1282</v>
      </c>
      <c r="R249" s="52" t="n">
        <v>31.25</v>
      </c>
      <c r="S249" s="52" t="n">
        <v>31</v>
      </c>
      <c r="T249" s="52" t="n">
        <v>31.25</v>
      </c>
      <c r="U249" s="52" t="n">
        <v>30.13</v>
      </c>
      <c r="V249" s="52" t="s">
        <v>1283</v>
      </c>
      <c r="W249" s="53" t="n">
        <v>0.0035</v>
      </c>
      <c r="Y249" s="52" t="s">
        <v>1284</v>
      </c>
      <c r="Z249" s="54" t="n">
        <v>67705.37</v>
      </c>
      <c r="AA249" s="54" t="n">
        <v>68326.57</v>
      </c>
      <c r="AB249" s="54" t="n">
        <v>69220.67</v>
      </c>
      <c r="AC249" s="54" t="n">
        <v>67367.38</v>
      </c>
      <c r="AD249" s="52" t="s">
        <v>1285</v>
      </c>
      <c r="AE249" s="53" t="n">
        <v>-0.0037</v>
      </c>
      <c r="AU249" s="58"/>
      <c r="AV249" s="52"/>
      <c r="AW249" s="52"/>
      <c r="AX249" s="52"/>
      <c r="AY249" s="52"/>
      <c r="AZ249" s="52"/>
      <c r="BA249" s="53"/>
      <c r="BC249" s="57"/>
      <c r="BD249" s="54"/>
      <c r="BE249" s="54"/>
      <c r="BF249" s="54"/>
      <c r="BG249" s="54"/>
      <c r="BH249" s="52"/>
      <c r="BI249" s="53"/>
    </row>
    <row r="250" customFormat="false" ht="13.5" hidden="false" customHeight="false" outlineLevel="0" collapsed="false">
      <c r="A250" s="57"/>
      <c r="B250" s="52"/>
      <c r="C250" s="52"/>
      <c r="D250" s="52"/>
      <c r="E250" s="52"/>
      <c r="F250" s="52"/>
      <c r="G250" s="53"/>
      <c r="I250" s="57"/>
      <c r="J250" s="54"/>
      <c r="K250" s="54"/>
      <c r="L250" s="54"/>
      <c r="M250" s="54"/>
      <c r="N250" s="52"/>
      <c r="O250" s="53"/>
      <c r="Q250" s="52" t="s">
        <v>1286</v>
      </c>
      <c r="R250" s="52" t="n">
        <v>29.91</v>
      </c>
      <c r="S250" s="52" t="n">
        <v>30</v>
      </c>
      <c r="T250" s="52" t="n">
        <v>30.9</v>
      </c>
      <c r="U250" s="52" t="n">
        <v>29.5</v>
      </c>
      <c r="V250" s="52" t="s">
        <v>1287</v>
      </c>
      <c r="W250" s="53" t="n">
        <v>-0.0429</v>
      </c>
      <c r="Y250" s="52" t="s">
        <v>1288</v>
      </c>
      <c r="Z250" s="54" t="n">
        <v>67226.01</v>
      </c>
      <c r="AA250" s="54" t="n">
        <v>67590.36</v>
      </c>
      <c r="AB250" s="54" t="n">
        <v>67918.37</v>
      </c>
      <c r="AC250" s="54" t="n">
        <v>66048</v>
      </c>
      <c r="AD250" s="52" t="s">
        <v>1289</v>
      </c>
      <c r="AE250" s="53" t="n">
        <v>-0.0071</v>
      </c>
      <c r="AU250" s="57"/>
      <c r="AV250" s="52"/>
      <c r="AW250" s="52"/>
      <c r="AX250" s="52"/>
      <c r="AY250" s="52"/>
      <c r="AZ250" s="52"/>
      <c r="BA250" s="53"/>
      <c r="BC250" s="57"/>
      <c r="BD250" s="54"/>
      <c r="BE250" s="54"/>
      <c r="BF250" s="54"/>
      <c r="BG250" s="54"/>
      <c r="BH250" s="52"/>
      <c r="BI250" s="53"/>
    </row>
    <row r="251" customFormat="false" ht="13.5" hidden="false" customHeight="false" outlineLevel="0" collapsed="false">
      <c r="A251" s="58"/>
      <c r="B251" s="52"/>
      <c r="C251" s="52"/>
      <c r="D251" s="52"/>
      <c r="E251" s="52"/>
      <c r="F251" s="52"/>
      <c r="G251" s="53"/>
      <c r="I251" s="57"/>
      <c r="J251" s="54"/>
      <c r="K251" s="54"/>
      <c r="L251" s="54"/>
      <c r="M251" s="54"/>
      <c r="N251" s="52"/>
      <c r="O251" s="53"/>
      <c r="Q251" s="51" t="n">
        <v>46149</v>
      </c>
      <c r="R251" s="52" t="n">
        <v>30.6</v>
      </c>
      <c r="S251" s="52" t="n">
        <v>30</v>
      </c>
      <c r="T251" s="52" t="n">
        <v>30.76</v>
      </c>
      <c r="U251" s="52" t="n">
        <v>29.51</v>
      </c>
      <c r="V251" s="52" t="s">
        <v>1290</v>
      </c>
      <c r="W251" s="53" t="n">
        <v>0.0231</v>
      </c>
      <c r="Y251" s="52" t="s">
        <v>1291</v>
      </c>
      <c r="Z251" s="54" t="n">
        <v>67060.49</v>
      </c>
      <c r="AA251" s="54" t="n">
        <v>67226.01</v>
      </c>
      <c r="AB251" s="54" t="n">
        <v>68044.67</v>
      </c>
      <c r="AC251" s="54" t="n">
        <v>66614.42</v>
      </c>
      <c r="AD251" s="52" t="s">
        <v>1292</v>
      </c>
      <c r="AE251" s="53" t="n">
        <v>-0.0025</v>
      </c>
      <c r="AU251" s="57"/>
      <c r="AV251" s="52"/>
      <c r="AW251" s="52"/>
      <c r="AX251" s="52"/>
      <c r="AY251" s="52"/>
      <c r="AZ251" s="52"/>
      <c r="BA251" s="53"/>
      <c r="BC251" s="57"/>
      <c r="BD251" s="54"/>
      <c r="BE251" s="54"/>
      <c r="BF251" s="54"/>
      <c r="BG251" s="54"/>
      <c r="BH251" s="52"/>
      <c r="BI251" s="53"/>
    </row>
    <row r="252" customFormat="false" ht="13.5" hidden="false" customHeight="false" outlineLevel="0" collapsed="false">
      <c r="A252" s="58"/>
      <c r="B252" s="52"/>
      <c r="C252" s="52"/>
      <c r="D252" s="52"/>
      <c r="E252" s="52"/>
      <c r="F252" s="52"/>
      <c r="G252" s="53"/>
      <c r="I252" s="57"/>
      <c r="J252" s="54"/>
      <c r="K252" s="54"/>
      <c r="L252" s="54"/>
      <c r="M252" s="54"/>
      <c r="N252" s="52"/>
      <c r="O252" s="53"/>
      <c r="Q252" s="51" t="n">
        <v>46363</v>
      </c>
      <c r="R252" s="52" t="n">
        <v>30.27</v>
      </c>
      <c r="S252" s="52" t="n">
        <v>30.46</v>
      </c>
      <c r="T252" s="52" t="n">
        <v>30.58</v>
      </c>
      <c r="U252" s="52" t="n">
        <v>29.5</v>
      </c>
      <c r="V252" s="52" t="s">
        <v>1293</v>
      </c>
      <c r="W252" s="53" t="n">
        <v>-0.0108</v>
      </c>
      <c r="Y252" s="52" t="s">
        <v>1294</v>
      </c>
      <c r="Z252" s="54" t="n">
        <v>66496.1</v>
      </c>
      <c r="AA252" s="54" t="n">
        <v>67132.1</v>
      </c>
      <c r="AB252" s="54" t="n">
        <v>67780.34</v>
      </c>
      <c r="AC252" s="54" t="n">
        <v>65846.95</v>
      </c>
      <c r="AD252" s="52" t="s">
        <v>1295</v>
      </c>
      <c r="AE252" s="53" t="n">
        <v>-0.0084</v>
      </c>
      <c r="AU252" s="58"/>
      <c r="AV252" s="52"/>
      <c r="AW252" s="52"/>
      <c r="AX252" s="52"/>
      <c r="AY252" s="52"/>
      <c r="AZ252" s="52"/>
      <c r="BA252" s="53"/>
      <c r="BC252" s="57"/>
      <c r="BD252" s="54"/>
      <c r="BE252" s="54"/>
      <c r="BF252" s="54"/>
      <c r="BG252" s="54"/>
      <c r="BH252" s="52"/>
      <c r="BI252" s="53"/>
    </row>
    <row r="253" customFormat="false" ht="13.5" hidden="false" customHeight="false" outlineLevel="0" collapsed="false">
      <c r="A253" s="57"/>
      <c r="B253" s="52"/>
      <c r="C253" s="52"/>
      <c r="D253" s="52"/>
      <c r="E253" s="52"/>
      <c r="F253" s="52"/>
      <c r="G253" s="53"/>
      <c r="I253" s="57"/>
      <c r="J253" s="54"/>
      <c r="K253" s="54"/>
      <c r="L253" s="54"/>
      <c r="M253" s="54"/>
      <c r="N253" s="52"/>
      <c r="O253" s="53"/>
      <c r="Q253" s="52" t="s">
        <v>1296</v>
      </c>
      <c r="R253" s="52" t="n">
        <v>29.41</v>
      </c>
      <c r="S253" s="52" t="n">
        <v>29.99</v>
      </c>
      <c r="T253" s="52" t="n">
        <v>30.26</v>
      </c>
      <c r="U253" s="52" t="n">
        <v>29.3</v>
      </c>
      <c r="V253" s="52" t="s">
        <v>1297</v>
      </c>
      <c r="W253" s="53" t="n">
        <v>-0.0284</v>
      </c>
      <c r="Y253" s="52" t="s">
        <v>1298</v>
      </c>
      <c r="Z253" s="54" t="n">
        <v>66634.23</v>
      </c>
      <c r="AA253" s="54" t="n">
        <v>66345.02</v>
      </c>
      <c r="AB253" s="54" t="n">
        <v>66984.89</v>
      </c>
      <c r="AC253" s="54" t="n">
        <v>65875.46</v>
      </c>
      <c r="AD253" s="52" t="s">
        <v>1299</v>
      </c>
      <c r="AE253" s="53" t="n">
        <v>0.0021</v>
      </c>
      <c r="AU253" s="58"/>
      <c r="AV253" s="52"/>
      <c r="AW253" s="52"/>
      <c r="AX253" s="52"/>
      <c r="AY253" s="52"/>
      <c r="AZ253" s="52"/>
      <c r="BA253" s="53"/>
      <c r="BC253" s="57"/>
      <c r="BD253" s="54"/>
      <c r="BE253" s="54"/>
      <c r="BF253" s="54"/>
      <c r="BG253" s="54"/>
      <c r="BH253" s="52"/>
      <c r="BI253" s="53"/>
    </row>
    <row r="254" customFormat="false" ht="13.5" hidden="false" customHeight="false" outlineLevel="0" collapsed="false">
      <c r="A254" s="57"/>
      <c r="B254" s="52"/>
      <c r="C254" s="52"/>
      <c r="D254" s="52"/>
      <c r="E254" s="52"/>
      <c r="F254" s="52"/>
      <c r="G254" s="53"/>
      <c r="I254" s="57"/>
      <c r="J254" s="54"/>
      <c r="K254" s="54"/>
      <c r="L254" s="54"/>
      <c r="M254" s="54"/>
      <c r="N254" s="52"/>
      <c r="O254" s="53"/>
      <c r="Q254" s="52" t="s">
        <v>1300</v>
      </c>
      <c r="R254" s="52" t="n">
        <v>29.59</v>
      </c>
      <c r="S254" s="52" t="n">
        <v>29.35</v>
      </c>
      <c r="T254" s="52" t="n">
        <v>29.82</v>
      </c>
      <c r="U254" s="52" t="n">
        <v>29.03</v>
      </c>
      <c r="V254" s="52" t="s">
        <v>1301</v>
      </c>
      <c r="W254" s="53" t="n">
        <v>0.0061</v>
      </c>
      <c r="Y254" s="52" t="s">
        <v>1302</v>
      </c>
      <c r="Z254" s="54" t="n">
        <v>66383.26</v>
      </c>
      <c r="AA254" s="54" t="n">
        <v>66605.9</v>
      </c>
      <c r="AB254" s="54" t="n">
        <v>67656.3</v>
      </c>
      <c r="AC254" s="54" t="n">
        <v>65759.85</v>
      </c>
      <c r="AD254" s="52" t="s">
        <v>1303</v>
      </c>
      <c r="AE254" s="53" t="n">
        <v>-0.0038</v>
      </c>
      <c r="AU254" s="57"/>
      <c r="AV254" s="52"/>
      <c r="AW254" s="52"/>
      <c r="AX254" s="52"/>
      <c r="AY254" s="52"/>
      <c r="AZ254" s="52"/>
      <c r="BA254" s="53"/>
      <c r="BC254" s="57"/>
      <c r="BD254" s="54"/>
      <c r="BE254" s="54"/>
      <c r="BF254" s="54"/>
      <c r="BG254" s="54"/>
      <c r="BH254" s="52"/>
      <c r="BI254" s="53"/>
    </row>
    <row r="255" customFormat="false" ht="13.5" hidden="false" customHeight="false" outlineLevel="0" collapsed="false">
      <c r="A255" s="58"/>
      <c r="B255" s="52"/>
      <c r="C255" s="52"/>
      <c r="D255" s="52"/>
      <c r="E255" s="52"/>
      <c r="F255" s="52"/>
      <c r="G255" s="53"/>
      <c r="I255" s="57"/>
      <c r="J255" s="54"/>
      <c r="K255" s="54"/>
      <c r="L255" s="54"/>
      <c r="M255" s="54"/>
      <c r="N255" s="52"/>
      <c r="O255" s="53"/>
      <c r="Q255" s="51" t="n">
        <v>46061</v>
      </c>
      <c r="R255" s="52" t="n">
        <v>29.47</v>
      </c>
      <c r="S255" s="52" t="n">
        <v>29.1</v>
      </c>
      <c r="T255" s="52" t="n">
        <v>29.8</v>
      </c>
      <c r="U255" s="52" t="n">
        <v>29</v>
      </c>
      <c r="V255" s="52" t="s">
        <v>1304</v>
      </c>
      <c r="W255" s="53" t="n">
        <v>-0.0041</v>
      </c>
      <c r="Y255" s="52" t="s">
        <v>1305</v>
      </c>
      <c r="Z255" s="54" t="n">
        <v>66936.99</v>
      </c>
      <c r="AA255" s="54" t="n">
        <v>66342.71</v>
      </c>
      <c r="AB255" s="54" t="n">
        <v>68457.09</v>
      </c>
      <c r="AC255" s="54" t="n">
        <v>66342.71</v>
      </c>
      <c r="AD255" s="52" t="s">
        <v>1306</v>
      </c>
      <c r="AE255" s="53" t="n">
        <v>0.0083</v>
      </c>
      <c r="AU255" s="57"/>
      <c r="AV255" s="52"/>
      <c r="AW255" s="52"/>
      <c r="AX255" s="52"/>
      <c r="AY255" s="52"/>
      <c r="AZ255" s="52"/>
      <c r="BA255" s="53"/>
      <c r="BC255" s="57"/>
      <c r="BD255" s="54"/>
      <c r="BE255" s="54"/>
      <c r="BF255" s="54"/>
      <c r="BG255" s="54"/>
      <c r="BH255" s="52"/>
      <c r="BI255" s="53"/>
    </row>
    <row r="256" customFormat="false" ht="13.5" hidden="false" customHeight="false" outlineLevel="0" collapsed="false">
      <c r="A256" s="58"/>
      <c r="B256" s="52"/>
      <c r="C256" s="52"/>
      <c r="D256" s="52"/>
      <c r="E256" s="52"/>
      <c r="F256" s="52"/>
      <c r="G256" s="53"/>
      <c r="I256" s="57"/>
      <c r="J256" s="54"/>
      <c r="K256" s="54"/>
      <c r="L256" s="54"/>
      <c r="M256" s="54"/>
      <c r="N256" s="52"/>
      <c r="O256" s="53"/>
      <c r="Q256" s="51" t="n">
        <v>46273</v>
      </c>
      <c r="R256" s="52" t="n">
        <v>27.5</v>
      </c>
      <c r="S256" s="52" t="n">
        <v>29</v>
      </c>
      <c r="T256" s="52" t="n">
        <v>29.45</v>
      </c>
      <c r="U256" s="52" t="n">
        <v>27.01</v>
      </c>
      <c r="V256" s="52" t="s">
        <v>1307</v>
      </c>
      <c r="W256" s="53" t="n">
        <v>-0.0668</v>
      </c>
      <c r="Y256" s="52" t="s">
        <v>1308</v>
      </c>
      <c r="Z256" s="54" t="n">
        <v>66938.64</v>
      </c>
      <c r="AA256" s="54" t="n">
        <v>66933.91</v>
      </c>
      <c r="AB256" s="54" t="n">
        <v>67668.58</v>
      </c>
      <c r="AC256" s="54" t="n">
        <v>66336.76</v>
      </c>
      <c r="AD256" s="52" t="s">
        <v>1309</v>
      </c>
      <c r="AE256" s="53" t="n">
        <v>0</v>
      </c>
      <c r="AU256" s="58"/>
      <c r="AV256" s="52"/>
      <c r="AW256" s="52"/>
      <c r="AX256" s="52"/>
      <c r="AY256" s="52"/>
      <c r="AZ256" s="52"/>
      <c r="BA256" s="53"/>
      <c r="BC256" s="57"/>
      <c r="BD256" s="54"/>
      <c r="BE256" s="54"/>
      <c r="BF256" s="54"/>
      <c r="BG256" s="54"/>
      <c r="BH256" s="52"/>
      <c r="BI256" s="53"/>
    </row>
    <row r="257" customFormat="false" ht="13.5" hidden="false" customHeight="false" outlineLevel="0" collapsed="false">
      <c r="A257" s="57"/>
      <c r="B257" s="52"/>
      <c r="C257" s="52"/>
      <c r="D257" s="52"/>
      <c r="E257" s="52"/>
      <c r="F257" s="52"/>
      <c r="G257" s="53"/>
      <c r="I257" s="57"/>
      <c r="J257" s="54"/>
      <c r="K257" s="54"/>
      <c r="L257" s="54"/>
      <c r="M257" s="54"/>
      <c r="N257" s="52"/>
      <c r="O257" s="53"/>
      <c r="Q257" s="52" t="s">
        <v>1310</v>
      </c>
      <c r="R257" s="52" t="n">
        <v>27.08</v>
      </c>
      <c r="S257" s="52" t="n">
        <v>27.5</v>
      </c>
      <c r="T257" s="52" t="n">
        <v>27.99</v>
      </c>
      <c r="U257" s="52" t="n">
        <v>26.6</v>
      </c>
      <c r="V257" s="52" t="s">
        <v>1311</v>
      </c>
      <c r="W257" s="53" t="n">
        <v>-0.0153</v>
      </c>
      <c r="Y257" s="52" t="s">
        <v>1312</v>
      </c>
      <c r="Z257" s="54" t="n">
        <v>64397.45</v>
      </c>
      <c r="AA257" s="54" t="n">
        <v>66933.01</v>
      </c>
      <c r="AB257" s="54" t="n">
        <v>66955.02</v>
      </c>
      <c r="AC257" s="54" t="n">
        <v>64329.53</v>
      </c>
      <c r="AD257" s="52" t="s">
        <v>1313</v>
      </c>
      <c r="AE257" s="53" t="n">
        <v>-0.038</v>
      </c>
      <c r="AU257" s="58"/>
      <c r="AV257" s="52"/>
      <c r="AW257" s="52"/>
      <c r="AX257" s="52"/>
      <c r="AY257" s="52"/>
      <c r="AZ257" s="52"/>
      <c r="BA257" s="53"/>
      <c r="BC257" s="57"/>
      <c r="BD257" s="54"/>
      <c r="BE257" s="54"/>
      <c r="BF257" s="54"/>
      <c r="BG257" s="54"/>
      <c r="BH257" s="52"/>
      <c r="BI257" s="53"/>
    </row>
    <row r="258" customFormat="false" ht="13.5" hidden="false" customHeight="false" outlineLevel="0" collapsed="false">
      <c r="A258" s="57"/>
      <c r="B258" s="52"/>
      <c r="C258" s="52"/>
      <c r="D258" s="52"/>
      <c r="E258" s="52"/>
      <c r="F258" s="52"/>
      <c r="G258" s="53"/>
      <c r="I258" s="57"/>
      <c r="J258" s="54"/>
      <c r="K258" s="54"/>
      <c r="L258" s="54"/>
      <c r="M258" s="54"/>
      <c r="N258" s="52"/>
      <c r="O258" s="53"/>
      <c r="Q258" s="52" t="s">
        <v>1314</v>
      </c>
      <c r="R258" s="52" t="n">
        <v>27.07</v>
      </c>
      <c r="S258" s="52" t="n">
        <v>27</v>
      </c>
      <c r="T258" s="52" t="n">
        <v>27.56</v>
      </c>
      <c r="U258" s="52" t="n">
        <v>26.51</v>
      </c>
      <c r="V258" s="52" t="s">
        <v>1315</v>
      </c>
      <c r="W258" s="53" t="n">
        <v>-0.0004</v>
      </c>
      <c r="Y258" s="52" t="s">
        <v>1316</v>
      </c>
      <c r="Z258" s="54" t="n">
        <v>65729.18</v>
      </c>
      <c r="AA258" s="54" t="n">
        <v>64457.26</v>
      </c>
      <c r="AB258" s="54" t="n">
        <v>66082.15</v>
      </c>
      <c r="AC258" s="54" t="n">
        <v>63841.29</v>
      </c>
      <c r="AD258" s="52" t="s">
        <v>1317</v>
      </c>
      <c r="AE258" s="53" t="n">
        <v>0.0207</v>
      </c>
      <c r="AU258" s="57"/>
      <c r="AV258" s="52"/>
      <c r="AW258" s="52"/>
      <c r="AX258" s="52"/>
      <c r="AY258" s="52"/>
      <c r="AZ258" s="52"/>
      <c r="BA258" s="53"/>
      <c r="BC258" s="57"/>
      <c r="BD258" s="54"/>
      <c r="BE258" s="54"/>
      <c r="BF258" s="54"/>
      <c r="BG258" s="54"/>
      <c r="BH258" s="52"/>
      <c r="BI258" s="53"/>
    </row>
    <row r="259" customFormat="false" ht="13.5" hidden="false" customHeight="false" outlineLevel="0" collapsed="false">
      <c r="A259" s="57"/>
      <c r="B259" s="52"/>
      <c r="C259" s="52"/>
      <c r="D259" s="52"/>
      <c r="E259" s="52"/>
      <c r="F259" s="52"/>
      <c r="G259" s="53"/>
      <c r="I259" s="57"/>
      <c r="J259" s="54"/>
      <c r="K259" s="54"/>
      <c r="L259" s="54"/>
      <c r="M259" s="54"/>
      <c r="N259" s="52"/>
      <c r="O259" s="53"/>
      <c r="Q259" s="52" t="s">
        <v>1318</v>
      </c>
      <c r="R259" s="52" t="n">
        <v>26</v>
      </c>
      <c r="S259" s="52" t="n">
        <v>27.5</v>
      </c>
      <c r="T259" s="52" t="n">
        <v>27.54</v>
      </c>
      <c r="U259" s="52" t="n">
        <v>26</v>
      </c>
      <c r="V259" s="52" t="s">
        <v>1319</v>
      </c>
      <c r="W259" s="53" t="n">
        <v>-0.0395</v>
      </c>
      <c r="Y259" s="52" t="s">
        <v>1320</v>
      </c>
      <c r="Z259" s="54" t="n">
        <v>65484.32</v>
      </c>
      <c r="AA259" s="54" t="n">
        <v>65751.65</v>
      </c>
      <c r="AB259" s="54" t="n">
        <v>66823.1</v>
      </c>
      <c r="AC259" s="54" t="n">
        <v>65019.88</v>
      </c>
      <c r="AD259" s="52" t="s">
        <v>1321</v>
      </c>
      <c r="AE259" s="53" t="n">
        <v>-0.0037</v>
      </c>
      <c r="AU259" s="57"/>
      <c r="AV259" s="52"/>
      <c r="AW259" s="52"/>
      <c r="AX259" s="52"/>
      <c r="AY259" s="52"/>
      <c r="AZ259" s="52"/>
      <c r="BA259" s="53"/>
      <c r="BC259" s="57"/>
      <c r="BD259" s="54"/>
      <c r="BE259" s="54"/>
      <c r="BF259" s="54"/>
      <c r="BG259" s="54"/>
      <c r="BH259" s="52"/>
      <c r="BI259" s="53"/>
    </row>
    <row r="260" customFormat="false" ht="13.5" hidden="false" customHeight="false" outlineLevel="0" collapsed="false">
      <c r="A260" s="58"/>
      <c r="B260" s="52"/>
      <c r="C260" s="52"/>
      <c r="D260" s="52"/>
      <c r="E260" s="52"/>
      <c r="F260" s="52"/>
      <c r="G260" s="53"/>
      <c r="I260" s="57"/>
      <c r="J260" s="54"/>
      <c r="K260" s="54"/>
      <c r="L260" s="54"/>
      <c r="M260" s="54"/>
      <c r="N260" s="52"/>
      <c r="O260" s="53"/>
      <c r="Q260" s="51" t="n">
        <v>46182</v>
      </c>
      <c r="R260" s="52" t="n">
        <v>26</v>
      </c>
      <c r="S260" s="52" t="n">
        <v>26.25</v>
      </c>
      <c r="T260" s="52" t="n">
        <v>26.52</v>
      </c>
      <c r="U260" s="52" t="n">
        <v>25.5</v>
      </c>
      <c r="V260" s="52" t="s">
        <v>1322</v>
      </c>
      <c r="W260" s="53" t="n">
        <v>0</v>
      </c>
      <c r="Y260" s="52" t="s">
        <v>1323</v>
      </c>
      <c r="Z260" s="54" t="n">
        <v>64866.61</v>
      </c>
      <c r="AA260" s="54" t="n">
        <v>65325.71</v>
      </c>
      <c r="AB260" s="54" t="n">
        <v>65743.72</v>
      </c>
      <c r="AC260" s="54" t="n">
        <v>64312.59</v>
      </c>
      <c r="AD260" s="52" t="s">
        <v>585</v>
      </c>
      <c r="AE260" s="53" t="n">
        <v>-0.0094</v>
      </c>
      <c r="AU260" s="57"/>
      <c r="AV260" s="52"/>
      <c r="AW260" s="52"/>
      <c r="AX260" s="52"/>
      <c r="AY260" s="52"/>
      <c r="AZ260" s="52"/>
      <c r="BA260" s="53"/>
      <c r="BC260" s="57"/>
      <c r="BD260" s="54"/>
      <c r="BE260" s="54"/>
      <c r="BF260" s="54"/>
      <c r="BG260" s="54"/>
      <c r="BH260" s="52"/>
      <c r="BI260" s="53"/>
    </row>
    <row r="261" customFormat="false" ht="13.5" hidden="false" customHeight="false" outlineLevel="0" collapsed="false">
      <c r="A261" s="57"/>
      <c r="B261" s="52"/>
      <c r="C261" s="52"/>
      <c r="D261" s="52"/>
      <c r="E261" s="52"/>
      <c r="F261" s="52"/>
      <c r="G261" s="53"/>
      <c r="I261" s="57"/>
      <c r="J261" s="54"/>
      <c r="K261" s="54"/>
      <c r="L261" s="54"/>
      <c r="M261" s="54"/>
      <c r="N261" s="52"/>
      <c r="O261" s="53"/>
      <c r="Q261" s="52" t="s">
        <v>1324</v>
      </c>
      <c r="R261" s="52" t="n">
        <v>30.24</v>
      </c>
      <c r="S261" s="52" t="n">
        <v>26.52</v>
      </c>
      <c r="T261" s="52" t="n">
        <v>30.4</v>
      </c>
      <c r="U261" s="52" t="n">
        <v>26.52</v>
      </c>
      <c r="V261" s="52" t="s">
        <v>1325</v>
      </c>
      <c r="W261" s="53" t="n">
        <v>0.1631</v>
      </c>
      <c r="Y261" s="52" t="s">
        <v>1326</v>
      </c>
      <c r="Z261" s="54" t="n">
        <v>63924.77</v>
      </c>
      <c r="AA261" s="54" t="n">
        <v>64972.75</v>
      </c>
      <c r="AB261" s="54" t="n">
        <v>65263.32</v>
      </c>
      <c r="AC261" s="54" t="n">
        <v>63768.4</v>
      </c>
      <c r="AD261" s="52" t="s">
        <v>1327</v>
      </c>
      <c r="AE261" s="53" t="n">
        <v>-0.0145</v>
      </c>
      <c r="AU261" s="58"/>
      <c r="AV261" s="52"/>
      <c r="AW261" s="52"/>
      <c r="AX261" s="52"/>
      <c r="AY261" s="52"/>
      <c r="AZ261" s="52"/>
      <c r="BA261" s="53"/>
      <c r="BC261" s="57"/>
      <c r="BD261" s="54"/>
      <c r="BE261" s="54"/>
      <c r="BF261" s="54"/>
      <c r="BG261" s="54"/>
      <c r="BH261" s="52"/>
      <c r="BI261" s="53"/>
    </row>
    <row r="262" customFormat="false" ht="13.5" hidden="false" customHeight="false" outlineLevel="0" collapsed="false">
      <c r="A262" s="57"/>
      <c r="B262" s="52"/>
      <c r="C262" s="52"/>
      <c r="D262" s="52"/>
      <c r="E262" s="52"/>
      <c r="F262" s="52"/>
      <c r="G262" s="53"/>
      <c r="I262" s="57"/>
      <c r="J262" s="54"/>
      <c r="K262" s="54"/>
      <c r="L262" s="54"/>
      <c r="M262" s="54"/>
      <c r="N262" s="52"/>
      <c r="O262" s="53"/>
      <c r="Q262" s="52" t="s">
        <v>1328</v>
      </c>
      <c r="R262" s="52" t="n">
        <v>33.48</v>
      </c>
      <c r="S262" s="52" t="n">
        <v>30.2</v>
      </c>
      <c r="T262" s="52" t="n">
        <v>33.5</v>
      </c>
      <c r="U262" s="52" t="n">
        <v>30.1</v>
      </c>
      <c r="V262" s="52" t="s">
        <v>1329</v>
      </c>
      <c r="W262" s="53" t="n">
        <v>0.1071</v>
      </c>
      <c r="Y262" s="52" t="s">
        <v>1330</v>
      </c>
      <c r="Z262" s="54" t="n">
        <v>63375.93</v>
      </c>
      <c r="AA262" s="54" t="n">
        <v>63863.57</v>
      </c>
      <c r="AB262" s="54" t="n">
        <v>64375.85</v>
      </c>
      <c r="AC262" s="54" t="n">
        <v>63296.67</v>
      </c>
      <c r="AD262" s="52" t="s">
        <v>880</v>
      </c>
      <c r="AE262" s="53" t="n">
        <v>-0.0086</v>
      </c>
      <c r="AU262" s="57"/>
      <c r="AV262" s="52"/>
      <c r="AW262" s="52"/>
      <c r="AX262" s="52"/>
      <c r="AY262" s="52"/>
      <c r="AZ262" s="52"/>
      <c r="BA262" s="53"/>
      <c r="BC262" s="57"/>
      <c r="BD262" s="54"/>
      <c r="BE262" s="54"/>
      <c r="BF262" s="54"/>
      <c r="BG262" s="54"/>
      <c r="BH262" s="52"/>
      <c r="BI262" s="53"/>
    </row>
    <row r="263" customFormat="false" ht="13.5" hidden="false" customHeight="false" outlineLevel="0" collapsed="false">
      <c r="A263" s="57"/>
      <c r="B263" s="52"/>
      <c r="C263" s="52"/>
      <c r="D263" s="52"/>
      <c r="E263" s="52"/>
      <c r="F263" s="52"/>
      <c r="G263" s="53"/>
      <c r="I263" s="57"/>
      <c r="J263" s="54"/>
      <c r="K263" s="54"/>
      <c r="L263" s="54"/>
      <c r="M263" s="54"/>
      <c r="N263" s="52"/>
      <c r="O263" s="53"/>
      <c r="Q263" s="52" t="s">
        <v>1331</v>
      </c>
      <c r="R263" s="52" t="n">
        <v>34.1</v>
      </c>
      <c r="S263" s="52" t="n">
        <v>33.48</v>
      </c>
      <c r="T263" s="52" t="n">
        <v>35</v>
      </c>
      <c r="U263" s="52" t="n">
        <v>33.48</v>
      </c>
      <c r="V263" s="52" t="s">
        <v>1332</v>
      </c>
      <c r="W263" s="53" t="n">
        <v>0.0185</v>
      </c>
      <c r="Y263" s="52" t="s">
        <v>1333</v>
      </c>
      <c r="Z263" s="54" t="n">
        <v>64992.23</v>
      </c>
      <c r="AA263" s="54" t="n">
        <v>63741.55</v>
      </c>
      <c r="AB263" s="54" t="n">
        <v>65035.96</v>
      </c>
      <c r="AC263" s="54" t="n">
        <v>63059.32</v>
      </c>
      <c r="AD263" s="52" t="s">
        <v>1334</v>
      </c>
      <c r="AE263" s="53" t="n">
        <v>0.0255</v>
      </c>
      <c r="AU263" s="57"/>
      <c r="AV263" s="52"/>
      <c r="AW263" s="52"/>
      <c r="AX263" s="52"/>
      <c r="AY263" s="52"/>
      <c r="AZ263" s="52"/>
      <c r="BA263" s="53"/>
      <c r="BC263" s="57"/>
      <c r="BD263" s="54"/>
      <c r="BE263" s="54"/>
      <c r="BF263" s="54"/>
      <c r="BG263" s="54"/>
      <c r="BH263" s="52"/>
      <c r="BI263" s="53"/>
    </row>
    <row r="264" customFormat="false" ht="13.5" hidden="false" customHeight="false" outlineLevel="0" collapsed="false">
      <c r="A264" s="58"/>
      <c r="B264" s="52"/>
      <c r="C264" s="52"/>
      <c r="D264" s="52"/>
      <c r="E264" s="52"/>
      <c r="F264" s="52"/>
      <c r="G264" s="53"/>
      <c r="I264" s="57"/>
      <c r="J264" s="54"/>
      <c r="K264" s="54"/>
      <c r="L264" s="54"/>
      <c r="M264" s="54"/>
      <c r="N264" s="52"/>
      <c r="O264" s="53"/>
      <c r="Q264" s="51" t="n">
        <v>46122</v>
      </c>
      <c r="R264" s="52" t="n">
        <v>33.1</v>
      </c>
      <c r="S264" s="52" t="n">
        <v>34.48</v>
      </c>
      <c r="T264" s="52" t="n">
        <v>34.48</v>
      </c>
      <c r="U264" s="52" t="n">
        <v>32.85</v>
      </c>
      <c r="V264" s="52" t="s">
        <v>1335</v>
      </c>
      <c r="W264" s="53" t="n">
        <v>-0.0293</v>
      </c>
      <c r="Y264" s="52" t="s">
        <v>1336</v>
      </c>
      <c r="Z264" s="54" t="n">
        <v>64531.68</v>
      </c>
      <c r="AA264" s="54" t="n">
        <v>64803.3</v>
      </c>
      <c r="AB264" s="54" t="n">
        <v>65565.2</v>
      </c>
      <c r="AC264" s="54" t="n">
        <v>63219.85</v>
      </c>
      <c r="AD264" s="52" t="s">
        <v>1337</v>
      </c>
      <c r="AE264" s="53" t="n">
        <v>-0.0071</v>
      </c>
      <c r="AU264" s="57"/>
      <c r="AV264" s="52"/>
      <c r="AW264" s="52"/>
      <c r="AX264" s="52"/>
      <c r="AY264" s="52"/>
      <c r="AZ264" s="52"/>
      <c r="BA264" s="53"/>
      <c r="BC264" s="57"/>
      <c r="BD264" s="54"/>
      <c r="BE264" s="54"/>
      <c r="BF264" s="54"/>
      <c r="BG264" s="54"/>
      <c r="BH264" s="52"/>
      <c r="BI264" s="53"/>
    </row>
    <row r="265" customFormat="false" ht="13.5" hidden="false" customHeight="false" outlineLevel="0" collapsed="false">
      <c r="I265" s="57"/>
      <c r="J265" s="54"/>
      <c r="K265" s="54"/>
      <c r="L265" s="54"/>
      <c r="M265" s="54"/>
      <c r="N265" s="52"/>
      <c r="O265" s="53"/>
      <c r="Y265" s="52" t="s">
        <v>1338</v>
      </c>
      <c r="Z265" s="54" t="n">
        <v>66048.57</v>
      </c>
      <c r="AA265" s="54" t="n">
        <v>64783.18</v>
      </c>
      <c r="AB265" s="54" t="n">
        <v>66176.26</v>
      </c>
      <c r="AC265" s="54" t="n">
        <v>64162.09</v>
      </c>
      <c r="AD265" s="52" t="s">
        <v>1339</v>
      </c>
      <c r="AE265" s="53" t="n">
        <v>0.0235</v>
      </c>
      <c r="AU265" s="58"/>
      <c r="AV265" s="52"/>
      <c r="AW265" s="52"/>
      <c r="AX265" s="52"/>
      <c r="AY265" s="52"/>
      <c r="AZ265" s="52"/>
      <c r="BA265" s="53"/>
      <c r="BC265" s="57"/>
      <c r="BD265" s="54"/>
      <c r="BE265" s="54"/>
      <c r="BF265" s="54"/>
      <c r="BG265" s="54"/>
      <c r="BH265" s="52"/>
      <c r="BI265" s="53"/>
    </row>
    <row r="266" customFormat="false" ht="13.5" hidden="false" customHeight="false" outlineLevel="0" collapsed="false">
      <c r="I266" s="57"/>
      <c r="J266" s="54"/>
      <c r="K266" s="54"/>
      <c r="L266" s="54"/>
      <c r="M266" s="54"/>
      <c r="N266" s="52"/>
      <c r="O266" s="53"/>
      <c r="Y266" s="52" t="s">
        <v>1340</v>
      </c>
      <c r="Z266" s="54" t="n">
        <v>66746.78</v>
      </c>
      <c r="AA266" s="54" t="n">
        <v>65930.45</v>
      </c>
      <c r="AB266" s="54" t="n">
        <v>66867.88</v>
      </c>
      <c r="AC266" s="54" t="n">
        <v>65869.03</v>
      </c>
      <c r="AD266" s="52" t="s">
        <v>700</v>
      </c>
      <c r="AE266" s="53" t="n">
        <v>0.0106</v>
      </c>
      <c r="BC266" s="57"/>
      <c r="BD266" s="54"/>
      <c r="BE266" s="54"/>
      <c r="BF266" s="54"/>
      <c r="BG266" s="54"/>
      <c r="BH266" s="52"/>
      <c r="BI266" s="53"/>
    </row>
    <row r="267" customFormat="false" ht="13.5" hidden="false" customHeight="false" outlineLevel="0" collapsed="false">
      <c r="BC267" s="57"/>
      <c r="BD267" s="54"/>
      <c r="BE267" s="54"/>
      <c r="BF267" s="54"/>
      <c r="BG267" s="54"/>
      <c r="BH267" s="52"/>
      <c r="BI267" s="5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512"/>
  <sheetViews>
    <sheetView showFormulas="false" showGridLines="true" showRowColHeaders="true" showZeros="true" rightToLeft="false" tabSelected="false" showOutlineSymbols="true" defaultGridColor="true" view="normal" topLeftCell="A1" colorId="64" zoomScale="135" zoomScaleNormal="135" zoomScalePageLayoutView="100" workbookViewId="0">
      <selection pane="topLeft" activeCell="G15" activeCellId="0" sqref="G15"/>
    </sheetView>
  </sheetViews>
  <sheetFormatPr defaultColWidth="8.66796875" defaultRowHeight="13.5" zeroHeight="false" outlineLevelRow="0" outlineLevelCol="0"/>
  <cols>
    <col collapsed="false" customWidth="true" hidden="false" outlineLevel="0" max="1" min="1" style="44" width="30"/>
    <col collapsed="false" customWidth="true" hidden="false" outlineLevel="0" max="4" min="2" style="44" width="13"/>
    <col collapsed="false" customWidth="true" hidden="false" outlineLevel="0" max="6" min="5" style="44" width="12"/>
    <col collapsed="false" customWidth="true" hidden="false" outlineLevel="0" max="7" min="7" style="44" width="46"/>
    <col collapsed="false" customWidth="true" hidden="false" outlineLevel="0" max="8" min="8" style="44" width="16"/>
    <col collapsed="false" customWidth="true" hidden="false" outlineLevel="0" max="9" min="9" style="44" width="9"/>
    <col collapsed="false" customWidth="true" hidden="false" outlineLevel="0" max="11" min="10" style="44" width="13"/>
    <col collapsed="false" customWidth="true" hidden="false" outlineLevel="0" max="12" min="12" style="44" width="9"/>
    <col collapsed="false" customWidth="true" hidden="false" outlineLevel="0" max="14" min="13" style="44" width="13"/>
    <col collapsed="false" customWidth="true" hidden="false" outlineLevel="0" max="16" min="15" style="44" width="10"/>
    <col collapsed="false" customWidth="false" hidden="false" outlineLevel="0" max="17" min="17" style="44" width="8.67"/>
    <col collapsed="false" customWidth="true" hidden="false" outlineLevel="0" max="18" min="18" style="44" width="6"/>
    <col collapsed="false" customWidth="true" hidden="false" outlineLevel="0" max="21" min="19" style="44" width="13"/>
    <col collapsed="false" customWidth="true" hidden="false" outlineLevel="0" max="23" min="22" style="44" width="12"/>
    <col collapsed="false" customWidth="true" hidden="false" outlineLevel="0" max="24" min="24" style="44" width="8"/>
    <col collapsed="false" customWidth="true" hidden="false" outlineLevel="0" max="26" min="25" style="44" width="12"/>
    <col collapsed="false" customWidth="true" hidden="false" outlineLevel="0" max="28" min="27" style="44" width="10"/>
    <col collapsed="false" customWidth="false" hidden="false" outlineLevel="0" max="29" min="29" style="44" width="8.67"/>
    <col collapsed="false" customWidth="true" hidden="false" outlineLevel="0" max="30" min="30" style="44" width="12.33"/>
    <col collapsed="false" customWidth="true" hidden="false" outlineLevel="0" max="31" min="31" style="44" width="8.83"/>
    <col collapsed="false" customWidth="true" hidden="false" outlineLevel="0" max="32" min="32" style="44" width="12.33"/>
    <col collapsed="false" customWidth="true" hidden="false" outlineLevel="0" max="33" min="33" style="44" width="9.83"/>
    <col collapsed="false" customWidth="true" hidden="false" outlineLevel="0" max="34" min="34" style="44" width="12.67"/>
    <col collapsed="false" customWidth="true" hidden="false" outlineLevel="0" max="35" min="35" style="44" width="8.83"/>
    <col collapsed="false" customWidth="true" hidden="false" outlineLevel="0" max="36" min="36" style="44" width="12.67"/>
    <col collapsed="false" customWidth="true" hidden="false" outlineLevel="0" max="37" min="37" style="44" width="9.83"/>
    <col collapsed="false" customWidth="false" hidden="false" outlineLevel="0" max="16384" min="38" style="44" width="8.67"/>
  </cols>
  <sheetData>
    <row r="1" customFormat="false" ht="18" hidden="false" customHeight="true" outlineLevel="0" collapsed="false">
      <c r="A1" s="59" t="s">
        <v>1341</v>
      </c>
    </row>
    <row r="2" customFormat="false" ht="13.5" hidden="false" customHeight="false" outlineLevel="0" collapsed="false">
      <c r="A2" s="60"/>
    </row>
    <row r="4" customFormat="false" ht="13.5" hidden="false" customHeight="false" outlineLevel="0" collapsed="false">
      <c r="A4" s="61"/>
      <c r="B4" s="62" t="s">
        <v>1342</v>
      </c>
      <c r="C4" s="62" t="s">
        <v>1343</v>
      </c>
      <c r="D4" s="62" t="s">
        <v>1344</v>
      </c>
      <c r="E4" s="62" t="s">
        <v>1345</v>
      </c>
      <c r="F4" s="63"/>
      <c r="G4" s="64" t="s">
        <v>1346</v>
      </c>
      <c r="H4" s="62" t="s">
        <v>78</v>
      </c>
    </row>
    <row r="5" customFormat="false" ht="13.5" hidden="false" customHeight="false" outlineLevel="0" collapsed="false">
      <c r="A5" s="65" t="s">
        <v>1347</v>
      </c>
      <c r="B5" s="66" t="n">
        <f aca="false">COUNT($AD$10:$AD$509)</f>
        <v>63</v>
      </c>
      <c r="C5" s="66" t="n">
        <f aca="false">COUNT($AF$10:$AF$509)</f>
        <v>73</v>
      </c>
      <c r="D5" s="66" t="n">
        <f aca="false">COUNT($AH$10:$AH$409)</f>
        <v>259</v>
      </c>
      <c r="E5" s="66" t="n">
        <f aca="false">COUNT($AJ$10:$AJ$409)</f>
        <v>261</v>
      </c>
      <c r="F5" s="63"/>
      <c r="G5" s="67" t="s">
        <v>1348</v>
      </c>
      <c r="H5" s="68" t="n">
        <f aca="false">IF(B5&gt;0,INDEX($T$10:$T$509,MATCH(MAX($S$10:$S$509),$S$10:$S$509,0)),IF(D5&gt;0,INDEX($C$10:$C$409,MATCH(MAX($B$10:$B$409),$B$10:$B$409,0)),H8))</f>
        <v>33.1</v>
      </c>
    </row>
    <row r="6" customFormat="false" ht="13.5" hidden="false" customHeight="false" outlineLevel="0" collapsed="false">
      <c r="A6" s="65" t="s">
        <v>1349</v>
      </c>
      <c r="B6" s="69" t="n">
        <f aca="false">IF(B5=0,"",MIN($AD$10:$AD$509))</f>
        <v>46204</v>
      </c>
      <c r="C6" s="69" t="n">
        <f aca="false">IF(C5=0,"",MIN($AF$10:$AF$509))</f>
        <v>46204</v>
      </c>
      <c r="D6" s="69" t="n">
        <f aca="false">IF(D5=0,"",MIN($AH$10:$AH$409))</f>
        <v>44486</v>
      </c>
      <c r="E6" s="69" t="n">
        <f aca="false">IF(E5=0,"",MIN($AJ$10:$AJ$409))</f>
        <v>44486</v>
      </c>
      <c r="F6" s="63"/>
      <c r="G6" s="67" t="s">
        <v>1350</v>
      </c>
      <c r="H6" s="69" t="n">
        <f aca="false">IF(B5&gt;0,MAX($S$10:$S$509),IF(D5&gt;0,MAX($B$10:$B$409),H9))</f>
        <v>46302</v>
      </c>
    </row>
    <row r="7" customFormat="false" ht="13.5" hidden="false" customHeight="false" outlineLevel="0" collapsed="false">
      <c r="A7" s="65" t="s">
        <v>185</v>
      </c>
      <c r="B7" s="69" t="n">
        <f aca="false">IF(B5=0,"",MAX($AD$10:$AD$509))</f>
        <v>46302</v>
      </c>
      <c r="C7" s="69" t="n">
        <f aca="false">IF(C5=0,"",MAX($AF$10:$AF$509))</f>
        <v>46307</v>
      </c>
      <c r="D7" s="69" t="n">
        <f aca="false">IF(D5=0,"",MAX($AH$10:$AH$409))</f>
        <v>46299</v>
      </c>
      <c r="E7" s="69" t="n">
        <f aca="false">IF(E5=0,"",MAX($AJ$10:$AJ$409))</f>
        <v>46306</v>
      </c>
      <c r="F7" s="63"/>
      <c r="G7" s="67" t="s">
        <v>1351</v>
      </c>
      <c r="H7" s="65" t="str">
        <f aca="false">IF(B5&gt;0,"Investing, diario",IF(D5&gt;0,"Investing, semanal","RESPALDO: modelo anterior (25-sep-2026). Pega datos diarios en Base de Datos."))</f>
        <v>Investing, diario</v>
      </c>
    </row>
    <row r="8" customFormat="false" ht="13.5" hidden="false" customHeight="false" outlineLevel="0" collapsed="false">
      <c r="A8" s="63"/>
      <c r="B8" s="63"/>
      <c r="C8" s="63"/>
      <c r="D8" s="63"/>
      <c r="E8" s="63"/>
      <c r="F8" s="63"/>
      <c r="G8" s="67" t="s">
        <v>1352</v>
      </c>
      <c r="H8" s="70" t="n">
        <v>33.48</v>
      </c>
      <c r="AD8" s="71" t="s">
        <v>1353</v>
      </c>
    </row>
    <row r="9" customFormat="false" ht="45" hidden="false" customHeight="true" outlineLevel="0" collapsed="false">
      <c r="A9" s="63"/>
      <c r="B9" s="63"/>
      <c r="C9" s="63"/>
      <c r="D9" s="63"/>
      <c r="E9" s="63"/>
      <c r="F9" s="63"/>
      <c r="G9" s="67" t="s">
        <v>1354</v>
      </c>
      <c r="H9" s="69" t="n">
        <v>46290</v>
      </c>
      <c r="AD9" s="72" t="s">
        <v>1355</v>
      </c>
      <c r="AE9" s="72" t="s">
        <v>1356</v>
      </c>
      <c r="AF9" s="72" t="s">
        <v>1357</v>
      </c>
      <c r="AG9" s="72" t="s">
        <v>1358</v>
      </c>
      <c r="AH9" s="72" t="s">
        <v>1359</v>
      </c>
      <c r="AI9" s="72" t="s">
        <v>1360</v>
      </c>
      <c r="AJ9" s="72" t="s">
        <v>1361</v>
      </c>
      <c r="AK9" s="72" t="s">
        <v>1362</v>
      </c>
    </row>
    <row r="10" customFormat="false" ht="13.5" hidden="false" customHeight="false" outlineLevel="0" collapsed="false">
      <c r="A10" s="63"/>
      <c r="B10" s="63"/>
      <c r="C10" s="63"/>
      <c r="D10" s="63"/>
      <c r="E10" s="63"/>
      <c r="F10" s="63"/>
      <c r="G10" s="67" t="s">
        <v>1363</v>
      </c>
      <c r="H10" s="69" t="n">
        <f aca="false">IF(OR(B5&gt;0,D5&gt;0),H6,DATE(2026,10,1))</f>
        <v>46302</v>
      </c>
      <c r="AD10" s="73" t="n">
        <f aca="false">IF(ISNUMBER(AE10),IF(ISNUMBER('Base de Datos'!A6),IF('Base de Datos'!A6&gt;20000,DATE(YEAR('Base de Datos'!A6),DAY('Base de Datos'!A6),MONTH('Base de Datos'!A6)),""),IF(TRIM('Base de Datos'!A6)="","",IFERROR(DATE(VALUE(RIGHT(TRIM('Base de Datos'!A6),4)),VALUE(LEFT(TRIM('Base de Datos'!A6),2)),VALUE(MID(TRIM('Base de Datos'!A6),4,2))),""))),"")</f>
        <v>46204</v>
      </c>
      <c r="AE10" s="74" t="n">
        <f aca="false">IF(ISNUMBER('Base de Datos'!B6),'Base de Datos'!B6,IF(TRIM('Base de Datos'!B6)="","",IFERROR(IF(IFERROR(FIND("@",SUBSTITUTE(TRIM('Base de Datos'!B6),",","@",LEN(TRIM('Base de Datos'!B6))-LEN(SUBSTITUTE(TRIM('Base de Datos'!B6),",","")))),0)&gt;IFERROR(FIND("@",SUBSTITUTE(TRIM('Base de Datos'!B6),".","@",LEN(TRIM('Base de Datos'!B6))-LEN(SUBSTITUTE(TRIM('Base de Datos'!B6),".","")))),0),_xlfn.NUMBERVALUE(SUBSTITUTE(SUBSTITUTE(TRIM('Base de Datos'!B6),".",""),",","."),".",","),_xlfn.NUMBERVALUE(SUBSTITUTE(TRIM('Base de Datos'!B6),",",""),".",",")),"")))</f>
        <v>30.34</v>
      </c>
      <c r="AF10" s="73" t="n">
        <f aca="false">IF(ISNUMBER(AG10),IF(ISNUMBER('Base de Datos'!I6),IF('Base de Datos'!I6&gt;20000,INT('Base de Datos'!I6),""),IF(TRIM('Base de Datos'!I6)="","",IFERROR(DATE(VALUE(RIGHT(TRIM('Base de Datos'!I6),4)),VALUE(MID(TRIM('Base de Datos'!I6),4,2)),VALUE(LEFT(TRIM('Base de Datos'!I6),2))),IFERROR(DATEVALUE(TRIM('Base de Datos'!I6)),"")))),"")</f>
        <v>46204</v>
      </c>
      <c r="AG10" s="74" t="n">
        <f aca="false">IF(ISNUMBER('Base de Datos'!J6),'Base de Datos'!J6,IF(TRIM('Base de Datos'!J6)="","",IFERROR(IF(IFERROR(FIND("@",SUBSTITUTE(TRIM('Base de Datos'!J6),",","@",LEN(TRIM('Base de Datos'!J6))-LEN(SUBSTITUTE(TRIM('Base de Datos'!J6),",","")))),0)&gt;IFERROR(FIND("@",SUBSTITUTE(TRIM('Base de Datos'!J6),".","@",LEN(TRIM('Base de Datos'!J6))-LEN(SUBSTITUTE(TRIM('Base de Datos'!J6),".","")))),0),_xlfn.NUMBERVALUE(SUBSTITUTE(SUBSTITUTE(TRIM('Base de Datos'!J6),".",""),",","."),".",","),_xlfn.NUMBERVALUE(SUBSTITUTE(TRIM('Base de Datos'!J6),",",""),".",",")),"")))</f>
        <v>67247.79</v>
      </c>
      <c r="AH10" s="73" t="n">
        <f aca="false">IF(ISNUMBER(AI10),IF(ISNUMBER('Base de Datos'!Q6),IF('Base de Datos'!Q6&gt;20000,DATE(YEAR('Base de Datos'!Q6),DAY('Base de Datos'!Q6),MONTH('Base de Datos'!Q6)),""),IF(TRIM('Base de Datos'!Q6)="","",IFERROR(DATE(VALUE(RIGHT(TRIM('Base de Datos'!Q6),4)),VALUE(LEFT(TRIM('Base de Datos'!Q6),2)),VALUE(MID(TRIM('Base de Datos'!Q6),4,2))),""))),"")</f>
        <v>44486</v>
      </c>
      <c r="AI10" s="74" t="n">
        <f aca="false">IF(ISNUMBER('Base de Datos'!R6),'Base de Datos'!R6,IF(TRIM('Base de Datos'!R6)="","",IFERROR(IF(IFERROR(FIND("@",SUBSTITUTE(TRIM('Base de Datos'!R6),",","@",LEN(TRIM('Base de Datos'!R6))-LEN(SUBSTITUTE(TRIM('Base de Datos'!R6),",","")))),0)&gt;IFERROR(FIND("@",SUBSTITUTE(TRIM('Base de Datos'!R6),".","@",LEN(TRIM('Base de Datos'!R6))-LEN(SUBSTITUTE(TRIM('Base de Datos'!R6),".","")))),0),_xlfn.NUMBERVALUE(SUBSTITUTE(SUBSTITUTE(TRIM('Base de Datos'!R6),".",""),",","."),".",","),_xlfn.NUMBERVALUE(SUBSTITUTE(TRIM('Base de Datos'!R6),",",""),".",",")),"")))</f>
        <v>25</v>
      </c>
      <c r="AJ10" s="73" t="n">
        <f aca="false">IF(ISNUMBER(AK10),IF(ISNUMBER('Base de Datos'!Y6),IF('Base de Datos'!Y6&gt;20000,INT('Base de Datos'!Y6),""),IF(TRIM('Base de Datos'!Y6)="","",IFERROR(DATE(VALUE(RIGHT(TRIM('Base de Datos'!Y6),4)),VALUE(MID(TRIM('Base de Datos'!Y6),4,2)),VALUE(LEFT(TRIM('Base de Datos'!Y6),2))),IFERROR(DATEVALUE(TRIM('Base de Datos'!Y6)),"")))),"")</f>
        <v>44486</v>
      </c>
      <c r="AK10" s="74" t="n">
        <f aca="false">IF(ISNUMBER('Base de Datos'!Z6),'Base de Datos'!Z6,IF(TRIM('Base de Datos'!Z6)="","",IFERROR(IF(IFERROR(FIND("@",SUBSTITUTE(TRIM('Base de Datos'!Z6),",","@",LEN(TRIM('Base de Datos'!Z6))-LEN(SUBSTITUTE(TRIM('Base de Datos'!Z6),",","")))),0)&gt;IFERROR(FIND("@",SUBSTITUTE(TRIM('Base de Datos'!Z6),".","@",LEN(TRIM('Base de Datos'!Z6))-LEN(SUBSTITUTE(TRIM('Base de Datos'!Z6),".","")))),0),_xlfn.NUMBERVALUE(SUBSTITUTE(SUBSTITUTE(TRIM('Base de Datos'!Z6),".",""),",","."),".",","),_xlfn.NUMBERVALUE(SUBSTITUTE(TRIM('Base de Datos'!Z6),",",""),".",",")),"")))</f>
        <v>51889.66</v>
      </c>
    </row>
    <row r="11" customFormat="false" ht="13.5" hidden="false" customHeight="false" outlineLevel="0" collapsed="false">
      <c r="A11" s="71" t="s">
        <v>1364</v>
      </c>
      <c r="R11" s="71" t="s">
        <v>1365</v>
      </c>
      <c r="AD11" s="73" t="n">
        <f aca="false">IF(ISNUMBER(AE11),IF(ISNUMBER('Base de Datos'!A7),IF('Base de Datos'!A7&gt;20000,DATE(YEAR('Base de Datos'!A7),DAY('Base de Datos'!A7),MONTH('Base de Datos'!A7)),""),IF(TRIM('Base de Datos'!A7)="","",IFERROR(DATE(VALUE(RIGHT(TRIM('Base de Datos'!A7),4)),VALUE(LEFT(TRIM('Base de Datos'!A7),2)),VALUE(MID(TRIM('Base de Datos'!A7),4,2))),""))),"")</f>
        <v>46205</v>
      </c>
      <c r="AE11" s="74" t="n">
        <f aca="false">IF(ISNUMBER('Base de Datos'!B7),'Base de Datos'!B7,IF(TRIM('Base de Datos'!B7)="","",IFERROR(IF(IFERROR(FIND("@",SUBSTITUTE(TRIM('Base de Datos'!B7),",","@",LEN(TRIM('Base de Datos'!B7))-LEN(SUBSTITUTE(TRIM('Base de Datos'!B7),",","")))),0)&gt;IFERROR(FIND("@",SUBSTITUTE(TRIM('Base de Datos'!B7),".","@",LEN(TRIM('Base de Datos'!B7))-LEN(SUBSTITUTE(TRIM('Base de Datos'!B7),".","")))),0),_xlfn.NUMBERVALUE(SUBSTITUTE(SUBSTITUTE(TRIM('Base de Datos'!B7),".",""),",","."),".",","),_xlfn.NUMBERVALUE(SUBSTITUTE(TRIM('Base de Datos'!B7),",",""),".",",")),"")))</f>
        <v>30.7</v>
      </c>
      <c r="AF11" s="73" t="n">
        <f aca="false">IF(ISNUMBER(AG11),IF(ISNUMBER('Base de Datos'!I7),IF('Base de Datos'!I7&gt;20000,INT('Base de Datos'!I7),""),IF(TRIM('Base de Datos'!I7)="","",IFERROR(DATE(VALUE(RIGHT(TRIM('Base de Datos'!I7),4)),VALUE(MID(TRIM('Base de Datos'!I7),4,2)),VALUE(LEFT(TRIM('Base de Datos'!I7),2))),IFERROR(DATEVALUE(TRIM('Base de Datos'!I7)),"")))),"")</f>
        <v>46205</v>
      </c>
      <c r="AG11" s="74" t="n">
        <f aca="false">IF(ISNUMBER('Base de Datos'!J7),'Base de Datos'!J7,IF(TRIM('Base de Datos'!J7)="","",IFERROR(IF(IFERROR(FIND("@",SUBSTITUTE(TRIM('Base de Datos'!J7),",","@",LEN(TRIM('Base de Datos'!J7))-LEN(SUBSTITUTE(TRIM('Base de Datos'!J7),",","")))),0)&gt;IFERROR(FIND("@",SUBSTITUTE(TRIM('Base de Datos'!J7),".","@",LEN(TRIM('Base de Datos'!J7))-LEN(SUBSTITUTE(TRIM('Base de Datos'!J7),".","")))),0),_xlfn.NUMBERVALUE(SUBSTITUTE(SUBSTITUTE(TRIM('Base de Datos'!J7),".",""),",","."),".",","),_xlfn.NUMBERVALUE(SUBSTITUTE(TRIM('Base de Datos'!J7),",",""),".",",")),"")))</f>
        <v>67071.11</v>
      </c>
      <c r="AH11" s="73" t="n">
        <f aca="false">IF(ISNUMBER(AI11),IF(ISNUMBER('Base de Datos'!Q7),IF('Base de Datos'!Q7&gt;20000,DATE(YEAR('Base de Datos'!Q7),DAY('Base de Datos'!Q7),MONTH('Base de Datos'!Q7)),""),IF(TRIM('Base de Datos'!Q7)="","",IFERROR(DATE(VALUE(RIGHT(TRIM('Base de Datos'!Q7),4)),VALUE(LEFT(TRIM('Base de Datos'!Q7),2)),VALUE(MID(TRIM('Base de Datos'!Q7),4,2))),""))),"")</f>
        <v>44493</v>
      </c>
      <c r="AI11" s="74" t="n">
        <f aca="false">IF(ISNUMBER('Base de Datos'!R7),'Base de Datos'!R7,IF(TRIM('Base de Datos'!R7)="","",IFERROR(IF(IFERROR(FIND("@",SUBSTITUTE(TRIM('Base de Datos'!R7),",","@",LEN(TRIM('Base de Datos'!R7))-LEN(SUBSTITUTE(TRIM('Base de Datos'!R7),",","")))),0)&gt;IFERROR(FIND("@",SUBSTITUTE(TRIM('Base de Datos'!R7),".","@",LEN(TRIM('Base de Datos'!R7))-LEN(SUBSTITUTE(TRIM('Base de Datos'!R7),".","")))),0),_xlfn.NUMBERVALUE(SUBSTITUTE(SUBSTITUTE(TRIM('Base de Datos'!R7),".",""),",","."),".",","),_xlfn.NUMBERVALUE(SUBSTITUTE(TRIM('Base de Datos'!R7),",",""),".",",")),"")))</f>
        <v>24.77</v>
      </c>
      <c r="AJ11" s="73" t="n">
        <f aca="false">IF(ISNUMBER(AK11),IF(ISNUMBER('Base de Datos'!Y7),IF('Base de Datos'!Y7&gt;20000,INT('Base de Datos'!Y7),""),IF(TRIM('Base de Datos'!Y7)="","",IFERROR(DATE(VALUE(RIGHT(TRIM('Base de Datos'!Y7),4)),VALUE(MID(TRIM('Base de Datos'!Y7),4,2)),VALUE(LEFT(TRIM('Base de Datos'!Y7),2))),IFERROR(DATEVALUE(TRIM('Base de Datos'!Y7)),"")))),"")</f>
        <v>44493</v>
      </c>
      <c r="AK11" s="74" t="n">
        <f aca="false">IF(ISNUMBER('Base de Datos'!Z7),'Base de Datos'!Z7,IF(TRIM('Base de Datos'!Z7)="","",IFERROR(IF(IFERROR(FIND("@",SUBSTITUTE(TRIM('Base de Datos'!Z7),",","@",LEN(TRIM('Base de Datos'!Z7))-LEN(SUBSTITUTE(TRIM('Base de Datos'!Z7),",","")))),0)&gt;IFERROR(FIND("@",SUBSTITUTE(TRIM('Base de Datos'!Z7),".","@",LEN(TRIM('Base de Datos'!Z7))-LEN(SUBSTITUTE(TRIM('Base de Datos'!Z7),".","")))),0),_xlfn.NUMBERVALUE(SUBSTITUTE(SUBSTITUTE(TRIM('Base de Datos'!Z7),".",""),",","."),".",","),_xlfn.NUMBERVALUE(SUBSTITUTE(TRIM('Base de Datos'!Z7),",",""),".",",")),"")))</f>
        <v>51309.84</v>
      </c>
    </row>
    <row r="12" customFormat="false" ht="45" hidden="false" customHeight="true" outlineLevel="0" collapsed="false">
      <c r="A12" s="72" t="s">
        <v>1366</v>
      </c>
      <c r="B12" s="72" t="s">
        <v>60</v>
      </c>
      <c r="C12" s="72" t="s">
        <v>1367</v>
      </c>
      <c r="D12" s="72" t="s">
        <v>1368</v>
      </c>
      <c r="E12" s="72" t="s">
        <v>1369</v>
      </c>
      <c r="F12" s="72" t="s">
        <v>1370</v>
      </c>
      <c r="G12" s="72" t="s">
        <v>1371</v>
      </c>
      <c r="H12" s="72"/>
      <c r="I12" s="72"/>
      <c r="J12" s="72" t="s">
        <v>1372</v>
      </c>
      <c r="K12" s="72" t="s">
        <v>1373</v>
      </c>
      <c r="L12" s="72" t="s">
        <v>1374</v>
      </c>
      <c r="M12" s="72" t="s">
        <v>1375</v>
      </c>
      <c r="N12" s="72" t="s">
        <v>1376</v>
      </c>
      <c r="O12" s="72" t="s">
        <v>1377</v>
      </c>
      <c r="P12" s="72" t="s">
        <v>1378</v>
      </c>
      <c r="R12" s="72" t="s">
        <v>1366</v>
      </c>
      <c r="S12" s="72" t="s">
        <v>60</v>
      </c>
      <c r="T12" s="72" t="s">
        <v>1379</v>
      </c>
      <c r="U12" s="72" t="s">
        <v>1368</v>
      </c>
      <c r="V12" s="72" t="s">
        <v>1380</v>
      </c>
      <c r="W12" s="72" t="s">
        <v>1381</v>
      </c>
      <c r="X12" s="72" t="s">
        <v>1371</v>
      </c>
      <c r="Y12" s="72" t="s">
        <v>1382</v>
      </c>
      <c r="Z12" s="72" t="s">
        <v>1383</v>
      </c>
      <c r="AA12" s="72" t="s">
        <v>1377</v>
      </c>
      <c r="AB12" s="72" t="s">
        <v>1378</v>
      </c>
      <c r="AD12" s="73" t="n">
        <f aca="false">IF(ISNUMBER(AE12),IF(ISNUMBER('Base de Datos'!A8),IF('Base de Datos'!A8&gt;20000,DATE(YEAR('Base de Datos'!A8),DAY('Base de Datos'!A8),MONTH('Base de Datos'!A8)),""),IF(TRIM('Base de Datos'!A8)="","",IFERROR(DATE(VALUE(RIGHT(TRIM('Base de Datos'!A8),4)),VALUE(LEFT(TRIM('Base de Datos'!A8),2)),VALUE(MID(TRIM('Base de Datos'!A8),4,2))),""))),"")</f>
        <v>46206</v>
      </c>
      <c r="AE12" s="74" t="n">
        <f aca="false">IF(ISNUMBER('Base de Datos'!B8),'Base de Datos'!B8,IF(TRIM('Base de Datos'!B8)="","",IFERROR(IF(IFERROR(FIND("@",SUBSTITUTE(TRIM('Base de Datos'!B8),",","@",LEN(TRIM('Base de Datos'!B8))-LEN(SUBSTITUTE(TRIM('Base de Datos'!B8),",","")))),0)&gt;IFERROR(FIND("@",SUBSTITUTE(TRIM('Base de Datos'!B8),".","@",LEN(TRIM('Base de Datos'!B8))-LEN(SUBSTITUTE(TRIM('Base de Datos'!B8),".","")))),0),_xlfn.NUMBERVALUE(SUBSTITUTE(SUBSTITUTE(TRIM('Base de Datos'!B8),".",""),",","."),".",","),_xlfn.NUMBERVALUE(SUBSTITUTE(TRIM('Base de Datos'!B8),",",""),".",",")),"")))</f>
        <v>29.91</v>
      </c>
      <c r="AF12" s="73" t="n">
        <f aca="false">IF(ISNUMBER(AG12),IF(ISNUMBER('Base de Datos'!I8),IF('Base de Datos'!I8&gt;20000,INT('Base de Datos'!I8),""),IF(TRIM('Base de Datos'!I8)="","",IFERROR(DATE(VALUE(RIGHT(TRIM('Base de Datos'!I8),4)),VALUE(MID(TRIM('Base de Datos'!I8),4,2)),VALUE(LEFT(TRIM('Base de Datos'!I8),2))),IFERROR(DATEVALUE(TRIM('Base de Datos'!I8)),"")))),"")</f>
        <v>46206</v>
      </c>
      <c r="AG12" s="74" t="n">
        <f aca="false">IF(ISNUMBER('Base de Datos'!J8),'Base de Datos'!J8,IF(TRIM('Base de Datos'!J8)="","",IFERROR(IF(IFERROR(FIND("@",SUBSTITUTE(TRIM('Base de Datos'!J8),",","@",LEN(TRIM('Base de Datos'!J8))-LEN(SUBSTITUTE(TRIM('Base de Datos'!J8),",","")))),0)&gt;IFERROR(FIND("@",SUBSTITUTE(TRIM('Base de Datos'!J8),".","@",LEN(TRIM('Base de Datos'!J8))-LEN(SUBSTITUTE(TRIM('Base de Datos'!J8),".","")))),0),_xlfn.NUMBERVALUE(SUBSTITUTE(SUBSTITUTE(TRIM('Base de Datos'!J8),".",""),",","."),".",","),_xlfn.NUMBERVALUE(SUBSTITUTE(TRIM('Base de Datos'!J8),",",""),".",",")),"")))</f>
        <v>67060.49</v>
      </c>
      <c r="AH12" s="73" t="n">
        <f aca="false">IF(ISNUMBER(AI12),IF(ISNUMBER('Base de Datos'!Q8),IF('Base de Datos'!Q8&gt;20000,DATE(YEAR('Base de Datos'!Q8),DAY('Base de Datos'!Q8),MONTH('Base de Datos'!Q8)),""),IF(TRIM('Base de Datos'!Q8)="","",IFERROR(DATE(VALUE(RIGHT(TRIM('Base de Datos'!Q8),4)),VALUE(LEFT(TRIM('Base de Datos'!Q8),2)),VALUE(MID(TRIM('Base de Datos'!Q8),4,2))),""))),"")</f>
        <v>44500</v>
      </c>
      <c r="AI12" s="74" t="n">
        <f aca="false">IF(ISNUMBER('Base de Datos'!R8),'Base de Datos'!R8,IF(TRIM('Base de Datos'!R8)="","",IFERROR(IF(IFERROR(FIND("@",SUBSTITUTE(TRIM('Base de Datos'!R8),",","@",LEN(TRIM('Base de Datos'!R8))-LEN(SUBSTITUTE(TRIM('Base de Datos'!R8),",","")))),0)&gt;IFERROR(FIND("@",SUBSTITUTE(TRIM('Base de Datos'!R8),".","@",LEN(TRIM('Base de Datos'!R8))-LEN(SUBSTITUTE(TRIM('Base de Datos'!R8),".","")))),0),_xlfn.NUMBERVALUE(SUBSTITUTE(SUBSTITUTE(TRIM('Base de Datos'!R8),".",""),",","."),".",","),_xlfn.NUMBERVALUE(SUBSTITUTE(TRIM('Base de Datos'!R8),",",""),".",",")),"")))</f>
        <v>24.48</v>
      </c>
      <c r="AJ12" s="73" t="n">
        <f aca="false">IF(ISNUMBER(AK12),IF(ISNUMBER('Base de Datos'!Y8),IF('Base de Datos'!Y8&gt;20000,INT('Base de Datos'!Y8),""),IF(TRIM('Base de Datos'!Y8)="","",IFERROR(DATE(VALUE(RIGHT(TRIM('Base de Datos'!Y8),4)),VALUE(MID(TRIM('Base de Datos'!Y8),4,2)),VALUE(LEFT(TRIM('Base de Datos'!Y8),2))),IFERROR(DATEVALUE(TRIM('Base de Datos'!Y8)),"")))),"")</f>
        <v>44500</v>
      </c>
      <c r="AK12" s="74" t="n">
        <f aca="false">IF(ISNUMBER('Base de Datos'!Z8),'Base de Datos'!Z8,IF(TRIM('Base de Datos'!Z8)="","",IFERROR(IF(IFERROR(FIND("@",SUBSTITUTE(TRIM('Base de Datos'!Z8),",","@",LEN(TRIM('Base de Datos'!Z8))-LEN(SUBSTITUTE(TRIM('Base de Datos'!Z8),",","")))),0)&gt;IFERROR(FIND("@",SUBSTITUTE(TRIM('Base de Datos'!Z8),".","@",LEN(TRIM('Base de Datos'!Z8))-LEN(SUBSTITUTE(TRIM('Base de Datos'!Z8),".","")))),0),_xlfn.NUMBERVALUE(SUBSTITUTE(SUBSTITUTE(TRIM('Base de Datos'!Z8),".",""),",","."),".",","),_xlfn.NUMBERVALUE(SUBSTITUTE(TRIM('Base de Datos'!Z8),",",""),".",",")),"")))</f>
        <v>51977.96</v>
      </c>
    </row>
    <row r="13" customFormat="false" ht="13.5" hidden="false" customHeight="false" outlineLevel="0" collapsed="false">
      <c r="A13" s="75" t="n">
        <f aca="false">ROWS(A$13:A13)</f>
        <v>1</v>
      </c>
      <c r="B13" s="73" t="n">
        <f aca="false">IF(COUNT($AH$10:$AH$409)=0,"",MIN($AH$10:$AH$409))</f>
        <v>44486</v>
      </c>
      <c r="C13" s="74" t="n">
        <f aca="false">IF(B13="","",INDEX($AI$10:$AI$409,MATCH(B13,$AH$10:$AH$409,0)))</f>
        <v>25</v>
      </c>
      <c r="D13" s="74" t="n">
        <f aca="false">IF(B13="","",IFERROR(INDEX($AK$10:$AK$409,MATCH(B13,$AJ$10:$AJ$409,0)),""))</f>
        <v>51889.66</v>
      </c>
      <c r="E13" s="76" t="str">
        <f aca="false">""</f>
        <v/>
      </c>
      <c r="F13" s="76" t="str">
        <f aca="false">""</f>
        <v/>
      </c>
      <c r="G13" s="75" t="str">
        <f aca="false">IF(AND(ISNUMBER(E13),ISNUMBER(F13)),1,"")</f>
        <v/>
      </c>
      <c r="H13" s="75" t="str">
        <f aca="false">IF(G13=1,COUNT(G13:G$412),"")</f>
        <v/>
      </c>
      <c r="I13" s="75" t="str">
        <f aca="false">IF(G13=1,IF(H13&lt;='Beta Regresión'!$B$5,1,""),"")</f>
        <v/>
      </c>
      <c r="J13" s="76" t="str">
        <f aca="false">IF(I13=1,E13,"")</f>
        <v/>
      </c>
      <c r="K13" s="76" t="str">
        <f aca="false">IF(I13=1,F13,"")</f>
        <v/>
      </c>
      <c r="L13" s="75" t="str">
        <f aca="false">IF(I13=1,COUNT(I$13:I13),"")</f>
        <v/>
      </c>
      <c r="M13" s="76" t="n">
        <f aca="false">IFERROR(INDEX($J$13:$J$412,MATCH(A13,$L$13:$L$412,0)),"")</f>
        <v>-0.00919999999999999</v>
      </c>
      <c r="N13" s="76" t="n">
        <f aca="false">IFERROR(INDEX($K$13:$K$412,MATCH(A13,$L$13:$L$412,0)),"")</f>
        <v>-0.0111740951858232</v>
      </c>
      <c r="O13" s="76" t="e">
        <f aca="false">IF(I13=1,E13,NA())</f>
        <v>#N/A</v>
      </c>
      <c r="P13" s="76" t="e">
        <f aca="false">IF(I13=1,F13,NA())</f>
        <v>#N/A</v>
      </c>
      <c r="R13" s="75" t="n">
        <f aca="false">ROWS(R$13:R13)</f>
        <v>1</v>
      </c>
      <c r="S13" s="73" t="n">
        <f aca="false">IF(COUNT($AD$10:$AD$509)=0,"",MIN($AD$10:$AD$509))</f>
        <v>46204</v>
      </c>
      <c r="T13" s="74" t="n">
        <f aca="false">IF(S13="","",INDEX($AE$10:$AE$509,MATCH(S13,$AD$10:$AD$509,0)))</f>
        <v>30.34</v>
      </c>
      <c r="U13" s="74" t="n">
        <f aca="false">IF(S13="","",IFERROR(INDEX($AG$10:$AG$509,MATCH(S13,$AF$10:$AF$509,0)),""))</f>
        <v>67247.79</v>
      </c>
      <c r="V13" s="76" t="str">
        <f aca="false">""</f>
        <v/>
      </c>
      <c r="W13" s="76" t="str">
        <f aca="false">""</f>
        <v/>
      </c>
      <c r="X13" s="75" t="str">
        <f aca="false">IF(AND(ISNUMBER(V13),ISNUMBER(W13)),1,"")</f>
        <v/>
      </c>
      <c r="Y13" s="76" t="str">
        <f aca="false">IF(X13=1,V13,"")</f>
        <v/>
      </c>
      <c r="Z13" s="76" t="str">
        <f aca="false">IF(X13=1,W13,"")</f>
        <v/>
      </c>
      <c r="AA13" s="76" t="e">
        <f aca="false">IF(X13=1,V13,NA())</f>
        <v>#N/A</v>
      </c>
      <c r="AB13" s="76" t="e">
        <f aca="false">IF(X13=1,W13,NA())</f>
        <v>#N/A</v>
      </c>
      <c r="AD13" s="73" t="n">
        <f aca="false">IF(ISNUMBER(AE13),IF(ISNUMBER('Base de Datos'!A9),IF('Base de Datos'!A9&gt;20000,DATE(YEAR('Base de Datos'!A9),DAY('Base de Datos'!A9),MONTH('Base de Datos'!A9)),""),IF(TRIM('Base de Datos'!A9)="","",IFERROR(DATE(VALUE(RIGHT(TRIM('Base de Datos'!A9),4)),VALUE(LEFT(TRIM('Base de Datos'!A9),2)),VALUE(MID(TRIM('Base de Datos'!A9),4,2))),""))),"")</f>
        <v>46209</v>
      </c>
      <c r="AE13" s="74" t="n">
        <f aca="false">IF(ISNUMBER('Base de Datos'!B9),'Base de Datos'!B9,IF(TRIM('Base de Datos'!B9)="","",IFERROR(IF(IFERROR(FIND("@",SUBSTITUTE(TRIM('Base de Datos'!B9),",","@",LEN(TRIM('Base de Datos'!B9))-LEN(SUBSTITUTE(TRIM('Base de Datos'!B9),",","")))),0)&gt;IFERROR(FIND("@",SUBSTITUTE(TRIM('Base de Datos'!B9),".","@",LEN(TRIM('Base de Datos'!B9))-LEN(SUBSTITUTE(TRIM('Base de Datos'!B9),".","")))),0),_xlfn.NUMBERVALUE(SUBSTITUTE(SUBSTITUTE(TRIM('Base de Datos'!B9),".",""),",","."),".",","),_xlfn.NUMBERVALUE(SUBSTITUTE(TRIM('Base de Datos'!B9),",",""),".",",")),"")))</f>
        <v>29.6</v>
      </c>
      <c r="AF13" s="73" t="n">
        <f aca="false">IF(ISNUMBER(AG13),IF(ISNUMBER('Base de Datos'!I9),IF('Base de Datos'!I9&gt;20000,INT('Base de Datos'!I9),""),IF(TRIM('Base de Datos'!I9)="","",IFERROR(DATE(VALUE(RIGHT(TRIM('Base de Datos'!I9),4)),VALUE(MID(TRIM('Base de Datos'!I9),4,2)),VALUE(LEFT(TRIM('Base de Datos'!I9),2))),IFERROR(DATEVALUE(TRIM('Base de Datos'!I9)),"")))),"")</f>
        <v>46209</v>
      </c>
      <c r="AG13" s="74" t="n">
        <f aca="false">IF(ISNUMBER('Base de Datos'!J9),'Base de Datos'!J9,IF(TRIM('Base de Datos'!J9)="","",IFERROR(IF(IFERROR(FIND("@",SUBSTITUTE(TRIM('Base de Datos'!J9),",","@",LEN(TRIM('Base de Datos'!J9))-LEN(SUBSTITUTE(TRIM('Base de Datos'!J9),",","")))),0)&gt;IFERROR(FIND("@",SUBSTITUTE(TRIM('Base de Datos'!J9),".","@",LEN(TRIM('Base de Datos'!J9))-LEN(SUBSTITUTE(TRIM('Base de Datos'!J9),".","")))),0),_xlfn.NUMBERVALUE(SUBSTITUTE(SUBSTITUTE(TRIM('Base de Datos'!J9),".",""),",","."),".",","),_xlfn.NUMBERVALUE(SUBSTITUTE(TRIM('Base de Datos'!J9),",",""),".",",")),"")))</f>
        <v>67466.46</v>
      </c>
      <c r="AH13" s="73" t="n">
        <f aca="false">IF(ISNUMBER(AI13),IF(ISNUMBER('Base de Datos'!Q9),IF('Base de Datos'!Q9&gt;20000,DATE(YEAR('Base de Datos'!Q9),DAY('Base de Datos'!Q9),MONTH('Base de Datos'!Q9)),""),IF(TRIM('Base de Datos'!Q9)="","",IFERROR(DATE(VALUE(RIGHT(TRIM('Base de Datos'!Q9),4)),VALUE(LEFT(TRIM('Base de Datos'!Q9),2)),VALUE(MID(TRIM('Base de Datos'!Q9),4,2))),""))),"")</f>
        <v>44507</v>
      </c>
      <c r="AI13" s="74" t="n">
        <f aca="false">IF(ISNUMBER('Base de Datos'!R9),'Base de Datos'!R9,IF(TRIM('Base de Datos'!R9)="","",IFERROR(IF(IFERROR(FIND("@",SUBSTITUTE(TRIM('Base de Datos'!R9),",","@",LEN(TRIM('Base de Datos'!R9))-LEN(SUBSTITUTE(TRIM('Base de Datos'!R9),",","")))),0)&gt;IFERROR(FIND("@",SUBSTITUTE(TRIM('Base de Datos'!R9),".","@",LEN(TRIM('Base de Datos'!R9))-LEN(SUBSTITUTE(TRIM('Base de Datos'!R9),".","")))),0),_xlfn.NUMBERVALUE(SUBSTITUTE(SUBSTITUTE(TRIM('Base de Datos'!R9),".",""),",","."),".",","),_xlfn.NUMBERVALUE(SUBSTITUTE(TRIM('Base de Datos'!R9),",",""),".",",")),"")))</f>
        <v>23.77</v>
      </c>
      <c r="AJ13" s="73" t="n">
        <f aca="false">IF(ISNUMBER(AK13),IF(ISNUMBER('Base de Datos'!Y9),IF('Base de Datos'!Y9&gt;20000,INT('Base de Datos'!Y9),""),IF(TRIM('Base de Datos'!Y9)="","",IFERROR(DATE(VALUE(RIGHT(TRIM('Base de Datos'!Y9),4)),VALUE(MID(TRIM('Base de Datos'!Y9),4,2)),VALUE(LEFT(TRIM('Base de Datos'!Y9),2))),IFERROR(DATEVALUE(TRIM('Base de Datos'!Y9)),"")))),"")</f>
        <v>44507</v>
      </c>
      <c r="AK13" s="74" t="n">
        <f aca="false">IF(ISNUMBER('Base de Datos'!Z9),'Base de Datos'!Z9,IF(TRIM('Base de Datos'!Z9)="","",IFERROR(IF(IFERROR(FIND("@",SUBSTITUTE(TRIM('Base de Datos'!Z9),",","@",LEN(TRIM('Base de Datos'!Z9))-LEN(SUBSTITUTE(TRIM('Base de Datos'!Z9),",","")))),0)&gt;IFERROR(FIND("@",SUBSTITUTE(TRIM('Base de Datos'!Z9),".","@",LEN(TRIM('Base de Datos'!Z9))-LEN(SUBSTITUTE(TRIM('Base de Datos'!Z9),".","")))),0),_xlfn.NUMBERVALUE(SUBSTITUTE(SUBSTITUTE(TRIM('Base de Datos'!Z9),".",""),",","."),".",","),_xlfn.NUMBERVALUE(SUBSTITUTE(TRIM('Base de Datos'!Z9),",",""),".",",")),"")))</f>
        <v>51432.54</v>
      </c>
    </row>
    <row r="14" customFormat="false" ht="13.5" hidden="false" customHeight="false" outlineLevel="0" collapsed="false">
      <c r="A14" s="75" t="n">
        <f aca="false">ROWS(A$13:A14)</f>
        <v>2</v>
      </c>
      <c r="B14" s="73" t="n">
        <f aca="false">IF(B13="","",IFERROR(SMALL($AH$10:$AH$409,COUNTIF($AH$10:$AH$409,"&lt;="&amp;B13)+1),""))</f>
        <v>44493</v>
      </c>
      <c r="C14" s="74" t="n">
        <f aca="false">IF(B14="","",INDEX($AI$10:$AI$409,MATCH(B14,$AH$10:$AH$409,0)))</f>
        <v>24.77</v>
      </c>
      <c r="D14" s="74" t="n">
        <f aca="false">IF(B14="","",IFERROR(INDEX($AK$10:$AK$409,MATCH(B14,$AJ$10:$AJ$409,0)),""))</f>
        <v>51309.84</v>
      </c>
      <c r="E14" s="76" t="n">
        <f aca="false">IF(AND(ISNUMBER(C14),ISNUMBER(C13)),C14/C13-1,"")</f>
        <v>-0.00919999999999999</v>
      </c>
      <c r="F14" s="76" t="n">
        <f aca="false">IF(AND(ISNUMBER(D14),ISNUMBER(D13)),D14/D13-1,"")</f>
        <v>-0.0111740951858232</v>
      </c>
      <c r="G14" s="75" t="n">
        <f aca="false">IF(AND(ISNUMBER(E14),ISNUMBER(F14)),1,"")</f>
        <v>1</v>
      </c>
      <c r="H14" s="75" t="n">
        <f aca="false">IF(G14=1,COUNT(G14:G$412),"")</f>
        <v>258</v>
      </c>
      <c r="I14" s="75" t="n">
        <f aca="false">IF(G14=1,IF(H14&lt;='Beta Regresión'!$B$5,1,""),"")</f>
        <v>1</v>
      </c>
      <c r="J14" s="76" t="n">
        <f aca="false">IF(I14=1,E14,"")</f>
        <v>-0.00919999999999999</v>
      </c>
      <c r="K14" s="76" t="n">
        <f aca="false">IF(I14=1,F14,"")</f>
        <v>-0.0111740951858232</v>
      </c>
      <c r="L14" s="75" t="n">
        <f aca="false">IF(I14=1,COUNT(I$13:I14),"")</f>
        <v>1</v>
      </c>
      <c r="M14" s="76" t="n">
        <f aca="false">IFERROR(INDEX($J$13:$J$412,MATCH(A14,$L$13:$L$412,0)),"")</f>
        <v>-0.011707710940654</v>
      </c>
      <c r="N14" s="76" t="n">
        <f aca="false">IFERROR(INDEX($K$13:$K$412,MATCH(A14,$L$13:$L$412,0)),"")</f>
        <v>0.0130212840266117</v>
      </c>
      <c r="O14" s="76" t="n">
        <f aca="false">IF(I14=1,E14,NA())</f>
        <v>-0.00919999999999999</v>
      </c>
      <c r="P14" s="76" t="n">
        <f aca="false">IF(I14=1,F14,NA())</f>
        <v>-0.0111740951858232</v>
      </c>
      <c r="R14" s="75" t="n">
        <f aca="false">ROWS(R$13:R14)</f>
        <v>2</v>
      </c>
      <c r="S14" s="73" t="n">
        <f aca="false">IF(S13="","",IFERROR(SMALL($AD$10:$AD$509,COUNTIF($AD$10:$AD$509,"&lt;="&amp;S13)+1),""))</f>
        <v>46205</v>
      </c>
      <c r="T14" s="74" t="n">
        <f aca="false">IF(S14="","",INDEX($AE$10:$AE$509,MATCH(S14,$AD$10:$AD$509,0)))</f>
        <v>30.7</v>
      </c>
      <c r="U14" s="74" t="n">
        <f aca="false">IF(S14="","",IFERROR(INDEX($AG$10:$AG$509,MATCH(S14,$AF$10:$AF$509,0)),""))</f>
        <v>67071.11</v>
      </c>
      <c r="V14" s="76" t="n">
        <f aca="false">IF(AND(ISNUMBER(T14),ISNUMBER(T13)),T14/T13-1,"")</f>
        <v>0.011865524060646</v>
      </c>
      <c r="W14" s="76" t="n">
        <f aca="false">IF(AND(ISNUMBER(U14),ISNUMBER(U13)),U14/U13-1,"")</f>
        <v>-0.00262729823537688</v>
      </c>
      <c r="X14" s="75" t="n">
        <f aca="false">IF(AND(ISNUMBER(V14),ISNUMBER(W14)),1,"")</f>
        <v>1</v>
      </c>
      <c r="Y14" s="76" t="n">
        <f aca="false">IF(X14=1,V14,"")</f>
        <v>0.011865524060646</v>
      </c>
      <c r="Z14" s="76" t="n">
        <f aca="false">IF(X14=1,W14,"")</f>
        <v>-0.00262729823537688</v>
      </c>
      <c r="AA14" s="76" t="n">
        <f aca="false">IF(X14=1,V14,NA())</f>
        <v>0.011865524060646</v>
      </c>
      <c r="AB14" s="76" t="n">
        <f aca="false">IF(X14=1,W14,NA())</f>
        <v>-0.00262729823537688</v>
      </c>
      <c r="AD14" s="73" t="n">
        <f aca="false">IF(ISNUMBER(AE14),IF(ISNUMBER('Base de Datos'!A10),IF('Base de Datos'!A10&gt;20000,DATE(YEAR('Base de Datos'!A10),DAY('Base de Datos'!A10),MONTH('Base de Datos'!A10)),""),IF(TRIM('Base de Datos'!A10)="","",IFERROR(DATE(VALUE(RIGHT(TRIM('Base de Datos'!A10),4)),VALUE(LEFT(TRIM('Base de Datos'!A10),2)),VALUE(MID(TRIM('Base de Datos'!A10),4,2))),""))),"")</f>
        <v>46210</v>
      </c>
      <c r="AE14" s="74" t="n">
        <f aca="false">IF(ISNUMBER('Base de Datos'!B10),'Base de Datos'!B10,IF(TRIM('Base de Datos'!B10)="","",IFERROR(IF(IFERROR(FIND("@",SUBSTITUTE(TRIM('Base de Datos'!B10),",","@",LEN(TRIM('Base de Datos'!B10))-LEN(SUBSTITUTE(TRIM('Base de Datos'!B10),",","")))),0)&gt;IFERROR(FIND("@",SUBSTITUTE(TRIM('Base de Datos'!B10),".","@",LEN(TRIM('Base de Datos'!B10))-LEN(SUBSTITUTE(TRIM('Base de Datos'!B10),".","")))),0),_xlfn.NUMBERVALUE(SUBSTITUTE(SUBSTITUTE(TRIM('Base de Datos'!B10),".",""),",","."),".",","),_xlfn.NUMBERVALUE(SUBSTITUTE(TRIM('Base de Datos'!B10),",",""),".",",")),"")))</f>
        <v>30.29</v>
      </c>
      <c r="AF14" s="73" t="n">
        <f aca="false">IF(ISNUMBER(AG14),IF(ISNUMBER('Base de Datos'!I10),IF('Base de Datos'!I10&gt;20000,INT('Base de Datos'!I10),""),IF(TRIM('Base de Datos'!I10)="","",IFERROR(DATE(VALUE(RIGHT(TRIM('Base de Datos'!I10),4)),VALUE(MID(TRIM('Base de Datos'!I10),4,2)),VALUE(LEFT(TRIM('Base de Datos'!I10),2))),IFERROR(DATEVALUE(TRIM('Base de Datos'!I10)),"")))),"")</f>
        <v>46210</v>
      </c>
      <c r="AG14" s="74" t="n">
        <f aca="false">IF(ISNUMBER('Base de Datos'!J10),'Base de Datos'!J10,IF(TRIM('Base de Datos'!J10)="","",IFERROR(IF(IFERROR(FIND("@",SUBSTITUTE(TRIM('Base de Datos'!J10),",","@",LEN(TRIM('Base de Datos'!J10))-LEN(SUBSTITUTE(TRIM('Base de Datos'!J10),",","")))),0)&gt;IFERROR(FIND("@",SUBSTITUTE(TRIM('Base de Datos'!J10),".","@",LEN(TRIM('Base de Datos'!J10))-LEN(SUBSTITUTE(TRIM('Base de Datos'!J10),".","")))),0),_xlfn.NUMBERVALUE(SUBSTITUTE(SUBSTITUTE(TRIM('Base de Datos'!J10),".",""),",","."),".",","),_xlfn.NUMBERVALUE(SUBSTITUTE(TRIM('Base de Datos'!J10),",",""),".",",")),"")))</f>
        <v>66674.7</v>
      </c>
      <c r="AH14" s="73" t="n">
        <f aca="false">IF(ISNUMBER(AI14),IF(ISNUMBER('Base de Datos'!Q10),IF('Base de Datos'!Q10&gt;20000,DATE(YEAR('Base de Datos'!Q10),DAY('Base de Datos'!Q10),MONTH('Base de Datos'!Q10)),""),IF(TRIM('Base de Datos'!Q10)="","",IFERROR(DATE(VALUE(RIGHT(TRIM('Base de Datos'!Q10),4)),VALUE(LEFT(TRIM('Base de Datos'!Q10),2)),VALUE(MID(TRIM('Base de Datos'!Q10),4,2))),""))),"")</f>
        <v>44514</v>
      </c>
      <c r="AI14" s="74" t="n">
        <f aca="false">IF(ISNUMBER('Base de Datos'!R10),'Base de Datos'!R10,IF(TRIM('Base de Datos'!R10)="","",IFERROR(IF(IFERROR(FIND("@",SUBSTITUTE(TRIM('Base de Datos'!R10),",","@",LEN(TRIM('Base de Datos'!R10))-LEN(SUBSTITUTE(TRIM('Base de Datos'!R10),",","")))),0)&gt;IFERROR(FIND("@",SUBSTITUTE(TRIM('Base de Datos'!R10),".","@",LEN(TRIM('Base de Datos'!R10))-LEN(SUBSTITUTE(TRIM('Base de Datos'!R10),".","")))),0),_xlfn.NUMBERVALUE(SUBSTITUTE(SUBSTITUTE(TRIM('Base de Datos'!R10),".",""),",","."),".",","),_xlfn.NUMBERVALUE(SUBSTITUTE(TRIM('Base de Datos'!R10),",",""),".",",")),"")))</f>
        <v>22.99</v>
      </c>
      <c r="AJ14" s="73" t="n">
        <f aca="false">IF(ISNUMBER(AK14),IF(ISNUMBER('Base de Datos'!Y10),IF('Base de Datos'!Y10&gt;20000,INT('Base de Datos'!Y10),""),IF(TRIM('Base de Datos'!Y10)="","",IFERROR(DATE(VALUE(RIGHT(TRIM('Base de Datos'!Y10),4)),VALUE(MID(TRIM('Base de Datos'!Y10),4,2)),VALUE(LEFT(TRIM('Base de Datos'!Y10),2))),IFERROR(DATEVALUE(TRIM('Base de Datos'!Y10)),"")))),"")</f>
        <v>44514</v>
      </c>
      <c r="AK14" s="74" t="n">
        <f aca="false">IF(ISNUMBER('Base de Datos'!Z10),'Base de Datos'!Z10,IF(TRIM('Base de Datos'!Z10)="","",IFERROR(IF(IFERROR(FIND("@",SUBSTITUTE(TRIM('Base de Datos'!Z10),",","@",LEN(TRIM('Base de Datos'!Z10))-LEN(SUBSTITUTE(TRIM('Base de Datos'!Z10),",","")))),0)&gt;IFERROR(FIND("@",SUBSTITUTE(TRIM('Base de Datos'!Z10),".","@",LEN(TRIM('Base de Datos'!Z10))-LEN(SUBSTITUTE(TRIM('Base de Datos'!Z10),".","")))),0),_xlfn.NUMBERVALUE(SUBSTITUTE(SUBSTITUTE(TRIM('Base de Datos'!Z10),".",""),",","."),".",","),_xlfn.NUMBERVALUE(SUBSTITUTE(TRIM('Base de Datos'!Z10),",",""),".",",")),"")))</f>
        <v>50811.3</v>
      </c>
    </row>
    <row r="15" customFormat="false" ht="13.5" hidden="false" customHeight="false" outlineLevel="0" collapsed="false">
      <c r="A15" s="75" t="n">
        <f aca="false">ROWS(A$13:A15)</f>
        <v>3</v>
      </c>
      <c r="B15" s="73" t="n">
        <f aca="false">IF(B14="","",IFERROR(SMALL($AH$10:$AH$409,COUNTIF($AH$10:$AH$409,"&lt;="&amp;B14)+1),""))</f>
        <v>44500</v>
      </c>
      <c r="C15" s="74" t="n">
        <f aca="false">IF(B15="","",INDEX($AI$10:$AI$409,MATCH(B15,$AH$10:$AH$409,0)))</f>
        <v>24.48</v>
      </c>
      <c r="D15" s="74" t="n">
        <f aca="false">IF(B15="","",IFERROR(INDEX($AK$10:$AK$409,MATCH(B15,$AJ$10:$AJ$409,0)),""))</f>
        <v>51977.96</v>
      </c>
      <c r="E15" s="76" t="n">
        <f aca="false">IF(AND(ISNUMBER(C15),ISNUMBER(C14)),C15/C14-1,"")</f>
        <v>-0.011707710940654</v>
      </c>
      <c r="F15" s="76" t="n">
        <f aca="false">IF(AND(ISNUMBER(D15),ISNUMBER(D14)),D15/D14-1,"")</f>
        <v>0.0130212840266117</v>
      </c>
      <c r="G15" s="75" t="n">
        <f aca="false">IF(AND(ISNUMBER(E15),ISNUMBER(F15)),1,"")</f>
        <v>1</v>
      </c>
      <c r="H15" s="75" t="n">
        <f aca="false">IF(G15=1,COUNT(G15:G$412),"")</f>
        <v>257</v>
      </c>
      <c r="I15" s="75" t="n">
        <f aca="false">IF(G15=1,IF(H15&lt;='Beta Regresión'!$B$5,1,""),"")</f>
        <v>1</v>
      </c>
      <c r="J15" s="76" t="n">
        <f aca="false">IF(I15=1,E15,"")</f>
        <v>-0.011707710940654</v>
      </c>
      <c r="K15" s="76" t="n">
        <f aca="false">IF(I15=1,F15,"")</f>
        <v>0.0130212840266117</v>
      </c>
      <c r="L15" s="75" t="n">
        <f aca="false">IF(I15=1,COUNT(I$13:I15),"")</f>
        <v>2</v>
      </c>
      <c r="M15" s="76" t="n">
        <f aca="false">IFERROR(INDEX($J$13:$J$412,MATCH(A15,$L$13:$L$412,0)),"")</f>
        <v>-0.0290032679738562</v>
      </c>
      <c r="N15" s="76" t="n">
        <f aca="false">IFERROR(INDEX($K$13:$K$412,MATCH(A15,$L$13:$L$412,0)),"")</f>
        <v>-0.0104932936960204</v>
      </c>
      <c r="O15" s="76" t="n">
        <f aca="false">IF(I15=1,E15,NA())</f>
        <v>-0.011707710940654</v>
      </c>
      <c r="P15" s="76" t="n">
        <f aca="false">IF(I15=1,F15,NA())</f>
        <v>0.0130212840266117</v>
      </c>
      <c r="R15" s="75" t="n">
        <f aca="false">ROWS(R$13:R15)</f>
        <v>3</v>
      </c>
      <c r="S15" s="73" t="n">
        <f aca="false">IF(S14="","",IFERROR(SMALL($AD$10:$AD$509,COUNTIF($AD$10:$AD$509,"&lt;="&amp;S14)+1),""))</f>
        <v>46206</v>
      </c>
      <c r="T15" s="74" t="n">
        <f aca="false">IF(S15="","",INDEX($AE$10:$AE$509,MATCH(S15,$AD$10:$AD$509,0)))</f>
        <v>29.91</v>
      </c>
      <c r="U15" s="74" t="n">
        <f aca="false">IF(S15="","",IFERROR(INDEX($AG$10:$AG$509,MATCH(S15,$AF$10:$AF$509,0)),""))</f>
        <v>67060.49</v>
      </c>
      <c r="V15" s="76" t="n">
        <f aca="false">IF(AND(ISNUMBER(T15),ISNUMBER(T14)),T15/T14-1,"")</f>
        <v>-0.0257328990228013</v>
      </c>
      <c r="W15" s="76" t="n">
        <f aca="false">IF(AND(ISNUMBER(U15),ISNUMBER(U14)),U15/U14-1,"")</f>
        <v>-0.000158339410216923</v>
      </c>
      <c r="X15" s="75" t="n">
        <f aca="false">IF(AND(ISNUMBER(V15),ISNUMBER(W15)),1,"")</f>
        <v>1</v>
      </c>
      <c r="Y15" s="76" t="n">
        <f aca="false">IF(X15=1,V15,"")</f>
        <v>-0.0257328990228013</v>
      </c>
      <c r="Z15" s="76" t="n">
        <f aca="false">IF(X15=1,W15,"")</f>
        <v>-0.000158339410216923</v>
      </c>
      <c r="AA15" s="76" t="n">
        <f aca="false">IF(X15=1,V15,NA())</f>
        <v>-0.0257328990228013</v>
      </c>
      <c r="AB15" s="76" t="n">
        <f aca="false">IF(X15=1,W15,NA())</f>
        <v>-0.000158339410216923</v>
      </c>
      <c r="AD15" s="73" t="n">
        <f aca="false">IF(ISNUMBER(AE15),IF(ISNUMBER('Base de Datos'!A11),IF('Base de Datos'!A11&gt;20000,DATE(YEAR('Base de Datos'!A11),DAY('Base de Datos'!A11),MONTH('Base de Datos'!A11)),""),IF(TRIM('Base de Datos'!A11)="","",IFERROR(DATE(VALUE(RIGHT(TRIM('Base de Datos'!A11),4)),VALUE(LEFT(TRIM('Base de Datos'!A11),2)),VALUE(MID(TRIM('Base de Datos'!A11),4,2))),""))),"")</f>
        <v>46211</v>
      </c>
      <c r="AE15" s="74" t="n">
        <f aca="false">IF(ISNUMBER('Base de Datos'!B11),'Base de Datos'!B11,IF(TRIM('Base de Datos'!B11)="","",IFERROR(IF(IFERROR(FIND("@",SUBSTITUTE(TRIM('Base de Datos'!B11),",","@",LEN(TRIM('Base de Datos'!B11))-LEN(SUBSTITUTE(TRIM('Base de Datos'!B11),",","")))),0)&gt;IFERROR(FIND("@",SUBSTITUTE(TRIM('Base de Datos'!B11),".","@",LEN(TRIM('Base de Datos'!B11))-LEN(SUBSTITUTE(TRIM('Base de Datos'!B11),".","")))),0),_xlfn.NUMBERVALUE(SUBSTITUTE(SUBSTITUTE(TRIM('Base de Datos'!B11),".",""),",","."),".",","),_xlfn.NUMBERVALUE(SUBSTITUTE(TRIM('Base de Datos'!B11),",",""),".",",")),"")))</f>
        <v>30</v>
      </c>
      <c r="AF15" s="73" t="n">
        <f aca="false">IF(ISNUMBER(AG15),IF(ISNUMBER('Base de Datos'!I11),IF('Base de Datos'!I11&gt;20000,INT('Base de Datos'!I11),""),IF(TRIM('Base de Datos'!I11)="","",IFERROR(DATE(VALUE(RIGHT(TRIM('Base de Datos'!I11),4)),VALUE(MID(TRIM('Base de Datos'!I11),4,2)),VALUE(LEFT(TRIM('Base de Datos'!I11),2))),IFERROR(DATEVALUE(TRIM('Base de Datos'!I11)),"")))),"")</f>
        <v>46211</v>
      </c>
      <c r="AG15" s="74" t="n">
        <f aca="false">IF(ISNUMBER('Base de Datos'!J11),'Base de Datos'!J11,IF(TRIM('Base de Datos'!J11)="","",IFERROR(IF(IFERROR(FIND("@",SUBSTITUTE(TRIM('Base de Datos'!J11),",","@",LEN(TRIM('Base de Datos'!J11))-LEN(SUBSTITUTE(TRIM('Base de Datos'!J11),",","")))),0)&gt;IFERROR(FIND("@",SUBSTITUTE(TRIM('Base de Datos'!J11),".","@",LEN(TRIM('Base de Datos'!J11))-LEN(SUBSTITUTE(TRIM('Base de Datos'!J11),".","")))),0),_xlfn.NUMBERVALUE(SUBSTITUTE(SUBSTITUTE(TRIM('Base de Datos'!J11),".",""),",","."),".",","),_xlfn.NUMBERVALUE(SUBSTITUTE(TRIM('Base de Datos'!J11),",",""),".",",")),"")))</f>
        <v>66609.64</v>
      </c>
      <c r="AH15" s="73" t="n">
        <f aca="false">IF(ISNUMBER(AI15),IF(ISNUMBER('Base de Datos'!Q11),IF('Base de Datos'!Q11&gt;20000,DATE(YEAR('Base de Datos'!Q11),DAY('Base de Datos'!Q11),MONTH('Base de Datos'!Q11)),""),IF(TRIM('Base de Datos'!Q11)="","",IFERROR(DATE(VALUE(RIGHT(TRIM('Base de Datos'!Q11),4)),VALUE(LEFT(TRIM('Base de Datos'!Q11),2)),VALUE(MID(TRIM('Base de Datos'!Q11),4,2))),""))),"")</f>
        <v>44521</v>
      </c>
      <c r="AI15" s="74" t="n">
        <f aca="false">IF(ISNUMBER('Base de Datos'!R11),'Base de Datos'!R11,IF(TRIM('Base de Datos'!R11)="","",IFERROR(IF(IFERROR(FIND("@",SUBSTITUTE(TRIM('Base de Datos'!R11),",","@",LEN(TRIM('Base de Datos'!R11))-LEN(SUBSTITUTE(TRIM('Base de Datos'!R11),",","")))),0)&gt;IFERROR(FIND("@",SUBSTITUTE(TRIM('Base de Datos'!R11),".","@",LEN(TRIM('Base de Datos'!R11))-LEN(SUBSTITUTE(TRIM('Base de Datos'!R11),".","")))),0),_xlfn.NUMBERVALUE(SUBSTITUTE(SUBSTITUTE(TRIM('Base de Datos'!R11),".",""),",","."),".",","),_xlfn.NUMBERVALUE(SUBSTITUTE(TRIM('Base de Datos'!R11),",",""),".",",")),"")))</f>
        <v>22.73</v>
      </c>
      <c r="AJ15" s="73" t="n">
        <f aca="false">IF(ISNUMBER(AK15),IF(ISNUMBER('Base de Datos'!Y11),IF('Base de Datos'!Y11&gt;20000,INT('Base de Datos'!Y11),""),IF(TRIM('Base de Datos'!Y11)="","",IFERROR(DATE(VALUE(RIGHT(TRIM('Base de Datos'!Y11),4)),VALUE(MID(TRIM('Base de Datos'!Y11),4,2)),VALUE(LEFT(TRIM('Base de Datos'!Y11),2))),IFERROR(DATEVALUE(TRIM('Base de Datos'!Y11)),"")))),"")</f>
        <v>44521</v>
      </c>
      <c r="AK15" s="74" t="n">
        <f aca="false">IF(ISNUMBER('Base de Datos'!Z11),'Base de Datos'!Z11,IF(TRIM('Base de Datos'!Z11)="","",IFERROR(IF(IFERROR(FIND("@",SUBSTITUTE(TRIM('Base de Datos'!Z11),",","@",LEN(TRIM('Base de Datos'!Z11))-LEN(SUBSTITUTE(TRIM('Base de Datos'!Z11),",","")))),0)&gt;IFERROR(FIND("@",SUBSTITUTE(TRIM('Base de Datos'!Z11),".","@",LEN(TRIM('Base de Datos'!Z11))-LEN(SUBSTITUTE(TRIM('Base de Datos'!Z11),".","")))),0),_xlfn.NUMBERVALUE(SUBSTITUTE(SUBSTITUTE(TRIM('Base de Datos'!Z11),".",""),",","."),".",","),_xlfn.NUMBERVALUE(SUBSTITUTE(TRIM('Base de Datos'!Z11),",",""),".",",")),"")))</f>
        <v>49492.52</v>
      </c>
    </row>
    <row r="16" customFormat="false" ht="13.5" hidden="false" customHeight="false" outlineLevel="0" collapsed="false">
      <c r="A16" s="75" t="n">
        <f aca="false">ROWS(A$13:A16)</f>
        <v>4</v>
      </c>
      <c r="B16" s="73" t="n">
        <f aca="false">IF(B15="","",IFERROR(SMALL($AH$10:$AH$409,COUNTIF($AH$10:$AH$409,"&lt;="&amp;B15)+1),""))</f>
        <v>44507</v>
      </c>
      <c r="C16" s="74" t="n">
        <f aca="false">IF(B16="","",INDEX($AI$10:$AI$409,MATCH(B16,$AH$10:$AH$409,0)))</f>
        <v>23.77</v>
      </c>
      <c r="D16" s="74" t="n">
        <f aca="false">IF(B16="","",IFERROR(INDEX($AK$10:$AK$409,MATCH(B16,$AJ$10:$AJ$409,0)),""))</f>
        <v>51432.54</v>
      </c>
      <c r="E16" s="76" t="n">
        <f aca="false">IF(AND(ISNUMBER(C16),ISNUMBER(C15)),C16/C15-1,"")</f>
        <v>-0.0290032679738562</v>
      </c>
      <c r="F16" s="76" t="n">
        <f aca="false">IF(AND(ISNUMBER(D16),ISNUMBER(D15)),D16/D15-1,"")</f>
        <v>-0.0104932936960204</v>
      </c>
      <c r="G16" s="75" t="n">
        <f aca="false">IF(AND(ISNUMBER(E16),ISNUMBER(F16)),1,"")</f>
        <v>1</v>
      </c>
      <c r="H16" s="75" t="n">
        <f aca="false">IF(G16=1,COUNT(G16:G$412),"")</f>
        <v>256</v>
      </c>
      <c r="I16" s="75" t="n">
        <f aca="false">IF(G16=1,IF(H16&lt;='Beta Regresión'!$B$5,1,""),"")</f>
        <v>1</v>
      </c>
      <c r="J16" s="76" t="n">
        <f aca="false">IF(I16=1,E16,"")</f>
        <v>-0.0290032679738562</v>
      </c>
      <c r="K16" s="76" t="n">
        <f aca="false">IF(I16=1,F16,"")</f>
        <v>-0.0104932936960204</v>
      </c>
      <c r="L16" s="75" t="n">
        <f aca="false">IF(I16=1,COUNT(I$13:I16),"")</f>
        <v>3</v>
      </c>
      <c r="M16" s="76" t="n">
        <f aca="false">IFERROR(INDEX($J$13:$J$412,MATCH(A16,$L$13:$L$412,0)),"")</f>
        <v>-0.0328144720235591</v>
      </c>
      <c r="N16" s="76" t="n">
        <f aca="false">IFERROR(INDEX($K$13:$K$412,MATCH(A16,$L$13:$L$412,0)),"")</f>
        <v>-0.0120787345909807</v>
      </c>
      <c r="O16" s="76" t="n">
        <f aca="false">IF(I16=1,E16,NA())</f>
        <v>-0.0290032679738562</v>
      </c>
      <c r="P16" s="76" t="n">
        <f aca="false">IF(I16=1,F16,NA())</f>
        <v>-0.0104932936960204</v>
      </c>
      <c r="R16" s="75" t="n">
        <f aca="false">ROWS(R$13:R16)</f>
        <v>4</v>
      </c>
      <c r="S16" s="73" t="n">
        <f aca="false">IF(S15="","",IFERROR(SMALL($AD$10:$AD$509,COUNTIF($AD$10:$AD$509,"&lt;="&amp;S15)+1),""))</f>
        <v>46209</v>
      </c>
      <c r="T16" s="74" t="n">
        <f aca="false">IF(S16="","",INDEX($AE$10:$AE$509,MATCH(S16,$AD$10:$AD$509,0)))</f>
        <v>29.6</v>
      </c>
      <c r="U16" s="74" t="n">
        <f aca="false">IF(S16="","",IFERROR(INDEX($AG$10:$AG$509,MATCH(S16,$AF$10:$AF$509,0)),""))</f>
        <v>67466.46</v>
      </c>
      <c r="V16" s="76" t="n">
        <f aca="false">IF(AND(ISNUMBER(T16),ISNUMBER(T15)),T16/T15-1,"")</f>
        <v>-0.0103644266131728</v>
      </c>
      <c r="W16" s="76" t="n">
        <f aca="false">IF(AND(ISNUMBER(U16),ISNUMBER(U15)),U16/U15-1,"")</f>
        <v>0.00605378815454527</v>
      </c>
      <c r="X16" s="75" t="n">
        <f aca="false">IF(AND(ISNUMBER(V16),ISNUMBER(W16)),1,"")</f>
        <v>1</v>
      </c>
      <c r="Y16" s="76" t="n">
        <f aca="false">IF(X16=1,V16,"")</f>
        <v>-0.0103644266131728</v>
      </c>
      <c r="Z16" s="76" t="n">
        <f aca="false">IF(X16=1,W16,"")</f>
        <v>0.00605378815454527</v>
      </c>
      <c r="AA16" s="76" t="n">
        <f aca="false">IF(X16=1,V16,NA())</f>
        <v>-0.0103644266131728</v>
      </c>
      <c r="AB16" s="76" t="n">
        <f aca="false">IF(X16=1,W16,NA())</f>
        <v>0.00605378815454527</v>
      </c>
      <c r="AD16" s="73" t="n">
        <f aca="false">IF(ISNUMBER(AE16),IF(ISNUMBER('Base de Datos'!A12),IF('Base de Datos'!A12&gt;20000,DATE(YEAR('Base de Datos'!A12),DAY('Base de Datos'!A12),MONTH('Base de Datos'!A12)),""),IF(TRIM('Base de Datos'!A12)="","",IFERROR(DATE(VALUE(RIGHT(TRIM('Base de Datos'!A12),4)),VALUE(LEFT(TRIM('Base de Datos'!A12),2)),VALUE(MID(TRIM('Base de Datos'!A12),4,2))),""))),"")</f>
        <v>46212</v>
      </c>
      <c r="AE16" s="74" t="n">
        <f aca="false">IF(ISNUMBER('Base de Datos'!B12),'Base de Datos'!B12,IF(TRIM('Base de Datos'!B12)="","",IFERROR(IF(IFERROR(FIND("@",SUBSTITUTE(TRIM('Base de Datos'!B12),",","@",LEN(TRIM('Base de Datos'!B12))-LEN(SUBSTITUTE(TRIM('Base de Datos'!B12),",","")))),0)&gt;IFERROR(FIND("@",SUBSTITUTE(TRIM('Base de Datos'!B12),".","@",LEN(TRIM('Base de Datos'!B12))-LEN(SUBSTITUTE(TRIM('Base de Datos'!B12),".","")))),0),_xlfn.NUMBERVALUE(SUBSTITUTE(SUBSTITUTE(TRIM('Base de Datos'!B12),".",""),",","."),".",","),_xlfn.NUMBERVALUE(SUBSTITUTE(TRIM('Base de Datos'!B12),",",""),".",",")),"")))</f>
        <v>30.76</v>
      </c>
      <c r="AF16" s="73" t="n">
        <f aca="false">IF(ISNUMBER(AG16),IF(ISNUMBER('Base de Datos'!I12),IF('Base de Datos'!I12&gt;20000,INT('Base de Datos'!I12),""),IF(TRIM('Base de Datos'!I12)="","",IFERROR(DATE(VALUE(RIGHT(TRIM('Base de Datos'!I12),4)),VALUE(MID(TRIM('Base de Datos'!I12),4,2)),VALUE(LEFT(TRIM('Base de Datos'!I12),2))),IFERROR(DATEVALUE(TRIM('Base de Datos'!I12)),"")))),"")</f>
        <v>46212</v>
      </c>
      <c r="AG16" s="74" t="n">
        <f aca="false">IF(ISNUMBER('Base de Datos'!J12),'Base de Datos'!J12,IF(TRIM('Base de Datos'!J12)="","",IFERROR(IF(IFERROR(FIND("@",SUBSTITUTE(TRIM('Base de Datos'!J12),",","@",LEN(TRIM('Base de Datos'!J12))-LEN(SUBSTITUTE(TRIM('Base de Datos'!J12),",","")))),0)&gt;IFERROR(FIND("@",SUBSTITUTE(TRIM('Base de Datos'!J12),".","@",LEN(TRIM('Base de Datos'!J12))-LEN(SUBSTITUTE(TRIM('Base de Datos'!J12),".","")))),0),_xlfn.NUMBERVALUE(SUBSTITUTE(SUBSTITUTE(TRIM('Base de Datos'!J12),".",""),",","."),".",","),_xlfn.NUMBERVALUE(SUBSTITUTE(TRIM('Base de Datos'!J12),",",""),".",",")),"")))</f>
        <v>66107.28</v>
      </c>
      <c r="AH16" s="73" t="n">
        <f aca="false">IF(ISNUMBER(AI16),IF(ISNUMBER('Base de Datos'!Q12),IF('Base de Datos'!Q12&gt;20000,DATE(YEAR('Base de Datos'!Q12),DAY('Base de Datos'!Q12),MONTH('Base de Datos'!Q12)),""),IF(TRIM('Base de Datos'!Q12)="","",IFERROR(DATE(VALUE(RIGHT(TRIM('Base de Datos'!Q12),4)),VALUE(LEFT(TRIM('Base de Datos'!Q12),2)),VALUE(MID(TRIM('Base de Datos'!Q12),4,2))),""))),"")</f>
        <v>44528</v>
      </c>
      <c r="AI16" s="74" t="n">
        <f aca="false">IF(ISNUMBER('Base de Datos'!R12),'Base de Datos'!R12,IF(TRIM('Base de Datos'!R12)="","",IFERROR(IF(IFERROR(FIND("@",SUBSTITUTE(TRIM('Base de Datos'!R12),",","@",LEN(TRIM('Base de Datos'!R12))-LEN(SUBSTITUTE(TRIM('Base de Datos'!R12),",","")))),0)&gt;IFERROR(FIND("@",SUBSTITUTE(TRIM('Base de Datos'!R12),".","@",LEN(TRIM('Base de Datos'!R12))-LEN(SUBSTITUTE(TRIM('Base de Datos'!R12),".","")))),0),_xlfn.NUMBERVALUE(SUBSTITUTE(SUBSTITUTE(TRIM('Base de Datos'!R12),".",""),",","."),".",","),_xlfn.NUMBERVALUE(SUBSTITUTE(TRIM('Base de Datos'!R12),",",""),".",",")),"")))</f>
        <v>23.94</v>
      </c>
      <c r="AJ16" s="73" t="n">
        <f aca="false">IF(ISNUMBER(AK16),IF(ISNUMBER('Base de Datos'!Y12),IF('Base de Datos'!Y12&gt;20000,INT('Base de Datos'!Y12),""),IF(TRIM('Base de Datos'!Y12)="","",IFERROR(DATE(VALUE(RIGHT(TRIM('Base de Datos'!Y12),4)),VALUE(MID(TRIM('Base de Datos'!Y12),4,2)),VALUE(LEFT(TRIM('Base de Datos'!Y12),2))),IFERROR(DATEVALUE(TRIM('Base de Datos'!Y12)),"")))),"")</f>
        <v>44528</v>
      </c>
      <c r="AK16" s="74" t="n">
        <f aca="false">IF(ISNUMBER('Base de Datos'!Z12),'Base de Datos'!Z12,IF(TRIM('Base de Datos'!Z12)="","",IFERROR(IF(IFERROR(FIND("@",SUBSTITUTE(TRIM('Base de Datos'!Z12),",","@",LEN(TRIM('Base de Datos'!Z12))-LEN(SUBSTITUTE(TRIM('Base de Datos'!Z12),",","")))),0)&gt;IFERROR(FIND("@",SUBSTITUTE(TRIM('Base de Datos'!Z12),".","@",LEN(TRIM('Base de Datos'!Z12))-LEN(SUBSTITUTE(TRIM('Base de Datos'!Z12),".","")))),0),_xlfn.NUMBERVALUE(SUBSTITUTE(SUBSTITUTE(TRIM('Base de Datos'!Z12),".",""),",","."),".",","),_xlfn.NUMBERVALUE(SUBSTITUTE(TRIM('Base de Datos'!Z12),",",""),".",",")),"")))</f>
        <v>50597.29</v>
      </c>
    </row>
    <row r="17" customFormat="false" ht="13.5" hidden="false" customHeight="false" outlineLevel="0" collapsed="false">
      <c r="A17" s="75" t="n">
        <f aca="false">ROWS(A$13:A17)</f>
        <v>5</v>
      </c>
      <c r="B17" s="73" t="n">
        <f aca="false">IF(B16="","",IFERROR(SMALL($AH$10:$AH$409,COUNTIF($AH$10:$AH$409,"&lt;="&amp;B16)+1),""))</f>
        <v>44514</v>
      </c>
      <c r="C17" s="74" t="n">
        <f aca="false">IF(B17="","",INDEX($AI$10:$AI$409,MATCH(B17,$AH$10:$AH$409,0)))</f>
        <v>22.99</v>
      </c>
      <c r="D17" s="74" t="n">
        <f aca="false">IF(B17="","",IFERROR(INDEX($AK$10:$AK$409,MATCH(B17,$AJ$10:$AJ$409,0)),""))</f>
        <v>50811.3</v>
      </c>
      <c r="E17" s="76" t="n">
        <f aca="false">IF(AND(ISNUMBER(C17),ISNUMBER(C16)),C17/C16-1,"")</f>
        <v>-0.0328144720235591</v>
      </c>
      <c r="F17" s="76" t="n">
        <f aca="false">IF(AND(ISNUMBER(D17),ISNUMBER(D16)),D17/D16-1,"")</f>
        <v>-0.0120787345909807</v>
      </c>
      <c r="G17" s="75" t="n">
        <f aca="false">IF(AND(ISNUMBER(E17),ISNUMBER(F17)),1,"")</f>
        <v>1</v>
      </c>
      <c r="H17" s="75" t="n">
        <f aca="false">IF(G17=1,COUNT(G17:G$412),"")</f>
        <v>255</v>
      </c>
      <c r="I17" s="75" t="n">
        <f aca="false">IF(G17=1,IF(H17&lt;='Beta Regresión'!$B$5,1,""),"")</f>
        <v>1</v>
      </c>
      <c r="J17" s="76" t="n">
        <f aca="false">IF(I17=1,E17,"")</f>
        <v>-0.0328144720235591</v>
      </c>
      <c r="K17" s="76" t="n">
        <f aca="false">IF(I17=1,F17,"")</f>
        <v>-0.0120787345909807</v>
      </c>
      <c r="L17" s="75" t="n">
        <f aca="false">IF(I17=1,COUNT(I$13:I17),"")</f>
        <v>4</v>
      </c>
      <c r="M17" s="76" t="n">
        <f aca="false">IFERROR(INDEX($J$13:$J$412,MATCH(A17,$L$13:$L$412,0)),"")</f>
        <v>-0.0113092648977816</v>
      </c>
      <c r="N17" s="76" t="n">
        <f aca="false">IFERROR(INDEX($K$13:$K$412,MATCH(A17,$L$13:$L$412,0)),"")</f>
        <v>-0.0259544628852245</v>
      </c>
      <c r="O17" s="76" t="n">
        <f aca="false">IF(I17=1,E17,NA())</f>
        <v>-0.0328144720235591</v>
      </c>
      <c r="P17" s="76" t="n">
        <f aca="false">IF(I17=1,F17,NA())</f>
        <v>-0.0120787345909807</v>
      </c>
      <c r="R17" s="75" t="n">
        <f aca="false">ROWS(R$13:R17)</f>
        <v>5</v>
      </c>
      <c r="S17" s="73" t="n">
        <f aca="false">IF(S16="","",IFERROR(SMALL($AD$10:$AD$509,COUNTIF($AD$10:$AD$509,"&lt;="&amp;S16)+1),""))</f>
        <v>46210</v>
      </c>
      <c r="T17" s="74" t="n">
        <f aca="false">IF(S17="","",INDEX($AE$10:$AE$509,MATCH(S17,$AD$10:$AD$509,0)))</f>
        <v>30.29</v>
      </c>
      <c r="U17" s="74" t="n">
        <f aca="false">IF(S17="","",IFERROR(INDEX($AG$10:$AG$509,MATCH(S17,$AF$10:$AF$509,0)),""))</f>
        <v>66674.7</v>
      </c>
      <c r="V17" s="76" t="n">
        <f aca="false">IF(AND(ISNUMBER(T17),ISNUMBER(T16)),T17/T16-1,"")</f>
        <v>0.0233108108108107</v>
      </c>
      <c r="W17" s="76" t="n">
        <f aca="false">IF(AND(ISNUMBER(U17),ISNUMBER(U16)),U17/U16-1,"")</f>
        <v>-0.0117356090715299</v>
      </c>
      <c r="X17" s="75" t="n">
        <f aca="false">IF(AND(ISNUMBER(V17),ISNUMBER(W17)),1,"")</f>
        <v>1</v>
      </c>
      <c r="Y17" s="76" t="n">
        <f aca="false">IF(X17=1,V17,"")</f>
        <v>0.0233108108108107</v>
      </c>
      <c r="Z17" s="76" t="n">
        <f aca="false">IF(X17=1,W17,"")</f>
        <v>-0.0117356090715299</v>
      </c>
      <c r="AA17" s="76" t="n">
        <f aca="false">IF(X17=1,V17,NA())</f>
        <v>0.0233108108108107</v>
      </c>
      <c r="AB17" s="76" t="n">
        <f aca="false">IF(X17=1,W17,NA())</f>
        <v>-0.0117356090715299</v>
      </c>
      <c r="AD17" s="73" t="n">
        <f aca="false">IF(ISNUMBER(AE17),IF(ISNUMBER('Base de Datos'!A13),IF('Base de Datos'!A13&gt;20000,DATE(YEAR('Base de Datos'!A13),DAY('Base de Datos'!A13),MONTH('Base de Datos'!A13)),""),IF(TRIM('Base de Datos'!A13)="","",IFERROR(DATE(VALUE(RIGHT(TRIM('Base de Datos'!A13),4)),VALUE(LEFT(TRIM('Base de Datos'!A13),2)),VALUE(MID(TRIM('Base de Datos'!A13),4,2))),""))),"")</f>
        <v>46213</v>
      </c>
      <c r="AE17" s="74" t="n">
        <f aca="false">IF(ISNUMBER('Base de Datos'!B13),'Base de Datos'!B13,IF(TRIM('Base de Datos'!B13)="","",IFERROR(IF(IFERROR(FIND("@",SUBSTITUTE(TRIM('Base de Datos'!B13),",","@",LEN(TRIM('Base de Datos'!B13))-LEN(SUBSTITUTE(TRIM('Base de Datos'!B13),",","")))),0)&gt;IFERROR(FIND("@",SUBSTITUTE(TRIM('Base de Datos'!B13),".","@",LEN(TRIM('Base de Datos'!B13))-LEN(SUBSTITUTE(TRIM('Base de Datos'!B13),".","")))),0),_xlfn.NUMBERVALUE(SUBSTITUTE(SUBSTITUTE(TRIM('Base de Datos'!B13),".",""),",","."),".",","),_xlfn.NUMBERVALUE(SUBSTITUTE(TRIM('Base de Datos'!B13),",",""),".",",")),"")))</f>
        <v>30.6</v>
      </c>
      <c r="AF17" s="73" t="n">
        <f aca="false">IF(ISNUMBER(AG17),IF(ISNUMBER('Base de Datos'!I13),IF('Base de Datos'!I13&gt;20000,INT('Base de Datos'!I13),""),IF(TRIM('Base de Datos'!I13)="","",IFERROR(DATE(VALUE(RIGHT(TRIM('Base de Datos'!I13),4)),VALUE(MID(TRIM('Base de Datos'!I13),4,2)),VALUE(LEFT(TRIM('Base de Datos'!I13),2))),IFERROR(DATEVALUE(TRIM('Base de Datos'!I13)),"")))),"")</f>
        <v>46213</v>
      </c>
      <c r="AG17" s="74" t="n">
        <f aca="false">IF(ISNUMBER('Base de Datos'!J13),'Base de Datos'!J13,IF(TRIM('Base de Datos'!J13)="","",IFERROR(IF(IFERROR(FIND("@",SUBSTITUTE(TRIM('Base de Datos'!J13),",","@",LEN(TRIM('Base de Datos'!J13))-LEN(SUBSTITUTE(TRIM('Base de Datos'!J13),",","")))),0)&gt;IFERROR(FIND("@",SUBSTITUTE(TRIM('Base de Datos'!J13),".","@",LEN(TRIM('Base de Datos'!J13))-LEN(SUBSTITUTE(TRIM('Base de Datos'!J13),".","")))),0),_xlfn.NUMBERVALUE(SUBSTITUTE(SUBSTITUTE(TRIM('Base de Datos'!J13),".",""),",","."),".",","),_xlfn.NUMBERVALUE(SUBSTITUTE(TRIM('Base de Datos'!J13),",",""),".",",")),"")))</f>
        <v>66496.1</v>
      </c>
      <c r="AH17" s="73" t="n">
        <f aca="false">IF(ISNUMBER(AI17),IF(ISNUMBER('Base de Datos'!Q13),IF('Base de Datos'!Q13&gt;20000,DATE(YEAR('Base de Datos'!Q13),DAY('Base de Datos'!Q13),MONTH('Base de Datos'!Q13)),""),IF(TRIM('Base de Datos'!Q13)="","",IFERROR(DATE(VALUE(RIGHT(TRIM('Base de Datos'!Q13),4)),VALUE(LEFT(TRIM('Base de Datos'!Q13),2)),VALUE(MID(TRIM('Base de Datos'!Q13),4,2))),""))),"")</f>
        <v>44535</v>
      </c>
      <c r="AI17" s="74" t="n">
        <f aca="false">IF(ISNUMBER('Base de Datos'!R13),'Base de Datos'!R13,IF(TRIM('Base de Datos'!R13)="","",IFERROR(IF(IFERROR(FIND("@",SUBSTITUTE(TRIM('Base de Datos'!R13),",","@",LEN(TRIM('Base de Datos'!R13))-LEN(SUBSTITUTE(TRIM('Base de Datos'!R13),",","")))),0)&gt;IFERROR(FIND("@",SUBSTITUTE(TRIM('Base de Datos'!R13),".","@",LEN(TRIM('Base de Datos'!R13))-LEN(SUBSTITUTE(TRIM('Base de Datos'!R13),".","")))),0),_xlfn.NUMBERVALUE(SUBSTITUTE(SUBSTITUTE(TRIM('Base de Datos'!R13),".",""),",","."),".",","),_xlfn.NUMBERVALUE(SUBSTITUTE(TRIM('Base de Datos'!R13),",",""),".",",")),"")))</f>
        <v>23.26</v>
      </c>
      <c r="AJ17" s="73" t="n">
        <f aca="false">IF(ISNUMBER(AK17),IF(ISNUMBER('Base de Datos'!Y13),IF('Base de Datos'!Y13&gt;20000,INT('Base de Datos'!Y13),""),IF(TRIM('Base de Datos'!Y13)="","",IFERROR(DATE(VALUE(RIGHT(TRIM('Base de Datos'!Y13),4)),VALUE(MID(TRIM('Base de Datos'!Y13),4,2)),VALUE(LEFT(TRIM('Base de Datos'!Y13),2))),IFERROR(DATEVALUE(TRIM('Base de Datos'!Y13)),"")))),"")</f>
        <v>44535</v>
      </c>
      <c r="AK17" s="74" t="n">
        <f aca="false">IF(ISNUMBER('Base de Datos'!Z13),'Base de Datos'!Z13,IF(TRIM('Base de Datos'!Z13)="","",IFERROR(IF(IFERROR(FIND("@",SUBSTITUTE(TRIM('Base de Datos'!Z13),",","@",LEN(TRIM('Base de Datos'!Z13))-LEN(SUBSTITUTE(TRIM('Base de Datos'!Z13),",","")))),0)&gt;IFERROR(FIND("@",SUBSTITUTE(TRIM('Base de Datos'!Z13),".","@",LEN(TRIM('Base de Datos'!Z13))-LEN(SUBSTITUTE(TRIM('Base de Datos'!Z13),".","")))),0),_xlfn.NUMBERVALUE(SUBSTITUTE(SUBSTITUTE(TRIM('Base de Datos'!Z13),".",""),",","."),".",","),_xlfn.NUMBERVALUE(SUBSTITUTE(TRIM('Base de Datos'!Z13),",",""),".",",")),"")))</f>
        <v>51213.48</v>
      </c>
    </row>
    <row r="18" customFormat="false" ht="13.5" hidden="false" customHeight="false" outlineLevel="0" collapsed="false">
      <c r="A18" s="75" t="n">
        <f aca="false">ROWS(A$13:A18)</f>
        <v>6</v>
      </c>
      <c r="B18" s="73" t="n">
        <f aca="false">IF(B17="","",IFERROR(SMALL($AH$10:$AH$409,COUNTIF($AH$10:$AH$409,"&lt;="&amp;B17)+1),""))</f>
        <v>44521</v>
      </c>
      <c r="C18" s="74" t="n">
        <f aca="false">IF(B18="","",INDEX($AI$10:$AI$409,MATCH(B18,$AH$10:$AH$409,0)))</f>
        <v>22.73</v>
      </c>
      <c r="D18" s="74" t="n">
        <f aca="false">IF(B18="","",IFERROR(INDEX($AK$10:$AK$409,MATCH(B18,$AJ$10:$AJ$409,0)),""))</f>
        <v>49492.52</v>
      </c>
      <c r="E18" s="76" t="n">
        <f aca="false">IF(AND(ISNUMBER(C18),ISNUMBER(C17)),C18/C17-1,"")</f>
        <v>-0.0113092648977816</v>
      </c>
      <c r="F18" s="76" t="n">
        <f aca="false">IF(AND(ISNUMBER(D18),ISNUMBER(D17)),D18/D17-1,"")</f>
        <v>-0.0259544628852245</v>
      </c>
      <c r="G18" s="75" t="n">
        <f aca="false">IF(AND(ISNUMBER(E18),ISNUMBER(F18)),1,"")</f>
        <v>1</v>
      </c>
      <c r="H18" s="75" t="n">
        <f aca="false">IF(G18=1,COUNT(G18:G$412),"")</f>
        <v>254</v>
      </c>
      <c r="I18" s="75" t="n">
        <f aca="false">IF(G18=1,IF(H18&lt;='Beta Regresión'!$B$5,1,""),"")</f>
        <v>1</v>
      </c>
      <c r="J18" s="76" t="n">
        <f aca="false">IF(I18=1,E18,"")</f>
        <v>-0.0113092648977816</v>
      </c>
      <c r="K18" s="76" t="n">
        <f aca="false">IF(I18=1,F18,"")</f>
        <v>-0.0259544628852245</v>
      </c>
      <c r="L18" s="75" t="n">
        <f aca="false">IF(I18=1,COUNT(I$13:I18),"")</f>
        <v>5</v>
      </c>
      <c r="M18" s="76" t="n">
        <f aca="false">IFERROR(INDEX($J$13:$J$412,MATCH(A18,$L$13:$L$412,0)),"")</f>
        <v>0.053233611966564</v>
      </c>
      <c r="N18" s="76" t="n">
        <f aca="false">IFERROR(INDEX($K$13:$K$412,MATCH(A18,$L$13:$L$412,0)),"")</f>
        <v>0.0223219589546058</v>
      </c>
      <c r="O18" s="76" t="n">
        <f aca="false">IF(I18=1,E18,NA())</f>
        <v>-0.0113092648977816</v>
      </c>
      <c r="P18" s="76" t="n">
        <f aca="false">IF(I18=1,F18,NA())</f>
        <v>-0.0259544628852245</v>
      </c>
      <c r="R18" s="75" t="n">
        <f aca="false">ROWS(R$13:R18)</f>
        <v>6</v>
      </c>
      <c r="S18" s="73" t="n">
        <f aca="false">IF(S17="","",IFERROR(SMALL($AD$10:$AD$509,COUNTIF($AD$10:$AD$509,"&lt;="&amp;S17)+1),""))</f>
        <v>46211</v>
      </c>
      <c r="T18" s="74" t="n">
        <f aca="false">IF(S18="","",INDEX($AE$10:$AE$509,MATCH(S18,$AD$10:$AD$509,0)))</f>
        <v>30</v>
      </c>
      <c r="U18" s="74" t="n">
        <f aca="false">IF(S18="","",IFERROR(INDEX($AG$10:$AG$509,MATCH(S18,$AF$10:$AF$509,0)),""))</f>
        <v>66609.64</v>
      </c>
      <c r="V18" s="76" t="n">
        <f aca="false">IF(AND(ISNUMBER(T18),ISNUMBER(T17)),T18/T17-1,"")</f>
        <v>-0.00957411687025422</v>
      </c>
      <c r="W18" s="76" t="n">
        <f aca="false">IF(AND(ISNUMBER(U18),ISNUMBER(U17)),U18/U17-1,"")</f>
        <v>-0.000975782418218607</v>
      </c>
      <c r="X18" s="75" t="n">
        <f aca="false">IF(AND(ISNUMBER(V18),ISNUMBER(W18)),1,"")</f>
        <v>1</v>
      </c>
      <c r="Y18" s="76" t="n">
        <f aca="false">IF(X18=1,V18,"")</f>
        <v>-0.00957411687025422</v>
      </c>
      <c r="Z18" s="76" t="n">
        <f aca="false">IF(X18=1,W18,"")</f>
        <v>-0.000975782418218607</v>
      </c>
      <c r="AA18" s="76" t="n">
        <f aca="false">IF(X18=1,V18,NA())</f>
        <v>-0.00957411687025422</v>
      </c>
      <c r="AB18" s="76" t="n">
        <f aca="false">IF(X18=1,W18,NA())</f>
        <v>-0.000975782418218607</v>
      </c>
      <c r="AD18" s="73" t="n">
        <f aca="false">IF(ISNUMBER(AE18),IF(ISNUMBER('Base de Datos'!A14),IF('Base de Datos'!A14&gt;20000,DATE(YEAR('Base de Datos'!A14),DAY('Base de Datos'!A14),MONTH('Base de Datos'!A14)),""),IF(TRIM('Base de Datos'!A14)="","",IFERROR(DATE(VALUE(RIGHT(TRIM('Base de Datos'!A14),4)),VALUE(LEFT(TRIM('Base de Datos'!A14),2)),VALUE(MID(TRIM('Base de Datos'!A14),4,2))),""))),"")</f>
        <v>46216</v>
      </c>
      <c r="AE18" s="74" t="n">
        <f aca="false">IF(ISNUMBER('Base de Datos'!B14),'Base de Datos'!B14,IF(TRIM('Base de Datos'!B14)="","",IFERROR(IF(IFERROR(FIND("@",SUBSTITUTE(TRIM('Base de Datos'!B14),",","@",LEN(TRIM('Base de Datos'!B14))-LEN(SUBSTITUTE(TRIM('Base de Datos'!B14),",","")))),0)&gt;IFERROR(FIND("@",SUBSTITUTE(TRIM('Base de Datos'!B14),".","@",LEN(TRIM('Base de Datos'!B14))-LEN(SUBSTITUTE(TRIM('Base de Datos'!B14),".","")))),0),_xlfn.NUMBERVALUE(SUBSTITUTE(SUBSTITUTE(TRIM('Base de Datos'!B14),".",""),",","."),".",","),_xlfn.NUMBERVALUE(SUBSTITUTE(TRIM('Base de Datos'!B14),",",""),".",",")),"")))</f>
        <v>30</v>
      </c>
      <c r="AF18" s="73" t="n">
        <f aca="false">IF(ISNUMBER(AG18),IF(ISNUMBER('Base de Datos'!I14),IF('Base de Datos'!I14&gt;20000,INT('Base de Datos'!I14),""),IF(TRIM('Base de Datos'!I14)="","",IFERROR(DATE(VALUE(RIGHT(TRIM('Base de Datos'!I14),4)),VALUE(MID(TRIM('Base de Datos'!I14),4,2)),VALUE(LEFT(TRIM('Base de Datos'!I14),2))),IFERROR(DATEVALUE(TRIM('Base de Datos'!I14)),"")))),"")</f>
        <v>46216</v>
      </c>
      <c r="AG18" s="74" t="n">
        <f aca="false">IF(ISNUMBER('Base de Datos'!J14),'Base de Datos'!J14,IF(TRIM('Base de Datos'!J14)="","",IFERROR(IF(IFERROR(FIND("@",SUBSTITUTE(TRIM('Base de Datos'!J14),",","@",LEN(TRIM('Base de Datos'!J14))-LEN(SUBSTITUTE(TRIM('Base de Datos'!J14),",","")))),0)&gt;IFERROR(FIND("@",SUBSTITUTE(TRIM('Base de Datos'!J14),".","@",LEN(TRIM('Base de Datos'!J14))-LEN(SUBSTITUTE(TRIM('Base de Datos'!J14),".","")))),0),_xlfn.NUMBERVALUE(SUBSTITUTE(SUBSTITUTE(TRIM('Base de Datos'!J14),".",""),",","."),".",","),_xlfn.NUMBERVALUE(SUBSTITUTE(TRIM('Base de Datos'!J14),",",""),".",",")),"")))</f>
        <v>65973.08</v>
      </c>
      <c r="AH18" s="73" t="n">
        <f aca="false">IF(ISNUMBER(AI18),IF(ISNUMBER('Base de Datos'!Q14),IF('Base de Datos'!Q14&gt;20000,DATE(YEAR('Base de Datos'!Q14),DAY('Base de Datos'!Q14),MONTH('Base de Datos'!Q14)),""),IF(TRIM('Base de Datos'!Q14)="","",IFERROR(DATE(VALUE(RIGHT(TRIM('Base de Datos'!Q14),4)),VALUE(LEFT(TRIM('Base de Datos'!Q14),2)),VALUE(MID(TRIM('Base de Datos'!Q14),4,2))),""))),"")</f>
        <v>44542</v>
      </c>
      <c r="AI18" s="74" t="n">
        <f aca="false">IF(ISNUMBER('Base de Datos'!R14),'Base de Datos'!R14,IF(TRIM('Base de Datos'!R14)="","",IFERROR(IF(IFERROR(FIND("@",SUBSTITUTE(TRIM('Base de Datos'!R14),",","@",LEN(TRIM('Base de Datos'!R14))-LEN(SUBSTITUTE(TRIM('Base de Datos'!R14),",","")))),0)&gt;IFERROR(FIND("@",SUBSTITUTE(TRIM('Base de Datos'!R14),".","@",LEN(TRIM('Base de Datos'!R14))-LEN(SUBSTITUTE(TRIM('Base de Datos'!R14),".","")))),0),_xlfn.NUMBERVALUE(SUBSTITUTE(SUBSTITUTE(TRIM('Base de Datos'!R14),".",""),",","."),".",","),_xlfn.NUMBERVALUE(SUBSTITUTE(TRIM('Base de Datos'!R14),",",""),".",",")),"")))</f>
        <v>22.59</v>
      </c>
      <c r="AJ18" s="73" t="n">
        <f aca="false">IF(ISNUMBER(AK18),IF(ISNUMBER('Base de Datos'!Y14),IF('Base de Datos'!Y14&gt;20000,INT('Base de Datos'!Y14),""),IF(TRIM('Base de Datos'!Y14)="","",IFERROR(DATE(VALUE(RIGHT(TRIM('Base de Datos'!Y14),4)),VALUE(MID(TRIM('Base de Datos'!Y14),4,2)),VALUE(LEFT(TRIM('Base de Datos'!Y14),2))),IFERROR(DATEVALUE(TRIM('Base de Datos'!Y14)),"")))),"")</f>
        <v>44542</v>
      </c>
      <c r="AK18" s="74" t="n">
        <f aca="false">IF(ISNUMBER('Base de Datos'!Z14),'Base de Datos'!Z14,IF(TRIM('Base de Datos'!Z14)="","",IFERROR(IF(IFERROR(FIND("@",SUBSTITUTE(TRIM('Base de Datos'!Z14),",","@",LEN(TRIM('Base de Datos'!Z14))-LEN(SUBSTITUTE(TRIM('Base de Datos'!Z14),",","")))),0)&gt;IFERROR(FIND("@",SUBSTITUTE(TRIM('Base de Datos'!Z14),".","@",LEN(TRIM('Base de Datos'!Z14))-LEN(SUBSTITUTE(TRIM('Base de Datos'!Z14),".","")))),0),_xlfn.NUMBERVALUE(SUBSTITUTE(SUBSTITUTE(TRIM('Base de Datos'!Z14),".",""),",","."),".",","),_xlfn.NUMBERVALUE(SUBSTITUTE(TRIM('Base de Datos'!Z14),",",""),".",",")),"")))</f>
        <v>52379.37</v>
      </c>
    </row>
    <row r="19" customFormat="false" ht="13.5" hidden="false" customHeight="false" outlineLevel="0" collapsed="false">
      <c r="A19" s="75" t="n">
        <f aca="false">ROWS(A$13:A19)</f>
        <v>7</v>
      </c>
      <c r="B19" s="73" t="n">
        <f aca="false">IF(B18="","",IFERROR(SMALL($AH$10:$AH$409,COUNTIF($AH$10:$AH$409,"&lt;="&amp;B18)+1),""))</f>
        <v>44528</v>
      </c>
      <c r="C19" s="74" t="n">
        <f aca="false">IF(B19="","",INDEX($AI$10:$AI$409,MATCH(B19,$AH$10:$AH$409,0)))</f>
        <v>23.94</v>
      </c>
      <c r="D19" s="74" t="n">
        <f aca="false">IF(B19="","",IFERROR(INDEX($AK$10:$AK$409,MATCH(B19,$AJ$10:$AJ$409,0)),""))</f>
        <v>50597.29</v>
      </c>
      <c r="E19" s="76" t="n">
        <f aca="false">IF(AND(ISNUMBER(C19),ISNUMBER(C18)),C19/C18-1,"")</f>
        <v>0.053233611966564</v>
      </c>
      <c r="F19" s="76" t="n">
        <f aca="false">IF(AND(ISNUMBER(D19),ISNUMBER(D18)),D19/D18-1,"")</f>
        <v>0.0223219589546058</v>
      </c>
      <c r="G19" s="75" t="n">
        <f aca="false">IF(AND(ISNUMBER(E19),ISNUMBER(F19)),1,"")</f>
        <v>1</v>
      </c>
      <c r="H19" s="75" t="n">
        <f aca="false">IF(G19=1,COUNT(G19:G$412),"")</f>
        <v>253</v>
      </c>
      <c r="I19" s="75" t="n">
        <f aca="false">IF(G19=1,IF(H19&lt;='Beta Regresión'!$B$5,1,""),"")</f>
        <v>1</v>
      </c>
      <c r="J19" s="76" t="n">
        <f aca="false">IF(I19=1,E19,"")</f>
        <v>0.053233611966564</v>
      </c>
      <c r="K19" s="76" t="n">
        <f aca="false">IF(I19=1,F19,"")</f>
        <v>0.0223219589546058</v>
      </c>
      <c r="L19" s="75" t="n">
        <f aca="false">IF(I19=1,COUNT(I$13:I19),"")</f>
        <v>6</v>
      </c>
      <c r="M19" s="76" t="n">
        <f aca="false">IFERROR(INDEX($J$13:$J$412,MATCH(A19,$L$13:$L$412,0)),"")</f>
        <v>-0.0284043441938179</v>
      </c>
      <c r="N19" s="76" t="n">
        <f aca="false">IFERROR(INDEX($K$13:$K$412,MATCH(A19,$L$13:$L$412,0)),"")</f>
        <v>0.0121783202222887</v>
      </c>
      <c r="O19" s="76" t="n">
        <f aca="false">IF(I19=1,E19,NA())</f>
        <v>0.053233611966564</v>
      </c>
      <c r="P19" s="76" t="n">
        <f aca="false">IF(I19=1,F19,NA())</f>
        <v>0.0223219589546058</v>
      </c>
      <c r="R19" s="75" t="n">
        <f aca="false">ROWS(R$13:R19)</f>
        <v>7</v>
      </c>
      <c r="S19" s="73" t="n">
        <f aca="false">IF(S18="","",IFERROR(SMALL($AD$10:$AD$509,COUNTIF($AD$10:$AD$509,"&lt;="&amp;S18)+1),""))</f>
        <v>46212</v>
      </c>
      <c r="T19" s="74" t="n">
        <f aca="false">IF(S19="","",INDEX($AE$10:$AE$509,MATCH(S19,$AD$10:$AD$509,0)))</f>
        <v>30.76</v>
      </c>
      <c r="U19" s="74" t="n">
        <f aca="false">IF(S19="","",IFERROR(INDEX($AG$10:$AG$509,MATCH(S19,$AF$10:$AF$509,0)),""))</f>
        <v>66107.28</v>
      </c>
      <c r="V19" s="76" t="n">
        <f aca="false">IF(AND(ISNUMBER(T19),ISNUMBER(T18)),T19/T18-1,"")</f>
        <v>0.0253333333333334</v>
      </c>
      <c r="W19" s="76" t="n">
        <f aca="false">IF(AND(ISNUMBER(U19),ISNUMBER(U18)),U19/U18-1,"")</f>
        <v>-0.00754185129960172</v>
      </c>
      <c r="X19" s="75" t="n">
        <f aca="false">IF(AND(ISNUMBER(V19),ISNUMBER(W19)),1,"")</f>
        <v>1</v>
      </c>
      <c r="Y19" s="76" t="n">
        <f aca="false">IF(X19=1,V19,"")</f>
        <v>0.0253333333333334</v>
      </c>
      <c r="Z19" s="76" t="n">
        <f aca="false">IF(X19=1,W19,"")</f>
        <v>-0.00754185129960172</v>
      </c>
      <c r="AA19" s="76" t="n">
        <f aca="false">IF(X19=1,V19,NA())</f>
        <v>0.0253333333333334</v>
      </c>
      <c r="AB19" s="76" t="n">
        <f aca="false">IF(X19=1,W19,NA())</f>
        <v>-0.00754185129960172</v>
      </c>
      <c r="AD19" s="73" t="n">
        <f aca="false">IF(ISNUMBER(AE19),IF(ISNUMBER('Base de Datos'!A15),IF('Base de Datos'!A15&gt;20000,DATE(YEAR('Base de Datos'!A15),DAY('Base de Datos'!A15),MONTH('Base de Datos'!A15)),""),IF(TRIM('Base de Datos'!A15)="","",IFERROR(DATE(VALUE(RIGHT(TRIM('Base de Datos'!A15),4)),VALUE(LEFT(TRIM('Base de Datos'!A15),2)),VALUE(MID(TRIM('Base de Datos'!A15),4,2))),""))),"")</f>
        <v>46218</v>
      </c>
      <c r="AE19" s="74" t="n">
        <f aca="false">IF(ISNUMBER('Base de Datos'!B15),'Base de Datos'!B15,IF(TRIM('Base de Datos'!B15)="","",IFERROR(IF(IFERROR(FIND("@",SUBSTITUTE(TRIM('Base de Datos'!B15),",","@",LEN(TRIM('Base de Datos'!B15))-LEN(SUBSTITUTE(TRIM('Base de Datos'!B15),",","")))),0)&gt;IFERROR(FIND("@",SUBSTITUTE(TRIM('Base de Datos'!B15),".","@",LEN(TRIM('Base de Datos'!B15))-LEN(SUBSTITUTE(TRIM('Base de Datos'!B15),".","")))),0),_xlfn.NUMBERVALUE(SUBSTITUTE(SUBSTITUTE(TRIM('Base de Datos'!B15),".",""),",","."),".",","),_xlfn.NUMBERVALUE(SUBSTITUTE(TRIM('Base de Datos'!B15),",",""),".",",")),"")))</f>
        <v>30.04</v>
      </c>
      <c r="AF19" s="73" t="n">
        <f aca="false">IF(ISNUMBER(AG19),IF(ISNUMBER('Base de Datos'!I15),IF('Base de Datos'!I15&gt;20000,INT('Base de Datos'!I15),""),IF(TRIM('Base de Datos'!I15)="","",IFERROR(DATE(VALUE(RIGHT(TRIM('Base de Datos'!I15),4)),VALUE(MID(TRIM('Base de Datos'!I15),4,2)),VALUE(LEFT(TRIM('Base de Datos'!I15),2))),IFERROR(DATEVALUE(TRIM('Base de Datos'!I15)),"")))),"")</f>
        <v>46217</v>
      </c>
      <c r="AG19" s="74" t="n">
        <f aca="false">IF(ISNUMBER('Base de Datos'!J15),'Base de Datos'!J15,IF(TRIM('Base de Datos'!J15)="","",IFERROR(IF(IFERROR(FIND("@",SUBSTITUTE(TRIM('Base de Datos'!J15),",","@",LEN(TRIM('Base de Datos'!J15))-LEN(SUBSTITUTE(TRIM('Base de Datos'!J15),",","")))),0)&gt;IFERROR(FIND("@",SUBSTITUTE(TRIM('Base de Datos'!J15),".","@",LEN(TRIM('Base de Datos'!J15))-LEN(SUBSTITUTE(TRIM('Base de Datos'!J15),".","")))),0),_xlfn.NUMBERVALUE(SUBSTITUTE(SUBSTITUTE(TRIM('Base de Datos'!J15),".",""),",","."),".",","),_xlfn.NUMBERVALUE(SUBSTITUTE(TRIM('Base de Datos'!J15),",",""),".",",")),"")))</f>
        <v>66514.3</v>
      </c>
      <c r="AH19" s="73" t="n">
        <f aca="false">IF(ISNUMBER(AI19),IF(ISNUMBER('Base de Datos'!Q15),IF('Base de Datos'!Q15&gt;20000,DATE(YEAR('Base de Datos'!Q15),DAY('Base de Datos'!Q15),MONTH('Base de Datos'!Q15)),""),IF(TRIM('Base de Datos'!Q15)="","",IFERROR(DATE(VALUE(RIGHT(TRIM('Base de Datos'!Q15),4)),VALUE(LEFT(TRIM('Base de Datos'!Q15),2)),VALUE(MID(TRIM('Base de Datos'!Q15),4,2))),""))),"")</f>
        <v>44549</v>
      </c>
      <c r="AI19" s="74" t="n">
        <f aca="false">IF(ISNUMBER('Base de Datos'!R15),'Base de Datos'!R15,IF(TRIM('Base de Datos'!R15)="","",IFERROR(IF(IFERROR(FIND("@",SUBSTITUTE(TRIM('Base de Datos'!R15),",","@",LEN(TRIM('Base de Datos'!R15))-LEN(SUBSTITUTE(TRIM('Base de Datos'!R15),",","")))),0)&gt;IFERROR(FIND("@",SUBSTITUTE(TRIM('Base de Datos'!R15),".","@",LEN(TRIM('Base de Datos'!R15))-LEN(SUBSTITUTE(TRIM('Base de Datos'!R15),".","")))),0),_xlfn.NUMBERVALUE(SUBSTITUTE(SUBSTITUTE(TRIM('Base de Datos'!R15),".",""),",","."),".",","),_xlfn.NUMBERVALUE(SUBSTITUTE(TRIM('Base de Datos'!R15),",",""),".",",")),"")))</f>
        <v>24.8</v>
      </c>
      <c r="AJ19" s="73" t="n">
        <f aca="false">IF(ISNUMBER(AK19),IF(ISNUMBER('Base de Datos'!Y15),IF('Base de Datos'!Y15&gt;20000,INT('Base de Datos'!Y15),""),IF(TRIM('Base de Datos'!Y15)="","",IFERROR(DATE(VALUE(RIGHT(TRIM('Base de Datos'!Y15),4)),VALUE(MID(TRIM('Base de Datos'!Y15),4,2)),VALUE(LEFT(TRIM('Base de Datos'!Y15),2))),IFERROR(DATEVALUE(TRIM('Base de Datos'!Y15)),"")))),"")</f>
        <v>44549</v>
      </c>
      <c r="AK19" s="74" t="n">
        <f aca="false">IF(ISNUMBER('Base de Datos'!Z15),'Base de Datos'!Z15,IF(TRIM('Base de Datos'!Z15)="","",IFERROR(IF(IFERROR(FIND("@",SUBSTITUTE(TRIM('Base de Datos'!Z15),",","@",LEN(TRIM('Base de Datos'!Z15))-LEN(SUBSTITUTE(TRIM('Base de Datos'!Z15),",","")))),0)&gt;IFERROR(FIND("@",SUBSTITUTE(TRIM('Base de Datos'!Z15),".","@",LEN(TRIM('Base de Datos'!Z15))-LEN(SUBSTITUTE(TRIM('Base de Datos'!Z15),".","")))),0),_xlfn.NUMBERVALUE(SUBSTITUTE(SUBSTITUTE(TRIM('Base de Datos'!Z15),".",""),",","."),".",","),_xlfn.NUMBERVALUE(SUBSTITUTE(TRIM('Base de Datos'!Z15),",",""),".",",")),"")))</f>
        <v>52853.38</v>
      </c>
    </row>
    <row r="20" customFormat="false" ht="13.5" hidden="false" customHeight="false" outlineLevel="0" collapsed="false">
      <c r="A20" s="75" t="n">
        <f aca="false">ROWS(A$13:A20)</f>
        <v>8</v>
      </c>
      <c r="B20" s="73" t="n">
        <f aca="false">IF(B19="","",IFERROR(SMALL($AH$10:$AH$409,COUNTIF($AH$10:$AH$409,"&lt;="&amp;B19)+1),""))</f>
        <v>44535</v>
      </c>
      <c r="C20" s="74" t="n">
        <f aca="false">IF(B20="","",INDEX($AI$10:$AI$409,MATCH(B20,$AH$10:$AH$409,0)))</f>
        <v>23.26</v>
      </c>
      <c r="D20" s="74" t="n">
        <f aca="false">IF(B20="","",IFERROR(INDEX($AK$10:$AK$409,MATCH(B20,$AJ$10:$AJ$409,0)),""))</f>
        <v>51213.48</v>
      </c>
      <c r="E20" s="76" t="n">
        <f aca="false">IF(AND(ISNUMBER(C20),ISNUMBER(C19)),C20/C19-1,"")</f>
        <v>-0.0284043441938179</v>
      </c>
      <c r="F20" s="76" t="n">
        <f aca="false">IF(AND(ISNUMBER(D20),ISNUMBER(D19)),D20/D19-1,"")</f>
        <v>0.0121783202222887</v>
      </c>
      <c r="G20" s="75" t="n">
        <f aca="false">IF(AND(ISNUMBER(E20),ISNUMBER(F20)),1,"")</f>
        <v>1</v>
      </c>
      <c r="H20" s="75" t="n">
        <f aca="false">IF(G20=1,COUNT(G20:G$412),"")</f>
        <v>252</v>
      </c>
      <c r="I20" s="75" t="n">
        <f aca="false">IF(G20=1,IF(H20&lt;='Beta Regresión'!$B$5,1,""),"")</f>
        <v>1</v>
      </c>
      <c r="J20" s="76" t="n">
        <f aca="false">IF(I20=1,E20,"")</f>
        <v>-0.0284043441938179</v>
      </c>
      <c r="K20" s="76" t="n">
        <f aca="false">IF(I20=1,F20,"")</f>
        <v>0.0121783202222887</v>
      </c>
      <c r="L20" s="75" t="n">
        <f aca="false">IF(I20=1,COUNT(I$13:I20),"")</f>
        <v>7</v>
      </c>
      <c r="M20" s="76" t="n">
        <f aca="false">IFERROR(INDEX($J$13:$J$412,MATCH(A20,$L$13:$L$412,0)),"")</f>
        <v>-0.028804815133276</v>
      </c>
      <c r="N20" s="76" t="n">
        <f aca="false">IFERROR(INDEX($K$13:$K$412,MATCH(A20,$L$13:$L$412,0)),"")</f>
        <v>0.0227652953870738</v>
      </c>
      <c r="O20" s="76" t="n">
        <f aca="false">IF(I20=1,E20,NA())</f>
        <v>-0.0284043441938179</v>
      </c>
      <c r="P20" s="76" t="n">
        <f aca="false">IF(I20=1,F20,NA())</f>
        <v>0.0121783202222887</v>
      </c>
      <c r="R20" s="75" t="n">
        <f aca="false">ROWS(R$13:R20)</f>
        <v>8</v>
      </c>
      <c r="S20" s="73" t="n">
        <f aca="false">IF(S19="","",IFERROR(SMALL($AD$10:$AD$509,COUNTIF($AD$10:$AD$509,"&lt;="&amp;S19)+1),""))</f>
        <v>46213</v>
      </c>
      <c r="T20" s="74" t="n">
        <f aca="false">IF(S20="","",INDEX($AE$10:$AE$509,MATCH(S20,$AD$10:$AD$509,0)))</f>
        <v>30.6</v>
      </c>
      <c r="U20" s="74" t="n">
        <f aca="false">IF(S20="","",IFERROR(INDEX($AG$10:$AG$509,MATCH(S20,$AF$10:$AF$509,0)),""))</f>
        <v>66496.1</v>
      </c>
      <c r="V20" s="76" t="n">
        <f aca="false">IF(AND(ISNUMBER(T20),ISNUMBER(T19)),T20/T19-1,"")</f>
        <v>-0.00520156046814047</v>
      </c>
      <c r="W20" s="76" t="n">
        <f aca="false">IF(AND(ISNUMBER(U20),ISNUMBER(U19)),U20/U19-1,"")</f>
        <v>0.00588165176361821</v>
      </c>
      <c r="X20" s="75" t="n">
        <f aca="false">IF(AND(ISNUMBER(V20),ISNUMBER(W20)),1,"")</f>
        <v>1</v>
      </c>
      <c r="Y20" s="76" t="n">
        <f aca="false">IF(X20=1,V20,"")</f>
        <v>-0.00520156046814047</v>
      </c>
      <c r="Z20" s="76" t="n">
        <f aca="false">IF(X20=1,W20,"")</f>
        <v>0.00588165176361821</v>
      </c>
      <c r="AA20" s="76" t="n">
        <f aca="false">IF(X20=1,V20,NA())</f>
        <v>-0.00520156046814047</v>
      </c>
      <c r="AB20" s="76" t="n">
        <f aca="false">IF(X20=1,W20,NA())</f>
        <v>0.00588165176361821</v>
      </c>
      <c r="AD20" s="73" t="n">
        <f aca="false">IF(ISNUMBER(AE20),IF(ISNUMBER('Base de Datos'!A16),IF('Base de Datos'!A16&gt;20000,DATE(YEAR('Base de Datos'!A16),DAY('Base de Datos'!A16),MONTH('Base de Datos'!A16)),""),IF(TRIM('Base de Datos'!A16)="","",IFERROR(DATE(VALUE(RIGHT(TRIM('Base de Datos'!A16),4)),VALUE(LEFT(TRIM('Base de Datos'!A16),2)),VALUE(MID(TRIM('Base de Datos'!A16),4,2))),""))),"")</f>
        <v>46219</v>
      </c>
      <c r="AE20" s="74" t="n">
        <f aca="false">IF(ISNUMBER('Base de Datos'!B16),'Base de Datos'!B16,IF(TRIM('Base de Datos'!B16)="","",IFERROR(IF(IFERROR(FIND("@",SUBSTITUTE(TRIM('Base de Datos'!B16),",","@",LEN(TRIM('Base de Datos'!B16))-LEN(SUBSTITUTE(TRIM('Base de Datos'!B16),",","")))),0)&gt;IFERROR(FIND("@",SUBSTITUTE(TRIM('Base de Datos'!B16),".","@",LEN(TRIM('Base de Datos'!B16))-LEN(SUBSTITUTE(TRIM('Base de Datos'!B16),".","")))),0),_xlfn.NUMBERVALUE(SUBSTITUTE(SUBSTITUTE(TRIM('Base de Datos'!B16),".",""),",","."),".",","),_xlfn.NUMBERVALUE(SUBSTITUTE(TRIM('Base de Datos'!B16),",",""),".",",")),"")))</f>
        <v>29.96</v>
      </c>
      <c r="AF20" s="73" t="n">
        <f aca="false">IF(ISNUMBER(AG20),IF(ISNUMBER('Base de Datos'!I16),IF('Base de Datos'!I16&gt;20000,INT('Base de Datos'!I16),""),IF(TRIM('Base de Datos'!I16)="","",IFERROR(DATE(VALUE(RIGHT(TRIM('Base de Datos'!I16),4)),VALUE(MID(TRIM('Base de Datos'!I16),4,2)),VALUE(LEFT(TRIM('Base de Datos'!I16),2))),IFERROR(DATEVALUE(TRIM('Base de Datos'!I16)),"")))),"")</f>
        <v>46218</v>
      </c>
      <c r="AG20" s="74" t="n">
        <f aca="false">IF(ISNUMBER('Base de Datos'!J16),'Base de Datos'!J16,IF(TRIM('Base de Datos'!J16)="","",IFERROR(IF(IFERROR(FIND("@",SUBSTITUTE(TRIM('Base de Datos'!J16),",","@",LEN(TRIM('Base de Datos'!J16))-LEN(SUBSTITUTE(TRIM('Base de Datos'!J16),",","")))),0)&gt;IFERROR(FIND("@",SUBSTITUTE(TRIM('Base de Datos'!J16),".","@",LEN(TRIM('Base de Datos'!J16))-LEN(SUBSTITUTE(TRIM('Base de Datos'!J16),".","")))),0),_xlfn.NUMBERVALUE(SUBSTITUTE(SUBSTITUTE(TRIM('Base de Datos'!J16),".",""),",","."),".",","),_xlfn.NUMBERVALUE(SUBSTITUTE(TRIM('Base de Datos'!J16),",",""),".",",")),"")))</f>
        <v>66399.71</v>
      </c>
      <c r="AH20" s="73" t="n">
        <f aca="false">IF(ISNUMBER(AI20),IF(ISNUMBER('Base de Datos'!Q16),IF('Base de Datos'!Q16&gt;20000,DATE(YEAR('Base de Datos'!Q16),DAY('Base de Datos'!Q16),MONTH('Base de Datos'!Q16)),""),IF(TRIM('Base de Datos'!Q16)="","",IFERROR(DATE(VALUE(RIGHT(TRIM('Base de Datos'!Q16),4)),VALUE(LEFT(TRIM('Base de Datos'!Q16),2)),VALUE(MID(TRIM('Base de Datos'!Q16),4,2))),""))),"")</f>
        <v>44556</v>
      </c>
      <c r="AI20" s="74" t="n">
        <f aca="false">IF(ISNUMBER('Base de Datos'!R16),'Base de Datos'!R16,IF(TRIM('Base de Datos'!R16)="","",IFERROR(IF(IFERROR(FIND("@",SUBSTITUTE(TRIM('Base de Datos'!R16),",","@",LEN(TRIM('Base de Datos'!R16))-LEN(SUBSTITUTE(TRIM('Base de Datos'!R16),",","")))),0)&gt;IFERROR(FIND("@",SUBSTITUTE(TRIM('Base de Datos'!R16),".","@",LEN(TRIM('Base de Datos'!R16))-LEN(SUBSTITUTE(TRIM('Base de Datos'!R16),".","")))),0),_xlfn.NUMBERVALUE(SUBSTITUTE(SUBSTITUTE(TRIM('Base de Datos'!R16),".",""),",","."),".",","),_xlfn.NUMBERVALUE(SUBSTITUTE(TRIM('Base de Datos'!R16),",",""),".",",")),"")))</f>
        <v>25.98</v>
      </c>
      <c r="AJ20" s="73" t="n">
        <f aca="false">IF(ISNUMBER(AK20),IF(ISNUMBER('Base de Datos'!Y16),IF('Base de Datos'!Y16&gt;20000,INT('Base de Datos'!Y16),""),IF(TRIM('Base de Datos'!Y16)="","",IFERROR(DATE(VALUE(RIGHT(TRIM('Base de Datos'!Y16),4)),VALUE(MID(TRIM('Base de Datos'!Y16),4,2)),VALUE(LEFT(TRIM('Base de Datos'!Y16),2))),IFERROR(DATEVALUE(TRIM('Base de Datos'!Y16)),"")))),"")</f>
        <v>44556</v>
      </c>
      <c r="AK20" s="74" t="n">
        <f aca="false">IF(ISNUMBER('Base de Datos'!Z16),'Base de Datos'!Z16,IF(TRIM('Base de Datos'!Z16)="","",IFERROR(IF(IFERROR(FIND("@",SUBSTITUTE(TRIM('Base de Datos'!Z16),",","@",LEN(TRIM('Base de Datos'!Z16))-LEN(SUBSTITUTE(TRIM('Base de Datos'!Z16),",","")))),0)&gt;IFERROR(FIND("@",SUBSTITUTE(TRIM('Base de Datos'!Z16),".","@",LEN(TRIM('Base de Datos'!Z16))-LEN(SUBSTITUTE(TRIM('Base de Datos'!Z16),".","")))),0),_xlfn.NUMBERVALUE(SUBSTITUTE(SUBSTITUTE(TRIM('Base de Datos'!Z16),".",""),",","."),".",","),_xlfn.NUMBERVALUE(SUBSTITUTE(TRIM('Base de Datos'!Z16),",",""),".",",")),"")))</f>
        <v>53272.44</v>
      </c>
    </row>
    <row r="21" customFormat="false" ht="13.5" hidden="false" customHeight="false" outlineLevel="0" collapsed="false">
      <c r="A21" s="75" t="n">
        <f aca="false">ROWS(A$13:A21)</f>
        <v>9</v>
      </c>
      <c r="B21" s="73" t="n">
        <f aca="false">IF(B20="","",IFERROR(SMALL($AH$10:$AH$409,COUNTIF($AH$10:$AH$409,"&lt;="&amp;B20)+1),""))</f>
        <v>44542</v>
      </c>
      <c r="C21" s="74" t="n">
        <f aca="false">IF(B21="","",INDEX($AI$10:$AI$409,MATCH(B21,$AH$10:$AH$409,0)))</f>
        <v>22.59</v>
      </c>
      <c r="D21" s="74" t="n">
        <f aca="false">IF(B21="","",IFERROR(INDEX($AK$10:$AK$409,MATCH(B21,$AJ$10:$AJ$409,0)),""))</f>
        <v>52379.37</v>
      </c>
      <c r="E21" s="76" t="n">
        <f aca="false">IF(AND(ISNUMBER(C21),ISNUMBER(C20)),C21/C20-1,"")</f>
        <v>-0.028804815133276</v>
      </c>
      <c r="F21" s="76" t="n">
        <f aca="false">IF(AND(ISNUMBER(D21),ISNUMBER(D20)),D21/D20-1,"")</f>
        <v>0.0227652953870738</v>
      </c>
      <c r="G21" s="75" t="n">
        <f aca="false">IF(AND(ISNUMBER(E21),ISNUMBER(F21)),1,"")</f>
        <v>1</v>
      </c>
      <c r="H21" s="75" t="n">
        <f aca="false">IF(G21=1,COUNT(G21:G$412),"")</f>
        <v>251</v>
      </c>
      <c r="I21" s="75" t="n">
        <f aca="false">IF(G21=1,IF(H21&lt;='Beta Regresión'!$B$5,1,""),"")</f>
        <v>1</v>
      </c>
      <c r="J21" s="76" t="n">
        <f aca="false">IF(I21=1,E21,"")</f>
        <v>-0.028804815133276</v>
      </c>
      <c r="K21" s="76" t="n">
        <f aca="false">IF(I21=1,F21,"")</f>
        <v>0.0227652953870738</v>
      </c>
      <c r="L21" s="75" t="n">
        <f aca="false">IF(I21=1,COUNT(I$13:I21),"")</f>
        <v>8</v>
      </c>
      <c r="M21" s="76" t="n">
        <f aca="false">IFERROR(INDEX($J$13:$J$412,MATCH(A21,$L$13:$L$412,0)),"")</f>
        <v>0.0978308986277114</v>
      </c>
      <c r="N21" s="76" t="n">
        <f aca="false">IFERROR(INDEX($K$13:$K$412,MATCH(A21,$L$13:$L$412,0)),"")</f>
        <v>0.00904955519701733</v>
      </c>
      <c r="O21" s="76" t="n">
        <f aca="false">IF(I21=1,E21,NA())</f>
        <v>-0.028804815133276</v>
      </c>
      <c r="P21" s="76" t="n">
        <f aca="false">IF(I21=1,F21,NA())</f>
        <v>0.0227652953870738</v>
      </c>
      <c r="R21" s="75" t="n">
        <f aca="false">ROWS(R$13:R21)</f>
        <v>9</v>
      </c>
      <c r="S21" s="73" t="n">
        <f aca="false">IF(S20="","",IFERROR(SMALL($AD$10:$AD$509,COUNTIF($AD$10:$AD$509,"&lt;="&amp;S20)+1),""))</f>
        <v>46216</v>
      </c>
      <c r="T21" s="74" t="n">
        <f aca="false">IF(S21="","",INDEX($AE$10:$AE$509,MATCH(S21,$AD$10:$AD$509,0)))</f>
        <v>30</v>
      </c>
      <c r="U21" s="74" t="n">
        <f aca="false">IF(S21="","",IFERROR(INDEX($AG$10:$AG$509,MATCH(S21,$AF$10:$AF$509,0)),""))</f>
        <v>65973.08</v>
      </c>
      <c r="V21" s="76" t="n">
        <f aca="false">IF(AND(ISNUMBER(T21),ISNUMBER(T20)),T21/T20-1,"")</f>
        <v>-0.0196078431372549</v>
      </c>
      <c r="W21" s="76" t="n">
        <f aca="false">IF(AND(ISNUMBER(U21),ISNUMBER(U20)),U21/U20-1,"")</f>
        <v>-0.007865423686502</v>
      </c>
      <c r="X21" s="75" t="n">
        <f aca="false">IF(AND(ISNUMBER(V21),ISNUMBER(W21)),1,"")</f>
        <v>1</v>
      </c>
      <c r="Y21" s="76" t="n">
        <f aca="false">IF(X21=1,V21,"")</f>
        <v>-0.0196078431372549</v>
      </c>
      <c r="Z21" s="76" t="n">
        <f aca="false">IF(X21=1,W21,"")</f>
        <v>-0.007865423686502</v>
      </c>
      <c r="AA21" s="76" t="n">
        <f aca="false">IF(X21=1,V21,NA())</f>
        <v>-0.0196078431372549</v>
      </c>
      <c r="AB21" s="76" t="n">
        <f aca="false">IF(X21=1,W21,NA())</f>
        <v>-0.007865423686502</v>
      </c>
      <c r="AD21" s="73" t="n">
        <f aca="false">IF(ISNUMBER(AE21),IF(ISNUMBER('Base de Datos'!A17),IF('Base de Datos'!A17&gt;20000,DATE(YEAR('Base de Datos'!A17),DAY('Base de Datos'!A17),MONTH('Base de Datos'!A17)),""),IF(TRIM('Base de Datos'!A17)="","",IFERROR(DATE(VALUE(RIGHT(TRIM('Base de Datos'!A17),4)),VALUE(LEFT(TRIM('Base de Datos'!A17),2)),VALUE(MID(TRIM('Base de Datos'!A17),4,2))),""))),"")</f>
        <v>46220</v>
      </c>
      <c r="AE21" s="74" t="n">
        <f aca="false">IF(ISNUMBER('Base de Datos'!B17),'Base de Datos'!B17,IF(TRIM('Base de Datos'!B17)="","",IFERROR(IF(IFERROR(FIND("@",SUBSTITUTE(TRIM('Base de Datos'!B17),",","@",LEN(TRIM('Base de Datos'!B17))-LEN(SUBSTITUTE(TRIM('Base de Datos'!B17),",","")))),0)&gt;IFERROR(FIND("@",SUBSTITUTE(TRIM('Base de Datos'!B17),".","@",LEN(TRIM('Base de Datos'!B17))-LEN(SUBSTITUTE(TRIM('Base de Datos'!B17),".","")))),0),_xlfn.NUMBERVALUE(SUBSTITUTE(SUBSTITUTE(TRIM('Base de Datos'!B17),".",""),",","."),".",","),_xlfn.NUMBERVALUE(SUBSTITUTE(TRIM('Base de Datos'!B17),",",""),".",",")),"")))</f>
        <v>30.27</v>
      </c>
      <c r="AF21" s="73" t="n">
        <f aca="false">IF(ISNUMBER(AG21),IF(ISNUMBER('Base de Datos'!I17),IF('Base de Datos'!I17&gt;20000,INT('Base de Datos'!I17),""),IF(TRIM('Base de Datos'!I17)="","",IFERROR(DATE(VALUE(RIGHT(TRIM('Base de Datos'!I17),4)),VALUE(MID(TRIM('Base de Datos'!I17),4,2)),VALUE(LEFT(TRIM('Base de Datos'!I17),2))),IFERROR(DATEVALUE(TRIM('Base de Datos'!I17)),"")))),"")</f>
        <v>46219</v>
      </c>
      <c r="AG21" s="74" t="n">
        <f aca="false">IF(ISNUMBER('Base de Datos'!J17),'Base de Datos'!J17,IF(TRIM('Base de Datos'!J17)="","",IFERROR(IF(IFERROR(FIND("@",SUBSTITUTE(TRIM('Base de Datos'!J17),",","@",LEN(TRIM('Base de Datos'!J17))-LEN(SUBSTITUTE(TRIM('Base de Datos'!J17),",","")))),0)&gt;IFERROR(FIND("@",SUBSTITUTE(TRIM('Base de Datos'!J17),".","@",LEN(TRIM('Base de Datos'!J17))-LEN(SUBSTITUTE(TRIM('Base de Datos'!J17),".","")))),0),_xlfn.NUMBERVALUE(SUBSTITUTE(SUBSTITUTE(TRIM('Base de Datos'!J17),".",""),",","."),".",","),_xlfn.NUMBERVALUE(SUBSTITUTE(TRIM('Base de Datos'!J17),",",""),".",",")),"")))</f>
        <v>66356.09</v>
      </c>
      <c r="AH21" s="73" t="n">
        <f aca="false">IF(ISNUMBER(AI21),IF(ISNUMBER('Base de Datos'!Q17),IF('Base de Datos'!Q17&gt;20000,DATE(YEAR('Base de Datos'!Q17),DAY('Base de Datos'!Q17),MONTH('Base de Datos'!Q17)),""),IF(TRIM('Base de Datos'!Q17)="","",IFERROR(DATE(VALUE(RIGHT(TRIM('Base de Datos'!Q17),4)),VALUE(LEFT(TRIM('Base de Datos'!Q17),2)),VALUE(MID(TRIM('Base de Datos'!Q17),4,2))),""))),"")</f>
        <v>44563</v>
      </c>
      <c r="AI21" s="74" t="n">
        <f aca="false">IF(ISNUMBER('Base de Datos'!R17),'Base de Datos'!R17,IF(TRIM('Base de Datos'!R17)="","",IFERROR(IF(IFERROR(FIND("@",SUBSTITUTE(TRIM('Base de Datos'!R17),",","@",LEN(TRIM('Base de Datos'!R17))-LEN(SUBSTITUTE(TRIM('Base de Datos'!R17),",","")))),0)&gt;IFERROR(FIND("@",SUBSTITUTE(TRIM('Base de Datos'!R17),".","@",LEN(TRIM('Base de Datos'!R17))-LEN(SUBSTITUTE(TRIM('Base de Datos'!R17),".","")))),0),_xlfn.NUMBERVALUE(SUBSTITUTE(SUBSTITUTE(TRIM('Base de Datos'!R17),".",""),",","."),".",","),_xlfn.NUMBERVALUE(SUBSTITUTE(TRIM('Base de Datos'!R17),",",""),".",",")),"")))</f>
        <v>24.04</v>
      </c>
      <c r="AJ21" s="73" t="n">
        <f aca="false">IF(ISNUMBER(AK21),IF(ISNUMBER('Base de Datos'!Y17),IF('Base de Datos'!Y17&gt;20000,INT('Base de Datos'!Y17),""),IF(TRIM('Base de Datos'!Y17)="","",IFERROR(DATE(VALUE(RIGHT(TRIM('Base de Datos'!Y17),4)),VALUE(MID(TRIM('Base de Datos'!Y17),4,2)),VALUE(LEFT(TRIM('Base de Datos'!Y17),2))),IFERROR(DATEVALUE(TRIM('Base de Datos'!Y17)),"")))),"")</f>
        <v>44563</v>
      </c>
      <c r="AK21" s="74" t="n">
        <f aca="false">IF(ISNUMBER('Base de Datos'!Z17),'Base de Datos'!Z17,IF(TRIM('Base de Datos'!Z17)="","",IFERROR(IF(IFERROR(FIND("@",SUBSTITUTE(TRIM('Base de Datos'!Z17),",","@",LEN(TRIM('Base de Datos'!Z17))-LEN(SUBSTITUTE(TRIM('Base de Datos'!Z17),",","")))),0)&gt;IFERROR(FIND("@",SUBSTITUTE(TRIM('Base de Datos'!Z17),".","@",LEN(TRIM('Base de Datos'!Z17))-LEN(SUBSTITUTE(TRIM('Base de Datos'!Z17),".","")))),0),_xlfn.NUMBERVALUE(SUBSTITUTE(SUBSTITUTE(TRIM('Base de Datos'!Z17),".",""),",","."),".",","),_xlfn.NUMBERVALUE(SUBSTITUTE(TRIM('Base de Datos'!Z17),",",""),".",",")),"")))</f>
        <v>53202.11</v>
      </c>
    </row>
    <row r="22" customFormat="false" ht="13.5" hidden="false" customHeight="false" outlineLevel="0" collapsed="false">
      <c r="A22" s="75" t="n">
        <f aca="false">ROWS(A$13:A22)</f>
        <v>10</v>
      </c>
      <c r="B22" s="73" t="n">
        <f aca="false">IF(B21="","",IFERROR(SMALL($AH$10:$AH$409,COUNTIF($AH$10:$AH$409,"&lt;="&amp;B21)+1),""))</f>
        <v>44549</v>
      </c>
      <c r="C22" s="74" t="n">
        <f aca="false">IF(B22="","",INDEX($AI$10:$AI$409,MATCH(B22,$AH$10:$AH$409,0)))</f>
        <v>24.8</v>
      </c>
      <c r="D22" s="74" t="n">
        <f aca="false">IF(B22="","",IFERROR(INDEX($AK$10:$AK$409,MATCH(B22,$AJ$10:$AJ$409,0)),""))</f>
        <v>52853.38</v>
      </c>
      <c r="E22" s="76" t="n">
        <f aca="false">IF(AND(ISNUMBER(C22),ISNUMBER(C21)),C22/C21-1,"")</f>
        <v>0.0978308986277114</v>
      </c>
      <c r="F22" s="76" t="n">
        <f aca="false">IF(AND(ISNUMBER(D22),ISNUMBER(D21)),D22/D21-1,"")</f>
        <v>0.00904955519701733</v>
      </c>
      <c r="G22" s="75" t="n">
        <f aca="false">IF(AND(ISNUMBER(E22),ISNUMBER(F22)),1,"")</f>
        <v>1</v>
      </c>
      <c r="H22" s="75" t="n">
        <f aca="false">IF(G22=1,COUNT(G22:G$412),"")</f>
        <v>250</v>
      </c>
      <c r="I22" s="75" t="n">
        <f aca="false">IF(G22=1,IF(H22&lt;='Beta Regresión'!$B$5,1,""),"")</f>
        <v>1</v>
      </c>
      <c r="J22" s="76" t="n">
        <f aca="false">IF(I22=1,E22,"")</f>
        <v>0.0978308986277114</v>
      </c>
      <c r="K22" s="76" t="n">
        <f aca="false">IF(I22=1,F22,"")</f>
        <v>0.00904955519701733</v>
      </c>
      <c r="L22" s="75" t="n">
        <f aca="false">IF(I22=1,COUNT(I$13:I22),"")</f>
        <v>9</v>
      </c>
      <c r="M22" s="76" t="n">
        <f aca="false">IFERROR(INDEX($J$13:$J$412,MATCH(A22,$L$13:$L$412,0)),"")</f>
        <v>0.0475806451612904</v>
      </c>
      <c r="N22" s="76" t="n">
        <f aca="false">IFERROR(INDEX($K$13:$K$412,MATCH(A22,$L$13:$L$412,0)),"")</f>
        <v>0.00792872660178023</v>
      </c>
      <c r="O22" s="76" t="n">
        <f aca="false">IF(I22=1,E22,NA())</f>
        <v>0.0978308986277114</v>
      </c>
      <c r="P22" s="76" t="n">
        <f aca="false">IF(I22=1,F22,NA())</f>
        <v>0.00904955519701733</v>
      </c>
      <c r="R22" s="75" t="n">
        <f aca="false">ROWS(R$13:R22)</f>
        <v>10</v>
      </c>
      <c r="S22" s="73" t="n">
        <f aca="false">IF(S21="","",IFERROR(SMALL($AD$10:$AD$509,COUNTIF($AD$10:$AD$509,"&lt;="&amp;S21)+1),""))</f>
        <v>46218</v>
      </c>
      <c r="T22" s="74" t="n">
        <f aca="false">IF(S22="","",INDEX($AE$10:$AE$509,MATCH(S22,$AD$10:$AD$509,0)))</f>
        <v>30.04</v>
      </c>
      <c r="U22" s="74" t="n">
        <f aca="false">IF(S22="","",IFERROR(INDEX($AG$10:$AG$509,MATCH(S22,$AF$10:$AF$509,0)),""))</f>
        <v>66399.71</v>
      </c>
      <c r="V22" s="76" t="n">
        <f aca="false">IF(AND(ISNUMBER(T22),ISNUMBER(T21)),T22/T21-1,"")</f>
        <v>0.00133333333333341</v>
      </c>
      <c r="W22" s="76" t="n">
        <f aca="false">IF(AND(ISNUMBER(U22),ISNUMBER(U21)),U22/U21-1,"")</f>
        <v>0.00646672855049379</v>
      </c>
      <c r="X22" s="75" t="n">
        <f aca="false">IF(AND(ISNUMBER(V22),ISNUMBER(W22)),1,"")</f>
        <v>1</v>
      </c>
      <c r="Y22" s="76" t="n">
        <f aca="false">IF(X22=1,V22,"")</f>
        <v>0.00133333333333341</v>
      </c>
      <c r="Z22" s="76" t="n">
        <f aca="false">IF(X22=1,W22,"")</f>
        <v>0.00646672855049379</v>
      </c>
      <c r="AA22" s="76" t="n">
        <f aca="false">IF(X22=1,V22,NA())</f>
        <v>0.00133333333333341</v>
      </c>
      <c r="AB22" s="76" t="n">
        <f aca="false">IF(X22=1,W22,NA())</f>
        <v>0.00646672855049379</v>
      </c>
      <c r="AD22" s="73" t="n">
        <f aca="false">IF(ISNUMBER(AE22),IF(ISNUMBER('Base de Datos'!A18),IF('Base de Datos'!A18&gt;20000,DATE(YEAR('Base de Datos'!A18),DAY('Base de Datos'!A18),MONTH('Base de Datos'!A18)),""),IF(TRIM('Base de Datos'!A18)="","",IFERROR(DATE(VALUE(RIGHT(TRIM('Base de Datos'!A18),4)),VALUE(LEFT(TRIM('Base de Datos'!A18),2)),VALUE(MID(TRIM('Base de Datos'!A18),4,2))),""))),"")</f>
        <v>46224</v>
      </c>
      <c r="AE22" s="74" t="n">
        <f aca="false">IF(ISNUMBER('Base de Datos'!B18),'Base de Datos'!B18,IF(TRIM('Base de Datos'!B18)="","",IFERROR(IF(IFERROR(FIND("@",SUBSTITUTE(TRIM('Base de Datos'!B18),",","@",LEN(TRIM('Base de Datos'!B18))-LEN(SUBSTITUTE(TRIM('Base de Datos'!B18),",","")))),0)&gt;IFERROR(FIND("@",SUBSTITUTE(TRIM('Base de Datos'!B18),".","@",LEN(TRIM('Base de Datos'!B18))-LEN(SUBSTITUTE(TRIM('Base de Datos'!B18),".","")))),0),_xlfn.NUMBERVALUE(SUBSTITUTE(SUBSTITUTE(TRIM('Base de Datos'!B18),".",""),",","."),".",","),_xlfn.NUMBERVALUE(SUBSTITUTE(TRIM('Base de Datos'!B18),",",""),".",",")),"")))</f>
        <v>29.8</v>
      </c>
      <c r="AF22" s="73" t="n">
        <f aca="false">IF(ISNUMBER(AG22),IF(ISNUMBER('Base de Datos'!I18),IF('Base de Datos'!I18&gt;20000,INT('Base de Datos'!I18),""),IF(TRIM('Base de Datos'!I18)="","",IFERROR(DATE(VALUE(RIGHT(TRIM('Base de Datos'!I18),4)),VALUE(MID(TRIM('Base de Datos'!I18),4,2)),VALUE(LEFT(TRIM('Base de Datos'!I18),2))),IFERROR(DATEVALUE(TRIM('Base de Datos'!I18)),"")))),"")</f>
        <v>46220</v>
      </c>
      <c r="AG22" s="74" t="n">
        <f aca="false">IF(ISNUMBER('Base de Datos'!J18),'Base de Datos'!J18,IF(TRIM('Base de Datos'!J18)="","",IFERROR(IF(IFERROR(FIND("@",SUBSTITUTE(TRIM('Base de Datos'!J18),",","@",LEN(TRIM('Base de Datos'!J18))-LEN(SUBSTITUTE(TRIM('Base de Datos'!J18),",","")))),0)&gt;IFERROR(FIND("@",SUBSTITUTE(TRIM('Base de Datos'!J18),".","@",LEN(TRIM('Base de Datos'!J18))-LEN(SUBSTITUTE(TRIM('Base de Datos'!J18),".","")))),0),_xlfn.NUMBERVALUE(SUBSTITUTE(SUBSTITUTE(TRIM('Base de Datos'!J18),".",""),",","."),".",","),_xlfn.NUMBERVALUE(SUBSTITUTE(TRIM('Base de Datos'!J18),",",""),".",",")),"")))</f>
        <v>66634.23</v>
      </c>
      <c r="AH22" s="73" t="n">
        <f aca="false">IF(ISNUMBER(AI22),IF(ISNUMBER('Base de Datos'!Q18),IF('Base de Datos'!Q18&gt;20000,DATE(YEAR('Base de Datos'!Q18),DAY('Base de Datos'!Q18),MONTH('Base de Datos'!Q18)),""),IF(TRIM('Base de Datos'!Q18)="","",IFERROR(DATE(VALUE(RIGHT(TRIM('Base de Datos'!Q18),4)),VALUE(LEFT(TRIM('Base de Datos'!Q18),2)),VALUE(MID(TRIM('Base de Datos'!Q18),4,2))),""))),"")</f>
        <v>44570</v>
      </c>
      <c r="AI22" s="74" t="n">
        <f aca="false">IF(ISNUMBER('Base de Datos'!R18),'Base de Datos'!R18,IF(TRIM('Base de Datos'!R18)="","",IFERROR(IF(IFERROR(FIND("@",SUBSTITUTE(TRIM('Base de Datos'!R18),",","@",LEN(TRIM('Base de Datos'!R18))-LEN(SUBSTITUTE(TRIM('Base de Datos'!R18),",","")))),0)&gt;IFERROR(FIND("@",SUBSTITUTE(TRIM('Base de Datos'!R18),".","@",LEN(TRIM('Base de Datos'!R18))-LEN(SUBSTITUTE(TRIM('Base de Datos'!R18),".","")))),0),_xlfn.NUMBERVALUE(SUBSTITUTE(SUBSTITUTE(TRIM('Base de Datos'!R18),".",""),",","."),".",","),_xlfn.NUMBERVALUE(SUBSTITUTE(TRIM('Base de Datos'!R18),",",""),".",",")),"")))</f>
        <v>23.98</v>
      </c>
      <c r="AJ22" s="73" t="n">
        <f aca="false">IF(ISNUMBER(AK22),IF(ISNUMBER('Base de Datos'!Y18),IF('Base de Datos'!Y18&gt;20000,INT('Base de Datos'!Y18),""),IF(TRIM('Base de Datos'!Y18)="","",IFERROR(DATE(VALUE(RIGHT(TRIM('Base de Datos'!Y18),4)),VALUE(MID(TRIM('Base de Datos'!Y18),4,2)),VALUE(LEFT(TRIM('Base de Datos'!Y18),2))),IFERROR(DATEVALUE(TRIM('Base de Datos'!Y18)),"")))),"")</f>
        <v>44570</v>
      </c>
      <c r="AK22" s="74" t="n">
        <f aca="false">IF(ISNUMBER('Base de Datos'!Z18),'Base de Datos'!Z18,IF(TRIM('Base de Datos'!Z18)="","",IFERROR(IF(IFERROR(FIND("@",SUBSTITUTE(TRIM('Base de Datos'!Z18),",","@",LEN(TRIM('Base de Datos'!Z18))-LEN(SUBSTITUTE(TRIM('Base de Datos'!Z18),",","")))),0)&gt;IFERROR(FIND("@",SUBSTITUTE(TRIM('Base de Datos'!Z18),".","@",LEN(TRIM('Base de Datos'!Z18))-LEN(SUBSTITUTE(TRIM('Base de Datos'!Z18),".","")))),0),_xlfn.NUMBERVALUE(SUBSTITUTE(SUBSTITUTE(TRIM('Base de Datos'!Z18),".",""),",","."),".",","),_xlfn.NUMBERVALUE(SUBSTITUTE(TRIM('Base de Datos'!Z18),",",""),".",",")),"")))</f>
        <v>53744.92</v>
      </c>
    </row>
    <row r="23" customFormat="false" ht="13.5" hidden="false" customHeight="false" outlineLevel="0" collapsed="false">
      <c r="A23" s="75" t="n">
        <f aca="false">ROWS(A$13:A23)</f>
        <v>11</v>
      </c>
      <c r="B23" s="73" t="n">
        <f aca="false">IF(B22="","",IFERROR(SMALL($AH$10:$AH$409,COUNTIF($AH$10:$AH$409,"&lt;="&amp;B22)+1),""))</f>
        <v>44556</v>
      </c>
      <c r="C23" s="74" t="n">
        <f aca="false">IF(B23="","",INDEX($AI$10:$AI$409,MATCH(B23,$AH$10:$AH$409,0)))</f>
        <v>25.98</v>
      </c>
      <c r="D23" s="74" t="n">
        <f aca="false">IF(B23="","",IFERROR(INDEX($AK$10:$AK$409,MATCH(B23,$AJ$10:$AJ$409,0)),""))</f>
        <v>53272.44</v>
      </c>
      <c r="E23" s="76" t="n">
        <f aca="false">IF(AND(ISNUMBER(C23),ISNUMBER(C22)),C23/C22-1,"")</f>
        <v>0.0475806451612904</v>
      </c>
      <c r="F23" s="76" t="n">
        <f aca="false">IF(AND(ISNUMBER(D23),ISNUMBER(D22)),D23/D22-1,"")</f>
        <v>0.00792872660178023</v>
      </c>
      <c r="G23" s="75" t="n">
        <f aca="false">IF(AND(ISNUMBER(E23),ISNUMBER(F23)),1,"")</f>
        <v>1</v>
      </c>
      <c r="H23" s="75" t="n">
        <f aca="false">IF(G23=1,COUNT(G23:G$412),"")</f>
        <v>249</v>
      </c>
      <c r="I23" s="75" t="n">
        <f aca="false">IF(G23=1,IF(H23&lt;='Beta Regresión'!$B$5,1,""),"")</f>
        <v>1</v>
      </c>
      <c r="J23" s="76" t="n">
        <f aca="false">IF(I23=1,E23,"")</f>
        <v>0.0475806451612904</v>
      </c>
      <c r="K23" s="76" t="n">
        <f aca="false">IF(I23=1,F23,"")</f>
        <v>0.00792872660178023</v>
      </c>
      <c r="L23" s="75" t="n">
        <f aca="false">IF(I23=1,COUNT(I$13:I23),"")</f>
        <v>10</v>
      </c>
      <c r="M23" s="76" t="n">
        <f aca="false">IFERROR(INDEX($J$13:$J$412,MATCH(A23,$L$13:$L$412,0)),"")</f>
        <v>-0.0746728252501925</v>
      </c>
      <c r="N23" s="76" t="n">
        <f aca="false">IFERROR(INDEX($K$13:$K$412,MATCH(A23,$L$13:$L$412,0)),"")</f>
        <v>-0.00132019483244994</v>
      </c>
      <c r="O23" s="76" t="n">
        <f aca="false">IF(I23=1,E23,NA())</f>
        <v>0.0475806451612904</v>
      </c>
      <c r="P23" s="76" t="n">
        <f aca="false">IF(I23=1,F23,NA())</f>
        <v>0.00792872660178023</v>
      </c>
      <c r="R23" s="75" t="n">
        <f aca="false">ROWS(R$13:R23)</f>
        <v>11</v>
      </c>
      <c r="S23" s="73" t="n">
        <f aca="false">IF(S22="","",IFERROR(SMALL($AD$10:$AD$509,COUNTIF($AD$10:$AD$509,"&lt;="&amp;S22)+1),""))</f>
        <v>46219</v>
      </c>
      <c r="T23" s="74" t="n">
        <f aca="false">IF(S23="","",INDEX($AE$10:$AE$509,MATCH(S23,$AD$10:$AD$509,0)))</f>
        <v>29.96</v>
      </c>
      <c r="U23" s="74" t="n">
        <f aca="false">IF(S23="","",IFERROR(INDEX($AG$10:$AG$509,MATCH(S23,$AF$10:$AF$509,0)),""))</f>
        <v>66356.09</v>
      </c>
      <c r="V23" s="76" t="n">
        <f aca="false">IF(AND(ISNUMBER(T23),ISNUMBER(T22)),T23/T22-1,"")</f>
        <v>-0.00266311584553924</v>
      </c>
      <c r="W23" s="76" t="n">
        <f aca="false">IF(AND(ISNUMBER(U23),ISNUMBER(U22)),U23/U22-1,"")</f>
        <v>-0.000656930579968074</v>
      </c>
      <c r="X23" s="75" t="n">
        <f aca="false">IF(AND(ISNUMBER(V23),ISNUMBER(W23)),1,"")</f>
        <v>1</v>
      </c>
      <c r="Y23" s="76" t="n">
        <f aca="false">IF(X23=1,V23,"")</f>
        <v>-0.00266311584553924</v>
      </c>
      <c r="Z23" s="76" t="n">
        <f aca="false">IF(X23=1,W23,"")</f>
        <v>-0.000656930579968074</v>
      </c>
      <c r="AA23" s="76" t="n">
        <f aca="false">IF(X23=1,V23,NA())</f>
        <v>-0.00266311584553924</v>
      </c>
      <c r="AB23" s="76" t="n">
        <f aca="false">IF(X23=1,W23,NA())</f>
        <v>-0.000656930579968074</v>
      </c>
      <c r="AD23" s="73" t="n">
        <f aca="false">IF(ISNUMBER(AE23),IF(ISNUMBER('Base de Datos'!A19),IF('Base de Datos'!A19&gt;20000,DATE(YEAR('Base de Datos'!A19),DAY('Base de Datos'!A19),MONTH('Base de Datos'!A19)),""),IF(TRIM('Base de Datos'!A19)="","",IFERROR(DATE(VALUE(RIGHT(TRIM('Base de Datos'!A19),4)),VALUE(LEFT(TRIM('Base de Datos'!A19),2)),VALUE(MID(TRIM('Base de Datos'!A19),4,2))),""))),"")</f>
        <v>46225</v>
      </c>
      <c r="AE23" s="74" t="n">
        <f aca="false">IF(ISNUMBER('Base de Datos'!B19),'Base de Datos'!B19,IF(TRIM('Base de Datos'!B19)="","",IFERROR(IF(IFERROR(FIND("@",SUBSTITUTE(TRIM('Base de Datos'!B19),",","@",LEN(TRIM('Base de Datos'!B19))-LEN(SUBSTITUTE(TRIM('Base de Datos'!B19),",","")))),0)&gt;IFERROR(FIND("@",SUBSTITUTE(TRIM('Base de Datos'!B19),".","@",LEN(TRIM('Base de Datos'!B19))-LEN(SUBSTITUTE(TRIM('Base de Datos'!B19),".","")))),0),_xlfn.NUMBERVALUE(SUBSTITUTE(SUBSTITUTE(TRIM('Base de Datos'!B19),".",""),",","."),".",","),_xlfn.NUMBERVALUE(SUBSTITUTE(TRIM('Base de Datos'!B19),",",""),".",",")),"")))</f>
        <v>29.3</v>
      </c>
      <c r="AF23" s="73" t="n">
        <f aca="false">IF(ISNUMBER(AG23),IF(ISNUMBER('Base de Datos'!I19),IF('Base de Datos'!I19&gt;20000,INT('Base de Datos'!I19),""),IF(TRIM('Base de Datos'!I19)="","",IFERROR(DATE(VALUE(RIGHT(TRIM('Base de Datos'!I19),4)),VALUE(MID(TRIM('Base de Datos'!I19),4,2)),VALUE(LEFT(TRIM('Base de Datos'!I19),2))),IFERROR(DATEVALUE(TRIM('Base de Datos'!I19)),"")))),"")</f>
        <v>46223</v>
      </c>
      <c r="AG23" s="74" t="n">
        <f aca="false">IF(ISNUMBER('Base de Datos'!J19),'Base de Datos'!J19,IF(TRIM('Base de Datos'!J19)="","",IFERROR(IF(IFERROR(FIND("@",SUBSTITUTE(TRIM('Base de Datos'!J19),",","@",LEN(TRIM('Base de Datos'!J19))-LEN(SUBSTITUTE(TRIM('Base de Datos'!J19),",","")))),0)&gt;IFERROR(FIND("@",SUBSTITUTE(TRIM('Base de Datos'!J19),".","@",LEN(TRIM('Base de Datos'!J19))-LEN(SUBSTITUTE(TRIM('Base de Datos'!J19),".","")))),0),_xlfn.NUMBERVALUE(SUBSTITUTE(SUBSTITUTE(TRIM('Base de Datos'!J19),".",""),",","."),".",","),_xlfn.NUMBERVALUE(SUBSTITUTE(TRIM('Base de Datos'!J19),",",""),".",",")),"")))</f>
        <v>66122.78</v>
      </c>
      <c r="AH23" s="73" t="n">
        <f aca="false">IF(ISNUMBER(AI23),IF(ISNUMBER('Base de Datos'!Q19),IF('Base de Datos'!Q19&gt;20000,DATE(YEAR('Base de Datos'!Q19),DAY('Base de Datos'!Q19),MONTH('Base de Datos'!Q19)),""),IF(TRIM('Base de Datos'!Q19)="","",IFERROR(DATE(VALUE(RIGHT(TRIM('Base de Datos'!Q19),4)),VALUE(LEFT(TRIM('Base de Datos'!Q19),2)),VALUE(MID(TRIM('Base de Datos'!Q19),4,2))),""))),"")</f>
        <v>44577</v>
      </c>
      <c r="AI23" s="74" t="n">
        <f aca="false">IF(ISNUMBER('Base de Datos'!R19),'Base de Datos'!R19,IF(TRIM('Base de Datos'!R19)="","",IFERROR(IF(IFERROR(FIND("@",SUBSTITUTE(TRIM('Base de Datos'!R19),",","@",LEN(TRIM('Base de Datos'!R19))-LEN(SUBSTITUTE(TRIM('Base de Datos'!R19),",","")))),0)&gt;IFERROR(FIND("@",SUBSTITUTE(TRIM('Base de Datos'!R19),".","@",LEN(TRIM('Base de Datos'!R19))-LEN(SUBSTITUTE(TRIM('Base de Datos'!R19),".","")))),0),_xlfn.NUMBERVALUE(SUBSTITUTE(SUBSTITUTE(TRIM('Base de Datos'!R19),".",""),",","."),".",","),_xlfn.NUMBERVALUE(SUBSTITUTE(TRIM('Base de Datos'!R19),",",""),".",",")),"")))</f>
        <v>22.92</v>
      </c>
      <c r="AJ23" s="73" t="n">
        <f aca="false">IF(ISNUMBER(AK23),IF(ISNUMBER('Base de Datos'!Y19),IF('Base de Datos'!Y19&gt;20000,INT('Base de Datos'!Y19),""),IF(TRIM('Base de Datos'!Y19)="","",IFERROR(DATE(VALUE(RIGHT(TRIM('Base de Datos'!Y19),4)),VALUE(MID(TRIM('Base de Datos'!Y19),4,2)),VALUE(LEFT(TRIM('Base de Datos'!Y19),2))),IFERROR(DATEVALUE(TRIM('Base de Datos'!Y19)),"")))),"")</f>
        <v>44577</v>
      </c>
      <c r="AK23" s="74" t="n">
        <f aca="false">IF(ISNUMBER('Base de Datos'!Z19),'Base de Datos'!Z19,IF(TRIM('Base de Datos'!Z19)="","",IFERROR(IF(IFERROR(FIND("@",SUBSTITUTE(TRIM('Base de Datos'!Z19),",","@",LEN(TRIM('Base de Datos'!Z19))-LEN(SUBSTITUTE(TRIM('Base de Datos'!Z19),",","")))),0)&gt;IFERROR(FIND("@",SUBSTITUTE(TRIM('Base de Datos'!Z19),".","@",LEN(TRIM('Base de Datos'!Z19))-LEN(SUBSTITUTE(TRIM('Base de Datos'!Z19),".","")))),0),_xlfn.NUMBERVALUE(SUBSTITUTE(SUBSTITUTE(TRIM('Base de Datos'!Z19),".",""),",","."),".",","),_xlfn.NUMBERVALUE(SUBSTITUTE(TRIM('Base de Datos'!Z19),",",""),".",",")),"")))</f>
        <v>51599.38</v>
      </c>
    </row>
    <row r="24" customFormat="false" ht="13.5" hidden="false" customHeight="false" outlineLevel="0" collapsed="false">
      <c r="A24" s="75" t="n">
        <f aca="false">ROWS(A$13:A24)</f>
        <v>12</v>
      </c>
      <c r="B24" s="73" t="n">
        <f aca="false">IF(B23="","",IFERROR(SMALL($AH$10:$AH$409,COUNTIF($AH$10:$AH$409,"&lt;="&amp;B23)+1),""))</f>
        <v>44563</v>
      </c>
      <c r="C24" s="74" t="n">
        <f aca="false">IF(B24="","",INDEX($AI$10:$AI$409,MATCH(B24,$AH$10:$AH$409,0)))</f>
        <v>24.04</v>
      </c>
      <c r="D24" s="74" t="n">
        <f aca="false">IF(B24="","",IFERROR(INDEX($AK$10:$AK$409,MATCH(B24,$AJ$10:$AJ$409,0)),""))</f>
        <v>53202.11</v>
      </c>
      <c r="E24" s="76" t="n">
        <f aca="false">IF(AND(ISNUMBER(C24),ISNUMBER(C23)),C24/C23-1,"")</f>
        <v>-0.0746728252501925</v>
      </c>
      <c r="F24" s="76" t="n">
        <f aca="false">IF(AND(ISNUMBER(D24),ISNUMBER(D23)),D24/D23-1,"")</f>
        <v>-0.00132019483244994</v>
      </c>
      <c r="G24" s="75" t="n">
        <f aca="false">IF(AND(ISNUMBER(E24),ISNUMBER(F24)),1,"")</f>
        <v>1</v>
      </c>
      <c r="H24" s="75" t="n">
        <f aca="false">IF(G24=1,COUNT(G24:G$412),"")</f>
        <v>248</v>
      </c>
      <c r="I24" s="75" t="n">
        <f aca="false">IF(G24=1,IF(H24&lt;='Beta Regresión'!$B$5,1,""),"")</f>
        <v>1</v>
      </c>
      <c r="J24" s="76" t="n">
        <f aca="false">IF(I24=1,E24,"")</f>
        <v>-0.0746728252501925</v>
      </c>
      <c r="K24" s="76" t="n">
        <f aca="false">IF(I24=1,F24,"")</f>
        <v>-0.00132019483244994</v>
      </c>
      <c r="L24" s="75" t="n">
        <f aca="false">IF(I24=1,COUNT(I$13:I24),"")</f>
        <v>11</v>
      </c>
      <c r="M24" s="76" t="n">
        <f aca="false">IFERROR(INDEX($J$13:$J$412,MATCH(A24,$L$13:$L$412,0)),"")</f>
        <v>-0.00249584026622296</v>
      </c>
      <c r="N24" s="76" t="n">
        <f aca="false">IFERROR(INDEX($K$13:$K$412,MATCH(A24,$L$13:$L$412,0)),"")</f>
        <v>0.0102027908291606</v>
      </c>
      <c r="O24" s="76" t="n">
        <f aca="false">IF(I24=1,E24,NA())</f>
        <v>-0.0746728252501925</v>
      </c>
      <c r="P24" s="76" t="n">
        <f aca="false">IF(I24=1,F24,NA())</f>
        <v>-0.00132019483244994</v>
      </c>
      <c r="R24" s="75" t="n">
        <f aca="false">ROWS(R$13:R24)</f>
        <v>12</v>
      </c>
      <c r="S24" s="73" t="n">
        <f aca="false">IF(S23="","",IFERROR(SMALL($AD$10:$AD$509,COUNTIF($AD$10:$AD$509,"&lt;="&amp;S23)+1),""))</f>
        <v>46220</v>
      </c>
      <c r="T24" s="74" t="n">
        <f aca="false">IF(S24="","",INDEX($AE$10:$AE$509,MATCH(S24,$AD$10:$AD$509,0)))</f>
        <v>30.27</v>
      </c>
      <c r="U24" s="74" t="n">
        <f aca="false">IF(S24="","",IFERROR(INDEX($AG$10:$AG$509,MATCH(S24,$AF$10:$AF$509,0)),""))</f>
        <v>66634.23</v>
      </c>
      <c r="V24" s="76" t="n">
        <f aca="false">IF(AND(ISNUMBER(T24),ISNUMBER(T23)),T24/T23-1,"")</f>
        <v>0.010347129506008</v>
      </c>
      <c r="W24" s="76" t="n">
        <f aca="false">IF(AND(ISNUMBER(U24),ISNUMBER(U23)),U24/U23-1,"")</f>
        <v>0.00419162732463585</v>
      </c>
      <c r="X24" s="75" t="n">
        <f aca="false">IF(AND(ISNUMBER(V24),ISNUMBER(W24)),1,"")</f>
        <v>1</v>
      </c>
      <c r="Y24" s="76" t="n">
        <f aca="false">IF(X24=1,V24,"")</f>
        <v>0.010347129506008</v>
      </c>
      <c r="Z24" s="76" t="n">
        <f aca="false">IF(X24=1,W24,"")</f>
        <v>0.00419162732463585</v>
      </c>
      <c r="AA24" s="76" t="n">
        <f aca="false">IF(X24=1,V24,NA())</f>
        <v>0.010347129506008</v>
      </c>
      <c r="AB24" s="76" t="n">
        <f aca="false">IF(X24=1,W24,NA())</f>
        <v>0.00419162732463585</v>
      </c>
      <c r="AD24" s="73" t="n">
        <f aca="false">IF(ISNUMBER(AE24),IF(ISNUMBER('Base de Datos'!A20),IF('Base de Datos'!A20&gt;20000,DATE(YEAR('Base de Datos'!A20),DAY('Base de Datos'!A20),MONTH('Base de Datos'!A20)),""),IF(TRIM('Base de Datos'!A20)="","",IFERROR(DATE(VALUE(RIGHT(TRIM('Base de Datos'!A20),4)),VALUE(LEFT(TRIM('Base de Datos'!A20),2)),VALUE(MID(TRIM('Base de Datos'!A20),4,2))),""))),"")</f>
        <v>46227</v>
      </c>
      <c r="AE24" s="74" t="n">
        <f aca="false">IF(ISNUMBER('Base de Datos'!B20),'Base de Datos'!B20,IF(TRIM('Base de Datos'!B20)="","",IFERROR(IF(IFERROR(FIND("@",SUBSTITUTE(TRIM('Base de Datos'!B20),",","@",LEN(TRIM('Base de Datos'!B20))-LEN(SUBSTITUTE(TRIM('Base de Datos'!B20),",","")))),0)&gt;IFERROR(FIND("@",SUBSTITUTE(TRIM('Base de Datos'!B20),".","@",LEN(TRIM('Base de Datos'!B20))-LEN(SUBSTITUTE(TRIM('Base de Datos'!B20),".","")))),0),_xlfn.NUMBERVALUE(SUBSTITUTE(SUBSTITUTE(TRIM('Base de Datos'!B20),".",""),",","."),".",","),_xlfn.NUMBERVALUE(SUBSTITUTE(TRIM('Base de Datos'!B20),",",""),".",",")),"")))</f>
        <v>29.41</v>
      </c>
      <c r="AF24" s="73" t="n">
        <f aca="false">IF(ISNUMBER(AG24),IF(ISNUMBER('Base de Datos'!I20),IF('Base de Datos'!I20&gt;20000,INT('Base de Datos'!I20),""),IF(TRIM('Base de Datos'!I20)="","",IFERROR(DATE(VALUE(RIGHT(TRIM('Base de Datos'!I20),4)),VALUE(MID(TRIM('Base de Datos'!I20),4,2)),VALUE(LEFT(TRIM('Base de Datos'!I20),2))),IFERROR(DATEVALUE(TRIM('Base de Datos'!I20)),"")))),"")</f>
        <v>46224</v>
      </c>
      <c r="AG24" s="74" t="n">
        <f aca="false">IF(ISNUMBER('Base de Datos'!J20),'Base de Datos'!J20,IF(TRIM('Base de Datos'!J20)="","",IFERROR(IF(IFERROR(FIND("@",SUBSTITUTE(TRIM('Base de Datos'!J20),",","@",LEN(TRIM('Base de Datos'!J20))-LEN(SUBSTITUTE(TRIM('Base de Datos'!J20),",","")))),0)&gt;IFERROR(FIND("@",SUBSTITUTE(TRIM('Base de Datos'!J20),".","@",LEN(TRIM('Base de Datos'!J20))-LEN(SUBSTITUTE(TRIM('Base de Datos'!J20),".","")))),0),_xlfn.NUMBERVALUE(SUBSTITUTE(SUBSTITUTE(TRIM('Base de Datos'!J20),".",""),",","."),".",","),_xlfn.NUMBERVALUE(SUBSTITUTE(TRIM('Base de Datos'!J20),",",""),".",",")),"")))</f>
        <v>66713.83</v>
      </c>
      <c r="AH24" s="73" t="n">
        <f aca="false">IF(ISNUMBER(AI24),IF(ISNUMBER('Base de Datos'!Q20),IF('Base de Datos'!Q20&gt;20000,DATE(YEAR('Base de Datos'!Q20),DAY('Base de Datos'!Q20),MONTH('Base de Datos'!Q20)),""),IF(TRIM('Base de Datos'!Q20)="","",IFERROR(DATE(VALUE(RIGHT(TRIM('Base de Datos'!Q20),4)),VALUE(LEFT(TRIM('Base de Datos'!Q20),2)),VALUE(MID(TRIM('Base de Datos'!Q20),4,2))),""))),"")</f>
        <v>44584</v>
      </c>
      <c r="AI24" s="74" t="n">
        <f aca="false">IF(ISNUMBER('Base de Datos'!R20),'Base de Datos'!R20,IF(TRIM('Base de Datos'!R20)="","",IFERROR(IF(IFERROR(FIND("@",SUBSTITUTE(TRIM('Base de Datos'!R20),",","@",LEN(TRIM('Base de Datos'!R20))-LEN(SUBSTITUTE(TRIM('Base de Datos'!R20),",","")))),0)&gt;IFERROR(FIND("@",SUBSTITUTE(TRIM('Base de Datos'!R20),".","@",LEN(TRIM('Base de Datos'!R20))-LEN(SUBSTITUTE(TRIM('Base de Datos'!R20),".","")))),0),_xlfn.NUMBERVALUE(SUBSTITUTE(SUBSTITUTE(TRIM('Base de Datos'!R20),".",""),",","."),".",","),_xlfn.NUMBERVALUE(SUBSTITUTE(TRIM('Base de Datos'!R20),",",""),".",",")),"")))</f>
        <v>22.39</v>
      </c>
      <c r="AJ24" s="73" t="n">
        <f aca="false">IF(ISNUMBER(AK24),IF(ISNUMBER('Base de Datos'!Y20),IF('Base de Datos'!Y20&gt;20000,INT('Base de Datos'!Y20),""),IF(TRIM('Base de Datos'!Y20)="","",IFERROR(DATE(VALUE(RIGHT(TRIM('Base de Datos'!Y20),4)),VALUE(MID(TRIM('Base de Datos'!Y20),4,2)),VALUE(LEFT(TRIM('Base de Datos'!Y20),2))),IFERROR(DATEVALUE(TRIM('Base de Datos'!Y20)),"")))),"")</f>
        <v>44584</v>
      </c>
      <c r="AK24" s="74" t="n">
        <f aca="false">IF(ISNUMBER('Base de Datos'!Z20),'Base de Datos'!Z20,IF(TRIM('Base de Datos'!Z20)="","",IFERROR(IF(IFERROR(FIND("@",SUBSTITUTE(TRIM('Base de Datos'!Z20),",","@",LEN(TRIM('Base de Datos'!Z20))-LEN(SUBSTITUTE(TRIM('Base de Datos'!Z20),",","")))),0)&gt;IFERROR(FIND("@",SUBSTITUTE(TRIM('Base de Datos'!Z20),".","@",LEN(TRIM('Base de Datos'!Z20))-LEN(SUBSTITUTE(TRIM('Base de Datos'!Z20),".","")))),0),_xlfn.NUMBERVALUE(SUBSTITUTE(SUBSTITUTE(TRIM('Base de Datos'!Z20),".",""),",","."),".",","),_xlfn.NUMBERVALUE(SUBSTITUTE(TRIM('Base de Datos'!Z20),",",""),".",",")),"")))</f>
        <v>50661.86</v>
      </c>
    </row>
    <row r="25" customFormat="false" ht="13.5" hidden="false" customHeight="false" outlineLevel="0" collapsed="false">
      <c r="A25" s="75" t="n">
        <f aca="false">ROWS(A$13:A25)</f>
        <v>13</v>
      </c>
      <c r="B25" s="73" t="n">
        <f aca="false">IF(B24="","",IFERROR(SMALL($AH$10:$AH$409,COUNTIF($AH$10:$AH$409,"&lt;="&amp;B24)+1),""))</f>
        <v>44570</v>
      </c>
      <c r="C25" s="74" t="n">
        <f aca="false">IF(B25="","",INDEX($AI$10:$AI$409,MATCH(B25,$AH$10:$AH$409,0)))</f>
        <v>23.98</v>
      </c>
      <c r="D25" s="74" t="n">
        <f aca="false">IF(B25="","",IFERROR(INDEX($AK$10:$AK$409,MATCH(B25,$AJ$10:$AJ$409,0)),""))</f>
        <v>53744.92</v>
      </c>
      <c r="E25" s="76" t="n">
        <f aca="false">IF(AND(ISNUMBER(C25),ISNUMBER(C24)),C25/C24-1,"")</f>
        <v>-0.00249584026622296</v>
      </c>
      <c r="F25" s="76" t="n">
        <f aca="false">IF(AND(ISNUMBER(D25),ISNUMBER(D24)),D25/D24-1,"")</f>
        <v>0.0102027908291606</v>
      </c>
      <c r="G25" s="75" t="n">
        <f aca="false">IF(AND(ISNUMBER(E25),ISNUMBER(F25)),1,"")</f>
        <v>1</v>
      </c>
      <c r="H25" s="75" t="n">
        <f aca="false">IF(G25=1,COUNT(G25:G$412),"")</f>
        <v>247</v>
      </c>
      <c r="I25" s="75" t="n">
        <f aca="false">IF(G25=1,IF(H25&lt;='Beta Regresión'!$B$5,1,""),"")</f>
        <v>1</v>
      </c>
      <c r="J25" s="76" t="n">
        <f aca="false">IF(I25=1,E25,"")</f>
        <v>-0.00249584026622296</v>
      </c>
      <c r="K25" s="76" t="n">
        <f aca="false">IF(I25=1,F25,"")</f>
        <v>0.0102027908291606</v>
      </c>
      <c r="L25" s="75" t="n">
        <f aca="false">IF(I25=1,COUNT(I$13:I25),"")</f>
        <v>12</v>
      </c>
      <c r="M25" s="76" t="n">
        <f aca="false">IFERROR(INDEX($J$13:$J$412,MATCH(A25,$L$13:$L$412,0)),"")</f>
        <v>-0.0442035029190993</v>
      </c>
      <c r="N25" s="76" t="n">
        <f aca="false">IFERROR(INDEX($K$13:$K$412,MATCH(A25,$L$13:$L$412,0)),"")</f>
        <v>-0.0399207962352535</v>
      </c>
      <c r="O25" s="76" t="n">
        <f aca="false">IF(I25=1,E25,NA())</f>
        <v>-0.00249584026622296</v>
      </c>
      <c r="P25" s="76" t="n">
        <f aca="false">IF(I25=1,F25,NA())</f>
        <v>0.0102027908291606</v>
      </c>
      <c r="R25" s="75" t="n">
        <f aca="false">ROWS(R$13:R25)</f>
        <v>13</v>
      </c>
      <c r="S25" s="73" t="n">
        <f aca="false">IF(S24="","",IFERROR(SMALL($AD$10:$AD$509,COUNTIF($AD$10:$AD$509,"&lt;="&amp;S24)+1),""))</f>
        <v>46224</v>
      </c>
      <c r="T25" s="74" t="n">
        <f aca="false">IF(S25="","",INDEX($AE$10:$AE$509,MATCH(S25,$AD$10:$AD$509,0)))</f>
        <v>29.8</v>
      </c>
      <c r="U25" s="74" t="n">
        <f aca="false">IF(S25="","",IFERROR(INDEX($AG$10:$AG$509,MATCH(S25,$AF$10:$AF$509,0)),""))</f>
        <v>66713.83</v>
      </c>
      <c r="V25" s="76" t="n">
        <f aca="false">IF(AND(ISNUMBER(T25),ISNUMBER(T24)),T25/T24-1,"")</f>
        <v>-0.0155269243475388</v>
      </c>
      <c r="W25" s="76" t="n">
        <f aca="false">IF(AND(ISNUMBER(U25),ISNUMBER(U24)),U25/U24-1,"")</f>
        <v>0.00119458122349436</v>
      </c>
      <c r="X25" s="75" t="n">
        <f aca="false">IF(AND(ISNUMBER(V25),ISNUMBER(W25)),1,"")</f>
        <v>1</v>
      </c>
      <c r="Y25" s="76" t="n">
        <f aca="false">IF(X25=1,V25,"")</f>
        <v>-0.0155269243475388</v>
      </c>
      <c r="Z25" s="76" t="n">
        <f aca="false">IF(X25=1,W25,"")</f>
        <v>0.00119458122349436</v>
      </c>
      <c r="AA25" s="76" t="n">
        <f aca="false">IF(X25=1,V25,NA())</f>
        <v>-0.0155269243475388</v>
      </c>
      <c r="AB25" s="76" t="n">
        <f aca="false">IF(X25=1,W25,NA())</f>
        <v>0.00119458122349436</v>
      </c>
      <c r="AD25" s="73" t="n">
        <f aca="false">IF(ISNUMBER(AE25),IF(ISNUMBER('Base de Datos'!A21),IF('Base de Datos'!A21&gt;20000,DATE(YEAR('Base de Datos'!A21),DAY('Base de Datos'!A21),MONTH('Base de Datos'!A21)),""),IF(TRIM('Base de Datos'!A21)="","",IFERROR(DATE(VALUE(RIGHT(TRIM('Base de Datos'!A21),4)),VALUE(LEFT(TRIM('Base de Datos'!A21),2)),VALUE(MID(TRIM('Base de Datos'!A21),4,2))),""))),"")</f>
        <v>46230</v>
      </c>
      <c r="AE25" s="74" t="n">
        <f aca="false">IF(ISNUMBER('Base de Datos'!B21),'Base de Datos'!B21,IF(TRIM('Base de Datos'!B21)="","",IFERROR(IF(IFERROR(FIND("@",SUBSTITUTE(TRIM('Base de Datos'!B21),",","@",LEN(TRIM('Base de Datos'!B21))-LEN(SUBSTITUTE(TRIM('Base de Datos'!B21),",","")))),0)&gt;IFERROR(FIND("@",SUBSTITUTE(TRIM('Base de Datos'!B21),".","@",LEN(TRIM('Base de Datos'!B21))-LEN(SUBSTITUTE(TRIM('Base de Datos'!B21),".","")))),0),_xlfn.NUMBERVALUE(SUBSTITUTE(SUBSTITUTE(TRIM('Base de Datos'!B21),".",""),",","."),".",","),_xlfn.NUMBERVALUE(SUBSTITUTE(TRIM('Base de Datos'!B21),",",""),".",",")),"")))</f>
        <v>29.03</v>
      </c>
      <c r="AF25" s="73" t="n">
        <f aca="false">IF(ISNUMBER(AG25),IF(ISNUMBER('Base de Datos'!I21),IF('Base de Datos'!I21&gt;20000,INT('Base de Datos'!I21),""),IF(TRIM('Base de Datos'!I21)="","",IFERROR(DATE(VALUE(RIGHT(TRIM('Base de Datos'!I21),4)),VALUE(MID(TRIM('Base de Datos'!I21),4,2)),VALUE(LEFT(TRIM('Base de Datos'!I21),2))),IFERROR(DATEVALUE(TRIM('Base de Datos'!I21)),"")))),"")</f>
        <v>46225</v>
      </c>
      <c r="AG25" s="74" t="n">
        <f aca="false">IF(ISNUMBER('Base de Datos'!J21),'Base de Datos'!J21,IF(TRIM('Base de Datos'!J21)="","",IFERROR(IF(IFERROR(FIND("@",SUBSTITUTE(TRIM('Base de Datos'!J21),",","@",LEN(TRIM('Base de Datos'!J21))-LEN(SUBSTITUTE(TRIM('Base de Datos'!J21),",","")))),0)&gt;IFERROR(FIND("@",SUBSTITUTE(TRIM('Base de Datos'!J21),".","@",LEN(TRIM('Base de Datos'!J21))-LEN(SUBSTITUTE(TRIM('Base de Datos'!J21),".","")))),0),_xlfn.NUMBERVALUE(SUBSTITUTE(SUBSTITUTE(TRIM('Base de Datos'!J21),".",""),",","."),".",","),_xlfn.NUMBERVALUE(SUBSTITUTE(TRIM('Base de Datos'!J21),",",""),".",",")),"")))</f>
        <v>67303.83</v>
      </c>
      <c r="AH25" s="73" t="n">
        <f aca="false">IF(ISNUMBER(AI25),IF(ISNUMBER('Base de Datos'!Q21),IF('Base de Datos'!Q21&gt;20000,DATE(YEAR('Base de Datos'!Q21),DAY('Base de Datos'!Q21),MONTH('Base de Datos'!Q21)),""),IF(TRIM('Base de Datos'!Q21)="","",IFERROR(DATE(VALUE(RIGHT(TRIM('Base de Datos'!Q21),4)),VALUE(LEFT(TRIM('Base de Datos'!Q21),2)),VALUE(MID(TRIM('Base de Datos'!Q21),4,2))),""))),"")</f>
        <v>44591</v>
      </c>
      <c r="AI25" s="74" t="n">
        <f aca="false">IF(ISNUMBER('Base de Datos'!R21),'Base de Datos'!R21,IF(TRIM('Base de Datos'!R21)="","",IFERROR(IF(IFERROR(FIND("@",SUBSTITUTE(TRIM('Base de Datos'!R21),",","@",LEN(TRIM('Base de Datos'!R21))-LEN(SUBSTITUTE(TRIM('Base de Datos'!R21),",","")))),0)&gt;IFERROR(FIND("@",SUBSTITUTE(TRIM('Base de Datos'!R21),".","@",LEN(TRIM('Base de Datos'!R21))-LEN(SUBSTITUTE(TRIM('Base de Datos'!R21),".","")))),0),_xlfn.NUMBERVALUE(SUBSTITUTE(SUBSTITUTE(TRIM('Base de Datos'!R21),".",""),",","."),".",","),_xlfn.NUMBERVALUE(SUBSTITUTE(TRIM('Base de Datos'!R21),",",""),".",",")),"")))</f>
        <v>23.24</v>
      </c>
      <c r="AJ25" s="73" t="n">
        <f aca="false">IF(ISNUMBER(AK25),IF(ISNUMBER('Base de Datos'!Y21),IF('Base de Datos'!Y21&gt;20000,INT('Base de Datos'!Y21),""),IF(TRIM('Base de Datos'!Y21)="","",IFERROR(DATE(VALUE(RIGHT(TRIM('Base de Datos'!Y21),4)),VALUE(MID(TRIM('Base de Datos'!Y21),4,2)),VALUE(LEFT(TRIM('Base de Datos'!Y21),2))),IFERROR(DATEVALUE(TRIM('Base de Datos'!Y21)),"")))),"")</f>
        <v>44591</v>
      </c>
      <c r="AK25" s="74" t="n">
        <f aca="false">IF(ISNUMBER('Base de Datos'!Z21),'Base de Datos'!Z21,IF(TRIM('Base de Datos'!Z21)="","",IFERROR(IF(IFERROR(FIND("@",SUBSTITUTE(TRIM('Base de Datos'!Z21),",","@",LEN(TRIM('Base de Datos'!Z21))-LEN(SUBSTITUTE(TRIM('Base de Datos'!Z21),",","")))),0)&gt;IFERROR(FIND("@",SUBSTITUTE(TRIM('Base de Datos'!Z21),".","@",LEN(TRIM('Base de Datos'!Z21))-LEN(SUBSTITUTE(TRIM('Base de Datos'!Z21),".","")))),0),_xlfn.NUMBERVALUE(SUBSTITUTE(SUBSTITUTE(TRIM('Base de Datos'!Z21),".",""),",","."),".",","),_xlfn.NUMBERVALUE(SUBSTITUTE(TRIM('Base de Datos'!Z21),",",""),".",",")),"")))</f>
        <v>51255.31</v>
      </c>
    </row>
    <row r="26" customFormat="false" ht="13.5" hidden="false" customHeight="false" outlineLevel="0" collapsed="false">
      <c r="A26" s="75" t="n">
        <f aca="false">ROWS(A$13:A26)</f>
        <v>14</v>
      </c>
      <c r="B26" s="73" t="n">
        <f aca="false">IF(B25="","",IFERROR(SMALL($AH$10:$AH$409,COUNTIF($AH$10:$AH$409,"&lt;="&amp;B25)+1),""))</f>
        <v>44577</v>
      </c>
      <c r="C26" s="74" t="n">
        <f aca="false">IF(B26="","",INDEX($AI$10:$AI$409,MATCH(B26,$AH$10:$AH$409,0)))</f>
        <v>22.92</v>
      </c>
      <c r="D26" s="74" t="n">
        <f aca="false">IF(B26="","",IFERROR(INDEX($AK$10:$AK$409,MATCH(B26,$AJ$10:$AJ$409,0)),""))</f>
        <v>51599.38</v>
      </c>
      <c r="E26" s="76" t="n">
        <f aca="false">IF(AND(ISNUMBER(C26),ISNUMBER(C25)),C26/C25-1,"")</f>
        <v>-0.0442035029190993</v>
      </c>
      <c r="F26" s="76" t="n">
        <f aca="false">IF(AND(ISNUMBER(D26),ISNUMBER(D25)),D26/D25-1,"")</f>
        <v>-0.0399207962352535</v>
      </c>
      <c r="G26" s="75" t="n">
        <f aca="false">IF(AND(ISNUMBER(E26),ISNUMBER(F26)),1,"")</f>
        <v>1</v>
      </c>
      <c r="H26" s="75" t="n">
        <f aca="false">IF(G26=1,COUNT(G26:G$412),"")</f>
        <v>246</v>
      </c>
      <c r="I26" s="75" t="n">
        <f aca="false">IF(G26=1,IF(H26&lt;='Beta Regresión'!$B$5,1,""),"")</f>
        <v>1</v>
      </c>
      <c r="J26" s="76" t="n">
        <f aca="false">IF(I26=1,E26,"")</f>
        <v>-0.0442035029190993</v>
      </c>
      <c r="K26" s="76" t="n">
        <f aca="false">IF(I26=1,F26,"")</f>
        <v>-0.0399207962352535</v>
      </c>
      <c r="L26" s="75" t="n">
        <f aca="false">IF(I26=1,COUNT(I$13:I26),"")</f>
        <v>13</v>
      </c>
      <c r="M26" s="76" t="n">
        <f aca="false">IFERROR(INDEX($J$13:$J$412,MATCH(A26,$L$13:$L$412,0)),"")</f>
        <v>-0.0231239092495638</v>
      </c>
      <c r="N26" s="76" t="n">
        <f aca="false">IFERROR(INDEX($K$13:$K$412,MATCH(A26,$L$13:$L$412,0)),"")</f>
        <v>-0.0181692105602819</v>
      </c>
      <c r="O26" s="76" t="n">
        <f aca="false">IF(I26=1,E26,NA())</f>
        <v>-0.0442035029190993</v>
      </c>
      <c r="P26" s="76" t="n">
        <f aca="false">IF(I26=1,F26,NA())</f>
        <v>-0.0399207962352535</v>
      </c>
      <c r="R26" s="75" t="n">
        <f aca="false">ROWS(R$13:R26)</f>
        <v>14</v>
      </c>
      <c r="S26" s="73" t="n">
        <f aca="false">IF(S25="","",IFERROR(SMALL($AD$10:$AD$509,COUNTIF($AD$10:$AD$509,"&lt;="&amp;S25)+1),""))</f>
        <v>46225</v>
      </c>
      <c r="T26" s="74" t="n">
        <f aca="false">IF(S26="","",INDEX($AE$10:$AE$509,MATCH(S26,$AD$10:$AD$509,0)))</f>
        <v>29.3</v>
      </c>
      <c r="U26" s="74" t="n">
        <f aca="false">IF(S26="","",IFERROR(INDEX($AG$10:$AG$509,MATCH(S26,$AF$10:$AF$509,0)),""))</f>
        <v>67303.83</v>
      </c>
      <c r="V26" s="76" t="n">
        <f aca="false">IF(AND(ISNUMBER(T26),ISNUMBER(T25)),T26/T25-1,"")</f>
        <v>-0.0167785234899329</v>
      </c>
      <c r="W26" s="76" t="n">
        <f aca="false">IF(AND(ISNUMBER(U26),ISNUMBER(U25)),U26/U25-1,"")</f>
        <v>0.00884374349366546</v>
      </c>
      <c r="X26" s="75" t="n">
        <f aca="false">IF(AND(ISNUMBER(V26),ISNUMBER(W26)),1,"")</f>
        <v>1</v>
      </c>
      <c r="Y26" s="76" t="n">
        <f aca="false">IF(X26=1,V26,"")</f>
        <v>-0.0167785234899329</v>
      </c>
      <c r="Z26" s="76" t="n">
        <f aca="false">IF(X26=1,W26,"")</f>
        <v>0.00884374349366546</v>
      </c>
      <c r="AA26" s="76" t="n">
        <f aca="false">IF(X26=1,V26,NA())</f>
        <v>-0.0167785234899329</v>
      </c>
      <c r="AB26" s="76" t="n">
        <f aca="false">IF(X26=1,W26,NA())</f>
        <v>0.00884374349366546</v>
      </c>
      <c r="AD26" s="73" t="n">
        <f aca="false">IF(ISNUMBER(AE26),IF(ISNUMBER('Base de Datos'!A22),IF('Base de Datos'!A22&gt;20000,DATE(YEAR('Base de Datos'!A22),DAY('Base de Datos'!A22),MONTH('Base de Datos'!A22)),""),IF(TRIM('Base de Datos'!A22)="","",IFERROR(DATE(VALUE(RIGHT(TRIM('Base de Datos'!A22),4)),VALUE(LEFT(TRIM('Base de Datos'!A22),2)),VALUE(MID(TRIM('Base de Datos'!A22),4,2))),""))),"")</f>
        <v>46231</v>
      </c>
      <c r="AE26" s="74" t="n">
        <f aca="false">IF(ISNUMBER('Base de Datos'!B22),'Base de Datos'!B22,IF(TRIM('Base de Datos'!B22)="","",IFERROR(IF(IFERROR(FIND("@",SUBSTITUTE(TRIM('Base de Datos'!B22),",","@",LEN(TRIM('Base de Datos'!B22))-LEN(SUBSTITUTE(TRIM('Base de Datos'!B22),",","")))),0)&gt;IFERROR(FIND("@",SUBSTITUTE(TRIM('Base de Datos'!B22),".","@",LEN(TRIM('Base de Datos'!B22))-LEN(SUBSTITUTE(TRIM('Base de Datos'!B22),".","")))),0),_xlfn.NUMBERVALUE(SUBSTITUTE(SUBSTITUTE(TRIM('Base de Datos'!B22),".",""),",","."),".",","),_xlfn.NUMBERVALUE(SUBSTITUTE(TRIM('Base de Datos'!B22),",",""),".",",")),"")))</f>
        <v>29.5</v>
      </c>
      <c r="AF26" s="73" t="n">
        <f aca="false">IF(ISNUMBER(AG26),IF(ISNUMBER('Base de Datos'!I22),IF('Base de Datos'!I22&gt;20000,INT('Base de Datos'!I22),""),IF(TRIM('Base de Datos'!I22)="","",IFERROR(DATE(VALUE(RIGHT(TRIM('Base de Datos'!I22),4)),VALUE(MID(TRIM('Base de Datos'!I22),4,2)),VALUE(LEFT(TRIM('Base de Datos'!I22),2))),IFERROR(DATEVALUE(TRIM('Base de Datos'!I22)),"")))),"")</f>
        <v>46226</v>
      </c>
      <c r="AG26" s="74" t="n">
        <f aca="false">IF(ISNUMBER('Base de Datos'!J22),'Base de Datos'!J22,IF(TRIM('Base de Datos'!J22)="","",IFERROR(IF(IFERROR(FIND("@",SUBSTITUTE(TRIM('Base de Datos'!J22),",","@",LEN(TRIM('Base de Datos'!J22))-LEN(SUBSTITUTE(TRIM('Base de Datos'!J22),",","")))),0)&gt;IFERROR(FIND("@",SUBSTITUTE(TRIM('Base de Datos'!J22),".","@",LEN(TRIM('Base de Datos'!J22))-LEN(SUBSTITUTE(TRIM('Base de Datos'!J22),".","")))),0),_xlfn.NUMBERVALUE(SUBSTITUTE(SUBSTITUTE(TRIM('Base de Datos'!J22),".",""),",","."),".",","),_xlfn.NUMBERVALUE(SUBSTITUTE(TRIM('Base de Datos'!J22),",",""),".",",")),"")))</f>
        <v>66266.01</v>
      </c>
      <c r="AH26" s="73" t="n">
        <f aca="false">IF(ISNUMBER(AI26),IF(ISNUMBER('Base de Datos'!Q22),IF('Base de Datos'!Q22&gt;20000,DATE(YEAR('Base de Datos'!Q22),DAY('Base de Datos'!Q22),MONTH('Base de Datos'!Q22)),""),IF(TRIM('Base de Datos'!Q22)="","",IFERROR(DATE(VALUE(RIGHT(TRIM('Base de Datos'!Q22),4)),VALUE(LEFT(TRIM('Base de Datos'!Q22),2)),VALUE(MID(TRIM('Base de Datos'!Q22),4,2))),""))),"")</f>
        <v>44598</v>
      </c>
      <c r="AI26" s="74" t="n">
        <f aca="false">IF(ISNUMBER('Base de Datos'!R22),'Base de Datos'!R22,IF(TRIM('Base de Datos'!R22)="","",IFERROR(IF(IFERROR(FIND("@",SUBSTITUTE(TRIM('Base de Datos'!R22),",","@",LEN(TRIM('Base de Datos'!R22))-LEN(SUBSTITUTE(TRIM('Base de Datos'!R22),",","")))),0)&gt;IFERROR(FIND("@",SUBSTITUTE(TRIM('Base de Datos'!R22),".","@",LEN(TRIM('Base de Datos'!R22))-LEN(SUBSTITUTE(TRIM('Base de Datos'!R22),".","")))),0),_xlfn.NUMBERVALUE(SUBSTITUTE(SUBSTITUTE(TRIM('Base de Datos'!R22),".",""),",","."),".",","),_xlfn.NUMBERVALUE(SUBSTITUTE(TRIM('Base de Datos'!R22),",",""),".",",")),"")))</f>
        <v>22.57</v>
      </c>
      <c r="AJ26" s="73" t="n">
        <f aca="false">IF(ISNUMBER(AK26),IF(ISNUMBER('Base de Datos'!Y22),IF('Base de Datos'!Y22&gt;20000,INT('Base de Datos'!Y22),""),IF(TRIM('Base de Datos'!Y22)="","",IFERROR(DATE(VALUE(RIGHT(TRIM('Base de Datos'!Y22),4)),VALUE(MID(TRIM('Base de Datos'!Y22),4,2)),VALUE(LEFT(TRIM('Base de Datos'!Y22),2))),IFERROR(DATEVALUE(TRIM('Base de Datos'!Y22)),"")))),"")</f>
        <v>44598</v>
      </c>
      <c r="AK26" s="74" t="n">
        <f aca="false">IF(ISNUMBER('Base de Datos'!Z22),'Base de Datos'!Z22,IF(TRIM('Base de Datos'!Z22)="","",IFERROR(IF(IFERROR(FIND("@",SUBSTITUTE(TRIM('Base de Datos'!Z22),",","@",LEN(TRIM('Base de Datos'!Z22))-LEN(SUBSTITUTE(TRIM('Base de Datos'!Z22),",","")))),0)&gt;IFERROR(FIND("@",SUBSTITUTE(TRIM('Base de Datos'!Z22),".","@",LEN(TRIM('Base de Datos'!Z22))-LEN(SUBSTITUTE(TRIM('Base de Datos'!Z22),".","")))),0),_xlfn.NUMBERVALUE(SUBSTITUTE(SUBSTITUTE(TRIM('Base de Datos'!Z22),".",""),",","."),".",","),_xlfn.NUMBERVALUE(SUBSTITUTE(TRIM('Base de Datos'!Z22),",",""),".",",")),"")))</f>
        <v>53229.26</v>
      </c>
    </row>
    <row r="27" customFormat="false" ht="13.5" hidden="false" customHeight="false" outlineLevel="0" collapsed="false">
      <c r="A27" s="75" t="n">
        <f aca="false">ROWS(A$13:A27)</f>
        <v>15</v>
      </c>
      <c r="B27" s="73" t="n">
        <f aca="false">IF(B26="","",IFERROR(SMALL($AH$10:$AH$409,COUNTIF($AH$10:$AH$409,"&lt;="&amp;B26)+1),""))</f>
        <v>44584</v>
      </c>
      <c r="C27" s="74" t="n">
        <f aca="false">IF(B27="","",INDEX($AI$10:$AI$409,MATCH(B27,$AH$10:$AH$409,0)))</f>
        <v>22.39</v>
      </c>
      <c r="D27" s="74" t="n">
        <f aca="false">IF(B27="","",IFERROR(INDEX($AK$10:$AK$409,MATCH(B27,$AJ$10:$AJ$409,0)),""))</f>
        <v>50661.86</v>
      </c>
      <c r="E27" s="76" t="n">
        <f aca="false">IF(AND(ISNUMBER(C27),ISNUMBER(C26)),C27/C26-1,"")</f>
        <v>-0.0231239092495638</v>
      </c>
      <c r="F27" s="76" t="n">
        <f aca="false">IF(AND(ISNUMBER(D27),ISNUMBER(D26)),D27/D26-1,"")</f>
        <v>-0.0181692105602819</v>
      </c>
      <c r="G27" s="75" t="n">
        <f aca="false">IF(AND(ISNUMBER(E27),ISNUMBER(F27)),1,"")</f>
        <v>1</v>
      </c>
      <c r="H27" s="75" t="n">
        <f aca="false">IF(G27=1,COUNT(G27:G$412),"")</f>
        <v>245</v>
      </c>
      <c r="I27" s="75" t="n">
        <f aca="false">IF(G27=1,IF(H27&lt;='Beta Regresión'!$B$5,1,""),"")</f>
        <v>1</v>
      </c>
      <c r="J27" s="76" t="n">
        <f aca="false">IF(I27=1,E27,"")</f>
        <v>-0.0231239092495638</v>
      </c>
      <c r="K27" s="76" t="n">
        <f aca="false">IF(I27=1,F27,"")</f>
        <v>-0.0181692105602819</v>
      </c>
      <c r="L27" s="75" t="n">
        <f aca="false">IF(I27=1,COUNT(I$13:I27),"")</f>
        <v>14</v>
      </c>
      <c r="M27" s="76" t="n">
        <f aca="false">IFERROR(INDEX($J$13:$J$412,MATCH(A27,$L$13:$L$412,0)),"")</f>
        <v>0.0379633765073693</v>
      </c>
      <c r="N27" s="76" t="n">
        <f aca="false">IFERROR(INDEX($K$13:$K$412,MATCH(A27,$L$13:$L$412,0)),"")</f>
        <v>0.0117139402303823</v>
      </c>
      <c r="O27" s="76" t="n">
        <f aca="false">IF(I27=1,E27,NA())</f>
        <v>-0.0231239092495638</v>
      </c>
      <c r="P27" s="76" t="n">
        <f aca="false">IF(I27=1,F27,NA())</f>
        <v>-0.0181692105602819</v>
      </c>
      <c r="R27" s="75" t="n">
        <f aca="false">ROWS(R$13:R27)</f>
        <v>15</v>
      </c>
      <c r="S27" s="73" t="n">
        <f aca="false">IF(S26="","",IFERROR(SMALL($AD$10:$AD$509,COUNTIF($AD$10:$AD$509,"&lt;="&amp;S26)+1),""))</f>
        <v>46227</v>
      </c>
      <c r="T27" s="74" t="n">
        <f aca="false">IF(S27="","",INDEX($AE$10:$AE$509,MATCH(S27,$AD$10:$AD$509,0)))</f>
        <v>29.41</v>
      </c>
      <c r="U27" s="74" t="n">
        <f aca="false">IF(S27="","",IFERROR(INDEX($AG$10:$AG$509,MATCH(S27,$AF$10:$AF$509,0)),""))</f>
        <v>66383.26</v>
      </c>
      <c r="V27" s="76" t="n">
        <f aca="false">IF(AND(ISNUMBER(T27),ISNUMBER(T26)),T27/T26-1,"")</f>
        <v>0.00375426621160413</v>
      </c>
      <c r="W27" s="76" t="n">
        <f aca="false">IF(AND(ISNUMBER(U27),ISNUMBER(U26)),U27/U26-1,"")</f>
        <v>-0.0136778248726708</v>
      </c>
      <c r="X27" s="75" t="n">
        <f aca="false">IF(AND(ISNUMBER(V27),ISNUMBER(W27)),1,"")</f>
        <v>1</v>
      </c>
      <c r="Y27" s="76" t="n">
        <f aca="false">IF(X27=1,V27,"")</f>
        <v>0.00375426621160413</v>
      </c>
      <c r="Z27" s="76" t="n">
        <f aca="false">IF(X27=1,W27,"")</f>
        <v>-0.0136778248726708</v>
      </c>
      <c r="AA27" s="76" t="n">
        <f aca="false">IF(X27=1,V27,NA())</f>
        <v>0.00375426621160413</v>
      </c>
      <c r="AB27" s="76" t="n">
        <f aca="false">IF(X27=1,W27,NA())</f>
        <v>-0.0136778248726708</v>
      </c>
      <c r="AD27" s="73" t="n">
        <f aca="false">IF(ISNUMBER(AE27),IF(ISNUMBER('Base de Datos'!A23),IF('Base de Datos'!A23&gt;20000,DATE(YEAR('Base de Datos'!A23),DAY('Base de Datos'!A23),MONTH('Base de Datos'!A23)),""),IF(TRIM('Base de Datos'!A23)="","",IFERROR(DATE(VALUE(RIGHT(TRIM('Base de Datos'!A23),4)),VALUE(LEFT(TRIM('Base de Datos'!A23),2)),VALUE(MID(TRIM('Base de Datos'!A23),4,2))),""))),"")</f>
        <v>46232</v>
      </c>
      <c r="AE27" s="74" t="n">
        <f aca="false">IF(ISNUMBER('Base de Datos'!B23),'Base de Datos'!B23,IF(TRIM('Base de Datos'!B23)="","",IFERROR(IF(IFERROR(FIND("@",SUBSTITUTE(TRIM('Base de Datos'!B23),",","@",LEN(TRIM('Base de Datos'!B23))-LEN(SUBSTITUTE(TRIM('Base de Datos'!B23),",","")))),0)&gt;IFERROR(FIND("@",SUBSTITUTE(TRIM('Base de Datos'!B23),".","@",LEN(TRIM('Base de Datos'!B23))-LEN(SUBSTITUTE(TRIM('Base de Datos'!B23),".","")))),0),_xlfn.NUMBERVALUE(SUBSTITUTE(SUBSTITUTE(TRIM('Base de Datos'!B23),".",""),",","."),".",","),_xlfn.NUMBERVALUE(SUBSTITUTE(TRIM('Base de Datos'!B23),",",""),".",",")),"")))</f>
        <v>29.6</v>
      </c>
      <c r="AF27" s="73" t="n">
        <f aca="false">IF(ISNUMBER(AG27),IF(ISNUMBER('Base de Datos'!I23),IF('Base de Datos'!I23&gt;20000,INT('Base de Datos'!I23),""),IF(TRIM('Base de Datos'!I23)="","",IFERROR(DATE(VALUE(RIGHT(TRIM('Base de Datos'!I23),4)),VALUE(MID(TRIM('Base de Datos'!I23),4,2)),VALUE(LEFT(TRIM('Base de Datos'!I23),2))),IFERROR(DATEVALUE(TRIM('Base de Datos'!I23)),"")))),"")</f>
        <v>46227</v>
      </c>
      <c r="AG27" s="74" t="n">
        <f aca="false">IF(ISNUMBER('Base de Datos'!J23),'Base de Datos'!J23,IF(TRIM('Base de Datos'!J23)="","",IFERROR(IF(IFERROR(FIND("@",SUBSTITUTE(TRIM('Base de Datos'!J23),",","@",LEN(TRIM('Base de Datos'!J23))-LEN(SUBSTITUTE(TRIM('Base de Datos'!J23),",","")))),0)&gt;IFERROR(FIND("@",SUBSTITUTE(TRIM('Base de Datos'!J23),".","@",LEN(TRIM('Base de Datos'!J23))-LEN(SUBSTITUTE(TRIM('Base de Datos'!J23),".","")))),0),_xlfn.NUMBERVALUE(SUBSTITUTE(SUBSTITUTE(TRIM('Base de Datos'!J23),".",""),",","."),".",","),_xlfn.NUMBERVALUE(SUBSTITUTE(TRIM('Base de Datos'!J23),",",""),".",",")),"")))</f>
        <v>66383.26</v>
      </c>
      <c r="AH27" s="73" t="n">
        <f aca="false">IF(ISNUMBER(AI27),IF(ISNUMBER('Base de Datos'!Q23),IF('Base de Datos'!Q23&gt;20000,DATE(YEAR('Base de Datos'!Q23),DAY('Base de Datos'!Q23),MONTH('Base de Datos'!Q23)),""),IF(TRIM('Base de Datos'!Q23)="","",IFERROR(DATE(VALUE(RIGHT(TRIM('Base de Datos'!Q23),4)),VALUE(LEFT(TRIM('Base de Datos'!Q23),2)),VALUE(MID(TRIM('Base de Datos'!Q23),4,2))),""))),"")</f>
        <v>44605</v>
      </c>
      <c r="AI27" s="74" t="n">
        <f aca="false">IF(ISNUMBER('Base de Datos'!R23),'Base de Datos'!R23,IF(TRIM('Base de Datos'!R23)="","",IFERROR(IF(IFERROR(FIND("@",SUBSTITUTE(TRIM('Base de Datos'!R23),",","@",LEN(TRIM('Base de Datos'!R23))-LEN(SUBSTITUTE(TRIM('Base de Datos'!R23),",","")))),0)&gt;IFERROR(FIND("@",SUBSTITUTE(TRIM('Base de Datos'!R23),".","@",LEN(TRIM('Base de Datos'!R23))-LEN(SUBSTITUTE(TRIM('Base de Datos'!R23),".","")))),0),_xlfn.NUMBERVALUE(SUBSTITUTE(SUBSTITUTE(TRIM('Base de Datos'!R23),".",""),",","."),".",","),_xlfn.NUMBERVALUE(SUBSTITUTE(TRIM('Base de Datos'!R23),",",""),".",",")),"")))</f>
        <v>23.11</v>
      </c>
      <c r="AJ27" s="73" t="n">
        <f aca="false">IF(ISNUMBER(AK27),IF(ISNUMBER('Base de Datos'!Y23),IF('Base de Datos'!Y23&gt;20000,INT('Base de Datos'!Y23),""),IF(TRIM('Base de Datos'!Y23)="","",IFERROR(DATE(VALUE(RIGHT(TRIM('Base de Datos'!Y23),4)),VALUE(MID(TRIM('Base de Datos'!Y23),4,2)),VALUE(LEFT(TRIM('Base de Datos'!Y23),2))),IFERROR(DATEVALUE(TRIM('Base de Datos'!Y23)),"")))),"")</f>
        <v>44605</v>
      </c>
      <c r="AK27" s="74" t="n">
        <f aca="false">IF(ISNUMBER('Base de Datos'!Z23),'Base de Datos'!Z23,IF(TRIM('Base de Datos'!Z23)="","",IFERROR(IF(IFERROR(FIND("@",SUBSTITUTE(TRIM('Base de Datos'!Z23),",","@",LEN(TRIM('Base de Datos'!Z23))-LEN(SUBSTITUTE(TRIM('Base de Datos'!Z23),",","")))),0)&gt;IFERROR(FIND("@",SUBSTITUTE(TRIM('Base de Datos'!Z23),".","@",LEN(TRIM('Base de Datos'!Z23))-LEN(SUBSTITUTE(TRIM('Base de Datos'!Z23),".","")))),0),_xlfn.NUMBERVALUE(SUBSTITUTE(SUBSTITUTE(TRIM('Base de Datos'!Z23),".",""),",","."),".",","),_xlfn.NUMBERVALUE(SUBSTITUTE(TRIM('Base de Datos'!Z23),",",""),".",",")),"")))</f>
        <v>52281.53</v>
      </c>
    </row>
    <row r="28" customFormat="false" ht="13.5" hidden="false" customHeight="false" outlineLevel="0" collapsed="false">
      <c r="A28" s="75" t="n">
        <f aca="false">ROWS(A$13:A28)</f>
        <v>16</v>
      </c>
      <c r="B28" s="73" t="n">
        <f aca="false">IF(B27="","",IFERROR(SMALL($AH$10:$AH$409,COUNTIF($AH$10:$AH$409,"&lt;="&amp;B27)+1),""))</f>
        <v>44591</v>
      </c>
      <c r="C28" s="74" t="n">
        <f aca="false">IF(B28="","",INDEX($AI$10:$AI$409,MATCH(B28,$AH$10:$AH$409,0)))</f>
        <v>23.24</v>
      </c>
      <c r="D28" s="74" t="n">
        <f aca="false">IF(B28="","",IFERROR(INDEX($AK$10:$AK$409,MATCH(B28,$AJ$10:$AJ$409,0)),""))</f>
        <v>51255.31</v>
      </c>
      <c r="E28" s="76" t="n">
        <f aca="false">IF(AND(ISNUMBER(C28),ISNUMBER(C27)),C28/C27-1,"")</f>
        <v>0.0379633765073693</v>
      </c>
      <c r="F28" s="76" t="n">
        <f aca="false">IF(AND(ISNUMBER(D28),ISNUMBER(D27)),D28/D27-1,"")</f>
        <v>0.0117139402303823</v>
      </c>
      <c r="G28" s="75" t="n">
        <f aca="false">IF(AND(ISNUMBER(E28),ISNUMBER(F28)),1,"")</f>
        <v>1</v>
      </c>
      <c r="H28" s="75" t="n">
        <f aca="false">IF(G28=1,COUNT(G28:G$412),"")</f>
        <v>244</v>
      </c>
      <c r="I28" s="75" t="n">
        <f aca="false">IF(G28=1,IF(H28&lt;='Beta Regresión'!$B$5,1,""),"")</f>
        <v>1</v>
      </c>
      <c r="J28" s="76" t="n">
        <f aca="false">IF(I28=1,E28,"")</f>
        <v>0.0379633765073693</v>
      </c>
      <c r="K28" s="76" t="n">
        <f aca="false">IF(I28=1,F28,"")</f>
        <v>0.0117139402303823</v>
      </c>
      <c r="L28" s="75" t="n">
        <f aca="false">IF(I28=1,COUNT(I$13:I28),"")</f>
        <v>15</v>
      </c>
      <c r="M28" s="76" t="n">
        <f aca="false">IFERROR(INDEX($J$13:$J$412,MATCH(A28,$L$13:$L$412,0)),"")</f>
        <v>-0.0288296041308089</v>
      </c>
      <c r="N28" s="76" t="n">
        <f aca="false">IFERROR(INDEX($K$13:$K$412,MATCH(A28,$L$13:$L$412,0)),"")</f>
        <v>0.0385121073309283</v>
      </c>
      <c r="O28" s="76" t="n">
        <f aca="false">IF(I28=1,E28,NA())</f>
        <v>0.0379633765073693</v>
      </c>
      <c r="P28" s="76" t="n">
        <f aca="false">IF(I28=1,F28,NA())</f>
        <v>0.0117139402303823</v>
      </c>
      <c r="R28" s="75" t="n">
        <f aca="false">ROWS(R$13:R28)</f>
        <v>16</v>
      </c>
      <c r="S28" s="73" t="n">
        <f aca="false">IF(S27="","",IFERROR(SMALL($AD$10:$AD$509,COUNTIF($AD$10:$AD$509,"&lt;="&amp;S27)+1),""))</f>
        <v>46230</v>
      </c>
      <c r="T28" s="74" t="n">
        <f aca="false">IF(S28="","",INDEX($AE$10:$AE$509,MATCH(S28,$AD$10:$AD$509,0)))</f>
        <v>29.03</v>
      </c>
      <c r="U28" s="74" t="n">
        <f aca="false">IF(S28="","",IFERROR(INDEX($AG$10:$AG$509,MATCH(S28,$AF$10:$AF$509,0)),""))</f>
        <v>67157.91</v>
      </c>
      <c r="V28" s="76" t="n">
        <f aca="false">IF(AND(ISNUMBER(T28),ISNUMBER(T27)),T28/T27-1,"")</f>
        <v>-0.0129207752465148</v>
      </c>
      <c r="W28" s="76" t="n">
        <f aca="false">IF(AND(ISNUMBER(U28),ISNUMBER(U27)),U28/U27-1,"")</f>
        <v>0.0116693576061195</v>
      </c>
      <c r="X28" s="75" t="n">
        <f aca="false">IF(AND(ISNUMBER(V28),ISNUMBER(W28)),1,"")</f>
        <v>1</v>
      </c>
      <c r="Y28" s="76" t="n">
        <f aca="false">IF(X28=1,V28,"")</f>
        <v>-0.0129207752465148</v>
      </c>
      <c r="Z28" s="76" t="n">
        <f aca="false">IF(X28=1,W28,"")</f>
        <v>0.0116693576061195</v>
      </c>
      <c r="AA28" s="76" t="n">
        <f aca="false">IF(X28=1,V28,NA())</f>
        <v>-0.0129207752465148</v>
      </c>
      <c r="AB28" s="76" t="n">
        <f aca="false">IF(X28=1,W28,NA())</f>
        <v>0.0116693576061195</v>
      </c>
      <c r="AD28" s="73" t="n">
        <f aca="false">IF(ISNUMBER(AE28),IF(ISNUMBER('Base de Datos'!A24),IF('Base de Datos'!A24&gt;20000,DATE(YEAR('Base de Datos'!A24),DAY('Base de Datos'!A24),MONTH('Base de Datos'!A24)),""),IF(TRIM('Base de Datos'!A24)="","",IFERROR(DATE(VALUE(RIGHT(TRIM('Base de Datos'!A24),4)),VALUE(LEFT(TRIM('Base de Datos'!A24),2)),VALUE(MID(TRIM('Base de Datos'!A24),4,2))),""))),"")</f>
        <v>46234</v>
      </c>
      <c r="AE28" s="74" t="n">
        <f aca="false">IF(ISNUMBER('Base de Datos'!B24),'Base de Datos'!B24,IF(TRIM('Base de Datos'!B24)="","",IFERROR(IF(IFERROR(FIND("@",SUBSTITUTE(TRIM('Base de Datos'!B24),",","@",LEN(TRIM('Base de Datos'!B24))-LEN(SUBSTITUTE(TRIM('Base de Datos'!B24),",","")))),0)&gt;IFERROR(FIND("@",SUBSTITUTE(TRIM('Base de Datos'!B24),".","@",LEN(TRIM('Base de Datos'!B24))-LEN(SUBSTITUTE(TRIM('Base de Datos'!B24),".","")))),0),_xlfn.NUMBERVALUE(SUBSTITUTE(SUBSTITUTE(TRIM('Base de Datos'!B24),".",""),",","."),".",","),_xlfn.NUMBERVALUE(SUBSTITUTE(TRIM('Base de Datos'!B24),",",""),".",",")),"")))</f>
        <v>29.59</v>
      </c>
      <c r="AF28" s="73" t="n">
        <f aca="false">IF(ISNUMBER(AG28),IF(ISNUMBER('Base de Datos'!I24),IF('Base de Datos'!I24&gt;20000,INT('Base de Datos'!I24),""),IF(TRIM('Base de Datos'!I24)="","",IFERROR(DATE(VALUE(RIGHT(TRIM('Base de Datos'!I24),4)),VALUE(MID(TRIM('Base de Datos'!I24),4,2)),VALUE(LEFT(TRIM('Base de Datos'!I24),2))),IFERROR(DATEVALUE(TRIM('Base de Datos'!I24)),"")))),"")</f>
        <v>46230</v>
      </c>
      <c r="AG28" s="74" t="n">
        <f aca="false">IF(ISNUMBER('Base de Datos'!J24),'Base de Datos'!J24,IF(TRIM('Base de Datos'!J24)="","",IFERROR(IF(IFERROR(FIND("@",SUBSTITUTE(TRIM('Base de Datos'!J24),",","@",LEN(TRIM('Base de Datos'!J24))-LEN(SUBSTITUTE(TRIM('Base de Datos'!J24),",","")))),0)&gt;IFERROR(FIND("@",SUBSTITUTE(TRIM('Base de Datos'!J24),".","@",LEN(TRIM('Base de Datos'!J24))-LEN(SUBSTITUTE(TRIM('Base de Datos'!J24),".","")))),0),_xlfn.NUMBERVALUE(SUBSTITUTE(SUBSTITUTE(TRIM('Base de Datos'!J24),".",""),",","."),".",","),_xlfn.NUMBERVALUE(SUBSTITUTE(TRIM('Base de Datos'!J24),",",""),".",",")),"")))</f>
        <v>67157.91</v>
      </c>
      <c r="AH28" s="73" t="n">
        <f aca="false">IF(ISNUMBER(AI28),IF(ISNUMBER('Base de Datos'!Q24),IF('Base de Datos'!Q24&gt;20000,DATE(YEAR('Base de Datos'!Q24),DAY('Base de Datos'!Q24),MONTH('Base de Datos'!Q24)),""),IF(TRIM('Base de Datos'!Q24)="","",IFERROR(DATE(VALUE(RIGHT(TRIM('Base de Datos'!Q24),4)),VALUE(LEFT(TRIM('Base de Datos'!Q24),2)),VALUE(MID(TRIM('Base de Datos'!Q24),4,2))),""))),"")</f>
        <v>44612</v>
      </c>
      <c r="AI28" s="74" t="n">
        <f aca="false">IF(ISNUMBER('Base de Datos'!R24),'Base de Datos'!R24,IF(TRIM('Base de Datos'!R24)="","",IFERROR(IF(IFERROR(FIND("@",SUBSTITUTE(TRIM('Base de Datos'!R24),",","@",LEN(TRIM('Base de Datos'!R24))-LEN(SUBSTITUTE(TRIM('Base de Datos'!R24),",","")))),0)&gt;IFERROR(FIND("@",SUBSTITUTE(TRIM('Base de Datos'!R24),".","@",LEN(TRIM('Base de Datos'!R24))-LEN(SUBSTITUTE(TRIM('Base de Datos'!R24),".","")))),0),_xlfn.NUMBERVALUE(SUBSTITUTE(SUBSTITUTE(TRIM('Base de Datos'!R24),".",""),",","."),".",","),_xlfn.NUMBERVALUE(SUBSTITUTE(TRIM('Base de Datos'!R24),",",""),".",",")),"")))</f>
        <v>23.25</v>
      </c>
      <c r="AJ28" s="73" t="n">
        <f aca="false">IF(ISNUMBER(AK28),IF(ISNUMBER('Base de Datos'!Y24),IF('Base de Datos'!Y24&gt;20000,INT('Base de Datos'!Y24),""),IF(TRIM('Base de Datos'!Y24)="","",IFERROR(DATE(VALUE(RIGHT(TRIM('Base de Datos'!Y24),4)),VALUE(MID(TRIM('Base de Datos'!Y24),4,2)),VALUE(LEFT(TRIM('Base de Datos'!Y24),2))),IFERROR(DATEVALUE(TRIM('Base de Datos'!Y24)),"")))),"")</f>
        <v>44612</v>
      </c>
      <c r="AK28" s="74" t="n">
        <f aca="false">IF(ISNUMBER('Base de Datos'!Z24),'Base de Datos'!Z24,IF(TRIM('Base de Datos'!Z24)="","",IFERROR(IF(IFERROR(FIND("@",SUBSTITUTE(TRIM('Base de Datos'!Z24),",","@",LEN(TRIM('Base de Datos'!Z24))-LEN(SUBSTITUTE(TRIM('Base de Datos'!Z24),",","")))),0)&gt;IFERROR(FIND("@",SUBSTITUTE(TRIM('Base de Datos'!Z24),".","@",LEN(TRIM('Base de Datos'!Z24))-LEN(SUBSTITUTE(TRIM('Base de Datos'!Z24),".","")))),0),_xlfn.NUMBERVALUE(SUBSTITUTE(SUBSTITUTE(TRIM('Base de Datos'!Z24),".",""),",","."),".",","),_xlfn.NUMBERVALUE(SUBSTITUTE(TRIM('Base de Datos'!Z24),",",""),".",",")),"")))</f>
        <v>52555.6</v>
      </c>
    </row>
    <row r="29" customFormat="false" ht="13.5" hidden="false" customHeight="false" outlineLevel="0" collapsed="false">
      <c r="A29" s="75" t="n">
        <f aca="false">ROWS(A$13:A29)</f>
        <v>17</v>
      </c>
      <c r="B29" s="73" t="n">
        <f aca="false">IF(B28="","",IFERROR(SMALL($AH$10:$AH$409,COUNTIF($AH$10:$AH$409,"&lt;="&amp;B28)+1),""))</f>
        <v>44598</v>
      </c>
      <c r="C29" s="74" t="n">
        <f aca="false">IF(B29="","",INDEX($AI$10:$AI$409,MATCH(B29,$AH$10:$AH$409,0)))</f>
        <v>22.57</v>
      </c>
      <c r="D29" s="74" t="n">
        <f aca="false">IF(B29="","",IFERROR(INDEX($AK$10:$AK$409,MATCH(B29,$AJ$10:$AJ$409,0)),""))</f>
        <v>53229.26</v>
      </c>
      <c r="E29" s="76" t="n">
        <f aca="false">IF(AND(ISNUMBER(C29),ISNUMBER(C28)),C29/C28-1,"")</f>
        <v>-0.0288296041308089</v>
      </c>
      <c r="F29" s="76" t="n">
        <f aca="false">IF(AND(ISNUMBER(D29),ISNUMBER(D28)),D29/D28-1,"")</f>
        <v>0.0385121073309283</v>
      </c>
      <c r="G29" s="75" t="n">
        <f aca="false">IF(AND(ISNUMBER(E29),ISNUMBER(F29)),1,"")</f>
        <v>1</v>
      </c>
      <c r="H29" s="75" t="n">
        <f aca="false">IF(G29=1,COUNT(G29:G$412),"")</f>
        <v>243</v>
      </c>
      <c r="I29" s="75" t="n">
        <f aca="false">IF(G29=1,IF(H29&lt;='Beta Regresión'!$B$5,1,""),"")</f>
        <v>1</v>
      </c>
      <c r="J29" s="76" t="n">
        <f aca="false">IF(I29=1,E29,"")</f>
        <v>-0.0288296041308089</v>
      </c>
      <c r="K29" s="76" t="n">
        <f aca="false">IF(I29=1,F29,"")</f>
        <v>0.0385121073309283</v>
      </c>
      <c r="L29" s="75" t="n">
        <f aca="false">IF(I29=1,COUNT(I$13:I29),"")</f>
        <v>16</v>
      </c>
      <c r="M29" s="76" t="n">
        <f aca="false">IFERROR(INDEX($J$13:$J$412,MATCH(A29,$L$13:$L$412,0)),"")</f>
        <v>0.0239255649091714</v>
      </c>
      <c r="N29" s="76" t="n">
        <f aca="false">IFERROR(INDEX($K$13:$K$412,MATCH(A29,$L$13:$L$412,0)),"")</f>
        <v>-0.0178046811096003</v>
      </c>
      <c r="O29" s="76" t="n">
        <f aca="false">IF(I29=1,E29,NA())</f>
        <v>-0.0288296041308089</v>
      </c>
      <c r="P29" s="76" t="n">
        <f aca="false">IF(I29=1,F29,NA())</f>
        <v>0.0385121073309283</v>
      </c>
      <c r="R29" s="75" t="n">
        <f aca="false">ROWS(R$13:R29)</f>
        <v>17</v>
      </c>
      <c r="S29" s="73" t="n">
        <f aca="false">IF(S28="","",IFERROR(SMALL($AD$10:$AD$509,COUNTIF($AD$10:$AD$509,"&lt;="&amp;S28)+1),""))</f>
        <v>46231</v>
      </c>
      <c r="T29" s="74" t="n">
        <f aca="false">IF(S29="","",INDEX($AE$10:$AE$509,MATCH(S29,$AD$10:$AD$509,0)))</f>
        <v>29.5</v>
      </c>
      <c r="U29" s="74" t="n">
        <f aca="false">IF(S29="","",IFERROR(INDEX($AG$10:$AG$509,MATCH(S29,$AF$10:$AF$509,0)),""))</f>
        <v>67307.54</v>
      </c>
      <c r="V29" s="76" t="n">
        <f aca="false">IF(AND(ISNUMBER(T29),ISNUMBER(T28)),T29/T28-1,"")</f>
        <v>0.0161901481226316</v>
      </c>
      <c r="W29" s="76" t="n">
        <f aca="false">IF(AND(ISNUMBER(U29),ISNUMBER(U28)),U29/U28-1,"")</f>
        <v>0.00222803240898939</v>
      </c>
      <c r="X29" s="75" t="n">
        <f aca="false">IF(AND(ISNUMBER(V29),ISNUMBER(W29)),1,"")</f>
        <v>1</v>
      </c>
      <c r="Y29" s="76" t="n">
        <f aca="false">IF(X29=1,V29,"")</f>
        <v>0.0161901481226316</v>
      </c>
      <c r="Z29" s="76" t="n">
        <f aca="false">IF(X29=1,W29,"")</f>
        <v>0.00222803240898939</v>
      </c>
      <c r="AA29" s="76" t="n">
        <f aca="false">IF(X29=1,V29,NA())</f>
        <v>0.0161901481226316</v>
      </c>
      <c r="AB29" s="76" t="n">
        <f aca="false">IF(X29=1,W29,NA())</f>
        <v>0.00222803240898939</v>
      </c>
      <c r="AD29" s="73" t="n">
        <f aca="false">IF(ISNUMBER(AE29),IF(ISNUMBER('Base de Datos'!A25),IF('Base de Datos'!A25&gt;20000,DATE(YEAR('Base de Datos'!A25),DAY('Base de Datos'!A25),MONTH('Base de Datos'!A25)),""),IF(TRIM('Base de Datos'!A25)="","",IFERROR(DATE(VALUE(RIGHT(TRIM('Base de Datos'!A25),4)),VALUE(LEFT(TRIM('Base de Datos'!A25),2)),VALUE(MID(TRIM('Base de Datos'!A25),4,2))),""))),"")</f>
        <v>46237</v>
      </c>
      <c r="AE29" s="74" t="n">
        <f aca="false">IF(ISNUMBER('Base de Datos'!B25),'Base de Datos'!B25,IF(TRIM('Base de Datos'!B25)="","",IFERROR(IF(IFERROR(FIND("@",SUBSTITUTE(TRIM('Base de Datos'!B25),",","@",LEN(TRIM('Base de Datos'!B25))-LEN(SUBSTITUTE(TRIM('Base de Datos'!B25),",","")))),0)&gt;IFERROR(FIND("@",SUBSTITUTE(TRIM('Base de Datos'!B25),".","@",LEN(TRIM('Base de Datos'!B25))-LEN(SUBSTITUTE(TRIM('Base de Datos'!B25),".","")))),0),_xlfn.NUMBERVALUE(SUBSTITUTE(SUBSTITUTE(TRIM('Base de Datos'!B25),".",""),",","."),".",","),_xlfn.NUMBERVALUE(SUBSTITUTE(TRIM('Base de Datos'!B25),",",""),".",",")),"")))</f>
        <v>29.8</v>
      </c>
      <c r="AF29" s="73" t="n">
        <f aca="false">IF(ISNUMBER(AG29),IF(ISNUMBER('Base de Datos'!I25),IF('Base de Datos'!I25&gt;20000,INT('Base de Datos'!I25),""),IF(TRIM('Base de Datos'!I25)="","",IFERROR(DATE(VALUE(RIGHT(TRIM('Base de Datos'!I25),4)),VALUE(MID(TRIM('Base de Datos'!I25),4,2)),VALUE(LEFT(TRIM('Base de Datos'!I25),2))),IFERROR(DATEVALUE(TRIM('Base de Datos'!I25)),"")))),"")</f>
        <v>46231</v>
      </c>
      <c r="AG29" s="74" t="n">
        <f aca="false">IF(ISNUMBER('Base de Datos'!J25),'Base de Datos'!J25,IF(TRIM('Base de Datos'!J25)="","",IFERROR(IF(IFERROR(FIND("@",SUBSTITUTE(TRIM('Base de Datos'!J25),",","@",LEN(TRIM('Base de Datos'!J25))-LEN(SUBSTITUTE(TRIM('Base de Datos'!J25),",","")))),0)&gt;IFERROR(FIND("@",SUBSTITUTE(TRIM('Base de Datos'!J25),".","@",LEN(TRIM('Base de Datos'!J25))-LEN(SUBSTITUTE(TRIM('Base de Datos'!J25),".","")))),0),_xlfn.NUMBERVALUE(SUBSTITUTE(SUBSTITUTE(TRIM('Base de Datos'!J25),".",""),",","."),".",","),_xlfn.NUMBERVALUE(SUBSTITUTE(TRIM('Base de Datos'!J25),",",""),".",",")),"")))</f>
        <v>67307.54</v>
      </c>
      <c r="AH29" s="73" t="n">
        <f aca="false">IF(ISNUMBER(AI29),IF(ISNUMBER('Base de Datos'!Q25),IF('Base de Datos'!Q25&gt;20000,DATE(YEAR('Base de Datos'!Q25),DAY('Base de Datos'!Q25),MONTH('Base de Datos'!Q25)),""),IF(TRIM('Base de Datos'!Q25)="","",IFERROR(DATE(VALUE(RIGHT(TRIM('Base de Datos'!Q25),4)),VALUE(LEFT(TRIM('Base de Datos'!Q25),2)),VALUE(MID(TRIM('Base de Datos'!Q25),4,2))),""))),"")</f>
        <v>44619</v>
      </c>
      <c r="AI29" s="74" t="n">
        <f aca="false">IF(ISNUMBER('Base de Datos'!R25),'Base de Datos'!R25,IF(TRIM('Base de Datos'!R25)="","",IFERROR(IF(IFERROR(FIND("@",SUBSTITUTE(TRIM('Base de Datos'!R25),",","@",LEN(TRIM('Base de Datos'!R25))-LEN(SUBSTITUTE(TRIM('Base de Datos'!R25),",","")))),0)&gt;IFERROR(FIND("@",SUBSTITUTE(TRIM('Base de Datos'!R25),".","@",LEN(TRIM('Base de Datos'!R25))-LEN(SUBSTITUTE(TRIM('Base de Datos'!R25),".","")))),0),_xlfn.NUMBERVALUE(SUBSTITUTE(SUBSTITUTE(TRIM('Base de Datos'!R25),".",""),",","."),".",","),_xlfn.NUMBERVALUE(SUBSTITUTE(TRIM('Base de Datos'!R25),",",""),".",",")),"")))</f>
        <v>22.91</v>
      </c>
      <c r="AJ29" s="73" t="n">
        <f aca="false">IF(ISNUMBER(AK29),IF(ISNUMBER('Base de Datos'!Y25),IF('Base de Datos'!Y25&gt;20000,INT('Base de Datos'!Y25),""),IF(TRIM('Base de Datos'!Y25)="","",IFERROR(DATE(VALUE(RIGHT(TRIM('Base de Datos'!Y25),4)),VALUE(MID(TRIM('Base de Datos'!Y25),4,2)),VALUE(LEFT(TRIM('Base de Datos'!Y25),2))),IFERROR(DATEVALUE(TRIM('Base de Datos'!Y25)),"")))),"")</f>
        <v>44619</v>
      </c>
      <c r="AK29" s="74" t="n">
        <f aca="false">IF(ISNUMBER('Base de Datos'!Z25),'Base de Datos'!Z25,IF(TRIM('Base de Datos'!Z25)="","",IFERROR(IF(IFERROR(FIND("@",SUBSTITUTE(TRIM('Base de Datos'!Z25),",","@",LEN(TRIM('Base de Datos'!Z25))-LEN(SUBSTITUTE(TRIM('Base de Datos'!Z25),",","")))),0)&gt;IFERROR(FIND("@",SUBSTITUTE(TRIM('Base de Datos'!Z25),".","@",LEN(TRIM('Base de Datos'!Z25))-LEN(SUBSTITUTE(TRIM('Base de Datos'!Z25),".","")))),0),_xlfn.NUMBERVALUE(SUBSTITUTE(SUBSTITUTE(TRIM('Base de Datos'!Z25),".",""),",","."),".",","),_xlfn.NUMBERVALUE(SUBSTITUTE(TRIM('Base de Datos'!Z25),",",""),".",",")),"")))</f>
        <v>53322.05</v>
      </c>
    </row>
    <row r="30" customFormat="false" ht="13.5" hidden="false" customHeight="false" outlineLevel="0" collapsed="false">
      <c r="A30" s="75" t="n">
        <f aca="false">ROWS(A$13:A30)</f>
        <v>18</v>
      </c>
      <c r="B30" s="73" t="n">
        <f aca="false">IF(B29="","",IFERROR(SMALL($AH$10:$AH$409,COUNTIF($AH$10:$AH$409,"&lt;="&amp;B29)+1),""))</f>
        <v>44605</v>
      </c>
      <c r="C30" s="74" t="n">
        <f aca="false">IF(B30="","",INDEX($AI$10:$AI$409,MATCH(B30,$AH$10:$AH$409,0)))</f>
        <v>23.11</v>
      </c>
      <c r="D30" s="74" t="n">
        <f aca="false">IF(B30="","",IFERROR(INDEX($AK$10:$AK$409,MATCH(B30,$AJ$10:$AJ$409,0)),""))</f>
        <v>52281.53</v>
      </c>
      <c r="E30" s="76" t="n">
        <f aca="false">IF(AND(ISNUMBER(C30),ISNUMBER(C29)),C30/C29-1,"")</f>
        <v>0.0239255649091714</v>
      </c>
      <c r="F30" s="76" t="n">
        <f aca="false">IF(AND(ISNUMBER(D30),ISNUMBER(D29)),D30/D29-1,"")</f>
        <v>-0.0178046811096003</v>
      </c>
      <c r="G30" s="75" t="n">
        <f aca="false">IF(AND(ISNUMBER(E30),ISNUMBER(F30)),1,"")</f>
        <v>1</v>
      </c>
      <c r="H30" s="75" t="n">
        <f aca="false">IF(G30=1,COUNT(G30:G$412),"")</f>
        <v>242</v>
      </c>
      <c r="I30" s="75" t="n">
        <f aca="false">IF(G30=1,IF(H30&lt;='Beta Regresión'!$B$5,1,""),"")</f>
        <v>1</v>
      </c>
      <c r="J30" s="76" t="n">
        <f aca="false">IF(I30=1,E30,"")</f>
        <v>0.0239255649091714</v>
      </c>
      <c r="K30" s="76" t="n">
        <f aca="false">IF(I30=1,F30,"")</f>
        <v>-0.0178046811096003</v>
      </c>
      <c r="L30" s="75" t="n">
        <f aca="false">IF(I30=1,COUNT(I$13:I30),"")</f>
        <v>17</v>
      </c>
      <c r="M30" s="76" t="n">
        <f aca="false">IFERROR(INDEX($J$13:$J$412,MATCH(A30,$L$13:$L$412,0)),"")</f>
        <v>0.0060579835569019</v>
      </c>
      <c r="N30" s="76" t="n">
        <f aca="false">IFERROR(INDEX($K$13:$K$412,MATCH(A30,$L$13:$L$412,0)),"")</f>
        <v>0.00524219547515159</v>
      </c>
      <c r="O30" s="76" t="n">
        <f aca="false">IF(I30=1,E30,NA())</f>
        <v>0.0239255649091714</v>
      </c>
      <c r="P30" s="76" t="n">
        <f aca="false">IF(I30=1,F30,NA())</f>
        <v>-0.0178046811096003</v>
      </c>
      <c r="R30" s="75" t="n">
        <f aca="false">ROWS(R$13:R30)</f>
        <v>18</v>
      </c>
      <c r="S30" s="73" t="n">
        <f aca="false">IF(S29="","",IFERROR(SMALL($AD$10:$AD$509,COUNTIF($AD$10:$AD$509,"&lt;="&amp;S29)+1),""))</f>
        <v>46232</v>
      </c>
      <c r="T30" s="74" t="n">
        <f aca="false">IF(S30="","",INDEX($AE$10:$AE$509,MATCH(S30,$AD$10:$AD$509,0)))</f>
        <v>29.6</v>
      </c>
      <c r="U30" s="74" t="n">
        <f aca="false">IF(S30="","",IFERROR(INDEX($AG$10:$AG$509,MATCH(S30,$AF$10:$AF$509,0)),""))</f>
        <v>66479.89</v>
      </c>
      <c r="V30" s="76" t="n">
        <f aca="false">IF(AND(ISNUMBER(T30),ISNUMBER(T29)),T30/T29-1,"")</f>
        <v>0.00338983050847452</v>
      </c>
      <c r="W30" s="76" t="n">
        <f aca="false">IF(AND(ISNUMBER(U30),ISNUMBER(U29)),U30/U29-1,"")</f>
        <v>-0.0122965421110324</v>
      </c>
      <c r="X30" s="75" t="n">
        <f aca="false">IF(AND(ISNUMBER(V30),ISNUMBER(W30)),1,"")</f>
        <v>1</v>
      </c>
      <c r="Y30" s="76" t="n">
        <f aca="false">IF(X30=1,V30,"")</f>
        <v>0.00338983050847452</v>
      </c>
      <c r="Z30" s="76" t="n">
        <f aca="false">IF(X30=1,W30,"")</f>
        <v>-0.0122965421110324</v>
      </c>
      <c r="AA30" s="76" t="n">
        <f aca="false">IF(X30=1,V30,NA())</f>
        <v>0.00338983050847452</v>
      </c>
      <c r="AB30" s="76" t="n">
        <f aca="false">IF(X30=1,W30,NA())</f>
        <v>-0.0122965421110324</v>
      </c>
      <c r="AD30" s="73" t="n">
        <f aca="false">IF(ISNUMBER(AE30),IF(ISNUMBER('Base de Datos'!A26),IF('Base de Datos'!A26&gt;20000,DATE(YEAR('Base de Datos'!A26),DAY('Base de Datos'!A26),MONTH('Base de Datos'!A26)),""),IF(TRIM('Base de Datos'!A26)="","",IFERROR(DATE(VALUE(RIGHT(TRIM('Base de Datos'!A26),4)),VALUE(LEFT(TRIM('Base de Datos'!A26),2)),VALUE(MID(TRIM('Base de Datos'!A26),4,2))),""))),"")</f>
        <v>46239</v>
      </c>
      <c r="AE30" s="74" t="n">
        <f aca="false">IF(ISNUMBER('Base de Datos'!B26),'Base de Datos'!B26,IF(TRIM('Base de Datos'!B26)="","",IFERROR(IF(IFERROR(FIND("@",SUBSTITUTE(TRIM('Base de Datos'!B26),",","@",LEN(TRIM('Base de Datos'!B26))-LEN(SUBSTITUTE(TRIM('Base de Datos'!B26),",","")))),0)&gt;IFERROR(FIND("@",SUBSTITUTE(TRIM('Base de Datos'!B26),".","@",LEN(TRIM('Base de Datos'!B26))-LEN(SUBSTITUTE(TRIM('Base de Datos'!B26),".","")))),0),_xlfn.NUMBERVALUE(SUBSTITUTE(SUBSTITUTE(TRIM('Base de Datos'!B26),".",""),",","."),".",","),_xlfn.NUMBERVALUE(SUBSTITUTE(TRIM('Base de Datos'!B26),",",""),".",",")),"")))</f>
        <v>29</v>
      </c>
      <c r="AF30" s="73" t="n">
        <f aca="false">IF(ISNUMBER(AG30),IF(ISNUMBER('Base de Datos'!I26),IF('Base de Datos'!I26&gt;20000,INT('Base de Datos'!I26),""),IF(TRIM('Base de Datos'!I26)="","",IFERROR(DATE(VALUE(RIGHT(TRIM('Base de Datos'!I26),4)),VALUE(MID(TRIM('Base de Datos'!I26),4,2)),VALUE(LEFT(TRIM('Base de Datos'!I26),2))),IFERROR(DATEVALUE(TRIM('Base de Datos'!I26)),"")))),"")</f>
        <v>46232</v>
      </c>
      <c r="AG30" s="74" t="n">
        <f aca="false">IF(ISNUMBER('Base de Datos'!J26),'Base de Datos'!J26,IF(TRIM('Base de Datos'!J26)="","",IFERROR(IF(IFERROR(FIND("@",SUBSTITUTE(TRIM('Base de Datos'!J26),",","@",LEN(TRIM('Base de Datos'!J26))-LEN(SUBSTITUTE(TRIM('Base de Datos'!J26),",","")))),0)&gt;IFERROR(FIND("@",SUBSTITUTE(TRIM('Base de Datos'!J26),".","@",LEN(TRIM('Base de Datos'!J26))-LEN(SUBSTITUTE(TRIM('Base de Datos'!J26),".","")))),0),_xlfn.NUMBERVALUE(SUBSTITUTE(SUBSTITUTE(TRIM('Base de Datos'!J26),".",""),",","."),".",","),_xlfn.NUMBERVALUE(SUBSTITUTE(TRIM('Base de Datos'!J26),",",""),".",",")),"")))</f>
        <v>66479.89</v>
      </c>
      <c r="AH30" s="73" t="n">
        <f aca="false">IF(ISNUMBER(AI30),IF(ISNUMBER('Base de Datos'!Q26),IF('Base de Datos'!Q26&gt;20000,DATE(YEAR('Base de Datos'!Q26),DAY('Base de Datos'!Q26),MONTH('Base de Datos'!Q26)),""),IF(TRIM('Base de Datos'!Q26)="","",IFERROR(DATE(VALUE(RIGHT(TRIM('Base de Datos'!Q26),4)),VALUE(LEFT(TRIM('Base de Datos'!Q26),2)),VALUE(MID(TRIM('Base de Datos'!Q26),4,2))),""))),"")</f>
        <v>44626</v>
      </c>
      <c r="AI30" s="74" t="n">
        <f aca="false">IF(ISNUMBER('Base de Datos'!R26),'Base de Datos'!R26,IF(TRIM('Base de Datos'!R26)="","",IFERROR(IF(IFERROR(FIND("@",SUBSTITUTE(TRIM('Base de Datos'!R26),",","@",LEN(TRIM('Base de Datos'!R26))-LEN(SUBSTITUTE(TRIM('Base de Datos'!R26),",","")))),0)&gt;IFERROR(FIND("@",SUBSTITUTE(TRIM('Base de Datos'!R26),".","@",LEN(TRIM('Base de Datos'!R26))-LEN(SUBSTITUTE(TRIM('Base de Datos'!R26),".","")))),0),_xlfn.NUMBERVALUE(SUBSTITUTE(SUBSTITUTE(TRIM('Base de Datos'!R26),".",""),",","."),".",","),_xlfn.NUMBERVALUE(SUBSTITUTE(TRIM('Base de Datos'!R26),",",""),".",",")),"")))</f>
        <v>22.7</v>
      </c>
      <c r="AJ30" s="73" t="n">
        <f aca="false">IF(ISNUMBER(AK30),IF(ISNUMBER('Base de Datos'!Y26),IF('Base de Datos'!Y26&gt;20000,INT('Base de Datos'!Y26),""),IF(TRIM('Base de Datos'!Y26)="","",IFERROR(DATE(VALUE(RIGHT(TRIM('Base de Datos'!Y26),4)),VALUE(MID(TRIM('Base de Datos'!Y26),4,2)),VALUE(LEFT(TRIM('Base de Datos'!Y26),2))),IFERROR(DATEVALUE(TRIM('Base de Datos'!Y26)),"")))),"")</f>
        <v>44626</v>
      </c>
      <c r="AK30" s="74" t="n">
        <f aca="false">IF(ISNUMBER('Base de Datos'!Z26),'Base de Datos'!Z26,IF(TRIM('Base de Datos'!Z26)="","",IFERROR(IF(IFERROR(FIND("@",SUBSTITUTE(TRIM('Base de Datos'!Z26),",","@",LEN(TRIM('Base de Datos'!Z26))-LEN(SUBSTITUTE(TRIM('Base de Datos'!Z26),",","")))),0)&gt;IFERROR(FIND("@",SUBSTITUTE(TRIM('Base de Datos'!Z26),".","@",LEN(TRIM('Base de Datos'!Z26))-LEN(SUBSTITUTE(TRIM('Base de Datos'!Z26),".","")))),0),_xlfn.NUMBERVALUE(SUBSTITUTE(SUBSTITUTE(TRIM('Base de Datos'!Z26),".",""),",","."),".",","),_xlfn.NUMBERVALUE(SUBSTITUTE(TRIM('Base de Datos'!Z26),",",""),".",",")),"")))</f>
        <v>53300.7</v>
      </c>
    </row>
    <row r="31" customFormat="false" ht="13.5" hidden="false" customHeight="false" outlineLevel="0" collapsed="false">
      <c r="A31" s="75" t="n">
        <f aca="false">ROWS(A$13:A31)</f>
        <v>19</v>
      </c>
      <c r="B31" s="73" t="n">
        <f aca="false">IF(B30="","",IFERROR(SMALL($AH$10:$AH$409,COUNTIF($AH$10:$AH$409,"&lt;="&amp;B30)+1),""))</f>
        <v>44612</v>
      </c>
      <c r="C31" s="74" t="n">
        <f aca="false">IF(B31="","",INDEX($AI$10:$AI$409,MATCH(B31,$AH$10:$AH$409,0)))</f>
        <v>23.25</v>
      </c>
      <c r="D31" s="74" t="n">
        <f aca="false">IF(B31="","",IFERROR(INDEX($AK$10:$AK$409,MATCH(B31,$AJ$10:$AJ$409,0)),""))</f>
        <v>52555.6</v>
      </c>
      <c r="E31" s="76" t="n">
        <f aca="false">IF(AND(ISNUMBER(C31),ISNUMBER(C30)),C31/C30-1,"")</f>
        <v>0.0060579835569019</v>
      </c>
      <c r="F31" s="76" t="n">
        <f aca="false">IF(AND(ISNUMBER(D31),ISNUMBER(D30)),D31/D30-1,"")</f>
        <v>0.00524219547515159</v>
      </c>
      <c r="G31" s="75" t="n">
        <f aca="false">IF(AND(ISNUMBER(E31),ISNUMBER(F31)),1,"")</f>
        <v>1</v>
      </c>
      <c r="H31" s="75" t="n">
        <f aca="false">IF(G31=1,COUNT(G31:G$412),"")</f>
        <v>241</v>
      </c>
      <c r="I31" s="75" t="n">
        <f aca="false">IF(G31=1,IF(H31&lt;='Beta Regresión'!$B$5,1,""),"")</f>
        <v>1</v>
      </c>
      <c r="J31" s="76" t="n">
        <f aca="false">IF(I31=1,E31,"")</f>
        <v>0.0060579835569019</v>
      </c>
      <c r="K31" s="76" t="n">
        <f aca="false">IF(I31=1,F31,"")</f>
        <v>0.00524219547515159</v>
      </c>
      <c r="L31" s="75" t="n">
        <f aca="false">IF(I31=1,COUNT(I$13:I31),"")</f>
        <v>18</v>
      </c>
      <c r="M31" s="76" t="n">
        <f aca="false">IFERROR(INDEX($J$13:$J$412,MATCH(A31,$L$13:$L$412,0)),"")</f>
        <v>-0.0146236559139785</v>
      </c>
      <c r="N31" s="76" t="n">
        <f aca="false">IFERROR(INDEX($K$13:$K$412,MATCH(A31,$L$13:$L$412,0)),"")</f>
        <v>0.0145836028891309</v>
      </c>
      <c r="O31" s="76" t="n">
        <f aca="false">IF(I31=1,E31,NA())</f>
        <v>0.0060579835569019</v>
      </c>
      <c r="P31" s="76" t="n">
        <f aca="false">IF(I31=1,F31,NA())</f>
        <v>0.00524219547515159</v>
      </c>
      <c r="R31" s="75" t="n">
        <f aca="false">ROWS(R$13:R31)</f>
        <v>19</v>
      </c>
      <c r="S31" s="73" t="n">
        <f aca="false">IF(S30="","",IFERROR(SMALL($AD$10:$AD$509,COUNTIF($AD$10:$AD$509,"&lt;="&amp;S30)+1),""))</f>
        <v>46234</v>
      </c>
      <c r="T31" s="74" t="n">
        <f aca="false">IF(S31="","",INDEX($AE$10:$AE$509,MATCH(S31,$AD$10:$AD$509,0)))</f>
        <v>29.59</v>
      </c>
      <c r="U31" s="74" t="n">
        <f aca="false">IF(S31="","",IFERROR(INDEX($AG$10:$AG$509,MATCH(S31,$AF$10:$AF$509,0)),""))</f>
        <v>66936.99</v>
      </c>
      <c r="V31" s="76" t="n">
        <f aca="false">IF(AND(ISNUMBER(T31),ISNUMBER(T30)),T31/T30-1,"")</f>
        <v>-0.000337837837837918</v>
      </c>
      <c r="W31" s="76" t="n">
        <f aca="false">IF(AND(ISNUMBER(U31),ISNUMBER(U30)),U31/U30-1,"")</f>
        <v>0.00687576348276164</v>
      </c>
      <c r="X31" s="75" t="n">
        <f aca="false">IF(AND(ISNUMBER(V31),ISNUMBER(W31)),1,"")</f>
        <v>1</v>
      </c>
      <c r="Y31" s="76" t="n">
        <f aca="false">IF(X31=1,V31,"")</f>
        <v>-0.000337837837837918</v>
      </c>
      <c r="Z31" s="76" t="n">
        <f aca="false">IF(X31=1,W31,"")</f>
        <v>0.00687576348276164</v>
      </c>
      <c r="AA31" s="76" t="n">
        <f aca="false">IF(X31=1,V31,NA())</f>
        <v>-0.000337837837837918</v>
      </c>
      <c r="AB31" s="76" t="n">
        <f aca="false">IF(X31=1,W31,NA())</f>
        <v>0.00687576348276164</v>
      </c>
      <c r="AD31" s="73" t="n">
        <f aca="false">IF(ISNUMBER(AE31),IF(ISNUMBER('Base de Datos'!A27),IF('Base de Datos'!A27&gt;20000,DATE(YEAR('Base de Datos'!A27),DAY('Base de Datos'!A27),MONTH('Base de Datos'!A27)),""),IF(TRIM('Base de Datos'!A27)="","",IFERROR(DATE(VALUE(RIGHT(TRIM('Base de Datos'!A27),4)),VALUE(LEFT(TRIM('Base de Datos'!A27),2)),VALUE(MID(TRIM('Base de Datos'!A27),4,2))),""))),"")</f>
        <v>46240</v>
      </c>
      <c r="AE31" s="74" t="n">
        <f aca="false">IF(ISNUMBER('Base de Datos'!B27),'Base de Datos'!B27,IF(TRIM('Base de Datos'!B27)="","",IFERROR(IF(IFERROR(FIND("@",SUBSTITUTE(TRIM('Base de Datos'!B27),",","@",LEN(TRIM('Base de Datos'!B27))-LEN(SUBSTITUTE(TRIM('Base de Datos'!B27),",","")))),0)&gt;IFERROR(FIND("@",SUBSTITUTE(TRIM('Base de Datos'!B27),".","@",LEN(TRIM('Base de Datos'!B27))-LEN(SUBSTITUTE(TRIM('Base de Datos'!B27),".","")))),0),_xlfn.NUMBERVALUE(SUBSTITUTE(SUBSTITUTE(TRIM('Base de Datos'!B27),".",""),",","."),".",","),_xlfn.NUMBERVALUE(SUBSTITUTE(TRIM('Base de Datos'!B27),",",""),".",",")),"")))</f>
        <v>29</v>
      </c>
      <c r="AF31" s="73" t="n">
        <f aca="false">IF(ISNUMBER(AG31),IF(ISNUMBER('Base de Datos'!I27),IF('Base de Datos'!I27&gt;20000,INT('Base de Datos'!I27),""),IF(TRIM('Base de Datos'!I27)="","",IFERROR(DATE(VALUE(RIGHT(TRIM('Base de Datos'!I27),4)),VALUE(MID(TRIM('Base de Datos'!I27),4,2)),VALUE(LEFT(TRIM('Base de Datos'!I27),2))),IFERROR(DATEVALUE(TRIM('Base de Datos'!I27)),"")))),"")</f>
        <v>46233</v>
      </c>
      <c r="AG31" s="74" t="n">
        <f aca="false">IF(ISNUMBER('Base de Datos'!J27),'Base de Datos'!J27,IF(TRIM('Base de Datos'!J27)="","",IFERROR(IF(IFERROR(FIND("@",SUBSTITUTE(TRIM('Base de Datos'!J27),",","@",LEN(TRIM('Base de Datos'!J27))-LEN(SUBSTITUTE(TRIM('Base de Datos'!J27),",","")))),0)&gt;IFERROR(FIND("@",SUBSTITUTE(TRIM('Base de Datos'!J27),".","@",LEN(TRIM('Base de Datos'!J27))-LEN(SUBSTITUTE(TRIM('Base de Datos'!J27),".","")))),0),_xlfn.NUMBERVALUE(SUBSTITUTE(SUBSTITUTE(TRIM('Base de Datos'!J27),".",""),",","."),".",","),_xlfn.NUMBERVALUE(SUBSTITUTE(TRIM('Base de Datos'!J27),",",""),".",",")),"")))</f>
        <v>67290.4</v>
      </c>
      <c r="AH31" s="73" t="n">
        <f aca="false">IF(ISNUMBER(AI31),IF(ISNUMBER('Base de Datos'!Q27),IF('Base de Datos'!Q27&gt;20000,DATE(YEAR('Base de Datos'!Q27),DAY('Base de Datos'!Q27),MONTH('Base de Datos'!Q27)),""),IF(TRIM('Base de Datos'!Q27)="","",IFERROR(DATE(VALUE(RIGHT(TRIM('Base de Datos'!Q27),4)),VALUE(LEFT(TRIM('Base de Datos'!Q27),2)),VALUE(MID(TRIM('Base de Datos'!Q27),4,2))),""))),"")</f>
        <v>44633</v>
      </c>
      <c r="AI31" s="74" t="n">
        <f aca="false">IF(ISNUMBER('Base de Datos'!R27),'Base de Datos'!R27,IF(TRIM('Base de Datos'!R27)="","",IFERROR(IF(IFERROR(FIND("@",SUBSTITUTE(TRIM('Base de Datos'!R27),",","@",LEN(TRIM('Base de Datos'!R27))-LEN(SUBSTITUTE(TRIM('Base de Datos'!R27),",","")))),0)&gt;IFERROR(FIND("@",SUBSTITUTE(TRIM('Base de Datos'!R27),".","@",LEN(TRIM('Base de Datos'!R27))-LEN(SUBSTITUTE(TRIM('Base de Datos'!R27),".","")))),0),_xlfn.NUMBERVALUE(SUBSTITUTE(SUBSTITUTE(TRIM('Base de Datos'!R27),".",""),",","."),".",","),_xlfn.NUMBERVALUE(SUBSTITUTE(TRIM('Base de Datos'!R27),",",""),".",",")),"")))</f>
        <v>21.62</v>
      </c>
      <c r="AJ31" s="73" t="n">
        <f aca="false">IF(ISNUMBER(AK31),IF(ISNUMBER('Base de Datos'!Y27),IF('Base de Datos'!Y27&gt;20000,INT('Base de Datos'!Y27),""),IF(TRIM('Base de Datos'!Y27)="","",IFERROR(DATE(VALUE(RIGHT(TRIM('Base de Datos'!Y27),4)),VALUE(MID(TRIM('Base de Datos'!Y27),4,2)),VALUE(LEFT(TRIM('Base de Datos'!Y27),2))),IFERROR(DATEVALUE(TRIM('Base de Datos'!Y27)),"")))),"")</f>
        <v>44633</v>
      </c>
      <c r="AK31" s="74" t="n">
        <f aca="false">IF(ISNUMBER('Base de Datos'!Z27),'Base de Datos'!Z27,IF(TRIM('Base de Datos'!Z27)="","",IFERROR(IF(IFERROR(FIND("@",SUBSTITUTE(TRIM('Base de Datos'!Z27),",","@",LEN(TRIM('Base de Datos'!Z27))-LEN(SUBSTITUTE(TRIM('Base de Datos'!Z27),",","")))),0)&gt;IFERROR(FIND("@",SUBSTITUTE(TRIM('Base de Datos'!Z27),".","@",LEN(TRIM('Base de Datos'!Z27))-LEN(SUBSTITUTE(TRIM('Base de Datos'!Z27),".","")))),0),_xlfn.NUMBERVALUE(SUBSTITUTE(SUBSTITUTE(TRIM('Base de Datos'!Z27),".",""),",","."),".",","),_xlfn.NUMBERVALUE(SUBSTITUTE(TRIM('Base de Datos'!Z27),",",""),".",",")),"")))</f>
        <v>55467.06</v>
      </c>
    </row>
    <row r="32" customFormat="false" ht="13.5" hidden="false" customHeight="false" outlineLevel="0" collapsed="false">
      <c r="A32" s="75" t="n">
        <f aca="false">ROWS(A$13:A32)</f>
        <v>20</v>
      </c>
      <c r="B32" s="73" t="n">
        <f aca="false">IF(B31="","",IFERROR(SMALL($AH$10:$AH$409,COUNTIF($AH$10:$AH$409,"&lt;="&amp;B31)+1),""))</f>
        <v>44619</v>
      </c>
      <c r="C32" s="74" t="n">
        <f aca="false">IF(B32="","",INDEX($AI$10:$AI$409,MATCH(B32,$AH$10:$AH$409,0)))</f>
        <v>22.91</v>
      </c>
      <c r="D32" s="74" t="n">
        <f aca="false">IF(B32="","",IFERROR(INDEX($AK$10:$AK$409,MATCH(B32,$AJ$10:$AJ$409,0)),""))</f>
        <v>53322.05</v>
      </c>
      <c r="E32" s="76" t="n">
        <f aca="false">IF(AND(ISNUMBER(C32),ISNUMBER(C31)),C32/C31-1,"")</f>
        <v>-0.0146236559139785</v>
      </c>
      <c r="F32" s="76" t="n">
        <f aca="false">IF(AND(ISNUMBER(D32),ISNUMBER(D31)),D32/D31-1,"")</f>
        <v>0.0145836028891309</v>
      </c>
      <c r="G32" s="75" t="n">
        <f aca="false">IF(AND(ISNUMBER(E32),ISNUMBER(F32)),1,"")</f>
        <v>1</v>
      </c>
      <c r="H32" s="75" t="n">
        <f aca="false">IF(G32=1,COUNT(G32:G$412),"")</f>
        <v>240</v>
      </c>
      <c r="I32" s="75" t="n">
        <f aca="false">IF(G32=1,IF(H32&lt;='Beta Regresión'!$B$5,1,""),"")</f>
        <v>1</v>
      </c>
      <c r="J32" s="76" t="n">
        <f aca="false">IF(I32=1,E32,"")</f>
        <v>-0.0146236559139785</v>
      </c>
      <c r="K32" s="76" t="n">
        <f aca="false">IF(I32=1,F32,"")</f>
        <v>0.0145836028891309</v>
      </c>
      <c r="L32" s="75" t="n">
        <f aca="false">IF(I32=1,COUNT(I$13:I32),"")</f>
        <v>19</v>
      </c>
      <c r="M32" s="76" t="n">
        <f aca="false">IFERROR(INDEX($J$13:$J$412,MATCH(A32,$L$13:$L$412,0)),"")</f>
        <v>-0.00916630292448717</v>
      </c>
      <c r="N32" s="76" t="n">
        <f aca="false">IFERROR(INDEX($K$13:$K$412,MATCH(A32,$L$13:$L$412,0)),"")</f>
        <v>-0.00040039720903462</v>
      </c>
      <c r="O32" s="76" t="n">
        <f aca="false">IF(I32=1,E32,NA())</f>
        <v>-0.0146236559139785</v>
      </c>
      <c r="P32" s="76" t="n">
        <f aca="false">IF(I32=1,F32,NA())</f>
        <v>0.0145836028891309</v>
      </c>
      <c r="R32" s="75" t="n">
        <f aca="false">ROWS(R$13:R32)</f>
        <v>20</v>
      </c>
      <c r="S32" s="73" t="n">
        <f aca="false">IF(S31="","",IFERROR(SMALL($AD$10:$AD$509,COUNTIF($AD$10:$AD$509,"&lt;="&amp;S31)+1),""))</f>
        <v>46237</v>
      </c>
      <c r="T32" s="74" t="n">
        <f aca="false">IF(S32="","",INDEX($AE$10:$AE$509,MATCH(S32,$AD$10:$AD$509,0)))</f>
        <v>29.8</v>
      </c>
      <c r="U32" s="74" t="n">
        <f aca="false">IF(S32="","",IFERROR(INDEX($AG$10:$AG$509,MATCH(S32,$AF$10:$AF$509,0)),""))</f>
        <v>66697.22</v>
      </c>
      <c r="V32" s="76" t="n">
        <f aca="false">IF(AND(ISNUMBER(T32),ISNUMBER(T31)),T32/T31-1,"")</f>
        <v>0.0070969922271038</v>
      </c>
      <c r="W32" s="76" t="n">
        <f aca="false">IF(AND(ISNUMBER(U32),ISNUMBER(U31)),U32/U31-1,"")</f>
        <v>-0.00358202542420871</v>
      </c>
      <c r="X32" s="75" t="n">
        <f aca="false">IF(AND(ISNUMBER(V32),ISNUMBER(W32)),1,"")</f>
        <v>1</v>
      </c>
      <c r="Y32" s="76" t="n">
        <f aca="false">IF(X32=1,V32,"")</f>
        <v>0.0070969922271038</v>
      </c>
      <c r="Z32" s="76" t="n">
        <f aca="false">IF(X32=1,W32,"")</f>
        <v>-0.00358202542420871</v>
      </c>
      <c r="AA32" s="76" t="n">
        <f aca="false">IF(X32=1,V32,NA())</f>
        <v>0.0070969922271038</v>
      </c>
      <c r="AB32" s="76" t="n">
        <f aca="false">IF(X32=1,W32,NA())</f>
        <v>-0.00358202542420871</v>
      </c>
      <c r="AD32" s="73" t="n">
        <f aca="false">IF(ISNUMBER(AE32),IF(ISNUMBER('Base de Datos'!A28),IF('Base de Datos'!A28&gt;20000,DATE(YEAR('Base de Datos'!A28),DAY('Base de Datos'!A28),MONTH('Base de Datos'!A28)),""),IF(TRIM('Base de Datos'!A28)="","",IFERROR(DATE(VALUE(RIGHT(TRIM('Base de Datos'!A28),4)),VALUE(LEFT(TRIM('Base de Datos'!A28),2)),VALUE(MID(TRIM('Base de Datos'!A28),4,2))),""))),"")</f>
        <v>46241</v>
      </c>
      <c r="AE32" s="74" t="n">
        <f aca="false">IF(ISNUMBER('Base de Datos'!B28),'Base de Datos'!B28,IF(TRIM('Base de Datos'!B28)="","",IFERROR(IF(IFERROR(FIND("@",SUBSTITUTE(TRIM('Base de Datos'!B28),",","@",LEN(TRIM('Base de Datos'!B28))-LEN(SUBSTITUTE(TRIM('Base de Datos'!B28),",","")))),0)&gt;IFERROR(FIND("@",SUBSTITUTE(TRIM('Base de Datos'!B28),".","@",LEN(TRIM('Base de Datos'!B28))-LEN(SUBSTITUTE(TRIM('Base de Datos'!B28),".","")))),0),_xlfn.NUMBERVALUE(SUBSTITUTE(SUBSTITUTE(TRIM('Base de Datos'!B28),".",""),",","."),".",","),_xlfn.NUMBERVALUE(SUBSTITUTE(TRIM('Base de Datos'!B28),",",""),".",",")),"")))</f>
        <v>29.47</v>
      </c>
      <c r="AF32" s="73" t="n">
        <f aca="false">IF(ISNUMBER(AG32),IF(ISNUMBER('Base de Datos'!I28),IF('Base de Datos'!I28&gt;20000,INT('Base de Datos'!I28),""),IF(TRIM('Base de Datos'!I28)="","",IFERROR(DATE(VALUE(RIGHT(TRIM('Base de Datos'!I28),4)),VALUE(MID(TRIM('Base de Datos'!I28),4,2)),VALUE(LEFT(TRIM('Base de Datos'!I28),2))),IFERROR(DATEVALUE(TRIM('Base de Datos'!I28)),"")))),"")</f>
        <v>46234</v>
      </c>
      <c r="AG32" s="74" t="n">
        <f aca="false">IF(ISNUMBER('Base de Datos'!J28),'Base de Datos'!J28,IF(TRIM('Base de Datos'!J28)="","",IFERROR(IF(IFERROR(FIND("@",SUBSTITUTE(TRIM('Base de Datos'!J28),",","@",LEN(TRIM('Base de Datos'!J28))-LEN(SUBSTITUTE(TRIM('Base de Datos'!J28),",","")))),0)&gt;IFERROR(FIND("@",SUBSTITUTE(TRIM('Base de Datos'!J28),".","@",LEN(TRIM('Base de Datos'!J28))-LEN(SUBSTITUTE(TRIM('Base de Datos'!J28),".","")))),0),_xlfn.NUMBERVALUE(SUBSTITUTE(SUBSTITUTE(TRIM('Base de Datos'!J28),".",""),",","."),".",","),_xlfn.NUMBERVALUE(SUBSTITUTE(TRIM('Base de Datos'!J28),",",""),".",",")),"")))</f>
        <v>66936.99</v>
      </c>
      <c r="AH32" s="73" t="n">
        <f aca="false">IF(ISNUMBER(AI32),IF(ISNUMBER('Base de Datos'!Q28),IF('Base de Datos'!Q28&gt;20000,DATE(YEAR('Base de Datos'!Q28),DAY('Base de Datos'!Q28),MONTH('Base de Datos'!Q28)),""),IF(TRIM('Base de Datos'!Q28)="","",IFERROR(DATE(VALUE(RIGHT(TRIM('Base de Datos'!Q28),4)),VALUE(LEFT(TRIM('Base de Datos'!Q28),2)),VALUE(MID(TRIM('Base de Datos'!Q28),4,2))),""))),"")</f>
        <v>44640</v>
      </c>
      <c r="AI32" s="74" t="n">
        <f aca="false">IF(ISNUMBER('Base de Datos'!R28),'Base de Datos'!R28,IF(TRIM('Base de Datos'!R28)="","",IFERROR(IF(IFERROR(FIND("@",SUBSTITUTE(TRIM('Base de Datos'!R28),",","@",LEN(TRIM('Base de Datos'!R28))-LEN(SUBSTITUTE(TRIM('Base de Datos'!R28),",","")))),0)&gt;IFERROR(FIND("@",SUBSTITUTE(TRIM('Base de Datos'!R28),".","@",LEN(TRIM('Base de Datos'!R28))-LEN(SUBSTITUTE(TRIM('Base de Datos'!R28),".","")))),0),_xlfn.NUMBERVALUE(SUBSTITUTE(SUBSTITUTE(TRIM('Base de Datos'!R28),".",""),",","."),".",","),_xlfn.NUMBERVALUE(SUBSTITUTE(TRIM('Base de Datos'!R28),",",""),".",",")),"")))</f>
        <v>22.13</v>
      </c>
      <c r="AJ32" s="73" t="n">
        <f aca="false">IF(ISNUMBER(AK32),IF(ISNUMBER('Base de Datos'!Y28),IF('Base de Datos'!Y28&gt;20000,INT('Base de Datos'!Y28),""),IF(TRIM('Base de Datos'!Y28)="","",IFERROR(DATE(VALUE(RIGHT(TRIM('Base de Datos'!Y28),4)),VALUE(MID(TRIM('Base de Datos'!Y28),4,2)),VALUE(LEFT(TRIM('Base de Datos'!Y28),2))),IFERROR(DATEVALUE(TRIM('Base de Datos'!Y28)),"")))),"")</f>
        <v>44640</v>
      </c>
      <c r="AK32" s="74" t="n">
        <f aca="false">IF(ISNUMBER('Base de Datos'!Z28),'Base de Datos'!Z28,IF(TRIM('Base de Datos'!Z28)="","",IFERROR(IF(IFERROR(FIND("@",SUBSTITUTE(TRIM('Base de Datos'!Z28),",","@",LEN(TRIM('Base de Datos'!Z28))-LEN(SUBSTITUTE(TRIM('Base de Datos'!Z28),",","")))),0)&gt;IFERROR(FIND("@",SUBSTITUTE(TRIM('Base de Datos'!Z28),".","@",LEN(TRIM('Base de Datos'!Z28))-LEN(SUBSTITUTE(TRIM('Base de Datos'!Z28),".","")))),0),_xlfn.NUMBERVALUE(SUBSTITUTE(SUBSTITUTE(TRIM('Base de Datos'!Z28),".",""),",","."),".",","),_xlfn.NUMBERVALUE(SUBSTITUTE(TRIM('Base de Datos'!Z28),",",""),".",",")),"")))</f>
        <v>55436.05</v>
      </c>
    </row>
    <row r="33" customFormat="false" ht="13.5" hidden="false" customHeight="false" outlineLevel="0" collapsed="false">
      <c r="A33" s="75" t="n">
        <f aca="false">ROWS(A$13:A33)</f>
        <v>21</v>
      </c>
      <c r="B33" s="73" t="n">
        <f aca="false">IF(B32="","",IFERROR(SMALL($AH$10:$AH$409,COUNTIF($AH$10:$AH$409,"&lt;="&amp;B32)+1),""))</f>
        <v>44626</v>
      </c>
      <c r="C33" s="74" t="n">
        <f aca="false">IF(B33="","",INDEX($AI$10:$AI$409,MATCH(B33,$AH$10:$AH$409,0)))</f>
        <v>22.7</v>
      </c>
      <c r="D33" s="74" t="n">
        <f aca="false">IF(B33="","",IFERROR(INDEX($AK$10:$AK$409,MATCH(B33,$AJ$10:$AJ$409,0)),""))</f>
        <v>53300.7</v>
      </c>
      <c r="E33" s="76" t="n">
        <f aca="false">IF(AND(ISNUMBER(C33),ISNUMBER(C32)),C33/C32-1,"")</f>
        <v>-0.00916630292448717</v>
      </c>
      <c r="F33" s="76" t="n">
        <f aca="false">IF(AND(ISNUMBER(D33),ISNUMBER(D32)),D33/D32-1,"")</f>
        <v>-0.00040039720903462</v>
      </c>
      <c r="G33" s="75" t="n">
        <f aca="false">IF(AND(ISNUMBER(E33),ISNUMBER(F33)),1,"")</f>
        <v>1</v>
      </c>
      <c r="H33" s="75" t="n">
        <f aca="false">IF(G33=1,COUNT(G33:G$412),"")</f>
        <v>239</v>
      </c>
      <c r="I33" s="75" t="n">
        <f aca="false">IF(G33=1,IF(H33&lt;='Beta Regresión'!$B$5,1,""),"")</f>
        <v>1</v>
      </c>
      <c r="J33" s="76" t="n">
        <f aca="false">IF(I33=1,E33,"")</f>
        <v>-0.00916630292448717</v>
      </c>
      <c r="K33" s="76" t="n">
        <f aca="false">IF(I33=1,F33,"")</f>
        <v>-0.00040039720903462</v>
      </c>
      <c r="L33" s="75" t="n">
        <f aca="false">IF(I33=1,COUNT(I$13:I33),"")</f>
        <v>20</v>
      </c>
      <c r="M33" s="76" t="n">
        <f aca="false">IFERROR(INDEX($J$13:$J$412,MATCH(A33,$L$13:$L$412,0)),"")</f>
        <v>-0.0475770925110132</v>
      </c>
      <c r="N33" s="76" t="n">
        <f aca="false">IFERROR(INDEX($K$13:$K$412,MATCH(A33,$L$13:$L$412,0)),"")</f>
        <v>0.0406441191203868</v>
      </c>
      <c r="O33" s="76" t="n">
        <f aca="false">IF(I33=1,E33,NA())</f>
        <v>-0.00916630292448717</v>
      </c>
      <c r="P33" s="76" t="n">
        <f aca="false">IF(I33=1,F33,NA())</f>
        <v>-0.00040039720903462</v>
      </c>
      <c r="R33" s="75" t="n">
        <f aca="false">ROWS(R$13:R33)</f>
        <v>21</v>
      </c>
      <c r="S33" s="73" t="n">
        <f aca="false">IF(S32="","",IFERROR(SMALL($AD$10:$AD$509,COUNTIF($AD$10:$AD$509,"&lt;="&amp;S32)+1),""))</f>
        <v>46239</v>
      </c>
      <c r="T33" s="74" t="n">
        <f aca="false">IF(S33="","",INDEX($AE$10:$AE$509,MATCH(S33,$AD$10:$AD$509,0)))</f>
        <v>29</v>
      </c>
      <c r="U33" s="74" t="n">
        <f aca="false">IF(S33="","",IFERROR(INDEX($AG$10:$AG$509,MATCH(S33,$AF$10:$AF$509,0)),""))</f>
        <v>66525.18</v>
      </c>
      <c r="V33" s="76" t="n">
        <f aca="false">IF(AND(ISNUMBER(T33),ISNUMBER(T32)),T33/T32-1,"")</f>
        <v>-0.0268456375838927</v>
      </c>
      <c r="W33" s="76" t="n">
        <f aca="false">IF(AND(ISNUMBER(U33),ISNUMBER(U32)),U33/U32-1,"")</f>
        <v>-0.00257941785279814</v>
      </c>
      <c r="X33" s="75" t="n">
        <f aca="false">IF(AND(ISNUMBER(V33),ISNUMBER(W33)),1,"")</f>
        <v>1</v>
      </c>
      <c r="Y33" s="76" t="n">
        <f aca="false">IF(X33=1,V33,"")</f>
        <v>-0.0268456375838927</v>
      </c>
      <c r="Z33" s="76" t="n">
        <f aca="false">IF(X33=1,W33,"")</f>
        <v>-0.00257941785279814</v>
      </c>
      <c r="AA33" s="76" t="n">
        <f aca="false">IF(X33=1,V33,NA())</f>
        <v>-0.0268456375838927</v>
      </c>
      <c r="AB33" s="76" t="n">
        <f aca="false">IF(X33=1,W33,NA())</f>
        <v>-0.00257941785279814</v>
      </c>
      <c r="AD33" s="73" t="n">
        <f aca="false">IF(ISNUMBER(AE33),IF(ISNUMBER('Base de Datos'!A29),IF('Base de Datos'!A29&gt;20000,DATE(YEAR('Base de Datos'!A29),DAY('Base de Datos'!A29),MONTH('Base de Datos'!A29)),""),IF(TRIM('Base de Datos'!A29)="","",IFERROR(DATE(VALUE(RIGHT(TRIM('Base de Datos'!A29),4)),VALUE(LEFT(TRIM('Base de Datos'!A29),2)),VALUE(MID(TRIM('Base de Datos'!A29),4,2))),""))),"")</f>
        <v>46244</v>
      </c>
      <c r="AE33" s="74" t="n">
        <f aca="false">IF(ISNUMBER('Base de Datos'!B29),'Base de Datos'!B29,IF(TRIM('Base de Datos'!B29)="","",IFERROR(IF(IFERROR(FIND("@",SUBSTITUTE(TRIM('Base de Datos'!B29),",","@",LEN(TRIM('Base de Datos'!B29))-LEN(SUBSTITUTE(TRIM('Base de Datos'!B29),",","")))),0)&gt;IFERROR(FIND("@",SUBSTITUTE(TRIM('Base de Datos'!B29),".","@",LEN(TRIM('Base de Datos'!B29))-LEN(SUBSTITUTE(TRIM('Base de Datos'!B29),".","")))),0),_xlfn.NUMBERVALUE(SUBSTITUTE(SUBSTITUTE(TRIM('Base de Datos'!B29),".",""),",","."),".",","),_xlfn.NUMBERVALUE(SUBSTITUTE(TRIM('Base de Datos'!B29),",",""),".",",")),"")))</f>
        <v>29.36</v>
      </c>
      <c r="AF33" s="73" t="n">
        <f aca="false">IF(ISNUMBER(AG33),IF(ISNUMBER('Base de Datos'!I29),IF('Base de Datos'!I29&gt;20000,INT('Base de Datos'!I29),""),IF(TRIM('Base de Datos'!I29)="","",IFERROR(DATE(VALUE(RIGHT(TRIM('Base de Datos'!I29),4)),VALUE(MID(TRIM('Base de Datos'!I29),4,2)),VALUE(LEFT(TRIM('Base de Datos'!I29),2))),IFERROR(DATEVALUE(TRIM('Base de Datos'!I29)),"")))),"")</f>
        <v>46237</v>
      </c>
      <c r="AG33" s="74" t="n">
        <f aca="false">IF(ISNUMBER('Base de Datos'!J29),'Base de Datos'!J29,IF(TRIM('Base de Datos'!J29)="","",IFERROR(IF(IFERROR(FIND("@",SUBSTITUTE(TRIM('Base de Datos'!J29),",","@",LEN(TRIM('Base de Datos'!J29))-LEN(SUBSTITUTE(TRIM('Base de Datos'!J29),",","")))),0)&gt;IFERROR(FIND("@",SUBSTITUTE(TRIM('Base de Datos'!J29),".","@",LEN(TRIM('Base de Datos'!J29))-LEN(SUBSTITUTE(TRIM('Base de Datos'!J29),".","")))),0),_xlfn.NUMBERVALUE(SUBSTITUTE(SUBSTITUTE(TRIM('Base de Datos'!J29),".",""),",","."),".",","),_xlfn.NUMBERVALUE(SUBSTITUTE(TRIM('Base de Datos'!J29),",",""),".",",")),"")))</f>
        <v>66697.22</v>
      </c>
      <c r="AH33" s="73" t="n">
        <f aca="false">IF(ISNUMBER(AI33),IF(ISNUMBER('Base de Datos'!Q29),IF('Base de Datos'!Q29&gt;20000,DATE(YEAR('Base de Datos'!Q29),DAY('Base de Datos'!Q29),MONTH('Base de Datos'!Q29)),""),IF(TRIM('Base de Datos'!Q29)="","",IFERROR(DATE(VALUE(RIGHT(TRIM('Base de Datos'!Q29),4)),VALUE(LEFT(TRIM('Base de Datos'!Q29),2)),VALUE(MID(TRIM('Base de Datos'!Q29),4,2))),""))),"")</f>
        <v>44647</v>
      </c>
      <c r="AI33" s="74" t="n">
        <f aca="false">IF(ISNUMBER('Base de Datos'!R29),'Base de Datos'!R29,IF(TRIM('Base de Datos'!R29)="","",IFERROR(IF(IFERROR(FIND("@",SUBSTITUTE(TRIM('Base de Datos'!R29),",","@",LEN(TRIM('Base de Datos'!R29))-LEN(SUBSTITUTE(TRIM('Base de Datos'!R29),",","")))),0)&gt;IFERROR(FIND("@",SUBSTITUTE(TRIM('Base de Datos'!R29),".","@",LEN(TRIM('Base de Datos'!R29))-LEN(SUBSTITUTE(TRIM('Base de Datos'!R29),".","")))),0),_xlfn.NUMBERVALUE(SUBSTITUTE(SUBSTITUTE(TRIM('Base de Datos'!R29),".",""),",","."),".",","),_xlfn.NUMBERVALUE(SUBSTITUTE(TRIM('Base de Datos'!R29),",",""),".",",")),"")))</f>
        <v>22.31</v>
      </c>
      <c r="AJ33" s="73" t="n">
        <f aca="false">IF(ISNUMBER(AK33),IF(ISNUMBER('Base de Datos'!Y29),IF('Base de Datos'!Y29&gt;20000,INT('Base de Datos'!Y29),""),IF(TRIM('Base de Datos'!Y29)="","",IFERROR(DATE(VALUE(RIGHT(TRIM('Base de Datos'!Y29),4)),VALUE(MID(TRIM('Base de Datos'!Y29),4,2)),VALUE(LEFT(TRIM('Base de Datos'!Y29),2))),IFERROR(DATEVALUE(TRIM('Base de Datos'!Y29)),"")))),"")</f>
        <v>44647</v>
      </c>
      <c r="AK33" s="74" t="n">
        <f aca="false">IF(ISNUMBER('Base de Datos'!Z29),'Base de Datos'!Z29,IF(TRIM('Base de Datos'!Z29)="","",IFERROR(IF(IFERROR(FIND("@",SUBSTITUTE(TRIM('Base de Datos'!Z29),",","@",LEN(TRIM('Base de Datos'!Z29))-LEN(SUBSTITUTE(TRIM('Base de Datos'!Z29),",","")))),0)&gt;IFERROR(FIND("@",SUBSTITUTE(TRIM('Base de Datos'!Z29),".","@",LEN(TRIM('Base de Datos'!Z29))-LEN(SUBSTITUTE(TRIM('Base de Datos'!Z29),".","")))),0),_xlfn.NUMBERVALUE(SUBSTITUTE(SUBSTITUTE(TRIM('Base de Datos'!Z29),".",""),",","."),".",","),_xlfn.NUMBERVALUE(SUBSTITUTE(TRIM('Base de Datos'!Z29),",",""),".",",")),"")))</f>
        <v>56609.54</v>
      </c>
    </row>
    <row r="34" customFormat="false" ht="13.5" hidden="false" customHeight="false" outlineLevel="0" collapsed="false">
      <c r="A34" s="75" t="n">
        <f aca="false">ROWS(A$13:A34)</f>
        <v>22</v>
      </c>
      <c r="B34" s="73" t="n">
        <f aca="false">IF(B33="","",IFERROR(SMALL($AH$10:$AH$409,COUNTIF($AH$10:$AH$409,"&lt;="&amp;B33)+1),""))</f>
        <v>44633</v>
      </c>
      <c r="C34" s="74" t="n">
        <f aca="false">IF(B34="","",INDEX($AI$10:$AI$409,MATCH(B34,$AH$10:$AH$409,0)))</f>
        <v>21.62</v>
      </c>
      <c r="D34" s="74" t="n">
        <f aca="false">IF(B34="","",IFERROR(INDEX($AK$10:$AK$409,MATCH(B34,$AJ$10:$AJ$409,0)),""))</f>
        <v>55467.06</v>
      </c>
      <c r="E34" s="76" t="n">
        <f aca="false">IF(AND(ISNUMBER(C34),ISNUMBER(C33)),C34/C33-1,"")</f>
        <v>-0.0475770925110132</v>
      </c>
      <c r="F34" s="76" t="n">
        <f aca="false">IF(AND(ISNUMBER(D34),ISNUMBER(D33)),D34/D33-1,"")</f>
        <v>0.0406441191203868</v>
      </c>
      <c r="G34" s="75" t="n">
        <f aca="false">IF(AND(ISNUMBER(E34),ISNUMBER(F34)),1,"")</f>
        <v>1</v>
      </c>
      <c r="H34" s="75" t="n">
        <f aca="false">IF(G34=1,COUNT(G34:G$412),"")</f>
        <v>238</v>
      </c>
      <c r="I34" s="75" t="n">
        <f aca="false">IF(G34=1,IF(H34&lt;='Beta Regresión'!$B$5,1,""),"")</f>
        <v>1</v>
      </c>
      <c r="J34" s="76" t="n">
        <f aca="false">IF(I34=1,E34,"")</f>
        <v>-0.0475770925110132</v>
      </c>
      <c r="K34" s="76" t="n">
        <f aca="false">IF(I34=1,F34,"")</f>
        <v>0.0406441191203868</v>
      </c>
      <c r="L34" s="75" t="n">
        <f aca="false">IF(I34=1,COUNT(I$13:I34),"")</f>
        <v>21</v>
      </c>
      <c r="M34" s="76" t="n">
        <f aca="false">IFERROR(INDEX($J$13:$J$412,MATCH(A34,$L$13:$L$412,0)),"")</f>
        <v>0.0235892691951896</v>
      </c>
      <c r="N34" s="76" t="n">
        <f aca="false">IFERROR(INDEX($K$13:$K$412,MATCH(A34,$L$13:$L$412,0)),"")</f>
        <v>-0.000559070554667862</v>
      </c>
      <c r="O34" s="76" t="n">
        <f aca="false">IF(I34=1,E34,NA())</f>
        <v>-0.0475770925110132</v>
      </c>
      <c r="P34" s="76" t="n">
        <f aca="false">IF(I34=1,F34,NA())</f>
        <v>0.0406441191203868</v>
      </c>
      <c r="R34" s="75" t="n">
        <f aca="false">ROWS(R$13:R34)</f>
        <v>22</v>
      </c>
      <c r="S34" s="73" t="n">
        <f aca="false">IF(S33="","",IFERROR(SMALL($AD$10:$AD$509,COUNTIF($AD$10:$AD$509,"&lt;="&amp;S33)+1),""))</f>
        <v>46240</v>
      </c>
      <c r="T34" s="74" t="n">
        <f aca="false">IF(S34="","",INDEX($AE$10:$AE$509,MATCH(S34,$AD$10:$AD$509,0)))</f>
        <v>29</v>
      </c>
      <c r="U34" s="74" t="n">
        <f aca="false">IF(S34="","",IFERROR(INDEX($AG$10:$AG$509,MATCH(S34,$AF$10:$AF$509,0)),""))</f>
        <v>66396.15</v>
      </c>
      <c r="V34" s="76" t="n">
        <f aca="false">IF(AND(ISNUMBER(T34),ISNUMBER(T33)),T34/T33-1,"")</f>
        <v>0</v>
      </c>
      <c r="W34" s="76" t="n">
        <f aca="false">IF(AND(ISNUMBER(U34),ISNUMBER(U33)),U34/U33-1,"")</f>
        <v>-0.00193956634164683</v>
      </c>
      <c r="X34" s="75" t="n">
        <f aca="false">IF(AND(ISNUMBER(V34),ISNUMBER(W34)),1,"")</f>
        <v>1</v>
      </c>
      <c r="Y34" s="76" t="n">
        <f aca="false">IF(X34=1,V34,"")</f>
        <v>0</v>
      </c>
      <c r="Z34" s="76" t="n">
        <f aca="false">IF(X34=1,W34,"")</f>
        <v>-0.00193956634164683</v>
      </c>
      <c r="AA34" s="76" t="n">
        <f aca="false">IF(X34=1,V34,NA())</f>
        <v>0</v>
      </c>
      <c r="AB34" s="76" t="n">
        <f aca="false">IF(X34=1,W34,NA())</f>
        <v>-0.00193956634164683</v>
      </c>
      <c r="AD34" s="73" t="n">
        <f aca="false">IF(ISNUMBER(AE34),IF(ISNUMBER('Base de Datos'!A30),IF('Base de Datos'!A30&gt;20000,DATE(YEAR('Base de Datos'!A30),DAY('Base de Datos'!A30),MONTH('Base de Datos'!A30)),""),IF(TRIM('Base de Datos'!A30)="","",IFERROR(DATE(VALUE(RIGHT(TRIM('Base de Datos'!A30),4)),VALUE(LEFT(TRIM('Base de Datos'!A30),2)),VALUE(MID(TRIM('Base de Datos'!A30),4,2))),""))),"")</f>
        <v>46245</v>
      </c>
      <c r="AE34" s="74" t="n">
        <f aca="false">IF(ISNUMBER('Base de Datos'!B30),'Base de Datos'!B30,IF(TRIM('Base de Datos'!B30)="","",IFERROR(IF(IFERROR(FIND("@",SUBSTITUTE(TRIM('Base de Datos'!B30),",","@",LEN(TRIM('Base de Datos'!B30))-LEN(SUBSTITUTE(TRIM('Base de Datos'!B30),",","")))),0)&gt;IFERROR(FIND("@",SUBSTITUTE(TRIM('Base de Datos'!B30),".","@",LEN(TRIM('Base de Datos'!B30))-LEN(SUBSTITUTE(TRIM('Base de Datos'!B30),".","")))),0),_xlfn.NUMBERVALUE(SUBSTITUTE(SUBSTITUTE(TRIM('Base de Datos'!B30),".",""),",","."),".",","),_xlfn.NUMBERVALUE(SUBSTITUTE(TRIM('Base de Datos'!B30),",",""),".",",")),"")))</f>
        <v>28.75</v>
      </c>
      <c r="AF34" s="73" t="n">
        <f aca="false">IF(ISNUMBER(AG34),IF(ISNUMBER('Base de Datos'!I30),IF('Base de Datos'!I30&gt;20000,INT('Base de Datos'!I30),""),IF(TRIM('Base de Datos'!I30)="","",IFERROR(DATE(VALUE(RIGHT(TRIM('Base de Datos'!I30),4)),VALUE(MID(TRIM('Base de Datos'!I30),4,2)),VALUE(LEFT(TRIM('Base de Datos'!I30),2))),IFERROR(DATEVALUE(TRIM('Base de Datos'!I30)),"")))),"")</f>
        <v>46238</v>
      </c>
      <c r="AG34" s="74" t="n">
        <f aca="false">IF(ISNUMBER('Base de Datos'!J30),'Base de Datos'!J30,IF(TRIM('Base de Datos'!J30)="","",IFERROR(IF(IFERROR(FIND("@",SUBSTITUTE(TRIM('Base de Datos'!J30),",","@",LEN(TRIM('Base de Datos'!J30))-LEN(SUBSTITUTE(TRIM('Base de Datos'!J30),",","")))),0)&gt;IFERROR(FIND("@",SUBSTITUTE(TRIM('Base de Datos'!J30),".","@",LEN(TRIM('Base de Datos'!J30))-LEN(SUBSTITUTE(TRIM('Base de Datos'!J30),".","")))),0),_xlfn.NUMBERVALUE(SUBSTITUTE(SUBSTITUTE(TRIM('Base de Datos'!J30),".",""),",","."),".",","),_xlfn.NUMBERVALUE(SUBSTITUTE(TRIM('Base de Datos'!J30),",",""),".",",")),"")))</f>
        <v>66833.16</v>
      </c>
      <c r="AH34" s="73" t="n">
        <f aca="false">IF(ISNUMBER(AI34),IF(ISNUMBER('Base de Datos'!Q30),IF('Base de Datos'!Q30&gt;20000,DATE(YEAR('Base de Datos'!Q30),DAY('Base de Datos'!Q30),MONTH('Base de Datos'!Q30)),""),IF(TRIM('Base de Datos'!Q30)="","",IFERROR(DATE(VALUE(RIGHT(TRIM('Base de Datos'!Q30),4)),VALUE(LEFT(TRIM('Base de Datos'!Q30),2)),VALUE(MID(TRIM('Base de Datos'!Q30),4,2))),""))),"")</f>
        <v>44654</v>
      </c>
      <c r="AI34" s="74" t="n">
        <f aca="false">IF(ISNUMBER('Base de Datos'!R30),'Base de Datos'!R30,IF(TRIM('Base de Datos'!R30)="","",IFERROR(IF(IFERROR(FIND("@",SUBSTITUTE(TRIM('Base de Datos'!R30),",","@",LEN(TRIM('Base de Datos'!R30))-LEN(SUBSTITUTE(TRIM('Base de Datos'!R30),",","")))),0)&gt;IFERROR(FIND("@",SUBSTITUTE(TRIM('Base de Datos'!R30),".","@",LEN(TRIM('Base de Datos'!R30))-LEN(SUBSTITUTE(TRIM('Base de Datos'!R30),".","")))),0),_xlfn.NUMBERVALUE(SUBSTITUTE(SUBSTITUTE(TRIM('Base de Datos'!R30),".",""),",","."),".",","),_xlfn.NUMBERVALUE(SUBSTITUTE(TRIM('Base de Datos'!R30),",",""),".",",")),"")))</f>
        <v>21.58</v>
      </c>
      <c r="AJ34" s="73" t="n">
        <f aca="false">IF(ISNUMBER(AK34),IF(ISNUMBER('Base de Datos'!Y30),IF('Base de Datos'!Y30&gt;20000,INT('Base de Datos'!Y30),""),IF(TRIM('Base de Datos'!Y30)="","",IFERROR(DATE(VALUE(RIGHT(TRIM('Base de Datos'!Y30),4)),VALUE(MID(TRIM('Base de Datos'!Y30),4,2)),VALUE(LEFT(TRIM('Base de Datos'!Y30),2))),IFERROR(DATEVALUE(TRIM('Base de Datos'!Y30)),"")))),"")</f>
        <v>44654</v>
      </c>
      <c r="AK34" s="74" t="n">
        <f aca="false">IF(ISNUMBER('Base de Datos'!Z30),'Base de Datos'!Z30,IF(TRIM('Base de Datos'!Z30)="","",IFERROR(IF(IFERROR(FIND("@",SUBSTITUTE(TRIM('Base de Datos'!Z30),",","@",LEN(TRIM('Base de Datos'!Z30))-LEN(SUBSTITUTE(TRIM('Base de Datos'!Z30),",","")))),0)&gt;IFERROR(FIND("@",SUBSTITUTE(TRIM('Base de Datos'!Z30),".","@",LEN(TRIM('Base de Datos'!Z30))-LEN(SUBSTITUTE(TRIM('Base de Datos'!Z30),".","")))),0),_xlfn.NUMBERVALUE(SUBSTITUTE(SUBSTITUTE(TRIM('Base de Datos'!Z30),".",""),",","."),".",","),_xlfn.NUMBERVALUE(SUBSTITUTE(TRIM('Base de Datos'!Z30),",",""),".",",")),"")))</f>
        <v>54687.25</v>
      </c>
    </row>
    <row r="35" customFormat="false" ht="13.5" hidden="false" customHeight="false" outlineLevel="0" collapsed="false">
      <c r="A35" s="75" t="n">
        <f aca="false">ROWS(A$13:A35)</f>
        <v>23</v>
      </c>
      <c r="B35" s="73" t="n">
        <f aca="false">IF(B34="","",IFERROR(SMALL($AH$10:$AH$409,COUNTIF($AH$10:$AH$409,"&lt;="&amp;B34)+1),""))</f>
        <v>44640</v>
      </c>
      <c r="C35" s="74" t="n">
        <f aca="false">IF(B35="","",INDEX($AI$10:$AI$409,MATCH(B35,$AH$10:$AH$409,0)))</f>
        <v>22.13</v>
      </c>
      <c r="D35" s="74" t="n">
        <f aca="false">IF(B35="","",IFERROR(INDEX($AK$10:$AK$409,MATCH(B35,$AJ$10:$AJ$409,0)),""))</f>
        <v>55436.05</v>
      </c>
      <c r="E35" s="76" t="n">
        <f aca="false">IF(AND(ISNUMBER(C35),ISNUMBER(C34)),C35/C34-1,"")</f>
        <v>0.0235892691951896</v>
      </c>
      <c r="F35" s="76" t="n">
        <f aca="false">IF(AND(ISNUMBER(D35),ISNUMBER(D34)),D35/D34-1,"")</f>
        <v>-0.000559070554667862</v>
      </c>
      <c r="G35" s="75" t="n">
        <f aca="false">IF(AND(ISNUMBER(E35),ISNUMBER(F35)),1,"")</f>
        <v>1</v>
      </c>
      <c r="H35" s="75" t="n">
        <f aca="false">IF(G35=1,COUNT(G35:G$412),"")</f>
        <v>237</v>
      </c>
      <c r="I35" s="75" t="n">
        <f aca="false">IF(G35=1,IF(H35&lt;='Beta Regresión'!$B$5,1,""),"")</f>
        <v>1</v>
      </c>
      <c r="J35" s="76" t="n">
        <f aca="false">IF(I35=1,E35,"")</f>
        <v>0.0235892691951896</v>
      </c>
      <c r="K35" s="76" t="n">
        <f aca="false">IF(I35=1,F35,"")</f>
        <v>-0.000559070554667862</v>
      </c>
      <c r="L35" s="75" t="n">
        <f aca="false">IF(I35=1,COUNT(I$13:I35),"")</f>
        <v>22</v>
      </c>
      <c r="M35" s="76" t="n">
        <f aca="false">IFERROR(INDEX($J$13:$J$412,MATCH(A35,$L$13:$L$412,0)),"")</f>
        <v>0.00813375508359693</v>
      </c>
      <c r="N35" s="76" t="n">
        <f aca="false">IFERROR(INDEX($K$13:$K$412,MATCH(A35,$L$13:$L$412,0)),"")</f>
        <v>0.0211683552489761</v>
      </c>
      <c r="O35" s="76" t="n">
        <f aca="false">IF(I35=1,E35,NA())</f>
        <v>0.0235892691951896</v>
      </c>
      <c r="P35" s="76" t="n">
        <f aca="false">IF(I35=1,F35,NA())</f>
        <v>-0.000559070554667862</v>
      </c>
      <c r="R35" s="75" t="n">
        <f aca="false">ROWS(R$13:R35)</f>
        <v>23</v>
      </c>
      <c r="S35" s="73" t="n">
        <f aca="false">IF(S34="","",IFERROR(SMALL($AD$10:$AD$509,COUNTIF($AD$10:$AD$509,"&lt;="&amp;S34)+1),""))</f>
        <v>46241</v>
      </c>
      <c r="T35" s="74" t="n">
        <f aca="false">IF(S35="","",INDEX($AE$10:$AE$509,MATCH(S35,$AD$10:$AD$509,0)))</f>
        <v>29.47</v>
      </c>
      <c r="U35" s="74" t="n">
        <f aca="false">IF(S35="","",IFERROR(INDEX($AG$10:$AG$509,MATCH(S35,$AF$10:$AF$509,0)),""))</f>
        <v>66938.64</v>
      </c>
      <c r="V35" s="76" t="n">
        <f aca="false">IF(AND(ISNUMBER(T35),ISNUMBER(T34)),T35/T34-1,"")</f>
        <v>0.0162068965517241</v>
      </c>
      <c r="W35" s="76" t="n">
        <f aca="false">IF(AND(ISNUMBER(U35),ISNUMBER(U34)),U35/U34-1,"")</f>
        <v>0.00817050386204632</v>
      </c>
      <c r="X35" s="75" t="n">
        <f aca="false">IF(AND(ISNUMBER(V35),ISNUMBER(W35)),1,"")</f>
        <v>1</v>
      </c>
      <c r="Y35" s="76" t="n">
        <f aca="false">IF(X35=1,V35,"")</f>
        <v>0.0162068965517241</v>
      </c>
      <c r="Z35" s="76" t="n">
        <f aca="false">IF(X35=1,W35,"")</f>
        <v>0.00817050386204632</v>
      </c>
      <c r="AA35" s="76" t="n">
        <f aca="false">IF(X35=1,V35,NA())</f>
        <v>0.0162068965517241</v>
      </c>
      <c r="AB35" s="76" t="n">
        <f aca="false">IF(X35=1,W35,NA())</f>
        <v>0.00817050386204632</v>
      </c>
      <c r="AD35" s="73" t="n">
        <f aca="false">IF(ISNUMBER(AE35),IF(ISNUMBER('Base de Datos'!A31),IF('Base de Datos'!A31&gt;20000,DATE(YEAR('Base de Datos'!A31),DAY('Base de Datos'!A31),MONTH('Base de Datos'!A31)),""),IF(TRIM('Base de Datos'!A31)="","",IFERROR(DATE(VALUE(RIGHT(TRIM('Base de Datos'!A31),4)),VALUE(LEFT(TRIM('Base de Datos'!A31),2)),VALUE(MID(TRIM('Base de Datos'!A31),4,2))),""))),"")</f>
        <v>46246</v>
      </c>
      <c r="AE35" s="74" t="n">
        <f aca="false">IF(ISNUMBER('Base de Datos'!B31),'Base de Datos'!B31,IF(TRIM('Base de Datos'!B31)="","",IFERROR(IF(IFERROR(FIND("@",SUBSTITUTE(TRIM('Base de Datos'!B31),",","@",LEN(TRIM('Base de Datos'!B31))-LEN(SUBSTITUTE(TRIM('Base de Datos'!B31),",","")))),0)&gt;IFERROR(FIND("@",SUBSTITUTE(TRIM('Base de Datos'!B31),".","@",LEN(TRIM('Base de Datos'!B31))-LEN(SUBSTITUTE(TRIM('Base de Datos'!B31),".","")))),0),_xlfn.NUMBERVALUE(SUBSTITUTE(SUBSTITUTE(TRIM('Base de Datos'!B31),".",""),",","."),".",","),_xlfn.NUMBERVALUE(SUBSTITUTE(TRIM('Base de Datos'!B31),",",""),".",",")),"")))</f>
        <v>28.75</v>
      </c>
      <c r="AF35" s="73" t="n">
        <f aca="false">IF(ISNUMBER(AG35),IF(ISNUMBER('Base de Datos'!I31),IF('Base de Datos'!I31&gt;20000,INT('Base de Datos'!I31),""),IF(TRIM('Base de Datos'!I31)="","",IFERROR(DATE(VALUE(RIGHT(TRIM('Base de Datos'!I31),4)),VALUE(MID(TRIM('Base de Datos'!I31),4,2)),VALUE(LEFT(TRIM('Base de Datos'!I31),2))),IFERROR(DATEVALUE(TRIM('Base de Datos'!I31)),"")))),"")</f>
        <v>46239</v>
      </c>
      <c r="AG35" s="74" t="n">
        <f aca="false">IF(ISNUMBER('Base de Datos'!J31),'Base de Datos'!J31,IF(TRIM('Base de Datos'!J31)="","",IFERROR(IF(IFERROR(FIND("@",SUBSTITUTE(TRIM('Base de Datos'!J31),",","@",LEN(TRIM('Base de Datos'!J31))-LEN(SUBSTITUTE(TRIM('Base de Datos'!J31),",","")))),0)&gt;IFERROR(FIND("@",SUBSTITUTE(TRIM('Base de Datos'!J31),".","@",LEN(TRIM('Base de Datos'!J31))-LEN(SUBSTITUTE(TRIM('Base de Datos'!J31),".","")))),0),_xlfn.NUMBERVALUE(SUBSTITUTE(SUBSTITUTE(TRIM('Base de Datos'!J31),".",""),",","."),".",","),_xlfn.NUMBERVALUE(SUBSTITUTE(TRIM('Base de Datos'!J31),",",""),".",",")),"")))</f>
        <v>66525.18</v>
      </c>
      <c r="AH35" s="73" t="n">
        <f aca="false">IF(ISNUMBER(AI35),IF(ISNUMBER('Base de Datos'!Q31),IF('Base de Datos'!Q31&gt;20000,DATE(YEAR('Base de Datos'!Q31),DAY('Base de Datos'!Q31),MONTH('Base de Datos'!Q31)),""),IF(TRIM('Base de Datos'!Q31)="","",IFERROR(DATE(VALUE(RIGHT(TRIM('Base de Datos'!Q31),4)),VALUE(LEFT(TRIM('Base de Datos'!Q31),2)),VALUE(MID(TRIM('Base de Datos'!Q31),4,2))),""))),"")</f>
        <v>44661</v>
      </c>
      <c r="AI35" s="74" t="n">
        <f aca="false">IF(ISNUMBER('Base de Datos'!R31),'Base de Datos'!R31,IF(TRIM('Base de Datos'!R31)="","",IFERROR(IF(IFERROR(FIND("@",SUBSTITUTE(TRIM('Base de Datos'!R31),",","@",LEN(TRIM('Base de Datos'!R31))-LEN(SUBSTITUTE(TRIM('Base de Datos'!R31),",","")))),0)&gt;IFERROR(FIND("@",SUBSTITUTE(TRIM('Base de Datos'!R31),".","@",LEN(TRIM('Base de Datos'!R31))-LEN(SUBSTITUTE(TRIM('Base de Datos'!R31),".","")))),0),_xlfn.NUMBERVALUE(SUBSTITUTE(SUBSTITUTE(TRIM('Base de Datos'!R31),".",""),",","."),".",","),_xlfn.NUMBERVALUE(SUBSTITUTE(TRIM('Base de Datos'!R31),",",""),".",",")),"")))</f>
        <v>21.68</v>
      </c>
      <c r="AJ35" s="73" t="n">
        <f aca="false">IF(ISNUMBER(AK35),IF(ISNUMBER('Base de Datos'!Y31),IF('Base de Datos'!Y31&gt;20000,INT('Base de Datos'!Y31),""),IF(TRIM('Base de Datos'!Y31)="","",IFERROR(DATE(VALUE(RIGHT(TRIM('Base de Datos'!Y31),4)),VALUE(MID(TRIM('Base de Datos'!Y31),4,2)),VALUE(LEFT(TRIM('Base de Datos'!Y31),2))),IFERROR(DATEVALUE(TRIM('Base de Datos'!Y31)),"")))),"")</f>
        <v>44661</v>
      </c>
      <c r="AK35" s="74" t="n">
        <f aca="false">IF(ISNUMBER('Base de Datos'!Z31),'Base de Datos'!Z31,IF(TRIM('Base de Datos'!Z31)="","",IFERROR(IF(IFERROR(FIND("@",SUBSTITUTE(TRIM('Base de Datos'!Z31),",","@",LEN(TRIM('Base de Datos'!Z31))-LEN(SUBSTITUTE(TRIM('Base de Datos'!Z31),",","")))),0)&gt;IFERROR(FIND("@",SUBSTITUTE(TRIM('Base de Datos'!Z31),".","@",LEN(TRIM('Base de Datos'!Z31))-LEN(SUBSTITUTE(TRIM('Base de Datos'!Z31),".","")))),0),_xlfn.NUMBERVALUE(SUBSTITUTE(SUBSTITUTE(TRIM('Base de Datos'!Z31),".",""),",","."),".",","),_xlfn.NUMBERVALUE(SUBSTITUTE(TRIM('Base de Datos'!Z31),",",""),".",",")),"")))</f>
        <v>54172.62</v>
      </c>
    </row>
    <row r="36" customFormat="false" ht="13.5" hidden="false" customHeight="false" outlineLevel="0" collapsed="false">
      <c r="A36" s="75" t="n">
        <f aca="false">ROWS(A$13:A36)</f>
        <v>24</v>
      </c>
      <c r="B36" s="73" t="n">
        <f aca="false">IF(B35="","",IFERROR(SMALL($AH$10:$AH$409,COUNTIF($AH$10:$AH$409,"&lt;="&amp;B35)+1),""))</f>
        <v>44647</v>
      </c>
      <c r="C36" s="74" t="n">
        <f aca="false">IF(B36="","",INDEX($AI$10:$AI$409,MATCH(B36,$AH$10:$AH$409,0)))</f>
        <v>22.31</v>
      </c>
      <c r="D36" s="74" t="n">
        <f aca="false">IF(B36="","",IFERROR(INDEX($AK$10:$AK$409,MATCH(B36,$AJ$10:$AJ$409,0)),""))</f>
        <v>56609.54</v>
      </c>
      <c r="E36" s="76" t="n">
        <f aca="false">IF(AND(ISNUMBER(C36),ISNUMBER(C35)),C36/C35-1,"")</f>
        <v>0.00813375508359693</v>
      </c>
      <c r="F36" s="76" t="n">
        <f aca="false">IF(AND(ISNUMBER(D36),ISNUMBER(D35)),D36/D35-1,"")</f>
        <v>0.0211683552489761</v>
      </c>
      <c r="G36" s="75" t="n">
        <f aca="false">IF(AND(ISNUMBER(E36),ISNUMBER(F36)),1,"")</f>
        <v>1</v>
      </c>
      <c r="H36" s="75" t="n">
        <f aca="false">IF(G36=1,COUNT(G36:G$412),"")</f>
        <v>236</v>
      </c>
      <c r="I36" s="75" t="n">
        <f aca="false">IF(G36=1,IF(H36&lt;='Beta Regresión'!$B$5,1,""),"")</f>
        <v>1</v>
      </c>
      <c r="J36" s="76" t="n">
        <f aca="false">IF(I36=1,E36,"")</f>
        <v>0.00813375508359693</v>
      </c>
      <c r="K36" s="76" t="n">
        <f aca="false">IF(I36=1,F36,"")</f>
        <v>0.0211683552489761</v>
      </c>
      <c r="L36" s="75" t="n">
        <f aca="false">IF(I36=1,COUNT(I$13:I36),"")</f>
        <v>23</v>
      </c>
      <c r="M36" s="76" t="n">
        <f aca="false">IFERROR(INDEX($J$13:$J$412,MATCH(A36,$L$13:$L$412,0)),"")</f>
        <v>-0.0327207530255491</v>
      </c>
      <c r="N36" s="76" t="n">
        <f aca="false">IFERROR(INDEX($K$13:$K$412,MATCH(A36,$L$13:$L$412,0)),"")</f>
        <v>-0.0339569973541563</v>
      </c>
      <c r="O36" s="76" t="n">
        <f aca="false">IF(I36=1,E36,NA())</f>
        <v>0.00813375508359693</v>
      </c>
      <c r="P36" s="76" t="n">
        <f aca="false">IF(I36=1,F36,NA())</f>
        <v>0.0211683552489761</v>
      </c>
      <c r="R36" s="75" t="n">
        <f aca="false">ROWS(R$13:R36)</f>
        <v>24</v>
      </c>
      <c r="S36" s="73" t="n">
        <f aca="false">IF(S35="","",IFERROR(SMALL($AD$10:$AD$509,COUNTIF($AD$10:$AD$509,"&lt;="&amp;S35)+1),""))</f>
        <v>46244</v>
      </c>
      <c r="T36" s="74" t="n">
        <f aca="false">IF(S36="","",INDEX($AE$10:$AE$509,MATCH(S36,$AD$10:$AD$509,0)))</f>
        <v>29.36</v>
      </c>
      <c r="U36" s="74" t="n">
        <f aca="false">IF(S36="","",IFERROR(INDEX($AG$10:$AG$509,MATCH(S36,$AF$10:$AF$509,0)),""))</f>
        <v>66438.58</v>
      </c>
      <c r="V36" s="76" t="n">
        <f aca="false">IF(AND(ISNUMBER(T36),ISNUMBER(T35)),T36/T35-1,"")</f>
        <v>-0.00373260943332199</v>
      </c>
      <c r="W36" s="76" t="n">
        <f aca="false">IF(AND(ISNUMBER(U36),ISNUMBER(U35)),U36/U35-1,"")</f>
        <v>-0.00747042365963813</v>
      </c>
      <c r="X36" s="75" t="n">
        <f aca="false">IF(AND(ISNUMBER(V36),ISNUMBER(W36)),1,"")</f>
        <v>1</v>
      </c>
      <c r="Y36" s="76" t="n">
        <f aca="false">IF(X36=1,V36,"")</f>
        <v>-0.00373260943332199</v>
      </c>
      <c r="Z36" s="76" t="n">
        <f aca="false">IF(X36=1,W36,"")</f>
        <v>-0.00747042365963813</v>
      </c>
      <c r="AA36" s="76" t="n">
        <f aca="false">IF(X36=1,V36,NA())</f>
        <v>-0.00373260943332199</v>
      </c>
      <c r="AB36" s="76" t="n">
        <f aca="false">IF(X36=1,W36,NA())</f>
        <v>-0.00747042365963813</v>
      </c>
      <c r="AD36" s="73" t="n">
        <f aca="false">IF(ISNUMBER(AE36),IF(ISNUMBER('Base de Datos'!A32),IF('Base de Datos'!A32&gt;20000,DATE(YEAR('Base de Datos'!A32),DAY('Base de Datos'!A32),MONTH('Base de Datos'!A32)),""),IF(TRIM('Base de Datos'!A32)="","",IFERROR(DATE(VALUE(RIGHT(TRIM('Base de Datos'!A32),4)),VALUE(LEFT(TRIM('Base de Datos'!A32),2)),VALUE(MID(TRIM('Base de Datos'!A32),4,2))),""))),"")</f>
        <v>46247</v>
      </c>
      <c r="AE36" s="74" t="n">
        <f aca="false">IF(ISNUMBER('Base de Datos'!B32),'Base de Datos'!B32,IF(TRIM('Base de Datos'!B32)="","",IFERROR(IF(IFERROR(FIND("@",SUBSTITUTE(TRIM('Base de Datos'!B32),",","@",LEN(TRIM('Base de Datos'!B32))-LEN(SUBSTITUTE(TRIM('Base de Datos'!B32),",","")))),0)&gt;IFERROR(FIND("@",SUBSTITUTE(TRIM('Base de Datos'!B32),".","@",LEN(TRIM('Base de Datos'!B32))-LEN(SUBSTITUTE(TRIM('Base de Datos'!B32),".","")))),0),_xlfn.NUMBERVALUE(SUBSTITUTE(SUBSTITUTE(TRIM('Base de Datos'!B32),".",""),",","."),".",","),_xlfn.NUMBERVALUE(SUBSTITUTE(TRIM('Base de Datos'!B32),",",""),".",",")),"")))</f>
        <v>27.95</v>
      </c>
      <c r="AF36" s="73" t="n">
        <f aca="false">IF(ISNUMBER(AG36),IF(ISNUMBER('Base de Datos'!I32),IF('Base de Datos'!I32&gt;20000,INT('Base de Datos'!I32),""),IF(TRIM('Base de Datos'!I32)="","",IFERROR(DATE(VALUE(RIGHT(TRIM('Base de Datos'!I32),4)),VALUE(MID(TRIM('Base de Datos'!I32),4,2)),VALUE(LEFT(TRIM('Base de Datos'!I32),2))),IFERROR(DATEVALUE(TRIM('Base de Datos'!I32)),"")))),"")</f>
        <v>46240</v>
      </c>
      <c r="AG36" s="74" t="n">
        <f aca="false">IF(ISNUMBER('Base de Datos'!J32),'Base de Datos'!J32,IF(TRIM('Base de Datos'!J32)="","",IFERROR(IF(IFERROR(FIND("@",SUBSTITUTE(TRIM('Base de Datos'!J32),",","@",LEN(TRIM('Base de Datos'!J32))-LEN(SUBSTITUTE(TRIM('Base de Datos'!J32),",","")))),0)&gt;IFERROR(FIND("@",SUBSTITUTE(TRIM('Base de Datos'!J32),".","@",LEN(TRIM('Base de Datos'!J32))-LEN(SUBSTITUTE(TRIM('Base de Datos'!J32),".","")))),0),_xlfn.NUMBERVALUE(SUBSTITUTE(SUBSTITUTE(TRIM('Base de Datos'!J32),".",""),",","."),".",","),_xlfn.NUMBERVALUE(SUBSTITUTE(TRIM('Base de Datos'!J32),",",""),".",",")),"")))</f>
        <v>66396.15</v>
      </c>
      <c r="AH36" s="73" t="n">
        <f aca="false">IF(ISNUMBER(AI36),IF(ISNUMBER('Base de Datos'!Q32),IF('Base de Datos'!Q32&gt;20000,DATE(YEAR('Base de Datos'!Q32),DAY('Base de Datos'!Q32),MONTH('Base de Datos'!Q32)),""),IF(TRIM('Base de Datos'!Q32)="","",IFERROR(DATE(VALUE(RIGHT(TRIM('Base de Datos'!Q32),4)),VALUE(LEFT(TRIM('Base de Datos'!Q32),2)),VALUE(MID(TRIM('Base de Datos'!Q32),4,2))),""))),"")</f>
        <v>44668</v>
      </c>
      <c r="AI36" s="74" t="n">
        <f aca="false">IF(ISNUMBER('Base de Datos'!R32),'Base de Datos'!R32,IF(TRIM('Base de Datos'!R32)="","",IFERROR(IF(IFERROR(FIND("@",SUBSTITUTE(TRIM('Base de Datos'!R32),",","@",LEN(TRIM('Base de Datos'!R32))-LEN(SUBSTITUTE(TRIM('Base de Datos'!R32),",","")))),0)&gt;IFERROR(FIND("@",SUBSTITUTE(TRIM('Base de Datos'!R32),".","@",LEN(TRIM('Base de Datos'!R32))-LEN(SUBSTITUTE(TRIM('Base de Datos'!R32),".","")))),0),_xlfn.NUMBERVALUE(SUBSTITUTE(SUBSTITUTE(TRIM('Base de Datos'!R32),".",""),",","."),".",","),_xlfn.NUMBERVALUE(SUBSTITUTE(TRIM('Base de Datos'!R32),",",""),".",",")),"")))</f>
        <v>21.01</v>
      </c>
      <c r="AJ36" s="73" t="n">
        <f aca="false">IF(ISNUMBER(AK36),IF(ISNUMBER('Base de Datos'!Y32),IF('Base de Datos'!Y32&gt;20000,INT('Base de Datos'!Y32),""),IF(TRIM('Base de Datos'!Y32)="","",IFERROR(DATE(VALUE(RIGHT(TRIM('Base de Datos'!Y32),4)),VALUE(MID(TRIM('Base de Datos'!Y32),4,2)),VALUE(LEFT(TRIM('Base de Datos'!Y32),2))),IFERROR(DATEVALUE(TRIM('Base de Datos'!Y32)),"")))),"")</f>
        <v>44668</v>
      </c>
      <c r="AK36" s="74" t="n">
        <f aca="false">IF(ISNUMBER('Base de Datos'!Z32),'Base de Datos'!Z32,IF(TRIM('Base de Datos'!Z32)="","",IFERROR(IF(IFERROR(FIND("@",SUBSTITUTE(TRIM('Base de Datos'!Z32),",","@",LEN(TRIM('Base de Datos'!Z32))-LEN(SUBSTITUTE(TRIM('Base de Datos'!Z32),",","")))),0)&gt;IFERROR(FIND("@",SUBSTITUTE(TRIM('Base de Datos'!Z32),".","@",LEN(TRIM('Base de Datos'!Z32))-LEN(SUBSTITUTE(TRIM('Base de Datos'!Z32),".","")))),0),_xlfn.NUMBERVALUE(SUBSTITUTE(SUBSTITUTE(TRIM('Base de Datos'!Z32),".",""),",","."),".",","),_xlfn.NUMBERVALUE(SUBSTITUTE(TRIM('Base de Datos'!Z32),",",""),".",",")),"")))</f>
        <v>53191.78</v>
      </c>
    </row>
    <row r="37" customFormat="false" ht="13.5" hidden="false" customHeight="false" outlineLevel="0" collapsed="false">
      <c r="A37" s="75" t="n">
        <f aca="false">ROWS(A$13:A37)</f>
        <v>25</v>
      </c>
      <c r="B37" s="73" t="n">
        <f aca="false">IF(B36="","",IFERROR(SMALL($AH$10:$AH$409,COUNTIF($AH$10:$AH$409,"&lt;="&amp;B36)+1),""))</f>
        <v>44654</v>
      </c>
      <c r="C37" s="74" t="n">
        <f aca="false">IF(B37="","",INDEX($AI$10:$AI$409,MATCH(B37,$AH$10:$AH$409,0)))</f>
        <v>21.58</v>
      </c>
      <c r="D37" s="74" t="n">
        <f aca="false">IF(B37="","",IFERROR(INDEX($AK$10:$AK$409,MATCH(B37,$AJ$10:$AJ$409,0)),""))</f>
        <v>54687.25</v>
      </c>
      <c r="E37" s="76" t="n">
        <f aca="false">IF(AND(ISNUMBER(C37),ISNUMBER(C36)),C37/C36-1,"")</f>
        <v>-0.0327207530255491</v>
      </c>
      <c r="F37" s="76" t="n">
        <f aca="false">IF(AND(ISNUMBER(D37),ISNUMBER(D36)),D37/D36-1,"")</f>
        <v>-0.0339569973541563</v>
      </c>
      <c r="G37" s="75" t="n">
        <f aca="false">IF(AND(ISNUMBER(E37),ISNUMBER(F37)),1,"")</f>
        <v>1</v>
      </c>
      <c r="H37" s="75" t="n">
        <f aca="false">IF(G37=1,COUNT(G37:G$412),"")</f>
        <v>235</v>
      </c>
      <c r="I37" s="75" t="n">
        <f aca="false">IF(G37=1,IF(H37&lt;='Beta Regresión'!$B$5,1,""),"")</f>
        <v>1</v>
      </c>
      <c r="J37" s="76" t="n">
        <f aca="false">IF(I37=1,E37,"")</f>
        <v>-0.0327207530255491</v>
      </c>
      <c r="K37" s="76" t="n">
        <f aca="false">IF(I37=1,F37,"")</f>
        <v>-0.0339569973541563</v>
      </c>
      <c r="L37" s="75" t="n">
        <f aca="false">IF(I37=1,COUNT(I$13:I37),"")</f>
        <v>24</v>
      </c>
      <c r="M37" s="76" t="n">
        <f aca="false">IFERROR(INDEX($J$13:$J$412,MATCH(A37,$L$13:$L$412,0)),"")</f>
        <v>0.00463392029657106</v>
      </c>
      <c r="N37" s="76" t="n">
        <f aca="false">IFERROR(INDEX($K$13:$K$412,MATCH(A37,$L$13:$L$412,0)),"")</f>
        <v>-0.00941042016192073</v>
      </c>
      <c r="O37" s="76" t="n">
        <f aca="false">IF(I37=1,E37,NA())</f>
        <v>-0.0327207530255491</v>
      </c>
      <c r="P37" s="76" t="n">
        <f aca="false">IF(I37=1,F37,NA())</f>
        <v>-0.0339569973541563</v>
      </c>
      <c r="R37" s="75" t="n">
        <f aca="false">ROWS(R$13:R37)</f>
        <v>25</v>
      </c>
      <c r="S37" s="73" t="n">
        <f aca="false">IF(S36="","",IFERROR(SMALL($AD$10:$AD$509,COUNTIF($AD$10:$AD$509,"&lt;="&amp;S36)+1),""))</f>
        <v>46245</v>
      </c>
      <c r="T37" s="74" t="n">
        <f aca="false">IF(S37="","",INDEX($AE$10:$AE$509,MATCH(S37,$AD$10:$AD$509,0)))</f>
        <v>28.75</v>
      </c>
      <c r="U37" s="74" t="n">
        <f aca="false">IF(S37="","",IFERROR(INDEX($AG$10:$AG$509,MATCH(S37,$AF$10:$AF$509,0)),""))</f>
        <v>65564.76</v>
      </c>
      <c r="V37" s="76" t="n">
        <f aca="false">IF(AND(ISNUMBER(T37),ISNUMBER(T36)),T37/T36-1,"")</f>
        <v>-0.0207765667574932</v>
      </c>
      <c r="W37" s="76" t="n">
        <f aca="false">IF(AND(ISNUMBER(U37),ISNUMBER(U36)),U37/U36-1,"")</f>
        <v>-0.0131522979570003</v>
      </c>
      <c r="X37" s="75" t="n">
        <f aca="false">IF(AND(ISNUMBER(V37),ISNUMBER(W37)),1,"")</f>
        <v>1</v>
      </c>
      <c r="Y37" s="76" t="n">
        <f aca="false">IF(X37=1,V37,"")</f>
        <v>-0.0207765667574932</v>
      </c>
      <c r="Z37" s="76" t="n">
        <f aca="false">IF(X37=1,W37,"")</f>
        <v>-0.0131522979570003</v>
      </c>
      <c r="AA37" s="76" t="n">
        <f aca="false">IF(X37=1,V37,NA())</f>
        <v>-0.0207765667574932</v>
      </c>
      <c r="AB37" s="76" t="n">
        <f aca="false">IF(X37=1,W37,NA())</f>
        <v>-0.0131522979570003</v>
      </c>
      <c r="AD37" s="73" t="n">
        <f aca="false">IF(ISNUMBER(AE37),IF(ISNUMBER('Base de Datos'!A33),IF('Base de Datos'!A33&gt;20000,DATE(YEAR('Base de Datos'!A33),DAY('Base de Datos'!A33),MONTH('Base de Datos'!A33)),""),IF(TRIM('Base de Datos'!A33)="","",IFERROR(DATE(VALUE(RIGHT(TRIM('Base de Datos'!A33),4)),VALUE(LEFT(TRIM('Base de Datos'!A33),2)),VALUE(MID(TRIM('Base de Datos'!A33),4,2))),""))),"")</f>
        <v>46248</v>
      </c>
      <c r="AE37" s="74" t="n">
        <f aca="false">IF(ISNUMBER('Base de Datos'!B33),'Base de Datos'!B33,IF(TRIM('Base de Datos'!B33)="","",IFERROR(IF(IFERROR(FIND("@",SUBSTITUTE(TRIM('Base de Datos'!B33),",","@",LEN(TRIM('Base de Datos'!B33))-LEN(SUBSTITUTE(TRIM('Base de Datos'!B33),",","")))),0)&gt;IFERROR(FIND("@",SUBSTITUTE(TRIM('Base de Datos'!B33),".","@",LEN(TRIM('Base de Datos'!B33))-LEN(SUBSTITUTE(TRIM('Base de Datos'!B33),".","")))),0),_xlfn.NUMBERVALUE(SUBSTITUTE(SUBSTITUTE(TRIM('Base de Datos'!B33),".",""),",","."),".",","),_xlfn.NUMBERVALUE(SUBSTITUTE(TRIM('Base de Datos'!B33),",",""),".",",")),"")))</f>
        <v>27.5</v>
      </c>
      <c r="AF37" s="73" t="n">
        <f aca="false">IF(ISNUMBER(AG37),IF(ISNUMBER('Base de Datos'!I33),IF('Base de Datos'!I33&gt;20000,INT('Base de Datos'!I33),""),IF(TRIM('Base de Datos'!I33)="","",IFERROR(DATE(VALUE(RIGHT(TRIM('Base de Datos'!I33),4)),VALUE(MID(TRIM('Base de Datos'!I33),4,2)),VALUE(LEFT(TRIM('Base de Datos'!I33),2))),IFERROR(DATEVALUE(TRIM('Base de Datos'!I33)),"")))),"")</f>
        <v>46241</v>
      </c>
      <c r="AG37" s="74" t="n">
        <f aca="false">IF(ISNUMBER('Base de Datos'!J33),'Base de Datos'!J33,IF(TRIM('Base de Datos'!J33)="","",IFERROR(IF(IFERROR(FIND("@",SUBSTITUTE(TRIM('Base de Datos'!J33),",","@",LEN(TRIM('Base de Datos'!J33))-LEN(SUBSTITUTE(TRIM('Base de Datos'!J33),",","")))),0)&gt;IFERROR(FIND("@",SUBSTITUTE(TRIM('Base de Datos'!J33),".","@",LEN(TRIM('Base de Datos'!J33))-LEN(SUBSTITUTE(TRIM('Base de Datos'!J33),".","")))),0),_xlfn.NUMBERVALUE(SUBSTITUTE(SUBSTITUTE(TRIM('Base de Datos'!J33),".",""),",","."),".",","),_xlfn.NUMBERVALUE(SUBSTITUTE(TRIM('Base de Datos'!J33),",",""),".",",")),"")))</f>
        <v>66938.64</v>
      </c>
      <c r="AH37" s="73" t="n">
        <f aca="false">IF(ISNUMBER(AI37),IF(ISNUMBER('Base de Datos'!Q33),IF('Base de Datos'!Q33&gt;20000,DATE(YEAR('Base de Datos'!Q33),DAY('Base de Datos'!Q33),MONTH('Base de Datos'!Q33)),""),IF(TRIM('Base de Datos'!Q33)="","",IFERROR(DATE(VALUE(RIGHT(TRIM('Base de Datos'!Q33),4)),VALUE(LEFT(TRIM('Base de Datos'!Q33),2)),VALUE(MID(TRIM('Base de Datos'!Q33),4,2))),""))),"")</f>
        <v>44675</v>
      </c>
      <c r="AI37" s="74" t="n">
        <f aca="false">IF(ISNUMBER('Base de Datos'!R33),'Base de Datos'!R33,IF(TRIM('Base de Datos'!R33)="","",IFERROR(IF(IFERROR(FIND("@",SUBSTITUTE(TRIM('Base de Datos'!R33),",","@",LEN(TRIM('Base de Datos'!R33))-LEN(SUBSTITUTE(TRIM('Base de Datos'!R33),",","")))),0)&gt;IFERROR(FIND("@",SUBSTITUTE(TRIM('Base de Datos'!R33),".","@",LEN(TRIM('Base de Datos'!R33))-LEN(SUBSTITUTE(TRIM('Base de Datos'!R33),".","")))),0),_xlfn.NUMBERVALUE(SUBSTITUTE(SUBSTITUTE(TRIM('Base de Datos'!R33),".",""),",","."),".",","),_xlfn.NUMBERVALUE(SUBSTITUTE(TRIM('Base de Datos'!R33),",",""),".",",")),"")))</f>
        <v>23.56</v>
      </c>
      <c r="AJ37" s="73" t="n">
        <f aca="false">IF(ISNUMBER(AK37),IF(ISNUMBER('Base de Datos'!Y33),IF('Base de Datos'!Y33&gt;20000,INT('Base de Datos'!Y33),""),IF(TRIM('Base de Datos'!Y33)="","",IFERROR(DATE(VALUE(RIGHT(TRIM('Base de Datos'!Y33),4)),VALUE(MID(TRIM('Base de Datos'!Y33),4,2)),VALUE(LEFT(TRIM('Base de Datos'!Y33),2))),IFERROR(DATEVALUE(TRIM('Base de Datos'!Y33)),"")))),"")</f>
        <v>44675</v>
      </c>
      <c r="AK37" s="74" t="n">
        <f aca="false">IF(ISNUMBER('Base de Datos'!Z33),'Base de Datos'!Z33,IF(TRIM('Base de Datos'!Z33)="","",IFERROR(IF(IFERROR(FIND("@",SUBSTITUTE(TRIM('Base de Datos'!Z33),",","@",LEN(TRIM('Base de Datos'!Z33))-LEN(SUBSTITUTE(TRIM('Base de Datos'!Z33),",","")))),0)&gt;IFERROR(FIND("@",SUBSTITUTE(TRIM('Base de Datos'!Z33),".","@",LEN(TRIM('Base de Datos'!Z33))-LEN(SUBSTITUTE(TRIM('Base de Datos'!Z33),".","")))),0),_xlfn.NUMBERVALUE(SUBSTITUTE(SUBSTITUTE(TRIM('Base de Datos'!Z33),".",""),",","."),".",","),_xlfn.NUMBERVALUE(SUBSTITUTE(TRIM('Base de Datos'!Z33),",",""),".",",")),"")))</f>
        <v>51417.97</v>
      </c>
    </row>
    <row r="38" customFormat="false" ht="13.5" hidden="false" customHeight="false" outlineLevel="0" collapsed="false">
      <c r="A38" s="75" t="n">
        <f aca="false">ROWS(A$13:A38)</f>
        <v>26</v>
      </c>
      <c r="B38" s="73" t="n">
        <f aca="false">IF(B37="","",IFERROR(SMALL($AH$10:$AH$409,COUNTIF($AH$10:$AH$409,"&lt;="&amp;B37)+1),""))</f>
        <v>44661</v>
      </c>
      <c r="C38" s="74" t="n">
        <f aca="false">IF(B38="","",INDEX($AI$10:$AI$409,MATCH(B38,$AH$10:$AH$409,0)))</f>
        <v>21.68</v>
      </c>
      <c r="D38" s="74" t="n">
        <f aca="false">IF(B38="","",IFERROR(INDEX($AK$10:$AK$409,MATCH(B38,$AJ$10:$AJ$409,0)),""))</f>
        <v>54172.62</v>
      </c>
      <c r="E38" s="76" t="n">
        <f aca="false">IF(AND(ISNUMBER(C38),ISNUMBER(C37)),C38/C37-1,"")</f>
        <v>0.00463392029657106</v>
      </c>
      <c r="F38" s="76" t="n">
        <f aca="false">IF(AND(ISNUMBER(D38),ISNUMBER(D37)),D38/D37-1,"")</f>
        <v>-0.00941042016192073</v>
      </c>
      <c r="G38" s="75" t="n">
        <f aca="false">IF(AND(ISNUMBER(E38),ISNUMBER(F38)),1,"")</f>
        <v>1</v>
      </c>
      <c r="H38" s="75" t="n">
        <f aca="false">IF(G38=1,COUNT(G38:G$412),"")</f>
        <v>234</v>
      </c>
      <c r="I38" s="75" t="n">
        <f aca="false">IF(G38=1,IF(H38&lt;='Beta Regresión'!$B$5,1,""),"")</f>
        <v>1</v>
      </c>
      <c r="J38" s="76" t="n">
        <f aca="false">IF(I38=1,E38,"")</f>
        <v>0.00463392029657106</v>
      </c>
      <c r="K38" s="76" t="n">
        <f aca="false">IF(I38=1,F38,"")</f>
        <v>-0.00941042016192073</v>
      </c>
      <c r="L38" s="75" t="n">
        <f aca="false">IF(I38=1,COUNT(I$13:I38),"")</f>
        <v>25</v>
      </c>
      <c r="M38" s="76" t="n">
        <f aca="false">IFERROR(INDEX($J$13:$J$412,MATCH(A38,$L$13:$L$412,0)),"")</f>
        <v>-0.0309040590405903</v>
      </c>
      <c r="N38" s="76" t="n">
        <f aca="false">IFERROR(INDEX($K$13:$K$412,MATCH(A38,$L$13:$L$412,0)),"")</f>
        <v>-0.0181058254151267</v>
      </c>
      <c r="O38" s="76" t="n">
        <f aca="false">IF(I38=1,E38,NA())</f>
        <v>0.00463392029657106</v>
      </c>
      <c r="P38" s="76" t="n">
        <f aca="false">IF(I38=1,F38,NA())</f>
        <v>-0.00941042016192073</v>
      </c>
      <c r="R38" s="75" t="n">
        <f aca="false">ROWS(R$13:R38)</f>
        <v>26</v>
      </c>
      <c r="S38" s="73" t="n">
        <f aca="false">IF(S37="","",IFERROR(SMALL($AD$10:$AD$509,COUNTIF($AD$10:$AD$509,"&lt;="&amp;S37)+1),""))</f>
        <v>46246</v>
      </c>
      <c r="T38" s="74" t="n">
        <f aca="false">IF(S38="","",INDEX($AE$10:$AE$509,MATCH(S38,$AD$10:$AD$509,0)))</f>
        <v>28.75</v>
      </c>
      <c r="U38" s="74" t="n">
        <f aca="false">IF(S38="","",IFERROR(INDEX($AG$10:$AG$509,MATCH(S38,$AF$10:$AF$509,0)),""))</f>
        <v>65755.97</v>
      </c>
      <c r="V38" s="76" t="n">
        <f aca="false">IF(AND(ISNUMBER(T38),ISNUMBER(T37)),T38/T37-1,"")</f>
        <v>0</v>
      </c>
      <c r="W38" s="76" t="n">
        <f aca="false">IF(AND(ISNUMBER(U38),ISNUMBER(U37)),U38/U37-1,"")</f>
        <v>0.00291635323609829</v>
      </c>
      <c r="X38" s="75" t="n">
        <f aca="false">IF(AND(ISNUMBER(V38),ISNUMBER(W38)),1,"")</f>
        <v>1</v>
      </c>
      <c r="Y38" s="76" t="n">
        <f aca="false">IF(X38=1,V38,"")</f>
        <v>0</v>
      </c>
      <c r="Z38" s="76" t="n">
        <f aca="false">IF(X38=1,W38,"")</f>
        <v>0.00291635323609829</v>
      </c>
      <c r="AA38" s="76" t="n">
        <f aca="false">IF(X38=1,V38,NA())</f>
        <v>0</v>
      </c>
      <c r="AB38" s="76" t="n">
        <f aca="false">IF(X38=1,W38,NA())</f>
        <v>0.00291635323609829</v>
      </c>
      <c r="AD38" s="73" t="n">
        <f aca="false">IF(ISNUMBER(AE38),IF(ISNUMBER('Base de Datos'!A34),IF('Base de Datos'!A34&gt;20000,DATE(YEAR('Base de Datos'!A34),DAY('Base de Datos'!A34),MONTH('Base de Datos'!A34)),""),IF(TRIM('Base de Datos'!A34)="","",IFERROR(DATE(VALUE(RIGHT(TRIM('Base de Datos'!A34),4)),VALUE(LEFT(TRIM('Base de Datos'!A34),2)),VALUE(MID(TRIM('Base de Datos'!A34),4,2))),""))),"")</f>
        <v>46251</v>
      </c>
      <c r="AE38" s="74" t="n">
        <f aca="false">IF(ISNUMBER('Base de Datos'!B34),'Base de Datos'!B34,IF(TRIM('Base de Datos'!B34)="","",IFERROR(IF(IFERROR(FIND("@",SUBSTITUTE(TRIM('Base de Datos'!B34),",","@",LEN(TRIM('Base de Datos'!B34))-LEN(SUBSTITUTE(TRIM('Base de Datos'!B34),",","")))),0)&gt;IFERROR(FIND("@",SUBSTITUTE(TRIM('Base de Datos'!B34),".","@",LEN(TRIM('Base de Datos'!B34))-LEN(SUBSTITUTE(TRIM('Base de Datos'!B34),".","")))),0),_xlfn.NUMBERVALUE(SUBSTITUTE(SUBSTITUTE(TRIM('Base de Datos'!B34),".",""),",","."),".",","),_xlfn.NUMBERVALUE(SUBSTITUTE(TRIM('Base de Datos'!B34),",",""),".",",")),"")))</f>
        <v>27.5</v>
      </c>
      <c r="AF38" s="73" t="n">
        <f aca="false">IF(ISNUMBER(AG38),IF(ISNUMBER('Base de Datos'!I34),IF('Base de Datos'!I34&gt;20000,INT('Base de Datos'!I34),""),IF(TRIM('Base de Datos'!I34)="","",IFERROR(DATE(VALUE(RIGHT(TRIM('Base de Datos'!I34),4)),VALUE(MID(TRIM('Base de Datos'!I34),4,2)),VALUE(LEFT(TRIM('Base de Datos'!I34),2))),IFERROR(DATEVALUE(TRIM('Base de Datos'!I34)),"")))),"")</f>
        <v>46244</v>
      </c>
      <c r="AG38" s="74" t="n">
        <f aca="false">IF(ISNUMBER('Base de Datos'!J34),'Base de Datos'!J34,IF(TRIM('Base de Datos'!J34)="","",IFERROR(IF(IFERROR(FIND("@",SUBSTITUTE(TRIM('Base de Datos'!J34),",","@",LEN(TRIM('Base de Datos'!J34))-LEN(SUBSTITUTE(TRIM('Base de Datos'!J34),",","")))),0)&gt;IFERROR(FIND("@",SUBSTITUTE(TRIM('Base de Datos'!J34),".","@",LEN(TRIM('Base de Datos'!J34))-LEN(SUBSTITUTE(TRIM('Base de Datos'!J34),".","")))),0),_xlfn.NUMBERVALUE(SUBSTITUTE(SUBSTITUTE(TRIM('Base de Datos'!J34),".",""),",","."),".",","),_xlfn.NUMBERVALUE(SUBSTITUTE(TRIM('Base de Datos'!J34),",",""),".",",")),"")))</f>
        <v>66438.58</v>
      </c>
      <c r="AH38" s="73" t="n">
        <f aca="false">IF(ISNUMBER(AI38),IF(ISNUMBER('Base de Datos'!Q34),IF('Base de Datos'!Q34&gt;20000,DATE(YEAR('Base de Datos'!Q34),DAY('Base de Datos'!Q34),MONTH('Base de Datos'!Q34)),""),IF(TRIM('Base de Datos'!Q34)="","",IFERROR(DATE(VALUE(RIGHT(TRIM('Base de Datos'!Q34),4)),VALUE(LEFT(TRIM('Base de Datos'!Q34),2)),VALUE(MID(TRIM('Base de Datos'!Q34),4,2))),""))),"")</f>
        <v>44682</v>
      </c>
      <c r="AI38" s="74" t="n">
        <f aca="false">IF(ISNUMBER('Base de Datos'!R34),'Base de Datos'!R34,IF(TRIM('Base de Datos'!R34)="","",IFERROR(IF(IFERROR(FIND("@",SUBSTITUTE(TRIM('Base de Datos'!R34),",","@",LEN(TRIM('Base de Datos'!R34))-LEN(SUBSTITUTE(TRIM('Base de Datos'!R34),",","")))),0)&gt;IFERROR(FIND("@",SUBSTITUTE(TRIM('Base de Datos'!R34),".","@",LEN(TRIM('Base de Datos'!R34))-LEN(SUBSTITUTE(TRIM('Base de Datos'!R34),".","")))),0),_xlfn.NUMBERVALUE(SUBSTITUTE(SUBSTITUTE(TRIM('Base de Datos'!R34),".",""),",","."),".",","),_xlfn.NUMBERVALUE(SUBSTITUTE(TRIM('Base de Datos'!R34),",",""),".",",")),"")))</f>
        <v>22.07</v>
      </c>
      <c r="AJ38" s="73" t="n">
        <f aca="false">IF(ISNUMBER(AK38),IF(ISNUMBER('Base de Datos'!Y34),IF('Base de Datos'!Y34&gt;20000,INT('Base de Datos'!Y34),""),IF(TRIM('Base de Datos'!Y34)="","",IFERROR(DATE(VALUE(RIGHT(TRIM('Base de Datos'!Y34),4)),VALUE(MID(TRIM('Base de Datos'!Y34),4,2)),VALUE(LEFT(TRIM('Base de Datos'!Y34),2))),IFERROR(DATEVALUE(TRIM('Base de Datos'!Y34)),"")))),"")</f>
        <v>44682</v>
      </c>
      <c r="AK38" s="74" t="n">
        <f aca="false">IF(ISNUMBER('Base de Datos'!Z34),'Base de Datos'!Z34,IF(TRIM('Base de Datos'!Z34)="","",IFERROR(IF(IFERROR(FIND("@",SUBSTITUTE(TRIM('Base de Datos'!Z34),",","@",LEN(TRIM('Base de Datos'!Z34))-LEN(SUBSTITUTE(TRIM('Base de Datos'!Z34),",","")))),0)&gt;IFERROR(FIND("@",SUBSTITUTE(TRIM('Base de Datos'!Z34),".","@",LEN(TRIM('Base de Datos'!Z34))-LEN(SUBSTITUTE(TRIM('Base de Datos'!Z34),".","")))),0),_xlfn.NUMBERVALUE(SUBSTITUTE(SUBSTITUTE(TRIM('Base de Datos'!Z34),".",""),",","."),".",","),_xlfn.NUMBERVALUE(SUBSTITUTE(TRIM('Base de Datos'!Z34),",",""),".",",")),"")))</f>
        <v>49541.81</v>
      </c>
    </row>
    <row r="39" customFormat="false" ht="13.5" hidden="false" customHeight="false" outlineLevel="0" collapsed="false">
      <c r="A39" s="75" t="n">
        <f aca="false">ROWS(A$13:A39)</f>
        <v>27</v>
      </c>
      <c r="B39" s="73" t="n">
        <f aca="false">IF(B38="","",IFERROR(SMALL($AH$10:$AH$409,COUNTIF($AH$10:$AH$409,"&lt;="&amp;B38)+1),""))</f>
        <v>44668</v>
      </c>
      <c r="C39" s="74" t="n">
        <f aca="false">IF(B39="","",INDEX($AI$10:$AI$409,MATCH(B39,$AH$10:$AH$409,0)))</f>
        <v>21.01</v>
      </c>
      <c r="D39" s="74" t="n">
        <f aca="false">IF(B39="","",IFERROR(INDEX($AK$10:$AK$409,MATCH(B39,$AJ$10:$AJ$409,0)),""))</f>
        <v>53191.78</v>
      </c>
      <c r="E39" s="76" t="n">
        <f aca="false">IF(AND(ISNUMBER(C39),ISNUMBER(C38)),C39/C38-1,"")</f>
        <v>-0.0309040590405903</v>
      </c>
      <c r="F39" s="76" t="n">
        <f aca="false">IF(AND(ISNUMBER(D39),ISNUMBER(D38)),D39/D38-1,"")</f>
        <v>-0.0181058254151267</v>
      </c>
      <c r="G39" s="75" t="n">
        <f aca="false">IF(AND(ISNUMBER(E39),ISNUMBER(F39)),1,"")</f>
        <v>1</v>
      </c>
      <c r="H39" s="75" t="n">
        <f aca="false">IF(G39=1,COUNT(G39:G$412),"")</f>
        <v>233</v>
      </c>
      <c r="I39" s="75" t="n">
        <f aca="false">IF(G39=1,IF(H39&lt;='Beta Regresión'!$B$5,1,""),"")</f>
        <v>1</v>
      </c>
      <c r="J39" s="76" t="n">
        <f aca="false">IF(I39=1,E39,"")</f>
        <v>-0.0309040590405903</v>
      </c>
      <c r="K39" s="76" t="n">
        <f aca="false">IF(I39=1,F39,"")</f>
        <v>-0.0181058254151267</v>
      </c>
      <c r="L39" s="75" t="n">
        <f aca="false">IF(I39=1,COUNT(I$13:I39),"")</f>
        <v>26</v>
      </c>
      <c r="M39" s="76" t="n">
        <f aca="false">IFERROR(INDEX($J$13:$J$412,MATCH(A39,$L$13:$L$412,0)),"")</f>
        <v>0.121370775821037</v>
      </c>
      <c r="N39" s="76" t="n">
        <f aca="false">IFERROR(INDEX($K$13:$K$412,MATCH(A39,$L$13:$L$412,0)),"")</f>
        <v>-0.0333474457895562</v>
      </c>
      <c r="O39" s="76" t="n">
        <f aca="false">IF(I39=1,E39,NA())</f>
        <v>-0.0309040590405903</v>
      </c>
      <c r="P39" s="76" t="n">
        <f aca="false">IF(I39=1,F39,NA())</f>
        <v>-0.0181058254151267</v>
      </c>
      <c r="R39" s="75" t="n">
        <f aca="false">ROWS(R$13:R39)</f>
        <v>27</v>
      </c>
      <c r="S39" s="73" t="n">
        <f aca="false">IF(S38="","",IFERROR(SMALL($AD$10:$AD$509,COUNTIF($AD$10:$AD$509,"&lt;="&amp;S38)+1),""))</f>
        <v>46247</v>
      </c>
      <c r="T39" s="74" t="n">
        <f aca="false">IF(S39="","",INDEX($AE$10:$AE$509,MATCH(S39,$AD$10:$AD$509,0)))</f>
        <v>27.95</v>
      </c>
      <c r="U39" s="74" t="n">
        <f aca="false">IF(S39="","",IFERROR(INDEX($AG$10:$AG$509,MATCH(S39,$AF$10:$AF$509,0)),""))</f>
        <v>64826.39</v>
      </c>
      <c r="V39" s="76" t="n">
        <f aca="false">IF(AND(ISNUMBER(T39),ISNUMBER(T38)),T39/T38-1,"")</f>
        <v>-0.0278260869565218</v>
      </c>
      <c r="W39" s="76" t="n">
        <f aca="false">IF(AND(ISNUMBER(U39),ISNUMBER(U38)),U39/U38-1,"")</f>
        <v>-0.014136815257991</v>
      </c>
      <c r="X39" s="75" t="n">
        <f aca="false">IF(AND(ISNUMBER(V39),ISNUMBER(W39)),1,"")</f>
        <v>1</v>
      </c>
      <c r="Y39" s="76" t="n">
        <f aca="false">IF(X39=1,V39,"")</f>
        <v>-0.0278260869565218</v>
      </c>
      <c r="Z39" s="76" t="n">
        <f aca="false">IF(X39=1,W39,"")</f>
        <v>-0.014136815257991</v>
      </c>
      <c r="AA39" s="76" t="n">
        <f aca="false">IF(X39=1,V39,NA())</f>
        <v>-0.0278260869565218</v>
      </c>
      <c r="AB39" s="76" t="n">
        <f aca="false">IF(X39=1,W39,NA())</f>
        <v>-0.014136815257991</v>
      </c>
      <c r="AD39" s="73" t="n">
        <f aca="false">IF(ISNUMBER(AE39),IF(ISNUMBER('Base de Datos'!A35),IF('Base de Datos'!A35&gt;20000,DATE(YEAR('Base de Datos'!A35),DAY('Base de Datos'!A35),MONTH('Base de Datos'!A35)),""),IF(TRIM('Base de Datos'!A35)="","",IFERROR(DATE(VALUE(RIGHT(TRIM('Base de Datos'!A35),4)),VALUE(LEFT(TRIM('Base de Datos'!A35),2)),VALUE(MID(TRIM('Base de Datos'!A35),4,2))),""))),"")</f>
        <v>46252</v>
      </c>
      <c r="AE39" s="74" t="n">
        <f aca="false">IF(ISNUMBER('Base de Datos'!B35),'Base de Datos'!B35,IF(TRIM('Base de Datos'!B35)="","",IFERROR(IF(IFERROR(FIND("@",SUBSTITUTE(TRIM('Base de Datos'!B35),",","@",LEN(TRIM('Base de Datos'!B35))-LEN(SUBSTITUTE(TRIM('Base de Datos'!B35),",","")))),0)&gt;IFERROR(FIND("@",SUBSTITUTE(TRIM('Base de Datos'!B35),".","@",LEN(TRIM('Base de Datos'!B35))-LEN(SUBSTITUTE(TRIM('Base de Datos'!B35),".","")))),0),_xlfn.NUMBERVALUE(SUBSTITUTE(SUBSTITUTE(TRIM('Base de Datos'!B35),".",""),",","."),".",","),_xlfn.NUMBERVALUE(SUBSTITUTE(TRIM('Base de Datos'!B35),",",""),".",",")),"")))</f>
        <v>27.5</v>
      </c>
      <c r="AF39" s="73" t="n">
        <f aca="false">IF(ISNUMBER(AG39),IF(ISNUMBER('Base de Datos'!I35),IF('Base de Datos'!I35&gt;20000,INT('Base de Datos'!I35),""),IF(TRIM('Base de Datos'!I35)="","",IFERROR(DATE(VALUE(RIGHT(TRIM('Base de Datos'!I35),4)),VALUE(MID(TRIM('Base de Datos'!I35),4,2)),VALUE(LEFT(TRIM('Base de Datos'!I35),2))),IFERROR(DATEVALUE(TRIM('Base de Datos'!I35)),"")))),"")</f>
        <v>46245</v>
      </c>
      <c r="AG39" s="74" t="n">
        <f aca="false">IF(ISNUMBER('Base de Datos'!J35),'Base de Datos'!J35,IF(TRIM('Base de Datos'!J35)="","",IFERROR(IF(IFERROR(FIND("@",SUBSTITUTE(TRIM('Base de Datos'!J35),",","@",LEN(TRIM('Base de Datos'!J35))-LEN(SUBSTITUTE(TRIM('Base de Datos'!J35),",","")))),0)&gt;IFERROR(FIND("@",SUBSTITUTE(TRIM('Base de Datos'!J35),".","@",LEN(TRIM('Base de Datos'!J35))-LEN(SUBSTITUTE(TRIM('Base de Datos'!J35),".","")))),0),_xlfn.NUMBERVALUE(SUBSTITUTE(SUBSTITUTE(TRIM('Base de Datos'!J35),".",""),",","."),".",","),_xlfn.NUMBERVALUE(SUBSTITUTE(TRIM('Base de Datos'!J35),",",""),".",",")),"")))</f>
        <v>65564.76</v>
      </c>
      <c r="AH39" s="73" t="n">
        <f aca="false">IF(ISNUMBER(AI39),IF(ISNUMBER('Base de Datos'!Q35),IF('Base de Datos'!Q35&gt;20000,DATE(YEAR('Base de Datos'!Q35),DAY('Base de Datos'!Q35),MONTH('Base de Datos'!Q35)),""),IF(TRIM('Base de Datos'!Q35)="","",IFERROR(DATE(VALUE(RIGHT(TRIM('Base de Datos'!Q35),4)),VALUE(LEFT(TRIM('Base de Datos'!Q35),2)),VALUE(MID(TRIM('Base de Datos'!Q35),4,2))),""))),"")</f>
        <v>44689</v>
      </c>
      <c r="AI39" s="74" t="n">
        <f aca="false">IF(ISNUMBER('Base de Datos'!R35),'Base de Datos'!R35,IF(TRIM('Base de Datos'!R35)="","",IFERROR(IF(IFERROR(FIND("@",SUBSTITUTE(TRIM('Base de Datos'!R35),",","@",LEN(TRIM('Base de Datos'!R35))-LEN(SUBSTITUTE(TRIM('Base de Datos'!R35),",","")))),0)&gt;IFERROR(FIND("@",SUBSTITUTE(TRIM('Base de Datos'!R35),".","@",LEN(TRIM('Base de Datos'!R35))-LEN(SUBSTITUTE(TRIM('Base de Datos'!R35),".","")))),0),_xlfn.NUMBERVALUE(SUBSTITUTE(SUBSTITUTE(TRIM('Base de Datos'!R35),".",""),",","."),".",","),_xlfn.NUMBERVALUE(SUBSTITUTE(TRIM('Base de Datos'!R35),",",""),".",",")),"")))</f>
        <v>22</v>
      </c>
      <c r="AJ39" s="73" t="n">
        <f aca="false">IF(ISNUMBER(AK39),IF(ISNUMBER('Base de Datos'!Y35),IF('Base de Datos'!Y35&gt;20000,INT('Base de Datos'!Y35),""),IF(TRIM('Base de Datos'!Y35)="","",IFERROR(DATE(VALUE(RIGHT(TRIM('Base de Datos'!Y35),4)),VALUE(MID(TRIM('Base de Datos'!Y35),4,2)),VALUE(LEFT(TRIM('Base de Datos'!Y35),2))),IFERROR(DATEVALUE(TRIM('Base de Datos'!Y35)),"")))),"")</f>
        <v>44689</v>
      </c>
      <c r="AK39" s="74" t="n">
        <f aca="false">IF(ISNUMBER('Base de Datos'!Z35),'Base de Datos'!Z35,IF(TRIM('Base de Datos'!Z35)="","",IFERROR(IF(IFERROR(FIND("@",SUBSTITUTE(TRIM('Base de Datos'!Z35),",","@",LEN(TRIM('Base de Datos'!Z35))-LEN(SUBSTITUTE(TRIM('Base de Datos'!Z35),",","")))),0)&gt;IFERROR(FIND("@",SUBSTITUTE(TRIM('Base de Datos'!Z35),".","@",LEN(TRIM('Base de Datos'!Z35))-LEN(SUBSTITUTE(TRIM('Base de Datos'!Z35),".","")))),0),_xlfn.NUMBERVALUE(SUBSTITUTE(SUBSTITUTE(TRIM('Base de Datos'!Z35),".",""),",","."),".",","),_xlfn.NUMBERVALUE(SUBSTITUTE(TRIM('Base de Datos'!Z35),",",""),".",",")),"")))</f>
        <v>49579.9</v>
      </c>
    </row>
    <row r="40" customFormat="false" ht="13.5" hidden="false" customHeight="false" outlineLevel="0" collapsed="false">
      <c r="A40" s="75" t="n">
        <f aca="false">ROWS(A$13:A40)</f>
        <v>28</v>
      </c>
      <c r="B40" s="73" t="n">
        <f aca="false">IF(B39="","",IFERROR(SMALL($AH$10:$AH$409,COUNTIF($AH$10:$AH$409,"&lt;="&amp;B39)+1),""))</f>
        <v>44675</v>
      </c>
      <c r="C40" s="74" t="n">
        <f aca="false">IF(B40="","",INDEX($AI$10:$AI$409,MATCH(B40,$AH$10:$AH$409,0)))</f>
        <v>23.56</v>
      </c>
      <c r="D40" s="74" t="n">
        <f aca="false">IF(B40="","",IFERROR(INDEX($AK$10:$AK$409,MATCH(B40,$AJ$10:$AJ$409,0)),""))</f>
        <v>51417.97</v>
      </c>
      <c r="E40" s="76" t="n">
        <f aca="false">IF(AND(ISNUMBER(C40),ISNUMBER(C39)),C40/C39-1,"")</f>
        <v>0.121370775821037</v>
      </c>
      <c r="F40" s="76" t="n">
        <f aca="false">IF(AND(ISNUMBER(D40),ISNUMBER(D39)),D40/D39-1,"")</f>
        <v>-0.0333474457895562</v>
      </c>
      <c r="G40" s="75" t="n">
        <f aca="false">IF(AND(ISNUMBER(E40),ISNUMBER(F40)),1,"")</f>
        <v>1</v>
      </c>
      <c r="H40" s="75" t="n">
        <f aca="false">IF(G40=1,COUNT(G40:G$412),"")</f>
        <v>232</v>
      </c>
      <c r="I40" s="75" t="n">
        <f aca="false">IF(G40=1,IF(H40&lt;='Beta Regresión'!$B$5,1,""),"")</f>
        <v>1</v>
      </c>
      <c r="J40" s="76" t="n">
        <f aca="false">IF(I40=1,E40,"")</f>
        <v>0.121370775821037</v>
      </c>
      <c r="K40" s="76" t="n">
        <f aca="false">IF(I40=1,F40,"")</f>
        <v>-0.0333474457895562</v>
      </c>
      <c r="L40" s="75" t="n">
        <f aca="false">IF(I40=1,COUNT(I$13:I40),"")</f>
        <v>27</v>
      </c>
      <c r="M40" s="76" t="n">
        <f aca="false">IFERROR(INDEX($J$13:$J$412,MATCH(A40,$L$13:$L$412,0)),"")</f>
        <v>-0.0632427843803055</v>
      </c>
      <c r="N40" s="76" t="n">
        <f aca="false">IFERROR(INDEX($K$13:$K$412,MATCH(A40,$L$13:$L$412,0)),"")</f>
        <v>-0.0364884105693011</v>
      </c>
      <c r="O40" s="76" t="n">
        <f aca="false">IF(I40=1,E40,NA())</f>
        <v>0.121370775821037</v>
      </c>
      <c r="P40" s="76" t="n">
        <f aca="false">IF(I40=1,F40,NA())</f>
        <v>-0.0333474457895562</v>
      </c>
      <c r="R40" s="75" t="n">
        <f aca="false">ROWS(R$13:R40)</f>
        <v>28</v>
      </c>
      <c r="S40" s="73" t="n">
        <f aca="false">IF(S39="","",IFERROR(SMALL($AD$10:$AD$509,COUNTIF($AD$10:$AD$509,"&lt;="&amp;S39)+1),""))</f>
        <v>46248</v>
      </c>
      <c r="T40" s="74" t="n">
        <f aca="false">IF(S40="","",INDEX($AE$10:$AE$509,MATCH(S40,$AD$10:$AD$509,0)))</f>
        <v>27.5</v>
      </c>
      <c r="U40" s="74" t="n">
        <f aca="false">IF(S40="","",IFERROR(INDEX($AG$10:$AG$509,MATCH(S40,$AF$10:$AF$509,0)),""))</f>
        <v>64397.45</v>
      </c>
      <c r="V40" s="76" t="n">
        <f aca="false">IF(AND(ISNUMBER(T40),ISNUMBER(T39)),T40/T39-1,"")</f>
        <v>-0.0161001788908766</v>
      </c>
      <c r="W40" s="76" t="n">
        <f aca="false">IF(AND(ISNUMBER(U40),ISNUMBER(U39)),U40/U39-1,"")</f>
        <v>-0.00661674975268567</v>
      </c>
      <c r="X40" s="75" t="n">
        <f aca="false">IF(AND(ISNUMBER(V40),ISNUMBER(W40)),1,"")</f>
        <v>1</v>
      </c>
      <c r="Y40" s="76" t="n">
        <f aca="false">IF(X40=1,V40,"")</f>
        <v>-0.0161001788908766</v>
      </c>
      <c r="Z40" s="76" t="n">
        <f aca="false">IF(X40=1,W40,"")</f>
        <v>-0.00661674975268567</v>
      </c>
      <c r="AA40" s="76" t="n">
        <f aca="false">IF(X40=1,V40,NA())</f>
        <v>-0.0161001788908766</v>
      </c>
      <c r="AB40" s="76" t="n">
        <f aca="false">IF(X40=1,W40,NA())</f>
        <v>-0.00661674975268567</v>
      </c>
      <c r="AD40" s="73" t="n">
        <f aca="false">IF(ISNUMBER(AE40),IF(ISNUMBER('Base de Datos'!A36),IF('Base de Datos'!A36&gt;20000,DATE(YEAR('Base de Datos'!A36),DAY('Base de Datos'!A36),MONTH('Base de Datos'!A36)),""),IF(TRIM('Base de Datos'!A36)="","",IFERROR(DATE(VALUE(RIGHT(TRIM('Base de Datos'!A36),4)),VALUE(LEFT(TRIM('Base de Datos'!A36),2)),VALUE(MID(TRIM('Base de Datos'!A36),4,2))),""))),"")</f>
        <v>46253</v>
      </c>
      <c r="AE40" s="74" t="n">
        <f aca="false">IF(ISNUMBER('Base de Datos'!B36),'Base de Datos'!B36,IF(TRIM('Base de Datos'!B36)="","",IFERROR(IF(IFERROR(FIND("@",SUBSTITUTE(TRIM('Base de Datos'!B36),",","@",LEN(TRIM('Base de Datos'!B36))-LEN(SUBSTITUTE(TRIM('Base de Datos'!B36),",","")))),0)&gt;IFERROR(FIND("@",SUBSTITUTE(TRIM('Base de Datos'!B36),".","@",LEN(TRIM('Base de Datos'!B36))-LEN(SUBSTITUTE(TRIM('Base de Datos'!B36),".","")))),0),_xlfn.NUMBERVALUE(SUBSTITUTE(SUBSTITUTE(TRIM('Base de Datos'!B36),".",""),",","."),".",","),_xlfn.NUMBERVALUE(SUBSTITUTE(TRIM('Base de Datos'!B36),",",""),".",",")),"")))</f>
        <v>27.49</v>
      </c>
      <c r="AF40" s="73" t="n">
        <f aca="false">IF(ISNUMBER(AG40),IF(ISNUMBER('Base de Datos'!I36),IF('Base de Datos'!I36&gt;20000,INT('Base de Datos'!I36),""),IF(TRIM('Base de Datos'!I36)="","",IFERROR(DATE(VALUE(RIGHT(TRIM('Base de Datos'!I36),4)),VALUE(MID(TRIM('Base de Datos'!I36),4,2)),VALUE(LEFT(TRIM('Base de Datos'!I36),2))),IFERROR(DATEVALUE(TRIM('Base de Datos'!I36)),"")))),"")</f>
        <v>46246</v>
      </c>
      <c r="AG40" s="74" t="n">
        <f aca="false">IF(ISNUMBER('Base de Datos'!J36),'Base de Datos'!J36,IF(TRIM('Base de Datos'!J36)="","",IFERROR(IF(IFERROR(FIND("@",SUBSTITUTE(TRIM('Base de Datos'!J36),",","@",LEN(TRIM('Base de Datos'!J36))-LEN(SUBSTITUTE(TRIM('Base de Datos'!J36),",","")))),0)&gt;IFERROR(FIND("@",SUBSTITUTE(TRIM('Base de Datos'!J36),".","@",LEN(TRIM('Base de Datos'!J36))-LEN(SUBSTITUTE(TRIM('Base de Datos'!J36),".","")))),0),_xlfn.NUMBERVALUE(SUBSTITUTE(SUBSTITUTE(TRIM('Base de Datos'!J36),".",""),",","."),".",","),_xlfn.NUMBERVALUE(SUBSTITUTE(TRIM('Base de Datos'!J36),",",""),".",",")),"")))</f>
        <v>65755.97</v>
      </c>
      <c r="AH40" s="73" t="n">
        <f aca="false">IF(ISNUMBER(AI40),IF(ISNUMBER('Base de Datos'!Q36),IF('Base de Datos'!Q36&gt;20000,DATE(YEAR('Base de Datos'!Q36),DAY('Base de Datos'!Q36),MONTH('Base de Datos'!Q36)),""),IF(TRIM('Base de Datos'!Q36)="","",IFERROR(DATE(VALUE(RIGHT(TRIM('Base de Datos'!Q36),4)),VALUE(LEFT(TRIM('Base de Datos'!Q36),2)),VALUE(MID(TRIM('Base de Datos'!Q36),4,2))),""))),"")</f>
        <v>44696</v>
      </c>
      <c r="AI40" s="74" t="n">
        <f aca="false">IF(ISNUMBER('Base de Datos'!R36),'Base de Datos'!R36,IF(TRIM('Base de Datos'!R36)="","",IFERROR(IF(IFERROR(FIND("@",SUBSTITUTE(TRIM('Base de Datos'!R36),",","@",LEN(TRIM('Base de Datos'!R36))-LEN(SUBSTITUTE(TRIM('Base de Datos'!R36),",","")))),0)&gt;IFERROR(FIND("@",SUBSTITUTE(TRIM('Base de Datos'!R36),".","@",LEN(TRIM('Base de Datos'!R36))-LEN(SUBSTITUTE(TRIM('Base de Datos'!R36),".","")))),0),_xlfn.NUMBERVALUE(SUBSTITUTE(SUBSTITUTE(TRIM('Base de Datos'!R36),".",""),",","."),".",","),_xlfn.NUMBERVALUE(SUBSTITUTE(TRIM('Base de Datos'!R36),",",""),".",",")),"")))</f>
        <v>21.35</v>
      </c>
      <c r="AJ40" s="73" t="n">
        <f aca="false">IF(ISNUMBER(AK40),IF(ISNUMBER('Base de Datos'!Y36),IF('Base de Datos'!Y36&gt;20000,INT('Base de Datos'!Y36),""),IF(TRIM('Base de Datos'!Y36)="","",IFERROR(DATE(VALUE(RIGHT(TRIM('Base de Datos'!Y36),4)),VALUE(MID(TRIM('Base de Datos'!Y36),4,2)),VALUE(LEFT(TRIM('Base de Datos'!Y36),2))),IFERROR(DATEVALUE(TRIM('Base de Datos'!Y36)),"")))),"")</f>
        <v>44696</v>
      </c>
      <c r="AK40" s="74" t="n">
        <f aca="false">IF(ISNUMBER('Base de Datos'!Z36),'Base de Datos'!Z36,IF(TRIM('Base de Datos'!Z36)="","",IFERROR(IF(IFERROR(FIND("@",SUBSTITUTE(TRIM('Base de Datos'!Z36),",","@",LEN(TRIM('Base de Datos'!Z36))-LEN(SUBSTITUTE(TRIM('Base de Datos'!Z36),",","")))),0)&gt;IFERROR(FIND("@",SUBSTITUTE(TRIM('Base de Datos'!Z36),".","@",LEN(TRIM('Base de Datos'!Z36))-LEN(SUBSTITUTE(TRIM('Base de Datos'!Z36),".","")))),0),_xlfn.NUMBERVALUE(SUBSTITUTE(SUBSTITUTE(TRIM('Base de Datos'!Z36),".",""),",","."),".",","),_xlfn.NUMBERVALUE(SUBSTITUTE(TRIM('Base de Datos'!Z36),",",""),".",",")),"")))</f>
        <v>51518.3</v>
      </c>
    </row>
    <row r="41" customFormat="false" ht="13.5" hidden="false" customHeight="false" outlineLevel="0" collapsed="false">
      <c r="A41" s="75" t="n">
        <f aca="false">ROWS(A$13:A41)</f>
        <v>29</v>
      </c>
      <c r="B41" s="73" t="n">
        <f aca="false">IF(B40="","",IFERROR(SMALL($AH$10:$AH$409,COUNTIF($AH$10:$AH$409,"&lt;="&amp;B40)+1),""))</f>
        <v>44682</v>
      </c>
      <c r="C41" s="74" t="n">
        <f aca="false">IF(B41="","",INDEX($AI$10:$AI$409,MATCH(B41,$AH$10:$AH$409,0)))</f>
        <v>22.07</v>
      </c>
      <c r="D41" s="74" t="n">
        <f aca="false">IF(B41="","",IFERROR(INDEX($AK$10:$AK$409,MATCH(B41,$AJ$10:$AJ$409,0)),""))</f>
        <v>49541.81</v>
      </c>
      <c r="E41" s="76" t="n">
        <f aca="false">IF(AND(ISNUMBER(C41),ISNUMBER(C40)),C41/C40-1,"")</f>
        <v>-0.0632427843803055</v>
      </c>
      <c r="F41" s="76" t="n">
        <f aca="false">IF(AND(ISNUMBER(D41),ISNUMBER(D40)),D41/D40-1,"")</f>
        <v>-0.0364884105693011</v>
      </c>
      <c r="G41" s="75" t="n">
        <f aca="false">IF(AND(ISNUMBER(E41),ISNUMBER(F41)),1,"")</f>
        <v>1</v>
      </c>
      <c r="H41" s="75" t="n">
        <f aca="false">IF(G41=1,COUNT(G41:G$412),"")</f>
        <v>231</v>
      </c>
      <c r="I41" s="75" t="n">
        <f aca="false">IF(G41=1,IF(H41&lt;='Beta Regresión'!$B$5,1,""),"")</f>
        <v>1</v>
      </c>
      <c r="J41" s="76" t="n">
        <f aca="false">IF(I41=1,E41,"")</f>
        <v>-0.0632427843803055</v>
      </c>
      <c r="K41" s="76" t="n">
        <f aca="false">IF(I41=1,F41,"")</f>
        <v>-0.0364884105693011</v>
      </c>
      <c r="L41" s="75" t="n">
        <f aca="false">IF(I41=1,COUNT(I$13:I41),"")</f>
        <v>28</v>
      </c>
      <c r="M41" s="76" t="n">
        <f aca="false">IFERROR(INDEX($J$13:$J$412,MATCH(A41,$L$13:$L$412,0)),"")</f>
        <v>-0.00317172632532847</v>
      </c>
      <c r="N41" s="76" t="n">
        <f aca="false">IFERROR(INDEX($K$13:$K$412,MATCH(A41,$L$13:$L$412,0)),"")</f>
        <v>0.000768845546821995</v>
      </c>
      <c r="O41" s="76" t="n">
        <f aca="false">IF(I41=1,E41,NA())</f>
        <v>-0.0632427843803055</v>
      </c>
      <c r="P41" s="76" t="n">
        <f aca="false">IF(I41=1,F41,NA())</f>
        <v>-0.0364884105693011</v>
      </c>
      <c r="R41" s="75" t="n">
        <f aca="false">ROWS(R$13:R41)</f>
        <v>29</v>
      </c>
      <c r="S41" s="73" t="n">
        <f aca="false">IF(S40="","",IFERROR(SMALL($AD$10:$AD$509,COUNTIF($AD$10:$AD$509,"&lt;="&amp;S40)+1),""))</f>
        <v>46251</v>
      </c>
      <c r="T41" s="74" t="n">
        <f aca="false">IF(S41="","",INDEX($AE$10:$AE$509,MATCH(S41,$AD$10:$AD$509,0)))</f>
        <v>27.5</v>
      </c>
      <c r="U41" s="74" t="n">
        <f aca="false">IF(S41="","",IFERROR(INDEX($AG$10:$AG$509,MATCH(S41,$AF$10:$AF$509,0)),""))</f>
        <v>64254.98</v>
      </c>
      <c r="V41" s="76" t="n">
        <f aca="false">IF(AND(ISNUMBER(T41),ISNUMBER(T40)),T41/T40-1,"")</f>
        <v>0</v>
      </c>
      <c r="W41" s="76" t="n">
        <f aca="false">IF(AND(ISNUMBER(U41),ISNUMBER(U40)),U41/U40-1,"")</f>
        <v>-0.00221235468174585</v>
      </c>
      <c r="X41" s="75" t="n">
        <f aca="false">IF(AND(ISNUMBER(V41),ISNUMBER(W41)),1,"")</f>
        <v>1</v>
      </c>
      <c r="Y41" s="76" t="n">
        <f aca="false">IF(X41=1,V41,"")</f>
        <v>0</v>
      </c>
      <c r="Z41" s="76" t="n">
        <f aca="false">IF(X41=1,W41,"")</f>
        <v>-0.00221235468174585</v>
      </c>
      <c r="AA41" s="76" t="n">
        <f aca="false">IF(X41=1,V41,NA())</f>
        <v>0</v>
      </c>
      <c r="AB41" s="76" t="n">
        <f aca="false">IF(X41=1,W41,NA())</f>
        <v>-0.00221235468174585</v>
      </c>
      <c r="AD41" s="73" t="n">
        <f aca="false">IF(ISNUMBER(AE41),IF(ISNUMBER('Base de Datos'!A37),IF('Base de Datos'!A37&gt;20000,DATE(YEAR('Base de Datos'!A37),DAY('Base de Datos'!A37),MONTH('Base de Datos'!A37)),""),IF(TRIM('Base de Datos'!A37)="","",IFERROR(DATE(VALUE(RIGHT(TRIM('Base de Datos'!A37),4)),VALUE(LEFT(TRIM('Base de Datos'!A37),2)),VALUE(MID(TRIM('Base de Datos'!A37),4,2))),""))),"")</f>
        <v>46254</v>
      </c>
      <c r="AE41" s="74" t="n">
        <f aca="false">IF(ISNUMBER('Base de Datos'!B37),'Base de Datos'!B37,IF(TRIM('Base de Datos'!B37)="","",IFERROR(IF(IFERROR(FIND("@",SUBSTITUTE(TRIM('Base de Datos'!B37),",","@",LEN(TRIM('Base de Datos'!B37))-LEN(SUBSTITUTE(TRIM('Base de Datos'!B37),",","")))),0)&gt;IFERROR(FIND("@",SUBSTITUTE(TRIM('Base de Datos'!B37),".","@",LEN(TRIM('Base de Datos'!B37))-LEN(SUBSTITUTE(TRIM('Base de Datos'!B37),".","")))),0),_xlfn.NUMBERVALUE(SUBSTITUTE(SUBSTITUTE(TRIM('Base de Datos'!B37),".",""),",","."),".",","),_xlfn.NUMBERVALUE(SUBSTITUTE(TRIM('Base de Datos'!B37),",",""),".",",")),"")))</f>
        <v>27.49</v>
      </c>
      <c r="AF41" s="73" t="n">
        <f aca="false">IF(ISNUMBER(AG41),IF(ISNUMBER('Base de Datos'!I37),IF('Base de Datos'!I37&gt;20000,INT('Base de Datos'!I37),""),IF(TRIM('Base de Datos'!I37)="","",IFERROR(DATE(VALUE(RIGHT(TRIM('Base de Datos'!I37),4)),VALUE(MID(TRIM('Base de Datos'!I37),4,2)),VALUE(LEFT(TRIM('Base de Datos'!I37),2))),IFERROR(DATEVALUE(TRIM('Base de Datos'!I37)),"")))),"")</f>
        <v>46247</v>
      </c>
      <c r="AG41" s="74" t="n">
        <f aca="false">IF(ISNUMBER('Base de Datos'!J37),'Base de Datos'!J37,IF(TRIM('Base de Datos'!J37)="","",IFERROR(IF(IFERROR(FIND("@",SUBSTITUTE(TRIM('Base de Datos'!J37),",","@",LEN(TRIM('Base de Datos'!J37))-LEN(SUBSTITUTE(TRIM('Base de Datos'!J37),",","")))),0)&gt;IFERROR(FIND("@",SUBSTITUTE(TRIM('Base de Datos'!J37),".","@",LEN(TRIM('Base de Datos'!J37))-LEN(SUBSTITUTE(TRIM('Base de Datos'!J37),".","")))),0),_xlfn.NUMBERVALUE(SUBSTITUTE(SUBSTITUTE(TRIM('Base de Datos'!J37),".",""),",","."),".",","),_xlfn.NUMBERVALUE(SUBSTITUTE(TRIM('Base de Datos'!J37),",",""),".",",")),"")))</f>
        <v>64826.39</v>
      </c>
      <c r="AH41" s="73" t="n">
        <f aca="false">IF(ISNUMBER(AI41),IF(ISNUMBER('Base de Datos'!Q37),IF('Base de Datos'!Q37&gt;20000,DATE(YEAR('Base de Datos'!Q37),DAY('Base de Datos'!Q37),MONTH('Base de Datos'!Q37)),""),IF(TRIM('Base de Datos'!Q37)="","",IFERROR(DATE(VALUE(RIGHT(TRIM('Base de Datos'!Q37),4)),VALUE(LEFT(TRIM('Base de Datos'!Q37),2)),VALUE(MID(TRIM('Base de Datos'!Q37),4,2))),""))),"")</f>
        <v>44703</v>
      </c>
      <c r="AI41" s="74" t="n">
        <f aca="false">IF(ISNUMBER('Base de Datos'!R37),'Base de Datos'!R37,IF(TRIM('Base de Datos'!R37)="","",IFERROR(IF(IFERROR(FIND("@",SUBSTITUTE(TRIM('Base de Datos'!R37),",","@",LEN(TRIM('Base de Datos'!R37))-LEN(SUBSTITUTE(TRIM('Base de Datos'!R37),",","")))),0)&gt;IFERROR(FIND("@",SUBSTITUTE(TRIM('Base de Datos'!R37),".","@",LEN(TRIM('Base de Datos'!R37))-LEN(SUBSTITUTE(TRIM('Base de Datos'!R37),".","")))),0),_xlfn.NUMBERVALUE(SUBSTITUTE(SUBSTITUTE(TRIM('Base de Datos'!R37),".",""),",","."),".",","),_xlfn.NUMBERVALUE(SUBSTITUTE(TRIM('Base de Datos'!R37),",",""),".",",")),"")))</f>
        <v>21.34</v>
      </c>
      <c r="AJ41" s="73" t="n">
        <f aca="false">IF(ISNUMBER(AK41),IF(ISNUMBER('Base de Datos'!Y37),IF('Base de Datos'!Y37&gt;20000,INT('Base de Datos'!Y37),""),IF(TRIM('Base de Datos'!Y37)="","",IFERROR(DATE(VALUE(RIGHT(TRIM('Base de Datos'!Y37),4)),VALUE(MID(TRIM('Base de Datos'!Y37),4,2)),VALUE(LEFT(TRIM('Base de Datos'!Y37),2))),IFERROR(DATEVALUE(TRIM('Base de Datos'!Y37)),"")))),"")</f>
        <v>44703</v>
      </c>
      <c r="AK41" s="74" t="n">
        <f aca="false">IF(ISNUMBER('Base de Datos'!Z37),'Base de Datos'!Z37,IF(TRIM('Base de Datos'!Z37)="","",IFERROR(IF(IFERROR(FIND("@",SUBSTITUTE(TRIM('Base de Datos'!Z37),",","@",LEN(TRIM('Base de Datos'!Z37))-LEN(SUBSTITUTE(TRIM('Base de Datos'!Z37),",","")))),0)&gt;IFERROR(FIND("@",SUBSTITUTE(TRIM('Base de Datos'!Z37),".","@",LEN(TRIM('Base de Datos'!Z37))-LEN(SUBSTITUTE(TRIM('Base de Datos'!Z37),".","")))),0),_xlfn.NUMBERVALUE(SUBSTITUTE(SUBSTITUTE(TRIM('Base de Datos'!Z37),".",""),",","."),".",","),_xlfn.NUMBERVALUE(SUBSTITUTE(TRIM('Base de Datos'!Z37),",",""),".",",")),"")))</f>
        <v>52463.55</v>
      </c>
    </row>
    <row r="42" customFormat="false" ht="13.5" hidden="false" customHeight="false" outlineLevel="0" collapsed="false">
      <c r="A42" s="75" t="n">
        <f aca="false">ROWS(A$13:A42)</f>
        <v>30</v>
      </c>
      <c r="B42" s="73" t="n">
        <f aca="false">IF(B41="","",IFERROR(SMALL($AH$10:$AH$409,COUNTIF($AH$10:$AH$409,"&lt;="&amp;B41)+1),""))</f>
        <v>44689</v>
      </c>
      <c r="C42" s="74" t="n">
        <f aca="false">IF(B42="","",INDEX($AI$10:$AI$409,MATCH(B42,$AH$10:$AH$409,0)))</f>
        <v>22</v>
      </c>
      <c r="D42" s="74" t="n">
        <f aca="false">IF(B42="","",IFERROR(INDEX($AK$10:$AK$409,MATCH(B42,$AJ$10:$AJ$409,0)),""))</f>
        <v>49579.9</v>
      </c>
      <c r="E42" s="76" t="n">
        <f aca="false">IF(AND(ISNUMBER(C42),ISNUMBER(C41)),C42/C41-1,"")</f>
        <v>-0.00317172632532847</v>
      </c>
      <c r="F42" s="76" t="n">
        <f aca="false">IF(AND(ISNUMBER(D42),ISNUMBER(D41)),D42/D41-1,"")</f>
        <v>0.000768845546821995</v>
      </c>
      <c r="G42" s="75" t="n">
        <f aca="false">IF(AND(ISNUMBER(E42),ISNUMBER(F42)),1,"")</f>
        <v>1</v>
      </c>
      <c r="H42" s="75" t="n">
        <f aca="false">IF(G42=1,COUNT(G42:G$412),"")</f>
        <v>230</v>
      </c>
      <c r="I42" s="75" t="n">
        <f aca="false">IF(G42=1,IF(H42&lt;='Beta Regresión'!$B$5,1,""),"")</f>
        <v>1</v>
      </c>
      <c r="J42" s="76" t="n">
        <f aca="false">IF(I42=1,E42,"")</f>
        <v>-0.00317172632532847</v>
      </c>
      <c r="K42" s="76" t="n">
        <f aca="false">IF(I42=1,F42,"")</f>
        <v>0.000768845546821995</v>
      </c>
      <c r="L42" s="75" t="n">
        <f aca="false">IF(I42=1,COUNT(I$13:I42),"")</f>
        <v>29</v>
      </c>
      <c r="M42" s="76" t="n">
        <f aca="false">IFERROR(INDEX($J$13:$J$412,MATCH(A42,$L$13:$L$412,0)),"")</f>
        <v>-0.0295454545454544</v>
      </c>
      <c r="N42" s="76" t="n">
        <f aca="false">IFERROR(INDEX($K$13:$K$412,MATCH(A42,$L$13:$L$412,0)),"")</f>
        <v>0.0390964886980409</v>
      </c>
      <c r="O42" s="76" t="n">
        <f aca="false">IF(I42=1,E42,NA())</f>
        <v>-0.00317172632532847</v>
      </c>
      <c r="P42" s="76" t="n">
        <f aca="false">IF(I42=1,F42,NA())</f>
        <v>0.000768845546821995</v>
      </c>
      <c r="R42" s="75" t="n">
        <f aca="false">ROWS(R$13:R42)</f>
        <v>30</v>
      </c>
      <c r="S42" s="73" t="n">
        <f aca="false">IF(S41="","",IFERROR(SMALL($AD$10:$AD$509,COUNTIF($AD$10:$AD$509,"&lt;="&amp;S41)+1),""))</f>
        <v>46252</v>
      </c>
      <c r="T42" s="74" t="n">
        <f aca="false">IF(S42="","",INDEX($AE$10:$AE$509,MATCH(S42,$AD$10:$AD$509,0)))</f>
        <v>27.5</v>
      </c>
      <c r="U42" s="74" t="n">
        <f aca="false">IF(S42="","",IFERROR(INDEX($AG$10:$AG$509,MATCH(S42,$AF$10:$AF$509,0)),""))</f>
        <v>63933.69</v>
      </c>
      <c r="V42" s="76" t="n">
        <f aca="false">IF(AND(ISNUMBER(T42),ISNUMBER(T41)),T42/T41-1,"")</f>
        <v>0</v>
      </c>
      <c r="W42" s="76" t="n">
        <f aca="false">IF(AND(ISNUMBER(U42),ISNUMBER(U41)),U42/U41-1,"")</f>
        <v>-0.00500023500124036</v>
      </c>
      <c r="X42" s="75" t="n">
        <f aca="false">IF(AND(ISNUMBER(V42),ISNUMBER(W42)),1,"")</f>
        <v>1</v>
      </c>
      <c r="Y42" s="76" t="n">
        <f aca="false">IF(X42=1,V42,"")</f>
        <v>0</v>
      </c>
      <c r="Z42" s="76" t="n">
        <f aca="false">IF(X42=1,W42,"")</f>
        <v>-0.00500023500124036</v>
      </c>
      <c r="AA42" s="76" t="n">
        <f aca="false">IF(X42=1,V42,NA())</f>
        <v>0</v>
      </c>
      <c r="AB42" s="76" t="n">
        <f aca="false">IF(X42=1,W42,NA())</f>
        <v>-0.00500023500124036</v>
      </c>
      <c r="AD42" s="73" t="n">
        <f aca="false">IF(ISNUMBER(AE42),IF(ISNUMBER('Base de Datos'!A38),IF('Base de Datos'!A38&gt;20000,DATE(YEAR('Base de Datos'!A38),DAY('Base de Datos'!A38),MONTH('Base de Datos'!A38)),""),IF(TRIM('Base de Datos'!A38)="","",IFERROR(DATE(VALUE(RIGHT(TRIM('Base de Datos'!A38),4)),VALUE(LEFT(TRIM('Base de Datos'!A38),2)),VALUE(MID(TRIM('Base de Datos'!A38),4,2))),""))),"")</f>
        <v>46255</v>
      </c>
      <c r="AE42" s="74" t="n">
        <f aca="false">IF(ISNUMBER('Base de Datos'!B38),'Base de Datos'!B38,IF(TRIM('Base de Datos'!B38)="","",IFERROR(IF(IFERROR(FIND("@",SUBSTITUTE(TRIM('Base de Datos'!B38),",","@",LEN(TRIM('Base de Datos'!B38))-LEN(SUBSTITUTE(TRIM('Base de Datos'!B38),",","")))),0)&gt;IFERROR(FIND("@",SUBSTITUTE(TRIM('Base de Datos'!B38),".","@",LEN(TRIM('Base de Datos'!B38))-LEN(SUBSTITUTE(TRIM('Base de Datos'!B38),".","")))),0),_xlfn.NUMBERVALUE(SUBSTITUTE(SUBSTITUTE(TRIM('Base de Datos'!B38),".",""),",","."),".",","),_xlfn.NUMBERVALUE(SUBSTITUTE(TRIM('Base de Datos'!B38),",",""),".",",")),"")))</f>
        <v>27.08</v>
      </c>
      <c r="AF42" s="73" t="n">
        <f aca="false">IF(ISNUMBER(AG42),IF(ISNUMBER('Base de Datos'!I38),IF('Base de Datos'!I38&gt;20000,INT('Base de Datos'!I38),""),IF(TRIM('Base de Datos'!I38)="","",IFERROR(DATE(VALUE(RIGHT(TRIM('Base de Datos'!I38),4)),VALUE(MID(TRIM('Base de Datos'!I38),4,2)),VALUE(LEFT(TRIM('Base de Datos'!I38),2))),IFERROR(DATEVALUE(TRIM('Base de Datos'!I38)),"")))),"")</f>
        <v>46248</v>
      </c>
      <c r="AG42" s="74" t="n">
        <f aca="false">IF(ISNUMBER('Base de Datos'!J38),'Base de Datos'!J38,IF(TRIM('Base de Datos'!J38)="","",IFERROR(IF(IFERROR(FIND("@",SUBSTITUTE(TRIM('Base de Datos'!J38),",","@",LEN(TRIM('Base de Datos'!J38))-LEN(SUBSTITUTE(TRIM('Base de Datos'!J38),",","")))),0)&gt;IFERROR(FIND("@",SUBSTITUTE(TRIM('Base de Datos'!J38),".","@",LEN(TRIM('Base de Datos'!J38))-LEN(SUBSTITUTE(TRIM('Base de Datos'!J38),".","")))),0),_xlfn.NUMBERVALUE(SUBSTITUTE(SUBSTITUTE(TRIM('Base de Datos'!J38),".",""),",","."),".",","),_xlfn.NUMBERVALUE(SUBSTITUTE(TRIM('Base de Datos'!J38),",",""),".",",")),"")))</f>
        <v>64397.45</v>
      </c>
      <c r="AH42" s="73" t="n">
        <f aca="false">IF(ISNUMBER(AI42),IF(ISNUMBER('Base de Datos'!Q38),IF('Base de Datos'!Q38&gt;20000,DATE(YEAR('Base de Datos'!Q38),DAY('Base de Datos'!Q38),MONTH('Base de Datos'!Q38)),""),IF(TRIM('Base de Datos'!Q38)="","",IFERROR(DATE(VALUE(RIGHT(TRIM('Base de Datos'!Q38),4)),VALUE(LEFT(TRIM('Base de Datos'!Q38),2)),VALUE(MID(TRIM('Base de Datos'!Q38),4,2))),""))),"")</f>
        <v>44710</v>
      </c>
      <c r="AI42" s="74" t="n">
        <f aca="false">IF(ISNUMBER('Base de Datos'!R38),'Base de Datos'!R38,IF(TRIM('Base de Datos'!R38)="","",IFERROR(IF(IFERROR(FIND("@",SUBSTITUTE(TRIM('Base de Datos'!R38),",","@",LEN(TRIM('Base de Datos'!R38))-LEN(SUBSTITUTE(TRIM('Base de Datos'!R38),",","")))),0)&gt;IFERROR(FIND("@",SUBSTITUTE(TRIM('Base de Datos'!R38),".","@",LEN(TRIM('Base de Datos'!R38))-LEN(SUBSTITUTE(TRIM('Base de Datos'!R38),".","")))),0),_xlfn.NUMBERVALUE(SUBSTITUTE(SUBSTITUTE(TRIM('Base de Datos'!R38),".",""),",","."),".",","),_xlfn.NUMBERVALUE(SUBSTITUTE(TRIM('Base de Datos'!R38),",",""),".",",")),"")))</f>
        <v>21.27</v>
      </c>
      <c r="AJ42" s="73" t="n">
        <f aca="false">IF(ISNUMBER(AK42),IF(ISNUMBER('Base de Datos'!Y38),IF('Base de Datos'!Y38&gt;20000,INT('Base de Datos'!Y38),""),IF(TRIM('Base de Datos'!Y38)="","",IFERROR(DATE(VALUE(RIGHT(TRIM('Base de Datos'!Y38),4)),VALUE(MID(TRIM('Base de Datos'!Y38),4,2)),VALUE(LEFT(TRIM('Base de Datos'!Y38),2))),IFERROR(DATEVALUE(TRIM('Base de Datos'!Y38)),"")))),"")</f>
        <v>44710</v>
      </c>
      <c r="AK42" s="74" t="n">
        <f aca="false">IF(ISNUMBER('Base de Datos'!Z38),'Base de Datos'!Z38,IF(TRIM('Base de Datos'!Z38)="","",IFERROR(IF(IFERROR(FIND("@",SUBSTITUTE(TRIM('Base de Datos'!Z38),",","@",LEN(TRIM('Base de Datos'!Z38))-LEN(SUBSTITUTE(TRIM('Base de Datos'!Z38),",","")))),0)&gt;IFERROR(FIND("@",SUBSTITUTE(TRIM('Base de Datos'!Z38),".","@",LEN(TRIM('Base de Datos'!Z38))-LEN(SUBSTITUTE(TRIM('Base de Datos'!Z38),".","")))),0),_xlfn.NUMBERVALUE(SUBSTITUTE(SUBSTITUTE(TRIM('Base de Datos'!Z38),".",""),",","."),".",","),_xlfn.NUMBERVALUE(SUBSTITUTE(TRIM('Base de Datos'!Z38),",",""),".",",")),"")))</f>
        <v>50689.05</v>
      </c>
    </row>
    <row r="43" customFormat="false" ht="13.5" hidden="false" customHeight="false" outlineLevel="0" collapsed="false">
      <c r="A43" s="75" t="n">
        <f aca="false">ROWS(A$13:A43)</f>
        <v>31</v>
      </c>
      <c r="B43" s="73" t="n">
        <f aca="false">IF(B42="","",IFERROR(SMALL($AH$10:$AH$409,COUNTIF($AH$10:$AH$409,"&lt;="&amp;B42)+1),""))</f>
        <v>44696</v>
      </c>
      <c r="C43" s="74" t="n">
        <f aca="false">IF(B43="","",INDEX($AI$10:$AI$409,MATCH(B43,$AH$10:$AH$409,0)))</f>
        <v>21.35</v>
      </c>
      <c r="D43" s="74" t="n">
        <f aca="false">IF(B43="","",IFERROR(INDEX($AK$10:$AK$409,MATCH(B43,$AJ$10:$AJ$409,0)),""))</f>
        <v>51518.3</v>
      </c>
      <c r="E43" s="76" t="n">
        <f aca="false">IF(AND(ISNUMBER(C43),ISNUMBER(C42)),C43/C42-1,"")</f>
        <v>-0.0295454545454544</v>
      </c>
      <c r="F43" s="76" t="n">
        <f aca="false">IF(AND(ISNUMBER(D43),ISNUMBER(D42)),D43/D42-1,"")</f>
        <v>0.0390964886980409</v>
      </c>
      <c r="G43" s="75" t="n">
        <f aca="false">IF(AND(ISNUMBER(E43),ISNUMBER(F43)),1,"")</f>
        <v>1</v>
      </c>
      <c r="H43" s="75" t="n">
        <f aca="false">IF(G43=1,COUNT(G43:G$412),"")</f>
        <v>229</v>
      </c>
      <c r="I43" s="75" t="n">
        <f aca="false">IF(G43=1,IF(H43&lt;='Beta Regresión'!$B$5,1,""),"")</f>
        <v>1</v>
      </c>
      <c r="J43" s="76" t="n">
        <f aca="false">IF(I43=1,E43,"")</f>
        <v>-0.0295454545454544</v>
      </c>
      <c r="K43" s="76" t="n">
        <f aca="false">IF(I43=1,F43,"")</f>
        <v>0.0390964886980409</v>
      </c>
      <c r="L43" s="75" t="n">
        <f aca="false">IF(I43=1,COUNT(I$13:I43),"")</f>
        <v>30</v>
      </c>
      <c r="M43" s="76" t="n">
        <f aca="false">IFERROR(INDEX($J$13:$J$412,MATCH(A43,$L$13:$L$412,0)),"")</f>
        <v>-0.000468384074941541</v>
      </c>
      <c r="N43" s="76" t="n">
        <f aca="false">IFERROR(INDEX($K$13:$K$412,MATCH(A43,$L$13:$L$412,0)),"")</f>
        <v>0.0183478492108629</v>
      </c>
      <c r="O43" s="76" t="n">
        <f aca="false">IF(I43=1,E43,NA())</f>
        <v>-0.0295454545454544</v>
      </c>
      <c r="P43" s="76" t="n">
        <f aca="false">IF(I43=1,F43,NA())</f>
        <v>0.0390964886980409</v>
      </c>
      <c r="R43" s="75" t="n">
        <f aca="false">ROWS(R$13:R43)</f>
        <v>31</v>
      </c>
      <c r="S43" s="73" t="n">
        <f aca="false">IF(S42="","",IFERROR(SMALL($AD$10:$AD$509,COUNTIF($AD$10:$AD$509,"&lt;="&amp;S42)+1),""))</f>
        <v>46253</v>
      </c>
      <c r="T43" s="74" t="n">
        <f aca="false">IF(S43="","",INDEX($AE$10:$AE$509,MATCH(S43,$AD$10:$AD$509,0)))</f>
        <v>27.49</v>
      </c>
      <c r="U43" s="74" t="n">
        <f aca="false">IF(S43="","",IFERROR(INDEX($AG$10:$AG$509,MATCH(S43,$AF$10:$AF$509,0)),""))</f>
        <v>63999.26</v>
      </c>
      <c r="V43" s="76" t="n">
        <f aca="false">IF(AND(ISNUMBER(T43),ISNUMBER(T42)),T43/T42-1,"")</f>
        <v>-0.000363636363636455</v>
      </c>
      <c r="W43" s="76" t="n">
        <f aca="false">IF(AND(ISNUMBER(U43),ISNUMBER(U42)),U43/U42-1,"")</f>
        <v>0.0010255938613899</v>
      </c>
      <c r="X43" s="75" t="n">
        <f aca="false">IF(AND(ISNUMBER(V43),ISNUMBER(W43)),1,"")</f>
        <v>1</v>
      </c>
      <c r="Y43" s="76" t="n">
        <f aca="false">IF(X43=1,V43,"")</f>
        <v>-0.000363636363636455</v>
      </c>
      <c r="Z43" s="76" t="n">
        <f aca="false">IF(X43=1,W43,"")</f>
        <v>0.0010255938613899</v>
      </c>
      <c r="AA43" s="76" t="n">
        <f aca="false">IF(X43=1,V43,NA())</f>
        <v>-0.000363636363636455</v>
      </c>
      <c r="AB43" s="76" t="n">
        <f aca="false">IF(X43=1,W43,NA())</f>
        <v>0.0010255938613899</v>
      </c>
      <c r="AD43" s="73" t="n">
        <f aca="false">IF(ISNUMBER(AE43),IF(ISNUMBER('Base de Datos'!A39),IF('Base de Datos'!A39&gt;20000,DATE(YEAR('Base de Datos'!A39),DAY('Base de Datos'!A39),MONTH('Base de Datos'!A39)),""),IF(TRIM('Base de Datos'!A39)="","",IFERROR(DATE(VALUE(RIGHT(TRIM('Base de Datos'!A39),4)),VALUE(LEFT(TRIM('Base de Datos'!A39),2)),VALUE(MID(TRIM('Base de Datos'!A39),4,2))),""))),"")</f>
        <v>46258</v>
      </c>
      <c r="AE43" s="74" t="n">
        <f aca="false">IF(ISNUMBER('Base de Datos'!B39),'Base de Datos'!B39,IF(TRIM('Base de Datos'!B39)="","",IFERROR(IF(IFERROR(FIND("@",SUBSTITUTE(TRIM('Base de Datos'!B39),",","@",LEN(TRIM('Base de Datos'!B39))-LEN(SUBSTITUTE(TRIM('Base de Datos'!B39),",","")))),0)&gt;IFERROR(FIND("@",SUBSTITUTE(TRIM('Base de Datos'!B39),".","@",LEN(TRIM('Base de Datos'!B39))-LEN(SUBSTITUTE(TRIM('Base de Datos'!B39),".","")))),0),_xlfn.NUMBERVALUE(SUBSTITUTE(SUBSTITUTE(TRIM('Base de Datos'!B39),".",""),",","."),".",","),_xlfn.NUMBERVALUE(SUBSTITUTE(TRIM('Base de Datos'!B39),",",""),".",",")),"")))</f>
        <v>27.08</v>
      </c>
      <c r="AF43" s="73" t="n">
        <f aca="false">IF(ISNUMBER(AG43),IF(ISNUMBER('Base de Datos'!I39),IF('Base de Datos'!I39&gt;20000,INT('Base de Datos'!I39),""),IF(TRIM('Base de Datos'!I39)="","",IFERROR(DATE(VALUE(RIGHT(TRIM('Base de Datos'!I39),4)),VALUE(MID(TRIM('Base de Datos'!I39),4,2)),VALUE(LEFT(TRIM('Base de Datos'!I39),2))),IFERROR(DATEVALUE(TRIM('Base de Datos'!I39)),"")))),"")</f>
        <v>46251</v>
      </c>
      <c r="AG43" s="74" t="n">
        <f aca="false">IF(ISNUMBER('Base de Datos'!J39),'Base de Datos'!J39,IF(TRIM('Base de Datos'!J39)="","",IFERROR(IF(IFERROR(FIND("@",SUBSTITUTE(TRIM('Base de Datos'!J39),",","@",LEN(TRIM('Base de Datos'!J39))-LEN(SUBSTITUTE(TRIM('Base de Datos'!J39),",","")))),0)&gt;IFERROR(FIND("@",SUBSTITUTE(TRIM('Base de Datos'!J39),".","@",LEN(TRIM('Base de Datos'!J39))-LEN(SUBSTITUTE(TRIM('Base de Datos'!J39),".","")))),0),_xlfn.NUMBERVALUE(SUBSTITUTE(SUBSTITUTE(TRIM('Base de Datos'!J39),".",""),",","."),".",","),_xlfn.NUMBERVALUE(SUBSTITUTE(TRIM('Base de Datos'!J39),",",""),".",",")),"")))</f>
        <v>64254.98</v>
      </c>
      <c r="AH43" s="73" t="n">
        <f aca="false">IF(ISNUMBER(AI43),IF(ISNUMBER('Base de Datos'!Q39),IF('Base de Datos'!Q39&gt;20000,DATE(YEAR('Base de Datos'!Q39),DAY('Base de Datos'!Q39),MONTH('Base de Datos'!Q39)),""),IF(TRIM('Base de Datos'!Q39)="","",IFERROR(DATE(VALUE(RIGHT(TRIM('Base de Datos'!Q39),4)),VALUE(LEFT(TRIM('Base de Datos'!Q39),2)),VALUE(MID(TRIM('Base de Datos'!Q39),4,2))),""))),"")</f>
        <v>44717</v>
      </c>
      <c r="AI43" s="74" t="n">
        <f aca="false">IF(ISNUMBER('Base de Datos'!R39),'Base de Datos'!R39,IF(TRIM('Base de Datos'!R39)="","",IFERROR(IF(IFERROR(FIND("@",SUBSTITUTE(TRIM('Base de Datos'!R39),",","@",LEN(TRIM('Base de Datos'!R39))-LEN(SUBSTITUTE(TRIM('Base de Datos'!R39),",","")))),0)&gt;IFERROR(FIND("@",SUBSTITUTE(TRIM('Base de Datos'!R39),".","@",LEN(TRIM('Base de Datos'!R39))-LEN(SUBSTITUTE(TRIM('Base de Datos'!R39),".","")))),0),_xlfn.NUMBERVALUE(SUBSTITUTE(SUBSTITUTE(TRIM('Base de Datos'!R39),".",""),",","."),".",","),_xlfn.NUMBERVALUE(SUBSTITUTE(TRIM('Base de Datos'!R39),",",""),".",",")),"")))</f>
        <v>21.06</v>
      </c>
      <c r="AJ43" s="73" t="n">
        <f aca="false">IF(ISNUMBER(AK43),IF(ISNUMBER('Base de Datos'!Y39),IF('Base de Datos'!Y39&gt;20000,INT('Base de Datos'!Y39),""),IF(TRIM('Base de Datos'!Y39)="","",IFERROR(DATE(VALUE(RIGHT(TRIM('Base de Datos'!Y39),4)),VALUE(MID(TRIM('Base de Datos'!Y39),4,2)),VALUE(LEFT(TRIM('Base de Datos'!Y39),2))),IFERROR(DATEVALUE(TRIM('Base de Datos'!Y39)),"")))),"")</f>
        <v>44717</v>
      </c>
      <c r="AK43" s="74" t="n">
        <f aca="false">IF(ISNUMBER('Base de Datos'!Z39),'Base de Datos'!Z39,IF(TRIM('Base de Datos'!Z39)="","",IFERROR(IF(IFERROR(FIND("@",SUBSTITUTE(TRIM('Base de Datos'!Z39),",","@",LEN(TRIM('Base de Datos'!Z39))-LEN(SUBSTITUTE(TRIM('Base de Datos'!Z39),",","")))),0)&gt;IFERROR(FIND("@",SUBSTITUTE(TRIM('Base de Datos'!Z39),".","@",LEN(TRIM('Base de Datos'!Z39))-LEN(SUBSTITUTE(TRIM('Base de Datos'!Z39),".","")))),0),_xlfn.NUMBERVALUE(SUBSTITUTE(SUBSTITUTE(TRIM('Base de Datos'!Z39),".",""),",","."),".",","),_xlfn.NUMBERVALUE(SUBSTITUTE(TRIM('Base de Datos'!Z39),",",""),".",",")),"")))</f>
        <v>48471.52</v>
      </c>
    </row>
    <row r="44" customFormat="false" ht="13.5" hidden="false" customHeight="false" outlineLevel="0" collapsed="false">
      <c r="A44" s="75" t="n">
        <f aca="false">ROWS(A$13:A44)</f>
        <v>32</v>
      </c>
      <c r="B44" s="73" t="n">
        <f aca="false">IF(B43="","",IFERROR(SMALL($AH$10:$AH$409,COUNTIF($AH$10:$AH$409,"&lt;="&amp;B43)+1),""))</f>
        <v>44703</v>
      </c>
      <c r="C44" s="74" t="n">
        <f aca="false">IF(B44="","",INDEX($AI$10:$AI$409,MATCH(B44,$AH$10:$AH$409,0)))</f>
        <v>21.34</v>
      </c>
      <c r="D44" s="74" t="n">
        <f aca="false">IF(B44="","",IFERROR(INDEX($AK$10:$AK$409,MATCH(B44,$AJ$10:$AJ$409,0)),""))</f>
        <v>52463.55</v>
      </c>
      <c r="E44" s="76" t="n">
        <f aca="false">IF(AND(ISNUMBER(C44),ISNUMBER(C43)),C44/C43-1,"")</f>
        <v>-0.000468384074941541</v>
      </c>
      <c r="F44" s="76" t="n">
        <f aca="false">IF(AND(ISNUMBER(D44),ISNUMBER(D43)),D44/D43-1,"")</f>
        <v>0.0183478492108629</v>
      </c>
      <c r="G44" s="75" t="n">
        <f aca="false">IF(AND(ISNUMBER(E44),ISNUMBER(F44)),1,"")</f>
        <v>1</v>
      </c>
      <c r="H44" s="75" t="n">
        <f aca="false">IF(G44=1,COUNT(G44:G$412),"")</f>
        <v>228</v>
      </c>
      <c r="I44" s="75" t="n">
        <f aca="false">IF(G44=1,IF(H44&lt;='Beta Regresión'!$B$5,1,""),"")</f>
        <v>1</v>
      </c>
      <c r="J44" s="76" t="n">
        <f aca="false">IF(I44=1,E44,"")</f>
        <v>-0.000468384074941541</v>
      </c>
      <c r="K44" s="76" t="n">
        <f aca="false">IF(I44=1,F44,"")</f>
        <v>0.0183478492108629</v>
      </c>
      <c r="L44" s="75" t="n">
        <f aca="false">IF(I44=1,COUNT(I$13:I44),"")</f>
        <v>31</v>
      </c>
      <c r="M44" s="76" t="n">
        <f aca="false">IFERROR(INDEX($J$13:$J$412,MATCH(A44,$L$13:$L$412,0)),"")</f>
        <v>-0.00328022492970947</v>
      </c>
      <c r="N44" s="76" t="n">
        <f aca="false">IFERROR(INDEX($K$13:$K$412,MATCH(A44,$L$13:$L$412,0)),"")</f>
        <v>-0.0338234831611662</v>
      </c>
      <c r="O44" s="76" t="n">
        <f aca="false">IF(I44=1,E44,NA())</f>
        <v>-0.000468384074941541</v>
      </c>
      <c r="P44" s="76" t="n">
        <f aca="false">IF(I44=1,F44,NA())</f>
        <v>0.0183478492108629</v>
      </c>
      <c r="R44" s="75" t="n">
        <f aca="false">ROWS(R$13:R44)</f>
        <v>32</v>
      </c>
      <c r="S44" s="73" t="n">
        <f aca="false">IF(S43="","",IFERROR(SMALL($AD$10:$AD$509,COUNTIF($AD$10:$AD$509,"&lt;="&amp;S43)+1),""))</f>
        <v>46254</v>
      </c>
      <c r="T44" s="74" t="n">
        <f aca="false">IF(S44="","",INDEX($AE$10:$AE$509,MATCH(S44,$AD$10:$AD$509,0)))</f>
        <v>27.49</v>
      </c>
      <c r="U44" s="74" t="n">
        <f aca="false">IF(S44="","",IFERROR(INDEX($AG$10:$AG$509,MATCH(S44,$AF$10:$AF$509,0)),""))</f>
        <v>64349.8</v>
      </c>
      <c r="V44" s="76" t="n">
        <f aca="false">IF(AND(ISNUMBER(T44),ISNUMBER(T43)),T44/T43-1,"")</f>
        <v>0</v>
      </c>
      <c r="W44" s="76" t="n">
        <f aca="false">IF(AND(ISNUMBER(U44),ISNUMBER(U43)),U44/U43-1,"")</f>
        <v>0.00547725083071282</v>
      </c>
      <c r="X44" s="75" t="n">
        <f aca="false">IF(AND(ISNUMBER(V44),ISNUMBER(W44)),1,"")</f>
        <v>1</v>
      </c>
      <c r="Y44" s="76" t="n">
        <f aca="false">IF(X44=1,V44,"")</f>
        <v>0</v>
      </c>
      <c r="Z44" s="76" t="n">
        <f aca="false">IF(X44=1,W44,"")</f>
        <v>0.00547725083071282</v>
      </c>
      <c r="AA44" s="76" t="n">
        <f aca="false">IF(X44=1,V44,NA())</f>
        <v>0</v>
      </c>
      <c r="AB44" s="76" t="n">
        <f aca="false">IF(X44=1,W44,NA())</f>
        <v>0.00547725083071282</v>
      </c>
      <c r="AD44" s="73" t="n">
        <f aca="false">IF(ISNUMBER(AE44),IF(ISNUMBER('Base de Datos'!A40),IF('Base de Datos'!A40&gt;20000,DATE(YEAR('Base de Datos'!A40),DAY('Base de Datos'!A40),MONTH('Base de Datos'!A40)),""),IF(TRIM('Base de Datos'!A40)="","",IFERROR(DATE(VALUE(RIGHT(TRIM('Base de Datos'!A40),4)),VALUE(LEFT(TRIM('Base de Datos'!A40),2)),VALUE(MID(TRIM('Base de Datos'!A40),4,2))),""))),"")</f>
        <v>46259</v>
      </c>
      <c r="AE44" s="74" t="n">
        <f aca="false">IF(ISNUMBER('Base de Datos'!B40),'Base de Datos'!B40,IF(TRIM('Base de Datos'!B40)="","",IFERROR(IF(IFERROR(FIND("@",SUBSTITUTE(TRIM('Base de Datos'!B40),",","@",LEN(TRIM('Base de Datos'!B40))-LEN(SUBSTITUTE(TRIM('Base de Datos'!B40),",","")))),0)&gt;IFERROR(FIND("@",SUBSTITUTE(TRIM('Base de Datos'!B40),".","@",LEN(TRIM('Base de Datos'!B40))-LEN(SUBSTITUTE(TRIM('Base de Datos'!B40),".","")))),0),_xlfn.NUMBERVALUE(SUBSTITUTE(SUBSTITUTE(TRIM('Base de Datos'!B40),".",""),",","."),".",","),_xlfn.NUMBERVALUE(SUBSTITUTE(TRIM('Base de Datos'!B40),",",""),".",",")),"")))</f>
        <v>27.29</v>
      </c>
      <c r="AF44" s="73" t="n">
        <f aca="false">IF(ISNUMBER(AG44),IF(ISNUMBER('Base de Datos'!I40),IF('Base de Datos'!I40&gt;20000,INT('Base de Datos'!I40),""),IF(TRIM('Base de Datos'!I40)="","",IFERROR(DATE(VALUE(RIGHT(TRIM('Base de Datos'!I40),4)),VALUE(MID(TRIM('Base de Datos'!I40),4,2)),VALUE(LEFT(TRIM('Base de Datos'!I40),2))),IFERROR(DATEVALUE(TRIM('Base de Datos'!I40)),"")))),"")</f>
        <v>46252</v>
      </c>
      <c r="AG44" s="74" t="n">
        <f aca="false">IF(ISNUMBER('Base de Datos'!J40),'Base de Datos'!J40,IF(TRIM('Base de Datos'!J40)="","",IFERROR(IF(IFERROR(FIND("@",SUBSTITUTE(TRIM('Base de Datos'!J40),",","@",LEN(TRIM('Base de Datos'!J40))-LEN(SUBSTITUTE(TRIM('Base de Datos'!J40),",","")))),0)&gt;IFERROR(FIND("@",SUBSTITUTE(TRIM('Base de Datos'!J40),".","@",LEN(TRIM('Base de Datos'!J40))-LEN(SUBSTITUTE(TRIM('Base de Datos'!J40),".","")))),0),_xlfn.NUMBERVALUE(SUBSTITUTE(SUBSTITUTE(TRIM('Base de Datos'!J40),".",""),",","."),".",","),_xlfn.NUMBERVALUE(SUBSTITUTE(TRIM('Base de Datos'!J40),",",""),".",",")),"")))</f>
        <v>63933.69</v>
      </c>
      <c r="AH44" s="73" t="n">
        <f aca="false">IF(ISNUMBER(AI44),IF(ISNUMBER('Base de Datos'!Q40),IF('Base de Datos'!Q40&gt;20000,DATE(YEAR('Base de Datos'!Q40),DAY('Base de Datos'!Q40),MONTH('Base de Datos'!Q40)),""),IF(TRIM('Base de Datos'!Q40)="","",IFERROR(DATE(VALUE(RIGHT(TRIM('Base de Datos'!Q40),4)),VALUE(LEFT(TRIM('Base de Datos'!Q40),2)),VALUE(MID(TRIM('Base de Datos'!Q40),4,2))),""))),"")</f>
        <v>44724</v>
      </c>
      <c r="AI44" s="74" t="n">
        <f aca="false">IF(ISNUMBER('Base de Datos'!R40),'Base de Datos'!R40,IF(TRIM('Base de Datos'!R40)="","",IFERROR(IF(IFERROR(FIND("@",SUBSTITUTE(TRIM('Base de Datos'!R40),",","@",LEN(TRIM('Base de Datos'!R40))-LEN(SUBSTITUTE(TRIM('Base de Datos'!R40),",","")))),0)&gt;IFERROR(FIND("@",SUBSTITUTE(TRIM('Base de Datos'!R40),".","@",LEN(TRIM('Base de Datos'!R40))-LEN(SUBSTITUTE(TRIM('Base de Datos'!R40),".","")))),0),_xlfn.NUMBERVALUE(SUBSTITUTE(SUBSTITUTE(TRIM('Base de Datos'!R40),".",""),",","."),".",","),_xlfn.NUMBERVALUE(SUBSTITUTE(TRIM('Base de Datos'!R40),",",""),".",",")),"")))</f>
        <v>19.21</v>
      </c>
      <c r="AJ44" s="73" t="n">
        <f aca="false">IF(ISNUMBER(AK44),IF(ISNUMBER('Base de Datos'!Y40),IF('Base de Datos'!Y40&gt;20000,INT('Base de Datos'!Y40),""),IF(TRIM('Base de Datos'!Y40)="","",IFERROR(DATE(VALUE(RIGHT(TRIM('Base de Datos'!Y40),4)),VALUE(MID(TRIM('Base de Datos'!Y40),4,2)),VALUE(LEFT(TRIM('Base de Datos'!Y40),2))),IFERROR(DATEVALUE(TRIM('Base de Datos'!Y40)),"")))),"")</f>
        <v>44724</v>
      </c>
      <c r="AK44" s="74" t="n">
        <f aca="false">IF(ISNUMBER('Base de Datos'!Z40),'Base de Datos'!Z40,IF(TRIM('Base de Datos'!Z40)="","",IFERROR(IF(IFERROR(FIND("@",SUBSTITUTE(TRIM('Base de Datos'!Z40),",","@",LEN(TRIM('Base de Datos'!Z40))-LEN(SUBSTITUTE(TRIM('Base de Datos'!Z40),",","")))),0)&gt;IFERROR(FIND("@",SUBSTITUTE(TRIM('Base de Datos'!Z40),".","@",LEN(TRIM('Base de Datos'!Z40))-LEN(SUBSTITUTE(TRIM('Base de Datos'!Z40),".","")))),0),_xlfn.NUMBERVALUE(SUBSTITUTE(SUBSTITUTE(TRIM('Base de Datos'!Z40),".",""),",","."),".",","),_xlfn.NUMBERVALUE(SUBSTITUTE(TRIM('Base de Datos'!Z40),",",""),".",",")),"")))</f>
        <v>48016.23</v>
      </c>
    </row>
    <row r="45" customFormat="false" ht="13.5" hidden="false" customHeight="false" outlineLevel="0" collapsed="false">
      <c r="A45" s="75" t="n">
        <f aca="false">ROWS(A$13:A45)</f>
        <v>33</v>
      </c>
      <c r="B45" s="73" t="n">
        <f aca="false">IF(B44="","",IFERROR(SMALL($AH$10:$AH$409,COUNTIF($AH$10:$AH$409,"&lt;="&amp;B44)+1),""))</f>
        <v>44710</v>
      </c>
      <c r="C45" s="74" t="n">
        <f aca="false">IF(B45="","",INDEX($AI$10:$AI$409,MATCH(B45,$AH$10:$AH$409,0)))</f>
        <v>21.27</v>
      </c>
      <c r="D45" s="74" t="n">
        <f aca="false">IF(B45="","",IFERROR(INDEX($AK$10:$AK$409,MATCH(B45,$AJ$10:$AJ$409,0)),""))</f>
        <v>50689.05</v>
      </c>
      <c r="E45" s="76" t="n">
        <f aca="false">IF(AND(ISNUMBER(C45),ISNUMBER(C44)),C45/C44-1,"")</f>
        <v>-0.00328022492970947</v>
      </c>
      <c r="F45" s="76" t="n">
        <f aca="false">IF(AND(ISNUMBER(D45),ISNUMBER(D44)),D45/D44-1,"")</f>
        <v>-0.0338234831611662</v>
      </c>
      <c r="G45" s="75" t="n">
        <f aca="false">IF(AND(ISNUMBER(E45),ISNUMBER(F45)),1,"")</f>
        <v>1</v>
      </c>
      <c r="H45" s="75" t="n">
        <f aca="false">IF(G45=1,COUNT(G45:G$412),"")</f>
        <v>227</v>
      </c>
      <c r="I45" s="75" t="n">
        <f aca="false">IF(G45=1,IF(H45&lt;='Beta Regresión'!$B$5,1,""),"")</f>
        <v>1</v>
      </c>
      <c r="J45" s="76" t="n">
        <f aca="false">IF(I45=1,E45,"")</f>
        <v>-0.00328022492970947</v>
      </c>
      <c r="K45" s="76" t="n">
        <f aca="false">IF(I45=1,F45,"")</f>
        <v>-0.0338234831611662</v>
      </c>
      <c r="L45" s="75" t="n">
        <f aca="false">IF(I45=1,COUNT(I$13:I45),"")</f>
        <v>32</v>
      </c>
      <c r="M45" s="76" t="n">
        <f aca="false">IFERROR(INDEX($J$13:$J$412,MATCH(A45,$L$13:$L$412,0)),"")</f>
        <v>-0.00987306064880122</v>
      </c>
      <c r="N45" s="76" t="n">
        <f aca="false">IFERROR(INDEX($K$13:$K$412,MATCH(A45,$L$13:$L$412,0)),"")</f>
        <v>-0.0437477127703124</v>
      </c>
      <c r="O45" s="76" t="n">
        <f aca="false">IF(I45=1,E45,NA())</f>
        <v>-0.00328022492970947</v>
      </c>
      <c r="P45" s="76" t="n">
        <f aca="false">IF(I45=1,F45,NA())</f>
        <v>-0.0338234831611662</v>
      </c>
      <c r="R45" s="75" t="n">
        <f aca="false">ROWS(R$13:R45)</f>
        <v>33</v>
      </c>
      <c r="S45" s="73" t="n">
        <f aca="false">IF(S44="","",IFERROR(SMALL($AD$10:$AD$509,COUNTIF($AD$10:$AD$509,"&lt;="&amp;S44)+1),""))</f>
        <v>46255</v>
      </c>
      <c r="T45" s="74" t="n">
        <f aca="false">IF(S45="","",INDEX($AE$10:$AE$509,MATCH(S45,$AD$10:$AD$509,0)))</f>
        <v>27.08</v>
      </c>
      <c r="U45" s="74" t="n">
        <f aca="false">IF(S45="","",IFERROR(INDEX($AG$10:$AG$509,MATCH(S45,$AF$10:$AF$509,0)),""))</f>
        <v>65729.18</v>
      </c>
      <c r="V45" s="76" t="n">
        <f aca="false">IF(AND(ISNUMBER(T45),ISNUMBER(T44)),T45/T44-1,"")</f>
        <v>-0.0149145143688614</v>
      </c>
      <c r="W45" s="76" t="n">
        <f aca="false">IF(AND(ISNUMBER(U45),ISNUMBER(U44)),U45/U44-1,"")</f>
        <v>0.0214356532576634</v>
      </c>
      <c r="X45" s="75" t="n">
        <f aca="false">IF(AND(ISNUMBER(V45),ISNUMBER(W45)),1,"")</f>
        <v>1</v>
      </c>
      <c r="Y45" s="76" t="n">
        <f aca="false">IF(X45=1,V45,"")</f>
        <v>-0.0149145143688614</v>
      </c>
      <c r="Z45" s="76" t="n">
        <f aca="false">IF(X45=1,W45,"")</f>
        <v>0.0214356532576634</v>
      </c>
      <c r="AA45" s="76" t="n">
        <f aca="false">IF(X45=1,V45,NA())</f>
        <v>-0.0149145143688614</v>
      </c>
      <c r="AB45" s="76" t="n">
        <f aca="false">IF(X45=1,W45,NA())</f>
        <v>0.0214356532576634</v>
      </c>
      <c r="AD45" s="73" t="n">
        <f aca="false">IF(ISNUMBER(AE45),IF(ISNUMBER('Base de Datos'!A41),IF('Base de Datos'!A41&gt;20000,DATE(YEAR('Base de Datos'!A41),DAY('Base de Datos'!A41),MONTH('Base de Datos'!A41)),""),IF(TRIM('Base de Datos'!A41)="","",IFERROR(DATE(VALUE(RIGHT(TRIM('Base de Datos'!A41),4)),VALUE(LEFT(TRIM('Base de Datos'!A41),2)),VALUE(MID(TRIM('Base de Datos'!A41),4,2))),""))),"")</f>
        <v>46260</v>
      </c>
      <c r="AE45" s="74" t="n">
        <f aca="false">IF(ISNUMBER('Base de Datos'!B41),'Base de Datos'!B41,IF(TRIM('Base de Datos'!B41)="","",IFERROR(IF(IFERROR(FIND("@",SUBSTITUTE(TRIM('Base de Datos'!B41),",","@",LEN(TRIM('Base de Datos'!B41))-LEN(SUBSTITUTE(TRIM('Base de Datos'!B41),",","")))),0)&gt;IFERROR(FIND("@",SUBSTITUTE(TRIM('Base de Datos'!B41),".","@",LEN(TRIM('Base de Datos'!B41))-LEN(SUBSTITUTE(TRIM('Base de Datos'!B41),".","")))),0),_xlfn.NUMBERVALUE(SUBSTITUTE(SUBSTITUTE(TRIM('Base de Datos'!B41),".",""),",","."),".",","),_xlfn.NUMBERVALUE(SUBSTITUTE(TRIM('Base de Datos'!B41),",",""),".",",")),"")))</f>
        <v>27.29</v>
      </c>
      <c r="AF45" s="73" t="n">
        <f aca="false">IF(ISNUMBER(AG45),IF(ISNUMBER('Base de Datos'!I41),IF('Base de Datos'!I41&gt;20000,INT('Base de Datos'!I41),""),IF(TRIM('Base de Datos'!I41)="","",IFERROR(DATE(VALUE(RIGHT(TRIM('Base de Datos'!I41),4)),VALUE(MID(TRIM('Base de Datos'!I41),4,2)),VALUE(LEFT(TRIM('Base de Datos'!I41),2))),IFERROR(DATEVALUE(TRIM('Base de Datos'!I41)),"")))),"")</f>
        <v>46253</v>
      </c>
      <c r="AG45" s="74" t="n">
        <f aca="false">IF(ISNUMBER('Base de Datos'!J41),'Base de Datos'!J41,IF(TRIM('Base de Datos'!J41)="","",IFERROR(IF(IFERROR(FIND("@",SUBSTITUTE(TRIM('Base de Datos'!J41),",","@",LEN(TRIM('Base de Datos'!J41))-LEN(SUBSTITUTE(TRIM('Base de Datos'!J41),",","")))),0)&gt;IFERROR(FIND("@",SUBSTITUTE(TRIM('Base de Datos'!J41),".","@",LEN(TRIM('Base de Datos'!J41))-LEN(SUBSTITUTE(TRIM('Base de Datos'!J41),".","")))),0),_xlfn.NUMBERVALUE(SUBSTITUTE(SUBSTITUTE(TRIM('Base de Datos'!J41),".",""),",","."),".",","),_xlfn.NUMBERVALUE(SUBSTITUTE(TRIM('Base de Datos'!J41),",",""),".",",")),"")))</f>
        <v>63999.26</v>
      </c>
      <c r="AH45" s="73" t="n">
        <f aca="false">IF(ISNUMBER(AI45),IF(ISNUMBER('Base de Datos'!Q41),IF('Base de Datos'!Q41&gt;20000,DATE(YEAR('Base de Datos'!Q41),DAY('Base de Datos'!Q41),MONTH('Base de Datos'!Q41)),""),IF(TRIM('Base de Datos'!Q41)="","",IFERROR(DATE(VALUE(RIGHT(TRIM('Base de Datos'!Q41),4)),VALUE(LEFT(TRIM('Base de Datos'!Q41),2)),VALUE(MID(TRIM('Base de Datos'!Q41),4,2))),""))),"")</f>
        <v>44731</v>
      </c>
      <c r="AI45" s="74" t="n">
        <f aca="false">IF(ISNUMBER('Base de Datos'!R41),'Base de Datos'!R41,IF(TRIM('Base de Datos'!R41)="","",IFERROR(IF(IFERROR(FIND("@",SUBSTITUTE(TRIM('Base de Datos'!R41),",","@",LEN(TRIM('Base de Datos'!R41))-LEN(SUBSTITUTE(TRIM('Base de Datos'!R41),",","")))),0)&gt;IFERROR(FIND("@",SUBSTITUTE(TRIM('Base de Datos'!R41),".","@",LEN(TRIM('Base de Datos'!R41))-LEN(SUBSTITUTE(TRIM('Base de Datos'!R41),".","")))),0),_xlfn.NUMBERVALUE(SUBSTITUTE(SUBSTITUTE(TRIM('Base de Datos'!R41),".",""),",","."),".",","),_xlfn.NUMBERVALUE(SUBSTITUTE(TRIM('Base de Datos'!R41),",",""),".",",")),"")))</f>
        <v>21.24</v>
      </c>
      <c r="AJ45" s="73" t="n">
        <f aca="false">IF(ISNUMBER(AK45),IF(ISNUMBER('Base de Datos'!Y41),IF('Base de Datos'!Y41&gt;20000,INT('Base de Datos'!Y41),""),IF(TRIM('Base de Datos'!Y41)="","",IFERROR(DATE(VALUE(RIGHT(TRIM('Base de Datos'!Y41),4)),VALUE(MID(TRIM('Base de Datos'!Y41),4,2)),VALUE(LEFT(TRIM('Base de Datos'!Y41),2))),IFERROR(DATEVALUE(TRIM('Base de Datos'!Y41)),"")))),"")</f>
        <v>44731</v>
      </c>
      <c r="AK45" s="74" t="n">
        <f aca="false">IF(ISNUMBER('Base de Datos'!Z41),'Base de Datos'!Z41,IF(TRIM('Base de Datos'!Z41)="","",IFERROR(IF(IFERROR(FIND("@",SUBSTITUTE(TRIM('Base de Datos'!Z41),",","@",LEN(TRIM('Base de Datos'!Z41))-LEN(SUBSTITUTE(TRIM('Base de Datos'!Z41),",","")))),0)&gt;IFERROR(FIND("@",SUBSTITUTE(TRIM('Base de Datos'!Z41),".","@",LEN(TRIM('Base de Datos'!Z41))-LEN(SUBSTITUTE(TRIM('Base de Datos'!Z41),".","")))),0),_xlfn.NUMBERVALUE(SUBSTITUTE(SUBSTITUTE(TRIM('Base de Datos'!Z41),".",""),",","."),".",","),_xlfn.NUMBERVALUE(SUBSTITUTE(TRIM('Base de Datos'!Z41),",",""),".",",")),"")))</f>
        <v>47741.5</v>
      </c>
    </row>
    <row r="46" customFormat="false" ht="13.5" hidden="false" customHeight="false" outlineLevel="0" collapsed="false">
      <c r="A46" s="75" t="n">
        <f aca="false">ROWS(A$13:A46)</f>
        <v>34</v>
      </c>
      <c r="B46" s="73" t="n">
        <f aca="false">IF(B45="","",IFERROR(SMALL($AH$10:$AH$409,COUNTIF($AH$10:$AH$409,"&lt;="&amp;B45)+1),""))</f>
        <v>44717</v>
      </c>
      <c r="C46" s="74" t="n">
        <f aca="false">IF(B46="","",INDEX($AI$10:$AI$409,MATCH(B46,$AH$10:$AH$409,0)))</f>
        <v>21.06</v>
      </c>
      <c r="D46" s="74" t="n">
        <f aca="false">IF(B46="","",IFERROR(INDEX($AK$10:$AK$409,MATCH(B46,$AJ$10:$AJ$409,0)),""))</f>
        <v>48471.52</v>
      </c>
      <c r="E46" s="76" t="n">
        <f aca="false">IF(AND(ISNUMBER(C46),ISNUMBER(C45)),C46/C45-1,"")</f>
        <v>-0.00987306064880122</v>
      </c>
      <c r="F46" s="76" t="n">
        <f aca="false">IF(AND(ISNUMBER(D46),ISNUMBER(D45)),D46/D45-1,"")</f>
        <v>-0.0437477127703124</v>
      </c>
      <c r="G46" s="75" t="n">
        <f aca="false">IF(AND(ISNUMBER(E46),ISNUMBER(F46)),1,"")</f>
        <v>1</v>
      </c>
      <c r="H46" s="75" t="n">
        <f aca="false">IF(G46=1,COUNT(G46:G$412),"")</f>
        <v>226</v>
      </c>
      <c r="I46" s="75" t="n">
        <f aca="false">IF(G46=1,IF(H46&lt;='Beta Regresión'!$B$5,1,""),"")</f>
        <v>1</v>
      </c>
      <c r="J46" s="76" t="n">
        <f aca="false">IF(I46=1,E46,"")</f>
        <v>-0.00987306064880122</v>
      </c>
      <c r="K46" s="76" t="n">
        <f aca="false">IF(I46=1,F46,"")</f>
        <v>-0.0437477127703124</v>
      </c>
      <c r="L46" s="75" t="n">
        <f aca="false">IF(I46=1,COUNT(I$13:I46),"")</f>
        <v>33</v>
      </c>
      <c r="M46" s="76" t="n">
        <f aca="false">IFERROR(INDEX($J$13:$J$412,MATCH(A46,$L$13:$L$412,0)),"")</f>
        <v>-0.087844254510921</v>
      </c>
      <c r="N46" s="76" t="n">
        <f aca="false">IFERROR(INDEX($K$13:$K$412,MATCH(A46,$L$13:$L$412,0)),"")</f>
        <v>-0.00939293836875743</v>
      </c>
      <c r="O46" s="76" t="n">
        <f aca="false">IF(I46=1,E46,NA())</f>
        <v>-0.00987306064880122</v>
      </c>
      <c r="P46" s="76" t="n">
        <f aca="false">IF(I46=1,F46,NA())</f>
        <v>-0.0437477127703124</v>
      </c>
      <c r="R46" s="75" t="n">
        <f aca="false">ROWS(R$13:R46)</f>
        <v>34</v>
      </c>
      <c r="S46" s="73" t="n">
        <f aca="false">IF(S45="","",IFERROR(SMALL($AD$10:$AD$509,COUNTIF($AD$10:$AD$509,"&lt;="&amp;S45)+1),""))</f>
        <v>46258</v>
      </c>
      <c r="T46" s="74" t="n">
        <f aca="false">IF(S46="","",INDEX($AE$10:$AE$509,MATCH(S46,$AD$10:$AD$509,0)))</f>
        <v>27.08</v>
      </c>
      <c r="U46" s="74" t="n">
        <f aca="false">IF(S46="","",IFERROR(INDEX($AG$10:$AG$509,MATCH(S46,$AF$10:$AF$509,0)),""))</f>
        <v>65770.85</v>
      </c>
      <c r="V46" s="76" t="n">
        <f aca="false">IF(AND(ISNUMBER(T46),ISNUMBER(T45)),T46/T45-1,"")</f>
        <v>0</v>
      </c>
      <c r="W46" s="76" t="n">
        <f aca="false">IF(AND(ISNUMBER(U46),ISNUMBER(U45)),U46/U45-1,"")</f>
        <v>0.000633965006105575</v>
      </c>
      <c r="X46" s="75" t="n">
        <f aca="false">IF(AND(ISNUMBER(V46),ISNUMBER(W46)),1,"")</f>
        <v>1</v>
      </c>
      <c r="Y46" s="76" t="n">
        <f aca="false">IF(X46=1,V46,"")</f>
        <v>0</v>
      </c>
      <c r="Z46" s="76" t="n">
        <f aca="false">IF(X46=1,W46,"")</f>
        <v>0.000633965006105575</v>
      </c>
      <c r="AA46" s="76" t="n">
        <f aca="false">IF(X46=1,V46,NA())</f>
        <v>0</v>
      </c>
      <c r="AB46" s="76" t="n">
        <f aca="false">IF(X46=1,W46,NA())</f>
        <v>0.000633965006105575</v>
      </c>
      <c r="AD46" s="73" t="n">
        <f aca="false">IF(ISNUMBER(AE46),IF(ISNUMBER('Base de Datos'!A42),IF('Base de Datos'!A42&gt;20000,DATE(YEAR('Base de Datos'!A42),DAY('Base de Datos'!A42),MONTH('Base de Datos'!A42)),""),IF(TRIM('Base de Datos'!A42)="","",IFERROR(DATE(VALUE(RIGHT(TRIM('Base de Datos'!A42),4)),VALUE(LEFT(TRIM('Base de Datos'!A42),2)),VALUE(MID(TRIM('Base de Datos'!A42),4,2))),""))),"")</f>
        <v>46261</v>
      </c>
      <c r="AE46" s="74" t="n">
        <f aca="false">IF(ISNUMBER('Base de Datos'!B42),'Base de Datos'!B42,IF(TRIM('Base de Datos'!B42)="","",IFERROR(IF(IFERROR(FIND("@",SUBSTITUTE(TRIM('Base de Datos'!B42),",","@",LEN(TRIM('Base de Datos'!B42))-LEN(SUBSTITUTE(TRIM('Base de Datos'!B42),",","")))),0)&gt;IFERROR(FIND("@",SUBSTITUTE(TRIM('Base de Datos'!B42),".","@",LEN(TRIM('Base de Datos'!B42))-LEN(SUBSTITUTE(TRIM('Base de Datos'!B42),".","")))),0),_xlfn.NUMBERVALUE(SUBSTITUTE(SUBSTITUTE(TRIM('Base de Datos'!B42),".",""),",","."),".",","),_xlfn.NUMBERVALUE(SUBSTITUTE(TRIM('Base de Datos'!B42),",",""),".",",")),"")))</f>
        <v>27.07</v>
      </c>
      <c r="AF46" s="73" t="n">
        <f aca="false">IF(ISNUMBER(AG46),IF(ISNUMBER('Base de Datos'!I42),IF('Base de Datos'!I42&gt;20000,INT('Base de Datos'!I42),""),IF(TRIM('Base de Datos'!I42)="","",IFERROR(DATE(VALUE(RIGHT(TRIM('Base de Datos'!I42),4)),VALUE(MID(TRIM('Base de Datos'!I42),4,2)),VALUE(LEFT(TRIM('Base de Datos'!I42),2))),IFERROR(DATEVALUE(TRIM('Base de Datos'!I42)),"")))),"")</f>
        <v>46254</v>
      </c>
      <c r="AG46" s="74" t="n">
        <f aca="false">IF(ISNUMBER('Base de Datos'!J42),'Base de Datos'!J42,IF(TRIM('Base de Datos'!J42)="","",IFERROR(IF(IFERROR(FIND("@",SUBSTITUTE(TRIM('Base de Datos'!J42),",","@",LEN(TRIM('Base de Datos'!J42))-LEN(SUBSTITUTE(TRIM('Base de Datos'!J42),",","")))),0)&gt;IFERROR(FIND("@",SUBSTITUTE(TRIM('Base de Datos'!J42),".","@",LEN(TRIM('Base de Datos'!J42))-LEN(SUBSTITUTE(TRIM('Base de Datos'!J42),".","")))),0),_xlfn.NUMBERVALUE(SUBSTITUTE(SUBSTITUTE(TRIM('Base de Datos'!J42),".",""),",","."),".",","),_xlfn.NUMBERVALUE(SUBSTITUTE(TRIM('Base de Datos'!J42),",",""),".",",")),"")))</f>
        <v>64349.8</v>
      </c>
      <c r="AH46" s="73" t="n">
        <f aca="false">IF(ISNUMBER(AI46),IF(ISNUMBER('Base de Datos'!Q42),IF('Base de Datos'!Q42&gt;20000,DATE(YEAR('Base de Datos'!Q42),DAY('Base de Datos'!Q42),MONTH('Base de Datos'!Q42)),""),IF(TRIM('Base de Datos'!Q42)="","",IFERROR(DATE(VALUE(RIGHT(TRIM('Base de Datos'!Q42),4)),VALUE(LEFT(TRIM('Base de Datos'!Q42),2)),VALUE(MID(TRIM('Base de Datos'!Q42),4,2))),""))),"")</f>
        <v>44738</v>
      </c>
      <c r="AI46" s="74" t="n">
        <f aca="false">IF(ISNUMBER('Base de Datos'!R42),'Base de Datos'!R42,IF(TRIM('Base de Datos'!R42)="","",IFERROR(IF(IFERROR(FIND("@",SUBSTITUTE(TRIM('Base de Datos'!R42),",","@",LEN(TRIM('Base de Datos'!R42))-LEN(SUBSTITUTE(TRIM('Base de Datos'!R42),",","")))),0)&gt;IFERROR(FIND("@",SUBSTITUTE(TRIM('Base de Datos'!R42),".","@",LEN(TRIM('Base de Datos'!R42))-LEN(SUBSTITUTE(TRIM('Base de Datos'!R42),".","")))),0),_xlfn.NUMBERVALUE(SUBSTITUTE(SUBSTITUTE(TRIM('Base de Datos'!R42),".",""),",","."),".",","),_xlfn.NUMBERVALUE(SUBSTITUTE(TRIM('Base de Datos'!R42),",",""),".",",")),"")))</f>
        <v>22.45</v>
      </c>
      <c r="AJ46" s="73" t="n">
        <f aca="false">IF(ISNUMBER(AK46),IF(ISNUMBER('Base de Datos'!Y42),IF('Base de Datos'!Y42&gt;20000,INT('Base de Datos'!Y42),""),IF(TRIM('Base de Datos'!Y42)="","",IFERROR(DATE(VALUE(RIGHT(TRIM('Base de Datos'!Y42),4)),VALUE(MID(TRIM('Base de Datos'!Y42),4,2)),VALUE(LEFT(TRIM('Base de Datos'!Y42),2))),IFERROR(DATEVALUE(TRIM('Base de Datos'!Y42)),"")))),"")</f>
        <v>44738</v>
      </c>
      <c r="AK46" s="74" t="n">
        <f aca="false">IF(ISNUMBER('Base de Datos'!Z42),'Base de Datos'!Z42,IF(TRIM('Base de Datos'!Z42)="","",IFERROR(IF(IFERROR(FIND("@",SUBSTITUTE(TRIM('Base de Datos'!Z42),",","@",LEN(TRIM('Base de Datos'!Z42))-LEN(SUBSTITUTE(TRIM('Base de Datos'!Z42),",","")))),0)&gt;IFERROR(FIND("@",SUBSTITUTE(TRIM('Base de Datos'!Z42),".","@",LEN(TRIM('Base de Datos'!Z42))-LEN(SUBSTITUTE(TRIM('Base de Datos'!Z42),".","")))),0),_xlfn.NUMBERVALUE(SUBSTITUTE(SUBSTITUTE(TRIM('Base de Datos'!Z42),".",""),",","."),".",","),_xlfn.NUMBERVALUE(SUBSTITUTE(TRIM('Base de Datos'!Z42),",",""),".",",")),"")))</f>
        <v>47743.15</v>
      </c>
    </row>
    <row r="47" customFormat="false" ht="13.5" hidden="false" customHeight="false" outlineLevel="0" collapsed="false">
      <c r="A47" s="75" t="n">
        <f aca="false">ROWS(A$13:A47)</f>
        <v>35</v>
      </c>
      <c r="B47" s="73" t="n">
        <f aca="false">IF(B46="","",IFERROR(SMALL($AH$10:$AH$409,COUNTIF($AH$10:$AH$409,"&lt;="&amp;B46)+1),""))</f>
        <v>44724</v>
      </c>
      <c r="C47" s="74" t="n">
        <f aca="false">IF(B47="","",INDEX($AI$10:$AI$409,MATCH(B47,$AH$10:$AH$409,0)))</f>
        <v>19.21</v>
      </c>
      <c r="D47" s="74" t="n">
        <f aca="false">IF(B47="","",IFERROR(INDEX($AK$10:$AK$409,MATCH(B47,$AJ$10:$AJ$409,0)),""))</f>
        <v>48016.23</v>
      </c>
      <c r="E47" s="76" t="n">
        <f aca="false">IF(AND(ISNUMBER(C47),ISNUMBER(C46)),C47/C46-1,"")</f>
        <v>-0.087844254510921</v>
      </c>
      <c r="F47" s="76" t="n">
        <f aca="false">IF(AND(ISNUMBER(D47),ISNUMBER(D46)),D47/D46-1,"")</f>
        <v>-0.00939293836875743</v>
      </c>
      <c r="G47" s="75" t="n">
        <f aca="false">IF(AND(ISNUMBER(E47),ISNUMBER(F47)),1,"")</f>
        <v>1</v>
      </c>
      <c r="H47" s="75" t="n">
        <f aca="false">IF(G47=1,COUNT(G47:G$412),"")</f>
        <v>225</v>
      </c>
      <c r="I47" s="75" t="n">
        <f aca="false">IF(G47=1,IF(H47&lt;='Beta Regresión'!$B$5,1,""),"")</f>
        <v>1</v>
      </c>
      <c r="J47" s="76" t="n">
        <f aca="false">IF(I47=1,E47,"")</f>
        <v>-0.087844254510921</v>
      </c>
      <c r="K47" s="76" t="n">
        <f aca="false">IF(I47=1,F47,"")</f>
        <v>-0.00939293836875743</v>
      </c>
      <c r="L47" s="75" t="n">
        <f aca="false">IF(I47=1,COUNT(I$13:I47),"")</f>
        <v>34</v>
      </c>
      <c r="M47" s="76" t="n">
        <f aca="false">IFERROR(INDEX($J$13:$J$412,MATCH(A47,$L$13:$L$412,0)),"")</f>
        <v>0.105674128058303</v>
      </c>
      <c r="N47" s="76" t="n">
        <f aca="false">IFERROR(INDEX($K$13:$K$412,MATCH(A47,$L$13:$L$412,0)),"")</f>
        <v>-0.00572160704828351</v>
      </c>
      <c r="O47" s="76" t="n">
        <f aca="false">IF(I47=1,E47,NA())</f>
        <v>-0.087844254510921</v>
      </c>
      <c r="P47" s="76" t="n">
        <f aca="false">IF(I47=1,F47,NA())</f>
        <v>-0.00939293836875743</v>
      </c>
      <c r="R47" s="75" t="n">
        <f aca="false">ROWS(R$13:R47)</f>
        <v>35</v>
      </c>
      <c r="S47" s="73" t="n">
        <f aca="false">IF(S46="","",IFERROR(SMALL($AD$10:$AD$509,COUNTIF($AD$10:$AD$509,"&lt;="&amp;S46)+1),""))</f>
        <v>46259</v>
      </c>
      <c r="T47" s="74" t="n">
        <f aca="false">IF(S47="","",INDEX($AE$10:$AE$509,MATCH(S47,$AD$10:$AD$509,0)))</f>
        <v>27.29</v>
      </c>
      <c r="U47" s="74" t="n">
        <f aca="false">IF(S47="","",IFERROR(INDEX($AG$10:$AG$509,MATCH(S47,$AF$10:$AF$509,0)),""))</f>
        <v>66293.07</v>
      </c>
      <c r="V47" s="76" t="n">
        <f aca="false">IF(AND(ISNUMBER(T47),ISNUMBER(T46)),T47/T46-1,"")</f>
        <v>0.00775480059084188</v>
      </c>
      <c r="W47" s="76" t="n">
        <f aca="false">IF(AND(ISNUMBER(U47),ISNUMBER(U46)),U47/U46-1,"")</f>
        <v>0.0079399916528371</v>
      </c>
      <c r="X47" s="75" t="n">
        <f aca="false">IF(AND(ISNUMBER(V47),ISNUMBER(W47)),1,"")</f>
        <v>1</v>
      </c>
      <c r="Y47" s="76" t="n">
        <f aca="false">IF(X47=1,V47,"")</f>
        <v>0.00775480059084188</v>
      </c>
      <c r="Z47" s="76" t="n">
        <f aca="false">IF(X47=1,W47,"")</f>
        <v>0.0079399916528371</v>
      </c>
      <c r="AA47" s="76" t="n">
        <f aca="false">IF(X47=1,V47,NA())</f>
        <v>0.00775480059084188</v>
      </c>
      <c r="AB47" s="76" t="n">
        <f aca="false">IF(X47=1,W47,NA())</f>
        <v>0.0079399916528371</v>
      </c>
      <c r="AD47" s="73" t="n">
        <f aca="false">IF(ISNUMBER(AE47),IF(ISNUMBER('Base de Datos'!A43),IF('Base de Datos'!A43&gt;20000,DATE(YEAR('Base de Datos'!A43),DAY('Base de Datos'!A43),MONTH('Base de Datos'!A43)),""),IF(TRIM('Base de Datos'!A43)="","",IFERROR(DATE(VALUE(RIGHT(TRIM('Base de Datos'!A43),4)),VALUE(LEFT(TRIM('Base de Datos'!A43),2)),VALUE(MID(TRIM('Base de Datos'!A43),4,2))),""))),"")</f>
        <v>46262</v>
      </c>
      <c r="AE47" s="74" t="n">
        <f aca="false">IF(ISNUMBER('Base de Datos'!B43),'Base de Datos'!B43,IF(TRIM('Base de Datos'!B43)="","",IFERROR(IF(IFERROR(FIND("@",SUBSTITUTE(TRIM('Base de Datos'!B43),",","@",LEN(TRIM('Base de Datos'!B43))-LEN(SUBSTITUTE(TRIM('Base de Datos'!B43),",","")))),0)&gt;IFERROR(FIND("@",SUBSTITUTE(TRIM('Base de Datos'!B43),".","@",LEN(TRIM('Base de Datos'!B43))-LEN(SUBSTITUTE(TRIM('Base de Datos'!B43),".","")))),0),_xlfn.NUMBERVALUE(SUBSTITUTE(SUBSTITUTE(TRIM('Base de Datos'!B43),".",""),",","."),".",","),_xlfn.NUMBERVALUE(SUBSTITUTE(TRIM('Base de Datos'!B43),",",""),".",",")),"")))</f>
        <v>27.07</v>
      </c>
      <c r="AF47" s="73" t="n">
        <f aca="false">IF(ISNUMBER(AG47),IF(ISNUMBER('Base de Datos'!I43),IF('Base de Datos'!I43&gt;20000,INT('Base de Datos'!I43),""),IF(TRIM('Base de Datos'!I43)="","",IFERROR(DATE(VALUE(RIGHT(TRIM('Base de Datos'!I43),4)),VALUE(MID(TRIM('Base de Datos'!I43),4,2)),VALUE(LEFT(TRIM('Base de Datos'!I43),2))),IFERROR(DATEVALUE(TRIM('Base de Datos'!I43)),"")))),"")</f>
        <v>46255</v>
      </c>
      <c r="AG47" s="74" t="n">
        <f aca="false">IF(ISNUMBER('Base de Datos'!J43),'Base de Datos'!J43,IF(TRIM('Base de Datos'!J43)="","",IFERROR(IF(IFERROR(FIND("@",SUBSTITUTE(TRIM('Base de Datos'!J43),",","@",LEN(TRIM('Base de Datos'!J43))-LEN(SUBSTITUTE(TRIM('Base de Datos'!J43),",","")))),0)&gt;IFERROR(FIND("@",SUBSTITUTE(TRIM('Base de Datos'!J43),".","@",LEN(TRIM('Base de Datos'!J43))-LEN(SUBSTITUTE(TRIM('Base de Datos'!J43),".","")))),0),_xlfn.NUMBERVALUE(SUBSTITUTE(SUBSTITUTE(TRIM('Base de Datos'!J43),".",""),",","."),".",","),_xlfn.NUMBERVALUE(SUBSTITUTE(TRIM('Base de Datos'!J43),",",""),".",",")),"")))</f>
        <v>65729.18</v>
      </c>
      <c r="AH47" s="73" t="n">
        <f aca="false">IF(ISNUMBER(AI47),IF(ISNUMBER('Base de Datos'!Q43),IF('Base de Datos'!Q43&gt;20000,DATE(YEAR('Base de Datos'!Q43),DAY('Base de Datos'!Q43),MONTH('Base de Datos'!Q43)),""),IF(TRIM('Base de Datos'!Q43)="","",IFERROR(DATE(VALUE(RIGHT(TRIM('Base de Datos'!Q43),4)),VALUE(LEFT(TRIM('Base de Datos'!Q43),2)),VALUE(MID(TRIM('Base de Datos'!Q43),4,2))),""))),"")</f>
        <v>44745</v>
      </c>
      <c r="AI47" s="74" t="n">
        <f aca="false">IF(ISNUMBER('Base de Datos'!R43),'Base de Datos'!R43,IF(TRIM('Base de Datos'!R43)="","",IFERROR(IF(IFERROR(FIND("@",SUBSTITUTE(TRIM('Base de Datos'!R43),",","@",LEN(TRIM('Base de Datos'!R43))-LEN(SUBSTITUTE(TRIM('Base de Datos'!R43),",","")))),0)&gt;IFERROR(FIND("@",SUBSTITUTE(TRIM('Base de Datos'!R43),".","@",LEN(TRIM('Base de Datos'!R43))-LEN(SUBSTITUTE(TRIM('Base de Datos'!R43),".","")))),0),_xlfn.NUMBERVALUE(SUBSTITUTE(SUBSTITUTE(TRIM('Base de Datos'!R43),".",""),",","."),".",","),_xlfn.NUMBERVALUE(SUBSTITUTE(TRIM('Base de Datos'!R43),",",""),".",",")),"")))</f>
        <v>22.7</v>
      </c>
      <c r="AJ47" s="73" t="n">
        <f aca="false">IF(ISNUMBER(AK47),IF(ISNUMBER('Base de Datos'!Y43),IF('Base de Datos'!Y43&gt;20000,INT('Base de Datos'!Y43),""),IF(TRIM('Base de Datos'!Y43)="","",IFERROR(DATE(VALUE(RIGHT(TRIM('Base de Datos'!Y43),4)),VALUE(MID(TRIM('Base de Datos'!Y43),4,2)),VALUE(LEFT(TRIM('Base de Datos'!Y43),2))),IFERROR(DATEVALUE(TRIM('Base de Datos'!Y43)),"")))),"")</f>
        <v>44745</v>
      </c>
      <c r="AK47" s="74" t="n">
        <f aca="false">IF(ISNUMBER('Base de Datos'!Z43),'Base de Datos'!Z43,IF(TRIM('Base de Datos'!Z43)="","",IFERROR(IF(IFERROR(FIND("@",SUBSTITUTE(TRIM('Base de Datos'!Z43),",","@",LEN(TRIM('Base de Datos'!Z43))-LEN(SUBSTITUTE(TRIM('Base de Datos'!Z43),",","")))),0)&gt;IFERROR(FIND("@",SUBSTITUTE(TRIM('Base de Datos'!Z43),".","@",LEN(TRIM('Base de Datos'!Z43))-LEN(SUBSTITUTE(TRIM('Base de Datos'!Z43),".","")))),0),_xlfn.NUMBERVALUE(SUBSTITUTE(SUBSTITUTE(TRIM('Base de Datos'!Z43),".",""),",","."),".",","),_xlfn.NUMBERVALUE(SUBSTITUTE(TRIM('Base de Datos'!Z43),",",""),".",",")),"")))</f>
        <v>47582.11</v>
      </c>
    </row>
    <row r="48" customFormat="false" ht="13.5" hidden="false" customHeight="false" outlineLevel="0" collapsed="false">
      <c r="A48" s="75" t="n">
        <f aca="false">ROWS(A$13:A48)</f>
        <v>36</v>
      </c>
      <c r="B48" s="73" t="n">
        <f aca="false">IF(B47="","",IFERROR(SMALL($AH$10:$AH$409,COUNTIF($AH$10:$AH$409,"&lt;="&amp;B47)+1),""))</f>
        <v>44731</v>
      </c>
      <c r="C48" s="74" t="n">
        <f aca="false">IF(B48="","",INDEX($AI$10:$AI$409,MATCH(B48,$AH$10:$AH$409,0)))</f>
        <v>21.24</v>
      </c>
      <c r="D48" s="74" t="n">
        <f aca="false">IF(B48="","",IFERROR(INDEX($AK$10:$AK$409,MATCH(B48,$AJ$10:$AJ$409,0)),""))</f>
        <v>47741.5</v>
      </c>
      <c r="E48" s="76" t="n">
        <f aca="false">IF(AND(ISNUMBER(C48),ISNUMBER(C47)),C48/C47-1,"")</f>
        <v>0.105674128058303</v>
      </c>
      <c r="F48" s="76" t="n">
        <f aca="false">IF(AND(ISNUMBER(D48),ISNUMBER(D47)),D48/D47-1,"")</f>
        <v>-0.00572160704828351</v>
      </c>
      <c r="G48" s="75" t="n">
        <f aca="false">IF(AND(ISNUMBER(E48),ISNUMBER(F48)),1,"")</f>
        <v>1</v>
      </c>
      <c r="H48" s="75" t="n">
        <f aca="false">IF(G48=1,COUNT(G48:G$412),"")</f>
        <v>224</v>
      </c>
      <c r="I48" s="75" t="n">
        <f aca="false">IF(G48=1,IF(H48&lt;='Beta Regresión'!$B$5,1,""),"")</f>
        <v>1</v>
      </c>
      <c r="J48" s="76" t="n">
        <f aca="false">IF(I48=1,E48,"")</f>
        <v>0.105674128058303</v>
      </c>
      <c r="K48" s="76" t="n">
        <f aca="false">IF(I48=1,F48,"")</f>
        <v>-0.00572160704828351</v>
      </c>
      <c r="L48" s="75" t="n">
        <f aca="false">IF(I48=1,COUNT(I$13:I48),"")</f>
        <v>35</v>
      </c>
      <c r="M48" s="76" t="n">
        <f aca="false">IFERROR(INDEX($J$13:$J$412,MATCH(A48,$L$13:$L$412,0)),"")</f>
        <v>0.0569679849340867</v>
      </c>
      <c r="N48" s="76" t="n">
        <f aca="false">IFERROR(INDEX($K$13:$K$412,MATCH(A48,$L$13:$L$412,0)),"")</f>
        <v>3.45611260643697E-005</v>
      </c>
      <c r="O48" s="76" t="n">
        <f aca="false">IF(I48=1,E48,NA())</f>
        <v>0.105674128058303</v>
      </c>
      <c r="P48" s="76" t="n">
        <f aca="false">IF(I48=1,F48,NA())</f>
        <v>-0.00572160704828351</v>
      </c>
      <c r="R48" s="75" t="n">
        <f aca="false">ROWS(R$13:R48)</f>
        <v>36</v>
      </c>
      <c r="S48" s="73" t="n">
        <f aca="false">IF(S47="","",IFERROR(SMALL($AD$10:$AD$509,COUNTIF($AD$10:$AD$509,"&lt;="&amp;S47)+1),""))</f>
        <v>46260</v>
      </c>
      <c r="T48" s="74" t="n">
        <f aca="false">IF(S48="","",INDEX($AE$10:$AE$509,MATCH(S48,$AD$10:$AD$509,0)))</f>
        <v>27.29</v>
      </c>
      <c r="U48" s="74" t="n">
        <f aca="false">IF(S48="","",IFERROR(INDEX($AG$10:$AG$509,MATCH(S48,$AF$10:$AF$509,0)),""))</f>
        <v>66191.11</v>
      </c>
      <c r="V48" s="76" t="n">
        <f aca="false">IF(AND(ISNUMBER(T48),ISNUMBER(T47)),T48/T47-1,"")</f>
        <v>0</v>
      </c>
      <c r="W48" s="76" t="n">
        <f aca="false">IF(AND(ISNUMBER(U48),ISNUMBER(U47)),U48/U47-1,"")</f>
        <v>-0.00153801898147132</v>
      </c>
      <c r="X48" s="75" t="n">
        <f aca="false">IF(AND(ISNUMBER(V48),ISNUMBER(W48)),1,"")</f>
        <v>1</v>
      </c>
      <c r="Y48" s="76" t="n">
        <f aca="false">IF(X48=1,V48,"")</f>
        <v>0</v>
      </c>
      <c r="Z48" s="76" t="n">
        <f aca="false">IF(X48=1,W48,"")</f>
        <v>-0.00153801898147132</v>
      </c>
      <c r="AA48" s="76" t="n">
        <f aca="false">IF(X48=1,V48,NA())</f>
        <v>0</v>
      </c>
      <c r="AB48" s="76" t="n">
        <f aca="false">IF(X48=1,W48,NA())</f>
        <v>-0.00153801898147132</v>
      </c>
      <c r="AD48" s="73" t="n">
        <f aca="false">IF(ISNUMBER(AE48),IF(ISNUMBER('Base de Datos'!A44),IF('Base de Datos'!A44&gt;20000,DATE(YEAR('Base de Datos'!A44),DAY('Base de Datos'!A44),MONTH('Base de Datos'!A44)),""),IF(TRIM('Base de Datos'!A44)="","",IFERROR(DATE(VALUE(RIGHT(TRIM('Base de Datos'!A44),4)),VALUE(LEFT(TRIM('Base de Datos'!A44),2)),VALUE(MID(TRIM('Base de Datos'!A44),4,2))),""))),"")</f>
        <v>46265</v>
      </c>
      <c r="AE48" s="74" t="n">
        <f aca="false">IF(ISNUMBER('Base de Datos'!B44),'Base de Datos'!B44,IF(TRIM('Base de Datos'!B44)="","",IFERROR(IF(IFERROR(FIND("@",SUBSTITUTE(TRIM('Base de Datos'!B44),",","@",LEN(TRIM('Base de Datos'!B44))-LEN(SUBSTITUTE(TRIM('Base de Datos'!B44),",","")))),0)&gt;IFERROR(FIND("@",SUBSTITUTE(TRIM('Base de Datos'!B44),".","@",LEN(TRIM('Base de Datos'!B44))-LEN(SUBSTITUTE(TRIM('Base de Datos'!B44),".","")))),0),_xlfn.NUMBERVALUE(SUBSTITUTE(SUBSTITUTE(TRIM('Base de Datos'!B44),".",""),",","."),".",","),_xlfn.NUMBERVALUE(SUBSTITUTE(TRIM('Base de Datos'!B44),",",""),".",",")),"")))</f>
        <v>27.06</v>
      </c>
      <c r="AF48" s="73" t="n">
        <f aca="false">IF(ISNUMBER(AG48),IF(ISNUMBER('Base de Datos'!I44),IF('Base de Datos'!I44&gt;20000,INT('Base de Datos'!I44),""),IF(TRIM('Base de Datos'!I44)="","",IFERROR(DATE(VALUE(RIGHT(TRIM('Base de Datos'!I44),4)),VALUE(MID(TRIM('Base de Datos'!I44),4,2)),VALUE(LEFT(TRIM('Base de Datos'!I44),2))),IFERROR(DATEVALUE(TRIM('Base de Datos'!I44)),"")))),"")</f>
        <v>46258</v>
      </c>
      <c r="AG48" s="74" t="n">
        <f aca="false">IF(ISNUMBER('Base de Datos'!J44),'Base de Datos'!J44,IF(TRIM('Base de Datos'!J44)="","",IFERROR(IF(IFERROR(FIND("@",SUBSTITUTE(TRIM('Base de Datos'!J44),",","@",LEN(TRIM('Base de Datos'!J44))-LEN(SUBSTITUTE(TRIM('Base de Datos'!J44),",","")))),0)&gt;IFERROR(FIND("@",SUBSTITUTE(TRIM('Base de Datos'!J44),".","@",LEN(TRIM('Base de Datos'!J44))-LEN(SUBSTITUTE(TRIM('Base de Datos'!J44),".","")))),0),_xlfn.NUMBERVALUE(SUBSTITUTE(SUBSTITUTE(TRIM('Base de Datos'!J44),".",""),",","."),".",","),_xlfn.NUMBERVALUE(SUBSTITUTE(TRIM('Base de Datos'!J44),",",""),".",",")),"")))</f>
        <v>65770.85</v>
      </c>
      <c r="AH48" s="73" t="n">
        <f aca="false">IF(ISNUMBER(AI48),IF(ISNUMBER('Base de Datos'!Q44),IF('Base de Datos'!Q44&gt;20000,DATE(YEAR('Base de Datos'!Q44),DAY('Base de Datos'!Q44),MONTH('Base de Datos'!Q44)),""),IF(TRIM('Base de Datos'!Q44)="","",IFERROR(DATE(VALUE(RIGHT(TRIM('Base de Datos'!Q44),4)),VALUE(LEFT(TRIM('Base de Datos'!Q44),2)),VALUE(MID(TRIM('Base de Datos'!Q44),4,2))),""))),"")</f>
        <v>44752</v>
      </c>
      <c r="AI48" s="74" t="n">
        <f aca="false">IF(ISNUMBER('Base de Datos'!R44),'Base de Datos'!R44,IF(TRIM('Base de Datos'!R44)="","",IFERROR(IF(IFERROR(FIND("@",SUBSTITUTE(TRIM('Base de Datos'!R44),",","@",LEN(TRIM('Base de Datos'!R44))-LEN(SUBSTITUTE(TRIM('Base de Datos'!R44),",","")))),0)&gt;IFERROR(FIND("@",SUBSTITUTE(TRIM('Base de Datos'!R44),".","@",LEN(TRIM('Base de Datos'!R44))-LEN(SUBSTITUTE(TRIM('Base de Datos'!R44),".","")))),0),_xlfn.NUMBERVALUE(SUBSTITUTE(SUBSTITUTE(TRIM('Base de Datos'!R44),".",""),",","."),".",","),_xlfn.NUMBERVALUE(SUBSTITUTE(TRIM('Base de Datos'!R44),",",""),".",",")),"")))</f>
        <v>22.83</v>
      </c>
      <c r="AJ48" s="73" t="n">
        <f aca="false">IF(ISNUMBER(AK48),IF(ISNUMBER('Base de Datos'!Y44),IF('Base de Datos'!Y44&gt;20000,INT('Base de Datos'!Y44),""),IF(TRIM('Base de Datos'!Y44)="","",IFERROR(DATE(VALUE(RIGHT(TRIM('Base de Datos'!Y44),4)),VALUE(MID(TRIM('Base de Datos'!Y44),4,2)),VALUE(LEFT(TRIM('Base de Datos'!Y44),2))),IFERROR(DATEVALUE(TRIM('Base de Datos'!Y44)),"")))),"")</f>
        <v>44752</v>
      </c>
      <c r="AK48" s="74" t="n">
        <f aca="false">IF(ISNUMBER('Base de Datos'!Z44),'Base de Datos'!Z44,IF(TRIM('Base de Datos'!Z44)="","",IFERROR(IF(IFERROR(FIND("@",SUBSTITUTE(TRIM('Base de Datos'!Z44),",","@",LEN(TRIM('Base de Datos'!Z44))-LEN(SUBSTITUTE(TRIM('Base de Datos'!Z44),",","")))),0)&gt;IFERROR(FIND("@",SUBSTITUTE(TRIM('Base de Datos'!Z44),".","@",LEN(TRIM('Base de Datos'!Z44))-LEN(SUBSTITUTE(TRIM('Base de Datos'!Z44),".","")))),0),_xlfn.NUMBERVALUE(SUBSTITUTE(SUBSTITUTE(TRIM('Base de Datos'!Z44),".",""),",","."),".",","),_xlfn.NUMBERVALUE(SUBSTITUTE(TRIM('Base de Datos'!Z44),",",""),".",",")),"")))</f>
        <v>47075.87</v>
      </c>
    </row>
    <row r="49" customFormat="false" ht="13.5" hidden="false" customHeight="false" outlineLevel="0" collapsed="false">
      <c r="A49" s="75" t="n">
        <f aca="false">ROWS(A$13:A49)</f>
        <v>37</v>
      </c>
      <c r="B49" s="73" t="n">
        <f aca="false">IF(B48="","",IFERROR(SMALL($AH$10:$AH$409,COUNTIF($AH$10:$AH$409,"&lt;="&amp;B48)+1),""))</f>
        <v>44738</v>
      </c>
      <c r="C49" s="74" t="n">
        <f aca="false">IF(B49="","",INDEX($AI$10:$AI$409,MATCH(B49,$AH$10:$AH$409,0)))</f>
        <v>22.45</v>
      </c>
      <c r="D49" s="74" t="n">
        <f aca="false">IF(B49="","",IFERROR(INDEX($AK$10:$AK$409,MATCH(B49,$AJ$10:$AJ$409,0)),""))</f>
        <v>47743.15</v>
      </c>
      <c r="E49" s="76" t="n">
        <f aca="false">IF(AND(ISNUMBER(C49),ISNUMBER(C48)),C49/C48-1,"")</f>
        <v>0.0569679849340867</v>
      </c>
      <c r="F49" s="76" t="n">
        <f aca="false">IF(AND(ISNUMBER(D49),ISNUMBER(D48)),D49/D48-1,"")</f>
        <v>3.45611260643697E-005</v>
      </c>
      <c r="G49" s="75" t="n">
        <f aca="false">IF(AND(ISNUMBER(E49),ISNUMBER(F49)),1,"")</f>
        <v>1</v>
      </c>
      <c r="H49" s="75" t="n">
        <f aca="false">IF(G49=1,COUNT(G49:G$412),"")</f>
        <v>223</v>
      </c>
      <c r="I49" s="75" t="n">
        <f aca="false">IF(G49=1,IF(H49&lt;='Beta Regresión'!$B$5,1,""),"")</f>
        <v>1</v>
      </c>
      <c r="J49" s="76" t="n">
        <f aca="false">IF(I49=1,E49,"")</f>
        <v>0.0569679849340867</v>
      </c>
      <c r="K49" s="76" t="n">
        <f aca="false">IF(I49=1,F49,"")</f>
        <v>3.45611260643697E-005</v>
      </c>
      <c r="L49" s="75" t="n">
        <f aca="false">IF(I49=1,COUNT(I$13:I49),"")</f>
        <v>36</v>
      </c>
      <c r="M49" s="76" t="n">
        <f aca="false">IFERROR(INDEX($J$13:$J$412,MATCH(A49,$L$13:$L$412,0)),"")</f>
        <v>0.0111358574610245</v>
      </c>
      <c r="N49" s="76" t="n">
        <f aca="false">IFERROR(INDEX($K$13:$K$412,MATCH(A49,$L$13:$L$412,0)),"")</f>
        <v>-0.00337304932749516</v>
      </c>
      <c r="O49" s="76" t="n">
        <f aca="false">IF(I49=1,E49,NA())</f>
        <v>0.0569679849340867</v>
      </c>
      <c r="P49" s="76" t="n">
        <f aca="false">IF(I49=1,F49,NA())</f>
        <v>3.45611260643697E-005</v>
      </c>
      <c r="R49" s="75" t="n">
        <f aca="false">ROWS(R$13:R49)</f>
        <v>37</v>
      </c>
      <c r="S49" s="73" t="n">
        <f aca="false">IF(S48="","",IFERROR(SMALL($AD$10:$AD$509,COUNTIF($AD$10:$AD$509,"&lt;="&amp;S48)+1),""))</f>
        <v>46261</v>
      </c>
      <c r="T49" s="74" t="n">
        <f aca="false">IF(S49="","",INDEX($AE$10:$AE$509,MATCH(S49,$AD$10:$AD$509,0)))</f>
        <v>27.07</v>
      </c>
      <c r="U49" s="74" t="n">
        <f aca="false">IF(S49="","",IFERROR(INDEX($AG$10:$AG$509,MATCH(S49,$AF$10:$AF$509,0)),""))</f>
        <v>65829.98</v>
      </c>
      <c r="V49" s="76" t="n">
        <f aca="false">IF(AND(ISNUMBER(T49),ISNUMBER(T48)),T49/T48-1,"")</f>
        <v>-0.00806156101135946</v>
      </c>
      <c r="W49" s="76" t="n">
        <f aca="false">IF(AND(ISNUMBER(U49),ISNUMBER(U48)),U49/U48-1,"")</f>
        <v>-0.00545586862042358</v>
      </c>
      <c r="X49" s="75" t="n">
        <f aca="false">IF(AND(ISNUMBER(V49),ISNUMBER(W49)),1,"")</f>
        <v>1</v>
      </c>
      <c r="Y49" s="76" t="n">
        <f aca="false">IF(X49=1,V49,"")</f>
        <v>-0.00806156101135946</v>
      </c>
      <c r="Z49" s="76" t="n">
        <f aca="false">IF(X49=1,W49,"")</f>
        <v>-0.00545586862042358</v>
      </c>
      <c r="AA49" s="76" t="n">
        <f aca="false">IF(X49=1,V49,NA())</f>
        <v>-0.00806156101135946</v>
      </c>
      <c r="AB49" s="76" t="n">
        <f aca="false">IF(X49=1,W49,NA())</f>
        <v>-0.00545586862042358</v>
      </c>
      <c r="AD49" s="73" t="n">
        <f aca="false">IF(ISNUMBER(AE49),IF(ISNUMBER('Base de Datos'!A45),IF('Base de Datos'!A45&gt;20000,DATE(YEAR('Base de Datos'!A45),DAY('Base de Datos'!A45),MONTH('Base de Datos'!A45)),""),IF(TRIM('Base de Datos'!A45)="","",IFERROR(DATE(VALUE(RIGHT(TRIM('Base de Datos'!A45),4)),VALUE(LEFT(TRIM('Base de Datos'!A45),2)),VALUE(MID(TRIM('Base de Datos'!A45),4,2))),""))),"")</f>
        <v>46266</v>
      </c>
      <c r="AE49" s="74" t="n">
        <f aca="false">IF(ISNUMBER('Base de Datos'!B45),'Base de Datos'!B45,IF(TRIM('Base de Datos'!B45)="","",IFERROR(IF(IFERROR(FIND("@",SUBSTITUTE(TRIM('Base de Datos'!B45),",","@",LEN(TRIM('Base de Datos'!B45))-LEN(SUBSTITUTE(TRIM('Base de Datos'!B45),",","")))),0)&gt;IFERROR(FIND("@",SUBSTITUTE(TRIM('Base de Datos'!B45),".","@",LEN(TRIM('Base de Datos'!B45))-LEN(SUBSTITUTE(TRIM('Base de Datos'!B45),".","")))),0),_xlfn.NUMBERVALUE(SUBSTITUTE(SUBSTITUTE(TRIM('Base de Datos'!B45),".",""),",","."),".",","),_xlfn.NUMBERVALUE(SUBSTITUTE(TRIM('Base de Datos'!B45),",",""),".",",")),"")))</f>
        <v>26.92</v>
      </c>
      <c r="AF49" s="73" t="n">
        <f aca="false">IF(ISNUMBER(AG49),IF(ISNUMBER('Base de Datos'!I45),IF('Base de Datos'!I45&gt;20000,INT('Base de Datos'!I45),""),IF(TRIM('Base de Datos'!I45)="","",IFERROR(DATE(VALUE(RIGHT(TRIM('Base de Datos'!I45),4)),VALUE(MID(TRIM('Base de Datos'!I45),4,2)),VALUE(LEFT(TRIM('Base de Datos'!I45),2))),IFERROR(DATEVALUE(TRIM('Base de Datos'!I45)),"")))),"")</f>
        <v>46259</v>
      </c>
      <c r="AG49" s="74" t="n">
        <f aca="false">IF(ISNUMBER('Base de Datos'!J45),'Base de Datos'!J45,IF(TRIM('Base de Datos'!J45)="","",IFERROR(IF(IFERROR(FIND("@",SUBSTITUTE(TRIM('Base de Datos'!J45),",","@",LEN(TRIM('Base de Datos'!J45))-LEN(SUBSTITUTE(TRIM('Base de Datos'!J45),",","")))),0)&gt;IFERROR(FIND("@",SUBSTITUTE(TRIM('Base de Datos'!J45),".","@",LEN(TRIM('Base de Datos'!J45))-LEN(SUBSTITUTE(TRIM('Base de Datos'!J45),".","")))),0),_xlfn.NUMBERVALUE(SUBSTITUTE(SUBSTITUTE(TRIM('Base de Datos'!J45),".",""),",","."),".",","),_xlfn.NUMBERVALUE(SUBSTITUTE(TRIM('Base de Datos'!J45),",",""),".",",")),"")))</f>
        <v>66293.07</v>
      </c>
      <c r="AH49" s="73" t="n">
        <f aca="false">IF(ISNUMBER(AI49),IF(ISNUMBER('Base de Datos'!Q45),IF('Base de Datos'!Q45&gt;20000,DATE(YEAR('Base de Datos'!Q45),DAY('Base de Datos'!Q45),MONTH('Base de Datos'!Q45)),""),IF(TRIM('Base de Datos'!Q45)="","",IFERROR(DATE(VALUE(RIGHT(TRIM('Base de Datos'!Q45),4)),VALUE(LEFT(TRIM('Base de Datos'!Q45),2)),VALUE(MID(TRIM('Base de Datos'!Q45),4,2))),""))),"")</f>
        <v>44759</v>
      </c>
      <c r="AI49" s="74" t="n">
        <f aca="false">IF(ISNUMBER('Base de Datos'!R45),'Base de Datos'!R45,IF(TRIM('Base de Datos'!R45)="","",IFERROR(IF(IFERROR(FIND("@",SUBSTITUTE(TRIM('Base de Datos'!R45),",","@",LEN(TRIM('Base de Datos'!R45))-LEN(SUBSTITUTE(TRIM('Base de Datos'!R45),",","")))),0)&gt;IFERROR(FIND("@",SUBSTITUTE(TRIM('Base de Datos'!R45),".","@",LEN(TRIM('Base de Datos'!R45))-LEN(SUBSTITUTE(TRIM('Base de Datos'!R45),".","")))),0),_xlfn.NUMBERVALUE(SUBSTITUTE(SUBSTITUTE(TRIM('Base de Datos'!R45),".",""),",","."),".",","),_xlfn.NUMBERVALUE(SUBSTITUTE(TRIM('Base de Datos'!R45),",",""),".",",")),"")))</f>
        <v>23.6</v>
      </c>
      <c r="AJ49" s="73" t="n">
        <f aca="false">IF(ISNUMBER(AK49),IF(ISNUMBER('Base de Datos'!Y45),IF('Base de Datos'!Y45&gt;20000,INT('Base de Datos'!Y45),""),IF(TRIM('Base de Datos'!Y45)="","",IFERROR(DATE(VALUE(RIGHT(TRIM('Base de Datos'!Y45),4)),VALUE(MID(TRIM('Base de Datos'!Y45),4,2)),VALUE(LEFT(TRIM('Base de Datos'!Y45),2))),IFERROR(DATEVALUE(TRIM('Base de Datos'!Y45)),"")))),"")</f>
        <v>44759</v>
      </c>
      <c r="AK49" s="74" t="n">
        <f aca="false">IF(ISNUMBER('Base de Datos'!Z45),'Base de Datos'!Z45,IF(TRIM('Base de Datos'!Z45)="","",IFERROR(IF(IFERROR(FIND("@",SUBSTITUTE(TRIM('Base de Datos'!Z45),",","@",LEN(TRIM('Base de Datos'!Z45))-LEN(SUBSTITUTE(TRIM('Base de Datos'!Z45),",","")))),0)&gt;IFERROR(FIND("@",SUBSTITUTE(TRIM('Base de Datos'!Z45),".","@",LEN(TRIM('Base de Datos'!Z45))-LEN(SUBSTITUTE(TRIM('Base de Datos'!Z45),".","")))),0),_xlfn.NUMBERVALUE(SUBSTITUTE(SUBSTITUTE(TRIM('Base de Datos'!Z45),".",""),",","."),".",","),_xlfn.NUMBERVALUE(SUBSTITUTE(TRIM('Base de Datos'!Z45),",",""),".",",")),"")))</f>
        <v>47264.86</v>
      </c>
    </row>
    <row r="50" customFormat="false" ht="13.5" hidden="false" customHeight="false" outlineLevel="0" collapsed="false">
      <c r="A50" s="75" t="n">
        <f aca="false">ROWS(A$13:A50)</f>
        <v>38</v>
      </c>
      <c r="B50" s="73" t="n">
        <f aca="false">IF(B49="","",IFERROR(SMALL($AH$10:$AH$409,COUNTIF($AH$10:$AH$409,"&lt;="&amp;B49)+1),""))</f>
        <v>44745</v>
      </c>
      <c r="C50" s="74" t="n">
        <f aca="false">IF(B50="","",INDEX($AI$10:$AI$409,MATCH(B50,$AH$10:$AH$409,0)))</f>
        <v>22.7</v>
      </c>
      <c r="D50" s="74" t="n">
        <f aca="false">IF(B50="","",IFERROR(INDEX($AK$10:$AK$409,MATCH(B50,$AJ$10:$AJ$409,0)),""))</f>
        <v>47582.11</v>
      </c>
      <c r="E50" s="76" t="n">
        <f aca="false">IF(AND(ISNUMBER(C50),ISNUMBER(C49)),C50/C49-1,"")</f>
        <v>0.0111358574610245</v>
      </c>
      <c r="F50" s="76" t="n">
        <f aca="false">IF(AND(ISNUMBER(D50),ISNUMBER(D49)),D50/D49-1,"")</f>
        <v>-0.00337304932749516</v>
      </c>
      <c r="G50" s="75" t="n">
        <f aca="false">IF(AND(ISNUMBER(E50),ISNUMBER(F50)),1,"")</f>
        <v>1</v>
      </c>
      <c r="H50" s="75" t="n">
        <f aca="false">IF(G50=1,COUNT(G50:G$412),"")</f>
        <v>222</v>
      </c>
      <c r="I50" s="75" t="n">
        <f aca="false">IF(G50=1,IF(H50&lt;='Beta Regresión'!$B$5,1,""),"")</f>
        <v>1</v>
      </c>
      <c r="J50" s="76" t="n">
        <f aca="false">IF(I50=1,E50,"")</f>
        <v>0.0111358574610245</v>
      </c>
      <c r="K50" s="76" t="n">
        <f aca="false">IF(I50=1,F50,"")</f>
        <v>-0.00337304932749516</v>
      </c>
      <c r="L50" s="75" t="n">
        <f aca="false">IF(I50=1,COUNT(I$13:I50),"")</f>
        <v>37</v>
      </c>
      <c r="M50" s="76" t="n">
        <f aca="false">IFERROR(INDEX($J$13:$J$412,MATCH(A50,$L$13:$L$412,0)),"")</f>
        <v>0.0057268722466961</v>
      </c>
      <c r="N50" s="76" t="n">
        <f aca="false">IFERROR(INDEX($K$13:$K$412,MATCH(A50,$L$13:$L$412,0)),"")</f>
        <v>-0.0106392927930266</v>
      </c>
      <c r="O50" s="76" t="n">
        <f aca="false">IF(I50=1,E50,NA())</f>
        <v>0.0111358574610245</v>
      </c>
      <c r="P50" s="76" t="n">
        <f aca="false">IF(I50=1,F50,NA())</f>
        <v>-0.00337304932749516</v>
      </c>
      <c r="R50" s="75" t="n">
        <f aca="false">ROWS(R$13:R50)</f>
        <v>38</v>
      </c>
      <c r="S50" s="73" t="n">
        <f aca="false">IF(S49="","",IFERROR(SMALL($AD$10:$AD$509,COUNTIF($AD$10:$AD$509,"&lt;="&amp;S49)+1),""))</f>
        <v>46262</v>
      </c>
      <c r="T50" s="74" t="n">
        <f aca="false">IF(S50="","",INDEX($AE$10:$AE$509,MATCH(S50,$AD$10:$AD$509,0)))</f>
        <v>27.07</v>
      </c>
      <c r="U50" s="74" t="n">
        <f aca="false">IF(S50="","",IFERROR(INDEX($AG$10:$AG$509,MATCH(S50,$AF$10:$AF$509,0)),""))</f>
        <v>65484.32</v>
      </c>
      <c r="V50" s="76" t="n">
        <f aca="false">IF(AND(ISNUMBER(T50),ISNUMBER(T49)),T50/T49-1,"")</f>
        <v>0</v>
      </c>
      <c r="W50" s="76" t="n">
        <f aca="false">IF(AND(ISNUMBER(U50),ISNUMBER(U49)),U50/U49-1,"")</f>
        <v>-0.00525079910399484</v>
      </c>
      <c r="X50" s="75" t="n">
        <f aca="false">IF(AND(ISNUMBER(V50),ISNUMBER(W50)),1,"")</f>
        <v>1</v>
      </c>
      <c r="Y50" s="76" t="n">
        <f aca="false">IF(X50=1,V50,"")</f>
        <v>0</v>
      </c>
      <c r="Z50" s="76" t="n">
        <f aca="false">IF(X50=1,W50,"")</f>
        <v>-0.00525079910399484</v>
      </c>
      <c r="AA50" s="76" t="n">
        <f aca="false">IF(X50=1,V50,NA())</f>
        <v>0</v>
      </c>
      <c r="AB50" s="76" t="n">
        <f aca="false">IF(X50=1,W50,NA())</f>
        <v>-0.00525079910399484</v>
      </c>
      <c r="AD50" s="73" t="n">
        <f aca="false">IF(ISNUMBER(AE50),IF(ISNUMBER('Base de Datos'!A46),IF('Base de Datos'!A46&gt;20000,DATE(YEAR('Base de Datos'!A46),DAY('Base de Datos'!A46),MONTH('Base de Datos'!A46)),""),IF(TRIM('Base de Datos'!A46)="","",IFERROR(DATE(VALUE(RIGHT(TRIM('Base de Datos'!A46),4)),VALUE(LEFT(TRIM('Base de Datos'!A46),2)),VALUE(MID(TRIM('Base de Datos'!A46),4,2))),""))),"")</f>
        <v>46267</v>
      </c>
      <c r="AE50" s="74" t="n">
        <f aca="false">IF(ISNUMBER('Base de Datos'!B46),'Base de Datos'!B46,IF(TRIM('Base de Datos'!B46)="","",IFERROR(IF(IFERROR(FIND("@",SUBSTITUTE(TRIM('Base de Datos'!B46),",","@",LEN(TRIM('Base de Datos'!B46))-LEN(SUBSTITUTE(TRIM('Base de Datos'!B46),",","")))),0)&gt;IFERROR(FIND("@",SUBSTITUTE(TRIM('Base de Datos'!B46),".","@",LEN(TRIM('Base de Datos'!B46))-LEN(SUBSTITUTE(TRIM('Base de Datos'!B46),".","")))),0),_xlfn.NUMBERVALUE(SUBSTITUTE(SUBSTITUTE(TRIM('Base de Datos'!B46),".",""),",","."),".",","),_xlfn.NUMBERVALUE(SUBSTITUTE(TRIM('Base de Datos'!B46),",",""),".",",")),"")))</f>
        <v>26.75</v>
      </c>
      <c r="AF50" s="73" t="n">
        <f aca="false">IF(ISNUMBER(AG50),IF(ISNUMBER('Base de Datos'!I46),IF('Base de Datos'!I46&gt;20000,INT('Base de Datos'!I46),""),IF(TRIM('Base de Datos'!I46)="","",IFERROR(DATE(VALUE(RIGHT(TRIM('Base de Datos'!I46),4)),VALUE(MID(TRIM('Base de Datos'!I46),4,2)),VALUE(LEFT(TRIM('Base de Datos'!I46),2))),IFERROR(DATEVALUE(TRIM('Base de Datos'!I46)),"")))),"")</f>
        <v>46260</v>
      </c>
      <c r="AG50" s="74" t="n">
        <f aca="false">IF(ISNUMBER('Base de Datos'!J46),'Base de Datos'!J46,IF(TRIM('Base de Datos'!J46)="","",IFERROR(IF(IFERROR(FIND("@",SUBSTITUTE(TRIM('Base de Datos'!J46),",","@",LEN(TRIM('Base de Datos'!J46))-LEN(SUBSTITUTE(TRIM('Base de Datos'!J46),",","")))),0)&gt;IFERROR(FIND("@",SUBSTITUTE(TRIM('Base de Datos'!J46),".","@",LEN(TRIM('Base de Datos'!J46))-LEN(SUBSTITUTE(TRIM('Base de Datos'!J46),".","")))),0),_xlfn.NUMBERVALUE(SUBSTITUTE(SUBSTITUTE(TRIM('Base de Datos'!J46),".",""),",","."),".",","),_xlfn.NUMBERVALUE(SUBSTITUTE(TRIM('Base de Datos'!J46),",",""),".",",")),"")))</f>
        <v>66191.11</v>
      </c>
      <c r="AH50" s="73" t="n">
        <f aca="false">IF(ISNUMBER(AI50),IF(ISNUMBER('Base de Datos'!Q46),IF('Base de Datos'!Q46&gt;20000,DATE(YEAR('Base de Datos'!Q46),DAY('Base de Datos'!Q46),MONTH('Base de Datos'!Q46)),""),IF(TRIM('Base de Datos'!Q46)="","",IFERROR(DATE(VALUE(RIGHT(TRIM('Base de Datos'!Q46),4)),VALUE(LEFT(TRIM('Base de Datos'!Q46),2)),VALUE(MID(TRIM('Base de Datos'!Q46),4,2))),""))),"")</f>
        <v>44766</v>
      </c>
      <c r="AI50" s="74" t="n">
        <f aca="false">IF(ISNUMBER('Base de Datos'!R46),'Base de Datos'!R46,IF(TRIM('Base de Datos'!R46)="","",IFERROR(IF(IFERROR(FIND("@",SUBSTITUTE(TRIM('Base de Datos'!R46),",","@",LEN(TRIM('Base de Datos'!R46))-LEN(SUBSTITUTE(TRIM('Base de Datos'!R46),",","")))),0)&gt;IFERROR(FIND("@",SUBSTITUTE(TRIM('Base de Datos'!R46),".","@",LEN(TRIM('Base de Datos'!R46))-LEN(SUBSTITUTE(TRIM('Base de Datos'!R46),".","")))),0),_xlfn.NUMBERVALUE(SUBSTITUTE(SUBSTITUTE(TRIM('Base de Datos'!R46),".",""),",","."),".",","),_xlfn.NUMBERVALUE(SUBSTITUTE(TRIM('Base de Datos'!R46),",",""),".",",")),"")))</f>
        <v>22.64</v>
      </c>
      <c r="AJ50" s="73" t="n">
        <f aca="false">IF(ISNUMBER(AK50),IF(ISNUMBER('Base de Datos'!Y46),IF('Base de Datos'!Y46&gt;20000,INT('Base de Datos'!Y46),""),IF(TRIM('Base de Datos'!Y46)="","",IFERROR(DATE(VALUE(RIGHT(TRIM('Base de Datos'!Y46),4)),VALUE(MID(TRIM('Base de Datos'!Y46),4,2)),VALUE(LEFT(TRIM('Base de Datos'!Y46),2))),IFERROR(DATEVALUE(TRIM('Base de Datos'!Y46)),"")))),"")</f>
        <v>44766</v>
      </c>
      <c r="AK50" s="74" t="n">
        <f aca="false">IF(ISNUMBER('Base de Datos'!Z46),'Base de Datos'!Z46,IF(TRIM('Base de Datos'!Z46)="","",IFERROR(IF(IFERROR(FIND("@",SUBSTITUTE(TRIM('Base de Datos'!Z46),",","@",LEN(TRIM('Base de Datos'!Z46))-LEN(SUBSTITUTE(TRIM('Base de Datos'!Z46),",","")))),0)&gt;IFERROR(FIND("@",SUBSTITUTE(TRIM('Base de Datos'!Z46),".","@",LEN(TRIM('Base de Datos'!Z46))-LEN(SUBSTITUTE(TRIM('Base de Datos'!Z46),".","")))),0),_xlfn.NUMBERVALUE(SUBSTITUTE(SUBSTITUTE(TRIM('Base de Datos'!Z46),".",""),",","."),".",","),_xlfn.NUMBERVALUE(SUBSTITUTE(TRIM('Base de Datos'!Z46),",",""),".",",")),"")))</f>
        <v>48144.33</v>
      </c>
    </row>
    <row r="51" customFormat="false" ht="13.5" hidden="false" customHeight="false" outlineLevel="0" collapsed="false">
      <c r="A51" s="75" t="n">
        <f aca="false">ROWS(A$13:A51)</f>
        <v>39</v>
      </c>
      <c r="B51" s="73" t="n">
        <f aca="false">IF(B50="","",IFERROR(SMALL($AH$10:$AH$409,COUNTIF($AH$10:$AH$409,"&lt;="&amp;B50)+1),""))</f>
        <v>44752</v>
      </c>
      <c r="C51" s="74" t="n">
        <f aca="false">IF(B51="","",INDEX($AI$10:$AI$409,MATCH(B51,$AH$10:$AH$409,0)))</f>
        <v>22.83</v>
      </c>
      <c r="D51" s="74" t="n">
        <f aca="false">IF(B51="","",IFERROR(INDEX($AK$10:$AK$409,MATCH(B51,$AJ$10:$AJ$409,0)),""))</f>
        <v>47075.87</v>
      </c>
      <c r="E51" s="76" t="n">
        <f aca="false">IF(AND(ISNUMBER(C51),ISNUMBER(C50)),C51/C50-1,"")</f>
        <v>0.0057268722466961</v>
      </c>
      <c r="F51" s="76" t="n">
        <f aca="false">IF(AND(ISNUMBER(D51),ISNUMBER(D50)),D51/D50-1,"")</f>
        <v>-0.0106392927930266</v>
      </c>
      <c r="G51" s="75" t="n">
        <f aca="false">IF(AND(ISNUMBER(E51),ISNUMBER(F51)),1,"")</f>
        <v>1</v>
      </c>
      <c r="H51" s="75" t="n">
        <f aca="false">IF(G51=1,COUNT(G51:G$412),"")</f>
        <v>221</v>
      </c>
      <c r="I51" s="75" t="n">
        <f aca="false">IF(G51=1,IF(H51&lt;='Beta Regresión'!$B$5,1,""),"")</f>
        <v>1</v>
      </c>
      <c r="J51" s="76" t="n">
        <f aca="false">IF(I51=1,E51,"")</f>
        <v>0.0057268722466961</v>
      </c>
      <c r="K51" s="76" t="n">
        <f aca="false">IF(I51=1,F51,"")</f>
        <v>-0.0106392927930266</v>
      </c>
      <c r="L51" s="75" t="n">
        <f aca="false">IF(I51=1,COUNT(I$13:I51),"")</f>
        <v>38</v>
      </c>
      <c r="M51" s="76" t="n">
        <f aca="false">IFERROR(INDEX($J$13:$J$412,MATCH(A51,$L$13:$L$412,0)),"")</f>
        <v>0.0337275514673676</v>
      </c>
      <c r="N51" s="76" t="n">
        <f aca="false">IFERROR(INDEX($K$13:$K$412,MATCH(A51,$L$13:$L$412,0)),"")</f>
        <v>0.00401458326739368</v>
      </c>
      <c r="O51" s="76" t="n">
        <f aca="false">IF(I51=1,E51,NA())</f>
        <v>0.0057268722466961</v>
      </c>
      <c r="P51" s="76" t="n">
        <f aca="false">IF(I51=1,F51,NA())</f>
        <v>-0.0106392927930266</v>
      </c>
      <c r="R51" s="75" t="n">
        <f aca="false">ROWS(R$13:R51)</f>
        <v>39</v>
      </c>
      <c r="S51" s="73" t="n">
        <f aca="false">IF(S50="","",IFERROR(SMALL($AD$10:$AD$509,COUNTIF($AD$10:$AD$509,"&lt;="&amp;S50)+1),""))</f>
        <v>46265</v>
      </c>
      <c r="T51" s="74" t="n">
        <f aca="false">IF(S51="","",INDEX($AE$10:$AE$509,MATCH(S51,$AD$10:$AD$509,0)))</f>
        <v>27.06</v>
      </c>
      <c r="U51" s="74" t="n">
        <f aca="false">IF(S51="","",IFERROR(INDEX($AG$10:$AG$509,MATCH(S51,$AF$10:$AF$509,0)),""))</f>
        <v>65430.32</v>
      </c>
      <c r="V51" s="76" t="n">
        <f aca="false">IF(AND(ISNUMBER(T51),ISNUMBER(T50)),T51/T50-1,"")</f>
        <v>-0.000369412633912103</v>
      </c>
      <c r="W51" s="76" t="n">
        <f aca="false">IF(AND(ISNUMBER(U51),ISNUMBER(U50)),U51/U50-1,"")</f>
        <v>-0.000824624887301284</v>
      </c>
      <c r="X51" s="75" t="n">
        <f aca="false">IF(AND(ISNUMBER(V51),ISNUMBER(W51)),1,"")</f>
        <v>1</v>
      </c>
      <c r="Y51" s="76" t="n">
        <f aca="false">IF(X51=1,V51,"")</f>
        <v>-0.000369412633912103</v>
      </c>
      <c r="Z51" s="76" t="n">
        <f aca="false">IF(X51=1,W51,"")</f>
        <v>-0.000824624887301284</v>
      </c>
      <c r="AA51" s="76" t="n">
        <f aca="false">IF(X51=1,V51,NA())</f>
        <v>-0.000369412633912103</v>
      </c>
      <c r="AB51" s="76" t="n">
        <f aca="false">IF(X51=1,W51,NA())</f>
        <v>-0.000824624887301284</v>
      </c>
      <c r="AD51" s="73" t="n">
        <f aca="false">IF(ISNUMBER(AE51),IF(ISNUMBER('Base de Datos'!A47),IF('Base de Datos'!A47&gt;20000,DATE(YEAR('Base de Datos'!A47),DAY('Base de Datos'!A47),MONTH('Base de Datos'!A47)),""),IF(TRIM('Base de Datos'!A47)="","",IFERROR(DATE(VALUE(RIGHT(TRIM('Base de Datos'!A47),4)),VALUE(LEFT(TRIM('Base de Datos'!A47),2)),VALUE(MID(TRIM('Base de Datos'!A47),4,2))),""))),"")</f>
        <v>46268</v>
      </c>
      <c r="AE51" s="74" t="n">
        <f aca="false">IF(ISNUMBER('Base de Datos'!B47),'Base de Datos'!B47,IF(TRIM('Base de Datos'!B47)="","",IFERROR(IF(IFERROR(FIND("@",SUBSTITUTE(TRIM('Base de Datos'!B47),",","@",LEN(TRIM('Base de Datos'!B47))-LEN(SUBSTITUTE(TRIM('Base de Datos'!B47),",","")))),0)&gt;IFERROR(FIND("@",SUBSTITUTE(TRIM('Base de Datos'!B47),".","@",LEN(TRIM('Base de Datos'!B47))-LEN(SUBSTITUTE(TRIM('Base de Datos'!B47),".","")))),0),_xlfn.NUMBERVALUE(SUBSTITUTE(SUBSTITUTE(TRIM('Base de Datos'!B47),".",""),",","."),".",","),_xlfn.NUMBERVALUE(SUBSTITUTE(TRIM('Base de Datos'!B47),",",""),".",",")),"")))</f>
        <v>26.75</v>
      </c>
      <c r="AF51" s="73" t="n">
        <f aca="false">IF(ISNUMBER(AG51),IF(ISNUMBER('Base de Datos'!I47),IF('Base de Datos'!I47&gt;20000,INT('Base de Datos'!I47),""),IF(TRIM('Base de Datos'!I47)="","",IFERROR(DATE(VALUE(RIGHT(TRIM('Base de Datos'!I47),4)),VALUE(MID(TRIM('Base de Datos'!I47),4,2)),VALUE(LEFT(TRIM('Base de Datos'!I47),2))),IFERROR(DATEVALUE(TRIM('Base de Datos'!I47)),"")))),"")</f>
        <v>46261</v>
      </c>
      <c r="AG51" s="74" t="n">
        <f aca="false">IF(ISNUMBER('Base de Datos'!J47),'Base de Datos'!J47,IF(TRIM('Base de Datos'!J47)="","",IFERROR(IF(IFERROR(FIND("@",SUBSTITUTE(TRIM('Base de Datos'!J47),",","@",LEN(TRIM('Base de Datos'!J47))-LEN(SUBSTITUTE(TRIM('Base de Datos'!J47),",","")))),0)&gt;IFERROR(FIND("@",SUBSTITUTE(TRIM('Base de Datos'!J47),".","@",LEN(TRIM('Base de Datos'!J47))-LEN(SUBSTITUTE(TRIM('Base de Datos'!J47),".","")))),0),_xlfn.NUMBERVALUE(SUBSTITUTE(SUBSTITUTE(TRIM('Base de Datos'!J47),".",""),",","."),".",","),_xlfn.NUMBERVALUE(SUBSTITUTE(TRIM('Base de Datos'!J47),",",""),".",",")),"")))</f>
        <v>65829.98</v>
      </c>
      <c r="AH51" s="73" t="n">
        <f aca="false">IF(ISNUMBER(AI51),IF(ISNUMBER('Base de Datos'!Q47),IF('Base de Datos'!Q47&gt;20000,DATE(YEAR('Base de Datos'!Q47),DAY('Base de Datos'!Q47),MONTH('Base de Datos'!Q47)),""),IF(TRIM('Base de Datos'!Q47)="","",IFERROR(DATE(VALUE(RIGHT(TRIM('Base de Datos'!Q47),4)),VALUE(LEFT(TRIM('Base de Datos'!Q47),2)),VALUE(MID(TRIM('Base de Datos'!Q47),4,2))),""))),"")</f>
        <v>44773</v>
      </c>
      <c r="AI51" s="74" t="n">
        <f aca="false">IF(ISNUMBER('Base de Datos'!R47),'Base de Datos'!R47,IF(TRIM('Base de Datos'!R47)="","",IFERROR(IF(IFERROR(FIND("@",SUBSTITUTE(TRIM('Base de Datos'!R47),",","@",LEN(TRIM('Base de Datos'!R47))-LEN(SUBSTITUTE(TRIM('Base de Datos'!R47),",","")))),0)&gt;IFERROR(FIND("@",SUBSTITUTE(TRIM('Base de Datos'!R47),".","@",LEN(TRIM('Base de Datos'!R47))-LEN(SUBSTITUTE(TRIM('Base de Datos'!R47),".","")))),0),_xlfn.NUMBERVALUE(SUBSTITUTE(SUBSTITUTE(TRIM('Base de Datos'!R47),".",""),",","."),".",","),_xlfn.NUMBERVALUE(SUBSTITUTE(TRIM('Base de Datos'!R47),",",""),".",",")),"")))</f>
        <v>22.8</v>
      </c>
      <c r="AJ51" s="73" t="n">
        <f aca="false">IF(ISNUMBER(AK51),IF(ISNUMBER('Base de Datos'!Y47),IF('Base de Datos'!Y47&gt;20000,INT('Base de Datos'!Y47),""),IF(TRIM('Base de Datos'!Y47)="","",IFERROR(DATE(VALUE(RIGHT(TRIM('Base de Datos'!Y47),4)),VALUE(MID(TRIM('Base de Datos'!Y47),4,2)),VALUE(LEFT(TRIM('Base de Datos'!Y47),2))),IFERROR(DATEVALUE(TRIM('Base de Datos'!Y47)),"")))),"")</f>
        <v>44773</v>
      </c>
      <c r="AK51" s="74" t="n">
        <f aca="false">IF(ISNUMBER('Base de Datos'!Z47),'Base de Datos'!Z47,IF(TRIM('Base de Datos'!Z47)="","",IFERROR(IF(IFERROR(FIND("@",SUBSTITUTE(TRIM('Base de Datos'!Z47),",","@",LEN(TRIM('Base de Datos'!Z47))-LEN(SUBSTITUTE(TRIM('Base de Datos'!Z47),",","")))),0)&gt;IFERROR(FIND("@",SUBSTITUTE(TRIM('Base de Datos'!Z47),".","@",LEN(TRIM('Base de Datos'!Z47))-LEN(SUBSTITUTE(TRIM('Base de Datos'!Z47),".","")))),0),_xlfn.NUMBERVALUE(SUBSTITUTE(SUBSTITUTE(TRIM('Base de Datos'!Z47),".",""),",","."),".",","),_xlfn.NUMBERVALUE(SUBSTITUTE(TRIM('Base de Datos'!Z47),",",""),".",",")),"")))</f>
        <v>46723.43</v>
      </c>
    </row>
    <row r="52" customFormat="false" ht="13.5" hidden="false" customHeight="false" outlineLevel="0" collapsed="false">
      <c r="A52" s="75" t="n">
        <f aca="false">ROWS(A$13:A52)</f>
        <v>40</v>
      </c>
      <c r="B52" s="73" t="n">
        <f aca="false">IF(B51="","",IFERROR(SMALL($AH$10:$AH$409,COUNTIF($AH$10:$AH$409,"&lt;="&amp;B51)+1),""))</f>
        <v>44759</v>
      </c>
      <c r="C52" s="74" t="n">
        <f aca="false">IF(B52="","",INDEX($AI$10:$AI$409,MATCH(B52,$AH$10:$AH$409,0)))</f>
        <v>23.6</v>
      </c>
      <c r="D52" s="74" t="n">
        <f aca="false">IF(B52="","",IFERROR(INDEX($AK$10:$AK$409,MATCH(B52,$AJ$10:$AJ$409,0)),""))</f>
        <v>47264.86</v>
      </c>
      <c r="E52" s="76" t="n">
        <f aca="false">IF(AND(ISNUMBER(C52),ISNUMBER(C51)),C52/C51-1,"")</f>
        <v>0.0337275514673676</v>
      </c>
      <c r="F52" s="76" t="n">
        <f aca="false">IF(AND(ISNUMBER(D52),ISNUMBER(D51)),D52/D51-1,"")</f>
        <v>0.00401458326739368</v>
      </c>
      <c r="G52" s="75" t="n">
        <f aca="false">IF(AND(ISNUMBER(E52),ISNUMBER(F52)),1,"")</f>
        <v>1</v>
      </c>
      <c r="H52" s="75" t="n">
        <f aca="false">IF(G52=1,COUNT(G52:G$412),"")</f>
        <v>220</v>
      </c>
      <c r="I52" s="75" t="n">
        <f aca="false">IF(G52=1,IF(H52&lt;='Beta Regresión'!$B$5,1,""),"")</f>
        <v>1</v>
      </c>
      <c r="J52" s="76" t="n">
        <f aca="false">IF(I52=1,E52,"")</f>
        <v>0.0337275514673676</v>
      </c>
      <c r="K52" s="76" t="n">
        <f aca="false">IF(I52=1,F52,"")</f>
        <v>0.00401458326739368</v>
      </c>
      <c r="L52" s="75" t="n">
        <f aca="false">IF(I52=1,COUNT(I$13:I52),"")</f>
        <v>39</v>
      </c>
      <c r="M52" s="76" t="n">
        <f aca="false">IFERROR(INDEX($J$13:$J$412,MATCH(A52,$L$13:$L$412,0)),"")</f>
        <v>-0.0406779661016949</v>
      </c>
      <c r="N52" s="76" t="n">
        <f aca="false">IFERROR(INDEX($K$13:$K$412,MATCH(A52,$L$13:$L$412,0)),"")</f>
        <v>0.0186072697560091</v>
      </c>
      <c r="O52" s="76" t="n">
        <f aca="false">IF(I52=1,E52,NA())</f>
        <v>0.0337275514673676</v>
      </c>
      <c r="P52" s="76" t="n">
        <f aca="false">IF(I52=1,F52,NA())</f>
        <v>0.00401458326739368</v>
      </c>
      <c r="R52" s="75" t="n">
        <f aca="false">ROWS(R$13:R52)</f>
        <v>40</v>
      </c>
      <c r="S52" s="73" t="n">
        <f aca="false">IF(S51="","",IFERROR(SMALL($AD$10:$AD$509,COUNTIF($AD$10:$AD$509,"&lt;="&amp;S51)+1),""))</f>
        <v>46266</v>
      </c>
      <c r="T52" s="74" t="n">
        <f aca="false">IF(S52="","",INDEX($AE$10:$AE$509,MATCH(S52,$AD$10:$AD$509,0)))</f>
        <v>26.92</v>
      </c>
      <c r="U52" s="74" t="n">
        <f aca="false">IF(S52="","",IFERROR(INDEX($AG$10:$AG$509,MATCH(S52,$AF$10:$AF$509,0)),""))</f>
        <v>64514.25</v>
      </c>
      <c r="V52" s="76" t="n">
        <f aca="false">IF(AND(ISNUMBER(T52),ISNUMBER(T51)),T52/T51-1,"")</f>
        <v>-0.00517368810051722</v>
      </c>
      <c r="W52" s="76" t="n">
        <f aca="false">IF(AND(ISNUMBER(U52),ISNUMBER(U51)),U52/U51-1,"")</f>
        <v>-0.0140006957019314</v>
      </c>
      <c r="X52" s="75" t="n">
        <f aca="false">IF(AND(ISNUMBER(V52),ISNUMBER(W52)),1,"")</f>
        <v>1</v>
      </c>
      <c r="Y52" s="76" t="n">
        <f aca="false">IF(X52=1,V52,"")</f>
        <v>-0.00517368810051722</v>
      </c>
      <c r="Z52" s="76" t="n">
        <f aca="false">IF(X52=1,W52,"")</f>
        <v>-0.0140006957019314</v>
      </c>
      <c r="AA52" s="76" t="n">
        <f aca="false">IF(X52=1,V52,NA())</f>
        <v>-0.00517368810051722</v>
      </c>
      <c r="AB52" s="76" t="n">
        <f aca="false">IF(X52=1,W52,NA())</f>
        <v>-0.0140006957019314</v>
      </c>
      <c r="AD52" s="73" t="n">
        <f aca="false">IF(ISNUMBER(AE52),IF(ISNUMBER('Base de Datos'!A48),IF('Base de Datos'!A48&gt;20000,DATE(YEAR('Base de Datos'!A48),DAY('Base de Datos'!A48),MONTH('Base de Datos'!A48)),""),IF(TRIM('Base de Datos'!A48)="","",IFERROR(DATE(VALUE(RIGHT(TRIM('Base de Datos'!A48),4)),VALUE(LEFT(TRIM('Base de Datos'!A48),2)),VALUE(MID(TRIM('Base de Datos'!A48),4,2))),""))),"")</f>
        <v>46269</v>
      </c>
      <c r="AE52" s="74" t="n">
        <f aca="false">IF(ISNUMBER('Base de Datos'!B48),'Base de Datos'!B48,IF(TRIM('Base de Datos'!B48)="","",IFERROR(IF(IFERROR(FIND("@",SUBSTITUTE(TRIM('Base de Datos'!B48),",","@",LEN(TRIM('Base de Datos'!B48))-LEN(SUBSTITUTE(TRIM('Base de Datos'!B48),",","")))),0)&gt;IFERROR(FIND("@",SUBSTITUTE(TRIM('Base de Datos'!B48),".","@",LEN(TRIM('Base de Datos'!B48))-LEN(SUBSTITUTE(TRIM('Base de Datos'!B48),".","")))),0),_xlfn.NUMBERVALUE(SUBSTITUTE(SUBSTITUTE(TRIM('Base de Datos'!B48),".",""),",","."),".",","),_xlfn.NUMBERVALUE(SUBSTITUTE(TRIM('Base de Datos'!B48),",",""),".",",")),"")))</f>
        <v>26</v>
      </c>
      <c r="AF52" s="73" t="n">
        <f aca="false">IF(ISNUMBER(AG52),IF(ISNUMBER('Base de Datos'!I48),IF('Base de Datos'!I48&gt;20000,INT('Base de Datos'!I48),""),IF(TRIM('Base de Datos'!I48)="","",IFERROR(DATE(VALUE(RIGHT(TRIM('Base de Datos'!I48),4)),VALUE(MID(TRIM('Base de Datos'!I48),4,2)),VALUE(LEFT(TRIM('Base de Datos'!I48),2))),IFERROR(DATEVALUE(TRIM('Base de Datos'!I48)),"")))),"")</f>
        <v>46262</v>
      </c>
      <c r="AG52" s="74" t="n">
        <f aca="false">IF(ISNUMBER('Base de Datos'!J48),'Base de Datos'!J48,IF(TRIM('Base de Datos'!J48)="","",IFERROR(IF(IFERROR(FIND("@",SUBSTITUTE(TRIM('Base de Datos'!J48),",","@",LEN(TRIM('Base de Datos'!J48))-LEN(SUBSTITUTE(TRIM('Base de Datos'!J48),",","")))),0)&gt;IFERROR(FIND("@",SUBSTITUTE(TRIM('Base de Datos'!J48),".","@",LEN(TRIM('Base de Datos'!J48))-LEN(SUBSTITUTE(TRIM('Base de Datos'!J48),".","")))),0),_xlfn.NUMBERVALUE(SUBSTITUTE(SUBSTITUTE(TRIM('Base de Datos'!J48),".",""),",","."),".",","),_xlfn.NUMBERVALUE(SUBSTITUTE(TRIM('Base de Datos'!J48),",",""),".",",")),"")))</f>
        <v>65484.32</v>
      </c>
      <c r="AH52" s="73" t="n">
        <f aca="false">IF(ISNUMBER(AI52),IF(ISNUMBER('Base de Datos'!Q48),IF('Base de Datos'!Q48&gt;20000,DATE(YEAR('Base de Datos'!Q48),DAY('Base de Datos'!Q48),MONTH('Base de Datos'!Q48)),""),IF(TRIM('Base de Datos'!Q48)="","",IFERROR(DATE(VALUE(RIGHT(TRIM('Base de Datos'!Q48),4)),VALUE(LEFT(TRIM('Base de Datos'!Q48),2)),VALUE(MID(TRIM('Base de Datos'!Q48),4,2))),""))),"")</f>
        <v>44780</v>
      </c>
      <c r="AI52" s="74" t="n">
        <f aca="false">IF(ISNUMBER('Base de Datos'!R48),'Base de Datos'!R48,IF(TRIM('Base de Datos'!R48)="","",IFERROR(IF(IFERROR(FIND("@",SUBSTITUTE(TRIM('Base de Datos'!R48),",","@",LEN(TRIM('Base de Datos'!R48))-LEN(SUBSTITUTE(TRIM('Base de Datos'!R48),",","")))),0)&gt;IFERROR(FIND("@",SUBSTITUTE(TRIM('Base de Datos'!R48),".","@",LEN(TRIM('Base de Datos'!R48))-LEN(SUBSTITUTE(TRIM('Base de Datos'!R48),".","")))),0),_xlfn.NUMBERVALUE(SUBSTITUTE(SUBSTITUTE(TRIM('Base de Datos'!R48),".",""),",","."),".",","),_xlfn.NUMBERVALUE(SUBSTITUTE(TRIM('Base de Datos'!R48),",",""),".",",")),"")))</f>
        <v>22.75</v>
      </c>
      <c r="AJ52" s="73" t="n">
        <f aca="false">IF(ISNUMBER(AK52),IF(ISNUMBER('Base de Datos'!Y48),IF('Base de Datos'!Y48&gt;20000,INT('Base de Datos'!Y48),""),IF(TRIM('Base de Datos'!Y48)="","",IFERROR(DATE(VALUE(RIGHT(TRIM('Base de Datos'!Y48),4)),VALUE(MID(TRIM('Base de Datos'!Y48),4,2)),VALUE(LEFT(TRIM('Base de Datos'!Y48),2))),IFERROR(DATEVALUE(TRIM('Base de Datos'!Y48)),"")))),"")</f>
        <v>44780</v>
      </c>
      <c r="AK52" s="74" t="n">
        <f aca="false">IF(ISNUMBER('Base de Datos'!Z48),'Base de Datos'!Z48,IF(TRIM('Base de Datos'!Z48)="","",IFERROR(IF(IFERROR(FIND("@",SUBSTITUTE(TRIM('Base de Datos'!Z48),",","@",LEN(TRIM('Base de Datos'!Z48))-LEN(SUBSTITUTE(TRIM('Base de Datos'!Z48),",","")))),0)&gt;IFERROR(FIND("@",SUBSTITUTE(TRIM('Base de Datos'!Z48),".","@",LEN(TRIM('Base de Datos'!Z48))-LEN(SUBSTITUTE(TRIM('Base de Datos'!Z48),".","")))),0),_xlfn.NUMBERVALUE(SUBSTITUTE(SUBSTITUTE(TRIM('Base de Datos'!Z48),".",""),",","."),".",","),_xlfn.NUMBERVALUE(SUBSTITUTE(TRIM('Base de Datos'!Z48),",",""),".",",")),"")))</f>
        <v>48853.37</v>
      </c>
    </row>
    <row r="53" customFormat="false" ht="13.5" hidden="false" customHeight="false" outlineLevel="0" collapsed="false">
      <c r="A53" s="75" t="n">
        <f aca="false">ROWS(A$13:A53)</f>
        <v>41</v>
      </c>
      <c r="B53" s="73" t="n">
        <f aca="false">IF(B52="","",IFERROR(SMALL($AH$10:$AH$409,COUNTIF($AH$10:$AH$409,"&lt;="&amp;B52)+1),""))</f>
        <v>44766</v>
      </c>
      <c r="C53" s="74" t="n">
        <f aca="false">IF(B53="","",INDEX($AI$10:$AI$409,MATCH(B53,$AH$10:$AH$409,0)))</f>
        <v>22.64</v>
      </c>
      <c r="D53" s="74" t="n">
        <f aca="false">IF(B53="","",IFERROR(INDEX($AK$10:$AK$409,MATCH(B53,$AJ$10:$AJ$409,0)),""))</f>
        <v>48144.33</v>
      </c>
      <c r="E53" s="76" t="n">
        <f aca="false">IF(AND(ISNUMBER(C53),ISNUMBER(C52)),C53/C52-1,"")</f>
        <v>-0.0406779661016949</v>
      </c>
      <c r="F53" s="76" t="n">
        <f aca="false">IF(AND(ISNUMBER(D53),ISNUMBER(D52)),D53/D52-1,"")</f>
        <v>0.0186072697560091</v>
      </c>
      <c r="G53" s="75" t="n">
        <f aca="false">IF(AND(ISNUMBER(E53),ISNUMBER(F53)),1,"")</f>
        <v>1</v>
      </c>
      <c r="H53" s="75" t="n">
        <f aca="false">IF(G53=1,COUNT(G53:G$412),"")</f>
        <v>219</v>
      </c>
      <c r="I53" s="75" t="n">
        <f aca="false">IF(G53=1,IF(H53&lt;='Beta Regresión'!$B$5,1,""),"")</f>
        <v>1</v>
      </c>
      <c r="J53" s="76" t="n">
        <f aca="false">IF(I53=1,E53,"")</f>
        <v>-0.0406779661016949</v>
      </c>
      <c r="K53" s="76" t="n">
        <f aca="false">IF(I53=1,F53,"")</f>
        <v>0.0186072697560091</v>
      </c>
      <c r="L53" s="75" t="n">
        <f aca="false">IF(I53=1,COUNT(I$13:I53),"")</f>
        <v>40</v>
      </c>
      <c r="M53" s="76" t="n">
        <f aca="false">IFERROR(INDEX($J$13:$J$412,MATCH(A53,$L$13:$L$412,0)),"")</f>
        <v>0.00706713780918733</v>
      </c>
      <c r="N53" s="76" t="n">
        <f aca="false">IFERROR(INDEX($K$13:$K$412,MATCH(A53,$L$13:$L$412,0)),"")</f>
        <v>-0.0295133404078943</v>
      </c>
      <c r="O53" s="76" t="n">
        <f aca="false">IF(I53=1,E53,NA())</f>
        <v>-0.0406779661016949</v>
      </c>
      <c r="P53" s="76" t="n">
        <f aca="false">IF(I53=1,F53,NA())</f>
        <v>0.0186072697560091</v>
      </c>
      <c r="R53" s="75" t="n">
        <f aca="false">ROWS(R$13:R53)</f>
        <v>41</v>
      </c>
      <c r="S53" s="73" t="n">
        <f aca="false">IF(S52="","",IFERROR(SMALL($AD$10:$AD$509,COUNTIF($AD$10:$AD$509,"&lt;="&amp;S52)+1),""))</f>
        <v>46267</v>
      </c>
      <c r="T53" s="74" t="n">
        <f aca="false">IF(S53="","",INDEX($AE$10:$AE$509,MATCH(S53,$AD$10:$AD$509,0)))</f>
        <v>26.75</v>
      </c>
      <c r="U53" s="74" t="n">
        <f aca="false">IF(S53="","",IFERROR(INDEX($AG$10:$AG$509,MATCH(S53,$AF$10:$AF$509,0)),""))</f>
        <v>64884.28</v>
      </c>
      <c r="V53" s="76" t="n">
        <f aca="false">IF(AND(ISNUMBER(T53),ISNUMBER(T52)),T53/T52-1,"")</f>
        <v>-0.00631500742942059</v>
      </c>
      <c r="W53" s="76" t="n">
        <f aca="false">IF(AND(ISNUMBER(U53),ISNUMBER(U52)),U53/U52-1,"")</f>
        <v>0.00573563205028349</v>
      </c>
      <c r="X53" s="75" t="n">
        <f aca="false">IF(AND(ISNUMBER(V53),ISNUMBER(W53)),1,"")</f>
        <v>1</v>
      </c>
      <c r="Y53" s="76" t="n">
        <f aca="false">IF(X53=1,V53,"")</f>
        <v>-0.00631500742942059</v>
      </c>
      <c r="Z53" s="76" t="n">
        <f aca="false">IF(X53=1,W53,"")</f>
        <v>0.00573563205028349</v>
      </c>
      <c r="AA53" s="76" t="n">
        <f aca="false">IF(X53=1,V53,NA())</f>
        <v>-0.00631500742942059</v>
      </c>
      <c r="AB53" s="76" t="n">
        <f aca="false">IF(X53=1,W53,NA())</f>
        <v>0.00573563205028349</v>
      </c>
      <c r="AD53" s="73" t="n">
        <f aca="false">IF(ISNUMBER(AE53),IF(ISNUMBER('Base de Datos'!A49),IF('Base de Datos'!A49&gt;20000,DATE(YEAR('Base de Datos'!A49),DAY('Base de Datos'!A49),MONTH('Base de Datos'!A49)),""),IF(TRIM('Base de Datos'!A49)="","",IFERROR(DATE(VALUE(RIGHT(TRIM('Base de Datos'!A49),4)),VALUE(LEFT(TRIM('Base de Datos'!A49),2)),VALUE(MID(TRIM('Base de Datos'!A49),4,2))),""))),"")</f>
        <v>46273</v>
      </c>
      <c r="AE53" s="74" t="n">
        <f aca="false">IF(ISNUMBER('Base de Datos'!B49),'Base de Datos'!B49,IF(TRIM('Base de Datos'!B49)="","",IFERROR(IF(IFERROR(FIND("@",SUBSTITUTE(TRIM('Base de Datos'!B49),",","@",LEN(TRIM('Base de Datos'!B49))-LEN(SUBSTITUTE(TRIM('Base de Datos'!B49),",","")))),0)&gt;IFERROR(FIND("@",SUBSTITUTE(TRIM('Base de Datos'!B49),".","@",LEN(TRIM('Base de Datos'!B49))-LEN(SUBSTITUTE(TRIM('Base de Datos'!B49),".","")))),0),_xlfn.NUMBERVALUE(SUBSTITUTE(SUBSTITUTE(TRIM('Base de Datos'!B49),".",""),",","."),".",","),_xlfn.NUMBERVALUE(SUBSTITUTE(TRIM('Base de Datos'!B49),",",""),".",",")),"")))</f>
        <v>26.25</v>
      </c>
      <c r="AF53" s="73" t="n">
        <f aca="false">IF(ISNUMBER(AG53),IF(ISNUMBER('Base de Datos'!I49),IF('Base de Datos'!I49&gt;20000,INT('Base de Datos'!I49),""),IF(TRIM('Base de Datos'!I49)="","",IFERROR(DATE(VALUE(RIGHT(TRIM('Base de Datos'!I49),4)),VALUE(MID(TRIM('Base de Datos'!I49),4,2)),VALUE(LEFT(TRIM('Base de Datos'!I49),2))),IFERROR(DATEVALUE(TRIM('Base de Datos'!I49)),"")))),"")</f>
        <v>46265</v>
      </c>
      <c r="AG53" s="74" t="n">
        <f aca="false">IF(ISNUMBER('Base de Datos'!J49),'Base de Datos'!J49,IF(TRIM('Base de Datos'!J49)="","",IFERROR(IF(IFERROR(FIND("@",SUBSTITUTE(TRIM('Base de Datos'!J49),",","@",LEN(TRIM('Base de Datos'!J49))-LEN(SUBSTITUTE(TRIM('Base de Datos'!J49),",","")))),0)&gt;IFERROR(FIND("@",SUBSTITUTE(TRIM('Base de Datos'!J49),".","@",LEN(TRIM('Base de Datos'!J49))-LEN(SUBSTITUTE(TRIM('Base de Datos'!J49),".","")))),0),_xlfn.NUMBERVALUE(SUBSTITUTE(SUBSTITUTE(TRIM('Base de Datos'!J49),".",""),",","."),".",","),_xlfn.NUMBERVALUE(SUBSTITUTE(TRIM('Base de Datos'!J49),",",""),".",",")),"")))</f>
        <v>65430.32</v>
      </c>
      <c r="AH53" s="73" t="n">
        <f aca="false">IF(ISNUMBER(AI53),IF(ISNUMBER('Base de Datos'!Q49),IF('Base de Datos'!Q49&gt;20000,DATE(YEAR('Base de Datos'!Q49),DAY('Base de Datos'!Q49),MONTH('Base de Datos'!Q49)),""),IF(TRIM('Base de Datos'!Q49)="","",IFERROR(DATE(VALUE(RIGHT(TRIM('Base de Datos'!Q49),4)),VALUE(LEFT(TRIM('Base de Datos'!Q49),2)),VALUE(MID(TRIM('Base de Datos'!Q49),4,2))),""))),"")</f>
        <v>44787</v>
      </c>
      <c r="AI53" s="74" t="n">
        <f aca="false">IF(ISNUMBER('Base de Datos'!R49),'Base de Datos'!R49,IF(TRIM('Base de Datos'!R49)="","",IFERROR(IF(IFERROR(FIND("@",SUBSTITUTE(TRIM('Base de Datos'!R49),",","@",LEN(TRIM('Base de Datos'!R49))-LEN(SUBSTITUTE(TRIM('Base de Datos'!R49),",","")))),0)&gt;IFERROR(FIND("@",SUBSTITUTE(TRIM('Base de Datos'!R49),".","@",LEN(TRIM('Base de Datos'!R49))-LEN(SUBSTITUTE(TRIM('Base de Datos'!R49),".","")))),0),_xlfn.NUMBERVALUE(SUBSTITUTE(SUBSTITUTE(TRIM('Base de Datos'!R49),".",""),",","."),".",","),_xlfn.NUMBERVALUE(SUBSTITUTE(TRIM('Base de Datos'!R49),",",""),".",",")),"")))</f>
        <v>22.75</v>
      </c>
      <c r="AJ53" s="73" t="n">
        <f aca="false">IF(ISNUMBER(AK53),IF(ISNUMBER('Base de Datos'!Y49),IF('Base de Datos'!Y49&gt;20000,INT('Base de Datos'!Y49),""),IF(TRIM('Base de Datos'!Y49)="","",IFERROR(DATE(VALUE(RIGHT(TRIM('Base de Datos'!Y49),4)),VALUE(MID(TRIM('Base de Datos'!Y49),4,2)),VALUE(LEFT(TRIM('Base de Datos'!Y49),2))),IFERROR(DATEVALUE(TRIM('Base de Datos'!Y49)),"")))),"")</f>
        <v>44787</v>
      </c>
      <c r="AK53" s="74" t="n">
        <f aca="false">IF(ISNUMBER('Base de Datos'!Z49),'Base de Datos'!Z49,IF(TRIM('Base de Datos'!Z49)="","",IFERROR(IF(IFERROR(FIND("@",SUBSTITUTE(TRIM('Base de Datos'!Z49),",","@",LEN(TRIM('Base de Datos'!Z49))-LEN(SUBSTITUTE(TRIM('Base de Datos'!Z49),",","")))),0)&gt;IFERROR(FIND("@",SUBSTITUTE(TRIM('Base de Datos'!Z49),".","@",LEN(TRIM('Base de Datos'!Z49))-LEN(SUBSTITUTE(TRIM('Base de Datos'!Z49),".","")))),0),_xlfn.NUMBERVALUE(SUBSTITUTE(SUBSTITUTE(TRIM('Base de Datos'!Z49),".",""),",","."),".",","),_xlfn.NUMBERVALUE(SUBSTITUTE(TRIM('Base de Datos'!Z49),",",""),".",",")),"")))</f>
        <v>48463.26</v>
      </c>
    </row>
    <row r="54" customFormat="false" ht="13.5" hidden="false" customHeight="false" outlineLevel="0" collapsed="false">
      <c r="A54" s="75" t="n">
        <f aca="false">ROWS(A$13:A54)</f>
        <v>42</v>
      </c>
      <c r="B54" s="73" t="n">
        <f aca="false">IF(B53="","",IFERROR(SMALL($AH$10:$AH$409,COUNTIF($AH$10:$AH$409,"&lt;="&amp;B53)+1),""))</f>
        <v>44773</v>
      </c>
      <c r="C54" s="74" t="n">
        <f aca="false">IF(B54="","",INDEX($AI$10:$AI$409,MATCH(B54,$AH$10:$AH$409,0)))</f>
        <v>22.8</v>
      </c>
      <c r="D54" s="74" t="n">
        <f aca="false">IF(B54="","",IFERROR(INDEX($AK$10:$AK$409,MATCH(B54,$AJ$10:$AJ$409,0)),""))</f>
        <v>46723.43</v>
      </c>
      <c r="E54" s="76" t="n">
        <f aca="false">IF(AND(ISNUMBER(C54),ISNUMBER(C53)),C54/C53-1,"")</f>
        <v>0.00706713780918733</v>
      </c>
      <c r="F54" s="76" t="n">
        <f aca="false">IF(AND(ISNUMBER(D54),ISNUMBER(D53)),D54/D53-1,"")</f>
        <v>-0.0295133404078943</v>
      </c>
      <c r="G54" s="75" t="n">
        <f aca="false">IF(AND(ISNUMBER(E54),ISNUMBER(F54)),1,"")</f>
        <v>1</v>
      </c>
      <c r="H54" s="75" t="n">
        <f aca="false">IF(G54=1,COUNT(G54:G$412),"")</f>
        <v>218</v>
      </c>
      <c r="I54" s="75" t="n">
        <f aca="false">IF(G54=1,IF(H54&lt;='Beta Regresión'!$B$5,1,""),"")</f>
        <v>1</v>
      </c>
      <c r="J54" s="76" t="n">
        <f aca="false">IF(I54=1,E54,"")</f>
        <v>0.00706713780918733</v>
      </c>
      <c r="K54" s="76" t="n">
        <f aca="false">IF(I54=1,F54,"")</f>
        <v>-0.0295133404078943</v>
      </c>
      <c r="L54" s="75" t="n">
        <f aca="false">IF(I54=1,COUNT(I$13:I54),"")</f>
        <v>41</v>
      </c>
      <c r="M54" s="76" t="n">
        <f aca="false">IFERROR(INDEX($J$13:$J$412,MATCH(A54,$L$13:$L$412,0)),"")</f>
        <v>-0.00219298245614041</v>
      </c>
      <c r="N54" s="76" t="n">
        <f aca="false">IFERROR(INDEX($K$13:$K$412,MATCH(A54,$L$13:$L$412,0)),"")</f>
        <v>0.0455861224229472</v>
      </c>
      <c r="O54" s="76" t="n">
        <f aca="false">IF(I54=1,E54,NA())</f>
        <v>0.00706713780918733</v>
      </c>
      <c r="P54" s="76" t="n">
        <f aca="false">IF(I54=1,F54,NA())</f>
        <v>-0.0295133404078943</v>
      </c>
      <c r="R54" s="75" t="n">
        <f aca="false">ROWS(R$13:R54)</f>
        <v>42</v>
      </c>
      <c r="S54" s="73" t="n">
        <f aca="false">IF(S53="","",IFERROR(SMALL($AD$10:$AD$509,COUNTIF($AD$10:$AD$509,"&lt;="&amp;S53)+1),""))</f>
        <v>46268</v>
      </c>
      <c r="T54" s="74" t="n">
        <f aca="false">IF(S54="","",INDEX($AE$10:$AE$509,MATCH(S54,$AD$10:$AD$509,0)))</f>
        <v>26.75</v>
      </c>
      <c r="U54" s="74" t="n">
        <f aca="false">IF(S54="","",IFERROR(INDEX($AG$10:$AG$509,MATCH(S54,$AF$10:$AF$509,0)),""))</f>
        <v>65436.16</v>
      </c>
      <c r="V54" s="76" t="n">
        <f aca="false">IF(AND(ISNUMBER(T54),ISNUMBER(T53)),T54/T53-1,"")</f>
        <v>0</v>
      </c>
      <c r="W54" s="76" t="n">
        <f aca="false">IF(AND(ISNUMBER(U54),ISNUMBER(U53)),U54/U53-1,"")</f>
        <v>0.00850560413092372</v>
      </c>
      <c r="X54" s="75" t="n">
        <f aca="false">IF(AND(ISNUMBER(V54),ISNUMBER(W54)),1,"")</f>
        <v>1</v>
      </c>
      <c r="Y54" s="76" t="n">
        <f aca="false">IF(X54=1,V54,"")</f>
        <v>0</v>
      </c>
      <c r="Z54" s="76" t="n">
        <f aca="false">IF(X54=1,W54,"")</f>
        <v>0.00850560413092372</v>
      </c>
      <c r="AA54" s="76" t="n">
        <f aca="false">IF(X54=1,V54,NA())</f>
        <v>0</v>
      </c>
      <c r="AB54" s="76" t="n">
        <f aca="false">IF(X54=1,W54,NA())</f>
        <v>0.00850560413092372</v>
      </c>
      <c r="AD54" s="73" t="n">
        <f aca="false">IF(ISNUMBER(AE54),IF(ISNUMBER('Base de Datos'!A50),IF('Base de Datos'!A50&gt;20000,DATE(YEAR('Base de Datos'!A50),DAY('Base de Datos'!A50),MONTH('Base de Datos'!A50)),""),IF(TRIM('Base de Datos'!A50)="","",IFERROR(DATE(VALUE(RIGHT(TRIM('Base de Datos'!A50),4)),VALUE(LEFT(TRIM('Base de Datos'!A50),2)),VALUE(MID(TRIM('Base de Datos'!A50),4,2))),""))),"")</f>
        <v>46274</v>
      </c>
      <c r="AE54" s="74" t="n">
        <f aca="false">IF(ISNUMBER('Base de Datos'!B50),'Base de Datos'!B50,IF(TRIM('Base de Datos'!B50)="","",IFERROR(IF(IFERROR(FIND("@",SUBSTITUTE(TRIM('Base de Datos'!B50),",","@",LEN(TRIM('Base de Datos'!B50))-LEN(SUBSTITUTE(TRIM('Base de Datos'!B50),",","")))),0)&gt;IFERROR(FIND("@",SUBSTITUTE(TRIM('Base de Datos'!B50),".","@",LEN(TRIM('Base de Datos'!B50))-LEN(SUBSTITUTE(TRIM('Base de Datos'!B50),".","")))),0),_xlfn.NUMBERVALUE(SUBSTITUTE(SUBSTITUTE(TRIM('Base de Datos'!B50),".",""),",","."),".",","),_xlfn.NUMBERVALUE(SUBSTITUTE(TRIM('Base de Datos'!B50),",",""),".",",")),"")))</f>
        <v>26.5</v>
      </c>
      <c r="AF54" s="73" t="n">
        <f aca="false">IF(ISNUMBER(AG54),IF(ISNUMBER('Base de Datos'!I50),IF('Base de Datos'!I50&gt;20000,INT('Base de Datos'!I50),""),IF(TRIM('Base de Datos'!I50)="","",IFERROR(DATE(VALUE(RIGHT(TRIM('Base de Datos'!I50),4)),VALUE(MID(TRIM('Base de Datos'!I50),4,2)),VALUE(LEFT(TRIM('Base de Datos'!I50),2))),IFERROR(DATEVALUE(TRIM('Base de Datos'!I50)),"")))),"")</f>
        <v>46266</v>
      </c>
      <c r="AG54" s="74" t="n">
        <f aca="false">IF(ISNUMBER('Base de Datos'!J50),'Base de Datos'!J50,IF(TRIM('Base de Datos'!J50)="","",IFERROR(IF(IFERROR(FIND("@",SUBSTITUTE(TRIM('Base de Datos'!J50),",","@",LEN(TRIM('Base de Datos'!J50))-LEN(SUBSTITUTE(TRIM('Base de Datos'!J50),",","")))),0)&gt;IFERROR(FIND("@",SUBSTITUTE(TRIM('Base de Datos'!J50),".","@",LEN(TRIM('Base de Datos'!J50))-LEN(SUBSTITUTE(TRIM('Base de Datos'!J50),".","")))),0),_xlfn.NUMBERVALUE(SUBSTITUTE(SUBSTITUTE(TRIM('Base de Datos'!J50),".",""),",","."),".",","),_xlfn.NUMBERVALUE(SUBSTITUTE(TRIM('Base de Datos'!J50),",",""),".",",")),"")))</f>
        <v>64514.25</v>
      </c>
      <c r="AH54" s="73" t="n">
        <f aca="false">IF(ISNUMBER(AI54),IF(ISNUMBER('Base de Datos'!Q50),IF('Base de Datos'!Q50&gt;20000,DATE(YEAR('Base de Datos'!Q50),DAY('Base de Datos'!Q50),MONTH('Base de Datos'!Q50)),""),IF(TRIM('Base de Datos'!Q50)="","",IFERROR(DATE(VALUE(RIGHT(TRIM('Base de Datos'!Q50),4)),VALUE(LEFT(TRIM('Base de Datos'!Q50),2)),VALUE(MID(TRIM('Base de Datos'!Q50),4,2))),""))),"")</f>
        <v>44794</v>
      </c>
      <c r="AI54" s="74" t="n">
        <f aca="false">IF(ISNUMBER('Base de Datos'!R50),'Base de Datos'!R50,IF(TRIM('Base de Datos'!R50)="","",IFERROR(IF(IFERROR(FIND("@",SUBSTITUTE(TRIM('Base de Datos'!R50),",","@",LEN(TRIM('Base de Datos'!R50))-LEN(SUBSTITUTE(TRIM('Base de Datos'!R50),",","")))),0)&gt;IFERROR(FIND("@",SUBSTITUTE(TRIM('Base de Datos'!R50),".","@",LEN(TRIM('Base de Datos'!R50))-LEN(SUBSTITUTE(TRIM('Base de Datos'!R50),".","")))),0),_xlfn.NUMBERVALUE(SUBSTITUTE(SUBSTITUTE(TRIM('Base de Datos'!R50),".",""),",","."),".",","),_xlfn.NUMBERVALUE(SUBSTITUTE(TRIM('Base de Datos'!R50),",",""),".",",")),"")))</f>
        <v>22.74</v>
      </c>
      <c r="AJ54" s="73" t="n">
        <f aca="false">IF(ISNUMBER(AK54),IF(ISNUMBER('Base de Datos'!Y50),IF('Base de Datos'!Y50&gt;20000,INT('Base de Datos'!Y50),""),IF(TRIM('Base de Datos'!Y50)="","",IFERROR(DATE(VALUE(RIGHT(TRIM('Base de Datos'!Y50),4)),VALUE(MID(TRIM('Base de Datos'!Y50),4,2)),VALUE(LEFT(TRIM('Base de Datos'!Y50),2))),IFERROR(DATEVALUE(TRIM('Base de Datos'!Y50)),"")))),"")</f>
        <v>44794</v>
      </c>
      <c r="AK54" s="74" t="n">
        <f aca="false">IF(ISNUMBER('Base de Datos'!Z50),'Base de Datos'!Z50,IF(TRIM('Base de Datos'!Z50)="","",IFERROR(IF(IFERROR(FIND("@",SUBSTITUTE(TRIM('Base de Datos'!Z50),",","@",LEN(TRIM('Base de Datos'!Z50))-LEN(SUBSTITUTE(TRIM('Base de Datos'!Z50),",","")))),0)&gt;IFERROR(FIND("@",SUBSTITUTE(TRIM('Base de Datos'!Z50),".","@",LEN(TRIM('Base de Datos'!Z50))-LEN(SUBSTITUTE(TRIM('Base de Datos'!Z50),".","")))),0),_xlfn.NUMBERVALUE(SUBSTITUTE(SUBSTITUTE(TRIM('Base de Datos'!Z50),".",""),",","."),".",","),_xlfn.NUMBERVALUE(SUBSTITUTE(TRIM('Base de Datos'!Z50),",",""),".",",")),"")))</f>
        <v>47272.11</v>
      </c>
    </row>
    <row r="55" customFormat="false" ht="13.5" hidden="false" customHeight="false" outlineLevel="0" collapsed="false">
      <c r="A55" s="75" t="n">
        <f aca="false">ROWS(A$13:A55)</f>
        <v>43</v>
      </c>
      <c r="B55" s="73" t="n">
        <f aca="false">IF(B54="","",IFERROR(SMALL($AH$10:$AH$409,COUNTIF($AH$10:$AH$409,"&lt;="&amp;B54)+1),""))</f>
        <v>44780</v>
      </c>
      <c r="C55" s="74" t="n">
        <f aca="false">IF(B55="","",INDEX($AI$10:$AI$409,MATCH(B55,$AH$10:$AH$409,0)))</f>
        <v>22.75</v>
      </c>
      <c r="D55" s="74" t="n">
        <f aca="false">IF(B55="","",IFERROR(INDEX($AK$10:$AK$409,MATCH(B55,$AJ$10:$AJ$409,0)),""))</f>
        <v>48853.37</v>
      </c>
      <c r="E55" s="76" t="n">
        <f aca="false">IF(AND(ISNUMBER(C55),ISNUMBER(C54)),C55/C54-1,"")</f>
        <v>-0.00219298245614041</v>
      </c>
      <c r="F55" s="76" t="n">
        <f aca="false">IF(AND(ISNUMBER(D55),ISNUMBER(D54)),D55/D54-1,"")</f>
        <v>0.0455861224229472</v>
      </c>
      <c r="G55" s="75" t="n">
        <f aca="false">IF(AND(ISNUMBER(E55),ISNUMBER(F55)),1,"")</f>
        <v>1</v>
      </c>
      <c r="H55" s="75" t="n">
        <f aca="false">IF(G55=1,COUNT(G55:G$412),"")</f>
        <v>217</v>
      </c>
      <c r="I55" s="75" t="n">
        <f aca="false">IF(G55=1,IF(H55&lt;='Beta Regresión'!$B$5,1,""),"")</f>
        <v>1</v>
      </c>
      <c r="J55" s="76" t="n">
        <f aca="false">IF(I55=1,E55,"")</f>
        <v>-0.00219298245614041</v>
      </c>
      <c r="K55" s="76" t="n">
        <f aca="false">IF(I55=1,F55,"")</f>
        <v>0.0455861224229472</v>
      </c>
      <c r="L55" s="75" t="n">
        <f aca="false">IF(I55=1,COUNT(I$13:I55),"")</f>
        <v>42</v>
      </c>
      <c r="M55" s="76" t="n">
        <f aca="false">IFERROR(INDEX($J$13:$J$412,MATCH(A55,$L$13:$L$412,0)),"")</f>
        <v>0</v>
      </c>
      <c r="N55" s="76" t="n">
        <f aca="false">IFERROR(INDEX($K$13:$K$412,MATCH(A55,$L$13:$L$412,0)),"")</f>
        <v>-0.00798532424682275</v>
      </c>
      <c r="O55" s="76" t="n">
        <f aca="false">IF(I55=1,E55,NA())</f>
        <v>-0.00219298245614041</v>
      </c>
      <c r="P55" s="76" t="n">
        <f aca="false">IF(I55=1,F55,NA())</f>
        <v>0.0455861224229472</v>
      </c>
      <c r="R55" s="75" t="n">
        <f aca="false">ROWS(R$13:R55)</f>
        <v>43</v>
      </c>
      <c r="S55" s="73" t="n">
        <f aca="false">IF(S54="","",IFERROR(SMALL($AD$10:$AD$509,COUNTIF($AD$10:$AD$509,"&lt;="&amp;S54)+1),""))</f>
        <v>46269</v>
      </c>
      <c r="T55" s="74" t="n">
        <f aca="false">IF(S55="","",INDEX($AE$10:$AE$509,MATCH(S55,$AD$10:$AD$509,0)))</f>
        <v>26</v>
      </c>
      <c r="U55" s="74" t="n">
        <f aca="false">IF(S55="","",IFERROR(INDEX($AG$10:$AG$509,MATCH(S55,$AF$10:$AF$509,0)),""))</f>
        <v>64866.61</v>
      </c>
      <c r="V55" s="76" t="n">
        <f aca="false">IF(AND(ISNUMBER(T55),ISNUMBER(T54)),T55/T54-1,"")</f>
        <v>-0.0280373831775701</v>
      </c>
      <c r="W55" s="76" t="n">
        <f aca="false">IF(AND(ISNUMBER(U55),ISNUMBER(U54)),U55/U54-1,"")</f>
        <v>-0.00870390316302183</v>
      </c>
      <c r="X55" s="75" t="n">
        <f aca="false">IF(AND(ISNUMBER(V55),ISNUMBER(W55)),1,"")</f>
        <v>1</v>
      </c>
      <c r="Y55" s="76" t="n">
        <f aca="false">IF(X55=1,V55,"")</f>
        <v>-0.0280373831775701</v>
      </c>
      <c r="Z55" s="76" t="n">
        <f aca="false">IF(X55=1,W55,"")</f>
        <v>-0.00870390316302183</v>
      </c>
      <c r="AA55" s="76" t="n">
        <f aca="false">IF(X55=1,V55,NA())</f>
        <v>-0.0280373831775701</v>
      </c>
      <c r="AB55" s="76" t="n">
        <f aca="false">IF(X55=1,W55,NA())</f>
        <v>-0.00870390316302183</v>
      </c>
      <c r="AD55" s="73" t="n">
        <f aca="false">IF(ISNUMBER(AE55),IF(ISNUMBER('Base de Datos'!A51),IF('Base de Datos'!A51&gt;20000,DATE(YEAR('Base de Datos'!A51),DAY('Base de Datos'!A51),MONTH('Base de Datos'!A51)),""),IF(TRIM('Base de Datos'!A51)="","",IFERROR(DATE(VALUE(RIGHT(TRIM('Base de Datos'!A51),4)),VALUE(LEFT(TRIM('Base de Datos'!A51),2)),VALUE(MID(TRIM('Base de Datos'!A51),4,2))),""))),"")</f>
        <v>46275</v>
      </c>
      <c r="AE55" s="74" t="n">
        <f aca="false">IF(ISNUMBER('Base de Datos'!B51),'Base de Datos'!B51,IF(TRIM('Base de Datos'!B51)="","",IFERROR(IF(IFERROR(FIND("@",SUBSTITUTE(TRIM('Base de Datos'!B51),",","@",LEN(TRIM('Base de Datos'!B51))-LEN(SUBSTITUTE(TRIM('Base de Datos'!B51),",","")))),0)&gt;IFERROR(FIND("@",SUBSTITUTE(TRIM('Base de Datos'!B51),".","@",LEN(TRIM('Base de Datos'!B51))-LEN(SUBSTITUTE(TRIM('Base de Datos'!B51),".","")))),0),_xlfn.NUMBERVALUE(SUBSTITUTE(SUBSTITUTE(TRIM('Base de Datos'!B51),".",""),",","."),".",","),_xlfn.NUMBERVALUE(SUBSTITUTE(TRIM('Base de Datos'!B51),",",""),".",",")),"")))</f>
        <v>25.56</v>
      </c>
      <c r="AF55" s="73" t="n">
        <f aca="false">IF(ISNUMBER(AG55),IF(ISNUMBER('Base de Datos'!I51),IF('Base de Datos'!I51&gt;20000,INT('Base de Datos'!I51),""),IF(TRIM('Base de Datos'!I51)="","",IFERROR(DATE(VALUE(RIGHT(TRIM('Base de Datos'!I51),4)),VALUE(MID(TRIM('Base de Datos'!I51),4,2)),VALUE(LEFT(TRIM('Base de Datos'!I51),2))),IFERROR(DATEVALUE(TRIM('Base de Datos'!I51)),"")))),"")</f>
        <v>46267</v>
      </c>
      <c r="AG55" s="74" t="n">
        <f aca="false">IF(ISNUMBER('Base de Datos'!J51),'Base de Datos'!J51,IF(TRIM('Base de Datos'!J51)="","",IFERROR(IF(IFERROR(FIND("@",SUBSTITUTE(TRIM('Base de Datos'!J51),",","@",LEN(TRIM('Base de Datos'!J51))-LEN(SUBSTITUTE(TRIM('Base de Datos'!J51),",","")))),0)&gt;IFERROR(FIND("@",SUBSTITUTE(TRIM('Base de Datos'!J51),".","@",LEN(TRIM('Base de Datos'!J51))-LEN(SUBSTITUTE(TRIM('Base de Datos'!J51),".","")))),0),_xlfn.NUMBERVALUE(SUBSTITUTE(SUBSTITUTE(TRIM('Base de Datos'!J51),".",""),",","."),".",","),_xlfn.NUMBERVALUE(SUBSTITUTE(TRIM('Base de Datos'!J51),",",""),".",",")),"")))</f>
        <v>64884.28</v>
      </c>
      <c r="AH55" s="73" t="n">
        <f aca="false">IF(ISNUMBER(AI55),IF(ISNUMBER('Base de Datos'!Q51),IF('Base de Datos'!Q51&gt;20000,DATE(YEAR('Base de Datos'!Q51),DAY('Base de Datos'!Q51),MONTH('Base de Datos'!Q51)),""),IF(TRIM('Base de Datos'!Q51)="","",IFERROR(DATE(VALUE(RIGHT(TRIM('Base de Datos'!Q51),4)),VALUE(LEFT(TRIM('Base de Datos'!Q51),2)),VALUE(MID(TRIM('Base de Datos'!Q51),4,2))),""))),"")</f>
        <v>44801</v>
      </c>
      <c r="AI55" s="74" t="n">
        <f aca="false">IF(ISNUMBER('Base de Datos'!R51),'Base de Datos'!R51,IF(TRIM('Base de Datos'!R51)="","",IFERROR(IF(IFERROR(FIND("@",SUBSTITUTE(TRIM('Base de Datos'!R51),",","@",LEN(TRIM('Base de Datos'!R51))-LEN(SUBSTITUTE(TRIM('Base de Datos'!R51),",","")))),0)&gt;IFERROR(FIND("@",SUBSTITUTE(TRIM('Base de Datos'!R51),".","@",LEN(TRIM('Base de Datos'!R51))-LEN(SUBSTITUTE(TRIM('Base de Datos'!R51),".","")))),0),_xlfn.NUMBERVALUE(SUBSTITUTE(SUBSTITUTE(TRIM('Base de Datos'!R51),".",""),",","."),".",","),_xlfn.NUMBERVALUE(SUBSTITUTE(TRIM('Base de Datos'!R51),",",""),".",",")),"")))</f>
        <v>22.75</v>
      </c>
      <c r="AJ55" s="73" t="n">
        <f aca="false">IF(ISNUMBER(AK55),IF(ISNUMBER('Base de Datos'!Y51),IF('Base de Datos'!Y51&gt;20000,INT('Base de Datos'!Y51),""),IF(TRIM('Base de Datos'!Y51)="","",IFERROR(DATE(VALUE(RIGHT(TRIM('Base de Datos'!Y51),4)),VALUE(MID(TRIM('Base de Datos'!Y51),4,2)),VALUE(LEFT(TRIM('Base de Datos'!Y51),2))),IFERROR(DATEVALUE(TRIM('Base de Datos'!Y51)),"")))),"")</f>
        <v>44801</v>
      </c>
      <c r="AK55" s="74" t="n">
        <f aca="false">IF(ISNUMBER('Base de Datos'!Z51),'Base de Datos'!Z51,IF(TRIM('Base de Datos'!Z51)="","",IFERROR(IF(IFERROR(FIND("@",SUBSTITUTE(TRIM('Base de Datos'!Z51),",","@",LEN(TRIM('Base de Datos'!Z51))-LEN(SUBSTITUTE(TRIM('Base de Datos'!Z51),",","")))),0)&gt;IFERROR(FIND("@",SUBSTITUTE(TRIM('Base de Datos'!Z51),".","@",LEN(TRIM('Base de Datos'!Z51))-LEN(SUBSTITUTE(TRIM('Base de Datos'!Z51),".","")))),0),_xlfn.NUMBERVALUE(SUBSTITUTE(SUBSTITUTE(TRIM('Base de Datos'!Z51),".",""),",","."),".",","),_xlfn.NUMBERVALUE(SUBSTITUTE(TRIM('Base de Datos'!Z51),",",""),".",",")),"")))</f>
        <v>45888.63</v>
      </c>
    </row>
    <row r="56" customFormat="false" ht="13.5" hidden="false" customHeight="false" outlineLevel="0" collapsed="false">
      <c r="A56" s="75" t="n">
        <f aca="false">ROWS(A$13:A56)</f>
        <v>44</v>
      </c>
      <c r="B56" s="73" t="n">
        <f aca="false">IF(B55="","",IFERROR(SMALL($AH$10:$AH$409,COUNTIF($AH$10:$AH$409,"&lt;="&amp;B55)+1),""))</f>
        <v>44787</v>
      </c>
      <c r="C56" s="74" t="n">
        <f aca="false">IF(B56="","",INDEX($AI$10:$AI$409,MATCH(B56,$AH$10:$AH$409,0)))</f>
        <v>22.75</v>
      </c>
      <c r="D56" s="74" t="n">
        <f aca="false">IF(B56="","",IFERROR(INDEX($AK$10:$AK$409,MATCH(B56,$AJ$10:$AJ$409,0)),""))</f>
        <v>48463.26</v>
      </c>
      <c r="E56" s="76" t="n">
        <f aca="false">IF(AND(ISNUMBER(C56),ISNUMBER(C55)),C56/C55-1,"")</f>
        <v>0</v>
      </c>
      <c r="F56" s="76" t="n">
        <f aca="false">IF(AND(ISNUMBER(D56),ISNUMBER(D55)),D56/D55-1,"")</f>
        <v>-0.00798532424682275</v>
      </c>
      <c r="G56" s="75" t="n">
        <f aca="false">IF(AND(ISNUMBER(E56),ISNUMBER(F56)),1,"")</f>
        <v>1</v>
      </c>
      <c r="H56" s="75" t="n">
        <f aca="false">IF(G56=1,COUNT(G56:G$412),"")</f>
        <v>216</v>
      </c>
      <c r="I56" s="75" t="n">
        <f aca="false">IF(G56=1,IF(H56&lt;='Beta Regresión'!$B$5,1,""),"")</f>
        <v>1</v>
      </c>
      <c r="J56" s="76" t="n">
        <f aca="false">IF(I56=1,E56,"")</f>
        <v>0</v>
      </c>
      <c r="K56" s="76" t="n">
        <f aca="false">IF(I56=1,F56,"")</f>
        <v>-0.00798532424682275</v>
      </c>
      <c r="L56" s="75" t="n">
        <f aca="false">IF(I56=1,COUNT(I$13:I56),"")</f>
        <v>43</v>
      </c>
      <c r="M56" s="76" t="n">
        <f aca="false">IFERROR(INDEX($J$13:$J$412,MATCH(A56,$L$13:$L$412,0)),"")</f>
        <v>-0.000439560439560505</v>
      </c>
      <c r="N56" s="76" t="n">
        <f aca="false">IFERROR(INDEX($K$13:$K$412,MATCH(A56,$L$13:$L$412,0)),"")</f>
        <v>-0.0245784125954384</v>
      </c>
      <c r="O56" s="76" t="n">
        <f aca="false">IF(I56=1,E56,NA())</f>
        <v>0</v>
      </c>
      <c r="P56" s="76" t="n">
        <f aca="false">IF(I56=1,F56,NA())</f>
        <v>-0.00798532424682275</v>
      </c>
      <c r="R56" s="75" t="n">
        <f aca="false">ROWS(R$13:R56)</f>
        <v>44</v>
      </c>
      <c r="S56" s="73" t="n">
        <f aca="false">IF(S55="","",IFERROR(SMALL($AD$10:$AD$509,COUNTIF($AD$10:$AD$509,"&lt;="&amp;S55)+1),""))</f>
        <v>46273</v>
      </c>
      <c r="T56" s="74" t="n">
        <f aca="false">IF(S56="","",INDEX($AE$10:$AE$509,MATCH(S56,$AD$10:$AD$509,0)))</f>
        <v>26.25</v>
      </c>
      <c r="U56" s="74" t="n">
        <f aca="false">IF(S56="","",IFERROR(INDEX($AG$10:$AG$509,MATCH(S56,$AF$10:$AF$509,0)),""))</f>
        <v>65065.56</v>
      </c>
      <c r="V56" s="76" t="n">
        <f aca="false">IF(AND(ISNUMBER(T56),ISNUMBER(T55)),T56/T55-1,"")</f>
        <v>0.00961538461538458</v>
      </c>
      <c r="W56" s="76" t="n">
        <f aca="false">IF(AND(ISNUMBER(U56),ISNUMBER(U55)),U56/U55-1,"")</f>
        <v>0.0030670633165506</v>
      </c>
      <c r="X56" s="75" t="n">
        <f aca="false">IF(AND(ISNUMBER(V56),ISNUMBER(W56)),1,"")</f>
        <v>1</v>
      </c>
      <c r="Y56" s="76" t="n">
        <f aca="false">IF(X56=1,V56,"")</f>
        <v>0.00961538461538458</v>
      </c>
      <c r="Z56" s="76" t="n">
        <f aca="false">IF(X56=1,W56,"")</f>
        <v>0.0030670633165506</v>
      </c>
      <c r="AA56" s="76" t="n">
        <f aca="false">IF(X56=1,V56,NA())</f>
        <v>0.00961538461538458</v>
      </c>
      <c r="AB56" s="76" t="n">
        <f aca="false">IF(X56=1,W56,NA())</f>
        <v>0.0030670633165506</v>
      </c>
      <c r="AD56" s="73" t="n">
        <f aca="false">IF(ISNUMBER(AE56),IF(ISNUMBER('Base de Datos'!A52),IF('Base de Datos'!A52&gt;20000,DATE(YEAR('Base de Datos'!A52),DAY('Base de Datos'!A52),MONTH('Base de Datos'!A52)),""),IF(TRIM('Base de Datos'!A52)="","",IFERROR(DATE(VALUE(RIGHT(TRIM('Base de Datos'!A52),4)),VALUE(LEFT(TRIM('Base de Datos'!A52),2)),VALUE(MID(TRIM('Base de Datos'!A52),4,2))),""))),"")</f>
        <v>46276</v>
      </c>
      <c r="AE56" s="74" t="n">
        <f aca="false">IF(ISNUMBER('Base de Datos'!B52),'Base de Datos'!B52,IF(TRIM('Base de Datos'!B52)="","",IFERROR(IF(IFERROR(FIND("@",SUBSTITUTE(TRIM('Base de Datos'!B52),",","@",LEN(TRIM('Base de Datos'!B52))-LEN(SUBSTITUTE(TRIM('Base de Datos'!B52),",","")))),0)&gt;IFERROR(FIND("@",SUBSTITUTE(TRIM('Base de Datos'!B52),".","@",LEN(TRIM('Base de Datos'!B52))-LEN(SUBSTITUTE(TRIM('Base de Datos'!B52),".","")))),0),_xlfn.NUMBERVALUE(SUBSTITUTE(SUBSTITUTE(TRIM('Base de Datos'!B52),".",""),",","."),".",","),_xlfn.NUMBERVALUE(SUBSTITUTE(TRIM('Base de Datos'!B52),",",""),".",",")),"")))</f>
        <v>26</v>
      </c>
      <c r="AF56" s="73" t="n">
        <f aca="false">IF(ISNUMBER(AG56),IF(ISNUMBER('Base de Datos'!I52),IF('Base de Datos'!I52&gt;20000,INT('Base de Datos'!I52),""),IF(TRIM('Base de Datos'!I52)="","",IFERROR(DATE(VALUE(RIGHT(TRIM('Base de Datos'!I52),4)),VALUE(MID(TRIM('Base de Datos'!I52),4,2)),VALUE(LEFT(TRIM('Base de Datos'!I52),2))),IFERROR(DATEVALUE(TRIM('Base de Datos'!I52)),"")))),"")</f>
        <v>46268</v>
      </c>
      <c r="AG56" s="74" t="n">
        <f aca="false">IF(ISNUMBER('Base de Datos'!J52),'Base de Datos'!J52,IF(TRIM('Base de Datos'!J52)="","",IFERROR(IF(IFERROR(FIND("@",SUBSTITUTE(TRIM('Base de Datos'!J52),",","@",LEN(TRIM('Base de Datos'!J52))-LEN(SUBSTITUTE(TRIM('Base de Datos'!J52),",","")))),0)&gt;IFERROR(FIND("@",SUBSTITUTE(TRIM('Base de Datos'!J52),".","@",LEN(TRIM('Base de Datos'!J52))-LEN(SUBSTITUTE(TRIM('Base de Datos'!J52),".","")))),0),_xlfn.NUMBERVALUE(SUBSTITUTE(SUBSTITUTE(TRIM('Base de Datos'!J52),".",""),",","."),".",","),_xlfn.NUMBERVALUE(SUBSTITUTE(TRIM('Base de Datos'!J52),",",""),".",",")),"")))</f>
        <v>65436.16</v>
      </c>
      <c r="AH56" s="73" t="n">
        <f aca="false">IF(ISNUMBER(AI56),IF(ISNUMBER('Base de Datos'!Q52),IF('Base de Datos'!Q52&gt;20000,DATE(YEAR('Base de Datos'!Q52),DAY('Base de Datos'!Q52),MONTH('Base de Datos'!Q52)),""),IF(TRIM('Base de Datos'!Q52)="","",IFERROR(DATE(VALUE(RIGHT(TRIM('Base de Datos'!Q52),4)),VALUE(LEFT(TRIM('Base de Datos'!Q52),2)),VALUE(MID(TRIM('Base de Datos'!Q52),4,2))),""))),"")</f>
        <v>44808</v>
      </c>
      <c r="AI56" s="74" t="n">
        <f aca="false">IF(ISNUMBER('Base de Datos'!R52),'Base de Datos'!R52,IF(TRIM('Base de Datos'!R52)="","",IFERROR(IF(IFERROR(FIND("@",SUBSTITUTE(TRIM('Base de Datos'!R52),",","@",LEN(TRIM('Base de Datos'!R52))-LEN(SUBSTITUTE(TRIM('Base de Datos'!R52),",","")))),0)&gt;IFERROR(FIND("@",SUBSTITUTE(TRIM('Base de Datos'!R52),".","@",LEN(TRIM('Base de Datos'!R52))-LEN(SUBSTITUTE(TRIM('Base de Datos'!R52),".","")))),0),_xlfn.NUMBERVALUE(SUBSTITUTE(SUBSTITUTE(TRIM('Base de Datos'!R52),".",""),",","."),".",","),_xlfn.NUMBERVALUE(SUBSTITUTE(TRIM('Base de Datos'!R52),",",""),".",",")),"")))</f>
        <v>23.29</v>
      </c>
      <c r="AJ56" s="73" t="n">
        <f aca="false">IF(ISNUMBER(AK56),IF(ISNUMBER('Base de Datos'!Y52),IF('Base de Datos'!Y52&gt;20000,INT('Base de Datos'!Y52),""),IF(TRIM('Base de Datos'!Y52)="","",IFERROR(DATE(VALUE(RIGHT(TRIM('Base de Datos'!Y52),4)),VALUE(MID(TRIM('Base de Datos'!Y52),4,2)),VALUE(LEFT(TRIM('Base de Datos'!Y52),2))),IFERROR(DATEVALUE(TRIM('Base de Datos'!Y52)),"")))),"")</f>
        <v>44808</v>
      </c>
      <c r="AK56" s="74" t="n">
        <f aca="false">IF(ISNUMBER('Base de Datos'!Z52),'Base de Datos'!Z52,IF(TRIM('Base de Datos'!Z52)="","",IFERROR(IF(IFERROR(FIND("@",SUBSTITUTE(TRIM('Base de Datos'!Z52),",","@",LEN(TRIM('Base de Datos'!Z52))-LEN(SUBSTITUTE(TRIM('Base de Datos'!Z52),",","")))),0)&gt;IFERROR(FIND("@",SUBSTITUTE(TRIM('Base de Datos'!Z52),".","@",LEN(TRIM('Base de Datos'!Z52))-LEN(SUBSTITUTE(TRIM('Base de Datos'!Z52),".","")))),0),_xlfn.NUMBERVALUE(SUBSTITUTE(SUBSTITUTE(TRIM('Base de Datos'!Z52),".",""),",","."),".",","),_xlfn.NUMBERVALUE(SUBSTITUTE(TRIM('Base de Datos'!Z52),",",""),".",",")),"")))</f>
        <v>47042.94</v>
      </c>
    </row>
    <row r="57" customFormat="false" ht="13.5" hidden="false" customHeight="false" outlineLevel="0" collapsed="false">
      <c r="A57" s="75" t="n">
        <f aca="false">ROWS(A$13:A57)</f>
        <v>45</v>
      </c>
      <c r="B57" s="73" t="n">
        <f aca="false">IF(B56="","",IFERROR(SMALL($AH$10:$AH$409,COUNTIF($AH$10:$AH$409,"&lt;="&amp;B56)+1),""))</f>
        <v>44794</v>
      </c>
      <c r="C57" s="74" t="n">
        <f aca="false">IF(B57="","",INDEX($AI$10:$AI$409,MATCH(B57,$AH$10:$AH$409,0)))</f>
        <v>22.74</v>
      </c>
      <c r="D57" s="74" t="n">
        <f aca="false">IF(B57="","",IFERROR(INDEX($AK$10:$AK$409,MATCH(B57,$AJ$10:$AJ$409,0)),""))</f>
        <v>47272.11</v>
      </c>
      <c r="E57" s="76" t="n">
        <f aca="false">IF(AND(ISNUMBER(C57),ISNUMBER(C56)),C57/C56-1,"")</f>
        <v>-0.000439560439560505</v>
      </c>
      <c r="F57" s="76" t="n">
        <f aca="false">IF(AND(ISNUMBER(D57),ISNUMBER(D56)),D57/D56-1,"")</f>
        <v>-0.0245784125954384</v>
      </c>
      <c r="G57" s="75" t="n">
        <f aca="false">IF(AND(ISNUMBER(E57),ISNUMBER(F57)),1,"")</f>
        <v>1</v>
      </c>
      <c r="H57" s="75" t="n">
        <f aca="false">IF(G57=1,COUNT(G57:G$412),"")</f>
        <v>215</v>
      </c>
      <c r="I57" s="75" t="n">
        <f aca="false">IF(G57=1,IF(H57&lt;='Beta Regresión'!$B$5,1,""),"")</f>
        <v>1</v>
      </c>
      <c r="J57" s="76" t="n">
        <f aca="false">IF(I57=1,E57,"")</f>
        <v>-0.000439560439560505</v>
      </c>
      <c r="K57" s="76" t="n">
        <f aca="false">IF(I57=1,F57,"")</f>
        <v>-0.0245784125954384</v>
      </c>
      <c r="L57" s="75" t="n">
        <f aca="false">IF(I57=1,COUNT(I$13:I57),"")</f>
        <v>44</v>
      </c>
      <c r="M57" s="76" t="n">
        <f aca="false">IFERROR(INDEX($J$13:$J$412,MATCH(A57,$L$13:$L$412,0)),"")</f>
        <v>0.000439753737906834</v>
      </c>
      <c r="N57" s="76" t="n">
        <f aca="false">IFERROR(INDEX($K$13:$K$412,MATCH(A57,$L$13:$L$412,0)),"")</f>
        <v>-0.0292663052273318</v>
      </c>
      <c r="O57" s="76" t="n">
        <f aca="false">IF(I57=1,E57,NA())</f>
        <v>-0.000439560439560505</v>
      </c>
      <c r="P57" s="76" t="n">
        <f aca="false">IF(I57=1,F57,NA())</f>
        <v>-0.0245784125954384</v>
      </c>
      <c r="R57" s="75" t="n">
        <f aca="false">ROWS(R$13:R57)</f>
        <v>45</v>
      </c>
      <c r="S57" s="73" t="n">
        <f aca="false">IF(S56="","",IFERROR(SMALL($AD$10:$AD$509,COUNTIF($AD$10:$AD$509,"&lt;="&amp;S56)+1),""))</f>
        <v>46274</v>
      </c>
      <c r="T57" s="74" t="n">
        <f aca="false">IF(S57="","",INDEX($AE$10:$AE$509,MATCH(S57,$AD$10:$AD$509,0)))</f>
        <v>26.5</v>
      </c>
      <c r="U57" s="74" t="n">
        <f aca="false">IF(S57="","",IFERROR(INDEX($AG$10:$AG$509,MATCH(S57,$AF$10:$AF$509,0)),""))</f>
        <v>64814.97</v>
      </c>
      <c r="V57" s="76" t="n">
        <f aca="false">IF(AND(ISNUMBER(T57),ISNUMBER(T56)),T57/T56-1,"")</f>
        <v>0.00952380952380949</v>
      </c>
      <c r="W57" s="76" t="n">
        <f aca="false">IF(AND(ISNUMBER(U57),ISNUMBER(U56)),U57/U56-1,"")</f>
        <v>-0.00385134624215944</v>
      </c>
      <c r="X57" s="75" t="n">
        <f aca="false">IF(AND(ISNUMBER(V57),ISNUMBER(W57)),1,"")</f>
        <v>1</v>
      </c>
      <c r="Y57" s="76" t="n">
        <f aca="false">IF(X57=1,V57,"")</f>
        <v>0.00952380952380949</v>
      </c>
      <c r="Z57" s="76" t="n">
        <f aca="false">IF(X57=1,W57,"")</f>
        <v>-0.00385134624215944</v>
      </c>
      <c r="AA57" s="76" t="n">
        <f aca="false">IF(X57=1,V57,NA())</f>
        <v>0.00952380952380949</v>
      </c>
      <c r="AB57" s="76" t="n">
        <f aca="false">IF(X57=1,W57,NA())</f>
        <v>-0.00385134624215944</v>
      </c>
      <c r="AD57" s="73" t="n">
        <f aca="false">IF(ISNUMBER(AE57),IF(ISNUMBER('Base de Datos'!A53),IF('Base de Datos'!A53&gt;20000,DATE(YEAR('Base de Datos'!A53),DAY('Base de Datos'!A53),MONTH('Base de Datos'!A53)),""),IF(TRIM('Base de Datos'!A53)="","",IFERROR(DATE(VALUE(RIGHT(TRIM('Base de Datos'!A53),4)),VALUE(LEFT(TRIM('Base de Datos'!A53),2)),VALUE(MID(TRIM('Base de Datos'!A53),4,2))),""))),"")</f>
        <v>46279</v>
      </c>
      <c r="AE57" s="74" t="n">
        <f aca="false">IF(ISNUMBER('Base de Datos'!B53),'Base de Datos'!B53,IF(TRIM('Base de Datos'!B53)="","",IFERROR(IF(IFERROR(FIND("@",SUBSTITUTE(TRIM('Base de Datos'!B53),",","@",LEN(TRIM('Base de Datos'!B53))-LEN(SUBSTITUTE(TRIM('Base de Datos'!B53),",","")))),0)&gt;IFERROR(FIND("@",SUBSTITUTE(TRIM('Base de Datos'!B53),".","@",LEN(TRIM('Base de Datos'!B53))-LEN(SUBSTITUTE(TRIM('Base de Datos'!B53),".","")))),0),_xlfn.NUMBERVALUE(SUBSTITUTE(SUBSTITUTE(TRIM('Base de Datos'!B53),".",""),",","."),".",","),_xlfn.NUMBERVALUE(SUBSTITUTE(TRIM('Base de Datos'!B53),",",""),".",",")),"")))</f>
        <v>27.56</v>
      </c>
      <c r="AF57" s="73" t="n">
        <f aca="false">IF(ISNUMBER(AG57),IF(ISNUMBER('Base de Datos'!I53),IF('Base de Datos'!I53&gt;20000,INT('Base de Datos'!I53),""),IF(TRIM('Base de Datos'!I53)="","",IFERROR(DATE(VALUE(RIGHT(TRIM('Base de Datos'!I53),4)),VALUE(MID(TRIM('Base de Datos'!I53),4,2)),VALUE(LEFT(TRIM('Base de Datos'!I53),2))),IFERROR(DATEVALUE(TRIM('Base de Datos'!I53)),"")))),"")</f>
        <v>46269</v>
      </c>
      <c r="AG57" s="74" t="n">
        <f aca="false">IF(ISNUMBER('Base de Datos'!J53),'Base de Datos'!J53,IF(TRIM('Base de Datos'!J53)="","",IFERROR(IF(IFERROR(FIND("@",SUBSTITUTE(TRIM('Base de Datos'!J53),",","@",LEN(TRIM('Base de Datos'!J53))-LEN(SUBSTITUTE(TRIM('Base de Datos'!J53),",","")))),0)&gt;IFERROR(FIND("@",SUBSTITUTE(TRIM('Base de Datos'!J53),".","@",LEN(TRIM('Base de Datos'!J53))-LEN(SUBSTITUTE(TRIM('Base de Datos'!J53),".","")))),0),_xlfn.NUMBERVALUE(SUBSTITUTE(SUBSTITUTE(TRIM('Base de Datos'!J53),".",""),",","."),".",","),_xlfn.NUMBERVALUE(SUBSTITUTE(TRIM('Base de Datos'!J53),",",""),".",",")),"")))</f>
        <v>64866.61</v>
      </c>
      <c r="AH57" s="73" t="n">
        <f aca="false">IF(ISNUMBER(AI57),IF(ISNUMBER('Base de Datos'!Q53),IF('Base de Datos'!Q53&gt;20000,DATE(YEAR('Base de Datos'!Q53),DAY('Base de Datos'!Q53),MONTH('Base de Datos'!Q53)),""),IF(TRIM('Base de Datos'!Q53)="","",IFERROR(DATE(VALUE(RIGHT(TRIM('Base de Datos'!Q53),4)),VALUE(LEFT(TRIM('Base de Datos'!Q53),2)),VALUE(MID(TRIM('Base de Datos'!Q53),4,2))),""))),"")</f>
        <v>44815</v>
      </c>
      <c r="AI57" s="74" t="n">
        <f aca="false">IF(ISNUMBER('Base de Datos'!R53),'Base de Datos'!R53,IF(TRIM('Base de Datos'!R53)="","",IFERROR(IF(IFERROR(FIND("@",SUBSTITUTE(TRIM('Base de Datos'!R53),",","@",LEN(TRIM('Base de Datos'!R53))-LEN(SUBSTITUTE(TRIM('Base de Datos'!R53),",","")))),0)&gt;IFERROR(FIND("@",SUBSTITUTE(TRIM('Base de Datos'!R53),".","@",LEN(TRIM('Base de Datos'!R53))-LEN(SUBSTITUTE(TRIM('Base de Datos'!R53),".","")))),0),_xlfn.NUMBERVALUE(SUBSTITUTE(SUBSTITUTE(TRIM('Base de Datos'!R53),".",""),",","."),".",","),_xlfn.NUMBERVALUE(SUBSTITUTE(TRIM('Base de Datos'!R53),",",""),".",",")),"")))</f>
        <v>24.99</v>
      </c>
      <c r="AJ57" s="73" t="n">
        <f aca="false">IF(ISNUMBER(AK57),IF(ISNUMBER('Base de Datos'!Y53),IF('Base de Datos'!Y53&gt;20000,INT('Base de Datos'!Y53),""),IF(TRIM('Base de Datos'!Y53)="","",IFERROR(DATE(VALUE(RIGHT(TRIM('Base de Datos'!Y53),4)),VALUE(MID(TRIM('Base de Datos'!Y53),4,2)),VALUE(LEFT(TRIM('Base de Datos'!Y53),2))),IFERROR(DATEVALUE(TRIM('Base de Datos'!Y53)),"")))),"")</f>
        <v>44815</v>
      </c>
      <c r="AK57" s="74" t="n">
        <f aca="false">IF(ISNUMBER('Base de Datos'!Z53),'Base de Datos'!Z53,IF(TRIM('Base de Datos'!Z53)="","",IFERROR(IF(IFERROR(FIND("@",SUBSTITUTE(TRIM('Base de Datos'!Z53),",","@",LEN(TRIM('Base de Datos'!Z53))-LEN(SUBSTITUTE(TRIM('Base de Datos'!Z53),",","")))),0)&gt;IFERROR(FIND("@",SUBSTITUTE(TRIM('Base de Datos'!Z53),".","@",LEN(TRIM('Base de Datos'!Z53))-LEN(SUBSTITUTE(TRIM('Base de Datos'!Z53),".","")))),0),_xlfn.NUMBERVALUE(SUBSTITUTE(SUBSTITUTE(TRIM('Base de Datos'!Z53),".",""),",","."),".",","),_xlfn.NUMBERVALUE(SUBSTITUTE(TRIM('Base de Datos'!Z53),",",""),".",",")),"")))</f>
        <v>46769.78</v>
      </c>
    </row>
    <row r="58" customFormat="false" ht="13.5" hidden="false" customHeight="false" outlineLevel="0" collapsed="false">
      <c r="A58" s="75" t="n">
        <f aca="false">ROWS(A$13:A58)</f>
        <v>46</v>
      </c>
      <c r="B58" s="73" t="n">
        <f aca="false">IF(B57="","",IFERROR(SMALL($AH$10:$AH$409,COUNTIF($AH$10:$AH$409,"&lt;="&amp;B57)+1),""))</f>
        <v>44801</v>
      </c>
      <c r="C58" s="74" t="n">
        <f aca="false">IF(B58="","",INDEX($AI$10:$AI$409,MATCH(B58,$AH$10:$AH$409,0)))</f>
        <v>22.75</v>
      </c>
      <c r="D58" s="74" t="n">
        <f aca="false">IF(B58="","",IFERROR(INDEX($AK$10:$AK$409,MATCH(B58,$AJ$10:$AJ$409,0)),""))</f>
        <v>45888.63</v>
      </c>
      <c r="E58" s="76" t="n">
        <f aca="false">IF(AND(ISNUMBER(C58),ISNUMBER(C57)),C58/C57-1,"")</f>
        <v>0.000439753737906834</v>
      </c>
      <c r="F58" s="76" t="n">
        <f aca="false">IF(AND(ISNUMBER(D58),ISNUMBER(D57)),D58/D57-1,"")</f>
        <v>-0.0292663052273318</v>
      </c>
      <c r="G58" s="75" t="n">
        <f aca="false">IF(AND(ISNUMBER(E58),ISNUMBER(F58)),1,"")</f>
        <v>1</v>
      </c>
      <c r="H58" s="75" t="n">
        <f aca="false">IF(G58=1,COUNT(G58:G$412),"")</f>
        <v>214</v>
      </c>
      <c r="I58" s="75" t="n">
        <f aca="false">IF(G58=1,IF(H58&lt;='Beta Regresión'!$B$5,1,""),"")</f>
        <v>1</v>
      </c>
      <c r="J58" s="76" t="n">
        <f aca="false">IF(I58=1,E58,"")</f>
        <v>0.000439753737906834</v>
      </c>
      <c r="K58" s="76" t="n">
        <f aca="false">IF(I58=1,F58,"")</f>
        <v>-0.0292663052273318</v>
      </c>
      <c r="L58" s="75" t="n">
        <f aca="false">IF(I58=1,COUNT(I$13:I58),"")</f>
        <v>45</v>
      </c>
      <c r="M58" s="76" t="n">
        <f aca="false">IFERROR(INDEX($J$13:$J$412,MATCH(A58,$L$13:$L$412,0)),"")</f>
        <v>0.0237362637362637</v>
      </c>
      <c r="N58" s="76" t="n">
        <f aca="false">IFERROR(INDEX($K$13:$K$412,MATCH(A58,$L$13:$L$412,0)),"")</f>
        <v>0.0251545971191558</v>
      </c>
      <c r="O58" s="76" t="n">
        <f aca="false">IF(I58=1,E58,NA())</f>
        <v>0.000439753737906834</v>
      </c>
      <c r="P58" s="76" t="n">
        <f aca="false">IF(I58=1,F58,NA())</f>
        <v>-0.0292663052273318</v>
      </c>
      <c r="R58" s="75" t="n">
        <f aca="false">ROWS(R$13:R58)</f>
        <v>46</v>
      </c>
      <c r="S58" s="73" t="n">
        <f aca="false">IF(S57="","",IFERROR(SMALL($AD$10:$AD$509,COUNTIF($AD$10:$AD$509,"&lt;="&amp;S57)+1),""))</f>
        <v>46275</v>
      </c>
      <c r="T58" s="74" t="n">
        <f aca="false">IF(S58="","",INDEX($AE$10:$AE$509,MATCH(S58,$AD$10:$AD$509,0)))</f>
        <v>25.56</v>
      </c>
      <c r="U58" s="74" t="n">
        <f aca="false">IF(S58="","",IFERROR(INDEX($AG$10:$AG$509,MATCH(S58,$AF$10:$AF$509,0)),""))</f>
        <v>64106.82</v>
      </c>
      <c r="V58" s="76" t="n">
        <f aca="false">IF(AND(ISNUMBER(T58),ISNUMBER(T57)),T58/T57-1,"")</f>
        <v>-0.0354716981132076</v>
      </c>
      <c r="W58" s="76" t="n">
        <f aca="false">IF(AND(ISNUMBER(U58),ISNUMBER(U57)),U58/U57-1,"")</f>
        <v>-0.0109257166978555</v>
      </c>
      <c r="X58" s="75" t="n">
        <f aca="false">IF(AND(ISNUMBER(V58),ISNUMBER(W58)),1,"")</f>
        <v>1</v>
      </c>
      <c r="Y58" s="76" t="n">
        <f aca="false">IF(X58=1,V58,"")</f>
        <v>-0.0354716981132076</v>
      </c>
      <c r="Z58" s="76" t="n">
        <f aca="false">IF(X58=1,W58,"")</f>
        <v>-0.0109257166978555</v>
      </c>
      <c r="AA58" s="76" t="n">
        <f aca="false">IF(X58=1,V58,NA())</f>
        <v>-0.0354716981132076</v>
      </c>
      <c r="AB58" s="76" t="n">
        <f aca="false">IF(X58=1,W58,NA())</f>
        <v>-0.0109257166978555</v>
      </c>
      <c r="AD58" s="73" t="n">
        <f aca="false">IF(ISNUMBER(AE58),IF(ISNUMBER('Base de Datos'!A54),IF('Base de Datos'!A54&gt;20000,DATE(YEAR('Base de Datos'!A54),DAY('Base de Datos'!A54),MONTH('Base de Datos'!A54)),""),IF(TRIM('Base de Datos'!A54)="","",IFERROR(DATE(VALUE(RIGHT(TRIM('Base de Datos'!A54),4)),VALUE(LEFT(TRIM('Base de Datos'!A54),2)),VALUE(MID(TRIM('Base de Datos'!A54),4,2))),""))),"")</f>
        <v>46280</v>
      </c>
      <c r="AE58" s="74" t="n">
        <f aca="false">IF(ISNUMBER('Base de Datos'!B54),'Base de Datos'!B54,IF(TRIM('Base de Datos'!B54)="","",IFERROR(IF(IFERROR(FIND("@",SUBSTITUTE(TRIM('Base de Datos'!B54),",","@",LEN(TRIM('Base de Datos'!B54))-LEN(SUBSTITUTE(TRIM('Base de Datos'!B54),",","")))),0)&gt;IFERROR(FIND("@",SUBSTITUTE(TRIM('Base de Datos'!B54),".","@",LEN(TRIM('Base de Datos'!B54))-LEN(SUBSTITUTE(TRIM('Base de Datos'!B54),".","")))),0),_xlfn.NUMBERVALUE(SUBSTITUTE(SUBSTITUTE(TRIM('Base de Datos'!B54),".",""),",","."),".",","),_xlfn.NUMBERVALUE(SUBSTITUTE(TRIM('Base de Datos'!B54),",",""),".",",")),"")))</f>
        <v>29.66</v>
      </c>
      <c r="AF58" s="73" t="n">
        <f aca="false">IF(ISNUMBER(AG58),IF(ISNUMBER('Base de Datos'!I54),IF('Base de Datos'!I54&gt;20000,INT('Base de Datos'!I54),""),IF(TRIM('Base de Datos'!I54)="","",IFERROR(DATE(VALUE(RIGHT(TRIM('Base de Datos'!I54),4)),VALUE(MID(TRIM('Base de Datos'!I54),4,2)),VALUE(LEFT(TRIM('Base de Datos'!I54),2))),IFERROR(DATEVALUE(TRIM('Base de Datos'!I54)),"")))),"")</f>
        <v>46272</v>
      </c>
      <c r="AG58" s="74" t="n">
        <f aca="false">IF(ISNUMBER('Base de Datos'!J54),'Base de Datos'!J54,IF(TRIM('Base de Datos'!J54)="","",IFERROR(IF(IFERROR(FIND("@",SUBSTITUTE(TRIM('Base de Datos'!J54),",","@",LEN(TRIM('Base de Datos'!J54))-LEN(SUBSTITUTE(TRIM('Base de Datos'!J54),",","")))),0)&gt;IFERROR(FIND("@",SUBSTITUTE(TRIM('Base de Datos'!J54),".","@",LEN(TRIM('Base de Datos'!J54))-LEN(SUBSTITUTE(TRIM('Base de Datos'!J54),".","")))),0),_xlfn.NUMBERVALUE(SUBSTITUTE(SUBSTITUTE(TRIM('Base de Datos'!J54),".",""),",","."),".",","),_xlfn.NUMBERVALUE(SUBSTITUTE(TRIM('Base de Datos'!J54),",",""),".",",")),"")))</f>
        <v>64727.54</v>
      </c>
      <c r="AH58" s="73" t="n">
        <f aca="false">IF(ISNUMBER(AI58),IF(ISNUMBER('Base de Datos'!Q54),IF('Base de Datos'!Q54&gt;20000,DATE(YEAR('Base de Datos'!Q54),DAY('Base de Datos'!Q54),MONTH('Base de Datos'!Q54)),""),IF(TRIM('Base de Datos'!Q54)="","",IFERROR(DATE(VALUE(RIGHT(TRIM('Base de Datos'!Q54),4)),VALUE(LEFT(TRIM('Base de Datos'!Q54),2)),VALUE(MID(TRIM('Base de Datos'!Q54),4,2))),""))),"")</f>
        <v>44822</v>
      </c>
      <c r="AI58" s="74" t="n">
        <f aca="false">IF(ISNUMBER('Base de Datos'!R54),'Base de Datos'!R54,IF(TRIM('Base de Datos'!R54)="","",IFERROR(IF(IFERROR(FIND("@",SUBSTITUTE(TRIM('Base de Datos'!R54),",","@",LEN(TRIM('Base de Datos'!R54))-LEN(SUBSTITUTE(TRIM('Base de Datos'!R54),",","")))),0)&gt;IFERROR(FIND("@",SUBSTITUTE(TRIM('Base de Datos'!R54),".","@",LEN(TRIM('Base de Datos'!R54))-LEN(SUBSTITUTE(TRIM('Base de Datos'!R54),".","")))),0),_xlfn.NUMBERVALUE(SUBSTITUTE(SUBSTITUTE(TRIM('Base de Datos'!R54),".",""),",","."),".",","),_xlfn.NUMBERVALUE(SUBSTITUTE(TRIM('Base de Datos'!R54),",",""),".",",")),"")))</f>
        <v>26.2</v>
      </c>
      <c r="AJ58" s="73" t="n">
        <f aca="false">IF(ISNUMBER(AK58),IF(ISNUMBER('Base de Datos'!Y54),IF('Base de Datos'!Y54&gt;20000,INT('Base de Datos'!Y54),""),IF(TRIM('Base de Datos'!Y54)="","",IFERROR(DATE(VALUE(RIGHT(TRIM('Base de Datos'!Y54),4)),VALUE(MID(TRIM('Base de Datos'!Y54),4,2)),VALUE(LEFT(TRIM('Base de Datos'!Y54),2))),IFERROR(DATEVALUE(TRIM('Base de Datos'!Y54)),"")))),"")</f>
        <v>44822</v>
      </c>
      <c r="AK58" s="74" t="n">
        <f aca="false">IF(ISNUMBER('Base de Datos'!Z54),'Base de Datos'!Z54,IF(TRIM('Base de Datos'!Z54)="","",IFERROR(IF(IFERROR(FIND("@",SUBSTITUTE(TRIM('Base de Datos'!Z54),",","@",LEN(TRIM('Base de Datos'!Z54))-LEN(SUBSTITUTE(TRIM('Base de Datos'!Z54),",","")))),0)&gt;IFERROR(FIND("@",SUBSTITUTE(TRIM('Base de Datos'!Z54),".","@",LEN(TRIM('Base de Datos'!Z54))-LEN(SUBSTITUTE(TRIM('Base de Datos'!Z54),".","")))),0),_xlfn.NUMBERVALUE(SUBSTITUTE(SUBSTITUTE(TRIM('Base de Datos'!Z54),".",""),",","."),".",","),_xlfn.NUMBERVALUE(SUBSTITUTE(TRIM('Base de Datos'!Z54),",",""),".",",")),"")))</f>
        <v>45395.94</v>
      </c>
    </row>
    <row r="59" customFormat="false" ht="13.5" hidden="false" customHeight="false" outlineLevel="0" collapsed="false">
      <c r="A59" s="75" t="n">
        <f aca="false">ROWS(A$13:A59)</f>
        <v>47</v>
      </c>
      <c r="B59" s="73" t="n">
        <f aca="false">IF(B58="","",IFERROR(SMALL($AH$10:$AH$409,COUNTIF($AH$10:$AH$409,"&lt;="&amp;B58)+1),""))</f>
        <v>44808</v>
      </c>
      <c r="C59" s="74" t="n">
        <f aca="false">IF(B59="","",INDEX($AI$10:$AI$409,MATCH(B59,$AH$10:$AH$409,0)))</f>
        <v>23.29</v>
      </c>
      <c r="D59" s="74" t="n">
        <f aca="false">IF(B59="","",IFERROR(INDEX($AK$10:$AK$409,MATCH(B59,$AJ$10:$AJ$409,0)),""))</f>
        <v>47042.94</v>
      </c>
      <c r="E59" s="76" t="n">
        <f aca="false">IF(AND(ISNUMBER(C59),ISNUMBER(C58)),C59/C58-1,"")</f>
        <v>0.0237362637362637</v>
      </c>
      <c r="F59" s="76" t="n">
        <f aca="false">IF(AND(ISNUMBER(D59),ISNUMBER(D58)),D59/D58-1,"")</f>
        <v>0.0251545971191558</v>
      </c>
      <c r="G59" s="75" t="n">
        <f aca="false">IF(AND(ISNUMBER(E59),ISNUMBER(F59)),1,"")</f>
        <v>1</v>
      </c>
      <c r="H59" s="75" t="n">
        <f aca="false">IF(G59=1,COUNT(G59:G$412),"")</f>
        <v>213</v>
      </c>
      <c r="I59" s="75" t="n">
        <f aca="false">IF(G59=1,IF(H59&lt;='Beta Regresión'!$B$5,1,""),"")</f>
        <v>1</v>
      </c>
      <c r="J59" s="76" t="n">
        <f aca="false">IF(I59=1,E59,"")</f>
        <v>0.0237362637362637</v>
      </c>
      <c r="K59" s="76" t="n">
        <f aca="false">IF(I59=1,F59,"")</f>
        <v>0.0251545971191558</v>
      </c>
      <c r="L59" s="75" t="n">
        <f aca="false">IF(I59=1,COUNT(I$13:I59),"")</f>
        <v>46</v>
      </c>
      <c r="M59" s="76" t="n">
        <f aca="false">IFERROR(INDEX($J$13:$J$412,MATCH(A59,$L$13:$L$412,0)),"")</f>
        <v>0.0729927007299269</v>
      </c>
      <c r="N59" s="76" t="n">
        <f aca="false">IFERROR(INDEX($K$13:$K$412,MATCH(A59,$L$13:$L$412,0)),"")</f>
        <v>-0.00580660987599846</v>
      </c>
      <c r="O59" s="76" t="n">
        <f aca="false">IF(I59=1,E59,NA())</f>
        <v>0.0237362637362637</v>
      </c>
      <c r="P59" s="76" t="n">
        <f aca="false">IF(I59=1,F59,NA())</f>
        <v>0.0251545971191558</v>
      </c>
      <c r="R59" s="75" t="n">
        <f aca="false">ROWS(R$13:R59)</f>
        <v>47</v>
      </c>
      <c r="S59" s="73" t="n">
        <f aca="false">IF(S58="","",IFERROR(SMALL($AD$10:$AD$509,COUNTIF($AD$10:$AD$509,"&lt;="&amp;S58)+1),""))</f>
        <v>46276</v>
      </c>
      <c r="T59" s="74" t="n">
        <f aca="false">IF(S59="","",INDEX($AE$10:$AE$509,MATCH(S59,$AD$10:$AD$509,0)))</f>
        <v>26</v>
      </c>
      <c r="U59" s="74" t="n">
        <f aca="false">IF(S59="","",IFERROR(INDEX($AG$10:$AG$509,MATCH(S59,$AF$10:$AF$509,0)),""))</f>
        <v>63924.77</v>
      </c>
      <c r="V59" s="76" t="n">
        <f aca="false">IF(AND(ISNUMBER(T59),ISNUMBER(T58)),T59/T58-1,"")</f>
        <v>0.0172143974960877</v>
      </c>
      <c r="W59" s="76" t="n">
        <f aca="false">IF(AND(ISNUMBER(U59),ISNUMBER(U58)),U59/U58-1,"")</f>
        <v>-0.00283979146056534</v>
      </c>
      <c r="X59" s="75" t="n">
        <f aca="false">IF(AND(ISNUMBER(V59),ISNUMBER(W59)),1,"")</f>
        <v>1</v>
      </c>
      <c r="Y59" s="76" t="n">
        <f aca="false">IF(X59=1,V59,"")</f>
        <v>0.0172143974960877</v>
      </c>
      <c r="Z59" s="76" t="n">
        <f aca="false">IF(X59=1,W59,"")</f>
        <v>-0.00283979146056534</v>
      </c>
      <c r="AA59" s="76" t="n">
        <f aca="false">IF(X59=1,V59,NA())</f>
        <v>0.0172143974960877</v>
      </c>
      <c r="AB59" s="76" t="n">
        <f aca="false">IF(X59=1,W59,NA())</f>
        <v>-0.00283979146056534</v>
      </c>
      <c r="AD59" s="73" t="n">
        <f aca="false">IF(ISNUMBER(AE59),IF(ISNUMBER('Base de Datos'!A55),IF('Base de Datos'!A55&gt;20000,DATE(YEAR('Base de Datos'!A55),DAY('Base de Datos'!A55),MONTH('Base de Datos'!A55)),""),IF(TRIM('Base de Datos'!A55)="","",IFERROR(DATE(VALUE(RIGHT(TRIM('Base de Datos'!A55),4)),VALUE(LEFT(TRIM('Base de Datos'!A55),2)),VALUE(MID(TRIM('Base de Datos'!A55),4,2))),""))),"")</f>
        <v>46282</v>
      </c>
      <c r="AE59" s="74" t="n">
        <f aca="false">IF(ISNUMBER('Base de Datos'!B55),'Base de Datos'!B55,IF(TRIM('Base de Datos'!B55)="","",IFERROR(IF(IFERROR(FIND("@",SUBSTITUTE(TRIM('Base de Datos'!B55),",","@",LEN(TRIM('Base de Datos'!B55))-LEN(SUBSTITUTE(TRIM('Base de Datos'!B55),",","")))),0)&gt;IFERROR(FIND("@",SUBSTITUTE(TRIM('Base de Datos'!B55),".","@",LEN(TRIM('Base de Datos'!B55))-LEN(SUBSTITUTE(TRIM('Base de Datos'!B55),".","")))),0),_xlfn.NUMBERVALUE(SUBSTITUTE(SUBSTITUTE(TRIM('Base de Datos'!B55),".",""),",","."),".",","),_xlfn.NUMBERVALUE(SUBSTITUTE(TRIM('Base de Datos'!B55),",",""),".",",")),"")))</f>
        <v>30.02</v>
      </c>
      <c r="AF59" s="73" t="n">
        <f aca="false">IF(ISNUMBER(AG59),IF(ISNUMBER('Base de Datos'!I55),IF('Base de Datos'!I55&gt;20000,INT('Base de Datos'!I55),""),IF(TRIM('Base de Datos'!I55)="","",IFERROR(DATE(VALUE(RIGHT(TRIM('Base de Datos'!I55),4)),VALUE(MID(TRIM('Base de Datos'!I55),4,2)),VALUE(LEFT(TRIM('Base de Datos'!I55),2))),IFERROR(DATEVALUE(TRIM('Base de Datos'!I55)),"")))),"")</f>
        <v>46273</v>
      </c>
      <c r="AG59" s="74" t="n">
        <f aca="false">IF(ISNUMBER('Base de Datos'!J55),'Base de Datos'!J55,IF(TRIM('Base de Datos'!J55)="","",IFERROR(IF(IFERROR(FIND("@",SUBSTITUTE(TRIM('Base de Datos'!J55),",","@",LEN(TRIM('Base de Datos'!J55))-LEN(SUBSTITUTE(TRIM('Base de Datos'!J55),",","")))),0)&gt;IFERROR(FIND("@",SUBSTITUTE(TRIM('Base de Datos'!J55),".","@",LEN(TRIM('Base de Datos'!J55))-LEN(SUBSTITUTE(TRIM('Base de Datos'!J55),".","")))),0),_xlfn.NUMBERVALUE(SUBSTITUTE(SUBSTITUTE(TRIM('Base de Datos'!J55),".",""),",","."),".",","),_xlfn.NUMBERVALUE(SUBSTITUTE(TRIM('Base de Datos'!J55),",",""),".",",")),"")))</f>
        <v>65065.56</v>
      </c>
      <c r="AH59" s="73" t="n">
        <f aca="false">IF(ISNUMBER(AI59),IF(ISNUMBER('Base de Datos'!Q55),IF('Base de Datos'!Q55&gt;20000,DATE(YEAR('Base de Datos'!Q55),DAY('Base de Datos'!Q55),MONTH('Base de Datos'!Q55)),""),IF(TRIM('Base de Datos'!Q55)="","",IFERROR(DATE(VALUE(RIGHT(TRIM('Base de Datos'!Q55),4)),VALUE(LEFT(TRIM('Base de Datos'!Q55),2)),VALUE(MID(TRIM('Base de Datos'!Q55),4,2))),""))),"")</f>
        <v>44829</v>
      </c>
      <c r="AI59" s="74" t="n">
        <f aca="false">IF(ISNUMBER('Base de Datos'!R55),'Base de Datos'!R55,IF(TRIM('Base de Datos'!R55)="","",IFERROR(IF(IFERROR(FIND("@",SUBSTITUTE(TRIM('Base de Datos'!R55),",","@",LEN(TRIM('Base de Datos'!R55))-LEN(SUBSTITUTE(TRIM('Base de Datos'!R55),",","")))),0)&gt;IFERROR(FIND("@",SUBSTITUTE(TRIM('Base de Datos'!R55),".","@",LEN(TRIM('Base de Datos'!R55))-LEN(SUBSTITUTE(TRIM('Base de Datos'!R55),".","")))),0),_xlfn.NUMBERVALUE(SUBSTITUTE(SUBSTITUTE(TRIM('Base de Datos'!R55),".",""),",","."),".",","),_xlfn.NUMBERVALUE(SUBSTITUTE(TRIM('Base de Datos'!R55),",",""),".",",")),"")))</f>
        <v>26.2</v>
      </c>
      <c r="AJ59" s="73" t="n">
        <f aca="false">IF(ISNUMBER(AK59),IF(ISNUMBER('Base de Datos'!Y55),IF('Base de Datos'!Y55&gt;20000,INT('Base de Datos'!Y55),""),IF(TRIM('Base de Datos'!Y55)="","",IFERROR(DATE(VALUE(RIGHT(TRIM('Base de Datos'!Y55),4)),VALUE(MID(TRIM('Base de Datos'!Y55),4,2)),VALUE(LEFT(TRIM('Base de Datos'!Y55),2))),IFERROR(DATEVALUE(TRIM('Base de Datos'!Y55)),"")))),"")</f>
        <v>44829</v>
      </c>
      <c r="AK59" s="74" t="n">
        <f aca="false">IF(ISNUMBER('Base de Datos'!Z55),'Base de Datos'!Z55,IF(TRIM('Base de Datos'!Z55)="","",IFERROR(IF(IFERROR(FIND("@",SUBSTITUTE(TRIM('Base de Datos'!Z55),",","@",LEN(TRIM('Base de Datos'!Z55))-LEN(SUBSTITUTE(TRIM('Base de Datos'!Z55),",","")))),0)&gt;IFERROR(FIND("@",SUBSTITUTE(TRIM('Base de Datos'!Z55),".","@",LEN(TRIM('Base de Datos'!Z55))-LEN(SUBSTITUTE(TRIM('Base de Datos'!Z55),".","")))),0),_xlfn.NUMBERVALUE(SUBSTITUTE(SUBSTITUTE(TRIM('Base de Datos'!Z55),".",""),",","."),".",","),_xlfn.NUMBERVALUE(SUBSTITUTE(TRIM('Base de Datos'!Z55),",",""),".",",")),"")))</f>
        <v>44626.8</v>
      </c>
    </row>
    <row r="60" customFormat="false" ht="13.5" hidden="false" customHeight="false" outlineLevel="0" collapsed="false">
      <c r="A60" s="75" t="n">
        <f aca="false">ROWS(A$13:A60)</f>
        <v>48</v>
      </c>
      <c r="B60" s="73" t="n">
        <f aca="false">IF(B59="","",IFERROR(SMALL($AH$10:$AH$409,COUNTIF($AH$10:$AH$409,"&lt;="&amp;B59)+1),""))</f>
        <v>44815</v>
      </c>
      <c r="C60" s="74" t="n">
        <f aca="false">IF(B60="","",INDEX($AI$10:$AI$409,MATCH(B60,$AH$10:$AH$409,0)))</f>
        <v>24.99</v>
      </c>
      <c r="D60" s="74" t="n">
        <f aca="false">IF(B60="","",IFERROR(INDEX($AK$10:$AK$409,MATCH(B60,$AJ$10:$AJ$409,0)),""))</f>
        <v>46769.78</v>
      </c>
      <c r="E60" s="76" t="n">
        <f aca="false">IF(AND(ISNUMBER(C60),ISNUMBER(C59)),C60/C59-1,"")</f>
        <v>0.0729927007299269</v>
      </c>
      <c r="F60" s="76" t="n">
        <f aca="false">IF(AND(ISNUMBER(D60),ISNUMBER(D59)),D60/D59-1,"")</f>
        <v>-0.00580660987599846</v>
      </c>
      <c r="G60" s="75" t="n">
        <f aca="false">IF(AND(ISNUMBER(E60),ISNUMBER(F60)),1,"")</f>
        <v>1</v>
      </c>
      <c r="H60" s="75" t="n">
        <f aca="false">IF(G60=1,COUNT(G60:G$412),"")</f>
        <v>212</v>
      </c>
      <c r="I60" s="75" t="n">
        <f aca="false">IF(G60=1,IF(H60&lt;='Beta Regresión'!$B$5,1,""),"")</f>
        <v>1</v>
      </c>
      <c r="J60" s="76" t="n">
        <f aca="false">IF(I60=1,E60,"")</f>
        <v>0.0729927007299269</v>
      </c>
      <c r="K60" s="76" t="n">
        <f aca="false">IF(I60=1,F60,"")</f>
        <v>-0.00580660987599846</v>
      </c>
      <c r="L60" s="75" t="n">
        <f aca="false">IF(I60=1,COUNT(I$13:I60),"")</f>
        <v>47</v>
      </c>
      <c r="M60" s="76" t="n">
        <f aca="false">IFERROR(INDEX($J$13:$J$412,MATCH(A60,$L$13:$L$412,0)),"")</f>
        <v>0.048419367747099</v>
      </c>
      <c r="N60" s="76" t="n">
        <f aca="false">IFERROR(INDEX($K$13:$K$412,MATCH(A60,$L$13:$L$412,0)),"")</f>
        <v>-0.0293745234636553</v>
      </c>
      <c r="O60" s="76" t="n">
        <f aca="false">IF(I60=1,E60,NA())</f>
        <v>0.0729927007299269</v>
      </c>
      <c r="P60" s="76" t="n">
        <f aca="false">IF(I60=1,F60,NA())</f>
        <v>-0.00580660987599846</v>
      </c>
      <c r="R60" s="75" t="n">
        <f aca="false">ROWS(R$13:R60)</f>
        <v>48</v>
      </c>
      <c r="S60" s="73" t="n">
        <f aca="false">IF(S59="","",IFERROR(SMALL($AD$10:$AD$509,COUNTIF($AD$10:$AD$509,"&lt;="&amp;S59)+1),""))</f>
        <v>46279</v>
      </c>
      <c r="T60" s="74" t="n">
        <f aca="false">IF(S60="","",INDEX($AE$10:$AE$509,MATCH(S60,$AD$10:$AD$509,0)))</f>
        <v>27.56</v>
      </c>
      <c r="U60" s="74" t="n">
        <f aca="false">IF(S60="","",IFERROR(INDEX($AG$10:$AG$509,MATCH(S60,$AF$10:$AF$509,0)),""))</f>
        <v>64216.98</v>
      </c>
      <c r="V60" s="76" t="n">
        <f aca="false">IF(AND(ISNUMBER(T60),ISNUMBER(T59)),T60/T59-1,"")</f>
        <v>0.0600000000000001</v>
      </c>
      <c r="W60" s="76" t="n">
        <f aca="false">IF(AND(ISNUMBER(U60),ISNUMBER(U59)),U60/U59-1,"")</f>
        <v>0.00457115449926548</v>
      </c>
      <c r="X60" s="75" t="n">
        <f aca="false">IF(AND(ISNUMBER(V60),ISNUMBER(W60)),1,"")</f>
        <v>1</v>
      </c>
      <c r="Y60" s="76" t="n">
        <f aca="false">IF(X60=1,V60,"")</f>
        <v>0.0600000000000001</v>
      </c>
      <c r="Z60" s="76" t="n">
        <f aca="false">IF(X60=1,W60,"")</f>
        <v>0.00457115449926548</v>
      </c>
      <c r="AA60" s="76" t="n">
        <f aca="false">IF(X60=1,V60,NA())</f>
        <v>0.0600000000000001</v>
      </c>
      <c r="AB60" s="76" t="n">
        <f aca="false">IF(X60=1,W60,NA())</f>
        <v>0.00457115449926548</v>
      </c>
      <c r="AD60" s="73" t="n">
        <f aca="false">IF(ISNUMBER(AE60),IF(ISNUMBER('Base de Datos'!A56),IF('Base de Datos'!A56&gt;20000,DATE(YEAR('Base de Datos'!A56),DAY('Base de Datos'!A56),MONTH('Base de Datos'!A56)),""),IF(TRIM('Base de Datos'!A56)="","",IFERROR(DATE(VALUE(RIGHT(TRIM('Base de Datos'!A56),4)),VALUE(LEFT(TRIM('Base de Datos'!A56),2)),VALUE(MID(TRIM('Base de Datos'!A56),4,2))),""))),"")</f>
        <v>46283</v>
      </c>
      <c r="AE60" s="74" t="n">
        <f aca="false">IF(ISNUMBER('Base de Datos'!B56),'Base de Datos'!B56,IF(TRIM('Base de Datos'!B56)="","",IFERROR(IF(IFERROR(FIND("@",SUBSTITUTE(TRIM('Base de Datos'!B56),",","@",LEN(TRIM('Base de Datos'!B56))-LEN(SUBSTITUTE(TRIM('Base de Datos'!B56),",","")))),0)&gt;IFERROR(FIND("@",SUBSTITUTE(TRIM('Base de Datos'!B56),".","@",LEN(TRIM('Base de Datos'!B56))-LEN(SUBSTITUTE(TRIM('Base de Datos'!B56),".","")))),0),_xlfn.NUMBERVALUE(SUBSTITUTE(SUBSTITUTE(TRIM('Base de Datos'!B56),".",""),",","."),".",","),_xlfn.NUMBERVALUE(SUBSTITUTE(TRIM('Base de Datos'!B56),",",""),".",",")),"")))</f>
        <v>30.24</v>
      </c>
      <c r="AF60" s="73" t="n">
        <f aca="false">IF(ISNUMBER(AG60),IF(ISNUMBER('Base de Datos'!I56),IF('Base de Datos'!I56&gt;20000,INT('Base de Datos'!I56),""),IF(TRIM('Base de Datos'!I56)="","",IFERROR(DATE(VALUE(RIGHT(TRIM('Base de Datos'!I56),4)),VALUE(MID(TRIM('Base de Datos'!I56),4,2)),VALUE(LEFT(TRIM('Base de Datos'!I56),2))),IFERROR(DATEVALUE(TRIM('Base de Datos'!I56)),"")))),"")</f>
        <v>46274</v>
      </c>
      <c r="AG60" s="74" t="n">
        <f aca="false">IF(ISNUMBER('Base de Datos'!J56),'Base de Datos'!J56,IF(TRIM('Base de Datos'!J56)="","",IFERROR(IF(IFERROR(FIND("@",SUBSTITUTE(TRIM('Base de Datos'!J56),",","@",LEN(TRIM('Base de Datos'!J56))-LEN(SUBSTITUTE(TRIM('Base de Datos'!J56),",","")))),0)&gt;IFERROR(FIND("@",SUBSTITUTE(TRIM('Base de Datos'!J56),".","@",LEN(TRIM('Base de Datos'!J56))-LEN(SUBSTITUTE(TRIM('Base de Datos'!J56),".","")))),0),_xlfn.NUMBERVALUE(SUBSTITUTE(SUBSTITUTE(TRIM('Base de Datos'!J56),".",""),",","."),".",","),_xlfn.NUMBERVALUE(SUBSTITUTE(TRIM('Base de Datos'!J56),",",""),".",",")),"")))</f>
        <v>64814.97</v>
      </c>
      <c r="AH60" s="73" t="n">
        <f aca="false">IF(ISNUMBER(AI60),IF(ISNUMBER('Base de Datos'!Q56),IF('Base de Datos'!Q56&gt;20000,DATE(YEAR('Base de Datos'!Q56),DAY('Base de Datos'!Q56),MONTH('Base de Datos'!Q56)),""),IF(TRIM('Base de Datos'!Q56)="","",IFERROR(DATE(VALUE(RIGHT(TRIM('Base de Datos'!Q56),4)),VALUE(LEFT(TRIM('Base de Datos'!Q56),2)),VALUE(MID(TRIM('Base de Datos'!Q56),4,2))),""))),"")</f>
        <v>44836</v>
      </c>
      <c r="AI60" s="74" t="n">
        <f aca="false">IF(ISNUMBER('Base de Datos'!R56),'Base de Datos'!R56,IF(TRIM('Base de Datos'!R56)="","",IFERROR(IF(IFERROR(FIND("@",SUBSTITUTE(TRIM('Base de Datos'!R56),",","@",LEN(TRIM('Base de Datos'!R56))-LEN(SUBSTITUTE(TRIM('Base de Datos'!R56),",","")))),0)&gt;IFERROR(FIND("@",SUBSTITUTE(TRIM('Base de Datos'!R56),".","@",LEN(TRIM('Base de Datos'!R56))-LEN(SUBSTITUTE(TRIM('Base de Datos'!R56),".","")))),0),_xlfn.NUMBERVALUE(SUBSTITUTE(SUBSTITUTE(TRIM('Base de Datos'!R56),".",""),",","."),".",","),_xlfn.NUMBERVALUE(SUBSTITUTE(TRIM('Base de Datos'!R56),",",""),".",",")),"")))</f>
        <v>26.43</v>
      </c>
      <c r="AJ60" s="73" t="n">
        <f aca="false">IF(ISNUMBER(AK60),IF(ISNUMBER('Base de Datos'!Y56),IF('Base de Datos'!Y56&gt;20000,INT('Base de Datos'!Y56),""),IF(TRIM('Base de Datos'!Y56)="","",IFERROR(DATE(VALUE(RIGHT(TRIM('Base de Datos'!Y56),4)),VALUE(MID(TRIM('Base de Datos'!Y56),4,2)),VALUE(LEFT(TRIM('Base de Datos'!Y56),2))),IFERROR(DATEVALUE(TRIM('Base de Datos'!Y56)),"")))),"")</f>
        <v>44836</v>
      </c>
      <c r="AK60" s="74" t="n">
        <f aca="false">IF(ISNUMBER('Base de Datos'!Z56),'Base de Datos'!Z56,IF(TRIM('Base de Datos'!Z56)="","",IFERROR(IF(IFERROR(FIND("@",SUBSTITUTE(TRIM('Base de Datos'!Z56),",","@",LEN(TRIM('Base de Datos'!Z56))-LEN(SUBSTITUTE(TRIM('Base de Datos'!Z56),",","")))),0)&gt;IFERROR(FIND("@",SUBSTITUTE(TRIM('Base de Datos'!Z56),".","@",LEN(TRIM('Base de Datos'!Z56))-LEN(SUBSTITUTE(TRIM('Base de Datos'!Z56),".","")))),0),_xlfn.NUMBERVALUE(SUBSTITUTE(SUBSTITUTE(TRIM('Base de Datos'!Z56),".",""),",","."),".",","),_xlfn.NUMBERVALUE(SUBSTITUTE(TRIM('Base de Datos'!Z56),",",""),".",",")),"")))</f>
        <v>45728.87</v>
      </c>
    </row>
    <row r="61" customFormat="false" ht="13.5" hidden="false" customHeight="false" outlineLevel="0" collapsed="false">
      <c r="A61" s="75" t="n">
        <f aca="false">ROWS(A$13:A61)</f>
        <v>49</v>
      </c>
      <c r="B61" s="73" t="n">
        <f aca="false">IF(B60="","",IFERROR(SMALL($AH$10:$AH$409,COUNTIF($AH$10:$AH$409,"&lt;="&amp;B60)+1),""))</f>
        <v>44822</v>
      </c>
      <c r="C61" s="74" t="n">
        <f aca="false">IF(B61="","",INDEX($AI$10:$AI$409,MATCH(B61,$AH$10:$AH$409,0)))</f>
        <v>26.2</v>
      </c>
      <c r="D61" s="74" t="n">
        <f aca="false">IF(B61="","",IFERROR(INDEX($AK$10:$AK$409,MATCH(B61,$AJ$10:$AJ$409,0)),""))</f>
        <v>45395.94</v>
      </c>
      <c r="E61" s="76" t="n">
        <f aca="false">IF(AND(ISNUMBER(C61),ISNUMBER(C60)),C61/C60-1,"")</f>
        <v>0.048419367747099</v>
      </c>
      <c r="F61" s="76" t="n">
        <f aca="false">IF(AND(ISNUMBER(D61),ISNUMBER(D60)),D61/D60-1,"")</f>
        <v>-0.0293745234636553</v>
      </c>
      <c r="G61" s="75" t="n">
        <f aca="false">IF(AND(ISNUMBER(E61),ISNUMBER(F61)),1,"")</f>
        <v>1</v>
      </c>
      <c r="H61" s="75" t="n">
        <f aca="false">IF(G61=1,COUNT(G61:G$412),"")</f>
        <v>211</v>
      </c>
      <c r="I61" s="75" t="n">
        <f aca="false">IF(G61=1,IF(H61&lt;='Beta Regresión'!$B$5,1,""),"")</f>
        <v>1</v>
      </c>
      <c r="J61" s="76" t="n">
        <f aca="false">IF(I61=1,E61,"")</f>
        <v>0.048419367747099</v>
      </c>
      <c r="K61" s="76" t="n">
        <f aca="false">IF(I61=1,F61,"")</f>
        <v>-0.0293745234636553</v>
      </c>
      <c r="L61" s="75" t="n">
        <f aca="false">IF(I61=1,COUNT(I$13:I61),"")</f>
        <v>48</v>
      </c>
      <c r="M61" s="76" t="n">
        <f aca="false">IFERROR(INDEX($J$13:$J$412,MATCH(A61,$L$13:$L$412,0)),"")</f>
        <v>0</v>
      </c>
      <c r="N61" s="76" t="n">
        <f aca="false">IFERROR(INDEX($K$13:$K$412,MATCH(A61,$L$13:$L$412,0)),"")</f>
        <v>-0.01694292485187</v>
      </c>
      <c r="O61" s="76" t="n">
        <f aca="false">IF(I61=1,E61,NA())</f>
        <v>0.048419367747099</v>
      </c>
      <c r="P61" s="76" t="n">
        <f aca="false">IF(I61=1,F61,NA())</f>
        <v>-0.0293745234636553</v>
      </c>
      <c r="R61" s="75" t="n">
        <f aca="false">ROWS(R$13:R61)</f>
        <v>49</v>
      </c>
      <c r="S61" s="73" t="n">
        <f aca="false">IF(S60="","",IFERROR(SMALL($AD$10:$AD$509,COUNTIF($AD$10:$AD$509,"&lt;="&amp;S60)+1),""))</f>
        <v>46280</v>
      </c>
      <c r="T61" s="74" t="n">
        <f aca="false">IF(S61="","",INDEX($AE$10:$AE$509,MATCH(S61,$AD$10:$AD$509,0)))</f>
        <v>29.66</v>
      </c>
      <c r="U61" s="74" t="n">
        <f aca="false">IF(S61="","",IFERROR(INDEX($AG$10:$AG$509,MATCH(S61,$AF$10:$AF$509,0)),""))</f>
        <v>63507.11</v>
      </c>
      <c r="V61" s="76" t="n">
        <f aca="false">IF(AND(ISNUMBER(T61),ISNUMBER(T60)),T61/T60-1,"")</f>
        <v>0.0761973875181423</v>
      </c>
      <c r="W61" s="76" t="n">
        <f aca="false">IF(AND(ISNUMBER(U61),ISNUMBER(U60)),U61/U60-1,"")</f>
        <v>-0.0110542414171455</v>
      </c>
      <c r="X61" s="75" t="n">
        <f aca="false">IF(AND(ISNUMBER(V61),ISNUMBER(W61)),1,"")</f>
        <v>1</v>
      </c>
      <c r="Y61" s="76" t="n">
        <f aca="false">IF(X61=1,V61,"")</f>
        <v>0.0761973875181423</v>
      </c>
      <c r="Z61" s="76" t="n">
        <f aca="false">IF(X61=1,W61,"")</f>
        <v>-0.0110542414171455</v>
      </c>
      <c r="AA61" s="76" t="n">
        <f aca="false">IF(X61=1,V61,NA())</f>
        <v>0.0761973875181423</v>
      </c>
      <c r="AB61" s="76" t="n">
        <f aca="false">IF(X61=1,W61,NA())</f>
        <v>-0.0110542414171455</v>
      </c>
      <c r="AD61" s="73" t="n">
        <f aca="false">IF(ISNUMBER(AE61),IF(ISNUMBER('Base de Datos'!A57),IF('Base de Datos'!A57&gt;20000,DATE(YEAR('Base de Datos'!A57),DAY('Base de Datos'!A57),MONTH('Base de Datos'!A57)),""),IF(TRIM('Base de Datos'!A57)="","",IFERROR(DATE(VALUE(RIGHT(TRIM('Base de Datos'!A57),4)),VALUE(LEFT(TRIM('Base de Datos'!A57),2)),VALUE(MID(TRIM('Base de Datos'!A57),4,2))),""))),"")</f>
        <v>46286</v>
      </c>
      <c r="AE61" s="74" t="n">
        <f aca="false">IF(ISNUMBER('Base de Datos'!B57),'Base de Datos'!B57,IF(TRIM('Base de Datos'!B57)="","",IFERROR(IF(IFERROR(FIND("@",SUBSTITUTE(TRIM('Base de Datos'!B57),",","@",LEN(TRIM('Base de Datos'!B57))-LEN(SUBSTITUTE(TRIM('Base de Datos'!B57),",","")))),0)&gt;IFERROR(FIND("@",SUBSTITUTE(TRIM('Base de Datos'!B57),".","@",LEN(TRIM('Base de Datos'!B57))-LEN(SUBSTITUTE(TRIM('Base de Datos'!B57),".","")))),0),_xlfn.NUMBERVALUE(SUBSTITUTE(SUBSTITUTE(TRIM('Base de Datos'!B57),".",""),",","."),".",","),_xlfn.NUMBERVALUE(SUBSTITUTE(TRIM('Base de Datos'!B57),",",""),".",",")),"")))</f>
        <v>30.1</v>
      </c>
      <c r="AF61" s="73" t="n">
        <f aca="false">IF(ISNUMBER(AG61),IF(ISNUMBER('Base de Datos'!I57),IF('Base de Datos'!I57&gt;20000,INT('Base de Datos'!I57),""),IF(TRIM('Base de Datos'!I57)="","",IFERROR(DATE(VALUE(RIGHT(TRIM('Base de Datos'!I57),4)),VALUE(MID(TRIM('Base de Datos'!I57),4,2)),VALUE(LEFT(TRIM('Base de Datos'!I57),2))),IFERROR(DATEVALUE(TRIM('Base de Datos'!I57)),"")))),"")</f>
        <v>46275</v>
      </c>
      <c r="AG61" s="74" t="n">
        <f aca="false">IF(ISNUMBER('Base de Datos'!J57),'Base de Datos'!J57,IF(TRIM('Base de Datos'!J57)="","",IFERROR(IF(IFERROR(FIND("@",SUBSTITUTE(TRIM('Base de Datos'!J57),",","@",LEN(TRIM('Base de Datos'!J57))-LEN(SUBSTITUTE(TRIM('Base de Datos'!J57),",","")))),0)&gt;IFERROR(FIND("@",SUBSTITUTE(TRIM('Base de Datos'!J57),".","@",LEN(TRIM('Base de Datos'!J57))-LEN(SUBSTITUTE(TRIM('Base de Datos'!J57),".","")))),0),_xlfn.NUMBERVALUE(SUBSTITUTE(SUBSTITUTE(TRIM('Base de Datos'!J57),".",""),",","."),".",","),_xlfn.NUMBERVALUE(SUBSTITUTE(TRIM('Base de Datos'!J57),",",""),".",",")),"")))</f>
        <v>64106.82</v>
      </c>
      <c r="AH61" s="73" t="n">
        <f aca="false">IF(ISNUMBER(AI61),IF(ISNUMBER('Base de Datos'!Q57),IF('Base de Datos'!Q57&gt;20000,DATE(YEAR('Base de Datos'!Q57),DAY('Base de Datos'!Q57),MONTH('Base de Datos'!Q57)),""),IF(TRIM('Base de Datos'!Q57)="","",IFERROR(DATE(VALUE(RIGHT(TRIM('Base de Datos'!Q57),4)),VALUE(LEFT(TRIM('Base de Datos'!Q57),2)),VALUE(MID(TRIM('Base de Datos'!Q57),4,2))),""))),"")</f>
        <v>44843</v>
      </c>
      <c r="AI61" s="74" t="n">
        <f aca="false">IF(ISNUMBER('Base de Datos'!R57),'Base de Datos'!R57,IF(TRIM('Base de Datos'!R57)="","",IFERROR(IF(IFERROR(FIND("@",SUBSTITUTE(TRIM('Base de Datos'!R57),",","@",LEN(TRIM('Base de Datos'!R57))-LEN(SUBSTITUTE(TRIM('Base de Datos'!R57),",","")))),0)&gt;IFERROR(FIND("@",SUBSTITUTE(TRIM('Base de Datos'!R57),".","@",LEN(TRIM('Base de Datos'!R57))-LEN(SUBSTITUTE(TRIM('Base de Datos'!R57),".","")))),0),_xlfn.NUMBERVALUE(SUBSTITUTE(SUBSTITUTE(TRIM('Base de Datos'!R57),".",""),",","."),".",","),_xlfn.NUMBERVALUE(SUBSTITUTE(TRIM('Base de Datos'!R57),",",""),".",",")),"")))</f>
        <v>26.5</v>
      </c>
      <c r="AJ61" s="73" t="n">
        <f aca="false">IF(ISNUMBER(AK61),IF(ISNUMBER('Base de Datos'!Y57),IF('Base de Datos'!Y57&gt;20000,INT('Base de Datos'!Y57),""),IF(TRIM('Base de Datos'!Y57)="","",IFERROR(DATE(VALUE(RIGHT(TRIM('Base de Datos'!Y57),4)),VALUE(MID(TRIM('Base de Datos'!Y57),4,2)),VALUE(LEFT(TRIM('Base de Datos'!Y57),2))),IFERROR(DATEVALUE(TRIM('Base de Datos'!Y57)),"")))),"")</f>
        <v>44843</v>
      </c>
      <c r="AK61" s="74" t="n">
        <f aca="false">IF(ISNUMBER('Base de Datos'!Z57),'Base de Datos'!Z57,IF(TRIM('Base de Datos'!Z57)="","",IFERROR(IF(IFERROR(FIND("@",SUBSTITUTE(TRIM('Base de Datos'!Z57),",","@",LEN(TRIM('Base de Datos'!Z57))-LEN(SUBSTITUTE(TRIM('Base de Datos'!Z57),",","")))),0)&gt;IFERROR(FIND("@",SUBSTITUTE(TRIM('Base de Datos'!Z57),".","@",LEN(TRIM('Base de Datos'!Z57))-LEN(SUBSTITUTE(TRIM('Base de Datos'!Z57),".","")))),0),_xlfn.NUMBERVALUE(SUBSTITUTE(SUBSTITUTE(TRIM('Base de Datos'!Z57),".",""),",","."),".",","),_xlfn.NUMBERVALUE(SUBSTITUTE(TRIM('Base de Datos'!Z57),",",""),".",",")),"")))</f>
        <v>45443.35</v>
      </c>
    </row>
    <row r="62" customFormat="false" ht="13.5" hidden="false" customHeight="false" outlineLevel="0" collapsed="false">
      <c r="A62" s="75" t="n">
        <f aca="false">ROWS(A$13:A62)</f>
        <v>50</v>
      </c>
      <c r="B62" s="73" t="n">
        <f aca="false">IF(B61="","",IFERROR(SMALL($AH$10:$AH$409,COUNTIF($AH$10:$AH$409,"&lt;="&amp;B61)+1),""))</f>
        <v>44829</v>
      </c>
      <c r="C62" s="74" t="n">
        <f aca="false">IF(B62="","",INDEX($AI$10:$AI$409,MATCH(B62,$AH$10:$AH$409,0)))</f>
        <v>26.2</v>
      </c>
      <c r="D62" s="74" t="n">
        <f aca="false">IF(B62="","",IFERROR(INDEX($AK$10:$AK$409,MATCH(B62,$AJ$10:$AJ$409,0)),""))</f>
        <v>44626.8</v>
      </c>
      <c r="E62" s="76" t="n">
        <f aca="false">IF(AND(ISNUMBER(C62),ISNUMBER(C61)),C62/C61-1,"")</f>
        <v>0</v>
      </c>
      <c r="F62" s="76" t="n">
        <f aca="false">IF(AND(ISNUMBER(D62),ISNUMBER(D61)),D62/D61-1,"")</f>
        <v>-0.01694292485187</v>
      </c>
      <c r="G62" s="75" t="n">
        <f aca="false">IF(AND(ISNUMBER(E62),ISNUMBER(F62)),1,"")</f>
        <v>1</v>
      </c>
      <c r="H62" s="75" t="n">
        <f aca="false">IF(G62=1,COUNT(G62:G$412),"")</f>
        <v>210</v>
      </c>
      <c r="I62" s="75" t="n">
        <f aca="false">IF(G62=1,IF(H62&lt;='Beta Regresión'!$B$5,1,""),"")</f>
        <v>1</v>
      </c>
      <c r="J62" s="76" t="n">
        <f aca="false">IF(I62=1,E62,"")</f>
        <v>0</v>
      </c>
      <c r="K62" s="76" t="n">
        <f aca="false">IF(I62=1,F62,"")</f>
        <v>-0.01694292485187</v>
      </c>
      <c r="L62" s="75" t="n">
        <f aca="false">IF(I62=1,COUNT(I$13:I62),"")</f>
        <v>49</v>
      </c>
      <c r="M62" s="76" t="n">
        <f aca="false">IFERROR(INDEX($J$13:$J$412,MATCH(A62,$L$13:$L$412,0)),"")</f>
        <v>0.00877862595419843</v>
      </c>
      <c r="N62" s="76" t="n">
        <f aca="false">IFERROR(INDEX($K$13:$K$412,MATCH(A62,$L$13:$L$412,0)),"")</f>
        <v>0.0246952503876594</v>
      </c>
      <c r="O62" s="76" t="n">
        <f aca="false">IF(I62=1,E62,NA())</f>
        <v>0</v>
      </c>
      <c r="P62" s="76" t="n">
        <f aca="false">IF(I62=1,F62,NA())</f>
        <v>-0.01694292485187</v>
      </c>
      <c r="R62" s="75" t="n">
        <f aca="false">ROWS(R$13:R62)</f>
        <v>50</v>
      </c>
      <c r="S62" s="73" t="n">
        <f aca="false">IF(S61="","",IFERROR(SMALL($AD$10:$AD$509,COUNTIF($AD$10:$AD$509,"&lt;="&amp;S61)+1),""))</f>
        <v>46282</v>
      </c>
      <c r="T62" s="74" t="n">
        <f aca="false">IF(S62="","",INDEX($AE$10:$AE$509,MATCH(S62,$AD$10:$AD$509,0)))</f>
        <v>30.02</v>
      </c>
      <c r="U62" s="74" t="n">
        <f aca="false">IF(S62="","",IFERROR(INDEX($AG$10:$AG$509,MATCH(S62,$AF$10:$AF$509,0)),""))</f>
        <v>63873.32</v>
      </c>
      <c r="V62" s="76" t="n">
        <f aca="false">IF(AND(ISNUMBER(T62),ISNUMBER(T61)),T62/T61-1,"")</f>
        <v>0.012137559002023</v>
      </c>
      <c r="W62" s="76" t="n">
        <f aca="false">IF(AND(ISNUMBER(U62),ISNUMBER(U61)),U62/U61-1,"")</f>
        <v>0.00576644095440648</v>
      </c>
      <c r="X62" s="75" t="n">
        <f aca="false">IF(AND(ISNUMBER(V62),ISNUMBER(W62)),1,"")</f>
        <v>1</v>
      </c>
      <c r="Y62" s="76" t="n">
        <f aca="false">IF(X62=1,V62,"")</f>
        <v>0.012137559002023</v>
      </c>
      <c r="Z62" s="76" t="n">
        <f aca="false">IF(X62=1,W62,"")</f>
        <v>0.00576644095440648</v>
      </c>
      <c r="AA62" s="76" t="n">
        <f aca="false">IF(X62=1,V62,NA())</f>
        <v>0.012137559002023</v>
      </c>
      <c r="AB62" s="76" t="n">
        <f aca="false">IF(X62=1,W62,NA())</f>
        <v>0.00576644095440648</v>
      </c>
      <c r="AD62" s="73" t="n">
        <f aca="false">IF(ISNUMBER(AE62),IF(ISNUMBER('Base de Datos'!A58),IF('Base de Datos'!A58&gt;20000,DATE(YEAR('Base de Datos'!A58),DAY('Base de Datos'!A58),MONTH('Base de Datos'!A58)),""),IF(TRIM('Base de Datos'!A58)="","",IFERROR(DATE(VALUE(RIGHT(TRIM('Base de Datos'!A58),4)),VALUE(LEFT(TRIM('Base de Datos'!A58),2)),VALUE(MID(TRIM('Base de Datos'!A58),4,2))),""))),"")</f>
        <v>46288</v>
      </c>
      <c r="AE62" s="74" t="n">
        <f aca="false">IF(ISNUMBER('Base de Datos'!B58),'Base de Datos'!B58,IF(TRIM('Base de Datos'!B58)="","",IFERROR(IF(IFERROR(FIND("@",SUBSTITUTE(TRIM('Base de Datos'!B58),",","@",LEN(TRIM('Base de Datos'!B58))-LEN(SUBSTITUTE(TRIM('Base de Datos'!B58),",","")))),0)&gt;IFERROR(FIND("@",SUBSTITUTE(TRIM('Base de Datos'!B58),".","@",LEN(TRIM('Base de Datos'!B58))-LEN(SUBSTITUTE(TRIM('Base de Datos'!B58),".","")))),0),_xlfn.NUMBERVALUE(SUBSTITUTE(SUBSTITUTE(TRIM('Base de Datos'!B58),".",""),",","."),".",","),_xlfn.NUMBERVALUE(SUBSTITUTE(TRIM('Base de Datos'!B58),",",""),".",",")),"")))</f>
        <v>30.8</v>
      </c>
      <c r="AF62" s="73" t="n">
        <f aca="false">IF(ISNUMBER(AG62),IF(ISNUMBER('Base de Datos'!I58),IF('Base de Datos'!I58&gt;20000,INT('Base de Datos'!I58),""),IF(TRIM('Base de Datos'!I58)="","",IFERROR(DATE(VALUE(RIGHT(TRIM('Base de Datos'!I58),4)),VALUE(MID(TRIM('Base de Datos'!I58),4,2)),VALUE(LEFT(TRIM('Base de Datos'!I58),2))),IFERROR(DATEVALUE(TRIM('Base de Datos'!I58)),"")))),"")</f>
        <v>46276</v>
      </c>
      <c r="AG62" s="74" t="n">
        <f aca="false">IF(ISNUMBER('Base de Datos'!J58),'Base de Datos'!J58,IF(TRIM('Base de Datos'!J58)="","",IFERROR(IF(IFERROR(FIND("@",SUBSTITUTE(TRIM('Base de Datos'!J58),",","@",LEN(TRIM('Base de Datos'!J58))-LEN(SUBSTITUTE(TRIM('Base de Datos'!J58),",","")))),0)&gt;IFERROR(FIND("@",SUBSTITUTE(TRIM('Base de Datos'!J58),".","@",LEN(TRIM('Base de Datos'!J58))-LEN(SUBSTITUTE(TRIM('Base de Datos'!J58),".","")))),0),_xlfn.NUMBERVALUE(SUBSTITUTE(SUBSTITUTE(TRIM('Base de Datos'!J58),".",""),",","."),".",","),_xlfn.NUMBERVALUE(SUBSTITUTE(TRIM('Base de Datos'!J58),",",""),".",",")),"")))</f>
        <v>63924.77</v>
      </c>
      <c r="AH62" s="73" t="n">
        <f aca="false">IF(ISNUMBER(AI62),IF(ISNUMBER('Base de Datos'!Q58),IF('Base de Datos'!Q58&gt;20000,DATE(YEAR('Base de Datos'!Q58),DAY('Base de Datos'!Q58),MONTH('Base de Datos'!Q58)),""),IF(TRIM('Base de Datos'!Q58)="","",IFERROR(DATE(VALUE(RIGHT(TRIM('Base de Datos'!Q58),4)),VALUE(LEFT(TRIM('Base de Datos'!Q58),2)),VALUE(MID(TRIM('Base de Datos'!Q58),4,2))),""))),"")</f>
        <v>44850</v>
      </c>
      <c r="AI62" s="74" t="n">
        <f aca="false">IF(ISNUMBER('Base de Datos'!R58),'Base de Datos'!R58,IF(TRIM('Base de Datos'!R58)="","",IFERROR(IF(IFERROR(FIND("@",SUBSTITUTE(TRIM('Base de Datos'!R58),",","@",LEN(TRIM('Base de Datos'!R58))-LEN(SUBSTITUTE(TRIM('Base de Datos'!R58),",","")))),0)&gt;IFERROR(FIND("@",SUBSTITUTE(TRIM('Base de Datos'!R58),".","@",LEN(TRIM('Base de Datos'!R58))-LEN(SUBSTITUTE(TRIM('Base de Datos'!R58),".","")))),0),_xlfn.NUMBERVALUE(SUBSTITUTE(SUBSTITUTE(TRIM('Base de Datos'!R58),".",""),",","."),".",","),_xlfn.NUMBERVALUE(SUBSTITUTE(TRIM('Base de Datos'!R58),",",""),".",",")),"")))</f>
        <v>27.7</v>
      </c>
      <c r="AJ62" s="73" t="n">
        <f aca="false">IF(ISNUMBER(AK62),IF(ISNUMBER('Base de Datos'!Y58),IF('Base de Datos'!Y58&gt;20000,INT('Base de Datos'!Y58),""),IF(TRIM('Base de Datos'!Y58)="","",IFERROR(DATE(VALUE(RIGHT(TRIM('Base de Datos'!Y58),4)),VALUE(MID(TRIM('Base de Datos'!Y58),4,2)),VALUE(LEFT(TRIM('Base de Datos'!Y58),2))),IFERROR(DATEVALUE(TRIM('Base de Datos'!Y58)),"")))),"")</f>
        <v>44850</v>
      </c>
      <c r="AK62" s="74" t="n">
        <f aca="false">IF(ISNUMBER('Base de Datos'!Z58),'Base de Datos'!Z58,IF(TRIM('Base de Datos'!Z58)="","",IFERROR(IF(IFERROR(FIND("@",SUBSTITUTE(TRIM('Base de Datos'!Z58),",","@",LEN(TRIM('Base de Datos'!Z58))-LEN(SUBSTITUTE(TRIM('Base de Datos'!Z58),",","")))),0)&gt;IFERROR(FIND("@",SUBSTITUTE(TRIM('Base de Datos'!Z58),".","@",LEN(TRIM('Base de Datos'!Z58))-LEN(SUBSTITUTE(TRIM('Base de Datos'!Z58),".","")))),0),_xlfn.NUMBERVALUE(SUBSTITUTE(SUBSTITUTE(TRIM('Base de Datos'!Z58),".",""),",","."),".",","),_xlfn.NUMBERVALUE(SUBSTITUTE(TRIM('Base de Datos'!Z58),",",""),".",",")),"")))</f>
        <v>47120.08</v>
      </c>
    </row>
    <row r="63" customFormat="false" ht="13.5" hidden="false" customHeight="false" outlineLevel="0" collapsed="false">
      <c r="A63" s="75" t="n">
        <f aca="false">ROWS(A$13:A63)</f>
        <v>51</v>
      </c>
      <c r="B63" s="73" t="n">
        <f aca="false">IF(B62="","",IFERROR(SMALL($AH$10:$AH$409,COUNTIF($AH$10:$AH$409,"&lt;="&amp;B62)+1),""))</f>
        <v>44836</v>
      </c>
      <c r="C63" s="74" t="n">
        <f aca="false">IF(B63="","",INDEX($AI$10:$AI$409,MATCH(B63,$AH$10:$AH$409,0)))</f>
        <v>26.43</v>
      </c>
      <c r="D63" s="74" t="n">
        <f aca="false">IF(B63="","",IFERROR(INDEX($AK$10:$AK$409,MATCH(B63,$AJ$10:$AJ$409,0)),""))</f>
        <v>45728.87</v>
      </c>
      <c r="E63" s="76" t="n">
        <f aca="false">IF(AND(ISNUMBER(C63),ISNUMBER(C62)),C63/C62-1,"")</f>
        <v>0.00877862595419843</v>
      </c>
      <c r="F63" s="76" t="n">
        <f aca="false">IF(AND(ISNUMBER(D63),ISNUMBER(D62)),D63/D62-1,"")</f>
        <v>0.0246952503876594</v>
      </c>
      <c r="G63" s="75" t="n">
        <f aca="false">IF(AND(ISNUMBER(E63),ISNUMBER(F63)),1,"")</f>
        <v>1</v>
      </c>
      <c r="H63" s="75" t="n">
        <f aca="false">IF(G63=1,COUNT(G63:G$412),"")</f>
        <v>209</v>
      </c>
      <c r="I63" s="75" t="n">
        <f aca="false">IF(G63=1,IF(H63&lt;='Beta Regresión'!$B$5,1,""),"")</f>
        <v>1</v>
      </c>
      <c r="J63" s="76" t="n">
        <f aca="false">IF(I63=1,E63,"")</f>
        <v>0.00877862595419843</v>
      </c>
      <c r="K63" s="76" t="n">
        <f aca="false">IF(I63=1,F63,"")</f>
        <v>0.0246952503876594</v>
      </c>
      <c r="L63" s="75" t="n">
        <f aca="false">IF(I63=1,COUNT(I$13:I63),"")</f>
        <v>50</v>
      </c>
      <c r="M63" s="76" t="n">
        <f aca="false">IFERROR(INDEX($J$13:$J$412,MATCH(A63,$L$13:$L$412,0)),"")</f>
        <v>0.00264850548619</v>
      </c>
      <c r="N63" s="76" t="n">
        <f aca="false">IFERROR(INDEX($K$13:$K$412,MATCH(A63,$L$13:$L$412,0)),"")</f>
        <v>-0.00624375804606592</v>
      </c>
      <c r="O63" s="76" t="n">
        <f aca="false">IF(I63=1,E63,NA())</f>
        <v>0.00877862595419843</v>
      </c>
      <c r="P63" s="76" t="n">
        <f aca="false">IF(I63=1,F63,NA())</f>
        <v>0.0246952503876594</v>
      </c>
      <c r="R63" s="75" t="n">
        <f aca="false">ROWS(R$13:R63)</f>
        <v>51</v>
      </c>
      <c r="S63" s="73" t="n">
        <f aca="false">IF(S62="","",IFERROR(SMALL($AD$10:$AD$509,COUNTIF($AD$10:$AD$509,"&lt;="&amp;S62)+1),""))</f>
        <v>46283</v>
      </c>
      <c r="T63" s="74" t="n">
        <f aca="false">IF(S63="","",INDEX($AE$10:$AE$509,MATCH(S63,$AD$10:$AD$509,0)))</f>
        <v>30.24</v>
      </c>
      <c r="U63" s="74" t="n">
        <f aca="false">IF(S63="","",IFERROR(INDEX($AG$10:$AG$509,MATCH(S63,$AF$10:$AF$509,0)),""))</f>
        <v>63375.93</v>
      </c>
      <c r="V63" s="76" t="n">
        <f aca="false">IF(AND(ISNUMBER(T63),ISNUMBER(T62)),T63/T62-1,"")</f>
        <v>0.00732844770153229</v>
      </c>
      <c r="W63" s="76" t="n">
        <f aca="false">IF(AND(ISNUMBER(U63),ISNUMBER(U62)),U63/U62-1,"")</f>
        <v>-0.00778713240520457</v>
      </c>
      <c r="X63" s="75" t="n">
        <f aca="false">IF(AND(ISNUMBER(V63),ISNUMBER(W63)),1,"")</f>
        <v>1</v>
      </c>
      <c r="Y63" s="76" t="n">
        <f aca="false">IF(X63=1,V63,"")</f>
        <v>0.00732844770153229</v>
      </c>
      <c r="Z63" s="76" t="n">
        <f aca="false">IF(X63=1,W63,"")</f>
        <v>-0.00778713240520457</v>
      </c>
      <c r="AA63" s="76" t="n">
        <f aca="false">IF(X63=1,V63,NA())</f>
        <v>0.00732844770153229</v>
      </c>
      <c r="AB63" s="76" t="n">
        <f aca="false">IF(X63=1,W63,NA())</f>
        <v>-0.00778713240520457</v>
      </c>
      <c r="AD63" s="73" t="n">
        <f aca="false">IF(ISNUMBER(AE63),IF(ISNUMBER('Base de Datos'!A59),IF('Base de Datos'!A59&gt;20000,DATE(YEAR('Base de Datos'!A59),DAY('Base de Datos'!A59),MONTH('Base de Datos'!A59)),""),IF(TRIM('Base de Datos'!A59)="","",IFERROR(DATE(VALUE(RIGHT(TRIM('Base de Datos'!A59),4)),VALUE(LEFT(TRIM('Base de Datos'!A59),2)),VALUE(MID(TRIM('Base de Datos'!A59),4,2))),""))),"")</f>
        <v>46289</v>
      </c>
      <c r="AE63" s="74" t="n">
        <f aca="false">IF(ISNUMBER('Base de Datos'!B59),'Base de Datos'!B59,IF(TRIM('Base de Datos'!B59)="","",IFERROR(IF(IFERROR(FIND("@",SUBSTITUTE(TRIM('Base de Datos'!B59),",","@",LEN(TRIM('Base de Datos'!B59))-LEN(SUBSTITUTE(TRIM('Base de Datos'!B59),",","")))),0)&gt;IFERROR(FIND("@",SUBSTITUTE(TRIM('Base de Datos'!B59),".","@",LEN(TRIM('Base de Datos'!B59))-LEN(SUBSTITUTE(TRIM('Base de Datos'!B59),".","")))),0),_xlfn.NUMBERVALUE(SUBSTITUTE(SUBSTITUTE(TRIM('Base de Datos'!B59),".",""),",","."),".",","),_xlfn.NUMBERVALUE(SUBSTITUTE(TRIM('Base de Datos'!B59),",",""),".",",")),"")))</f>
        <v>32.9</v>
      </c>
      <c r="AF63" s="73" t="n">
        <f aca="false">IF(ISNUMBER(AG63),IF(ISNUMBER('Base de Datos'!I59),IF('Base de Datos'!I59&gt;20000,INT('Base de Datos'!I59),""),IF(TRIM('Base de Datos'!I59)="","",IFERROR(DATE(VALUE(RIGHT(TRIM('Base de Datos'!I59),4)),VALUE(MID(TRIM('Base de Datos'!I59),4,2)),VALUE(LEFT(TRIM('Base de Datos'!I59),2))),IFERROR(DATEVALUE(TRIM('Base de Datos'!I59)),"")))),"")</f>
        <v>46279</v>
      </c>
      <c r="AG63" s="74" t="n">
        <f aca="false">IF(ISNUMBER('Base de Datos'!J59),'Base de Datos'!J59,IF(TRIM('Base de Datos'!J59)="","",IFERROR(IF(IFERROR(FIND("@",SUBSTITUTE(TRIM('Base de Datos'!J59),",","@",LEN(TRIM('Base de Datos'!J59))-LEN(SUBSTITUTE(TRIM('Base de Datos'!J59),",","")))),0)&gt;IFERROR(FIND("@",SUBSTITUTE(TRIM('Base de Datos'!J59),".","@",LEN(TRIM('Base de Datos'!J59))-LEN(SUBSTITUTE(TRIM('Base de Datos'!J59),".","")))),0),_xlfn.NUMBERVALUE(SUBSTITUTE(SUBSTITUTE(TRIM('Base de Datos'!J59),".",""),",","."),".",","),_xlfn.NUMBERVALUE(SUBSTITUTE(TRIM('Base de Datos'!J59),",",""),".",",")),"")))</f>
        <v>64216.98</v>
      </c>
      <c r="AH63" s="73" t="n">
        <f aca="false">IF(ISNUMBER(AI63),IF(ISNUMBER('Base de Datos'!Q59),IF('Base de Datos'!Q59&gt;20000,DATE(YEAR('Base de Datos'!Q59),DAY('Base de Datos'!Q59),MONTH('Base de Datos'!Q59)),""),IF(TRIM('Base de Datos'!Q59)="","",IFERROR(DATE(VALUE(RIGHT(TRIM('Base de Datos'!Q59),4)),VALUE(LEFT(TRIM('Base de Datos'!Q59),2)),VALUE(MID(TRIM('Base de Datos'!Q59),4,2))),""))),"")</f>
        <v>44857</v>
      </c>
      <c r="AI63" s="74" t="n">
        <f aca="false">IF(ISNUMBER('Base de Datos'!R59),'Base de Datos'!R59,IF(TRIM('Base de Datos'!R59)="","",IFERROR(IF(IFERROR(FIND("@",SUBSTITUTE(TRIM('Base de Datos'!R59),",","@",LEN(TRIM('Base de Datos'!R59))-LEN(SUBSTITUTE(TRIM('Base de Datos'!R59),",","")))),0)&gt;IFERROR(FIND("@",SUBSTITUTE(TRIM('Base de Datos'!R59),".","@",LEN(TRIM('Base de Datos'!R59))-LEN(SUBSTITUTE(TRIM('Base de Datos'!R59),".","")))),0),_xlfn.NUMBERVALUE(SUBSTITUTE(SUBSTITUTE(TRIM('Base de Datos'!R59),".",""),",","."),".",","),_xlfn.NUMBERVALUE(SUBSTITUTE(TRIM('Base de Datos'!R59),",",""),".",",")),"")))</f>
        <v>30.43</v>
      </c>
      <c r="AJ63" s="73" t="n">
        <f aca="false">IF(ISNUMBER(AK63),IF(ISNUMBER('Base de Datos'!Y59),IF('Base de Datos'!Y59&gt;20000,INT('Base de Datos'!Y59),""),IF(TRIM('Base de Datos'!Y59)="","",IFERROR(DATE(VALUE(RIGHT(TRIM('Base de Datos'!Y59),4)),VALUE(MID(TRIM('Base de Datos'!Y59),4,2)),VALUE(LEFT(TRIM('Base de Datos'!Y59),2))),IFERROR(DATEVALUE(TRIM('Base de Datos'!Y59)),"")))),"")</f>
        <v>44857</v>
      </c>
      <c r="AK63" s="74" t="n">
        <f aca="false">IF(ISNUMBER('Base de Datos'!Z59),'Base de Datos'!Z59,IF(TRIM('Base de Datos'!Z59)="","",IFERROR(IF(IFERROR(FIND("@",SUBSTITUTE(TRIM('Base de Datos'!Z59),",","@",LEN(TRIM('Base de Datos'!Z59))-LEN(SUBSTITUTE(TRIM('Base de Datos'!Z59),",","")))),0)&gt;IFERROR(FIND("@",SUBSTITUTE(TRIM('Base de Datos'!Z59),".","@",LEN(TRIM('Base de Datos'!Z59))-LEN(SUBSTITUTE(TRIM('Base de Datos'!Z59),".","")))),0),_xlfn.NUMBERVALUE(SUBSTITUTE(SUBSTITUTE(TRIM('Base de Datos'!Z59),".",""),",","."),".",","),_xlfn.NUMBERVALUE(SUBSTITUTE(TRIM('Base de Datos'!Z59),",",""),".",",")),"")))</f>
        <v>49086.3</v>
      </c>
    </row>
    <row r="64" customFormat="false" ht="13.5" hidden="false" customHeight="false" outlineLevel="0" collapsed="false">
      <c r="A64" s="75" t="n">
        <f aca="false">ROWS(A$13:A64)</f>
        <v>52</v>
      </c>
      <c r="B64" s="73" t="n">
        <f aca="false">IF(B63="","",IFERROR(SMALL($AH$10:$AH$409,COUNTIF($AH$10:$AH$409,"&lt;="&amp;B63)+1),""))</f>
        <v>44843</v>
      </c>
      <c r="C64" s="74" t="n">
        <f aca="false">IF(B64="","",INDEX($AI$10:$AI$409,MATCH(B64,$AH$10:$AH$409,0)))</f>
        <v>26.5</v>
      </c>
      <c r="D64" s="74" t="n">
        <f aca="false">IF(B64="","",IFERROR(INDEX($AK$10:$AK$409,MATCH(B64,$AJ$10:$AJ$409,0)),""))</f>
        <v>45443.35</v>
      </c>
      <c r="E64" s="76" t="n">
        <f aca="false">IF(AND(ISNUMBER(C64),ISNUMBER(C63)),C64/C63-1,"")</f>
        <v>0.00264850548619</v>
      </c>
      <c r="F64" s="76" t="n">
        <f aca="false">IF(AND(ISNUMBER(D64),ISNUMBER(D63)),D64/D63-1,"")</f>
        <v>-0.00624375804606592</v>
      </c>
      <c r="G64" s="75" t="n">
        <f aca="false">IF(AND(ISNUMBER(E64),ISNUMBER(F64)),1,"")</f>
        <v>1</v>
      </c>
      <c r="H64" s="75" t="n">
        <f aca="false">IF(G64=1,COUNT(G64:G$412),"")</f>
        <v>208</v>
      </c>
      <c r="I64" s="75" t="n">
        <f aca="false">IF(G64=1,IF(H64&lt;='Beta Regresión'!$B$5,1,""),"")</f>
        <v>1</v>
      </c>
      <c r="J64" s="76" t="n">
        <f aca="false">IF(I64=1,E64,"")</f>
        <v>0.00264850548619</v>
      </c>
      <c r="K64" s="76" t="n">
        <f aca="false">IF(I64=1,F64,"")</f>
        <v>-0.00624375804606592</v>
      </c>
      <c r="L64" s="75" t="n">
        <f aca="false">IF(I64=1,COUNT(I$13:I64),"")</f>
        <v>51</v>
      </c>
      <c r="M64" s="76" t="n">
        <f aca="false">IFERROR(INDEX($J$13:$J$412,MATCH(A64,$L$13:$L$412,0)),"")</f>
        <v>0.0452830188679245</v>
      </c>
      <c r="N64" s="76" t="n">
        <f aca="false">IFERROR(INDEX($K$13:$K$412,MATCH(A64,$L$13:$L$412,0)),"")</f>
        <v>0.0368971477674953</v>
      </c>
      <c r="O64" s="76" t="n">
        <f aca="false">IF(I64=1,E64,NA())</f>
        <v>0.00264850548619</v>
      </c>
      <c r="P64" s="76" t="n">
        <f aca="false">IF(I64=1,F64,NA())</f>
        <v>-0.00624375804606592</v>
      </c>
      <c r="R64" s="75" t="n">
        <f aca="false">ROWS(R$13:R64)</f>
        <v>52</v>
      </c>
      <c r="S64" s="73" t="n">
        <f aca="false">IF(S63="","",IFERROR(SMALL($AD$10:$AD$509,COUNTIF($AD$10:$AD$509,"&lt;="&amp;S63)+1),""))</f>
        <v>46286</v>
      </c>
      <c r="T64" s="74" t="n">
        <f aca="false">IF(S64="","",INDEX($AE$10:$AE$509,MATCH(S64,$AD$10:$AD$509,0)))</f>
        <v>30.1</v>
      </c>
      <c r="U64" s="74" t="n">
        <f aca="false">IF(S64="","",IFERROR(INDEX($AG$10:$AG$509,MATCH(S64,$AF$10:$AF$509,0)),""))</f>
        <v>63536.96</v>
      </c>
      <c r="V64" s="76" t="n">
        <f aca="false">IF(AND(ISNUMBER(T64),ISNUMBER(T63)),T64/T63-1,"")</f>
        <v>-0.00462962962962954</v>
      </c>
      <c r="W64" s="76" t="n">
        <f aca="false">IF(AND(ISNUMBER(U64),ISNUMBER(U63)),U64/U63-1,"")</f>
        <v>0.00254087001169046</v>
      </c>
      <c r="X64" s="75" t="n">
        <f aca="false">IF(AND(ISNUMBER(V64),ISNUMBER(W64)),1,"")</f>
        <v>1</v>
      </c>
      <c r="Y64" s="76" t="n">
        <f aca="false">IF(X64=1,V64,"")</f>
        <v>-0.00462962962962954</v>
      </c>
      <c r="Z64" s="76" t="n">
        <f aca="false">IF(X64=1,W64,"")</f>
        <v>0.00254087001169046</v>
      </c>
      <c r="AA64" s="76" t="n">
        <f aca="false">IF(X64=1,V64,NA())</f>
        <v>-0.00462962962962954</v>
      </c>
      <c r="AB64" s="76" t="n">
        <f aca="false">IF(X64=1,W64,NA())</f>
        <v>0.00254087001169046</v>
      </c>
      <c r="AD64" s="73" t="n">
        <f aca="false">IF(ISNUMBER(AE64),IF(ISNUMBER('Base de Datos'!A60),IF('Base de Datos'!A60&gt;20000,DATE(YEAR('Base de Datos'!A60),DAY('Base de Datos'!A60),MONTH('Base de Datos'!A60)),""),IF(TRIM('Base de Datos'!A60)="","",IFERROR(DATE(VALUE(RIGHT(TRIM('Base de Datos'!A60),4)),VALUE(LEFT(TRIM('Base de Datos'!A60),2)),VALUE(MID(TRIM('Base de Datos'!A60),4,2))),""))),"")</f>
        <v>46290</v>
      </c>
      <c r="AE64" s="74" t="n">
        <f aca="false">IF(ISNUMBER('Base de Datos'!B60),'Base de Datos'!B60,IF(TRIM('Base de Datos'!B60)="","",IFERROR(IF(IFERROR(FIND("@",SUBSTITUTE(TRIM('Base de Datos'!B60),",","@",LEN(TRIM('Base de Datos'!B60))-LEN(SUBSTITUTE(TRIM('Base de Datos'!B60),",","")))),0)&gt;IFERROR(FIND("@",SUBSTITUTE(TRIM('Base de Datos'!B60),".","@",LEN(TRIM('Base de Datos'!B60))-LEN(SUBSTITUTE(TRIM('Base de Datos'!B60),".","")))),0),_xlfn.NUMBERVALUE(SUBSTITUTE(SUBSTITUTE(TRIM('Base de Datos'!B60),".",""),",","."),".",","),_xlfn.NUMBERVALUE(SUBSTITUTE(TRIM('Base de Datos'!B60),",",""),".",",")),"")))</f>
        <v>33.48</v>
      </c>
      <c r="AF64" s="73" t="n">
        <f aca="false">IF(ISNUMBER(AG64),IF(ISNUMBER('Base de Datos'!I60),IF('Base de Datos'!I60&gt;20000,INT('Base de Datos'!I60),""),IF(TRIM('Base de Datos'!I60)="","",IFERROR(DATE(VALUE(RIGHT(TRIM('Base de Datos'!I60),4)),VALUE(MID(TRIM('Base de Datos'!I60),4,2)),VALUE(LEFT(TRIM('Base de Datos'!I60),2))),IFERROR(DATEVALUE(TRIM('Base de Datos'!I60)),"")))),"")</f>
        <v>46280</v>
      </c>
      <c r="AG64" s="74" t="n">
        <f aca="false">IF(ISNUMBER('Base de Datos'!J60),'Base de Datos'!J60,IF(TRIM('Base de Datos'!J60)="","",IFERROR(IF(IFERROR(FIND("@",SUBSTITUTE(TRIM('Base de Datos'!J60),",","@",LEN(TRIM('Base de Datos'!J60))-LEN(SUBSTITUTE(TRIM('Base de Datos'!J60),",","")))),0)&gt;IFERROR(FIND("@",SUBSTITUTE(TRIM('Base de Datos'!J60),".","@",LEN(TRIM('Base de Datos'!J60))-LEN(SUBSTITUTE(TRIM('Base de Datos'!J60),".","")))),0),_xlfn.NUMBERVALUE(SUBSTITUTE(SUBSTITUTE(TRIM('Base de Datos'!J60),".",""),",","."),".",","),_xlfn.NUMBERVALUE(SUBSTITUTE(TRIM('Base de Datos'!J60),",",""),".",",")),"")))</f>
        <v>63507.11</v>
      </c>
      <c r="AH64" s="73" t="n">
        <f aca="false">IF(ISNUMBER(AI64),IF(ISNUMBER('Base de Datos'!Q60),IF('Base de Datos'!Q60&gt;20000,DATE(YEAR('Base de Datos'!Q60),DAY('Base de Datos'!Q60),MONTH('Base de Datos'!Q60)),""),IF(TRIM('Base de Datos'!Q60)="","",IFERROR(DATE(VALUE(RIGHT(TRIM('Base de Datos'!Q60),4)),VALUE(LEFT(TRIM('Base de Datos'!Q60),2)),VALUE(MID(TRIM('Base de Datos'!Q60),4,2))),""))),"")</f>
        <v>44864</v>
      </c>
      <c r="AI64" s="74" t="n">
        <f aca="false">IF(ISNUMBER('Base de Datos'!R60),'Base de Datos'!R60,IF(TRIM('Base de Datos'!R60)="","",IFERROR(IF(IFERROR(FIND("@",SUBSTITUTE(TRIM('Base de Datos'!R60),",","@",LEN(TRIM('Base de Datos'!R60))-LEN(SUBSTITUTE(TRIM('Base de Datos'!R60),",","")))),0)&gt;IFERROR(FIND("@",SUBSTITUTE(TRIM('Base de Datos'!R60),".","@",LEN(TRIM('Base de Datos'!R60))-LEN(SUBSTITUTE(TRIM('Base de Datos'!R60),".","")))),0),_xlfn.NUMBERVALUE(SUBSTITUTE(SUBSTITUTE(TRIM('Base de Datos'!R60),".",""),",","."),".",","),_xlfn.NUMBERVALUE(SUBSTITUTE(TRIM('Base de Datos'!R60),",",""),".",",")),"")))</f>
        <v>30.04</v>
      </c>
      <c r="AJ64" s="73" t="n">
        <f aca="false">IF(ISNUMBER(AK64),IF(ISNUMBER('Base de Datos'!Y60),IF('Base de Datos'!Y60&gt;20000,INT('Base de Datos'!Y60),""),IF(TRIM('Base de Datos'!Y60)="","",IFERROR(DATE(VALUE(RIGHT(TRIM('Base de Datos'!Y60),4)),VALUE(MID(TRIM('Base de Datos'!Y60),4,2)),VALUE(LEFT(TRIM('Base de Datos'!Y60),2))),IFERROR(DATEVALUE(TRIM('Base de Datos'!Y60)),"")))),"")</f>
        <v>44864</v>
      </c>
      <c r="AK64" s="74" t="n">
        <f aca="false">IF(ISNUMBER('Base de Datos'!Z60),'Base de Datos'!Z60,IF(TRIM('Base de Datos'!Z60)="","",IFERROR(IF(IFERROR(FIND("@",SUBSTITUTE(TRIM('Base de Datos'!Z60),",","@",LEN(TRIM('Base de Datos'!Z60))-LEN(SUBSTITUTE(TRIM('Base de Datos'!Z60),",","")))),0)&gt;IFERROR(FIND("@",SUBSTITUTE(TRIM('Base de Datos'!Z60),".","@",LEN(TRIM('Base de Datos'!Z60))-LEN(SUBSTITUTE(TRIM('Base de Datos'!Z60),".","")))),0),_xlfn.NUMBERVALUE(SUBSTITUTE(SUBSTITUTE(TRIM('Base de Datos'!Z60),".",""),",","."),".",","),_xlfn.NUMBERVALUE(SUBSTITUTE(TRIM('Base de Datos'!Z60),",",""),".",",")),"")))</f>
        <v>51173.75</v>
      </c>
    </row>
    <row r="65" customFormat="false" ht="13.5" hidden="false" customHeight="false" outlineLevel="0" collapsed="false">
      <c r="A65" s="75" t="n">
        <f aca="false">ROWS(A$13:A65)</f>
        <v>53</v>
      </c>
      <c r="B65" s="73" t="n">
        <f aca="false">IF(B64="","",IFERROR(SMALL($AH$10:$AH$409,COUNTIF($AH$10:$AH$409,"&lt;="&amp;B64)+1),""))</f>
        <v>44850</v>
      </c>
      <c r="C65" s="74" t="n">
        <f aca="false">IF(B65="","",INDEX($AI$10:$AI$409,MATCH(B65,$AH$10:$AH$409,0)))</f>
        <v>27.7</v>
      </c>
      <c r="D65" s="74" t="n">
        <f aca="false">IF(B65="","",IFERROR(INDEX($AK$10:$AK$409,MATCH(B65,$AJ$10:$AJ$409,0)),""))</f>
        <v>47120.08</v>
      </c>
      <c r="E65" s="76" t="n">
        <f aca="false">IF(AND(ISNUMBER(C65),ISNUMBER(C64)),C65/C64-1,"")</f>
        <v>0.0452830188679245</v>
      </c>
      <c r="F65" s="76" t="n">
        <f aca="false">IF(AND(ISNUMBER(D65),ISNUMBER(D64)),D65/D64-1,"")</f>
        <v>0.0368971477674953</v>
      </c>
      <c r="G65" s="75" t="n">
        <f aca="false">IF(AND(ISNUMBER(E65),ISNUMBER(F65)),1,"")</f>
        <v>1</v>
      </c>
      <c r="H65" s="75" t="n">
        <f aca="false">IF(G65=1,COUNT(G65:G$412),"")</f>
        <v>207</v>
      </c>
      <c r="I65" s="75" t="n">
        <f aca="false">IF(G65=1,IF(H65&lt;='Beta Regresión'!$B$5,1,""),"")</f>
        <v>1</v>
      </c>
      <c r="J65" s="76" t="n">
        <f aca="false">IF(I65=1,E65,"")</f>
        <v>0.0452830188679245</v>
      </c>
      <c r="K65" s="76" t="n">
        <f aca="false">IF(I65=1,F65,"")</f>
        <v>0.0368971477674953</v>
      </c>
      <c r="L65" s="75" t="n">
        <f aca="false">IF(I65=1,COUNT(I$13:I65),"")</f>
        <v>52</v>
      </c>
      <c r="M65" s="76" t="n">
        <f aca="false">IFERROR(INDEX($J$13:$J$412,MATCH(A65,$L$13:$L$412,0)),"")</f>
        <v>0.0985559566787004</v>
      </c>
      <c r="N65" s="76" t="n">
        <f aca="false">IFERROR(INDEX($K$13:$K$412,MATCH(A65,$L$13:$L$412,0)),"")</f>
        <v>0.04172785784744</v>
      </c>
      <c r="O65" s="76" t="n">
        <f aca="false">IF(I65=1,E65,NA())</f>
        <v>0.0452830188679245</v>
      </c>
      <c r="P65" s="76" t="n">
        <f aca="false">IF(I65=1,F65,NA())</f>
        <v>0.0368971477674953</v>
      </c>
      <c r="R65" s="75" t="n">
        <f aca="false">ROWS(R$13:R65)</f>
        <v>53</v>
      </c>
      <c r="S65" s="73" t="n">
        <f aca="false">IF(S64="","",IFERROR(SMALL($AD$10:$AD$509,COUNTIF($AD$10:$AD$509,"&lt;="&amp;S64)+1),""))</f>
        <v>46288</v>
      </c>
      <c r="T65" s="74" t="n">
        <f aca="false">IF(S65="","",INDEX($AE$10:$AE$509,MATCH(S65,$AD$10:$AD$509,0)))</f>
        <v>30.8</v>
      </c>
      <c r="U65" s="74" t="n">
        <f aca="false">IF(S65="","",IFERROR(INDEX($AG$10:$AG$509,MATCH(S65,$AF$10:$AF$509,0)),""))</f>
        <v>64276.72</v>
      </c>
      <c r="V65" s="76" t="n">
        <f aca="false">IF(AND(ISNUMBER(T65),ISNUMBER(T64)),T65/T64-1,"")</f>
        <v>0.0232558139534884</v>
      </c>
      <c r="W65" s="76" t="n">
        <f aca="false">IF(AND(ISNUMBER(U65),ISNUMBER(U64)),U65/U64-1,"")</f>
        <v>0.0116429870110248</v>
      </c>
      <c r="X65" s="75" t="n">
        <f aca="false">IF(AND(ISNUMBER(V65),ISNUMBER(W65)),1,"")</f>
        <v>1</v>
      </c>
      <c r="Y65" s="76" t="n">
        <f aca="false">IF(X65=1,V65,"")</f>
        <v>0.0232558139534884</v>
      </c>
      <c r="Z65" s="76" t="n">
        <f aca="false">IF(X65=1,W65,"")</f>
        <v>0.0116429870110248</v>
      </c>
      <c r="AA65" s="76" t="n">
        <f aca="false">IF(X65=1,V65,NA())</f>
        <v>0.0232558139534884</v>
      </c>
      <c r="AB65" s="76" t="n">
        <f aca="false">IF(X65=1,W65,NA())</f>
        <v>0.0116429870110248</v>
      </c>
      <c r="AD65" s="73" t="n">
        <f aca="false">IF(ISNUMBER(AE65),IF(ISNUMBER('Base de Datos'!A61),IF('Base de Datos'!A61&gt;20000,DATE(YEAR('Base de Datos'!A61),DAY('Base de Datos'!A61),MONTH('Base de Datos'!A61)),""),IF(TRIM('Base de Datos'!A61)="","",IFERROR(DATE(VALUE(RIGHT(TRIM('Base de Datos'!A61),4)),VALUE(LEFT(TRIM('Base de Datos'!A61),2)),VALUE(MID(TRIM('Base de Datos'!A61),4,2))),""))),"")</f>
        <v>46293</v>
      </c>
      <c r="AE65" s="74" t="n">
        <f aca="false">IF(ISNUMBER('Base de Datos'!B61),'Base de Datos'!B61,IF(TRIM('Base de Datos'!B61)="","",IFERROR(IF(IFERROR(FIND("@",SUBSTITUTE(TRIM('Base de Datos'!B61),",","@",LEN(TRIM('Base de Datos'!B61))-LEN(SUBSTITUTE(TRIM('Base de Datos'!B61),",","")))),0)&gt;IFERROR(FIND("@",SUBSTITUTE(TRIM('Base de Datos'!B61),".","@",LEN(TRIM('Base de Datos'!B61))-LEN(SUBSTITUTE(TRIM('Base de Datos'!B61),".","")))),0),_xlfn.NUMBERVALUE(SUBSTITUTE(SUBSTITUTE(TRIM('Base de Datos'!B61),".",""),",","."),".",","),_xlfn.NUMBERVALUE(SUBSTITUTE(TRIM('Base de Datos'!B61),",",""),".",",")),"")))</f>
        <v>33.85</v>
      </c>
      <c r="AF65" s="73" t="n">
        <f aca="false">IF(ISNUMBER(AG65),IF(ISNUMBER('Base de Datos'!I61),IF('Base de Datos'!I61&gt;20000,INT('Base de Datos'!I61),""),IF(TRIM('Base de Datos'!I61)="","",IFERROR(DATE(VALUE(RIGHT(TRIM('Base de Datos'!I61),4)),VALUE(MID(TRIM('Base de Datos'!I61),4,2)),VALUE(LEFT(TRIM('Base de Datos'!I61),2))),IFERROR(DATEVALUE(TRIM('Base de Datos'!I61)),"")))),"")</f>
        <v>46282</v>
      </c>
      <c r="AG65" s="74" t="n">
        <f aca="false">IF(ISNUMBER('Base de Datos'!J61),'Base de Datos'!J61,IF(TRIM('Base de Datos'!J61)="","",IFERROR(IF(IFERROR(FIND("@",SUBSTITUTE(TRIM('Base de Datos'!J61),",","@",LEN(TRIM('Base de Datos'!J61))-LEN(SUBSTITUTE(TRIM('Base de Datos'!J61),",","")))),0)&gt;IFERROR(FIND("@",SUBSTITUTE(TRIM('Base de Datos'!J61),".","@",LEN(TRIM('Base de Datos'!J61))-LEN(SUBSTITUTE(TRIM('Base de Datos'!J61),".","")))),0),_xlfn.NUMBERVALUE(SUBSTITUTE(SUBSTITUTE(TRIM('Base de Datos'!J61),".",""),",","."),".",","),_xlfn.NUMBERVALUE(SUBSTITUTE(TRIM('Base de Datos'!J61),",",""),".",",")),"")))</f>
        <v>63873.32</v>
      </c>
      <c r="AH65" s="73" t="n">
        <f aca="false">IF(ISNUMBER(AI65),IF(ISNUMBER('Base de Datos'!Q61),IF('Base de Datos'!Q61&gt;20000,DATE(YEAR('Base de Datos'!Q61),DAY('Base de Datos'!Q61),MONTH('Base de Datos'!Q61)),""),IF(TRIM('Base de Datos'!Q61)="","",IFERROR(DATE(VALUE(RIGHT(TRIM('Base de Datos'!Q61),4)),VALUE(LEFT(TRIM('Base de Datos'!Q61),2)),VALUE(MID(TRIM('Base de Datos'!Q61),4,2))),""))),"")</f>
        <v>44871</v>
      </c>
      <c r="AI65" s="74" t="n">
        <f aca="false">IF(ISNUMBER('Base de Datos'!R61),'Base de Datos'!R61,IF(TRIM('Base de Datos'!R61)="","",IFERROR(IF(IFERROR(FIND("@",SUBSTITUTE(TRIM('Base de Datos'!R61),",","@",LEN(TRIM('Base de Datos'!R61))-LEN(SUBSTITUTE(TRIM('Base de Datos'!R61),",","")))),0)&gt;IFERROR(FIND("@",SUBSTITUTE(TRIM('Base de Datos'!R61),".","@",LEN(TRIM('Base de Datos'!R61))-LEN(SUBSTITUTE(TRIM('Base de Datos'!R61),".","")))),0),_xlfn.NUMBERVALUE(SUBSTITUTE(SUBSTITUTE(TRIM('Base de Datos'!R61),".",""),",","."),".",","),_xlfn.NUMBERVALUE(SUBSTITUTE(TRIM('Base de Datos'!R61),",",""),".",",")),"")))</f>
        <v>29.95</v>
      </c>
      <c r="AJ65" s="73" t="n">
        <f aca="false">IF(ISNUMBER(AK65),IF(ISNUMBER('Base de Datos'!Y61),IF('Base de Datos'!Y61&gt;20000,INT('Base de Datos'!Y61),""),IF(TRIM('Base de Datos'!Y61)="","",IFERROR(DATE(VALUE(RIGHT(TRIM('Base de Datos'!Y61),4)),VALUE(MID(TRIM('Base de Datos'!Y61),4,2)),VALUE(LEFT(TRIM('Base de Datos'!Y61),2))),IFERROR(DATEVALUE(TRIM('Base de Datos'!Y61)),"")))),"")</f>
        <v>44871</v>
      </c>
      <c r="AK65" s="74" t="n">
        <f aca="false">IF(ISNUMBER('Base de Datos'!Z61),'Base de Datos'!Z61,IF(TRIM('Base de Datos'!Z61)="","",IFERROR(IF(IFERROR(FIND("@",SUBSTITUTE(TRIM('Base de Datos'!Z61),",","@",LEN(TRIM('Base de Datos'!Z61))-LEN(SUBSTITUTE(TRIM('Base de Datos'!Z61),",","")))),0)&gt;IFERROR(FIND("@",SUBSTITUTE(TRIM('Base de Datos'!Z61),".","@",LEN(TRIM('Base de Datos'!Z61))-LEN(SUBSTITUTE(TRIM('Base de Datos'!Z61),".","")))),0),_xlfn.NUMBERVALUE(SUBSTITUTE(SUBSTITUTE(TRIM('Base de Datos'!Z61),".",""),",","."),".",","),_xlfn.NUMBERVALUE(SUBSTITUTE(TRIM('Base de Datos'!Z61),",",""),".",",")),"")))</f>
        <v>51959.2</v>
      </c>
    </row>
    <row r="66" customFormat="false" ht="13.5" hidden="false" customHeight="false" outlineLevel="0" collapsed="false">
      <c r="A66" s="75" t="n">
        <f aca="false">ROWS(A$13:A66)</f>
        <v>54</v>
      </c>
      <c r="B66" s="73" t="n">
        <f aca="false">IF(B65="","",IFERROR(SMALL($AH$10:$AH$409,COUNTIF($AH$10:$AH$409,"&lt;="&amp;B65)+1),""))</f>
        <v>44857</v>
      </c>
      <c r="C66" s="74" t="n">
        <f aca="false">IF(B66="","",INDEX($AI$10:$AI$409,MATCH(B66,$AH$10:$AH$409,0)))</f>
        <v>30.43</v>
      </c>
      <c r="D66" s="74" t="n">
        <f aca="false">IF(B66="","",IFERROR(INDEX($AK$10:$AK$409,MATCH(B66,$AJ$10:$AJ$409,0)),""))</f>
        <v>49086.3</v>
      </c>
      <c r="E66" s="76" t="n">
        <f aca="false">IF(AND(ISNUMBER(C66),ISNUMBER(C65)),C66/C65-1,"")</f>
        <v>0.0985559566787004</v>
      </c>
      <c r="F66" s="76" t="n">
        <f aca="false">IF(AND(ISNUMBER(D66),ISNUMBER(D65)),D66/D65-1,"")</f>
        <v>0.04172785784744</v>
      </c>
      <c r="G66" s="75" t="n">
        <f aca="false">IF(AND(ISNUMBER(E66),ISNUMBER(F66)),1,"")</f>
        <v>1</v>
      </c>
      <c r="H66" s="75" t="n">
        <f aca="false">IF(G66=1,COUNT(G66:G$412),"")</f>
        <v>206</v>
      </c>
      <c r="I66" s="75" t="n">
        <f aca="false">IF(G66=1,IF(H66&lt;='Beta Regresión'!$B$5,1,""),"")</f>
        <v>1</v>
      </c>
      <c r="J66" s="76" t="n">
        <f aca="false">IF(I66=1,E66,"")</f>
        <v>0.0985559566787004</v>
      </c>
      <c r="K66" s="76" t="n">
        <f aca="false">IF(I66=1,F66,"")</f>
        <v>0.04172785784744</v>
      </c>
      <c r="L66" s="75" t="n">
        <f aca="false">IF(I66=1,COUNT(I$13:I66),"")</f>
        <v>53</v>
      </c>
      <c r="M66" s="76" t="n">
        <f aca="false">IFERROR(INDEX($J$13:$J$412,MATCH(A66,$L$13:$L$412,0)),"")</f>
        <v>-0.0128162997042393</v>
      </c>
      <c r="N66" s="76" t="n">
        <f aca="false">IFERROR(INDEX($K$13:$K$412,MATCH(A66,$L$13:$L$412,0)),"")</f>
        <v>0.0425261223600066</v>
      </c>
      <c r="O66" s="76" t="n">
        <f aca="false">IF(I66=1,E66,NA())</f>
        <v>0.0985559566787004</v>
      </c>
      <c r="P66" s="76" t="n">
        <f aca="false">IF(I66=1,F66,NA())</f>
        <v>0.04172785784744</v>
      </c>
      <c r="R66" s="75" t="n">
        <f aca="false">ROWS(R$13:R66)</f>
        <v>54</v>
      </c>
      <c r="S66" s="73" t="n">
        <f aca="false">IF(S65="","",IFERROR(SMALL($AD$10:$AD$509,COUNTIF($AD$10:$AD$509,"&lt;="&amp;S65)+1),""))</f>
        <v>46289</v>
      </c>
      <c r="T66" s="74" t="n">
        <f aca="false">IF(S66="","",INDEX($AE$10:$AE$509,MATCH(S66,$AD$10:$AD$509,0)))</f>
        <v>32.9</v>
      </c>
      <c r="U66" s="74" t="n">
        <f aca="false">IF(S66="","",IFERROR(INDEX($AG$10:$AG$509,MATCH(S66,$AF$10:$AF$509,0)),""))</f>
        <v>64264.16</v>
      </c>
      <c r="V66" s="76" t="n">
        <f aca="false">IF(AND(ISNUMBER(T66),ISNUMBER(T65)),T66/T65-1,"")</f>
        <v>0.0681818181818181</v>
      </c>
      <c r="W66" s="76" t="n">
        <f aca="false">IF(AND(ISNUMBER(U66),ISNUMBER(U65)),U66/U65-1,"")</f>
        <v>-0.000195405117124792</v>
      </c>
      <c r="X66" s="75" t="n">
        <f aca="false">IF(AND(ISNUMBER(V66),ISNUMBER(W66)),1,"")</f>
        <v>1</v>
      </c>
      <c r="Y66" s="76" t="n">
        <f aca="false">IF(X66=1,V66,"")</f>
        <v>0.0681818181818181</v>
      </c>
      <c r="Z66" s="76" t="n">
        <f aca="false">IF(X66=1,W66,"")</f>
        <v>-0.000195405117124792</v>
      </c>
      <c r="AA66" s="76" t="n">
        <f aca="false">IF(X66=1,V66,NA())</f>
        <v>0.0681818181818181</v>
      </c>
      <c r="AB66" s="76" t="n">
        <f aca="false">IF(X66=1,W66,NA())</f>
        <v>-0.000195405117124792</v>
      </c>
      <c r="AD66" s="73" t="n">
        <f aca="false">IF(ISNUMBER(AE66),IF(ISNUMBER('Base de Datos'!A62),IF('Base de Datos'!A62&gt;20000,DATE(YEAR('Base de Datos'!A62),DAY('Base de Datos'!A62),MONTH('Base de Datos'!A62)),""),IF(TRIM('Base de Datos'!A62)="","",IFERROR(DATE(VALUE(RIGHT(TRIM('Base de Datos'!A62),4)),VALUE(LEFT(TRIM('Base de Datos'!A62),2)),VALUE(MID(TRIM('Base de Datos'!A62),4,2))),""))),"")</f>
        <v>46294</v>
      </c>
      <c r="AE66" s="74" t="n">
        <f aca="false">IF(ISNUMBER('Base de Datos'!B62),'Base de Datos'!B62,IF(TRIM('Base de Datos'!B62)="","",IFERROR(IF(IFERROR(FIND("@",SUBSTITUTE(TRIM('Base de Datos'!B62),",","@",LEN(TRIM('Base de Datos'!B62))-LEN(SUBSTITUTE(TRIM('Base de Datos'!B62),",","")))),0)&gt;IFERROR(FIND("@",SUBSTITUTE(TRIM('Base de Datos'!B62),".","@",LEN(TRIM('Base de Datos'!B62))-LEN(SUBSTITUTE(TRIM('Base de Datos'!B62),".","")))),0),_xlfn.NUMBERVALUE(SUBSTITUTE(SUBSTITUTE(TRIM('Base de Datos'!B62),".",""),",","."),".",","),_xlfn.NUMBERVALUE(SUBSTITUTE(TRIM('Base de Datos'!B62),",",""),".",",")),"")))</f>
        <v>34.5</v>
      </c>
      <c r="AF66" s="73" t="n">
        <f aca="false">IF(ISNUMBER(AG66),IF(ISNUMBER('Base de Datos'!I62),IF('Base de Datos'!I62&gt;20000,INT('Base de Datos'!I62),""),IF(TRIM('Base de Datos'!I62)="","",IFERROR(DATE(VALUE(RIGHT(TRIM('Base de Datos'!I62),4)),VALUE(MID(TRIM('Base de Datos'!I62),4,2)),VALUE(LEFT(TRIM('Base de Datos'!I62),2))),IFERROR(DATEVALUE(TRIM('Base de Datos'!I62)),"")))),"")</f>
        <v>46283</v>
      </c>
      <c r="AG66" s="74" t="n">
        <f aca="false">IF(ISNUMBER('Base de Datos'!J62),'Base de Datos'!J62,IF(TRIM('Base de Datos'!J62)="","",IFERROR(IF(IFERROR(FIND("@",SUBSTITUTE(TRIM('Base de Datos'!J62),",","@",LEN(TRIM('Base de Datos'!J62))-LEN(SUBSTITUTE(TRIM('Base de Datos'!J62),",","")))),0)&gt;IFERROR(FIND("@",SUBSTITUTE(TRIM('Base de Datos'!J62),".","@",LEN(TRIM('Base de Datos'!J62))-LEN(SUBSTITUTE(TRIM('Base de Datos'!J62),".","")))),0),_xlfn.NUMBERVALUE(SUBSTITUTE(SUBSTITUTE(TRIM('Base de Datos'!J62),".",""),",","."),".",","),_xlfn.NUMBERVALUE(SUBSTITUTE(TRIM('Base de Datos'!J62),",",""),".",",")),"")))</f>
        <v>63375.93</v>
      </c>
      <c r="AH66" s="73" t="n">
        <f aca="false">IF(ISNUMBER(AI66),IF(ISNUMBER('Base de Datos'!Q62),IF('Base de Datos'!Q62&gt;20000,DATE(YEAR('Base de Datos'!Q62),DAY('Base de Datos'!Q62),MONTH('Base de Datos'!Q62)),""),IF(TRIM('Base de Datos'!Q62)="","",IFERROR(DATE(VALUE(RIGHT(TRIM('Base de Datos'!Q62),4)),VALUE(LEFT(TRIM('Base de Datos'!Q62),2)),VALUE(MID(TRIM('Base de Datos'!Q62),4,2))),""))),"")</f>
        <v>44878</v>
      </c>
      <c r="AI66" s="74" t="n">
        <f aca="false">IF(ISNUMBER('Base de Datos'!R62),'Base de Datos'!R62,IF(TRIM('Base de Datos'!R62)="","",IFERROR(IF(IFERROR(FIND("@",SUBSTITUTE(TRIM('Base de Datos'!R62),",","@",LEN(TRIM('Base de Datos'!R62))-LEN(SUBSTITUTE(TRIM('Base de Datos'!R62),",","")))),0)&gt;IFERROR(FIND("@",SUBSTITUTE(TRIM('Base de Datos'!R62),".","@",LEN(TRIM('Base de Datos'!R62))-LEN(SUBSTITUTE(TRIM('Base de Datos'!R62),".","")))),0),_xlfn.NUMBERVALUE(SUBSTITUTE(SUBSTITUTE(TRIM('Base de Datos'!R62),".",""),",","."),".",","),_xlfn.NUMBERVALUE(SUBSTITUTE(TRIM('Base de Datos'!R62),",",""),".",",")),"")))</f>
        <v>30.2</v>
      </c>
      <c r="AJ66" s="73" t="n">
        <f aca="false">IF(ISNUMBER(AK66),IF(ISNUMBER('Base de Datos'!Y62),IF('Base de Datos'!Y62&gt;20000,INT('Base de Datos'!Y62),""),IF(TRIM('Base de Datos'!Y62)="","",IFERROR(DATE(VALUE(RIGHT(TRIM('Base de Datos'!Y62),4)),VALUE(MID(TRIM('Base de Datos'!Y62),4,2)),VALUE(LEFT(TRIM('Base de Datos'!Y62),2))),IFERROR(DATEVALUE(TRIM('Base de Datos'!Y62)),"")))),"")</f>
        <v>44878</v>
      </c>
      <c r="AK66" s="74" t="n">
        <f aca="false">IF(ISNUMBER('Base de Datos'!Z62),'Base de Datos'!Z62,IF(TRIM('Base de Datos'!Z62)="","",IFERROR(IF(IFERROR(FIND("@",SUBSTITUTE(TRIM('Base de Datos'!Z62),",","@",LEN(TRIM('Base de Datos'!Z62))-LEN(SUBSTITUTE(TRIM('Base de Datos'!Z62),",","")))),0)&gt;IFERROR(FIND("@",SUBSTITUTE(TRIM('Base de Datos'!Z62),".","@",LEN(TRIM('Base de Datos'!Z62))-LEN(SUBSTITUTE(TRIM('Base de Datos'!Z62),".","")))),0),_xlfn.NUMBERVALUE(SUBSTITUTE(SUBSTITUTE(TRIM('Base de Datos'!Z62),".",""),",","."),".",","),_xlfn.NUMBERVALUE(SUBSTITUTE(TRIM('Base de Datos'!Z62),",",""),".",",")),"")))</f>
        <v>51569.72</v>
      </c>
    </row>
    <row r="67" customFormat="false" ht="13.5" hidden="false" customHeight="false" outlineLevel="0" collapsed="false">
      <c r="A67" s="75" t="n">
        <f aca="false">ROWS(A$13:A67)</f>
        <v>55</v>
      </c>
      <c r="B67" s="73" t="n">
        <f aca="false">IF(B66="","",IFERROR(SMALL($AH$10:$AH$409,COUNTIF($AH$10:$AH$409,"&lt;="&amp;B66)+1),""))</f>
        <v>44864</v>
      </c>
      <c r="C67" s="74" t="n">
        <f aca="false">IF(B67="","",INDEX($AI$10:$AI$409,MATCH(B67,$AH$10:$AH$409,0)))</f>
        <v>30.04</v>
      </c>
      <c r="D67" s="74" t="n">
        <f aca="false">IF(B67="","",IFERROR(INDEX($AK$10:$AK$409,MATCH(B67,$AJ$10:$AJ$409,0)),""))</f>
        <v>51173.75</v>
      </c>
      <c r="E67" s="76" t="n">
        <f aca="false">IF(AND(ISNUMBER(C67),ISNUMBER(C66)),C67/C66-1,"")</f>
        <v>-0.0128162997042393</v>
      </c>
      <c r="F67" s="76" t="n">
        <f aca="false">IF(AND(ISNUMBER(D67),ISNUMBER(D66)),D67/D66-1,"")</f>
        <v>0.0425261223600066</v>
      </c>
      <c r="G67" s="75" t="n">
        <f aca="false">IF(AND(ISNUMBER(E67),ISNUMBER(F67)),1,"")</f>
        <v>1</v>
      </c>
      <c r="H67" s="75" t="n">
        <f aca="false">IF(G67=1,COUNT(G67:G$412),"")</f>
        <v>205</v>
      </c>
      <c r="I67" s="75" t="n">
        <f aca="false">IF(G67=1,IF(H67&lt;='Beta Regresión'!$B$5,1,""),"")</f>
        <v>1</v>
      </c>
      <c r="J67" s="76" t="n">
        <f aca="false">IF(I67=1,E67,"")</f>
        <v>-0.0128162997042393</v>
      </c>
      <c r="K67" s="76" t="n">
        <f aca="false">IF(I67=1,F67,"")</f>
        <v>0.0425261223600066</v>
      </c>
      <c r="L67" s="75" t="n">
        <f aca="false">IF(I67=1,COUNT(I$13:I67),"")</f>
        <v>54</v>
      </c>
      <c r="M67" s="76" t="n">
        <f aca="false">IFERROR(INDEX($J$13:$J$412,MATCH(A67,$L$13:$L$412,0)),"")</f>
        <v>-0.00299600532623168</v>
      </c>
      <c r="N67" s="76" t="n">
        <f aca="false">IFERROR(INDEX($K$13:$K$412,MATCH(A67,$L$13:$L$412,0)),"")</f>
        <v>0.0153486895136665</v>
      </c>
      <c r="O67" s="76" t="n">
        <f aca="false">IF(I67=1,E67,NA())</f>
        <v>-0.0128162997042393</v>
      </c>
      <c r="P67" s="76" t="n">
        <f aca="false">IF(I67=1,F67,NA())</f>
        <v>0.0425261223600066</v>
      </c>
      <c r="R67" s="75" t="n">
        <f aca="false">ROWS(R$13:R67)</f>
        <v>55</v>
      </c>
      <c r="S67" s="73" t="n">
        <f aca="false">IF(S66="","",IFERROR(SMALL($AD$10:$AD$509,COUNTIF($AD$10:$AD$509,"&lt;="&amp;S66)+1),""))</f>
        <v>46290</v>
      </c>
      <c r="T67" s="74" t="n">
        <f aca="false">IF(S67="","",INDEX($AE$10:$AE$509,MATCH(S67,$AD$10:$AD$509,0)))</f>
        <v>33.48</v>
      </c>
      <c r="U67" s="74" t="n">
        <f aca="false">IF(S67="","",IFERROR(INDEX($AG$10:$AG$509,MATCH(S67,$AF$10:$AF$509,0)),""))</f>
        <v>64992.23</v>
      </c>
      <c r="V67" s="76" t="n">
        <f aca="false">IF(AND(ISNUMBER(T67),ISNUMBER(T66)),T67/T66-1,"")</f>
        <v>0.017629179331307</v>
      </c>
      <c r="W67" s="76" t="n">
        <f aca="false">IF(AND(ISNUMBER(U67),ISNUMBER(U66)),U67/U66-1,"")</f>
        <v>0.0113293319324488</v>
      </c>
      <c r="X67" s="75" t="n">
        <f aca="false">IF(AND(ISNUMBER(V67),ISNUMBER(W67)),1,"")</f>
        <v>1</v>
      </c>
      <c r="Y67" s="76" t="n">
        <f aca="false">IF(X67=1,V67,"")</f>
        <v>0.017629179331307</v>
      </c>
      <c r="Z67" s="76" t="n">
        <f aca="false">IF(X67=1,W67,"")</f>
        <v>0.0113293319324488</v>
      </c>
      <c r="AA67" s="76" t="n">
        <f aca="false">IF(X67=1,V67,NA())</f>
        <v>0.017629179331307</v>
      </c>
      <c r="AB67" s="76" t="n">
        <f aca="false">IF(X67=1,W67,NA())</f>
        <v>0.0113293319324488</v>
      </c>
      <c r="AD67" s="73" t="n">
        <f aca="false">IF(ISNUMBER(AE67),IF(ISNUMBER('Base de Datos'!A63),IF('Base de Datos'!A63&gt;20000,DATE(YEAR('Base de Datos'!A63),DAY('Base de Datos'!A63),MONTH('Base de Datos'!A63)),""),IF(TRIM('Base de Datos'!A63)="","",IFERROR(DATE(VALUE(RIGHT(TRIM('Base de Datos'!A63),4)),VALUE(LEFT(TRIM('Base de Datos'!A63),2)),VALUE(MID(TRIM('Base de Datos'!A63),4,2))),""))),"")</f>
        <v>46295</v>
      </c>
      <c r="AE67" s="74" t="n">
        <f aca="false">IF(ISNUMBER('Base de Datos'!B63),'Base de Datos'!B63,IF(TRIM('Base de Datos'!B63)="","",IFERROR(IF(IFERROR(FIND("@",SUBSTITUTE(TRIM('Base de Datos'!B63),",","@",LEN(TRIM('Base de Datos'!B63))-LEN(SUBSTITUTE(TRIM('Base de Datos'!B63),",","")))),0)&gt;IFERROR(FIND("@",SUBSTITUTE(TRIM('Base de Datos'!B63),".","@",LEN(TRIM('Base de Datos'!B63))-LEN(SUBSTITUTE(TRIM('Base de Datos'!B63),".","")))),0),_xlfn.NUMBERVALUE(SUBSTITUTE(SUBSTITUTE(TRIM('Base de Datos'!B63),".",""),",","."),".",","),_xlfn.NUMBERVALUE(SUBSTITUTE(TRIM('Base de Datos'!B63),",",""),".",",")),"")))</f>
        <v>35</v>
      </c>
      <c r="AF67" s="73" t="n">
        <f aca="false">IF(ISNUMBER(AG67),IF(ISNUMBER('Base de Datos'!I63),IF('Base de Datos'!I63&gt;20000,INT('Base de Datos'!I63),""),IF(TRIM('Base de Datos'!I63)="","",IFERROR(DATE(VALUE(RIGHT(TRIM('Base de Datos'!I63),4)),VALUE(MID(TRIM('Base de Datos'!I63),4,2)),VALUE(LEFT(TRIM('Base de Datos'!I63),2))),IFERROR(DATEVALUE(TRIM('Base de Datos'!I63)),"")))),"")</f>
        <v>46286</v>
      </c>
      <c r="AG67" s="74" t="n">
        <f aca="false">IF(ISNUMBER('Base de Datos'!J63),'Base de Datos'!J63,IF(TRIM('Base de Datos'!J63)="","",IFERROR(IF(IFERROR(FIND("@",SUBSTITUTE(TRIM('Base de Datos'!J63),",","@",LEN(TRIM('Base de Datos'!J63))-LEN(SUBSTITUTE(TRIM('Base de Datos'!J63),",","")))),0)&gt;IFERROR(FIND("@",SUBSTITUTE(TRIM('Base de Datos'!J63),".","@",LEN(TRIM('Base de Datos'!J63))-LEN(SUBSTITUTE(TRIM('Base de Datos'!J63),".","")))),0),_xlfn.NUMBERVALUE(SUBSTITUTE(SUBSTITUTE(TRIM('Base de Datos'!J63),".",""),",","."),".",","),_xlfn.NUMBERVALUE(SUBSTITUTE(TRIM('Base de Datos'!J63),",",""),".",",")),"")))</f>
        <v>63536.96</v>
      </c>
      <c r="AH67" s="73" t="n">
        <f aca="false">IF(ISNUMBER(AI67),IF(ISNUMBER('Base de Datos'!Q63),IF('Base de Datos'!Q63&gt;20000,DATE(YEAR('Base de Datos'!Q63),DAY('Base de Datos'!Q63),MONTH('Base de Datos'!Q63)),""),IF(TRIM('Base de Datos'!Q63)="","",IFERROR(DATE(VALUE(RIGHT(TRIM('Base de Datos'!Q63),4)),VALUE(LEFT(TRIM('Base de Datos'!Q63),2)),VALUE(MID(TRIM('Base de Datos'!Q63),4,2))),""))),"")</f>
        <v>44885</v>
      </c>
      <c r="AI67" s="74" t="n">
        <f aca="false">IF(ISNUMBER('Base de Datos'!R63),'Base de Datos'!R63,IF(TRIM('Base de Datos'!R63)="","",IFERROR(IF(IFERROR(FIND("@",SUBSTITUTE(TRIM('Base de Datos'!R63),",","@",LEN(TRIM('Base de Datos'!R63))-LEN(SUBSTITUTE(TRIM('Base de Datos'!R63),",","")))),0)&gt;IFERROR(FIND("@",SUBSTITUTE(TRIM('Base de Datos'!R63),".","@",LEN(TRIM('Base de Datos'!R63))-LEN(SUBSTITUTE(TRIM('Base de Datos'!R63),".","")))),0),_xlfn.NUMBERVALUE(SUBSTITUTE(SUBSTITUTE(TRIM('Base de Datos'!R63),".",""),",","."),".",","),_xlfn.NUMBERVALUE(SUBSTITUTE(TRIM('Base de Datos'!R63),",",""),".",",")),"")))</f>
        <v>30.45</v>
      </c>
      <c r="AJ67" s="73" t="n">
        <f aca="false">IF(ISNUMBER(AK67),IF(ISNUMBER('Base de Datos'!Y63),IF('Base de Datos'!Y63&gt;20000,INT('Base de Datos'!Y63),""),IF(TRIM('Base de Datos'!Y63)="","",IFERROR(DATE(VALUE(RIGHT(TRIM('Base de Datos'!Y63),4)),VALUE(MID(TRIM('Base de Datos'!Y63),4,2)),VALUE(LEFT(TRIM('Base de Datos'!Y63),2))),IFERROR(DATEVALUE(TRIM('Base de Datos'!Y63)),"")))),"")</f>
        <v>44885</v>
      </c>
      <c r="AK67" s="74" t="n">
        <f aca="false">IF(ISNUMBER('Base de Datos'!Z63),'Base de Datos'!Z63,IF(TRIM('Base de Datos'!Z63)="","",IFERROR(IF(IFERROR(FIND("@",SUBSTITUTE(TRIM('Base de Datos'!Z63),",","@",LEN(TRIM('Base de Datos'!Z63))-LEN(SUBSTITUTE(TRIM('Base de Datos'!Z63),",","")))),0)&gt;IFERROR(FIND("@",SUBSTITUTE(TRIM('Base de Datos'!Z63),".","@",LEN(TRIM('Base de Datos'!Z63))-LEN(SUBSTITUTE(TRIM('Base de Datos'!Z63),".","")))),0),_xlfn.NUMBERVALUE(SUBSTITUTE(SUBSTITUTE(TRIM('Base de Datos'!Z63),".",""),",","."),".",","),_xlfn.NUMBERVALUE(SUBSTITUTE(TRIM('Base de Datos'!Z63),",",""),".",",")),"")))</f>
        <v>51668.64</v>
      </c>
    </row>
    <row r="68" customFormat="false" ht="13.5" hidden="false" customHeight="false" outlineLevel="0" collapsed="false">
      <c r="A68" s="75" t="n">
        <f aca="false">ROWS(A$13:A68)</f>
        <v>56</v>
      </c>
      <c r="B68" s="73" t="n">
        <f aca="false">IF(B67="","",IFERROR(SMALL($AH$10:$AH$409,COUNTIF($AH$10:$AH$409,"&lt;="&amp;B67)+1),""))</f>
        <v>44871</v>
      </c>
      <c r="C68" s="74" t="n">
        <f aca="false">IF(B68="","",INDEX($AI$10:$AI$409,MATCH(B68,$AH$10:$AH$409,0)))</f>
        <v>29.95</v>
      </c>
      <c r="D68" s="74" t="n">
        <f aca="false">IF(B68="","",IFERROR(INDEX($AK$10:$AK$409,MATCH(B68,$AJ$10:$AJ$409,0)),""))</f>
        <v>51959.2</v>
      </c>
      <c r="E68" s="76" t="n">
        <f aca="false">IF(AND(ISNUMBER(C68),ISNUMBER(C67)),C68/C67-1,"")</f>
        <v>-0.00299600532623168</v>
      </c>
      <c r="F68" s="76" t="n">
        <f aca="false">IF(AND(ISNUMBER(D68),ISNUMBER(D67)),D68/D67-1,"")</f>
        <v>0.0153486895136665</v>
      </c>
      <c r="G68" s="75" t="n">
        <f aca="false">IF(AND(ISNUMBER(E68),ISNUMBER(F68)),1,"")</f>
        <v>1</v>
      </c>
      <c r="H68" s="75" t="n">
        <f aca="false">IF(G68=1,COUNT(G68:G$412),"")</f>
        <v>204</v>
      </c>
      <c r="I68" s="75" t="n">
        <f aca="false">IF(G68=1,IF(H68&lt;='Beta Regresión'!$B$5,1,""),"")</f>
        <v>1</v>
      </c>
      <c r="J68" s="76" t="n">
        <f aca="false">IF(I68=1,E68,"")</f>
        <v>-0.00299600532623168</v>
      </c>
      <c r="K68" s="76" t="n">
        <f aca="false">IF(I68=1,F68,"")</f>
        <v>0.0153486895136665</v>
      </c>
      <c r="L68" s="75" t="n">
        <f aca="false">IF(I68=1,COUNT(I$13:I68),"")</f>
        <v>55</v>
      </c>
      <c r="M68" s="76" t="n">
        <f aca="false">IFERROR(INDEX($J$13:$J$412,MATCH(A68,$L$13:$L$412,0)),"")</f>
        <v>0.00834724540901499</v>
      </c>
      <c r="N68" s="76" t="n">
        <f aca="false">IFERROR(INDEX($K$13:$K$412,MATCH(A68,$L$13:$L$412,0)),"")</f>
        <v>-0.00749588138385493</v>
      </c>
      <c r="O68" s="76" t="n">
        <f aca="false">IF(I68=1,E68,NA())</f>
        <v>-0.00299600532623168</v>
      </c>
      <c r="P68" s="76" t="n">
        <f aca="false">IF(I68=1,F68,NA())</f>
        <v>0.0153486895136665</v>
      </c>
      <c r="R68" s="75" t="n">
        <f aca="false">ROWS(R$13:R68)</f>
        <v>56</v>
      </c>
      <c r="S68" s="73" t="n">
        <f aca="false">IF(S67="","",IFERROR(SMALL($AD$10:$AD$509,COUNTIF($AD$10:$AD$509,"&lt;="&amp;S67)+1),""))</f>
        <v>46293</v>
      </c>
      <c r="T68" s="74" t="n">
        <f aca="false">IF(S68="","",INDEX($AE$10:$AE$509,MATCH(S68,$AD$10:$AD$509,0)))</f>
        <v>33.85</v>
      </c>
      <c r="U68" s="74" t="n">
        <f aca="false">IF(S68="","",IFERROR(INDEX($AG$10:$AG$509,MATCH(S68,$AF$10:$AF$509,0)),""))</f>
        <v>64944.41</v>
      </c>
      <c r="V68" s="76" t="n">
        <f aca="false">IF(AND(ISNUMBER(T68),ISNUMBER(T67)),T68/T67-1,"")</f>
        <v>0.0110513739545999</v>
      </c>
      <c r="W68" s="76" t="n">
        <f aca="false">IF(AND(ISNUMBER(U68),ISNUMBER(U67)),U68/U67-1,"")</f>
        <v>-0.000735780261732821</v>
      </c>
      <c r="X68" s="75" t="n">
        <f aca="false">IF(AND(ISNUMBER(V68),ISNUMBER(W68)),1,"")</f>
        <v>1</v>
      </c>
      <c r="Y68" s="76" t="n">
        <f aca="false">IF(X68=1,V68,"")</f>
        <v>0.0110513739545999</v>
      </c>
      <c r="Z68" s="76" t="n">
        <f aca="false">IF(X68=1,W68,"")</f>
        <v>-0.000735780261732821</v>
      </c>
      <c r="AA68" s="76" t="n">
        <f aca="false">IF(X68=1,V68,NA())</f>
        <v>0.0110513739545999</v>
      </c>
      <c r="AB68" s="76" t="n">
        <f aca="false">IF(X68=1,W68,NA())</f>
        <v>-0.000735780261732821</v>
      </c>
      <c r="AD68" s="73" t="n">
        <f aca="false">IF(ISNUMBER(AE68),IF(ISNUMBER('Base de Datos'!A64),IF('Base de Datos'!A64&gt;20000,DATE(YEAR('Base de Datos'!A64),DAY('Base de Datos'!A64),MONTH('Base de Datos'!A64)),""),IF(TRIM('Base de Datos'!A64)="","",IFERROR(DATE(VALUE(RIGHT(TRIM('Base de Datos'!A64),4)),VALUE(LEFT(TRIM('Base de Datos'!A64),2)),VALUE(MID(TRIM('Base de Datos'!A64),4,2))),""))),"")</f>
        <v>46296</v>
      </c>
      <c r="AE68" s="74" t="n">
        <f aca="false">IF(ISNUMBER('Base de Datos'!B64),'Base de Datos'!B64,IF(TRIM('Base de Datos'!B64)="","",IFERROR(IF(IFERROR(FIND("@",SUBSTITUTE(TRIM('Base de Datos'!B64),",","@",LEN(TRIM('Base de Datos'!B64))-LEN(SUBSTITUTE(TRIM('Base de Datos'!B64),",","")))),0)&gt;IFERROR(FIND("@",SUBSTITUTE(TRIM('Base de Datos'!B64),".","@",LEN(TRIM('Base de Datos'!B64))-LEN(SUBSTITUTE(TRIM('Base de Datos'!B64),".","")))),0),_xlfn.NUMBERVALUE(SUBSTITUTE(SUBSTITUTE(TRIM('Base de Datos'!B64),".",""),",","."),".",","),_xlfn.NUMBERVALUE(SUBSTITUTE(TRIM('Base de Datos'!B64),",",""),".",",")),"")))</f>
        <v>34</v>
      </c>
      <c r="AF68" s="73" t="n">
        <f aca="false">IF(ISNUMBER(AG68),IF(ISNUMBER('Base de Datos'!I64),IF('Base de Datos'!I64&gt;20000,INT('Base de Datos'!I64),""),IF(TRIM('Base de Datos'!I64)="","",IFERROR(DATE(VALUE(RIGHT(TRIM('Base de Datos'!I64),4)),VALUE(MID(TRIM('Base de Datos'!I64),4,2)),VALUE(LEFT(TRIM('Base de Datos'!I64),2))),IFERROR(DATEVALUE(TRIM('Base de Datos'!I64)),"")))),"")</f>
        <v>46287</v>
      </c>
      <c r="AG68" s="74" t="n">
        <f aca="false">IF(ISNUMBER('Base de Datos'!J64),'Base de Datos'!J64,IF(TRIM('Base de Datos'!J64)="","",IFERROR(IF(IFERROR(FIND("@",SUBSTITUTE(TRIM('Base de Datos'!J64),",","@",LEN(TRIM('Base de Datos'!J64))-LEN(SUBSTITUTE(TRIM('Base de Datos'!J64),",","")))),0)&gt;IFERROR(FIND("@",SUBSTITUTE(TRIM('Base de Datos'!J64),".","@",LEN(TRIM('Base de Datos'!J64))-LEN(SUBSTITUTE(TRIM('Base de Datos'!J64),".","")))),0),_xlfn.NUMBERVALUE(SUBSTITUTE(SUBSTITUTE(TRIM('Base de Datos'!J64),".",""),",","."),".",","),_xlfn.NUMBERVALUE(SUBSTITUTE(TRIM('Base de Datos'!J64),",",""),".",",")),"")))</f>
        <v>64456.59</v>
      </c>
      <c r="AH68" s="73" t="n">
        <f aca="false">IF(ISNUMBER(AI68),IF(ISNUMBER('Base de Datos'!Q64),IF('Base de Datos'!Q64&gt;20000,DATE(YEAR('Base de Datos'!Q64),DAY('Base de Datos'!Q64),MONTH('Base de Datos'!Q64)),""),IF(TRIM('Base de Datos'!Q64)="","",IFERROR(DATE(VALUE(RIGHT(TRIM('Base de Datos'!Q64),4)),VALUE(LEFT(TRIM('Base de Datos'!Q64),2)),VALUE(MID(TRIM('Base de Datos'!Q64),4,2))),""))),"")</f>
        <v>44892</v>
      </c>
      <c r="AI68" s="74" t="n">
        <f aca="false">IF(ISNUMBER('Base de Datos'!R64),'Base de Datos'!R64,IF(TRIM('Base de Datos'!R64)="","",IFERROR(IF(IFERROR(FIND("@",SUBSTITUTE(TRIM('Base de Datos'!R64),",","@",LEN(TRIM('Base de Datos'!R64))-LEN(SUBSTITUTE(TRIM('Base de Datos'!R64),",","")))),0)&gt;IFERROR(FIND("@",SUBSTITUTE(TRIM('Base de Datos'!R64),".","@",LEN(TRIM('Base de Datos'!R64))-LEN(SUBSTITUTE(TRIM('Base de Datos'!R64),".","")))),0),_xlfn.NUMBERVALUE(SUBSTITUTE(SUBSTITUTE(TRIM('Base de Datos'!R64),".",""),",","."),".",","),_xlfn.NUMBERVALUE(SUBSTITUTE(TRIM('Base de Datos'!R64),",",""),".",",")),"")))</f>
        <v>28.56</v>
      </c>
      <c r="AJ68" s="73" t="n">
        <f aca="false">IF(ISNUMBER(AK68),IF(ISNUMBER('Base de Datos'!Y64),IF('Base de Datos'!Y64&gt;20000,INT('Base de Datos'!Y64),""),IF(TRIM('Base de Datos'!Y64)="","",IFERROR(DATE(VALUE(RIGHT(TRIM('Base de Datos'!Y64),4)),VALUE(MID(TRIM('Base de Datos'!Y64),4,2)),VALUE(LEFT(TRIM('Base de Datos'!Y64),2))),IFERROR(DATEVALUE(TRIM('Base de Datos'!Y64)),"")))),"")</f>
        <v>44892</v>
      </c>
      <c r="AK68" s="74" t="n">
        <f aca="false">IF(ISNUMBER('Base de Datos'!Z64),'Base de Datos'!Z64,IF(TRIM('Base de Datos'!Z64)="","",IFERROR(IF(IFERROR(FIND("@",SUBSTITUTE(TRIM('Base de Datos'!Z64),",","@",LEN(TRIM('Base de Datos'!Z64))-LEN(SUBSTITUTE(TRIM('Base de Datos'!Z64),",","")))),0)&gt;IFERROR(FIND("@",SUBSTITUTE(TRIM('Base de Datos'!Z64),".","@",LEN(TRIM('Base de Datos'!Z64))-LEN(SUBSTITUTE(TRIM('Base de Datos'!Z64),".","")))),0),_xlfn.NUMBERVALUE(SUBSTITUTE(SUBSTITUTE(TRIM('Base de Datos'!Z64),".",""),",","."),".",","),_xlfn.NUMBERVALUE(SUBSTITUTE(TRIM('Base de Datos'!Z64),",",""),".",",")),"")))</f>
        <v>51234.37</v>
      </c>
    </row>
    <row r="69" customFormat="false" ht="13.5" hidden="false" customHeight="false" outlineLevel="0" collapsed="false">
      <c r="A69" s="75" t="n">
        <f aca="false">ROWS(A$13:A69)</f>
        <v>57</v>
      </c>
      <c r="B69" s="73" t="n">
        <f aca="false">IF(B68="","",IFERROR(SMALL($AH$10:$AH$409,COUNTIF($AH$10:$AH$409,"&lt;="&amp;B68)+1),""))</f>
        <v>44878</v>
      </c>
      <c r="C69" s="74" t="n">
        <f aca="false">IF(B69="","",INDEX($AI$10:$AI$409,MATCH(B69,$AH$10:$AH$409,0)))</f>
        <v>30.2</v>
      </c>
      <c r="D69" s="74" t="n">
        <f aca="false">IF(B69="","",IFERROR(INDEX($AK$10:$AK$409,MATCH(B69,$AJ$10:$AJ$409,0)),""))</f>
        <v>51569.72</v>
      </c>
      <c r="E69" s="76" t="n">
        <f aca="false">IF(AND(ISNUMBER(C69),ISNUMBER(C68)),C69/C68-1,"")</f>
        <v>0.00834724540901499</v>
      </c>
      <c r="F69" s="76" t="n">
        <f aca="false">IF(AND(ISNUMBER(D69),ISNUMBER(D68)),D69/D68-1,"")</f>
        <v>-0.00749588138385493</v>
      </c>
      <c r="G69" s="75" t="n">
        <f aca="false">IF(AND(ISNUMBER(E69),ISNUMBER(F69)),1,"")</f>
        <v>1</v>
      </c>
      <c r="H69" s="75" t="n">
        <f aca="false">IF(G69=1,COUNT(G69:G$412),"")</f>
        <v>203</v>
      </c>
      <c r="I69" s="75" t="n">
        <f aca="false">IF(G69=1,IF(H69&lt;='Beta Regresión'!$B$5,1,""),"")</f>
        <v>1</v>
      </c>
      <c r="J69" s="76" t="n">
        <f aca="false">IF(I69=1,E69,"")</f>
        <v>0.00834724540901499</v>
      </c>
      <c r="K69" s="76" t="n">
        <f aca="false">IF(I69=1,F69,"")</f>
        <v>-0.00749588138385493</v>
      </c>
      <c r="L69" s="75" t="n">
        <f aca="false">IF(I69=1,COUNT(I$13:I69),"")</f>
        <v>56</v>
      </c>
      <c r="M69" s="76" t="n">
        <f aca="false">IFERROR(INDEX($J$13:$J$412,MATCH(A69,$L$13:$L$412,0)),"")</f>
        <v>0.00827814569536423</v>
      </c>
      <c r="N69" s="76" t="n">
        <f aca="false">IFERROR(INDEX($K$13:$K$412,MATCH(A69,$L$13:$L$412,0)),"")</f>
        <v>0.00191817989316201</v>
      </c>
      <c r="O69" s="76" t="n">
        <f aca="false">IF(I69=1,E69,NA())</f>
        <v>0.00834724540901499</v>
      </c>
      <c r="P69" s="76" t="n">
        <f aca="false">IF(I69=1,F69,NA())</f>
        <v>-0.00749588138385493</v>
      </c>
      <c r="R69" s="75" t="n">
        <f aca="false">ROWS(R$13:R69)</f>
        <v>57</v>
      </c>
      <c r="S69" s="73" t="n">
        <f aca="false">IF(S68="","",IFERROR(SMALL($AD$10:$AD$509,COUNTIF($AD$10:$AD$509,"&lt;="&amp;S68)+1),""))</f>
        <v>46294</v>
      </c>
      <c r="T69" s="74" t="n">
        <f aca="false">IF(S69="","",INDEX($AE$10:$AE$509,MATCH(S69,$AD$10:$AD$509,0)))</f>
        <v>34.5</v>
      </c>
      <c r="U69" s="74" t="n">
        <f aca="false">IF(S69="","",IFERROR(INDEX($AG$10:$AG$509,MATCH(S69,$AF$10:$AF$509,0)),""))</f>
        <v>65110.57</v>
      </c>
      <c r="V69" s="76" t="n">
        <f aca="false">IF(AND(ISNUMBER(T69),ISNUMBER(T68)),T69/T68-1,"")</f>
        <v>0.0192023633677991</v>
      </c>
      <c r="W69" s="76" t="n">
        <f aca="false">IF(AND(ISNUMBER(U69),ISNUMBER(U68)),U69/U68-1,"")</f>
        <v>0.00255849579663581</v>
      </c>
      <c r="X69" s="75" t="n">
        <f aca="false">IF(AND(ISNUMBER(V69),ISNUMBER(W69)),1,"")</f>
        <v>1</v>
      </c>
      <c r="Y69" s="76" t="n">
        <f aca="false">IF(X69=1,V69,"")</f>
        <v>0.0192023633677991</v>
      </c>
      <c r="Z69" s="76" t="n">
        <f aca="false">IF(X69=1,W69,"")</f>
        <v>0.00255849579663581</v>
      </c>
      <c r="AA69" s="76" t="n">
        <f aca="false">IF(X69=1,V69,NA())</f>
        <v>0.0192023633677991</v>
      </c>
      <c r="AB69" s="76" t="n">
        <f aca="false">IF(X69=1,W69,NA())</f>
        <v>0.00255849579663581</v>
      </c>
      <c r="AD69" s="73" t="n">
        <f aca="false">IF(ISNUMBER(AE69),IF(ISNUMBER('Base de Datos'!A65),IF('Base de Datos'!A65&gt;20000,DATE(YEAR('Base de Datos'!A65),DAY('Base de Datos'!A65),MONTH('Base de Datos'!A65)),""),IF(TRIM('Base de Datos'!A65)="","",IFERROR(DATE(VALUE(RIGHT(TRIM('Base de Datos'!A65),4)),VALUE(LEFT(TRIM('Base de Datos'!A65),2)),VALUE(MID(TRIM('Base de Datos'!A65),4,2))),""))),"")</f>
        <v>46297</v>
      </c>
      <c r="AE69" s="74" t="n">
        <f aca="false">IF(ISNUMBER('Base de Datos'!B65),'Base de Datos'!B65,IF(TRIM('Base de Datos'!B65)="","",IFERROR(IF(IFERROR(FIND("@",SUBSTITUTE(TRIM('Base de Datos'!B65),",","@",LEN(TRIM('Base de Datos'!B65))-LEN(SUBSTITUTE(TRIM('Base de Datos'!B65),",","")))),0)&gt;IFERROR(FIND("@",SUBSTITUTE(TRIM('Base de Datos'!B65),".","@",LEN(TRIM('Base de Datos'!B65))-LEN(SUBSTITUTE(TRIM('Base de Datos'!B65),".","")))),0),_xlfn.NUMBERVALUE(SUBSTITUTE(SUBSTITUTE(TRIM('Base de Datos'!B65),".",""),",","."),".",","),_xlfn.NUMBERVALUE(SUBSTITUTE(TRIM('Base de Datos'!B65),",",""),".",",")),"")))</f>
        <v>34.1</v>
      </c>
      <c r="AF69" s="73" t="n">
        <f aca="false">IF(ISNUMBER(AG69),IF(ISNUMBER('Base de Datos'!I65),IF('Base de Datos'!I65&gt;20000,INT('Base de Datos'!I65),""),IF(TRIM('Base de Datos'!I65)="","",IFERROR(DATE(VALUE(RIGHT(TRIM('Base de Datos'!I65),4)),VALUE(MID(TRIM('Base de Datos'!I65),4,2)),VALUE(LEFT(TRIM('Base de Datos'!I65),2))),IFERROR(DATEVALUE(TRIM('Base de Datos'!I65)),"")))),"")</f>
        <v>46288</v>
      </c>
      <c r="AG69" s="74" t="n">
        <f aca="false">IF(ISNUMBER('Base de Datos'!J65),'Base de Datos'!J65,IF(TRIM('Base de Datos'!J65)="","",IFERROR(IF(IFERROR(FIND("@",SUBSTITUTE(TRIM('Base de Datos'!J65),",","@",LEN(TRIM('Base de Datos'!J65))-LEN(SUBSTITUTE(TRIM('Base de Datos'!J65),",","")))),0)&gt;IFERROR(FIND("@",SUBSTITUTE(TRIM('Base de Datos'!J65),".","@",LEN(TRIM('Base de Datos'!J65))-LEN(SUBSTITUTE(TRIM('Base de Datos'!J65),".","")))),0),_xlfn.NUMBERVALUE(SUBSTITUTE(SUBSTITUTE(TRIM('Base de Datos'!J65),".",""),",","."),".",","),_xlfn.NUMBERVALUE(SUBSTITUTE(TRIM('Base de Datos'!J65),",",""),".",",")),"")))</f>
        <v>64276.72</v>
      </c>
      <c r="AH69" s="73" t="n">
        <f aca="false">IF(ISNUMBER(AI69),IF(ISNUMBER('Base de Datos'!Q65),IF('Base de Datos'!Q65&gt;20000,DATE(YEAR('Base de Datos'!Q65),DAY('Base de Datos'!Q65),MONTH('Base de Datos'!Q65)),""),IF(TRIM('Base de Datos'!Q65)="","",IFERROR(DATE(VALUE(RIGHT(TRIM('Base de Datos'!Q65),4)),VALUE(LEFT(TRIM('Base de Datos'!Q65),2)),VALUE(MID(TRIM('Base de Datos'!Q65),4,2))),""))),"")</f>
        <v>44899</v>
      </c>
      <c r="AI69" s="74" t="n">
        <f aca="false">IF(ISNUMBER('Base de Datos'!R65),'Base de Datos'!R65,IF(TRIM('Base de Datos'!R65)="","",IFERROR(IF(IFERROR(FIND("@",SUBSTITUTE(TRIM('Base de Datos'!R65),",","@",LEN(TRIM('Base de Datos'!R65))-LEN(SUBSTITUTE(TRIM('Base de Datos'!R65),",","")))),0)&gt;IFERROR(FIND("@",SUBSTITUTE(TRIM('Base de Datos'!R65),".","@",LEN(TRIM('Base de Datos'!R65))-LEN(SUBSTITUTE(TRIM('Base de Datos'!R65),".","")))),0),_xlfn.NUMBERVALUE(SUBSTITUTE(SUBSTITUTE(TRIM('Base de Datos'!R65),".",""),",","."),".",","),_xlfn.NUMBERVALUE(SUBSTITUTE(TRIM('Base de Datos'!R65),",",""),".",",")),"")))</f>
        <v>30.43</v>
      </c>
      <c r="AJ69" s="73" t="n">
        <f aca="false">IF(ISNUMBER(AK69),IF(ISNUMBER('Base de Datos'!Y65),IF('Base de Datos'!Y65&gt;20000,INT('Base de Datos'!Y65),""),IF(TRIM('Base de Datos'!Y65)="","",IFERROR(DATE(VALUE(RIGHT(TRIM('Base de Datos'!Y65),4)),VALUE(MID(TRIM('Base de Datos'!Y65),4,2)),VALUE(LEFT(TRIM('Base de Datos'!Y65),2))),IFERROR(DATEVALUE(TRIM('Base de Datos'!Y65)),"")))),"")</f>
        <v>44899</v>
      </c>
      <c r="AK69" s="74" t="n">
        <f aca="false">IF(ISNUMBER('Base de Datos'!Z65),'Base de Datos'!Z65,IF(TRIM('Base de Datos'!Z65)="","",IFERROR(IF(IFERROR(FIND("@",SUBSTITUTE(TRIM('Base de Datos'!Z65),",","@",LEN(TRIM('Base de Datos'!Z65))-LEN(SUBSTITUTE(TRIM('Base de Datos'!Z65),",","")))),0)&gt;IFERROR(FIND("@",SUBSTITUTE(TRIM('Base de Datos'!Z65),".","@",LEN(TRIM('Base de Datos'!Z65))-LEN(SUBSTITUTE(TRIM('Base de Datos'!Z65),".","")))),0),_xlfn.NUMBERVALUE(SUBSTITUTE(SUBSTITUTE(TRIM('Base de Datos'!Z65),".",""),",","."),".",","),_xlfn.NUMBERVALUE(SUBSTITUTE(TRIM('Base de Datos'!Z65),",",""),".",",")),"")))</f>
        <v>50466.25</v>
      </c>
    </row>
    <row r="70" customFormat="false" ht="13.5" hidden="false" customHeight="false" outlineLevel="0" collapsed="false">
      <c r="A70" s="75" t="n">
        <f aca="false">ROWS(A$13:A70)</f>
        <v>58</v>
      </c>
      <c r="B70" s="73" t="n">
        <f aca="false">IF(B69="","",IFERROR(SMALL($AH$10:$AH$409,COUNTIF($AH$10:$AH$409,"&lt;="&amp;B69)+1),""))</f>
        <v>44885</v>
      </c>
      <c r="C70" s="74" t="n">
        <f aca="false">IF(B70="","",INDEX($AI$10:$AI$409,MATCH(B70,$AH$10:$AH$409,0)))</f>
        <v>30.45</v>
      </c>
      <c r="D70" s="74" t="n">
        <f aca="false">IF(B70="","",IFERROR(INDEX($AK$10:$AK$409,MATCH(B70,$AJ$10:$AJ$409,0)),""))</f>
        <v>51668.64</v>
      </c>
      <c r="E70" s="76" t="n">
        <f aca="false">IF(AND(ISNUMBER(C70),ISNUMBER(C69)),C70/C69-1,"")</f>
        <v>0.00827814569536423</v>
      </c>
      <c r="F70" s="76" t="n">
        <f aca="false">IF(AND(ISNUMBER(D70),ISNUMBER(D69)),D70/D69-1,"")</f>
        <v>0.00191817989316201</v>
      </c>
      <c r="G70" s="75" t="n">
        <f aca="false">IF(AND(ISNUMBER(E70),ISNUMBER(F70)),1,"")</f>
        <v>1</v>
      </c>
      <c r="H70" s="75" t="n">
        <f aca="false">IF(G70=1,COUNT(G70:G$412),"")</f>
        <v>202</v>
      </c>
      <c r="I70" s="75" t="n">
        <f aca="false">IF(G70=1,IF(H70&lt;='Beta Regresión'!$B$5,1,""),"")</f>
        <v>1</v>
      </c>
      <c r="J70" s="76" t="n">
        <f aca="false">IF(I70=1,E70,"")</f>
        <v>0.00827814569536423</v>
      </c>
      <c r="K70" s="76" t="n">
        <f aca="false">IF(I70=1,F70,"")</f>
        <v>0.00191817989316201</v>
      </c>
      <c r="L70" s="75" t="n">
        <f aca="false">IF(I70=1,COUNT(I$13:I70),"")</f>
        <v>57</v>
      </c>
      <c r="M70" s="76" t="n">
        <f aca="false">IFERROR(INDEX($J$13:$J$412,MATCH(A70,$L$13:$L$412,0)),"")</f>
        <v>-0.0620689655172414</v>
      </c>
      <c r="N70" s="76" t="n">
        <f aca="false">IFERROR(INDEX($K$13:$K$412,MATCH(A70,$L$13:$L$412,0)),"")</f>
        <v>-0.00840490479331368</v>
      </c>
      <c r="O70" s="76" t="n">
        <f aca="false">IF(I70=1,E70,NA())</f>
        <v>0.00827814569536423</v>
      </c>
      <c r="P70" s="76" t="n">
        <f aca="false">IF(I70=1,F70,NA())</f>
        <v>0.00191817989316201</v>
      </c>
      <c r="R70" s="75" t="n">
        <f aca="false">ROWS(R$13:R70)</f>
        <v>58</v>
      </c>
      <c r="S70" s="73" t="n">
        <f aca="false">IF(S69="","",IFERROR(SMALL($AD$10:$AD$509,COUNTIF($AD$10:$AD$509,"&lt;="&amp;S69)+1),""))</f>
        <v>46295</v>
      </c>
      <c r="T70" s="74" t="n">
        <f aca="false">IF(S70="","",INDEX($AE$10:$AE$509,MATCH(S70,$AD$10:$AD$509,0)))</f>
        <v>35</v>
      </c>
      <c r="U70" s="74" t="n">
        <f aca="false">IF(S70="","",IFERROR(INDEX($AG$10:$AG$509,MATCH(S70,$AF$10:$AF$509,0)),""))</f>
        <v>64214.36</v>
      </c>
      <c r="V70" s="76" t="n">
        <f aca="false">IF(AND(ISNUMBER(T70),ISNUMBER(T69)),T70/T69-1,"")</f>
        <v>0.0144927536231885</v>
      </c>
      <c r="W70" s="76" t="n">
        <f aca="false">IF(AND(ISNUMBER(U70),ISNUMBER(U69)),U70/U69-1,"")</f>
        <v>-0.0137644317965577</v>
      </c>
      <c r="X70" s="75" t="n">
        <f aca="false">IF(AND(ISNUMBER(V70),ISNUMBER(W70)),1,"")</f>
        <v>1</v>
      </c>
      <c r="Y70" s="76" t="n">
        <f aca="false">IF(X70=1,V70,"")</f>
        <v>0.0144927536231885</v>
      </c>
      <c r="Z70" s="76" t="n">
        <f aca="false">IF(X70=1,W70,"")</f>
        <v>-0.0137644317965577</v>
      </c>
      <c r="AA70" s="76" t="n">
        <f aca="false">IF(X70=1,V70,NA())</f>
        <v>0.0144927536231885</v>
      </c>
      <c r="AB70" s="76" t="n">
        <f aca="false">IF(X70=1,W70,NA())</f>
        <v>-0.0137644317965577</v>
      </c>
      <c r="AD70" s="73" t="n">
        <f aca="false">IF(ISNUMBER(AE70),IF(ISNUMBER('Base de Datos'!A66),IF('Base de Datos'!A66&gt;20000,DATE(YEAR('Base de Datos'!A66),DAY('Base de Datos'!A66),MONTH('Base de Datos'!A66)),""),IF(TRIM('Base de Datos'!A66)="","",IFERROR(DATE(VALUE(RIGHT(TRIM('Base de Datos'!A66),4)),VALUE(LEFT(TRIM('Base de Datos'!A66),2)),VALUE(MID(TRIM('Base de Datos'!A66),4,2))),""))),"")</f>
        <v>46300</v>
      </c>
      <c r="AE70" s="74" t="n">
        <f aca="false">IF(ISNUMBER('Base de Datos'!B66),'Base de Datos'!B66,IF(TRIM('Base de Datos'!B66)="","",IFERROR(IF(IFERROR(FIND("@",SUBSTITUTE(TRIM('Base de Datos'!B66),",","@",LEN(TRIM('Base de Datos'!B66))-LEN(SUBSTITUTE(TRIM('Base de Datos'!B66),",","")))),0)&gt;IFERROR(FIND("@",SUBSTITUTE(TRIM('Base de Datos'!B66),".","@",LEN(TRIM('Base de Datos'!B66))-LEN(SUBSTITUTE(TRIM('Base de Datos'!B66),".","")))),0),_xlfn.NUMBERVALUE(SUBSTITUTE(SUBSTITUTE(TRIM('Base de Datos'!B66),".",""),",","."),".",","),_xlfn.NUMBERVALUE(SUBSTITUTE(TRIM('Base de Datos'!B66),",",""),".",",")),"")))</f>
        <v>33.79</v>
      </c>
      <c r="AF70" s="73" t="n">
        <f aca="false">IF(ISNUMBER(AG70),IF(ISNUMBER('Base de Datos'!I66),IF('Base de Datos'!I66&gt;20000,INT('Base de Datos'!I66),""),IF(TRIM('Base de Datos'!I66)="","",IFERROR(DATE(VALUE(RIGHT(TRIM('Base de Datos'!I66),4)),VALUE(MID(TRIM('Base de Datos'!I66),4,2)),VALUE(LEFT(TRIM('Base de Datos'!I66),2))),IFERROR(DATEVALUE(TRIM('Base de Datos'!I66)),"")))),"")</f>
        <v>46289</v>
      </c>
      <c r="AG70" s="74" t="n">
        <f aca="false">IF(ISNUMBER('Base de Datos'!J66),'Base de Datos'!J66,IF(TRIM('Base de Datos'!J66)="","",IFERROR(IF(IFERROR(FIND("@",SUBSTITUTE(TRIM('Base de Datos'!J66),",","@",LEN(TRIM('Base de Datos'!J66))-LEN(SUBSTITUTE(TRIM('Base de Datos'!J66),",","")))),0)&gt;IFERROR(FIND("@",SUBSTITUTE(TRIM('Base de Datos'!J66),".","@",LEN(TRIM('Base de Datos'!J66))-LEN(SUBSTITUTE(TRIM('Base de Datos'!J66),".","")))),0),_xlfn.NUMBERVALUE(SUBSTITUTE(SUBSTITUTE(TRIM('Base de Datos'!J66),".",""),",","."),".",","),_xlfn.NUMBERVALUE(SUBSTITUTE(TRIM('Base de Datos'!J66),",",""),".",",")),"")))</f>
        <v>64264.16</v>
      </c>
      <c r="AH70" s="73" t="n">
        <f aca="false">IF(ISNUMBER(AI70),IF(ISNUMBER('Base de Datos'!Q66),IF('Base de Datos'!Q66&gt;20000,DATE(YEAR('Base de Datos'!Q66),DAY('Base de Datos'!Q66),MONTH('Base de Datos'!Q66)),""),IF(TRIM('Base de Datos'!Q66)="","",IFERROR(DATE(VALUE(RIGHT(TRIM('Base de Datos'!Q66),4)),VALUE(LEFT(TRIM('Base de Datos'!Q66),2)),VALUE(MID(TRIM('Base de Datos'!Q66),4,2))),""))),"")</f>
        <v>44906</v>
      </c>
      <c r="AI70" s="74" t="n">
        <f aca="false">IF(ISNUMBER('Base de Datos'!R66),'Base de Datos'!R66,IF(TRIM('Base de Datos'!R66)="","",IFERROR(IF(IFERROR(FIND("@",SUBSTITUTE(TRIM('Base de Datos'!R66),",","@",LEN(TRIM('Base de Datos'!R66))-LEN(SUBSTITUTE(TRIM('Base de Datos'!R66),",","")))),0)&gt;IFERROR(FIND("@",SUBSTITUTE(TRIM('Base de Datos'!R66),".","@",LEN(TRIM('Base de Datos'!R66))-LEN(SUBSTITUTE(TRIM('Base de Datos'!R66),".","")))),0),_xlfn.NUMBERVALUE(SUBSTITUTE(SUBSTITUTE(TRIM('Base de Datos'!R66),".",""),",","."),".",","),_xlfn.NUMBERVALUE(SUBSTITUTE(TRIM('Base de Datos'!R66),",",""),".",",")),"")))</f>
        <v>30.63</v>
      </c>
      <c r="AJ70" s="73" t="n">
        <f aca="false">IF(ISNUMBER(AK70),IF(ISNUMBER('Base de Datos'!Y66),IF('Base de Datos'!Y66&gt;20000,INT('Base de Datos'!Y66),""),IF(TRIM('Base de Datos'!Y66)="","",IFERROR(DATE(VALUE(RIGHT(TRIM('Base de Datos'!Y66),4)),VALUE(MID(TRIM('Base de Datos'!Y66),4,2)),VALUE(LEFT(TRIM('Base de Datos'!Y66),2))),IFERROR(DATEVALUE(TRIM('Base de Datos'!Y66)),"")))),"")</f>
        <v>44906</v>
      </c>
      <c r="AK70" s="74" t="n">
        <f aca="false">IF(ISNUMBER('Base de Datos'!Z66),'Base de Datos'!Z66,IF(TRIM('Base de Datos'!Z66)="","",IFERROR(IF(IFERROR(FIND("@",SUBSTITUTE(TRIM('Base de Datos'!Z66),",","@",LEN(TRIM('Base de Datos'!Z66))-LEN(SUBSTITUTE(TRIM('Base de Datos'!Z66),",","")))),0)&gt;IFERROR(FIND("@",SUBSTITUTE(TRIM('Base de Datos'!Z66),".","@",LEN(TRIM('Base de Datos'!Z66))-LEN(SUBSTITUTE(TRIM('Base de Datos'!Z66),".","")))),0),_xlfn.NUMBERVALUE(SUBSTITUTE(SUBSTITUTE(TRIM('Base de Datos'!Z66),".",""),",","."),".",","),_xlfn.NUMBERVALUE(SUBSTITUTE(TRIM('Base de Datos'!Z66),",",""),".",",")),"")))</f>
        <v>49630.15</v>
      </c>
    </row>
    <row r="71" customFormat="false" ht="13.5" hidden="false" customHeight="false" outlineLevel="0" collapsed="false">
      <c r="A71" s="75" t="n">
        <f aca="false">ROWS(A$13:A71)</f>
        <v>59</v>
      </c>
      <c r="B71" s="73" t="n">
        <f aca="false">IF(B70="","",IFERROR(SMALL($AH$10:$AH$409,COUNTIF($AH$10:$AH$409,"&lt;="&amp;B70)+1),""))</f>
        <v>44892</v>
      </c>
      <c r="C71" s="74" t="n">
        <f aca="false">IF(B71="","",INDEX($AI$10:$AI$409,MATCH(B71,$AH$10:$AH$409,0)))</f>
        <v>28.56</v>
      </c>
      <c r="D71" s="74" t="n">
        <f aca="false">IF(B71="","",IFERROR(INDEX($AK$10:$AK$409,MATCH(B71,$AJ$10:$AJ$409,0)),""))</f>
        <v>51234.37</v>
      </c>
      <c r="E71" s="76" t="n">
        <f aca="false">IF(AND(ISNUMBER(C71),ISNUMBER(C70)),C71/C70-1,"")</f>
        <v>-0.0620689655172414</v>
      </c>
      <c r="F71" s="76" t="n">
        <f aca="false">IF(AND(ISNUMBER(D71),ISNUMBER(D70)),D71/D70-1,"")</f>
        <v>-0.00840490479331368</v>
      </c>
      <c r="G71" s="75" t="n">
        <f aca="false">IF(AND(ISNUMBER(E71),ISNUMBER(F71)),1,"")</f>
        <v>1</v>
      </c>
      <c r="H71" s="75" t="n">
        <f aca="false">IF(G71=1,COUNT(G71:G$412),"")</f>
        <v>201</v>
      </c>
      <c r="I71" s="75" t="n">
        <f aca="false">IF(G71=1,IF(H71&lt;='Beta Regresión'!$B$5,1,""),"")</f>
        <v>1</v>
      </c>
      <c r="J71" s="76" t="n">
        <f aca="false">IF(I71=1,E71,"")</f>
        <v>-0.0620689655172414</v>
      </c>
      <c r="K71" s="76" t="n">
        <f aca="false">IF(I71=1,F71,"")</f>
        <v>-0.00840490479331368</v>
      </c>
      <c r="L71" s="75" t="n">
        <f aca="false">IF(I71=1,COUNT(I$13:I71),"")</f>
        <v>58</v>
      </c>
      <c r="M71" s="76" t="n">
        <f aca="false">IFERROR(INDEX($J$13:$J$412,MATCH(A71,$L$13:$L$412,0)),"")</f>
        <v>0.0654761904761905</v>
      </c>
      <c r="N71" s="76" t="n">
        <f aca="false">IFERROR(INDEX($K$13:$K$412,MATCH(A71,$L$13:$L$412,0)),"")</f>
        <v>-0.0149922795966848</v>
      </c>
      <c r="O71" s="76" t="n">
        <f aca="false">IF(I71=1,E71,NA())</f>
        <v>-0.0620689655172414</v>
      </c>
      <c r="P71" s="76" t="n">
        <f aca="false">IF(I71=1,F71,NA())</f>
        <v>-0.00840490479331368</v>
      </c>
      <c r="R71" s="75" t="n">
        <f aca="false">ROWS(R$13:R71)</f>
        <v>59</v>
      </c>
      <c r="S71" s="73" t="n">
        <f aca="false">IF(S70="","",IFERROR(SMALL($AD$10:$AD$509,COUNTIF($AD$10:$AD$509,"&lt;="&amp;S70)+1),""))</f>
        <v>46296</v>
      </c>
      <c r="T71" s="74" t="n">
        <f aca="false">IF(S71="","",INDEX($AE$10:$AE$509,MATCH(S71,$AD$10:$AD$509,0)))</f>
        <v>34</v>
      </c>
      <c r="U71" s="74" t="n">
        <f aca="false">IF(S71="","",IFERROR(INDEX($AG$10:$AG$509,MATCH(S71,$AF$10:$AF$509,0)),""))</f>
        <v>63828.6</v>
      </c>
      <c r="V71" s="76" t="n">
        <f aca="false">IF(AND(ISNUMBER(T71),ISNUMBER(T70)),T71/T70-1,"")</f>
        <v>-0.0285714285714286</v>
      </c>
      <c r="W71" s="76" t="n">
        <f aca="false">IF(AND(ISNUMBER(U71),ISNUMBER(U70)),U71/U70-1,"")</f>
        <v>-0.00600737903484516</v>
      </c>
      <c r="X71" s="75" t="n">
        <f aca="false">IF(AND(ISNUMBER(V71),ISNUMBER(W71)),1,"")</f>
        <v>1</v>
      </c>
      <c r="Y71" s="76" t="n">
        <f aca="false">IF(X71=1,V71,"")</f>
        <v>-0.0285714285714286</v>
      </c>
      <c r="Z71" s="76" t="n">
        <f aca="false">IF(X71=1,W71,"")</f>
        <v>-0.00600737903484516</v>
      </c>
      <c r="AA71" s="76" t="n">
        <f aca="false">IF(X71=1,V71,NA())</f>
        <v>-0.0285714285714286</v>
      </c>
      <c r="AB71" s="76" t="n">
        <f aca="false">IF(X71=1,W71,NA())</f>
        <v>-0.00600737903484516</v>
      </c>
      <c r="AD71" s="73" t="n">
        <f aca="false">IF(ISNUMBER(AE71),IF(ISNUMBER('Base de Datos'!A67),IF('Base de Datos'!A67&gt;20000,DATE(YEAR('Base de Datos'!A67),DAY('Base de Datos'!A67),MONTH('Base de Datos'!A67)),""),IF(TRIM('Base de Datos'!A67)="","",IFERROR(DATE(VALUE(RIGHT(TRIM('Base de Datos'!A67),4)),VALUE(LEFT(TRIM('Base de Datos'!A67),2)),VALUE(MID(TRIM('Base de Datos'!A67),4,2))),""))),"")</f>
        <v>46301</v>
      </c>
      <c r="AE71" s="74" t="n">
        <f aca="false">IF(ISNUMBER('Base de Datos'!B67),'Base de Datos'!B67,IF(TRIM('Base de Datos'!B67)="","",IFERROR(IF(IFERROR(FIND("@",SUBSTITUTE(TRIM('Base de Datos'!B67),",","@",LEN(TRIM('Base de Datos'!B67))-LEN(SUBSTITUTE(TRIM('Base de Datos'!B67),",","")))),0)&gt;IFERROR(FIND("@",SUBSTITUTE(TRIM('Base de Datos'!B67),".","@",LEN(TRIM('Base de Datos'!B67))-LEN(SUBSTITUTE(TRIM('Base de Datos'!B67),".","")))),0),_xlfn.NUMBERVALUE(SUBSTITUTE(SUBSTITUTE(TRIM('Base de Datos'!B67),".",""),",","."),".",","),_xlfn.NUMBERVALUE(SUBSTITUTE(TRIM('Base de Datos'!B67),",",""),".",",")),"")))</f>
        <v>33.11</v>
      </c>
      <c r="AF71" s="73" t="n">
        <f aca="false">IF(ISNUMBER(AG71),IF(ISNUMBER('Base de Datos'!I67),IF('Base de Datos'!I67&gt;20000,INT('Base de Datos'!I67),""),IF(TRIM('Base de Datos'!I67)="","",IFERROR(DATE(VALUE(RIGHT(TRIM('Base de Datos'!I67),4)),VALUE(MID(TRIM('Base de Datos'!I67),4,2)),VALUE(LEFT(TRIM('Base de Datos'!I67),2))),IFERROR(DATEVALUE(TRIM('Base de Datos'!I67)),"")))),"")</f>
        <v>46290</v>
      </c>
      <c r="AG71" s="74" t="n">
        <f aca="false">IF(ISNUMBER('Base de Datos'!J67),'Base de Datos'!J67,IF(TRIM('Base de Datos'!J67)="","",IFERROR(IF(IFERROR(FIND("@",SUBSTITUTE(TRIM('Base de Datos'!J67),",","@",LEN(TRIM('Base de Datos'!J67))-LEN(SUBSTITUTE(TRIM('Base de Datos'!J67),",","")))),0)&gt;IFERROR(FIND("@",SUBSTITUTE(TRIM('Base de Datos'!J67),".","@",LEN(TRIM('Base de Datos'!J67))-LEN(SUBSTITUTE(TRIM('Base de Datos'!J67),".","")))),0),_xlfn.NUMBERVALUE(SUBSTITUTE(SUBSTITUTE(TRIM('Base de Datos'!J67),".",""),",","."),".",","),_xlfn.NUMBERVALUE(SUBSTITUTE(TRIM('Base de Datos'!J67),",",""),".",",")),"")))</f>
        <v>64992.23</v>
      </c>
      <c r="AH71" s="73" t="n">
        <f aca="false">IF(ISNUMBER(AI71),IF(ISNUMBER('Base de Datos'!Q67),IF('Base de Datos'!Q67&gt;20000,DATE(YEAR('Base de Datos'!Q67),DAY('Base de Datos'!Q67),MONTH('Base de Datos'!Q67)),""),IF(TRIM('Base de Datos'!Q67)="","",IFERROR(DATE(VALUE(RIGHT(TRIM('Base de Datos'!Q67),4)),VALUE(LEFT(TRIM('Base de Datos'!Q67),2)),VALUE(MID(TRIM('Base de Datos'!Q67),4,2))),""))),"")</f>
        <v>44913</v>
      </c>
      <c r="AI71" s="74" t="n">
        <f aca="false">IF(ISNUMBER('Base de Datos'!R67),'Base de Datos'!R67,IF(TRIM('Base de Datos'!R67)="","",IFERROR(IF(IFERROR(FIND("@",SUBSTITUTE(TRIM('Base de Datos'!R67),",","@",LEN(TRIM('Base de Datos'!R67))-LEN(SUBSTITUTE(TRIM('Base de Datos'!R67),",","")))),0)&gt;IFERROR(FIND("@",SUBSTITUTE(TRIM('Base de Datos'!R67),".","@",LEN(TRIM('Base de Datos'!R67))-LEN(SUBSTITUTE(TRIM('Base de Datos'!R67),".","")))),0),_xlfn.NUMBERVALUE(SUBSTITUTE(SUBSTITUTE(TRIM('Base de Datos'!R67),".",""),",","."),".",","),_xlfn.NUMBERVALUE(SUBSTITUTE(TRIM('Base de Datos'!R67),",",""),".",",")),"")))</f>
        <v>30.83</v>
      </c>
      <c r="AJ71" s="73" t="n">
        <f aca="false">IF(ISNUMBER(AK71),IF(ISNUMBER('Base de Datos'!Y67),IF('Base de Datos'!Y67&gt;20000,INT('Base de Datos'!Y67),""),IF(TRIM('Base de Datos'!Y67)="","",IFERROR(DATE(VALUE(RIGHT(TRIM('Base de Datos'!Y67),4)),VALUE(MID(TRIM('Base de Datos'!Y67),4,2)),VALUE(LEFT(TRIM('Base de Datos'!Y67),2))),IFERROR(DATEVALUE(TRIM('Base de Datos'!Y67)),"")))),"")</f>
        <v>44913</v>
      </c>
      <c r="AK71" s="74" t="n">
        <f aca="false">IF(ISNUMBER('Base de Datos'!Z67),'Base de Datos'!Z67,IF(TRIM('Base de Datos'!Z67)="","",IFERROR(IF(IFERROR(FIND("@",SUBSTITUTE(TRIM('Base de Datos'!Z67),",","@",LEN(TRIM('Base de Datos'!Z67))-LEN(SUBSTITUTE(TRIM('Base de Datos'!Z67),",","")))),0)&gt;IFERROR(FIND("@",SUBSTITUTE(TRIM('Base de Datos'!Z67),".","@",LEN(TRIM('Base de Datos'!Z67))-LEN(SUBSTITUTE(TRIM('Base de Datos'!Z67),".","")))),0),_xlfn.NUMBERVALUE(SUBSTITUTE(SUBSTITUTE(TRIM('Base de Datos'!Z67),".",""),",","."),".",","),_xlfn.NUMBERVALUE(SUBSTITUTE(TRIM('Base de Datos'!Z67),",",""),".",",")),"")))</f>
        <v>50578.09</v>
      </c>
    </row>
    <row r="72" customFormat="false" ht="13.5" hidden="false" customHeight="false" outlineLevel="0" collapsed="false">
      <c r="A72" s="75" t="n">
        <f aca="false">ROWS(A$13:A72)</f>
        <v>60</v>
      </c>
      <c r="B72" s="73" t="n">
        <f aca="false">IF(B71="","",IFERROR(SMALL($AH$10:$AH$409,COUNTIF($AH$10:$AH$409,"&lt;="&amp;B71)+1),""))</f>
        <v>44899</v>
      </c>
      <c r="C72" s="74" t="n">
        <f aca="false">IF(B72="","",INDEX($AI$10:$AI$409,MATCH(B72,$AH$10:$AH$409,0)))</f>
        <v>30.43</v>
      </c>
      <c r="D72" s="74" t="n">
        <f aca="false">IF(B72="","",IFERROR(INDEX($AK$10:$AK$409,MATCH(B72,$AJ$10:$AJ$409,0)),""))</f>
        <v>50466.25</v>
      </c>
      <c r="E72" s="76" t="n">
        <f aca="false">IF(AND(ISNUMBER(C72),ISNUMBER(C71)),C72/C71-1,"")</f>
        <v>0.0654761904761905</v>
      </c>
      <c r="F72" s="76" t="n">
        <f aca="false">IF(AND(ISNUMBER(D72),ISNUMBER(D71)),D72/D71-1,"")</f>
        <v>-0.0149922795966848</v>
      </c>
      <c r="G72" s="75" t="n">
        <f aca="false">IF(AND(ISNUMBER(E72),ISNUMBER(F72)),1,"")</f>
        <v>1</v>
      </c>
      <c r="H72" s="75" t="n">
        <f aca="false">IF(G72=1,COUNT(G72:G$412),"")</f>
        <v>200</v>
      </c>
      <c r="I72" s="75" t="n">
        <f aca="false">IF(G72=1,IF(H72&lt;='Beta Regresión'!$B$5,1,""),"")</f>
        <v>1</v>
      </c>
      <c r="J72" s="76" t="n">
        <f aca="false">IF(I72=1,E72,"")</f>
        <v>0.0654761904761905</v>
      </c>
      <c r="K72" s="76" t="n">
        <f aca="false">IF(I72=1,F72,"")</f>
        <v>-0.0149922795966848</v>
      </c>
      <c r="L72" s="75" t="n">
        <f aca="false">IF(I72=1,COUNT(I$13:I72),"")</f>
        <v>59</v>
      </c>
      <c r="M72" s="76" t="n">
        <f aca="false">IFERROR(INDEX($J$13:$J$412,MATCH(A72,$L$13:$L$412,0)),"")</f>
        <v>0.00657246138678924</v>
      </c>
      <c r="N72" s="76" t="n">
        <f aca="false">IFERROR(INDEX($K$13:$K$412,MATCH(A72,$L$13:$L$412,0)),"")</f>
        <v>-0.0165675079880118</v>
      </c>
      <c r="O72" s="76" t="n">
        <f aca="false">IF(I72=1,E72,NA())</f>
        <v>0.0654761904761905</v>
      </c>
      <c r="P72" s="76" t="n">
        <f aca="false">IF(I72=1,F72,NA())</f>
        <v>-0.0149922795966848</v>
      </c>
      <c r="R72" s="75" t="n">
        <f aca="false">ROWS(R$13:R72)</f>
        <v>60</v>
      </c>
      <c r="S72" s="73" t="n">
        <f aca="false">IF(S71="","",IFERROR(SMALL($AD$10:$AD$509,COUNTIF($AD$10:$AD$509,"&lt;="&amp;S71)+1),""))</f>
        <v>46297</v>
      </c>
      <c r="T72" s="74" t="n">
        <f aca="false">IF(S72="","",INDEX($AE$10:$AE$509,MATCH(S72,$AD$10:$AD$509,0)))</f>
        <v>34.1</v>
      </c>
      <c r="U72" s="74" t="n">
        <f aca="false">IF(S72="","",IFERROR(INDEX($AG$10:$AG$509,MATCH(S72,$AF$10:$AF$509,0)),""))</f>
        <v>64531.68</v>
      </c>
      <c r="V72" s="76" t="n">
        <f aca="false">IF(AND(ISNUMBER(T72),ISNUMBER(T71)),T72/T71-1,"")</f>
        <v>0.00294117647058823</v>
      </c>
      <c r="W72" s="76" t="n">
        <f aca="false">IF(AND(ISNUMBER(U72),ISNUMBER(U71)),U72/U71-1,"")</f>
        <v>0.0110151248813228</v>
      </c>
      <c r="X72" s="75" t="n">
        <f aca="false">IF(AND(ISNUMBER(V72),ISNUMBER(W72)),1,"")</f>
        <v>1</v>
      </c>
      <c r="Y72" s="76" t="n">
        <f aca="false">IF(X72=1,V72,"")</f>
        <v>0.00294117647058823</v>
      </c>
      <c r="Z72" s="76" t="n">
        <f aca="false">IF(X72=1,W72,"")</f>
        <v>0.0110151248813228</v>
      </c>
      <c r="AA72" s="76" t="n">
        <f aca="false">IF(X72=1,V72,NA())</f>
        <v>0.00294117647058823</v>
      </c>
      <c r="AB72" s="76" t="n">
        <f aca="false">IF(X72=1,W72,NA())</f>
        <v>0.0110151248813228</v>
      </c>
      <c r="AD72" s="73" t="n">
        <f aca="false">IF(ISNUMBER(AE72),IF(ISNUMBER('Base de Datos'!A68),IF('Base de Datos'!A68&gt;20000,DATE(YEAR('Base de Datos'!A68),DAY('Base de Datos'!A68),MONTH('Base de Datos'!A68)),""),IF(TRIM('Base de Datos'!A68)="","",IFERROR(DATE(VALUE(RIGHT(TRIM('Base de Datos'!A68),4)),VALUE(LEFT(TRIM('Base de Datos'!A68),2)),VALUE(MID(TRIM('Base de Datos'!A68),4,2))),""))),"")</f>
        <v>46302</v>
      </c>
      <c r="AE72" s="74" t="n">
        <f aca="false">IF(ISNUMBER('Base de Datos'!B68),'Base de Datos'!B68,IF(TRIM('Base de Datos'!B68)="","",IFERROR(IF(IFERROR(FIND("@",SUBSTITUTE(TRIM('Base de Datos'!B68),",","@",LEN(TRIM('Base de Datos'!B68))-LEN(SUBSTITUTE(TRIM('Base de Datos'!B68),",","")))),0)&gt;IFERROR(FIND("@",SUBSTITUTE(TRIM('Base de Datos'!B68),".","@",LEN(TRIM('Base de Datos'!B68))-LEN(SUBSTITUTE(TRIM('Base de Datos'!B68),".","")))),0),_xlfn.NUMBERVALUE(SUBSTITUTE(SUBSTITUTE(TRIM('Base de Datos'!B68),".",""),",","."),".",","),_xlfn.NUMBERVALUE(SUBSTITUTE(TRIM('Base de Datos'!B68),",",""),".",",")),"")))</f>
        <v>33.1</v>
      </c>
      <c r="AF72" s="73" t="n">
        <f aca="false">IF(ISNUMBER(AG72),IF(ISNUMBER('Base de Datos'!I68),IF('Base de Datos'!I68&gt;20000,INT('Base de Datos'!I68),""),IF(TRIM('Base de Datos'!I68)="","",IFERROR(DATE(VALUE(RIGHT(TRIM('Base de Datos'!I68),4)),VALUE(MID(TRIM('Base de Datos'!I68),4,2)),VALUE(LEFT(TRIM('Base de Datos'!I68),2))),IFERROR(DATEVALUE(TRIM('Base de Datos'!I68)),"")))),"")</f>
        <v>46293</v>
      </c>
      <c r="AG72" s="74" t="n">
        <f aca="false">IF(ISNUMBER('Base de Datos'!J68),'Base de Datos'!J68,IF(TRIM('Base de Datos'!J68)="","",IFERROR(IF(IFERROR(FIND("@",SUBSTITUTE(TRIM('Base de Datos'!J68),",","@",LEN(TRIM('Base de Datos'!J68))-LEN(SUBSTITUTE(TRIM('Base de Datos'!J68),",","")))),0)&gt;IFERROR(FIND("@",SUBSTITUTE(TRIM('Base de Datos'!J68),".","@",LEN(TRIM('Base de Datos'!J68))-LEN(SUBSTITUTE(TRIM('Base de Datos'!J68),".","")))),0),_xlfn.NUMBERVALUE(SUBSTITUTE(SUBSTITUTE(TRIM('Base de Datos'!J68),".",""),",","."),".",","),_xlfn.NUMBERVALUE(SUBSTITUTE(TRIM('Base de Datos'!J68),",",""),".",",")),"")))</f>
        <v>64944.41</v>
      </c>
      <c r="AH72" s="73" t="n">
        <f aca="false">IF(ISNUMBER(AI72),IF(ISNUMBER('Base de Datos'!Q68),IF('Base de Datos'!Q68&gt;20000,DATE(YEAR('Base de Datos'!Q68),DAY('Base de Datos'!Q68),MONTH('Base de Datos'!Q68)),""),IF(TRIM('Base de Datos'!Q68)="","",IFERROR(DATE(VALUE(RIGHT(TRIM('Base de Datos'!Q68),4)),VALUE(LEFT(TRIM('Base de Datos'!Q68),2)),VALUE(MID(TRIM('Base de Datos'!Q68),4,2))),""))),"")</f>
        <v>44920</v>
      </c>
      <c r="AI72" s="74" t="n">
        <f aca="false">IF(ISNUMBER('Base de Datos'!R68),'Base de Datos'!R68,IF(TRIM('Base de Datos'!R68)="","",IFERROR(IF(IFERROR(FIND("@",SUBSTITUTE(TRIM('Base de Datos'!R68),",","@",LEN(TRIM('Base de Datos'!R68))-LEN(SUBSTITUTE(TRIM('Base de Datos'!R68),",","")))),0)&gt;IFERROR(FIND("@",SUBSTITUTE(TRIM('Base de Datos'!R68),".","@",LEN(TRIM('Base de Datos'!R68))-LEN(SUBSTITUTE(TRIM('Base de Datos'!R68),".","")))),0),_xlfn.NUMBERVALUE(SUBSTITUTE(SUBSTITUTE(TRIM('Base de Datos'!R68),".",""),",","."),".",","),_xlfn.NUMBERVALUE(SUBSTITUTE(TRIM('Base de Datos'!R68),",",""),".",",")),"")))</f>
        <v>31.28</v>
      </c>
      <c r="AJ72" s="73" t="n">
        <f aca="false">IF(ISNUMBER(AK72),IF(ISNUMBER('Base de Datos'!Y68),IF('Base de Datos'!Y68&gt;20000,INT('Base de Datos'!Y68),""),IF(TRIM('Base de Datos'!Y68)="","",IFERROR(DATE(VALUE(RIGHT(TRIM('Base de Datos'!Y68),4)),VALUE(MID(TRIM('Base de Datos'!Y68),4,2)),VALUE(LEFT(TRIM('Base de Datos'!Y68),2))),IFERROR(DATEVALUE(TRIM('Base de Datos'!Y68)),"")))),"")</f>
        <v>44920</v>
      </c>
      <c r="AK72" s="74" t="n">
        <f aca="false">IF(ISNUMBER('Base de Datos'!Z68),'Base de Datos'!Z68,IF(TRIM('Base de Datos'!Z68)="","",IFERROR(IF(IFERROR(FIND("@",SUBSTITUTE(TRIM('Base de Datos'!Z68),",","@",LEN(TRIM('Base de Datos'!Z68))-LEN(SUBSTITUTE(TRIM('Base de Datos'!Z68),",","")))),0)&gt;IFERROR(FIND("@",SUBSTITUTE(TRIM('Base de Datos'!Z68),".","@",LEN(TRIM('Base de Datos'!Z68))-LEN(SUBSTITUTE(TRIM('Base de Datos'!Z68),".","")))),0),_xlfn.NUMBERVALUE(SUBSTITUTE(SUBSTITUTE(TRIM('Base de Datos'!Z68),".",""),",","."),".",","),_xlfn.NUMBERVALUE(SUBSTITUTE(TRIM('Base de Datos'!Z68),",",""),".",",")),"")))</f>
        <v>48463.86</v>
      </c>
    </row>
    <row r="73" customFormat="false" ht="13.5" hidden="false" customHeight="false" outlineLevel="0" collapsed="false">
      <c r="A73" s="75" t="n">
        <f aca="false">ROWS(A$13:A73)</f>
        <v>61</v>
      </c>
      <c r="B73" s="73" t="n">
        <f aca="false">IF(B72="","",IFERROR(SMALL($AH$10:$AH$409,COUNTIF($AH$10:$AH$409,"&lt;="&amp;B72)+1),""))</f>
        <v>44906</v>
      </c>
      <c r="C73" s="74" t="n">
        <f aca="false">IF(B73="","",INDEX($AI$10:$AI$409,MATCH(B73,$AH$10:$AH$409,0)))</f>
        <v>30.63</v>
      </c>
      <c r="D73" s="74" t="n">
        <f aca="false">IF(B73="","",IFERROR(INDEX($AK$10:$AK$409,MATCH(B73,$AJ$10:$AJ$409,0)),""))</f>
        <v>49630.15</v>
      </c>
      <c r="E73" s="76" t="n">
        <f aca="false">IF(AND(ISNUMBER(C73),ISNUMBER(C72)),C73/C72-1,"")</f>
        <v>0.00657246138678924</v>
      </c>
      <c r="F73" s="76" t="n">
        <f aca="false">IF(AND(ISNUMBER(D73),ISNUMBER(D72)),D73/D72-1,"")</f>
        <v>-0.0165675079880118</v>
      </c>
      <c r="G73" s="75" t="n">
        <f aca="false">IF(AND(ISNUMBER(E73),ISNUMBER(F73)),1,"")</f>
        <v>1</v>
      </c>
      <c r="H73" s="75" t="n">
        <f aca="false">IF(G73=1,COUNT(G73:G$412),"")</f>
        <v>199</v>
      </c>
      <c r="I73" s="75" t="n">
        <f aca="false">IF(G73=1,IF(H73&lt;='Beta Regresión'!$B$5,1,""),"")</f>
        <v>1</v>
      </c>
      <c r="J73" s="76" t="n">
        <f aca="false">IF(I73=1,E73,"")</f>
        <v>0.00657246138678924</v>
      </c>
      <c r="K73" s="76" t="n">
        <f aca="false">IF(I73=1,F73,"")</f>
        <v>-0.0165675079880118</v>
      </c>
      <c r="L73" s="75" t="n">
        <f aca="false">IF(I73=1,COUNT(I$13:I73),"")</f>
        <v>60</v>
      </c>
      <c r="M73" s="76" t="n">
        <f aca="false">IFERROR(INDEX($J$13:$J$412,MATCH(A73,$L$13:$L$412,0)),"")</f>
        <v>0.00652954619653934</v>
      </c>
      <c r="N73" s="76" t="n">
        <f aca="false">IFERROR(INDEX($K$13:$K$412,MATCH(A73,$L$13:$L$412,0)),"")</f>
        <v>0.0191000833162904</v>
      </c>
      <c r="O73" s="76" t="n">
        <f aca="false">IF(I73=1,E73,NA())</f>
        <v>0.00657246138678924</v>
      </c>
      <c r="P73" s="76" t="n">
        <f aca="false">IF(I73=1,F73,NA())</f>
        <v>-0.0165675079880118</v>
      </c>
      <c r="R73" s="75" t="n">
        <f aca="false">ROWS(R$13:R73)</f>
        <v>61</v>
      </c>
      <c r="S73" s="73" t="n">
        <f aca="false">IF(S72="","",IFERROR(SMALL($AD$10:$AD$509,COUNTIF($AD$10:$AD$509,"&lt;="&amp;S72)+1),""))</f>
        <v>46300</v>
      </c>
      <c r="T73" s="74" t="n">
        <f aca="false">IF(S73="","",INDEX($AE$10:$AE$509,MATCH(S73,$AD$10:$AD$509,0)))</f>
        <v>33.79</v>
      </c>
      <c r="U73" s="74" t="n">
        <f aca="false">IF(S73="","",IFERROR(INDEX($AG$10:$AG$509,MATCH(S73,$AF$10:$AF$509,0)),""))</f>
        <v>64975.08</v>
      </c>
      <c r="V73" s="76" t="n">
        <f aca="false">IF(AND(ISNUMBER(T73),ISNUMBER(T72)),T73/T72-1,"")</f>
        <v>-0.00909090909090915</v>
      </c>
      <c r="W73" s="76" t="n">
        <f aca="false">IF(AND(ISNUMBER(U73),ISNUMBER(U72)),U73/U72-1,"")</f>
        <v>0.00687104380360171</v>
      </c>
      <c r="X73" s="75" t="n">
        <f aca="false">IF(AND(ISNUMBER(V73),ISNUMBER(W73)),1,"")</f>
        <v>1</v>
      </c>
      <c r="Y73" s="76" t="n">
        <f aca="false">IF(X73=1,V73,"")</f>
        <v>-0.00909090909090915</v>
      </c>
      <c r="Z73" s="76" t="n">
        <f aca="false">IF(X73=1,W73,"")</f>
        <v>0.00687104380360171</v>
      </c>
      <c r="AA73" s="76" t="n">
        <f aca="false">IF(X73=1,V73,NA())</f>
        <v>-0.00909090909090915</v>
      </c>
      <c r="AB73" s="76" t="n">
        <f aca="false">IF(X73=1,W73,NA())</f>
        <v>0.00687104380360171</v>
      </c>
      <c r="AD73" s="73" t="str">
        <f aca="false">IF(ISNUMBER(AE73),IF(ISNUMBER('Base de Datos'!A69),IF('Base de Datos'!A69&gt;20000,DATE(YEAR('Base de Datos'!A69),DAY('Base de Datos'!A69),MONTH('Base de Datos'!A69)),""),IF(TRIM('Base de Datos'!A69)="","",IFERROR(DATE(VALUE(RIGHT(TRIM('Base de Datos'!A69),4)),VALUE(LEFT(TRIM('Base de Datos'!A69),2)),VALUE(MID(TRIM('Base de Datos'!A69),4,2))),""))),"")</f>
        <v/>
      </c>
      <c r="AE73" s="74" t="str">
        <f aca="false">IF(ISNUMBER('Base de Datos'!B69),'Base de Datos'!B69,IF(TRIM('Base de Datos'!B69)="","",IFERROR(IF(IFERROR(FIND("@",SUBSTITUTE(TRIM('Base de Datos'!B69),",","@",LEN(TRIM('Base de Datos'!B69))-LEN(SUBSTITUTE(TRIM('Base de Datos'!B69),",","")))),0)&gt;IFERROR(FIND("@",SUBSTITUTE(TRIM('Base de Datos'!B69),".","@",LEN(TRIM('Base de Datos'!B69))-LEN(SUBSTITUTE(TRIM('Base de Datos'!B69),".","")))),0),_xlfn.NUMBERVALUE(SUBSTITUTE(SUBSTITUTE(TRIM('Base de Datos'!B69),".",""),",","."),".",","),_xlfn.NUMBERVALUE(SUBSTITUTE(TRIM('Base de Datos'!B69),",",""),".",",")),"")))</f>
        <v/>
      </c>
      <c r="AF73" s="73" t="n">
        <f aca="false">IF(ISNUMBER(AG73),IF(ISNUMBER('Base de Datos'!I69),IF('Base de Datos'!I69&gt;20000,INT('Base de Datos'!I69),""),IF(TRIM('Base de Datos'!I69)="","",IFERROR(DATE(VALUE(RIGHT(TRIM('Base de Datos'!I69),4)),VALUE(MID(TRIM('Base de Datos'!I69),4,2)),VALUE(LEFT(TRIM('Base de Datos'!I69),2))),IFERROR(DATEVALUE(TRIM('Base de Datos'!I69)),"")))),"")</f>
        <v>46294</v>
      </c>
      <c r="AG73" s="74" t="n">
        <f aca="false">IF(ISNUMBER('Base de Datos'!J69),'Base de Datos'!J69,IF(TRIM('Base de Datos'!J69)="","",IFERROR(IF(IFERROR(FIND("@",SUBSTITUTE(TRIM('Base de Datos'!J69),",","@",LEN(TRIM('Base de Datos'!J69))-LEN(SUBSTITUTE(TRIM('Base de Datos'!J69),",","")))),0)&gt;IFERROR(FIND("@",SUBSTITUTE(TRIM('Base de Datos'!J69),".","@",LEN(TRIM('Base de Datos'!J69))-LEN(SUBSTITUTE(TRIM('Base de Datos'!J69),".","")))),0),_xlfn.NUMBERVALUE(SUBSTITUTE(SUBSTITUTE(TRIM('Base de Datos'!J69),".",""),",","."),".",","),_xlfn.NUMBERVALUE(SUBSTITUTE(TRIM('Base de Datos'!J69),",",""),".",",")),"")))</f>
        <v>65110.57</v>
      </c>
      <c r="AH73" s="73" t="n">
        <f aca="false">IF(ISNUMBER(AI73),IF(ISNUMBER('Base de Datos'!Q69),IF('Base de Datos'!Q69&gt;20000,DATE(YEAR('Base de Datos'!Q69),DAY('Base de Datos'!Q69),MONTH('Base de Datos'!Q69)),""),IF(TRIM('Base de Datos'!Q69)="","",IFERROR(DATE(VALUE(RIGHT(TRIM('Base de Datos'!Q69),4)),VALUE(LEFT(TRIM('Base de Datos'!Q69),2)),VALUE(MID(TRIM('Base de Datos'!Q69),4,2))),""))),"")</f>
        <v>44927</v>
      </c>
      <c r="AI73" s="74" t="n">
        <f aca="false">IF(ISNUMBER('Base de Datos'!R69),'Base de Datos'!R69,IF(TRIM('Base de Datos'!R69)="","",IFERROR(IF(IFERROR(FIND("@",SUBSTITUTE(TRIM('Base de Datos'!R69),",","@",LEN(TRIM('Base de Datos'!R69))-LEN(SUBSTITUTE(TRIM('Base de Datos'!R69),",","")))),0)&gt;IFERROR(FIND("@",SUBSTITUTE(TRIM('Base de Datos'!R69),".","@",LEN(TRIM('Base de Datos'!R69))-LEN(SUBSTITUTE(TRIM('Base de Datos'!R69),".","")))),0),_xlfn.NUMBERVALUE(SUBSTITUTE(SUBSTITUTE(TRIM('Base de Datos'!R69),".",""),",","."),".",","),_xlfn.NUMBERVALUE(SUBSTITUTE(TRIM('Base de Datos'!R69),",",""),".",",")),"")))</f>
        <v>31.65</v>
      </c>
      <c r="AJ73" s="73" t="n">
        <f aca="false">IF(ISNUMBER(AK73),IF(ISNUMBER('Base de Datos'!Y69),IF('Base de Datos'!Y69&gt;20000,INT('Base de Datos'!Y69),""),IF(TRIM('Base de Datos'!Y69)="","",IFERROR(DATE(VALUE(RIGHT(TRIM('Base de Datos'!Y69),4)),VALUE(MID(TRIM('Base de Datos'!Y69),4,2)),VALUE(LEFT(TRIM('Base de Datos'!Y69),2))),IFERROR(DATEVALUE(TRIM('Base de Datos'!Y69)),"")))),"")</f>
        <v>44927</v>
      </c>
      <c r="AK73" s="74" t="n">
        <f aca="false">IF(ISNUMBER('Base de Datos'!Z69),'Base de Datos'!Z69,IF(TRIM('Base de Datos'!Z69)="","",IFERROR(IF(IFERROR(FIND("@",SUBSTITUTE(TRIM('Base de Datos'!Z69),",","@",LEN(TRIM('Base de Datos'!Z69))-LEN(SUBSTITUTE(TRIM('Base de Datos'!Z69),",","")))),0)&gt;IFERROR(FIND("@",SUBSTITUTE(TRIM('Base de Datos'!Z69),".","@",LEN(TRIM('Base de Datos'!Z69))-LEN(SUBSTITUTE(TRIM('Base de Datos'!Z69),".","")))),0),_xlfn.NUMBERVALUE(SUBSTITUTE(SUBSTITUTE(TRIM('Base de Datos'!Z69),".",""),",","."),".",","),_xlfn.NUMBERVALUE(SUBSTITUTE(TRIM('Base de Datos'!Z69),",",""),".",",")),"")))</f>
        <v>51730.5</v>
      </c>
    </row>
    <row r="74" customFormat="false" ht="13.5" hidden="false" customHeight="false" outlineLevel="0" collapsed="false">
      <c r="A74" s="75" t="n">
        <f aca="false">ROWS(A$13:A74)</f>
        <v>62</v>
      </c>
      <c r="B74" s="73" t="n">
        <f aca="false">IF(B73="","",IFERROR(SMALL($AH$10:$AH$409,COUNTIF($AH$10:$AH$409,"&lt;="&amp;B73)+1),""))</f>
        <v>44913</v>
      </c>
      <c r="C74" s="74" t="n">
        <f aca="false">IF(B74="","",INDEX($AI$10:$AI$409,MATCH(B74,$AH$10:$AH$409,0)))</f>
        <v>30.83</v>
      </c>
      <c r="D74" s="74" t="n">
        <f aca="false">IF(B74="","",IFERROR(INDEX($AK$10:$AK$409,MATCH(B74,$AJ$10:$AJ$409,0)),""))</f>
        <v>50578.09</v>
      </c>
      <c r="E74" s="76" t="n">
        <f aca="false">IF(AND(ISNUMBER(C74),ISNUMBER(C73)),C74/C73-1,"")</f>
        <v>0.00652954619653934</v>
      </c>
      <c r="F74" s="76" t="n">
        <f aca="false">IF(AND(ISNUMBER(D74),ISNUMBER(D73)),D74/D73-1,"")</f>
        <v>0.0191000833162904</v>
      </c>
      <c r="G74" s="75" t="n">
        <f aca="false">IF(AND(ISNUMBER(E74),ISNUMBER(F74)),1,"")</f>
        <v>1</v>
      </c>
      <c r="H74" s="75" t="n">
        <f aca="false">IF(G74=1,COUNT(G74:G$412),"")</f>
        <v>198</v>
      </c>
      <c r="I74" s="75" t="n">
        <f aca="false">IF(G74=1,IF(H74&lt;='Beta Regresión'!$B$5,1,""),"")</f>
        <v>1</v>
      </c>
      <c r="J74" s="76" t="n">
        <f aca="false">IF(I74=1,E74,"")</f>
        <v>0.00652954619653934</v>
      </c>
      <c r="K74" s="76" t="n">
        <f aca="false">IF(I74=1,F74,"")</f>
        <v>0.0191000833162904</v>
      </c>
      <c r="L74" s="75" t="n">
        <f aca="false">IF(I74=1,COUNT(I$13:I74),"")</f>
        <v>61</v>
      </c>
      <c r="M74" s="76" t="n">
        <f aca="false">IFERROR(INDEX($J$13:$J$412,MATCH(A74,$L$13:$L$412,0)),"")</f>
        <v>0.0145961725591957</v>
      </c>
      <c r="N74" s="76" t="n">
        <f aca="false">IFERROR(INDEX($K$13:$K$412,MATCH(A74,$L$13:$L$412,0)),"")</f>
        <v>-0.0418013017098905</v>
      </c>
      <c r="O74" s="76" t="n">
        <f aca="false">IF(I74=1,E74,NA())</f>
        <v>0.00652954619653934</v>
      </c>
      <c r="P74" s="76" t="n">
        <f aca="false">IF(I74=1,F74,NA())</f>
        <v>0.0191000833162904</v>
      </c>
      <c r="R74" s="75" t="n">
        <f aca="false">ROWS(R$13:R74)</f>
        <v>62</v>
      </c>
      <c r="S74" s="73" t="n">
        <f aca="false">IF(S73="","",IFERROR(SMALL($AD$10:$AD$509,COUNTIF($AD$10:$AD$509,"&lt;="&amp;S73)+1),""))</f>
        <v>46301</v>
      </c>
      <c r="T74" s="74" t="n">
        <f aca="false">IF(S74="","",INDEX($AE$10:$AE$509,MATCH(S74,$AD$10:$AD$509,0)))</f>
        <v>33.11</v>
      </c>
      <c r="U74" s="74" t="n">
        <f aca="false">IF(S74="","",IFERROR(INDEX($AG$10:$AG$509,MATCH(S74,$AF$10:$AF$509,0)),""))</f>
        <v>65312.46</v>
      </c>
      <c r="V74" s="76" t="n">
        <f aca="false">IF(AND(ISNUMBER(T74),ISNUMBER(T73)),T74/T73-1,"")</f>
        <v>-0.0201242971293282</v>
      </c>
      <c r="W74" s="76" t="n">
        <f aca="false">IF(AND(ISNUMBER(U74),ISNUMBER(U73)),U74/U73-1,"")</f>
        <v>0.00519245224476816</v>
      </c>
      <c r="X74" s="75" t="n">
        <f aca="false">IF(AND(ISNUMBER(V74),ISNUMBER(W74)),1,"")</f>
        <v>1</v>
      </c>
      <c r="Y74" s="76" t="n">
        <f aca="false">IF(X74=1,V74,"")</f>
        <v>-0.0201242971293282</v>
      </c>
      <c r="Z74" s="76" t="n">
        <f aca="false">IF(X74=1,W74,"")</f>
        <v>0.00519245224476816</v>
      </c>
      <c r="AA74" s="76" t="n">
        <f aca="false">IF(X74=1,V74,NA())</f>
        <v>-0.0201242971293282</v>
      </c>
      <c r="AB74" s="76" t="n">
        <f aca="false">IF(X74=1,W74,NA())</f>
        <v>0.00519245224476816</v>
      </c>
      <c r="AD74" s="73" t="str">
        <f aca="false">IF(ISNUMBER(AE74),IF(ISNUMBER('Base de Datos'!A70),IF('Base de Datos'!A70&gt;20000,DATE(YEAR('Base de Datos'!A70),DAY('Base de Datos'!A70),MONTH('Base de Datos'!A70)),""),IF(TRIM('Base de Datos'!A70)="","",IFERROR(DATE(VALUE(RIGHT(TRIM('Base de Datos'!A70),4)),VALUE(LEFT(TRIM('Base de Datos'!A70),2)),VALUE(MID(TRIM('Base de Datos'!A70),4,2))),""))),"")</f>
        <v/>
      </c>
      <c r="AE74" s="74" t="str">
        <f aca="false">IF(ISNUMBER('Base de Datos'!B70),'Base de Datos'!B70,IF(TRIM('Base de Datos'!B70)="","",IFERROR(IF(IFERROR(FIND("@",SUBSTITUTE(TRIM('Base de Datos'!B70),",","@",LEN(TRIM('Base de Datos'!B70))-LEN(SUBSTITUTE(TRIM('Base de Datos'!B70),",","")))),0)&gt;IFERROR(FIND("@",SUBSTITUTE(TRIM('Base de Datos'!B70),".","@",LEN(TRIM('Base de Datos'!B70))-LEN(SUBSTITUTE(TRIM('Base de Datos'!B70),".","")))),0),_xlfn.NUMBERVALUE(SUBSTITUTE(SUBSTITUTE(TRIM('Base de Datos'!B70),".",""),",","."),".",","),_xlfn.NUMBERVALUE(SUBSTITUTE(TRIM('Base de Datos'!B70),",",""),".",",")),"")))</f>
        <v/>
      </c>
      <c r="AF74" s="73" t="n">
        <f aca="false">IF(ISNUMBER(AG74),IF(ISNUMBER('Base de Datos'!I70),IF('Base de Datos'!I70&gt;20000,INT('Base de Datos'!I70),""),IF(TRIM('Base de Datos'!I70)="","",IFERROR(DATE(VALUE(RIGHT(TRIM('Base de Datos'!I70),4)),VALUE(MID(TRIM('Base de Datos'!I70),4,2)),VALUE(LEFT(TRIM('Base de Datos'!I70),2))),IFERROR(DATEVALUE(TRIM('Base de Datos'!I70)),"")))),"")</f>
        <v>46295</v>
      </c>
      <c r="AG74" s="74" t="n">
        <f aca="false">IF(ISNUMBER('Base de Datos'!J70),'Base de Datos'!J70,IF(TRIM('Base de Datos'!J70)="","",IFERROR(IF(IFERROR(FIND("@",SUBSTITUTE(TRIM('Base de Datos'!J70),",","@",LEN(TRIM('Base de Datos'!J70))-LEN(SUBSTITUTE(TRIM('Base de Datos'!J70),",","")))),0)&gt;IFERROR(FIND("@",SUBSTITUTE(TRIM('Base de Datos'!J70),".","@",LEN(TRIM('Base de Datos'!J70))-LEN(SUBSTITUTE(TRIM('Base de Datos'!J70),".","")))),0),_xlfn.NUMBERVALUE(SUBSTITUTE(SUBSTITUTE(TRIM('Base de Datos'!J70),".",""),",","."),".",","),_xlfn.NUMBERVALUE(SUBSTITUTE(TRIM('Base de Datos'!J70),",",""),".",",")),"")))</f>
        <v>64214.36</v>
      </c>
      <c r="AH74" s="73" t="n">
        <f aca="false">IF(ISNUMBER(AI74),IF(ISNUMBER('Base de Datos'!Q70),IF('Base de Datos'!Q70&gt;20000,DATE(YEAR('Base de Datos'!Q70),DAY('Base de Datos'!Q70),MONTH('Base de Datos'!Q70)),""),IF(TRIM('Base de Datos'!Q70)="","",IFERROR(DATE(VALUE(RIGHT(TRIM('Base de Datos'!Q70),4)),VALUE(LEFT(TRIM('Base de Datos'!Q70),2)),VALUE(MID(TRIM('Base de Datos'!Q70),4,2))),""))),"")</f>
        <v>44934</v>
      </c>
      <c r="AI74" s="74" t="n">
        <f aca="false">IF(ISNUMBER('Base de Datos'!R70),'Base de Datos'!R70,IF(TRIM('Base de Datos'!R70)="","",IFERROR(IF(IFERROR(FIND("@",SUBSTITUTE(TRIM('Base de Datos'!R70),",","@",LEN(TRIM('Base de Datos'!R70))-LEN(SUBSTITUTE(TRIM('Base de Datos'!R70),",","")))),0)&gt;IFERROR(FIND("@",SUBSTITUTE(TRIM('Base de Datos'!R70),".","@",LEN(TRIM('Base de Datos'!R70))-LEN(SUBSTITUTE(TRIM('Base de Datos'!R70),".","")))),0),_xlfn.NUMBERVALUE(SUBSTITUTE(SUBSTITUTE(TRIM('Base de Datos'!R70),".",""),",","."),".",","),_xlfn.NUMBERVALUE(SUBSTITUTE(TRIM('Base de Datos'!R70),",",""),".",",")),"")))</f>
        <v>30.99</v>
      </c>
      <c r="AJ74" s="73" t="n">
        <f aca="false">IF(ISNUMBER(AK74),IF(ISNUMBER('Base de Datos'!Y70),IF('Base de Datos'!Y70&gt;20000,INT('Base de Datos'!Y70),""),IF(TRIM('Base de Datos'!Y70)="","",IFERROR(DATE(VALUE(RIGHT(TRIM('Base de Datos'!Y70),4)),VALUE(MID(TRIM('Base de Datos'!Y70),4,2)),VALUE(LEFT(TRIM('Base de Datos'!Y70),2))),IFERROR(DATEVALUE(TRIM('Base de Datos'!Y70)),"")))),"")</f>
        <v>44934</v>
      </c>
      <c r="AK74" s="74" t="n">
        <f aca="false">IF(ISNUMBER('Base de Datos'!Z70),'Base de Datos'!Z70,IF(TRIM('Base de Datos'!Z70)="","",IFERROR(IF(IFERROR(FIND("@",SUBSTITUTE(TRIM('Base de Datos'!Z70),",","@",LEN(TRIM('Base de Datos'!Z70))-LEN(SUBSTITUTE(TRIM('Base de Datos'!Z70),",","")))),0)&gt;IFERROR(FIND("@",SUBSTITUTE(TRIM('Base de Datos'!Z70),".","@",LEN(TRIM('Base de Datos'!Z70))-LEN(SUBSTITUTE(TRIM('Base de Datos'!Z70),".","")))),0),_xlfn.NUMBERVALUE(SUBSTITUTE(SUBSTITUTE(TRIM('Base de Datos'!Z70),".",""),",","."),".",","),_xlfn.NUMBERVALUE(SUBSTITUTE(TRIM('Base de Datos'!Z70),",",""),".",",")),"")))</f>
        <v>53576.72</v>
      </c>
    </row>
    <row r="75" customFormat="false" ht="13.5" hidden="false" customHeight="false" outlineLevel="0" collapsed="false">
      <c r="A75" s="75" t="n">
        <f aca="false">ROWS(A$13:A75)</f>
        <v>63</v>
      </c>
      <c r="B75" s="73" t="n">
        <f aca="false">IF(B74="","",IFERROR(SMALL($AH$10:$AH$409,COUNTIF($AH$10:$AH$409,"&lt;="&amp;B74)+1),""))</f>
        <v>44920</v>
      </c>
      <c r="C75" s="74" t="n">
        <f aca="false">IF(B75="","",INDEX($AI$10:$AI$409,MATCH(B75,$AH$10:$AH$409,0)))</f>
        <v>31.28</v>
      </c>
      <c r="D75" s="74" t="n">
        <f aca="false">IF(B75="","",IFERROR(INDEX($AK$10:$AK$409,MATCH(B75,$AJ$10:$AJ$409,0)),""))</f>
        <v>48463.86</v>
      </c>
      <c r="E75" s="76" t="n">
        <f aca="false">IF(AND(ISNUMBER(C75),ISNUMBER(C74)),C75/C74-1,"")</f>
        <v>0.0145961725591957</v>
      </c>
      <c r="F75" s="76" t="n">
        <f aca="false">IF(AND(ISNUMBER(D75),ISNUMBER(D74)),D75/D74-1,"")</f>
        <v>-0.0418013017098905</v>
      </c>
      <c r="G75" s="75" t="n">
        <f aca="false">IF(AND(ISNUMBER(E75),ISNUMBER(F75)),1,"")</f>
        <v>1</v>
      </c>
      <c r="H75" s="75" t="n">
        <f aca="false">IF(G75=1,COUNT(G75:G$412),"")</f>
        <v>197</v>
      </c>
      <c r="I75" s="75" t="n">
        <f aca="false">IF(G75=1,IF(H75&lt;='Beta Regresión'!$B$5,1,""),"")</f>
        <v>1</v>
      </c>
      <c r="J75" s="76" t="n">
        <f aca="false">IF(I75=1,E75,"")</f>
        <v>0.0145961725591957</v>
      </c>
      <c r="K75" s="76" t="n">
        <f aca="false">IF(I75=1,F75,"")</f>
        <v>-0.0418013017098905</v>
      </c>
      <c r="L75" s="75" t="n">
        <f aca="false">IF(I75=1,COUNT(I$13:I75),"")</f>
        <v>62</v>
      </c>
      <c r="M75" s="76" t="n">
        <f aca="false">IFERROR(INDEX($J$13:$J$412,MATCH(A75,$L$13:$L$412,0)),"")</f>
        <v>0.0118286445012787</v>
      </c>
      <c r="N75" s="76" t="n">
        <f aca="false">IFERROR(INDEX($K$13:$K$412,MATCH(A75,$L$13:$L$412,0)),"")</f>
        <v>0.0674036281880972</v>
      </c>
      <c r="O75" s="76" t="n">
        <f aca="false">IF(I75=1,E75,NA())</f>
        <v>0.0145961725591957</v>
      </c>
      <c r="P75" s="76" t="n">
        <f aca="false">IF(I75=1,F75,NA())</f>
        <v>-0.0418013017098905</v>
      </c>
      <c r="R75" s="75" t="n">
        <f aca="false">ROWS(R$13:R75)</f>
        <v>63</v>
      </c>
      <c r="S75" s="73" t="n">
        <f aca="false">IF(S74="","",IFERROR(SMALL($AD$10:$AD$509,COUNTIF($AD$10:$AD$509,"&lt;="&amp;S74)+1),""))</f>
        <v>46302</v>
      </c>
      <c r="T75" s="74" t="n">
        <f aca="false">IF(S75="","",INDEX($AE$10:$AE$509,MATCH(S75,$AD$10:$AD$509,0)))</f>
        <v>33.1</v>
      </c>
      <c r="U75" s="74" t="n">
        <f aca="false">IF(S75="","",IFERROR(INDEX($AG$10:$AG$509,MATCH(S75,$AF$10:$AF$509,0)),""))</f>
        <v>64653.33</v>
      </c>
      <c r="V75" s="76" t="n">
        <f aca="false">IF(AND(ISNUMBER(T75),ISNUMBER(T74)),T75/T74-1,"")</f>
        <v>-0.000302023557837483</v>
      </c>
      <c r="W75" s="76" t="n">
        <f aca="false">IF(AND(ISNUMBER(U75),ISNUMBER(U74)),U75/U74-1,"")</f>
        <v>-0.0100919487644471</v>
      </c>
      <c r="X75" s="75" t="n">
        <f aca="false">IF(AND(ISNUMBER(V75),ISNUMBER(W75)),1,"")</f>
        <v>1</v>
      </c>
      <c r="Y75" s="76" t="n">
        <f aca="false">IF(X75=1,V75,"")</f>
        <v>-0.000302023557837483</v>
      </c>
      <c r="Z75" s="76" t="n">
        <f aca="false">IF(X75=1,W75,"")</f>
        <v>-0.0100919487644471</v>
      </c>
      <c r="AA75" s="76" t="n">
        <f aca="false">IF(X75=1,V75,NA())</f>
        <v>-0.000302023557837483</v>
      </c>
      <c r="AB75" s="76" t="n">
        <f aca="false">IF(X75=1,W75,NA())</f>
        <v>-0.0100919487644471</v>
      </c>
      <c r="AD75" s="73" t="str">
        <f aca="false">IF(ISNUMBER(AE75),IF(ISNUMBER('Base de Datos'!A71),IF('Base de Datos'!A71&gt;20000,DATE(YEAR('Base de Datos'!A71),DAY('Base de Datos'!A71),MONTH('Base de Datos'!A71)),""),IF(TRIM('Base de Datos'!A71)="","",IFERROR(DATE(VALUE(RIGHT(TRIM('Base de Datos'!A71),4)),VALUE(LEFT(TRIM('Base de Datos'!A71),2)),VALUE(MID(TRIM('Base de Datos'!A71),4,2))),""))),"")</f>
        <v/>
      </c>
      <c r="AE75" s="74" t="str">
        <f aca="false">IF(ISNUMBER('Base de Datos'!B71),'Base de Datos'!B71,IF(TRIM('Base de Datos'!B71)="","",IFERROR(IF(IFERROR(FIND("@",SUBSTITUTE(TRIM('Base de Datos'!B71),",","@",LEN(TRIM('Base de Datos'!B71))-LEN(SUBSTITUTE(TRIM('Base de Datos'!B71),",","")))),0)&gt;IFERROR(FIND("@",SUBSTITUTE(TRIM('Base de Datos'!B71),".","@",LEN(TRIM('Base de Datos'!B71))-LEN(SUBSTITUTE(TRIM('Base de Datos'!B71),".","")))),0),_xlfn.NUMBERVALUE(SUBSTITUTE(SUBSTITUTE(TRIM('Base de Datos'!B71),".",""),",","."),".",","),_xlfn.NUMBERVALUE(SUBSTITUTE(TRIM('Base de Datos'!B71),",",""),".",",")),"")))</f>
        <v/>
      </c>
      <c r="AF75" s="73" t="n">
        <f aca="false">IF(ISNUMBER(AG75),IF(ISNUMBER('Base de Datos'!I71),IF('Base de Datos'!I71&gt;20000,INT('Base de Datos'!I71),""),IF(TRIM('Base de Datos'!I71)="","",IFERROR(DATE(VALUE(RIGHT(TRIM('Base de Datos'!I71),4)),VALUE(MID(TRIM('Base de Datos'!I71),4,2)),VALUE(LEFT(TRIM('Base de Datos'!I71),2))),IFERROR(DATEVALUE(TRIM('Base de Datos'!I71)),"")))),"")</f>
        <v>46296</v>
      </c>
      <c r="AG75" s="74" t="n">
        <f aca="false">IF(ISNUMBER('Base de Datos'!J71),'Base de Datos'!J71,IF(TRIM('Base de Datos'!J71)="","",IFERROR(IF(IFERROR(FIND("@",SUBSTITUTE(TRIM('Base de Datos'!J71),",","@",LEN(TRIM('Base de Datos'!J71))-LEN(SUBSTITUTE(TRIM('Base de Datos'!J71),",","")))),0)&gt;IFERROR(FIND("@",SUBSTITUTE(TRIM('Base de Datos'!J71),".","@",LEN(TRIM('Base de Datos'!J71))-LEN(SUBSTITUTE(TRIM('Base de Datos'!J71),".","")))),0),_xlfn.NUMBERVALUE(SUBSTITUTE(SUBSTITUTE(TRIM('Base de Datos'!J71),".",""),",","."),".",","),_xlfn.NUMBERVALUE(SUBSTITUTE(TRIM('Base de Datos'!J71),",",""),".",",")),"")))</f>
        <v>63828.6</v>
      </c>
      <c r="AH75" s="73" t="n">
        <f aca="false">IF(ISNUMBER(AI75),IF(ISNUMBER('Base de Datos'!Q71),IF('Base de Datos'!Q71&gt;20000,DATE(YEAR('Base de Datos'!Q71),DAY('Base de Datos'!Q71),MONTH('Base de Datos'!Q71)),""),IF(TRIM('Base de Datos'!Q71)="","",IFERROR(DATE(VALUE(RIGHT(TRIM('Base de Datos'!Q71),4)),VALUE(LEFT(TRIM('Base de Datos'!Q71),2)),VALUE(MID(TRIM('Base de Datos'!Q71),4,2))),""))),"")</f>
        <v>44941</v>
      </c>
      <c r="AI75" s="74" t="n">
        <f aca="false">IF(ISNUMBER('Base de Datos'!R71),'Base de Datos'!R71,IF(TRIM('Base de Datos'!R71)="","",IFERROR(IF(IFERROR(FIND("@",SUBSTITUTE(TRIM('Base de Datos'!R71),",","@",LEN(TRIM('Base de Datos'!R71))-LEN(SUBSTITUTE(TRIM('Base de Datos'!R71),",","")))),0)&gt;IFERROR(FIND("@",SUBSTITUTE(TRIM('Base de Datos'!R71),".","@",LEN(TRIM('Base de Datos'!R71))-LEN(SUBSTITUTE(TRIM('Base de Datos'!R71),".","")))),0),_xlfn.NUMBERVALUE(SUBSTITUTE(SUBSTITUTE(TRIM('Base de Datos'!R71),".",""),",","."),".",","),_xlfn.NUMBERVALUE(SUBSTITUTE(TRIM('Base de Datos'!R71),",",""),".",",")),"")))</f>
        <v>30.77</v>
      </c>
      <c r="AJ75" s="73" t="n">
        <f aca="false">IF(ISNUMBER(AK75),IF(ISNUMBER('Base de Datos'!Y71),IF('Base de Datos'!Y71&gt;20000,INT('Base de Datos'!Y71),""),IF(TRIM('Base de Datos'!Y71)="","",IFERROR(DATE(VALUE(RIGHT(TRIM('Base de Datos'!Y71),4)),VALUE(MID(TRIM('Base de Datos'!Y71),4,2)),VALUE(LEFT(TRIM('Base de Datos'!Y71),2))),IFERROR(DATEVALUE(TRIM('Base de Datos'!Y71)),"")))),"")</f>
        <v>44941</v>
      </c>
      <c r="AK75" s="74" t="n">
        <f aca="false">IF(ISNUMBER('Base de Datos'!Z71),'Base de Datos'!Z71,IF(TRIM('Base de Datos'!Z71)="","",IFERROR(IF(IFERROR(FIND("@",SUBSTITUTE(TRIM('Base de Datos'!Z71),",","@",LEN(TRIM('Base de Datos'!Z71))-LEN(SUBSTITUTE(TRIM('Base de Datos'!Z71),",","")))),0)&gt;IFERROR(FIND("@",SUBSTITUTE(TRIM('Base de Datos'!Z71),".","@",LEN(TRIM('Base de Datos'!Z71))-LEN(SUBSTITUTE(TRIM('Base de Datos'!Z71),".","")))),0),_xlfn.NUMBERVALUE(SUBSTITUTE(SUBSTITUTE(TRIM('Base de Datos'!Z71),".",""),",","."),".",","),_xlfn.NUMBERVALUE(SUBSTITUTE(TRIM('Base de Datos'!Z71),",",""),".",",")),"")))</f>
        <v>53947.04</v>
      </c>
    </row>
    <row r="76" customFormat="false" ht="13.5" hidden="false" customHeight="false" outlineLevel="0" collapsed="false">
      <c r="A76" s="75" t="n">
        <f aca="false">ROWS(A$13:A76)</f>
        <v>64</v>
      </c>
      <c r="B76" s="73" t="n">
        <f aca="false">IF(B75="","",IFERROR(SMALL($AH$10:$AH$409,COUNTIF($AH$10:$AH$409,"&lt;="&amp;B75)+1),""))</f>
        <v>44927</v>
      </c>
      <c r="C76" s="74" t="n">
        <f aca="false">IF(B76="","",INDEX($AI$10:$AI$409,MATCH(B76,$AH$10:$AH$409,0)))</f>
        <v>31.65</v>
      </c>
      <c r="D76" s="74" t="n">
        <f aca="false">IF(B76="","",IFERROR(INDEX($AK$10:$AK$409,MATCH(B76,$AJ$10:$AJ$409,0)),""))</f>
        <v>51730.5</v>
      </c>
      <c r="E76" s="76" t="n">
        <f aca="false">IF(AND(ISNUMBER(C76),ISNUMBER(C75)),C76/C75-1,"")</f>
        <v>0.0118286445012787</v>
      </c>
      <c r="F76" s="76" t="n">
        <f aca="false">IF(AND(ISNUMBER(D76),ISNUMBER(D75)),D76/D75-1,"")</f>
        <v>0.0674036281880972</v>
      </c>
      <c r="G76" s="75" t="n">
        <f aca="false">IF(AND(ISNUMBER(E76),ISNUMBER(F76)),1,"")</f>
        <v>1</v>
      </c>
      <c r="H76" s="75" t="n">
        <f aca="false">IF(G76=1,COUNT(G76:G$412),"")</f>
        <v>196</v>
      </c>
      <c r="I76" s="75" t="n">
        <f aca="false">IF(G76=1,IF(H76&lt;='Beta Regresión'!$B$5,1,""),"")</f>
        <v>1</v>
      </c>
      <c r="J76" s="76" t="n">
        <f aca="false">IF(I76=1,E76,"")</f>
        <v>0.0118286445012787</v>
      </c>
      <c r="K76" s="76" t="n">
        <f aca="false">IF(I76=1,F76,"")</f>
        <v>0.0674036281880972</v>
      </c>
      <c r="L76" s="75" t="n">
        <f aca="false">IF(I76=1,COUNT(I$13:I76),"")</f>
        <v>63</v>
      </c>
      <c r="M76" s="76" t="n">
        <f aca="false">IFERROR(INDEX($J$13:$J$412,MATCH(A76,$L$13:$L$412,0)),"")</f>
        <v>-0.0208530805687204</v>
      </c>
      <c r="N76" s="76" t="n">
        <f aca="false">IFERROR(INDEX($K$13:$K$412,MATCH(A76,$L$13:$L$412,0)),"")</f>
        <v>0.0356891968954485</v>
      </c>
      <c r="O76" s="76" t="n">
        <f aca="false">IF(I76=1,E76,NA())</f>
        <v>0.0118286445012787</v>
      </c>
      <c r="P76" s="76" t="n">
        <f aca="false">IF(I76=1,F76,NA())</f>
        <v>0.0674036281880972</v>
      </c>
      <c r="R76" s="75" t="n">
        <f aca="false">ROWS(R$13:R76)</f>
        <v>64</v>
      </c>
      <c r="S76" s="73" t="str">
        <f aca="false">IF(S75="","",IFERROR(SMALL($AD$10:$AD$509,COUNTIF($AD$10:$AD$509,"&lt;="&amp;S75)+1),""))</f>
        <v/>
      </c>
      <c r="T76" s="74" t="str">
        <f aca="false">IF(S76="","",INDEX($AE$10:$AE$509,MATCH(S76,$AD$10:$AD$509,0)))</f>
        <v/>
      </c>
      <c r="U76" s="74" t="str">
        <f aca="false">IF(S76="","",IFERROR(INDEX($AG$10:$AG$509,MATCH(S76,$AF$10:$AF$509,0)),""))</f>
        <v/>
      </c>
      <c r="V76" s="76" t="str">
        <f aca="false">IF(AND(ISNUMBER(T76),ISNUMBER(T75)),T76/T75-1,"")</f>
        <v/>
      </c>
      <c r="W76" s="76" t="str">
        <f aca="false">IF(AND(ISNUMBER(U76),ISNUMBER(U75)),U76/U75-1,"")</f>
        <v/>
      </c>
      <c r="X76" s="75" t="str">
        <f aca="false">IF(AND(ISNUMBER(V76),ISNUMBER(W76)),1,"")</f>
        <v/>
      </c>
      <c r="Y76" s="76" t="str">
        <f aca="false">IF(X76=1,V76,"")</f>
        <v/>
      </c>
      <c r="Z76" s="76" t="str">
        <f aca="false">IF(X76=1,W76,"")</f>
        <v/>
      </c>
      <c r="AA76" s="76" t="e">
        <f aca="false">IF(X76=1,V76,NA())</f>
        <v>#N/A</v>
      </c>
      <c r="AB76" s="76" t="e">
        <f aca="false">IF(X76=1,W76,NA())</f>
        <v>#N/A</v>
      </c>
      <c r="AD76" s="73" t="str">
        <f aca="false">IF(ISNUMBER(AE76),IF(ISNUMBER('Base de Datos'!A72),IF('Base de Datos'!A72&gt;20000,DATE(YEAR('Base de Datos'!A72),DAY('Base de Datos'!A72),MONTH('Base de Datos'!A72)),""),IF(TRIM('Base de Datos'!A72)="","",IFERROR(DATE(VALUE(RIGHT(TRIM('Base de Datos'!A72),4)),VALUE(LEFT(TRIM('Base de Datos'!A72),2)),VALUE(MID(TRIM('Base de Datos'!A72),4,2))),""))),"")</f>
        <v/>
      </c>
      <c r="AE76" s="74" t="str">
        <f aca="false">IF(ISNUMBER('Base de Datos'!B72),'Base de Datos'!B72,IF(TRIM('Base de Datos'!B72)="","",IFERROR(IF(IFERROR(FIND("@",SUBSTITUTE(TRIM('Base de Datos'!B72),",","@",LEN(TRIM('Base de Datos'!B72))-LEN(SUBSTITUTE(TRIM('Base de Datos'!B72),",","")))),0)&gt;IFERROR(FIND("@",SUBSTITUTE(TRIM('Base de Datos'!B72),".","@",LEN(TRIM('Base de Datos'!B72))-LEN(SUBSTITUTE(TRIM('Base de Datos'!B72),".","")))),0),_xlfn.NUMBERVALUE(SUBSTITUTE(SUBSTITUTE(TRIM('Base de Datos'!B72),".",""),",","."),".",","),_xlfn.NUMBERVALUE(SUBSTITUTE(TRIM('Base de Datos'!B72),",",""),".",",")),"")))</f>
        <v/>
      </c>
      <c r="AF76" s="73" t="n">
        <f aca="false">IF(ISNUMBER(AG76),IF(ISNUMBER('Base de Datos'!I72),IF('Base de Datos'!I72&gt;20000,INT('Base de Datos'!I72),""),IF(TRIM('Base de Datos'!I72)="","",IFERROR(DATE(VALUE(RIGHT(TRIM('Base de Datos'!I72),4)),VALUE(MID(TRIM('Base de Datos'!I72),4,2)),VALUE(LEFT(TRIM('Base de Datos'!I72),2))),IFERROR(DATEVALUE(TRIM('Base de Datos'!I72)),"")))),"")</f>
        <v>46297</v>
      </c>
      <c r="AG76" s="74" t="n">
        <f aca="false">IF(ISNUMBER('Base de Datos'!J72),'Base de Datos'!J72,IF(TRIM('Base de Datos'!J72)="","",IFERROR(IF(IFERROR(FIND("@",SUBSTITUTE(TRIM('Base de Datos'!J72),",","@",LEN(TRIM('Base de Datos'!J72))-LEN(SUBSTITUTE(TRIM('Base de Datos'!J72),",","")))),0)&gt;IFERROR(FIND("@",SUBSTITUTE(TRIM('Base de Datos'!J72),".","@",LEN(TRIM('Base de Datos'!J72))-LEN(SUBSTITUTE(TRIM('Base de Datos'!J72),".","")))),0),_xlfn.NUMBERVALUE(SUBSTITUTE(SUBSTITUTE(TRIM('Base de Datos'!J72),".",""),",","."),".",","),_xlfn.NUMBERVALUE(SUBSTITUTE(TRIM('Base de Datos'!J72),",",""),".",",")),"")))</f>
        <v>64531.68</v>
      </c>
      <c r="AH76" s="73" t="n">
        <f aca="false">IF(ISNUMBER(AI76),IF(ISNUMBER('Base de Datos'!Q72),IF('Base de Datos'!Q72&gt;20000,DATE(YEAR('Base de Datos'!Q72),DAY('Base de Datos'!Q72),MONTH('Base de Datos'!Q72)),""),IF(TRIM('Base de Datos'!Q72)="","",IFERROR(DATE(VALUE(RIGHT(TRIM('Base de Datos'!Q72),4)),VALUE(LEFT(TRIM('Base de Datos'!Q72),2)),VALUE(MID(TRIM('Base de Datos'!Q72),4,2))),""))),"")</f>
        <v>44948</v>
      </c>
      <c r="AI76" s="74" t="n">
        <f aca="false">IF(ISNUMBER('Base de Datos'!R72),'Base de Datos'!R72,IF(TRIM('Base de Datos'!R72)="","",IFERROR(IF(IFERROR(FIND("@",SUBSTITUTE(TRIM('Base de Datos'!R72),",","@",LEN(TRIM('Base de Datos'!R72))-LEN(SUBSTITUTE(TRIM('Base de Datos'!R72),",","")))),0)&gt;IFERROR(FIND("@",SUBSTITUTE(TRIM('Base de Datos'!R72),".","@",LEN(TRIM('Base de Datos'!R72))-LEN(SUBSTITUTE(TRIM('Base de Datos'!R72),".","")))),0),_xlfn.NUMBERVALUE(SUBSTITUTE(SUBSTITUTE(TRIM('Base de Datos'!R72),".",""),",","."),".",","),_xlfn.NUMBERVALUE(SUBSTITUTE(TRIM('Base de Datos'!R72),",",""),".",",")),"")))</f>
        <v>31.12</v>
      </c>
      <c r="AJ76" s="73" t="n">
        <f aca="false">IF(ISNUMBER(AK76),IF(ISNUMBER('Base de Datos'!Y72),IF('Base de Datos'!Y72&gt;20000,INT('Base de Datos'!Y72),""),IF(TRIM('Base de Datos'!Y72)="","",IFERROR(DATE(VALUE(RIGHT(TRIM('Base de Datos'!Y72),4)),VALUE(MID(TRIM('Base de Datos'!Y72),4,2)),VALUE(LEFT(TRIM('Base de Datos'!Y72),2))),IFERROR(DATEVALUE(TRIM('Base de Datos'!Y72)),"")))),"")</f>
        <v>44948</v>
      </c>
      <c r="AK76" s="74" t="n">
        <f aca="false">IF(ISNUMBER('Base de Datos'!Z72),'Base de Datos'!Z72,IF(TRIM('Base de Datos'!Z72)="","",IFERROR(IF(IFERROR(FIND("@",SUBSTITUTE(TRIM('Base de Datos'!Z72),",","@",LEN(TRIM('Base de Datos'!Z72))-LEN(SUBSTITUTE(TRIM('Base de Datos'!Z72),",","")))),0)&gt;IFERROR(FIND("@",SUBSTITUTE(TRIM('Base de Datos'!Z72),".","@",LEN(TRIM('Base de Datos'!Z72))-LEN(SUBSTITUTE(TRIM('Base de Datos'!Z72),".","")))),0),_xlfn.NUMBERVALUE(SUBSTITUTE(SUBSTITUTE(TRIM('Base de Datos'!Z72),".",""),",","."),".",","),_xlfn.NUMBERVALUE(SUBSTITUTE(TRIM('Base de Datos'!Z72),",",""),".",",")),"")))</f>
        <v>54774.91</v>
      </c>
    </row>
    <row r="77" customFormat="false" ht="13.5" hidden="false" customHeight="false" outlineLevel="0" collapsed="false">
      <c r="A77" s="75" t="n">
        <f aca="false">ROWS(A$13:A77)</f>
        <v>65</v>
      </c>
      <c r="B77" s="73" t="n">
        <f aca="false">IF(B76="","",IFERROR(SMALL($AH$10:$AH$409,COUNTIF($AH$10:$AH$409,"&lt;="&amp;B76)+1),""))</f>
        <v>44934</v>
      </c>
      <c r="C77" s="74" t="n">
        <f aca="false">IF(B77="","",INDEX($AI$10:$AI$409,MATCH(B77,$AH$10:$AH$409,0)))</f>
        <v>30.99</v>
      </c>
      <c r="D77" s="74" t="n">
        <f aca="false">IF(B77="","",IFERROR(INDEX($AK$10:$AK$409,MATCH(B77,$AJ$10:$AJ$409,0)),""))</f>
        <v>53576.72</v>
      </c>
      <c r="E77" s="76" t="n">
        <f aca="false">IF(AND(ISNUMBER(C77),ISNUMBER(C76)),C77/C76-1,"")</f>
        <v>-0.0208530805687204</v>
      </c>
      <c r="F77" s="76" t="n">
        <f aca="false">IF(AND(ISNUMBER(D77),ISNUMBER(D76)),D77/D76-1,"")</f>
        <v>0.0356891968954485</v>
      </c>
      <c r="G77" s="75" t="n">
        <f aca="false">IF(AND(ISNUMBER(E77),ISNUMBER(F77)),1,"")</f>
        <v>1</v>
      </c>
      <c r="H77" s="75" t="n">
        <f aca="false">IF(G77=1,COUNT(G77:G$412),"")</f>
        <v>195</v>
      </c>
      <c r="I77" s="75" t="n">
        <f aca="false">IF(G77=1,IF(H77&lt;='Beta Regresión'!$B$5,1,""),"")</f>
        <v>1</v>
      </c>
      <c r="J77" s="76" t="n">
        <f aca="false">IF(I77=1,E77,"")</f>
        <v>-0.0208530805687204</v>
      </c>
      <c r="K77" s="76" t="n">
        <f aca="false">IF(I77=1,F77,"")</f>
        <v>0.0356891968954485</v>
      </c>
      <c r="L77" s="75" t="n">
        <f aca="false">IF(I77=1,COUNT(I$13:I77),"")</f>
        <v>64</v>
      </c>
      <c r="M77" s="76" t="n">
        <f aca="false">IFERROR(INDEX($J$13:$J$412,MATCH(A77,$L$13:$L$412,0)),"")</f>
        <v>-0.00709906421426265</v>
      </c>
      <c r="N77" s="76" t="n">
        <f aca="false">IFERROR(INDEX($K$13:$K$412,MATCH(A77,$L$13:$L$412,0)),"")</f>
        <v>0.00691195728293925</v>
      </c>
      <c r="O77" s="76" t="n">
        <f aca="false">IF(I77=1,E77,NA())</f>
        <v>-0.0208530805687204</v>
      </c>
      <c r="P77" s="76" t="n">
        <f aca="false">IF(I77=1,F77,NA())</f>
        <v>0.0356891968954485</v>
      </c>
      <c r="R77" s="75" t="n">
        <f aca="false">ROWS(R$13:R77)</f>
        <v>65</v>
      </c>
      <c r="S77" s="73" t="str">
        <f aca="false">IF(S76="","",IFERROR(SMALL($AD$10:$AD$509,COUNTIF($AD$10:$AD$509,"&lt;="&amp;S76)+1),""))</f>
        <v/>
      </c>
      <c r="T77" s="74" t="str">
        <f aca="false">IF(S77="","",INDEX($AE$10:$AE$509,MATCH(S77,$AD$10:$AD$509,0)))</f>
        <v/>
      </c>
      <c r="U77" s="74" t="str">
        <f aca="false">IF(S77="","",IFERROR(INDEX($AG$10:$AG$509,MATCH(S77,$AF$10:$AF$509,0)),""))</f>
        <v/>
      </c>
      <c r="V77" s="76" t="str">
        <f aca="false">IF(AND(ISNUMBER(T77),ISNUMBER(T76)),T77/T76-1,"")</f>
        <v/>
      </c>
      <c r="W77" s="76" t="str">
        <f aca="false">IF(AND(ISNUMBER(U77),ISNUMBER(U76)),U77/U76-1,"")</f>
        <v/>
      </c>
      <c r="X77" s="75" t="str">
        <f aca="false">IF(AND(ISNUMBER(V77),ISNUMBER(W77)),1,"")</f>
        <v/>
      </c>
      <c r="Y77" s="76" t="str">
        <f aca="false">IF(X77=1,V77,"")</f>
        <v/>
      </c>
      <c r="Z77" s="76" t="str">
        <f aca="false">IF(X77=1,W77,"")</f>
        <v/>
      </c>
      <c r="AA77" s="76" t="e">
        <f aca="false">IF(X77=1,V77,NA())</f>
        <v>#N/A</v>
      </c>
      <c r="AB77" s="76" t="e">
        <f aca="false">IF(X77=1,W77,NA())</f>
        <v>#N/A</v>
      </c>
      <c r="AD77" s="73" t="str">
        <f aca="false">IF(ISNUMBER(AE77),IF(ISNUMBER('Base de Datos'!A73),IF('Base de Datos'!A73&gt;20000,DATE(YEAR('Base de Datos'!A73),DAY('Base de Datos'!A73),MONTH('Base de Datos'!A73)),""),IF(TRIM('Base de Datos'!A73)="","",IFERROR(DATE(VALUE(RIGHT(TRIM('Base de Datos'!A73),4)),VALUE(LEFT(TRIM('Base de Datos'!A73),2)),VALUE(MID(TRIM('Base de Datos'!A73),4,2))),""))),"")</f>
        <v/>
      </c>
      <c r="AE77" s="74" t="str">
        <f aca="false">IF(ISNUMBER('Base de Datos'!B73),'Base de Datos'!B73,IF(TRIM('Base de Datos'!B73)="","",IFERROR(IF(IFERROR(FIND("@",SUBSTITUTE(TRIM('Base de Datos'!B73),",","@",LEN(TRIM('Base de Datos'!B73))-LEN(SUBSTITUTE(TRIM('Base de Datos'!B73),",","")))),0)&gt;IFERROR(FIND("@",SUBSTITUTE(TRIM('Base de Datos'!B73),".","@",LEN(TRIM('Base de Datos'!B73))-LEN(SUBSTITUTE(TRIM('Base de Datos'!B73),".","")))),0),_xlfn.NUMBERVALUE(SUBSTITUTE(SUBSTITUTE(TRIM('Base de Datos'!B73),".",""),",","."),".",","),_xlfn.NUMBERVALUE(SUBSTITUTE(TRIM('Base de Datos'!B73),",",""),".",",")),"")))</f>
        <v/>
      </c>
      <c r="AF77" s="73" t="n">
        <f aca="false">IF(ISNUMBER(AG77),IF(ISNUMBER('Base de Datos'!I73),IF('Base de Datos'!I73&gt;20000,INT('Base de Datos'!I73),""),IF(TRIM('Base de Datos'!I73)="","",IFERROR(DATE(VALUE(RIGHT(TRIM('Base de Datos'!I73),4)),VALUE(MID(TRIM('Base de Datos'!I73),4,2)),VALUE(LEFT(TRIM('Base de Datos'!I73),2))),IFERROR(DATEVALUE(TRIM('Base de Datos'!I73)),"")))),"")</f>
        <v>46300</v>
      </c>
      <c r="AG77" s="74" t="n">
        <f aca="false">IF(ISNUMBER('Base de Datos'!J73),'Base de Datos'!J73,IF(TRIM('Base de Datos'!J73)="","",IFERROR(IF(IFERROR(FIND("@",SUBSTITUTE(TRIM('Base de Datos'!J73),",","@",LEN(TRIM('Base de Datos'!J73))-LEN(SUBSTITUTE(TRIM('Base de Datos'!J73),",","")))),0)&gt;IFERROR(FIND("@",SUBSTITUTE(TRIM('Base de Datos'!J73),".","@",LEN(TRIM('Base de Datos'!J73))-LEN(SUBSTITUTE(TRIM('Base de Datos'!J73),".","")))),0),_xlfn.NUMBERVALUE(SUBSTITUTE(SUBSTITUTE(TRIM('Base de Datos'!J73),".",""),",","."),".",","),_xlfn.NUMBERVALUE(SUBSTITUTE(TRIM('Base de Datos'!J73),",",""),".",",")),"")))</f>
        <v>64975.08</v>
      </c>
      <c r="AH77" s="73" t="n">
        <f aca="false">IF(ISNUMBER(AI77),IF(ISNUMBER('Base de Datos'!Q73),IF('Base de Datos'!Q73&gt;20000,DATE(YEAR('Base de Datos'!Q73),DAY('Base de Datos'!Q73),MONTH('Base de Datos'!Q73)),""),IF(TRIM('Base de Datos'!Q73)="","",IFERROR(DATE(VALUE(RIGHT(TRIM('Base de Datos'!Q73),4)),VALUE(LEFT(TRIM('Base de Datos'!Q73),2)),VALUE(MID(TRIM('Base de Datos'!Q73),4,2))),""))),"")</f>
        <v>44955</v>
      </c>
      <c r="AI77" s="74" t="n">
        <f aca="false">IF(ISNUMBER('Base de Datos'!R73),'Base de Datos'!R73,IF(TRIM('Base de Datos'!R73)="","",IFERROR(IF(IFERROR(FIND("@",SUBSTITUTE(TRIM('Base de Datos'!R73),",","@",LEN(TRIM('Base de Datos'!R73))-LEN(SUBSTITUTE(TRIM('Base de Datos'!R73),",","")))),0)&gt;IFERROR(FIND("@",SUBSTITUTE(TRIM('Base de Datos'!R73),".","@",LEN(TRIM('Base de Datos'!R73))-LEN(SUBSTITUTE(TRIM('Base de Datos'!R73),".","")))),0),_xlfn.NUMBERVALUE(SUBSTITUTE(SUBSTITUTE(TRIM('Base de Datos'!R73),".",""),",","."),".",","),_xlfn.NUMBERVALUE(SUBSTITUTE(TRIM('Base de Datos'!R73),",",""),".",",")),"")))</f>
        <v>30.02</v>
      </c>
      <c r="AJ77" s="73" t="n">
        <f aca="false">IF(ISNUMBER(AK77),IF(ISNUMBER('Base de Datos'!Y73),IF('Base de Datos'!Y73&gt;20000,INT('Base de Datos'!Y73),""),IF(TRIM('Base de Datos'!Y73)="","",IFERROR(DATE(VALUE(RIGHT(TRIM('Base de Datos'!Y73),4)),VALUE(MID(TRIM('Base de Datos'!Y73),4,2)),VALUE(LEFT(TRIM('Base de Datos'!Y73),2))),IFERROR(DATEVALUE(TRIM('Base de Datos'!Y73)),"")))),"")</f>
        <v>44955</v>
      </c>
      <c r="AK77" s="74" t="n">
        <f aca="false">IF(ISNUMBER('Base de Datos'!Z73),'Base de Datos'!Z73,IF(TRIM('Base de Datos'!Z73)="","",IFERROR(IF(IFERROR(FIND("@",SUBSTITUTE(TRIM('Base de Datos'!Z73),",","@",LEN(TRIM('Base de Datos'!Z73))-LEN(SUBSTITUTE(TRIM('Base de Datos'!Z73),",","")))),0)&gt;IFERROR(FIND("@",SUBSTITUTE(TRIM('Base de Datos'!Z73),".","@",LEN(TRIM('Base de Datos'!Z73))-LEN(SUBSTITUTE(TRIM('Base de Datos'!Z73),".","")))),0),_xlfn.NUMBERVALUE(SUBSTITUTE(SUBSTITUTE(TRIM('Base de Datos'!Z73),".",""),",","."),".",","),_xlfn.NUMBERVALUE(SUBSTITUTE(TRIM('Base de Datos'!Z73),",",""),".",",")),"")))</f>
        <v>54049.05</v>
      </c>
    </row>
    <row r="78" customFormat="false" ht="13.5" hidden="false" customHeight="false" outlineLevel="0" collapsed="false">
      <c r="A78" s="75" t="n">
        <f aca="false">ROWS(A$13:A78)</f>
        <v>66</v>
      </c>
      <c r="B78" s="73" t="n">
        <f aca="false">IF(B77="","",IFERROR(SMALL($AH$10:$AH$409,COUNTIF($AH$10:$AH$409,"&lt;="&amp;B77)+1),""))</f>
        <v>44941</v>
      </c>
      <c r="C78" s="74" t="n">
        <f aca="false">IF(B78="","",INDEX($AI$10:$AI$409,MATCH(B78,$AH$10:$AH$409,0)))</f>
        <v>30.77</v>
      </c>
      <c r="D78" s="74" t="n">
        <f aca="false">IF(B78="","",IFERROR(INDEX($AK$10:$AK$409,MATCH(B78,$AJ$10:$AJ$409,0)),""))</f>
        <v>53947.04</v>
      </c>
      <c r="E78" s="76" t="n">
        <f aca="false">IF(AND(ISNUMBER(C78),ISNUMBER(C77)),C78/C77-1,"")</f>
        <v>-0.00709906421426265</v>
      </c>
      <c r="F78" s="76" t="n">
        <f aca="false">IF(AND(ISNUMBER(D78),ISNUMBER(D77)),D78/D77-1,"")</f>
        <v>0.00691195728293925</v>
      </c>
      <c r="G78" s="75" t="n">
        <f aca="false">IF(AND(ISNUMBER(E78),ISNUMBER(F78)),1,"")</f>
        <v>1</v>
      </c>
      <c r="H78" s="75" t="n">
        <f aca="false">IF(G78=1,COUNT(G78:G$412),"")</f>
        <v>194</v>
      </c>
      <c r="I78" s="75" t="n">
        <f aca="false">IF(G78=1,IF(H78&lt;='Beta Regresión'!$B$5,1,""),"")</f>
        <v>1</v>
      </c>
      <c r="J78" s="76" t="n">
        <f aca="false">IF(I78=1,E78,"")</f>
        <v>-0.00709906421426265</v>
      </c>
      <c r="K78" s="76" t="n">
        <f aca="false">IF(I78=1,F78,"")</f>
        <v>0.00691195728293925</v>
      </c>
      <c r="L78" s="75" t="n">
        <f aca="false">IF(I78=1,COUNT(I$13:I78),"")</f>
        <v>65</v>
      </c>
      <c r="M78" s="76" t="n">
        <f aca="false">IFERROR(INDEX($J$13:$J$412,MATCH(A78,$L$13:$L$412,0)),"")</f>
        <v>0.0113747156321093</v>
      </c>
      <c r="N78" s="76" t="n">
        <f aca="false">IFERROR(INDEX($K$13:$K$412,MATCH(A78,$L$13:$L$412,0)),"")</f>
        <v>0.0153459763501389</v>
      </c>
      <c r="O78" s="76" t="n">
        <f aca="false">IF(I78=1,E78,NA())</f>
        <v>-0.00709906421426265</v>
      </c>
      <c r="P78" s="76" t="n">
        <f aca="false">IF(I78=1,F78,NA())</f>
        <v>0.00691195728293925</v>
      </c>
      <c r="R78" s="75" t="n">
        <f aca="false">ROWS(R$13:R78)</f>
        <v>66</v>
      </c>
      <c r="S78" s="73" t="str">
        <f aca="false">IF(S77="","",IFERROR(SMALL($AD$10:$AD$509,COUNTIF($AD$10:$AD$509,"&lt;="&amp;S77)+1),""))</f>
        <v/>
      </c>
      <c r="T78" s="74" t="str">
        <f aca="false">IF(S78="","",INDEX($AE$10:$AE$509,MATCH(S78,$AD$10:$AD$509,0)))</f>
        <v/>
      </c>
      <c r="U78" s="74" t="str">
        <f aca="false">IF(S78="","",IFERROR(INDEX($AG$10:$AG$509,MATCH(S78,$AF$10:$AF$509,0)),""))</f>
        <v/>
      </c>
      <c r="V78" s="76" t="str">
        <f aca="false">IF(AND(ISNUMBER(T78),ISNUMBER(T77)),T78/T77-1,"")</f>
        <v/>
      </c>
      <c r="W78" s="76" t="str">
        <f aca="false">IF(AND(ISNUMBER(U78),ISNUMBER(U77)),U78/U77-1,"")</f>
        <v/>
      </c>
      <c r="X78" s="75" t="str">
        <f aca="false">IF(AND(ISNUMBER(V78),ISNUMBER(W78)),1,"")</f>
        <v/>
      </c>
      <c r="Y78" s="76" t="str">
        <f aca="false">IF(X78=1,V78,"")</f>
        <v/>
      </c>
      <c r="Z78" s="76" t="str">
        <f aca="false">IF(X78=1,W78,"")</f>
        <v/>
      </c>
      <c r="AA78" s="76" t="e">
        <f aca="false">IF(X78=1,V78,NA())</f>
        <v>#N/A</v>
      </c>
      <c r="AB78" s="76" t="e">
        <f aca="false">IF(X78=1,W78,NA())</f>
        <v>#N/A</v>
      </c>
      <c r="AD78" s="73" t="str">
        <f aca="false">IF(ISNUMBER(AE78),IF(ISNUMBER('Base de Datos'!A74),IF('Base de Datos'!A74&gt;20000,DATE(YEAR('Base de Datos'!A74),DAY('Base de Datos'!A74),MONTH('Base de Datos'!A74)),""),IF(TRIM('Base de Datos'!A74)="","",IFERROR(DATE(VALUE(RIGHT(TRIM('Base de Datos'!A74),4)),VALUE(LEFT(TRIM('Base de Datos'!A74),2)),VALUE(MID(TRIM('Base de Datos'!A74),4,2))),""))),"")</f>
        <v/>
      </c>
      <c r="AE78" s="74" t="str">
        <f aca="false">IF(ISNUMBER('Base de Datos'!B74),'Base de Datos'!B74,IF(TRIM('Base de Datos'!B74)="","",IFERROR(IF(IFERROR(FIND("@",SUBSTITUTE(TRIM('Base de Datos'!B74),",","@",LEN(TRIM('Base de Datos'!B74))-LEN(SUBSTITUTE(TRIM('Base de Datos'!B74),",","")))),0)&gt;IFERROR(FIND("@",SUBSTITUTE(TRIM('Base de Datos'!B74),".","@",LEN(TRIM('Base de Datos'!B74))-LEN(SUBSTITUTE(TRIM('Base de Datos'!B74),".","")))),0),_xlfn.NUMBERVALUE(SUBSTITUTE(SUBSTITUTE(TRIM('Base de Datos'!B74),".",""),",","."),".",","),_xlfn.NUMBERVALUE(SUBSTITUTE(TRIM('Base de Datos'!B74),",",""),".",",")),"")))</f>
        <v/>
      </c>
      <c r="AF78" s="73" t="n">
        <f aca="false">IF(ISNUMBER(AG78),IF(ISNUMBER('Base de Datos'!I74),IF('Base de Datos'!I74&gt;20000,INT('Base de Datos'!I74),""),IF(TRIM('Base de Datos'!I74)="","",IFERROR(DATE(VALUE(RIGHT(TRIM('Base de Datos'!I74),4)),VALUE(MID(TRIM('Base de Datos'!I74),4,2)),VALUE(LEFT(TRIM('Base de Datos'!I74),2))),IFERROR(DATEVALUE(TRIM('Base de Datos'!I74)),"")))),"")</f>
        <v>46301</v>
      </c>
      <c r="AG78" s="74" t="n">
        <f aca="false">IF(ISNUMBER('Base de Datos'!J74),'Base de Datos'!J74,IF(TRIM('Base de Datos'!J74)="","",IFERROR(IF(IFERROR(FIND("@",SUBSTITUTE(TRIM('Base de Datos'!J74),",","@",LEN(TRIM('Base de Datos'!J74))-LEN(SUBSTITUTE(TRIM('Base de Datos'!J74),",","")))),0)&gt;IFERROR(FIND("@",SUBSTITUTE(TRIM('Base de Datos'!J74),".","@",LEN(TRIM('Base de Datos'!J74))-LEN(SUBSTITUTE(TRIM('Base de Datos'!J74),".","")))),0),_xlfn.NUMBERVALUE(SUBSTITUTE(SUBSTITUTE(TRIM('Base de Datos'!J74),".",""),",","."),".",","),_xlfn.NUMBERVALUE(SUBSTITUTE(TRIM('Base de Datos'!J74),",",""),".",",")),"")))</f>
        <v>65312.46</v>
      </c>
      <c r="AH78" s="73" t="n">
        <f aca="false">IF(ISNUMBER(AI78),IF(ISNUMBER('Base de Datos'!Q74),IF('Base de Datos'!Q74&gt;20000,DATE(YEAR('Base de Datos'!Q74),DAY('Base de Datos'!Q74),MONTH('Base de Datos'!Q74)),""),IF(TRIM('Base de Datos'!Q74)="","",IFERROR(DATE(VALUE(RIGHT(TRIM('Base de Datos'!Q74),4)),VALUE(LEFT(TRIM('Base de Datos'!Q74),2)),VALUE(MID(TRIM('Base de Datos'!Q74),4,2))),""))),"")</f>
        <v>44962</v>
      </c>
      <c r="AI78" s="74" t="n">
        <f aca="false">IF(ISNUMBER('Base de Datos'!R74),'Base de Datos'!R74,IF(TRIM('Base de Datos'!R74)="","",IFERROR(IF(IFERROR(FIND("@",SUBSTITUTE(TRIM('Base de Datos'!R74),",","@",LEN(TRIM('Base de Datos'!R74))-LEN(SUBSTITUTE(TRIM('Base de Datos'!R74),",","")))),0)&gt;IFERROR(FIND("@",SUBSTITUTE(TRIM('Base de Datos'!R74),".","@",LEN(TRIM('Base de Datos'!R74))-LEN(SUBSTITUTE(TRIM('Base de Datos'!R74),".","")))),0),_xlfn.NUMBERVALUE(SUBSTITUTE(SUBSTITUTE(TRIM('Base de Datos'!R74),".",""),",","."),".",","),_xlfn.NUMBERVALUE(SUBSTITUTE(TRIM('Base de Datos'!R74),",",""),".",",")),"")))</f>
        <v>30.69</v>
      </c>
      <c r="AJ78" s="73" t="n">
        <f aca="false">IF(ISNUMBER(AK78),IF(ISNUMBER('Base de Datos'!Y74),IF('Base de Datos'!Y74&gt;20000,INT('Base de Datos'!Y74),""),IF(TRIM('Base de Datos'!Y74)="","",IFERROR(DATE(VALUE(RIGHT(TRIM('Base de Datos'!Y74),4)),VALUE(MID(TRIM('Base de Datos'!Y74),4,2)),VALUE(LEFT(TRIM('Base de Datos'!Y74),2))),IFERROR(DATEVALUE(TRIM('Base de Datos'!Y74)),"")))),"")</f>
        <v>44962</v>
      </c>
      <c r="AK78" s="74" t="n">
        <f aca="false">IF(ISNUMBER('Base de Datos'!Z74),'Base de Datos'!Z74,IF(TRIM('Base de Datos'!Z74)="","",IFERROR(IF(IFERROR(FIND("@",SUBSTITUTE(TRIM('Base de Datos'!Z74),",","@",LEN(TRIM('Base de Datos'!Z74))-LEN(SUBSTITUTE(TRIM('Base de Datos'!Z74),",","")))),0)&gt;IFERROR(FIND("@",SUBSTITUTE(TRIM('Base de Datos'!Z74),".","@",LEN(TRIM('Base de Datos'!Z74))-LEN(SUBSTITUTE(TRIM('Base de Datos'!Z74),".","")))),0),_xlfn.NUMBERVALUE(SUBSTITUTE(SUBSTITUTE(TRIM('Base de Datos'!Z74),".",""),",","."),".",","),_xlfn.NUMBERVALUE(SUBSTITUTE(TRIM('Base de Datos'!Z74),",",""),".",",")),"")))</f>
        <v>52482.02</v>
      </c>
    </row>
    <row r="79" customFormat="false" ht="13.5" hidden="false" customHeight="false" outlineLevel="0" collapsed="false">
      <c r="A79" s="75" t="n">
        <f aca="false">ROWS(A$13:A79)</f>
        <v>67</v>
      </c>
      <c r="B79" s="73" t="n">
        <f aca="false">IF(B78="","",IFERROR(SMALL($AH$10:$AH$409,COUNTIF($AH$10:$AH$409,"&lt;="&amp;B78)+1),""))</f>
        <v>44948</v>
      </c>
      <c r="C79" s="74" t="n">
        <f aca="false">IF(B79="","",INDEX($AI$10:$AI$409,MATCH(B79,$AH$10:$AH$409,0)))</f>
        <v>31.12</v>
      </c>
      <c r="D79" s="74" t="n">
        <f aca="false">IF(B79="","",IFERROR(INDEX($AK$10:$AK$409,MATCH(B79,$AJ$10:$AJ$409,0)),""))</f>
        <v>54774.91</v>
      </c>
      <c r="E79" s="76" t="n">
        <f aca="false">IF(AND(ISNUMBER(C79),ISNUMBER(C78)),C79/C78-1,"")</f>
        <v>0.0113747156321093</v>
      </c>
      <c r="F79" s="76" t="n">
        <f aca="false">IF(AND(ISNUMBER(D79),ISNUMBER(D78)),D79/D78-1,"")</f>
        <v>0.0153459763501389</v>
      </c>
      <c r="G79" s="75" t="n">
        <f aca="false">IF(AND(ISNUMBER(E79),ISNUMBER(F79)),1,"")</f>
        <v>1</v>
      </c>
      <c r="H79" s="75" t="n">
        <f aca="false">IF(G79=1,COUNT(G79:G$412),"")</f>
        <v>193</v>
      </c>
      <c r="I79" s="75" t="n">
        <f aca="false">IF(G79=1,IF(H79&lt;='Beta Regresión'!$B$5,1,""),"")</f>
        <v>1</v>
      </c>
      <c r="J79" s="76" t="n">
        <f aca="false">IF(I79=1,E79,"")</f>
        <v>0.0113747156321093</v>
      </c>
      <c r="K79" s="76" t="n">
        <f aca="false">IF(I79=1,F79,"")</f>
        <v>0.0153459763501389</v>
      </c>
      <c r="L79" s="75" t="n">
        <f aca="false">IF(I79=1,COUNT(I$13:I79),"")</f>
        <v>66</v>
      </c>
      <c r="M79" s="76" t="n">
        <f aca="false">IFERROR(INDEX($J$13:$J$412,MATCH(A79,$L$13:$L$412,0)),"")</f>
        <v>-0.0353470437017995</v>
      </c>
      <c r="N79" s="76" t="n">
        <f aca="false">IFERROR(INDEX($K$13:$K$412,MATCH(A79,$L$13:$L$412,0)),"")</f>
        <v>-0.0132516876796329</v>
      </c>
      <c r="O79" s="76" t="n">
        <f aca="false">IF(I79=1,E79,NA())</f>
        <v>0.0113747156321093</v>
      </c>
      <c r="P79" s="76" t="n">
        <f aca="false">IF(I79=1,F79,NA())</f>
        <v>0.0153459763501389</v>
      </c>
      <c r="R79" s="75" t="n">
        <f aca="false">ROWS(R$13:R79)</f>
        <v>67</v>
      </c>
      <c r="S79" s="73" t="str">
        <f aca="false">IF(S78="","",IFERROR(SMALL($AD$10:$AD$509,COUNTIF($AD$10:$AD$509,"&lt;="&amp;S78)+1),""))</f>
        <v/>
      </c>
      <c r="T79" s="74" t="str">
        <f aca="false">IF(S79="","",INDEX($AE$10:$AE$509,MATCH(S79,$AD$10:$AD$509,0)))</f>
        <v/>
      </c>
      <c r="U79" s="74" t="str">
        <f aca="false">IF(S79="","",IFERROR(INDEX($AG$10:$AG$509,MATCH(S79,$AF$10:$AF$509,0)),""))</f>
        <v/>
      </c>
      <c r="V79" s="76" t="str">
        <f aca="false">IF(AND(ISNUMBER(T79),ISNUMBER(T78)),T79/T78-1,"")</f>
        <v/>
      </c>
      <c r="W79" s="76" t="str">
        <f aca="false">IF(AND(ISNUMBER(U79),ISNUMBER(U78)),U79/U78-1,"")</f>
        <v/>
      </c>
      <c r="X79" s="75" t="str">
        <f aca="false">IF(AND(ISNUMBER(V79),ISNUMBER(W79)),1,"")</f>
        <v/>
      </c>
      <c r="Y79" s="76" t="str">
        <f aca="false">IF(X79=1,V79,"")</f>
        <v/>
      </c>
      <c r="Z79" s="76" t="str">
        <f aca="false">IF(X79=1,W79,"")</f>
        <v/>
      </c>
      <c r="AA79" s="76" t="e">
        <f aca="false">IF(X79=1,V79,NA())</f>
        <v>#N/A</v>
      </c>
      <c r="AB79" s="76" t="e">
        <f aca="false">IF(X79=1,W79,NA())</f>
        <v>#N/A</v>
      </c>
      <c r="AD79" s="73" t="str">
        <f aca="false">IF(ISNUMBER(AE79),IF(ISNUMBER('Base de Datos'!A75),IF('Base de Datos'!A75&gt;20000,DATE(YEAR('Base de Datos'!A75),DAY('Base de Datos'!A75),MONTH('Base de Datos'!A75)),""),IF(TRIM('Base de Datos'!A75)="","",IFERROR(DATE(VALUE(RIGHT(TRIM('Base de Datos'!A75),4)),VALUE(LEFT(TRIM('Base de Datos'!A75),2)),VALUE(MID(TRIM('Base de Datos'!A75),4,2))),""))),"")</f>
        <v/>
      </c>
      <c r="AE79" s="74" t="str">
        <f aca="false">IF(ISNUMBER('Base de Datos'!B75),'Base de Datos'!B75,IF(TRIM('Base de Datos'!B75)="","",IFERROR(IF(IFERROR(FIND("@",SUBSTITUTE(TRIM('Base de Datos'!B75),",","@",LEN(TRIM('Base de Datos'!B75))-LEN(SUBSTITUTE(TRIM('Base de Datos'!B75),",","")))),0)&gt;IFERROR(FIND("@",SUBSTITUTE(TRIM('Base de Datos'!B75),".","@",LEN(TRIM('Base de Datos'!B75))-LEN(SUBSTITUTE(TRIM('Base de Datos'!B75),".","")))),0),_xlfn.NUMBERVALUE(SUBSTITUTE(SUBSTITUTE(TRIM('Base de Datos'!B75),".",""),",","."),".",","),_xlfn.NUMBERVALUE(SUBSTITUTE(TRIM('Base de Datos'!B75),",",""),".",",")),"")))</f>
        <v/>
      </c>
      <c r="AF79" s="73" t="n">
        <f aca="false">IF(ISNUMBER(AG79),IF(ISNUMBER('Base de Datos'!I75),IF('Base de Datos'!I75&gt;20000,INT('Base de Datos'!I75),""),IF(TRIM('Base de Datos'!I75)="","",IFERROR(DATE(VALUE(RIGHT(TRIM('Base de Datos'!I75),4)),VALUE(MID(TRIM('Base de Datos'!I75),4,2)),VALUE(LEFT(TRIM('Base de Datos'!I75),2))),IFERROR(DATEVALUE(TRIM('Base de Datos'!I75)),"")))),"")</f>
        <v>46302</v>
      </c>
      <c r="AG79" s="74" t="n">
        <f aca="false">IF(ISNUMBER('Base de Datos'!J75),'Base de Datos'!J75,IF(TRIM('Base de Datos'!J75)="","",IFERROR(IF(IFERROR(FIND("@",SUBSTITUTE(TRIM('Base de Datos'!J75),",","@",LEN(TRIM('Base de Datos'!J75))-LEN(SUBSTITUTE(TRIM('Base de Datos'!J75),",","")))),0)&gt;IFERROR(FIND("@",SUBSTITUTE(TRIM('Base de Datos'!J75),".","@",LEN(TRIM('Base de Datos'!J75))-LEN(SUBSTITUTE(TRIM('Base de Datos'!J75),".","")))),0),_xlfn.NUMBERVALUE(SUBSTITUTE(SUBSTITUTE(TRIM('Base de Datos'!J75),".",""),",","."),".",","),_xlfn.NUMBERVALUE(SUBSTITUTE(TRIM('Base de Datos'!J75),",",""),".",",")),"")))</f>
        <v>64653.33</v>
      </c>
      <c r="AH79" s="73" t="n">
        <f aca="false">IF(ISNUMBER(AI79),IF(ISNUMBER('Base de Datos'!Q75),IF('Base de Datos'!Q75&gt;20000,DATE(YEAR('Base de Datos'!Q75),DAY('Base de Datos'!Q75),MONTH('Base de Datos'!Q75)),""),IF(TRIM('Base de Datos'!Q75)="","",IFERROR(DATE(VALUE(RIGHT(TRIM('Base de Datos'!Q75),4)),VALUE(LEFT(TRIM('Base de Datos'!Q75),2)),VALUE(MID(TRIM('Base de Datos'!Q75),4,2))),""))),"")</f>
        <v>44969</v>
      </c>
      <c r="AI79" s="74" t="n">
        <f aca="false">IF(ISNUMBER('Base de Datos'!R75),'Base de Datos'!R75,IF(TRIM('Base de Datos'!R75)="","",IFERROR(IF(IFERROR(FIND("@",SUBSTITUTE(TRIM('Base de Datos'!R75),",","@",LEN(TRIM('Base de Datos'!R75))-LEN(SUBSTITUTE(TRIM('Base de Datos'!R75),",","")))),0)&gt;IFERROR(FIND("@",SUBSTITUTE(TRIM('Base de Datos'!R75),".","@",LEN(TRIM('Base de Datos'!R75))-LEN(SUBSTITUTE(TRIM('Base de Datos'!R75),".","")))),0),_xlfn.NUMBERVALUE(SUBSTITUTE(SUBSTITUTE(TRIM('Base de Datos'!R75),".",""),",","."),".",","),_xlfn.NUMBERVALUE(SUBSTITUTE(TRIM('Base de Datos'!R75),",",""),".",",")),"")))</f>
        <v>29.8</v>
      </c>
      <c r="AJ79" s="73" t="n">
        <f aca="false">IF(ISNUMBER(AK79),IF(ISNUMBER('Base de Datos'!Y75),IF('Base de Datos'!Y75&gt;20000,INT('Base de Datos'!Y75),""),IF(TRIM('Base de Datos'!Y75)="","",IFERROR(DATE(VALUE(RIGHT(TRIM('Base de Datos'!Y75),4)),VALUE(MID(TRIM('Base de Datos'!Y75),4,2)),VALUE(LEFT(TRIM('Base de Datos'!Y75),2))),IFERROR(DATEVALUE(TRIM('Base de Datos'!Y75)),"")))),"")</f>
        <v>44969</v>
      </c>
      <c r="AK79" s="74" t="n">
        <f aca="false">IF(ISNUMBER('Base de Datos'!Z75),'Base de Datos'!Z75,IF(TRIM('Base de Datos'!Z75)="","",IFERROR(IF(IFERROR(FIND("@",SUBSTITUTE(TRIM('Base de Datos'!Z75),",","@",LEN(TRIM('Base de Datos'!Z75))-LEN(SUBSTITUTE(TRIM('Base de Datos'!Z75),",","")))),0)&gt;IFERROR(FIND("@",SUBSTITUTE(TRIM('Base de Datos'!Z75),".","@",LEN(TRIM('Base de Datos'!Z75))-LEN(SUBSTITUTE(TRIM('Base de Datos'!Z75),".","")))),0),_xlfn.NUMBERVALUE(SUBSTITUTE(SUBSTITUTE(TRIM('Base de Datos'!Z75),".",""),",","."),".",","),_xlfn.NUMBERVALUE(SUBSTITUTE(TRIM('Base de Datos'!Z75),",",""),".",",")),"")))</f>
        <v>53789.64</v>
      </c>
    </row>
    <row r="80" customFormat="false" ht="13.5" hidden="false" customHeight="false" outlineLevel="0" collapsed="false">
      <c r="A80" s="75" t="n">
        <f aca="false">ROWS(A$13:A80)</f>
        <v>68</v>
      </c>
      <c r="B80" s="73" t="n">
        <f aca="false">IF(B79="","",IFERROR(SMALL($AH$10:$AH$409,COUNTIF($AH$10:$AH$409,"&lt;="&amp;B79)+1),""))</f>
        <v>44955</v>
      </c>
      <c r="C80" s="74" t="n">
        <f aca="false">IF(B80="","",INDEX($AI$10:$AI$409,MATCH(B80,$AH$10:$AH$409,0)))</f>
        <v>30.02</v>
      </c>
      <c r="D80" s="74" t="n">
        <f aca="false">IF(B80="","",IFERROR(INDEX($AK$10:$AK$409,MATCH(B80,$AJ$10:$AJ$409,0)),""))</f>
        <v>54049.05</v>
      </c>
      <c r="E80" s="76" t="n">
        <f aca="false">IF(AND(ISNUMBER(C80),ISNUMBER(C79)),C80/C79-1,"")</f>
        <v>-0.0353470437017995</v>
      </c>
      <c r="F80" s="76" t="n">
        <f aca="false">IF(AND(ISNUMBER(D80),ISNUMBER(D79)),D80/D79-1,"")</f>
        <v>-0.0132516876796329</v>
      </c>
      <c r="G80" s="75" t="n">
        <f aca="false">IF(AND(ISNUMBER(E80),ISNUMBER(F80)),1,"")</f>
        <v>1</v>
      </c>
      <c r="H80" s="75" t="n">
        <f aca="false">IF(G80=1,COUNT(G80:G$412),"")</f>
        <v>192</v>
      </c>
      <c r="I80" s="75" t="n">
        <f aca="false">IF(G80=1,IF(H80&lt;='Beta Regresión'!$B$5,1,""),"")</f>
        <v>1</v>
      </c>
      <c r="J80" s="76" t="n">
        <f aca="false">IF(I80=1,E80,"")</f>
        <v>-0.0353470437017995</v>
      </c>
      <c r="K80" s="76" t="n">
        <f aca="false">IF(I80=1,F80,"")</f>
        <v>-0.0132516876796329</v>
      </c>
      <c r="L80" s="75" t="n">
        <f aca="false">IF(I80=1,COUNT(I$13:I80),"")</f>
        <v>67</v>
      </c>
      <c r="M80" s="76" t="n">
        <f aca="false">IFERROR(INDEX($J$13:$J$412,MATCH(A80,$L$13:$L$412,0)),"")</f>
        <v>0.0223184543637576</v>
      </c>
      <c r="N80" s="76" t="n">
        <f aca="false">IFERROR(INDEX($K$13:$K$412,MATCH(A80,$L$13:$L$412,0)),"")</f>
        <v>-0.0289927390028133</v>
      </c>
      <c r="O80" s="76" t="n">
        <f aca="false">IF(I80=1,E80,NA())</f>
        <v>-0.0353470437017995</v>
      </c>
      <c r="P80" s="76" t="n">
        <f aca="false">IF(I80=1,F80,NA())</f>
        <v>-0.0132516876796329</v>
      </c>
      <c r="R80" s="75" t="n">
        <f aca="false">ROWS(R$13:R80)</f>
        <v>68</v>
      </c>
      <c r="S80" s="73" t="str">
        <f aca="false">IF(S79="","",IFERROR(SMALL($AD$10:$AD$509,COUNTIF($AD$10:$AD$509,"&lt;="&amp;S79)+1),""))</f>
        <v/>
      </c>
      <c r="T80" s="74" t="str">
        <f aca="false">IF(S80="","",INDEX($AE$10:$AE$509,MATCH(S80,$AD$10:$AD$509,0)))</f>
        <v/>
      </c>
      <c r="U80" s="74" t="str">
        <f aca="false">IF(S80="","",IFERROR(INDEX($AG$10:$AG$509,MATCH(S80,$AF$10:$AF$509,0)),""))</f>
        <v/>
      </c>
      <c r="V80" s="76" t="str">
        <f aca="false">IF(AND(ISNUMBER(T80),ISNUMBER(T79)),T80/T79-1,"")</f>
        <v/>
      </c>
      <c r="W80" s="76" t="str">
        <f aca="false">IF(AND(ISNUMBER(U80),ISNUMBER(U79)),U80/U79-1,"")</f>
        <v/>
      </c>
      <c r="X80" s="75" t="str">
        <f aca="false">IF(AND(ISNUMBER(V80),ISNUMBER(W80)),1,"")</f>
        <v/>
      </c>
      <c r="Y80" s="76" t="str">
        <f aca="false">IF(X80=1,V80,"")</f>
        <v/>
      </c>
      <c r="Z80" s="76" t="str">
        <f aca="false">IF(X80=1,W80,"")</f>
        <v/>
      </c>
      <c r="AA80" s="76" t="e">
        <f aca="false">IF(X80=1,V80,NA())</f>
        <v>#N/A</v>
      </c>
      <c r="AB80" s="76" t="e">
        <f aca="false">IF(X80=1,W80,NA())</f>
        <v>#N/A</v>
      </c>
      <c r="AD80" s="73" t="str">
        <f aca="false">IF(ISNUMBER(AE80),IF(ISNUMBER('Base de Datos'!A76),IF('Base de Datos'!A76&gt;20000,DATE(YEAR('Base de Datos'!A76),DAY('Base de Datos'!A76),MONTH('Base de Datos'!A76)),""),IF(TRIM('Base de Datos'!A76)="","",IFERROR(DATE(VALUE(RIGHT(TRIM('Base de Datos'!A76),4)),VALUE(LEFT(TRIM('Base de Datos'!A76),2)),VALUE(MID(TRIM('Base de Datos'!A76),4,2))),""))),"")</f>
        <v/>
      </c>
      <c r="AE80" s="74" t="str">
        <f aca="false">IF(ISNUMBER('Base de Datos'!B76),'Base de Datos'!B76,IF(TRIM('Base de Datos'!B76)="","",IFERROR(IF(IFERROR(FIND("@",SUBSTITUTE(TRIM('Base de Datos'!B76),",","@",LEN(TRIM('Base de Datos'!B76))-LEN(SUBSTITUTE(TRIM('Base de Datos'!B76),",","")))),0)&gt;IFERROR(FIND("@",SUBSTITUTE(TRIM('Base de Datos'!B76),".","@",LEN(TRIM('Base de Datos'!B76))-LEN(SUBSTITUTE(TRIM('Base de Datos'!B76),".","")))),0),_xlfn.NUMBERVALUE(SUBSTITUTE(SUBSTITUTE(TRIM('Base de Datos'!B76),".",""),",","."),".",","),_xlfn.NUMBERVALUE(SUBSTITUTE(TRIM('Base de Datos'!B76),",",""),".",",")),"")))</f>
        <v/>
      </c>
      <c r="AF80" s="73" t="n">
        <f aca="false">IF(ISNUMBER(AG80),IF(ISNUMBER('Base de Datos'!I76),IF('Base de Datos'!I76&gt;20000,INT('Base de Datos'!I76),""),IF(TRIM('Base de Datos'!I76)="","",IFERROR(DATE(VALUE(RIGHT(TRIM('Base de Datos'!I76),4)),VALUE(MID(TRIM('Base de Datos'!I76),4,2)),VALUE(LEFT(TRIM('Base de Datos'!I76),2))),IFERROR(DATEVALUE(TRIM('Base de Datos'!I76)),"")))),"")</f>
        <v>46303</v>
      </c>
      <c r="AG80" s="74" t="n">
        <f aca="false">IF(ISNUMBER('Base de Datos'!J76),'Base de Datos'!J76,IF(TRIM('Base de Datos'!J76)="","",IFERROR(IF(IFERROR(FIND("@",SUBSTITUTE(TRIM('Base de Datos'!J76),",","@",LEN(TRIM('Base de Datos'!J76))-LEN(SUBSTITUTE(TRIM('Base de Datos'!J76),",","")))),0)&gt;IFERROR(FIND("@",SUBSTITUTE(TRIM('Base de Datos'!J76),".","@",LEN(TRIM('Base de Datos'!J76))-LEN(SUBSTITUTE(TRIM('Base de Datos'!J76),".","")))),0),_xlfn.NUMBERVALUE(SUBSTITUTE(SUBSTITUTE(TRIM('Base de Datos'!J76),".",""),",","."),".",","),_xlfn.NUMBERVALUE(SUBSTITUTE(TRIM('Base de Datos'!J76),",",""),".",",")),"")))</f>
        <v>64986.91</v>
      </c>
      <c r="AH80" s="73" t="n">
        <f aca="false">IF(ISNUMBER(AI80),IF(ISNUMBER('Base de Datos'!Q76),IF('Base de Datos'!Q76&gt;20000,DATE(YEAR('Base de Datos'!Q76),DAY('Base de Datos'!Q76),MONTH('Base de Datos'!Q76)),""),IF(TRIM('Base de Datos'!Q76)="","",IFERROR(DATE(VALUE(RIGHT(TRIM('Base de Datos'!Q76),4)),VALUE(LEFT(TRIM('Base de Datos'!Q76),2)),VALUE(MID(TRIM('Base de Datos'!Q76),4,2))),""))),"")</f>
        <v>44976</v>
      </c>
      <c r="AI80" s="74" t="n">
        <f aca="false">IF(ISNUMBER('Base de Datos'!R76),'Base de Datos'!R76,IF(TRIM('Base de Datos'!R76)="","",IFERROR(IF(IFERROR(FIND("@",SUBSTITUTE(TRIM('Base de Datos'!R76),",","@",LEN(TRIM('Base de Datos'!R76))-LEN(SUBSTITUTE(TRIM('Base de Datos'!R76),",","")))),0)&gt;IFERROR(FIND("@",SUBSTITUTE(TRIM('Base de Datos'!R76),".","@",LEN(TRIM('Base de Datos'!R76))-LEN(SUBSTITUTE(TRIM('Base de Datos'!R76),".","")))),0),_xlfn.NUMBERVALUE(SUBSTITUTE(SUBSTITUTE(TRIM('Base de Datos'!R76),".",""),",","."),".",","),_xlfn.NUMBERVALUE(SUBSTITUTE(TRIM('Base de Datos'!R76),",",""),".",",")),"")))</f>
        <v>30.2</v>
      </c>
      <c r="AJ80" s="73" t="n">
        <f aca="false">IF(ISNUMBER(AK80),IF(ISNUMBER('Base de Datos'!Y76),IF('Base de Datos'!Y76&gt;20000,INT('Base de Datos'!Y76),""),IF(TRIM('Base de Datos'!Y76)="","",IFERROR(DATE(VALUE(RIGHT(TRIM('Base de Datos'!Y76),4)),VALUE(MID(TRIM('Base de Datos'!Y76),4,2)),VALUE(LEFT(TRIM('Base de Datos'!Y76),2))),IFERROR(DATEVALUE(TRIM('Base de Datos'!Y76)),"")))),"")</f>
        <v>44976</v>
      </c>
      <c r="AK80" s="74" t="n">
        <f aca="false">IF(ISNUMBER('Base de Datos'!Z76),'Base de Datos'!Z76,IF(TRIM('Base de Datos'!Z76)="","",IFERROR(IF(IFERROR(FIND("@",SUBSTITUTE(TRIM('Base de Datos'!Z76),",","@",LEN(TRIM('Base de Datos'!Z76))-LEN(SUBSTITUTE(TRIM('Base de Datos'!Z76),",","")))),0)&gt;IFERROR(FIND("@",SUBSTITUTE(TRIM('Base de Datos'!Z76),".","@",LEN(TRIM('Base de Datos'!Z76))-LEN(SUBSTITUTE(TRIM('Base de Datos'!Z76),".","")))),0),_xlfn.NUMBERVALUE(SUBSTITUTE(SUBSTITUTE(TRIM('Base de Datos'!Z76),".",""),",","."),".",","),_xlfn.NUMBERVALUE(SUBSTITUTE(TRIM('Base de Datos'!Z76),",",""),".",",")),"")))</f>
        <v>52686.24</v>
      </c>
    </row>
    <row r="81" customFormat="false" ht="13.5" hidden="false" customHeight="false" outlineLevel="0" collapsed="false">
      <c r="A81" s="75" t="n">
        <f aca="false">ROWS(A$13:A81)</f>
        <v>69</v>
      </c>
      <c r="B81" s="73" t="n">
        <f aca="false">IF(B80="","",IFERROR(SMALL($AH$10:$AH$409,COUNTIF($AH$10:$AH$409,"&lt;="&amp;B80)+1),""))</f>
        <v>44962</v>
      </c>
      <c r="C81" s="74" t="n">
        <f aca="false">IF(B81="","",INDEX($AI$10:$AI$409,MATCH(B81,$AH$10:$AH$409,0)))</f>
        <v>30.69</v>
      </c>
      <c r="D81" s="74" t="n">
        <f aca="false">IF(B81="","",IFERROR(INDEX($AK$10:$AK$409,MATCH(B81,$AJ$10:$AJ$409,0)),""))</f>
        <v>52482.02</v>
      </c>
      <c r="E81" s="76" t="n">
        <f aca="false">IF(AND(ISNUMBER(C81),ISNUMBER(C80)),C81/C80-1,"")</f>
        <v>0.0223184543637576</v>
      </c>
      <c r="F81" s="76" t="n">
        <f aca="false">IF(AND(ISNUMBER(D81),ISNUMBER(D80)),D81/D80-1,"")</f>
        <v>-0.0289927390028133</v>
      </c>
      <c r="G81" s="75" t="n">
        <f aca="false">IF(AND(ISNUMBER(E81),ISNUMBER(F81)),1,"")</f>
        <v>1</v>
      </c>
      <c r="H81" s="75" t="n">
        <f aca="false">IF(G81=1,COUNT(G81:G$412),"")</f>
        <v>191</v>
      </c>
      <c r="I81" s="75" t="n">
        <f aca="false">IF(G81=1,IF(H81&lt;='Beta Regresión'!$B$5,1,""),"")</f>
        <v>1</v>
      </c>
      <c r="J81" s="76" t="n">
        <f aca="false">IF(I81=1,E81,"")</f>
        <v>0.0223184543637576</v>
      </c>
      <c r="K81" s="76" t="n">
        <f aca="false">IF(I81=1,F81,"")</f>
        <v>-0.0289927390028133</v>
      </c>
      <c r="L81" s="75" t="n">
        <f aca="false">IF(I81=1,COUNT(I$13:I81),"")</f>
        <v>68</v>
      </c>
      <c r="M81" s="76" t="n">
        <f aca="false">IFERROR(INDEX($J$13:$J$412,MATCH(A81,$L$13:$L$412,0)),"")</f>
        <v>-0.0289996741609645</v>
      </c>
      <c r="N81" s="76" t="n">
        <f aca="false">IFERROR(INDEX($K$13:$K$412,MATCH(A81,$L$13:$L$412,0)),"")</f>
        <v>0.0249155806121792</v>
      </c>
      <c r="O81" s="76" t="n">
        <f aca="false">IF(I81=1,E81,NA())</f>
        <v>0.0223184543637576</v>
      </c>
      <c r="P81" s="76" t="n">
        <f aca="false">IF(I81=1,F81,NA())</f>
        <v>-0.0289927390028133</v>
      </c>
      <c r="R81" s="75" t="n">
        <f aca="false">ROWS(R$13:R81)</f>
        <v>69</v>
      </c>
      <c r="S81" s="73" t="str">
        <f aca="false">IF(S80="","",IFERROR(SMALL($AD$10:$AD$509,COUNTIF($AD$10:$AD$509,"&lt;="&amp;S80)+1),""))</f>
        <v/>
      </c>
      <c r="T81" s="74" t="str">
        <f aca="false">IF(S81="","",INDEX($AE$10:$AE$509,MATCH(S81,$AD$10:$AD$509,0)))</f>
        <v/>
      </c>
      <c r="U81" s="74" t="str">
        <f aca="false">IF(S81="","",IFERROR(INDEX($AG$10:$AG$509,MATCH(S81,$AF$10:$AF$509,0)),""))</f>
        <v/>
      </c>
      <c r="V81" s="76" t="str">
        <f aca="false">IF(AND(ISNUMBER(T81),ISNUMBER(T80)),T81/T80-1,"")</f>
        <v/>
      </c>
      <c r="W81" s="76" t="str">
        <f aca="false">IF(AND(ISNUMBER(U81),ISNUMBER(U80)),U81/U80-1,"")</f>
        <v/>
      </c>
      <c r="X81" s="75" t="str">
        <f aca="false">IF(AND(ISNUMBER(V81),ISNUMBER(W81)),1,"")</f>
        <v/>
      </c>
      <c r="Y81" s="76" t="str">
        <f aca="false">IF(X81=1,V81,"")</f>
        <v/>
      </c>
      <c r="Z81" s="76" t="str">
        <f aca="false">IF(X81=1,W81,"")</f>
        <v/>
      </c>
      <c r="AA81" s="76" t="e">
        <f aca="false">IF(X81=1,V81,NA())</f>
        <v>#N/A</v>
      </c>
      <c r="AB81" s="76" t="e">
        <f aca="false">IF(X81=1,W81,NA())</f>
        <v>#N/A</v>
      </c>
      <c r="AD81" s="73" t="str">
        <f aca="false">IF(ISNUMBER(AE81),IF(ISNUMBER('Base de Datos'!A77),IF('Base de Datos'!A77&gt;20000,DATE(YEAR('Base de Datos'!A77),DAY('Base de Datos'!A77),MONTH('Base de Datos'!A77)),""),IF(TRIM('Base de Datos'!A77)="","",IFERROR(DATE(VALUE(RIGHT(TRIM('Base de Datos'!A77),4)),VALUE(LEFT(TRIM('Base de Datos'!A77),2)),VALUE(MID(TRIM('Base de Datos'!A77),4,2))),""))),"")</f>
        <v/>
      </c>
      <c r="AE81" s="74" t="str">
        <f aca="false">IF(ISNUMBER('Base de Datos'!B77),'Base de Datos'!B77,IF(TRIM('Base de Datos'!B77)="","",IFERROR(IF(IFERROR(FIND("@",SUBSTITUTE(TRIM('Base de Datos'!B77),",","@",LEN(TRIM('Base de Datos'!B77))-LEN(SUBSTITUTE(TRIM('Base de Datos'!B77),",","")))),0)&gt;IFERROR(FIND("@",SUBSTITUTE(TRIM('Base de Datos'!B77),".","@",LEN(TRIM('Base de Datos'!B77))-LEN(SUBSTITUTE(TRIM('Base de Datos'!B77),".","")))),0),_xlfn.NUMBERVALUE(SUBSTITUTE(SUBSTITUTE(TRIM('Base de Datos'!B77),".",""),",","."),".",","),_xlfn.NUMBERVALUE(SUBSTITUTE(TRIM('Base de Datos'!B77),",",""),".",",")),"")))</f>
        <v/>
      </c>
      <c r="AF81" s="73" t="n">
        <f aca="false">IF(ISNUMBER(AG81),IF(ISNUMBER('Base de Datos'!I77),IF('Base de Datos'!I77&gt;20000,INT('Base de Datos'!I77),""),IF(TRIM('Base de Datos'!I77)="","",IFERROR(DATE(VALUE(RIGHT(TRIM('Base de Datos'!I77),4)),VALUE(MID(TRIM('Base de Datos'!I77),4,2)),VALUE(LEFT(TRIM('Base de Datos'!I77),2))),IFERROR(DATEVALUE(TRIM('Base de Datos'!I77)),"")))),"")</f>
        <v>46304</v>
      </c>
      <c r="AG81" s="74" t="n">
        <f aca="false">IF(ISNUMBER('Base de Datos'!J77),'Base de Datos'!J77,IF(TRIM('Base de Datos'!J77)="","",IFERROR(IF(IFERROR(FIND("@",SUBSTITUTE(TRIM('Base de Datos'!J77),",","@",LEN(TRIM('Base de Datos'!J77))-LEN(SUBSTITUTE(TRIM('Base de Datos'!J77),",","")))),0)&gt;IFERROR(FIND("@",SUBSTITUTE(TRIM('Base de Datos'!J77),".","@",LEN(TRIM('Base de Datos'!J77))-LEN(SUBSTITUTE(TRIM('Base de Datos'!J77),".","")))),0),_xlfn.NUMBERVALUE(SUBSTITUTE(SUBSTITUTE(TRIM('Base de Datos'!J77),".",""),",","."),".",","),_xlfn.NUMBERVALUE(SUBSTITUTE(TRIM('Base de Datos'!J77),",",""),".",",")),"")))</f>
        <v>66048.57</v>
      </c>
      <c r="AH81" s="73" t="n">
        <f aca="false">IF(ISNUMBER(AI81),IF(ISNUMBER('Base de Datos'!Q77),IF('Base de Datos'!Q77&gt;20000,DATE(YEAR('Base de Datos'!Q77),DAY('Base de Datos'!Q77),MONTH('Base de Datos'!Q77)),""),IF(TRIM('Base de Datos'!Q77)="","",IFERROR(DATE(VALUE(RIGHT(TRIM('Base de Datos'!Q77),4)),VALUE(LEFT(TRIM('Base de Datos'!Q77),2)),VALUE(MID(TRIM('Base de Datos'!Q77),4,2))),""))),"")</f>
        <v>44983</v>
      </c>
      <c r="AI81" s="74" t="n">
        <f aca="false">IF(ISNUMBER('Base de Datos'!R77),'Base de Datos'!R77,IF(TRIM('Base de Datos'!R77)="","",IFERROR(IF(IFERROR(FIND("@",SUBSTITUTE(TRIM('Base de Datos'!R77),",","@",LEN(TRIM('Base de Datos'!R77))-LEN(SUBSTITUTE(TRIM('Base de Datos'!R77),",","")))),0)&gt;IFERROR(FIND("@",SUBSTITUTE(TRIM('Base de Datos'!R77),".","@",LEN(TRIM('Base de Datos'!R77))-LEN(SUBSTITUTE(TRIM('Base de Datos'!R77),".","")))),0),_xlfn.NUMBERVALUE(SUBSTITUTE(SUBSTITUTE(TRIM('Base de Datos'!R77),".",""),",","."),".",","),_xlfn.NUMBERVALUE(SUBSTITUTE(TRIM('Base de Datos'!R77),",",""),".",",")),"")))</f>
        <v>30.7</v>
      </c>
      <c r="AJ81" s="73" t="n">
        <f aca="false">IF(ISNUMBER(AK81),IF(ISNUMBER('Base de Datos'!Y77),IF('Base de Datos'!Y77&gt;20000,INT('Base de Datos'!Y77),""),IF(TRIM('Base de Datos'!Y77)="","",IFERROR(DATE(VALUE(RIGHT(TRIM('Base de Datos'!Y77),4)),VALUE(MID(TRIM('Base de Datos'!Y77),4,2)),VALUE(LEFT(TRIM('Base de Datos'!Y77),2))),IFERROR(DATEVALUE(TRIM('Base de Datos'!Y77)),"")))),"")</f>
        <v>44983</v>
      </c>
      <c r="AK81" s="74" t="n">
        <f aca="false">IF(ISNUMBER('Base de Datos'!Z77),'Base de Datos'!Z77,IF(TRIM('Base de Datos'!Z77)="","",IFERROR(IF(IFERROR(FIND("@",SUBSTITUTE(TRIM('Base de Datos'!Z77),",","@",LEN(TRIM('Base de Datos'!Z77))-LEN(SUBSTITUTE(TRIM('Base de Datos'!Z77),",","")))),0)&gt;IFERROR(FIND("@",SUBSTITUTE(TRIM('Base de Datos'!Z77),".","@",LEN(TRIM('Base de Datos'!Z77))-LEN(SUBSTITUTE(TRIM('Base de Datos'!Z77),".","")))),0),_xlfn.NUMBERVALUE(SUBSTITUTE(SUBSTITUTE(TRIM('Base de Datos'!Z77),".",""),",","."),".",","),_xlfn.NUMBERVALUE(SUBSTITUTE(TRIM('Base de Datos'!Z77),",",""),".",",")),"")))</f>
        <v>54182.27</v>
      </c>
    </row>
    <row r="82" customFormat="false" ht="13.5" hidden="false" customHeight="false" outlineLevel="0" collapsed="false">
      <c r="A82" s="75" t="n">
        <f aca="false">ROWS(A$13:A82)</f>
        <v>70</v>
      </c>
      <c r="B82" s="73" t="n">
        <f aca="false">IF(B81="","",IFERROR(SMALL($AH$10:$AH$409,COUNTIF($AH$10:$AH$409,"&lt;="&amp;B81)+1),""))</f>
        <v>44969</v>
      </c>
      <c r="C82" s="74" t="n">
        <f aca="false">IF(B82="","",INDEX($AI$10:$AI$409,MATCH(B82,$AH$10:$AH$409,0)))</f>
        <v>29.8</v>
      </c>
      <c r="D82" s="74" t="n">
        <f aca="false">IF(B82="","",IFERROR(INDEX($AK$10:$AK$409,MATCH(B82,$AJ$10:$AJ$409,0)),""))</f>
        <v>53789.64</v>
      </c>
      <c r="E82" s="76" t="n">
        <f aca="false">IF(AND(ISNUMBER(C82),ISNUMBER(C81)),C82/C81-1,"")</f>
        <v>-0.0289996741609645</v>
      </c>
      <c r="F82" s="76" t="n">
        <f aca="false">IF(AND(ISNUMBER(D82),ISNUMBER(D81)),D82/D81-1,"")</f>
        <v>0.0249155806121792</v>
      </c>
      <c r="G82" s="75" t="n">
        <f aca="false">IF(AND(ISNUMBER(E82),ISNUMBER(F82)),1,"")</f>
        <v>1</v>
      </c>
      <c r="H82" s="75" t="n">
        <f aca="false">IF(G82=1,COUNT(G82:G$412),"")</f>
        <v>190</v>
      </c>
      <c r="I82" s="75" t="n">
        <f aca="false">IF(G82=1,IF(H82&lt;='Beta Regresión'!$B$5,1,""),"")</f>
        <v>1</v>
      </c>
      <c r="J82" s="76" t="n">
        <f aca="false">IF(I82=1,E82,"")</f>
        <v>-0.0289996741609645</v>
      </c>
      <c r="K82" s="76" t="n">
        <f aca="false">IF(I82=1,F82,"")</f>
        <v>0.0249155806121792</v>
      </c>
      <c r="L82" s="75" t="n">
        <f aca="false">IF(I82=1,COUNT(I$13:I82),"")</f>
        <v>69</v>
      </c>
      <c r="M82" s="76" t="n">
        <f aca="false">IFERROR(INDEX($J$13:$J$412,MATCH(A82,$L$13:$L$412,0)),"")</f>
        <v>0.0134228187919463</v>
      </c>
      <c r="N82" s="76" t="n">
        <f aca="false">IFERROR(INDEX($K$13:$K$412,MATCH(A82,$L$13:$L$412,0)),"")</f>
        <v>-0.0205132438142364</v>
      </c>
      <c r="O82" s="76" t="n">
        <f aca="false">IF(I82=1,E82,NA())</f>
        <v>-0.0289996741609645</v>
      </c>
      <c r="P82" s="76" t="n">
        <f aca="false">IF(I82=1,F82,NA())</f>
        <v>0.0249155806121792</v>
      </c>
      <c r="R82" s="75" t="n">
        <f aca="false">ROWS(R$13:R82)</f>
        <v>70</v>
      </c>
      <c r="S82" s="73" t="str">
        <f aca="false">IF(S81="","",IFERROR(SMALL($AD$10:$AD$509,COUNTIF($AD$10:$AD$509,"&lt;="&amp;S81)+1),""))</f>
        <v/>
      </c>
      <c r="T82" s="74" t="str">
        <f aca="false">IF(S82="","",INDEX($AE$10:$AE$509,MATCH(S82,$AD$10:$AD$509,0)))</f>
        <v/>
      </c>
      <c r="U82" s="74" t="str">
        <f aca="false">IF(S82="","",IFERROR(INDEX($AG$10:$AG$509,MATCH(S82,$AF$10:$AF$509,0)),""))</f>
        <v/>
      </c>
      <c r="V82" s="76" t="str">
        <f aca="false">IF(AND(ISNUMBER(T82),ISNUMBER(T81)),T82/T81-1,"")</f>
        <v/>
      </c>
      <c r="W82" s="76" t="str">
        <f aca="false">IF(AND(ISNUMBER(U82),ISNUMBER(U81)),U82/U81-1,"")</f>
        <v/>
      </c>
      <c r="X82" s="75" t="str">
        <f aca="false">IF(AND(ISNUMBER(V82),ISNUMBER(W82)),1,"")</f>
        <v/>
      </c>
      <c r="Y82" s="76" t="str">
        <f aca="false">IF(X82=1,V82,"")</f>
        <v/>
      </c>
      <c r="Z82" s="76" t="str">
        <f aca="false">IF(X82=1,W82,"")</f>
        <v/>
      </c>
      <c r="AA82" s="76" t="e">
        <f aca="false">IF(X82=1,V82,NA())</f>
        <v>#N/A</v>
      </c>
      <c r="AB82" s="76" t="e">
        <f aca="false">IF(X82=1,W82,NA())</f>
        <v>#N/A</v>
      </c>
      <c r="AD82" s="73" t="str">
        <f aca="false">IF(ISNUMBER(AE82),IF(ISNUMBER('Base de Datos'!A78),IF('Base de Datos'!A78&gt;20000,DATE(YEAR('Base de Datos'!A78),DAY('Base de Datos'!A78),MONTH('Base de Datos'!A78)),""),IF(TRIM('Base de Datos'!A78)="","",IFERROR(DATE(VALUE(RIGHT(TRIM('Base de Datos'!A78),4)),VALUE(LEFT(TRIM('Base de Datos'!A78),2)),VALUE(MID(TRIM('Base de Datos'!A78),4,2))),""))),"")</f>
        <v/>
      </c>
      <c r="AE82" s="74" t="str">
        <f aca="false">IF(ISNUMBER('Base de Datos'!B78),'Base de Datos'!B78,IF(TRIM('Base de Datos'!B78)="","",IFERROR(IF(IFERROR(FIND("@",SUBSTITUTE(TRIM('Base de Datos'!B78),",","@",LEN(TRIM('Base de Datos'!B78))-LEN(SUBSTITUTE(TRIM('Base de Datos'!B78),",","")))),0)&gt;IFERROR(FIND("@",SUBSTITUTE(TRIM('Base de Datos'!B78),".","@",LEN(TRIM('Base de Datos'!B78))-LEN(SUBSTITUTE(TRIM('Base de Datos'!B78),".","")))),0),_xlfn.NUMBERVALUE(SUBSTITUTE(SUBSTITUTE(TRIM('Base de Datos'!B78),".",""),",","."),".",","),_xlfn.NUMBERVALUE(SUBSTITUTE(TRIM('Base de Datos'!B78),",",""),".",",")),"")))</f>
        <v/>
      </c>
      <c r="AF82" s="73" t="n">
        <f aca="false">IF(ISNUMBER(AG82),IF(ISNUMBER('Base de Datos'!I78),IF('Base de Datos'!I78&gt;20000,INT('Base de Datos'!I78),""),IF(TRIM('Base de Datos'!I78)="","",IFERROR(DATE(VALUE(RIGHT(TRIM('Base de Datos'!I78),4)),VALUE(MID(TRIM('Base de Datos'!I78),4,2)),VALUE(LEFT(TRIM('Base de Datos'!I78),2))),IFERROR(DATEVALUE(TRIM('Base de Datos'!I78)),"")))),"")</f>
        <v>46307</v>
      </c>
      <c r="AG82" s="74" t="n">
        <f aca="false">IF(ISNUMBER('Base de Datos'!J78),'Base de Datos'!J78,IF(TRIM('Base de Datos'!J78)="","",IFERROR(IF(IFERROR(FIND("@",SUBSTITUTE(TRIM('Base de Datos'!J78),",","@",LEN(TRIM('Base de Datos'!J78))-LEN(SUBSTITUTE(TRIM('Base de Datos'!J78),",","")))),0)&gt;IFERROR(FIND("@",SUBSTITUTE(TRIM('Base de Datos'!J78),".","@",LEN(TRIM('Base de Datos'!J78))-LEN(SUBSTITUTE(TRIM('Base de Datos'!J78),".","")))),0),_xlfn.NUMBERVALUE(SUBSTITUTE(SUBSTITUTE(TRIM('Base de Datos'!J78),".",""),",","."),".",","),_xlfn.NUMBERVALUE(SUBSTITUTE(TRIM('Base de Datos'!J78),",",""),".",",")),"")))</f>
        <v>66746.78</v>
      </c>
      <c r="AH82" s="73" t="n">
        <f aca="false">IF(ISNUMBER(AI82),IF(ISNUMBER('Base de Datos'!Q78),IF('Base de Datos'!Q78&gt;20000,DATE(YEAR('Base de Datos'!Q78),DAY('Base de Datos'!Q78),MONTH('Base de Datos'!Q78)),""),IF(TRIM('Base de Datos'!Q78)="","",IFERROR(DATE(VALUE(RIGHT(TRIM('Base de Datos'!Q78),4)),VALUE(LEFT(TRIM('Base de Datos'!Q78),2)),VALUE(MID(TRIM('Base de Datos'!Q78),4,2))),""))),"")</f>
        <v>44990</v>
      </c>
      <c r="AI82" s="74" t="n">
        <f aca="false">IF(ISNUMBER('Base de Datos'!R78),'Base de Datos'!R78,IF(TRIM('Base de Datos'!R78)="","",IFERROR(IF(IFERROR(FIND("@",SUBSTITUTE(TRIM('Base de Datos'!R78),",","@",LEN(TRIM('Base de Datos'!R78))-LEN(SUBSTITUTE(TRIM('Base de Datos'!R78),",","")))),0)&gt;IFERROR(FIND("@",SUBSTITUTE(TRIM('Base de Datos'!R78),".","@",LEN(TRIM('Base de Datos'!R78))-LEN(SUBSTITUTE(TRIM('Base de Datos'!R78),".","")))),0),_xlfn.NUMBERVALUE(SUBSTITUTE(SUBSTITUTE(TRIM('Base de Datos'!R78),".",""),",","."),".",","),_xlfn.NUMBERVALUE(SUBSTITUTE(TRIM('Base de Datos'!R78),",",""),".",",")),"")))</f>
        <v>30.1</v>
      </c>
      <c r="AJ82" s="73" t="n">
        <f aca="false">IF(ISNUMBER(AK82),IF(ISNUMBER('Base de Datos'!Y78),IF('Base de Datos'!Y78&gt;20000,INT('Base de Datos'!Y78),""),IF(TRIM('Base de Datos'!Y78)="","",IFERROR(DATE(VALUE(RIGHT(TRIM('Base de Datos'!Y78),4)),VALUE(MID(TRIM('Base de Datos'!Y78),4,2)),VALUE(LEFT(TRIM('Base de Datos'!Y78),2))),IFERROR(DATEVALUE(TRIM('Base de Datos'!Y78)),"")))),"")</f>
        <v>44990</v>
      </c>
      <c r="AK82" s="74" t="n">
        <f aca="false">IF(ISNUMBER('Base de Datos'!Z78),'Base de Datos'!Z78,IF(TRIM('Base de Datos'!Z78)="","",IFERROR(IF(IFERROR(FIND("@",SUBSTITUTE(TRIM('Base de Datos'!Z78),",","@",LEN(TRIM('Base de Datos'!Z78))-LEN(SUBSTITUTE(TRIM('Base de Datos'!Z78),",","")))),0)&gt;IFERROR(FIND("@",SUBSTITUTE(TRIM('Base de Datos'!Z78),".","@",LEN(TRIM('Base de Datos'!Z78))-LEN(SUBSTITUTE(TRIM('Base de Datos'!Z78),".","")))),0),_xlfn.NUMBERVALUE(SUBSTITUTE(SUBSTITUTE(TRIM('Base de Datos'!Z78),".",""),",","."),".",","),_xlfn.NUMBERVALUE(SUBSTITUTE(TRIM('Base de Datos'!Z78),",",""),".",",")),"")))</f>
        <v>52794.53</v>
      </c>
    </row>
    <row r="83" customFormat="false" ht="13.5" hidden="false" customHeight="false" outlineLevel="0" collapsed="false">
      <c r="A83" s="75" t="n">
        <f aca="false">ROWS(A$13:A83)</f>
        <v>71</v>
      </c>
      <c r="B83" s="73" t="n">
        <f aca="false">IF(B82="","",IFERROR(SMALL($AH$10:$AH$409,COUNTIF($AH$10:$AH$409,"&lt;="&amp;B82)+1),""))</f>
        <v>44976</v>
      </c>
      <c r="C83" s="74" t="n">
        <f aca="false">IF(B83="","",INDEX($AI$10:$AI$409,MATCH(B83,$AH$10:$AH$409,0)))</f>
        <v>30.2</v>
      </c>
      <c r="D83" s="74" t="n">
        <f aca="false">IF(B83="","",IFERROR(INDEX($AK$10:$AK$409,MATCH(B83,$AJ$10:$AJ$409,0)),""))</f>
        <v>52686.24</v>
      </c>
      <c r="E83" s="76" t="n">
        <f aca="false">IF(AND(ISNUMBER(C83),ISNUMBER(C82)),C83/C82-1,"")</f>
        <v>0.0134228187919463</v>
      </c>
      <c r="F83" s="76" t="n">
        <f aca="false">IF(AND(ISNUMBER(D83),ISNUMBER(D82)),D83/D82-1,"")</f>
        <v>-0.0205132438142364</v>
      </c>
      <c r="G83" s="75" t="n">
        <f aca="false">IF(AND(ISNUMBER(E83),ISNUMBER(F83)),1,"")</f>
        <v>1</v>
      </c>
      <c r="H83" s="75" t="n">
        <f aca="false">IF(G83=1,COUNT(G83:G$412),"")</f>
        <v>189</v>
      </c>
      <c r="I83" s="75" t="n">
        <f aca="false">IF(G83=1,IF(H83&lt;='Beta Regresión'!$B$5,1,""),"")</f>
        <v>1</v>
      </c>
      <c r="J83" s="76" t="n">
        <f aca="false">IF(I83=1,E83,"")</f>
        <v>0.0134228187919463</v>
      </c>
      <c r="K83" s="76" t="n">
        <f aca="false">IF(I83=1,F83,"")</f>
        <v>-0.0205132438142364</v>
      </c>
      <c r="L83" s="75" t="n">
        <f aca="false">IF(I83=1,COUNT(I$13:I83),"")</f>
        <v>70</v>
      </c>
      <c r="M83" s="76" t="n">
        <f aca="false">IFERROR(INDEX($J$13:$J$412,MATCH(A83,$L$13:$L$412,0)),"")</f>
        <v>0.0165562913907285</v>
      </c>
      <c r="N83" s="76" t="n">
        <f aca="false">IFERROR(INDEX($K$13:$K$412,MATCH(A83,$L$13:$L$412,0)),"")</f>
        <v>0.0283950800057093</v>
      </c>
      <c r="O83" s="76" t="n">
        <f aca="false">IF(I83=1,E83,NA())</f>
        <v>0.0134228187919463</v>
      </c>
      <c r="P83" s="76" t="n">
        <f aca="false">IF(I83=1,F83,NA())</f>
        <v>-0.0205132438142364</v>
      </c>
      <c r="R83" s="75" t="n">
        <f aca="false">ROWS(R$13:R83)</f>
        <v>71</v>
      </c>
      <c r="S83" s="73" t="str">
        <f aca="false">IF(S82="","",IFERROR(SMALL($AD$10:$AD$509,COUNTIF($AD$10:$AD$509,"&lt;="&amp;S82)+1),""))</f>
        <v/>
      </c>
      <c r="T83" s="74" t="str">
        <f aca="false">IF(S83="","",INDEX($AE$10:$AE$509,MATCH(S83,$AD$10:$AD$509,0)))</f>
        <v/>
      </c>
      <c r="U83" s="74" t="str">
        <f aca="false">IF(S83="","",IFERROR(INDEX($AG$10:$AG$509,MATCH(S83,$AF$10:$AF$509,0)),""))</f>
        <v/>
      </c>
      <c r="V83" s="76" t="str">
        <f aca="false">IF(AND(ISNUMBER(T83),ISNUMBER(T82)),T83/T82-1,"")</f>
        <v/>
      </c>
      <c r="W83" s="76" t="str">
        <f aca="false">IF(AND(ISNUMBER(U83),ISNUMBER(U82)),U83/U82-1,"")</f>
        <v/>
      </c>
      <c r="X83" s="75" t="str">
        <f aca="false">IF(AND(ISNUMBER(V83),ISNUMBER(W83)),1,"")</f>
        <v/>
      </c>
      <c r="Y83" s="76" t="str">
        <f aca="false">IF(X83=1,V83,"")</f>
        <v/>
      </c>
      <c r="Z83" s="76" t="str">
        <f aca="false">IF(X83=1,W83,"")</f>
        <v/>
      </c>
      <c r="AA83" s="76" t="e">
        <f aca="false">IF(X83=1,V83,NA())</f>
        <v>#N/A</v>
      </c>
      <c r="AB83" s="76" t="e">
        <f aca="false">IF(X83=1,W83,NA())</f>
        <v>#N/A</v>
      </c>
      <c r="AD83" s="73" t="str">
        <f aca="false">IF(ISNUMBER(AE83),IF(ISNUMBER('Base de Datos'!A79),IF('Base de Datos'!A79&gt;20000,DATE(YEAR('Base de Datos'!A79),DAY('Base de Datos'!A79),MONTH('Base de Datos'!A79)),""),IF(TRIM('Base de Datos'!A79)="","",IFERROR(DATE(VALUE(RIGHT(TRIM('Base de Datos'!A79),4)),VALUE(LEFT(TRIM('Base de Datos'!A79),2)),VALUE(MID(TRIM('Base de Datos'!A79),4,2))),""))),"")</f>
        <v/>
      </c>
      <c r="AE83" s="74" t="str">
        <f aca="false">IF(ISNUMBER('Base de Datos'!B79),'Base de Datos'!B79,IF(TRIM('Base de Datos'!B79)="","",IFERROR(IF(IFERROR(FIND("@",SUBSTITUTE(TRIM('Base de Datos'!B79),",","@",LEN(TRIM('Base de Datos'!B79))-LEN(SUBSTITUTE(TRIM('Base de Datos'!B79),",","")))),0)&gt;IFERROR(FIND("@",SUBSTITUTE(TRIM('Base de Datos'!B79),".","@",LEN(TRIM('Base de Datos'!B79))-LEN(SUBSTITUTE(TRIM('Base de Datos'!B79),".","")))),0),_xlfn.NUMBERVALUE(SUBSTITUTE(SUBSTITUTE(TRIM('Base de Datos'!B79),".",""),",","."),".",","),_xlfn.NUMBERVALUE(SUBSTITUTE(TRIM('Base de Datos'!B79),",",""),".",",")),"")))</f>
        <v/>
      </c>
      <c r="AF83" s="73" t="str">
        <f aca="false">IF(ISNUMBER(AG83),IF(ISNUMBER('Base de Datos'!I79),IF('Base de Datos'!I79&gt;20000,INT('Base de Datos'!I79),""),IF(TRIM('Base de Datos'!I79)="","",IFERROR(DATE(VALUE(RIGHT(TRIM('Base de Datos'!I79),4)),VALUE(MID(TRIM('Base de Datos'!I79),4,2)),VALUE(LEFT(TRIM('Base de Datos'!I79),2))),IFERROR(DATEVALUE(TRIM('Base de Datos'!I79)),"")))),"")</f>
        <v/>
      </c>
      <c r="AG83" s="74" t="str">
        <f aca="false">IF(ISNUMBER('Base de Datos'!J79),'Base de Datos'!J79,IF(TRIM('Base de Datos'!J79)="","",IFERROR(IF(IFERROR(FIND("@",SUBSTITUTE(TRIM('Base de Datos'!J79),",","@",LEN(TRIM('Base de Datos'!J79))-LEN(SUBSTITUTE(TRIM('Base de Datos'!J79),",","")))),0)&gt;IFERROR(FIND("@",SUBSTITUTE(TRIM('Base de Datos'!J79),".","@",LEN(TRIM('Base de Datos'!J79))-LEN(SUBSTITUTE(TRIM('Base de Datos'!J79),".","")))),0),_xlfn.NUMBERVALUE(SUBSTITUTE(SUBSTITUTE(TRIM('Base de Datos'!J79),".",""),",","."),".",","),_xlfn.NUMBERVALUE(SUBSTITUTE(TRIM('Base de Datos'!J79),",",""),".",",")),"")))</f>
        <v/>
      </c>
      <c r="AH83" s="73" t="n">
        <f aca="false">IF(ISNUMBER(AI83),IF(ISNUMBER('Base de Datos'!Q79),IF('Base de Datos'!Q79&gt;20000,DATE(YEAR('Base de Datos'!Q79),DAY('Base de Datos'!Q79),MONTH('Base de Datos'!Q79)),""),IF(TRIM('Base de Datos'!Q79)="","",IFERROR(DATE(VALUE(RIGHT(TRIM('Base de Datos'!Q79),4)),VALUE(LEFT(TRIM('Base de Datos'!Q79),2)),VALUE(MID(TRIM('Base de Datos'!Q79),4,2))),""))),"")</f>
        <v>44997</v>
      </c>
      <c r="AI83" s="74" t="n">
        <f aca="false">IF(ISNUMBER('Base de Datos'!R79),'Base de Datos'!R79,IF(TRIM('Base de Datos'!R79)="","",IFERROR(IF(IFERROR(FIND("@",SUBSTITUTE(TRIM('Base de Datos'!R79),",","@",LEN(TRIM('Base de Datos'!R79))-LEN(SUBSTITUTE(TRIM('Base de Datos'!R79),",","")))),0)&gt;IFERROR(FIND("@",SUBSTITUTE(TRIM('Base de Datos'!R79),".","@",LEN(TRIM('Base de Datos'!R79))-LEN(SUBSTITUTE(TRIM('Base de Datos'!R79),".","")))),0),_xlfn.NUMBERVALUE(SUBSTITUTE(SUBSTITUTE(TRIM('Base de Datos'!R79),".",""),",","."),".",","),_xlfn.NUMBERVALUE(SUBSTITUTE(TRIM('Base de Datos'!R79),",",""),".",",")),"")))</f>
        <v>30.51</v>
      </c>
      <c r="AJ83" s="73" t="n">
        <f aca="false">IF(ISNUMBER(AK83),IF(ISNUMBER('Base de Datos'!Y79),IF('Base de Datos'!Y79&gt;20000,INT('Base de Datos'!Y79),""),IF(TRIM('Base de Datos'!Y79)="","",IFERROR(DATE(VALUE(RIGHT(TRIM('Base de Datos'!Y79),4)),VALUE(MID(TRIM('Base de Datos'!Y79),4,2)),VALUE(LEFT(TRIM('Base de Datos'!Y79),2))),IFERROR(DATEVALUE(TRIM('Base de Datos'!Y79)),"")))),"")</f>
        <v>44997</v>
      </c>
      <c r="AK83" s="74" t="n">
        <f aca="false">IF(ISNUMBER('Base de Datos'!Z79),'Base de Datos'!Z79,IF(TRIM('Base de Datos'!Z79)="","",IFERROR(IF(IFERROR(FIND("@",SUBSTITUTE(TRIM('Base de Datos'!Z79),",","@",LEN(TRIM('Base de Datos'!Z79))-LEN(SUBSTITUTE(TRIM('Base de Datos'!Z79),",","")))),0)&gt;IFERROR(FIND("@",SUBSTITUTE(TRIM('Base de Datos'!Z79),".","@",LEN(TRIM('Base de Datos'!Z79))-LEN(SUBSTITUTE(TRIM('Base de Datos'!Z79),".","")))),0),_xlfn.NUMBERVALUE(SUBSTITUTE(SUBSTITUTE(TRIM('Base de Datos'!Z79),".",""),",","."),".",","),_xlfn.NUMBERVALUE(SUBSTITUTE(TRIM('Base de Datos'!Z79),",",""),".",",")),"")))</f>
        <v>51925.61</v>
      </c>
    </row>
    <row r="84" customFormat="false" ht="13.5" hidden="false" customHeight="false" outlineLevel="0" collapsed="false">
      <c r="A84" s="75" t="n">
        <f aca="false">ROWS(A$13:A84)</f>
        <v>72</v>
      </c>
      <c r="B84" s="73" t="n">
        <f aca="false">IF(B83="","",IFERROR(SMALL($AH$10:$AH$409,COUNTIF($AH$10:$AH$409,"&lt;="&amp;B83)+1),""))</f>
        <v>44983</v>
      </c>
      <c r="C84" s="74" t="n">
        <f aca="false">IF(B84="","",INDEX($AI$10:$AI$409,MATCH(B84,$AH$10:$AH$409,0)))</f>
        <v>30.7</v>
      </c>
      <c r="D84" s="74" t="n">
        <f aca="false">IF(B84="","",IFERROR(INDEX($AK$10:$AK$409,MATCH(B84,$AJ$10:$AJ$409,0)),""))</f>
        <v>54182.27</v>
      </c>
      <c r="E84" s="76" t="n">
        <f aca="false">IF(AND(ISNUMBER(C84),ISNUMBER(C83)),C84/C83-1,"")</f>
        <v>0.0165562913907285</v>
      </c>
      <c r="F84" s="76" t="n">
        <f aca="false">IF(AND(ISNUMBER(D84),ISNUMBER(D83)),D84/D83-1,"")</f>
        <v>0.0283950800057093</v>
      </c>
      <c r="G84" s="75" t="n">
        <f aca="false">IF(AND(ISNUMBER(E84),ISNUMBER(F84)),1,"")</f>
        <v>1</v>
      </c>
      <c r="H84" s="75" t="n">
        <f aca="false">IF(G84=1,COUNT(G84:G$412),"")</f>
        <v>188</v>
      </c>
      <c r="I84" s="75" t="n">
        <f aca="false">IF(G84=1,IF(H84&lt;='Beta Regresión'!$B$5,1,""),"")</f>
        <v>1</v>
      </c>
      <c r="J84" s="76" t="n">
        <f aca="false">IF(I84=1,E84,"")</f>
        <v>0.0165562913907285</v>
      </c>
      <c r="K84" s="76" t="n">
        <f aca="false">IF(I84=1,F84,"")</f>
        <v>0.0283950800057093</v>
      </c>
      <c r="L84" s="75" t="n">
        <f aca="false">IF(I84=1,COUNT(I$13:I84),"")</f>
        <v>71</v>
      </c>
      <c r="M84" s="76" t="n">
        <f aca="false">IFERROR(INDEX($J$13:$J$412,MATCH(A84,$L$13:$L$412,0)),"")</f>
        <v>-0.019543973941368</v>
      </c>
      <c r="N84" s="76" t="n">
        <f aca="false">IFERROR(INDEX($K$13:$K$412,MATCH(A84,$L$13:$L$412,0)),"")</f>
        <v>-0.0256124374264866</v>
      </c>
      <c r="O84" s="76" t="n">
        <f aca="false">IF(I84=1,E84,NA())</f>
        <v>0.0165562913907285</v>
      </c>
      <c r="P84" s="76" t="n">
        <f aca="false">IF(I84=1,F84,NA())</f>
        <v>0.0283950800057093</v>
      </c>
      <c r="R84" s="75" t="n">
        <f aca="false">ROWS(R$13:R84)</f>
        <v>72</v>
      </c>
      <c r="S84" s="73" t="str">
        <f aca="false">IF(S83="","",IFERROR(SMALL($AD$10:$AD$509,COUNTIF($AD$10:$AD$509,"&lt;="&amp;S83)+1),""))</f>
        <v/>
      </c>
      <c r="T84" s="74" t="str">
        <f aca="false">IF(S84="","",INDEX($AE$10:$AE$509,MATCH(S84,$AD$10:$AD$509,0)))</f>
        <v/>
      </c>
      <c r="U84" s="74" t="str">
        <f aca="false">IF(S84="","",IFERROR(INDEX($AG$10:$AG$509,MATCH(S84,$AF$10:$AF$509,0)),""))</f>
        <v/>
      </c>
      <c r="V84" s="76" t="str">
        <f aca="false">IF(AND(ISNUMBER(T84),ISNUMBER(T83)),T84/T83-1,"")</f>
        <v/>
      </c>
      <c r="W84" s="76" t="str">
        <f aca="false">IF(AND(ISNUMBER(U84),ISNUMBER(U83)),U84/U83-1,"")</f>
        <v/>
      </c>
      <c r="X84" s="75" t="str">
        <f aca="false">IF(AND(ISNUMBER(V84),ISNUMBER(W84)),1,"")</f>
        <v/>
      </c>
      <c r="Y84" s="76" t="str">
        <f aca="false">IF(X84=1,V84,"")</f>
        <v/>
      </c>
      <c r="Z84" s="76" t="str">
        <f aca="false">IF(X84=1,W84,"")</f>
        <v/>
      </c>
      <c r="AA84" s="76" t="e">
        <f aca="false">IF(X84=1,V84,NA())</f>
        <v>#N/A</v>
      </c>
      <c r="AB84" s="76" t="e">
        <f aca="false">IF(X84=1,W84,NA())</f>
        <v>#N/A</v>
      </c>
      <c r="AD84" s="73" t="str">
        <f aca="false">IF(ISNUMBER(AE84),IF(ISNUMBER('Base de Datos'!A80),IF('Base de Datos'!A80&gt;20000,DATE(YEAR('Base de Datos'!A80),DAY('Base de Datos'!A80),MONTH('Base de Datos'!A80)),""),IF(TRIM('Base de Datos'!A80)="","",IFERROR(DATE(VALUE(RIGHT(TRIM('Base de Datos'!A80),4)),VALUE(LEFT(TRIM('Base de Datos'!A80),2)),VALUE(MID(TRIM('Base de Datos'!A80),4,2))),""))),"")</f>
        <v/>
      </c>
      <c r="AE84" s="74" t="str">
        <f aca="false">IF(ISNUMBER('Base de Datos'!B80),'Base de Datos'!B80,IF(TRIM('Base de Datos'!B80)="","",IFERROR(IF(IFERROR(FIND("@",SUBSTITUTE(TRIM('Base de Datos'!B80),",","@",LEN(TRIM('Base de Datos'!B80))-LEN(SUBSTITUTE(TRIM('Base de Datos'!B80),",","")))),0)&gt;IFERROR(FIND("@",SUBSTITUTE(TRIM('Base de Datos'!B80),".","@",LEN(TRIM('Base de Datos'!B80))-LEN(SUBSTITUTE(TRIM('Base de Datos'!B80),".","")))),0),_xlfn.NUMBERVALUE(SUBSTITUTE(SUBSTITUTE(TRIM('Base de Datos'!B80),".",""),",","."),".",","),_xlfn.NUMBERVALUE(SUBSTITUTE(TRIM('Base de Datos'!B80),",",""),".",",")),"")))</f>
        <v/>
      </c>
      <c r="AF84" s="73" t="str">
        <f aca="false">IF(ISNUMBER(AG84),IF(ISNUMBER('Base de Datos'!I80),IF('Base de Datos'!I80&gt;20000,INT('Base de Datos'!I80),""),IF(TRIM('Base de Datos'!I80)="","",IFERROR(DATE(VALUE(RIGHT(TRIM('Base de Datos'!I80),4)),VALUE(MID(TRIM('Base de Datos'!I80),4,2)),VALUE(LEFT(TRIM('Base de Datos'!I80),2))),IFERROR(DATEVALUE(TRIM('Base de Datos'!I80)),"")))),"")</f>
        <v/>
      </c>
      <c r="AG84" s="74" t="str">
        <f aca="false">IF(ISNUMBER('Base de Datos'!J80),'Base de Datos'!J80,IF(TRIM('Base de Datos'!J80)="","",IFERROR(IF(IFERROR(FIND("@",SUBSTITUTE(TRIM('Base de Datos'!J80),",","@",LEN(TRIM('Base de Datos'!J80))-LEN(SUBSTITUTE(TRIM('Base de Datos'!J80),",","")))),0)&gt;IFERROR(FIND("@",SUBSTITUTE(TRIM('Base de Datos'!J80),".","@",LEN(TRIM('Base de Datos'!J80))-LEN(SUBSTITUTE(TRIM('Base de Datos'!J80),".","")))),0),_xlfn.NUMBERVALUE(SUBSTITUTE(SUBSTITUTE(TRIM('Base de Datos'!J80),".",""),",","."),".",","),_xlfn.NUMBERVALUE(SUBSTITUTE(TRIM('Base de Datos'!J80),",",""),".",",")),"")))</f>
        <v/>
      </c>
      <c r="AH84" s="73" t="n">
        <f aca="false">IF(ISNUMBER(AI84),IF(ISNUMBER('Base de Datos'!Q80),IF('Base de Datos'!Q80&gt;20000,DATE(YEAR('Base de Datos'!Q80),DAY('Base de Datos'!Q80),MONTH('Base de Datos'!Q80)),""),IF(TRIM('Base de Datos'!Q80)="","",IFERROR(DATE(VALUE(RIGHT(TRIM('Base de Datos'!Q80),4)),VALUE(LEFT(TRIM('Base de Datos'!Q80),2)),VALUE(MID(TRIM('Base de Datos'!Q80),4,2))),""))),"")</f>
        <v>45004</v>
      </c>
      <c r="AI84" s="74" t="n">
        <f aca="false">IF(ISNUMBER('Base de Datos'!R80),'Base de Datos'!R80,IF(TRIM('Base de Datos'!R80)="","",IFERROR(IF(IFERROR(FIND("@",SUBSTITUTE(TRIM('Base de Datos'!R80),",","@",LEN(TRIM('Base de Datos'!R80))-LEN(SUBSTITUTE(TRIM('Base de Datos'!R80),",","")))),0)&gt;IFERROR(FIND("@",SUBSTITUTE(TRIM('Base de Datos'!R80),".","@",LEN(TRIM('Base de Datos'!R80))-LEN(SUBSTITUTE(TRIM('Base de Datos'!R80),".","")))),0),_xlfn.NUMBERVALUE(SUBSTITUTE(SUBSTITUTE(TRIM('Base de Datos'!R80),".",""),",","."),".",","),_xlfn.NUMBERVALUE(SUBSTITUTE(TRIM('Base de Datos'!R80),",",""),".",",")),"")))</f>
        <v>30.51</v>
      </c>
      <c r="AJ84" s="73" t="n">
        <f aca="false">IF(ISNUMBER(AK84),IF(ISNUMBER('Base de Datos'!Y80),IF('Base de Datos'!Y80&gt;20000,INT('Base de Datos'!Y80),""),IF(TRIM('Base de Datos'!Y80)="","",IFERROR(DATE(VALUE(RIGHT(TRIM('Base de Datos'!Y80),4)),VALUE(MID(TRIM('Base de Datos'!Y80),4,2)),VALUE(LEFT(TRIM('Base de Datos'!Y80),2))),IFERROR(DATEVALUE(TRIM('Base de Datos'!Y80)),"")))),"")</f>
        <v>45004</v>
      </c>
      <c r="AK84" s="74" t="n">
        <f aca="false">IF(ISNUMBER('Base de Datos'!Z80),'Base de Datos'!Z80,IF(TRIM('Base de Datos'!Z80)="","",IFERROR(IF(IFERROR(FIND("@",SUBSTITUTE(TRIM('Base de Datos'!Z80),",","@",LEN(TRIM('Base de Datos'!Z80))-LEN(SUBSTITUTE(TRIM('Base de Datos'!Z80),",","")))),0)&gt;IFERROR(FIND("@",SUBSTITUTE(TRIM('Base de Datos'!Z80),".","@",LEN(TRIM('Base de Datos'!Z80))-LEN(SUBSTITUTE(TRIM('Base de Datos'!Z80),".","")))),0),_xlfn.NUMBERVALUE(SUBSTITUTE(SUBSTITUTE(TRIM('Base de Datos'!Z80),".",""),",","."),".",","),_xlfn.NUMBERVALUE(SUBSTITUTE(TRIM('Base de Datos'!Z80),",",""),".",",")),"")))</f>
        <v>52771.12</v>
      </c>
    </row>
    <row r="85" customFormat="false" ht="13.5" hidden="false" customHeight="false" outlineLevel="0" collapsed="false">
      <c r="A85" s="75" t="n">
        <f aca="false">ROWS(A$13:A85)</f>
        <v>73</v>
      </c>
      <c r="B85" s="73" t="n">
        <f aca="false">IF(B84="","",IFERROR(SMALL($AH$10:$AH$409,COUNTIF($AH$10:$AH$409,"&lt;="&amp;B84)+1),""))</f>
        <v>44990</v>
      </c>
      <c r="C85" s="74" t="n">
        <f aca="false">IF(B85="","",INDEX($AI$10:$AI$409,MATCH(B85,$AH$10:$AH$409,0)))</f>
        <v>30.1</v>
      </c>
      <c r="D85" s="74" t="n">
        <f aca="false">IF(B85="","",IFERROR(INDEX($AK$10:$AK$409,MATCH(B85,$AJ$10:$AJ$409,0)),""))</f>
        <v>52794.53</v>
      </c>
      <c r="E85" s="76" t="n">
        <f aca="false">IF(AND(ISNUMBER(C85),ISNUMBER(C84)),C85/C84-1,"")</f>
        <v>-0.019543973941368</v>
      </c>
      <c r="F85" s="76" t="n">
        <f aca="false">IF(AND(ISNUMBER(D85),ISNUMBER(D84)),D85/D84-1,"")</f>
        <v>-0.0256124374264866</v>
      </c>
      <c r="G85" s="75" t="n">
        <f aca="false">IF(AND(ISNUMBER(E85),ISNUMBER(F85)),1,"")</f>
        <v>1</v>
      </c>
      <c r="H85" s="75" t="n">
        <f aca="false">IF(G85=1,COUNT(G85:G$412),"")</f>
        <v>187</v>
      </c>
      <c r="I85" s="75" t="n">
        <f aca="false">IF(G85=1,IF(H85&lt;='Beta Regresión'!$B$5,1,""),"")</f>
        <v>1</v>
      </c>
      <c r="J85" s="76" t="n">
        <f aca="false">IF(I85=1,E85,"")</f>
        <v>-0.019543973941368</v>
      </c>
      <c r="K85" s="76" t="n">
        <f aca="false">IF(I85=1,F85,"")</f>
        <v>-0.0256124374264866</v>
      </c>
      <c r="L85" s="75" t="n">
        <f aca="false">IF(I85=1,COUNT(I$13:I85),"")</f>
        <v>72</v>
      </c>
      <c r="M85" s="76" t="n">
        <f aca="false">IFERROR(INDEX($J$13:$J$412,MATCH(A85,$L$13:$L$412,0)),"")</f>
        <v>0.0136212624584717</v>
      </c>
      <c r="N85" s="76" t="n">
        <f aca="false">IFERROR(INDEX($K$13:$K$412,MATCH(A85,$L$13:$L$412,0)),"")</f>
        <v>-0.0164585232598907</v>
      </c>
      <c r="O85" s="76" t="n">
        <f aca="false">IF(I85=1,E85,NA())</f>
        <v>-0.019543973941368</v>
      </c>
      <c r="P85" s="76" t="n">
        <f aca="false">IF(I85=1,F85,NA())</f>
        <v>-0.0256124374264866</v>
      </c>
      <c r="R85" s="75" t="n">
        <f aca="false">ROWS(R$13:R85)</f>
        <v>73</v>
      </c>
      <c r="S85" s="73" t="str">
        <f aca="false">IF(S84="","",IFERROR(SMALL($AD$10:$AD$509,COUNTIF($AD$10:$AD$509,"&lt;="&amp;S84)+1),""))</f>
        <v/>
      </c>
      <c r="T85" s="74" t="str">
        <f aca="false">IF(S85="","",INDEX($AE$10:$AE$509,MATCH(S85,$AD$10:$AD$509,0)))</f>
        <v/>
      </c>
      <c r="U85" s="74" t="str">
        <f aca="false">IF(S85="","",IFERROR(INDEX($AG$10:$AG$509,MATCH(S85,$AF$10:$AF$509,0)),""))</f>
        <v/>
      </c>
      <c r="V85" s="76" t="str">
        <f aca="false">IF(AND(ISNUMBER(T85),ISNUMBER(T84)),T85/T84-1,"")</f>
        <v/>
      </c>
      <c r="W85" s="76" t="str">
        <f aca="false">IF(AND(ISNUMBER(U85),ISNUMBER(U84)),U85/U84-1,"")</f>
        <v/>
      </c>
      <c r="X85" s="75" t="str">
        <f aca="false">IF(AND(ISNUMBER(V85),ISNUMBER(W85)),1,"")</f>
        <v/>
      </c>
      <c r="Y85" s="76" t="str">
        <f aca="false">IF(X85=1,V85,"")</f>
        <v/>
      </c>
      <c r="Z85" s="76" t="str">
        <f aca="false">IF(X85=1,W85,"")</f>
        <v/>
      </c>
      <c r="AA85" s="76" t="e">
        <f aca="false">IF(X85=1,V85,NA())</f>
        <v>#N/A</v>
      </c>
      <c r="AB85" s="76" t="e">
        <f aca="false">IF(X85=1,W85,NA())</f>
        <v>#N/A</v>
      </c>
      <c r="AD85" s="73" t="str">
        <f aca="false">IF(ISNUMBER(AE85),IF(ISNUMBER('Base de Datos'!A81),IF('Base de Datos'!A81&gt;20000,DATE(YEAR('Base de Datos'!A81),DAY('Base de Datos'!A81),MONTH('Base de Datos'!A81)),""),IF(TRIM('Base de Datos'!A81)="","",IFERROR(DATE(VALUE(RIGHT(TRIM('Base de Datos'!A81),4)),VALUE(LEFT(TRIM('Base de Datos'!A81),2)),VALUE(MID(TRIM('Base de Datos'!A81),4,2))),""))),"")</f>
        <v/>
      </c>
      <c r="AE85" s="74" t="str">
        <f aca="false">IF(ISNUMBER('Base de Datos'!B81),'Base de Datos'!B81,IF(TRIM('Base de Datos'!B81)="","",IFERROR(IF(IFERROR(FIND("@",SUBSTITUTE(TRIM('Base de Datos'!B81),",","@",LEN(TRIM('Base de Datos'!B81))-LEN(SUBSTITUTE(TRIM('Base de Datos'!B81),",","")))),0)&gt;IFERROR(FIND("@",SUBSTITUTE(TRIM('Base de Datos'!B81),".","@",LEN(TRIM('Base de Datos'!B81))-LEN(SUBSTITUTE(TRIM('Base de Datos'!B81),".","")))),0),_xlfn.NUMBERVALUE(SUBSTITUTE(SUBSTITUTE(TRIM('Base de Datos'!B81),".",""),",","."),".",","),_xlfn.NUMBERVALUE(SUBSTITUTE(TRIM('Base de Datos'!B81),",",""),".",",")),"")))</f>
        <v/>
      </c>
      <c r="AF85" s="73" t="str">
        <f aca="false">IF(ISNUMBER(AG85),IF(ISNUMBER('Base de Datos'!I81),IF('Base de Datos'!I81&gt;20000,INT('Base de Datos'!I81),""),IF(TRIM('Base de Datos'!I81)="","",IFERROR(DATE(VALUE(RIGHT(TRIM('Base de Datos'!I81),4)),VALUE(MID(TRIM('Base de Datos'!I81),4,2)),VALUE(LEFT(TRIM('Base de Datos'!I81),2))),IFERROR(DATEVALUE(TRIM('Base de Datos'!I81)),"")))),"")</f>
        <v/>
      </c>
      <c r="AG85" s="74" t="str">
        <f aca="false">IF(ISNUMBER('Base de Datos'!J81),'Base de Datos'!J81,IF(TRIM('Base de Datos'!J81)="","",IFERROR(IF(IFERROR(FIND("@",SUBSTITUTE(TRIM('Base de Datos'!J81),",","@",LEN(TRIM('Base de Datos'!J81))-LEN(SUBSTITUTE(TRIM('Base de Datos'!J81),",","")))),0)&gt;IFERROR(FIND("@",SUBSTITUTE(TRIM('Base de Datos'!J81),".","@",LEN(TRIM('Base de Datos'!J81))-LEN(SUBSTITUTE(TRIM('Base de Datos'!J81),".","")))),0),_xlfn.NUMBERVALUE(SUBSTITUTE(SUBSTITUTE(TRIM('Base de Datos'!J81),".",""),",","."),".",","),_xlfn.NUMBERVALUE(SUBSTITUTE(TRIM('Base de Datos'!J81),",",""),".",",")),"")))</f>
        <v/>
      </c>
      <c r="AH85" s="73" t="n">
        <f aca="false">IF(ISNUMBER(AI85),IF(ISNUMBER('Base de Datos'!Q81),IF('Base de Datos'!Q81&gt;20000,DATE(YEAR('Base de Datos'!Q81),DAY('Base de Datos'!Q81),MONTH('Base de Datos'!Q81)),""),IF(TRIM('Base de Datos'!Q81)="","",IFERROR(DATE(VALUE(RIGHT(TRIM('Base de Datos'!Q81),4)),VALUE(LEFT(TRIM('Base de Datos'!Q81),2)),VALUE(MID(TRIM('Base de Datos'!Q81),4,2))),""))),"")</f>
        <v>45011</v>
      </c>
      <c r="AI85" s="74" t="n">
        <f aca="false">IF(ISNUMBER('Base de Datos'!R81),'Base de Datos'!R81,IF(TRIM('Base de Datos'!R81)="","",IFERROR(IF(IFERROR(FIND("@",SUBSTITUTE(TRIM('Base de Datos'!R81),",","@",LEN(TRIM('Base de Datos'!R81))-LEN(SUBSTITUTE(TRIM('Base de Datos'!R81),",","")))),0)&gt;IFERROR(FIND("@",SUBSTITUTE(TRIM('Base de Datos'!R81),".","@",LEN(TRIM('Base de Datos'!R81))-LEN(SUBSTITUTE(TRIM('Base de Datos'!R81),".","")))),0),_xlfn.NUMBERVALUE(SUBSTITUTE(SUBSTITUTE(TRIM('Base de Datos'!R81),".",""),",","."),".",","),_xlfn.NUMBERVALUE(SUBSTITUTE(TRIM('Base de Datos'!R81),",",""),".",",")),"")))</f>
        <v>30.97</v>
      </c>
      <c r="AJ85" s="73" t="n">
        <f aca="false">IF(ISNUMBER(AK85),IF(ISNUMBER('Base de Datos'!Y81),IF('Base de Datos'!Y81&gt;20000,INT('Base de Datos'!Y81),""),IF(TRIM('Base de Datos'!Y81)="","",IFERROR(DATE(VALUE(RIGHT(TRIM('Base de Datos'!Y81),4)),VALUE(MID(TRIM('Base de Datos'!Y81),4,2)),VALUE(LEFT(TRIM('Base de Datos'!Y81),2))),IFERROR(DATEVALUE(TRIM('Base de Datos'!Y81)),"")))),"")</f>
        <v>45011</v>
      </c>
      <c r="AK85" s="74" t="n">
        <f aca="false">IF(ISNUMBER('Base de Datos'!Z81),'Base de Datos'!Z81,IF(TRIM('Base de Datos'!Z81)="","",IFERROR(IF(IFERROR(FIND("@",SUBSTITUTE(TRIM('Base de Datos'!Z81),",","@",LEN(TRIM('Base de Datos'!Z81))-LEN(SUBSTITUTE(TRIM('Base de Datos'!Z81),",","")))),0)&gt;IFERROR(FIND("@",SUBSTITUTE(TRIM('Base de Datos'!Z81),".","@",LEN(TRIM('Base de Datos'!Z81))-LEN(SUBSTITUTE(TRIM('Base de Datos'!Z81),".","")))),0),_xlfn.NUMBERVALUE(SUBSTITUTE(SUBSTITUTE(TRIM('Base de Datos'!Z81),".",""),",","."),".",","),_xlfn.NUMBERVALUE(SUBSTITUTE(TRIM('Base de Datos'!Z81),",",""),".",",")),"")))</f>
        <v>53904</v>
      </c>
    </row>
    <row r="86" customFormat="false" ht="13.5" hidden="false" customHeight="false" outlineLevel="0" collapsed="false">
      <c r="A86" s="75" t="n">
        <f aca="false">ROWS(A$13:A86)</f>
        <v>74</v>
      </c>
      <c r="B86" s="73" t="n">
        <f aca="false">IF(B85="","",IFERROR(SMALL($AH$10:$AH$409,COUNTIF($AH$10:$AH$409,"&lt;="&amp;B85)+1),""))</f>
        <v>44997</v>
      </c>
      <c r="C86" s="74" t="n">
        <f aca="false">IF(B86="","",INDEX($AI$10:$AI$409,MATCH(B86,$AH$10:$AH$409,0)))</f>
        <v>30.51</v>
      </c>
      <c r="D86" s="74" t="n">
        <f aca="false">IF(B86="","",IFERROR(INDEX($AK$10:$AK$409,MATCH(B86,$AJ$10:$AJ$409,0)),""))</f>
        <v>51925.61</v>
      </c>
      <c r="E86" s="76" t="n">
        <f aca="false">IF(AND(ISNUMBER(C86),ISNUMBER(C85)),C86/C85-1,"")</f>
        <v>0.0136212624584717</v>
      </c>
      <c r="F86" s="76" t="n">
        <f aca="false">IF(AND(ISNUMBER(D86),ISNUMBER(D85)),D86/D85-1,"")</f>
        <v>-0.0164585232598907</v>
      </c>
      <c r="G86" s="75" t="n">
        <f aca="false">IF(AND(ISNUMBER(E86),ISNUMBER(F86)),1,"")</f>
        <v>1</v>
      </c>
      <c r="H86" s="75" t="n">
        <f aca="false">IF(G86=1,COUNT(G86:G$412),"")</f>
        <v>186</v>
      </c>
      <c r="I86" s="75" t="n">
        <f aca="false">IF(G86=1,IF(H86&lt;='Beta Regresión'!$B$5,1,""),"")</f>
        <v>1</v>
      </c>
      <c r="J86" s="76" t="n">
        <f aca="false">IF(I86=1,E86,"")</f>
        <v>0.0136212624584717</v>
      </c>
      <c r="K86" s="76" t="n">
        <f aca="false">IF(I86=1,F86,"")</f>
        <v>-0.0164585232598907</v>
      </c>
      <c r="L86" s="75" t="n">
        <f aca="false">IF(I86=1,COUNT(I$13:I86),"")</f>
        <v>73</v>
      </c>
      <c r="M86" s="76" t="n">
        <f aca="false">IFERROR(INDEX($J$13:$J$412,MATCH(A86,$L$13:$L$412,0)),"")</f>
        <v>0</v>
      </c>
      <c r="N86" s="76" t="n">
        <f aca="false">IFERROR(INDEX($K$13:$K$412,MATCH(A86,$L$13:$L$412,0)),"")</f>
        <v>0.0162831019221537</v>
      </c>
      <c r="O86" s="76" t="n">
        <f aca="false">IF(I86=1,E86,NA())</f>
        <v>0.0136212624584717</v>
      </c>
      <c r="P86" s="76" t="n">
        <f aca="false">IF(I86=1,F86,NA())</f>
        <v>-0.0164585232598907</v>
      </c>
      <c r="R86" s="75" t="n">
        <f aca="false">ROWS(R$13:R86)</f>
        <v>74</v>
      </c>
      <c r="S86" s="73" t="str">
        <f aca="false">IF(S85="","",IFERROR(SMALL($AD$10:$AD$509,COUNTIF($AD$10:$AD$509,"&lt;="&amp;S85)+1),""))</f>
        <v/>
      </c>
      <c r="T86" s="74" t="str">
        <f aca="false">IF(S86="","",INDEX($AE$10:$AE$509,MATCH(S86,$AD$10:$AD$509,0)))</f>
        <v/>
      </c>
      <c r="U86" s="74" t="str">
        <f aca="false">IF(S86="","",IFERROR(INDEX($AG$10:$AG$509,MATCH(S86,$AF$10:$AF$509,0)),""))</f>
        <v/>
      </c>
      <c r="V86" s="76" t="str">
        <f aca="false">IF(AND(ISNUMBER(T86),ISNUMBER(T85)),T86/T85-1,"")</f>
        <v/>
      </c>
      <c r="W86" s="76" t="str">
        <f aca="false">IF(AND(ISNUMBER(U86),ISNUMBER(U85)),U86/U85-1,"")</f>
        <v/>
      </c>
      <c r="X86" s="75" t="str">
        <f aca="false">IF(AND(ISNUMBER(V86),ISNUMBER(W86)),1,"")</f>
        <v/>
      </c>
      <c r="Y86" s="76" t="str">
        <f aca="false">IF(X86=1,V86,"")</f>
        <v/>
      </c>
      <c r="Z86" s="76" t="str">
        <f aca="false">IF(X86=1,W86,"")</f>
        <v/>
      </c>
      <c r="AA86" s="76" t="e">
        <f aca="false">IF(X86=1,V86,NA())</f>
        <v>#N/A</v>
      </c>
      <c r="AB86" s="76" t="e">
        <f aca="false">IF(X86=1,W86,NA())</f>
        <v>#N/A</v>
      </c>
      <c r="AD86" s="73" t="str">
        <f aca="false">IF(ISNUMBER(AE86),IF(ISNUMBER('Base de Datos'!A82),IF('Base de Datos'!A82&gt;20000,DATE(YEAR('Base de Datos'!A82),DAY('Base de Datos'!A82),MONTH('Base de Datos'!A82)),""),IF(TRIM('Base de Datos'!A82)="","",IFERROR(DATE(VALUE(RIGHT(TRIM('Base de Datos'!A82),4)),VALUE(LEFT(TRIM('Base de Datos'!A82),2)),VALUE(MID(TRIM('Base de Datos'!A82),4,2))),""))),"")</f>
        <v/>
      </c>
      <c r="AE86" s="74" t="str">
        <f aca="false">IF(ISNUMBER('Base de Datos'!B82),'Base de Datos'!B82,IF(TRIM('Base de Datos'!B82)="","",IFERROR(IF(IFERROR(FIND("@",SUBSTITUTE(TRIM('Base de Datos'!B82),",","@",LEN(TRIM('Base de Datos'!B82))-LEN(SUBSTITUTE(TRIM('Base de Datos'!B82),",","")))),0)&gt;IFERROR(FIND("@",SUBSTITUTE(TRIM('Base de Datos'!B82),".","@",LEN(TRIM('Base de Datos'!B82))-LEN(SUBSTITUTE(TRIM('Base de Datos'!B82),".","")))),0),_xlfn.NUMBERVALUE(SUBSTITUTE(SUBSTITUTE(TRIM('Base de Datos'!B82),".",""),",","."),".",","),_xlfn.NUMBERVALUE(SUBSTITUTE(TRIM('Base de Datos'!B82),",",""),".",",")),"")))</f>
        <v/>
      </c>
      <c r="AF86" s="73" t="str">
        <f aca="false">IF(ISNUMBER(AG86),IF(ISNUMBER('Base de Datos'!I82),IF('Base de Datos'!I82&gt;20000,INT('Base de Datos'!I82),""),IF(TRIM('Base de Datos'!I82)="","",IFERROR(DATE(VALUE(RIGHT(TRIM('Base de Datos'!I82),4)),VALUE(MID(TRIM('Base de Datos'!I82),4,2)),VALUE(LEFT(TRIM('Base de Datos'!I82),2))),IFERROR(DATEVALUE(TRIM('Base de Datos'!I82)),"")))),"")</f>
        <v/>
      </c>
      <c r="AG86" s="74" t="str">
        <f aca="false">IF(ISNUMBER('Base de Datos'!J82),'Base de Datos'!J82,IF(TRIM('Base de Datos'!J82)="","",IFERROR(IF(IFERROR(FIND("@",SUBSTITUTE(TRIM('Base de Datos'!J82),",","@",LEN(TRIM('Base de Datos'!J82))-LEN(SUBSTITUTE(TRIM('Base de Datos'!J82),",","")))),0)&gt;IFERROR(FIND("@",SUBSTITUTE(TRIM('Base de Datos'!J82),".","@",LEN(TRIM('Base de Datos'!J82))-LEN(SUBSTITUTE(TRIM('Base de Datos'!J82),".","")))),0),_xlfn.NUMBERVALUE(SUBSTITUTE(SUBSTITUTE(TRIM('Base de Datos'!J82),".",""),",","."),".",","),_xlfn.NUMBERVALUE(SUBSTITUTE(TRIM('Base de Datos'!J82),",",""),".",",")),"")))</f>
        <v/>
      </c>
      <c r="AH86" s="73" t="n">
        <f aca="false">IF(ISNUMBER(AI86),IF(ISNUMBER('Base de Datos'!Q82),IF('Base de Datos'!Q82&gt;20000,DATE(YEAR('Base de Datos'!Q82),DAY('Base de Datos'!Q82),MONTH('Base de Datos'!Q82)),""),IF(TRIM('Base de Datos'!Q82)="","",IFERROR(DATE(VALUE(RIGHT(TRIM('Base de Datos'!Q82),4)),VALUE(LEFT(TRIM('Base de Datos'!Q82),2)),VALUE(MID(TRIM('Base de Datos'!Q82),4,2))),""))),"")</f>
        <v>45018</v>
      </c>
      <c r="AI86" s="74" t="n">
        <f aca="false">IF(ISNUMBER('Base de Datos'!R82),'Base de Datos'!R82,IF(TRIM('Base de Datos'!R82)="","",IFERROR(IF(IFERROR(FIND("@",SUBSTITUTE(TRIM('Base de Datos'!R82),",","@",LEN(TRIM('Base de Datos'!R82))-LEN(SUBSTITUTE(TRIM('Base de Datos'!R82),",","")))),0)&gt;IFERROR(FIND("@",SUBSTITUTE(TRIM('Base de Datos'!R82),".","@",LEN(TRIM('Base de Datos'!R82))-LEN(SUBSTITUTE(TRIM('Base de Datos'!R82),".","")))),0),_xlfn.NUMBERVALUE(SUBSTITUTE(SUBSTITUTE(TRIM('Base de Datos'!R82),".",""),",","."),".",","),_xlfn.NUMBERVALUE(SUBSTITUTE(TRIM('Base de Datos'!R82),",",""),".",",")),"")))</f>
        <v>30.6</v>
      </c>
      <c r="AJ86" s="73" t="n">
        <f aca="false">IF(ISNUMBER(AK86),IF(ISNUMBER('Base de Datos'!Y82),IF('Base de Datos'!Y82&gt;20000,INT('Base de Datos'!Y82),""),IF(TRIM('Base de Datos'!Y82)="","",IFERROR(DATE(VALUE(RIGHT(TRIM('Base de Datos'!Y82),4)),VALUE(MID(TRIM('Base de Datos'!Y82),4,2)),VALUE(LEFT(TRIM('Base de Datos'!Y82),2))),IFERROR(DATEVALUE(TRIM('Base de Datos'!Y82)),"")))),"")</f>
        <v>45018</v>
      </c>
      <c r="AK86" s="74" t="n">
        <f aca="false">IF(ISNUMBER('Base de Datos'!Z82),'Base de Datos'!Z82,IF(TRIM('Base de Datos'!Z82)="","",IFERROR(IF(IFERROR(FIND("@",SUBSTITUTE(TRIM('Base de Datos'!Z82),",","@",LEN(TRIM('Base de Datos'!Z82))-LEN(SUBSTITUTE(TRIM('Base de Datos'!Z82),",","")))),0)&gt;IFERROR(FIND("@",SUBSTITUTE(TRIM('Base de Datos'!Z82),".","@",LEN(TRIM('Base de Datos'!Z82))-LEN(SUBSTITUTE(TRIM('Base de Datos'!Z82),".","")))),0),_xlfn.NUMBERVALUE(SUBSTITUTE(SUBSTITUTE(TRIM('Base de Datos'!Z82),".",""),",","."),".",","),_xlfn.NUMBERVALUE(SUBSTITUTE(TRIM('Base de Datos'!Z82),",",""),".",",")),"")))</f>
        <v>53498.39</v>
      </c>
    </row>
    <row r="87" customFormat="false" ht="13.5" hidden="false" customHeight="false" outlineLevel="0" collapsed="false">
      <c r="A87" s="75" t="n">
        <f aca="false">ROWS(A$13:A87)</f>
        <v>75</v>
      </c>
      <c r="B87" s="73" t="n">
        <f aca="false">IF(B86="","",IFERROR(SMALL($AH$10:$AH$409,COUNTIF($AH$10:$AH$409,"&lt;="&amp;B86)+1),""))</f>
        <v>45004</v>
      </c>
      <c r="C87" s="74" t="n">
        <f aca="false">IF(B87="","",INDEX($AI$10:$AI$409,MATCH(B87,$AH$10:$AH$409,0)))</f>
        <v>30.51</v>
      </c>
      <c r="D87" s="74" t="n">
        <f aca="false">IF(B87="","",IFERROR(INDEX($AK$10:$AK$409,MATCH(B87,$AJ$10:$AJ$409,0)),""))</f>
        <v>52771.12</v>
      </c>
      <c r="E87" s="76" t="n">
        <f aca="false">IF(AND(ISNUMBER(C87),ISNUMBER(C86)),C87/C86-1,"")</f>
        <v>0</v>
      </c>
      <c r="F87" s="76" t="n">
        <f aca="false">IF(AND(ISNUMBER(D87),ISNUMBER(D86)),D87/D86-1,"")</f>
        <v>0.0162831019221537</v>
      </c>
      <c r="G87" s="75" t="n">
        <f aca="false">IF(AND(ISNUMBER(E87),ISNUMBER(F87)),1,"")</f>
        <v>1</v>
      </c>
      <c r="H87" s="75" t="n">
        <f aca="false">IF(G87=1,COUNT(G87:G$412),"")</f>
        <v>185</v>
      </c>
      <c r="I87" s="75" t="n">
        <f aca="false">IF(G87=1,IF(H87&lt;='Beta Regresión'!$B$5,1,""),"")</f>
        <v>1</v>
      </c>
      <c r="J87" s="76" t="n">
        <f aca="false">IF(I87=1,E87,"")</f>
        <v>0</v>
      </c>
      <c r="K87" s="76" t="n">
        <f aca="false">IF(I87=1,F87,"")</f>
        <v>0.0162831019221537</v>
      </c>
      <c r="L87" s="75" t="n">
        <f aca="false">IF(I87=1,COUNT(I$13:I87),"")</f>
        <v>74</v>
      </c>
      <c r="M87" s="76" t="n">
        <f aca="false">IFERROR(INDEX($J$13:$J$412,MATCH(A87,$L$13:$L$412,0)),"")</f>
        <v>0.0150770239265814</v>
      </c>
      <c r="N87" s="76" t="n">
        <f aca="false">IFERROR(INDEX($K$13:$K$412,MATCH(A87,$L$13:$L$412,0)),"")</f>
        <v>0.0214678028436766</v>
      </c>
      <c r="O87" s="76" t="n">
        <f aca="false">IF(I87=1,E87,NA())</f>
        <v>0</v>
      </c>
      <c r="P87" s="76" t="n">
        <f aca="false">IF(I87=1,F87,NA())</f>
        <v>0.0162831019221537</v>
      </c>
      <c r="R87" s="75" t="n">
        <f aca="false">ROWS(R$13:R87)</f>
        <v>75</v>
      </c>
      <c r="S87" s="73" t="str">
        <f aca="false">IF(S86="","",IFERROR(SMALL($AD$10:$AD$509,COUNTIF($AD$10:$AD$509,"&lt;="&amp;S86)+1),""))</f>
        <v/>
      </c>
      <c r="T87" s="74" t="str">
        <f aca="false">IF(S87="","",INDEX($AE$10:$AE$509,MATCH(S87,$AD$10:$AD$509,0)))</f>
        <v/>
      </c>
      <c r="U87" s="74" t="str">
        <f aca="false">IF(S87="","",IFERROR(INDEX($AG$10:$AG$509,MATCH(S87,$AF$10:$AF$509,0)),""))</f>
        <v/>
      </c>
      <c r="V87" s="76" t="str">
        <f aca="false">IF(AND(ISNUMBER(T87),ISNUMBER(T86)),T87/T86-1,"")</f>
        <v/>
      </c>
      <c r="W87" s="76" t="str">
        <f aca="false">IF(AND(ISNUMBER(U87),ISNUMBER(U86)),U87/U86-1,"")</f>
        <v/>
      </c>
      <c r="X87" s="75" t="str">
        <f aca="false">IF(AND(ISNUMBER(V87),ISNUMBER(W87)),1,"")</f>
        <v/>
      </c>
      <c r="Y87" s="76" t="str">
        <f aca="false">IF(X87=1,V87,"")</f>
        <v/>
      </c>
      <c r="Z87" s="76" t="str">
        <f aca="false">IF(X87=1,W87,"")</f>
        <v/>
      </c>
      <c r="AA87" s="76" t="e">
        <f aca="false">IF(X87=1,V87,NA())</f>
        <v>#N/A</v>
      </c>
      <c r="AB87" s="76" t="e">
        <f aca="false">IF(X87=1,W87,NA())</f>
        <v>#N/A</v>
      </c>
      <c r="AD87" s="73" t="str">
        <f aca="false">IF(ISNUMBER(AE87),IF(ISNUMBER('Base de Datos'!A83),IF('Base de Datos'!A83&gt;20000,DATE(YEAR('Base de Datos'!A83),DAY('Base de Datos'!A83),MONTH('Base de Datos'!A83)),""),IF(TRIM('Base de Datos'!A83)="","",IFERROR(DATE(VALUE(RIGHT(TRIM('Base de Datos'!A83),4)),VALUE(LEFT(TRIM('Base de Datos'!A83),2)),VALUE(MID(TRIM('Base de Datos'!A83),4,2))),""))),"")</f>
        <v/>
      </c>
      <c r="AE87" s="74" t="str">
        <f aca="false">IF(ISNUMBER('Base de Datos'!B83),'Base de Datos'!B83,IF(TRIM('Base de Datos'!B83)="","",IFERROR(IF(IFERROR(FIND("@",SUBSTITUTE(TRIM('Base de Datos'!B83),",","@",LEN(TRIM('Base de Datos'!B83))-LEN(SUBSTITUTE(TRIM('Base de Datos'!B83),",","")))),0)&gt;IFERROR(FIND("@",SUBSTITUTE(TRIM('Base de Datos'!B83),".","@",LEN(TRIM('Base de Datos'!B83))-LEN(SUBSTITUTE(TRIM('Base de Datos'!B83),".","")))),0),_xlfn.NUMBERVALUE(SUBSTITUTE(SUBSTITUTE(TRIM('Base de Datos'!B83),".",""),",","."),".",","),_xlfn.NUMBERVALUE(SUBSTITUTE(TRIM('Base de Datos'!B83),",",""),".",",")),"")))</f>
        <v/>
      </c>
      <c r="AF87" s="73" t="str">
        <f aca="false">IF(ISNUMBER(AG87),IF(ISNUMBER('Base de Datos'!I83),IF('Base de Datos'!I83&gt;20000,INT('Base de Datos'!I83),""),IF(TRIM('Base de Datos'!I83)="","",IFERROR(DATE(VALUE(RIGHT(TRIM('Base de Datos'!I83),4)),VALUE(MID(TRIM('Base de Datos'!I83),4,2)),VALUE(LEFT(TRIM('Base de Datos'!I83),2))),IFERROR(DATEVALUE(TRIM('Base de Datos'!I83)),"")))),"")</f>
        <v/>
      </c>
      <c r="AG87" s="74" t="str">
        <f aca="false">IF(ISNUMBER('Base de Datos'!J83),'Base de Datos'!J83,IF(TRIM('Base de Datos'!J83)="","",IFERROR(IF(IFERROR(FIND("@",SUBSTITUTE(TRIM('Base de Datos'!J83),",","@",LEN(TRIM('Base de Datos'!J83))-LEN(SUBSTITUTE(TRIM('Base de Datos'!J83),",","")))),0)&gt;IFERROR(FIND("@",SUBSTITUTE(TRIM('Base de Datos'!J83),".","@",LEN(TRIM('Base de Datos'!J83))-LEN(SUBSTITUTE(TRIM('Base de Datos'!J83),".","")))),0),_xlfn.NUMBERVALUE(SUBSTITUTE(SUBSTITUTE(TRIM('Base de Datos'!J83),".",""),",","."),".",","),_xlfn.NUMBERVALUE(SUBSTITUTE(TRIM('Base de Datos'!J83),",",""),".",",")),"")))</f>
        <v/>
      </c>
      <c r="AH87" s="73" t="n">
        <f aca="false">IF(ISNUMBER(AI87),IF(ISNUMBER('Base de Datos'!Q83),IF('Base de Datos'!Q83&gt;20000,DATE(YEAR('Base de Datos'!Q83),DAY('Base de Datos'!Q83),MONTH('Base de Datos'!Q83)),""),IF(TRIM('Base de Datos'!Q83)="","",IFERROR(DATE(VALUE(RIGHT(TRIM('Base de Datos'!Q83),4)),VALUE(LEFT(TRIM('Base de Datos'!Q83),2)),VALUE(MID(TRIM('Base de Datos'!Q83),4,2))),""))),"")</f>
        <v>45025</v>
      </c>
      <c r="AI87" s="74" t="n">
        <f aca="false">IF(ISNUMBER('Base de Datos'!R83),'Base de Datos'!R83,IF(TRIM('Base de Datos'!R83)="","",IFERROR(IF(IFERROR(FIND("@",SUBSTITUTE(TRIM('Base de Datos'!R83),",","@",LEN(TRIM('Base de Datos'!R83))-LEN(SUBSTITUTE(TRIM('Base de Datos'!R83),",","")))),0)&gt;IFERROR(FIND("@",SUBSTITUTE(TRIM('Base de Datos'!R83),".","@",LEN(TRIM('Base de Datos'!R83))-LEN(SUBSTITUTE(TRIM('Base de Datos'!R83),".","")))),0),_xlfn.NUMBERVALUE(SUBSTITUTE(SUBSTITUTE(TRIM('Base de Datos'!R83),".",""),",","."),".",","),_xlfn.NUMBERVALUE(SUBSTITUTE(TRIM('Base de Datos'!R83),",",""),".",",")),"")))</f>
        <v>31</v>
      </c>
      <c r="AJ87" s="73" t="n">
        <f aca="false">IF(ISNUMBER(AK87),IF(ISNUMBER('Base de Datos'!Y83),IF('Base de Datos'!Y83&gt;20000,INT('Base de Datos'!Y83),""),IF(TRIM('Base de Datos'!Y83)="","",IFERROR(DATE(VALUE(RIGHT(TRIM('Base de Datos'!Y83),4)),VALUE(MID(TRIM('Base de Datos'!Y83),4,2)),VALUE(LEFT(TRIM('Base de Datos'!Y83),2))),IFERROR(DATEVALUE(TRIM('Base de Datos'!Y83)),"")))),"")</f>
        <v>45025</v>
      </c>
      <c r="AK87" s="74" t="n">
        <f aca="false">IF(ISNUMBER('Base de Datos'!Z83),'Base de Datos'!Z83,IF(TRIM('Base de Datos'!Z83)="","",IFERROR(IF(IFERROR(FIND("@",SUBSTITUTE(TRIM('Base de Datos'!Z83),",","@",LEN(TRIM('Base de Datos'!Z83))-LEN(SUBSTITUTE(TRIM('Base de Datos'!Z83),",","")))),0)&gt;IFERROR(FIND("@",SUBSTITUTE(TRIM('Base de Datos'!Z83),".","@",LEN(TRIM('Base de Datos'!Z83))-LEN(SUBSTITUTE(TRIM('Base de Datos'!Z83),".","")))),0),_xlfn.NUMBERVALUE(SUBSTITUTE(SUBSTITUTE(TRIM('Base de Datos'!Z83),".",""),",","."),".",","),_xlfn.NUMBERVALUE(SUBSTITUTE(TRIM('Base de Datos'!Z83),",",""),".",",")),"")))</f>
        <v>54460.06</v>
      </c>
    </row>
    <row r="88" customFormat="false" ht="13.5" hidden="false" customHeight="false" outlineLevel="0" collapsed="false">
      <c r="A88" s="75" t="n">
        <f aca="false">ROWS(A$13:A88)</f>
        <v>76</v>
      </c>
      <c r="B88" s="73" t="n">
        <f aca="false">IF(B87="","",IFERROR(SMALL($AH$10:$AH$409,COUNTIF($AH$10:$AH$409,"&lt;="&amp;B87)+1),""))</f>
        <v>45011</v>
      </c>
      <c r="C88" s="74" t="n">
        <f aca="false">IF(B88="","",INDEX($AI$10:$AI$409,MATCH(B88,$AH$10:$AH$409,0)))</f>
        <v>30.97</v>
      </c>
      <c r="D88" s="74" t="n">
        <f aca="false">IF(B88="","",IFERROR(INDEX($AK$10:$AK$409,MATCH(B88,$AJ$10:$AJ$409,0)),""))</f>
        <v>53904</v>
      </c>
      <c r="E88" s="76" t="n">
        <f aca="false">IF(AND(ISNUMBER(C88),ISNUMBER(C87)),C88/C87-1,"")</f>
        <v>0.0150770239265814</v>
      </c>
      <c r="F88" s="76" t="n">
        <f aca="false">IF(AND(ISNUMBER(D88),ISNUMBER(D87)),D88/D87-1,"")</f>
        <v>0.0214678028436766</v>
      </c>
      <c r="G88" s="75" t="n">
        <f aca="false">IF(AND(ISNUMBER(E88),ISNUMBER(F88)),1,"")</f>
        <v>1</v>
      </c>
      <c r="H88" s="75" t="n">
        <f aca="false">IF(G88=1,COUNT(G88:G$412),"")</f>
        <v>184</v>
      </c>
      <c r="I88" s="75" t="n">
        <f aca="false">IF(G88=1,IF(H88&lt;='Beta Regresión'!$B$5,1,""),"")</f>
        <v>1</v>
      </c>
      <c r="J88" s="76" t="n">
        <f aca="false">IF(I88=1,E88,"")</f>
        <v>0.0150770239265814</v>
      </c>
      <c r="K88" s="76" t="n">
        <f aca="false">IF(I88=1,F88,"")</f>
        <v>0.0214678028436766</v>
      </c>
      <c r="L88" s="75" t="n">
        <f aca="false">IF(I88=1,COUNT(I$13:I88),"")</f>
        <v>75</v>
      </c>
      <c r="M88" s="76" t="n">
        <f aca="false">IFERROR(INDEX($J$13:$J$412,MATCH(A88,$L$13:$L$412,0)),"")</f>
        <v>-0.0119470455279301</v>
      </c>
      <c r="N88" s="76" t="n">
        <f aca="false">IFERROR(INDEX($K$13:$K$412,MATCH(A88,$L$13:$L$412,0)),"")</f>
        <v>-0.0075246734936183</v>
      </c>
      <c r="O88" s="76" t="n">
        <f aca="false">IF(I88=1,E88,NA())</f>
        <v>0.0150770239265814</v>
      </c>
      <c r="P88" s="76" t="n">
        <f aca="false">IF(I88=1,F88,NA())</f>
        <v>0.0214678028436766</v>
      </c>
      <c r="R88" s="75" t="n">
        <f aca="false">ROWS(R$13:R88)</f>
        <v>76</v>
      </c>
      <c r="S88" s="73" t="str">
        <f aca="false">IF(S87="","",IFERROR(SMALL($AD$10:$AD$509,COUNTIF($AD$10:$AD$509,"&lt;="&amp;S87)+1),""))</f>
        <v/>
      </c>
      <c r="T88" s="74" t="str">
        <f aca="false">IF(S88="","",INDEX($AE$10:$AE$509,MATCH(S88,$AD$10:$AD$509,0)))</f>
        <v/>
      </c>
      <c r="U88" s="74" t="str">
        <f aca="false">IF(S88="","",IFERROR(INDEX($AG$10:$AG$509,MATCH(S88,$AF$10:$AF$509,0)),""))</f>
        <v/>
      </c>
      <c r="V88" s="76" t="str">
        <f aca="false">IF(AND(ISNUMBER(T88),ISNUMBER(T87)),T88/T87-1,"")</f>
        <v/>
      </c>
      <c r="W88" s="76" t="str">
        <f aca="false">IF(AND(ISNUMBER(U88),ISNUMBER(U87)),U88/U87-1,"")</f>
        <v/>
      </c>
      <c r="X88" s="75" t="str">
        <f aca="false">IF(AND(ISNUMBER(V88),ISNUMBER(W88)),1,"")</f>
        <v/>
      </c>
      <c r="Y88" s="76" t="str">
        <f aca="false">IF(X88=1,V88,"")</f>
        <v/>
      </c>
      <c r="Z88" s="76" t="str">
        <f aca="false">IF(X88=1,W88,"")</f>
        <v/>
      </c>
      <c r="AA88" s="76" t="e">
        <f aca="false">IF(X88=1,V88,NA())</f>
        <v>#N/A</v>
      </c>
      <c r="AB88" s="76" t="e">
        <f aca="false">IF(X88=1,W88,NA())</f>
        <v>#N/A</v>
      </c>
      <c r="AD88" s="73" t="str">
        <f aca="false">IF(ISNUMBER(AE88),IF(ISNUMBER('Base de Datos'!A84),IF('Base de Datos'!A84&gt;20000,DATE(YEAR('Base de Datos'!A84),DAY('Base de Datos'!A84),MONTH('Base de Datos'!A84)),""),IF(TRIM('Base de Datos'!A84)="","",IFERROR(DATE(VALUE(RIGHT(TRIM('Base de Datos'!A84),4)),VALUE(LEFT(TRIM('Base de Datos'!A84),2)),VALUE(MID(TRIM('Base de Datos'!A84),4,2))),""))),"")</f>
        <v/>
      </c>
      <c r="AE88" s="74" t="str">
        <f aca="false">IF(ISNUMBER('Base de Datos'!B84),'Base de Datos'!B84,IF(TRIM('Base de Datos'!B84)="","",IFERROR(IF(IFERROR(FIND("@",SUBSTITUTE(TRIM('Base de Datos'!B84),",","@",LEN(TRIM('Base de Datos'!B84))-LEN(SUBSTITUTE(TRIM('Base de Datos'!B84),",","")))),0)&gt;IFERROR(FIND("@",SUBSTITUTE(TRIM('Base de Datos'!B84),".","@",LEN(TRIM('Base de Datos'!B84))-LEN(SUBSTITUTE(TRIM('Base de Datos'!B84),".","")))),0),_xlfn.NUMBERVALUE(SUBSTITUTE(SUBSTITUTE(TRIM('Base de Datos'!B84),".",""),",","."),".",","),_xlfn.NUMBERVALUE(SUBSTITUTE(TRIM('Base de Datos'!B84),",",""),".",",")),"")))</f>
        <v/>
      </c>
      <c r="AF88" s="73" t="str">
        <f aca="false">IF(ISNUMBER(AG88),IF(ISNUMBER('Base de Datos'!I84),IF('Base de Datos'!I84&gt;20000,INT('Base de Datos'!I84),""),IF(TRIM('Base de Datos'!I84)="","",IFERROR(DATE(VALUE(RIGHT(TRIM('Base de Datos'!I84),4)),VALUE(MID(TRIM('Base de Datos'!I84),4,2)),VALUE(LEFT(TRIM('Base de Datos'!I84),2))),IFERROR(DATEVALUE(TRIM('Base de Datos'!I84)),"")))),"")</f>
        <v/>
      </c>
      <c r="AG88" s="74" t="str">
        <f aca="false">IF(ISNUMBER('Base de Datos'!J84),'Base de Datos'!J84,IF(TRIM('Base de Datos'!J84)="","",IFERROR(IF(IFERROR(FIND("@",SUBSTITUTE(TRIM('Base de Datos'!J84),",","@",LEN(TRIM('Base de Datos'!J84))-LEN(SUBSTITUTE(TRIM('Base de Datos'!J84),",","")))),0)&gt;IFERROR(FIND("@",SUBSTITUTE(TRIM('Base de Datos'!J84),".","@",LEN(TRIM('Base de Datos'!J84))-LEN(SUBSTITUTE(TRIM('Base de Datos'!J84),".","")))),0),_xlfn.NUMBERVALUE(SUBSTITUTE(SUBSTITUTE(TRIM('Base de Datos'!J84),".",""),",","."),".",","),_xlfn.NUMBERVALUE(SUBSTITUTE(TRIM('Base de Datos'!J84),",",""),".",",")),"")))</f>
        <v/>
      </c>
      <c r="AH88" s="73" t="n">
        <f aca="false">IF(ISNUMBER(AI88),IF(ISNUMBER('Base de Datos'!Q84),IF('Base de Datos'!Q84&gt;20000,DATE(YEAR('Base de Datos'!Q84),DAY('Base de Datos'!Q84),MONTH('Base de Datos'!Q84)),""),IF(TRIM('Base de Datos'!Q84)="","",IFERROR(DATE(VALUE(RIGHT(TRIM('Base de Datos'!Q84),4)),VALUE(LEFT(TRIM('Base de Datos'!Q84),2)),VALUE(MID(TRIM('Base de Datos'!Q84),4,2))),""))),"")</f>
        <v>45032</v>
      </c>
      <c r="AI88" s="74" t="n">
        <f aca="false">IF(ISNUMBER('Base de Datos'!R84),'Base de Datos'!R84,IF(TRIM('Base de Datos'!R84)="","",IFERROR(IF(IFERROR(FIND("@",SUBSTITUTE(TRIM('Base de Datos'!R84),",","@",LEN(TRIM('Base de Datos'!R84))-LEN(SUBSTITUTE(TRIM('Base de Datos'!R84),",","")))),0)&gt;IFERROR(FIND("@",SUBSTITUTE(TRIM('Base de Datos'!R84),".","@",LEN(TRIM('Base de Datos'!R84))-LEN(SUBSTITUTE(TRIM('Base de Datos'!R84),".","")))),0),_xlfn.NUMBERVALUE(SUBSTITUTE(SUBSTITUTE(TRIM('Base de Datos'!R84),".",""),",","."),".",","),_xlfn.NUMBERVALUE(SUBSTITUTE(TRIM('Base de Datos'!R84),",",""),".",",")),"")))</f>
        <v>30.94</v>
      </c>
      <c r="AJ88" s="73" t="n">
        <f aca="false">IF(ISNUMBER(AK88),IF(ISNUMBER('Base de Datos'!Y84),IF('Base de Datos'!Y84&gt;20000,INT('Base de Datos'!Y84),""),IF(TRIM('Base de Datos'!Y84)="","",IFERROR(DATE(VALUE(RIGHT(TRIM('Base de Datos'!Y84),4)),VALUE(MID(TRIM('Base de Datos'!Y84),4,2)),VALUE(LEFT(TRIM('Base de Datos'!Y84),2))),IFERROR(DATEVALUE(TRIM('Base de Datos'!Y84)),"")))),"")</f>
        <v>45032</v>
      </c>
      <c r="AK88" s="74" t="n">
        <f aca="false">IF(ISNUMBER('Base de Datos'!Z84),'Base de Datos'!Z84,IF(TRIM('Base de Datos'!Z84)="","",IFERROR(IF(IFERROR(FIND("@",SUBSTITUTE(TRIM('Base de Datos'!Z84),",","@",LEN(TRIM('Base de Datos'!Z84))-LEN(SUBSTITUTE(TRIM('Base de Datos'!Z84),",","")))),0)&gt;IFERROR(FIND("@",SUBSTITUTE(TRIM('Base de Datos'!Z84),".","@",LEN(TRIM('Base de Datos'!Z84))-LEN(SUBSTITUTE(TRIM('Base de Datos'!Z84),".","")))),0),_xlfn.NUMBERVALUE(SUBSTITUTE(SUBSTITUTE(TRIM('Base de Datos'!Z84),".",""),",","."),".",","),_xlfn.NUMBERVALUE(SUBSTITUTE(TRIM('Base de Datos'!Z84),",",""),".",",")),"")))</f>
        <v>54175.28</v>
      </c>
    </row>
    <row r="89" customFormat="false" ht="13.5" hidden="false" customHeight="false" outlineLevel="0" collapsed="false">
      <c r="A89" s="75" t="n">
        <f aca="false">ROWS(A$13:A89)</f>
        <v>77</v>
      </c>
      <c r="B89" s="73" t="n">
        <f aca="false">IF(B88="","",IFERROR(SMALL($AH$10:$AH$409,COUNTIF($AH$10:$AH$409,"&lt;="&amp;B88)+1),""))</f>
        <v>45018</v>
      </c>
      <c r="C89" s="74" t="n">
        <f aca="false">IF(B89="","",INDEX($AI$10:$AI$409,MATCH(B89,$AH$10:$AH$409,0)))</f>
        <v>30.6</v>
      </c>
      <c r="D89" s="74" t="n">
        <f aca="false">IF(B89="","",IFERROR(INDEX($AK$10:$AK$409,MATCH(B89,$AJ$10:$AJ$409,0)),""))</f>
        <v>53498.39</v>
      </c>
      <c r="E89" s="76" t="n">
        <f aca="false">IF(AND(ISNUMBER(C89),ISNUMBER(C88)),C89/C88-1,"")</f>
        <v>-0.0119470455279301</v>
      </c>
      <c r="F89" s="76" t="n">
        <f aca="false">IF(AND(ISNUMBER(D89),ISNUMBER(D88)),D89/D88-1,"")</f>
        <v>-0.0075246734936183</v>
      </c>
      <c r="G89" s="75" t="n">
        <f aca="false">IF(AND(ISNUMBER(E89),ISNUMBER(F89)),1,"")</f>
        <v>1</v>
      </c>
      <c r="H89" s="75" t="n">
        <f aca="false">IF(G89=1,COUNT(G89:G$412),"")</f>
        <v>183</v>
      </c>
      <c r="I89" s="75" t="n">
        <f aca="false">IF(G89=1,IF(H89&lt;='Beta Regresión'!$B$5,1,""),"")</f>
        <v>1</v>
      </c>
      <c r="J89" s="76" t="n">
        <f aca="false">IF(I89=1,E89,"")</f>
        <v>-0.0119470455279301</v>
      </c>
      <c r="K89" s="76" t="n">
        <f aca="false">IF(I89=1,F89,"")</f>
        <v>-0.0075246734936183</v>
      </c>
      <c r="L89" s="75" t="n">
        <f aca="false">IF(I89=1,COUNT(I$13:I89),"")</f>
        <v>76</v>
      </c>
      <c r="M89" s="76" t="n">
        <f aca="false">IFERROR(INDEX($J$13:$J$412,MATCH(A89,$L$13:$L$412,0)),"")</f>
        <v>0.0130718954248366</v>
      </c>
      <c r="N89" s="76" t="n">
        <f aca="false">IFERROR(INDEX($K$13:$K$412,MATCH(A89,$L$13:$L$412,0)),"")</f>
        <v>0.0179756811373202</v>
      </c>
      <c r="O89" s="76" t="n">
        <f aca="false">IF(I89=1,E89,NA())</f>
        <v>-0.0119470455279301</v>
      </c>
      <c r="P89" s="76" t="n">
        <f aca="false">IF(I89=1,F89,NA())</f>
        <v>-0.0075246734936183</v>
      </c>
      <c r="R89" s="75" t="n">
        <f aca="false">ROWS(R$13:R89)</f>
        <v>77</v>
      </c>
      <c r="S89" s="73" t="str">
        <f aca="false">IF(S88="","",IFERROR(SMALL($AD$10:$AD$509,COUNTIF($AD$10:$AD$509,"&lt;="&amp;S88)+1),""))</f>
        <v/>
      </c>
      <c r="T89" s="74" t="str">
        <f aca="false">IF(S89="","",INDEX($AE$10:$AE$509,MATCH(S89,$AD$10:$AD$509,0)))</f>
        <v/>
      </c>
      <c r="U89" s="74" t="str">
        <f aca="false">IF(S89="","",IFERROR(INDEX($AG$10:$AG$509,MATCH(S89,$AF$10:$AF$509,0)),""))</f>
        <v/>
      </c>
      <c r="V89" s="76" t="str">
        <f aca="false">IF(AND(ISNUMBER(T89),ISNUMBER(T88)),T89/T88-1,"")</f>
        <v/>
      </c>
      <c r="W89" s="76" t="str">
        <f aca="false">IF(AND(ISNUMBER(U89),ISNUMBER(U88)),U89/U88-1,"")</f>
        <v/>
      </c>
      <c r="X89" s="75" t="str">
        <f aca="false">IF(AND(ISNUMBER(V89),ISNUMBER(W89)),1,"")</f>
        <v/>
      </c>
      <c r="Y89" s="76" t="str">
        <f aca="false">IF(X89=1,V89,"")</f>
        <v/>
      </c>
      <c r="Z89" s="76" t="str">
        <f aca="false">IF(X89=1,W89,"")</f>
        <v/>
      </c>
      <c r="AA89" s="76" t="e">
        <f aca="false">IF(X89=1,V89,NA())</f>
        <v>#N/A</v>
      </c>
      <c r="AB89" s="76" t="e">
        <f aca="false">IF(X89=1,W89,NA())</f>
        <v>#N/A</v>
      </c>
      <c r="AD89" s="73" t="str">
        <f aca="false">IF(ISNUMBER(AE89),IF(ISNUMBER('Base de Datos'!A85),IF('Base de Datos'!A85&gt;20000,DATE(YEAR('Base de Datos'!A85),DAY('Base de Datos'!A85),MONTH('Base de Datos'!A85)),""),IF(TRIM('Base de Datos'!A85)="","",IFERROR(DATE(VALUE(RIGHT(TRIM('Base de Datos'!A85),4)),VALUE(LEFT(TRIM('Base de Datos'!A85),2)),VALUE(MID(TRIM('Base de Datos'!A85),4,2))),""))),"")</f>
        <v/>
      </c>
      <c r="AE89" s="74" t="str">
        <f aca="false">IF(ISNUMBER('Base de Datos'!B85),'Base de Datos'!B85,IF(TRIM('Base de Datos'!B85)="","",IFERROR(IF(IFERROR(FIND("@",SUBSTITUTE(TRIM('Base de Datos'!B85),",","@",LEN(TRIM('Base de Datos'!B85))-LEN(SUBSTITUTE(TRIM('Base de Datos'!B85),",","")))),0)&gt;IFERROR(FIND("@",SUBSTITUTE(TRIM('Base de Datos'!B85),".","@",LEN(TRIM('Base de Datos'!B85))-LEN(SUBSTITUTE(TRIM('Base de Datos'!B85),".","")))),0),_xlfn.NUMBERVALUE(SUBSTITUTE(SUBSTITUTE(TRIM('Base de Datos'!B85),".",""),",","."),".",","),_xlfn.NUMBERVALUE(SUBSTITUTE(TRIM('Base de Datos'!B85),",",""),".",",")),"")))</f>
        <v/>
      </c>
      <c r="AF89" s="73" t="str">
        <f aca="false">IF(ISNUMBER(AG89),IF(ISNUMBER('Base de Datos'!I85),IF('Base de Datos'!I85&gt;20000,INT('Base de Datos'!I85),""),IF(TRIM('Base de Datos'!I85)="","",IFERROR(DATE(VALUE(RIGHT(TRIM('Base de Datos'!I85),4)),VALUE(MID(TRIM('Base de Datos'!I85),4,2)),VALUE(LEFT(TRIM('Base de Datos'!I85),2))),IFERROR(DATEVALUE(TRIM('Base de Datos'!I85)),"")))),"")</f>
        <v/>
      </c>
      <c r="AG89" s="74" t="str">
        <f aca="false">IF(ISNUMBER('Base de Datos'!J85),'Base de Datos'!J85,IF(TRIM('Base de Datos'!J85)="","",IFERROR(IF(IFERROR(FIND("@",SUBSTITUTE(TRIM('Base de Datos'!J85),",","@",LEN(TRIM('Base de Datos'!J85))-LEN(SUBSTITUTE(TRIM('Base de Datos'!J85),",","")))),0)&gt;IFERROR(FIND("@",SUBSTITUTE(TRIM('Base de Datos'!J85),".","@",LEN(TRIM('Base de Datos'!J85))-LEN(SUBSTITUTE(TRIM('Base de Datos'!J85),".","")))),0),_xlfn.NUMBERVALUE(SUBSTITUTE(SUBSTITUTE(TRIM('Base de Datos'!J85),".",""),",","."),".",","),_xlfn.NUMBERVALUE(SUBSTITUTE(TRIM('Base de Datos'!J85),",",""),".",",")),"")))</f>
        <v/>
      </c>
      <c r="AH89" s="73" t="n">
        <f aca="false">IF(ISNUMBER(AI89),IF(ISNUMBER('Base de Datos'!Q85),IF('Base de Datos'!Q85&gt;20000,DATE(YEAR('Base de Datos'!Q85),DAY('Base de Datos'!Q85),MONTH('Base de Datos'!Q85)),""),IF(TRIM('Base de Datos'!Q85)="","",IFERROR(DATE(VALUE(RIGHT(TRIM('Base de Datos'!Q85),4)),VALUE(LEFT(TRIM('Base de Datos'!Q85),2)),VALUE(MID(TRIM('Base de Datos'!Q85),4,2))),""))),"")</f>
        <v>45039</v>
      </c>
      <c r="AI89" s="74" t="n">
        <f aca="false">IF(ISNUMBER('Base de Datos'!R85),'Base de Datos'!R85,IF(TRIM('Base de Datos'!R85)="","",IFERROR(IF(IFERROR(FIND("@",SUBSTITUTE(TRIM('Base de Datos'!R85),",","@",LEN(TRIM('Base de Datos'!R85))-LEN(SUBSTITUTE(TRIM('Base de Datos'!R85),",","")))),0)&gt;IFERROR(FIND("@",SUBSTITUTE(TRIM('Base de Datos'!R85),".","@",LEN(TRIM('Base de Datos'!R85))-LEN(SUBSTITUTE(TRIM('Base de Datos'!R85),".","")))),0),_xlfn.NUMBERVALUE(SUBSTITUTE(SUBSTITUTE(TRIM('Base de Datos'!R85),".",""),",","."),".",","),_xlfn.NUMBERVALUE(SUBSTITUTE(TRIM('Base de Datos'!R85),",",""),".",",")),"")))</f>
        <v>31.13</v>
      </c>
      <c r="AJ89" s="73" t="n">
        <f aca="false">IF(ISNUMBER(AK89),IF(ISNUMBER('Base de Datos'!Y85),IF('Base de Datos'!Y85&gt;20000,INT('Base de Datos'!Y85),""),IF(TRIM('Base de Datos'!Y85)="","",IFERROR(DATE(VALUE(RIGHT(TRIM('Base de Datos'!Y85),4)),VALUE(MID(TRIM('Base de Datos'!Y85),4,2)),VALUE(LEFT(TRIM('Base de Datos'!Y85),2))),IFERROR(DATEVALUE(TRIM('Base de Datos'!Y85)),"")))),"")</f>
        <v>45039</v>
      </c>
      <c r="AK89" s="74" t="n">
        <f aca="false">IF(ISNUMBER('Base de Datos'!Z85),'Base de Datos'!Z85,IF(TRIM('Base de Datos'!Z85)="","",IFERROR(IF(IFERROR(FIND("@",SUBSTITUTE(TRIM('Base de Datos'!Z85),",","@",LEN(TRIM('Base de Datos'!Z85))-LEN(SUBSTITUTE(TRIM('Base de Datos'!Z85),",","")))),0)&gt;IFERROR(FIND("@",SUBSTITUTE(TRIM('Base de Datos'!Z85),".","@",LEN(TRIM('Base de Datos'!Z85))-LEN(SUBSTITUTE(TRIM('Base de Datos'!Z85),".","")))),0),_xlfn.NUMBERVALUE(SUBSTITUTE(SUBSTITUTE(TRIM('Base de Datos'!Z85),".",""),",","."),".",","),_xlfn.NUMBERVALUE(SUBSTITUTE(TRIM('Base de Datos'!Z85),",",""),".",",")),"")))</f>
        <v>55121.22</v>
      </c>
    </row>
    <row r="90" customFormat="false" ht="13.5" hidden="false" customHeight="false" outlineLevel="0" collapsed="false">
      <c r="A90" s="75" t="n">
        <f aca="false">ROWS(A$13:A90)</f>
        <v>78</v>
      </c>
      <c r="B90" s="73" t="n">
        <f aca="false">IF(B89="","",IFERROR(SMALL($AH$10:$AH$409,COUNTIF($AH$10:$AH$409,"&lt;="&amp;B89)+1),""))</f>
        <v>45025</v>
      </c>
      <c r="C90" s="74" t="n">
        <f aca="false">IF(B90="","",INDEX($AI$10:$AI$409,MATCH(B90,$AH$10:$AH$409,0)))</f>
        <v>31</v>
      </c>
      <c r="D90" s="74" t="n">
        <f aca="false">IF(B90="","",IFERROR(INDEX($AK$10:$AK$409,MATCH(B90,$AJ$10:$AJ$409,0)),""))</f>
        <v>54460.06</v>
      </c>
      <c r="E90" s="76" t="n">
        <f aca="false">IF(AND(ISNUMBER(C90),ISNUMBER(C89)),C90/C89-1,"")</f>
        <v>0.0130718954248366</v>
      </c>
      <c r="F90" s="76" t="n">
        <f aca="false">IF(AND(ISNUMBER(D90),ISNUMBER(D89)),D90/D89-1,"")</f>
        <v>0.0179756811373202</v>
      </c>
      <c r="G90" s="75" t="n">
        <f aca="false">IF(AND(ISNUMBER(E90),ISNUMBER(F90)),1,"")</f>
        <v>1</v>
      </c>
      <c r="H90" s="75" t="n">
        <f aca="false">IF(G90=1,COUNT(G90:G$412),"")</f>
        <v>182</v>
      </c>
      <c r="I90" s="75" t="n">
        <f aca="false">IF(G90=1,IF(H90&lt;='Beta Regresión'!$B$5,1,""),"")</f>
        <v>1</v>
      </c>
      <c r="J90" s="76" t="n">
        <f aca="false">IF(I90=1,E90,"")</f>
        <v>0.0130718954248366</v>
      </c>
      <c r="K90" s="76" t="n">
        <f aca="false">IF(I90=1,F90,"")</f>
        <v>0.0179756811373202</v>
      </c>
      <c r="L90" s="75" t="n">
        <f aca="false">IF(I90=1,COUNT(I$13:I90),"")</f>
        <v>77</v>
      </c>
      <c r="M90" s="76" t="n">
        <f aca="false">IFERROR(INDEX($J$13:$J$412,MATCH(A90,$L$13:$L$412,0)),"")</f>
        <v>-0.00193548387096765</v>
      </c>
      <c r="N90" s="76" t="n">
        <f aca="false">IFERROR(INDEX($K$13:$K$412,MATCH(A90,$L$13:$L$412,0)),"")</f>
        <v>-0.00522915325469708</v>
      </c>
      <c r="O90" s="76" t="n">
        <f aca="false">IF(I90=1,E90,NA())</f>
        <v>0.0130718954248366</v>
      </c>
      <c r="P90" s="76" t="n">
        <f aca="false">IF(I90=1,F90,NA())</f>
        <v>0.0179756811373202</v>
      </c>
      <c r="R90" s="75" t="n">
        <f aca="false">ROWS(R$13:R90)</f>
        <v>78</v>
      </c>
      <c r="S90" s="73" t="str">
        <f aca="false">IF(S89="","",IFERROR(SMALL($AD$10:$AD$509,COUNTIF($AD$10:$AD$509,"&lt;="&amp;S89)+1),""))</f>
        <v/>
      </c>
      <c r="T90" s="74" t="str">
        <f aca="false">IF(S90="","",INDEX($AE$10:$AE$509,MATCH(S90,$AD$10:$AD$509,0)))</f>
        <v/>
      </c>
      <c r="U90" s="74" t="str">
        <f aca="false">IF(S90="","",IFERROR(INDEX($AG$10:$AG$509,MATCH(S90,$AF$10:$AF$509,0)),""))</f>
        <v/>
      </c>
      <c r="V90" s="76" t="str">
        <f aca="false">IF(AND(ISNUMBER(T90),ISNUMBER(T89)),T90/T89-1,"")</f>
        <v/>
      </c>
      <c r="W90" s="76" t="str">
        <f aca="false">IF(AND(ISNUMBER(U90),ISNUMBER(U89)),U90/U89-1,"")</f>
        <v/>
      </c>
      <c r="X90" s="75" t="str">
        <f aca="false">IF(AND(ISNUMBER(V90),ISNUMBER(W90)),1,"")</f>
        <v/>
      </c>
      <c r="Y90" s="76" t="str">
        <f aca="false">IF(X90=1,V90,"")</f>
        <v/>
      </c>
      <c r="Z90" s="76" t="str">
        <f aca="false">IF(X90=1,W90,"")</f>
        <v/>
      </c>
      <c r="AA90" s="76" t="e">
        <f aca="false">IF(X90=1,V90,NA())</f>
        <v>#N/A</v>
      </c>
      <c r="AB90" s="76" t="e">
        <f aca="false">IF(X90=1,W90,NA())</f>
        <v>#N/A</v>
      </c>
      <c r="AD90" s="73" t="str">
        <f aca="false">IF(ISNUMBER(AE90),IF(ISNUMBER('Base de Datos'!A86),IF('Base de Datos'!A86&gt;20000,DATE(YEAR('Base de Datos'!A86),DAY('Base de Datos'!A86),MONTH('Base de Datos'!A86)),""),IF(TRIM('Base de Datos'!A86)="","",IFERROR(DATE(VALUE(RIGHT(TRIM('Base de Datos'!A86),4)),VALUE(LEFT(TRIM('Base de Datos'!A86),2)),VALUE(MID(TRIM('Base de Datos'!A86),4,2))),""))),"")</f>
        <v/>
      </c>
      <c r="AE90" s="74" t="str">
        <f aca="false">IF(ISNUMBER('Base de Datos'!B86),'Base de Datos'!B86,IF(TRIM('Base de Datos'!B86)="","",IFERROR(IF(IFERROR(FIND("@",SUBSTITUTE(TRIM('Base de Datos'!B86),",","@",LEN(TRIM('Base de Datos'!B86))-LEN(SUBSTITUTE(TRIM('Base de Datos'!B86),",","")))),0)&gt;IFERROR(FIND("@",SUBSTITUTE(TRIM('Base de Datos'!B86),".","@",LEN(TRIM('Base de Datos'!B86))-LEN(SUBSTITUTE(TRIM('Base de Datos'!B86),".","")))),0),_xlfn.NUMBERVALUE(SUBSTITUTE(SUBSTITUTE(TRIM('Base de Datos'!B86),".",""),",","."),".",","),_xlfn.NUMBERVALUE(SUBSTITUTE(TRIM('Base de Datos'!B86),",",""),".",",")),"")))</f>
        <v/>
      </c>
      <c r="AF90" s="73" t="str">
        <f aca="false">IF(ISNUMBER(AG90),IF(ISNUMBER('Base de Datos'!I86),IF('Base de Datos'!I86&gt;20000,INT('Base de Datos'!I86),""),IF(TRIM('Base de Datos'!I86)="","",IFERROR(DATE(VALUE(RIGHT(TRIM('Base de Datos'!I86),4)),VALUE(MID(TRIM('Base de Datos'!I86),4,2)),VALUE(LEFT(TRIM('Base de Datos'!I86),2))),IFERROR(DATEVALUE(TRIM('Base de Datos'!I86)),"")))),"")</f>
        <v/>
      </c>
      <c r="AG90" s="74" t="str">
        <f aca="false">IF(ISNUMBER('Base de Datos'!J86),'Base de Datos'!J86,IF(TRIM('Base de Datos'!J86)="","",IFERROR(IF(IFERROR(FIND("@",SUBSTITUTE(TRIM('Base de Datos'!J86),",","@",LEN(TRIM('Base de Datos'!J86))-LEN(SUBSTITUTE(TRIM('Base de Datos'!J86),",","")))),0)&gt;IFERROR(FIND("@",SUBSTITUTE(TRIM('Base de Datos'!J86),".","@",LEN(TRIM('Base de Datos'!J86))-LEN(SUBSTITUTE(TRIM('Base de Datos'!J86),".","")))),0),_xlfn.NUMBERVALUE(SUBSTITUTE(SUBSTITUTE(TRIM('Base de Datos'!J86),".",""),",","."),".",","),_xlfn.NUMBERVALUE(SUBSTITUTE(TRIM('Base de Datos'!J86),",",""),".",",")),"")))</f>
        <v/>
      </c>
      <c r="AH90" s="73" t="n">
        <f aca="false">IF(ISNUMBER(AI90),IF(ISNUMBER('Base de Datos'!Q86),IF('Base de Datos'!Q86&gt;20000,DATE(YEAR('Base de Datos'!Q86),DAY('Base de Datos'!Q86),MONTH('Base de Datos'!Q86)),""),IF(TRIM('Base de Datos'!Q86)="","",IFERROR(DATE(VALUE(RIGHT(TRIM('Base de Datos'!Q86),4)),VALUE(LEFT(TRIM('Base de Datos'!Q86),2)),VALUE(MID(TRIM('Base de Datos'!Q86),4,2))),""))),"")</f>
        <v>45046</v>
      </c>
      <c r="AI90" s="74" t="n">
        <f aca="false">IF(ISNUMBER('Base de Datos'!R86),'Base de Datos'!R86,IF(TRIM('Base de Datos'!R86)="","",IFERROR(IF(IFERROR(FIND("@",SUBSTITUTE(TRIM('Base de Datos'!R86),",","@",LEN(TRIM('Base de Datos'!R86))-LEN(SUBSTITUTE(TRIM('Base de Datos'!R86),",","")))),0)&gt;IFERROR(FIND("@",SUBSTITUTE(TRIM('Base de Datos'!R86),".","@",LEN(TRIM('Base de Datos'!R86))-LEN(SUBSTITUTE(TRIM('Base de Datos'!R86),".","")))),0),_xlfn.NUMBERVALUE(SUBSTITUTE(SUBSTITUTE(TRIM('Base de Datos'!R86),".",""),",","."),".",","),_xlfn.NUMBERVALUE(SUBSTITUTE(TRIM('Base de Datos'!R86),",",""),".",",")),"")))</f>
        <v>31.28</v>
      </c>
      <c r="AJ90" s="73" t="n">
        <f aca="false">IF(ISNUMBER(AK90),IF(ISNUMBER('Base de Datos'!Y86),IF('Base de Datos'!Y86&gt;20000,INT('Base de Datos'!Y86),""),IF(TRIM('Base de Datos'!Y86)="","",IFERROR(DATE(VALUE(RIGHT(TRIM('Base de Datos'!Y86),4)),VALUE(MID(TRIM('Base de Datos'!Y86),4,2)),VALUE(LEFT(TRIM('Base de Datos'!Y86),2))),IFERROR(DATEVALUE(TRIM('Base de Datos'!Y86)),"")))),"")</f>
        <v>45046</v>
      </c>
      <c r="AK90" s="74" t="n">
        <f aca="false">IF(ISNUMBER('Base de Datos'!Z86),'Base de Datos'!Z86,IF(TRIM('Base de Datos'!Z86)="","",IFERROR(IF(IFERROR(FIND("@",SUBSTITUTE(TRIM('Base de Datos'!Z86),",","@",LEN(TRIM('Base de Datos'!Z86))-LEN(SUBSTITUTE(TRIM('Base de Datos'!Z86),",","")))),0)&gt;IFERROR(FIND("@",SUBSTITUTE(TRIM('Base de Datos'!Z86),".","@",LEN(TRIM('Base de Datos'!Z86))-LEN(SUBSTITUTE(TRIM('Base de Datos'!Z86),".","")))),0),_xlfn.NUMBERVALUE(SUBSTITUTE(SUBSTITUTE(TRIM('Base de Datos'!Z86),".",""),",","."),".",","),_xlfn.NUMBERVALUE(SUBSTITUTE(TRIM('Base de Datos'!Z86),",",""),".",",")),"")))</f>
        <v>54937.39</v>
      </c>
    </row>
    <row r="91" customFormat="false" ht="13.5" hidden="false" customHeight="false" outlineLevel="0" collapsed="false">
      <c r="A91" s="75" t="n">
        <f aca="false">ROWS(A$13:A91)</f>
        <v>79</v>
      </c>
      <c r="B91" s="73" t="n">
        <f aca="false">IF(B90="","",IFERROR(SMALL($AH$10:$AH$409,COUNTIF($AH$10:$AH$409,"&lt;="&amp;B90)+1),""))</f>
        <v>45032</v>
      </c>
      <c r="C91" s="74" t="n">
        <f aca="false">IF(B91="","",INDEX($AI$10:$AI$409,MATCH(B91,$AH$10:$AH$409,0)))</f>
        <v>30.94</v>
      </c>
      <c r="D91" s="74" t="n">
        <f aca="false">IF(B91="","",IFERROR(INDEX($AK$10:$AK$409,MATCH(B91,$AJ$10:$AJ$409,0)),""))</f>
        <v>54175.28</v>
      </c>
      <c r="E91" s="76" t="n">
        <f aca="false">IF(AND(ISNUMBER(C91),ISNUMBER(C90)),C91/C90-1,"")</f>
        <v>-0.00193548387096765</v>
      </c>
      <c r="F91" s="76" t="n">
        <f aca="false">IF(AND(ISNUMBER(D91),ISNUMBER(D90)),D91/D90-1,"")</f>
        <v>-0.00522915325469708</v>
      </c>
      <c r="G91" s="75" t="n">
        <f aca="false">IF(AND(ISNUMBER(E91),ISNUMBER(F91)),1,"")</f>
        <v>1</v>
      </c>
      <c r="H91" s="75" t="n">
        <f aca="false">IF(G91=1,COUNT(G91:G$412),"")</f>
        <v>181</v>
      </c>
      <c r="I91" s="75" t="n">
        <f aca="false">IF(G91=1,IF(H91&lt;='Beta Regresión'!$B$5,1,""),"")</f>
        <v>1</v>
      </c>
      <c r="J91" s="76" t="n">
        <f aca="false">IF(I91=1,E91,"")</f>
        <v>-0.00193548387096765</v>
      </c>
      <c r="K91" s="76" t="n">
        <f aca="false">IF(I91=1,F91,"")</f>
        <v>-0.00522915325469708</v>
      </c>
      <c r="L91" s="75" t="n">
        <f aca="false">IF(I91=1,COUNT(I$13:I91),"")</f>
        <v>78</v>
      </c>
      <c r="M91" s="76" t="n">
        <f aca="false">IFERROR(INDEX($J$13:$J$412,MATCH(A91,$L$13:$L$412,0)),"")</f>
        <v>0.00614091790562377</v>
      </c>
      <c r="N91" s="76" t="n">
        <f aca="false">IFERROR(INDEX($K$13:$K$412,MATCH(A91,$L$13:$L$412,0)),"")</f>
        <v>0.0174607311674255</v>
      </c>
      <c r="O91" s="76" t="n">
        <f aca="false">IF(I91=1,E91,NA())</f>
        <v>-0.00193548387096765</v>
      </c>
      <c r="P91" s="76" t="n">
        <f aca="false">IF(I91=1,F91,NA())</f>
        <v>-0.00522915325469708</v>
      </c>
      <c r="R91" s="75" t="n">
        <f aca="false">ROWS(R$13:R91)</f>
        <v>79</v>
      </c>
      <c r="S91" s="73" t="str">
        <f aca="false">IF(S90="","",IFERROR(SMALL($AD$10:$AD$509,COUNTIF($AD$10:$AD$509,"&lt;="&amp;S90)+1),""))</f>
        <v/>
      </c>
      <c r="T91" s="74" t="str">
        <f aca="false">IF(S91="","",INDEX($AE$10:$AE$509,MATCH(S91,$AD$10:$AD$509,0)))</f>
        <v/>
      </c>
      <c r="U91" s="74" t="str">
        <f aca="false">IF(S91="","",IFERROR(INDEX($AG$10:$AG$509,MATCH(S91,$AF$10:$AF$509,0)),""))</f>
        <v/>
      </c>
      <c r="V91" s="76" t="str">
        <f aca="false">IF(AND(ISNUMBER(T91),ISNUMBER(T90)),T91/T90-1,"")</f>
        <v/>
      </c>
      <c r="W91" s="76" t="str">
        <f aca="false">IF(AND(ISNUMBER(U91),ISNUMBER(U90)),U91/U90-1,"")</f>
        <v/>
      </c>
      <c r="X91" s="75" t="str">
        <f aca="false">IF(AND(ISNUMBER(V91),ISNUMBER(W91)),1,"")</f>
        <v/>
      </c>
      <c r="Y91" s="76" t="str">
        <f aca="false">IF(X91=1,V91,"")</f>
        <v/>
      </c>
      <c r="Z91" s="76" t="str">
        <f aca="false">IF(X91=1,W91,"")</f>
        <v/>
      </c>
      <c r="AA91" s="76" t="e">
        <f aca="false">IF(X91=1,V91,NA())</f>
        <v>#N/A</v>
      </c>
      <c r="AB91" s="76" t="e">
        <f aca="false">IF(X91=1,W91,NA())</f>
        <v>#N/A</v>
      </c>
      <c r="AD91" s="73" t="str">
        <f aca="false">IF(ISNUMBER(AE91),IF(ISNUMBER('Base de Datos'!A87),IF('Base de Datos'!A87&gt;20000,DATE(YEAR('Base de Datos'!A87),DAY('Base de Datos'!A87),MONTH('Base de Datos'!A87)),""),IF(TRIM('Base de Datos'!A87)="","",IFERROR(DATE(VALUE(RIGHT(TRIM('Base de Datos'!A87),4)),VALUE(LEFT(TRIM('Base de Datos'!A87),2)),VALUE(MID(TRIM('Base de Datos'!A87),4,2))),""))),"")</f>
        <v/>
      </c>
      <c r="AE91" s="74" t="str">
        <f aca="false">IF(ISNUMBER('Base de Datos'!B87),'Base de Datos'!B87,IF(TRIM('Base de Datos'!B87)="","",IFERROR(IF(IFERROR(FIND("@",SUBSTITUTE(TRIM('Base de Datos'!B87),",","@",LEN(TRIM('Base de Datos'!B87))-LEN(SUBSTITUTE(TRIM('Base de Datos'!B87),",","")))),0)&gt;IFERROR(FIND("@",SUBSTITUTE(TRIM('Base de Datos'!B87),".","@",LEN(TRIM('Base de Datos'!B87))-LEN(SUBSTITUTE(TRIM('Base de Datos'!B87),".","")))),0),_xlfn.NUMBERVALUE(SUBSTITUTE(SUBSTITUTE(TRIM('Base de Datos'!B87),".",""),",","."),".",","),_xlfn.NUMBERVALUE(SUBSTITUTE(TRIM('Base de Datos'!B87),",",""),".",",")),"")))</f>
        <v/>
      </c>
      <c r="AF91" s="73" t="str">
        <f aca="false">IF(ISNUMBER(AG91),IF(ISNUMBER('Base de Datos'!I87),IF('Base de Datos'!I87&gt;20000,INT('Base de Datos'!I87),""),IF(TRIM('Base de Datos'!I87)="","",IFERROR(DATE(VALUE(RIGHT(TRIM('Base de Datos'!I87),4)),VALUE(MID(TRIM('Base de Datos'!I87),4,2)),VALUE(LEFT(TRIM('Base de Datos'!I87),2))),IFERROR(DATEVALUE(TRIM('Base de Datos'!I87)),"")))),"")</f>
        <v/>
      </c>
      <c r="AG91" s="74" t="str">
        <f aca="false">IF(ISNUMBER('Base de Datos'!J87),'Base de Datos'!J87,IF(TRIM('Base de Datos'!J87)="","",IFERROR(IF(IFERROR(FIND("@",SUBSTITUTE(TRIM('Base de Datos'!J87),",","@",LEN(TRIM('Base de Datos'!J87))-LEN(SUBSTITUTE(TRIM('Base de Datos'!J87),",","")))),0)&gt;IFERROR(FIND("@",SUBSTITUTE(TRIM('Base de Datos'!J87),".","@",LEN(TRIM('Base de Datos'!J87))-LEN(SUBSTITUTE(TRIM('Base de Datos'!J87),".","")))),0),_xlfn.NUMBERVALUE(SUBSTITUTE(SUBSTITUTE(TRIM('Base de Datos'!J87),".",""),",","."),".",","),_xlfn.NUMBERVALUE(SUBSTITUTE(TRIM('Base de Datos'!J87),",",""),".",",")),"")))</f>
        <v/>
      </c>
      <c r="AH91" s="73" t="n">
        <f aca="false">IF(ISNUMBER(AI91),IF(ISNUMBER('Base de Datos'!Q87),IF('Base de Datos'!Q87&gt;20000,DATE(YEAR('Base de Datos'!Q87),DAY('Base de Datos'!Q87),MONTH('Base de Datos'!Q87)),""),IF(TRIM('Base de Datos'!Q87)="","",IFERROR(DATE(VALUE(RIGHT(TRIM('Base de Datos'!Q87),4)),VALUE(LEFT(TRIM('Base de Datos'!Q87),2)),VALUE(MID(TRIM('Base de Datos'!Q87),4,2))),""))),"")</f>
        <v>45053</v>
      </c>
      <c r="AI91" s="74" t="n">
        <f aca="false">IF(ISNUMBER('Base de Datos'!R87),'Base de Datos'!R87,IF(TRIM('Base de Datos'!R87)="","",IFERROR(IF(IFERROR(FIND("@",SUBSTITUTE(TRIM('Base de Datos'!R87),",","@",LEN(TRIM('Base de Datos'!R87))-LEN(SUBSTITUTE(TRIM('Base de Datos'!R87),",","")))),0)&gt;IFERROR(FIND("@",SUBSTITUTE(TRIM('Base de Datos'!R87),".","@",LEN(TRIM('Base de Datos'!R87))-LEN(SUBSTITUTE(TRIM('Base de Datos'!R87),".","")))),0),_xlfn.NUMBERVALUE(SUBSTITUTE(SUBSTITUTE(TRIM('Base de Datos'!R87),".",""),",","."),".",","),_xlfn.NUMBERVALUE(SUBSTITUTE(TRIM('Base de Datos'!R87),",",""),".",",")),"")))</f>
        <v>30.8</v>
      </c>
      <c r="AJ91" s="73" t="n">
        <f aca="false">IF(ISNUMBER(AK91),IF(ISNUMBER('Base de Datos'!Y87),IF('Base de Datos'!Y87&gt;20000,INT('Base de Datos'!Y87),""),IF(TRIM('Base de Datos'!Y87)="","",IFERROR(DATE(VALUE(RIGHT(TRIM('Base de Datos'!Y87),4)),VALUE(MID(TRIM('Base de Datos'!Y87),4,2)),VALUE(LEFT(TRIM('Base de Datos'!Y87),2))),IFERROR(DATEVALUE(TRIM('Base de Datos'!Y87)),"")))),"")</f>
        <v>45053</v>
      </c>
      <c r="AK91" s="74" t="n">
        <f aca="false">IF(ISNUMBER('Base de Datos'!Z87),'Base de Datos'!Z87,IF(TRIM('Base de Datos'!Z87)="","",IFERROR(IF(IFERROR(FIND("@",SUBSTITUTE(TRIM('Base de Datos'!Z87),",","@",LEN(TRIM('Base de Datos'!Z87))-LEN(SUBSTITUTE(TRIM('Base de Datos'!Z87),",","")))),0)&gt;IFERROR(FIND("@",SUBSTITUTE(TRIM('Base de Datos'!Z87),".","@",LEN(TRIM('Base de Datos'!Z87))-LEN(SUBSTITUTE(TRIM('Base de Datos'!Z87),".","")))),0),_xlfn.NUMBERVALUE(SUBSTITUTE(SUBSTITUTE(TRIM('Base de Datos'!Z87),".",""),",","."),".",","),_xlfn.NUMBERVALUE(SUBSTITUTE(TRIM('Base de Datos'!Z87),",",""),".",",")),"")))</f>
        <v>54948.34</v>
      </c>
    </row>
    <row r="92" customFormat="false" ht="13.5" hidden="false" customHeight="false" outlineLevel="0" collapsed="false">
      <c r="A92" s="75" t="n">
        <f aca="false">ROWS(A$13:A92)</f>
        <v>80</v>
      </c>
      <c r="B92" s="73" t="n">
        <f aca="false">IF(B91="","",IFERROR(SMALL($AH$10:$AH$409,COUNTIF($AH$10:$AH$409,"&lt;="&amp;B91)+1),""))</f>
        <v>45039</v>
      </c>
      <c r="C92" s="74" t="n">
        <f aca="false">IF(B92="","",INDEX($AI$10:$AI$409,MATCH(B92,$AH$10:$AH$409,0)))</f>
        <v>31.13</v>
      </c>
      <c r="D92" s="74" t="n">
        <f aca="false">IF(B92="","",IFERROR(INDEX($AK$10:$AK$409,MATCH(B92,$AJ$10:$AJ$409,0)),""))</f>
        <v>55121.22</v>
      </c>
      <c r="E92" s="76" t="n">
        <f aca="false">IF(AND(ISNUMBER(C92),ISNUMBER(C91)),C92/C91-1,"")</f>
        <v>0.00614091790562377</v>
      </c>
      <c r="F92" s="76" t="n">
        <f aca="false">IF(AND(ISNUMBER(D92),ISNUMBER(D91)),D92/D91-1,"")</f>
        <v>0.0174607311674255</v>
      </c>
      <c r="G92" s="75" t="n">
        <f aca="false">IF(AND(ISNUMBER(E92),ISNUMBER(F92)),1,"")</f>
        <v>1</v>
      </c>
      <c r="H92" s="75" t="n">
        <f aca="false">IF(G92=1,COUNT(G92:G$412),"")</f>
        <v>180</v>
      </c>
      <c r="I92" s="75" t="n">
        <f aca="false">IF(G92=1,IF(H92&lt;='Beta Regresión'!$B$5,1,""),"")</f>
        <v>1</v>
      </c>
      <c r="J92" s="76" t="n">
        <f aca="false">IF(I92=1,E92,"")</f>
        <v>0.00614091790562377</v>
      </c>
      <c r="K92" s="76" t="n">
        <f aca="false">IF(I92=1,F92,"")</f>
        <v>0.0174607311674255</v>
      </c>
      <c r="L92" s="75" t="n">
        <f aca="false">IF(I92=1,COUNT(I$13:I92),"")</f>
        <v>79</v>
      </c>
      <c r="M92" s="76" t="n">
        <f aca="false">IFERROR(INDEX($J$13:$J$412,MATCH(A92,$L$13:$L$412,0)),"")</f>
        <v>0.00481850305171871</v>
      </c>
      <c r="N92" s="76" t="n">
        <f aca="false">IFERROR(INDEX($K$13:$K$412,MATCH(A92,$L$13:$L$412,0)),"")</f>
        <v>-0.00333501326712293</v>
      </c>
      <c r="O92" s="76" t="n">
        <f aca="false">IF(I92=1,E92,NA())</f>
        <v>0.00614091790562377</v>
      </c>
      <c r="P92" s="76" t="n">
        <f aca="false">IF(I92=1,F92,NA())</f>
        <v>0.0174607311674255</v>
      </c>
      <c r="R92" s="75" t="n">
        <f aca="false">ROWS(R$13:R92)</f>
        <v>80</v>
      </c>
      <c r="S92" s="73" t="str">
        <f aca="false">IF(S91="","",IFERROR(SMALL($AD$10:$AD$509,COUNTIF($AD$10:$AD$509,"&lt;="&amp;S91)+1),""))</f>
        <v/>
      </c>
      <c r="T92" s="74" t="str">
        <f aca="false">IF(S92="","",INDEX($AE$10:$AE$509,MATCH(S92,$AD$10:$AD$509,0)))</f>
        <v/>
      </c>
      <c r="U92" s="74" t="str">
        <f aca="false">IF(S92="","",IFERROR(INDEX($AG$10:$AG$509,MATCH(S92,$AF$10:$AF$509,0)),""))</f>
        <v/>
      </c>
      <c r="V92" s="76" t="str">
        <f aca="false">IF(AND(ISNUMBER(T92),ISNUMBER(T91)),T92/T91-1,"")</f>
        <v/>
      </c>
      <c r="W92" s="76" t="str">
        <f aca="false">IF(AND(ISNUMBER(U92),ISNUMBER(U91)),U92/U91-1,"")</f>
        <v/>
      </c>
      <c r="X92" s="75" t="str">
        <f aca="false">IF(AND(ISNUMBER(V92),ISNUMBER(W92)),1,"")</f>
        <v/>
      </c>
      <c r="Y92" s="76" t="str">
        <f aca="false">IF(X92=1,V92,"")</f>
        <v/>
      </c>
      <c r="Z92" s="76" t="str">
        <f aca="false">IF(X92=1,W92,"")</f>
        <v/>
      </c>
      <c r="AA92" s="76" t="e">
        <f aca="false">IF(X92=1,V92,NA())</f>
        <v>#N/A</v>
      </c>
      <c r="AB92" s="76" t="e">
        <f aca="false">IF(X92=1,W92,NA())</f>
        <v>#N/A</v>
      </c>
      <c r="AD92" s="73" t="str">
        <f aca="false">IF(ISNUMBER(AE92),IF(ISNUMBER('Base de Datos'!A88),IF('Base de Datos'!A88&gt;20000,DATE(YEAR('Base de Datos'!A88),DAY('Base de Datos'!A88),MONTH('Base de Datos'!A88)),""),IF(TRIM('Base de Datos'!A88)="","",IFERROR(DATE(VALUE(RIGHT(TRIM('Base de Datos'!A88),4)),VALUE(LEFT(TRIM('Base de Datos'!A88),2)),VALUE(MID(TRIM('Base de Datos'!A88),4,2))),""))),"")</f>
        <v/>
      </c>
      <c r="AE92" s="74" t="str">
        <f aca="false">IF(ISNUMBER('Base de Datos'!B88),'Base de Datos'!B88,IF(TRIM('Base de Datos'!B88)="","",IFERROR(IF(IFERROR(FIND("@",SUBSTITUTE(TRIM('Base de Datos'!B88),",","@",LEN(TRIM('Base de Datos'!B88))-LEN(SUBSTITUTE(TRIM('Base de Datos'!B88),",","")))),0)&gt;IFERROR(FIND("@",SUBSTITUTE(TRIM('Base de Datos'!B88),".","@",LEN(TRIM('Base de Datos'!B88))-LEN(SUBSTITUTE(TRIM('Base de Datos'!B88),".","")))),0),_xlfn.NUMBERVALUE(SUBSTITUTE(SUBSTITUTE(TRIM('Base de Datos'!B88),".",""),",","."),".",","),_xlfn.NUMBERVALUE(SUBSTITUTE(TRIM('Base de Datos'!B88),",",""),".",",")),"")))</f>
        <v/>
      </c>
      <c r="AF92" s="73" t="str">
        <f aca="false">IF(ISNUMBER(AG92),IF(ISNUMBER('Base de Datos'!I88),IF('Base de Datos'!I88&gt;20000,INT('Base de Datos'!I88),""),IF(TRIM('Base de Datos'!I88)="","",IFERROR(DATE(VALUE(RIGHT(TRIM('Base de Datos'!I88),4)),VALUE(MID(TRIM('Base de Datos'!I88),4,2)),VALUE(LEFT(TRIM('Base de Datos'!I88),2))),IFERROR(DATEVALUE(TRIM('Base de Datos'!I88)),"")))),"")</f>
        <v/>
      </c>
      <c r="AG92" s="74" t="str">
        <f aca="false">IF(ISNUMBER('Base de Datos'!J88),'Base de Datos'!J88,IF(TRIM('Base de Datos'!J88)="","",IFERROR(IF(IFERROR(FIND("@",SUBSTITUTE(TRIM('Base de Datos'!J88),",","@",LEN(TRIM('Base de Datos'!J88))-LEN(SUBSTITUTE(TRIM('Base de Datos'!J88),",","")))),0)&gt;IFERROR(FIND("@",SUBSTITUTE(TRIM('Base de Datos'!J88),".","@",LEN(TRIM('Base de Datos'!J88))-LEN(SUBSTITUTE(TRIM('Base de Datos'!J88),".","")))),0),_xlfn.NUMBERVALUE(SUBSTITUTE(SUBSTITUTE(TRIM('Base de Datos'!J88),".",""),",","."),".",","),_xlfn.NUMBERVALUE(SUBSTITUTE(TRIM('Base de Datos'!J88),",",""),".",",")),"")))</f>
        <v/>
      </c>
      <c r="AH92" s="73" t="n">
        <f aca="false">IF(ISNUMBER(AI92),IF(ISNUMBER('Base de Datos'!Q88),IF('Base de Datos'!Q88&gt;20000,DATE(YEAR('Base de Datos'!Q88),DAY('Base de Datos'!Q88),MONTH('Base de Datos'!Q88)),""),IF(TRIM('Base de Datos'!Q88)="","",IFERROR(DATE(VALUE(RIGHT(TRIM('Base de Datos'!Q88),4)),VALUE(LEFT(TRIM('Base de Datos'!Q88),2)),VALUE(MID(TRIM('Base de Datos'!Q88),4,2))),""))),"")</f>
        <v>45060</v>
      </c>
      <c r="AI92" s="74" t="n">
        <f aca="false">IF(ISNUMBER('Base de Datos'!R88),'Base de Datos'!R88,IF(TRIM('Base de Datos'!R88)="","",IFERROR(IF(IFERROR(FIND("@",SUBSTITUTE(TRIM('Base de Datos'!R88),",","@",LEN(TRIM('Base de Datos'!R88))-LEN(SUBSTITUTE(TRIM('Base de Datos'!R88),",","")))),0)&gt;IFERROR(FIND("@",SUBSTITUTE(TRIM('Base de Datos'!R88),".","@",LEN(TRIM('Base de Datos'!R88))-LEN(SUBSTITUTE(TRIM('Base de Datos'!R88),".","")))),0),_xlfn.NUMBERVALUE(SUBSTITUTE(SUBSTITUTE(TRIM('Base de Datos'!R88),".",""),",","."),".",","),_xlfn.NUMBERVALUE(SUBSTITUTE(TRIM('Base de Datos'!R88),",",""),".",",")),"")))</f>
        <v>30.54</v>
      </c>
      <c r="AJ92" s="73" t="n">
        <f aca="false">IF(ISNUMBER(AK92),IF(ISNUMBER('Base de Datos'!Y88),IF('Base de Datos'!Y88&gt;20000,INT('Base de Datos'!Y88),""),IF(TRIM('Base de Datos'!Y88)="","",IFERROR(DATE(VALUE(RIGHT(TRIM('Base de Datos'!Y88),4)),VALUE(MID(TRIM('Base de Datos'!Y88),4,2)),VALUE(LEFT(TRIM('Base de Datos'!Y88),2))),IFERROR(DATEVALUE(TRIM('Base de Datos'!Y88)),"")))),"")</f>
        <v>45060</v>
      </c>
      <c r="AK92" s="74" t="n">
        <f aca="false">IF(ISNUMBER('Base de Datos'!Z88),'Base de Datos'!Z88,IF(TRIM('Base de Datos'!Z88)="","",IFERROR(IF(IFERROR(FIND("@",SUBSTITUTE(TRIM('Base de Datos'!Z88),",","@",LEN(TRIM('Base de Datos'!Z88))-LEN(SUBSTITUTE(TRIM('Base de Datos'!Z88),",","")))),0)&gt;IFERROR(FIND("@",SUBSTITUTE(TRIM('Base de Datos'!Z88),".","@",LEN(TRIM('Base de Datos'!Z88))-LEN(SUBSTITUTE(TRIM('Base de Datos'!Z88),".","")))),0),_xlfn.NUMBERVALUE(SUBSTITUTE(SUBSTITUTE(TRIM('Base de Datos'!Z88),".",""),",","."),".",","),_xlfn.NUMBERVALUE(SUBSTITUTE(TRIM('Base de Datos'!Z88),",",""),".",",")),"")))</f>
        <v>54296.05</v>
      </c>
    </row>
    <row r="93" customFormat="false" ht="13.5" hidden="false" customHeight="false" outlineLevel="0" collapsed="false">
      <c r="A93" s="75" t="n">
        <f aca="false">ROWS(A$13:A93)</f>
        <v>81</v>
      </c>
      <c r="B93" s="73" t="n">
        <f aca="false">IF(B92="","",IFERROR(SMALL($AH$10:$AH$409,COUNTIF($AH$10:$AH$409,"&lt;="&amp;B92)+1),""))</f>
        <v>45046</v>
      </c>
      <c r="C93" s="74" t="n">
        <f aca="false">IF(B93="","",INDEX($AI$10:$AI$409,MATCH(B93,$AH$10:$AH$409,0)))</f>
        <v>31.28</v>
      </c>
      <c r="D93" s="74" t="n">
        <f aca="false">IF(B93="","",IFERROR(INDEX($AK$10:$AK$409,MATCH(B93,$AJ$10:$AJ$409,0)),""))</f>
        <v>54937.39</v>
      </c>
      <c r="E93" s="76" t="n">
        <f aca="false">IF(AND(ISNUMBER(C93),ISNUMBER(C92)),C93/C92-1,"")</f>
        <v>0.00481850305171871</v>
      </c>
      <c r="F93" s="76" t="n">
        <f aca="false">IF(AND(ISNUMBER(D93),ISNUMBER(D92)),D93/D92-1,"")</f>
        <v>-0.00333501326712293</v>
      </c>
      <c r="G93" s="75" t="n">
        <f aca="false">IF(AND(ISNUMBER(E93),ISNUMBER(F93)),1,"")</f>
        <v>1</v>
      </c>
      <c r="H93" s="75" t="n">
        <f aca="false">IF(G93=1,COUNT(G93:G$412),"")</f>
        <v>179</v>
      </c>
      <c r="I93" s="75" t="n">
        <f aca="false">IF(G93=1,IF(H93&lt;='Beta Regresión'!$B$5,1,""),"")</f>
        <v>1</v>
      </c>
      <c r="J93" s="76" t="n">
        <f aca="false">IF(I93=1,E93,"")</f>
        <v>0.00481850305171871</v>
      </c>
      <c r="K93" s="76" t="n">
        <f aca="false">IF(I93=1,F93,"")</f>
        <v>-0.00333501326712293</v>
      </c>
      <c r="L93" s="75" t="n">
        <f aca="false">IF(I93=1,COUNT(I$13:I93),"")</f>
        <v>80</v>
      </c>
      <c r="M93" s="76" t="n">
        <f aca="false">IFERROR(INDEX($J$13:$J$412,MATCH(A93,$L$13:$L$412,0)),"")</f>
        <v>-0.0153452685421995</v>
      </c>
      <c r="N93" s="76" t="n">
        <f aca="false">IFERROR(INDEX($K$13:$K$412,MATCH(A93,$L$13:$L$412,0)),"")</f>
        <v>0.000199317805232413</v>
      </c>
      <c r="O93" s="76" t="n">
        <f aca="false">IF(I93=1,E93,NA())</f>
        <v>0.00481850305171871</v>
      </c>
      <c r="P93" s="76" t="n">
        <f aca="false">IF(I93=1,F93,NA())</f>
        <v>-0.00333501326712293</v>
      </c>
      <c r="R93" s="75" t="n">
        <f aca="false">ROWS(R$13:R93)</f>
        <v>81</v>
      </c>
      <c r="S93" s="73" t="str">
        <f aca="false">IF(S92="","",IFERROR(SMALL($AD$10:$AD$509,COUNTIF($AD$10:$AD$509,"&lt;="&amp;S92)+1),""))</f>
        <v/>
      </c>
      <c r="T93" s="74" t="str">
        <f aca="false">IF(S93="","",INDEX($AE$10:$AE$509,MATCH(S93,$AD$10:$AD$509,0)))</f>
        <v/>
      </c>
      <c r="U93" s="74" t="str">
        <f aca="false">IF(S93="","",IFERROR(INDEX($AG$10:$AG$509,MATCH(S93,$AF$10:$AF$509,0)),""))</f>
        <v/>
      </c>
      <c r="V93" s="76" t="str">
        <f aca="false">IF(AND(ISNUMBER(T93),ISNUMBER(T92)),T93/T92-1,"")</f>
        <v/>
      </c>
      <c r="W93" s="76" t="str">
        <f aca="false">IF(AND(ISNUMBER(U93),ISNUMBER(U92)),U93/U92-1,"")</f>
        <v/>
      </c>
      <c r="X93" s="75" t="str">
        <f aca="false">IF(AND(ISNUMBER(V93),ISNUMBER(W93)),1,"")</f>
        <v/>
      </c>
      <c r="Y93" s="76" t="str">
        <f aca="false">IF(X93=1,V93,"")</f>
        <v/>
      </c>
      <c r="Z93" s="76" t="str">
        <f aca="false">IF(X93=1,W93,"")</f>
        <v/>
      </c>
      <c r="AA93" s="76" t="e">
        <f aca="false">IF(X93=1,V93,NA())</f>
        <v>#N/A</v>
      </c>
      <c r="AB93" s="76" t="e">
        <f aca="false">IF(X93=1,W93,NA())</f>
        <v>#N/A</v>
      </c>
      <c r="AD93" s="73" t="str">
        <f aca="false">IF(ISNUMBER(AE93),IF(ISNUMBER('Base de Datos'!A89),IF('Base de Datos'!A89&gt;20000,DATE(YEAR('Base de Datos'!A89),DAY('Base de Datos'!A89),MONTH('Base de Datos'!A89)),""),IF(TRIM('Base de Datos'!A89)="","",IFERROR(DATE(VALUE(RIGHT(TRIM('Base de Datos'!A89),4)),VALUE(LEFT(TRIM('Base de Datos'!A89),2)),VALUE(MID(TRIM('Base de Datos'!A89),4,2))),""))),"")</f>
        <v/>
      </c>
      <c r="AE93" s="74" t="str">
        <f aca="false">IF(ISNUMBER('Base de Datos'!B89),'Base de Datos'!B89,IF(TRIM('Base de Datos'!B89)="","",IFERROR(IF(IFERROR(FIND("@",SUBSTITUTE(TRIM('Base de Datos'!B89),",","@",LEN(TRIM('Base de Datos'!B89))-LEN(SUBSTITUTE(TRIM('Base de Datos'!B89),",","")))),0)&gt;IFERROR(FIND("@",SUBSTITUTE(TRIM('Base de Datos'!B89),".","@",LEN(TRIM('Base de Datos'!B89))-LEN(SUBSTITUTE(TRIM('Base de Datos'!B89),".","")))),0),_xlfn.NUMBERVALUE(SUBSTITUTE(SUBSTITUTE(TRIM('Base de Datos'!B89),".",""),",","."),".",","),_xlfn.NUMBERVALUE(SUBSTITUTE(TRIM('Base de Datos'!B89),",",""),".",",")),"")))</f>
        <v/>
      </c>
      <c r="AF93" s="73" t="str">
        <f aca="false">IF(ISNUMBER(AG93),IF(ISNUMBER('Base de Datos'!I89),IF('Base de Datos'!I89&gt;20000,INT('Base de Datos'!I89),""),IF(TRIM('Base de Datos'!I89)="","",IFERROR(DATE(VALUE(RIGHT(TRIM('Base de Datos'!I89),4)),VALUE(MID(TRIM('Base de Datos'!I89),4,2)),VALUE(LEFT(TRIM('Base de Datos'!I89),2))),IFERROR(DATEVALUE(TRIM('Base de Datos'!I89)),"")))),"")</f>
        <v/>
      </c>
      <c r="AG93" s="74" t="str">
        <f aca="false">IF(ISNUMBER('Base de Datos'!J89),'Base de Datos'!J89,IF(TRIM('Base de Datos'!J89)="","",IFERROR(IF(IFERROR(FIND("@",SUBSTITUTE(TRIM('Base de Datos'!J89),",","@",LEN(TRIM('Base de Datos'!J89))-LEN(SUBSTITUTE(TRIM('Base de Datos'!J89),",","")))),0)&gt;IFERROR(FIND("@",SUBSTITUTE(TRIM('Base de Datos'!J89),".","@",LEN(TRIM('Base de Datos'!J89))-LEN(SUBSTITUTE(TRIM('Base de Datos'!J89),".","")))),0),_xlfn.NUMBERVALUE(SUBSTITUTE(SUBSTITUTE(TRIM('Base de Datos'!J89),".",""),",","."),".",","),_xlfn.NUMBERVALUE(SUBSTITUTE(TRIM('Base de Datos'!J89),",",""),".",",")),"")))</f>
        <v/>
      </c>
      <c r="AH93" s="73" t="n">
        <f aca="false">IF(ISNUMBER(AI93),IF(ISNUMBER('Base de Datos'!Q89),IF('Base de Datos'!Q89&gt;20000,DATE(YEAR('Base de Datos'!Q89),DAY('Base de Datos'!Q89),MONTH('Base de Datos'!Q89)),""),IF(TRIM('Base de Datos'!Q89)="","",IFERROR(DATE(VALUE(RIGHT(TRIM('Base de Datos'!Q89),4)),VALUE(LEFT(TRIM('Base de Datos'!Q89),2)),VALUE(MID(TRIM('Base de Datos'!Q89),4,2))),""))),"")</f>
        <v>45067</v>
      </c>
      <c r="AI93" s="74" t="n">
        <f aca="false">IF(ISNUMBER('Base de Datos'!R89),'Base de Datos'!R89,IF(TRIM('Base de Datos'!R89)="","",IFERROR(IF(IFERROR(FIND("@",SUBSTITUTE(TRIM('Base de Datos'!R89),",","@",LEN(TRIM('Base de Datos'!R89))-LEN(SUBSTITUTE(TRIM('Base de Datos'!R89),",","")))),0)&gt;IFERROR(FIND("@",SUBSTITUTE(TRIM('Base de Datos'!R89),".","@",LEN(TRIM('Base de Datos'!R89))-LEN(SUBSTITUTE(TRIM('Base de Datos'!R89),".","")))),0),_xlfn.NUMBERVALUE(SUBSTITUTE(SUBSTITUTE(TRIM('Base de Datos'!R89),".",""),",","."),".",","),_xlfn.NUMBERVALUE(SUBSTITUTE(TRIM('Base de Datos'!R89),",",""),".",",")),"")))</f>
        <v>30.3</v>
      </c>
      <c r="AJ93" s="73" t="n">
        <f aca="false">IF(ISNUMBER(AK93),IF(ISNUMBER('Base de Datos'!Y89),IF('Base de Datos'!Y89&gt;20000,INT('Base de Datos'!Y89),""),IF(TRIM('Base de Datos'!Y89)="","",IFERROR(DATE(VALUE(RIGHT(TRIM('Base de Datos'!Y89),4)),VALUE(MID(TRIM('Base de Datos'!Y89),4,2)),VALUE(LEFT(TRIM('Base de Datos'!Y89),2))),IFERROR(DATEVALUE(TRIM('Base de Datos'!Y89)),"")))),"")</f>
        <v>45067</v>
      </c>
      <c r="AK93" s="74" t="n">
        <f aca="false">IF(ISNUMBER('Base de Datos'!Z89),'Base de Datos'!Z89,IF(TRIM('Base de Datos'!Z89)="","",IFERROR(IF(IFERROR(FIND("@",SUBSTITUTE(TRIM('Base de Datos'!Z89),",","@",LEN(TRIM('Base de Datos'!Z89))-LEN(SUBSTITUTE(TRIM('Base de Datos'!Z89),",","")))),0)&gt;IFERROR(FIND("@",SUBSTITUTE(TRIM('Base de Datos'!Z89),".","@",LEN(TRIM('Base de Datos'!Z89))-LEN(SUBSTITUTE(TRIM('Base de Datos'!Z89),".","")))),0),_xlfn.NUMBERVALUE(SUBSTITUTE(SUBSTITUTE(TRIM('Base de Datos'!Z89),".",""),",","."),".",","),_xlfn.NUMBERVALUE(SUBSTITUTE(TRIM('Base de Datos'!Z89),",",""),".",",")),"")))</f>
        <v>54025.45</v>
      </c>
    </row>
    <row r="94" customFormat="false" ht="13.5" hidden="false" customHeight="false" outlineLevel="0" collapsed="false">
      <c r="A94" s="75" t="n">
        <f aca="false">ROWS(A$13:A94)</f>
        <v>82</v>
      </c>
      <c r="B94" s="73" t="n">
        <f aca="false">IF(B93="","",IFERROR(SMALL($AH$10:$AH$409,COUNTIF($AH$10:$AH$409,"&lt;="&amp;B93)+1),""))</f>
        <v>45053</v>
      </c>
      <c r="C94" s="74" t="n">
        <f aca="false">IF(B94="","",INDEX($AI$10:$AI$409,MATCH(B94,$AH$10:$AH$409,0)))</f>
        <v>30.8</v>
      </c>
      <c r="D94" s="74" t="n">
        <f aca="false">IF(B94="","",IFERROR(INDEX($AK$10:$AK$409,MATCH(B94,$AJ$10:$AJ$409,0)),""))</f>
        <v>54948.34</v>
      </c>
      <c r="E94" s="76" t="n">
        <f aca="false">IF(AND(ISNUMBER(C94),ISNUMBER(C93)),C94/C93-1,"")</f>
        <v>-0.0153452685421995</v>
      </c>
      <c r="F94" s="76" t="n">
        <f aca="false">IF(AND(ISNUMBER(D94),ISNUMBER(D93)),D94/D93-1,"")</f>
        <v>0.000199317805232413</v>
      </c>
      <c r="G94" s="75" t="n">
        <f aca="false">IF(AND(ISNUMBER(E94),ISNUMBER(F94)),1,"")</f>
        <v>1</v>
      </c>
      <c r="H94" s="75" t="n">
        <f aca="false">IF(G94=1,COUNT(G94:G$412),"")</f>
        <v>178</v>
      </c>
      <c r="I94" s="75" t="n">
        <f aca="false">IF(G94=1,IF(H94&lt;='Beta Regresión'!$B$5,1,""),"")</f>
        <v>1</v>
      </c>
      <c r="J94" s="76" t="n">
        <f aca="false">IF(I94=1,E94,"")</f>
        <v>-0.0153452685421995</v>
      </c>
      <c r="K94" s="76" t="n">
        <f aca="false">IF(I94=1,F94,"")</f>
        <v>0.000199317805232413</v>
      </c>
      <c r="L94" s="75" t="n">
        <f aca="false">IF(I94=1,COUNT(I$13:I94),"")</f>
        <v>81</v>
      </c>
      <c r="M94" s="76" t="n">
        <f aca="false">IFERROR(INDEX($J$13:$J$412,MATCH(A94,$L$13:$L$412,0)),"")</f>
        <v>-0.00844155844155847</v>
      </c>
      <c r="N94" s="76" t="n">
        <f aca="false">IFERROR(INDEX($K$13:$K$412,MATCH(A94,$L$13:$L$412,0)),"")</f>
        <v>-0.0118709682585496</v>
      </c>
      <c r="O94" s="76" t="n">
        <f aca="false">IF(I94=1,E94,NA())</f>
        <v>-0.0153452685421995</v>
      </c>
      <c r="P94" s="76" t="n">
        <f aca="false">IF(I94=1,F94,NA())</f>
        <v>0.000199317805232413</v>
      </c>
      <c r="R94" s="75" t="n">
        <f aca="false">ROWS(R$13:R94)</f>
        <v>82</v>
      </c>
      <c r="S94" s="73" t="str">
        <f aca="false">IF(S93="","",IFERROR(SMALL($AD$10:$AD$509,COUNTIF($AD$10:$AD$509,"&lt;="&amp;S93)+1),""))</f>
        <v/>
      </c>
      <c r="T94" s="74" t="str">
        <f aca="false">IF(S94="","",INDEX($AE$10:$AE$509,MATCH(S94,$AD$10:$AD$509,0)))</f>
        <v/>
      </c>
      <c r="U94" s="74" t="str">
        <f aca="false">IF(S94="","",IFERROR(INDEX($AG$10:$AG$509,MATCH(S94,$AF$10:$AF$509,0)),""))</f>
        <v/>
      </c>
      <c r="V94" s="76" t="str">
        <f aca="false">IF(AND(ISNUMBER(T94),ISNUMBER(T93)),T94/T93-1,"")</f>
        <v/>
      </c>
      <c r="W94" s="76" t="str">
        <f aca="false">IF(AND(ISNUMBER(U94),ISNUMBER(U93)),U94/U93-1,"")</f>
        <v/>
      </c>
      <c r="X94" s="75" t="str">
        <f aca="false">IF(AND(ISNUMBER(V94),ISNUMBER(W94)),1,"")</f>
        <v/>
      </c>
      <c r="Y94" s="76" t="str">
        <f aca="false">IF(X94=1,V94,"")</f>
        <v/>
      </c>
      <c r="Z94" s="76" t="str">
        <f aca="false">IF(X94=1,W94,"")</f>
        <v/>
      </c>
      <c r="AA94" s="76" t="e">
        <f aca="false">IF(X94=1,V94,NA())</f>
        <v>#N/A</v>
      </c>
      <c r="AB94" s="76" t="e">
        <f aca="false">IF(X94=1,W94,NA())</f>
        <v>#N/A</v>
      </c>
      <c r="AD94" s="73" t="str">
        <f aca="false">IF(ISNUMBER(AE94),IF(ISNUMBER('Base de Datos'!A90),IF('Base de Datos'!A90&gt;20000,DATE(YEAR('Base de Datos'!A90),DAY('Base de Datos'!A90),MONTH('Base de Datos'!A90)),""),IF(TRIM('Base de Datos'!A90)="","",IFERROR(DATE(VALUE(RIGHT(TRIM('Base de Datos'!A90),4)),VALUE(LEFT(TRIM('Base de Datos'!A90),2)),VALUE(MID(TRIM('Base de Datos'!A90),4,2))),""))),"")</f>
        <v/>
      </c>
      <c r="AE94" s="74" t="str">
        <f aca="false">IF(ISNUMBER('Base de Datos'!B90),'Base de Datos'!B90,IF(TRIM('Base de Datos'!B90)="","",IFERROR(IF(IFERROR(FIND("@",SUBSTITUTE(TRIM('Base de Datos'!B90),",","@",LEN(TRIM('Base de Datos'!B90))-LEN(SUBSTITUTE(TRIM('Base de Datos'!B90),",","")))),0)&gt;IFERROR(FIND("@",SUBSTITUTE(TRIM('Base de Datos'!B90),".","@",LEN(TRIM('Base de Datos'!B90))-LEN(SUBSTITUTE(TRIM('Base de Datos'!B90),".","")))),0),_xlfn.NUMBERVALUE(SUBSTITUTE(SUBSTITUTE(TRIM('Base de Datos'!B90),".",""),",","."),".",","),_xlfn.NUMBERVALUE(SUBSTITUTE(TRIM('Base de Datos'!B90),",",""),".",",")),"")))</f>
        <v/>
      </c>
      <c r="AF94" s="73" t="str">
        <f aca="false">IF(ISNUMBER(AG94),IF(ISNUMBER('Base de Datos'!I90),IF('Base de Datos'!I90&gt;20000,INT('Base de Datos'!I90),""),IF(TRIM('Base de Datos'!I90)="","",IFERROR(DATE(VALUE(RIGHT(TRIM('Base de Datos'!I90),4)),VALUE(MID(TRIM('Base de Datos'!I90),4,2)),VALUE(LEFT(TRIM('Base de Datos'!I90),2))),IFERROR(DATEVALUE(TRIM('Base de Datos'!I90)),"")))),"")</f>
        <v/>
      </c>
      <c r="AG94" s="74" t="str">
        <f aca="false">IF(ISNUMBER('Base de Datos'!J90),'Base de Datos'!J90,IF(TRIM('Base de Datos'!J90)="","",IFERROR(IF(IFERROR(FIND("@",SUBSTITUTE(TRIM('Base de Datos'!J90),",","@",LEN(TRIM('Base de Datos'!J90))-LEN(SUBSTITUTE(TRIM('Base de Datos'!J90),",","")))),0)&gt;IFERROR(FIND("@",SUBSTITUTE(TRIM('Base de Datos'!J90),".","@",LEN(TRIM('Base de Datos'!J90))-LEN(SUBSTITUTE(TRIM('Base de Datos'!J90),".","")))),0),_xlfn.NUMBERVALUE(SUBSTITUTE(SUBSTITUTE(TRIM('Base de Datos'!J90),".",""),",","."),".",","),_xlfn.NUMBERVALUE(SUBSTITUTE(TRIM('Base de Datos'!J90),",",""),".",",")),"")))</f>
        <v/>
      </c>
      <c r="AH94" s="73" t="n">
        <f aca="false">IF(ISNUMBER(AI94),IF(ISNUMBER('Base de Datos'!Q90),IF('Base de Datos'!Q90&gt;20000,DATE(YEAR('Base de Datos'!Q90),DAY('Base de Datos'!Q90),MONTH('Base de Datos'!Q90)),""),IF(TRIM('Base de Datos'!Q90)="","",IFERROR(DATE(VALUE(RIGHT(TRIM('Base de Datos'!Q90),4)),VALUE(LEFT(TRIM('Base de Datos'!Q90),2)),VALUE(MID(TRIM('Base de Datos'!Q90),4,2))),""))),"")</f>
        <v>45074</v>
      </c>
      <c r="AI94" s="74" t="n">
        <f aca="false">IF(ISNUMBER('Base de Datos'!R90),'Base de Datos'!R90,IF(TRIM('Base de Datos'!R90)="","",IFERROR(IF(IFERROR(FIND("@",SUBSTITUTE(TRIM('Base de Datos'!R90),",","@",LEN(TRIM('Base de Datos'!R90))-LEN(SUBSTITUTE(TRIM('Base de Datos'!R90),",","")))),0)&gt;IFERROR(FIND("@",SUBSTITUTE(TRIM('Base de Datos'!R90),".","@",LEN(TRIM('Base de Datos'!R90))-LEN(SUBSTITUTE(TRIM('Base de Datos'!R90),".","")))),0),_xlfn.NUMBERVALUE(SUBSTITUTE(SUBSTITUTE(TRIM('Base de Datos'!R90),".",""),",","."),".",","),_xlfn.NUMBERVALUE(SUBSTITUTE(TRIM('Base de Datos'!R90),",",""),".",",")),"")))</f>
        <v>30.17</v>
      </c>
      <c r="AJ94" s="73" t="n">
        <f aca="false">IF(ISNUMBER(AK94),IF(ISNUMBER('Base de Datos'!Y90),IF('Base de Datos'!Y90&gt;20000,INT('Base de Datos'!Y90),""),IF(TRIM('Base de Datos'!Y90)="","",IFERROR(DATE(VALUE(RIGHT(TRIM('Base de Datos'!Y90),4)),VALUE(MID(TRIM('Base de Datos'!Y90),4,2)),VALUE(LEFT(TRIM('Base de Datos'!Y90),2))),IFERROR(DATEVALUE(TRIM('Base de Datos'!Y90)),"")))),"")</f>
        <v>45074</v>
      </c>
      <c r="AK94" s="74" t="n">
        <f aca="false">IF(ISNUMBER('Base de Datos'!Z90),'Base de Datos'!Z90,IF(TRIM('Base de Datos'!Z90)="","",IFERROR(IF(IFERROR(FIND("@",SUBSTITUTE(TRIM('Base de Datos'!Z90),",","@",LEN(TRIM('Base de Datos'!Z90))-LEN(SUBSTITUTE(TRIM('Base de Datos'!Z90),",","")))),0)&gt;IFERROR(FIND("@",SUBSTITUTE(TRIM('Base de Datos'!Z90),".","@",LEN(TRIM('Base de Datos'!Z90))-LEN(SUBSTITUTE(TRIM('Base de Datos'!Z90),".","")))),0),_xlfn.NUMBERVALUE(SUBSTITUTE(SUBSTITUTE(TRIM('Base de Datos'!Z90),".",""),",","."),".",","),_xlfn.NUMBERVALUE(SUBSTITUTE(TRIM('Base de Datos'!Z90),",",""),".",",")),"")))</f>
        <v>53232.71</v>
      </c>
    </row>
    <row r="95" customFormat="false" ht="13.5" hidden="false" customHeight="false" outlineLevel="0" collapsed="false">
      <c r="A95" s="75" t="n">
        <f aca="false">ROWS(A$13:A95)</f>
        <v>83</v>
      </c>
      <c r="B95" s="73" t="n">
        <f aca="false">IF(B94="","",IFERROR(SMALL($AH$10:$AH$409,COUNTIF($AH$10:$AH$409,"&lt;="&amp;B94)+1),""))</f>
        <v>45060</v>
      </c>
      <c r="C95" s="74" t="n">
        <f aca="false">IF(B95="","",INDEX($AI$10:$AI$409,MATCH(B95,$AH$10:$AH$409,0)))</f>
        <v>30.54</v>
      </c>
      <c r="D95" s="74" t="n">
        <f aca="false">IF(B95="","",IFERROR(INDEX($AK$10:$AK$409,MATCH(B95,$AJ$10:$AJ$409,0)),""))</f>
        <v>54296.05</v>
      </c>
      <c r="E95" s="76" t="n">
        <f aca="false">IF(AND(ISNUMBER(C95),ISNUMBER(C94)),C95/C94-1,"")</f>
        <v>-0.00844155844155847</v>
      </c>
      <c r="F95" s="76" t="n">
        <f aca="false">IF(AND(ISNUMBER(D95),ISNUMBER(D94)),D95/D94-1,"")</f>
        <v>-0.0118709682585496</v>
      </c>
      <c r="G95" s="75" t="n">
        <f aca="false">IF(AND(ISNUMBER(E95),ISNUMBER(F95)),1,"")</f>
        <v>1</v>
      </c>
      <c r="H95" s="75" t="n">
        <f aca="false">IF(G95=1,COUNT(G95:G$412),"")</f>
        <v>177</v>
      </c>
      <c r="I95" s="75" t="n">
        <f aca="false">IF(G95=1,IF(H95&lt;='Beta Regresión'!$B$5,1,""),"")</f>
        <v>1</v>
      </c>
      <c r="J95" s="76" t="n">
        <f aca="false">IF(I95=1,E95,"")</f>
        <v>-0.00844155844155847</v>
      </c>
      <c r="K95" s="76" t="n">
        <f aca="false">IF(I95=1,F95,"")</f>
        <v>-0.0118709682585496</v>
      </c>
      <c r="L95" s="75" t="n">
        <f aca="false">IF(I95=1,COUNT(I$13:I95),"")</f>
        <v>82</v>
      </c>
      <c r="M95" s="76" t="n">
        <f aca="false">IFERROR(INDEX($J$13:$J$412,MATCH(A95,$L$13:$L$412,0)),"")</f>
        <v>-0.00785854616895865</v>
      </c>
      <c r="N95" s="76" t="n">
        <f aca="false">IFERROR(INDEX($K$13:$K$412,MATCH(A95,$L$13:$L$412,0)),"")</f>
        <v>-0.00498378795510923</v>
      </c>
      <c r="O95" s="76" t="n">
        <f aca="false">IF(I95=1,E95,NA())</f>
        <v>-0.00844155844155847</v>
      </c>
      <c r="P95" s="76" t="n">
        <f aca="false">IF(I95=1,F95,NA())</f>
        <v>-0.0118709682585496</v>
      </c>
      <c r="R95" s="75" t="n">
        <f aca="false">ROWS(R$13:R95)</f>
        <v>83</v>
      </c>
      <c r="S95" s="73" t="str">
        <f aca="false">IF(S94="","",IFERROR(SMALL($AD$10:$AD$509,COUNTIF($AD$10:$AD$509,"&lt;="&amp;S94)+1),""))</f>
        <v/>
      </c>
      <c r="T95" s="74" t="str">
        <f aca="false">IF(S95="","",INDEX($AE$10:$AE$509,MATCH(S95,$AD$10:$AD$509,0)))</f>
        <v/>
      </c>
      <c r="U95" s="74" t="str">
        <f aca="false">IF(S95="","",IFERROR(INDEX($AG$10:$AG$509,MATCH(S95,$AF$10:$AF$509,0)),""))</f>
        <v/>
      </c>
      <c r="V95" s="76" t="str">
        <f aca="false">IF(AND(ISNUMBER(T95),ISNUMBER(T94)),T95/T94-1,"")</f>
        <v/>
      </c>
      <c r="W95" s="76" t="str">
        <f aca="false">IF(AND(ISNUMBER(U95),ISNUMBER(U94)),U95/U94-1,"")</f>
        <v/>
      </c>
      <c r="X95" s="75" t="str">
        <f aca="false">IF(AND(ISNUMBER(V95),ISNUMBER(W95)),1,"")</f>
        <v/>
      </c>
      <c r="Y95" s="76" t="str">
        <f aca="false">IF(X95=1,V95,"")</f>
        <v/>
      </c>
      <c r="Z95" s="76" t="str">
        <f aca="false">IF(X95=1,W95,"")</f>
        <v/>
      </c>
      <c r="AA95" s="76" t="e">
        <f aca="false">IF(X95=1,V95,NA())</f>
        <v>#N/A</v>
      </c>
      <c r="AB95" s="76" t="e">
        <f aca="false">IF(X95=1,W95,NA())</f>
        <v>#N/A</v>
      </c>
      <c r="AD95" s="73" t="str">
        <f aca="false">IF(ISNUMBER(AE95),IF(ISNUMBER('Base de Datos'!A91),IF('Base de Datos'!A91&gt;20000,DATE(YEAR('Base de Datos'!A91),DAY('Base de Datos'!A91),MONTH('Base de Datos'!A91)),""),IF(TRIM('Base de Datos'!A91)="","",IFERROR(DATE(VALUE(RIGHT(TRIM('Base de Datos'!A91),4)),VALUE(LEFT(TRIM('Base de Datos'!A91),2)),VALUE(MID(TRIM('Base de Datos'!A91),4,2))),""))),"")</f>
        <v/>
      </c>
      <c r="AE95" s="74" t="str">
        <f aca="false">IF(ISNUMBER('Base de Datos'!B91),'Base de Datos'!B91,IF(TRIM('Base de Datos'!B91)="","",IFERROR(IF(IFERROR(FIND("@",SUBSTITUTE(TRIM('Base de Datos'!B91),",","@",LEN(TRIM('Base de Datos'!B91))-LEN(SUBSTITUTE(TRIM('Base de Datos'!B91),",","")))),0)&gt;IFERROR(FIND("@",SUBSTITUTE(TRIM('Base de Datos'!B91),".","@",LEN(TRIM('Base de Datos'!B91))-LEN(SUBSTITUTE(TRIM('Base de Datos'!B91),".","")))),0),_xlfn.NUMBERVALUE(SUBSTITUTE(SUBSTITUTE(TRIM('Base de Datos'!B91),".",""),",","."),".",","),_xlfn.NUMBERVALUE(SUBSTITUTE(TRIM('Base de Datos'!B91),",",""),".",",")),"")))</f>
        <v/>
      </c>
      <c r="AF95" s="73" t="str">
        <f aca="false">IF(ISNUMBER(AG95),IF(ISNUMBER('Base de Datos'!I91),IF('Base de Datos'!I91&gt;20000,INT('Base de Datos'!I91),""),IF(TRIM('Base de Datos'!I91)="","",IFERROR(DATE(VALUE(RIGHT(TRIM('Base de Datos'!I91),4)),VALUE(MID(TRIM('Base de Datos'!I91),4,2)),VALUE(LEFT(TRIM('Base de Datos'!I91),2))),IFERROR(DATEVALUE(TRIM('Base de Datos'!I91)),"")))),"")</f>
        <v/>
      </c>
      <c r="AG95" s="74" t="str">
        <f aca="false">IF(ISNUMBER('Base de Datos'!J91),'Base de Datos'!J91,IF(TRIM('Base de Datos'!J91)="","",IFERROR(IF(IFERROR(FIND("@",SUBSTITUTE(TRIM('Base de Datos'!J91),",","@",LEN(TRIM('Base de Datos'!J91))-LEN(SUBSTITUTE(TRIM('Base de Datos'!J91),",","")))),0)&gt;IFERROR(FIND("@",SUBSTITUTE(TRIM('Base de Datos'!J91),".","@",LEN(TRIM('Base de Datos'!J91))-LEN(SUBSTITUTE(TRIM('Base de Datos'!J91),".","")))),0),_xlfn.NUMBERVALUE(SUBSTITUTE(SUBSTITUTE(TRIM('Base de Datos'!J91),".",""),",","."),".",","),_xlfn.NUMBERVALUE(SUBSTITUTE(TRIM('Base de Datos'!J91),",",""),".",",")),"")))</f>
        <v/>
      </c>
      <c r="AH95" s="73" t="n">
        <f aca="false">IF(ISNUMBER(AI95),IF(ISNUMBER('Base de Datos'!Q91),IF('Base de Datos'!Q91&gt;20000,DATE(YEAR('Base de Datos'!Q91),DAY('Base de Datos'!Q91),MONTH('Base de Datos'!Q91)),""),IF(TRIM('Base de Datos'!Q91)="","",IFERROR(DATE(VALUE(RIGHT(TRIM('Base de Datos'!Q91),4)),VALUE(LEFT(TRIM('Base de Datos'!Q91),2)),VALUE(MID(TRIM('Base de Datos'!Q91),4,2))),""))),"")</f>
        <v>45081</v>
      </c>
      <c r="AI95" s="74" t="n">
        <f aca="false">IF(ISNUMBER('Base de Datos'!R91),'Base de Datos'!R91,IF(TRIM('Base de Datos'!R91)="","",IFERROR(IF(IFERROR(FIND("@",SUBSTITUTE(TRIM('Base de Datos'!R91),",","@",LEN(TRIM('Base de Datos'!R91))-LEN(SUBSTITUTE(TRIM('Base de Datos'!R91),",","")))),0)&gt;IFERROR(FIND("@",SUBSTITUTE(TRIM('Base de Datos'!R91),".","@",LEN(TRIM('Base de Datos'!R91))-LEN(SUBSTITUTE(TRIM('Base de Datos'!R91),".","")))),0),_xlfn.NUMBERVALUE(SUBSTITUTE(SUBSTITUTE(TRIM('Base de Datos'!R91),".",""),",","."),".",","),_xlfn.NUMBERVALUE(SUBSTITUTE(TRIM('Base de Datos'!R91),",",""),".",",")),"")))</f>
        <v>30.05</v>
      </c>
      <c r="AJ95" s="73" t="n">
        <f aca="false">IF(ISNUMBER(AK95),IF(ISNUMBER('Base de Datos'!Y91),IF('Base de Datos'!Y91&gt;20000,INT('Base de Datos'!Y91),""),IF(TRIM('Base de Datos'!Y91)="","",IFERROR(DATE(VALUE(RIGHT(TRIM('Base de Datos'!Y91),4)),VALUE(MID(TRIM('Base de Datos'!Y91),4,2)),VALUE(LEFT(TRIM('Base de Datos'!Y91),2))),IFERROR(DATEVALUE(TRIM('Base de Datos'!Y91)),"")))),"")</f>
        <v>45081</v>
      </c>
      <c r="AK95" s="74" t="n">
        <f aca="false">IF(ISNUMBER('Base de Datos'!Z91),'Base de Datos'!Z91,IF(TRIM('Base de Datos'!Z91)="","",IFERROR(IF(IFERROR(FIND("@",SUBSTITUTE(TRIM('Base de Datos'!Z91),",","@",LEN(TRIM('Base de Datos'!Z91))-LEN(SUBSTITUTE(TRIM('Base de Datos'!Z91),",","")))),0)&gt;IFERROR(FIND("@",SUBSTITUTE(TRIM('Base de Datos'!Z91),".","@",LEN(TRIM('Base de Datos'!Z91))-LEN(SUBSTITUTE(TRIM('Base de Datos'!Z91),".","")))),0),_xlfn.NUMBERVALUE(SUBSTITUTE(SUBSTITUTE(TRIM('Base de Datos'!Z91),".",""),",","."),".",","),_xlfn.NUMBERVALUE(SUBSTITUTE(TRIM('Base de Datos'!Z91),",",""),".",",")),"")))</f>
        <v>54512.14</v>
      </c>
    </row>
    <row r="96" customFormat="false" ht="13.5" hidden="false" customHeight="false" outlineLevel="0" collapsed="false">
      <c r="A96" s="75" t="n">
        <f aca="false">ROWS(A$13:A96)</f>
        <v>84</v>
      </c>
      <c r="B96" s="73" t="n">
        <f aca="false">IF(B95="","",IFERROR(SMALL($AH$10:$AH$409,COUNTIF($AH$10:$AH$409,"&lt;="&amp;B95)+1),""))</f>
        <v>45067</v>
      </c>
      <c r="C96" s="74" t="n">
        <f aca="false">IF(B96="","",INDEX($AI$10:$AI$409,MATCH(B96,$AH$10:$AH$409,0)))</f>
        <v>30.3</v>
      </c>
      <c r="D96" s="74" t="n">
        <f aca="false">IF(B96="","",IFERROR(INDEX($AK$10:$AK$409,MATCH(B96,$AJ$10:$AJ$409,0)),""))</f>
        <v>54025.45</v>
      </c>
      <c r="E96" s="76" t="n">
        <f aca="false">IF(AND(ISNUMBER(C96),ISNUMBER(C95)),C96/C95-1,"")</f>
        <v>-0.00785854616895865</v>
      </c>
      <c r="F96" s="76" t="n">
        <f aca="false">IF(AND(ISNUMBER(D96),ISNUMBER(D95)),D96/D95-1,"")</f>
        <v>-0.00498378795510923</v>
      </c>
      <c r="G96" s="75" t="n">
        <f aca="false">IF(AND(ISNUMBER(E96),ISNUMBER(F96)),1,"")</f>
        <v>1</v>
      </c>
      <c r="H96" s="75" t="n">
        <f aca="false">IF(G96=1,COUNT(G96:G$412),"")</f>
        <v>176</v>
      </c>
      <c r="I96" s="75" t="n">
        <f aca="false">IF(G96=1,IF(H96&lt;='Beta Regresión'!$B$5,1,""),"")</f>
        <v>1</v>
      </c>
      <c r="J96" s="76" t="n">
        <f aca="false">IF(I96=1,E96,"")</f>
        <v>-0.00785854616895865</v>
      </c>
      <c r="K96" s="76" t="n">
        <f aca="false">IF(I96=1,F96,"")</f>
        <v>-0.00498378795510923</v>
      </c>
      <c r="L96" s="75" t="n">
        <f aca="false">IF(I96=1,COUNT(I$13:I96),"")</f>
        <v>83</v>
      </c>
      <c r="M96" s="76" t="n">
        <f aca="false">IFERROR(INDEX($J$13:$J$412,MATCH(A96,$L$13:$L$412,0)),"")</f>
        <v>-0.00429042904290422</v>
      </c>
      <c r="N96" s="76" t="n">
        <f aca="false">IFERROR(INDEX($K$13:$K$412,MATCH(A96,$L$13:$L$412,0)),"")</f>
        <v>-0.0146734548254572</v>
      </c>
      <c r="O96" s="76" t="n">
        <f aca="false">IF(I96=1,E96,NA())</f>
        <v>-0.00785854616895865</v>
      </c>
      <c r="P96" s="76" t="n">
        <f aca="false">IF(I96=1,F96,NA())</f>
        <v>-0.00498378795510923</v>
      </c>
      <c r="R96" s="75" t="n">
        <f aca="false">ROWS(R$13:R96)</f>
        <v>84</v>
      </c>
      <c r="S96" s="73" t="str">
        <f aca="false">IF(S95="","",IFERROR(SMALL($AD$10:$AD$509,COUNTIF($AD$10:$AD$509,"&lt;="&amp;S95)+1),""))</f>
        <v/>
      </c>
      <c r="T96" s="74" t="str">
        <f aca="false">IF(S96="","",INDEX($AE$10:$AE$509,MATCH(S96,$AD$10:$AD$509,0)))</f>
        <v/>
      </c>
      <c r="U96" s="74" t="str">
        <f aca="false">IF(S96="","",IFERROR(INDEX($AG$10:$AG$509,MATCH(S96,$AF$10:$AF$509,0)),""))</f>
        <v/>
      </c>
      <c r="V96" s="76" t="str">
        <f aca="false">IF(AND(ISNUMBER(T96),ISNUMBER(T95)),T96/T95-1,"")</f>
        <v/>
      </c>
      <c r="W96" s="76" t="str">
        <f aca="false">IF(AND(ISNUMBER(U96),ISNUMBER(U95)),U96/U95-1,"")</f>
        <v/>
      </c>
      <c r="X96" s="75" t="str">
        <f aca="false">IF(AND(ISNUMBER(V96),ISNUMBER(W96)),1,"")</f>
        <v/>
      </c>
      <c r="Y96" s="76" t="str">
        <f aca="false">IF(X96=1,V96,"")</f>
        <v/>
      </c>
      <c r="Z96" s="76" t="str">
        <f aca="false">IF(X96=1,W96,"")</f>
        <v/>
      </c>
      <c r="AA96" s="76" t="e">
        <f aca="false">IF(X96=1,V96,NA())</f>
        <v>#N/A</v>
      </c>
      <c r="AB96" s="76" t="e">
        <f aca="false">IF(X96=1,W96,NA())</f>
        <v>#N/A</v>
      </c>
      <c r="AD96" s="73" t="str">
        <f aca="false">IF(ISNUMBER(AE96),IF(ISNUMBER('Base de Datos'!A92),IF('Base de Datos'!A92&gt;20000,DATE(YEAR('Base de Datos'!A92),DAY('Base de Datos'!A92),MONTH('Base de Datos'!A92)),""),IF(TRIM('Base de Datos'!A92)="","",IFERROR(DATE(VALUE(RIGHT(TRIM('Base de Datos'!A92),4)),VALUE(LEFT(TRIM('Base de Datos'!A92),2)),VALUE(MID(TRIM('Base de Datos'!A92),4,2))),""))),"")</f>
        <v/>
      </c>
      <c r="AE96" s="74" t="str">
        <f aca="false">IF(ISNUMBER('Base de Datos'!B92),'Base de Datos'!B92,IF(TRIM('Base de Datos'!B92)="","",IFERROR(IF(IFERROR(FIND("@",SUBSTITUTE(TRIM('Base de Datos'!B92),",","@",LEN(TRIM('Base de Datos'!B92))-LEN(SUBSTITUTE(TRIM('Base de Datos'!B92),",","")))),0)&gt;IFERROR(FIND("@",SUBSTITUTE(TRIM('Base de Datos'!B92),".","@",LEN(TRIM('Base de Datos'!B92))-LEN(SUBSTITUTE(TRIM('Base de Datos'!B92),".","")))),0),_xlfn.NUMBERVALUE(SUBSTITUTE(SUBSTITUTE(TRIM('Base de Datos'!B92),".",""),",","."),".",","),_xlfn.NUMBERVALUE(SUBSTITUTE(TRIM('Base de Datos'!B92),",",""),".",",")),"")))</f>
        <v/>
      </c>
      <c r="AF96" s="73" t="str">
        <f aca="false">IF(ISNUMBER(AG96),IF(ISNUMBER('Base de Datos'!I92),IF('Base de Datos'!I92&gt;20000,INT('Base de Datos'!I92),""),IF(TRIM('Base de Datos'!I92)="","",IFERROR(DATE(VALUE(RIGHT(TRIM('Base de Datos'!I92),4)),VALUE(MID(TRIM('Base de Datos'!I92),4,2)),VALUE(LEFT(TRIM('Base de Datos'!I92),2))),IFERROR(DATEVALUE(TRIM('Base de Datos'!I92)),"")))),"")</f>
        <v/>
      </c>
      <c r="AG96" s="74" t="str">
        <f aca="false">IF(ISNUMBER('Base de Datos'!J92),'Base de Datos'!J92,IF(TRIM('Base de Datos'!J92)="","",IFERROR(IF(IFERROR(FIND("@",SUBSTITUTE(TRIM('Base de Datos'!J92),",","@",LEN(TRIM('Base de Datos'!J92))-LEN(SUBSTITUTE(TRIM('Base de Datos'!J92),",","")))),0)&gt;IFERROR(FIND("@",SUBSTITUTE(TRIM('Base de Datos'!J92),".","@",LEN(TRIM('Base de Datos'!J92))-LEN(SUBSTITUTE(TRIM('Base de Datos'!J92),".","")))),0),_xlfn.NUMBERVALUE(SUBSTITUTE(SUBSTITUTE(TRIM('Base de Datos'!J92),".",""),",","."),".",","),_xlfn.NUMBERVALUE(SUBSTITUTE(TRIM('Base de Datos'!J92),",",""),".",",")),"")))</f>
        <v/>
      </c>
      <c r="AH96" s="73" t="n">
        <f aca="false">IF(ISNUMBER(AI96),IF(ISNUMBER('Base de Datos'!Q92),IF('Base de Datos'!Q92&gt;20000,DATE(YEAR('Base de Datos'!Q92),DAY('Base de Datos'!Q92),MONTH('Base de Datos'!Q92)),""),IF(TRIM('Base de Datos'!Q92)="","",IFERROR(DATE(VALUE(RIGHT(TRIM('Base de Datos'!Q92),4)),VALUE(LEFT(TRIM('Base de Datos'!Q92),2)),VALUE(MID(TRIM('Base de Datos'!Q92),4,2))),""))),"")</f>
        <v>45088</v>
      </c>
      <c r="AI96" s="74" t="n">
        <f aca="false">IF(ISNUMBER('Base de Datos'!R92),'Base de Datos'!R92,IF(TRIM('Base de Datos'!R92)="","",IFERROR(IF(IFERROR(FIND("@",SUBSTITUTE(TRIM('Base de Datos'!R92),",","@",LEN(TRIM('Base de Datos'!R92))-LEN(SUBSTITUTE(TRIM('Base de Datos'!R92),",","")))),0)&gt;IFERROR(FIND("@",SUBSTITUTE(TRIM('Base de Datos'!R92),".","@",LEN(TRIM('Base de Datos'!R92))-LEN(SUBSTITUTE(TRIM('Base de Datos'!R92),".","")))),0),_xlfn.NUMBERVALUE(SUBSTITUTE(SUBSTITUTE(TRIM('Base de Datos'!R92),".",""),",","."),".",","),_xlfn.NUMBERVALUE(SUBSTITUTE(TRIM('Base de Datos'!R92),",",""),".",",")),"")))</f>
        <v>29.07</v>
      </c>
      <c r="AJ96" s="73" t="n">
        <f aca="false">IF(ISNUMBER(AK96),IF(ISNUMBER('Base de Datos'!Y92),IF('Base de Datos'!Y92&gt;20000,INT('Base de Datos'!Y92),""),IF(TRIM('Base de Datos'!Y92)="","",IFERROR(DATE(VALUE(RIGHT(TRIM('Base de Datos'!Y92),4)),VALUE(MID(TRIM('Base de Datos'!Y92),4,2)),VALUE(LEFT(TRIM('Base de Datos'!Y92),2))),IFERROR(DATEVALUE(TRIM('Base de Datos'!Y92)),"")))),"")</f>
        <v>45088</v>
      </c>
      <c r="AK96" s="74" t="n">
        <f aca="false">IF(ISNUMBER('Base de Datos'!Z92),'Base de Datos'!Z92,IF(TRIM('Base de Datos'!Z92)="","",IFERROR(IF(IFERROR(FIND("@",SUBSTITUTE(TRIM('Base de Datos'!Z92),",","@",LEN(TRIM('Base de Datos'!Z92))-LEN(SUBSTITUTE(TRIM('Base de Datos'!Z92),",","")))),0)&gt;IFERROR(FIND("@",SUBSTITUTE(TRIM('Base de Datos'!Z92),".","@",LEN(TRIM('Base de Datos'!Z92))-LEN(SUBSTITUTE(TRIM('Base de Datos'!Z92),".","")))),0),_xlfn.NUMBERVALUE(SUBSTITUTE(SUBSTITUTE(TRIM('Base de Datos'!Z92),".",""),",","."),".",","),_xlfn.NUMBERVALUE(SUBSTITUTE(TRIM('Base de Datos'!Z92),",",""),".",",")),"")))</f>
        <v>54842.51</v>
      </c>
    </row>
    <row r="97" customFormat="false" ht="13.5" hidden="false" customHeight="false" outlineLevel="0" collapsed="false">
      <c r="A97" s="75" t="n">
        <f aca="false">ROWS(A$13:A97)</f>
        <v>85</v>
      </c>
      <c r="B97" s="73" t="n">
        <f aca="false">IF(B96="","",IFERROR(SMALL($AH$10:$AH$409,COUNTIF($AH$10:$AH$409,"&lt;="&amp;B96)+1),""))</f>
        <v>45074</v>
      </c>
      <c r="C97" s="74" t="n">
        <f aca="false">IF(B97="","",INDEX($AI$10:$AI$409,MATCH(B97,$AH$10:$AH$409,0)))</f>
        <v>30.17</v>
      </c>
      <c r="D97" s="74" t="n">
        <f aca="false">IF(B97="","",IFERROR(INDEX($AK$10:$AK$409,MATCH(B97,$AJ$10:$AJ$409,0)),""))</f>
        <v>53232.71</v>
      </c>
      <c r="E97" s="76" t="n">
        <f aca="false">IF(AND(ISNUMBER(C97),ISNUMBER(C96)),C97/C96-1,"")</f>
        <v>-0.00429042904290422</v>
      </c>
      <c r="F97" s="76" t="n">
        <f aca="false">IF(AND(ISNUMBER(D97),ISNUMBER(D96)),D97/D96-1,"")</f>
        <v>-0.0146734548254572</v>
      </c>
      <c r="G97" s="75" t="n">
        <f aca="false">IF(AND(ISNUMBER(E97),ISNUMBER(F97)),1,"")</f>
        <v>1</v>
      </c>
      <c r="H97" s="75" t="n">
        <f aca="false">IF(G97=1,COUNT(G97:G$412),"")</f>
        <v>175</v>
      </c>
      <c r="I97" s="75" t="n">
        <f aca="false">IF(G97=1,IF(H97&lt;='Beta Regresión'!$B$5,1,""),"")</f>
        <v>1</v>
      </c>
      <c r="J97" s="76" t="n">
        <f aca="false">IF(I97=1,E97,"")</f>
        <v>-0.00429042904290422</v>
      </c>
      <c r="K97" s="76" t="n">
        <f aca="false">IF(I97=1,F97,"")</f>
        <v>-0.0146734548254572</v>
      </c>
      <c r="L97" s="75" t="n">
        <f aca="false">IF(I97=1,COUNT(I$13:I97),"")</f>
        <v>84</v>
      </c>
      <c r="M97" s="76" t="n">
        <f aca="false">IFERROR(INDEX($J$13:$J$412,MATCH(A97,$L$13:$L$412,0)),"")</f>
        <v>-0.00397746105402719</v>
      </c>
      <c r="N97" s="76" t="n">
        <f aca="false">IFERROR(INDEX($K$13:$K$412,MATCH(A97,$L$13:$L$412,0)),"")</f>
        <v>0.0240346583895503</v>
      </c>
      <c r="O97" s="76" t="n">
        <f aca="false">IF(I97=1,E97,NA())</f>
        <v>-0.00429042904290422</v>
      </c>
      <c r="P97" s="76" t="n">
        <f aca="false">IF(I97=1,F97,NA())</f>
        <v>-0.0146734548254572</v>
      </c>
      <c r="R97" s="75" t="n">
        <f aca="false">ROWS(R$13:R97)</f>
        <v>85</v>
      </c>
      <c r="S97" s="73" t="str">
        <f aca="false">IF(S96="","",IFERROR(SMALL($AD$10:$AD$509,COUNTIF($AD$10:$AD$509,"&lt;="&amp;S96)+1),""))</f>
        <v/>
      </c>
      <c r="T97" s="74" t="str">
        <f aca="false">IF(S97="","",INDEX($AE$10:$AE$509,MATCH(S97,$AD$10:$AD$509,0)))</f>
        <v/>
      </c>
      <c r="U97" s="74" t="str">
        <f aca="false">IF(S97="","",IFERROR(INDEX($AG$10:$AG$509,MATCH(S97,$AF$10:$AF$509,0)),""))</f>
        <v/>
      </c>
      <c r="V97" s="76" t="str">
        <f aca="false">IF(AND(ISNUMBER(T97),ISNUMBER(T96)),T97/T96-1,"")</f>
        <v/>
      </c>
      <c r="W97" s="76" t="str">
        <f aca="false">IF(AND(ISNUMBER(U97),ISNUMBER(U96)),U97/U96-1,"")</f>
        <v/>
      </c>
      <c r="X97" s="75" t="str">
        <f aca="false">IF(AND(ISNUMBER(V97),ISNUMBER(W97)),1,"")</f>
        <v/>
      </c>
      <c r="Y97" s="76" t="str">
        <f aca="false">IF(X97=1,V97,"")</f>
        <v/>
      </c>
      <c r="Z97" s="76" t="str">
        <f aca="false">IF(X97=1,W97,"")</f>
        <v/>
      </c>
      <c r="AA97" s="76" t="e">
        <f aca="false">IF(X97=1,V97,NA())</f>
        <v>#N/A</v>
      </c>
      <c r="AB97" s="76" t="e">
        <f aca="false">IF(X97=1,W97,NA())</f>
        <v>#N/A</v>
      </c>
      <c r="AD97" s="73" t="str">
        <f aca="false">IF(ISNUMBER(AE97),IF(ISNUMBER('Base de Datos'!A93),IF('Base de Datos'!A93&gt;20000,DATE(YEAR('Base de Datos'!A93),DAY('Base de Datos'!A93),MONTH('Base de Datos'!A93)),""),IF(TRIM('Base de Datos'!A93)="","",IFERROR(DATE(VALUE(RIGHT(TRIM('Base de Datos'!A93),4)),VALUE(LEFT(TRIM('Base de Datos'!A93),2)),VALUE(MID(TRIM('Base de Datos'!A93),4,2))),""))),"")</f>
        <v/>
      </c>
      <c r="AE97" s="74" t="str">
        <f aca="false">IF(ISNUMBER('Base de Datos'!B93),'Base de Datos'!B93,IF(TRIM('Base de Datos'!B93)="","",IFERROR(IF(IFERROR(FIND("@",SUBSTITUTE(TRIM('Base de Datos'!B93),",","@",LEN(TRIM('Base de Datos'!B93))-LEN(SUBSTITUTE(TRIM('Base de Datos'!B93),",","")))),0)&gt;IFERROR(FIND("@",SUBSTITUTE(TRIM('Base de Datos'!B93),".","@",LEN(TRIM('Base de Datos'!B93))-LEN(SUBSTITUTE(TRIM('Base de Datos'!B93),".","")))),0),_xlfn.NUMBERVALUE(SUBSTITUTE(SUBSTITUTE(TRIM('Base de Datos'!B93),".",""),",","."),".",","),_xlfn.NUMBERVALUE(SUBSTITUTE(TRIM('Base de Datos'!B93),",",""),".",",")),"")))</f>
        <v/>
      </c>
      <c r="AF97" s="73" t="str">
        <f aca="false">IF(ISNUMBER(AG97),IF(ISNUMBER('Base de Datos'!I93),IF('Base de Datos'!I93&gt;20000,INT('Base de Datos'!I93),""),IF(TRIM('Base de Datos'!I93)="","",IFERROR(DATE(VALUE(RIGHT(TRIM('Base de Datos'!I93),4)),VALUE(MID(TRIM('Base de Datos'!I93),4,2)),VALUE(LEFT(TRIM('Base de Datos'!I93),2))),IFERROR(DATEVALUE(TRIM('Base de Datos'!I93)),"")))),"")</f>
        <v/>
      </c>
      <c r="AG97" s="74" t="str">
        <f aca="false">IF(ISNUMBER('Base de Datos'!J93),'Base de Datos'!J93,IF(TRIM('Base de Datos'!J93)="","",IFERROR(IF(IFERROR(FIND("@",SUBSTITUTE(TRIM('Base de Datos'!J93),",","@",LEN(TRIM('Base de Datos'!J93))-LEN(SUBSTITUTE(TRIM('Base de Datos'!J93),",","")))),0)&gt;IFERROR(FIND("@",SUBSTITUTE(TRIM('Base de Datos'!J93),".","@",LEN(TRIM('Base de Datos'!J93))-LEN(SUBSTITUTE(TRIM('Base de Datos'!J93),".","")))),0),_xlfn.NUMBERVALUE(SUBSTITUTE(SUBSTITUTE(TRIM('Base de Datos'!J93),".",""),",","."),".",","),_xlfn.NUMBERVALUE(SUBSTITUTE(TRIM('Base de Datos'!J93),",",""),".",",")),"")))</f>
        <v/>
      </c>
      <c r="AH97" s="73" t="n">
        <f aca="false">IF(ISNUMBER(AI97),IF(ISNUMBER('Base de Datos'!Q93),IF('Base de Datos'!Q93&gt;20000,DATE(YEAR('Base de Datos'!Q93),DAY('Base de Datos'!Q93),MONTH('Base de Datos'!Q93)),""),IF(TRIM('Base de Datos'!Q93)="","",IFERROR(DATE(VALUE(RIGHT(TRIM('Base de Datos'!Q93),4)),VALUE(LEFT(TRIM('Base de Datos'!Q93),2)),VALUE(MID(TRIM('Base de Datos'!Q93),4,2))),""))),"")</f>
        <v>45095</v>
      </c>
      <c r="AI97" s="74" t="n">
        <f aca="false">IF(ISNUMBER('Base de Datos'!R93),'Base de Datos'!R93,IF(TRIM('Base de Datos'!R93)="","",IFERROR(IF(IFERROR(FIND("@",SUBSTITUTE(TRIM('Base de Datos'!R93),",","@",LEN(TRIM('Base de Datos'!R93))-LEN(SUBSTITUTE(TRIM('Base de Datos'!R93),",","")))),0)&gt;IFERROR(FIND("@",SUBSTITUTE(TRIM('Base de Datos'!R93),".","@",LEN(TRIM('Base de Datos'!R93))-LEN(SUBSTITUTE(TRIM('Base de Datos'!R93),".","")))),0),_xlfn.NUMBERVALUE(SUBSTITUTE(SUBSTITUTE(TRIM('Base de Datos'!R93),".",""),",","."),".",","),_xlfn.NUMBERVALUE(SUBSTITUTE(TRIM('Base de Datos'!R93),",",""),".",",")),"")))</f>
        <v>28.86</v>
      </c>
      <c r="AJ97" s="73" t="n">
        <f aca="false">IF(ISNUMBER(AK97),IF(ISNUMBER('Base de Datos'!Y93),IF('Base de Datos'!Y93&gt;20000,INT('Base de Datos'!Y93),""),IF(TRIM('Base de Datos'!Y93)="","",IFERROR(DATE(VALUE(RIGHT(TRIM('Base de Datos'!Y93),4)),VALUE(MID(TRIM('Base de Datos'!Y93),4,2)),VALUE(LEFT(TRIM('Base de Datos'!Y93),2))),IFERROR(DATEVALUE(TRIM('Base de Datos'!Y93)),"")))),"")</f>
        <v>45095</v>
      </c>
      <c r="AK97" s="74" t="n">
        <f aca="false">IF(ISNUMBER('Base de Datos'!Z93),'Base de Datos'!Z93,IF(TRIM('Base de Datos'!Z93)="","",IFERROR(IF(IFERROR(FIND("@",SUBSTITUTE(TRIM('Base de Datos'!Z93),",","@",LEN(TRIM('Base de Datos'!Z93))-LEN(SUBSTITUTE(TRIM('Base de Datos'!Z93),",","")))),0)&gt;IFERROR(FIND("@",SUBSTITUTE(TRIM('Base de Datos'!Z93),".","@",LEN(TRIM('Base de Datos'!Z93))-LEN(SUBSTITUTE(TRIM('Base de Datos'!Z93),".","")))),0),_xlfn.NUMBERVALUE(SUBSTITUTE(SUBSTITUTE(TRIM('Base de Datos'!Z93),".",""),",","."),".",","),_xlfn.NUMBERVALUE(SUBSTITUTE(TRIM('Base de Datos'!Z93),",",""),".",",")),"")))</f>
        <v>53341.91</v>
      </c>
    </row>
    <row r="98" customFormat="false" ht="13.5" hidden="false" customHeight="false" outlineLevel="0" collapsed="false">
      <c r="A98" s="75" t="n">
        <f aca="false">ROWS(A$13:A98)</f>
        <v>86</v>
      </c>
      <c r="B98" s="73" t="n">
        <f aca="false">IF(B97="","",IFERROR(SMALL($AH$10:$AH$409,COUNTIF($AH$10:$AH$409,"&lt;="&amp;B97)+1),""))</f>
        <v>45081</v>
      </c>
      <c r="C98" s="74" t="n">
        <f aca="false">IF(B98="","",INDEX($AI$10:$AI$409,MATCH(B98,$AH$10:$AH$409,0)))</f>
        <v>30.05</v>
      </c>
      <c r="D98" s="74" t="n">
        <f aca="false">IF(B98="","",IFERROR(INDEX($AK$10:$AK$409,MATCH(B98,$AJ$10:$AJ$409,0)),""))</f>
        <v>54512.14</v>
      </c>
      <c r="E98" s="76" t="n">
        <f aca="false">IF(AND(ISNUMBER(C98),ISNUMBER(C97)),C98/C97-1,"")</f>
        <v>-0.00397746105402719</v>
      </c>
      <c r="F98" s="76" t="n">
        <f aca="false">IF(AND(ISNUMBER(D98),ISNUMBER(D97)),D98/D97-1,"")</f>
        <v>0.0240346583895503</v>
      </c>
      <c r="G98" s="75" t="n">
        <f aca="false">IF(AND(ISNUMBER(E98),ISNUMBER(F98)),1,"")</f>
        <v>1</v>
      </c>
      <c r="H98" s="75" t="n">
        <f aca="false">IF(G98=1,COUNT(G98:G$412),"")</f>
        <v>174</v>
      </c>
      <c r="I98" s="75" t="n">
        <f aca="false">IF(G98=1,IF(H98&lt;='Beta Regresión'!$B$5,1,""),"")</f>
        <v>1</v>
      </c>
      <c r="J98" s="76" t="n">
        <f aca="false">IF(I98=1,E98,"")</f>
        <v>-0.00397746105402719</v>
      </c>
      <c r="K98" s="76" t="n">
        <f aca="false">IF(I98=1,F98,"")</f>
        <v>0.0240346583895503</v>
      </c>
      <c r="L98" s="75" t="n">
        <f aca="false">IF(I98=1,COUNT(I$13:I98),"")</f>
        <v>85</v>
      </c>
      <c r="M98" s="76" t="n">
        <f aca="false">IFERROR(INDEX($J$13:$J$412,MATCH(A98,$L$13:$L$412,0)),"")</f>
        <v>-0.0326123128119801</v>
      </c>
      <c r="N98" s="76" t="n">
        <f aca="false">IFERROR(INDEX($K$13:$K$412,MATCH(A98,$L$13:$L$412,0)),"")</f>
        <v>0.00606048487547906</v>
      </c>
      <c r="O98" s="76" t="n">
        <f aca="false">IF(I98=1,E98,NA())</f>
        <v>-0.00397746105402719</v>
      </c>
      <c r="P98" s="76" t="n">
        <f aca="false">IF(I98=1,F98,NA())</f>
        <v>0.0240346583895503</v>
      </c>
      <c r="R98" s="75" t="n">
        <f aca="false">ROWS(R$13:R98)</f>
        <v>86</v>
      </c>
      <c r="S98" s="73" t="str">
        <f aca="false">IF(S97="","",IFERROR(SMALL($AD$10:$AD$509,COUNTIF($AD$10:$AD$509,"&lt;="&amp;S97)+1),""))</f>
        <v/>
      </c>
      <c r="T98" s="74" t="str">
        <f aca="false">IF(S98="","",INDEX($AE$10:$AE$509,MATCH(S98,$AD$10:$AD$509,0)))</f>
        <v/>
      </c>
      <c r="U98" s="74" t="str">
        <f aca="false">IF(S98="","",IFERROR(INDEX($AG$10:$AG$509,MATCH(S98,$AF$10:$AF$509,0)),""))</f>
        <v/>
      </c>
      <c r="V98" s="76" t="str">
        <f aca="false">IF(AND(ISNUMBER(T98),ISNUMBER(T97)),T98/T97-1,"")</f>
        <v/>
      </c>
      <c r="W98" s="76" t="str">
        <f aca="false">IF(AND(ISNUMBER(U98),ISNUMBER(U97)),U98/U97-1,"")</f>
        <v/>
      </c>
      <c r="X98" s="75" t="str">
        <f aca="false">IF(AND(ISNUMBER(V98),ISNUMBER(W98)),1,"")</f>
        <v/>
      </c>
      <c r="Y98" s="76" t="str">
        <f aca="false">IF(X98=1,V98,"")</f>
        <v/>
      </c>
      <c r="Z98" s="76" t="str">
        <f aca="false">IF(X98=1,W98,"")</f>
        <v/>
      </c>
      <c r="AA98" s="76" t="e">
        <f aca="false">IF(X98=1,V98,NA())</f>
        <v>#N/A</v>
      </c>
      <c r="AB98" s="76" t="e">
        <f aca="false">IF(X98=1,W98,NA())</f>
        <v>#N/A</v>
      </c>
      <c r="AD98" s="73" t="str">
        <f aca="false">IF(ISNUMBER(AE98),IF(ISNUMBER('Base de Datos'!A94),IF('Base de Datos'!A94&gt;20000,DATE(YEAR('Base de Datos'!A94),DAY('Base de Datos'!A94),MONTH('Base de Datos'!A94)),""),IF(TRIM('Base de Datos'!A94)="","",IFERROR(DATE(VALUE(RIGHT(TRIM('Base de Datos'!A94),4)),VALUE(LEFT(TRIM('Base de Datos'!A94),2)),VALUE(MID(TRIM('Base de Datos'!A94),4,2))),""))),"")</f>
        <v/>
      </c>
      <c r="AE98" s="74" t="str">
        <f aca="false">IF(ISNUMBER('Base de Datos'!B94),'Base de Datos'!B94,IF(TRIM('Base de Datos'!B94)="","",IFERROR(IF(IFERROR(FIND("@",SUBSTITUTE(TRIM('Base de Datos'!B94),",","@",LEN(TRIM('Base de Datos'!B94))-LEN(SUBSTITUTE(TRIM('Base de Datos'!B94),",","")))),0)&gt;IFERROR(FIND("@",SUBSTITUTE(TRIM('Base de Datos'!B94),".","@",LEN(TRIM('Base de Datos'!B94))-LEN(SUBSTITUTE(TRIM('Base de Datos'!B94),".","")))),0),_xlfn.NUMBERVALUE(SUBSTITUTE(SUBSTITUTE(TRIM('Base de Datos'!B94),".",""),",","."),".",","),_xlfn.NUMBERVALUE(SUBSTITUTE(TRIM('Base de Datos'!B94),",",""),".",",")),"")))</f>
        <v/>
      </c>
      <c r="AF98" s="73" t="str">
        <f aca="false">IF(ISNUMBER(AG98),IF(ISNUMBER('Base de Datos'!I94),IF('Base de Datos'!I94&gt;20000,INT('Base de Datos'!I94),""),IF(TRIM('Base de Datos'!I94)="","",IFERROR(DATE(VALUE(RIGHT(TRIM('Base de Datos'!I94),4)),VALUE(MID(TRIM('Base de Datos'!I94),4,2)),VALUE(LEFT(TRIM('Base de Datos'!I94),2))),IFERROR(DATEVALUE(TRIM('Base de Datos'!I94)),"")))),"")</f>
        <v/>
      </c>
      <c r="AG98" s="74" t="str">
        <f aca="false">IF(ISNUMBER('Base de Datos'!J94),'Base de Datos'!J94,IF(TRIM('Base de Datos'!J94)="","",IFERROR(IF(IFERROR(FIND("@",SUBSTITUTE(TRIM('Base de Datos'!J94),",","@",LEN(TRIM('Base de Datos'!J94))-LEN(SUBSTITUTE(TRIM('Base de Datos'!J94),",","")))),0)&gt;IFERROR(FIND("@",SUBSTITUTE(TRIM('Base de Datos'!J94),".","@",LEN(TRIM('Base de Datos'!J94))-LEN(SUBSTITUTE(TRIM('Base de Datos'!J94),".","")))),0),_xlfn.NUMBERVALUE(SUBSTITUTE(SUBSTITUTE(TRIM('Base de Datos'!J94),".",""),",","."),".",","),_xlfn.NUMBERVALUE(SUBSTITUTE(TRIM('Base de Datos'!J94),",",""),".",",")),"")))</f>
        <v/>
      </c>
      <c r="AH98" s="73" t="n">
        <f aca="false">IF(ISNUMBER(AI98),IF(ISNUMBER('Base de Datos'!Q94),IF('Base de Datos'!Q94&gt;20000,DATE(YEAR('Base de Datos'!Q94),DAY('Base de Datos'!Q94),MONTH('Base de Datos'!Q94)),""),IF(TRIM('Base de Datos'!Q94)="","",IFERROR(DATE(VALUE(RIGHT(TRIM('Base de Datos'!Q94),4)),VALUE(LEFT(TRIM('Base de Datos'!Q94),2)),VALUE(MID(TRIM('Base de Datos'!Q94),4,2))),""))),"")</f>
        <v>45102</v>
      </c>
      <c r="AI98" s="74" t="n">
        <f aca="false">IF(ISNUMBER('Base de Datos'!R94),'Base de Datos'!R94,IF(TRIM('Base de Datos'!R94)="","",IFERROR(IF(IFERROR(FIND("@",SUBSTITUTE(TRIM('Base de Datos'!R94),",","@",LEN(TRIM('Base de Datos'!R94))-LEN(SUBSTITUTE(TRIM('Base de Datos'!R94),",","")))),0)&gt;IFERROR(FIND("@",SUBSTITUTE(TRIM('Base de Datos'!R94),".","@",LEN(TRIM('Base de Datos'!R94))-LEN(SUBSTITUTE(TRIM('Base de Datos'!R94),".","")))),0),_xlfn.NUMBERVALUE(SUBSTITUTE(SUBSTITUTE(TRIM('Base de Datos'!R94),".",""),",","."),".",","),_xlfn.NUMBERVALUE(SUBSTITUTE(TRIM('Base de Datos'!R94),",",""),".",",")),"")))</f>
        <v>28.49</v>
      </c>
      <c r="AJ98" s="73" t="n">
        <f aca="false">IF(ISNUMBER(AK98),IF(ISNUMBER('Base de Datos'!Y94),IF('Base de Datos'!Y94&gt;20000,INT('Base de Datos'!Y94),""),IF(TRIM('Base de Datos'!Y94)="","",IFERROR(DATE(VALUE(RIGHT(TRIM('Base de Datos'!Y94),4)),VALUE(MID(TRIM('Base de Datos'!Y94),4,2)),VALUE(LEFT(TRIM('Base de Datos'!Y94),2))),IFERROR(DATEVALUE(TRIM('Base de Datos'!Y94)),"")))),"")</f>
        <v>45102</v>
      </c>
      <c r="AK98" s="74" t="n">
        <f aca="false">IF(ISNUMBER('Base de Datos'!Z94),'Base de Datos'!Z94,IF(TRIM('Base de Datos'!Z94)="","",IFERROR(IF(IFERROR(FIND("@",SUBSTITUTE(TRIM('Base de Datos'!Z94),",","@",LEN(TRIM('Base de Datos'!Z94))-LEN(SUBSTITUTE(TRIM('Base de Datos'!Z94),",","")))),0)&gt;IFERROR(FIND("@",SUBSTITUTE(TRIM('Base de Datos'!Z94),".","@",LEN(TRIM('Base de Datos'!Z94))-LEN(SUBSTITUTE(TRIM('Base de Datos'!Z94),".","")))),0),_xlfn.NUMBERVALUE(SUBSTITUTE(SUBSTITUTE(TRIM('Base de Datos'!Z94),".",""),",","."),".",","),_xlfn.NUMBERVALUE(SUBSTITUTE(TRIM('Base de Datos'!Z94),",",""),".",",")),"")))</f>
        <v>53526.1</v>
      </c>
    </row>
    <row r="99" customFormat="false" ht="13.5" hidden="false" customHeight="false" outlineLevel="0" collapsed="false">
      <c r="A99" s="75" t="n">
        <f aca="false">ROWS(A$13:A99)</f>
        <v>87</v>
      </c>
      <c r="B99" s="73" t="n">
        <f aca="false">IF(B98="","",IFERROR(SMALL($AH$10:$AH$409,COUNTIF($AH$10:$AH$409,"&lt;="&amp;B98)+1),""))</f>
        <v>45088</v>
      </c>
      <c r="C99" s="74" t="n">
        <f aca="false">IF(B99="","",INDEX($AI$10:$AI$409,MATCH(B99,$AH$10:$AH$409,0)))</f>
        <v>29.07</v>
      </c>
      <c r="D99" s="74" t="n">
        <f aca="false">IF(B99="","",IFERROR(INDEX($AK$10:$AK$409,MATCH(B99,$AJ$10:$AJ$409,0)),""))</f>
        <v>54842.51</v>
      </c>
      <c r="E99" s="76" t="n">
        <f aca="false">IF(AND(ISNUMBER(C99),ISNUMBER(C98)),C99/C98-1,"")</f>
        <v>-0.0326123128119801</v>
      </c>
      <c r="F99" s="76" t="n">
        <f aca="false">IF(AND(ISNUMBER(D99),ISNUMBER(D98)),D99/D98-1,"")</f>
        <v>0.00606048487547906</v>
      </c>
      <c r="G99" s="75" t="n">
        <f aca="false">IF(AND(ISNUMBER(E99),ISNUMBER(F99)),1,"")</f>
        <v>1</v>
      </c>
      <c r="H99" s="75" t="n">
        <f aca="false">IF(G99=1,COUNT(G99:G$412),"")</f>
        <v>173</v>
      </c>
      <c r="I99" s="75" t="n">
        <f aca="false">IF(G99=1,IF(H99&lt;='Beta Regresión'!$B$5,1,""),"")</f>
        <v>1</v>
      </c>
      <c r="J99" s="76" t="n">
        <f aca="false">IF(I99=1,E99,"")</f>
        <v>-0.0326123128119801</v>
      </c>
      <c r="K99" s="76" t="n">
        <f aca="false">IF(I99=1,F99,"")</f>
        <v>0.00606048487547906</v>
      </c>
      <c r="L99" s="75" t="n">
        <f aca="false">IF(I99=1,COUNT(I$13:I99),"")</f>
        <v>86</v>
      </c>
      <c r="M99" s="76" t="n">
        <f aca="false">IFERROR(INDEX($J$13:$J$412,MATCH(A99,$L$13:$L$412,0)),"")</f>
        <v>-0.00722394220846234</v>
      </c>
      <c r="N99" s="76" t="n">
        <f aca="false">IFERROR(INDEX($K$13:$K$412,MATCH(A99,$L$13:$L$412,0)),"")</f>
        <v>-0.0273619861672998</v>
      </c>
      <c r="O99" s="76" t="n">
        <f aca="false">IF(I99=1,E99,NA())</f>
        <v>-0.0326123128119801</v>
      </c>
      <c r="P99" s="76" t="n">
        <f aca="false">IF(I99=1,F99,NA())</f>
        <v>0.00606048487547906</v>
      </c>
      <c r="R99" s="75" t="n">
        <f aca="false">ROWS(R$13:R99)</f>
        <v>87</v>
      </c>
      <c r="S99" s="73" t="str">
        <f aca="false">IF(S98="","",IFERROR(SMALL($AD$10:$AD$509,COUNTIF($AD$10:$AD$509,"&lt;="&amp;S98)+1),""))</f>
        <v/>
      </c>
      <c r="T99" s="74" t="str">
        <f aca="false">IF(S99="","",INDEX($AE$10:$AE$509,MATCH(S99,$AD$10:$AD$509,0)))</f>
        <v/>
      </c>
      <c r="U99" s="74" t="str">
        <f aca="false">IF(S99="","",IFERROR(INDEX($AG$10:$AG$509,MATCH(S99,$AF$10:$AF$509,0)),""))</f>
        <v/>
      </c>
      <c r="V99" s="76" t="str">
        <f aca="false">IF(AND(ISNUMBER(T99),ISNUMBER(T98)),T99/T98-1,"")</f>
        <v/>
      </c>
      <c r="W99" s="76" t="str">
        <f aca="false">IF(AND(ISNUMBER(U99),ISNUMBER(U98)),U99/U98-1,"")</f>
        <v/>
      </c>
      <c r="X99" s="75" t="str">
        <f aca="false">IF(AND(ISNUMBER(V99),ISNUMBER(W99)),1,"")</f>
        <v/>
      </c>
      <c r="Y99" s="76" t="str">
        <f aca="false">IF(X99=1,V99,"")</f>
        <v/>
      </c>
      <c r="Z99" s="76" t="str">
        <f aca="false">IF(X99=1,W99,"")</f>
        <v/>
      </c>
      <c r="AA99" s="76" t="e">
        <f aca="false">IF(X99=1,V99,NA())</f>
        <v>#N/A</v>
      </c>
      <c r="AB99" s="76" t="e">
        <f aca="false">IF(X99=1,W99,NA())</f>
        <v>#N/A</v>
      </c>
      <c r="AD99" s="73" t="str">
        <f aca="false">IF(ISNUMBER(AE99),IF(ISNUMBER('Base de Datos'!A95),IF('Base de Datos'!A95&gt;20000,DATE(YEAR('Base de Datos'!A95),DAY('Base de Datos'!A95),MONTH('Base de Datos'!A95)),""),IF(TRIM('Base de Datos'!A95)="","",IFERROR(DATE(VALUE(RIGHT(TRIM('Base de Datos'!A95),4)),VALUE(LEFT(TRIM('Base de Datos'!A95),2)),VALUE(MID(TRIM('Base de Datos'!A95),4,2))),""))),"")</f>
        <v/>
      </c>
      <c r="AE99" s="74" t="str">
        <f aca="false">IF(ISNUMBER('Base de Datos'!B95),'Base de Datos'!B95,IF(TRIM('Base de Datos'!B95)="","",IFERROR(IF(IFERROR(FIND("@",SUBSTITUTE(TRIM('Base de Datos'!B95),",","@",LEN(TRIM('Base de Datos'!B95))-LEN(SUBSTITUTE(TRIM('Base de Datos'!B95),",","")))),0)&gt;IFERROR(FIND("@",SUBSTITUTE(TRIM('Base de Datos'!B95),".","@",LEN(TRIM('Base de Datos'!B95))-LEN(SUBSTITUTE(TRIM('Base de Datos'!B95),".","")))),0),_xlfn.NUMBERVALUE(SUBSTITUTE(SUBSTITUTE(TRIM('Base de Datos'!B95),".",""),",","."),".",","),_xlfn.NUMBERVALUE(SUBSTITUTE(TRIM('Base de Datos'!B95),",",""),".",",")),"")))</f>
        <v/>
      </c>
      <c r="AF99" s="73" t="str">
        <f aca="false">IF(ISNUMBER(AG99),IF(ISNUMBER('Base de Datos'!I95),IF('Base de Datos'!I95&gt;20000,INT('Base de Datos'!I95),""),IF(TRIM('Base de Datos'!I95)="","",IFERROR(DATE(VALUE(RIGHT(TRIM('Base de Datos'!I95),4)),VALUE(MID(TRIM('Base de Datos'!I95),4,2)),VALUE(LEFT(TRIM('Base de Datos'!I95),2))),IFERROR(DATEVALUE(TRIM('Base de Datos'!I95)),"")))),"")</f>
        <v/>
      </c>
      <c r="AG99" s="74" t="str">
        <f aca="false">IF(ISNUMBER('Base de Datos'!J95),'Base de Datos'!J95,IF(TRIM('Base de Datos'!J95)="","",IFERROR(IF(IFERROR(FIND("@",SUBSTITUTE(TRIM('Base de Datos'!J95),",","@",LEN(TRIM('Base de Datos'!J95))-LEN(SUBSTITUTE(TRIM('Base de Datos'!J95),",","")))),0)&gt;IFERROR(FIND("@",SUBSTITUTE(TRIM('Base de Datos'!J95),".","@",LEN(TRIM('Base de Datos'!J95))-LEN(SUBSTITUTE(TRIM('Base de Datos'!J95),".","")))),0),_xlfn.NUMBERVALUE(SUBSTITUTE(SUBSTITUTE(TRIM('Base de Datos'!J95),".",""),",","."),".",","),_xlfn.NUMBERVALUE(SUBSTITUTE(TRIM('Base de Datos'!J95),",",""),".",",")),"")))</f>
        <v/>
      </c>
      <c r="AH99" s="73" t="n">
        <f aca="false">IF(ISNUMBER(AI99),IF(ISNUMBER('Base de Datos'!Q95),IF('Base de Datos'!Q95&gt;20000,DATE(YEAR('Base de Datos'!Q95),DAY('Base de Datos'!Q95),MONTH('Base de Datos'!Q95)),""),IF(TRIM('Base de Datos'!Q95)="","",IFERROR(DATE(VALUE(RIGHT(TRIM('Base de Datos'!Q95),4)),VALUE(LEFT(TRIM('Base de Datos'!Q95),2)),VALUE(MID(TRIM('Base de Datos'!Q95),4,2))),""))),"")</f>
        <v>45109</v>
      </c>
      <c r="AI99" s="74" t="n">
        <f aca="false">IF(ISNUMBER('Base de Datos'!R95),'Base de Datos'!R95,IF(TRIM('Base de Datos'!R95)="","",IFERROR(IF(IFERROR(FIND("@",SUBSTITUTE(TRIM('Base de Datos'!R95),",","@",LEN(TRIM('Base de Datos'!R95))-LEN(SUBSTITUTE(TRIM('Base de Datos'!R95),",","")))),0)&gt;IFERROR(FIND("@",SUBSTITUTE(TRIM('Base de Datos'!R95),".","@",LEN(TRIM('Base de Datos'!R95))-LEN(SUBSTITUTE(TRIM('Base de Datos'!R95),".","")))),0),_xlfn.NUMBERVALUE(SUBSTITUTE(SUBSTITUTE(TRIM('Base de Datos'!R95),".",""),",","."),".",","),_xlfn.NUMBERVALUE(SUBSTITUTE(TRIM('Base de Datos'!R95),",",""),".",",")),"")))</f>
        <v>27.74</v>
      </c>
      <c r="AJ99" s="73" t="n">
        <f aca="false">IF(ISNUMBER(AK99),IF(ISNUMBER('Base de Datos'!Y95),IF('Base de Datos'!Y95&gt;20000,INT('Base de Datos'!Y95),""),IF(TRIM('Base de Datos'!Y95)="","",IFERROR(DATE(VALUE(RIGHT(TRIM('Base de Datos'!Y95),4)),VALUE(MID(TRIM('Base de Datos'!Y95),4,2)),VALUE(LEFT(TRIM('Base de Datos'!Y95),2))),IFERROR(DATEVALUE(TRIM('Base de Datos'!Y95)),"")))),"")</f>
        <v>45109</v>
      </c>
      <c r="AK99" s="74" t="n">
        <f aca="false">IF(ISNUMBER('Base de Datos'!Z95),'Base de Datos'!Z95,IF(TRIM('Base de Datos'!Z95)="","",IFERROR(IF(IFERROR(FIND("@",SUBSTITUTE(TRIM('Base de Datos'!Z95),",","@",LEN(TRIM('Base de Datos'!Z95))-LEN(SUBSTITUTE(TRIM('Base de Datos'!Z95),",","")))),0)&gt;IFERROR(FIND("@",SUBSTITUTE(TRIM('Base de Datos'!Z95),".","@",LEN(TRIM('Base de Datos'!Z95))-LEN(SUBSTITUTE(TRIM('Base de Datos'!Z95),".","")))),0),_xlfn.NUMBERVALUE(SUBSTITUTE(SUBSTITUTE(TRIM('Base de Datos'!Z95),".",""),",","."),".",","),_xlfn.NUMBERVALUE(SUBSTITUTE(TRIM('Base de Datos'!Z95),",",""),".",",")),"")))</f>
        <v>53904.29</v>
      </c>
    </row>
    <row r="100" customFormat="false" ht="13.5" hidden="false" customHeight="false" outlineLevel="0" collapsed="false">
      <c r="A100" s="75" t="n">
        <f aca="false">ROWS(A$13:A100)</f>
        <v>88</v>
      </c>
      <c r="B100" s="73" t="n">
        <f aca="false">IF(B99="","",IFERROR(SMALL($AH$10:$AH$409,COUNTIF($AH$10:$AH$409,"&lt;="&amp;B99)+1),""))</f>
        <v>45095</v>
      </c>
      <c r="C100" s="74" t="n">
        <f aca="false">IF(B100="","",INDEX($AI$10:$AI$409,MATCH(B100,$AH$10:$AH$409,0)))</f>
        <v>28.86</v>
      </c>
      <c r="D100" s="74" t="n">
        <f aca="false">IF(B100="","",IFERROR(INDEX($AK$10:$AK$409,MATCH(B100,$AJ$10:$AJ$409,0)),""))</f>
        <v>53341.91</v>
      </c>
      <c r="E100" s="76" t="n">
        <f aca="false">IF(AND(ISNUMBER(C100),ISNUMBER(C99)),C100/C99-1,"")</f>
        <v>-0.00722394220846234</v>
      </c>
      <c r="F100" s="76" t="n">
        <f aca="false">IF(AND(ISNUMBER(D100),ISNUMBER(D99)),D100/D99-1,"")</f>
        <v>-0.0273619861672998</v>
      </c>
      <c r="G100" s="75" t="n">
        <f aca="false">IF(AND(ISNUMBER(E100),ISNUMBER(F100)),1,"")</f>
        <v>1</v>
      </c>
      <c r="H100" s="75" t="n">
        <f aca="false">IF(G100=1,COUNT(G100:G$412),"")</f>
        <v>172</v>
      </c>
      <c r="I100" s="75" t="n">
        <f aca="false">IF(G100=1,IF(H100&lt;='Beta Regresión'!$B$5,1,""),"")</f>
        <v>1</v>
      </c>
      <c r="J100" s="76" t="n">
        <f aca="false">IF(I100=1,E100,"")</f>
        <v>-0.00722394220846234</v>
      </c>
      <c r="K100" s="76" t="n">
        <f aca="false">IF(I100=1,F100,"")</f>
        <v>-0.0273619861672998</v>
      </c>
      <c r="L100" s="75" t="n">
        <f aca="false">IF(I100=1,COUNT(I$13:I100),"")</f>
        <v>87</v>
      </c>
      <c r="M100" s="76" t="n">
        <f aca="false">IFERROR(INDEX($J$13:$J$412,MATCH(A100,$L$13:$L$412,0)),"")</f>
        <v>-0.0128205128205129</v>
      </c>
      <c r="N100" s="76" t="n">
        <f aca="false">IFERROR(INDEX($K$13:$K$412,MATCH(A100,$L$13:$L$412,0)),"")</f>
        <v>0.00345300721327746</v>
      </c>
      <c r="O100" s="76" t="n">
        <f aca="false">IF(I100=1,E100,NA())</f>
        <v>-0.00722394220846234</v>
      </c>
      <c r="P100" s="76" t="n">
        <f aca="false">IF(I100=1,F100,NA())</f>
        <v>-0.0273619861672998</v>
      </c>
      <c r="R100" s="75" t="n">
        <f aca="false">ROWS(R$13:R100)</f>
        <v>88</v>
      </c>
      <c r="S100" s="73" t="str">
        <f aca="false">IF(S99="","",IFERROR(SMALL($AD$10:$AD$509,COUNTIF($AD$10:$AD$509,"&lt;="&amp;S99)+1),""))</f>
        <v/>
      </c>
      <c r="T100" s="74" t="str">
        <f aca="false">IF(S100="","",INDEX($AE$10:$AE$509,MATCH(S100,$AD$10:$AD$509,0)))</f>
        <v/>
      </c>
      <c r="U100" s="74" t="str">
        <f aca="false">IF(S100="","",IFERROR(INDEX($AG$10:$AG$509,MATCH(S100,$AF$10:$AF$509,0)),""))</f>
        <v/>
      </c>
      <c r="V100" s="76" t="str">
        <f aca="false">IF(AND(ISNUMBER(T100),ISNUMBER(T99)),T100/T99-1,"")</f>
        <v/>
      </c>
      <c r="W100" s="76" t="str">
        <f aca="false">IF(AND(ISNUMBER(U100),ISNUMBER(U99)),U100/U99-1,"")</f>
        <v/>
      </c>
      <c r="X100" s="75" t="str">
        <f aca="false">IF(AND(ISNUMBER(V100),ISNUMBER(W100)),1,"")</f>
        <v/>
      </c>
      <c r="Y100" s="76" t="str">
        <f aca="false">IF(X100=1,V100,"")</f>
        <v/>
      </c>
      <c r="Z100" s="76" t="str">
        <f aca="false">IF(X100=1,W100,"")</f>
        <v/>
      </c>
      <c r="AA100" s="76" t="e">
        <f aca="false">IF(X100=1,V100,NA())</f>
        <v>#N/A</v>
      </c>
      <c r="AB100" s="76" t="e">
        <f aca="false">IF(X100=1,W100,NA())</f>
        <v>#N/A</v>
      </c>
      <c r="AD100" s="73" t="str">
        <f aca="false">IF(ISNUMBER(AE100),IF(ISNUMBER('Base de Datos'!A96),IF('Base de Datos'!A96&gt;20000,DATE(YEAR('Base de Datos'!A96),DAY('Base de Datos'!A96),MONTH('Base de Datos'!A96)),""),IF(TRIM('Base de Datos'!A96)="","",IFERROR(DATE(VALUE(RIGHT(TRIM('Base de Datos'!A96),4)),VALUE(LEFT(TRIM('Base de Datos'!A96),2)),VALUE(MID(TRIM('Base de Datos'!A96),4,2))),""))),"")</f>
        <v/>
      </c>
      <c r="AE100" s="74" t="str">
        <f aca="false">IF(ISNUMBER('Base de Datos'!B96),'Base de Datos'!B96,IF(TRIM('Base de Datos'!B96)="","",IFERROR(IF(IFERROR(FIND("@",SUBSTITUTE(TRIM('Base de Datos'!B96),",","@",LEN(TRIM('Base de Datos'!B96))-LEN(SUBSTITUTE(TRIM('Base de Datos'!B96),",","")))),0)&gt;IFERROR(FIND("@",SUBSTITUTE(TRIM('Base de Datos'!B96),".","@",LEN(TRIM('Base de Datos'!B96))-LEN(SUBSTITUTE(TRIM('Base de Datos'!B96),".","")))),0),_xlfn.NUMBERVALUE(SUBSTITUTE(SUBSTITUTE(TRIM('Base de Datos'!B96),".",""),",","."),".",","),_xlfn.NUMBERVALUE(SUBSTITUTE(TRIM('Base de Datos'!B96),",",""),".",",")),"")))</f>
        <v/>
      </c>
      <c r="AF100" s="73" t="str">
        <f aca="false">IF(ISNUMBER(AG100),IF(ISNUMBER('Base de Datos'!I96),IF('Base de Datos'!I96&gt;20000,INT('Base de Datos'!I96),""),IF(TRIM('Base de Datos'!I96)="","",IFERROR(DATE(VALUE(RIGHT(TRIM('Base de Datos'!I96),4)),VALUE(MID(TRIM('Base de Datos'!I96),4,2)),VALUE(LEFT(TRIM('Base de Datos'!I96),2))),IFERROR(DATEVALUE(TRIM('Base de Datos'!I96)),"")))),"")</f>
        <v/>
      </c>
      <c r="AG100" s="74" t="str">
        <f aca="false">IF(ISNUMBER('Base de Datos'!J96),'Base de Datos'!J96,IF(TRIM('Base de Datos'!J96)="","",IFERROR(IF(IFERROR(FIND("@",SUBSTITUTE(TRIM('Base de Datos'!J96),",","@",LEN(TRIM('Base de Datos'!J96))-LEN(SUBSTITUTE(TRIM('Base de Datos'!J96),",","")))),0)&gt;IFERROR(FIND("@",SUBSTITUTE(TRIM('Base de Datos'!J96),".","@",LEN(TRIM('Base de Datos'!J96))-LEN(SUBSTITUTE(TRIM('Base de Datos'!J96),".","")))),0),_xlfn.NUMBERVALUE(SUBSTITUTE(SUBSTITUTE(TRIM('Base de Datos'!J96),".",""),",","."),".",","),_xlfn.NUMBERVALUE(SUBSTITUTE(TRIM('Base de Datos'!J96),",",""),".",",")),"")))</f>
        <v/>
      </c>
      <c r="AH100" s="73" t="n">
        <f aca="false">IF(ISNUMBER(AI100),IF(ISNUMBER('Base de Datos'!Q96),IF('Base de Datos'!Q96&gt;20000,DATE(YEAR('Base de Datos'!Q96),DAY('Base de Datos'!Q96),MONTH('Base de Datos'!Q96)),""),IF(TRIM('Base de Datos'!Q96)="","",IFERROR(DATE(VALUE(RIGHT(TRIM('Base de Datos'!Q96),4)),VALUE(LEFT(TRIM('Base de Datos'!Q96),2)),VALUE(MID(TRIM('Base de Datos'!Q96),4,2))),""))),"")</f>
        <v>45116</v>
      </c>
      <c r="AI100" s="74" t="n">
        <f aca="false">IF(ISNUMBER('Base de Datos'!R96),'Base de Datos'!R96,IF(TRIM('Base de Datos'!R96)="","",IFERROR(IF(IFERROR(FIND("@",SUBSTITUTE(TRIM('Base de Datos'!R96),",","@",LEN(TRIM('Base de Datos'!R96))-LEN(SUBSTITUTE(TRIM('Base de Datos'!R96),",","")))),0)&gt;IFERROR(FIND("@",SUBSTITUTE(TRIM('Base de Datos'!R96),".","@",LEN(TRIM('Base de Datos'!R96))-LEN(SUBSTITUTE(TRIM('Base de Datos'!R96),".","")))),0),_xlfn.NUMBERVALUE(SUBSTITUTE(SUBSTITUTE(TRIM('Base de Datos'!R96),".",""),",","."),".",","),_xlfn.NUMBERVALUE(SUBSTITUTE(TRIM('Base de Datos'!R96),",",""),".",",")),"")))</f>
        <v>27.69</v>
      </c>
      <c r="AJ100" s="73" t="n">
        <f aca="false">IF(ISNUMBER(AK100),IF(ISNUMBER('Base de Datos'!Y96),IF('Base de Datos'!Y96&gt;20000,INT('Base de Datos'!Y96),""),IF(TRIM('Base de Datos'!Y96)="","",IFERROR(DATE(VALUE(RIGHT(TRIM('Base de Datos'!Y96),4)),VALUE(MID(TRIM('Base de Datos'!Y96),4,2)),VALUE(LEFT(TRIM('Base de Datos'!Y96),2))),IFERROR(DATEVALUE(TRIM('Base de Datos'!Y96)),"")))),"")</f>
        <v>45116</v>
      </c>
      <c r="AK100" s="74" t="n">
        <f aca="false">IF(ISNUMBER('Base de Datos'!Z96),'Base de Datos'!Z96,IF(TRIM('Base de Datos'!Z96)="","",IFERROR(IF(IFERROR(FIND("@",SUBSTITUTE(TRIM('Base de Datos'!Z96),",","@",LEN(TRIM('Base de Datos'!Z96))-LEN(SUBSTITUTE(TRIM('Base de Datos'!Z96),",","")))),0)&gt;IFERROR(FIND("@",SUBSTITUTE(TRIM('Base de Datos'!Z96),".","@",LEN(TRIM('Base de Datos'!Z96))-LEN(SUBSTITUTE(TRIM('Base de Datos'!Z96),".","")))),0),_xlfn.NUMBERVALUE(SUBSTITUTE(SUBSTITUTE(TRIM('Base de Datos'!Z96),".",""),",","."),".",","),_xlfn.NUMBERVALUE(SUBSTITUTE(TRIM('Base de Datos'!Z96),",",""),".",",")),"")))</f>
        <v>53770.8</v>
      </c>
    </row>
    <row r="101" customFormat="false" ht="13.5" hidden="false" customHeight="false" outlineLevel="0" collapsed="false">
      <c r="A101" s="75" t="n">
        <f aca="false">ROWS(A$13:A101)</f>
        <v>89</v>
      </c>
      <c r="B101" s="73" t="n">
        <f aca="false">IF(B100="","",IFERROR(SMALL($AH$10:$AH$409,COUNTIF($AH$10:$AH$409,"&lt;="&amp;B100)+1),""))</f>
        <v>45102</v>
      </c>
      <c r="C101" s="74" t="n">
        <f aca="false">IF(B101="","",INDEX($AI$10:$AI$409,MATCH(B101,$AH$10:$AH$409,0)))</f>
        <v>28.49</v>
      </c>
      <c r="D101" s="74" t="n">
        <f aca="false">IF(B101="","",IFERROR(INDEX($AK$10:$AK$409,MATCH(B101,$AJ$10:$AJ$409,0)),""))</f>
        <v>53526.1</v>
      </c>
      <c r="E101" s="76" t="n">
        <f aca="false">IF(AND(ISNUMBER(C101),ISNUMBER(C100)),C101/C100-1,"")</f>
        <v>-0.0128205128205129</v>
      </c>
      <c r="F101" s="76" t="n">
        <f aca="false">IF(AND(ISNUMBER(D101),ISNUMBER(D100)),D101/D100-1,"")</f>
        <v>0.00345300721327746</v>
      </c>
      <c r="G101" s="75" t="n">
        <f aca="false">IF(AND(ISNUMBER(E101),ISNUMBER(F101)),1,"")</f>
        <v>1</v>
      </c>
      <c r="H101" s="75" t="n">
        <f aca="false">IF(G101=1,COUNT(G101:G$412),"")</f>
        <v>171</v>
      </c>
      <c r="I101" s="75" t="n">
        <f aca="false">IF(G101=1,IF(H101&lt;='Beta Regresión'!$B$5,1,""),"")</f>
        <v>1</v>
      </c>
      <c r="J101" s="76" t="n">
        <f aca="false">IF(I101=1,E101,"")</f>
        <v>-0.0128205128205129</v>
      </c>
      <c r="K101" s="76" t="n">
        <f aca="false">IF(I101=1,F101,"")</f>
        <v>0.00345300721327746</v>
      </c>
      <c r="L101" s="75" t="n">
        <f aca="false">IF(I101=1,COUNT(I$13:I101),"")</f>
        <v>88</v>
      </c>
      <c r="M101" s="76" t="n">
        <f aca="false">IFERROR(INDEX($J$13:$J$412,MATCH(A101,$L$13:$L$412,0)),"")</f>
        <v>-0.0263250263250263</v>
      </c>
      <c r="N101" s="76" t="n">
        <f aca="false">IFERROR(INDEX($K$13:$K$412,MATCH(A101,$L$13:$L$412,0)),"")</f>
        <v>0.00706552504292302</v>
      </c>
      <c r="O101" s="76" t="n">
        <f aca="false">IF(I101=1,E101,NA())</f>
        <v>-0.0128205128205129</v>
      </c>
      <c r="P101" s="76" t="n">
        <f aca="false">IF(I101=1,F101,NA())</f>
        <v>0.00345300721327746</v>
      </c>
      <c r="R101" s="75" t="n">
        <f aca="false">ROWS(R$13:R101)</f>
        <v>89</v>
      </c>
      <c r="S101" s="73" t="str">
        <f aca="false">IF(S100="","",IFERROR(SMALL($AD$10:$AD$509,COUNTIF($AD$10:$AD$509,"&lt;="&amp;S100)+1),""))</f>
        <v/>
      </c>
      <c r="T101" s="74" t="str">
        <f aca="false">IF(S101="","",INDEX($AE$10:$AE$509,MATCH(S101,$AD$10:$AD$509,0)))</f>
        <v/>
      </c>
      <c r="U101" s="74" t="str">
        <f aca="false">IF(S101="","",IFERROR(INDEX($AG$10:$AG$509,MATCH(S101,$AF$10:$AF$509,0)),""))</f>
        <v/>
      </c>
      <c r="V101" s="76" t="str">
        <f aca="false">IF(AND(ISNUMBER(T101),ISNUMBER(T100)),T101/T100-1,"")</f>
        <v/>
      </c>
      <c r="W101" s="76" t="str">
        <f aca="false">IF(AND(ISNUMBER(U101),ISNUMBER(U100)),U101/U100-1,"")</f>
        <v/>
      </c>
      <c r="X101" s="75" t="str">
        <f aca="false">IF(AND(ISNUMBER(V101),ISNUMBER(W101)),1,"")</f>
        <v/>
      </c>
      <c r="Y101" s="76" t="str">
        <f aca="false">IF(X101=1,V101,"")</f>
        <v/>
      </c>
      <c r="Z101" s="76" t="str">
        <f aca="false">IF(X101=1,W101,"")</f>
        <v/>
      </c>
      <c r="AA101" s="76" t="e">
        <f aca="false">IF(X101=1,V101,NA())</f>
        <v>#N/A</v>
      </c>
      <c r="AB101" s="76" t="e">
        <f aca="false">IF(X101=1,W101,NA())</f>
        <v>#N/A</v>
      </c>
      <c r="AD101" s="73" t="str">
        <f aca="false">IF(ISNUMBER(AE101),IF(ISNUMBER('Base de Datos'!A97),IF('Base de Datos'!A97&gt;20000,DATE(YEAR('Base de Datos'!A97),DAY('Base de Datos'!A97),MONTH('Base de Datos'!A97)),""),IF(TRIM('Base de Datos'!A97)="","",IFERROR(DATE(VALUE(RIGHT(TRIM('Base de Datos'!A97),4)),VALUE(LEFT(TRIM('Base de Datos'!A97),2)),VALUE(MID(TRIM('Base de Datos'!A97),4,2))),""))),"")</f>
        <v/>
      </c>
      <c r="AE101" s="74" t="str">
        <f aca="false">IF(ISNUMBER('Base de Datos'!B97),'Base de Datos'!B97,IF(TRIM('Base de Datos'!B97)="","",IFERROR(IF(IFERROR(FIND("@",SUBSTITUTE(TRIM('Base de Datos'!B97),",","@",LEN(TRIM('Base de Datos'!B97))-LEN(SUBSTITUTE(TRIM('Base de Datos'!B97),",","")))),0)&gt;IFERROR(FIND("@",SUBSTITUTE(TRIM('Base de Datos'!B97),".","@",LEN(TRIM('Base de Datos'!B97))-LEN(SUBSTITUTE(TRIM('Base de Datos'!B97),".","")))),0),_xlfn.NUMBERVALUE(SUBSTITUTE(SUBSTITUTE(TRIM('Base de Datos'!B97),".",""),",","."),".",","),_xlfn.NUMBERVALUE(SUBSTITUTE(TRIM('Base de Datos'!B97),",",""),".",",")),"")))</f>
        <v/>
      </c>
      <c r="AF101" s="73" t="str">
        <f aca="false">IF(ISNUMBER(AG101),IF(ISNUMBER('Base de Datos'!I97),IF('Base de Datos'!I97&gt;20000,INT('Base de Datos'!I97),""),IF(TRIM('Base de Datos'!I97)="","",IFERROR(DATE(VALUE(RIGHT(TRIM('Base de Datos'!I97),4)),VALUE(MID(TRIM('Base de Datos'!I97),4,2)),VALUE(LEFT(TRIM('Base de Datos'!I97),2))),IFERROR(DATEVALUE(TRIM('Base de Datos'!I97)),"")))),"")</f>
        <v/>
      </c>
      <c r="AG101" s="74" t="str">
        <f aca="false">IF(ISNUMBER('Base de Datos'!J97),'Base de Datos'!J97,IF(TRIM('Base de Datos'!J97)="","",IFERROR(IF(IFERROR(FIND("@",SUBSTITUTE(TRIM('Base de Datos'!J97),",","@",LEN(TRIM('Base de Datos'!J97))-LEN(SUBSTITUTE(TRIM('Base de Datos'!J97),",","")))),0)&gt;IFERROR(FIND("@",SUBSTITUTE(TRIM('Base de Datos'!J97),".","@",LEN(TRIM('Base de Datos'!J97))-LEN(SUBSTITUTE(TRIM('Base de Datos'!J97),".","")))),0),_xlfn.NUMBERVALUE(SUBSTITUTE(SUBSTITUTE(TRIM('Base de Datos'!J97),".",""),",","."),".",","),_xlfn.NUMBERVALUE(SUBSTITUTE(TRIM('Base de Datos'!J97),",",""),".",",")),"")))</f>
        <v/>
      </c>
      <c r="AH101" s="73" t="n">
        <f aca="false">IF(ISNUMBER(AI101),IF(ISNUMBER('Base de Datos'!Q97),IF('Base de Datos'!Q97&gt;20000,DATE(YEAR('Base de Datos'!Q97),DAY('Base de Datos'!Q97),MONTH('Base de Datos'!Q97)),""),IF(TRIM('Base de Datos'!Q97)="","",IFERROR(DATE(VALUE(RIGHT(TRIM('Base de Datos'!Q97),4)),VALUE(LEFT(TRIM('Base de Datos'!Q97),2)),VALUE(MID(TRIM('Base de Datos'!Q97),4,2))),""))),"")</f>
        <v>45123</v>
      </c>
      <c r="AI101" s="74" t="n">
        <f aca="false">IF(ISNUMBER('Base de Datos'!R97),'Base de Datos'!R97,IF(TRIM('Base de Datos'!R97)="","",IFERROR(IF(IFERROR(FIND("@",SUBSTITUTE(TRIM('Base de Datos'!R97),",","@",LEN(TRIM('Base de Datos'!R97))-LEN(SUBSTITUTE(TRIM('Base de Datos'!R97),",","")))),0)&gt;IFERROR(FIND("@",SUBSTITUTE(TRIM('Base de Datos'!R97),".","@",LEN(TRIM('Base de Datos'!R97))-LEN(SUBSTITUTE(TRIM('Base de Datos'!R97),".","")))),0),_xlfn.NUMBERVALUE(SUBSTITUTE(SUBSTITUTE(TRIM('Base de Datos'!R97),".",""),",","."),".",","),_xlfn.NUMBERVALUE(SUBSTITUTE(TRIM('Base de Datos'!R97),",",""),".",",")),"")))</f>
        <v>27.24</v>
      </c>
      <c r="AJ101" s="73" t="n">
        <f aca="false">IF(ISNUMBER(AK101),IF(ISNUMBER('Base de Datos'!Y97),IF('Base de Datos'!Y97&gt;20000,INT('Base de Datos'!Y97),""),IF(TRIM('Base de Datos'!Y97)="","",IFERROR(DATE(VALUE(RIGHT(TRIM('Base de Datos'!Y97),4)),VALUE(MID(TRIM('Base de Datos'!Y97),4,2)),VALUE(LEFT(TRIM('Base de Datos'!Y97),2))),IFERROR(DATEVALUE(TRIM('Base de Datos'!Y97)),"")))),"")</f>
        <v>45123</v>
      </c>
      <c r="AK101" s="74" t="n">
        <f aca="false">IF(ISNUMBER('Base de Datos'!Z97),'Base de Datos'!Z97,IF(TRIM('Base de Datos'!Z97)="","",IFERROR(IF(IFERROR(FIND("@",SUBSTITUTE(TRIM('Base de Datos'!Z97),",","@",LEN(TRIM('Base de Datos'!Z97))-LEN(SUBSTITUTE(TRIM('Base de Datos'!Z97),",","")))),0)&gt;IFERROR(FIND("@",SUBSTITUTE(TRIM('Base de Datos'!Z97),".","@",LEN(TRIM('Base de Datos'!Z97))-LEN(SUBSTITUTE(TRIM('Base de Datos'!Z97),".","")))),0),_xlfn.NUMBERVALUE(SUBSTITUTE(SUBSTITUTE(TRIM('Base de Datos'!Z97),".",""),",","."),".",","),_xlfn.NUMBERVALUE(SUBSTITUTE(TRIM('Base de Datos'!Z97),",",""),".",",")),"")))</f>
        <v>53702.16</v>
      </c>
    </row>
    <row r="102" customFormat="false" ht="13.5" hidden="false" customHeight="false" outlineLevel="0" collapsed="false">
      <c r="A102" s="75" t="n">
        <f aca="false">ROWS(A$13:A102)</f>
        <v>90</v>
      </c>
      <c r="B102" s="73" t="n">
        <f aca="false">IF(B101="","",IFERROR(SMALL($AH$10:$AH$409,COUNTIF($AH$10:$AH$409,"&lt;="&amp;B101)+1),""))</f>
        <v>45109</v>
      </c>
      <c r="C102" s="74" t="n">
        <f aca="false">IF(B102="","",INDEX($AI$10:$AI$409,MATCH(B102,$AH$10:$AH$409,0)))</f>
        <v>27.74</v>
      </c>
      <c r="D102" s="74" t="n">
        <f aca="false">IF(B102="","",IFERROR(INDEX($AK$10:$AK$409,MATCH(B102,$AJ$10:$AJ$409,0)),""))</f>
        <v>53904.29</v>
      </c>
      <c r="E102" s="76" t="n">
        <f aca="false">IF(AND(ISNUMBER(C102),ISNUMBER(C101)),C102/C101-1,"")</f>
        <v>-0.0263250263250263</v>
      </c>
      <c r="F102" s="76" t="n">
        <f aca="false">IF(AND(ISNUMBER(D102),ISNUMBER(D101)),D102/D101-1,"")</f>
        <v>0.00706552504292302</v>
      </c>
      <c r="G102" s="75" t="n">
        <f aca="false">IF(AND(ISNUMBER(E102),ISNUMBER(F102)),1,"")</f>
        <v>1</v>
      </c>
      <c r="H102" s="75" t="n">
        <f aca="false">IF(G102=1,COUNT(G102:G$412),"")</f>
        <v>170</v>
      </c>
      <c r="I102" s="75" t="n">
        <f aca="false">IF(G102=1,IF(H102&lt;='Beta Regresión'!$B$5,1,""),"")</f>
        <v>1</v>
      </c>
      <c r="J102" s="76" t="n">
        <f aca="false">IF(I102=1,E102,"")</f>
        <v>-0.0263250263250263</v>
      </c>
      <c r="K102" s="76" t="n">
        <f aca="false">IF(I102=1,F102,"")</f>
        <v>0.00706552504292302</v>
      </c>
      <c r="L102" s="75" t="n">
        <f aca="false">IF(I102=1,COUNT(I$13:I102),"")</f>
        <v>89</v>
      </c>
      <c r="M102" s="76" t="n">
        <f aca="false">IFERROR(INDEX($J$13:$J$412,MATCH(A102,$L$13:$L$412,0)),"")</f>
        <v>-0.00180245133381385</v>
      </c>
      <c r="N102" s="76" t="n">
        <f aca="false">IFERROR(INDEX($K$13:$K$412,MATCH(A102,$L$13:$L$412,0)),"")</f>
        <v>-0.00247642627330769</v>
      </c>
      <c r="O102" s="76" t="n">
        <f aca="false">IF(I102=1,E102,NA())</f>
        <v>-0.0263250263250263</v>
      </c>
      <c r="P102" s="76" t="n">
        <f aca="false">IF(I102=1,F102,NA())</f>
        <v>0.00706552504292302</v>
      </c>
      <c r="R102" s="75" t="n">
        <f aca="false">ROWS(R$13:R102)</f>
        <v>90</v>
      </c>
      <c r="S102" s="73" t="str">
        <f aca="false">IF(S101="","",IFERROR(SMALL($AD$10:$AD$509,COUNTIF($AD$10:$AD$509,"&lt;="&amp;S101)+1),""))</f>
        <v/>
      </c>
      <c r="T102" s="74" t="str">
        <f aca="false">IF(S102="","",INDEX($AE$10:$AE$509,MATCH(S102,$AD$10:$AD$509,0)))</f>
        <v/>
      </c>
      <c r="U102" s="74" t="str">
        <f aca="false">IF(S102="","",IFERROR(INDEX($AG$10:$AG$509,MATCH(S102,$AF$10:$AF$509,0)),""))</f>
        <v/>
      </c>
      <c r="V102" s="76" t="str">
        <f aca="false">IF(AND(ISNUMBER(T102),ISNUMBER(T101)),T102/T101-1,"")</f>
        <v/>
      </c>
      <c r="W102" s="76" t="str">
        <f aca="false">IF(AND(ISNUMBER(U102),ISNUMBER(U101)),U102/U101-1,"")</f>
        <v/>
      </c>
      <c r="X102" s="75" t="str">
        <f aca="false">IF(AND(ISNUMBER(V102),ISNUMBER(W102)),1,"")</f>
        <v/>
      </c>
      <c r="Y102" s="76" t="str">
        <f aca="false">IF(X102=1,V102,"")</f>
        <v/>
      </c>
      <c r="Z102" s="76" t="str">
        <f aca="false">IF(X102=1,W102,"")</f>
        <v/>
      </c>
      <c r="AA102" s="76" t="e">
        <f aca="false">IF(X102=1,V102,NA())</f>
        <v>#N/A</v>
      </c>
      <c r="AB102" s="76" t="e">
        <f aca="false">IF(X102=1,W102,NA())</f>
        <v>#N/A</v>
      </c>
      <c r="AD102" s="73" t="str">
        <f aca="false">IF(ISNUMBER(AE102),IF(ISNUMBER('Base de Datos'!A98),IF('Base de Datos'!A98&gt;20000,DATE(YEAR('Base de Datos'!A98),DAY('Base de Datos'!A98),MONTH('Base de Datos'!A98)),""),IF(TRIM('Base de Datos'!A98)="","",IFERROR(DATE(VALUE(RIGHT(TRIM('Base de Datos'!A98),4)),VALUE(LEFT(TRIM('Base de Datos'!A98),2)),VALUE(MID(TRIM('Base de Datos'!A98),4,2))),""))),"")</f>
        <v/>
      </c>
      <c r="AE102" s="74" t="str">
        <f aca="false">IF(ISNUMBER('Base de Datos'!B98),'Base de Datos'!B98,IF(TRIM('Base de Datos'!B98)="","",IFERROR(IF(IFERROR(FIND("@",SUBSTITUTE(TRIM('Base de Datos'!B98),",","@",LEN(TRIM('Base de Datos'!B98))-LEN(SUBSTITUTE(TRIM('Base de Datos'!B98),",","")))),0)&gt;IFERROR(FIND("@",SUBSTITUTE(TRIM('Base de Datos'!B98),".","@",LEN(TRIM('Base de Datos'!B98))-LEN(SUBSTITUTE(TRIM('Base de Datos'!B98),".","")))),0),_xlfn.NUMBERVALUE(SUBSTITUTE(SUBSTITUTE(TRIM('Base de Datos'!B98),".",""),",","."),".",","),_xlfn.NUMBERVALUE(SUBSTITUTE(TRIM('Base de Datos'!B98),",",""),".",",")),"")))</f>
        <v/>
      </c>
      <c r="AF102" s="73" t="str">
        <f aca="false">IF(ISNUMBER(AG102),IF(ISNUMBER('Base de Datos'!I98),IF('Base de Datos'!I98&gt;20000,INT('Base de Datos'!I98),""),IF(TRIM('Base de Datos'!I98)="","",IFERROR(DATE(VALUE(RIGHT(TRIM('Base de Datos'!I98),4)),VALUE(MID(TRIM('Base de Datos'!I98),4,2)),VALUE(LEFT(TRIM('Base de Datos'!I98),2))),IFERROR(DATEVALUE(TRIM('Base de Datos'!I98)),"")))),"")</f>
        <v/>
      </c>
      <c r="AG102" s="74" t="str">
        <f aca="false">IF(ISNUMBER('Base de Datos'!J98),'Base de Datos'!J98,IF(TRIM('Base de Datos'!J98)="","",IFERROR(IF(IFERROR(FIND("@",SUBSTITUTE(TRIM('Base de Datos'!J98),",","@",LEN(TRIM('Base de Datos'!J98))-LEN(SUBSTITUTE(TRIM('Base de Datos'!J98),",","")))),0)&gt;IFERROR(FIND("@",SUBSTITUTE(TRIM('Base de Datos'!J98),".","@",LEN(TRIM('Base de Datos'!J98))-LEN(SUBSTITUTE(TRIM('Base de Datos'!J98),".","")))),0),_xlfn.NUMBERVALUE(SUBSTITUTE(SUBSTITUTE(TRIM('Base de Datos'!J98),".",""),",","."),".",","),_xlfn.NUMBERVALUE(SUBSTITUTE(TRIM('Base de Datos'!J98),",",""),".",",")),"")))</f>
        <v/>
      </c>
      <c r="AH102" s="73" t="n">
        <f aca="false">IF(ISNUMBER(AI102),IF(ISNUMBER('Base de Datos'!Q98),IF('Base de Datos'!Q98&gt;20000,DATE(YEAR('Base de Datos'!Q98),DAY('Base de Datos'!Q98),MONTH('Base de Datos'!Q98)),""),IF(TRIM('Base de Datos'!Q98)="","",IFERROR(DATE(VALUE(RIGHT(TRIM('Base de Datos'!Q98),4)),VALUE(LEFT(TRIM('Base de Datos'!Q98),2)),VALUE(MID(TRIM('Base de Datos'!Q98),4,2))),""))),"")</f>
        <v>45130</v>
      </c>
      <c r="AI102" s="74" t="n">
        <f aca="false">IF(ISNUMBER('Base de Datos'!R98),'Base de Datos'!R98,IF(TRIM('Base de Datos'!R98)="","",IFERROR(IF(IFERROR(FIND("@",SUBSTITUTE(TRIM('Base de Datos'!R98),",","@",LEN(TRIM('Base de Datos'!R98))-LEN(SUBSTITUTE(TRIM('Base de Datos'!R98),",","")))),0)&gt;IFERROR(FIND("@",SUBSTITUTE(TRIM('Base de Datos'!R98),".","@",LEN(TRIM('Base de Datos'!R98))-LEN(SUBSTITUTE(TRIM('Base de Datos'!R98),".","")))),0),_xlfn.NUMBERVALUE(SUBSTITUTE(SUBSTITUTE(TRIM('Base de Datos'!R98),".",""),",","."),".",","),_xlfn.NUMBERVALUE(SUBSTITUTE(TRIM('Base de Datos'!R98),",",""),".",",")),"")))</f>
        <v>27.38</v>
      </c>
      <c r="AJ102" s="73" t="n">
        <f aca="false">IF(ISNUMBER(AK102),IF(ISNUMBER('Base de Datos'!Y98),IF('Base de Datos'!Y98&gt;20000,INT('Base de Datos'!Y98),""),IF(TRIM('Base de Datos'!Y98)="","",IFERROR(DATE(VALUE(RIGHT(TRIM('Base de Datos'!Y98),4)),VALUE(MID(TRIM('Base de Datos'!Y98),4,2)),VALUE(LEFT(TRIM('Base de Datos'!Y98),2))),IFERROR(DATEVALUE(TRIM('Base de Datos'!Y98)),"")))),"")</f>
        <v>45130</v>
      </c>
      <c r="AK102" s="74" t="n">
        <f aca="false">IF(ISNUMBER('Base de Datos'!Z98),'Base de Datos'!Z98,IF(TRIM('Base de Datos'!Z98)="","",IFERROR(IF(IFERROR(FIND("@",SUBSTITUTE(TRIM('Base de Datos'!Z98),",","@",LEN(TRIM('Base de Datos'!Z98))-LEN(SUBSTITUTE(TRIM('Base de Datos'!Z98),",","")))),0)&gt;IFERROR(FIND("@",SUBSTITUTE(TRIM('Base de Datos'!Z98),".","@",LEN(TRIM('Base de Datos'!Z98))-LEN(SUBSTITUTE(TRIM('Base de Datos'!Z98),".","")))),0),_xlfn.NUMBERVALUE(SUBSTITUTE(SUBSTITUTE(TRIM('Base de Datos'!Z98),".",""),",","."),".",","),_xlfn.NUMBERVALUE(SUBSTITUTE(TRIM('Base de Datos'!Z98),",",""),".",",")),"")))</f>
        <v>54910.93</v>
      </c>
    </row>
    <row r="103" customFormat="false" ht="13.5" hidden="false" customHeight="false" outlineLevel="0" collapsed="false">
      <c r="A103" s="75" t="n">
        <f aca="false">ROWS(A$13:A103)</f>
        <v>91</v>
      </c>
      <c r="B103" s="73" t="n">
        <f aca="false">IF(B102="","",IFERROR(SMALL($AH$10:$AH$409,COUNTIF($AH$10:$AH$409,"&lt;="&amp;B102)+1),""))</f>
        <v>45116</v>
      </c>
      <c r="C103" s="74" t="n">
        <f aca="false">IF(B103="","",INDEX($AI$10:$AI$409,MATCH(B103,$AH$10:$AH$409,0)))</f>
        <v>27.69</v>
      </c>
      <c r="D103" s="74" t="n">
        <f aca="false">IF(B103="","",IFERROR(INDEX($AK$10:$AK$409,MATCH(B103,$AJ$10:$AJ$409,0)),""))</f>
        <v>53770.8</v>
      </c>
      <c r="E103" s="76" t="n">
        <f aca="false">IF(AND(ISNUMBER(C103),ISNUMBER(C102)),C103/C102-1,"")</f>
        <v>-0.00180245133381385</v>
      </c>
      <c r="F103" s="76" t="n">
        <f aca="false">IF(AND(ISNUMBER(D103),ISNUMBER(D102)),D103/D102-1,"")</f>
        <v>-0.00247642627330769</v>
      </c>
      <c r="G103" s="75" t="n">
        <f aca="false">IF(AND(ISNUMBER(E103),ISNUMBER(F103)),1,"")</f>
        <v>1</v>
      </c>
      <c r="H103" s="75" t="n">
        <f aca="false">IF(G103=1,COUNT(G103:G$412),"")</f>
        <v>169</v>
      </c>
      <c r="I103" s="75" t="n">
        <f aca="false">IF(G103=1,IF(H103&lt;='Beta Regresión'!$B$5,1,""),"")</f>
        <v>1</v>
      </c>
      <c r="J103" s="76" t="n">
        <f aca="false">IF(I103=1,E103,"")</f>
        <v>-0.00180245133381385</v>
      </c>
      <c r="K103" s="76" t="n">
        <f aca="false">IF(I103=1,F103,"")</f>
        <v>-0.00247642627330769</v>
      </c>
      <c r="L103" s="75" t="n">
        <f aca="false">IF(I103=1,COUNT(I$13:I103),"")</f>
        <v>90</v>
      </c>
      <c r="M103" s="76" t="n">
        <f aca="false">IFERROR(INDEX($J$13:$J$412,MATCH(A103,$L$13:$L$412,0)),"")</f>
        <v>-0.0162513542795234</v>
      </c>
      <c r="N103" s="76" t="n">
        <f aca="false">IFERROR(INDEX($K$13:$K$412,MATCH(A103,$L$13:$L$412,0)),"")</f>
        <v>-0.00127652926867372</v>
      </c>
      <c r="O103" s="76" t="n">
        <f aca="false">IF(I103=1,E103,NA())</f>
        <v>-0.00180245133381385</v>
      </c>
      <c r="P103" s="76" t="n">
        <f aca="false">IF(I103=1,F103,NA())</f>
        <v>-0.00247642627330769</v>
      </c>
      <c r="R103" s="75" t="n">
        <f aca="false">ROWS(R$13:R103)</f>
        <v>91</v>
      </c>
      <c r="S103" s="73" t="str">
        <f aca="false">IF(S102="","",IFERROR(SMALL($AD$10:$AD$509,COUNTIF($AD$10:$AD$509,"&lt;="&amp;S102)+1),""))</f>
        <v/>
      </c>
      <c r="T103" s="74" t="str">
        <f aca="false">IF(S103="","",INDEX($AE$10:$AE$509,MATCH(S103,$AD$10:$AD$509,0)))</f>
        <v/>
      </c>
      <c r="U103" s="74" t="str">
        <f aca="false">IF(S103="","",IFERROR(INDEX($AG$10:$AG$509,MATCH(S103,$AF$10:$AF$509,0)),""))</f>
        <v/>
      </c>
      <c r="V103" s="76" t="str">
        <f aca="false">IF(AND(ISNUMBER(T103),ISNUMBER(T102)),T103/T102-1,"")</f>
        <v/>
      </c>
      <c r="W103" s="76" t="str">
        <f aca="false">IF(AND(ISNUMBER(U103),ISNUMBER(U102)),U103/U102-1,"")</f>
        <v/>
      </c>
      <c r="X103" s="75" t="str">
        <f aca="false">IF(AND(ISNUMBER(V103),ISNUMBER(W103)),1,"")</f>
        <v/>
      </c>
      <c r="Y103" s="76" t="str">
        <f aca="false">IF(X103=1,V103,"")</f>
        <v/>
      </c>
      <c r="Z103" s="76" t="str">
        <f aca="false">IF(X103=1,W103,"")</f>
        <v/>
      </c>
      <c r="AA103" s="76" t="e">
        <f aca="false">IF(X103=1,V103,NA())</f>
        <v>#N/A</v>
      </c>
      <c r="AB103" s="76" t="e">
        <f aca="false">IF(X103=1,W103,NA())</f>
        <v>#N/A</v>
      </c>
      <c r="AD103" s="73" t="str">
        <f aca="false">IF(ISNUMBER(AE103),IF(ISNUMBER('Base de Datos'!A99),IF('Base de Datos'!A99&gt;20000,DATE(YEAR('Base de Datos'!A99),DAY('Base de Datos'!A99),MONTH('Base de Datos'!A99)),""),IF(TRIM('Base de Datos'!A99)="","",IFERROR(DATE(VALUE(RIGHT(TRIM('Base de Datos'!A99),4)),VALUE(LEFT(TRIM('Base de Datos'!A99),2)),VALUE(MID(TRIM('Base de Datos'!A99),4,2))),""))),"")</f>
        <v/>
      </c>
      <c r="AE103" s="74" t="str">
        <f aca="false">IF(ISNUMBER('Base de Datos'!B99),'Base de Datos'!B99,IF(TRIM('Base de Datos'!B99)="","",IFERROR(IF(IFERROR(FIND("@",SUBSTITUTE(TRIM('Base de Datos'!B99),",","@",LEN(TRIM('Base de Datos'!B99))-LEN(SUBSTITUTE(TRIM('Base de Datos'!B99),",","")))),0)&gt;IFERROR(FIND("@",SUBSTITUTE(TRIM('Base de Datos'!B99),".","@",LEN(TRIM('Base de Datos'!B99))-LEN(SUBSTITUTE(TRIM('Base de Datos'!B99),".","")))),0),_xlfn.NUMBERVALUE(SUBSTITUTE(SUBSTITUTE(TRIM('Base de Datos'!B99),".",""),",","."),".",","),_xlfn.NUMBERVALUE(SUBSTITUTE(TRIM('Base de Datos'!B99),",",""),".",",")),"")))</f>
        <v/>
      </c>
      <c r="AF103" s="73" t="str">
        <f aca="false">IF(ISNUMBER(AG103),IF(ISNUMBER('Base de Datos'!I99),IF('Base de Datos'!I99&gt;20000,INT('Base de Datos'!I99),""),IF(TRIM('Base de Datos'!I99)="","",IFERROR(DATE(VALUE(RIGHT(TRIM('Base de Datos'!I99),4)),VALUE(MID(TRIM('Base de Datos'!I99),4,2)),VALUE(LEFT(TRIM('Base de Datos'!I99),2))),IFERROR(DATEVALUE(TRIM('Base de Datos'!I99)),"")))),"")</f>
        <v/>
      </c>
      <c r="AG103" s="74" t="str">
        <f aca="false">IF(ISNUMBER('Base de Datos'!J99),'Base de Datos'!J99,IF(TRIM('Base de Datos'!J99)="","",IFERROR(IF(IFERROR(FIND("@",SUBSTITUTE(TRIM('Base de Datos'!J99),",","@",LEN(TRIM('Base de Datos'!J99))-LEN(SUBSTITUTE(TRIM('Base de Datos'!J99),",","")))),0)&gt;IFERROR(FIND("@",SUBSTITUTE(TRIM('Base de Datos'!J99),".","@",LEN(TRIM('Base de Datos'!J99))-LEN(SUBSTITUTE(TRIM('Base de Datos'!J99),".","")))),0),_xlfn.NUMBERVALUE(SUBSTITUTE(SUBSTITUTE(TRIM('Base de Datos'!J99),".",""),",","."),".",","),_xlfn.NUMBERVALUE(SUBSTITUTE(TRIM('Base de Datos'!J99),",",""),".",",")),"")))</f>
        <v/>
      </c>
      <c r="AH103" s="73" t="n">
        <f aca="false">IF(ISNUMBER(AI103),IF(ISNUMBER('Base de Datos'!Q99),IF('Base de Datos'!Q99&gt;20000,DATE(YEAR('Base de Datos'!Q99),DAY('Base de Datos'!Q99),MONTH('Base de Datos'!Q99)),""),IF(TRIM('Base de Datos'!Q99)="","",IFERROR(DATE(VALUE(RIGHT(TRIM('Base de Datos'!Q99),4)),VALUE(LEFT(TRIM('Base de Datos'!Q99),2)),VALUE(MID(TRIM('Base de Datos'!Q99),4,2))),""))),"")</f>
        <v>45137</v>
      </c>
      <c r="AI103" s="74" t="n">
        <f aca="false">IF(ISNUMBER('Base de Datos'!R99),'Base de Datos'!R99,IF(TRIM('Base de Datos'!R99)="","",IFERROR(IF(IFERROR(FIND("@",SUBSTITUTE(TRIM('Base de Datos'!R99),",","@",LEN(TRIM('Base de Datos'!R99))-LEN(SUBSTITUTE(TRIM('Base de Datos'!R99),",","")))),0)&gt;IFERROR(FIND("@",SUBSTITUTE(TRIM('Base de Datos'!R99),".","@",LEN(TRIM('Base de Datos'!R99))-LEN(SUBSTITUTE(TRIM('Base de Datos'!R99),".","")))),0),_xlfn.NUMBERVALUE(SUBSTITUTE(SUBSTITUTE(TRIM('Base de Datos'!R99),".",""),",","."),".",","),_xlfn.NUMBERVALUE(SUBSTITUTE(TRIM('Base de Datos'!R99),",",""),".",",")),"")))</f>
        <v>26.99</v>
      </c>
      <c r="AJ103" s="73" t="n">
        <f aca="false">IF(ISNUMBER(AK103),IF(ISNUMBER('Base de Datos'!Y99),IF('Base de Datos'!Y99&gt;20000,INT('Base de Datos'!Y99),""),IF(TRIM('Base de Datos'!Y99)="","",IFERROR(DATE(VALUE(RIGHT(TRIM('Base de Datos'!Y99),4)),VALUE(MID(TRIM('Base de Datos'!Y99),4,2)),VALUE(LEFT(TRIM('Base de Datos'!Y99),2))),IFERROR(DATEVALUE(TRIM('Base de Datos'!Y99)),"")))),"")</f>
        <v>45137</v>
      </c>
      <c r="AK103" s="74" t="n">
        <f aca="false">IF(ISNUMBER('Base de Datos'!Z99),'Base de Datos'!Z99,IF(TRIM('Base de Datos'!Z99)="","",IFERROR(IF(IFERROR(FIND("@",SUBSTITUTE(TRIM('Base de Datos'!Z99),",","@",LEN(TRIM('Base de Datos'!Z99))-LEN(SUBSTITUTE(TRIM('Base de Datos'!Z99),",","")))),0)&gt;IFERROR(FIND("@",SUBSTITUTE(TRIM('Base de Datos'!Z99),".","@",LEN(TRIM('Base de Datos'!Z99))-LEN(SUBSTITUTE(TRIM('Base de Datos'!Z99),".","")))),0),_xlfn.NUMBERVALUE(SUBSTITUTE(SUBSTITUTE(TRIM('Base de Datos'!Z99),".",""),",","."),".",","),_xlfn.NUMBERVALUE(SUBSTITUTE(TRIM('Base de Datos'!Z99),",",""),".",",")),"")))</f>
        <v>53991.42</v>
      </c>
    </row>
    <row r="104" customFormat="false" ht="13.5" hidden="false" customHeight="false" outlineLevel="0" collapsed="false">
      <c r="A104" s="75" t="n">
        <f aca="false">ROWS(A$13:A104)</f>
        <v>92</v>
      </c>
      <c r="B104" s="73" t="n">
        <f aca="false">IF(B103="","",IFERROR(SMALL($AH$10:$AH$409,COUNTIF($AH$10:$AH$409,"&lt;="&amp;B103)+1),""))</f>
        <v>45123</v>
      </c>
      <c r="C104" s="74" t="n">
        <f aca="false">IF(B104="","",INDEX($AI$10:$AI$409,MATCH(B104,$AH$10:$AH$409,0)))</f>
        <v>27.24</v>
      </c>
      <c r="D104" s="74" t="n">
        <f aca="false">IF(B104="","",IFERROR(INDEX($AK$10:$AK$409,MATCH(B104,$AJ$10:$AJ$409,0)),""))</f>
        <v>53702.16</v>
      </c>
      <c r="E104" s="76" t="n">
        <f aca="false">IF(AND(ISNUMBER(C104),ISNUMBER(C103)),C104/C103-1,"")</f>
        <v>-0.0162513542795234</v>
      </c>
      <c r="F104" s="76" t="n">
        <f aca="false">IF(AND(ISNUMBER(D104),ISNUMBER(D103)),D104/D103-1,"")</f>
        <v>-0.00127652926867372</v>
      </c>
      <c r="G104" s="75" t="n">
        <f aca="false">IF(AND(ISNUMBER(E104),ISNUMBER(F104)),1,"")</f>
        <v>1</v>
      </c>
      <c r="H104" s="75" t="n">
        <f aca="false">IF(G104=1,COUNT(G104:G$412),"")</f>
        <v>168</v>
      </c>
      <c r="I104" s="75" t="n">
        <f aca="false">IF(G104=1,IF(H104&lt;='Beta Regresión'!$B$5,1,""),"")</f>
        <v>1</v>
      </c>
      <c r="J104" s="76" t="n">
        <f aca="false">IF(I104=1,E104,"")</f>
        <v>-0.0162513542795234</v>
      </c>
      <c r="K104" s="76" t="n">
        <f aca="false">IF(I104=1,F104,"")</f>
        <v>-0.00127652926867372</v>
      </c>
      <c r="L104" s="75" t="n">
        <f aca="false">IF(I104=1,COUNT(I$13:I104),"")</f>
        <v>91</v>
      </c>
      <c r="M104" s="76" t="n">
        <f aca="false">IFERROR(INDEX($J$13:$J$412,MATCH(A104,$L$13:$L$412,0)),"")</f>
        <v>0.00513950073421432</v>
      </c>
      <c r="N104" s="76" t="n">
        <f aca="false">IFERROR(INDEX($K$13:$K$412,MATCH(A104,$L$13:$L$412,0)),"")</f>
        <v>0.0225087780454267</v>
      </c>
      <c r="O104" s="76" t="n">
        <f aca="false">IF(I104=1,E104,NA())</f>
        <v>-0.0162513542795234</v>
      </c>
      <c r="P104" s="76" t="n">
        <f aca="false">IF(I104=1,F104,NA())</f>
        <v>-0.00127652926867372</v>
      </c>
      <c r="R104" s="75" t="n">
        <f aca="false">ROWS(R$13:R104)</f>
        <v>92</v>
      </c>
      <c r="S104" s="73" t="str">
        <f aca="false">IF(S103="","",IFERROR(SMALL($AD$10:$AD$509,COUNTIF($AD$10:$AD$509,"&lt;="&amp;S103)+1),""))</f>
        <v/>
      </c>
      <c r="T104" s="74" t="str">
        <f aca="false">IF(S104="","",INDEX($AE$10:$AE$509,MATCH(S104,$AD$10:$AD$509,0)))</f>
        <v/>
      </c>
      <c r="U104" s="74" t="str">
        <f aca="false">IF(S104="","",IFERROR(INDEX($AG$10:$AG$509,MATCH(S104,$AF$10:$AF$509,0)),""))</f>
        <v/>
      </c>
      <c r="V104" s="76" t="str">
        <f aca="false">IF(AND(ISNUMBER(T104),ISNUMBER(T103)),T104/T103-1,"")</f>
        <v/>
      </c>
      <c r="W104" s="76" t="str">
        <f aca="false">IF(AND(ISNUMBER(U104),ISNUMBER(U103)),U104/U103-1,"")</f>
        <v/>
      </c>
      <c r="X104" s="75" t="str">
        <f aca="false">IF(AND(ISNUMBER(V104),ISNUMBER(W104)),1,"")</f>
        <v/>
      </c>
      <c r="Y104" s="76" t="str">
        <f aca="false">IF(X104=1,V104,"")</f>
        <v/>
      </c>
      <c r="Z104" s="76" t="str">
        <f aca="false">IF(X104=1,W104,"")</f>
        <v/>
      </c>
      <c r="AA104" s="76" t="e">
        <f aca="false">IF(X104=1,V104,NA())</f>
        <v>#N/A</v>
      </c>
      <c r="AB104" s="76" t="e">
        <f aca="false">IF(X104=1,W104,NA())</f>
        <v>#N/A</v>
      </c>
      <c r="AD104" s="73" t="str">
        <f aca="false">IF(ISNUMBER(AE104),IF(ISNUMBER('Base de Datos'!A100),IF('Base de Datos'!A100&gt;20000,DATE(YEAR('Base de Datos'!A100),DAY('Base de Datos'!A100),MONTH('Base de Datos'!A100)),""),IF(TRIM('Base de Datos'!A100)="","",IFERROR(DATE(VALUE(RIGHT(TRIM('Base de Datos'!A100),4)),VALUE(LEFT(TRIM('Base de Datos'!A100),2)),VALUE(MID(TRIM('Base de Datos'!A100),4,2))),""))),"")</f>
        <v/>
      </c>
      <c r="AE104" s="74" t="str">
        <f aca="false">IF(ISNUMBER('Base de Datos'!B100),'Base de Datos'!B100,IF(TRIM('Base de Datos'!B100)="","",IFERROR(IF(IFERROR(FIND("@",SUBSTITUTE(TRIM('Base de Datos'!B100),",","@",LEN(TRIM('Base de Datos'!B100))-LEN(SUBSTITUTE(TRIM('Base de Datos'!B100),",","")))),0)&gt;IFERROR(FIND("@",SUBSTITUTE(TRIM('Base de Datos'!B100),".","@",LEN(TRIM('Base de Datos'!B100))-LEN(SUBSTITUTE(TRIM('Base de Datos'!B100),".","")))),0),_xlfn.NUMBERVALUE(SUBSTITUTE(SUBSTITUTE(TRIM('Base de Datos'!B100),".",""),",","."),".",","),_xlfn.NUMBERVALUE(SUBSTITUTE(TRIM('Base de Datos'!B100),",",""),".",",")),"")))</f>
        <v/>
      </c>
      <c r="AF104" s="73" t="str">
        <f aca="false">IF(ISNUMBER(AG104),IF(ISNUMBER('Base de Datos'!I100),IF('Base de Datos'!I100&gt;20000,INT('Base de Datos'!I100),""),IF(TRIM('Base de Datos'!I100)="","",IFERROR(DATE(VALUE(RIGHT(TRIM('Base de Datos'!I100),4)),VALUE(MID(TRIM('Base de Datos'!I100),4,2)),VALUE(LEFT(TRIM('Base de Datos'!I100),2))),IFERROR(DATEVALUE(TRIM('Base de Datos'!I100)),"")))),"")</f>
        <v/>
      </c>
      <c r="AG104" s="74" t="str">
        <f aca="false">IF(ISNUMBER('Base de Datos'!J100),'Base de Datos'!J100,IF(TRIM('Base de Datos'!J100)="","",IFERROR(IF(IFERROR(FIND("@",SUBSTITUTE(TRIM('Base de Datos'!J100),",","@",LEN(TRIM('Base de Datos'!J100))-LEN(SUBSTITUTE(TRIM('Base de Datos'!J100),",","")))),0)&gt;IFERROR(FIND("@",SUBSTITUTE(TRIM('Base de Datos'!J100),".","@",LEN(TRIM('Base de Datos'!J100))-LEN(SUBSTITUTE(TRIM('Base de Datos'!J100),".","")))),0),_xlfn.NUMBERVALUE(SUBSTITUTE(SUBSTITUTE(TRIM('Base de Datos'!J100),".",""),",","."),".",","),_xlfn.NUMBERVALUE(SUBSTITUTE(TRIM('Base de Datos'!J100),",",""),".",",")),"")))</f>
        <v/>
      </c>
      <c r="AH104" s="73" t="n">
        <f aca="false">IF(ISNUMBER(AI104),IF(ISNUMBER('Base de Datos'!Q100),IF('Base de Datos'!Q100&gt;20000,DATE(YEAR('Base de Datos'!Q100),DAY('Base de Datos'!Q100),MONTH('Base de Datos'!Q100)),""),IF(TRIM('Base de Datos'!Q100)="","",IFERROR(DATE(VALUE(RIGHT(TRIM('Base de Datos'!Q100),4)),VALUE(LEFT(TRIM('Base de Datos'!Q100),2)),VALUE(MID(TRIM('Base de Datos'!Q100),4,2))),""))),"")</f>
        <v>45144</v>
      </c>
      <c r="AI104" s="74" t="n">
        <f aca="false">IF(ISNUMBER('Base de Datos'!R100),'Base de Datos'!R100,IF(TRIM('Base de Datos'!R100)="","",IFERROR(IF(IFERROR(FIND("@",SUBSTITUTE(TRIM('Base de Datos'!R100),",","@",LEN(TRIM('Base de Datos'!R100))-LEN(SUBSTITUTE(TRIM('Base de Datos'!R100),",","")))),0)&gt;IFERROR(FIND("@",SUBSTITUTE(TRIM('Base de Datos'!R100),".","@",LEN(TRIM('Base de Datos'!R100))-LEN(SUBSTITUTE(TRIM('Base de Datos'!R100),".","")))),0),_xlfn.NUMBERVALUE(SUBSTITUTE(SUBSTITUTE(TRIM('Base de Datos'!R100),".",""),",","."),".",","),_xlfn.NUMBERVALUE(SUBSTITUTE(TRIM('Base de Datos'!R100),",",""),".",",")),"")))</f>
        <v>27.19</v>
      </c>
      <c r="AJ104" s="73" t="n">
        <f aca="false">IF(ISNUMBER(AK104),IF(ISNUMBER('Base de Datos'!Y100),IF('Base de Datos'!Y100&gt;20000,INT('Base de Datos'!Y100),""),IF(TRIM('Base de Datos'!Y100)="","",IFERROR(DATE(VALUE(RIGHT(TRIM('Base de Datos'!Y100),4)),VALUE(MID(TRIM('Base de Datos'!Y100),4,2)),VALUE(LEFT(TRIM('Base de Datos'!Y100),2))),IFERROR(DATEVALUE(TRIM('Base de Datos'!Y100)),"")))),"")</f>
        <v>45144</v>
      </c>
      <c r="AK104" s="74" t="n">
        <f aca="false">IF(ISNUMBER('Base de Datos'!Z100),'Base de Datos'!Z100,IF(TRIM('Base de Datos'!Z100)="","",IFERROR(IF(IFERROR(FIND("@",SUBSTITUTE(TRIM('Base de Datos'!Z100),",","@",LEN(TRIM('Base de Datos'!Z100))-LEN(SUBSTITUTE(TRIM('Base de Datos'!Z100),",","")))),0)&gt;IFERROR(FIND("@",SUBSTITUTE(TRIM('Base de Datos'!Z100),".","@",LEN(TRIM('Base de Datos'!Z100))-LEN(SUBSTITUTE(TRIM('Base de Datos'!Z100),".","")))),0),_xlfn.NUMBERVALUE(SUBSTITUTE(SUBSTITUTE(TRIM('Base de Datos'!Z100),".",""),",","."),".",","),_xlfn.NUMBERVALUE(SUBSTITUTE(TRIM('Base de Datos'!Z100),",",""),".",",")),"")))</f>
        <v>53242.16</v>
      </c>
    </row>
    <row r="105" customFormat="false" ht="13.5" hidden="false" customHeight="false" outlineLevel="0" collapsed="false">
      <c r="A105" s="75" t="n">
        <f aca="false">ROWS(A$13:A105)</f>
        <v>93</v>
      </c>
      <c r="B105" s="73" t="n">
        <f aca="false">IF(B104="","",IFERROR(SMALL($AH$10:$AH$409,COUNTIF($AH$10:$AH$409,"&lt;="&amp;B104)+1),""))</f>
        <v>45130</v>
      </c>
      <c r="C105" s="74" t="n">
        <f aca="false">IF(B105="","",INDEX($AI$10:$AI$409,MATCH(B105,$AH$10:$AH$409,0)))</f>
        <v>27.38</v>
      </c>
      <c r="D105" s="74" t="n">
        <f aca="false">IF(B105="","",IFERROR(INDEX($AK$10:$AK$409,MATCH(B105,$AJ$10:$AJ$409,0)),""))</f>
        <v>54910.93</v>
      </c>
      <c r="E105" s="76" t="n">
        <f aca="false">IF(AND(ISNUMBER(C105),ISNUMBER(C104)),C105/C104-1,"")</f>
        <v>0.00513950073421432</v>
      </c>
      <c r="F105" s="76" t="n">
        <f aca="false">IF(AND(ISNUMBER(D105),ISNUMBER(D104)),D105/D104-1,"")</f>
        <v>0.0225087780454267</v>
      </c>
      <c r="G105" s="75" t="n">
        <f aca="false">IF(AND(ISNUMBER(E105),ISNUMBER(F105)),1,"")</f>
        <v>1</v>
      </c>
      <c r="H105" s="75" t="n">
        <f aca="false">IF(G105=1,COUNT(G105:G$412),"")</f>
        <v>167</v>
      </c>
      <c r="I105" s="75" t="n">
        <f aca="false">IF(G105=1,IF(H105&lt;='Beta Regresión'!$B$5,1,""),"")</f>
        <v>1</v>
      </c>
      <c r="J105" s="76" t="n">
        <f aca="false">IF(I105=1,E105,"")</f>
        <v>0.00513950073421432</v>
      </c>
      <c r="K105" s="76" t="n">
        <f aca="false">IF(I105=1,F105,"")</f>
        <v>0.0225087780454267</v>
      </c>
      <c r="L105" s="75" t="n">
        <f aca="false">IF(I105=1,COUNT(I$13:I105),"")</f>
        <v>92</v>
      </c>
      <c r="M105" s="76" t="n">
        <f aca="false">IFERROR(INDEX($J$13:$J$412,MATCH(A105,$L$13:$L$412,0)),"")</f>
        <v>-0.0142439737034332</v>
      </c>
      <c r="N105" s="76" t="n">
        <f aca="false">IFERROR(INDEX($K$13:$K$412,MATCH(A105,$L$13:$L$412,0)),"")</f>
        <v>-0.0167454821836017</v>
      </c>
      <c r="O105" s="76" t="n">
        <f aca="false">IF(I105=1,E105,NA())</f>
        <v>0.00513950073421432</v>
      </c>
      <c r="P105" s="76" t="n">
        <f aca="false">IF(I105=1,F105,NA())</f>
        <v>0.0225087780454267</v>
      </c>
      <c r="R105" s="75" t="n">
        <f aca="false">ROWS(R$13:R105)</f>
        <v>93</v>
      </c>
      <c r="S105" s="73" t="str">
        <f aca="false">IF(S104="","",IFERROR(SMALL($AD$10:$AD$509,COUNTIF($AD$10:$AD$509,"&lt;="&amp;S104)+1),""))</f>
        <v/>
      </c>
      <c r="T105" s="74" t="str">
        <f aca="false">IF(S105="","",INDEX($AE$10:$AE$509,MATCH(S105,$AD$10:$AD$509,0)))</f>
        <v/>
      </c>
      <c r="U105" s="74" t="str">
        <f aca="false">IF(S105="","",IFERROR(INDEX($AG$10:$AG$509,MATCH(S105,$AF$10:$AF$509,0)),""))</f>
        <v/>
      </c>
      <c r="V105" s="76" t="str">
        <f aca="false">IF(AND(ISNUMBER(T105),ISNUMBER(T104)),T105/T104-1,"")</f>
        <v/>
      </c>
      <c r="W105" s="76" t="str">
        <f aca="false">IF(AND(ISNUMBER(U105),ISNUMBER(U104)),U105/U104-1,"")</f>
        <v/>
      </c>
      <c r="X105" s="75" t="str">
        <f aca="false">IF(AND(ISNUMBER(V105),ISNUMBER(W105)),1,"")</f>
        <v/>
      </c>
      <c r="Y105" s="76" t="str">
        <f aca="false">IF(X105=1,V105,"")</f>
        <v/>
      </c>
      <c r="Z105" s="76" t="str">
        <f aca="false">IF(X105=1,W105,"")</f>
        <v/>
      </c>
      <c r="AA105" s="76" t="e">
        <f aca="false">IF(X105=1,V105,NA())</f>
        <v>#N/A</v>
      </c>
      <c r="AB105" s="76" t="e">
        <f aca="false">IF(X105=1,W105,NA())</f>
        <v>#N/A</v>
      </c>
      <c r="AD105" s="73" t="str">
        <f aca="false">IF(ISNUMBER(AE105),IF(ISNUMBER('Base de Datos'!A101),IF('Base de Datos'!A101&gt;20000,DATE(YEAR('Base de Datos'!A101),DAY('Base de Datos'!A101),MONTH('Base de Datos'!A101)),""),IF(TRIM('Base de Datos'!A101)="","",IFERROR(DATE(VALUE(RIGHT(TRIM('Base de Datos'!A101),4)),VALUE(LEFT(TRIM('Base de Datos'!A101),2)),VALUE(MID(TRIM('Base de Datos'!A101),4,2))),""))),"")</f>
        <v/>
      </c>
      <c r="AE105" s="74" t="str">
        <f aca="false">IF(ISNUMBER('Base de Datos'!B101),'Base de Datos'!B101,IF(TRIM('Base de Datos'!B101)="","",IFERROR(IF(IFERROR(FIND("@",SUBSTITUTE(TRIM('Base de Datos'!B101),",","@",LEN(TRIM('Base de Datos'!B101))-LEN(SUBSTITUTE(TRIM('Base de Datos'!B101),",","")))),0)&gt;IFERROR(FIND("@",SUBSTITUTE(TRIM('Base de Datos'!B101),".","@",LEN(TRIM('Base de Datos'!B101))-LEN(SUBSTITUTE(TRIM('Base de Datos'!B101),".","")))),0),_xlfn.NUMBERVALUE(SUBSTITUTE(SUBSTITUTE(TRIM('Base de Datos'!B101),".",""),",","."),".",","),_xlfn.NUMBERVALUE(SUBSTITUTE(TRIM('Base de Datos'!B101),",",""),".",",")),"")))</f>
        <v/>
      </c>
      <c r="AF105" s="73" t="str">
        <f aca="false">IF(ISNUMBER(AG105),IF(ISNUMBER('Base de Datos'!I101),IF('Base de Datos'!I101&gt;20000,INT('Base de Datos'!I101),""),IF(TRIM('Base de Datos'!I101)="","",IFERROR(DATE(VALUE(RIGHT(TRIM('Base de Datos'!I101),4)),VALUE(MID(TRIM('Base de Datos'!I101),4,2)),VALUE(LEFT(TRIM('Base de Datos'!I101),2))),IFERROR(DATEVALUE(TRIM('Base de Datos'!I101)),"")))),"")</f>
        <v/>
      </c>
      <c r="AG105" s="74" t="str">
        <f aca="false">IF(ISNUMBER('Base de Datos'!J101),'Base de Datos'!J101,IF(TRIM('Base de Datos'!J101)="","",IFERROR(IF(IFERROR(FIND("@",SUBSTITUTE(TRIM('Base de Datos'!J101),",","@",LEN(TRIM('Base de Datos'!J101))-LEN(SUBSTITUTE(TRIM('Base de Datos'!J101),",","")))),0)&gt;IFERROR(FIND("@",SUBSTITUTE(TRIM('Base de Datos'!J101),".","@",LEN(TRIM('Base de Datos'!J101))-LEN(SUBSTITUTE(TRIM('Base de Datos'!J101),".","")))),0),_xlfn.NUMBERVALUE(SUBSTITUTE(SUBSTITUTE(TRIM('Base de Datos'!J101),".",""),",","."),".",","),_xlfn.NUMBERVALUE(SUBSTITUTE(TRIM('Base de Datos'!J101),",",""),".",",")),"")))</f>
        <v/>
      </c>
      <c r="AH105" s="73" t="n">
        <f aca="false">IF(ISNUMBER(AI105),IF(ISNUMBER('Base de Datos'!Q101),IF('Base de Datos'!Q101&gt;20000,DATE(YEAR('Base de Datos'!Q101),DAY('Base de Datos'!Q101),MONTH('Base de Datos'!Q101)),""),IF(TRIM('Base de Datos'!Q101)="","",IFERROR(DATE(VALUE(RIGHT(TRIM('Base de Datos'!Q101),4)),VALUE(LEFT(TRIM('Base de Datos'!Q101),2)),VALUE(MID(TRIM('Base de Datos'!Q101),4,2))),""))),"")</f>
        <v>45151</v>
      </c>
      <c r="AI105" s="74" t="n">
        <f aca="false">IF(ISNUMBER('Base de Datos'!R101),'Base de Datos'!R101,IF(TRIM('Base de Datos'!R101)="","",IFERROR(IF(IFERROR(FIND("@",SUBSTITUTE(TRIM('Base de Datos'!R101),",","@",LEN(TRIM('Base de Datos'!R101))-LEN(SUBSTITUTE(TRIM('Base de Datos'!R101),",","")))),0)&gt;IFERROR(FIND("@",SUBSTITUTE(TRIM('Base de Datos'!R101),".","@",LEN(TRIM('Base de Datos'!R101))-LEN(SUBSTITUTE(TRIM('Base de Datos'!R101),".","")))),0),_xlfn.NUMBERVALUE(SUBSTITUTE(SUBSTITUTE(TRIM('Base de Datos'!R101),".",""),",","."),".",","),_xlfn.NUMBERVALUE(SUBSTITUTE(TRIM('Base de Datos'!R101),",",""),".",",")),"")))</f>
        <v>27.2</v>
      </c>
      <c r="AJ105" s="73" t="n">
        <f aca="false">IF(ISNUMBER(AK105),IF(ISNUMBER('Base de Datos'!Y101),IF('Base de Datos'!Y101&gt;20000,INT('Base de Datos'!Y101),""),IF(TRIM('Base de Datos'!Y101)="","",IFERROR(DATE(VALUE(RIGHT(TRIM('Base de Datos'!Y101),4)),VALUE(MID(TRIM('Base de Datos'!Y101),4,2)),VALUE(LEFT(TRIM('Base de Datos'!Y101),2))),IFERROR(DATEVALUE(TRIM('Base de Datos'!Y101)),"")))),"")</f>
        <v>45151</v>
      </c>
      <c r="AK105" s="74" t="n">
        <f aca="false">IF(ISNUMBER('Base de Datos'!Z101),'Base de Datos'!Z101,IF(TRIM('Base de Datos'!Z101)="","",IFERROR(IF(IFERROR(FIND("@",SUBSTITUTE(TRIM('Base de Datos'!Z101),",","@",LEN(TRIM('Base de Datos'!Z101))-LEN(SUBSTITUTE(TRIM('Base de Datos'!Z101),",","")))),0)&gt;IFERROR(FIND("@",SUBSTITUTE(TRIM('Base de Datos'!Z101),".","@",LEN(TRIM('Base de Datos'!Z101))-LEN(SUBSTITUTE(TRIM('Base de Datos'!Z101),".","")))),0),_xlfn.NUMBERVALUE(SUBSTITUTE(SUBSTITUTE(TRIM('Base de Datos'!Z101),".",""),",","."),".",","),_xlfn.NUMBERVALUE(SUBSTITUTE(TRIM('Base de Datos'!Z101),",",""),".",",")),"")))</f>
        <v>53194.39</v>
      </c>
    </row>
    <row r="106" customFormat="false" ht="13.5" hidden="false" customHeight="false" outlineLevel="0" collapsed="false">
      <c r="A106" s="75" t="n">
        <f aca="false">ROWS(A$13:A106)</f>
        <v>94</v>
      </c>
      <c r="B106" s="73" t="n">
        <f aca="false">IF(B105="","",IFERROR(SMALL($AH$10:$AH$409,COUNTIF($AH$10:$AH$409,"&lt;="&amp;B105)+1),""))</f>
        <v>45137</v>
      </c>
      <c r="C106" s="74" t="n">
        <f aca="false">IF(B106="","",INDEX($AI$10:$AI$409,MATCH(B106,$AH$10:$AH$409,0)))</f>
        <v>26.99</v>
      </c>
      <c r="D106" s="74" t="n">
        <f aca="false">IF(B106="","",IFERROR(INDEX($AK$10:$AK$409,MATCH(B106,$AJ$10:$AJ$409,0)),""))</f>
        <v>53991.42</v>
      </c>
      <c r="E106" s="76" t="n">
        <f aca="false">IF(AND(ISNUMBER(C106),ISNUMBER(C105)),C106/C105-1,"")</f>
        <v>-0.0142439737034332</v>
      </c>
      <c r="F106" s="76" t="n">
        <f aca="false">IF(AND(ISNUMBER(D106),ISNUMBER(D105)),D106/D105-1,"")</f>
        <v>-0.0167454821836017</v>
      </c>
      <c r="G106" s="75" t="n">
        <f aca="false">IF(AND(ISNUMBER(E106),ISNUMBER(F106)),1,"")</f>
        <v>1</v>
      </c>
      <c r="H106" s="75" t="n">
        <f aca="false">IF(G106=1,COUNT(G106:G$412),"")</f>
        <v>166</v>
      </c>
      <c r="I106" s="75" t="n">
        <f aca="false">IF(G106=1,IF(H106&lt;='Beta Regresión'!$B$5,1,""),"")</f>
        <v>1</v>
      </c>
      <c r="J106" s="76" t="n">
        <f aca="false">IF(I106=1,E106,"")</f>
        <v>-0.0142439737034332</v>
      </c>
      <c r="K106" s="76" t="n">
        <f aca="false">IF(I106=1,F106,"")</f>
        <v>-0.0167454821836017</v>
      </c>
      <c r="L106" s="75" t="n">
        <f aca="false">IF(I106=1,COUNT(I$13:I106),"")</f>
        <v>93</v>
      </c>
      <c r="M106" s="76" t="n">
        <f aca="false">IFERROR(INDEX($J$13:$J$412,MATCH(A106,$L$13:$L$412,0)),"")</f>
        <v>0.00741015190811423</v>
      </c>
      <c r="N106" s="76" t="n">
        <f aca="false">IFERROR(INDEX($K$13:$K$412,MATCH(A106,$L$13:$L$412,0)),"")</f>
        <v>-0.0138773901482864</v>
      </c>
      <c r="O106" s="76" t="n">
        <f aca="false">IF(I106=1,E106,NA())</f>
        <v>-0.0142439737034332</v>
      </c>
      <c r="P106" s="76" t="n">
        <f aca="false">IF(I106=1,F106,NA())</f>
        <v>-0.0167454821836017</v>
      </c>
      <c r="R106" s="75" t="n">
        <f aca="false">ROWS(R$13:R106)</f>
        <v>94</v>
      </c>
      <c r="S106" s="73" t="str">
        <f aca="false">IF(S105="","",IFERROR(SMALL($AD$10:$AD$509,COUNTIF($AD$10:$AD$509,"&lt;="&amp;S105)+1),""))</f>
        <v/>
      </c>
      <c r="T106" s="74" t="str">
        <f aca="false">IF(S106="","",INDEX($AE$10:$AE$509,MATCH(S106,$AD$10:$AD$509,0)))</f>
        <v/>
      </c>
      <c r="U106" s="74" t="str">
        <f aca="false">IF(S106="","",IFERROR(INDEX($AG$10:$AG$509,MATCH(S106,$AF$10:$AF$509,0)),""))</f>
        <v/>
      </c>
      <c r="V106" s="76" t="str">
        <f aca="false">IF(AND(ISNUMBER(T106),ISNUMBER(T105)),T106/T105-1,"")</f>
        <v/>
      </c>
      <c r="W106" s="76" t="str">
        <f aca="false">IF(AND(ISNUMBER(U106),ISNUMBER(U105)),U106/U105-1,"")</f>
        <v/>
      </c>
      <c r="X106" s="75" t="str">
        <f aca="false">IF(AND(ISNUMBER(V106),ISNUMBER(W106)),1,"")</f>
        <v/>
      </c>
      <c r="Y106" s="76" t="str">
        <f aca="false">IF(X106=1,V106,"")</f>
        <v/>
      </c>
      <c r="Z106" s="76" t="str">
        <f aca="false">IF(X106=1,W106,"")</f>
        <v/>
      </c>
      <c r="AA106" s="76" t="e">
        <f aca="false">IF(X106=1,V106,NA())</f>
        <v>#N/A</v>
      </c>
      <c r="AB106" s="76" t="e">
        <f aca="false">IF(X106=1,W106,NA())</f>
        <v>#N/A</v>
      </c>
      <c r="AD106" s="73" t="str">
        <f aca="false">IF(ISNUMBER(AE106),IF(ISNUMBER('Base de Datos'!A102),IF('Base de Datos'!A102&gt;20000,DATE(YEAR('Base de Datos'!A102),DAY('Base de Datos'!A102),MONTH('Base de Datos'!A102)),""),IF(TRIM('Base de Datos'!A102)="","",IFERROR(DATE(VALUE(RIGHT(TRIM('Base de Datos'!A102),4)),VALUE(LEFT(TRIM('Base de Datos'!A102),2)),VALUE(MID(TRIM('Base de Datos'!A102),4,2))),""))),"")</f>
        <v/>
      </c>
      <c r="AE106" s="74" t="str">
        <f aca="false">IF(ISNUMBER('Base de Datos'!B102),'Base de Datos'!B102,IF(TRIM('Base de Datos'!B102)="","",IFERROR(IF(IFERROR(FIND("@",SUBSTITUTE(TRIM('Base de Datos'!B102),",","@",LEN(TRIM('Base de Datos'!B102))-LEN(SUBSTITUTE(TRIM('Base de Datos'!B102),",","")))),0)&gt;IFERROR(FIND("@",SUBSTITUTE(TRIM('Base de Datos'!B102),".","@",LEN(TRIM('Base de Datos'!B102))-LEN(SUBSTITUTE(TRIM('Base de Datos'!B102),".","")))),0),_xlfn.NUMBERVALUE(SUBSTITUTE(SUBSTITUTE(TRIM('Base de Datos'!B102),".",""),",","."),".",","),_xlfn.NUMBERVALUE(SUBSTITUTE(TRIM('Base de Datos'!B102),",",""),".",",")),"")))</f>
        <v/>
      </c>
      <c r="AF106" s="73" t="str">
        <f aca="false">IF(ISNUMBER(AG106),IF(ISNUMBER('Base de Datos'!I102),IF('Base de Datos'!I102&gt;20000,INT('Base de Datos'!I102),""),IF(TRIM('Base de Datos'!I102)="","",IFERROR(DATE(VALUE(RIGHT(TRIM('Base de Datos'!I102),4)),VALUE(MID(TRIM('Base de Datos'!I102),4,2)),VALUE(LEFT(TRIM('Base de Datos'!I102),2))),IFERROR(DATEVALUE(TRIM('Base de Datos'!I102)),"")))),"")</f>
        <v/>
      </c>
      <c r="AG106" s="74" t="str">
        <f aca="false">IF(ISNUMBER('Base de Datos'!J102),'Base de Datos'!J102,IF(TRIM('Base de Datos'!J102)="","",IFERROR(IF(IFERROR(FIND("@",SUBSTITUTE(TRIM('Base de Datos'!J102),",","@",LEN(TRIM('Base de Datos'!J102))-LEN(SUBSTITUTE(TRIM('Base de Datos'!J102),",","")))),0)&gt;IFERROR(FIND("@",SUBSTITUTE(TRIM('Base de Datos'!J102),".","@",LEN(TRIM('Base de Datos'!J102))-LEN(SUBSTITUTE(TRIM('Base de Datos'!J102),".","")))),0),_xlfn.NUMBERVALUE(SUBSTITUTE(SUBSTITUTE(TRIM('Base de Datos'!J102),".",""),",","."),".",","),_xlfn.NUMBERVALUE(SUBSTITUTE(TRIM('Base de Datos'!J102),",",""),".",",")),"")))</f>
        <v/>
      </c>
      <c r="AH106" s="73" t="n">
        <f aca="false">IF(ISNUMBER(AI106),IF(ISNUMBER('Base de Datos'!Q102),IF('Base de Datos'!Q102&gt;20000,DATE(YEAR('Base de Datos'!Q102),DAY('Base de Datos'!Q102),MONTH('Base de Datos'!Q102)),""),IF(TRIM('Base de Datos'!Q102)="","",IFERROR(DATE(VALUE(RIGHT(TRIM('Base de Datos'!Q102),4)),VALUE(LEFT(TRIM('Base de Datos'!Q102),2)),VALUE(MID(TRIM('Base de Datos'!Q102),4,2))),""))),"")</f>
        <v>45158</v>
      </c>
      <c r="AI106" s="74" t="n">
        <f aca="false">IF(ISNUMBER('Base de Datos'!R102),'Base de Datos'!R102,IF(TRIM('Base de Datos'!R102)="","",IFERROR(IF(IFERROR(FIND("@",SUBSTITUTE(TRIM('Base de Datos'!R102),",","@",LEN(TRIM('Base de Datos'!R102))-LEN(SUBSTITUTE(TRIM('Base de Datos'!R102),",","")))),0)&gt;IFERROR(FIND("@",SUBSTITUTE(TRIM('Base de Datos'!R102),".","@",LEN(TRIM('Base de Datos'!R102))-LEN(SUBSTITUTE(TRIM('Base de Datos'!R102),".","")))),0),_xlfn.NUMBERVALUE(SUBSTITUTE(SUBSTITUTE(TRIM('Base de Datos'!R102),".",""),",","."),".",","),_xlfn.NUMBERVALUE(SUBSTITUTE(TRIM('Base de Datos'!R102),",",""),".",",")),"")))</f>
        <v>26.49</v>
      </c>
      <c r="AJ106" s="73" t="n">
        <f aca="false">IF(ISNUMBER(AK106),IF(ISNUMBER('Base de Datos'!Y102),IF('Base de Datos'!Y102&gt;20000,INT('Base de Datos'!Y102),""),IF(TRIM('Base de Datos'!Y102)="","",IFERROR(DATE(VALUE(RIGHT(TRIM('Base de Datos'!Y102),4)),VALUE(MID(TRIM('Base de Datos'!Y102),4,2)),VALUE(LEFT(TRIM('Base de Datos'!Y102),2))),IFERROR(DATEVALUE(TRIM('Base de Datos'!Y102)),"")))),"")</f>
        <v>45158</v>
      </c>
      <c r="AK106" s="74" t="n">
        <f aca="false">IF(ISNUMBER('Base de Datos'!Z102),'Base de Datos'!Z102,IF(TRIM('Base de Datos'!Z102)="","",IFERROR(IF(IFERROR(FIND("@",SUBSTITUTE(TRIM('Base de Datos'!Z102),",","@",LEN(TRIM('Base de Datos'!Z102))-LEN(SUBSTITUTE(TRIM('Base de Datos'!Z102),",","")))),0)&gt;IFERROR(FIND("@",SUBSTITUTE(TRIM('Base de Datos'!Z102),".","@",LEN(TRIM('Base de Datos'!Z102))-LEN(SUBSTITUTE(TRIM('Base de Datos'!Z102),".","")))),0),_xlfn.NUMBERVALUE(SUBSTITUTE(SUBSTITUTE(TRIM('Base de Datos'!Z102),".",""),",","."),".",","),_xlfn.NUMBERVALUE(SUBSTITUTE(TRIM('Base de Datos'!Z102),",",""),".",",")),"")))</f>
        <v>53191.53</v>
      </c>
    </row>
    <row r="107" customFormat="false" ht="13.5" hidden="false" customHeight="false" outlineLevel="0" collapsed="false">
      <c r="A107" s="75" t="n">
        <f aca="false">ROWS(A$13:A107)</f>
        <v>95</v>
      </c>
      <c r="B107" s="73" t="n">
        <f aca="false">IF(B106="","",IFERROR(SMALL($AH$10:$AH$409,COUNTIF($AH$10:$AH$409,"&lt;="&amp;B106)+1),""))</f>
        <v>45144</v>
      </c>
      <c r="C107" s="74" t="n">
        <f aca="false">IF(B107="","",INDEX($AI$10:$AI$409,MATCH(B107,$AH$10:$AH$409,0)))</f>
        <v>27.19</v>
      </c>
      <c r="D107" s="74" t="n">
        <f aca="false">IF(B107="","",IFERROR(INDEX($AK$10:$AK$409,MATCH(B107,$AJ$10:$AJ$409,0)),""))</f>
        <v>53242.16</v>
      </c>
      <c r="E107" s="76" t="n">
        <f aca="false">IF(AND(ISNUMBER(C107),ISNUMBER(C106)),C107/C106-1,"")</f>
        <v>0.00741015190811423</v>
      </c>
      <c r="F107" s="76" t="n">
        <f aca="false">IF(AND(ISNUMBER(D107),ISNUMBER(D106)),D107/D106-1,"")</f>
        <v>-0.0138773901482864</v>
      </c>
      <c r="G107" s="75" t="n">
        <f aca="false">IF(AND(ISNUMBER(E107),ISNUMBER(F107)),1,"")</f>
        <v>1</v>
      </c>
      <c r="H107" s="75" t="n">
        <f aca="false">IF(G107=1,COUNT(G107:G$412),"")</f>
        <v>165</v>
      </c>
      <c r="I107" s="75" t="n">
        <f aca="false">IF(G107=1,IF(H107&lt;='Beta Regresión'!$B$5,1,""),"")</f>
        <v>1</v>
      </c>
      <c r="J107" s="76" t="n">
        <f aca="false">IF(I107=1,E107,"")</f>
        <v>0.00741015190811423</v>
      </c>
      <c r="K107" s="76" t="n">
        <f aca="false">IF(I107=1,F107,"")</f>
        <v>-0.0138773901482864</v>
      </c>
      <c r="L107" s="75" t="n">
        <f aca="false">IF(I107=1,COUNT(I$13:I107),"")</f>
        <v>94</v>
      </c>
      <c r="M107" s="76" t="n">
        <f aca="false">IFERROR(INDEX($J$13:$J$412,MATCH(A107,$L$13:$L$412,0)),"")</f>
        <v>0.000367782272894468</v>
      </c>
      <c r="N107" s="76" t="n">
        <f aca="false">IFERROR(INDEX($K$13:$K$412,MATCH(A107,$L$13:$L$412,0)),"")</f>
        <v>-0.000897221299812068</v>
      </c>
      <c r="O107" s="76" t="n">
        <f aca="false">IF(I107=1,E107,NA())</f>
        <v>0.00741015190811423</v>
      </c>
      <c r="P107" s="76" t="n">
        <f aca="false">IF(I107=1,F107,NA())</f>
        <v>-0.0138773901482864</v>
      </c>
      <c r="R107" s="75" t="n">
        <f aca="false">ROWS(R$13:R107)</f>
        <v>95</v>
      </c>
      <c r="S107" s="73" t="str">
        <f aca="false">IF(S106="","",IFERROR(SMALL($AD$10:$AD$509,COUNTIF($AD$10:$AD$509,"&lt;="&amp;S106)+1),""))</f>
        <v/>
      </c>
      <c r="T107" s="74" t="str">
        <f aca="false">IF(S107="","",INDEX($AE$10:$AE$509,MATCH(S107,$AD$10:$AD$509,0)))</f>
        <v/>
      </c>
      <c r="U107" s="74" t="str">
        <f aca="false">IF(S107="","",IFERROR(INDEX($AG$10:$AG$509,MATCH(S107,$AF$10:$AF$509,0)),""))</f>
        <v/>
      </c>
      <c r="V107" s="76" t="str">
        <f aca="false">IF(AND(ISNUMBER(T107),ISNUMBER(T106)),T107/T106-1,"")</f>
        <v/>
      </c>
      <c r="W107" s="76" t="str">
        <f aca="false">IF(AND(ISNUMBER(U107),ISNUMBER(U106)),U107/U106-1,"")</f>
        <v/>
      </c>
      <c r="X107" s="75" t="str">
        <f aca="false">IF(AND(ISNUMBER(V107),ISNUMBER(W107)),1,"")</f>
        <v/>
      </c>
      <c r="Y107" s="76" t="str">
        <f aca="false">IF(X107=1,V107,"")</f>
        <v/>
      </c>
      <c r="Z107" s="76" t="str">
        <f aca="false">IF(X107=1,W107,"")</f>
        <v/>
      </c>
      <c r="AA107" s="76" t="e">
        <f aca="false">IF(X107=1,V107,NA())</f>
        <v>#N/A</v>
      </c>
      <c r="AB107" s="76" t="e">
        <f aca="false">IF(X107=1,W107,NA())</f>
        <v>#N/A</v>
      </c>
      <c r="AD107" s="73" t="str">
        <f aca="false">IF(ISNUMBER(AE107),IF(ISNUMBER('Base de Datos'!A103),IF('Base de Datos'!A103&gt;20000,DATE(YEAR('Base de Datos'!A103),DAY('Base de Datos'!A103),MONTH('Base de Datos'!A103)),""),IF(TRIM('Base de Datos'!A103)="","",IFERROR(DATE(VALUE(RIGHT(TRIM('Base de Datos'!A103),4)),VALUE(LEFT(TRIM('Base de Datos'!A103),2)),VALUE(MID(TRIM('Base de Datos'!A103),4,2))),""))),"")</f>
        <v/>
      </c>
      <c r="AE107" s="74" t="str">
        <f aca="false">IF(ISNUMBER('Base de Datos'!B103),'Base de Datos'!B103,IF(TRIM('Base de Datos'!B103)="","",IFERROR(IF(IFERROR(FIND("@",SUBSTITUTE(TRIM('Base de Datos'!B103),",","@",LEN(TRIM('Base de Datos'!B103))-LEN(SUBSTITUTE(TRIM('Base de Datos'!B103),",","")))),0)&gt;IFERROR(FIND("@",SUBSTITUTE(TRIM('Base de Datos'!B103),".","@",LEN(TRIM('Base de Datos'!B103))-LEN(SUBSTITUTE(TRIM('Base de Datos'!B103),".","")))),0),_xlfn.NUMBERVALUE(SUBSTITUTE(SUBSTITUTE(TRIM('Base de Datos'!B103),".",""),",","."),".",","),_xlfn.NUMBERVALUE(SUBSTITUTE(TRIM('Base de Datos'!B103),",",""),".",",")),"")))</f>
        <v/>
      </c>
      <c r="AF107" s="73" t="str">
        <f aca="false">IF(ISNUMBER(AG107),IF(ISNUMBER('Base de Datos'!I103),IF('Base de Datos'!I103&gt;20000,INT('Base de Datos'!I103),""),IF(TRIM('Base de Datos'!I103)="","",IFERROR(DATE(VALUE(RIGHT(TRIM('Base de Datos'!I103),4)),VALUE(MID(TRIM('Base de Datos'!I103),4,2)),VALUE(LEFT(TRIM('Base de Datos'!I103),2))),IFERROR(DATEVALUE(TRIM('Base de Datos'!I103)),"")))),"")</f>
        <v/>
      </c>
      <c r="AG107" s="74" t="str">
        <f aca="false">IF(ISNUMBER('Base de Datos'!J103),'Base de Datos'!J103,IF(TRIM('Base de Datos'!J103)="","",IFERROR(IF(IFERROR(FIND("@",SUBSTITUTE(TRIM('Base de Datos'!J103),",","@",LEN(TRIM('Base de Datos'!J103))-LEN(SUBSTITUTE(TRIM('Base de Datos'!J103),",","")))),0)&gt;IFERROR(FIND("@",SUBSTITUTE(TRIM('Base de Datos'!J103),".","@",LEN(TRIM('Base de Datos'!J103))-LEN(SUBSTITUTE(TRIM('Base de Datos'!J103),".","")))),0),_xlfn.NUMBERVALUE(SUBSTITUTE(SUBSTITUTE(TRIM('Base de Datos'!J103),".",""),",","."),".",","),_xlfn.NUMBERVALUE(SUBSTITUTE(TRIM('Base de Datos'!J103),",",""),".",",")),"")))</f>
        <v/>
      </c>
      <c r="AH107" s="73" t="n">
        <f aca="false">IF(ISNUMBER(AI107),IF(ISNUMBER('Base de Datos'!Q103),IF('Base de Datos'!Q103&gt;20000,DATE(YEAR('Base de Datos'!Q103),DAY('Base de Datos'!Q103),MONTH('Base de Datos'!Q103)),""),IF(TRIM('Base de Datos'!Q103)="","",IFERROR(DATE(VALUE(RIGHT(TRIM('Base de Datos'!Q103),4)),VALUE(LEFT(TRIM('Base de Datos'!Q103),2)),VALUE(MID(TRIM('Base de Datos'!Q103),4,2))),""))),"")</f>
        <v>45165</v>
      </c>
      <c r="AI107" s="74" t="n">
        <f aca="false">IF(ISNUMBER('Base de Datos'!R103),'Base de Datos'!R103,IF(TRIM('Base de Datos'!R103)="","",IFERROR(IF(IFERROR(FIND("@",SUBSTITUTE(TRIM('Base de Datos'!R103),",","@",LEN(TRIM('Base de Datos'!R103))-LEN(SUBSTITUTE(TRIM('Base de Datos'!R103),",","")))),0)&gt;IFERROR(FIND("@",SUBSTITUTE(TRIM('Base de Datos'!R103),".","@",LEN(TRIM('Base de Datos'!R103))-LEN(SUBSTITUTE(TRIM('Base de Datos'!R103),".","")))),0),_xlfn.NUMBERVALUE(SUBSTITUTE(SUBSTITUTE(TRIM('Base de Datos'!R103),".",""),",","."),".",","),_xlfn.NUMBERVALUE(SUBSTITUTE(TRIM('Base de Datos'!R103),",",""),".",",")),"")))</f>
        <v>29.07</v>
      </c>
      <c r="AJ107" s="73" t="n">
        <f aca="false">IF(ISNUMBER(AK107),IF(ISNUMBER('Base de Datos'!Y103),IF('Base de Datos'!Y103&gt;20000,INT('Base de Datos'!Y103),""),IF(TRIM('Base de Datos'!Y103)="","",IFERROR(DATE(VALUE(RIGHT(TRIM('Base de Datos'!Y103),4)),VALUE(MID(TRIM('Base de Datos'!Y103),4,2)),VALUE(LEFT(TRIM('Base de Datos'!Y103),2))),IFERROR(DATEVALUE(TRIM('Base de Datos'!Y103)),"")))),"")</f>
        <v>45165</v>
      </c>
      <c r="AK107" s="74" t="n">
        <f aca="false">IF(ISNUMBER('Base de Datos'!Z103),'Base de Datos'!Z103,IF(TRIM('Base de Datos'!Z103)="","",IFERROR(IF(IFERROR(FIND("@",SUBSTITUTE(TRIM('Base de Datos'!Z103),",","@",LEN(TRIM('Base de Datos'!Z103))-LEN(SUBSTITUTE(TRIM('Base de Datos'!Z103),",","")))),0)&gt;IFERROR(FIND("@",SUBSTITUTE(TRIM('Base de Datos'!Z103),".","@",LEN(TRIM('Base de Datos'!Z103))-LEN(SUBSTITUTE(TRIM('Base de Datos'!Z103),".","")))),0),_xlfn.NUMBERVALUE(SUBSTITUTE(SUBSTITUTE(TRIM('Base de Datos'!Z103),".",""),",","."),".",","),_xlfn.NUMBERVALUE(SUBSTITUTE(TRIM('Base de Datos'!Z103),",",""),".",",")),"")))</f>
        <v>53145.36</v>
      </c>
    </row>
    <row r="108" customFormat="false" ht="13.5" hidden="false" customHeight="false" outlineLevel="0" collapsed="false">
      <c r="A108" s="75" t="n">
        <f aca="false">ROWS(A$13:A108)</f>
        <v>96</v>
      </c>
      <c r="B108" s="73" t="n">
        <f aca="false">IF(B107="","",IFERROR(SMALL($AH$10:$AH$409,COUNTIF($AH$10:$AH$409,"&lt;="&amp;B107)+1),""))</f>
        <v>45151</v>
      </c>
      <c r="C108" s="74" t="n">
        <f aca="false">IF(B108="","",INDEX($AI$10:$AI$409,MATCH(B108,$AH$10:$AH$409,0)))</f>
        <v>27.2</v>
      </c>
      <c r="D108" s="74" t="n">
        <f aca="false">IF(B108="","",IFERROR(INDEX($AK$10:$AK$409,MATCH(B108,$AJ$10:$AJ$409,0)),""))</f>
        <v>53194.39</v>
      </c>
      <c r="E108" s="76" t="n">
        <f aca="false">IF(AND(ISNUMBER(C108),ISNUMBER(C107)),C108/C107-1,"")</f>
        <v>0.000367782272894468</v>
      </c>
      <c r="F108" s="76" t="n">
        <f aca="false">IF(AND(ISNUMBER(D108),ISNUMBER(D107)),D108/D107-1,"")</f>
        <v>-0.000897221299812068</v>
      </c>
      <c r="G108" s="75" t="n">
        <f aca="false">IF(AND(ISNUMBER(E108),ISNUMBER(F108)),1,"")</f>
        <v>1</v>
      </c>
      <c r="H108" s="75" t="n">
        <f aca="false">IF(G108=1,COUNT(G108:G$412),"")</f>
        <v>164</v>
      </c>
      <c r="I108" s="75" t="n">
        <f aca="false">IF(G108=1,IF(H108&lt;='Beta Regresión'!$B$5,1,""),"")</f>
        <v>1</v>
      </c>
      <c r="J108" s="76" t="n">
        <f aca="false">IF(I108=1,E108,"")</f>
        <v>0.000367782272894468</v>
      </c>
      <c r="K108" s="76" t="n">
        <f aca="false">IF(I108=1,F108,"")</f>
        <v>-0.000897221299812068</v>
      </c>
      <c r="L108" s="75" t="n">
        <f aca="false">IF(I108=1,COUNT(I$13:I108),"")</f>
        <v>95</v>
      </c>
      <c r="M108" s="76" t="n">
        <f aca="false">IFERROR(INDEX($J$13:$J$412,MATCH(A108,$L$13:$L$412,0)),"")</f>
        <v>-0.0261029411764706</v>
      </c>
      <c r="N108" s="76" t="n">
        <f aca="false">IFERROR(INDEX($K$13:$K$412,MATCH(A108,$L$13:$L$412,0)),"")</f>
        <v>-5.37650680833002E-005</v>
      </c>
      <c r="O108" s="76" t="n">
        <f aca="false">IF(I108=1,E108,NA())</f>
        <v>0.000367782272894468</v>
      </c>
      <c r="P108" s="76" t="n">
        <f aca="false">IF(I108=1,F108,NA())</f>
        <v>-0.000897221299812068</v>
      </c>
      <c r="R108" s="75" t="n">
        <f aca="false">ROWS(R$13:R108)</f>
        <v>96</v>
      </c>
      <c r="S108" s="73" t="str">
        <f aca="false">IF(S107="","",IFERROR(SMALL($AD$10:$AD$509,COUNTIF($AD$10:$AD$509,"&lt;="&amp;S107)+1),""))</f>
        <v/>
      </c>
      <c r="T108" s="74" t="str">
        <f aca="false">IF(S108="","",INDEX($AE$10:$AE$509,MATCH(S108,$AD$10:$AD$509,0)))</f>
        <v/>
      </c>
      <c r="U108" s="74" t="str">
        <f aca="false">IF(S108="","",IFERROR(INDEX($AG$10:$AG$509,MATCH(S108,$AF$10:$AF$509,0)),""))</f>
        <v/>
      </c>
      <c r="V108" s="76" t="str">
        <f aca="false">IF(AND(ISNUMBER(T108),ISNUMBER(T107)),T108/T107-1,"")</f>
        <v/>
      </c>
      <c r="W108" s="76" t="str">
        <f aca="false">IF(AND(ISNUMBER(U108),ISNUMBER(U107)),U108/U107-1,"")</f>
        <v/>
      </c>
      <c r="X108" s="75" t="str">
        <f aca="false">IF(AND(ISNUMBER(V108),ISNUMBER(W108)),1,"")</f>
        <v/>
      </c>
      <c r="Y108" s="76" t="str">
        <f aca="false">IF(X108=1,V108,"")</f>
        <v/>
      </c>
      <c r="Z108" s="76" t="str">
        <f aca="false">IF(X108=1,W108,"")</f>
        <v/>
      </c>
      <c r="AA108" s="76" t="e">
        <f aca="false">IF(X108=1,V108,NA())</f>
        <v>#N/A</v>
      </c>
      <c r="AB108" s="76" t="e">
        <f aca="false">IF(X108=1,W108,NA())</f>
        <v>#N/A</v>
      </c>
      <c r="AD108" s="73" t="str">
        <f aca="false">IF(ISNUMBER(AE108),IF(ISNUMBER('Base de Datos'!A104),IF('Base de Datos'!A104&gt;20000,DATE(YEAR('Base de Datos'!A104),DAY('Base de Datos'!A104),MONTH('Base de Datos'!A104)),""),IF(TRIM('Base de Datos'!A104)="","",IFERROR(DATE(VALUE(RIGHT(TRIM('Base de Datos'!A104),4)),VALUE(LEFT(TRIM('Base de Datos'!A104),2)),VALUE(MID(TRIM('Base de Datos'!A104),4,2))),""))),"")</f>
        <v/>
      </c>
      <c r="AE108" s="74" t="str">
        <f aca="false">IF(ISNUMBER('Base de Datos'!B104),'Base de Datos'!B104,IF(TRIM('Base de Datos'!B104)="","",IFERROR(IF(IFERROR(FIND("@",SUBSTITUTE(TRIM('Base de Datos'!B104),",","@",LEN(TRIM('Base de Datos'!B104))-LEN(SUBSTITUTE(TRIM('Base de Datos'!B104),",","")))),0)&gt;IFERROR(FIND("@",SUBSTITUTE(TRIM('Base de Datos'!B104),".","@",LEN(TRIM('Base de Datos'!B104))-LEN(SUBSTITUTE(TRIM('Base de Datos'!B104),".","")))),0),_xlfn.NUMBERVALUE(SUBSTITUTE(SUBSTITUTE(TRIM('Base de Datos'!B104),".",""),",","."),".",","),_xlfn.NUMBERVALUE(SUBSTITUTE(TRIM('Base de Datos'!B104),",",""),".",",")),"")))</f>
        <v/>
      </c>
      <c r="AF108" s="73" t="str">
        <f aca="false">IF(ISNUMBER(AG108),IF(ISNUMBER('Base de Datos'!I104),IF('Base de Datos'!I104&gt;20000,INT('Base de Datos'!I104),""),IF(TRIM('Base de Datos'!I104)="","",IFERROR(DATE(VALUE(RIGHT(TRIM('Base de Datos'!I104),4)),VALUE(MID(TRIM('Base de Datos'!I104),4,2)),VALUE(LEFT(TRIM('Base de Datos'!I104),2))),IFERROR(DATEVALUE(TRIM('Base de Datos'!I104)),"")))),"")</f>
        <v/>
      </c>
      <c r="AG108" s="74" t="str">
        <f aca="false">IF(ISNUMBER('Base de Datos'!J104),'Base de Datos'!J104,IF(TRIM('Base de Datos'!J104)="","",IFERROR(IF(IFERROR(FIND("@",SUBSTITUTE(TRIM('Base de Datos'!J104),",","@",LEN(TRIM('Base de Datos'!J104))-LEN(SUBSTITUTE(TRIM('Base de Datos'!J104),",","")))),0)&gt;IFERROR(FIND("@",SUBSTITUTE(TRIM('Base de Datos'!J104),".","@",LEN(TRIM('Base de Datos'!J104))-LEN(SUBSTITUTE(TRIM('Base de Datos'!J104),".","")))),0),_xlfn.NUMBERVALUE(SUBSTITUTE(SUBSTITUTE(TRIM('Base de Datos'!J104),".",""),",","."),".",","),_xlfn.NUMBERVALUE(SUBSTITUTE(TRIM('Base de Datos'!J104),",",""),".",",")),"")))</f>
        <v/>
      </c>
      <c r="AH108" s="73" t="n">
        <f aca="false">IF(ISNUMBER(AI108),IF(ISNUMBER('Base de Datos'!Q104),IF('Base de Datos'!Q104&gt;20000,DATE(YEAR('Base de Datos'!Q104),DAY('Base de Datos'!Q104),MONTH('Base de Datos'!Q104)),""),IF(TRIM('Base de Datos'!Q104)="","",IFERROR(DATE(VALUE(RIGHT(TRIM('Base de Datos'!Q104),4)),VALUE(LEFT(TRIM('Base de Datos'!Q104),2)),VALUE(MID(TRIM('Base de Datos'!Q104),4,2))),""))),"")</f>
        <v>45172</v>
      </c>
      <c r="AI108" s="74" t="n">
        <f aca="false">IF(ISNUMBER('Base de Datos'!R104),'Base de Datos'!R104,IF(TRIM('Base de Datos'!R104)="","",IFERROR(IF(IFERROR(FIND("@",SUBSTITUTE(TRIM('Base de Datos'!R104),",","@",LEN(TRIM('Base de Datos'!R104))-LEN(SUBSTITUTE(TRIM('Base de Datos'!R104),",","")))),0)&gt;IFERROR(FIND("@",SUBSTITUTE(TRIM('Base de Datos'!R104),".","@",LEN(TRIM('Base de Datos'!R104))-LEN(SUBSTITUTE(TRIM('Base de Datos'!R104),".","")))),0),_xlfn.NUMBERVALUE(SUBSTITUTE(SUBSTITUTE(TRIM('Base de Datos'!R104),".",""),",","."),".",","),_xlfn.NUMBERVALUE(SUBSTITUTE(TRIM('Base de Datos'!R104),",",""),".",",")),"")))</f>
        <v>28</v>
      </c>
      <c r="AJ108" s="73" t="n">
        <f aca="false">IF(ISNUMBER(AK108),IF(ISNUMBER('Base de Datos'!Y104),IF('Base de Datos'!Y104&gt;20000,INT('Base de Datos'!Y104),""),IF(TRIM('Base de Datos'!Y104)="","",IFERROR(DATE(VALUE(RIGHT(TRIM('Base de Datos'!Y104),4)),VALUE(MID(TRIM('Base de Datos'!Y104),4,2)),VALUE(LEFT(TRIM('Base de Datos'!Y104),2))),IFERROR(DATEVALUE(TRIM('Base de Datos'!Y104)),"")))),"")</f>
        <v>45172</v>
      </c>
      <c r="AK108" s="74" t="n">
        <f aca="false">IF(ISNUMBER('Base de Datos'!Z104),'Base de Datos'!Z104,IF(TRIM('Base de Datos'!Z104)="","",IFERROR(IF(IFERROR(FIND("@",SUBSTITUTE(TRIM('Base de Datos'!Z104),",","@",LEN(TRIM('Base de Datos'!Z104))-LEN(SUBSTITUTE(TRIM('Base de Datos'!Z104),",","")))),0)&gt;IFERROR(FIND("@",SUBSTITUTE(TRIM('Base de Datos'!Z104),".","@",LEN(TRIM('Base de Datos'!Z104))-LEN(SUBSTITUTE(TRIM('Base de Datos'!Z104),".","")))),0),_xlfn.NUMBERVALUE(SUBSTITUTE(SUBSTITUTE(TRIM('Base de Datos'!Z104),".",""),",","."),".",","),_xlfn.NUMBERVALUE(SUBSTITUTE(TRIM('Base de Datos'!Z104),",",""),".",",")),"")))</f>
        <v>52505.11</v>
      </c>
    </row>
    <row r="109" customFormat="false" ht="13.5" hidden="false" customHeight="false" outlineLevel="0" collapsed="false">
      <c r="A109" s="75" t="n">
        <f aca="false">ROWS(A$13:A109)</f>
        <v>97</v>
      </c>
      <c r="B109" s="73" t="n">
        <f aca="false">IF(B108="","",IFERROR(SMALL($AH$10:$AH$409,COUNTIF($AH$10:$AH$409,"&lt;="&amp;B108)+1),""))</f>
        <v>45158</v>
      </c>
      <c r="C109" s="74" t="n">
        <f aca="false">IF(B109="","",INDEX($AI$10:$AI$409,MATCH(B109,$AH$10:$AH$409,0)))</f>
        <v>26.49</v>
      </c>
      <c r="D109" s="74" t="n">
        <f aca="false">IF(B109="","",IFERROR(INDEX($AK$10:$AK$409,MATCH(B109,$AJ$10:$AJ$409,0)),""))</f>
        <v>53191.53</v>
      </c>
      <c r="E109" s="76" t="n">
        <f aca="false">IF(AND(ISNUMBER(C109),ISNUMBER(C108)),C109/C108-1,"")</f>
        <v>-0.0261029411764706</v>
      </c>
      <c r="F109" s="76" t="n">
        <f aca="false">IF(AND(ISNUMBER(D109),ISNUMBER(D108)),D109/D108-1,"")</f>
        <v>-5.37650680833002E-005</v>
      </c>
      <c r="G109" s="75" t="n">
        <f aca="false">IF(AND(ISNUMBER(E109),ISNUMBER(F109)),1,"")</f>
        <v>1</v>
      </c>
      <c r="H109" s="75" t="n">
        <f aca="false">IF(G109=1,COUNT(G109:G$412),"")</f>
        <v>163</v>
      </c>
      <c r="I109" s="75" t="n">
        <f aca="false">IF(G109=1,IF(H109&lt;='Beta Regresión'!$B$5,1,""),"")</f>
        <v>1</v>
      </c>
      <c r="J109" s="76" t="n">
        <f aca="false">IF(I109=1,E109,"")</f>
        <v>-0.0261029411764706</v>
      </c>
      <c r="K109" s="76" t="n">
        <f aca="false">IF(I109=1,F109,"")</f>
        <v>-5.37650680833002E-005</v>
      </c>
      <c r="L109" s="75" t="n">
        <f aca="false">IF(I109=1,COUNT(I$13:I109),"")</f>
        <v>96</v>
      </c>
      <c r="M109" s="76" t="n">
        <f aca="false">IFERROR(INDEX($J$13:$J$412,MATCH(A109,$L$13:$L$412,0)),"")</f>
        <v>0.0973952434881087</v>
      </c>
      <c r="N109" s="76" t="n">
        <f aca="false">IFERROR(INDEX($K$13:$K$412,MATCH(A109,$L$13:$L$412,0)),"")</f>
        <v>-0.000867995336851557</v>
      </c>
      <c r="O109" s="76" t="n">
        <f aca="false">IF(I109=1,E109,NA())</f>
        <v>-0.0261029411764706</v>
      </c>
      <c r="P109" s="76" t="n">
        <f aca="false">IF(I109=1,F109,NA())</f>
        <v>-5.37650680833002E-005</v>
      </c>
      <c r="R109" s="75" t="n">
        <f aca="false">ROWS(R$13:R109)</f>
        <v>97</v>
      </c>
      <c r="S109" s="73" t="str">
        <f aca="false">IF(S108="","",IFERROR(SMALL($AD$10:$AD$509,COUNTIF($AD$10:$AD$509,"&lt;="&amp;S108)+1),""))</f>
        <v/>
      </c>
      <c r="T109" s="74" t="str">
        <f aca="false">IF(S109="","",INDEX($AE$10:$AE$509,MATCH(S109,$AD$10:$AD$509,0)))</f>
        <v/>
      </c>
      <c r="U109" s="74" t="str">
        <f aca="false">IF(S109="","",IFERROR(INDEX($AG$10:$AG$509,MATCH(S109,$AF$10:$AF$509,0)),""))</f>
        <v/>
      </c>
      <c r="V109" s="76" t="str">
        <f aca="false">IF(AND(ISNUMBER(T109),ISNUMBER(T108)),T109/T108-1,"")</f>
        <v/>
      </c>
      <c r="W109" s="76" t="str">
        <f aca="false">IF(AND(ISNUMBER(U109),ISNUMBER(U108)),U109/U108-1,"")</f>
        <v/>
      </c>
      <c r="X109" s="75" t="str">
        <f aca="false">IF(AND(ISNUMBER(V109),ISNUMBER(W109)),1,"")</f>
        <v/>
      </c>
      <c r="Y109" s="76" t="str">
        <f aca="false">IF(X109=1,V109,"")</f>
        <v/>
      </c>
      <c r="Z109" s="76" t="str">
        <f aca="false">IF(X109=1,W109,"")</f>
        <v/>
      </c>
      <c r="AA109" s="76" t="e">
        <f aca="false">IF(X109=1,V109,NA())</f>
        <v>#N/A</v>
      </c>
      <c r="AB109" s="76" t="e">
        <f aca="false">IF(X109=1,W109,NA())</f>
        <v>#N/A</v>
      </c>
      <c r="AD109" s="73" t="str">
        <f aca="false">IF(ISNUMBER(AE109),IF(ISNUMBER('Base de Datos'!A105),IF('Base de Datos'!A105&gt;20000,DATE(YEAR('Base de Datos'!A105),DAY('Base de Datos'!A105),MONTH('Base de Datos'!A105)),""),IF(TRIM('Base de Datos'!A105)="","",IFERROR(DATE(VALUE(RIGHT(TRIM('Base de Datos'!A105),4)),VALUE(LEFT(TRIM('Base de Datos'!A105),2)),VALUE(MID(TRIM('Base de Datos'!A105),4,2))),""))),"")</f>
        <v/>
      </c>
      <c r="AE109" s="74" t="str">
        <f aca="false">IF(ISNUMBER('Base de Datos'!B105),'Base de Datos'!B105,IF(TRIM('Base de Datos'!B105)="","",IFERROR(IF(IFERROR(FIND("@",SUBSTITUTE(TRIM('Base de Datos'!B105),",","@",LEN(TRIM('Base de Datos'!B105))-LEN(SUBSTITUTE(TRIM('Base de Datos'!B105),",","")))),0)&gt;IFERROR(FIND("@",SUBSTITUTE(TRIM('Base de Datos'!B105),".","@",LEN(TRIM('Base de Datos'!B105))-LEN(SUBSTITUTE(TRIM('Base de Datos'!B105),".","")))),0),_xlfn.NUMBERVALUE(SUBSTITUTE(SUBSTITUTE(TRIM('Base de Datos'!B105),".",""),",","."),".",","),_xlfn.NUMBERVALUE(SUBSTITUTE(TRIM('Base de Datos'!B105),",",""),".",",")),"")))</f>
        <v/>
      </c>
      <c r="AF109" s="73" t="str">
        <f aca="false">IF(ISNUMBER(AG109),IF(ISNUMBER('Base de Datos'!I105),IF('Base de Datos'!I105&gt;20000,INT('Base de Datos'!I105),""),IF(TRIM('Base de Datos'!I105)="","",IFERROR(DATE(VALUE(RIGHT(TRIM('Base de Datos'!I105),4)),VALUE(MID(TRIM('Base de Datos'!I105),4,2)),VALUE(LEFT(TRIM('Base de Datos'!I105),2))),IFERROR(DATEVALUE(TRIM('Base de Datos'!I105)),"")))),"")</f>
        <v/>
      </c>
      <c r="AG109" s="74" t="str">
        <f aca="false">IF(ISNUMBER('Base de Datos'!J105),'Base de Datos'!J105,IF(TRIM('Base de Datos'!J105)="","",IFERROR(IF(IFERROR(FIND("@",SUBSTITUTE(TRIM('Base de Datos'!J105),",","@",LEN(TRIM('Base de Datos'!J105))-LEN(SUBSTITUTE(TRIM('Base de Datos'!J105),",","")))),0)&gt;IFERROR(FIND("@",SUBSTITUTE(TRIM('Base de Datos'!J105),".","@",LEN(TRIM('Base de Datos'!J105))-LEN(SUBSTITUTE(TRIM('Base de Datos'!J105),".","")))),0),_xlfn.NUMBERVALUE(SUBSTITUTE(SUBSTITUTE(TRIM('Base de Datos'!J105),".",""),",","."),".",","),_xlfn.NUMBERVALUE(SUBSTITUTE(TRIM('Base de Datos'!J105),",",""),".",",")),"")))</f>
        <v/>
      </c>
      <c r="AH109" s="73" t="n">
        <f aca="false">IF(ISNUMBER(AI109),IF(ISNUMBER('Base de Datos'!Q105),IF('Base de Datos'!Q105&gt;20000,DATE(YEAR('Base de Datos'!Q105),DAY('Base de Datos'!Q105),MONTH('Base de Datos'!Q105)),""),IF(TRIM('Base de Datos'!Q105)="","",IFERROR(DATE(VALUE(RIGHT(TRIM('Base de Datos'!Q105),4)),VALUE(LEFT(TRIM('Base de Datos'!Q105),2)),VALUE(MID(TRIM('Base de Datos'!Q105),4,2))),""))),"")</f>
        <v>45179</v>
      </c>
      <c r="AI109" s="74" t="n">
        <f aca="false">IF(ISNUMBER('Base de Datos'!R105),'Base de Datos'!R105,IF(TRIM('Base de Datos'!R105)="","",IFERROR(IF(IFERROR(FIND("@",SUBSTITUTE(TRIM('Base de Datos'!R105),",","@",LEN(TRIM('Base de Datos'!R105))-LEN(SUBSTITUTE(TRIM('Base de Datos'!R105),",","")))),0)&gt;IFERROR(FIND("@",SUBSTITUTE(TRIM('Base de Datos'!R105),".","@",LEN(TRIM('Base de Datos'!R105))-LEN(SUBSTITUTE(TRIM('Base de Datos'!R105),".","")))),0),_xlfn.NUMBERVALUE(SUBSTITUTE(SUBSTITUTE(TRIM('Base de Datos'!R105),".",""),",","."),".",","),_xlfn.NUMBERVALUE(SUBSTITUTE(TRIM('Base de Datos'!R105),",",""),".",",")),"")))</f>
        <v>26</v>
      </c>
      <c r="AJ109" s="73" t="n">
        <f aca="false">IF(ISNUMBER(AK109),IF(ISNUMBER('Base de Datos'!Y105),IF('Base de Datos'!Y105&gt;20000,INT('Base de Datos'!Y105),""),IF(TRIM('Base de Datos'!Y105)="","",IFERROR(DATE(VALUE(RIGHT(TRIM('Base de Datos'!Y105),4)),VALUE(MID(TRIM('Base de Datos'!Y105),4,2)),VALUE(LEFT(TRIM('Base de Datos'!Y105),2))),IFERROR(DATEVALUE(TRIM('Base de Datos'!Y105)),"")))),"")</f>
        <v>45179</v>
      </c>
      <c r="AK109" s="74" t="n">
        <f aca="false">IF(ISNUMBER('Base de Datos'!Z105),'Base de Datos'!Z105,IF(TRIM('Base de Datos'!Z105)="","",IFERROR(IF(IFERROR(FIND("@",SUBSTITUTE(TRIM('Base de Datos'!Z105),",","@",LEN(TRIM('Base de Datos'!Z105))-LEN(SUBSTITUTE(TRIM('Base de Datos'!Z105),",","")))),0)&gt;IFERROR(FIND("@",SUBSTITUTE(TRIM('Base de Datos'!Z105),".","@",LEN(TRIM('Base de Datos'!Z105))-LEN(SUBSTITUTE(TRIM('Base de Datos'!Z105),".","")))),0),_xlfn.NUMBERVALUE(SUBSTITUTE(SUBSTITUTE(TRIM('Base de Datos'!Z105),".",""),",","."),".",","),_xlfn.NUMBERVALUE(SUBSTITUTE(TRIM('Base de Datos'!Z105),",",""),".",",")),"")))</f>
        <v>51351.6</v>
      </c>
    </row>
    <row r="110" customFormat="false" ht="13.5" hidden="false" customHeight="false" outlineLevel="0" collapsed="false">
      <c r="A110" s="75" t="n">
        <f aca="false">ROWS(A$13:A110)</f>
        <v>98</v>
      </c>
      <c r="B110" s="73" t="n">
        <f aca="false">IF(B109="","",IFERROR(SMALL($AH$10:$AH$409,COUNTIF($AH$10:$AH$409,"&lt;="&amp;B109)+1),""))</f>
        <v>45165</v>
      </c>
      <c r="C110" s="74" t="n">
        <f aca="false">IF(B110="","",INDEX($AI$10:$AI$409,MATCH(B110,$AH$10:$AH$409,0)))</f>
        <v>29.07</v>
      </c>
      <c r="D110" s="74" t="n">
        <f aca="false">IF(B110="","",IFERROR(INDEX($AK$10:$AK$409,MATCH(B110,$AJ$10:$AJ$409,0)),""))</f>
        <v>53145.36</v>
      </c>
      <c r="E110" s="76" t="n">
        <f aca="false">IF(AND(ISNUMBER(C110),ISNUMBER(C109)),C110/C109-1,"")</f>
        <v>0.0973952434881087</v>
      </c>
      <c r="F110" s="76" t="n">
        <f aca="false">IF(AND(ISNUMBER(D110),ISNUMBER(D109)),D110/D109-1,"")</f>
        <v>-0.000867995336851557</v>
      </c>
      <c r="G110" s="75" t="n">
        <f aca="false">IF(AND(ISNUMBER(E110),ISNUMBER(F110)),1,"")</f>
        <v>1</v>
      </c>
      <c r="H110" s="75" t="n">
        <f aca="false">IF(G110=1,COUNT(G110:G$412),"")</f>
        <v>162</v>
      </c>
      <c r="I110" s="75" t="n">
        <f aca="false">IF(G110=1,IF(H110&lt;='Beta Regresión'!$B$5,1,""),"")</f>
        <v>1</v>
      </c>
      <c r="J110" s="76" t="n">
        <f aca="false">IF(I110=1,E110,"")</f>
        <v>0.0973952434881087</v>
      </c>
      <c r="K110" s="76" t="n">
        <f aca="false">IF(I110=1,F110,"")</f>
        <v>-0.000867995336851557</v>
      </c>
      <c r="L110" s="75" t="n">
        <f aca="false">IF(I110=1,COUNT(I$13:I110),"")</f>
        <v>97</v>
      </c>
      <c r="M110" s="76" t="n">
        <f aca="false">IFERROR(INDEX($J$13:$J$412,MATCH(A110,$L$13:$L$412,0)),"")</f>
        <v>-0.0368077055383557</v>
      </c>
      <c r="N110" s="76" t="n">
        <f aca="false">IFERROR(INDEX($K$13:$K$412,MATCH(A110,$L$13:$L$412,0)),"")</f>
        <v>-0.0120471476719699</v>
      </c>
      <c r="O110" s="76" t="n">
        <f aca="false">IF(I110=1,E110,NA())</f>
        <v>0.0973952434881087</v>
      </c>
      <c r="P110" s="76" t="n">
        <f aca="false">IF(I110=1,F110,NA())</f>
        <v>-0.000867995336851557</v>
      </c>
      <c r="R110" s="75" t="n">
        <f aca="false">ROWS(R$13:R110)</f>
        <v>98</v>
      </c>
      <c r="S110" s="73" t="str">
        <f aca="false">IF(S109="","",IFERROR(SMALL($AD$10:$AD$509,COUNTIF($AD$10:$AD$509,"&lt;="&amp;S109)+1),""))</f>
        <v/>
      </c>
      <c r="T110" s="74" t="str">
        <f aca="false">IF(S110="","",INDEX($AE$10:$AE$509,MATCH(S110,$AD$10:$AD$509,0)))</f>
        <v/>
      </c>
      <c r="U110" s="74" t="str">
        <f aca="false">IF(S110="","",IFERROR(INDEX($AG$10:$AG$509,MATCH(S110,$AF$10:$AF$509,0)),""))</f>
        <v/>
      </c>
      <c r="V110" s="76" t="str">
        <f aca="false">IF(AND(ISNUMBER(T110),ISNUMBER(T109)),T110/T109-1,"")</f>
        <v/>
      </c>
      <c r="W110" s="76" t="str">
        <f aca="false">IF(AND(ISNUMBER(U110),ISNUMBER(U109)),U110/U109-1,"")</f>
        <v/>
      </c>
      <c r="X110" s="75" t="str">
        <f aca="false">IF(AND(ISNUMBER(V110),ISNUMBER(W110)),1,"")</f>
        <v/>
      </c>
      <c r="Y110" s="76" t="str">
        <f aca="false">IF(X110=1,V110,"")</f>
        <v/>
      </c>
      <c r="Z110" s="76" t="str">
        <f aca="false">IF(X110=1,W110,"")</f>
        <v/>
      </c>
      <c r="AA110" s="76" t="e">
        <f aca="false">IF(X110=1,V110,NA())</f>
        <v>#N/A</v>
      </c>
      <c r="AB110" s="76" t="e">
        <f aca="false">IF(X110=1,W110,NA())</f>
        <v>#N/A</v>
      </c>
      <c r="AD110" s="73" t="str">
        <f aca="false">IF(ISNUMBER(AE110),IF(ISNUMBER('Base de Datos'!A106),IF('Base de Datos'!A106&gt;20000,DATE(YEAR('Base de Datos'!A106),DAY('Base de Datos'!A106),MONTH('Base de Datos'!A106)),""),IF(TRIM('Base de Datos'!A106)="","",IFERROR(DATE(VALUE(RIGHT(TRIM('Base de Datos'!A106),4)),VALUE(LEFT(TRIM('Base de Datos'!A106),2)),VALUE(MID(TRIM('Base de Datos'!A106),4,2))),""))),"")</f>
        <v/>
      </c>
      <c r="AE110" s="74" t="str">
        <f aca="false">IF(ISNUMBER('Base de Datos'!B106),'Base de Datos'!B106,IF(TRIM('Base de Datos'!B106)="","",IFERROR(IF(IFERROR(FIND("@",SUBSTITUTE(TRIM('Base de Datos'!B106),",","@",LEN(TRIM('Base de Datos'!B106))-LEN(SUBSTITUTE(TRIM('Base de Datos'!B106),",","")))),0)&gt;IFERROR(FIND("@",SUBSTITUTE(TRIM('Base de Datos'!B106),".","@",LEN(TRIM('Base de Datos'!B106))-LEN(SUBSTITUTE(TRIM('Base de Datos'!B106),".","")))),0),_xlfn.NUMBERVALUE(SUBSTITUTE(SUBSTITUTE(TRIM('Base de Datos'!B106),".",""),",","."),".",","),_xlfn.NUMBERVALUE(SUBSTITUTE(TRIM('Base de Datos'!B106),",",""),".",",")),"")))</f>
        <v/>
      </c>
      <c r="AF110" s="73" t="str">
        <f aca="false">IF(ISNUMBER(AG110),IF(ISNUMBER('Base de Datos'!I106),IF('Base de Datos'!I106&gt;20000,INT('Base de Datos'!I106),""),IF(TRIM('Base de Datos'!I106)="","",IFERROR(DATE(VALUE(RIGHT(TRIM('Base de Datos'!I106),4)),VALUE(MID(TRIM('Base de Datos'!I106),4,2)),VALUE(LEFT(TRIM('Base de Datos'!I106),2))),IFERROR(DATEVALUE(TRIM('Base de Datos'!I106)),"")))),"")</f>
        <v/>
      </c>
      <c r="AG110" s="74" t="str">
        <f aca="false">IF(ISNUMBER('Base de Datos'!J106),'Base de Datos'!J106,IF(TRIM('Base de Datos'!J106)="","",IFERROR(IF(IFERROR(FIND("@",SUBSTITUTE(TRIM('Base de Datos'!J106),",","@",LEN(TRIM('Base de Datos'!J106))-LEN(SUBSTITUTE(TRIM('Base de Datos'!J106),",","")))),0)&gt;IFERROR(FIND("@",SUBSTITUTE(TRIM('Base de Datos'!J106),".","@",LEN(TRIM('Base de Datos'!J106))-LEN(SUBSTITUTE(TRIM('Base de Datos'!J106),".","")))),0),_xlfn.NUMBERVALUE(SUBSTITUTE(SUBSTITUTE(TRIM('Base de Datos'!J106),".",""),",","."),".",","),_xlfn.NUMBERVALUE(SUBSTITUTE(TRIM('Base de Datos'!J106),",",""),".",",")),"")))</f>
        <v/>
      </c>
      <c r="AH110" s="73" t="n">
        <f aca="false">IF(ISNUMBER(AI110),IF(ISNUMBER('Base de Datos'!Q106),IF('Base de Datos'!Q106&gt;20000,DATE(YEAR('Base de Datos'!Q106),DAY('Base de Datos'!Q106),MONTH('Base de Datos'!Q106)),""),IF(TRIM('Base de Datos'!Q106)="","",IFERROR(DATE(VALUE(RIGHT(TRIM('Base de Datos'!Q106),4)),VALUE(LEFT(TRIM('Base de Datos'!Q106),2)),VALUE(MID(TRIM('Base de Datos'!Q106),4,2))),""))),"")</f>
        <v>45186</v>
      </c>
      <c r="AI110" s="74" t="n">
        <f aca="false">IF(ISNUMBER('Base de Datos'!R106),'Base de Datos'!R106,IF(TRIM('Base de Datos'!R106)="","",IFERROR(IF(IFERROR(FIND("@",SUBSTITUTE(TRIM('Base de Datos'!R106),",","@",LEN(TRIM('Base de Datos'!R106))-LEN(SUBSTITUTE(TRIM('Base de Datos'!R106),",","")))),0)&gt;IFERROR(FIND("@",SUBSTITUTE(TRIM('Base de Datos'!R106),".","@",LEN(TRIM('Base de Datos'!R106))-LEN(SUBSTITUTE(TRIM('Base de Datos'!R106),".","")))),0),_xlfn.NUMBERVALUE(SUBSTITUTE(SUBSTITUTE(TRIM('Base de Datos'!R106),".",""),",","."),".",","),_xlfn.NUMBERVALUE(SUBSTITUTE(TRIM('Base de Datos'!R106),",",""),".",",")),"")))</f>
        <v>28.35</v>
      </c>
      <c r="AJ110" s="73" t="n">
        <f aca="false">IF(ISNUMBER(AK110),IF(ISNUMBER('Base de Datos'!Y106),IF('Base de Datos'!Y106&gt;20000,INT('Base de Datos'!Y106),""),IF(TRIM('Base de Datos'!Y106)="","",IFERROR(DATE(VALUE(RIGHT(TRIM('Base de Datos'!Y106),4)),VALUE(MID(TRIM('Base de Datos'!Y106),4,2)),VALUE(LEFT(TRIM('Base de Datos'!Y106),2))),IFERROR(DATEVALUE(TRIM('Base de Datos'!Y106)),"")))),"")</f>
        <v>45186</v>
      </c>
      <c r="AK110" s="74" t="n">
        <f aca="false">IF(ISNUMBER('Base de Datos'!Z106),'Base de Datos'!Z106,IF(TRIM('Base de Datos'!Z106)="","",IFERROR(IF(IFERROR(FIND("@",SUBSTITUTE(TRIM('Base de Datos'!Z106),",","@",LEN(TRIM('Base de Datos'!Z106))-LEN(SUBSTITUTE(TRIM('Base de Datos'!Z106),",","")))),0)&gt;IFERROR(FIND("@",SUBSTITUTE(TRIM('Base de Datos'!Z106),".","@",LEN(TRIM('Base de Datos'!Z106))-LEN(SUBSTITUTE(TRIM('Base de Datos'!Z106),".","")))),0),_xlfn.NUMBERVALUE(SUBSTITUTE(SUBSTITUTE(TRIM('Base de Datos'!Z106),".",""),",","."),".",","),_xlfn.NUMBERVALUE(SUBSTITUTE(TRIM('Base de Datos'!Z106),",",""),".",",")),"")))</f>
        <v>51677.48</v>
      </c>
    </row>
    <row r="111" customFormat="false" ht="13.5" hidden="false" customHeight="false" outlineLevel="0" collapsed="false">
      <c r="A111" s="75" t="n">
        <f aca="false">ROWS(A$13:A111)</f>
        <v>99</v>
      </c>
      <c r="B111" s="73" t="n">
        <f aca="false">IF(B110="","",IFERROR(SMALL($AH$10:$AH$409,COUNTIF($AH$10:$AH$409,"&lt;="&amp;B110)+1),""))</f>
        <v>45172</v>
      </c>
      <c r="C111" s="74" t="n">
        <f aca="false">IF(B111="","",INDEX($AI$10:$AI$409,MATCH(B111,$AH$10:$AH$409,0)))</f>
        <v>28</v>
      </c>
      <c r="D111" s="74" t="n">
        <f aca="false">IF(B111="","",IFERROR(INDEX($AK$10:$AK$409,MATCH(B111,$AJ$10:$AJ$409,0)),""))</f>
        <v>52505.11</v>
      </c>
      <c r="E111" s="76" t="n">
        <f aca="false">IF(AND(ISNUMBER(C111),ISNUMBER(C110)),C111/C110-1,"")</f>
        <v>-0.0368077055383557</v>
      </c>
      <c r="F111" s="76" t="n">
        <f aca="false">IF(AND(ISNUMBER(D111),ISNUMBER(D110)),D111/D110-1,"")</f>
        <v>-0.0120471476719699</v>
      </c>
      <c r="G111" s="75" t="n">
        <f aca="false">IF(AND(ISNUMBER(E111),ISNUMBER(F111)),1,"")</f>
        <v>1</v>
      </c>
      <c r="H111" s="75" t="n">
        <f aca="false">IF(G111=1,COUNT(G111:G$412),"")</f>
        <v>161</v>
      </c>
      <c r="I111" s="75" t="n">
        <f aca="false">IF(G111=1,IF(H111&lt;='Beta Regresión'!$B$5,1,""),"")</f>
        <v>1</v>
      </c>
      <c r="J111" s="76" t="n">
        <f aca="false">IF(I111=1,E111,"")</f>
        <v>-0.0368077055383557</v>
      </c>
      <c r="K111" s="76" t="n">
        <f aca="false">IF(I111=1,F111,"")</f>
        <v>-0.0120471476719699</v>
      </c>
      <c r="L111" s="75" t="n">
        <f aca="false">IF(I111=1,COUNT(I$13:I111),"")</f>
        <v>98</v>
      </c>
      <c r="M111" s="76" t="n">
        <f aca="false">IFERROR(INDEX($J$13:$J$412,MATCH(A111,$L$13:$L$412,0)),"")</f>
        <v>-0.0714285714285714</v>
      </c>
      <c r="N111" s="76" t="n">
        <f aca="false">IFERROR(INDEX($K$13:$K$412,MATCH(A111,$L$13:$L$412,0)),"")</f>
        <v>-0.0219694806848324</v>
      </c>
      <c r="O111" s="76" t="n">
        <f aca="false">IF(I111=1,E111,NA())</f>
        <v>-0.0368077055383557</v>
      </c>
      <c r="P111" s="76" t="n">
        <f aca="false">IF(I111=1,F111,NA())</f>
        <v>-0.0120471476719699</v>
      </c>
      <c r="R111" s="75" t="n">
        <f aca="false">ROWS(R$13:R111)</f>
        <v>99</v>
      </c>
      <c r="S111" s="73" t="str">
        <f aca="false">IF(S110="","",IFERROR(SMALL($AD$10:$AD$509,COUNTIF($AD$10:$AD$509,"&lt;="&amp;S110)+1),""))</f>
        <v/>
      </c>
      <c r="T111" s="74" t="str">
        <f aca="false">IF(S111="","",INDEX($AE$10:$AE$509,MATCH(S111,$AD$10:$AD$509,0)))</f>
        <v/>
      </c>
      <c r="U111" s="74" t="str">
        <f aca="false">IF(S111="","",IFERROR(INDEX($AG$10:$AG$509,MATCH(S111,$AF$10:$AF$509,0)),""))</f>
        <v/>
      </c>
      <c r="V111" s="76" t="str">
        <f aca="false">IF(AND(ISNUMBER(T111),ISNUMBER(T110)),T111/T110-1,"")</f>
        <v/>
      </c>
      <c r="W111" s="76" t="str">
        <f aca="false">IF(AND(ISNUMBER(U111),ISNUMBER(U110)),U111/U110-1,"")</f>
        <v/>
      </c>
      <c r="X111" s="75" t="str">
        <f aca="false">IF(AND(ISNUMBER(V111),ISNUMBER(W111)),1,"")</f>
        <v/>
      </c>
      <c r="Y111" s="76" t="str">
        <f aca="false">IF(X111=1,V111,"")</f>
        <v/>
      </c>
      <c r="Z111" s="76" t="str">
        <f aca="false">IF(X111=1,W111,"")</f>
        <v/>
      </c>
      <c r="AA111" s="76" t="e">
        <f aca="false">IF(X111=1,V111,NA())</f>
        <v>#N/A</v>
      </c>
      <c r="AB111" s="76" t="e">
        <f aca="false">IF(X111=1,W111,NA())</f>
        <v>#N/A</v>
      </c>
      <c r="AD111" s="73" t="str">
        <f aca="false">IF(ISNUMBER(AE111),IF(ISNUMBER('Base de Datos'!A107),IF('Base de Datos'!A107&gt;20000,DATE(YEAR('Base de Datos'!A107),DAY('Base de Datos'!A107),MONTH('Base de Datos'!A107)),""),IF(TRIM('Base de Datos'!A107)="","",IFERROR(DATE(VALUE(RIGHT(TRIM('Base de Datos'!A107),4)),VALUE(LEFT(TRIM('Base de Datos'!A107),2)),VALUE(MID(TRIM('Base de Datos'!A107),4,2))),""))),"")</f>
        <v/>
      </c>
      <c r="AE111" s="74" t="str">
        <f aca="false">IF(ISNUMBER('Base de Datos'!B107),'Base de Datos'!B107,IF(TRIM('Base de Datos'!B107)="","",IFERROR(IF(IFERROR(FIND("@",SUBSTITUTE(TRIM('Base de Datos'!B107),",","@",LEN(TRIM('Base de Datos'!B107))-LEN(SUBSTITUTE(TRIM('Base de Datos'!B107),",","")))),0)&gt;IFERROR(FIND("@",SUBSTITUTE(TRIM('Base de Datos'!B107),".","@",LEN(TRIM('Base de Datos'!B107))-LEN(SUBSTITUTE(TRIM('Base de Datos'!B107),".","")))),0),_xlfn.NUMBERVALUE(SUBSTITUTE(SUBSTITUTE(TRIM('Base de Datos'!B107),".",""),",","."),".",","),_xlfn.NUMBERVALUE(SUBSTITUTE(TRIM('Base de Datos'!B107),",",""),".",",")),"")))</f>
        <v/>
      </c>
      <c r="AF111" s="73" t="str">
        <f aca="false">IF(ISNUMBER(AG111),IF(ISNUMBER('Base de Datos'!I107),IF('Base de Datos'!I107&gt;20000,INT('Base de Datos'!I107),""),IF(TRIM('Base de Datos'!I107)="","",IFERROR(DATE(VALUE(RIGHT(TRIM('Base de Datos'!I107),4)),VALUE(MID(TRIM('Base de Datos'!I107),4,2)),VALUE(LEFT(TRIM('Base de Datos'!I107),2))),IFERROR(DATEVALUE(TRIM('Base de Datos'!I107)),"")))),"")</f>
        <v/>
      </c>
      <c r="AG111" s="74" t="str">
        <f aca="false">IF(ISNUMBER('Base de Datos'!J107),'Base de Datos'!J107,IF(TRIM('Base de Datos'!J107)="","",IFERROR(IF(IFERROR(FIND("@",SUBSTITUTE(TRIM('Base de Datos'!J107),",","@",LEN(TRIM('Base de Datos'!J107))-LEN(SUBSTITUTE(TRIM('Base de Datos'!J107),",","")))),0)&gt;IFERROR(FIND("@",SUBSTITUTE(TRIM('Base de Datos'!J107),".","@",LEN(TRIM('Base de Datos'!J107))-LEN(SUBSTITUTE(TRIM('Base de Datos'!J107),".","")))),0),_xlfn.NUMBERVALUE(SUBSTITUTE(SUBSTITUTE(TRIM('Base de Datos'!J107),".",""),",","."),".",","),_xlfn.NUMBERVALUE(SUBSTITUTE(TRIM('Base de Datos'!J107),",",""),".",",")),"")))</f>
        <v/>
      </c>
      <c r="AH111" s="73" t="n">
        <f aca="false">IF(ISNUMBER(AI111),IF(ISNUMBER('Base de Datos'!Q107),IF('Base de Datos'!Q107&gt;20000,DATE(YEAR('Base de Datos'!Q107),DAY('Base de Datos'!Q107),MONTH('Base de Datos'!Q107)),""),IF(TRIM('Base de Datos'!Q107)="","",IFERROR(DATE(VALUE(RIGHT(TRIM('Base de Datos'!Q107),4)),VALUE(LEFT(TRIM('Base de Datos'!Q107),2)),VALUE(MID(TRIM('Base de Datos'!Q107),4,2))),""))),"")</f>
        <v>45193</v>
      </c>
      <c r="AI111" s="74" t="n">
        <f aca="false">IF(ISNUMBER('Base de Datos'!R107),'Base de Datos'!R107,IF(TRIM('Base de Datos'!R107)="","",IFERROR(IF(IFERROR(FIND("@",SUBSTITUTE(TRIM('Base de Datos'!R107),",","@",LEN(TRIM('Base de Datos'!R107))-LEN(SUBSTITUTE(TRIM('Base de Datos'!R107),",","")))),0)&gt;IFERROR(FIND("@",SUBSTITUTE(TRIM('Base de Datos'!R107),".","@",LEN(TRIM('Base de Datos'!R107))-LEN(SUBSTITUTE(TRIM('Base de Datos'!R107),".","")))),0),_xlfn.NUMBERVALUE(SUBSTITUTE(SUBSTITUTE(TRIM('Base de Datos'!R107),".",""),",","."),".",","),_xlfn.NUMBERVALUE(SUBSTITUTE(TRIM('Base de Datos'!R107),",",""),".",",")),"")))</f>
        <v>31.7</v>
      </c>
      <c r="AJ111" s="73" t="n">
        <f aca="false">IF(ISNUMBER(AK111),IF(ISNUMBER('Base de Datos'!Y107),IF('Base de Datos'!Y107&gt;20000,INT('Base de Datos'!Y107),""),IF(TRIM('Base de Datos'!Y107)="","",IFERROR(DATE(VALUE(RIGHT(TRIM('Base de Datos'!Y107),4)),VALUE(MID(TRIM('Base de Datos'!Y107),4,2)),VALUE(LEFT(TRIM('Base de Datos'!Y107),2))),IFERROR(DATEVALUE(TRIM('Base de Datos'!Y107)),"")))),"")</f>
        <v>45193</v>
      </c>
      <c r="AK111" s="74" t="n">
        <f aca="false">IF(ISNUMBER('Base de Datos'!Z107),'Base de Datos'!Z107,IF(TRIM('Base de Datos'!Z107)="","",IFERROR(IF(IFERROR(FIND("@",SUBSTITUTE(TRIM('Base de Datos'!Z107),",","@",LEN(TRIM('Base de Datos'!Z107))-LEN(SUBSTITUTE(TRIM('Base de Datos'!Z107),",","")))),0)&gt;IFERROR(FIND("@",SUBSTITUTE(TRIM('Base de Datos'!Z107),".","@",LEN(TRIM('Base de Datos'!Z107))-LEN(SUBSTITUTE(TRIM('Base de Datos'!Z107),".","")))),0),_xlfn.NUMBERVALUE(SUBSTITUTE(SUBSTITUTE(TRIM('Base de Datos'!Z107),".",""),",","."),".",","),_xlfn.NUMBERVALUE(SUBSTITUTE(TRIM('Base de Datos'!Z107),",",""),".",",")),"")))</f>
        <v>50874.98</v>
      </c>
    </row>
    <row r="112" customFormat="false" ht="13.5" hidden="false" customHeight="false" outlineLevel="0" collapsed="false">
      <c r="A112" s="75" t="n">
        <f aca="false">ROWS(A$13:A112)</f>
        <v>100</v>
      </c>
      <c r="B112" s="73" t="n">
        <f aca="false">IF(B111="","",IFERROR(SMALL($AH$10:$AH$409,COUNTIF($AH$10:$AH$409,"&lt;="&amp;B111)+1),""))</f>
        <v>45179</v>
      </c>
      <c r="C112" s="74" t="n">
        <f aca="false">IF(B112="","",INDEX($AI$10:$AI$409,MATCH(B112,$AH$10:$AH$409,0)))</f>
        <v>26</v>
      </c>
      <c r="D112" s="74" t="n">
        <f aca="false">IF(B112="","",IFERROR(INDEX($AK$10:$AK$409,MATCH(B112,$AJ$10:$AJ$409,0)),""))</f>
        <v>51351.6</v>
      </c>
      <c r="E112" s="76" t="n">
        <f aca="false">IF(AND(ISNUMBER(C112),ISNUMBER(C111)),C112/C111-1,"")</f>
        <v>-0.0714285714285714</v>
      </c>
      <c r="F112" s="76" t="n">
        <f aca="false">IF(AND(ISNUMBER(D112),ISNUMBER(D111)),D112/D111-1,"")</f>
        <v>-0.0219694806848324</v>
      </c>
      <c r="G112" s="75" t="n">
        <f aca="false">IF(AND(ISNUMBER(E112),ISNUMBER(F112)),1,"")</f>
        <v>1</v>
      </c>
      <c r="H112" s="75" t="n">
        <f aca="false">IF(G112=1,COUNT(G112:G$412),"")</f>
        <v>160</v>
      </c>
      <c r="I112" s="75" t="n">
        <f aca="false">IF(G112=1,IF(H112&lt;='Beta Regresión'!$B$5,1,""),"")</f>
        <v>1</v>
      </c>
      <c r="J112" s="76" t="n">
        <f aca="false">IF(I112=1,E112,"")</f>
        <v>-0.0714285714285714</v>
      </c>
      <c r="K112" s="76" t="n">
        <f aca="false">IF(I112=1,F112,"")</f>
        <v>-0.0219694806848324</v>
      </c>
      <c r="L112" s="75" t="n">
        <f aca="false">IF(I112=1,COUNT(I$13:I112),"")</f>
        <v>99</v>
      </c>
      <c r="M112" s="76" t="n">
        <f aca="false">IFERROR(INDEX($J$13:$J$412,MATCH(A112,$L$13:$L$412,0)),"")</f>
        <v>0.0903846153846155</v>
      </c>
      <c r="N112" s="76" t="n">
        <f aca="false">IFERROR(INDEX($K$13:$K$412,MATCH(A112,$L$13:$L$412,0)),"")</f>
        <v>0.00634605348226747</v>
      </c>
      <c r="O112" s="76" t="n">
        <f aca="false">IF(I112=1,E112,NA())</f>
        <v>-0.0714285714285714</v>
      </c>
      <c r="P112" s="76" t="n">
        <f aca="false">IF(I112=1,F112,NA())</f>
        <v>-0.0219694806848324</v>
      </c>
      <c r="R112" s="75" t="n">
        <f aca="false">ROWS(R$13:R112)</f>
        <v>100</v>
      </c>
      <c r="S112" s="73" t="str">
        <f aca="false">IF(S111="","",IFERROR(SMALL($AD$10:$AD$509,COUNTIF($AD$10:$AD$509,"&lt;="&amp;S111)+1),""))</f>
        <v/>
      </c>
      <c r="T112" s="74" t="str">
        <f aca="false">IF(S112="","",INDEX($AE$10:$AE$509,MATCH(S112,$AD$10:$AD$509,0)))</f>
        <v/>
      </c>
      <c r="U112" s="74" t="str">
        <f aca="false">IF(S112="","",IFERROR(INDEX($AG$10:$AG$509,MATCH(S112,$AF$10:$AF$509,0)),""))</f>
        <v/>
      </c>
      <c r="V112" s="76" t="str">
        <f aca="false">IF(AND(ISNUMBER(T112),ISNUMBER(T111)),T112/T111-1,"")</f>
        <v/>
      </c>
      <c r="W112" s="76" t="str">
        <f aca="false">IF(AND(ISNUMBER(U112),ISNUMBER(U111)),U112/U111-1,"")</f>
        <v/>
      </c>
      <c r="X112" s="75" t="str">
        <f aca="false">IF(AND(ISNUMBER(V112),ISNUMBER(W112)),1,"")</f>
        <v/>
      </c>
      <c r="Y112" s="76" t="str">
        <f aca="false">IF(X112=1,V112,"")</f>
        <v/>
      </c>
      <c r="Z112" s="76" t="str">
        <f aca="false">IF(X112=1,W112,"")</f>
        <v/>
      </c>
      <c r="AA112" s="76" t="e">
        <f aca="false">IF(X112=1,V112,NA())</f>
        <v>#N/A</v>
      </c>
      <c r="AB112" s="76" t="e">
        <f aca="false">IF(X112=1,W112,NA())</f>
        <v>#N/A</v>
      </c>
      <c r="AD112" s="73" t="str">
        <f aca="false">IF(ISNUMBER(AE112),IF(ISNUMBER('Base de Datos'!A108),IF('Base de Datos'!A108&gt;20000,DATE(YEAR('Base de Datos'!A108),DAY('Base de Datos'!A108),MONTH('Base de Datos'!A108)),""),IF(TRIM('Base de Datos'!A108)="","",IFERROR(DATE(VALUE(RIGHT(TRIM('Base de Datos'!A108),4)),VALUE(LEFT(TRIM('Base de Datos'!A108),2)),VALUE(MID(TRIM('Base de Datos'!A108),4,2))),""))),"")</f>
        <v/>
      </c>
      <c r="AE112" s="74" t="str">
        <f aca="false">IF(ISNUMBER('Base de Datos'!B108),'Base de Datos'!B108,IF(TRIM('Base de Datos'!B108)="","",IFERROR(IF(IFERROR(FIND("@",SUBSTITUTE(TRIM('Base de Datos'!B108),",","@",LEN(TRIM('Base de Datos'!B108))-LEN(SUBSTITUTE(TRIM('Base de Datos'!B108),",","")))),0)&gt;IFERROR(FIND("@",SUBSTITUTE(TRIM('Base de Datos'!B108),".","@",LEN(TRIM('Base de Datos'!B108))-LEN(SUBSTITUTE(TRIM('Base de Datos'!B108),".","")))),0),_xlfn.NUMBERVALUE(SUBSTITUTE(SUBSTITUTE(TRIM('Base de Datos'!B108),".",""),",","."),".",","),_xlfn.NUMBERVALUE(SUBSTITUTE(TRIM('Base de Datos'!B108),",",""),".",",")),"")))</f>
        <v/>
      </c>
      <c r="AF112" s="73" t="str">
        <f aca="false">IF(ISNUMBER(AG112),IF(ISNUMBER('Base de Datos'!I108),IF('Base de Datos'!I108&gt;20000,INT('Base de Datos'!I108),""),IF(TRIM('Base de Datos'!I108)="","",IFERROR(DATE(VALUE(RIGHT(TRIM('Base de Datos'!I108),4)),VALUE(MID(TRIM('Base de Datos'!I108),4,2)),VALUE(LEFT(TRIM('Base de Datos'!I108),2))),IFERROR(DATEVALUE(TRIM('Base de Datos'!I108)),"")))),"")</f>
        <v/>
      </c>
      <c r="AG112" s="74" t="str">
        <f aca="false">IF(ISNUMBER('Base de Datos'!J108),'Base de Datos'!J108,IF(TRIM('Base de Datos'!J108)="","",IFERROR(IF(IFERROR(FIND("@",SUBSTITUTE(TRIM('Base de Datos'!J108),",","@",LEN(TRIM('Base de Datos'!J108))-LEN(SUBSTITUTE(TRIM('Base de Datos'!J108),",","")))),0)&gt;IFERROR(FIND("@",SUBSTITUTE(TRIM('Base de Datos'!J108),".","@",LEN(TRIM('Base de Datos'!J108))-LEN(SUBSTITUTE(TRIM('Base de Datos'!J108),".","")))),0),_xlfn.NUMBERVALUE(SUBSTITUTE(SUBSTITUTE(TRIM('Base de Datos'!J108),".",""),",","."),".",","),_xlfn.NUMBERVALUE(SUBSTITUTE(TRIM('Base de Datos'!J108),",",""),".",",")),"")))</f>
        <v/>
      </c>
      <c r="AH112" s="73" t="n">
        <f aca="false">IF(ISNUMBER(AI112),IF(ISNUMBER('Base de Datos'!Q108),IF('Base de Datos'!Q108&gt;20000,DATE(YEAR('Base de Datos'!Q108),DAY('Base de Datos'!Q108),MONTH('Base de Datos'!Q108)),""),IF(TRIM('Base de Datos'!Q108)="","",IFERROR(DATE(VALUE(RIGHT(TRIM('Base de Datos'!Q108),4)),VALUE(LEFT(TRIM('Base de Datos'!Q108),2)),VALUE(MID(TRIM('Base de Datos'!Q108),4,2))),""))),"")</f>
        <v>45200</v>
      </c>
      <c r="AI112" s="74" t="n">
        <f aca="false">IF(ISNUMBER('Base de Datos'!R108),'Base de Datos'!R108,IF(TRIM('Base de Datos'!R108)="","",IFERROR(IF(IFERROR(FIND("@",SUBSTITUTE(TRIM('Base de Datos'!R108),",","@",LEN(TRIM('Base de Datos'!R108))-LEN(SUBSTITUTE(TRIM('Base de Datos'!R108),",","")))),0)&gt;IFERROR(FIND("@",SUBSTITUTE(TRIM('Base de Datos'!R108),".","@",LEN(TRIM('Base de Datos'!R108))-LEN(SUBSTITUTE(TRIM('Base de Datos'!R108),".","")))),0),_xlfn.NUMBERVALUE(SUBSTITUTE(SUBSTITUTE(TRIM('Base de Datos'!R108),".",""),",","."),".",","),_xlfn.NUMBERVALUE(SUBSTITUTE(TRIM('Base de Datos'!R108),",",""),".",",")),"")))</f>
        <v>29.34</v>
      </c>
      <c r="AJ112" s="73" t="n">
        <f aca="false">IF(ISNUMBER(AK112),IF(ISNUMBER('Base de Datos'!Y108),IF('Base de Datos'!Y108&gt;20000,INT('Base de Datos'!Y108),""),IF(TRIM('Base de Datos'!Y108)="","",IFERROR(DATE(VALUE(RIGHT(TRIM('Base de Datos'!Y108),4)),VALUE(MID(TRIM('Base de Datos'!Y108),4,2)),VALUE(LEFT(TRIM('Base de Datos'!Y108),2))),IFERROR(DATEVALUE(TRIM('Base de Datos'!Y108)),"")))),"")</f>
        <v>45200</v>
      </c>
      <c r="AK112" s="74" t="n">
        <f aca="false">IF(ISNUMBER('Base de Datos'!Z108),'Base de Datos'!Z108,IF(TRIM('Base de Datos'!Z108)="","",IFERROR(IF(IFERROR(FIND("@",SUBSTITUTE(TRIM('Base de Datos'!Z108),",","@",LEN(TRIM('Base de Datos'!Z108))-LEN(SUBSTITUTE(TRIM('Base de Datos'!Z108),",","")))),0)&gt;IFERROR(FIND("@",SUBSTITUTE(TRIM('Base de Datos'!Z108),".","@",LEN(TRIM('Base de Datos'!Z108))-LEN(SUBSTITUTE(TRIM('Base de Datos'!Z108),".","")))),0),_xlfn.NUMBERVALUE(SUBSTITUTE(SUBSTITUTE(TRIM('Base de Datos'!Z108),".",""),",","."),".",","),_xlfn.NUMBERVALUE(SUBSTITUTE(TRIM('Base de Datos'!Z108),",",""),".",",")),"")))</f>
        <v>49666.5</v>
      </c>
    </row>
    <row r="113" customFormat="false" ht="13.5" hidden="false" customHeight="false" outlineLevel="0" collapsed="false">
      <c r="A113" s="75" t="n">
        <f aca="false">ROWS(A$13:A113)</f>
        <v>101</v>
      </c>
      <c r="B113" s="73" t="n">
        <f aca="false">IF(B112="","",IFERROR(SMALL($AH$10:$AH$409,COUNTIF($AH$10:$AH$409,"&lt;="&amp;B112)+1),""))</f>
        <v>45186</v>
      </c>
      <c r="C113" s="74" t="n">
        <f aca="false">IF(B113="","",INDEX($AI$10:$AI$409,MATCH(B113,$AH$10:$AH$409,0)))</f>
        <v>28.35</v>
      </c>
      <c r="D113" s="74" t="n">
        <f aca="false">IF(B113="","",IFERROR(INDEX($AK$10:$AK$409,MATCH(B113,$AJ$10:$AJ$409,0)),""))</f>
        <v>51677.48</v>
      </c>
      <c r="E113" s="76" t="n">
        <f aca="false">IF(AND(ISNUMBER(C113),ISNUMBER(C112)),C113/C112-1,"")</f>
        <v>0.0903846153846155</v>
      </c>
      <c r="F113" s="76" t="n">
        <f aca="false">IF(AND(ISNUMBER(D113),ISNUMBER(D112)),D113/D112-1,"")</f>
        <v>0.00634605348226747</v>
      </c>
      <c r="G113" s="75" t="n">
        <f aca="false">IF(AND(ISNUMBER(E113),ISNUMBER(F113)),1,"")</f>
        <v>1</v>
      </c>
      <c r="H113" s="75" t="n">
        <f aca="false">IF(G113=1,COUNT(G113:G$412),"")</f>
        <v>159</v>
      </c>
      <c r="I113" s="75" t="n">
        <f aca="false">IF(G113=1,IF(H113&lt;='Beta Regresión'!$B$5,1,""),"")</f>
        <v>1</v>
      </c>
      <c r="J113" s="76" t="n">
        <f aca="false">IF(I113=1,E113,"")</f>
        <v>0.0903846153846155</v>
      </c>
      <c r="K113" s="76" t="n">
        <f aca="false">IF(I113=1,F113,"")</f>
        <v>0.00634605348226747</v>
      </c>
      <c r="L113" s="75" t="n">
        <f aca="false">IF(I113=1,COUNT(I$13:I113),"")</f>
        <v>100</v>
      </c>
      <c r="M113" s="76" t="n">
        <f aca="false">IFERROR(INDEX($J$13:$J$412,MATCH(A113,$L$13:$L$412,0)),"")</f>
        <v>0.118165784832451</v>
      </c>
      <c r="N113" s="76" t="n">
        <f aca="false">IFERROR(INDEX($K$13:$K$412,MATCH(A113,$L$13:$L$412,0)),"")</f>
        <v>-0.0155290079934238</v>
      </c>
      <c r="O113" s="76" t="n">
        <f aca="false">IF(I113=1,E113,NA())</f>
        <v>0.0903846153846155</v>
      </c>
      <c r="P113" s="76" t="n">
        <f aca="false">IF(I113=1,F113,NA())</f>
        <v>0.00634605348226747</v>
      </c>
      <c r="R113" s="75" t="n">
        <f aca="false">ROWS(R$13:R113)</f>
        <v>101</v>
      </c>
      <c r="S113" s="73" t="str">
        <f aca="false">IF(S112="","",IFERROR(SMALL($AD$10:$AD$509,COUNTIF($AD$10:$AD$509,"&lt;="&amp;S112)+1),""))</f>
        <v/>
      </c>
      <c r="T113" s="74" t="str">
        <f aca="false">IF(S113="","",INDEX($AE$10:$AE$509,MATCH(S113,$AD$10:$AD$509,0)))</f>
        <v/>
      </c>
      <c r="U113" s="74" t="str">
        <f aca="false">IF(S113="","",IFERROR(INDEX($AG$10:$AG$509,MATCH(S113,$AF$10:$AF$509,0)),""))</f>
        <v/>
      </c>
      <c r="V113" s="76" t="str">
        <f aca="false">IF(AND(ISNUMBER(T113),ISNUMBER(T112)),T113/T112-1,"")</f>
        <v/>
      </c>
      <c r="W113" s="76" t="str">
        <f aca="false">IF(AND(ISNUMBER(U113),ISNUMBER(U112)),U113/U112-1,"")</f>
        <v/>
      </c>
      <c r="X113" s="75" t="str">
        <f aca="false">IF(AND(ISNUMBER(V113),ISNUMBER(W113)),1,"")</f>
        <v/>
      </c>
      <c r="Y113" s="76" t="str">
        <f aca="false">IF(X113=1,V113,"")</f>
        <v/>
      </c>
      <c r="Z113" s="76" t="str">
        <f aca="false">IF(X113=1,W113,"")</f>
        <v/>
      </c>
      <c r="AA113" s="76" t="e">
        <f aca="false">IF(X113=1,V113,NA())</f>
        <v>#N/A</v>
      </c>
      <c r="AB113" s="76" t="e">
        <f aca="false">IF(X113=1,W113,NA())</f>
        <v>#N/A</v>
      </c>
      <c r="AD113" s="73" t="str">
        <f aca="false">IF(ISNUMBER(AE113),IF(ISNUMBER('Base de Datos'!A109),IF('Base de Datos'!A109&gt;20000,DATE(YEAR('Base de Datos'!A109),DAY('Base de Datos'!A109),MONTH('Base de Datos'!A109)),""),IF(TRIM('Base de Datos'!A109)="","",IFERROR(DATE(VALUE(RIGHT(TRIM('Base de Datos'!A109),4)),VALUE(LEFT(TRIM('Base de Datos'!A109),2)),VALUE(MID(TRIM('Base de Datos'!A109),4,2))),""))),"")</f>
        <v/>
      </c>
      <c r="AE113" s="74" t="str">
        <f aca="false">IF(ISNUMBER('Base de Datos'!B109),'Base de Datos'!B109,IF(TRIM('Base de Datos'!B109)="","",IFERROR(IF(IFERROR(FIND("@",SUBSTITUTE(TRIM('Base de Datos'!B109),",","@",LEN(TRIM('Base de Datos'!B109))-LEN(SUBSTITUTE(TRIM('Base de Datos'!B109),",","")))),0)&gt;IFERROR(FIND("@",SUBSTITUTE(TRIM('Base de Datos'!B109),".","@",LEN(TRIM('Base de Datos'!B109))-LEN(SUBSTITUTE(TRIM('Base de Datos'!B109),".","")))),0),_xlfn.NUMBERVALUE(SUBSTITUTE(SUBSTITUTE(TRIM('Base de Datos'!B109),".",""),",","."),".",","),_xlfn.NUMBERVALUE(SUBSTITUTE(TRIM('Base de Datos'!B109),",",""),".",",")),"")))</f>
        <v/>
      </c>
      <c r="AF113" s="73" t="str">
        <f aca="false">IF(ISNUMBER(AG113),IF(ISNUMBER('Base de Datos'!I109),IF('Base de Datos'!I109&gt;20000,INT('Base de Datos'!I109),""),IF(TRIM('Base de Datos'!I109)="","",IFERROR(DATE(VALUE(RIGHT(TRIM('Base de Datos'!I109),4)),VALUE(MID(TRIM('Base de Datos'!I109),4,2)),VALUE(LEFT(TRIM('Base de Datos'!I109),2))),IFERROR(DATEVALUE(TRIM('Base de Datos'!I109)),"")))),"")</f>
        <v/>
      </c>
      <c r="AG113" s="74" t="str">
        <f aca="false">IF(ISNUMBER('Base de Datos'!J109),'Base de Datos'!J109,IF(TRIM('Base de Datos'!J109)="","",IFERROR(IF(IFERROR(FIND("@",SUBSTITUTE(TRIM('Base de Datos'!J109),",","@",LEN(TRIM('Base de Datos'!J109))-LEN(SUBSTITUTE(TRIM('Base de Datos'!J109),",","")))),0)&gt;IFERROR(FIND("@",SUBSTITUTE(TRIM('Base de Datos'!J109),".","@",LEN(TRIM('Base de Datos'!J109))-LEN(SUBSTITUTE(TRIM('Base de Datos'!J109),".","")))),0),_xlfn.NUMBERVALUE(SUBSTITUTE(SUBSTITUTE(TRIM('Base de Datos'!J109),".",""),",","."),".",","),_xlfn.NUMBERVALUE(SUBSTITUTE(TRIM('Base de Datos'!J109),",",""),".",",")),"")))</f>
        <v/>
      </c>
      <c r="AH113" s="73" t="n">
        <f aca="false">IF(ISNUMBER(AI113),IF(ISNUMBER('Base de Datos'!Q109),IF('Base de Datos'!Q109&gt;20000,DATE(YEAR('Base de Datos'!Q109),DAY('Base de Datos'!Q109),MONTH('Base de Datos'!Q109)),""),IF(TRIM('Base de Datos'!Q109)="","",IFERROR(DATE(VALUE(RIGHT(TRIM('Base de Datos'!Q109),4)),VALUE(LEFT(TRIM('Base de Datos'!Q109),2)),VALUE(MID(TRIM('Base de Datos'!Q109),4,2))),""))),"")</f>
        <v>45207</v>
      </c>
      <c r="AI113" s="74" t="n">
        <f aca="false">IF(ISNUMBER('Base de Datos'!R109),'Base de Datos'!R109,IF(TRIM('Base de Datos'!R109)="","",IFERROR(IF(IFERROR(FIND("@",SUBSTITUTE(TRIM('Base de Datos'!R109),",","@",LEN(TRIM('Base de Datos'!R109))-LEN(SUBSTITUTE(TRIM('Base de Datos'!R109),",","")))),0)&gt;IFERROR(FIND("@",SUBSTITUTE(TRIM('Base de Datos'!R109),".","@",LEN(TRIM('Base de Datos'!R109))-LEN(SUBSTITUTE(TRIM('Base de Datos'!R109),".","")))),0),_xlfn.NUMBERVALUE(SUBSTITUTE(SUBSTITUTE(TRIM('Base de Datos'!R109),".",""),",","."),".",","),_xlfn.NUMBERVALUE(SUBSTITUTE(TRIM('Base de Datos'!R109),",",""),".",",")),"")))</f>
        <v>29.85</v>
      </c>
      <c r="AJ113" s="73" t="n">
        <f aca="false">IF(ISNUMBER(AK113),IF(ISNUMBER('Base de Datos'!Y109),IF('Base de Datos'!Y109&gt;20000,INT('Base de Datos'!Y109),""),IF(TRIM('Base de Datos'!Y109)="","",IFERROR(DATE(VALUE(RIGHT(TRIM('Base de Datos'!Y109),4)),VALUE(MID(TRIM('Base de Datos'!Y109),4,2)),VALUE(LEFT(TRIM('Base de Datos'!Y109),2))),IFERROR(DATEVALUE(TRIM('Base de Datos'!Y109)),"")))),"")</f>
        <v>45207</v>
      </c>
      <c r="AK113" s="74" t="n">
        <f aca="false">IF(ISNUMBER('Base de Datos'!Z109),'Base de Datos'!Z109,IF(TRIM('Base de Datos'!Z109)="","",IFERROR(IF(IFERROR(FIND("@",SUBSTITUTE(TRIM('Base de Datos'!Z109),",","@",LEN(TRIM('Base de Datos'!Z109))-LEN(SUBSTITUTE(TRIM('Base de Datos'!Z109),",","")))),0)&gt;IFERROR(FIND("@",SUBSTITUTE(TRIM('Base de Datos'!Z109),".","@",LEN(TRIM('Base de Datos'!Z109))-LEN(SUBSTITUTE(TRIM('Base de Datos'!Z109),".","")))),0),_xlfn.NUMBERVALUE(SUBSTITUTE(SUBSTITUTE(TRIM('Base de Datos'!Z109),".",""),",","."),".",","),_xlfn.NUMBERVALUE(SUBSTITUTE(TRIM('Base de Datos'!Z109),",",""),".",",")),"")))</f>
        <v>49379.58</v>
      </c>
    </row>
    <row r="114" customFormat="false" ht="13.5" hidden="false" customHeight="false" outlineLevel="0" collapsed="false">
      <c r="A114" s="75" t="n">
        <f aca="false">ROWS(A$13:A114)</f>
        <v>102</v>
      </c>
      <c r="B114" s="73" t="n">
        <f aca="false">IF(B113="","",IFERROR(SMALL($AH$10:$AH$409,COUNTIF($AH$10:$AH$409,"&lt;="&amp;B113)+1),""))</f>
        <v>45193</v>
      </c>
      <c r="C114" s="74" t="n">
        <f aca="false">IF(B114="","",INDEX($AI$10:$AI$409,MATCH(B114,$AH$10:$AH$409,0)))</f>
        <v>31.7</v>
      </c>
      <c r="D114" s="74" t="n">
        <f aca="false">IF(B114="","",IFERROR(INDEX($AK$10:$AK$409,MATCH(B114,$AJ$10:$AJ$409,0)),""))</f>
        <v>50874.98</v>
      </c>
      <c r="E114" s="76" t="n">
        <f aca="false">IF(AND(ISNUMBER(C114),ISNUMBER(C113)),C114/C113-1,"")</f>
        <v>0.118165784832451</v>
      </c>
      <c r="F114" s="76" t="n">
        <f aca="false">IF(AND(ISNUMBER(D114),ISNUMBER(D113)),D114/D113-1,"")</f>
        <v>-0.0155290079934238</v>
      </c>
      <c r="G114" s="75" t="n">
        <f aca="false">IF(AND(ISNUMBER(E114),ISNUMBER(F114)),1,"")</f>
        <v>1</v>
      </c>
      <c r="H114" s="75" t="n">
        <f aca="false">IF(G114=1,COUNT(G114:G$412),"")</f>
        <v>158</v>
      </c>
      <c r="I114" s="75" t="n">
        <f aca="false">IF(G114=1,IF(H114&lt;='Beta Regresión'!$B$5,1,""),"")</f>
        <v>1</v>
      </c>
      <c r="J114" s="76" t="n">
        <f aca="false">IF(I114=1,E114,"")</f>
        <v>0.118165784832451</v>
      </c>
      <c r="K114" s="76" t="n">
        <f aca="false">IF(I114=1,F114,"")</f>
        <v>-0.0155290079934238</v>
      </c>
      <c r="L114" s="75" t="n">
        <f aca="false">IF(I114=1,COUNT(I$13:I114),"")</f>
        <v>101</v>
      </c>
      <c r="M114" s="76" t="n">
        <f aca="false">IFERROR(INDEX($J$13:$J$412,MATCH(A114,$L$13:$L$412,0)),"")</f>
        <v>-0.0744479495268139</v>
      </c>
      <c r="N114" s="76" t="n">
        <f aca="false">IFERROR(INDEX($K$13:$K$412,MATCH(A114,$L$13:$L$412,0)),"")</f>
        <v>-0.0237539159720555</v>
      </c>
      <c r="O114" s="76" t="n">
        <f aca="false">IF(I114=1,E114,NA())</f>
        <v>0.118165784832451</v>
      </c>
      <c r="P114" s="76" t="n">
        <f aca="false">IF(I114=1,F114,NA())</f>
        <v>-0.0155290079934238</v>
      </c>
      <c r="R114" s="75" t="n">
        <f aca="false">ROWS(R$13:R114)</f>
        <v>102</v>
      </c>
      <c r="S114" s="73" t="str">
        <f aca="false">IF(S113="","",IFERROR(SMALL($AD$10:$AD$509,COUNTIF($AD$10:$AD$509,"&lt;="&amp;S113)+1),""))</f>
        <v/>
      </c>
      <c r="T114" s="74" t="str">
        <f aca="false">IF(S114="","",INDEX($AE$10:$AE$509,MATCH(S114,$AD$10:$AD$509,0)))</f>
        <v/>
      </c>
      <c r="U114" s="74" t="str">
        <f aca="false">IF(S114="","",IFERROR(INDEX($AG$10:$AG$509,MATCH(S114,$AF$10:$AF$509,0)),""))</f>
        <v/>
      </c>
      <c r="V114" s="76" t="str">
        <f aca="false">IF(AND(ISNUMBER(T114),ISNUMBER(T113)),T114/T113-1,"")</f>
        <v/>
      </c>
      <c r="W114" s="76" t="str">
        <f aca="false">IF(AND(ISNUMBER(U114),ISNUMBER(U113)),U114/U113-1,"")</f>
        <v/>
      </c>
      <c r="X114" s="75" t="str">
        <f aca="false">IF(AND(ISNUMBER(V114),ISNUMBER(W114)),1,"")</f>
        <v/>
      </c>
      <c r="Y114" s="76" t="str">
        <f aca="false">IF(X114=1,V114,"")</f>
        <v/>
      </c>
      <c r="Z114" s="76" t="str">
        <f aca="false">IF(X114=1,W114,"")</f>
        <v/>
      </c>
      <c r="AA114" s="76" t="e">
        <f aca="false">IF(X114=1,V114,NA())</f>
        <v>#N/A</v>
      </c>
      <c r="AB114" s="76" t="e">
        <f aca="false">IF(X114=1,W114,NA())</f>
        <v>#N/A</v>
      </c>
      <c r="AD114" s="73" t="str">
        <f aca="false">IF(ISNUMBER(AE114),IF(ISNUMBER('Base de Datos'!A110),IF('Base de Datos'!A110&gt;20000,DATE(YEAR('Base de Datos'!A110),DAY('Base de Datos'!A110),MONTH('Base de Datos'!A110)),""),IF(TRIM('Base de Datos'!A110)="","",IFERROR(DATE(VALUE(RIGHT(TRIM('Base de Datos'!A110),4)),VALUE(LEFT(TRIM('Base de Datos'!A110),2)),VALUE(MID(TRIM('Base de Datos'!A110),4,2))),""))),"")</f>
        <v/>
      </c>
      <c r="AE114" s="74" t="str">
        <f aca="false">IF(ISNUMBER('Base de Datos'!B110),'Base de Datos'!B110,IF(TRIM('Base de Datos'!B110)="","",IFERROR(IF(IFERROR(FIND("@",SUBSTITUTE(TRIM('Base de Datos'!B110),",","@",LEN(TRIM('Base de Datos'!B110))-LEN(SUBSTITUTE(TRIM('Base de Datos'!B110),",","")))),0)&gt;IFERROR(FIND("@",SUBSTITUTE(TRIM('Base de Datos'!B110),".","@",LEN(TRIM('Base de Datos'!B110))-LEN(SUBSTITUTE(TRIM('Base de Datos'!B110),".","")))),0),_xlfn.NUMBERVALUE(SUBSTITUTE(SUBSTITUTE(TRIM('Base de Datos'!B110),".",""),",","."),".",","),_xlfn.NUMBERVALUE(SUBSTITUTE(TRIM('Base de Datos'!B110),",",""),".",",")),"")))</f>
        <v/>
      </c>
      <c r="AF114" s="73" t="str">
        <f aca="false">IF(ISNUMBER(AG114),IF(ISNUMBER('Base de Datos'!I110),IF('Base de Datos'!I110&gt;20000,INT('Base de Datos'!I110),""),IF(TRIM('Base de Datos'!I110)="","",IFERROR(DATE(VALUE(RIGHT(TRIM('Base de Datos'!I110),4)),VALUE(MID(TRIM('Base de Datos'!I110),4,2)),VALUE(LEFT(TRIM('Base de Datos'!I110),2))),IFERROR(DATEVALUE(TRIM('Base de Datos'!I110)),"")))),"")</f>
        <v/>
      </c>
      <c r="AG114" s="74" t="str">
        <f aca="false">IF(ISNUMBER('Base de Datos'!J110),'Base de Datos'!J110,IF(TRIM('Base de Datos'!J110)="","",IFERROR(IF(IFERROR(FIND("@",SUBSTITUTE(TRIM('Base de Datos'!J110),",","@",LEN(TRIM('Base de Datos'!J110))-LEN(SUBSTITUTE(TRIM('Base de Datos'!J110),",","")))),0)&gt;IFERROR(FIND("@",SUBSTITUTE(TRIM('Base de Datos'!J110),".","@",LEN(TRIM('Base de Datos'!J110))-LEN(SUBSTITUTE(TRIM('Base de Datos'!J110),".","")))),0),_xlfn.NUMBERVALUE(SUBSTITUTE(SUBSTITUTE(TRIM('Base de Datos'!J110),".",""),",","."),".",","),_xlfn.NUMBERVALUE(SUBSTITUTE(TRIM('Base de Datos'!J110),",",""),".",",")),"")))</f>
        <v/>
      </c>
      <c r="AH114" s="73" t="n">
        <f aca="false">IF(ISNUMBER(AI114),IF(ISNUMBER('Base de Datos'!Q110),IF('Base de Datos'!Q110&gt;20000,DATE(YEAR('Base de Datos'!Q110),DAY('Base de Datos'!Q110),MONTH('Base de Datos'!Q110)),""),IF(TRIM('Base de Datos'!Q110)="","",IFERROR(DATE(VALUE(RIGHT(TRIM('Base de Datos'!Q110),4)),VALUE(LEFT(TRIM('Base de Datos'!Q110),2)),VALUE(MID(TRIM('Base de Datos'!Q110),4,2))),""))),"")</f>
        <v>45214</v>
      </c>
      <c r="AI114" s="74" t="n">
        <f aca="false">IF(ISNUMBER('Base de Datos'!R110),'Base de Datos'!R110,IF(TRIM('Base de Datos'!R110)="","",IFERROR(IF(IFERROR(FIND("@",SUBSTITUTE(TRIM('Base de Datos'!R110),",","@",LEN(TRIM('Base de Datos'!R110))-LEN(SUBSTITUTE(TRIM('Base de Datos'!R110),",","")))),0)&gt;IFERROR(FIND("@",SUBSTITUTE(TRIM('Base de Datos'!R110),".","@",LEN(TRIM('Base de Datos'!R110))-LEN(SUBSTITUTE(TRIM('Base de Datos'!R110),".","")))),0),_xlfn.NUMBERVALUE(SUBSTITUTE(SUBSTITUTE(TRIM('Base de Datos'!R110),".",""),",","."),".",","),_xlfn.NUMBERVALUE(SUBSTITUTE(TRIM('Base de Datos'!R110),",",""),".",",")),"")))</f>
        <v>29.05</v>
      </c>
      <c r="AJ114" s="73" t="n">
        <f aca="false">IF(ISNUMBER(AK114),IF(ISNUMBER('Base de Datos'!Y110),IF('Base de Datos'!Y110&gt;20000,INT('Base de Datos'!Y110),""),IF(TRIM('Base de Datos'!Y110)="","",IFERROR(DATE(VALUE(RIGHT(TRIM('Base de Datos'!Y110),4)),VALUE(MID(TRIM('Base de Datos'!Y110),4,2)),VALUE(LEFT(TRIM('Base de Datos'!Y110),2))),IFERROR(DATEVALUE(TRIM('Base de Datos'!Y110)),"")))),"")</f>
        <v>45214</v>
      </c>
      <c r="AK114" s="74" t="n">
        <f aca="false">IF(ISNUMBER('Base de Datos'!Z110),'Base de Datos'!Z110,IF(TRIM('Base de Datos'!Z110)="","",IFERROR(IF(IFERROR(FIND("@",SUBSTITUTE(TRIM('Base de Datos'!Z110),",","@",LEN(TRIM('Base de Datos'!Z110))-LEN(SUBSTITUTE(TRIM('Base de Datos'!Z110),",","")))),0)&gt;IFERROR(FIND("@",SUBSTITUTE(TRIM('Base de Datos'!Z110),".","@",LEN(TRIM('Base de Datos'!Z110))-LEN(SUBSTITUTE(TRIM('Base de Datos'!Z110),".","")))),0),_xlfn.NUMBERVALUE(SUBSTITUTE(SUBSTITUTE(TRIM('Base de Datos'!Z110),".",""),",","."),".",","),_xlfn.NUMBERVALUE(SUBSTITUTE(TRIM('Base de Datos'!Z110),",",""),".",",")),"")))</f>
        <v>48275.91</v>
      </c>
    </row>
    <row r="115" customFormat="false" ht="13.5" hidden="false" customHeight="false" outlineLevel="0" collapsed="false">
      <c r="A115" s="75" t="n">
        <f aca="false">ROWS(A$13:A115)</f>
        <v>103</v>
      </c>
      <c r="B115" s="73" t="n">
        <f aca="false">IF(B114="","",IFERROR(SMALL($AH$10:$AH$409,COUNTIF($AH$10:$AH$409,"&lt;="&amp;B114)+1),""))</f>
        <v>45200</v>
      </c>
      <c r="C115" s="74" t="n">
        <f aca="false">IF(B115="","",INDEX($AI$10:$AI$409,MATCH(B115,$AH$10:$AH$409,0)))</f>
        <v>29.34</v>
      </c>
      <c r="D115" s="74" t="n">
        <f aca="false">IF(B115="","",IFERROR(INDEX($AK$10:$AK$409,MATCH(B115,$AJ$10:$AJ$409,0)),""))</f>
        <v>49666.5</v>
      </c>
      <c r="E115" s="76" t="n">
        <f aca="false">IF(AND(ISNUMBER(C115),ISNUMBER(C114)),C115/C114-1,"")</f>
        <v>-0.0744479495268139</v>
      </c>
      <c r="F115" s="76" t="n">
        <f aca="false">IF(AND(ISNUMBER(D115),ISNUMBER(D114)),D115/D114-1,"")</f>
        <v>-0.0237539159720555</v>
      </c>
      <c r="G115" s="75" t="n">
        <f aca="false">IF(AND(ISNUMBER(E115),ISNUMBER(F115)),1,"")</f>
        <v>1</v>
      </c>
      <c r="H115" s="75" t="n">
        <f aca="false">IF(G115=1,COUNT(G115:G$412),"")</f>
        <v>157</v>
      </c>
      <c r="I115" s="75" t="n">
        <f aca="false">IF(G115=1,IF(H115&lt;='Beta Regresión'!$B$5,1,""),"")</f>
        <v>1</v>
      </c>
      <c r="J115" s="76" t="n">
        <f aca="false">IF(I115=1,E115,"")</f>
        <v>-0.0744479495268139</v>
      </c>
      <c r="K115" s="76" t="n">
        <f aca="false">IF(I115=1,F115,"")</f>
        <v>-0.0237539159720555</v>
      </c>
      <c r="L115" s="75" t="n">
        <f aca="false">IF(I115=1,COUNT(I$13:I115),"")</f>
        <v>102</v>
      </c>
      <c r="M115" s="76" t="n">
        <f aca="false">IFERROR(INDEX($J$13:$J$412,MATCH(A115,$L$13:$L$412,0)),"")</f>
        <v>0.0173824130879345</v>
      </c>
      <c r="N115" s="76" t="n">
        <f aca="false">IFERROR(INDEX($K$13:$K$412,MATCH(A115,$L$13:$L$412,0)),"")</f>
        <v>-0.00577693213735608</v>
      </c>
      <c r="O115" s="76" t="n">
        <f aca="false">IF(I115=1,E115,NA())</f>
        <v>-0.0744479495268139</v>
      </c>
      <c r="P115" s="76" t="n">
        <f aca="false">IF(I115=1,F115,NA())</f>
        <v>-0.0237539159720555</v>
      </c>
      <c r="R115" s="75" t="n">
        <f aca="false">ROWS(R$13:R115)</f>
        <v>103</v>
      </c>
      <c r="S115" s="73" t="str">
        <f aca="false">IF(S114="","",IFERROR(SMALL($AD$10:$AD$509,COUNTIF($AD$10:$AD$509,"&lt;="&amp;S114)+1),""))</f>
        <v/>
      </c>
      <c r="T115" s="74" t="str">
        <f aca="false">IF(S115="","",INDEX($AE$10:$AE$509,MATCH(S115,$AD$10:$AD$509,0)))</f>
        <v/>
      </c>
      <c r="U115" s="74" t="str">
        <f aca="false">IF(S115="","",IFERROR(INDEX($AG$10:$AG$509,MATCH(S115,$AF$10:$AF$509,0)),""))</f>
        <v/>
      </c>
      <c r="V115" s="76" t="str">
        <f aca="false">IF(AND(ISNUMBER(T115),ISNUMBER(T114)),T115/T114-1,"")</f>
        <v/>
      </c>
      <c r="W115" s="76" t="str">
        <f aca="false">IF(AND(ISNUMBER(U115),ISNUMBER(U114)),U115/U114-1,"")</f>
        <v/>
      </c>
      <c r="X115" s="75" t="str">
        <f aca="false">IF(AND(ISNUMBER(V115),ISNUMBER(W115)),1,"")</f>
        <v/>
      </c>
      <c r="Y115" s="76" t="str">
        <f aca="false">IF(X115=1,V115,"")</f>
        <v/>
      </c>
      <c r="Z115" s="76" t="str">
        <f aca="false">IF(X115=1,W115,"")</f>
        <v/>
      </c>
      <c r="AA115" s="76" t="e">
        <f aca="false">IF(X115=1,V115,NA())</f>
        <v>#N/A</v>
      </c>
      <c r="AB115" s="76" t="e">
        <f aca="false">IF(X115=1,W115,NA())</f>
        <v>#N/A</v>
      </c>
      <c r="AD115" s="73" t="str">
        <f aca="false">IF(ISNUMBER(AE115),IF(ISNUMBER('Base de Datos'!A111),IF('Base de Datos'!A111&gt;20000,DATE(YEAR('Base de Datos'!A111),DAY('Base de Datos'!A111),MONTH('Base de Datos'!A111)),""),IF(TRIM('Base de Datos'!A111)="","",IFERROR(DATE(VALUE(RIGHT(TRIM('Base de Datos'!A111),4)),VALUE(LEFT(TRIM('Base de Datos'!A111),2)),VALUE(MID(TRIM('Base de Datos'!A111),4,2))),""))),"")</f>
        <v/>
      </c>
      <c r="AE115" s="74" t="str">
        <f aca="false">IF(ISNUMBER('Base de Datos'!B111),'Base de Datos'!B111,IF(TRIM('Base de Datos'!B111)="","",IFERROR(IF(IFERROR(FIND("@",SUBSTITUTE(TRIM('Base de Datos'!B111),",","@",LEN(TRIM('Base de Datos'!B111))-LEN(SUBSTITUTE(TRIM('Base de Datos'!B111),",","")))),0)&gt;IFERROR(FIND("@",SUBSTITUTE(TRIM('Base de Datos'!B111),".","@",LEN(TRIM('Base de Datos'!B111))-LEN(SUBSTITUTE(TRIM('Base de Datos'!B111),".","")))),0),_xlfn.NUMBERVALUE(SUBSTITUTE(SUBSTITUTE(TRIM('Base de Datos'!B111),".",""),",","."),".",","),_xlfn.NUMBERVALUE(SUBSTITUTE(TRIM('Base de Datos'!B111),",",""),".",",")),"")))</f>
        <v/>
      </c>
      <c r="AF115" s="73" t="str">
        <f aca="false">IF(ISNUMBER(AG115),IF(ISNUMBER('Base de Datos'!I111),IF('Base de Datos'!I111&gt;20000,INT('Base de Datos'!I111),""),IF(TRIM('Base de Datos'!I111)="","",IFERROR(DATE(VALUE(RIGHT(TRIM('Base de Datos'!I111),4)),VALUE(MID(TRIM('Base de Datos'!I111),4,2)),VALUE(LEFT(TRIM('Base de Datos'!I111),2))),IFERROR(DATEVALUE(TRIM('Base de Datos'!I111)),"")))),"")</f>
        <v/>
      </c>
      <c r="AG115" s="74" t="str">
        <f aca="false">IF(ISNUMBER('Base de Datos'!J111),'Base de Datos'!J111,IF(TRIM('Base de Datos'!J111)="","",IFERROR(IF(IFERROR(FIND("@",SUBSTITUTE(TRIM('Base de Datos'!J111),",","@",LEN(TRIM('Base de Datos'!J111))-LEN(SUBSTITUTE(TRIM('Base de Datos'!J111),",","")))),0)&gt;IFERROR(FIND("@",SUBSTITUTE(TRIM('Base de Datos'!J111),".","@",LEN(TRIM('Base de Datos'!J111))-LEN(SUBSTITUTE(TRIM('Base de Datos'!J111),".","")))),0),_xlfn.NUMBERVALUE(SUBSTITUTE(SUBSTITUTE(TRIM('Base de Datos'!J111),".",""),",","."),".",","),_xlfn.NUMBERVALUE(SUBSTITUTE(TRIM('Base de Datos'!J111),",",""),".",",")),"")))</f>
        <v/>
      </c>
      <c r="AH115" s="73" t="n">
        <f aca="false">IF(ISNUMBER(AI115),IF(ISNUMBER('Base de Datos'!Q111),IF('Base de Datos'!Q111&gt;20000,DATE(YEAR('Base de Datos'!Q111),DAY('Base de Datos'!Q111),MONTH('Base de Datos'!Q111)),""),IF(TRIM('Base de Datos'!Q111)="","",IFERROR(DATE(VALUE(RIGHT(TRIM('Base de Datos'!Q111),4)),VALUE(LEFT(TRIM('Base de Datos'!Q111),2)),VALUE(MID(TRIM('Base de Datos'!Q111),4,2))),""))),"")</f>
        <v>45221</v>
      </c>
      <c r="AI115" s="74" t="n">
        <f aca="false">IF(ISNUMBER('Base de Datos'!R111),'Base de Datos'!R111,IF(TRIM('Base de Datos'!R111)="","",IFERROR(IF(IFERROR(FIND("@",SUBSTITUTE(TRIM('Base de Datos'!R111),",","@",LEN(TRIM('Base de Datos'!R111))-LEN(SUBSTITUTE(TRIM('Base de Datos'!R111),",","")))),0)&gt;IFERROR(FIND("@",SUBSTITUTE(TRIM('Base de Datos'!R111),".","@",LEN(TRIM('Base de Datos'!R111))-LEN(SUBSTITUTE(TRIM('Base de Datos'!R111),".","")))),0),_xlfn.NUMBERVALUE(SUBSTITUTE(SUBSTITUTE(TRIM('Base de Datos'!R111),".",""),",","."),".",","),_xlfn.NUMBERVALUE(SUBSTITUTE(TRIM('Base de Datos'!R111),",",""),".",",")),"")))</f>
        <v>32.09</v>
      </c>
      <c r="AJ115" s="73" t="n">
        <f aca="false">IF(ISNUMBER(AK115),IF(ISNUMBER('Base de Datos'!Y111),IF('Base de Datos'!Y111&gt;20000,INT('Base de Datos'!Y111),""),IF(TRIM('Base de Datos'!Y111)="","",IFERROR(DATE(VALUE(RIGHT(TRIM('Base de Datos'!Y111),4)),VALUE(MID(TRIM('Base de Datos'!Y111),4,2)),VALUE(LEFT(TRIM('Base de Datos'!Y111),2))),IFERROR(DATEVALUE(TRIM('Base de Datos'!Y111)),"")))),"")</f>
        <v>45221</v>
      </c>
      <c r="AK115" s="74" t="n">
        <f aca="false">IF(ISNUMBER('Base de Datos'!Z111),'Base de Datos'!Z111,IF(TRIM('Base de Datos'!Z111)="","",IFERROR(IF(IFERROR(FIND("@",SUBSTITUTE(TRIM('Base de Datos'!Z111),",","@",LEN(TRIM('Base de Datos'!Z111))-LEN(SUBSTITUTE(TRIM('Base de Datos'!Z111),",","")))),0)&gt;IFERROR(FIND("@",SUBSTITUTE(TRIM('Base de Datos'!Z111),".","@",LEN(TRIM('Base de Datos'!Z111))-LEN(SUBSTITUTE(TRIM('Base de Datos'!Z111),".","")))),0),_xlfn.NUMBERVALUE(SUBSTITUTE(SUBSTITUTE(TRIM('Base de Datos'!Z111),".",""),",","."),".",","),_xlfn.NUMBERVALUE(SUBSTITUTE(TRIM('Base de Datos'!Z111),",",""),".",",")),"")))</f>
        <v>48973.85</v>
      </c>
    </row>
    <row r="116" customFormat="false" ht="13.5" hidden="false" customHeight="false" outlineLevel="0" collapsed="false">
      <c r="A116" s="75" t="n">
        <f aca="false">ROWS(A$13:A116)</f>
        <v>104</v>
      </c>
      <c r="B116" s="73" t="n">
        <f aca="false">IF(B115="","",IFERROR(SMALL($AH$10:$AH$409,COUNTIF($AH$10:$AH$409,"&lt;="&amp;B115)+1),""))</f>
        <v>45207</v>
      </c>
      <c r="C116" s="74" t="n">
        <f aca="false">IF(B116="","",INDEX($AI$10:$AI$409,MATCH(B116,$AH$10:$AH$409,0)))</f>
        <v>29.85</v>
      </c>
      <c r="D116" s="74" t="n">
        <f aca="false">IF(B116="","",IFERROR(INDEX($AK$10:$AK$409,MATCH(B116,$AJ$10:$AJ$409,0)),""))</f>
        <v>49379.58</v>
      </c>
      <c r="E116" s="76" t="n">
        <f aca="false">IF(AND(ISNUMBER(C116),ISNUMBER(C115)),C116/C115-1,"")</f>
        <v>0.0173824130879345</v>
      </c>
      <c r="F116" s="76" t="n">
        <f aca="false">IF(AND(ISNUMBER(D116),ISNUMBER(D115)),D116/D115-1,"")</f>
        <v>-0.00577693213735608</v>
      </c>
      <c r="G116" s="75" t="n">
        <f aca="false">IF(AND(ISNUMBER(E116),ISNUMBER(F116)),1,"")</f>
        <v>1</v>
      </c>
      <c r="H116" s="75" t="n">
        <f aca="false">IF(G116=1,COUNT(G116:G$412),"")</f>
        <v>156</v>
      </c>
      <c r="I116" s="75" t="n">
        <f aca="false">IF(G116=1,IF(H116&lt;='Beta Regresión'!$B$5,1,""),"")</f>
        <v>1</v>
      </c>
      <c r="J116" s="76" t="n">
        <f aca="false">IF(I116=1,E116,"")</f>
        <v>0.0173824130879345</v>
      </c>
      <c r="K116" s="76" t="n">
        <f aca="false">IF(I116=1,F116,"")</f>
        <v>-0.00577693213735608</v>
      </c>
      <c r="L116" s="75" t="n">
        <f aca="false">IF(I116=1,COUNT(I$13:I116),"")</f>
        <v>103</v>
      </c>
      <c r="M116" s="76" t="n">
        <f aca="false">IFERROR(INDEX($J$13:$J$412,MATCH(A116,$L$13:$L$412,0)),"")</f>
        <v>-0.0268006700167505</v>
      </c>
      <c r="N116" s="76" t="n">
        <f aca="false">IFERROR(INDEX($K$13:$K$412,MATCH(A116,$L$13:$L$412,0)),"")</f>
        <v>-0.0223507368835457</v>
      </c>
      <c r="O116" s="76" t="n">
        <f aca="false">IF(I116=1,E116,NA())</f>
        <v>0.0173824130879345</v>
      </c>
      <c r="P116" s="76" t="n">
        <f aca="false">IF(I116=1,F116,NA())</f>
        <v>-0.00577693213735608</v>
      </c>
      <c r="R116" s="75" t="n">
        <f aca="false">ROWS(R$13:R116)</f>
        <v>104</v>
      </c>
      <c r="S116" s="73" t="str">
        <f aca="false">IF(S115="","",IFERROR(SMALL($AD$10:$AD$509,COUNTIF($AD$10:$AD$509,"&lt;="&amp;S115)+1),""))</f>
        <v/>
      </c>
      <c r="T116" s="74" t="str">
        <f aca="false">IF(S116="","",INDEX($AE$10:$AE$509,MATCH(S116,$AD$10:$AD$509,0)))</f>
        <v/>
      </c>
      <c r="U116" s="74" t="str">
        <f aca="false">IF(S116="","",IFERROR(INDEX($AG$10:$AG$509,MATCH(S116,$AF$10:$AF$509,0)),""))</f>
        <v/>
      </c>
      <c r="V116" s="76" t="str">
        <f aca="false">IF(AND(ISNUMBER(T116),ISNUMBER(T115)),T116/T115-1,"")</f>
        <v/>
      </c>
      <c r="W116" s="76" t="str">
        <f aca="false">IF(AND(ISNUMBER(U116),ISNUMBER(U115)),U116/U115-1,"")</f>
        <v/>
      </c>
      <c r="X116" s="75" t="str">
        <f aca="false">IF(AND(ISNUMBER(V116),ISNUMBER(W116)),1,"")</f>
        <v/>
      </c>
      <c r="Y116" s="76" t="str">
        <f aca="false">IF(X116=1,V116,"")</f>
        <v/>
      </c>
      <c r="Z116" s="76" t="str">
        <f aca="false">IF(X116=1,W116,"")</f>
        <v/>
      </c>
      <c r="AA116" s="76" t="e">
        <f aca="false">IF(X116=1,V116,NA())</f>
        <v>#N/A</v>
      </c>
      <c r="AB116" s="76" t="e">
        <f aca="false">IF(X116=1,W116,NA())</f>
        <v>#N/A</v>
      </c>
      <c r="AD116" s="73" t="str">
        <f aca="false">IF(ISNUMBER(AE116),IF(ISNUMBER('Base de Datos'!A112),IF('Base de Datos'!A112&gt;20000,DATE(YEAR('Base de Datos'!A112),DAY('Base de Datos'!A112),MONTH('Base de Datos'!A112)),""),IF(TRIM('Base de Datos'!A112)="","",IFERROR(DATE(VALUE(RIGHT(TRIM('Base de Datos'!A112),4)),VALUE(LEFT(TRIM('Base de Datos'!A112),2)),VALUE(MID(TRIM('Base de Datos'!A112),4,2))),""))),"")</f>
        <v/>
      </c>
      <c r="AE116" s="74" t="str">
        <f aca="false">IF(ISNUMBER('Base de Datos'!B112),'Base de Datos'!B112,IF(TRIM('Base de Datos'!B112)="","",IFERROR(IF(IFERROR(FIND("@",SUBSTITUTE(TRIM('Base de Datos'!B112),",","@",LEN(TRIM('Base de Datos'!B112))-LEN(SUBSTITUTE(TRIM('Base de Datos'!B112),",","")))),0)&gt;IFERROR(FIND("@",SUBSTITUTE(TRIM('Base de Datos'!B112),".","@",LEN(TRIM('Base de Datos'!B112))-LEN(SUBSTITUTE(TRIM('Base de Datos'!B112),".","")))),0),_xlfn.NUMBERVALUE(SUBSTITUTE(SUBSTITUTE(TRIM('Base de Datos'!B112),".",""),",","."),".",","),_xlfn.NUMBERVALUE(SUBSTITUTE(TRIM('Base de Datos'!B112),",",""),".",",")),"")))</f>
        <v/>
      </c>
      <c r="AF116" s="73" t="str">
        <f aca="false">IF(ISNUMBER(AG116),IF(ISNUMBER('Base de Datos'!I112),IF('Base de Datos'!I112&gt;20000,INT('Base de Datos'!I112),""),IF(TRIM('Base de Datos'!I112)="","",IFERROR(DATE(VALUE(RIGHT(TRIM('Base de Datos'!I112),4)),VALUE(MID(TRIM('Base de Datos'!I112),4,2)),VALUE(LEFT(TRIM('Base de Datos'!I112),2))),IFERROR(DATEVALUE(TRIM('Base de Datos'!I112)),"")))),"")</f>
        <v/>
      </c>
      <c r="AG116" s="74" t="str">
        <f aca="false">IF(ISNUMBER('Base de Datos'!J112),'Base de Datos'!J112,IF(TRIM('Base de Datos'!J112)="","",IFERROR(IF(IFERROR(FIND("@",SUBSTITUTE(TRIM('Base de Datos'!J112),",","@",LEN(TRIM('Base de Datos'!J112))-LEN(SUBSTITUTE(TRIM('Base de Datos'!J112),",","")))),0)&gt;IFERROR(FIND("@",SUBSTITUTE(TRIM('Base de Datos'!J112),".","@",LEN(TRIM('Base de Datos'!J112))-LEN(SUBSTITUTE(TRIM('Base de Datos'!J112),".","")))),0),_xlfn.NUMBERVALUE(SUBSTITUTE(SUBSTITUTE(TRIM('Base de Datos'!J112),".",""),",","."),".",","),_xlfn.NUMBERVALUE(SUBSTITUTE(TRIM('Base de Datos'!J112),",",""),".",",")),"")))</f>
        <v/>
      </c>
      <c r="AH116" s="73" t="n">
        <f aca="false">IF(ISNUMBER(AI116),IF(ISNUMBER('Base de Datos'!Q112),IF('Base de Datos'!Q112&gt;20000,DATE(YEAR('Base de Datos'!Q112),DAY('Base de Datos'!Q112),MONTH('Base de Datos'!Q112)),""),IF(TRIM('Base de Datos'!Q112)="","",IFERROR(DATE(VALUE(RIGHT(TRIM('Base de Datos'!Q112),4)),VALUE(LEFT(TRIM('Base de Datos'!Q112),2)),VALUE(MID(TRIM('Base de Datos'!Q112),4,2))),""))),"")</f>
        <v>45228</v>
      </c>
      <c r="AI116" s="74" t="n">
        <f aca="false">IF(ISNUMBER('Base de Datos'!R112),'Base de Datos'!R112,IF(TRIM('Base de Datos'!R112)="","",IFERROR(IF(IFERROR(FIND("@",SUBSTITUTE(TRIM('Base de Datos'!R112),",","@",LEN(TRIM('Base de Datos'!R112))-LEN(SUBSTITUTE(TRIM('Base de Datos'!R112),",","")))),0)&gt;IFERROR(FIND("@",SUBSTITUTE(TRIM('Base de Datos'!R112),".","@",LEN(TRIM('Base de Datos'!R112))-LEN(SUBSTITUTE(TRIM('Base de Datos'!R112),".","")))),0),_xlfn.NUMBERVALUE(SUBSTITUTE(SUBSTITUTE(TRIM('Base de Datos'!R112),".",""),",","."),".",","),_xlfn.NUMBERVALUE(SUBSTITUTE(TRIM('Base de Datos'!R112),",",""),".",",")),"")))</f>
        <v>32.03</v>
      </c>
      <c r="AJ116" s="73" t="n">
        <f aca="false">IF(ISNUMBER(AK116),IF(ISNUMBER('Base de Datos'!Y112),IF('Base de Datos'!Y112&gt;20000,INT('Base de Datos'!Y112),""),IF(TRIM('Base de Datos'!Y112)="","",IFERROR(DATE(VALUE(RIGHT(TRIM('Base de Datos'!Y112),4)),VALUE(MID(TRIM('Base de Datos'!Y112),4,2)),VALUE(LEFT(TRIM('Base de Datos'!Y112),2))),IFERROR(DATEVALUE(TRIM('Base de Datos'!Y112)),"")))),"")</f>
        <v>45228</v>
      </c>
      <c r="AK116" s="74" t="n">
        <f aca="false">IF(ISNUMBER('Base de Datos'!Z112),'Base de Datos'!Z112,IF(TRIM('Base de Datos'!Z112)="","",IFERROR(IF(IFERROR(FIND("@",SUBSTITUTE(TRIM('Base de Datos'!Z112),",","@",LEN(TRIM('Base de Datos'!Z112))-LEN(SUBSTITUTE(TRIM('Base de Datos'!Z112),",","")))),0)&gt;IFERROR(FIND("@",SUBSTITUTE(TRIM('Base de Datos'!Z112),".","@",LEN(TRIM('Base de Datos'!Z112))-LEN(SUBSTITUTE(TRIM('Base de Datos'!Z112),".","")))),0),_xlfn.NUMBERVALUE(SUBSTITUTE(SUBSTITUTE(TRIM('Base de Datos'!Z112),".",""),",","."),".",","),_xlfn.NUMBERVALUE(SUBSTITUTE(TRIM('Base de Datos'!Z112),",",""),".",",")),"")))</f>
        <v>51266.73</v>
      </c>
    </row>
    <row r="117" customFormat="false" ht="13.5" hidden="false" customHeight="false" outlineLevel="0" collapsed="false">
      <c r="A117" s="75" t="n">
        <f aca="false">ROWS(A$13:A117)</f>
        <v>105</v>
      </c>
      <c r="B117" s="73" t="n">
        <f aca="false">IF(B116="","",IFERROR(SMALL($AH$10:$AH$409,COUNTIF($AH$10:$AH$409,"&lt;="&amp;B116)+1),""))</f>
        <v>45214</v>
      </c>
      <c r="C117" s="74" t="n">
        <f aca="false">IF(B117="","",INDEX($AI$10:$AI$409,MATCH(B117,$AH$10:$AH$409,0)))</f>
        <v>29.05</v>
      </c>
      <c r="D117" s="74" t="n">
        <f aca="false">IF(B117="","",IFERROR(INDEX($AK$10:$AK$409,MATCH(B117,$AJ$10:$AJ$409,0)),""))</f>
        <v>48275.91</v>
      </c>
      <c r="E117" s="76" t="n">
        <f aca="false">IF(AND(ISNUMBER(C117),ISNUMBER(C116)),C117/C116-1,"")</f>
        <v>-0.0268006700167505</v>
      </c>
      <c r="F117" s="76" t="n">
        <f aca="false">IF(AND(ISNUMBER(D117),ISNUMBER(D116)),D117/D116-1,"")</f>
        <v>-0.0223507368835457</v>
      </c>
      <c r="G117" s="75" t="n">
        <f aca="false">IF(AND(ISNUMBER(E117),ISNUMBER(F117)),1,"")</f>
        <v>1</v>
      </c>
      <c r="H117" s="75" t="n">
        <f aca="false">IF(G117=1,COUNT(G117:G$412),"")</f>
        <v>155</v>
      </c>
      <c r="I117" s="75" t="n">
        <f aca="false">IF(G117=1,IF(H117&lt;='Beta Regresión'!$B$5,1,""),"")</f>
        <v>1</v>
      </c>
      <c r="J117" s="76" t="n">
        <f aca="false">IF(I117=1,E117,"")</f>
        <v>-0.0268006700167505</v>
      </c>
      <c r="K117" s="76" t="n">
        <f aca="false">IF(I117=1,F117,"")</f>
        <v>-0.0223507368835457</v>
      </c>
      <c r="L117" s="75" t="n">
        <f aca="false">IF(I117=1,COUNT(I$13:I117),"")</f>
        <v>104</v>
      </c>
      <c r="M117" s="76" t="n">
        <f aca="false">IFERROR(INDEX($J$13:$J$412,MATCH(A117,$L$13:$L$412,0)),"")</f>
        <v>0.104647160068847</v>
      </c>
      <c r="N117" s="76" t="n">
        <f aca="false">IFERROR(INDEX($K$13:$K$412,MATCH(A117,$L$13:$L$412,0)),"")</f>
        <v>0.0144573142173807</v>
      </c>
      <c r="O117" s="76" t="n">
        <f aca="false">IF(I117=1,E117,NA())</f>
        <v>-0.0268006700167505</v>
      </c>
      <c r="P117" s="76" t="n">
        <f aca="false">IF(I117=1,F117,NA())</f>
        <v>-0.0223507368835457</v>
      </c>
      <c r="R117" s="75" t="n">
        <f aca="false">ROWS(R$13:R117)</f>
        <v>105</v>
      </c>
      <c r="S117" s="73" t="str">
        <f aca="false">IF(S116="","",IFERROR(SMALL($AD$10:$AD$509,COUNTIF($AD$10:$AD$509,"&lt;="&amp;S116)+1),""))</f>
        <v/>
      </c>
      <c r="T117" s="74" t="str">
        <f aca="false">IF(S117="","",INDEX($AE$10:$AE$509,MATCH(S117,$AD$10:$AD$509,0)))</f>
        <v/>
      </c>
      <c r="U117" s="74" t="str">
        <f aca="false">IF(S117="","",IFERROR(INDEX($AG$10:$AG$509,MATCH(S117,$AF$10:$AF$509,0)),""))</f>
        <v/>
      </c>
      <c r="V117" s="76" t="str">
        <f aca="false">IF(AND(ISNUMBER(T117),ISNUMBER(T116)),T117/T116-1,"")</f>
        <v/>
      </c>
      <c r="W117" s="76" t="str">
        <f aca="false">IF(AND(ISNUMBER(U117),ISNUMBER(U116)),U117/U116-1,"")</f>
        <v/>
      </c>
      <c r="X117" s="75" t="str">
        <f aca="false">IF(AND(ISNUMBER(V117),ISNUMBER(W117)),1,"")</f>
        <v/>
      </c>
      <c r="Y117" s="76" t="str">
        <f aca="false">IF(X117=1,V117,"")</f>
        <v/>
      </c>
      <c r="Z117" s="76" t="str">
        <f aca="false">IF(X117=1,W117,"")</f>
        <v/>
      </c>
      <c r="AA117" s="76" t="e">
        <f aca="false">IF(X117=1,V117,NA())</f>
        <v>#N/A</v>
      </c>
      <c r="AB117" s="76" t="e">
        <f aca="false">IF(X117=1,W117,NA())</f>
        <v>#N/A</v>
      </c>
      <c r="AD117" s="73" t="str">
        <f aca="false">IF(ISNUMBER(AE117),IF(ISNUMBER('Base de Datos'!A113),IF('Base de Datos'!A113&gt;20000,DATE(YEAR('Base de Datos'!A113),DAY('Base de Datos'!A113),MONTH('Base de Datos'!A113)),""),IF(TRIM('Base de Datos'!A113)="","",IFERROR(DATE(VALUE(RIGHT(TRIM('Base de Datos'!A113),4)),VALUE(LEFT(TRIM('Base de Datos'!A113),2)),VALUE(MID(TRIM('Base de Datos'!A113),4,2))),""))),"")</f>
        <v/>
      </c>
      <c r="AE117" s="74" t="str">
        <f aca="false">IF(ISNUMBER('Base de Datos'!B113),'Base de Datos'!B113,IF(TRIM('Base de Datos'!B113)="","",IFERROR(IF(IFERROR(FIND("@",SUBSTITUTE(TRIM('Base de Datos'!B113),",","@",LEN(TRIM('Base de Datos'!B113))-LEN(SUBSTITUTE(TRIM('Base de Datos'!B113),",","")))),0)&gt;IFERROR(FIND("@",SUBSTITUTE(TRIM('Base de Datos'!B113),".","@",LEN(TRIM('Base de Datos'!B113))-LEN(SUBSTITUTE(TRIM('Base de Datos'!B113),".","")))),0),_xlfn.NUMBERVALUE(SUBSTITUTE(SUBSTITUTE(TRIM('Base de Datos'!B113),".",""),",","."),".",","),_xlfn.NUMBERVALUE(SUBSTITUTE(TRIM('Base de Datos'!B113),",",""),".",",")),"")))</f>
        <v/>
      </c>
      <c r="AF117" s="73" t="str">
        <f aca="false">IF(ISNUMBER(AG117),IF(ISNUMBER('Base de Datos'!I113),IF('Base de Datos'!I113&gt;20000,INT('Base de Datos'!I113),""),IF(TRIM('Base de Datos'!I113)="","",IFERROR(DATE(VALUE(RIGHT(TRIM('Base de Datos'!I113),4)),VALUE(MID(TRIM('Base de Datos'!I113),4,2)),VALUE(LEFT(TRIM('Base de Datos'!I113),2))),IFERROR(DATEVALUE(TRIM('Base de Datos'!I113)),"")))),"")</f>
        <v/>
      </c>
      <c r="AG117" s="74" t="str">
        <f aca="false">IF(ISNUMBER('Base de Datos'!J113),'Base de Datos'!J113,IF(TRIM('Base de Datos'!J113)="","",IFERROR(IF(IFERROR(FIND("@",SUBSTITUTE(TRIM('Base de Datos'!J113),",","@",LEN(TRIM('Base de Datos'!J113))-LEN(SUBSTITUTE(TRIM('Base de Datos'!J113),",","")))),0)&gt;IFERROR(FIND("@",SUBSTITUTE(TRIM('Base de Datos'!J113),".","@",LEN(TRIM('Base de Datos'!J113))-LEN(SUBSTITUTE(TRIM('Base de Datos'!J113),".","")))),0),_xlfn.NUMBERVALUE(SUBSTITUTE(SUBSTITUTE(TRIM('Base de Datos'!J113),".",""),",","."),".",","),_xlfn.NUMBERVALUE(SUBSTITUTE(TRIM('Base de Datos'!J113),",",""),".",",")),"")))</f>
        <v/>
      </c>
      <c r="AH117" s="73" t="n">
        <f aca="false">IF(ISNUMBER(AI117),IF(ISNUMBER('Base de Datos'!Q113),IF('Base de Datos'!Q113&gt;20000,DATE(YEAR('Base de Datos'!Q113),DAY('Base de Datos'!Q113),MONTH('Base de Datos'!Q113)),""),IF(TRIM('Base de Datos'!Q113)="","",IFERROR(DATE(VALUE(RIGHT(TRIM('Base de Datos'!Q113),4)),VALUE(LEFT(TRIM('Base de Datos'!Q113),2)),VALUE(MID(TRIM('Base de Datos'!Q113),4,2))),""))),"")</f>
        <v>45235</v>
      </c>
      <c r="AI117" s="74" t="n">
        <f aca="false">IF(ISNUMBER('Base de Datos'!R113),'Base de Datos'!R113,IF(TRIM('Base de Datos'!R113)="","",IFERROR(IF(IFERROR(FIND("@",SUBSTITUTE(TRIM('Base de Datos'!R113),",","@",LEN(TRIM('Base de Datos'!R113))-LEN(SUBSTITUTE(TRIM('Base de Datos'!R113),",","")))),0)&gt;IFERROR(FIND("@",SUBSTITUTE(TRIM('Base de Datos'!R113),".","@",LEN(TRIM('Base de Datos'!R113))-LEN(SUBSTITUTE(TRIM('Base de Datos'!R113),".","")))),0),_xlfn.NUMBERVALUE(SUBSTITUTE(SUBSTITUTE(TRIM('Base de Datos'!R113),".",""),",","."),".",","),_xlfn.NUMBERVALUE(SUBSTITUTE(TRIM('Base de Datos'!R113),",",""),".",",")),"")))</f>
        <v>29.94</v>
      </c>
      <c r="AJ117" s="73" t="n">
        <f aca="false">IF(ISNUMBER(AK117),IF(ISNUMBER('Base de Datos'!Y113),IF('Base de Datos'!Y113&gt;20000,INT('Base de Datos'!Y113),""),IF(TRIM('Base de Datos'!Y113)="","",IFERROR(DATE(VALUE(RIGHT(TRIM('Base de Datos'!Y113),4)),VALUE(MID(TRIM('Base de Datos'!Y113),4,2)),VALUE(LEFT(TRIM('Base de Datos'!Y113),2))),IFERROR(DATEVALUE(TRIM('Base de Datos'!Y113)),"")))),"")</f>
        <v>45235</v>
      </c>
      <c r="AK117" s="74" t="n">
        <f aca="false">IF(ISNUMBER('Base de Datos'!Z113),'Base de Datos'!Z113,IF(TRIM('Base de Datos'!Z113)="","",IFERROR(IF(IFERROR(FIND("@",SUBSTITUTE(TRIM('Base de Datos'!Z113),",","@",LEN(TRIM('Base de Datos'!Z113))-LEN(SUBSTITUTE(TRIM('Base de Datos'!Z113),",","")))),0)&gt;IFERROR(FIND("@",SUBSTITUTE(TRIM('Base de Datos'!Z113),".","@",LEN(TRIM('Base de Datos'!Z113))-LEN(SUBSTITUTE(TRIM('Base de Datos'!Z113),".","")))),0),_xlfn.NUMBERVALUE(SUBSTITUTE(SUBSTITUTE(TRIM('Base de Datos'!Z113),".",""),",","."),".",","),_xlfn.NUMBERVALUE(SUBSTITUTE(TRIM('Base de Datos'!Z113),",",""),".",",")),"")))</f>
        <v>51258.24</v>
      </c>
    </row>
    <row r="118" customFormat="false" ht="13.5" hidden="false" customHeight="false" outlineLevel="0" collapsed="false">
      <c r="A118" s="75" t="n">
        <f aca="false">ROWS(A$13:A118)</f>
        <v>106</v>
      </c>
      <c r="B118" s="73" t="n">
        <f aca="false">IF(B117="","",IFERROR(SMALL($AH$10:$AH$409,COUNTIF($AH$10:$AH$409,"&lt;="&amp;B117)+1),""))</f>
        <v>45221</v>
      </c>
      <c r="C118" s="74" t="n">
        <f aca="false">IF(B118="","",INDEX($AI$10:$AI$409,MATCH(B118,$AH$10:$AH$409,0)))</f>
        <v>32.09</v>
      </c>
      <c r="D118" s="74" t="n">
        <f aca="false">IF(B118="","",IFERROR(INDEX($AK$10:$AK$409,MATCH(B118,$AJ$10:$AJ$409,0)),""))</f>
        <v>48973.85</v>
      </c>
      <c r="E118" s="76" t="n">
        <f aca="false">IF(AND(ISNUMBER(C118),ISNUMBER(C117)),C118/C117-1,"")</f>
        <v>0.104647160068847</v>
      </c>
      <c r="F118" s="76" t="n">
        <f aca="false">IF(AND(ISNUMBER(D118),ISNUMBER(D117)),D118/D117-1,"")</f>
        <v>0.0144573142173807</v>
      </c>
      <c r="G118" s="75" t="n">
        <f aca="false">IF(AND(ISNUMBER(E118),ISNUMBER(F118)),1,"")</f>
        <v>1</v>
      </c>
      <c r="H118" s="75" t="n">
        <f aca="false">IF(G118=1,COUNT(G118:G$412),"")</f>
        <v>154</v>
      </c>
      <c r="I118" s="75" t="n">
        <f aca="false">IF(G118=1,IF(H118&lt;='Beta Regresión'!$B$5,1,""),"")</f>
        <v>1</v>
      </c>
      <c r="J118" s="76" t="n">
        <f aca="false">IF(I118=1,E118,"")</f>
        <v>0.104647160068847</v>
      </c>
      <c r="K118" s="76" t="n">
        <f aca="false">IF(I118=1,F118,"")</f>
        <v>0.0144573142173807</v>
      </c>
      <c r="L118" s="75" t="n">
        <f aca="false">IF(I118=1,COUNT(I$13:I118),"")</f>
        <v>105</v>
      </c>
      <c r="M118" s="76" t="n">
        <f aca="false">IFERROR(INDEX($J$13:$J$412,MATCH(A118,$L$13:$L$412,0)),"")</f>
        <v>-0.00186974135244633</v>
      </c>
      <c r="N118" s="76" t="n">
        <f aca="false">IFERROR(INDEX($K$13:$K$412,MATCH(A118,$L$13:$L$412,0)),"")</f>
        <v>0.0468184551551492</v>
      </c>
      <c r="O118" s="76" t="n">
        <f aca="false">IF(I118=1,E118,NA())</f>
        <v>0.104647160068847</v>
      </c>
      <c r="P118" s="76" t="n">
        <f aca="false">IF(I118=1,F118,NA())</f>
        <v>0.0144573142173807</v>
      </c>
      <c r="R118" s="75" t="n">
        <f aca="false">ROWS(R$13:R118)</f>
        <v>106</v>
      </c>
      <c r="S118" s="73" t="str">
        <f aca="false">IF(S117="","",IFERROR(SMALL($AD$10:$AD$509,COUNTIF($AD$10:$AD$509,"&lt;="&amp;S117)+1),""))</f>
        <v/>
      </c>
      <c r="T118" s="74" t="str">
        <f aca="false">IF(S118="","",INDEX($AE$10:$AE$509,MATCH(S118,$AD$10:$AD$509,0)))</f>
        <v/>
      </c>
      <c r="U118" s="74" t="str">
        <f aca="false">IF(S118="","",IFERROR(INDEX($AG$10:$AG$509,MATCH(S118,$AF$10:$AF$509,0)),""))</f>
        <v/>
      </c>
      <c r="V118" s="76" t="str">
        <f aca="false">IF(AND(ISNUMBER(T118),ISNUMBER(T117)),T118/T117-1,"")</f>
        <v/>
      </c>
      <c r="W118" s="76" t="str">
        <f aca="false">IF(AND(ISNUMBER(U118),ISNUMBER(U117)),U118/U117-1,"")</f>
        <v/>
      </c>
      <c r="X118" s="75" t="str">
        <f aca="false">IF(AND(ISNUMBER(V118),ISNUMBER(W118)),1,"")</f>
        <v/>
      </c>
      <c r="Y118" s="76" t="str">
        <f aca="false">IF(X118=1,V118,"")</f>
        <v/>
      </c>
      <c r="Z118" s="76" t="str">
        <f aca="false">IF(X118=1,W118,"")</f>
        <v/>
      </c>
      <c r="AA118" s="76" t="e">
        <f aca="false">IF(X118=1,V118,NA())</f>
        <v>#N/A</v>
      </c>
      <c r="AB118" s="76" t="e">
        <f aca="false">IF(X118=1,W118,NA())</f>
        <v>#N/A</v>
      </c>
      <c r="AD118" s="73" t="str">
        <f aca="false">IF(ISNUMBER(AE118),IF(ISNUMBER('Base de Datos'!A114),IF('Base de Datos'!A114&gt;20000,DATE(YEAR('Base de Datos'!A114),DAY('Base de Datos'!A114),MONTH('Base de Datos'!A114)),""),IF(TRIM('Base de Datos'!A114)="","",IFERROR(DATE(VALUE(RIGHT(TRIM('Base de Datos'!A114),4)),VALUE(LEFT(TRIM('Base de Datos'!A114),2)),VALUE(MID(TRIM('Base de Datos'!A114),4,2))),""))),"")</f>
        <v/>
      </c>
      <c r="AE118" s="74" t="str">
        <f aca="false">IF(ISNUMBER('Base de Datos'!B114),'Base de Datos'!B114,IF(TRIM('Base de Datos'!B114)="","",IFERROR(IF(IFERROR(FIND("@",SUBSTITUTE(TRIM('Base de Datos'!B114),",","@",LEN(TRIM('Base de Datos'!B114))-LEN(SUBSTITUTE(TRIM('Base de Datos'!B114),",","")))),0)&gt;IFERROR(FIND("@",SUBSTITUTE(TRIM('Base de Datos'!B114),".","@",LEN(TRIM('Base de Datos'!B114))-LEN(SUBSTITUTE(TRIM('Base de Datos'!B114),".","")))),0),_xlfn.NUMBERVALUE(SUBSTITUTE(SUBSTITUTE(TRIM('Base de Datos'!B114),".",""),",","."),".",","),_xlfn.NUMBERVALUE(SUBSTITUTE(TRIM('Base de Datos'!B114),",",""),".",",")),"")))</f>
        <v/>
      </c>
      <c r="AF118" s="73" t="str">
        <f aca="false">IF(ISNUMBER(AG118),IF(ISNUMBER('Base de Datos'!I114),IF('Base de Datos'!I114&gt;20000,INT('Base de Datos'!I114),""),IF(TRIM('Base de Datos'!I114)="","",IFERROR(DATE(VALUE(RIGHT(TRIM('Base de Datos'!I114),4)),VALUE(MID(TRIM('Base de Datos'!I114),4,2)),VALUE(LEFT(TRIM('Base de Datos'!I114),2))),IFERROR(DATEVALUE(TRIM('Base de Datos'!I114)),"")))),"")</f>
        <v/>
      </c>
      <c r="AG118" s="74" t="str">
        <f aca="false">IF(ISNUMBER('Base de Datos'!J114),'Base de Datos'!J114,IF(TRIM('Base de Datos'!J114)="","",IFERROR(IF(IFERROR(FIND("@",SUBSTITUTE(TRIM('Base de Datos'!J114),",","@",LEN(TRIM('Base de Datos'!J114))-LEN(SUBSTITUTE(TRIM('Base de Datos'!J114),",","")))),0)&gt;IFERROR(FIND("@",SUBSTITUTE(TRIM('Base de Datos'!J114),".","@",LEN(TRIM('Base de Datos'!J114))-LEN(SUBSTITUTE(TRIM('Base de Datos'!J114),".","")))),0),_xlfn.NUMBERVALUE(SUBSTITUTE(SUBSTITUTE(TRIM('Base de Datos'!J114),".",""),",","."),".",","),_xlfn.NUMBERVALUE(SUBSTITUTE(TRIM('Base de Datos'!J114),",",""),".",",")),"")))</f>
        <v/>
      </c>
      <c r="AH118" s="73" t="n">
        <f aca="false">IF(ISNUMBER(AI118),IF(ISNUMBER('Base de Datos'!Q114),IF('Base de Datos'!Q114&gt;20000,DATE(YEAR('Base de Datos'!Q114),DAY('Base de Datos'!Q114),MONTH('Base de Datos'!Q114)),""),IF(TRIM('Base de Datos'!Q114)="","",IFERROR(DATE(VALUE(RIGHT(TRIM('Base de Datos'!Q114),4)),VALUE(LEFT(TRIM('Base de Datos'!Q114),2)),VALUE(MID(TRIM('Base de Datos'!Q114),4,2))),""))),"")</f>
        <v>45242</v>
      </c>
      <c r="AI118" s="74" t="n">
        <f aca="false">IF(ISNUMBER('Base de Datos'!R114),'Base de Datos'!R114,IF(TRIM('Base de Datos'!R114)="","",IFERROR(IF(IFERROR(FIND("@",SUBSTITUTE(TRIM('Base de Datos'!R114),",","@",LEN(TRIM('Base de Datos'!R114))-LEN(SUBSTITUTE(TRIM('Base de Datos'!R114),",","")))),0)&gt;IFERROR(FIND("@",SUBSTITUTE(TRIM('Base de Datos'!R114),".","@",LEN(TRIM('Base de Datos'!R114))-LEN(SUBSTITUTE(TRIM('Base de Datos'!R114),".","")))),0),_xlfn.NUMBERVALUE(SUBSTITUTE(SUBSTITUTE(TRIM('Base de Datos'!R114),".",""),",","."),".",","),_xlfn.NUMBERVALUE(SUBSTITUTE(TRIM('Base de Datos'!R114),",",""),".",",")),"")))</f>
        <v>30.49</v>
      </c>
      <c r="AJ118" s="73" t="n">
        <f aca="false">IF(ISNUMBER(AK118),IF(ISNUMBER('Base de Datos'!Y114),IF('Base de Datos'!Y114&gt;20000,INT('Base de Datos'!Y114),""),IF(TRIM('Base de Datos'!Y114)="","",IFERROR(DATE(VALUE(RIGHT(TRIM('Base de Datos'!Y114),4)),VALUE(MID(TRIM('Base de Datos'!Y114),4,2)),VALUE(LEFT(TRIM('Base de Datos'!Y114),2))),IFERROR(DATEVALUE(TRIM('Base de Datos'!Y114)),"")))),"")</f>
        <v>45242</v>
      </c>
      <c r="AK118" s="74" t="n">
        <f aca="false">IF(ISNUMBER('Base de Datos'!Z114),'Base de Datos'!Z114,IF(TRIM('Base de Datos'!Z114)="","",IFERROR(IF(IFERROR(FIND("@",SUBSTITUTE(TRIM('Base de Datos'!Z114),",","@",LEN(TRIM('Base de Datos'!Z114))-LEN(SUBSTITUTE(TRIM('Base de Datos'!Z114),",","")))),0)&gt;IFERROR(FIND("@",SUBSTITUTE(TRIM('Base de Datos'!Z114),".","@",LEN(TRIM('Base de Datos'!Z114))-LEN(SUBSTITUTE(TRIM('Base de Datos'!Z114),".","")))),0),_xlfn.NUMBERVALUE(SUBSTITUTE(SUBSTITUTE(TRIM('Base de Datos'!Z114),".",""),",","."),".",","),_xlfn.NUMBERVALUE(SUBSTITUTE(TRIM('Base de Datos'!Z114),",",""),".",",")),"")))</f>
        <v>52685.1</v>
      </c>
    </row>
    <row r="119" customFormat="false" ht="13.5" hidden="false" customHeight="false" outlineLevel="0" collapsed="false">
      <c r="A119" s="75" t="n">
        <f aca="false">ROWS(A$13:A119)</f>
        <v>107</v>
      </c>
      <c r="B119" s="73" t="n">
        <f aca="false">IF(B118="","",IFERROR(SMALL($AH$10:$AH$409,COUNTIF($AH$10:$AH$409,"&lt;="&amp;B118)+1),""))</f>
        <v>45228</v>
      </c>
      <c r="C119" s="74" t="n">
        <f aca="false">IF(B119="","",INDEX($AI$10:$AI$409,MATCH(B119,$AH$10:$AH$409,0)))</f>
        <v>32.03</v>
      </c>
      <c r="D119" s="74" t="n">
        <f aca="false">IF(B119="","",IFERROR(INDEX($AK$10:$AK$409,MATCH(B119,$AJ$10:$AJ$409,0)),""))</f>
        <v>51266.73</v>
      </c>
      <c r="E119" s="76" t="n">
        <f aca="false">IF(AND(ISNUMBER(C119),ISNUMBER(C118)),C119/C118-1,"")</f>
        <v>-0.00186974135244633</v>
      </c>
      <c r="F119" s="76" t="n">
        <f aca="false">IF(AND(ISNUMBER(D119),ISNUMBER(D118)),D119/D118-1,"")</f>
        <v>0.0468184551551492</v>
      </c>
      <c r="G119" s="75" t="n">
        <f aca="false">IF(AND(ISNUMBER(E119),ISNUMBER(F119)),1,"")</f>
        <v>1</v>
      </c>
      <c r="H119" s="75" t="n">
        <f aca="false">IF(G119=1,COUNT(G119:G$412),"")</f>
        <v>153</v>
      </c>
      <c r="I119" s="75" t="n">
        <f aca="false">IF(G119=1,IF(H119&lt;='Beta Regresión'!$B$5,1,""),"")</f>
        <v>1</v>
      </c>
      <c r="J119" s="76" t="n">
        <f aca="false">IF(I119=1,E119,"")</f>
        <v>-0.00186974135244633</v>
      </c>
      <c r="K119" s="76" t="n">
        <f aca="false">IF(I119=1,F119,"")</f>
        <v>0.0468184551551492</v>
      </c>
      <c r="L119" s="75" t="n">
        <f aca="false">IF(I119=1,COUNT(I$13:I119),"")</f>
        <v>106</v>
      </c>
      <c r="M119" s="76" t="n">
        <f aca="false">IFERROR(INDEX($J$13:$J$412,MATCH(A119,$L$13:$L$412,0)),"")</f>
        <v>-0.065251326881049</v>
      </c>
      <c r="N119" s="76" t="n">
        <f aca="false">IFERROR(INDEX($K$13:$K$412,MATCH(A119,$L$13:$L$412,0)),"")</f>
        <v>-0.000165604476821568</v>
      </c>
      <c r="O119" s="76" t="n">
        <f aca="false">IF(I119=1,E119,NA())</f>
        <v>-0.00186974135244633</v>
      </c>
      <c r="P119" s="76" t="n">
        <f aca="false">IF(I119=1,F119,NA())</f>
        <v>0.0468184551551492</v>
      </c>
      <c r="R119" s="75" t="n">
        <f aca="false">ROWS(R$13:R119)</f>
        <v>107</v>
      </c>
      <c r="S119" s="73" t="str">
        <f aca="false">IF(S118="","",IFERROR(SMALL($AD$10:$AD$509,COUNTIF($AD$10:$AD$509,"&lt;="&amp;S118)+1),""))</f>
        <v/>
      </c>
      <c r="T119" s="74" t="str">
        <f aca="false">IF(S119="","",INDEX($AE$10:$AE$509,MATCH(S119,$AD$10:$AD$509,0)))</f>
        <v/>
      </c>
      <c r="U119" s="74" t="str">
        <f aca="false">IF(S119="","",IFERROR(INDEX($AG$10:$AG$509,MATCH(S119,$AF$10:$AF$509,0)),""))</f>
        <v/>
      </c>
      <c r="V119" s="76" t="str">
        <f aca="false">IF(AND(ISNUMBER(T119),ISNUMBER(T118)),T119/T118-1,"")</f>
        <v/>
      </c>
      <c r="W119" s="76" t="str">
        <f aca="false">IF(AND(ISNUMBER(U119),ISNUMBER(U118)),U119/U118-1,"")</f>
        <v/>
      </c>
      <c r="X119" s="75" t="str">
        <f aca="false">IF(AND(ISNUMBER(V119),ISNUMBER(W119)),1,"")</f>
        <v/>
      </c>
      <c r="Y119" s="76" t="str">
        <f aca="false">IF(X119=1,V119,"")</f>
        <v/>
      </c>
      <c r="Z119" s="76" t="str">
        <f aca="false">IF(X119=1,W119,"")</f>
        <v/>
      </c>
      <c r="AA119" s="76" t="e">
        <f aca="false">IF(X119=1,V119,NA())</f>
        <v>#N/A</v>
      </c>
      <c r="AB119" s="76" t="e">
        <f aca="false">IF(X119=1,W119,NA())</f>
        <v>#N/A</v>
      </c>
      <c r="AD119" s="73" t="str">
        <f aca="false">IF(ISNUMBER(AE119),IF(ISNUMBER('Base de Datos'!A115),IF('Base de Datos'!A115&gt;20000,DATE(YEAR('Base de Datos'!A115),DAY('Base de Datos'!A115),MONTH('Base de Datos'!A115)),""),IF(TRIM('Base de Datos'!A115)="","",IFERROR(DATE(VALUE(RIGHT(TRIM('Base de Datos'!A115),4)),VALUE(LEFT(TRIM('Base de Datos'!A115),2)),VALUE(MID(TRIM('Base de Datos'!A115),4,2))),""))),"")</f>
        <v/>
      </c>
      <c r="AE119" s="74" t="str">
        <f aca="false">IF(ISNUMBER('Base de Datos'!B115),'Base de Datos'!B115,IF(TRIM('Base de Datos'!B115)="","",IFERROR(IF(IFERROR(FIND("@",SUBSTITUTE(TRIM('Base de Datos'!B115),",","@",LEN(TRIM('Base de Datos'!B115))-LEN(SUBSTITUTE(TRIM('Base de Datos'!B115),",","")))),0)&gt;IFERROR(FIND("@",SUBSTITUTE(TRIM('Base de Datos'!B115),".","@",LEN(TRIM('Base de Datos'!B115))-LEN(SUBSTITUTE(TRIM('Base de Datos'!B115),".","")))),0),_xlfn.NUMBERVALUE(SUBSTITUTE(SUBSTITUTE(TRIM('Base de Datos'!B115),".",""),",","."),".",","),_xlfn.NUMBERVALUE(SUBSTITUTE(TRIM('Base de Datos'!B115),",",""),".",",")),"")))</f>
        <v/>
      </c>
      <c r="AF119" s="73" t="str">
        <f aca="false">IF(ISNUMBER(AG119),IF(ISNUMBER('Base de Datos'!I115),IF('Base de Datos'!I115&gt;20000,INT('Base de Datos'!I115),""),IF(TRIM('Base de Datos'!I115)="","",IFERROR(DATE(VALUE(RIGHT(TRIM('Base de Datos'!I115),4)),VALUE(MID(TRIM('Base de Datos'!I115),4,2)),VALUE(LEFT(TRIM('Base de Datos'!I115),2))),IFERROR(DATEVALUE(TRIM('Base de Datos'!I115)),"")))),"")</f>
        <v/>
      </c>
      <c r="AG119" s="74" t="str">
        <f aca="false">IF(ISNUMBER('Base de Datos'!J115),'Base de Datos'!J115,IF(TRIM('Base de Datos'!J115)="","",IFERROR(IF(IFERROR(FIND("@",SUBSTITUTE(TRIM('Base de Datos'!J115),",","@",LEN(TRIM('Base de Datos'!J115))-LEN(SUBSTITUTE(TRIM('Base de Datos'!J115),",","")))),0)&gt;IFERROR(FIND("@",SUBSTITUTE(TRIM('Base de Datos'!J115),".","@",LEN(TRIM('Base de Datos'!J115))-LEN(SUBSTITUTE(TRIM('Base de Datos'!J115),".","")))),0),_xlfn.NUMBERVALUE(SUBSTITUTE(SUBSTITUTE(TRIM('Base de Datos'!J115),".",""),",","."),".",","),_xlfn.NUMBERVALUE(SUBSTITUTE(TRIM('Base de Datos'!J115),",",""),".",",")),"")))</f>
        <v/>
      </c>
      <c r="AH119" s="73" t="n">
        <f aca="false">IF(ISNUMBER(AI119),IF(ISNUMBER('Base de Datos'!Q115),IF('Base de Datos'!Q115&gt;20000,DATE(YEAR('Base de Datos'!Q115),DAY('Base de Datos'!Q115),MONTH('Base de Datos'!Q115)),""),IF(TRIM('Base de Datos'!Q115)="","",IFERROR(DATE(VALUE(RIGHT(TRIM('Base de Datos'!Q115),4)),VALUE(LEFT(TRIM('Base de Datos'!Q115),2)),VALUE(MID(TRIM('Base de Datos'!Q115),4,2))),""))),"")</f>
        <v>45249</v>
      </c>
      <c r="AI119" s="74" t="n">
        <f aca="false">IF(ISNUMBER('Base de Datos'!R115),'Base de Datos'!R115,IF(TRIM('Base de Datos'!R115)="","",IFERROR(IF(IFERROR(FIND("@",SUBSTITUTE(TRIM('Base de Datos'!R115),",","@",LEN(TRIM('Base de Datos'!R115))-LEN(SUBSTITUTE(TRIM('Base de Datos'!R115),",","")))),0)&gt;IFERROR(FIND("@",SUBSTITUTE(TRIM('Base de Datos'!R115),".","@",LEN(TRIM('Base de Datos'!R115))-LEN(SUBSTITUTE(TRIM('Base de Datos'!R115),".","")))),0),_xlfn.NUMBERVALUE(SUBSTITUTE(SUBSTITUTE(TRIM('Base de Datos'!R115),".",""),",","."),".",","),_xlfn.NUMBERVALUE(SUBSTITUTE(TRIM('Base de Datos'!R115),",",""),".",",")),"")))</f>
        <v>30.3</v>
      </c>
      <c r="AJ119" s="73" t="n">
        <f aca="false">IF(ISNUMBER(AK119),IF(ISNUMBER('Base de Datos'!Y115),IF('Base de Datos'!Y115&gt;20000,INT('Base de Datos'!Y115),""),IF(TRIM('Base de Datos'!Y115)="","",IFERROR(DATE(VALUE(RIGHT(TRIM('Base de Datos'!Y115),4)),VALUE(MID(TRIM('Base de Datos'!Y115),4,2)),VALUE(LEFT(TRIM('Base de Datos'!Y115),2))),IFERROR(DATEVALUE(TRIM('Base de Datos'!Y115)),"")))),"")</f>
        <v>45249</v>
      </c>
      <c r="AK119" s="74" t="n">
        <f aca="false">IF(ISNUMBER('Base de Datos'!Z115),'Base de Datos'!Z115,IF(TRIM('Base de Datos'!Z115)="","",IFERROR(IF(IFERROR(FIND("@",SUBSTITUTE(TRIM('Base de Datos'!Z115),",","@",LEN(TRIM('Base de Datos'!Z115))-LEN(SUBSTITUTE(TRIM('Base de Datos'!Z115),",","")))),0)&gt;IFERROR(FIND("@",SUBSTITUTE(TRIM('Base de Datos'!Z115),".","@",LEN(TRIM('Base de Datos'!Z115))-LEN(SUBSTITUTE(TRIM('Base de Datos'!Z115),".","")))),0),_xlfn.NUMBERVALUE(SUBSTITUTE(SUBSTITUTE(TRIM('Base de Datos'!Z115),".",""),",","."),".",","),_xlfn.NUMBERVALUE(SUBSTITUTE(TRIM('Base de Datos'!Z115),",",""),".",",")),"")))</f>
        <v>52938.42</v>
      </c>
    </row>
    <row r="120" customFormat="false" ht="13.5" hidden="false" customHeight="false" outlineLevel="0" collapsed="false">
      <c r="A120" s="75" t="n">
        <f aca="false">ROWS(A$13:A120)</f>
        <v>108</v>
      </c>
      <c r="B120" s="73" t="n">
        <f aca="false">IF(B119="","",IFERROR(SMALL($AH$10:$AH$409,COUNTIF($AH$10:$AH$409,"&lt;="&amp;B119)+1),""))</f>
        <v>45235</v>
      </c>
      <c r="C120" s="74" t="n">
        <f aca="false">IF(B120="","",INDEX($AI$10:$AI$409,MATCH(B120,$AH$10:$AH$409,0)))</f>
        <v>29.94</v>
      </c>
      <c r="D120" s="74" t="n">
        <f aca="false">IF(B120="","",IFERROR(INDEX($AK$10:$AK$409,MATCH(B120,$AJ$10:$AJ$409,0)),""))</f>
        <v>51258.24</v>
      </c>
      <c r="E120" s="76" t="n">
        <f aca="false">IF(AND(ISNUMBER(C120),ISNUMBER(C119)),C120/C119-1,"")</f>
        <v>-0.065251326881049</v>
      </c>
      <c r="F120" s="76" t="n">
        <f aca="false">IF(AND(ISNUMBER(D120),ISNUMBER(D119)),D120/D119-1,"")</f>
        <v>-0.000165604476821568</v>
      </c>
      <c r="G120" s="75" t="n">
        <f aca="false">IF(AND(ISNUMBER(E120),ISNUMBER(F120)),1,"")</f>
        <v>1</v>
      </c>
      <c r="H120" s="75" t="n">
        <f aca="false">IF(G120=1,COUNT(G120:G$412),"")</f>
        <v>152</v>
      </c>
      <c r="I120" s="75" t="n">
        <f aca="false">IF(G120=1,IF(H120&lt;='Beta Regresión'!$B$5,1,""),"")</f>
        <v>1</v>
      </c>
      <c r="J120" s="76" t="n">
        <f aca="false">IF(I120=1,E120,"")</f>
        <v>-0.065251326881049</v>
      </c>
      <c r="K120" s="76" t="n">
        <f aca="false">IF(I120=1,F120,"")</f>
        <v>-0.000165604476821568</v>
      </c>
      <c r="L120" s="75" t="n">
        <f aca="false">IF(I120=1,COUNT(I$13:I120),"")</f>
        <v>107</v>
      </c>
      <c r="M120" s="76" t="n">
        <f aca="false">IFERROR(INDEX($J$13:$J$412,MATCH(A120,$L$13:$L$412,0)),"")</f>
        <v>0.0183700734802938</v>
      </c>
      <c r="N120" s="76" t="n">
        <f aca="false">IFERROR(INDEX($K$13:$K$412,MATCH(A120,$L$13:$L$412,0)),"")</f>
        <v>0.0278366951342848</v>
      </c>
      <c r="O120" s="76" t="n">
        <f aca="false">IF(I120=1,E120,NA())</f>
        <v>-0.065251326881049</v>
      </c>
      <c r="P120" s="76" t="n">
        <f aca="false">IF(I120=1,F120,NA())</f>
        <v>-0.000165604476821568</v>
      </c>
      <c r="R120" s="75" t="n">
        <f aca="false">ROWS(R$13:R120)</f>
        <v>108</v>
      </c>
      <c r="S120" s="73" t="str">
        <f aca="false">IF(S119="","",IFERROR(SMALL($AD$10:$AD$509,COUNTIF($AD$10:$AD$509,"&lt;="&amp;S119)+1),""))</f>
        <v/>
      </c>
      <c r="T120" s="74" t="str">
        <f aca="false">IF(S120="","",INDEX($AE$10:$AE$509,MATCH(S120,$AD$10:$AD$509,0)))</f>
        <v/>
      </c>
      <c r="U120" s="74" t="str">
        <f aca="false">IF(S120="","",IFERROR(INDEX($AG$10:$AG$509,MATCH(S120,$AF$10:$AF$509,0)),""))</f>
        <v/>
      </c>
      <c r="V120" s="76" t="str">
        <f aca="false">IF(AND(ISNUMBER(T120),ISNUMBER(T119)),T120/T119-1,"")</f>
        <v/>
      </c>
      <c r="W120" s="76" t="str">
        <f aca="false">IF(AND(ISNUMBER(U120),ISNUMBER(U119)),U120/U119-1,"")</f>
        <v/>
      </c>
      <c r="X120" s="75" t="str">
        <f aca="false">IF(AND(ISNUMBER(V120),ISNUMBER(W120)),1,"")</f>
        <v/>
      </c>
      <c r="Y120" s="76" t="str">
        <f aca="false">IF(X120=1,V120,"")</f>
        <v/>
      </c>
      <c r="Z120" s="76" t="str">
        <f aca="false">IF(X120=1,W120,"")</f>
        <v/>
      </c>
      <c r="AA120" s="76" t="e">
        <f aca="false">IF(X120=1,V120,NA())</f>
        <v>#N/A</v>
      </c>
      <c r="AB120" s="76" t="e">
        <f aca="false">IF(X120=1,W120,NA())</f>
        <v>#N/A</v>
      </c>
      <c r="AD120" s="73" t="str">
        <f aca="false">IF(ISNUMBER(AE120),IF(ISNUMBER('Base de Datos'!A116),IF('Base de Datos'!A116&gt;20000,DATE(YEAR('Base de Datos'!A116),DAY('Base de Datos'!A116),MONTH('Base de Datos'!A116)),""),IF(TRIM('Base de Datos'!A116)="","",IFERROR(DATE(VALUE(RIGHT(TRIM('Base de Datos'!A116),4)),VALUE(LEFT(TRIM('Base de Datos'!A116),2)),VALUE(MID(TRIM('Base de Datos'!A116),4,2))),""))),"")</f>
        <v/>
      </c>
      <c r="AE120" s="74" t="str">
        <f aca="false">IF(ISNUMBER('Base de Datos'!B116),'Base de Datos'!B116,IF(TRIM('Base de Datos'!B116)="","",IFERROR(IF(IFERROR(FIND("@",SUBSTITUTE(TRIM('Base de Datos'!B116),",","@",LEN(TRIM('Base de Datos'!B116))-LEN(SUBSTITUTE(TRIM('Base de Datos'!B116),",","")))),0)&gt;IFERROR(FIND("@",SUBSTITUTE(TRIM('Base de Datos'!B116),".","@",LEN(TRIM('Base de Datos'!B116))-LEN(SUBSTITUTE(TRIM('Base de Datos'!B116),".","")))),0),_xlfn.NUMBERVALUE(SUBSTITUTE(SUBSTITUTE(TRIM('Base de Datos'!B116),".",""),",","."),".",","),_xlfn.NUMBERVALUE(SUBSTITUTE(TRIM('Base de Datos'!B116),",",""),".",",")),"")))</f>
        <v/>
      </c>
      <c r="AF120" s="73" t="str">
        <f aca="false">IF(ISNUMBER(AG120),IF(ISNUMBER('Base de Datos'!I116),IF('Base de Datos'!I116&gt;20000,INT('Base de Datos'!I116),""),IF(TRIM('Base de Datos'!I116)="","",IFERROR(DATE(VALUE(RIGHT(TRIM('Base de Datos'!I116),4)),VALUE(MID(TRIM('Base de Datos'!I116),4,2)),VALUE(LEFT(TRIM('Base de Datos'!I116),2))),IFERROR(DATEVALUE(TRIM('Base de Datos'!I116)),"")))),"")</f>
        <v/>
      </c>
      <c r="AG120" s="74" t="str">
        <f aca="false">IF(ISNUMBER('Base de Datos'!J116),'Base de Datos'!J116,IF(TRIM('Base de Datos'!J116)="","",IFERROR(IF(IFERROR(FIND("@",SUBSTITUTE(TRIM('Base de Datos'!J116),",","@",LEN(TRIM('Base de Datos'!J116))-LEN(SUBSTITUTE(TRIM('Base de Datos'!J116),",","")))),0)&gt;IFERROR(FIND("@",SUBSTITUTE(TRIM('Base de Datos'!J116),".","@",LEN(TRIM('Base de Datos'!J116))-LEN(SUBSTITUTE(TRIM('Base de Datos'!J116),".","")))),0),_xlfn.NUMBERVALUE(SUBSTITUTE(SUBSTITUTE(TRIM('Base de Datos'!J116),".",""),",","."),".",","),_xlfn.NUMBERVALUE(SUBSTITUTE(TRIM('Base de Datos'!J116),",",""),".",",")),"")))</f>
        <v/>
      </c>
      <c r="AH120" s="73" t="n">
        <f aca="false">IF(ISNUMBER(AI120),IF(ISNUMBER('Base de Datos'!Q116),IF('Base de Datos'!Q116&gt;20000,DATE(YEAR('Base de Datos'!Q116),DAY('Base de Datos'!Q116),MONTH('Base de Datos'!Q116)),""),IF(TRIM('Base de Datos'!Q116)="","",IFERROR(DATE(VALUE(RIGHT(TRIM('Base de Datos'!Q116),4)),VALUE(LEFT(TRIM('Base de Datos'!Q116),2)),VALUE(MID(TRIM('Base de Datos'!Q116),4,2))),""))),"")</f>
        <v>45256</v>
      </c>
      <c r="AI120" s="74" t="n">
        <f aca="false">IF(ISNUMBER('Base de Datos'!R116),'Base de Datos'!R116,IF(TRIM('Base de Datos'!R116)="","",IFERROR(IF(IFERROR(FIND("@",SUBSTITUTE(TRIM('Base de Datos'!R116),",","@",LEN(TRIM('Base de Datos'!R116))-LEN(SUBSTITUTE(TRIM('Base de Datos'!R116),",","")))),0)&gt;IFERROR(FIND("@",SUBSTITUTE(TRIM('Base de Datos'!R116),".","@",LEN(TRIM('Base de Datos'!R116))-LEN(SUBSTITUTE(TRIM('Base de Datos'!R116),".","")))),0),_xlfn.NUMBERVALUE(SUBSTITUTE(SUBSTITUTE(TRIM('Base de Datos'!R116),".",""),",","."),".",","),_xlfn.NUMBERVALUE(SUBSTITUTE(TRIM('Base de Datos'!R116),",",""),".",",")),"")))</f>
        <v>29.4</v>
      </c>
      <c r="AJ120" s="73" t="n">
        <f aca="false">IF(ISNUMBER(AK120),IF(ISNUMBER('Base de Datos'!Y116),IF('Base de Datos'!Y116&gt;20000,INT('Base de Datos'!Y116),""),IF(TRIM('Base de Datos'!Y116)="","",IFERROR(DATE(VALUE(RIGHT(TRIM('Base de Datos'!Y116),4)),VALUE(MID(TRIM('Base de Datos'!Y116),4,2)),VALUE(LEFT(TRIM('Base de Datos'!Y116),2))),IFERROR(DATEVALUE(TRIM('Base de Datos'!Y116)),"")))),"")</f>
        <v>45256</v>
      </c>
      <c r="AK120" s="74" t="n">
        <f aca="false">IF(ISNUMBER('Base de Datos'!Z116),'Base de Datos'!Z116,IF(TRIM('Base de Datos'!Z116)="","",IFERROR(IF(IFERROR(FIND("@",SUBSTITUTE(TRIM('Base de Datos'!Z116),",","@",LEN(TRIM('Base de Datos'!Z116))-LEN(SUBSTITUTE(TRIM('Base de Datos'!Z116),",","")))),0)&gt;IFERROR(FIND("@",SUBSTITUTE(TRIM('Base de Datos'!Z116),".","@",LEN(TRIM('Base de Datos'!Z116))-LEN(SUBSTITUTE(TRIM('Base de Datos'!Z116),".","")))),0),_xlfn.NUMBERVALUE(SUBSTITUTE(SUBSTITUTE(TRIM('Base de Datos'!Z116),".",""),",","."),".",","),_xlfn.NUMBERVALUE(SUBSTITUTE(TRIM('Base de Datos'!Z116),",",""),".",",")),"")))</f>
        <v>53901.43</v>
      </c>
    </row>
    <row r="121" customFormat="false" ht="13.5" hidden="false" customHeight="false" outlineLevel="0" collapsed="false">
      <c r="A121" s="75" t="n">
        <f aca="false">ROWS(A$13:A121)</f>
        <v>109</v>
      </c>
      <c r="B121" s="73" t="n">
        <f aca="false">IF(B120="","",IFERROR(SMALL($AH$10:$AH$409,COUNTIF($AH$10:$AH$409,"&lt;="&amp;B120)+1),""))</f>
        <v>45242</v>
      </c>
      <c r="C121" s="74" t="n">
        <f aca="false">IF(B121="","",INDEX($AI$10:$AI$409,MATCH(B121,$AH$10:$AH$409,0)))</f>
        <v>30.49</v>
      </c>
      <c r="D121" s="74" t="n">
        <f aca="false">IF(B121="","",IFERROR(INDEX($AK$10:$AK$409,MATCH(B121,$AJ$10:$AJ$409,0)),""))</f>
        <v>52685.1</v>
      </c>
      <c r="E121" s="76" t="n">
        <f aca="false">IF(AND(ISNUMBER(C121),ISNUMBER(C120)),C121/C120-1,"")</f>
        <v>0.0183700734802938</v>
      </c>
      <c r="F121" s="76" t="n">
        <f aca="false">IF(AND(ISNUMBER(D121),ISNUMBER(D120)),D121/D120-1,"")</f>
        <v>0.0278366951342848</v>
      </c>
      <c r="G121" s="75" t="n">
        <f aca="false">IF(AND(ISNUMBER(E121),ISNUMBER(F121)),1,"")</f>
        <v>1</v>
      </c>
      <c r="H121" s="75" t="n">
        <f aca="false">IF(G121=1,COUNT(G121:G$412),"")</f>
        <v>151</v>
      </c>
      <c r="I121" s="75" t="n">
        <f aca="false">IF(G121=1,IF(H121&lt;='Beta Regresión'!$B$5,1,""),"")</f>
        <v>1</v>
      </c>
      <c r="J121" s="76" t="n">
        <f aca="false">IF(I121=1,E121,"")</f>
        <v>0.0183700734802938</v>
      </c>
      <c r="K121" s="76" t="n">
        <f aca="false">IF(I121=1,F121,"")</f>
        <v>0.0278366951342848</v>
      </c>
      <c r="L121" s="75" t="n">
        <f aca="false">IF(I121=1,COUNT(I$13:I121),"")</f>
        <v>108</v>
      </c>
      <c r="M121" s="76" t="n">
        <f aca="false">IFERROR(INDEX($J$13:$J$412,MATCH(A121,$L$13:$L$412,0)),"")</f>
        <v>-0.00623155132830433</v>
      </c>
      <c r="N121" s="76" t="n">
        <f aca="false">IFERROR(INDEX($K$13:$K$412,MATCH(A121,$L$13:$L$412,0)),"")</f>
        <v>0.00480819055102866</v>
      </c>
      <c r="O121" s="76" t="n">
        <f aca="false">IF(I121=1,E121,NA())</f>
        <v>0.0183700734802938</v>
      </c>
      <c r="P121" s="76" t="n">
        <f aca="false">IF(I121=1,F121,NA())</f>
        <v>0.0278366951342848</v>
      </c>
      <c r="R121" s="75" t="n">
        <f aca="false">ROWS(R$13:R121)</f>
        <v>109</v>
      </c>
      <c r="S121" s="73" t="str">
        <f aca="false">IF(S120="","",IFERROR(SMALL($AD$10:$AD$509,COUNTIF($AD$10:$AD$509,"&lt;="&amp;S120)+1),""))</f>
        <v/>
      </c>
      <c r="T121" s="74" t="str">
        <f aca="false">IF(S121="","",INDEX($AE$10:$AE$509,MATCH(S121,$AD$10:$AD$509,0)))</f>
        <v/>
      </c>
      <c r="U121" s="74" t="str">
        <f aca="false">IF(S121="","",IFERROR(INDEX($AG$10:$AG$509,MATCH(S121,$AF$10:$AF$509,0)),""))</f>
        <v/>
      </c>
      <c r="V121" s="76" t="str">
        <f aca="false">IF(AND(ISNUMBER(T121),ISNUMBER(T120)),T121/T120-1,"")</f>
        <v/>
      </c>
      <c r="W121" s="76" t="str">
        <f aca="false">IF(AND(ISNUMBER(U121),ISNUMBER(U120)),U121/U120-1,"")</f>
        <v/>
      </c>
      <c r="X121" s="75" t="str">
        <f aca="false">IF(AND(ISNUMBER(V121),ISNUMBER(W121)),1,"")</f>
        <v/>
      </c>
      <c r="Y121" s="76" t="str">
        <f aca="false">IF(X121=1,V121,"")</f>
        <v/>
      </c>
      <c r="Z121" s="76" t="str">
        <f aca="false">IF(X121=1,W121,"")</f>
        <v/>
      </c>
      <c r="AA121" s="76" t="e">
        <f aca="false">IF(X121=1,V121,NA())</f>
        <v>#N/A</v>
      </c>
      <c r="AB121" s="76" t="e">
        <f aca="false">IF(X121=1,W121,NA())</f>
        <v>#N/A</v>
      </c>
      <c r="AD121" s="73" t="str">
        <f aca="false">IF(ISNUMBER(AE121),IF(ISNUMBER('Base de Datos'!A117),IF('Base de Datos'!A117&gt;20000,DATE(YEAR('Base de Datos'!A117),DAY('Base de Datos'!A117),MONTH('Base de Datos'!A117)),""),IF(TRIM('Base de Datos'!A117)="","",IFERROR(DATE(VALUE(RIGHT(TRIM('Base de Datos'!A117),4)),VALUE(LEFT(TRIM('Base de Datos'!A117),2)),VALUE(MID(TRIM('Base de Datos'!A117),4,2))),""))),"")</f>
        <v/>
      </c>
      <c r="AE121" s="74" t="str">
        <f aca="false">IF(ISNUMBER('Base de Datos'!B117),'Base de Datos'!B117,IF(TRIM('Base de Datos'!B117)="","",IFERROR(IF(IFERROR(FIND("@",SUBSTITUTE(TRIM('Base de Datos'!B117),",","@",LEN(TRIM('Base de Datos'!B117))-LEN(SUBSTITUTE(TRIM('Base de Datos'!B117),",","")))),0)&gt;IFERROR(FIND("@",SUBSTITUTE(TRIM('Base de Datos'!B117),".","@",LEN(TRIM('Base de Datos'!B117))-LEN(SUBSTITUTE(TRIM('Base de Datos'!B117),".","")))),0),_xlfn.NUMBERVALUE(SUBSTITUTE(SUBSTITUTE(TRIM('Base de Datos'!B117),".",""),",","."),".",","),_xlfn.NUMBERVALUE(SUBSTITUTE(TRIM('Base de Datos'!B117),",",""),".",",")),"")))</f>
        <v/>
      </c>
      <c r="AF121" s="73" t="str">
        <f aca="false">IF(ISNUMBER(AG121),IF(ISNUMBER('Base de Datos'!I117),IF('Base de Datos'!I117&gt;20000,INT('Base de Datos'!I117),""),IF(TRIM('Base de Datos'!I117)="","",IFERROR(DATE(VALUE(RIGHT(TRIM('Base de Datos'!I117),4)),VALUE(MID(TRIM('Base de Datos'!I117),4,2)),VALUE(LEFT(TRIM('Base de Datos'!I117),2))),IFERROR(DATEVALUE(TRIM('Base de Datos'!I117)),"")))),"")</f>
        <v/>
      </c>
      <c r="AG121" s="74" t="str">
        <f aca="false">IF(ISNUMBER('Base de Datos'!J117),'Base de Datos'!J117,IF(TRIM('Base de Datos'!J117)="","",IFERROR(IF(IFERROR(FIND("@",SUBSTITUTE(TRIM('Base de Datos'!J117),",","@",LEN(TRIM('Base de Datos'!J117))-LEN(SUBSTITUTE(TRIM('Base de Datos'!J117),",","")))),0)&gt;IFERROR(FIND("@",SUBSTITUTE(TRIM('Base de Datos'!J117),".","@",LEN(TRIM('Base de Datos'!J117))-LEN(SUBSTITUTE(TRIM('Base de Datos'!J117),".","")))),0),_xlfn.NUMBERVALUE(SUBSTITUTE(SUBSTITUTE(TRIM('Base de Datos'!J117),".",""),",","."),".",","),_xlfn.NUMBERVALUE(SUBSTITUTE(TRIM('Base de Datos'!J117),",",""),".",",")),"")))</f>
        <v/>
      </c>
      <c r="AH121" s="73" t="n">
        <f aca="false">IF(ISNUMBER(AI121),IF(ISNUMBER('Base de Datos'!Q117),IF('Base de Datos'!Q117&gt;20000,DATE(YEAR('Base de Datos'!Q117),DAY('Base de Datos'!Q117),MONTH('Base de Datos'!Q117)),""),IF(TRIM('Base de Datos'!Q117)="","",IFERROR(DATE(VALUE(RIGHT(TRIM('Base de Datos'!Q117),4)),VALUE(LEFT(TRIM('Base de Datos'!Q117),2)),VALUE(MID(TRIM('Base de Datos'!Q117),4,2))),""))),"")</f>
        <v>45263</v>
      </c>
      <c r="AI121" s="74" t="n">
        <f aca="false">IF(ISNUMBER('Base de Datos'!R117),'Base de Datos'!R117,IF(TRIM('Base de Datos'!R117)="","",IFERROR(IF(IFERROR(FIND("@",SUBSTITUTE(TRIM('Base de Datos'!R117),",","@",LEN(TRIM('Base de Datos'!R117))-LEN(SUBSTITUTE(TRIM('Base de Datos'!R117),",","")))),0)&gt;IFERROR(FIND("@",SUBSTITUTE(TRIM('Base de Datos'!R117),".","@",LEN(TRIM('Base de Datos'!R117))-LEN(SUBSTITUTE(TRIM('Base de Datos'!R117),".","")))),0),_xlfn.NUMBERVALUE(SUBSTITUTE(SUBSTITUTE(TRIM('Base de Datos'!R117),".",""),",","."),".",","),_xlfn.NUMBERVALUE(SUBSTITUTE(TRIM('Base de Datos'!R117),",",""),".",",")),"")))</f>
        <v>31.97</v>
      </c>
      <c r="AJ121" s="73" t="n">
        <f aca="false">IF(ISNUMBER(AK121),IF(ISNUMBER('Base de Datos'!Y117),IF('Base de Datos'!Y117&gt;20000,INT('Base de Datos'!Y117),""),IF(TRIM('Base de Datos'!Y117)="","",IFERROR(DATE(VALUE(RIGHT(TRIM('Base de Datos'!Y117),4)),VALUE(MID(TRIM('Base de Datos'!Y117),4,2)),VALUE(LEFT(TRIM('Base de Datos'!Y117),2))),IFERROR(DATEVALUE(TRIM('Base de Datos'!Y117)),"")))),"")</f>
        <v>45263</v>
      </c>
      <c r="AK121" s="74" t="n">
        <f aca="false">IF(ISNUMBER('Base de Datos'!Z117),'Base de Datos'!Z117,IF(TRIM('Base de Datos'!Z117)="","",IFERROR(IF(IFERROR(FIND("@",SUBSTITUTE(TRIM('Base de Datos'!Z117),",","@",LEN(TRIM('Base de Datos'!Z117))-LEN(SUBSTITUTE(TRIM('Base de Datos'!Z117),",","")))),0)&gt;IFERROR(FIND("@",SUBSTITUTE(TRIM('Base de Datos'!Z117),".","@",LEN(TRIM('Base de Datos'!Z117))-LEN(SUBSTITUTE(TRIM('Base de Datos'!Z117),".","")))),0),_xlfn.NUMBERVALUE(SUBSTITUTE(SUBSTITUTE(TRIM('Base de Datos'!Z117),".",""),",","."),".",","),_xlfn.NUMBERVALUE(SUBSTITUTE(TRIM('Base de Datos'!Z117),",",""),".",",")),"")))</f>
        <v>54393.01</v>
      </c>
    </row>
    <row r="122" customFormat="false" ht="13.5" hidden="false" customHeight="false" outlineLevel="0" collapsed="false">
      <c r="A122" s="75" t="n">
        <f aca="false">ROWS(A$13:A122)</f>
        <v>110</v>
      </c>
      <c r="B122" s="73" t="n">
        <f aca="false">IF(B121="","",IFERROR(SMALL($AH$10:$AH$409,COUNTIF($AH$10:$AH$409,"&lt;="&amp;B121)+1),""))</f>
        <v>45249</v>
      </c>
      <c r="C122" s="74" t="n">
        <f aca="false">IF(B122="","",INDEX($AI$10:$AI$409,MATCH(B122,$AH$10:$AH$409,0)))</f>
        <v>30.3</v>
      </c>
      <c r="D122" s="74" t="n">
        <f aca="false">IF(B122="","",IFERROR(INDEX($AK$10:$AK$409,MATCH(B122,$AJ$10:$AJ$409,0)),""))</f>
        <v>52938.42</v>
      </c>
      <c r="E122" s="76" t="n">
        <f aca="false">IF(AND(ISNUMBER(C122),ISNUMBER(C121)),C122/C121-1,"")</f>
        <v>-0.00623155132830433</v>
      </c>
      <c r="F122" s="76" t="n">
        <f aca="false">IF(AND(ISNUMBER(D122),ISNUMBER(D121)),D122/D121-1,"")</f>
        <v>0.00480819055102866</v>
      </c>
      <c r="G122" s="75" t="n">
        <f aca="false">IF(AND(ISNUMBER(E122),ISNUMBER(F122)),1,"")</f>
        <v>1</v>
      </c>
      <c r="H122" s="75" t="n">
        <f aca="false">IF(G122=1,COUNT(G122:G$412),"")</f>
        <v>150</v>
      </c>
      <c r="I122" s="75" t="n">
        <f aca="false">IF(G122=1,IF(H122&lt;='Beta Regresión'!$B$5,1,""),"")</f>
        <v>1</v>
      </c>
      <c r="J122" s="76" t="n">
        <f aca="false">IF(I122=1,E122,"")</f>
        <v>-0.00623155132830433</v>
      </c>
      <c r="K122" s="76" t="n">
        <f aca="false">IF(I122=1,F122,"")</f>
        <v>0.00480819055102866</v>
      </c>
      <c r="L122" s="75" t="n">
        <f aca="false">IF(I122=1,COUNT(I$13:I122),"")</f>
        <v>109</v>
      </c>
      <c r="M122" s="76" t="n">
        <f aca="false">IFERROR(INDEX($J$13:$J$412,MATCH(A122,$L$13:$L$412,0)),"")</f>
        <v>-0.0297029702970297</v>
      </c>
      <c r="N122" s="76" t="n">
        <f aca="false">IFERROR(INDEX($K$13:$K$412,MATCH(A122,$L$13:$L$412,0)),"")</f>
        <v>0.0181911360407054</v>
      </c>
      <c r="O122" s="76" t="n">
        <f aca="false">IF(I122=1,E122,NA())</f>
        <v>-0.00623155132830433</v>
      </c>
      <c r="P122" s="76" t="n">
        <f aca="false">IF(I122=1,F122,NA())</f>
        <v>0.00480819055102866</v>
      </c>
      <c r="R122" s="75" t="n">
        <f aca="false">ROWS(R$13:R122)</f>
        <v>110</v>
      </c>
      <c r="S122" s="73" t="str">
        <f aca="false">IF(S121="","",IFERROR(SMALL($AD$10:$AD$509,COUNTIF($AD$10:$AD$509,"&lt;="&amp;S121)+1),""))</f>
        <v/>
      </c>
      <c r="T122" s="74" t="str">
        <f aca="false">IF(S122="","",INDEX($AE$10:$AE$509,MATCH(S122,$AD$10:$AD$509,0)))</f>
        <v/>
      </c>
      <c r="U122" s="74" t="str">
        <f aca="false">IF(S122="","",IFERROR(INDEX($AG$10:$AG$509,MATCH(S122,$AF$10:$AF$509,0)),""))</f>
        <v/>
      </c>
      <c r="V122" s="76" t="str">
        <f aca="false">IF(AND(ISNUMBER(T122),ISNUMBER(T121)),T122/T121-1,"")</f>
        <v/>
      </c>
      <c r="W122" s="76" t="str">
        <f aca="false">IF(AND(ISNUMBER(U122),ISNUMBER(U121)),U122/U121-1,"")</f>
        <v/>
      </c>
      <c r="X122" s="75" t="str">
        <f aca="false">IF(AND(ISNUMBER(V122),ISNUMBER(W122)),1,"")</f>
        <v/>
      </c>
      <c r="Y122" s="76" t="str">
        <f aca="false">IF(X122=1,V122,"")</f>
        <v/>
      </c>
      <c r="Z122" s="76" t="str">
        <f aca="false">IF(X122=1,W122,"")</f>
        <v/>
      </c>
      <c r="AA122" s="76" t="e">
        <f aca="false">IF(X122=1,V122,NA())</f>
        <v>#N/A</v>
      </c>
      <c r="AB122" s="76" t="e">
        <f aca="false">IF(X122=1,W122,NA())</f>
        <v>#N/A</v>
      </c>
      <c r="AD122" s="73" t="str">
        <f aca="false">IF(ISNUMBER(AE122),IF(ISNUMBER('Base de Datos'!A118),IF('Base de Datos'!A118&gt;20000,DATE(YEAR('Base de Datos'!A118),DAY('Base de Datos'!A118),MONTH('Base de Datos'!A118)),""),IF(TRIM('Base de Datos'!A118)="","",IFERROR(DATE(VALUE(RIGHT(TRIM('Base de Datos'!A118),4)),VALUE(LEFT(TRIM('Base de Datos'!A118),2)),VALUE(MID(TRIM('Base de Datos'!A118),4,2))),""))),"")</f>
        <v/>
      </c>
      <c r="AE122" s="74" t="str">
        <f aca="false">IF(ISNUMBER('Base de Datos'!B118),'Base de Datos'!B118,IF(TRIM('Base de Datos'!B118)="","",IFERROR(IF(IFERROR(FIND("@",SUBSTITUTE(TRIM('Base de Datos'!B118),",","@",LEN(TRIM('Base de Datos'!B118))-LEN(SUBSTITUTE(TRIM('Base de Datos'!B118),",","")))),0)&gt;IFERROR(FIND("@",SUBSTITUTE(TRIM('Base de Datos'!B118),".","@",LEN(TRIM('Base de Datos'!B118))-LEN(SUBSTITUTE(TRIM('Base de Datos'!B118),".","")))),0),_xlfn.NUMBERVALUE(SUBSTITUTE(SUBSTITUTE(TRIM('Base de Datos'!B118),".",""),",","."),".",","),_xlfn.NUMBERVALUE(SUBSTITUTE(TRIM('Base de Datos'!B118),",",""),".",",")),"")))</f>
        <v/>
      </c>
      <c r="AF122" s="73" t="str">
        <f aca="false">IF(ISNUMBER(AG122),IF(ISNUMBER('Base de Datos'!I118),IF('Base de Datos'!I118&gt;20000,INT('Base de Datos'!I118),""),IF(TRIM('Base de Datos'!I118)="","",IFERROR(DATE(VALUE(RIGHT(TRIM('Base de Datos'!I118),4)),VALUE(MID(TRIM('Base de Datos'!I118),4,2)),VALUE(LEFT(TRIM('Base de Datos'!I118),2))),IFERROR(DATEVALUE(TRIM('Base de Datos'!I118)),"")))),"")</f>
        <v/>
      </c>
      <c r="AG122" s="74" t="str">
        <f aca="false">IF(ISNUMBER('Base de Datos'!J118),'Base de Datos'!J118,IF(TRIM('Base de Datos'!J118)="","",IFERROR(IF(IFERROR(FIND("@",SUBSTITUTE(TRIM('Base de Datos'!J118),",","@",LEN(TRIM('Base de Datos'!J118))-LEN(SUBSTITUTE(TRIM('Base de Datos'!J118),",","")))),0)&gt;IFERROR(FIND("@",SUBSTITUTE(TRIM('Base de Datos'!J118),".","@",LEN(TRIM('Base de Datos'!J118))-LEN(SUBSTITUTE(TRIM('Base de Datos'!J118),".","")))),0),_xlfn.NUMBERVALUE(SUBSTITUTE(SUBSTITUTE(TRIM('Base de Datos'!J118),".",""),",","."),".",","),_xlfn.NUMBERVALUE(SUBSTITUTE(TRIM('Base de Datos'!J118),",",""),".",",")),"")))</f>
        <v/>
      </c>
      <c r="AH122" s="73" t="n">
        <f aca="false">IF(ISNUMBER(AI122),IF(ISNUMBER('Base de Datos'!Q118),IF('Base de Datos'!Q118&gt;20000,DATE(YEAR('Base de Datos'!Q118),DAY('Base de Datos'!Q118),MONTH('Base de Datos'!Q118)),""),IF(TRIM('Base de Datos'!Q118)="","",IFERROR(DATE(VALUE(RIGHT(TRIM('Base de Datos'!Q118),4)),VALUE(LEFT(TRIM('Base de Datos'!Q118),2)),VALUE(MID(TRIM('Base de Datos'!Q118),4,2))),""))),"")</f>
        <v>45270</v>
      </c>
      <c r="AI122" s="74" t="n">
        <f aca="false">IF(ISNUMBER('Base de Datos'!R118),'Base de Datos'!R118,IF(TRIM('Base de Datos'!R118)="","",IFERROR(IF(IFERROR(FIND("@",SUBSTITUTE(TRIM('Base de Datos'!R118),",","@",LEN(TRIM('Base de Datos'!R118))-LEN(SUBSTITUTE(TRIM('Base de Datos'!R118),",","")))),0)&gt;IFERROR(FIND("@",SUBSTITUTE(TRIM('Base de Datos'!R118),".","@",LEN(TRIM('Base de Datos'!R118))-LEN(SUBSTITUTE(TRIM('Base de Datos'!R118),".","")))),0),_xlfn.NUMBERVALUE(SUBSTITUTE(SUBSTITUTE(TRIM('Base de Datos'!R118),".",""),",","."),".",","),_xlfn.NUMBERVALUE(SUBSTITUTE(TRIM('Base de Datos'!R118),",",""),".",",")),"")))</f>
        <v>33</v>
      </c>
      <c r="AJ122" s="73" t="n">
        <f aca="false">IF(ISNUMBER(AK122),IF(ISNUMBER('Base de Datos'!Y118),IF('Base de Datos'!Y118&gt;20000,INT('Base de Datos'!Y118),""),IF(TRIM('Base de Datos'!Y118)="","",IFERROR(DATE(VALUE(RIGHT(TRIM('Base de Datos'!Y118),4)),VALUE(MID(TRIM('Base de Datos'!Y118),4,2)),VALUE(LEFT(TRIM('Base de Datos'!Y118),2))),IFERROR(DATEVALUE(TRIM('Base de Datos'!Y118)),"")))),"")</f>
        <v>45270</v>
      </c>
      <c r="AK122" s="74" t="n">
        <f aca="false">IF(ISNUMBER('Base de Datos'!Z118),'Base de Datos'!Z118,IF(TRIM('Base de Datos'!Z118)="","",IFERROR(IF(IFERROR(FIND("@",SUBSTITUTE(TRIM('Base de Datos'!Z118),",","@",LEN(TRIM('Base de Datos'!Z118))-LEN(SUBSTITUTE(TRIM('Base de Datos'!Z118),",","")))),0)&gt;IFERROR(FIND("@",SUBSTITUTE(TRIM('Base de Datos'!Z118),".","@",LEN(TRIM('Base de Datos'!Z118))-LEN(SUBSTITUTE(TRIM('Base de Datos'!Z118),".","")))),0),_xlfn.NUMBERVALUE(SUBSTITUTE(SUBSTITUTE(TRIM('Base de Datos'!Z118),".",""),",","."),".",","),_xlfn.NUMBERVALUE(SUBSTITUTE(TRIM('Base de Datos'!Z118),",",""),".",",")),"")))</f>
        <v>57130.08</v>
      </c>
    </row>
    <row r="123" customFormat="false" ht="13.5" hidden="false" customHeight="false" outlineLevel="0" collapsed="false">
      <c r="A123" s="75" t="n">
        <f aca="false">ROWS(A$13:A123)</f>
        <v>111</v>
      </c>
      <c r="B123" s="73" t="n">
        <f aca="false">IF(B122="","",IFERROR(SMALL($AH$10:$AH$409,COUNTIF($AH$10:$AH$409,"&lt;="&amp;B122)+1),""))</f>
        <v>45256</v>
      </c>
      <c r="C123" s="74" t="n">
        <f aca="false">IF(B123="","",INDEX($AI$10:$AI$409,MATCH(B123,$AH$10:$AH$409,0)))</f>
        <v>29.4</v>
      </c>
      <c r="D123" s="74" t="n">
        <f aca="false">IF(B123="","",IFERROR(INDEX($AK$10:$AK$409,MATCH(B123,$AJ$10:$AJ$409,0)),""))</f>
        <v>53901.43</v>
      </c>
      <c r="E123" s="76" t="n">
        <f aca="false">IF(AND(ISNUMBER(C123),ISNUMBER(C122)),C123/C122-1,"")</f>
        <v>-0.0297029702970297</v>
      </c>
      <c r="F123" s="76" t="n">
        <f aca="false">IF(AND(ISNUMBER(D123),ISNUMBER(D122)),D123/D122-1,"")</f>
        <v>0.0181911360407054</v>
      </c>
      <c r="G123" s="75" t="n">
        <f aca="false">IF(AND(ISNUMBER(E123),ISNUMBER(F123)),1,"")</f>
        <v>1</v>
      </c>
      <c r="H123" s="75" t="n">
        <f aca="false">IF(G123=1,COUNT(G123:G$412),"")</f>
        <v>149</v>
      </c>
      <c r="I123" s="75" t="n">
        <f aca="false">IF(G123=1,IF(H123&lt;='Beta Regresión'!$B$5,1,""),"")</f>
        <v>1</v>
      </c>
      <c r="J123" s="76" t="n">
        <f aca="false">IF(I123=1,E123,"")</f>
        <v>-0.0297029702970297</v>
      </c>
      <c r="K123" s="76" t="n">
        <f aca="false">IF(I123=1,F123,"")</f>
        <v>0.0181911360407054</v>
      </c>
      <c r="L123" s="75" t="n">
        <f aca="false">IF(I123=1,COUNT(I$13:I123),"")</f>
        <v>110</v>
      </c>
      <c r="M123" s="76" t="n">
        <f aca="false">IFERROR(INDEX($J$13:$J$412,MATCH(A123,$L$13:$L$412,0)),"")</f>
        <v>0.0874149659863945</v>
      </c>
      <c r="N123" s="76" t="n">
        <f aca="false">IFERROR(INDEX($K$13:$K$412,MATCH(A123,$L$13:$L$412,0)),"")</f>
        <v>0.0091199806758373</v>
      </c>
      <c r="O123" s="76" t="n">
        <f aca="false">IF(I123=1,E123,NA())</f>
        <v>-0.0297029702970297</v>
      </c>
      <c r="P123" s="76" t="n">
        <f aca="false">IF(I123=1,F123,NA())</f>
        <v>0.0181911360407054</v>
      </c>
      <c r="R123" s="75" t="n">
        <f aca="false">ROWS(R$13:R123)</f>
        <v>111</v>
      </c>
      <c r="S123" s="73" t="str">
        <f aca="false">IF(S122="","",IFERROR(SMALL($AD$10:$AD$509,COUNTIF($AD$10:$AD$509,"&lt;="&amp;S122)+1),""))</f>
        <v/>
      </c>
      <c r="T123" s="74" t="str">
        <f aca="false">IF(S123="","",INDEX($AE$10:$AE$509,MATCH(S123,$AD$10:$AD$509,0)))</f>
        <v/>
      </c>
      <c r="U123" s="74" t="str">
        <f aca="false">IF(S123="","",IFERROR(INDEX($AG$10:$AG$509,MATCH(S123,$AF$10:$AF$509,0)),""))</f>
        <v/>
      </c>
      <c r="V123" s="76" t="str">
        <f aca="false">IF(AND(ISNUMBER(T123),ISNUMBER(T122)),T123/T122-1,"")</f>
        <v/>
      </c>
      <c r="W123" s="76" t="str">
        <f aca="false">IF(AND(ISNUMBER(U123),ISNUMBER(U122)),U123/U122-1,"")</f>
        <v/>
      </c>
      <c r="X123" s="75" t="str">
        <f aca="false">IF(AND(ISNUMBER(V123),ISNUMBER(W123)),1,"")</f>
        <v/>
      </c>
      <c r="Y123" s="76" t="str">
        <f aca="false">IF(X123=1,V123,"")</f>
        <v/>
      </c>
      <c r="Z123" s="76" t="str">
        <f aca="false">IF(X123=1,W123,"")</f>
        <v/>
      </c>
      <c r="AA123" s="76" t="e">
        <f aca="false">IF(X123=1,V123,NA())</f>
        <v>#N/A</v>
      </c>
      <c r="AB123" s="76" t="e">
        <f aca="false">IF(X123=1,W123,NA())</f>
        <v>#N/A</v>
      </c>
      <c r="AD123" s="73" t="str">
        <f aca="false">IF(ISNUMBER(AE123),IF(ISNUMBER('Base de Datos'!A119),IF('Base de Datos'!A119&gt;20000,DATE(YEAR('Base de Datos'!A119),DAY('Base de Datos'!A119),MONTH('Base de Datos'!A119)),""),IF(TRIM('Base de Datos'!A119)="","",IFERROR(DATE(VALUE(RIGHT(TRIM('Base de Datos'!A119),4)),VALUE(LEFT(TRIM('Base de Datos'!A119),2)),VALUE(MID(TRIM('Base de Datos'!A119),4,2))),""))),"")</f>
        <v/>
      </c>
      <c r="AE123" s="74" t="str">
        <f aca="false">IF(ISNUMBER('Base de Datos'!B119),'Base de Datos'!B119,IF(TRIM('Base de Datos'!B119)="","",IFERROR(IF(IFERROR(FIND("@",SUBSTITUTE(TRIM('Base de Datos'!B119),",","@",LEN(TRIM('Base de Datos'!B119))-LEN(SUBSTITUTE(TRIM('Base de Datos'!B119),",","")))),0)&gt;IFERROR(FIND("@",SUBSTITUTE(TRIM('Base de Datos'!B119),".","@",LEN(TRIM('Base de Datos'!B119))-LEN(SUBSTITUTE(TRIM('Base de Datos'!B119),".","")))),0),_xlfn.NUMBERVALUE(SUBSTITUTE(SUBSTITUTE(TRIM('Base de Datos'!B119),".",""),",","."),".",","),_xlfn.NUMBERVALUE(SUBSTITUTE(TRIM('Base de Datos'!B119),",",""),".",",")),"")))</f>
        <v/>
      </c>
      <c r="AF123" s="73" t="str">
        <f aca="false">IF(ISNUMBER(AG123),IF(ISNUMBER('Base de Datos'!I119),IF('Base de Datos'!I119&gt;20000,INT('Base de Datos'!I119),""),IF(TRIM('Base de Datos'!I119)="","",IFERROR(DATE(VALUE(RIGHT(TRIM('Base de Datos'!I119),4)),VALUE(MID(TRIM('Base de Datos'!I119),4,2)),VALUE(LEFT(TRIM('Base de Datos'!I119),2))),IFERROR(DATEVALUE(TRIM('Base de Datos'!I119)),"")))),"")</f>
        <v/>
      </c>
      <c r="AG123" s="74" t="str">
        <f aca="false">IF(ISNUMBER('Base de Datos'!J119),'Base de Datos'!J119,IF(TRIM('Base de Datos'!J119)="","",IFERROR(IF(IFERROR(FIND("@",SUBSTITUTE(TRIM('Base de Datos'!J119),",","@",LEN(TRIM('Base de Datos'!J119))-LEN(SUBSTITUTE(TRIM('Base de Datos'!J119),",","")))),0)&gt;IFERROR(FIND("@",SUBSTITUTE(TRIM('Base de Datos'!J119),".","@",LEN(TRIM('Base de Datos'!J119))-LEN(SUBSTITUTE(TRIM('Base de Datos'!J119),".","")))),0),_xlfn.NUMBERVALUE(SUBSTITUTE(SUBSTITUTE(TRIM('Base de Datos'!J119),".",""),",","."),".",","),_xlfn.NUMBERVALUE(SUBSTITUTE(TRIM('Base de Datos'!J119),",",""),".",",")),"")))</f>
        <v/>
      </c>
      <c r="AH123" s="73" t="n">
        <f aca="false">IF(ISNUMBER(AI123),IF(ISNUMBER('Base de Datos'!Q119),IF('Base de Datos'!Q119&gt;20000,DATE(YEAR('Base de Datos'!Q119),DAY('Base de Datos'!Q119),MONTH('Base de Datos'!Q119)),""),IF(TRIM('Base de Datos'!Q119)="","",IFERROR(DATE(VALUE(RIGHT(TRIM('Base de Datos'!Q119),4)),VALUE(LEFT(TRIM('Base de Datos'!Q119),2)),VALUE(MID(TRIM('Base de Datos'!Q119),4,2))),""))),"")</f>
        <v>45277</v>
      </c>
      <c r="AI123" s="74" t="n">
        <f aca="false">IF(ISNUMBER('Base de Datos'!R119),'Base de Datos'!R119,IF(TRIM('Base de Datos'!R119)="","",IFERROR(IF(IFERROR(FIND("@",SUBSTITUTE(TRIM('Base de Datos'!R119),",","@",LEN(TRIM('Base de Datos'!R119))-LEN(SUBSTITUTE(TRIM('Base de Datos'!R119),",","")))),0)&gt;IFERROR(FIND("@",SUBSTITUTE(TRIM('Base de Datos'!R119),".","@",LEN(TRIM('Base de Datos'!R119))-LEN(SUBSTITUTE(TRIM('Base de Datos'!R119),".","")))),0),_xlfn.NUMBERVALUE(SUBSTITUTE(SUBSTITUTE(TRIM('Base de Datos'!R119),".",""),",","."),".",","),_xlfn.NUMBERVALUE(SUBSTITUTE(TRIM('Base de Datos'!R119),",",""),".",",")),"")))</f>
        <v>35.43</v>
      </c>
      <c r="AJ123" s="73" t="n">
        <f aca="false">IF(ISNUMBER(AK123),IF(ISNUMBER('Base de Datos'!Y119),IF('Base de Datos'!Y119&gt;20000,INT('Base de Datos'!Y119),""),IF(TRIM('Base de Datos'!Y119)="","",IFERROR(DATE(VALUE(RIGHT(TRIM('Base de Datos'!Y119),4)),VALUE(MID(TRIM('Base de Datos'!Y119),4,2)),VALUE(LEFT(TRIM('Base de Datos'!Y119),2))),IFERROR(DATEVALUE(TRIM('Base de Datos'!Y119)),"")))),"")</f>
        <v>45277</v>
      </c>
      <c r="AK123" s="74" t="n">
        <f aca="false">IF(ISNUMBER('Base de Datos'!Z119),'Base de Datos'!Z119,IF(TRIM('Base de Datos'!Z119)="","",IFERROR(IF(IFERROR(FIND("@",SUBSTITUTE(TRIM('Base de Datos'!Z119),",","@",LEN(TRIM('Base de Datos'!Z119))-LEN(SUBSTITUTE(TRIM('Base de Datos'!Z119),",","")))),0)&gt;IFERROR(FIND("@",SUBSTITUTE(TRIM('Base de Datos'!Z119),".","@",LEN(TRIM('Base de Datos'!Z119))-LEN(SUBSTITUTE(TRIM('Base de Datos'!Z119),".","")))),0),_xlfn.NUMBERVALUE(SUBSTITUTE(SUBSTITUTE(TRIM('Base de Datos'!Z119),".",""),",","."),".",","),_xlfn.NUMBERVALUE(SUBSTITUTE(TRIM('Base de Datos'!Z119),",",""),".",",")),"")))</f>
        <v>57313.47</v>
      </c>
    </row>
    <row r="124" customFormat="false" ht="13.5" hidden="false" customHeight="false" outlineLevel="0" collapsed="false">
      <c r="A124" s="75" t="n">
        <f aca="false">ROWS(A$13:A124)</f>
        <v>112</v>
      </c>
      <c r="B124" s="73" t="n">
        <f aca="false">IF(B123="","",IFERROR(SMALL($AH$10:$AH$409,COUNTIF($AH$10:$AH$409,"&lt;="&amp;B123)+1),""))</f>
        <v>45263</v>
      </c>
      <c r="C124" s="74" t="n">
        <f aca="false">IF(B124="","",INDEX($AI$10:$AI$409,MATCH(B124,$AH$10:$AH$409,0)))</f>
        <v>31.97</v>
      </c>
      <c r="D124" s="74" t="n">
        <f aca="false">IF(B124="","",IFERROR(INDEX($AK$10:$AK$409,MATCH(B124,$AJ$10:$AJ$409,0)),""))</f>
        <v>54393.01</v>
      </c>
      <c r="E124" s="76" t="n">
        <f aca="false">IF(AND(ISNUMBER(C124),ISNUMBER(C123)),C124/C123-1,"")</f>
        <v>0.0874149659863945</v>
      </c>
      <c r="F124" s="76" t="n">
        <f aca="false">IF(AND(ISNUMBER(D124),ISNUMBER(D123)),D124/D123-1,"")</f>
        <v>0.0091199806758373</v>
      </c>
      <c r="G124" s="75" t="n">
        <f aca="false">IF(AND(ISNUMBER(E124),ISNUMBER(F124)),1,"")</f>
        <v>1</v>
      </c>
      <c r="H124" s="75" t="n">
        <f aca="false">IF(G124=1,COUNT(G124:G$412),"")</f>
        <v>148</v>
      </c>
      <c r="I124" s="75" t="n">
        <f aca="false">IF(G124=1,IF(H124&lt;='Beta Regresión'!$B$5,1,""),"")</f>
        <v>1</v>
      </c>
      <c r="J124" s="76" t="n">
        <f aca="false">IF(I124=1,E124,"")</f>
        <v>0.0874149659863945</v>
      </c>
      <c r="K124" s="76" t="n">
        <f aca="false">IF(I124=1,F124,"")</f>
        <v>0.0091199806758373</v>
      </c>
      <c r="L124" s="75" t="n">
        <f aca="false">IF(I124=1,COUNT(I$13:I124),"")</f>
        <v>111</v>
      </c>
      <c r="M124" s="76" t="n">
        <f aca="false">IFERROR(INDEX($J$13:$J$412,MATCH(A124,$L$13:$L$412,0)),"")</f>
        <v>0.0322177040975915</v>
      </c>
      <c r="N124" s="76" t="n">
        <f aca="false">IFERROR(INDEX($K$13:$K$412,MATCH(A124,$L$13:$L$412,0)),"")</f>
        <v>0.0503202525471562</v>
      </c>
      <c r="O124" s="76" t="n">
        <f aca="false">IF(I124=1,E124,NA())</f>
        <v>0.0874149659863945</v>
      </c>
      <c r="P124" s="76" t="n">
        <f aca="false">IF(I124=1,F124,NA())</f>
        <v>0.0091199806758373</v>
      </c>
      <c r="R124" s="75" t="n">
        <f aca="false">ROWS(R$13:R124)</f>
        <v>112</v>
      </c>
      <c r="S124" s="73" t="str">
        <f aca="false">IF(S123="","",IFERROR(SMALL($AD$10:$AD$509,COUNTIF($AD$10:$AD$509,"&lt;="&amp;S123)+1),""))</f>
        <v/>
      </c>
      <c r="T124" s="74" t="str">
        <f aca="false">IF(S124="","",INDEX($AE$10:$AE$509,MATCH(S124,$AD$10:$AD$509,0)))</f>
        <v/>
      </c>
      <c r="U124" s="74" t="str">
        <f aca="false">IF(S124="","",IFERROR(INDEX($AG$10:$AG$509,MATCH(S124,$AF$10:$AF$509,0)),""))</f>
        <v/>
      </c>
      <c r="V124" s="76" t="str">
        <f aca="false">IF(AND(ISNUMBER(T124),ISNUMBER(T123)),T124/T123-1,"")</f>
        <v/>
      </c>
      <c r="W124" s="76" t="str">
        <f aca="false">IF(AND(ISNUMBER(U124),ISNUMBER(U123)),U124/U123-1,"")</f>
        <v/>
      </c>
      <c r="X124" s="75" t="str">
        <f aca="false">IF(AND(ISNUMBER(V124),ISNUMBER(W124)),1,"")</f>
        <v/>
      </c>
      <c r="Y124" s="76" t="str">
        <f aca="false">IF(X124=1,V124,"")</f>
        <v/>
      </c>
      <c r="Z124" s="76" t="str">
        <f aca="false">IF(X124=1,W124,"")</f>
        <v/>
      </c>
      <c r="AA124" s="76" t="e">
        <f aca="false">IF(X124=1,V124,NA())</f>
        <v>#N/A</v>
      </c>
      <c r="AB124" s="76" t="e">
        <f aca="false">IF(X124=1,W124,NA())</f>
        <v>#N/A</v>
      </c>
      <c r="AD124" s="73" t="str">
        <f aca="false">IF(ISNUMBER(AE124),IF(ISNUMBER('Base de Datos'!A120),IF('Base de Datos'!A120&gt;20000,DATE(YEAR('Base de Datos'!A120),DAY('Base de Datos'!A120),MONTH('Base de Datos'!A120)),""),IF(TRIM('Base de Datos'!A120)="","",IFERROR(DATE(VALUE(RIGHT(TRIM('Base de Datos'!A120),4)),VALUE(LEFT(TRIM('Base de Datos'!A120),2)),VALUE(MID(TRIM('Base de Datos'!A120),4,2))),""))),"")</f>
        <v/>
      </c>
      <c r="AE124" s="74" t="str">
        <f aca="false">IF(ISNUMBER('Base de Datos'!B120),'Base de Datos'!B120,IF(TRIM('Base de Datos'!B120)="","",IFERROR(IF(IFERROR(FIND("@",SUBSTITUTE(TRIM('Base de Datos'!B120),",","@",LEN(TRIM('Base de Datos'!B120))-LEN(SUBSTITUTE(TRIM('Base de Datos'!B120),",","")))),0)&gt;IFERROR(FIND("@",SUBSTITUTE(TRIM('Base de Datos'!B120),".","@",LEN(TRIM('Base de Datos'!B120))-LEN(SUBSTITUTE(TRIM('Base de Datos'!B120),".","")))),0),_xlfn.NUMBERVALUE(SUBSTITUTE(SUBSTITUTE(TRIM('Base de Datos'!B120),".",""),",","."),".",","),_xlfn.NUMBERVALUE(SUBSTITUTE(TRIM('Base de Datos'!B120),",",""),".",",")),"")))</f>
        <v/>
      </c>
      <c r="AF124" s="73" t="str">
        <f aca="false">IF(ISNUMBER(AG124),IF(ISNUMBER('Base de Datos'!I120),IF('Base de Datos'!I120&gt;20000,INT('Base de Datos'!I120),""),IF(TRIM('Base de Datos'!I120)="","",IFERROR(DATE(VALUE(RIGHT(TRIM('Base de Datos'!I120),4)),VALUE(MID(TRIM('Base de Datos'!I120),4,2)),VALUE(LEFT(TRIM('Base de Datos'!I120),2))),IFERROR(DATEVALUE(TRIM('Base de Datos'!I120)),"")))),"")</f>
        <v/>
      </c>
      <c r="AG124" s="74" t="str">
        <f aca="false">IF(ISNUMBER('Base de Datos'!J120),'Base de Datos'!J120,IF(TRIM('Base de Datos'!J120)="","",IFERROR(IF(IFERROR(FIND("@",SUBSTITUTE(TRIM('Base de Datos'!J120),",","@",LEN(TRIM('Base de Datos'!J120))-LEN(SUBSTITUTE(TRIM('Base de Datos'!J120),",","")))),0)&gt;IFERROR(FIND("@",SUBSTITUTE(TRIM('Base de Datos'!J120),".","@",LEN(TRIM('Base de Datos'!J120))-LEN(SUBSTITUTE(TRIM('Base de Datos'!J120),".","")))),0),_xlfn.NUMBERVALUE(SUBSTITUTE(SUBSTITUTE(TRIM('Base de Datos'!J120),".",""),",","."),".",","),_xlfn.NUMBERVALUE(SUBSTITUTE(TRIM('Base de Datos'!J120),",",""),".",",")),"")))</f>
        <v/>
      </c>
      <c r="AH124" s="73" t="n">
        <f aca="false">IF(ISNUMBER(AI124),IF(ISNUMBER('Base de Datos'!Q120),IF('Base de Datos'!Q120&gt;20000,DATE(YEAR('Base de Datos'!Q120),DAY('Base de Datos'!Q120),MONTH('Base de Datos'!Q120)),""),IF(TRIM('Base de Datos'!Q120)="","",IFERROR(DATE(VALUE(RIGHT(TRIM('Base de Datos'!Q120),4)),VALUE(LEFT(TRIM('Base de Datos'!Q120),2)),VALUE(MID(TRIM('Base de Datos'!Q120),4,2))),""))),"")</f>
        <v>45284</v>
      </c>
      <c r="AI124" s="74" t="n">
        <f aca="false">IF(ISNUMBER('Base de Datos'!R120),'Base de Datos'!R120,IF(TRIM('Base de Datos'!R120)="","",IFERROR(IF(IFERROR(FIND("@",SUBSTITUTE(TRIM('Base de Datos'!R120),",","@",LEN(TRIM('Base de Datos'!R120))-LEN(SUBSTITUTE(TRIM('Base de Datos'!R120),",","")))),0)&gt;IFERROR(FIND("@",SUBSTITUTE(TRIM('Base de Datos'!R120),".","@",LEN(TRIM('Base de Datos'!R120))-LEN(SUBSTITUTE(TRIM('Base de Datos'!R120),".","")))),0),_xlfn.NUMBERVALUE(SUBSTITUTE(SUBSTITUTE(TRIM('Base de Datos'!R120),".",""),",","."),".",","),_xlfn.NUMBERVALUE(SUBSTITUTE(TRIM('Base de Datos'!R120),",",""),".",",")),"")))</f>
        <v>36.34</v>
      </c>
      <c r="AJ124" s="73" t="n">
        <f aca="false">IF(ISNUMBER(AK124),IF(ISNUMBER('Base de Datos'!Y120),IF('Base de Datos'!Y120&gt;20000,INT('Base de Datos'!Y120),""),IF(TRIM('Base de Datos'!Y120)="","",IFERROR(DATE(VALUE(RIGHT(TRIM('Base de Datos'!Y120),4)),VALUE(MID(TRIM('Base de Datos'!Y120),4,2)),VALUE(LEFT(TRIM('Base de Datos'!Y120),2))),IFERROR(DATEVALUE(TRIM('Base de Datos'!Y120)),"")))),"")</f>
        <v>45284</v>
      </c>
      <c r="AK124" s="74" t="n">
        <f aca="false">IF(ISNUMBER('Base de Datos'!Z120),'Base de Datos'!Z120,IF(TRIM('Base de Datos'!Z120)="","",IFERROR(IF(IFERROR(FIND("@",SUBSTITUTE(TRIM('Base de Datos'!Z120),",","@",LEN(TRIM('Base de Datos'!Z120))-LEN(SUBSTITUTE(TRIM('Base de Datos'!Z120),",","")))),0)&gt;IFERROR(FIND("@",SUBSTITUTE(TRIM('Base de Datos'!Z120),".","@",LEN(TRIM('Base de Datos'!Z120))-LEN(SUBSTITUTE(TRIM('Base de Datos'!Z120),".","")))),0),_xlfn.NUMBERVALUE(SUBSTITUTE(SUBSTITUTE(TRIM('Base de Datos'!Z120),".",""),",","."),".",","),_xlfn.NUMBERVALUE(SUBSTITUTE(TRIM('Base de Datos'!Z120),",",""),".",",")),"")))</f>
        <v>57386.25</v>
      </c>
    </row>
    <row r="125" customFormat="false" ht="13.5" hidden="false" customHeight="false" outlineLevel="0" collapsed="false">
      <c r="A125" s="75" t="n">
        <f aca="false">ROWS(A$13:A125)</f>
        <v>113</v>
      </c>
      <c r="B125" s="73" t="n">
        <f aca="false">IF(B124="","",IFERROR(SMALL($AH$10:$AH$409,COUNTIF($AH$10:$AH$409,"&lt;="&amp;B124)+1),""))</f>
        <v>45270</v>
      </c>
      <c r="C125" s="74" t="n">
        <f aca="false">IF(B125="","",INDEX($AI$10:$AI$409,MATCH(B125,$AH$10:$AH$409,0)))</f>
        <v>33</v>
      </c>
      <c r="D125" s="74" t="n">
        <f aca="false">IF(B125="","",IFERROR(INDEX($AK$10:$AK$409,MATCH(B125,$AJ$10:$AJ$409,0)),""))</f>
        <v>57130.08</v>
      </c>
      <c r="E125" s="76" t="n">
        <f aca="false">IF(AND(ISNUMBER(C125),ISNUMBER(C124)),C125/C124-1,"")</f>
        <v>0.0322177040975915</v>
      </c>
      <c r="F125" s="76" t="n">
        <f aca="false">IF(AND(ISNUMBER(D125),ISNUMBER(D124)),D125/D124-1,"")</f>
        <v>0.0503202525471562</v>
      </c>
      <c r="G125" s="75" t="n">
        <f aca="false">IF(AND(ISNUMBER(E125),ISNUMBER(F125)),1,"")</f>
        <v>1</v>
      </c>
      <c r="H125" s="75" t="n">
        <f aca="false">IF(G125=1,COUNT(G125:G$412),"")</f>
        <v>147</v>
      </c>
      <c r="I125" s="75" t="n">
        <f aca="false">IF(G125=1,IF(H125&lt;='Beta Regresión'!$B$5,1,""),"")</f>
        <v>1</v>
      </c>
      <c r="J125" s="76" t="n">
        <f aca="false">IF(I125=1,E125,"")</f>
        <v>0.0322177040975915</v>
      </c>
      <c r="K125" s="76" t="n">
        <f aca="false">IF(I125=1,F125,"")</f>
        <v>0.0503202525471562</v>
      </c>
      <c r="L125" s="75" t="n">
        <f aca="false">IF(I125=1,COUNT(I$13:I125),"")</f>
        <v>112</v>
      </c>
      <c r="M125" s="76" t="n">
        <f aca="false">IFERROR(INDEX($J$13:$J$412,MATCH(A125,$L$13:$L$412,0)),"")</f>
        <v>0.0736363636363637</v>
      </c>
      <c r="N125" s="76" t="n">
        <f aca="false">IFERROR(INDEX($K$13:$K$412,MATCH(A125,$L$13:$L$412,0)),"")</f>
        <v>0.00321004276556236</v>
      </c>
      <c r="O125" s="76" t="n">
        <f aca="false">IF(I125=1,E125,NA())</f>
        <v>0.0322177040975915</v>
      </c>
      <c r="P125" s="76" t="n">
        <f aca="false">IF(I125=1,F125,NA())</f>
        <v>0.0503202525471562</v>
      </c>
      <c r="R125" s="75" t="n">
        <f aca="false">ROWS(R$13:R125)</f>
        <v>113</v>
      </c>
      <c r="S125" s="73" t="str">
        <f aca="false">IF(S124="","",IFERROR(SMALL($AD$10:$AD$509,COUNTIF($AD$10:$AD$509,"&lt;="&amp;S124)+1),""))</f>
        <v/>
      </c>
      <c r="T125" s="74" t="str">
        <f aca="false">IF(S125="","",INDEX($AE$10:$AE$509,MATCH(S125,$AD$10:$AD$509,0)))</f>
        <v/>
      </c>
      <c r="U125" s="74" t="str">
        <f aca="false">IF(S125="","",IFERROR(INDEX($AG$10:$AG$509,MATCH(S125,$AF$10:$AF$509,0)),""))</f>
        <v/>
      </c>
      <c r="V125" s="76" t="str">
        <f aca="false">IF(AND(ISNUMBER(T125),ISNUMBER(T124)),T125/T124-1,"")</f>
        <v/>
      </c>
      <c r="W125" s="76" t="str">
        <f aca="false">IF(AND(ISNUMBER(U125),ISNUMBER(U124)),U125/U124-1,"")</f>
        <v/>
      </c>
      <c r="X125" s="75" t="str">
        <f aca="false">IF(AND(ISNUMBER(V125),ISNUMBER(W125)),1,"")</f>
        <v/>
      </c>
      <c r="Y125" s="76" t="str">
        <f aca="false">IF(X125=1,V125,"")</f>
        <v/>
      </c>
      <c r="Z125" s="76" t="str">
        <f aca="false">IF(X125=1,W125,"")</f>
        <v/>
      </c>
      <c r="AA125" s="76" t="e">
        <f aca="false">IF(X125=1,V125,NA())</f>
        <v>#N/A</v>
      </c>
      <c r="AB125" s="76" t="e">
        <f aca="false">IF(X125=1,W125,NA())</f>
        <v>#N/A</v>
      </c>
      <c r="AD125" s="73" t="str">
        <f aca="false">IF(ISNUMBER(AE125),IF(ISNUMBER('Base de Datos'!A121),IF('Base de Datos'!A121&gt;20000,DATE(YEAR('Base de Datos'!A121),DAY('Base de Datos'!A121),MONTH('Base de Datos'!A121)),""),IF(TRIM('Base de Datos'!A121)="","",IFERROR(DATE(VALUE(RIGHT(TRIM('Base de Datos'!A121),4)),VALUE(LEFT(TRIM('Base de Datos'!A121),2)),VALUE(MID(TRIM('Base de Datos'!A121),4,2))),""))),"")</f>
        <v/>
      </c>
      <c r="AE125" s="74" t="str">
        <f aca="false">IF(ISNUMBER('Base de Datos'!B121),'Base de Datos'!B121,IF(TRIM('Base de Datos'!B121)="","",IFERROR(IF(IFERROR(FIND("@",SUBSTITUTE(TRIM('Base de Datos'!B121),",","@",LEN(TRIM('Base de Datos'!B121))-LEN(SUBSTITUTE(TRIM('Base de Datos'!B121),",","")))),0)&gt;IFERROR(FIND("@",SUBSTITUTE(TRIM('Base de Datos'!B121),".","@",LEN(TRIM('Base de Datos'!B121))-LEN(SUBSTITUTE(TRIM('Base de Datos'!B121),".","")))),0),_xlfn.NUMBERVALUE(SUBSTITUTE(SUBSTITUTE(TRIM('Base de Datos'!B121),".",""),",","."),".",","),_xlfn.NUMBERVALUE(SUBSTITUTE(TRIM('Base de Datos'!B121),",",""),".",",")),"")))</f>
        <v/>
      </c>
      <c r="AF125" s="73" t="str">
        <f aca="false">IF(ISNUMBER(AG125),IF(ISNUMBER('Base de Datos'!I121),IF('Base de Datos'!I121&gt;20000,INT('Base de Datos'!I121),""),IF(TRIM('Base de Datos'!I121)="","",IFERROR(DATE(VALUE(RIGHT(TRIM('Base de Datos'!I121),4)),VALUE(MID(TRIM('Base de Datos'!I121),4,2)),VALUE(LEFT(TRIM('Base de Datos'!I121),2))),IFERROR(DATEVALUE(TRIM('Base de Datos'!I121)),"")))),"")</f>
        <v/>
      </c>
      <c r="AG125" s="74" t="str">
        <f aca="false">IF(ISNUMBER('Base de Datos'!J121),'Base de Datos'!J121,IF(TRIM('Base de Datos'!J121)="","",IFERROR(IF(IFERROR(FIND("@",SUBSTITUTE(TRIM('Base de Datos'!J121),",","@",LEN(TRIM('Base de Datos'!J121))-LEN(SUBSTITUTE(TRIM('Base de Datos'!J121),",","")))),0)&gt;IFERROR(FIND("@",SUBSTITUTE(TRIM('Base de Datos'!J121),".","@",LEN(TRIM('Base de Datos'!J121))-LEN(SUBSTITUTE(TRIM('Base de Datos'!J121),".","")))),0),_xlfn.NUMBERVALUE(SUBSTITUTE(SUBSTITUTE(TRIM('Base de Datos'!J121),".",""),",","."),".",","),_xlfn.NUMBERVALUE(SUBSTITUTE(TRIM('Base de Datos'!J121),",",""),".",",")),"")))</f>
        <v/>
      </c>
      <c r="AH125" s="73" t="n">
        <f aca="false">IF(ISNUMBER(AI125),IF(ISNUMBER('Base de Datos'!Q121),IF('Base de Datos'!Q121&gt;20000,DATE(YEAR('Base de Datos'!Q121),DAY('Base de Datos'!Q121),MONTH('Base de Datos'!Q121)),""),IF(TRIM('Base de Datos'!Q121)="","",IFERROR(DATE(VALUE(RIGHT(TRIM('Base de Datos'!Q121),4)),VALUE(LEFT(TRIM('Base de Datos'!Q121),2)),VALUE(MID(TRIM('Base de Datos'!Q121),4,2))),""))),"")</f>
        <v>45291</v>
      </c>
      <c r="AI125" s="74" t="n">
        <f aca="false">IF(ISNUMBER('Base de Datos'!R121),'Base de Datos'!R121,IF(TRIM('Base de Datos'!R121)="","",IFERROR(IF(IFERROR(FIND("@",SUBSTITUTE(TRIM('Base de Datos'!R121),",","@",LEN(TRIM('Base de Datos'!R121))-LEN(SUBSTITUTE(TRIM('Base de Datos'!R121),",","")))),0)&gt;IFERROR(FIND("@",SUBSTITUTE(TRIM('Base de Datos'!R121),".","@",LEN(TRIM('Base de Datos'!R121))-LEN(SUBSTITUTE(TRIM('Base de Datos'!R121),".","")))),0),_xlfn.NUMBERVALUE(SUBSTITUTE(SUBSTITUTE(TRIM('Base de Datos'!R121),".",""),",","."),".",","),_xlfn.NUMBERVALUE(SUBSTITUTE(TRIM('Base de Datos'!R121),",",""),".",",")),"")))</f>
        <v>35.78</v>
      </c>
      <c r="AJ125" s="73" t="n">
        <f aca="false">IF(ISNUMBER(AK125),IF(ISNUMBER('Base de Datos'!Y121),IF('Base de Datos'!Y121&gt;20000,INT('Base de Datos'!Y121),""),IF(TRIM('Base de Datos'!Y121)="","",IFERROR(DATE(VALUE(RIGHT(TRIM('Base de Datos'!Y121),4)),VALUE(MID(TRIM('Base de Datos'!Y121),4,2)),VALUE(LEFT(TRIM('Base de Datos'!Y121),2))),IFERROR(DATEVALUE(TRIM('Base de Datos'!Y121)),"")))),"")</f>
        <v>45291</v>
      </c>
      <c r="AK125" s="74" t="n">
        <f aca="false">IF(ISNUMBER('Base de Datos'!Z121),'Base de Datos'!Z121,IF(TRIM('Base de Datos'!Z121)="","",IFERROR(IF(IFERROR(FIND("@",SUBSTITUTE(TRIM('Base de Datos'!Z121),",","@",LEN(TRIM('Base de Datos'!Z121))-LEN(SUBSTITUTE(TRIM('Base de Datos'!Z121),",","")))),0)&gt;IFERROR(FIND("@",SUBSTITUTE(TRIM('Base de Datos'!Z121),".","@",LEN(TRIM('Base de Datos'!Z121))-LEN(SUBSTITUTE(TRIM('Base de Datos'!Z121),".","")))),0),_xlfn.NUMBERVALUE(SUBSTITUTE(SUBSTITUTE(TRIM('Base de Datos'!Z121),".",""),",","."),".",","),_xlfn.NUMBERVALUE(SUBSTITUTE(TRIM('Base de Datos'!Z121),",",""),".",",")),"")))</f>
        <v>56192.78</v>
      </c>
    </row>
    <row r="126" customFormat="false" ht="13.5" hidden="false" customHeight="false" outlineLevel="0" collapsed="false">
      <c r="A126" s="75" t="n">
        <f aca="false">ROWS(A$13:A126)</f>
        <v>114</v>
      </c>
      <c r="B126" s="73" t="n">
        <f aca="false">IF(B125="","",IFERROR(SMALL($AH$10:$AH$409,COUNTIF($AH$10:$AH$409,"&lt;="&amp;B125)+1),""))</f>
        <v>45277</v>
      </c>
      <c r="C126" s="74" t="n">
        <f aca="false">IF(B126="","",INDEX($AI$10:$AI$409,MATCH(B126,$AH$10:$AH$409,0)))</f>
        <v>35.43</v>
      </c>
      <c r="D126" s="74" t="n">
        <f aca="false">IF(B126="","",IFERROR(INDEX($AK$10:$AK$409,MATCH(B126,$AJ$10:$AJ$409,0)),""))</f>
        <v>57313.47</v>
      </c>
      <c r="E126" s="76" t="n">
        <f aca="false">IF(AND(ISNUMBER(C126),ISNUMBER(C125)),C126/C125-1,"")</f>
        <v>0.0736363636363637</v>
      </c>
      <c r="F126" s="76" t="n">
        <f aca="false">IF(AND(ISNUMBER(D126),ISNUMBER(D125)),D126/D125-1,"")</f>
        <v>0.00321004276556236</v>
      </c>
      <c r="G126" s="75" t="n">
        <f aca="false">IF(AND(ISNUMBER(E126),ISNUMBER(F126)),1,"")</f>
        <v>1</v>
      </c>
      <c r="H126" s="75" t="n">
        <f aca="false">IF(G126=1,COUNT(G126:G$412),"")</f>
        <v>146</v>
      </c>
      <c r="I126" s="75" t="n">
        <f aca="false">IF(G126=1,IF(H126&lt;='Beta Regresión'!$B$5,1,""),"")</f>
        <v>1</v>
      </c>
      <c r="J126" s="76" t="n">
        <f aca="false">IF(I126=1,E126,"")</f>
        <v>0.0736363636363637</v>
      </c>
      <c r="K126" s="76" t="n">
        <f aca="false">IF(I126=1,F126,"")</f>
        <v>0.00321004276556236</v>
      </c>
      <c r="L126" s="75" t="n">
        <f aca="false">IF(I126=1,COUNT(I$13:I126),"")</f>
        <v>113</v>
      </c>
      <c r="M126" s="76" t="n">
        <f aca="false">IFERROR(INDEX($J$13:$J$412,MATCH(A126,$L$13:$L$412,0)),"")</f>
        <v>0.0256844482077336</v>
      </c>
      <c r="N126" s="76" t="n">
        <f aca="false">IFERROR(INDEX($K$13:$K$412,MATCH(A126,$L$13:$L$412,0)),"")</f>
        <v>0.00126985855157602</v>
      </c>
      <c r="O126" s="76" t="n">
        <f aca="false">IF(I126=1,E126,NA())</f>
        <v>0.0736363636363637</v>
      </c>
      <c r="P126" s="76" t="n">
        <f aca="false">IF(I126=1,F126,NA())</f>
        <v>0.00321004276556236</v>
      </c>
      <c r="R126" s="75" t="n">
        <f aca="false">ROWS(R$13:R126)</f>
        <v>114</v>
      </c>
      <c r="S126" s="73" t="str">
        <f aca="false">IF(S125="","",IFERROR(SMALL($AD$10:$AD$509,COUNTIF($AD$10:$AD$509,"&lt;="&amp;S125)+1),""))</f>
        <v/>
      </c>
      <c r="T126" s="74" t="str">
        <f aca="false">IF(S126="","",INDEX($AE$10:$AE$509,MATCH(S126,$AD$10:$AD$509,0)))</f>
        <v/>
      </c>
      <c r="U126" s="74" t="str">
        <f aca="false">IF(S126="","",IFERROR(INDEX($AG$10:$AG$509,MATCH(S126,$AF$10:$AF$509,0)),""))</f>
        <v/>
      </c>
      <c r="V126" s="76" t="str">
        <f aca="false">IF(AND(ISNUMBER(T126),ISNUMBER(T125)),T126/T125-1,"")</f>
        <v/>
      </c>
      <c r="W126" s="76" t="str">
        <f aca="false">IF(AND(ISNUMBER(U126),ISNUMBER(U125)),U126/U125-1,"")</f>
        <v/>
      </c>
      <c r="X126" s="75" t="str">
        <f aca="false">IF(AND(ISNUMBER(V126),ISNUMBER(W126)),1,"")</f>
        <v/>
      </c>
      <c r="Y126" s="76" t="str">
        <f aca="false">IF(X126=1,V126,"")</f>
        <v/>
      </c>
      <c r="Z126" s="76" t="str">
        <f aca="false">IF(X126=1,W126,"")</f>
        <v/>
      </c>
      <c r="AA126" s="76" t="e">
        <f aca="false">IF(X126=1,V126,NA())</f>
        <v>#N/A</v>
      </c>
      <c r="AB126" s="76" t="e">
        <f aca="false">IF(X126=1,W126,NA())</f>
        <v>#N/A</v>
      </c>
      <c r="AD126" s="73" t="str">
        <f aca="false">IF(ISNUMBER(AE126),IF(ISNUMBER('Base de Datos'!A122),IF('Base de Datos'!A122&gt;20000,DATE(YEAR('Base de Datos'!A122),DAY('Base de Datos'!A122),MONTH('Base de Datos'!A122)),""),IF(TRIM('Base de Datos'!A122)="","",IFERROR(DATE(VALUE(RIGHT(TRIM('Base de Datos'!A122),4)),VALUE(LEFT(TRIM('Base de Datos'!A122),2)),VALUE(MID(TRIM('Base de Datos'!A122),4,2))),""))),"")</f>
        <v/>
      </c>
      <c r="AE126" s="74" t="str">
        <f aca="false">IF(ISNUMBER('Base de Datos'!B122),'Base de Datos'!B122,IF(TRIM('Base de Datos'!B122)="","",IFERROR(IF(IFERROR(FIND("@",SUBSTITUTE(TRIM('Base de Datos'!B122),",","@",LEN(TRIM('Base de Datos'!B122))-LEN(SUBSTITUTE(TRIM('Base de Datos'!B122),",","")))),0)&gt;IFERROR(FIND("@",SUBSTITUTE(TRIM('Base de Datos'!B122),".","@",LEN(TRIM('Base de Datos'!B122))-LEN(SUBSTITUTE(TRIM('Base de Datos'!B122),".","")))),0),_xlfn.NUMBERVALUE(SUBSTITUTE(SUBSTITUTE(TRIM('Base de Datos'!B122),".",""),",","."),".",","),_xlfn.NUMBERVALUE(SUBSTITUTE(TRIM('Base de Datos'!B122),",",""),".",",")),"")))</f>
        <v/>
      </c>
      <c r="AF126" s="73" t="str">
        <f aca="false">IF(ISNUMBER(AG126),IF(ISNUMBER('Base de Datos'!I122),IF('Base de Datos'!I122&gt;20000,INT('Base de Datos'!I122),""),IF(TRIM('Base de Datos'!I122)="","",IFERROR(DATE(VALUE(RIGHT(TRIM('Base de Datos'!I122),4)),VALUE(MID(TRIM('Base de Datos'!I122),4,2)),VALUE(LEFT(TRIM('Base de Datos'!I122),2))),IFERROR(DATEVALUE(TRIM('Base de Datos'!I122)),"")))),"")</f>
        <v/>
      </c>
      <c r="AG126" s="74" t="str">
        <f aca="false">IF(ISNUMBER('Base de Datos'!J122),'Base de Datos'!J122,IF(TRIM('Base de Datos'!J122)="","",IFERROR(IF(IFERROR(FIND("@",SUBSTITUTE(TRIM('Base de Datos'!J122),",","@",LEN(TRIM('Base de Datos'!J122))-LEN(SUBSTITUTE(TRIM('Base de Datos'!J122),",","")))),0)&gt;IFERROR(FIND("@",SUBSTITUTE(TRIM('Base de Datos'!J122),".","@",LEN(TRIM('Base de Datos'!J122))-LEN(SUBSTITUTE(TRIM('Base de Datos'!J122),".","")))),0),_xlfn.NUMBERVALUE(SUBSTITUTE(SUBSTITUTE(TRIM('Base de Datos'!J122),".",""),",","."),".",","),_xlfn.NUMBERVALUE(SUBSTITUTE(TRIM('Base de Datos'!J122),",",""),".",",")),"")))</f>
        <v/>
      </c>
      <c r="AH126" s="73" t="n">
        <f aca="false">IF(ISNUMBER(AI126),IF(ISNUMBER('Base de Datos'!Q122),IF('Base de Datos'!Q122&gt;20000,DATE(YEAR('Base de Datos'!Q122),DAY('Base de Datos'!Q122),MONTH('Base de Datos'!Q122)),""),IF(TRIM('Base de Datos'!Q122)="","",IFERROR(DATE(VALUE(RIGHT(TRIM('Base de Datos'!Q122),4)),VALUE(LEFT(TRIM('Base de Datos'!Q122),2)),VALUE(MID(TRIM('Base de Datos'!Q122),4,2))),""))),"")</f>
        <v>45298</v>
      </c>
      <c r="AI126" s="74" t="n">
        <f aca="false">IF(ISNUMBER('Base de Datos'!R122),'Base de Datos'!R122,IF(TRIM('Base de Datos'!R122)="","",IFERROR(IF(IFERROR(FIND("@",SUBSTITUTE(TRIM('Base de Datos'!R122),",","@",LEN(TRIM('Base de Datos'!R122))-LEN(SUBSTITUTE(TRIM('Base de Datos'!R122),",","")))),0)&gt;IFERROR(FIND("@",SUBSTITUTE(TRIM('Base de Datos'!R122),".","@",LEN(TRIM('Base de Datos'!R122))-LEN(SUBSTITUTE(TRIM('Base de Datos'!R122),".","")))),0),_xlfn.NUMBERVALUE(SUBSTITUTE(SUBSTITUTE(TRIM('Base de Datos'!R122),".",""),",","."),".",","),_xlfn.NUMBERVALUE(SUBSTITUTE(TRIM('Base de Datos'!R122),",",""),".",",")),"")))</f>
        <v>34.82</v>
      </c>
      <c r="AJ126" s="73" t="n">
        <f aca="false">IF(ISNUMBER(AK126),IF(ISNUMBER('Base de Datos'!Y122),IF('Base de Datos'!Y122&gt;20000,INT('Base de Datos'!Y122),""),IF(TRIM('Base de Datos'!Y122)="","",IFERROR(DATE(VALUE(RIGHT(TRIM('Base de Datos'!Y122),4)),VALUE(MID(TRIM('Base de Datos'!Y122),4,2)),VALUE(LEFT(TRIM('Base de Datos'!Y122),2))),IFERROR(DATEVALUE(TRIM('Base de Datos'!Y122)),"")))),"")</f>
        <v>45298</v>
      </c>
      <c r="AK126" s="74" t="n">
        <f aca="false">IF(ISNUMBER('Base de Datos'!Z122),'Base de Datos'!Z122,IF(TRIM('Base de Datos'!Z122)="","",IFERROR(IF(IFERROR(FIND("@",SUBSTITUTE(TRIM('Base de Datos'!Z122),",","@",LEN(TRIM('Base de Datos'!Z122))-LEN(SUBSTITUTE(TRIM('Base de Datos'!Z122),",","")))),0)&gt;IFERROR(FIND("@",SUBSTITUTE(TRIM('Base de Datos'!Z122),".","@",LEN(TRIM('Base de Datos'!Z122))-LEN(SUBSTITUTE(TRIM('Base de Datos'!Z122),".","")))),0),_xlfn.NUMBERVALUE(SUBSTITUTE(SUBSTITUTE(TRIM('Base de Datos'!Z122),".",""),",","."),".",","),_xlfn.NUMBERVALUE(SUBSTITUTE(TRIM('Base de Datos'!Z122),",",""),".",",")),"")))</f>
        <v>55607.07</v>
      </c>
    </row>
    <row r="127" customFormat="false" ht="13.5" hidden="false" customHeight="false" outlineLevel="0" collapsed="false">
      <c r="A127" s="75" t="n">
        <f aca="false">ROWS(A$13:A127)</f>
        <v>115</v>
      </c>
      <c r="B127" s="73" t="n">
        <f aca="false">IF(B126="","",IFERROR(SMALL($AH$10:$AH$409,COUNTIF($AH$10:$AH$409,"&lt;="&amp;B126)+1),""))</f>
        <v>45284</v>
      </c>
      <c r="C127" s="74" t="n">
        <f aca="false">IF(B127="","",INDEX($AI$10:$AI$409,MATCH(B127,$AH$10:$AH$409,0)))</f>
        <v>36.34</v>
      </c>
      <c r="D127" s="74" t="n">
        <f aca="false">IF(B127="","",IFERROR(INDEX($AK$10:$AK$409,MATCH(B127,$AJ$10:$AJ$409,0)),""))</f>
        <v>57386.25</v>
      </c>
      <c r="E127" s="76" t="n">
        <f aca="false">IF(AND(ISNUMBER(C127),ISNUMBER(C126)),C127/C126-1,"")</f>
        <v>0.0256844482077336</v>
      </c>
      <c r="F127" s="76" t="n">
        <f aca="false">IF(AND(ISNUMBER(D127),ISNUMBER(D126)),D127/D126-1,"")</f>
        <v>0.00126985855157602</v>
      </c>
      <c r="G127" s="75" t="n">
        <f aca="false">IF(AND(ISNUMBER(E127),ISNUMBER(F127)),1,"")</f>
        <v>1</v>
      </c>
      <c r="H127" s="75" t="n">
        <f aca="false">IF(G127=1,COUNT(G127:G$412),"")</f>
        <v>145</v>
      </c>
      <c r="I127" s="75" t="n">
        <f aca="false">IF(G127=1,IF(H127&lt;='Beta Regresión'!$B$5,1,""),"")</f>
        <v>1</v>
      </c>
      <c r="J127" s="76" t="n">
        <f aca="false">IF(I127=1,E127,"")</f>
        <v>0.0256844482077336</v>
      </c>
      <c r="K127" s="76" t="n">
        <f aca="false">IF(I127=1,F127,"")</f>
        <v>0.00126985855157602</v>
      </c>
      <c r="L127" s="75" t="n">
        <f aca="false">IF(I127=1,COUNT(I$13:I127),"")</f>
        <v>114</v>
      </c>
      <c r="M127" s="76" t="n">
        <f aca="false">IFERROR(INDEX($J$13:$J$412,MATCH(A127,$L$13:$L$412,0)),"")</f>
        <v>-0.015410016510732</v>
      </c>
      <c r="N127" s="76" t="n">
        <f aca="false">IFERROR(INDEX($K$13:$K$412,MATCH(A127,$L$13:$L$412,0)),"")</f>
        <v>-0.0207971421725588</v>
      </c>
      <c r="O127" s="76" t="n">
        <f aca="false">IF(I127=1,E127,NA())</f>
        <v>0.0256844482077336</v>
      </c>
      <c r="P127" s="76" t="n">
        <f aca="false">IF(I127=1,F127,NA())</f>
        <v>0.00126985855157602</v>
      </c>
      <c r="R127" s="75" t="n">
        <f aca="false">ROWS(R$13:R127)</f>
        <v>115</v>
      </c>
      <c r="S127" s="73" t="str">
        <f aca="false">IF(S126="","",IFERROR(SMALL($AD$10:$AD$509,COUNTIF($AD$10:$AD$509,"&lt;="&amp;S126)+1),""))</f>
        <v/>
      </c>
      <c r="T127" s="74" t="str">
        <f aca="false">IF(S127="","",INDEX($AE$10:$AE$509,MATCH(S127,$AD$10:$AD$509,0)))</f>
        <v/>
      </c>
      <c r="U127" s="74" t="str">
        <f aca="false">IF(S127="","",IFERROR(INDEX($AG$10:$AG$509,MATCH(S127,$AF$10:$AF$509,0)),""))</f>
        <v/>
      </c>
      <c r="V127" s="76" t="str">
        <f aca="false">IF(AND(ISNUMBER(T127),ISNUMBER(T126)),T127/T126-1,"")</f>
        <v/>
      </c>
      <c r="W127" s="76" t="str">
        <f aca="false">IF(AND(ISNUMBER(U127),ISNUMBER(U126)),U127/U126-1,"")</f>
        <v/>
      </c>
      <c r="X127" s="75" t="str">
        <f aca="false">IF(AND(ISNUMBER(V127),ISNUMBER(W127)),1,"")</f>
        <v/>
      </c>
      <c r="Y127" s="76" t="str">
        <f aca="false">IF(X127=1,V127,"")</f>
        <v/>
      </c>
      <c r="Z127" s="76" t="str">
        <f aca="false">IF(X127=1,W127,"")</f>
        <v/>
      </c>
      <c r="AA127" s="76" t="e">
        <f aca="false">IF(X127=1,V127,NA())</f>
        <v>#N/A</v>
      </c>
      <c r="AB127" s="76" t="e">
        <f aca="false">IF(X127=1,W127,NA())</f>
        <v>#N/A</v>
      </c>
      <c r="AD127" s="73" t="str">
        <f aca="false">IF(ISNUMBER(AE127),IF(ISNUMBER('Base de Datos'!A123),IF('Base de Datos'!A123&gt;20000,DATE(YEAR('Base de Datos'!A123),DAY('Base de Datos'!A123),MONTH('Base de Datos'!A123)),""),IF(TRIM('Base de Datos'!A123)="","",IFERROR(DATE(VALUE(RIGHT(TRIM('Base de Datos'!A123),4)),VALUE(LEFT(TRIM('Base de Datos'!A123),2)),VALUE(MID(TRIM('Base de Datos'!A123),4,2))),""))),"")</f>
        <v/>
      </c>
      <c r="AE127" s="74" t="str">
        <f aca="false">IF(ISNUMBER('Base de Datos'!B123),'Base de Datos'!B123,IF(TRIM('Base de Datos'!B123)="","",IFERROR(IF(IFERROR(FIND("@",SUBSTITUTE(TRIM('Base de Datos'!B123),",","@",LEN(TRIM('Base de Datos'!B123))-LEN(SUBSTITUTE(TRIM('Base de Datos'!B123),",","")))),0)&gt;IFERROR(FIND("@",SUBSTITUTE(TRIM('Base de Datos'!B123),".","@",LEN(TRIM('Base de Datos'!B123))-LEN(SUBSTITUTE(TRIM('Base de Datos'!B123),".","")))),0),_xlfn.NUMBERVALUE(SUBSTITUTE(SUBSTITUTE(TRIM('Base de Datos'!B123),".",""),",","."),".",","),_xlfn.NUMBERVALUE(SUBSTITUTE(TRIM('Base de Datos'!B123),",",""),".",",")),"")))</f>
        <v/>
      </c>
      <c r="AF127" s="73" t="str">
        <f aca="false">IF(ISNUMBER(AG127),IF(ISNUMBER('Base de Datos'!I123),IF('Base de Datos'!I123&gt;20000,INT('Base de Datos'!I123),""),IF(TRIM('Base de Datos'!I123)="","",IFERROR(DATE(VALUE(RIGHT(TRIM('Base de Datos'!I123),4)),VALUE(MID(TRIM('Base de Datos'!I123),4,2)),VALUE(LEFT(TRIM('Base de Datos'!I123),2))),IFERROR(DATEVALUE(TRIM('Base de Datos'!I123)),"")))),"")</f>
        <v/>
      </c>
      <c r="AG127" s="74" t="str">
        <f aca="false">IF(ISNUMBER('Base de Datos'!J123),'Base de Datos'!J123,IF(TRIM('Base de Datos'!J123)="","",IFERROR(IF(IFERROR(FIND("@",SUBSTITUTE(TRIM('Base de Datos'!J123),",","@",LEN(TRIM('Base de Datos'!J123))-LEN(SUBSTITUTE(TRIM('Base de Datos'!J123),",","")))),0)&gt;IFERROR(FIND("@",SUBSTITUTE(TRIM('Base de Datos'!J123),".","@",LEN(TRIM('Base de Datos'!J123))-LEN(SUBSTITUTE(TRIM('Base de Datos'!J123),".","")))),0),_xlfn.NUMBERVALUE(SUBSTITUTE(SUBSTITUTE(TRIM('Base de Datos'!J123),".",""),",","."),".",","),_xlfn.NUMBERVALUE(SUBSTITUTE(TRIM('Base de Datos'!J123),",",""),".",",")),"")))</f>
        <v/>
      </c>
      <c r="AH127" s="73" t="n">
        <f aca="false">IF(ISNUMBER(AI127),IF(ISNUMBER('Base de Datos'!Q123),IF('Base de Datos'!Q123&gt;20000,DATE(YEAR('Base de Datos'!Q123),DAY('Base de Datos'!Q123),MONTH('Base de Datos'!Q123)),""),IF(TRIM('Base de Datos'!Q123)="","",IFERROR(DATE(VALUE(RIGHT(TRIM('Base de Datos'!Q123),4)),VALUE(LEFT(TRIM('Base de Datos'!Q123),2)),VALUE(MID(TRIM('Base de Datos'!Q123),4,2))),""))),"")</f>
        <v>45305</v>
      </c>
      <c r="AI127" s="74" t="n">
        <f aca="false">IF(ISNUMBER('Base de Datos'!R123),'Base de Datos'!R123,IF(TRIM('Base de Datos'!R123)="","",IFERROR(IF(IFERROR(FIND("@",SUBSTITUTE(TRIM('Base de Datos'!R123),",","@",LEN(TRIM('Base de Datos'!R123))-LEN(SUBSTITUTE(TRIM('Base de Datos'!R123),",","")))),0)&gt;IFERROR(FIND("@",SUBSTITUTE(TRIM('Base de Datos'!R123),".","@",LEN(TRIM('Base de Datos'!R123))-LEN(SUBSTITUTE(TRIM('Base de Datos'!R123),".","")))),0),_xlfn.NUMBERVALUE(SUBSTITUTE(SUBSTITUTE(TRIM('Base de Datos'!R123),".",""),",","."),".",","),_xlfn.NUMBERVALUE(SUBSTITUTE(TRIM('Base de Datos'!R123),",",""),".",",")),"")))</f>
        <v>34.41</v>
      </c>
      <c r="AJ127" s="73" t="n">
        <f aca="false">IF(ISNUMBER(AK127),IF(ISNUMBER('Base de Datos'!Y123),IF('Base de Datos'!Y123&gt;20000,INT('Base de Datos'!Y123),""),IF(TRIM('Base de Datos'!Y123)="","",IFERROR(DATE(VALUE(RIGHT(TRIM('Base de Datos'!Y123),4)),VALUE(MID(TRIM('Base de Datos'!Y123),4,2)),VALUE(LEFT(TRIM('Base de Datos'!Y123),2))),IFERROR(DATEVALUE(TRIM('Base de Datos'!Y123)),"")))),"")</f>
        <v>45305</v>
      </c>
      <c r="AK127" s="74" t="n">
        <f aca="false">IF(ISNUMBER('Base de Datos'!Z123),'Base de Datos'!Z123,IF(TRIM('Base de Datos'!Z123)="","",IFERROR(IF(IFERROR(FIND("@",SUBSTITUTE(TRIM('Base de Datos'!Z123),",","@",LEN(TRIM('Base de Datos'!Z123))-LEN(SUBSTITUTE(TRIM('Base de Datos'!Z123),",","")))),0)&gt;IFERROR(FIND("@",SUBSTITUTE(TRIM('Base de Datos'!Z123),".","@",LEN(TRIM('Base de Datos'!Z123))-LEN(SUBSTITUTE(TRIM('Base de Datos'!Z123),".","")))),0),_xlfn.NUMBERVALUE(SUBSTITUTE(SUBSTITUTE(TRIM('Base de Datos'!Z123),".",""),",","."),".",","),_xlfn.NUMBERVALUE(SUBSTITUTE(TRIM('Base de Datos'!Z123),",",""),".",",")),"")))</f>
        <v>55452.1</v>
      </c>
    </row>
    <row r="128" customFormat="false" ht="13.5" hidden="false" customHeight="false" outlineLevel="0" collapsed="false">
      <c r="A128" s="75" t="n">
        <f aca="false">ROWS(A$13:A128)</f>
        <v>116</v>
      </c>
      <c r="B128" s="73" t="n">
        <f aca="false">IF(B127="","",IFERROR(SMALL($AH$10:$AH$409,COUNTIF($AH$10:$AH$409,"&lt;="&amp;B127)+1),""))</f>
        <v>45291</v>
      </c>
      <c r="C128" s="74" t="n">
        <f aca="false">IF(B128="","",INDEX($AI$10:$AI$409,MATCH(B128,$AH$10:$AH$409,0)))</f>
        <v>35.78</v>
      </c>
      <c r="D128" s="74" t="n">
        <f aca="false">IF(B128="","",IFERROR(INDEX($AK$10:$AK$409,MATCH(B128,$AJ$10:$AJ$409,0)),""))</f>
        <v>56192.78</v>
      </c>
      <c r="E128" s="76" t="n">
        <f aca="false">IF(AND(ISNUMBER(C128),ISNUMBER(C127)),C128/C127-1,"")</f>
        <v>-0.015410016510732</v>
      </c>
      <c r="F128" s="76" t="n">
        <f aca="false">IF(AND(ISNUMBER(D128),ISNUMBER(D127)),D128/D127-1,"")</f>
        <v>-0.0207971421725588</v>
      </c>
      <c r="G128" s="75" t="n">
        <f aca="false">IF(AND(ISNUMBER(E128),ISNUMBER(F128)),1,"")</f>
        <v>1</v>
      </c>
      <c r="H128" s="75" t="n">
        <f aca="false">IF(G128=1,COUNT(G128:G$412),"")</f>
        <v>144</v>
      </c>
      <c r="I128" s="75" t="n">
        <f aca="false">IF(G128=1,IF(H128&lt;='Beta Regresión'!$B$5,1,""),"")</f>
        <v>1</v>
      </c>
      <c r="J128" s="76" t="n">
        <f aca="false">IF(I128=1,E128,"")</f>
        <v>-0.015410016510732</v>
      </c>
      <c r="K128" s="76" t="n">
        <f aca="false">IF(I128=1,F128,"")</f>
        <v>-0.0207971421725588</v>
      </c>
      <c r="L128" s="75" t="n">
        <f aca="false">IF(I128=1,COUNT(I$13:I128),"")</f>
        <v>115</v>
      </c>
      <c r="M128" s="76" t="n">
        <f aca="false">IFERROR(INDEX($J$13:$J$412,MATCH(A128,$L$13:$L$412,0)),"")</f>
        <v>-0.0268306316377865</v>
      </c>
      <c r="N128" s="76" t="n">
        <f aca="false">IFERROR(INDEX($K$13:$K$412,MATCH(A128,$L$13:$L$412,0)),"")</f>
        <v>-0.0104232251901401</v>
      </c>
      <c r="O128" s="76" t="n">
        <f aca="false">IF(I128=1,E128,NA())</f>
        <v>-0.015410016510732</v>
      </c>
      <c r="P128" s="76" t="n">
        <f aca="false">IF(I128=1,F128,NA())</f>
        <v>-0.0207971421725588</v>
      </c>
      <c r="R128" s="75" t="n">
        <f aca="false">ROWS(R$13:R128)</f>
        <v>116</v>
      </c>
      <c r="S128" s="73" t="str">
        <f aca="false">IF(S127="","",IFERROR(SMALL($AD$10:$AD$509,COUNTIF($AD$10:$AD$509,"&lt;="&amp;S127)+1),""))</f>
        <v/>
      </c>
      <c r="T128" s="74" t="str">
        <f aca="false">IF(S128="","",INDEX($AE$10:$AE$509,MATCH(S128,$AD$10:$AD$509,0)))</f>
        <v/>
      </c>
      <c r="U128" s="74" t="str">
        <f aca="false">IF(S128="","",IFERROR(INDEX($AG$10:$AG$509,MATCH(S128,$AF$10:$AF$509,0)),""))</f>
        <v/>
      </c>
      <c r="V128" s="76" t="str">
        <f aca="false">IF(AND(ISNUMBER(T128),ISNUMBER(T127)),T128/T127-1,"")</f>
        <v/>
      </c>
      <c r="W128" s="76" t="str">
        <f aca="false">IF(AND(ISNUMBER(U128),ISNUMBER(U127)),U128/U127-1,"")</f>
        <v/>
      </c>
      <c r="X128" s="75" t="str">
        <f aca="false">IF(AND(ISNUMBER(V128),ISNUMBER(W128)),1,"")</f>
        <v/>
      </c>
      <c r="Y128" s="76" t="str">
        <f aca="false">IF(X128=1,V128,"")</f>
        <v/>
      </c>
      <c r="Z128" s="76" t="str">
        <f aca="false">IF(X128=1,W128,"")</f>
        <v/>
      </c>
      <c r="AA128" s="76" t="e">
        <f aca="false">IF(X128=1,V128,NA())</f>
        <v>#N/A</v>
      </c>
      <c r="AB128" s="76" t="e">
        <f aca="false">IF(X128=1,W128,NA())</f>
        <v>#N/A</v>
      </c>
      <c r="AD128" s="73" t="str">
        <f aca="false">IF(ISNUMBER(AE128),IF(ISNUMBER('Base de Datos'!A124),IF('Base de Datos'!A124&gt;20000,DATE(YEAR('Base de Datos'!A124),DAY('Base de Datos'!A124),MONTH('Base de Datos'!A124)),""),IF(TRIM('Base de Datos'!A124)="","",IFERROR(DATE(VALUE(RIGHT(TRIM('Base de Datos'!A124),4)),VALUE(LEFT(TRIM('Base de Datos'!A124),2)),VALUE(MID(TRIM('Base de Datos'!A124),4,2))),""))),"")</f>
        <v/>
      </c>
      <c r="AE128" s="74" t="str">
        <f aca="false">IF(ISNUMBER('Base de Datos'!B124),'Base de Datos'!B124,IF(TRIM('Base de Datos'!B124)="","",IFERROR(IF(IFERROR(FIND("@",SUBSTITUTE(TRIM('Base de Datos'!B124),",","@",LEN(TRIM('Base de Datos'!B124))-LEN(SUBSTITUTE(TRIM('Base de Datos'!B124),",","")))),0)&gt;IFERROR(FIND("@",SUBSTITUTE(TRIM('Base de Datos'!B124),".","@",LEN(TRIM('Base de Datos'!B124))-LEN(SUBSTITUTE(TRIM('Base de Datos'!B124),".","")))),0),_xlfn.NUMBERVALUE(SUBSTITUTE(SUBSTITUTE(TRIM('Base de Datos'!B124),".",""),",","."),".",","),_xlfn.NUMBERVALUE(SUBSTITUTE(TRIM('Base de Datos'!B124),",",""),".",",")),"")))</f>
        <v/>
      </c>
      <c r="AF128" s="73" t="str">
        <f aca="false">IF(ISNUMBER(AG128),IF(ISNUMBER('Base de Datos'!I124),IF('Base de Datos'!I124&gt;20000,INT('Base de Datos'!I124),""),IF(TRIM('Base de Datos'!I124)="","",IFERROR(DATE(VALUE(RIGHT(TRIM('Base de Datos'!I124),4)),VALUE(MID(TRIM('Base de Datos'!I124),4,2)),VALUE(LEFT(TRIM('Base de Datos'!I124),2))),IFERROR(DATEVALUE(TRIM('Base de Datos'!I124)),"")))),"")</f>
        <v/>
      </c>
      <c r="AG128" s="74" t="str">
        <f aca="false">IF(ISNUMBER('Base de Datos'!J124),'Base de Datos'!J124,IF(TRIM('Base de Datos'!J124)="","",IFERROR(IF(IFERROR(FIND("@",SUBSTITUTE(TRIM('Base de Datos'!J124),",","@",LEN(TRIM('Base de Datos'!J124))-LEN(SUBSTITUTE(TRIM('Base de Datos'!J124),",","")))),0)&gt;IFERROR(FIND("@",SUBSTITUTE(TRIM('Base de Datos'!J124),".","@",LEN(TRIM('Base de Datos'!J124))-LEN(SUBSTITUTE(TRIM('Base de Datos'!J124),".","")))),0),_xlfn.NUMBERVALUE(SUBSTITUTE(SUBSTITUTE(TRIM('Base de Datos'!J124),".",""),",","."),".",","),_xlfn.NUMBERVALUE(SUBSTITUTE(TRIM('Base de Datos'!J124),",",""),".",",")),"")))</f>
        <v/>
      </c>
      <c r="AH128" s="73" t="n">
        <f aca="false">IF(ISNUMBER(AI128),IF(ISNUMBER('Base de Datos'!Q124),IF('Base de Datos'!Q124&gt;20000,DATE(YEAR('Base de Datos'!Q124),DAY('Base de Datos'!Q124),MONTH('Base de Datos'!Q124)),""),IF(TRIM('Base de Datos'!Q124)="","",IFERROR(DATE(VALUE(RIGHT(TRIM('Base de Datos'!Q124),4)),VALUE(LEFT(TRIM('Base de Datos'!Q124),2)),VALUE(MID(TRIM('Base de Datos'!Q124),4,2))),""))),"")</f>
        <v>45312</v>
      </c>
      <c r="AI128" s="74" t="n">
        <f aca="false">IF(ISNUMBER('Base de Datos'!R124),'Base de Datos'!R124,IF(TRIM('Base de Datos'!R124)="","",IFERROR(IF(IFERROR(FIND("@",SUBSTITUTE(TRIM('Base de Datos'!R124),",","@",LEN(TRIM('Base de Datos'!R124))-LEN(SUBSTITUTE(TRIM('Base de Datos'!R124),",","")))),0)&gt;IFERROR(FIND("@",SUBSTITUTE(TRIM('Base de Datos'!R124),".","@",LEN(TRIM('Base de Datos'!R124))-LEN(SUBSTITUTE(TRIM('Base de Datos'!R124),".","")))),0),_xlfn.NUMBERVALUE(SUBSTITUTE(SUBSTITUTE(TRIM('Base de Datos'!R124),".",""),",","."),".",","),_xlfn.NUMBERVALUE(SUBSTITUTE(TRIM('Base de Datos'!R124),",",""),".",",")),"")))</f>
        <v>34.91</v>
      </c>
      <c r="AJ128" s="73" t="n">
        <f aca="false">IF(ISNUMBER(AK128),IF(ISNUMBER('Base de Datos'!Y124),IF('Base de Datos'!Y124&gt;20000,INT('Base de Datos'!Y124),""),IF(TRIM('Base de Datos'!Y124)="","",IFERROR(DATE(VALUE(RIGHT(TRIM('Base de Datos'!Y124),4)),VALUE(MID(TRIM('Base de Datos'!Y124),4,2)),VALUE(LEFT(TRIM('Base de Datos'!Y124),2))),IFERROR(DATEVALUE(TRIM('Base de Datos'!Y124)),"")))),"")</f>
        <v>45312</v>
      </c>
      <c r="AK128" s="74" t="n">
        <f aca="false">IF(ISNUMBER('Base de Datos'!Z124),'Base de Datos'!Z124,IF(TRIM('Base de Datos'!Z124)="","",IFERROR(IF(IFERROR(FIND("@",SUBSTITUTE(TRIM('Base de Datos'!Z124),",","@",LEN(TRIM('Base de Datos'!Z124))-LEN(SUBSTITUTE(TRIM('Base de Datos'!Z124),",","")))),0)&gt;IFERROR(FIND("@",SUBSTITUTE(TRIM('Base de Datos'!Z124),".","@",LEN(TRIM('Base de Datos'!Z124))-LEN(SUBSTITUTE(TRIM('Base de Datos'!Z124),".","")))),0),_xlfn.NUMBERVALUE(SUBSTITUTE(SUBSTITUTE(TRIM('Base de Datos'!Z124),".",""),",","."),".",","),_xlfn.NUMBERVALUE(SUBSTITUTE(TRIM('Base de Datos'!Z124),",",""),".",",")),"")))</f>
        <v>56855.88</v>
      </c>
    </row>
    <row r="129" customFormat="false" ht="13.5" hidden="false" customHeight="false" outlineLevel="0" collapsed="false">
      <c r="A129" s="75" t="n">
        <f aca="false">ROWS(A$13:A129)</f>
        <v>117</v>
      </c>
      <c r="B129" s="73" t="n">
        <f aca="false">IF(B128="","",IFERROR(SMALL($AH$10:$AH$409,COUNTIF($AH$10:$AH$409,"&lt;="&amp;B128)+1),""))</f>
        <v>45298</v>
      </c>
      <c r="C129" s="74" t="n">
        <f aca="false">IF(B129="","",INDEX($AI$10:$AI$409,MATCH(B129,$AH$10:$AH$409,0)))</f>
        <v>34.82</v>
      </c>
      <c r="D129" s="74" t="n">
        <f aca="false">IF(B129="","",IFERROR(INDEX($AK$10:$AK$409,MATCH(B129,$AJ$10:$AJ$409,0)),""))</f>
        <v>55607.07</v>
      </c>
      <c r="E129" s="76" t="n">
        <f aca="false">IF(AND(ISNUMBER(C129),ISNUMBER(C128)),C129/C128-1,"")</f>
        <v>-0.0268306316377865</v>
      </c>
      <c r="F129" s="76" t="n">
        <f aca="false">IF(AND(ISNUMBER(D129),ISNUMBER(D128)),D129/D128-1,"")</f>
        <v>-0.0104232251901401</v>
      </c>
      <c r="G129" s="75" t="n">
        <f aca="false">IF(AND(ISNUMBER(E129),ISNUMBER(F129)),1,"")</f>
        <v>1</v>
      </c>
      <c r="H129" s="75" t="n">
        <f aca="false">IF(G129=1,COUNT(G129:G$412),"")</f>
        <v>143</v>
      </c>
      <c r="I129" s="75" t="n">
        <f aca="false">IF(G129=1,IF(H129&lt;='Beta Regresión'!$B$5,1,""),"")</f>
        <v>1</v>
      </c>
      <c r="J129" s="76" t="n">
        <f aca="false">IF(I129=1,E129,"")</f>
        <v>-0.0268306316377865</v>
      </c>
      <c r="K129" s="76" t="n">
        <f aca="false">IF(I129=1,F129,"")</f>
        <v>-0.0104232251901401</v>
      </c>
      <c r="L129" s="75" t="n">
        <f aca="false">IF(I129=1,COUNT(I$13:I129),"")</f>
        <v>116</v>
      </c>
      <c r="M129" s="76" t="n">
        <f aca="false">IFERROR(INDEX($J$13:$J$412,MATCH(A129,$L$13:$L$412,0)),"")</f>
        <v>-0.0117748420448019</v>
      </c>
      <c r="N129" s="76" t="n">
        <f aca="false">IFERROR(INDEX($K$13:$K$412,MATCH(A129,$L$13:$L$412,0)),"")</f>
        <v>-0.00278687584150727</v>
      </c>
      <c r="O129" s="76" t="n">
        <f aca="false">IF(I129=1,E129,NA())</f>
        <v>-0.0268306316377865</v>
      </c>
      <c r="P129" s="76" t="n">
        <f aca="false">IF(I129=1,F129,NA())</f>
        <v>-0.0104232251901401</v>
      </c>
      <c r="R129" s="75" t="n">
        <f aca="false">ROWS(R$13:R129)</f>
        <v>117</v>
      </c>
      <c r="S129" s="73" t="str">
        <f aca="false">IF(S128="","",IFERROR(SMALL($AD$10:$AD$509,COUNTIF($AD$10:$AD$509,"&lt;="&amp;S128)+1),""))</f>
        <v/>
      </c>
      <c r="T129" s="74" t="str">
        <f aca="false">IF(S129="","",INDEX($AE$10:$AE$509,MATCH(S129,$AD$10:$AD$509,0)))</f>
        <v/>
      </c>
      <c r="U129" s="74" t="str">
        <f aca="false">IF(S129="","",IFERROR(INDEX($AG$10:$AG$509,MATCH(S129,$AF$10:$AF$509,0)),""))</f>
        <v/>
      </c>
      <c r="V129" s="76" t="str">
        <f aca="false">IF(AND(ISNUMBER(T129),ISNUMBER(T128)),T129/T128-1,"")</f>
        <v/>
      </c>
      <c r="W129" s="76" t="str">
        <f aca="false">IF(AND(ISNUMBER(U129),ISNUMBER(U128)),U129/U128-1,"")</f>
        <v/>
      </c>
      <c r="X129" s="75" t="str">
        <f aca="false">IF(AND(ISNUMBER(V129),ISNUMBER(W129)),1,"")</f>
        <v/>
      </c>
      <c r="Y129" s="76" t="str">
        <f aca="false">IF(X129=1,V129,"")</f>
        <v/>
      </c>
      <c r="Z129" s="76" t="str">
        <f aca="false">IF(X129=1,W129,"")</f>
        <v/>
      </c>
      <c r="AA129" s="76" t="e">
        <f aca="false">IF(X129=1,V129,NA())</f>
        <v>#N/A</v>
      </c>
      <c r="AB129" s="76" t="e">
        <f aca="false">IF(X129=1,W129,NA())</f>
        <v>#N/A</v>
      </c>
      <c r="AD129" s="73" t="str">
        <f aca="false">IF(ISNUMBER(AE129),IF(ISNUMBER('Base de Datos'!A125),IF('Base de Datos'!A125&gt;20000,DATE(YEAR('Base de Datos'!A125),DAY('Base de Datos'!A125),MONTH('Base de Datos'!A125)),""),IF(TRIM('Base de Datos'!A125)="","",IFERROR(DATE(VALUE(RIGHT(TRIM('Base de Datos'!A125),4)),VALUE(LEFT(TRIM('Base de Datos'!A125),2)),VALUE(MID(TRIM('Base de Datos'!A125),4,2))),""))),"")</f>
        <v/>
      </c>
      <c r="AE129" s="74" t="str">
        <f aca="false">IF(ISNUMBER('Base de Datos'!B125),'Base de Datos'!B125,IF(TRIM('Base de Datos'!B125)="","",IFERROR(IF(IFERROR(FIND("@",SUBSTITUTE(TRIM('Base de Datos'!B125),",","@",LEN(TRIM('Base de Datos'!B125))-LEN(SUBSTITUTE(TRIM('Base de Datos'!B125),",","")))),0)&gt;IFERROR(FIND("@",SUBSTITUTE(TRIM('Base de Datos'!B125),".","@",LEN(TRIM('Base de Datos'!B125))-LEN(SUBSTITUTE(TRIM('Base de Datos'!B125),".","")))),0),_xlfn.NUMBERVALUE(SUBSTITUTE(SUBSTITUTE(TRIM('Base de Datos'!B125),".",""),",","."),".",","),_xlfn.NUMBERVALUE(SUBSTITUTE(TRIM('Base de Datos'!B125),",",""),".",",")),"")))</f>
        <v/>
      </c>
      <c r="AF129" s="73" t="str">
        <f aca="false">IF(ISNUMBER(AG129),IF(ISNUMBER('Base de Datos'!I125),IF('Base de Datos'!I125&gt;20000,INT('Base de Datos'!I125),""),IF(TRIM('Base de Datos'!I125)="","",IFERROR(DATE(VALUE(RIGHT(TRIM('Base de Datos'!I125),4)),VALUE(MID(TRIM('Base de Datos'!I125),4,2)),VALUE(LEFT(TRIM('Base de Datos'!I125),2))),IFERROR(DATEVALUE(TRIM('Base de Datos'!I125)),"")))),"")</f>
        <v/>
      </c>
      <c r="AG129" s="74" t="str">
        <f aca="false">IF(ISNUMBER('Base de Datos'!J125),'Base de Datos'!J125,IF(TRIM('Base de Datos'!J125)="","",IFERROR(IF(IFERROR(FIND("@",SUBSTITUTE(TRIM('Base de Datos'!J125),",","@",LEN(TRIM('Base de Datos'!J125))-LEN(SUBSTITUTE(TRIM('Base de Datos'!J125),",","")))),0)&gt;IFERROR(FIND("@",SUBSTITUTE(TRIM('Base de Datos'!J125),".","@",LEN(TRIM('Base de Datos'!J125))-LEN(SUBSTITUTE(TRIM('Base de Datos'!J125),".","")))),0),_xlfn.NUMBERVALUE(SUBSTITUTE(SUBSTITUTE(TRIM('Base de Datos'!J125),".",""),",","."),".",","),_xlfn.NUMBERVALUE(SUBSTITUTE(TRIM('Base de Datos'!J125),",",""),".",",")),"")))</f>
        <v/>
      </c>
      <c r="AH129" s="73" t="n">
        <f aca="false">IF(ISNUMBER(AI129),IF(ISNUMBER('Base de Datos'!Q125),IF('Base de Datos'!Q125&gt;20000,DATE(YEAR('Base de Datos'!Q125),DAY('Base de Datos'!Q125),MONTH('Base de Datos'!Q125)),""),IF(TRIM('Base de Datos'!Q125)="","",IFERROR(DATE(VALUE(RIGHT(TRIM('Base de Datos'!Q125),4)),VALUE(LEFT(TRIM('Base de Datos'!Q125),2)),VALUE(MID(TRIM('Base de Datos'!Q125),4,2))),""))),"")</f>
        <v>45319</v>
      </c>
      <c r="AI129" s="74" t="n">
        <f aca="false">IF(ISNUMBER('Base de Datos'!R125),'Base de Datos'!R125,IF(TRIM('Base de Datos'!R125)="","",IFERROR(IF(IFERROR(FIND("@",SUBSTITUTE(TRIM('Base de Datos'!R125),",","@",LEN(TRIM('Base de Datos'!R125))-LEN(SUBSTITUTE(TRIM('Base de Datos'!R125),",","")))),0)&gt;IFERROR(FIND("@",SUBSTITUTE(TRIM('Base de Datos'!R125),".","@",LEN(TRIM('Base de Datos'!R125))-LEN(SUBSTITUTE(TRIM('Base de Datos'!R125),".","")))),0),_xlfn.NUMBERVALUE(SUBSTITUTE(SUBSTITUTE(TRIM('Base de Datos'!R125),".",""),",","."),".",","),_xlfn.NUMBERVALUE(SUBSTITUTE(TRIM('Base de Datos'!R125),",",""),".",",")),"")))</f>
        <v>34.89</v>
      </c>
      <c r="AJ129" s="73" t="n">
        <f aca="false">IF(ISNUMBER(AK129),IF(ISNUMBER('Base de Datos'!Y125),IF('Base de Datos'!Y125&gt;20000,INT('Base de Datos'!Y125),""),IF(TRIM('Base de Datos'!Y125)="","",IFERROR(DATE(VALUE(RIGHT(TRIM('Base de Datos'!Y125),4)),VALUE(MID(TRIM('Base de Datos'!Y125),4,2)),VALUE(LEFT(TRIM('Base de Datos'!Y125),2))),IFERROR(DATEVALUE(TRIM('Base de Datos'!Y125)),"")))),"")</f>
        <v>45319</v>
      </c>
      <c r="AK129" s="74" t="n">
        <f aca="false">IF(ISNUMBER('Base de Datos'!Z125),'Base de Datos'!Z125,IF(TRIM('Base de Datos'!Z125)="","",IFERROR(IF(IFERROR(FIND("@",SUBSTITUTE(TRIM('Base de Datos'!Z125),",","@",LEN(TRIM('Base de Datos'!Z125))-LEN(SUBSTITUTE(TRIM('Base de Datos'!Z125),",","")))),0)&gt;IFERROR(FIND("@",SUBSTITUTE(TRIM('Base de Datos'!Z125),".","@",LEN(TRIM('Base de Datos'!Z125))-LEN(SUBSTITUTE(TRIM('Base de Datos'!Z125),".","")))),0),_xlfn.NUMBERVALUE(SUBSTITUTE(SUBSTITUTE(TRIM('Base de Datos'!Z125),".",""),",","."),".",","),_xlfn.NUMBERVALUE(SUBSTITUTE(TRIM('Base de Datos'!Z125),",",""),".",",")),"")))</f>
        <v>58226.77</v>
      </c>
    </row>
    <row r="130" customFormat="false" ht="13.5" hidden="false" customHeight="false" outlineLevel="0" collapsed="false">
      <c r="A130" s="75" t="n">
        <f aca="false">ROWS(A$13:A130)</f>
        <v>118</v>
      </c>
      <c r="B130" s="73" t="n">
        <f aca="false">IF(B129="","",IFERROR(SMALL($AH$10:$AH$409,COUNTIF($AH$10:$AH$409,"&lt;="&amp;B129)+1),""))</f>
        <v>45305</v>
      </c>
      <c r="C130" s="74" t="n">
        <f aca="false">IF(B130="","",INDEX($AI$10:$AI$409,MATCH(B130,$AH$10:$AH$409,0)))</f>
        <v>34.41</v>
      </c>
      <c r="D130" s="74" t="n">
        <f aca="false">IF(B130="","",IFERROR(INDEX($AK$10:$AK$409,MATCH(B130,$AJ$10:$AJ$409,0)),""))</f>
        <v>55452.1</v>
      </c>
      <c r="E130" s="76" t="n">
        <f aca="false">IF(AND(ISNUMBER(C130),ISNUMBER(C129)),C130/C129-1,"")</f>
        <v>-0.0117748420448019</v>
      </c>
      <c r="F130" s="76" t="n">
        <f aca="false">IF(AND(ISNUMBER(D130),ISNUMBER(D129)),D130/D129-1,"")</f>
        <v>-0.00278687584150727</v>
      </c>
      <c r="G130" s="75" t="n">
        <f aca="false">IF(AND(ISNUMBER(E130),ISNUMBER(F130)),1,"")</f>
        <v>1</v>
      </c>
      <c r="H130" s="75" t="n">
        <f aca="false">IF(G130=1,COUNT(G130:G$412),"")</f>
        <v>142</v>
      </c>
      <c r="I130" s="75" t="n">
        <f aca="false">IF(G130=1,IF(H130&lt;='Beta Regresión'!$B$5,1,""),"")</f>
        <v>1</v>
      </c>
      <c r="J130" s="76" t="n">
        <f aca="false">IF(I130=1,E130,"")</f>
        <v>-0.0117748420448019</v>
      </c>
      <c r="K130" s="76" t="n">
        <f aca="false">IF(I130=1,F130,"")</f>
        <v>-0.00278687584150727</v>
      </c>
      <c r="L130" s="75" t="n">
        <f aca="false">IF(I130=1,COUNT(I$13:I130),"")</f>
        <v>117</v>
      </c>
      <c r="M130" s="76" t="n">
        <f aca="false">IFERROR(INDEX($J$13:$J$412,MATCH(A130,$L$13:$L$412,0)),"")</f>
        <v>0.0145306596919501</v>
      </c>
      <c r="N130" s="76" t="n">
        <f aca="false">IFERROR(INDEX($K$13:$K$412,MATCH(A130,$L$13:$L$412,0)),"")</f>
        <v>0.0253151819317934</v>
      </c>
      <c r="O130" s="76" t="n">
        <f aca="false">IF(I130=1,E130,NA())</f>
        <v>-0.0117748420448019</v>
      </c>
      <c r="P130" s="76" t="n">
        <f aca="false">IF(I130=1,F130,NA())</f>
        <v>-0.00278687584150727</v>
      </c>
      <c r="R130" s="75" t="n">
        <f aca="false">ROWS(R$13:R130)</f>
        <v>118</v>
      </c>
      <c r="S130" s="73" t="str">
        <f aca="false">IF(S129="","",IFERROR(SMALL($AD$10:$AD$509,COUNTIF($AD$10:$AD$509,"&lt;="&amp;S129)+1),""))</f>
        <v/>
      </c>
      <c r="T130" s="74" t="str">
        <f aca="false">IF(S130="","",INDEX($AE$10:$AE$509,MATCH(S130,$AD$10:$AD$509,0)))</f>
        <v/>
      </c>
      <c r="U130" s="74" t="str">
        <f aca="false">IF(S130="","",IFERROR(INDEX($AG$10:$AG$509,MATCH(S130,$AF$10:$AF$509,0)),""))</f>
        <v/>
      </c>
      <c r="V130" s="76" t="str">
        <f aca="false">IF(AND(ISNUMBER(T130),ISNUMBER(T129)),T130/T129-1,"")</f>
        <v/>
      </c>
      <c r="W130" s="76" t="str">
        <f aca="false">IF(AND(ISNUMBER(U130),ISNUMBER(U129)),U130/U129-1,"")</f>
        <v/>
      </c>
      <c r="X130" s="75" t="str">
        <f aca="false">IF(AND(ISNUMBER(V130),ISNUMBER(W130)),1,"")</f>
        <v/>
      </c>
      <c r="Y130" s="76" t="str">
        <f aca="false">IF(X130=1,V130,"")</f>
        <v/>
      </c>
      <c r="Z130" s="76" t="str">
        <f aca="false">IF(X130=1,W130,"")</f>
        <v/>
      </c>
      <c r="AA130" s="76" t="e">
        <f aca="false">IF(X130=1,V130,NA())</f>
        <v>#N/A</v>
      </c>
      <c r="AB130" s="76" t="e">
        <f aca="false">IF(X130=1,W130,NA())</f>
        <v>#N/A</v>
      </c>
      <c r="AD130" s="73" t="str">
        <f aca="false">IF(ISNUMBER(AE130),IF(ISNUMBER('Base de Datos'!A126),IF('Base de Datos'!A126&gt;20000,DATE(YEAR('Base de Datos'!A126),DAY('Base de Datos'!A126),MONTH('Base de Datos'!A126)),""),IF(TRIM('Base de Datos'!A126)="","",IFERROR(DATE(VALUE(RIGHT(TRIM('Base de Datos'!A126),4)),VALUE(LEFT(TRIM('Base de Datos'!A126),2)),VALUE(MID(TRIM('Base de Datos'!A126),4,2))),""))),"")</f>
        <v/>
      </c>
      <c r="AE130" s="74" t="str">
        <f aca="false">IF(ISNUMBER('Base de Datos'!B126),'Base de Datos'!B126,IF(TRIM('Base de Datos'!B126)="","",IFERROR(IF(IFERROR(FIND("@",SUBSTITUTE(TRIM('Base de Datos'!B126),",","@",LEN(TRIM('Base de Datos'!B126))-LEN(SUBSTITUTE(TRIM('Base de Datos'!B126),",","")))),0)&gt;IFERROR(FIND("@",SUBSTITUTE(TRIM('Base de Datos'!B126),".","@",LEN(TRIM('Base de Datos'!B126))-LEN(SUBSTITUTE(TRIM('Base de Datos'!B126),".","")))),0),_xlfn.NUMBERVALUE(SUBSTITUTE(SUBSTITUTE(TRIM('Base de Datos'!B126),".",""),",","."),".",","),_xlfn.NUMBERVALUE(SUBSTITUTE(TRIM('Base de Datos'!B126),",",""),".",",")),"")))</f>
        <v/>
      </c>
      <c r="AF130" s="73" t="str">
        <f aca="false">IF(ISNUMBER(AG130),IF(ISNUMBER('Base de Datos'!I126),IF('Base de Datos'!I126&gt;20000,INT('Base de Datos'!I126),""),IF(TRIM('Base de Datos'!I126)="","",IFERROR(DATE(VALUE(RIGHT(TRIM('Base de Datos'!I126),4)),VALUE(MID(TRIM('Base de Datos'!I126),4,2)),VALUE(LEFT(TRIM('Base de Datos'!I126),2))),IFERROR(DATEVALUE(TRIM('Base de Datos'!I126)),"")))),"")</f>
        <v/>
      </c>
      <c r="AG130" s="74" t="str">
        <f aca="false">IF(ISNUMBER('Base de Datos'!J126),'Base de Datos'!J126,IF(TRIM('Base de Datos'!J126)="","",IFERROR(IF(IFERROR(FIND("@",SUBSTITUTE(TRIM('Base de Datos'!J126),",","@",LEN(TRIM('Base de Datos'!J126))-LEN(SUBSTITUTE(TRIM('Base de Datos'!J126),",","")))),0)&gt;IFERROR(FIND("@",SUBSTITUTE(TRIM('Base de Datos'!J126),".","@",LEN(TRIM('Base de Datos'!J126))-LEN(SUBSTITUTE(TRIM('Base de Datos'!J126),".","")))),0),_xlfn.NUMBERVALUE(SUBSTITUTE(SUBSTITUTE(TRIM('Base de Datos'!J126),".",""),",","."),".",","),_xlfn.NUMBERVALUE(SUBSTITUTE(TRIM('Base de Datos'!J126),",",""),".",",")),"")))</f>
        <v/>
      </c>
      <c r="AH130" s="73" t="n">
        <f aca="false">IF(ISNUMBER(AI130),IF(ISNUMBER('Base de Datos'!Q126),IF('Base de Datos'!Q126&gt;20000,DATE(YEAR('Base de Datos'!Q126),DAY('Base de Datos'!Q126),MONTH('Base de Datos'!Q126)),""),IF(TRIM('Base de Datos'!Q126)="","",IFERROR(DATE(VALUE(RIGHT(TRIM('Base de Datos'!Q126),4)),VALUE(LEFT(TRIM('Base de Datos'!Q126),2)),VALUE(MID(TRIM('Base de Datos'!Q126),4,2))),""))),"")</f>
        <v>45326</v>
      </c>
      <c r="AI130" s="74" t="n">
        <f aca="false">IF(ISNUMBER('Base de Datos'!R126),'Base de Datos'!R126,IF(TRIM('Base de Datos'!R126)="","",IFERROR(IF(IFERROR(FIND("@",SUBSTITUTE(TRIM('Base de Datos'!R126),",","@",LEN(TRIM('Base de Datos'!R126))-LEN(SUBSTITUTE(TRIM('Base de Datos'!R126),",","")))),0)&gt;IFERROR(FIND("@",SUBSTITUTE(TRIM('Base de Datos'!R126),".","@",LEN(TRIM('Base de Datos'!R126))-LEN(SUBSTITUTE(TRIM('Base de Datos'!R126),".","")))),0),_xlfn.NUMBERVALUE(SUBSTITUTE(SUBSTITUTE(TRIM('Base de Datos'!R126),".",""),",","."),".",","),_xlfn.NUMBERVALUE(SUBSTITUTE(TRIM('Base de Datos'!R126),",",""),".",",")),"")))</f>
        <v>34.94</v>
      </c>
      <c r="AJ130" s="73" t="n">
        <f aca="false">IF(ISNUMBER(AK130),IF(ISNUMBER('Base de Datos'!Y126),IF('Base de Datos'!Y126&gt;20000,INT('Base de Datos'!Y126),""),IF(TRIM('Base de Datos'!Y126)="","",IFERROR(DATE(VALUE(RIGHT(TRIM('Base de Datos'!Y126),4)),VALUE(MID(TRIM('Base de Datos'!Y126),4,2)),VALUE(LEFT(TRIM('Base de Datos'!Y126),2))),IFERROR(DATEVALUE(TRIM('Base de Datos'!Y126)),"")))),"")</f>
        <v>45326</v>
      </c>
      <c r="AK130" s="74" t="n">
        <f aca="false">IF(ISNUMBER('Base de Datos'!Z126),'Base de Datos'!Z126,IF(TRIM('Base de Datos'!Z126)="","",IFERROR(IF(IFERROR(FIND("@",SUBSTITUTE(TRIM('Base de Datos'!Z126),",","@",LEN(TRIM('Base de Datos'!Z126))-LEN(SUBSTITUTE(TRIM('Base de Datos'!Z126),",","")))),0)&gt;IFERROR(FIND("@",SUBSTITUTE(TRIM('Base de Datos'!Z126),".","@",LEN(TRIM('Base de Datos'!Z126))-LEN(SUBSTITUTE(TRIM('Base de Datos'!Z126),".","")))),0),_xlfn.NUMBERVALUE(SUBSTITUTE(SUBSTITUTE(TRIM('Base de Datos'!Z126),".",""),",","."),".",","),_xlfn.NUMBERVALUE(SUBSTITUTE(TRIM('Base de Datos'!Z126),",",""),".",",")),"")))</f>
        <v>57327.5</v>
      </c>
    </row>
    <row r="131" customFormat="false" ht="13.5" hidden="false" customHeight="false" outlineLevel="0" collapsed="false">
      <c r="A131" s="75" t="n">
        <f aca="false">ROWS(A$13:A131)</f>
        <v>119</v>
      </c>
      <c r="B131" s="73" t="n">
        <f aca="false">IF(B130="","",IFERROR(SMALL($AH$10:$AH$409,COUNTIF($AH$10:$AH$409,"&lt;="&amp;B130)+1),""))</f>
        <v>45312</v>
      </c>
      <c r="C131" s="74" t="n">
        <f aca="false">IF(B131="","",INDEX($AI$10:$AI$409,MATCH(B131,$AH$10:$AH$409,0)))</f>
        <v>34.91</v>
      </c>
      <c r="D131" s="74" t="n">
        <f aca="false">IF(B131="","",IFERROR(INDEX($AK$10:$AK$409,MATCH(B131,$AJ$10:$AJ$409,0)),""))</f>
        <v>56855.88</v>
      </c>
      <c r="E131" s="76" t="n">
        <f aca="false">IF(AND(ISNUMBER(C131),ISNUMBER(C130)),C131/C130-1,"")</f>
        <v>0.0145306596919501</v>
      </c>
      <c r="F131" s="76" t="n">
        <f aca="false">IF(AND(ISNUMBER(D131),ISNUMBER(D130)),D131/D130-1,"")</f>
        <v>0.0253151819317934</v>
      </c>
      <c r="G131" s="75" t="n">
        <f aca="false">IF(AND(ISNUMBER(E131),ISNUMBER(F131)),1,"")</f>
        <v>1</v>
      </c>
      <c r="H131" s="75" t="n">
        <f aca="false">IF(G131=1,COUNT(G131:G$412),"")</f>
        <v>141</v>
      </c>
      <c r="I131" s="75" t="n">
        <f aca="false">IF(G131=1,IF(H131&lt;='Beta Regresión'!$B$5,1,""),"")</f>
        <v>1</v>
      </c>
      <c r="J131" s="76" t="n">
        <f aca="false">IF(I131=1,E131,"")</f>
        <v>0.0145306596919501</v>
      </c>
      <c r="K131" s="76" t="n">
        <f aca="false">IF(I131=1,F131,"")</f>
        <v>0.0253151819317934</v>
      </c>
      <c r="L131" s="75" t="n">
        <f aca="false">IF(I131=1,COUNT(I$13:I131),"")</f>
        <v>118</v>
      </c>
      <c r="M131" s="76" t="n">
        <f aca="false">IFERROR(INDEX($J$13:$J$412,MATCH(A131,$L$13:$L$412,0)),"")</f>
        <v>-0.000572901747350252</v>
      </c>
      <c r="N131" s="76" t="n">
        <f aca="false">IFERROR(INDEX($K$13:$K$412,MATCH(A131,$L$13:$L$412,0)),"")</f>
        <v>0.024111666198817</v>
      </c>
      <c r="O131" s="76" t="n">
        <f aca="false">IF(I131=1,E131,NA())</f>
        <v>0.0145306596919501</v>
      </c>
      <c r="P131" s="76" t="n">
        <f aca="false">IF(I131=1,F131,NA())</f>
        <v>0.0253151819317934</v>
      </c>
      <c r="R131" s="75" t="n">
        <f aca="false">ROWS(R$13:R131)</f>
        <v>119</v>
      </c>
      <c r="S131" s="73" t="str">
        <f aca="false">IF(S130="","",IFERROR(SMALL($AD$10:$AD$509,COUNTIF($AD$10:$AD$509,"&lt;="&amp;S130)+1),""))</f>
        <v/>
      </c>
      <c r="T131" s="74" t="str">
        <f aca="false">IF(S131="","",INDEX($AE$10:$AE$509,MATCH(S131,$AD$10:$AD$509,0)))</f>
        <v/>
      </c>
      <c r="U131" s="74" t="str">
        <f aca="false">IF(S131="","",IFERROR(INDEX($AG$10:$AG$509,MATCH(S131,$AF$10:$AF$509,0)),""))</f>
        <v/>
      </c>
      <c r="V131" s="76" t="str">
        <f aca="false">IF(AND(ISNUMBER(T131),ISNUMBER(T130)),T131/T130-1,"")</f>
        <v/>
      </c>
      <c r="W131" s="76" t="str">
        <f aca="false">IF(AND(ISNUMBER(U131),ISNUMBER(U130)),U131/U130-1,"")</f>
        <v/>
      </c>
      <c r="X131" s="75" t="str">
        <f aca="false">IF(AND(ISNUMBER(V131),ISNUMBER(W131)),1,"")</f>
        <v/>
      </c>
      <c r="Y131" s="76" t="str">
        <f aca="false">IF(X131=1,V131,"")</f>
        <v/>
      </c>
      <c r="Z131" s="76" t="str">
        <f aca="false">IF(X131=1,W131,"")</f>
        <v/>
      </c>
      <c r="AA131" s="76" t="e">
        <f aca="false">IF(X131=1,V131,NA())</f>
        <v>#N/A</v>
      </c>
      <c r="AB131" s="76" t="e">
        <f aca="false">IF(X131=1,W131,NA())</f>
        <v>#N/A</v>
      </c>
      <c r="AD131" s="73" t="str">
        <f aca="false">IF(ISNUMBER(AE131),IF(ISNUMBER('Base de Datos'!A127),IF('Base de Datos'!A127&gt;20000,DATE(YEAR('Base de Datos'!A127),DAY('Base de Datos'!A127),MONTH('Base de Datos'!A127)),""),IF(TRIM('Base de Datos'!A127)="","",IFERROR(DATE(VALUE(RIGHT(TRIM('Base de Datos'!A127),4)),VALUE(LEFT(TRIM('Base de Datos'!A127),2)),VALUE(MID(TRIM('Base de Datos'!A127),4,2))),""))),"")</f>
        <v/>
      </c>
      <c r="AE131" s="74" t="str">
        <f aca="false">IF(ISNUMBER('Base de Datos'!B127),'Base de Datos'!B127,IF(TRIM('Base de Datos'!B127)="","",IFERROR(IF(IFERROR(FIND("@",SUBSTITUTE(TRIM('Base de Datos'!B127),",","@",LEN(TRIM('Base de Datos'!B127))-LEN(SUBSTITUTE(TRIM('Base de Datos'!B127),",","")))),0)&gt;IFERROR(FIND("@",SUBSTITUTE(TRIM('Base de Datos'!B127),".","@",LEN(TRIM('Base de Datos'!B127))-LEN(SUBSTITUTE(TRIM('Base de Datos'!B127),".","")))),0),_xlfn.NUMBERVALUE(SUBSTITUTE(SUBSTITUTE(TRIM('Base de Datos'!B127),".",""),",","."),".",","),_xlfn.NUMBERVALUE(SUBSTITUTE(TRIM('Base de Datos'!B127),",",""),".",",")),"")))</f>
        <v/>
      </c>
      <c r="AF131" s="73" t="str">
        <f aca="false">IF(ISNUMBER(AG131),IF(ISNUMBER('Base de Datos'!I127),IF('Base de Datos'!I127&gt;20000,INT('Base de Datos'!I127),""),IF(TRIM('Base de Datos'!I127)="","",IFERROR(DATE(VALUE(RIGHT(TRIM('Base de Datos'!I127),4)),VALUE(MID(TRIM('Base de Datos'!I127),4,2)),VALUE(LEFT(TRIM('Base de Datos'!I127),2))),IFERROR(DATEVALUE(TRIM('Base de Datos'!I127)),"")))),"")</f>
        <v/>
      </c>
      <c r="AG131" s="74" t="str">
        <f aca="false">IF(ISNUMBER('Base de Datos'!J127),'Base de Datos'!J127,IF(TRIM('Base de Datos'!J127)="","",IFERROR(IF(IFERROR(FIND("@",SUBSTITUTE(TRIM('Base de Datos'!J127),",","@",LEN(TRIM('Base de Datos'!J127))-LEN(SUBSTITUTE(TRIM('Base de Datos'!J127),",","")))),0)&gt;IFERROR(FIND("@",SUBSTITUTE(TRIM('Base de Datos'!J127),".","@",LEN(TRIM('Base de Datos'!J127))-LEN(SUBSTITUTE(TRIM('Base de Datos'!J127),".","")))),0),_xlfn.NUMBERVALUE(SUBSTITUTE(SUBSTITUTE(TRIM('Base de Datos'!J127),".",""),",","."),".",","),_xlfn.NUMBERVALUE(SUBSTITUTE(TRIM('Base de Datos'!J127),",",""),".",",")),"")))</f>
        <v/>
      </c>
      <c r="AH131" s="73" t="n">
        <f aca="false">IF(ISNUMBER(AI131),IF(ISNUMBER('Base de Datos'!Q127),IF('Base de Datos'!Q127&gt;20000,DATE(YEAR('Base de Datos'!Q127),DAY('Base de Datos'!Q127),MONTH('Base de Datos'!Q127)),""),IF(TRIM('Base de Datos'!Q127)="","",IFERROR(DATE(VALUE(RIGHT(TRIM('Base de Datos'!Q127),4)),VALUE(LEFT(TRIM('Base de Datos'!Q127),2)),VALUE(MID(TRIM('Base de Datos'!Q127),4,2))),""))),"")</f>
        <v>45333</v>
      </c>
      <c r="AI131" s="74" t="n">
        <f aca="false">IF(ISNUMBER('Base de Datos'!R127),'Base de Datos'!R127,IF(TRIM('Base de Datos'!R127)="","",IFERROR(IF(IFERROR(FIND("@",SUBSTITUTE(TRIM('Base de Datos'!R127),",","@",LEN(TRIM('Base de Datos'!R127))-LEN(SUBSTITUTE(TRIM('Base de Datos'!R127),",","")))),0)&gt;IFERROR(FIND("@",SUBSTITUTE(TRIM('Base de Datos'!R127),".","@",LEN(TRIM('Base de Datos'!R127))-LEN(SUBSTITUTE(TRIM('Base de Datos'!R127),".","")))),0),_xlfn.NUMBERVALUE(SUBSTITUTE(SUBSTITUTE(TRIM('Base de Datos'!R127),".",""),",","."),".",","),_xlfn.NUMBERVALUE(SUBSTITUTE(TRIM('Base de Datos'!R127),",",""),".",",")),"")))</f>
        <v>34.88</v>
      </c>
      <c r="AJ131" s="73" t="n">
        <f aca="false">IF(ISNUMBER(AK131),IF(ISNUMBER('Base de Datos'!Y127),IF('Base de Datos'!Y127&gt;20000,INT('Base de Datos'!Y127),""),IF(TRIM('Base de Datos'!Y127)="","",IFERROR(DATE(VALUE(RIGHT(TRIM('Base de Datos'!Y127),4)),VALUE(MID(TRIM('Base de Datos'!Y127),4,2)),VALUE(LEFT(TRIM('Base de Datos'!Y127),2))),IFERROR(DATEVALUE(TRIM('Base de Datos'!Y127)),"")))),"")</f>
        <v>45333</v>
      </c>
      <c r="AK131" s="74" t="n">
        <f aca="false">IF(ISNUMBER('Base de Datos'!Z127),'Base de Datos'!Z127,IF(TRIM('Base de Datos'!Z127)="","",IFERROR(IF(IFERROR(FIND("@",SUBSTITUTE(TRIM('Base de Datos'!Z127),",","@",LEN(TRIM('Base de Datos'!Z127))-LEN(SUBSTITUTE(TRIM('Base de Datos'!Z127),",","")))),0)&gt;IFERROR(FIND("@",SUBSTITUTE(TRIM('Base de Datos'!Z127),".","@",LEN(TRIM('Base de Datos'!Z127))-LEN(SUBSTITUTE(TRIM('Base de Datos'!Z127),".","")))),0),_xlfn.NUMBERVALUE(SUBSTITUTE(SUBSTITUTE(TRIM('Base de Datos'!Z127),".",""),",","."),".",","),_xlfn.NUMBERVALUE(SUBSTITUTE(TRIM('Base de Datos'!Z127),",",""),".",",")),"")))</f>
        <v>57132.11</v>
      </c>
    </row>
    <row r="132" customFormat="false" ht="13.5" hidden="false" customHeight="false" outlineLevel="0" collapsed="false">
      <c r="A132" s="75" t="n">
        <f aca="false">ROWS(A$13:A132)</f>
        <v>120</v>
      </c>
      <c r="B132" s="73" t="n">
        <f aca="false">IF(B131="","",IFERROR(SMALL($AH$10:$AH$409,COUNTIF($AH$10:$AH$409,"&lt;="&amp;B131)+1),""))</f>
        <v>45319</v>
      </c>
      <c r="C132" s="74" t="n">
        <f aca="false">IF(B132="","",INDEX($AI$10:$AI$409,MATCH(B132,$AH$10:$AH$409,0)))</f>
        <v>34.89</v>
      </c>
      <c r="D132" s="74" t="n">
        <f aca="false">IF(B132="","",IFERROR(INDEX($AK$10:$AK$409,MATCH(B132,$AJ$10:$AJ$409,0)),""))</f>
        <v>58226.77</v>
      </c>
      <c r="E132" s="76" t="n">
        <f aca="false">IF(AND(ISNUMBER(C132),ISNUMBER(C131)),C132/C131-1,"")</f>
        <v>-0.000572901747350252</v>
      </c>
      <c r="F132" s="76" t="n">
        <f aca="false">IF(AND(ISNUMBER(D132),ISNUMBER(D131)),D132/D131-1,"")</f>
        <v>0.024111666198817</v>
      </c>
      <c r="G132" s="75" t="n">
        <f aca="false">IF(AND(ISNUMBER(E132),ISNUMBER(F132)),1,"")</f>
        <v>1</v>
      </c>
      <c r="H132" s="75" t="n">
        <f aca="false">IF(G132=1,COUNT(G132:G$412),"")</f>
        <v>140</v>
      </c>
      <c r="I132" s="75" t="n">
        <f aca="false">IF(G132=1,IF(H132&lt;='Beta Regresión'!$B$5,1,""),"")</f>
        <v>1</v>
      </c>
      <c r="J132" s="76" t="n">
        <f aca="false">IF(I132=1,E132,"")</f>
        <v>-0.000572901747350252</v>
      </c>
      <c r="K132" s="76" t="n">
        <f aca="false">IF(I132=1,F132,"")</f>
        <v>0.024111666198817</v>
      </c>
      <c r="L132" s="75" t="n">
        <f aca="false">IF(I132=1,COUNT(I$13:I132),"")</f>
        <v>119</v>
      </c>
      <c r="M132" s="76" t="n">
        <f aca="false">IFERROR(INDEX($J$13:$J$412,MATCH(A132,$L$13:$L$412,0)),"")</f>
        <v>0.00143307537976489</v>
      </c>
      <c r="N132" s="76" t="n">
        <f aca="false">IFERROR(INDEX($K$13:$K$412,MATCH(A132,$L$13:$L$412,0)),"")</f>
        <v>-0.0154442707366388</v>
      </c>
      <c r="O132" s="76" t="n">
        <f aca="false">IF(I132=1,E132,NA())</f>
        <v>-0.000572901747350252</v>
      </c>
      <c r="P132" s="76" t="n">
        <f aca="false">IF(I132=1,F132,NA())</f>
        <v>0.024111666198817</v>
      </c>
      <c r="R132" s="75" t="n">
        <f aca="false">ROWS(R$13:R132)</f>
        <v>120</v>
      </c>
      <c r="S132" s="73" t="str">
        <f aca="false">IF(S131="","",IFERROR(SMALL($AD$10:$AD$509,COUNTIF($AD$10:$AD$509,"&lt;="&amp;S131)+1),""))</f>
        <v/>
      </c>
      <c r="T132" s="74" t="str">
        <f aca="false">IF(S132="","",INDEX($AE$10:$AE$509,MATCH(S132,$AD$10:$AD$509,0)))</f>
        <v/>
      </c>
      <c r="U132" s="74" t="str">
        <f aca="false">IF(S132="","",IFERROR(INDEX($AG$10:$AG$509,MATCH(S132,$AF$10:$AF$509,0)),""))</f>
        <v/>
      </c>
      <c r="V132" s="76" t="str">
        <f aca="false">IF(AND(ISNUMBER(T132),ISNUMBER(T131)),T132/T131-1,"")</f>
        <v/>
      </c>
      <c r="W132" s="76" t="str">
        <f aca="false">IF(AND(ISNUMBER(U132),ISNUMBER(U131)),U132/U131-1,"")</f>
        <v/>
      </c>
      <c r="X132" s="75" t="str">
        <f aca="false">IF(AND(ISNUMBER(V132),ISNUMBER(W132)),1,"")</f>
        <v/>
      </c>
      <c r="Y132" s="76" t="str">
        <f aca="false">IF(X132=1,V132,"")</f>
        <v/>
      </c>
      <c r="Z132" s="76" t="str">
        <f aca="false">IF(X132=1,W132,"")</f>
        <v/>
      </c>
      <c r="AA132" s="76" t="e">
        <f aca="false">IF(X132=1,V132,NA())</f>
        <v>#N/A</v>
      </c>
      <c r="AB132" s="76" t="e">
        <f aca="false">IF(X132=1,W132,NA())</f>
        <v>#N/A</v>
      </c>
      <c r="AD132" s="73" t="str">
        <f aca="false">IF(ISNUMBER(AE132),IF(ISNUMBER('Base de Datos'!A128),IF('Base de Datos'!A128&gt;20000,DATE(YEAR('Base de Datos'!A128),DAY('Base de Datos'!A128),MONTH('Base de Datos'!A128)),""),IF(TRIM('Base de Datos'!A128)="","",IFERROR(DATE(VALUE(RIGHT(TRIM('Base de Datos'!A128),4)),VALUE(LEFT(TRIM('Base de Datos'!A128),2)),VALUE(MID(TRIM('Base de Datos'!A128),4,2))),""))),"")</f>
        <v/>
      </c>
      <c r="AE132" s="74" t="str">
        <f aca="false">IF(ISNUMBER('Base de Datos'!B128),'Base de Datos'!B128,IF(TRIM('Base de Datos'!B128)="","",IFERROR(IF(IFERROR(FIND("@",SUBSTITUTE(TRIM('Base de Datos'!B128),",","@",LEN(TRIM('Base de Datos'!B128))-LEN(SUBSTITUTE(TRIM('Base de Datos'!B128),",","")))),0)&gt;IFERROR(FIND("@",SUBSTITUTE(TRIM('Base de Datos'!B128),".","@",LEN(TRIM('Base de Datos'!B128))-LEN(SUBSTITUTE(TRIM('Base de Datos'!B128),".","")))),0),_xlfn.NUMBERVALUE(SUBSTITUTE(SUBSTITUTE(TRIM('Base de Datos'!B128),".",""),",","."),".",","),_xlfn.NUMBERVALUE(SUBSTITUTE(TRIM('Base de Datos'!B128),",",""),".",",")),"")))</f>
        <v/>
      </c>
      <c r="AF132" s="73" t="str">
        <f aca="false">IF(ISNUMBER(AG132),IF(ISNUMBER('Base de Datos'!I128),IF('Base de Datos'!I128&gt;20000,INT('Base de Datos'!I128),""),IF(TRIM('Base de Datos'!I128)="","",IFERROR(DATE(VALUE(RIGHT(TRIM('Base de Datos'!I128),4)),VALUE(MID(TRIM('Base de Datos'!I128),4,2)),VALUE(LEFT(TRIM('Base de Datos'!I128),2))),IFERROR(DATEVALUE(TRIM('Base de Datos'!I128)),"")))),"")</f>
        <v/>
      </c>
      <c r="AG132" s="74" t="str">
        <f aca="false">IF(ISNUMBER('Base de Datos'!J128),'Base de Datos'!J128,IF(TRIM('Base de Datos'!J128)="","",IFERROR(IF(IFERROR(FIND("@",SUBSTITUTE(TRIM('Base de Datos'!J128),",","@",LEN(TRIM('Base de Datos'!J128))-LEN(SUBSTITUTE(TRIM('Base de Datos'!J128),",","")))),0)&gt;IFERROR(FIND("@",SUBSTITUTE(TRIM('Base de Datos'!J128),".","@",LEN(TRIM('Base de Datos'!J128))-LEN(SUBSTITUTE(TRIM('Base de Datos'!J128),".","")))),0),_xlfn.NUMBERVALUE(SUBSTITUTE(SUBSTITUTE(TRIM('Base de Datos'!J128),".",""),",","."),".",","),_xlfn.NUMBERVALUE(SUBSTITUTE(TRIM('Base de Datos'!J128),",",""),".",",")),"")))</f>
        <v/>
      </c>
      <c r="AH132" s="73" t="n">
        <f aca="false">IF(ISNUMBER(AI132),IF(ISNUMBER('Base de Datos'!Q128),IF('Base de Datos'!Q128&gt;20000,DATE(YEAR('Base de Datos'!Q128),DAY('Base de Datos'!Q128),MONTH('Base de Datos'!Q128)),""),IF(TRIM('Base de Datos'!Q128)="","",IFERROR(DATE(VALUE(RIGHT(TRIM('Base de Datos'!Q128),4)),VALUE(LEFT(TRIM('Base de Datos'!Q128),2)),VALUE(MID(TRIM('Base de Datos'!Q128),4,2))),""))),"")</f>
        <v>45340</v>
      </c>
      <c r="AI132" s="74" t="n">
        <f aca="false">IF(ISNUMBER('Base de Datos'!R128),'Base de Datos'!R128,IF(TRIM('Base de Datos'!R128)="","",IFERROR(IF(IFERROR(FIND("@",SUBSTITUTE(TRIM('Base de Datos'!R128),",","@",LEN(TRIM('Base de Datos'!R128))-LEN(SUBSTITUTE(TRIM('Base de Datos'!R128),",","")))),0)&gt;IFERROR(FIND("@",SUBSTITUTE(TRIM('Base de Datos'!R128),".","@",LEN(TRIM('Base de Datos'!R128))-LEN(SUBSTITUTE(TRIM('Base de Datos'!R128),".","")))),0),_xlfn.NUMBERVALUE(SUBSTITUTE(SUBSTITUTE(TRIM('Base de Datos'!R128),".",""),",","."),".",","),_xlfn.NUMBERVALUE(SUBSTITUTE(TRIM('Base de Datos'!R128),",",""),".",",")),"")))</f>
        <v>33.86</v>
      </c>
      <c r="AJ132" s="73" t="n">
        <f aca="false">IF(ISNUMBER(AK132),IF(ISNUMBER('Base de Datos'!Y128),IF('Base de Datos'!Y128&gt;20000,INT('Base de Datos'!Y128),""),IF(TRIM('Base de Datos'!Y128)="","",IFERROR(DATE(VALUE(RIGHT(TRIM('Base de Datos'!Y128),4)),VALUE(MID(TRIM('Base de Datos'!Y128),4,2)),VALUE(LEFT(TRIM('Base de Datos'!Y128),2))),IFERROR(DATEVALUE(TRIM('Base de Datos'!Y128)),"")))),"")</f>
        <v>45340</v>
      </c>
      <c r="AK132" s="74" t="n">
        <f aca="false">IF(ISNUMBER('Base de Datos'!Z128),'Base de Datos'!Z128,IF(TRIM('Base de Datos'!Z128)="","",IFERROR(IF(IFERROR(FIND("@",SUBSTITUTE(TRIM('Base de Datos'!Z128),",","@",LEN(TRIM('Base de Datos'!Z128))-LEN(SUBSTITUTE(TRIM('Base de Datos'!Z128),",","")))),0)&gt;IFERROR(FIND("@",SUBSTITUTE(TRIM('Base de Datos'!Z128),".","@",LEN(TRIM('Base de Datos'!Z128))-LEN(SUBSTITUTE(TRIM('Base de Datos'!Z128),".","")))),0),_xlfn.NUMBERVALUE(SUBSTITUTE(SUBSTITUTE(TRIM('Base de Datos'!Z128),".",""),",","."),".",","),_xlfn.NUMBERVALUE(SUBSTITUTE(TRIM('Base de Datos'!Z128),",",""),".",",")),"")))</f>
        <v>56659.8</v>
      </c>
    </row>
    <row r="133" customFormat="false" ht="13.5" hidden="false" customHeight="false" outlineLevel="0" collapsed="false">
      <c r="A133" s="75" t="n">
        <f aca="false">ROWS(A$13:A133)</f>
        <v>121</v>
      </c>
      <c r="B133" s="73" t="n">
        <f aca="false">IF(B132="","",IFERROR(SMALL($AH$10:$AH$409,COUNTIF($AH$10:$AH$409,"&lt;="&amp;B132)+1),""))</f>
        <v>45326</v>
      </c>
      <c r="C133" s="74" t="n">
        <f aca="false">IF(B133="","",INDEX($AI$10:$AI$409,MATCH(B133,$AH$10:$AH$409,0)))</f>
        <v>34.94</v>
      </c>
      <c r="D133" s="74" t="n">
        <f aca="false">IF(B133="","",IFERROR(INDEX($AK$10:$AK$409,MATCH(B133,$AJ$10:$AJ$409,0)),""))</f>
        <v>57327.5</v>
      </c>
      <c r="E133" s="76" t="n">
        <f aca="false">IF(AND(ISNUMBER(C133),ISNUMBER(C132)),C133/C132-1,"")</f>
        <v>0.00143307537976489</v>
      </c>
      <c r="F133" s="76" t="n">
        <f aca="false">IF(AND(ISNUMBER(D133),ISNUMBER(D132)),D133/D132-1,"")</f>
        <v>-0.0154442707366388</v>
      </c>
      <c r="G133" s="75" t="n">
        <f aca="false">IF(AND(ISNUMBER(E133),ISNUMBER(F133)),1,"")</f>
        <v>1</v>
      </c>
      <c r="H133" s="75" t="n">
        <f aca="false">IF(G133=1,COUNT(G133:G$412),"")</f>
        <v>139</v>
      </c>
      <c r="I133" s="75" t="n">
        <f aca="false">IF(G133=1,IF(H133&lt;='Beta Regresión'!$B$5,1,""),"")</f>
        <v>1</v>
      </c>
      <c r="J133" s="76" t="n">
        <f aca="false">IF(I133=1,E133,"")</f>
        <v>0.00143307537976489</v>
      </c>
      <c r="K133" s="76" t="n">
        <f aca="false">IF(I133=1,F133,"")</f>
        <v>-0.0154442707366388</v>
      </c>
      <c r="L133" s="75" t="n">
        <f aca="false">IF(I133=1,COUNT(I$13:I133),"")</f>
        <v>120</v>
      </c>
      <c r="M133" s="76" t="n">
        <f aca="false">IFERROR(INDEX($J$13:$J$412,MATCH(A133,$L$13:$L$412,0)),"")</f>
        <v>-0.0017172295363479</v>
      </c>
      <c r="N133" s="76" t="n">
        <f aca="false">IFERROR(INDEX($K$13:$K$412,MATCH(A133,$L$13:$L$412,0)),"")</f>
        <v>-0.00340831189219837</v>
      </c>
      <c r="O133" s="76" t="n">
        <f aca="false">IF(I133=1,E133,NA())</f>
        <v>0.00143307537976489</v>
      </c>
      <c r="P133" s="76" t="n">
        <f aca="false">IF(I133=1,F133,NA())</f>
        <v>-0.0154442707366388</v>
      </c>
      <c r="R133" s="75" t="n">
        <f aca="false">ROWS(R$13:R133)</f>
        <v>121</v>
      </c>
      <c r="S133" s="73" t="str">
        <f aca="false">IF(S132="","",IFERROR(SMALL($AD$10:$AD$509,COUNTIF($AD$10:$AD$509,"&lt;="&amp;S132)+1),""))</f>
        <v/>
      </c>
      <c r="T133" s="74" t="str">
        <f aca="false">IF(S133="","",INDEX($AE$10:$AE$509,MATCH(S133,$AD$10:$AD$509,0)))</f>
        <v/>
      </c>
      <c r="U133" s="74" t="str">
        <f aca="false">IF(S133="","",IFERROR(INDEX($AG$10:$AG$509,MATCH(S133,$AF$10:$AF$509,0)),""))</f>
        <v/>
      </c>
      <c r="V133" s="76" t="str">
        <f aca="false">IF(AND(ISNUMBER(T133),ISNUMBER(T132)),T133/T132-1,"")</f>
        <v/>
      </c>
      <c r="W133" s="76" t="str">
        <f aca="false">IF(AND(ISNUMBER(U133),ISNUMBER(U132)),U133/U132-1,"")</f>
        <v/>
      </c>
      <c r="X133" s="75" t="str">
        <f aca="false">IF(AND(ISNUMBER(V133),ISNUMBER(W133)),1,"")</f>
        <v/>
      </c>
      <c r="Y133" s="76" t="str">
        <f aca="false">IF(X133=1,V133,"")</f>
        <v/>
      </c>
      <c r="Z133" s="76" t="str">
        <f aca="false">IF(X133=1,W133,"")</f>
        <v/>
      </c>
      <c r="AA133" s="76" t="e">
        <f aca="false">IF(X133=1,V133,NA())</f>
        <v>#N/A</v>
      </c>
      <c r="AB133" s="76" t="e">
        <f aca="false">IF(X133=1,W133,NA())</f>
        <v>#N/A</v>
      </c>
      <c r="AD133" s="73" t="str">
        <f aca="false">IF(ISNUMBER(AE133),IF(ISNUMBER('Base de Datos'!A129),IF('Base de Datos'!A129&gt;20000,DATE(YEAR('Base de Datos'!A129),DAY('Base de Datos'!A129),MONTH('Base de Datos'!A129)),""),IF(TRIM('Base de Datos'!A129)="","",IFERROR(DATE(VALUE(RIGHT(TRIM('Base de Datos'!A129),4)),VALUE(LEFT(TRIM('Base de Datos'!A129),2)),VALUE(MID(TRIM('Base de Datos'!A129),4,2))),""))),"")</f>
        <v/>
      </c>
      <c r="AE133" s="74" t="str">
        <f aca="false">IF(ISNUMBER('Base de Datos'!B129),'Base de Datos'!B129,IF(TRIM('Base de Datos'!B129)="","",IFERROR(IF(IFERROR(FIND("@",SUBSTITUTE(TRIM('Base de Datos'!B129),",","@",LEN(TRIM('Base de Datos'!B129))-LEN(SUBSTITUTE(TRIM('Base de Datos'!B129),",","")))),0)&gt;IFERROR(FIND("@",SUBSTITUTE(TRIM('Base de Datos'!B129),".","@",LEN(TRIM('Base de Datos'!B129))-LEN(SUBSTITUTE(TRIM('Base de Datos'!B129),".","")))),0),_xlfn.NUMBERVALUE(SUBSTITUTE(SUBSTITUTE(TRIM('Base de Datos'!B129),".",""),",","."),".",","),_xlfn.NUMBERVALUE(SUBSTITUTE(TRIM('Base de Datos'!B129),",",""),".",",")),"")))</f>
        <v/>
      </c>
      <c r="AF133" s="73" t="str">
        <f aca="false">IF(ISNUMBER(AG133),IF(ISNUMBER('Base de Datos'!I129),IF('Base de Datos'!I129&gt;20000,INT('Base de Datos'!I129),""),IF(TRIM('Base de Datos'!I129)="","",IFERROR(DATE(VALUE(RIGHT(TRIM('Base de Datos'!I129),4)),VALUE(MID(TRIM('Base de Datos'!I129),4,2)),VALUE(LEFT(TRIM('Base de Datos'!I129),2))),IFERROR(DATEVALUE(TRIM('Base de Datos'!I129)),"")))),"")</f>
        <v/>
      </c>
      <c r="AG133" s="74" t="str">
        <f aca="false">IF(ISNUMBER('Base de Datos'!J129),'Base de Datos'!J129,IF(TRIM('Base de Datos'!J129)="","",IFERROR(IF(IFERROR(FIND("@",SUBSTITUTE(TRIM('Base de Datos'!J129),",","@",LEN(TRIM('Base de Datos'!J129))-LEN(SUBSTITUTE(TRIM('Base de Datos'!J129),",","")))),0)&gt;IFERROR(FIND("@",SUBSTITUTE(TRIM('Base de Datos'!J129),".","@",LEN(TRIM('Base de Datos'!J129))-LEN(SUBSTITUTE(TRIM('Base de Datos'!J129),".","")))),0),_xlfn.NUMBERVALUE(SUBSTITUTE(SUBSTITUTE(TRIM('Base de Datos'!J129),".",""),",","."),".",","),_xlfn.NUMBERVALUE(SUBSTITUTE(TRIM('Base de Datos'!J129),",",""),".",",")),"")))</f>
        <v/>
      </c>
      <c r="AH133" s="73" t="n">
        <f aca="false">IF(ISNUMBER(AI133),IF(ISNUMBER('Base de Datos'!Q129),IF('Base de Datos'!Q129&gt;20000,DATE(YEAR('Base de Datos'!Q129),DAY('Base de Datos'!Q129),MONTH('Base de Datos'!Q129)),""),IF(TRIM('Base de Datos'!Q129)="","",IFERROR(DATE(VALUE(RIGHT(TRIM('Base de Datos'!Q129),4)),VALUE(LEFT(TRIM('Base de Datos'!Q129),2)),VALUE(MID(TRIM('Base de Datos'!Q129),4,2))),""))),"")</f>
        <v>45347</v>
      </c>
      <c r="AI133" s="74" t="n">
        <f aca="false">IF(ISNUMBER('Base de Datos'!R129),'Base de Datos'!R129,IF(TRIM('Base de Datos'!R129)="","",IFERROR(IF(IFERROR(FIND("@",SUBSTITUTE(TRIM('Base de Datos'!R129),",","@",LEN(TRIM('Base de Datos'!R129))-LEN(SUBSTITUTE(TRIM('Base de Datos'!R129),",","")))),0)&gt;IFERROR(FIND("@",SUBSTITUTE(TRIM('Base de Datos'!R129),".","@",LEN(TRIM('Base de Datos'!R129))-LEN(SUBSTITUTE(TRIM('Base de Datos'!R129),".","")))),0),_xlfn.NUMBERVALUE(SUBSTITUTE(SUBSTITUTE(TRIM('Base de Datos'!R129),".",""),",","."),".",","),_xlfn.NUMBERVALUE(SUBSTITUTE(TRIM('Base de Datos'!R129),",",""),".",",")),"")))</f>
        <v>33.3</v>
      </c>
      <c r="AJ133" s="73" t="n">
        <f aca="false">IF(ISNUMBER(AK133),IF(ISNUMBER('Base de Datos'!Y129),IF('Base de Datos'!Y129&gt;20000,INT('Base de Datos'!Y129),""),IF(TRIM('Base de Datos'!Y129)="","",IFERROR(DATE(VALUE(RIGHT(TRIM('Base de Datos'!Y129),4)),VALUE(MID(TRIM('Base de Datos'!Y129),4,2)),VALUE(LEFT(TRIM('Base de Datos'!Y129),2))),IFERROR(DATEVALUE(TRIM('Base de Datos'!Y129)),"")))),"")</f>
        <v>45347</v>
      </c>
      <c r="AK133" s="74" t="n">
        <f aca="false">IF(ISNUMBER('Base de Datos'!Z129),'Base de Datos'!Z129,IF(TRIM('Base de Datos'!Z129)="","",IFERROR(IF(IFERROR(FIND("@",SUBSTITUTE(TRIM('Base de Datos'!Z129),",","@",LEN(TRIM('Base de Datos'!Z129))-LEN(SUBSTITUTE(TRIM('Base de Datos'!Z129),",","")))),0)&gt;IFERROR(FIND("@",SUBSTITUTE(TRIM('Base de Datos'!Z129),".","@",LEN(TRIM('Base de Datos'!Z129))-LEN(SUBSTITUTE(TRIM('Base de Datos'!Z129),".","")))),0),_xlfn.NUMBERVALUE(SUBSTITUTE(SUBSTITUTE(TRIM('Base de Datos'!Z129),".",""),",","."),".",","),_xlfn.NUMBERVALUE(SUBSTITUTE(TRIM('Base de Datos'!Z129),",",""),".",",")),"")))</f>
        <v>55536.32</v>
      </c>
    </row>
    <row r="134" customFormat="false" ht="13.5" hidden="false" customHeight="false" outlineLevel="0" collapsed="false">
      <c r="A134" s="75" t="n">
        <f aca="false">ROWS(A$13:A134)</f>
        <v>122</v>
      </c>
      <c r="B134" s="73" t="n">
        <f aca="false">IF(B133="","",IFERROR(SMALL($AH$10:$AH$409,COUNTIF($AH$10:$AH$409,"&lt;="&amp;B133)+1),""))</f>
        <v>45333</v>
      </c>
      <c r="C134" s="74" t="n">
        <f aca="false">IF(B134="","",INDEX($AI$10:$AI$409,MATCH(B134,$AH$10:$AH$409,0)))</f>
        <v>34.88</v>
      </c>
      <c r="D134" s="74" t="n">
        <f aca="false">IF(B134="","",IFERROR(INDEX($AK$10:$AK$409,MATCH(B134,$AJ$10:$AJ$409,0)),""))</f>
        <v>57132.11</v>
      </c>
      <c r="E134" s="76" t="n">
        <f aca="false">IF(AND(ISNUMBER(C134),ISNUMBER(C133)),C134/C133-1,"")</f>
        <v>-0.0017172295363479</v>
      </c>
      <c r="F134" s="76" t="n">
        <f aca="false">IF(AND(ISNUMBER(D134),ISNUMBER(D133)),D134/D133-1,"")</f>
        <v>-0.00340831189219837</v>
      </c>
      <c r="G134" s="75" t="n">
        <f aca="false">IF(AND(ISNUMBER(E134),ISNUMBER(F134)),1,"")</f>
        <v>1</v>
      </c>
      <c r="H134" s="75" t="n">
        <f aca="false">IF(G134=1,COUNT(G134:G$412),"")</f>
        <v>138</v>
      </c>
      <c r="I134" s="75" t="n">
        <f aca="false">IF(G134=1,IF(H134&lt;='Beta Regresión'!$B$5,1,""),"")</f>
        <v>1</v>
      </c>
      <c r="J134" s="76" t="n">
        <f aca="false">IF(I134=1,E134,"")</f>
        <v>-0.0017172295363479</v>
      </c>
      <c r="K134" s="76" t="n">
        <f aca="false">IF(I134=1,F134,"")</f>
        <v>-0.00340831189219837</v>
      </c>
      <c r="L134" s="75" t="n">
        <f aca="false">IF(I134=1,COUNT(I$13:I134),"")</f>
        <v>121</v>
      </c>
      <c r="M134" s="76" t="n">
        <f aca="false">IFERROR(INDEX($J$13:$J$412,MATCH(A134,$L$13:$L$412,0)),"")</f>
        <v>-0.0292431192660552</v>
      </c>
      <c r="N134" s="76" t="n">
        <f aca="false">IFERROR(INDEX($K$13:$K$412,MATCH(A134,$L$13:$L$412,0)),"")</f>
        <v>-0.00826697981222813</v>
      </c>
      <c r="O134" s="76" t="n">
        <f aca="false">IF(I134=1,E134,NA())</f>
        <v>-0.0017172295363479</v>
      </c>
      <c r="P134" s="76" t="n">
        <f aca="false">IF(I134=1,F134,NA())</f>
        <v>-0.00340831189219837</v>
      </c>
      <c r="R134" s="75" t="n">
        <f aca="false">ROWS(R$13:R134)</f>
        <v>122</v>
      </c>
      <c r="S134" s="73" t="str">
        <f aca="false">IF(S133="","",IFERROR(SMALL($AD$10:$AD$509,COUNTIF($AD$10:$AD$509,"&lt;="&amp;S133)+1),""))</f>
        <v/>
      </c>
      <c r="T134" s="74" t="str">
        <f aca="false">IF(S134="","",INDEX($AE$10:$AE$509,MATCH(S134,$AD$10:$AD$509,0)))</f>
        <v/>
      </c>
      <c r="U134" s="74" t="str">
        <f aca="false">IF(S134="","",IFERROR(INDEX($AG$10:$AG$509,MATCH(S134,$AF$10:$AF$509,0)),""))</f>
        <v/>
      </c>
      <c r="V134" s="76" t="str">
        <f aca="false">IF(AND(ISNUMBER(T134),ISNUMBER(T133)),T134/T133-1,"")</f>
        <v/>
      </c>
      <c r="W134" s="76" t="str">
        <f aca="false">IF(AND(ISNUMBER(U134),ISNUMBER(U133)),U134/U133-1,"")</f>
        <v/>
      </c>
      <c r="X134" s="75" t="str">
        <f aca="false">IF(AND(ISNUMBER(V134),ISNUMBER(W134)),1,"")</f>
        <v/>
      </c>
      <c r="Y134" s="76" t="str">
        <f aca="false">IF(X134=1,V134,"")</f>
        <v/>
      </c>
      <c r="Z134" s="76" t="str">
        <f aca="false">IF(X134=1,W134,"")</f>
        <v/>
      </c>
      <c r="AA134" s="76" t="e">
        <f aca="false">IF(X134=1,V134,NA())</f>
        <v>#N/A</v>
      </c>
      <c r="AB134" s="76" t="e">
        <f aca="false">IF(X134=1,W134,NA())</f>
        <v>#N/A</v>
      </c>
      <c r="AD134" s="73" t="str">
        <f aca="false">IF(ISNUMBER(AE134),IF(ISNUMBER('Base de Datos'!A130),IF('Base de Datos'!A130&gt;20000,DATE(YEAR('Base de Datos'!A130),DAY('Base de Datos'!A130),MONTH('Base de Datos'!A130)),""),IF(TRIM('Base de Datos'!A130)="","",IFERROR(DATE(VALUE(RIGHT(TRIM('Base de Datos'!A130),4)),VALUE(LEFT(TRIM('Base de Datos'!A130),2)),VALUE(MID(TRIM('Base de Datos'!A130),4,2))),""))),"")</f>
        <v/>
      </c>
      <c r="AE134" s="74" t="str">
        <f aca="false">IF(ISNUMBER('Base de Datos'!B130),'Base de Datos'!B130,IF(TRIM('Base de Datos'!B130)="","",IFERROR(IF(IFERROR(FIND("@",SUBSTITUTE(TRIM('Base de Datos'!B130),",","@",LEN(TRIM('Base de Datos'!B130))-LEN(SUBSTITUTE(TRIM('Base de Datos'!B130),",","")))),0)&gt;IFERROR(FIND("@",SUBSTITUTE(TRIM('Base de Datos'!B130),".","@",LEN(TRIM('Base de Datos'!B130))-LEN(SUBSTITUTE(TRIM('Base de Datos'!B130),".","")))),0),_xlfn.NUMBERVALUE(SUBSTITUTE(SUBSTITUTE(TRIM('Base de Datos'!B130),".",""),",","."),".",","),_xlfn.NUMBERVALUE(SUBSTITUTE(TRIM('Base de Datos'!B130),",",""),".",",")),"")))</f>
        <v/>
      </c>
      <c r="AF134" s="73" t="str">
        <f aca="false">IF(ISNUMBER(AG134),IF(ISNUMBER('Base de Datos'!I130),IF('Base de Datos'!I130&gt;20000,INT('Base de Datos'!I130),""),IF(TRIM('Base de Datos'!I130)="","",IFERROR(DATE(VALUE(RIGHT(TRIM('Base de Datos'!I130),4)),VALUE(MID(TRIM('Base de Datos'!I130),4,2)),VALUE(LEFT(TRIM('Base de Datos'!I130),2))),IFERROR(DATEVALUE(TRIM('Base de Datos'!I130)),"")))),"")</f>
        <v/>
      </c>
      <c r="AG134" s="74" t="str">
        <f aca="false">IF(ISNUMBER('Base de Datos'!J130),'Base de Datos'!J130,IF(TRIM('Base de Datos'!J130)="","",IFERROR(IF(IFERROR(FIND("@",SUBSTITUTE(TRIM('Base de Datos'!J130),",","@",LEN(TRIM('Base de Datos'!J130))-LEN(SUBSTITUTE(TRIM('Base de Datos'!J130),",","")))),0)&gt;IFERROR(FIND("@",SUBSTITUTE(TRIM('Base de Datos'!J130),".","@",LEN(TRIM('Base de Datos'!J130))-LEN(SUBSTITUTE(TRIM('Base de Datos'!J130),".","")))),0),_xlfn.NUMBERVALUE(SUBSTITUTE(SUBSTITUTE(TRIM('Base de Datos'!J130),".",""),",","."),".",","),_xlfn.NUMBERVALUE(SUBSTITUTE(TRIM('Base de Datos'!J130),",",""),".",",")),"")))</f>
        <v/>
      </c>
      <c r="AH134" s="73" t="n">
        <f aca="false">IF(ISNUMBER(AI134),IF(ISNUMBER('Base de Datos'!Q130),IF('Base de Datos'!Q130&gt;20000,DATE(YEAR('Base de Datos'!Q130),DAY('Base de Datos'!Q130),MONTH('Base de Datos'!Q130)),""),IF(TRIM('Base de Datos'!Q130)="","",IFERROR(DATE(VALUE(RIGHT(TRIM('Base de Datos'!Q130),4)),VALUE(LEFT(TRIM('Base de Datos'!Q130),2)),VALUE(MID(TRIM('Base de Datos'!Q130),4,2))),""))),"")</f>
        <v>45354</v>
      </c>
      <c r="AI134" s="74" t="n">
        <f aca="false">IF(ISNUMBER('Base de Datos'!R130),'Base de Datos'!R130,IF(TRIM('Base de Datos'!R130)="","",IFERROR(IF(IFERROR(FIND("@",SUBSTITUTE(TRIM('Base de Datos'!R130),",","@",LEN(TRIM('Base de Datos'!R130))-LEN(SUBSTITUTE(TRIM('Base de Datos'!R130),",","")))),0)&gt;IFERROR(FIND("@",SUBSTITUTE(TRIM('Base de Datos'!R130),".","@",LEN(TRIM('Base de Datos'!R130))-LEN(SUBSTITUTE(TRIM('Base de Datos'!R130),".","")))),0),_xlfn.NUMBERVALUE(SUBSTITUTE(SUBSTITUTE(TRIM('Base de Datos'!R130),".",""),",","."),".",","),_xlfn.NUMBERVALUE(SUBSTITUTE(TRIM('Base de Datos'!R130),",",""),".",",")),"")))</f>
        <v>33.95</v>
      </c>
      <c r="AJ134" s="73" t="n">
        <f aca="false">IF(ISNUMBER(AK134),IF(ISNUMBER('Base de Datos'!Y130),IF('Base de Datos'!Y130&gt;20000,INT('Base de Datos'!Y130),""),IF(TRIM('Base de Datos'!Y130)="","",IFERROR(DATE(VALUE(RIGHT(TRIM('Base de Datos'!Y130),4)),VALUE(MID(TRIM('Base de Datos'!Y130),4,2)),VALUE(LEFT(TRIM('Base de Datos'!Y130),2))),IFERROR(DATEVALUE(TRIM('Base de Datos'!Y130)),"")))),"")</f>
        <v>45354</v>
      </c>
      <c r="AK134" s="74" t="n">
        <f aca="false">IF(ISNUMBER('Base de Datos'!Z130),'Base de Datos'!Z130,IF(TRIM('Base de Datos'!Z130)="","",IFERROR(IF(IFERROR(FIND("@",SUBSTITUTE(TRIM('Base de Datos'!Z130),",","@",LEN(TRIM('Base de Datos'!Z130))-LEN(SUBSTITUTE(TRIM('Base de Datos'!Z130),",","")))),0)&gt;IFERROR(FIND("@",SUBSTITUTE(TRIM('Base de Datos'!Z130),".","@",LEN(TRIM('Base de Datos'!Z130))-LEN(SUBSTITUTE(TRIM('Base de Datos'!Z130),".","")))),0),_xlfn.NUMBERVALUE(SUBSTITUTE(SUBSTITUTE(TRIM('Base de Datos'!Z130),".",""),",","."),".",","),_xlfn.NUMBERVALUE(SUBSTITUTE(TRIM('Base de Datos'!Z130),",",""),".",",")),"")))</f>
        <v>54935.99</v>
      </c>
    </row>
    <row r="135" customFormat="false" ht="13.5" hidden="false" customHeight="false" outlineLevel="0" collapsed="false">
      <c r="A135" s="75" t="n">
        <f aca="false">ROWS(A$13:A135)</f>
        <v>123</v>
      </c>
      <c r="B135" s="73" t="n">
        <f aca="false">IF(B134="","",IFERROR(SMALL($AH$10:$AH$409,COUNTIF($AH$10:$AH$409,"&lt;="&amp;B134)+1),""))</f>
        <v>45340</v>
      </c>
      <c r="C135" s="74" t="n">
        <f aca="false">IF(B135="","",INDEX($AI$10:$AI$409,MATCH(B135,$AH$10:$AH$409,0)))</f>
        <v>33.86</v>
      </c>
      <c r="D135" s="74" t="n">
        <f aca="false">IF(B135="","",IFERROR(INDEX($AK$10:$AK$409,MATCH(B135,$AJ$10:$AJ$409,0)),""))</f>
        <v>56659.8</v>
      </c>
      <c r="E135" s="76" t="n">
        <f aca="false">IF(AND(ISNUMBER(C135),ISNUMBER(C134)),C135/C134-1,"")</f>
        <v>-0.0292431192660552</v>
      </c>
      <c r="F135" s="76" t="n">
        <f aca="false">IF(AND(ISNUMBER(D135),ISNUMBER(D134)),D135/D134-1,"")</f>
        <v>-0.00826697981222813</v>
      </c>
      <c r="G135" s="75" t="n">
        <f aca="false">IF(AND(ISNUMBER(E135),ISNUMBER(F135)),1,"")</f>
        <v>1</v>
      </c>
      <c r="H135" s="75" t="n">
        <f aca="false">IF(G135=1,COUNT(G135:G$412),"")</f>
        <v>137</v>
      </c>
      <c r="I135" s="75" t="n">
        <f aca="false">IF(G135=1,IF(H135&lt;='Beta Regresión'!$B$5,1,""),"")</f>
        <v>1</v>
      </c>
      <c r="J135" s="76" t="n">
        <f aca="false">IF(I135=1,E135,"")</f>
        <v>-0.0292431192660552</v>
      </c>
      <c r="K135" s="76" t="n">
        <f aca="false">IF(I135=1,F135,"")</f>
        <v>-0.00826697981222813</v>
      </c>
      <c r="L135" s="75" t="n">
        <f aca="false">IF(I135=1,COUNT(I$13:I135),"")</f>
        <v>122</v>
      </c>
      <c r="M135" s="76" t="n">
        <f aca="false">IFERROR(INDEX($J$13:$J$412,MATCH(A135,$L$13:$L$412,0)),"")</f>
        <v>-0.0165386887182517</v>
      </c>
      <c r="N135" s="76" t="n">
        <f aca="false">IFERROR(INDEX($K$13:$K$412,MATCH(A135,$L$13:$L$412,0)),"")</f>
        <v>-0.0198285203971776</v>
      </c>
      <c r="O135" s="76" t="n">
        <f aca="false">IF(I135=1,E135,NA())</f>
        <v>-0.0292431192660552</v>
      </c>
      <c r="P135" s="76" t="n">
        <f aca="false">IF(I135=1,F135,NA())</f>
        <v>-0.00826697981222813</v>
      </c>
      <c r="R135" s="75" t="n">
        <f aca="false">ROWS(R$13:R135)</f>
        <v>123</v>
      </c>
      <c r="S135" s="73" t="str">
        <f aca="false">IF(S134="","",IFERROR(SMALL($AD$10:$AD$509,COUNTIF($AD$10:$AD$509,"&lt;="&amp;S134)+1),""))</f>
        <v/>
      </c>
      <c r="T135" s="74" t="str">
        <f aca="false">IF(S135="","",INDEX($AE$10:$AE$509,MATCH(S135,$AD$10:$AD$509,0)))</f>
        <v/>
      </c>
      <c r="U135" s="74" t="str">
        <f aca="false">IF(S135="","",IFERROR(INDEX($AG$10:$AG$509,MATCH(S135,$AF$10:$AF$509,0)),""))</f>
        <v/>
      </c>
      <c r="V135" s="76" t="str">
        <f aca="false">IF(AND(ISNUMBER(T135),ISNUMBER(T134)),T135/T134-1,"")</f>
        <v/>
      </c>
      <c r="W135" s="76" t="str">
        <f aca="false">IF(AND(ISNUMBER(U135),ISNUMBER(U134)),U135/U134-1,"")</f>
        <v/>
      </c>
      <c r="X135" s="75" t="str">
        <f aca="false">IF(AND(ISNUMBER(V135),ISNUMBER(W135)),1,"")</f>
        <v/>
      </c>
      <c r="Y135" s="76" t="str">
        <f aca="false">IF(X135=1,V135,"")</f>
        <v/>
      </c>
      <c r="Z135" s="76" t="str">
        <f aca="false">IF(X135=1,W135,"")</f>
        <v/>
      </c>
      <c r="AA135" s="76" t="e">
        <f aca="false">IF(X135=1,V135,NA())</f>
        <v>#N/A</v>
      </c>
      <c r="AB135" s="76" t="e">
        <f aca="false">IF(X135=1,W135,NA())</f>
        <v>#N/A</v>
      </c>
      <c r="AD135" s="73" t="str">
        <f aca="false">IF(ISNUMBER(AE135),IF(ISNUMBER('Base de Datos'!A131),IF('Base de Datos'!A131&gt;20000,DATE(YEAR('Base de Datos'!A131),DAY('Base de Datos'!A131),MONTH('Base de Datos'!A131)),""),IF(TRIM('Base de Datos'!A131)="","",IFERROR(DATE(VALUE(RIGHT(TRIM('Base de Datos'!A131),4)),VALUE(LEFT(TRIM('Base de Datos'!A131),2)),VALUE(MID(TRIM('Base de Datos'!A131),4,2))),""))),"")</f>
        <v/>
      </c>
      <c r="AE135" s="74" t="str">
        <f aca="false">IF(ISNUMBER('Base de Datos'!B131),'Base de Datos'!B131,IF(TRIM('Base de Datos'!B131)="","",IFERROR(IF(IFERROR(FIND("@",SUBSTITUTE(TRIM('Base de Datos'!B131),",","@",LEN(TRIM('Base de Datos'!B131))-LEN(SUBSTITUTE(TRIM('Base de Datos'!B131),",","")))),0)&gt;IFERROR(FIND("@",SUBSTITUTE(TRIM('Base de Datos'!B131),".","@",LEN(TRIM('Base de Datos'!B131))-LEN(SUBSTITUTE(TRIM('Base de Datos'!B131),".","")))),0),_xlfn.NUMBERVALUE(SUBSTITUTE(SUBSTITUTE(TRIM('Base de Datos'!B131),".",""),",","."),".",","),_xlfn.NUMBERVALUE(SUBSTITUTE(TRIM('Base de Datos'!B131),",",""),".",",")),"")))</f>
        <v/>
      </c>
      <c r="AF135" s="73" t="str">
        <f aca="false">IF(ISNUMBER(AG135),IF(ISNUMBER('Base de Datos'!I131),IF('Base de Datos'!I131&gt;20000,INT('Base de Datos'!I131),""),IF(TRIM('Base de Datos'!I131)="","",IFERROR(DATE(VALUE(RIGHT(TRIM('Base de Datos'!I131),4)),VALUE(MID(TRIM('Base de Datos'!I131),4,2)),VALUE(LEFT(TRIM('Base de Datos'!I131),2))),IFERROR(DATEVALUE(TRIM('Base de Datos'!I131)),"")))),"")</f>
        <v/>
      </c>
      <c r="AG135" s="74" t="str">
        <f aca="false">IF(ISNUMBER('Base de Datos'!J131),'Base de Datos'!J131,IF(TRIM('Base de Datos'!J131)="","",IFERROR(IF(IFERROR(FIND("@",SUBSTITUTE(TRIM('Base de Datos'!J131),",","@",LEN(TRIM('Base de Datos'!J131))-LEN(SUBSTITUTE(TRIM('Base de Datos'!J131),",","")))),0)&gt;IFERROR(FIND("@",SUBSTITUTE(TRIM('Base de Datos'!J131),".","@",LEN(TRIM('Base de Datos'!J131))-LEN(SUBSTITUTE(TRIM('Base de Datos'!J131),".","")))),0),_xlfn.NUMBERVALUE(SUBSTITUTE(SUBSTITUTE(TRIM('Base de Datos'!J131),".",""),",","."),".",","),_xlfn.NUMBERVALUE(SUBSTITUTE(TRIM('Base de Datos'!J131),",",""),".",",")),"")))</f>
        <v/>
      </c>
      <c r="AH135" s="73" t="n">
        <f aca="false">IF(ISNUMBER(AI135),IF(ISNUMBER('Base de Datos'!Q131),IF('Base de Datos'!Q131&gt;20000,DATE(YEAR('Base de Datos'!Q131),DAY('Base de Datos'!Q131),MONTH('Base de Datos'!Q131)),""),IF(TRIM('Base de Datos'!Q131)="","",IFERROR(DATE(VALUE(RIGHT(TRIM('Base de Datos'!Q131),4)),VALUE(LEFT(TRIM('Base de Datos'!Q131),2)),VALUE(MID(TRIM('Base de Datos'!Q131),4,2))),""))),"")</f>
        <v>45361</v>
      </c>
      <c r="AI135" s="74" t="n">
        <f aca="false">IF(ISNUMBER('Base de Datos'!R131),'Base de Datos'!R131,IF(TRIM('Base de Datos'!R131)="","",IFERROR(IF(IFERROR(FIND("@",SUBSTITUTE(TRIM('Base de Datos'!R131),",","@",LEN(TRIM('Base de Datos'!R131))-LEN(SUBSTITUTE(TRIM('Base de Datos'!R131),",","")))),0)&gt;IFERROR(FIND("@",SUBSTITUTE(TRIM('Base de Datos'!R131),".","@",LEN(TRIM('Base de Datos'!R131))-LEN(SUBSTITUTE(TRIM('Base de Datos'!R131),".","")))),0),_xlfn.NUMBERVALUE(SUBSTITUTE(SUBSTITUTE(TRIM('Base de Datos'!R131),".",""),",","."),".",","),_xlfn.NUMBERVALUE(SUBSTITUTE(TRIM('Base de Datos'!R131),",",""),".",",")),"")))</f>
        <v>32.99</v>
      </c>
      <c r="AJ135" s="73" t="n">
        <f aca="false">IF(ISNUMBER(AK135),IF(ISNUMBER('Base de Datos'!Y131),IF('Base de Datos'!Y131&gt;20000,INT('Base de Datos'!Y131),""),IF(TRIM('Base de Datos'!Y131)="","",IFERROR(DATE(VALUE(RIGHT(TRIM('Base de Datos'!Y131),4)),VALUE(MID(TRIM('Base de Datos'!Y131),4,2)),VALUE(LEFT(TRIM('Base de Datos'!Y131),2))),IFERROR(DATEVALUE(TRIM('Base de Datos'!Y131)),"")))),"")</f>
        <v>45361</v>
      </c>
      <c r="AK135" s="74" t="n">
        <f aca="false">IF(ISNUMBER('Base de Datos'!Z131),'Base de Datos'!Z131,IF(TRIM('Base de Datos'!Z131)="","",IFERROR(IF(IFERROR(FIND("@",SUBSTITUTE(TRIM('Base de Datos'!Z131),",","@",LEN(TRIM('Base de Datos'!Z131))-LEN(SUBSTITUTE(TRIM('Base de Datos'!Z131),",","")))),0)&gt;IFERROR(FIND("@",SUBSTITUTE(TRIM('Base de Datos'!Z131),".","@",LEN(TRIM('Base de Datos'!Z131))-LEN(SUBSTITUTE(TRIM('Base de Datos'!Z131),".","")))),0),_xlfn.NUMBERVALUE(SUBSTITUTE(SUBSTITUTE(TRIM('Base de Datos'!Z131),".",""),",","."),".",","),_xlfn.NUMBERVALUE(SUBSTITUTE(TRIM('Base de Datos'!Z131),",",""),".",",")),"")))</f>
        <v>56228.4</v>
      </c>
    </row>
    <row r="136" customFormat="false" ht="13.5" hidden="false" customHeight="false" outlineLevel="0" collapsed="false">
      <c r="A136" s="75" t="n">
        <f aca="false">ROWS(A$13:A136)</f>
        <v>124</v>
      </c>
      <c r="B136" s="73" t="n">
        <f aca="false">IF(B135="","",IFERROR(SMALL($AH$10:$AH$409,COUNTIF($AH$10:$AH$409,"&lt;="&amp;B135)+1),""))</f>
        <v>45347</v>
      </c>
      <c r="C136" s="74" t="n">
        <f aca="false">IF(B136="","",INDEX($AI$10:$AI$409,MATCH(B136,$AH$10:$AH$409,0)))</f>
        <v>33.3</v>
      </c>
      <c r="D136" s="74" t="n">
        <f aca="false">IF(B136="","",IFERROR(INDEX($AK$10:$AK$409,MATCH(B136,$AJ$10:$AJ$409,0)),""))</f>
        <v>55536.32</v>
      </c>
      <c r="E136" s="76" t="n">
        <f aca="false">IF(AND(ISNUMBER(C136),ISNUMBER(C135)),C136/C135-1,"")</f>
        <v>-0.0165386887182517</v>
      </c>
      <c r="F136" s="76" t="n">
        <f aca="false">IF(AND(ISNUMBER(D136),ISNUMBER(D135)),D136/D135-1,"")</f>
        <v>-0.0198285203971776</v>
      </c>
      <c r="G136" s="75" t="n">
        <f aca="false">IF(AND(ISNUMBER(E136),ISNUMBER(F136)),1,"")</f>
        <v>1</v>
      </c>
      <c r="H136" s="75" t="n">
        <f aca="false">IF(G136=1,COUNT(G136:G$412),"")</f>
        <v>136</v>
      </c>
      <c r="I136" s="75" t="n">
        <f aca="false">IF(G136=1,IF(H136&lt;='Beta Regresión'!$B$5,1,""),"")</f>
        <v>1</v>
      </c>
      <c r="J136" s="76" t="n">
        <f aca="false">IF(I136=1,E136,"")</f>
        <v>-0.0165386887182517</v>
      </c>
      <c r="K136" s="76" t="n">
        <f aca="false">IF(I136=1,F136,"")</f>
        <v>-0.0198285203971776</v>
      </c>
      <c r="L136" s="75" t="n">
        <f aca="false">IF(I136=1,COUNT(I$13:I136),"")</f>
        <v>123</v>
      </c>
      <c r="M136" s="76" t="n">
        <f aca="false">IFERROR(INDEX($J$13:$J$412,MATCH(A136,$L$13:$L$412,0)),"")</f>
        <v>0.0195195195195197</v>
      </c>
      <c r="N136" s="76" t="n">
        <f aca="false">IFERROR(INDEX($K$13:$K$412,MATCH(A136,$L$13:$L$412,0)),"")</f>
        <v>-0.0108096827445535</v>
      </c>
      <c r="O136" s="76" t="n">
        <f aca="false">IF(I136=1,E136,NA())</f>
        <v>-0.0165386887182517</v>
      </c>
      <c r="P136" s="76" t="n">
        <f aca="false">IF(I136=1,F136,NA())</f>
        <v>-0.0198285203971776</v>
      </c>
      <c r="R136" s="75" t="n">
        <f aca="false">ROWS(R$13:R136)</f>
        <v>124</v>
      </c>
      <c r="S136" s="73" t="str">
        <f aca="false">IF(S135="","",IFERROR(SMALL($AD$10:$AD$509,COUNTIF($AD$10:$AD$509,"&lt;="&amp;S135)+1),""))</f>
        <v/>
      </c>
      <c r="T136" s="74" t="str">
        <f aca="false">IF(S136="","",INDEX($AE$10:$AE$509,MATCH(S136,$AD$10:$AD$509,0)))</f>
        <v/>
      </c>
      <c r="U136" s="74" t="str">
        <f aca="false">IF(S136="","",IFERROR(INDEX($AG$10:$AG$509,MATCH(S136,$AF$10:$AF$509,0)),""))</f>
        <v/>
      </c>
      <c r="V136" s="76" t="str">
        <f aca="false">IF(AND(ISNUMBER(T136),ISNUMBER(T135)),T136/T135-1,"")</f>
        <v/>
      </c>
      <c r="W136" s="76" t="str">
        <f aca="false">IF(AND(ISNUMBER(U136),ISNUMBER(U135)),U136/U135-1,"")</f>
        <v/>
      </c>
      <c r="X136" s="75" t="str">
        <f aca="false">IF(AND(ISNUMBER(V136),ISNUMBER(W136)),1,"")</f>
        <v/>
      </c>
      <c r="Y136" s="76" t="str">
        <f aca="false">IF(X136=1,V136,"")</f>
        <v/>
      </c>
      <c r="Z136" s="76" t="str">
        <f aca="false">IF(X136=1,W136,"")</f>
        <v/>
      </c>
      <c r="AA136" s="76" t="e">
        <f aca="false">IF(X136=1,V136,NA())</f>
        <v>#N/A</v>
      </c>
      <c r="AB136" s="76" t="e">
        <f aca="false">IF(X136=1,W136,NA())</f>
        <v>#N/A</v>
      </c>
      <c r="AD136" s="73" t="str">
        <f aca="false">IF(ISNUMBER(AE136),IF(ISNUMBER('Base de Datos'!A132),IF('Base de Datos'!A132&gt;20000,DATE(YEAR('Base de Datos'!A132),DAY('Base de Datos'!A132),MONTH('Base de Datos'!A132)),""),IF(TRIM('Base de Datos'!A132)="","",IFERROR(DATE(VALUE(RIGHT(TRIM('Base de Datos'!A132),4)),VALUE(LEFT(TRIM('Base de Datos'!A132),2)),VALUE(MID(TRIM('Base de Datos'!A132),4,2))),""))),"")</f>
        <v/>
      </c>
      <c r="AE136" s="74" t="str">
        <f aca="false">IF(ISNUMBER('Base de Datos'!B132),'Base de Datos'!B132,IF(TRIM('Base de Datos'!B132)="","",IFERROR(IF(IFERROR(FIND("@",SUBSTITUTE(TRIM('Base de Datos'!B132),",","@",LEN(TRIM('Base de Datos'!B132))-LEN(SUBSTITUTE(TRIM('Base de Datos'!B132),",","")))),0)&gt;IFERROR(FIND("@",SUBSTITUTE(TRIM('Base de Datos'!B132),".","@",LEN(TRIM('Base de Datos'!B132))-LEN(SUBSTITUTE(TRIM('Base de Datos'!B132),".","")))),0),_xlfn.NUMBERVALUE(SUBSTITUTE(SUBSTITUTE(TRIM('Base de Datos'!B132),".",""),",","."),".",","),_xlfn.NUMBERVALUE(SUBSTITUTE(TRIM('Base de Datos'!B132),",",""),".",",")),"")))</f>
        <v/>
      </c>
      <c r="AF136" s="73" t="str">
        <f aca="false">IF(ISNUMBER(AG136),IF(ISNUMBER('Base de Datos'!I132),IF('Base de Datos'!I132&gt;20000,INT('Base de Datos'!I132),""),IF(TRIM('Base de Datos'!I132)="","",IFERROR(DATE(VALUE(RIGHT(TRIM('Base de Datos'!I132),4)),VALUE(MID(TRIM('Base de Datos'!I132),4,2)),VALUE(LEFT(TRIM('Base de Datos'!I132),2))),IFERROR(DATEVALUE(TRIM('Base de Datos'!I132)),"")))),"")</f>
        <v/>
      </c>
      <c r="AG136" s="74" t="str">
        <f aca="false">IF(ISNUMBER('Base de Datos'!J132),'Base de Datos'!J132,IF(TRIM('Base de Datos'!J132)="","",IFERROR(IF(IFERROR(FIND("@",SUBSTITUTE(TRIM('Base de Datos'!J132),",","@",LEN(TRIM('Base de Datos'!J132))-LEN(SUBSTITUTE(TRIM('Base de Datos'!J132),",","")))),0)&gt;IFERROR(FIND("@",SUBSTITUTE(TRIM('Base de Datos'!J132),".","@",LEN(TRIM('Base de Datos'!J132))-LEN(SUBSTITUTE(TRIM('Base de Datos'!J132),".","")))),0),_xlfn.NUMBERVALUE(SUBSTITUTE(SUBSTITUTE(TRIM('Base de Datos'!J132),".",""),",","."),".",","),_xlfn.NUMBERVALUE(SUBSTITUTE(TRIM('Base de Datos'!J132),",",""),".",",")),"")))</f>
        <v/>
      </c>
      <c r="AH136" s="73" t="n">
        <f aca="false">IF(ISNUMBER(AI136),IF(ISNUMBER('Base de Datos'!Q132),IF('Base de Datos'!Q132&gt;20000,DATE(YEAR('Base de Datos'!Q132),DAY('Base de Datos'!Q132),MONTH('Base de Datos'!Q132)),""),IF(TRIM('Base de Datos'!Q132)="","",IFERROR(DATE(VALUE(RIGHT(TRIM('Base de Datos'!Q132),4)),VALUE(LEFT(TRIM('Base de Datos'!Q132),2)),VALUE(MID(TRIM('Base de Datos'!Q132),4,2))),""))),"")</f>
        <v>45368</v>
      </c>
      <c r="AI136" s="74" t="n">
        <f aca="false">IF(ISNUMBER('Base de Datos'!R132),'Base de Datos'!R132,IF(TRIM('Base de Datos'!R132)="","",IFERROR(IF(IFERROR(FIND("@",SUBSTITUTE(TRIM('Base de Datos'!R132),",","@",LEN(TRIM('Base de Datos'!R132))-LEN(SUBSTITUTE(TRIM('Base de Datos'!R132),",","")))),0)&gt;IFERROR(FIND("@",SUBSTITUTE(TRIM('Base de Datos'!R132),".","@",LEN(TRIM('Base de Datos'!R132))-LEN(SUBSTITUTE(TRIM('Base de Datos'!R132),".","")))),0),_xlfn.NUMBERVALUE(SUBSTITUTE(SUBSTITUTE(TRIM('Base de Datos'!R132),".",""),",","."),".",","),_xlfn.NUMBERVALUE(SUBSTITUTE(TRIM('Base de Datos'!R132),",",""),".",",")),"")))</f>
        <v>33.82</v>
      </c>
      <c r="AJ136" s="73" t="n">
        <f aca="false">IF(ISNUMBER(AK136),IF(ISNUMBER('Base de Datos'!Y132),IF('Base de Datos'!Y132&gt;20000,INT('Base de Datos'!Y132),""),IF(TRIM('Base de Datos'!Y132)="","",IFERROR(DATE(VALUE(RIGHT(TRIM('Base de Datos'!Y132),4)),VALUE(MID(TRIM('Base de Datos'!Y132),4,2)),VALUE(LEFT(TRIM('Base de Datos'!Y132),2))),IFERROR(DATEVALUE(TRIM('Base de Datos'!Y132)),"")))),"")</f>
        <v>45368</v>
      </c>
      <c r="AK136" s="74" t="n">
        <f aca="false">IF(ISNUMBER('Base de Datos'!Z132),'Base de Datos'!Z132,IF(TRIM('Base de Datos'!Z132)="","",IFERROR(IF(IFERROR(FIND("@",SUBSTITUTE(TRIM('Base de Datos'!Z132),",","@",LEN(TRIM('Base de Datos'!Z132))-LEN(SUBSTITUTE(TRIM('Base de Datos'!Z132),",","")))),0)&gt;IFERROR(FIND("@",SUBSTITUTE(TRIM('Base de Datos'!Z132),".","@",LEN(TRIM('Base de Datos'!Z132))-LEN(SUBSTITUTE(TRIM('Base de Datos'!Z132),".","")))),0),_xlfn.NUMBERVALUE(SUBSTITUTE(SUBSTITUTE(TRIM('Base de Datos'!Z132),".",""),",","."),".",","),_xlfn.NUMBERVALUE(SUBSTITUTE(TRIM('Base de Datos'!Z132),",",""),".",",")),"")))</f>
        <v>56610.54</v>
      </c>
    </row>
    <row r="137" customFormat="false" ht="13.5" hidden="false" customHeight="false" outlineLevel="0" collapsed="false">
      <c r="A137" s="75" t="n">
        <f aca="false">ROWS(A$13:A137)</f>
        <v>125</v>
      </c>
      <c r="B137" s="73" t="n">
        <f aca="false">IF(B136="","",IFERROR(SMALL($AH$10:$AH$409,COUNTIF($AH$10:$AH$409,"&lt;="&amp;B136)+1),""))</f>
        <v>45354</v>
      </c>
      <c r="C137" s="74" t="n">
        <f aca="false">IF(B137="","",INDEX($AI$10:$AI$409,MATCH(B137,$AH$10:$AH$409,0)))</f>
        <v>33.95</v>
      </c>
      <c r="D137" s="74" t="n">
        <f aca="false">IF(B137="","",IFERROR(INDEX($AK$10:$AK$409,MATCH(B137,$AJ$10:$AJ$409,0)),""))</f>
        <v>54935.99</v>
      </c>
      <c r="E137" s="76" t="n">
        <f aca="false">IF(AND(ISNUMBER(C137),ISNUMBER(C136)),C137/C136-1,"")</f>
        <v>0.0195195195195197</v>
      </c>
      <c r="F137" s="76" t="n">
        <f aca="false">IF(AND(ISNUMBER(D137),ISNUMBER(D136)),D137/D136-1,"")</f>
        <v>-0.0108096827445535</v>
      </c>
      <c r="G137" s="75" t="n">
        <f aca="false">IF(AND(ISNUMBER(E137),ISNUMBER(F137)),1,"")</f>
        <v>1</v>
      </c>
      <c r="H137" s="75" t="n">
        <f aca="false">IF(G137=1,COUNT(G137:G$412),"")</f>
        <v>135</v>
      </c>
      <c r="I137" s="75" t="n">
        <f aca="false">IF(G137=1,IF(H137&lt;='Beta Regresión'!$B$5,1,""),"")</f>
        <v>1</v>
      </c>
      <c r="J137" s="76" t="n">
        <f aca="false">IF(I137=1,E137,"")</f>
        <v>0.0195195195195197</v>
      </c>
      <c r="K137" s="76" t="n">
        <f aca="false">IF(I137=1,F137,"")</f>
        <v>-0.0108096827445535</v>
      </c>
      <c r="L137" s="75" t="n">
        <f aca="false">IF(I137=1,COUNT(I$13:I137),"")</f>
        <v>124</v>
      </c>
      <c r="M137" s="76" t="n">
        <f aca="false">IFERROR(INDEX($J$13:$J$412,MATCH(A137,$L$13:$L$412,0)),"")</f>
        <v>-0.0282768777614139</v>
      </c>
      <c r="N137" s="76" t="n">
        <f aca="false">IFERROR(INDEX($K$13:$K$412,MATCH(A137,$L$13:$L$412,0)),"")</f>
        <v>0.0235257433241851</v>
      </c>
      <c r="O137" s="76" t="n">
        <f aca="false">IF(I137=1,E137,NA())</f>
        <v>0.0195195195195197</v>
      </c>
      <c r="P137" s="76" t="n">
        <f aca="false">IF(I137=1,F137,NA())</f>
        <v>-0.0108096827445535</v>
      </c>
      <c r="R137" s="75" t="n">
        <f aca="false">ROWS(R$13:R137)</f>
        <v>125</v>
      </c>
      <c r="S137" s="73" t="str">
        <f aca="false">IF(S136="","",IFERROR(SMALL($AD$10:$AD$509,COUNTIF($AD$10:$AD$509,"&lt;="&amp;S136)+1),""))</f>
        <v/>
      </c>
      <c r="T137" s="74" t="str">
        <f aca="false">IF(S137="","",INDEX($AE$10:$AE$509,MATCH(S137,$AD$10:$AD$509,0)))</f>
        <v/>
      </c>
      <c r="U137" s="74" t="str">
        <f aca="false">IF(S137="","",IFERROR(INDEX($AG$10:$AG$509,MATCH(S137,$AF$10:$AF$509,0)),""))</f>
        <v/>
      </c>
      <c r="V137" s="76" t="str">
        <f aca="false">IF(AND(ISNUMBER(T137),ISNUMBER(T136)),T137/T136-1,"")</f>
        <v/>
      </c>
      <c r="W137" s="76" t="str">
        <f aca="false">IF(AND(ISNUMBER(U137),ISNUMBER(U136)),U137/U136-1,"")</f>
        <v/>
      </c>
      <c r="X137" s="75" t="str">
        <f aca="false">IF(AND(ISNUMBER(V137),ISNUMBER(W137)),1,"")</f>
        <v/>
      </c>
      <c r="Y137" s="76" t="str">
        <f aca="false">IF(X137=1,V137,"")</f>
        <v/>
      </c>
      <c r="Z137" s="76" t="str">
        <f aca="false">IF(X137=1,W137,"")</f>
        <v/>
      </c>
      <c r="AA137" s="76" t="e">
        <f aca="false">IF(X137=1,V137,NA())</f>
        <v>#N/A</v>
      </c>
      <c r="AB137" s="76" t="e">
        <f aca="false">IF(X137=1,W137,NA())</f>
        <v>#N/A</v>
      </c>
      <c r="AD137" s="73" t="str">
        <f aca="false">IF(ISNUMBER(AE137),IF(ISNUMBER('Base de Datos'!A133),IF('Base de Datos'!A133&gt;20000,DATE(YEAR('Base de Datos'!A133),DAY('Base de Datos'!A133),MONTH('Base de Datos'!A133)),""),IF(TRIM('Base de Datos'!A133)="","",IFERROR(DATE(VALUE(RIGHT(TRIM('Base de Datos'!A133),4)),VALUE(LEFT(TRIM('Base de Datos'!A133),2)),VALUE(MID(TRIM('Base de Datos'!A133),4,2))),""))),"")</f>
        <v/>
      </c>
      <c r="AE137" s="74" t="str">
        <f aca="false">IF(ISNUMBER('Base de Datos'!B133),'Base de Datos'!B133,IF(TRIM('Base de Datos'!B133)="","",IFERROR(IF(IFERROR(FIND("@",SUBSTITUTE(TRIM('Base de Datos'!B133),",","@",LEN(TRIM('Base de Datos'!B133))-LEN(SUBSTITUTE(TRIM('Base de Datos'!B133),",","")))),0)&gt;IFERROR(FIND("@",SUBSTITUTE(TRIM('Base de Datos'!B133),".","@",LEN(TRIM('Base de Datos'!B133))-LEN(SUBSTITUTE(TRIM('Base de Datos'!B133),".","")))),0),_xlfn.NUMBERVALUE(SUBSTITUTE(SUBSTITUTE(TRIM('Base de Datos'!B133),".",""),",","."),".",","),_xlfn.NUMBERVALUE(SUBSTITUTE(TRIM('Base de Datos'!B133),",",""),".",",")),"")))</f>
        <v/>
      </c>
      <c r="AF137" s="73" t="str">
        <f aca="false">IF(ISNUMBER(AG137),IF(ISNUMBER('Base de Datos'!I133),IF('Base de Datos'!I133&gt;20000,INT('Base de Datos'!I133),""),IF(TRIM('Base de Datos'!I133)="","",IFERROR(DATE(VALUE(RIGHT(TRIM('Base de Datos'!I133),4)),VALUE(MID(TRIM('Base de Datos'!I133),4,2)),VALUE(LEFT(TRIM('Base de Datos'!I133),2))),IFERROR(DATEVALUE(TRIM('Base de Datos'!I133)),"")))),"")</f>
        <v/>
      </c>
      <c r="AG137" s="74" t="str">
        <f aca="false">IF(ISNUMBER('Base de Datos'!J133),'Base de Datos'!J133,IF(TRIM('Base de Datos'!J133)="","",IFERROR(IF(IFERROR(FIND("@",SUBSTITUTE(TRIM('Base de Datos'!J133),",","@",LEN(TRIM('Base de Datos'!J133))-LEN(SUBSTITUTE(TRIM('Base de Datos'!J133),",","")))),0)&gt;IFERROR(FIND("@",SUBSTITUTE(TRIM('Base de Datos'!J133),".","@",LEN(TRIM('Base de Datos'!J133))-LEN(SUBSTITUTE(TRIM('Base de Datos'!J133),".","")))),0),_xlfn.NUMBERVALUE(SUBSTITUTE(SUBSTITUTE(TRIM('Base de Datos'!J133),".",""),",","."),".",","),_xlfn.NUMBERVALUE(SUBSTITUTE(TRIM('Base de Datos'!J133),",",""),".",",")),"")))</f>
        <v/>
      </c>
      <c r="AH137" s="73" t="n">
        <f aca="false">IF(ISNUMBER(AI137),IF(ISNUMBER('Base de Datos'!Q133),IF('Base de Datos'!Q133&gt;20000,DATE(YEAR('Base de Datos'!Q133),DAY('Base de Datos'!Q133),MONTH('Base de Datos'!Q133)),""),IF(TRIM('Base de Datos'!Q133)="","",IFERROR(DATE(VALUE(RIGHT(TRIM('Base de Datos'!Q133),4)),VALUE(LEFT(TRIM('Base de Datos'!Q133),2)),VALUE(MID(TRIM('Base de Datos'!Q133),4,2))),""))),"")</f>
        <v>45375</v>
      </c>
      <c r="AI137" s="74" t="n">
        <f aca="false">IF(ISNUMBER('Base de Datos'!R133),'Base de Datos'!R133,IF(TRIM('Base de Datos'!R133)="","",IFERROR(IF(IFERROR(FIND("@",SUBSTITUTE(TRIM('Base de Datos'!R133),",","@",LEN(TRIM('Base de Datos'!R133))-LEN(SUBSTITUTE(TRIM('Base de Datos'!R133),",","")))),0)&gt;IFERROR(FIND("@",SUBSTITUTE(TRIM('Base de Datos'!R133),".","@",LEN(TRIM('Base de Datos'!R133))-LEN(SUBSTITUTE(TRIM('Base de Datos'!R133),".","")))),0),_xlfn.NUMBERVALUE(SUBSTITUTE(SUBSTITUTE(TRIM('Base de Datos'!R133),".",""),",","."),".",","),_xlfn.NUMBERVALUE(SUBSTITUTE(TRIM('Base de Datos'!R133),",",""),".",",")),"")))</f>
        <v>33.96</v>
      </c>
      <c r="AJ137" s="73" t="n">
        <f aca="false">IF(ISNUMBER(AK137),IF(ISNUMBER('Base de Datos'!Y133),IF('Base de Datos'!Y133&gt;20000,INT('Base de Datos'!Y133),""),IF(TRIM('Base de Datos'!Y133)="","",IFERROR(DATE(VALUE(RIGHT(TRIM('Base de Datos'!Y133),4)),VALUE(MID(TRIM('Base de Datos'!Y133),4,2)),VALUE(LEFT(TRIM('Base de Datos'!Y133),2))),IFERROR(DATEVALUE(TRIM('Base de Datos'!Y133)),"")))),"")</f>
        <v>45375</v>
      </c>
      <c r="AK137" s="74" t="n">
        <f aca="false">IF(ISNUMBER('Base de Datos'!Z133),'Base de Datos'!Z133,IF(TRIM('Base de Datos'!Z133)="","",IFERROR(IF(IFERROR(FIND("@",SUBSTITUTE(TRIM('Base de Datos'!Z133),",","@",LEN(TRIM('Base de Datos'!Z133))-LEN(SUBSTITUTE(TRIM('Base de Datos'!Z133),",","")))),0)&gt;IFERROR(FIND("@",SUBSTITUTE(TRIM('Base de Datos'!Z133),".","@",LEN(TRIM('Base de Datos'!Z133))-LEN(SUBSTITUTE(TRIM('Base de Datos'!Z133),".","")))),0),_xlfn.NUMBERVALUE(SUBSTITUTE(SUBSTITUTE(TRIM('Base de Datos'!Z133),".",""),",","."),".",","),_xlfn.NUMBERVALUE(SUBSTITUTE(TRIM('Base de Datos'!Z133),",",""),".",",")),"")))</f>
        <v>57369.01</v>
      </c>
    </row>
    <row r="138" customFormat="false" ht="13.5" hidden="false" customHeight="false" outlineLevel="0" collapsed="false">
      <c r="A138" s="75" t="n">
        <f aca="false">ROWS(A$13:A138)</f>
        <v>126</v>
      </c>
      <c r="B138" s="73" t="n">
        <f aca="false">IF(B137="","",IFERROR(SMALL($AH$10:$AH$409,COUNTIF($AH$10:$AH$409,"&lt;="&amp;B137)+1),""))</f>
        <v>45361</v>
      </c>
      <c r="C138" s="74" t="n">
        <f aca="false">IF(B138="","",INDEX($AI$10:$AI$409,MATCH(B138,$AH$10:$AH$409,0)))</f>
        <v>32.99</v>
      </c>
      <c r="D138" s="74" t="n">
        <f aca="false">IF(B138="","",IFERROR(INDEX($AK$10:$AK$409,MATCH(B138,$AJ$10:$AJ$409,0)),""))</f>
        <v>56228.4</v>
      </c>
      <c r="E138" s="76" t="n">
        <f aca="false">IF(AND(ISNUMBER(C138),ISNUMBER(C137)),C138/C137-1,"")</f>
        <v>-0.0282768777614139</v>
      </c>
      <c r="F138" s="76" t="n">
        <f aca="false">IF(AND(ISNUMBER(D138),ISNUMBER(D137)),D138/D137-1,"")</f>
        <v>0.0235257433241851</v>
      </c>
      <c r="G138" s="75" t="n">
        <f aca="false">IF(AND(ISNUMBER(E138),ISNUMBER(F138)),1,"")</f>
        <v>1</v>
      </c>
      <c r="H138" s="75" t="n">
        <f aca="false">IF(G138=1,COUNT(G138:G$412),"")</f>
        <v>134</v>
      </c>
      <c r="I138" s="75" t="n">
        <f aca="false">IF(G138=1,IF(H138&lt;='Beta Regresión'!$B$5,1,""),"")</f>
        <v>1</v>
      </c>
      <c r="J138" s="76" t="n">
        <f aca="false">IF(I138=1,E138,"")</f>
        <v>-0.0282768777614139</v>
      </c>
      <c r="K138" s="76" t="n">
        <f aca="false">IF(I138=1,F138,"")</f>
        <v>0.0235257433241851</v>
      </c>
      <c r="L138" s="75" t="n">
        <f aca="false">IF(I138=1,COUNT(I$13:I138),"")</f>
        <v>125</v>
      </c>
      <c r="M138" s="76" t="n">
        <f aca="false">IFERROR(INDEX($J$13:$J$412,MATCH(A138,$L$13:$L$412,0)),"")</f>
        <v>0.0251591391330706</v>
      </c>
      <c r="N138" s="76" t="n">
        <f aca="false">IFERROR(INDEX($K$13:$K$412,MATCH(A138,$L$13:$L$412,0)),"")</f>
        <v>0.00679620974454198</v>
      </c>
      <c r="O138" s="76" t="n">
        <f aca="false">IF(I138=1,E138,NA())</f>
        <v>-0.0282768777614139</v>
      </c>
      <c r="P138" s="76" t="n">
        <f aca="false">IF(I138=1,F138,NA())</f>
        <v>0.0235257433241851</v>
      </c>
      <c r="R138" s="75" t="n">
        <f aca="false">ROWS(R$13:R138)</f>
        <v>126</v>
      </c>
      <c r="S138" s="73" t="str">
        <f aca="false">IF(S137="","",IFERROR(SMALL($AD$10:$AD$509,COUNTIF($AD$10:$AD$509,"&lt;="&amp;S137)+1),""))</f>
        <v/>
      </c>
      <c r="T138" s="74" t="str">
        <f aca="false">IF(S138="","",INDEX($AE$10:$AE$509,MATCH(S138,$AD$10:$AD$509,0)))</f>
        <v/>
      </c>
      <c r="U138" s="74" t="str">
        <f aca="false">IF(S138="","",IFERROR(INDEX($AG$10:$AG$509,MATCH(S138,$AF$10:$AF$509,0)),""))</f>
        <v/>
      </c>
      <c r="V138" s="76" t="str">
        <f aca="false">IF(AND(ISNUMBER(T138),ISNUMBER(T137)),T138/T137-1,"")</f>
        <v/>
      </c>
      <c r="W138" s="76" t="str">
        <f aca="false">IF(AND(ISNUMBER(U138),ISNUMBER(U137)),U138/U137-1,"")</f>
        <v/>
      </c>
      <c r="X138" s="75" t="str">
        <f aca="false">IF(AND(ISNUMBER(V138),ISNUMBER(W138)),1,"")</f>
        <v/>
      </c>
      <c r="Y138" s="76" t="str">
        <f aca="false">IF(X138=1,V138,"")</f>
        <v/>
      </c>
      <c r="Z138" s="76" t="str">
        <f aca="false">IF(X138=1,W138,"")</f>
        <v/>
      </c>
      <c r="AA138" s="76" t="e">
        <f aca="false">IF(X138=1,V138,NA())</f>
        <v>#N/A</v>
      </c>
      <c r="AB138" s="76" t="e">
        <f aca="false">IF(X138=1,W138,NA())</f>
        <v>#N/A</v>
      </c>
      <c r="AD138" s="73" t="str">
        <f aca="false">IF(ISNUMBER(AE138),IF(ISNUMBER('Base de Datos'!A134),IF('Base de Datos'!A134&gt;20000,DATE(YEAR('Base de Datos'!A134),DAY('Base de Datos'!A134),MONTH('Base de Datos'!A134)),""),IF(TRIM('Base de Datos'!A134)="","",IFERROR(DATE(VALUE(RIGHT(TRIM('Base de Datos'!A134),4)),VALUE(LEFT(TRIM('Base de Datos'!A134),2)),VALUE(MID(TRIM('Base de Datos'!A134),4,2))),""))),"")</f>
        <v/>
      </c>
      <c r="AE138" s="74" t="str">
        <f aca="false">IF(ISNUMBER('Base de Datos'!B134),'Base de Datos'!B134,IF(TRIM('Base de Datos'!B134)="","",IFERROR(IF(IFERROR(FIND("@",SUBSTITUTE(TRIM('Base de Datos'!B134),",","@",LEN(TRIM('Base de Datos'!B134))-LEN(SUBSTITUTE(TRIM('Base de Datos'!B134),",","")))),0)&gt;IFERROR(FIND("@",SUBSTITUTE(TRIM('Base de Datos'!B134),".","@",LEN(TRIM('Base de Datos'!B134))-LEN(SUBSTITUTE(TRIM('Base de Datos'!B134),".","")))),0),_xlfn.NUMBERVALUE(SUBSTITUTE(SUBSTITUTE(TRIM('Base de Datos'!B134),".",""),",","."),".",","),_xlfn.NUMBERVALUE(SUBSTITUTE(TRIM('Base de Datos'!B134),",",""),".",",")),"")))</f>
        <v/>
      </c>
      <c r="AF138" s="73" t="str">
        <f aca="false">IF(ISNUMBER(AG138),IF(ISNUMBER('Base de Datos'!I134),IF('Base de Datos'!I134&gt;20000,INT('Base de Datos'!I134),""),IF(TRIM('Base de Datos'!I134)="","",IFERROR(DATE(VALUE(RIGHT(TRIM('Base de Datos'!I134),4)),VALUE(MID(TRIM('Base de Datos'!I134),4,2)),VALUE(LEFT(TRIM('Base de Datos'!I134),2))),IFERROR(DATEVALUE(TRIM('Base de Datos'!I134)),"")))),"")</f>
        <v/>
      </c>
      <c r="AG138" s="74" t="str">
        <f aca="false">IF(ISNUMBER('Base de Datos'!J134),'Base de Datos'!J134,IF(TRIM('Base de Datos'!J134)="","",IFERROR(IF(IFERROR(FIND("@",SUBSTITUTE(TRIM('Base de Datos'!J134),",","@",LEN(TRIM('Base de Datos'!J134))-LEN(SUBSTITUTE(TRIM('Base de Datos'!J134),",","")))),0)&gt;IFERROR(FIND("@",SUBSTITUTE(TRIM('Base de Datos'!J134),".","@",LEN(TRIM('Base de Datos'!J134))-LEN(SUBSTITUTE(TRIM('Base de Datos'!J134),".","")))),0),_xlfn.NUMBERVALUE(SUBSTITUTE(SUBSTITUTE(TRIM('Base de Datos'!J134),".",""),",","."),".",","),_xlfn.NUMBERVALUE(SUBSTITUTE(TRIM('Base de Datos'!J134),",",""),".",",")),"")))</f>
        <v/>
      </c>
      <c r="AH138" s="73" t="n">
        <f aca="false">IF(ISNUMBER(AI138),IF(ISNUMBER('Base de Datos'!Q134),IF('Base de Datos'!Q134&gt;20000,DATE(YEAR('Base de Datos'!Q134),DAY('Base de Datos'!Q134),MONTH('Base de Datos'!Q134)),""),IF(TRIM('Base de Datos'!Q134)="","",IFERROR(DATE(VALUE(RIGHT(TRIM('Base de Datos'!Q134),4)),VALUE(LEFT(TRIM('Base de Datos'!Q134),2)),VALUE(MID(TRIM('Base de Datos'!Q134),4,2))),""))),"")</f>
        <v>45382</v>
      </c>
      <c r="AI138" s="74" t="n">
        <f aca="false">IF(ISNUMBER('Base de Datos'!R134),'Base de Datos'!R134,IF(TRIM('Base de Datos'!R134)="","",IFERROR(IF(IFERROR(FIND("@",SUBSTITUTE(TRIM('Base de Datos'!R134),",","@",LEN(TRIM('Base de Datos'!R134))-LEN(SUBSTITUTE(TRIM('Base de Datos'!R134),",","")))),0)&gt;IFERROR(FIND("@",SUBSTITUTE(TRIM('Base de Datos'!R134),".","@",LEN(TRIM('Base de Datos'!R134))-LEN(SUBSTITUTE(TRIM('Base de Datos'!R134),".","")))),0),_xlfn.NUMBERVALUE(SUBSTITUTE(SUBSTITUTE(TRIM('Base de Datos'!R134),".",""),",","."),".",","),_xlfn.NUMBERVALUE(SUBSTITUTE(TRIM('Base de Datos'!R134),",",""),".",",")),"")))</f>
        <v>33.97</v>
      </c>
      <c r="AJ138" s="73" t="n">
        <f aca="false">IF(ISNUMBER(AK138),IF(ISNUMBER('Base de Datos'!Y134),IF('Base de Datos'!Y134&gt;20000,INT('Base de Datos'!Y134),""),IF(TRIM('Base de Datos'!Y134)="","",IFERROR(DATE(VALUE(RIGHT(TRIM('Base de Datos'!Y134),4)),VALUE(MID(TRIM('Base de Datos'!Y134),4,2)),VALUE(LEFT(TRIM('Base de Datos'!Y134),2))),IFERROR(DATEVALUE(TRIM('Base de Datos'!Y134)),"")))),"")</f>
        <v>45382</v>
      </c>
      <c r="AK138" s="74" t="n">
        <f aca="false">IF(ISNUMBER('Base de Datos'!Z134),'Base de Datos'!Z134,IF(TRIM('Base de Datos'!Z134)="","",IFERROR(IF(IFERROR(FIND("@",SUBSTITUTE(TRIM('Base de Datos'!Z134),",","@",LEN(TRIM('Base de Datos'!Z134))-LEN(SUBSTITUTE(TRIM('Base de Datos'!Z134),",","")))),0)&gt;IFERROR(FIND("@",SUBSTITUTE(TRIM('Base de Datos'!Z134),".","@",LEN(TRIM('Base de Datos'!Z134))-LEN(SUBSTITUTE(TRIM('Base de Datos'!Z134),".","")))),0),_xlfn.NUMBERVALUE(SUBSTITUTE(SUBSTITUTE(TRIM('Base de Datos'!Z134),".",""),",","."),".",","),_xlfn.NUMBERVALUE(SUBSTITUTE(TRIM('Base de Datos'!Z134),",",""),".",",")),"")))</f>
        <v>58092.44</v>
      </c>
    </row>
    <row r="139" customFormat="false" ht="13.5" hidden="false" customHeight="false" outlineLevel="0" collapsed="false">
      <c r="A139" s="75" t="n">
        <f aca="false">ROWS(A$13:A139)</f>
        <v>127</v>
      </c>
      <c r="B139" s="73" t="n">
        <f aca="false">IF(B138="","",IFERROR(SMALL($AH$10:$AH$409,COUNTIF($AH$10:$AH$409,"&lt;="&amp;B138)+1),""))</f>
        <v>45368</v>
      </c>
      <c r="C139" s="74" t="n">
        <f aca="false">IF(B139="","",INDEX($AI$10:$AI$409,MATCH(B139,$AH$10:$AH$409,0)))</f>
        <v>33.82</v>
      </c>
      <c r="D139" s="74" t="n">
        <f aca="false">IF(B139="","",IFERROR(INDEX($AK$10:$AK$409,MATCH(B139,$AJ$10:$AJ$409,0)),""))</f>
        <v>56610.54</v>
      </c>
      <c r="E139" s="76" t="n">
        <f aca="false">IF(AND(ISNUMBER(C139),ISNUMBER(C138)),C139/C138-1,"")</f>
        <v>0.0251591391330706</v>
      </c>
      <c r="F139" s="76" t="n">
        <f aca="false">IF(AND(ISNUMBER(D139),ISNUMBER(D138)),D139/D138-1,"")</f>
        <v>0.00679620974454198</v>
      </c>
      <c r="G139" s="75" t="n">
        <f aca="false">IF(AND(ISNUMBER(E139),ISNUMBER(F139)),1,"")</f>
        <v>1</v>
      </c>
      <c r="H139" s="75" t="n">
        <f aca="false">IF(G139=1,COUNT(G139:G$412),"")</f>
        <v>133</v>
      </c>
      <c r="I139" s="75" t="n">
        <f aca="false">IF(G139=1,IF(H139&lt;='Beta Regresión'!$B$5,1,""),"")</f>
        <v>1</v>
      </c>
      <c r="J139" s="76" t="n">
        <f aca="false">IF(I139=1,E139,"")</f>
        <v>0.0251591391330706</v>
      </c>
      <c r="K139" s="76" t="n">
        <f aca="false">IF(I139=1,F139,"")</f>
        <v>0.00679620974454198</v>
      </c>
      <c r="L139" s="75" t="n">
        <f aca="false">IF(I139=1,COUNT(I$13:I139),"")</f>
        <v>126</v>
      </c>
      <c r="M139" s="76" t="n">
        <f aca="false">IFERROR(INDEX($J$13:$J$412,MATCH(A139,$L$13:$L$412,0)),"")</f>
        <v>0.00413956238911895</v>
      </c>
      <c r="N139" s="76" t="n">
        <f aca="false">IFERROR(INDEX($K$13:$K$412,MATCH(A139,$L$13:$L$412,0)),"")</f>
        <v>0.0133980350655549</v>
      </c>
      <c r="O139" s="76" t="n">
        <f aca="false">IF(I139=1,E139,NA())</f>
        <v>0.0251591391330706</v>
      </c>
      <c r="P139" s="76" t="n">
        <f aca="false">IF(I139=1,F139,NA())</f>
        <v>0.00679620974454198</v>
      </c>
      <c r="R139" s="75" t="n">
        <f aca="false">ROWS(R$13:R139)</f>
        <v>127</v>
      </c>
      <c r="S139" s="73" t="str">
        <f aca="false">IF(S138="","",IFERROR(SMALL($AD$10:$AD$509,COUNTIF($AD$10:$AD$509,"&lt;="&amp;S138)+1),""))</f>
        <v/>
      </c>
      <c r="T139" s="74" t="str">
        <f aca="false">IF(S139="","",INDEX($AE$10:$AE$509,MATCH(S139,$AD$10:$AD$509,0)))</f>
        <v/>
      </c>
      <c r="U139" s="74" t="str">
        <f aca="false">IF(S139="","",IFERROR(INDEX($AG$10:$AG$509,MATCH(S139,$AF$10:$AF$509,0)),""))</f>
        <v/>
      </c>
      <c r="V139" s="76" t="str">
        <f aca="false">IF(AND(ISNUMBER(T139),ISNUMBER(T138)),T139/T138-1,"")</f>
        <v/>
      </c>
      <c r="W139" s="76" t="str">
        <f aca="false">IF(AND(ISNUMBER(U139),ISNUMBER(U138)),U139/U138-1,"")</f>
        <v/>
      </c>
      <c r="X139" s="75" t="str">
        <f aca="false">IF(AND(ISNUMBER(V139),ISNUMBER(W139)),1,"")</f>
        <v/>
      </c>
      <c r="Y139" s="76" t="str">
        <f aca="false">IF(X139=1,V139,"")</f>
        <v/>
      </c>
      <c r="Z139" s="76" t="str">
        <f aca="false">IF(X139=1,W139,"")</f>
        <v/>
      </c>
      <c r="AA139" s="76" t="e">
        <f aca="false">IF(X139=1,V139,NA())</f>
        <v>#N/A</v>
      </c>
      <c r="AB139" s="76" t="e">
        <f aca="false">IF(X139=1,W139,NA())</f>
        <v>#N/A</v>
      </c>
      <c r="AD139" s="73" t="str">
        <f aca="false">IF(ISNUMBER(AE139),IF(ISNUMBER('Base de Datos'!A135),IF('Base de Datos'!A135&gt;20000,DATE(YEAR('Base de Datos'!A135),DAY('Base de Datos'!A135),MONTH('Base de Datos'!A135)),""),IF(TRIM('Base de Datos'!A135)="","",IFERROR(DATE(VALUE(RIGHT(TRIM('Base de Datos'!A135),4)),VALUE(LEFT(TRIM('Base de Datos'!A135),2)),VALUE(MID(TRIM('Base de Datos'!A135),4,2))),""))),"")</f>
        <v/>
      </c>
      <c r="AE139" s="74" t="str">
        <f aca="false">IF(ISNUMBER('Base de Datos'!B135),'Base de Datos'!B135,IF(TRIM('Base de Datos'!B135)="","",IFERROR(IF(IFERROR(FIND("@",SUBSTITUTE(TRIM('Base de Datos'!B135),",","@",LEN(TRIM('Base de Datos'!B135))-LEN(SUBSTITUTE(TRIM('Base de Datos'!B135),",","")))),0)&gt;IFERROR(FIND("@",SUBSTITUTE(TRIM('Base de Datos'!B135),".","@",LEN(TRIM('Base de Datos'!B135))-LEN(SUBSTITUTE(TRIM('Base de Datos'!B135),".","")))),0),_xlfn.NUMBERVALUE(SUBSTITUTE(SUBSTITUTE(TRIM('Base de Datos'!B135),".",""),",","."),".",","),_xlfn.NUMBERVALUE(SUBSTITUTE(TRIM('Base de Datos'!B135),",",""),".",",")),"")))</f>
        <v/>
      </c>
      <c r="AF139" s="73" t="str">
        <f aca="false">IF(ISNUMBER(AG139),IF(ISNUMBER('Base de Datos'!I135),IF('Base de Datos'!I135&gt;20000,INT('Base de Datos'!I135),""),IF(TRIM('Base de Datos'!I135)="","",IFERROR(DATE(VALUE(RIGHT(TRIM('Base de Datos'!I135),4)),VALUE(MID(TRIM('Base de Datos'!I135),4,2)),VALUE(LEFT(TRIM('Base de Datos'!I135),2))),IFERROR(DATEVALUE(TRIM('Base de Datos'!I135)),"")))),"")</f>
        <v/>
      </c>
      <c r="AG139" s="74" t="str">
        <f aca="false">IF(ISNUMBER('Base de Datos'!J135),'Base de Datos'!J135,IF(TRIM('Base de Datos'!J135)="","",IFERROR(IF(IFERROR(FIND("@",SUBSTITUTE(TRIM('Base de Datos'!J135),",","@",LEN(TRIM('Base de Datos'!J135))-LEN(SUBSTITUTE(TRIM('Base de Datos'!J135),",","")))),0)&gt;IFERROR(FIND("@",SUBSTITUTE(TRIM('Base de Datos'!J135),".","@",LEN(TRIM('Base de Datos'!J135))-LEN(SUBSTITUTE(TRIM('Base de Datos'!J135),".","")))),0),_xlfn.NUMBERVALUE(SUBSTITUTE(SUBSTITUTE(TRIM('Base de Datos'!J135),".",""),",","."),".",","),_xlfn.NUMBERVALUE(SUBSTITUTE(TRIM('Base de Datos'!J135),",",""),".",",")),"")))</f>
        <v/>
      </c>
      <c r="AH139" s="73" t="n">
        <f aca="false">IF(ISNUMBER(AI139),IF(ISNUMBER('Base de Datos'!Q135),IF('Base de Datos'!Q135&gt;20000,DATE(YEAR('Base de Datos'!Q135),DAY('Base de Datos'!Q135),MONTH('Base de Datos'!Q135)),""),IF(TRIM('Base de Datos'!Q135)="","",IFERROR(DATE(VALUE(RIGHT(TRIM('Base de Datos'!Q135),4)),VALUE(LEFT(TRIM('Base de Datos'!Q135),2)),VALUE(MID(TRIM('Base de Datos'!Q135),4,2))),""))),"")</f>
        <v>45389</v>
      </c>
      <c r="AI139" s="74" t="n">
        <f aca="false">IF(ISNUMBER('Base de Datos'!R135),'Base de Datos'!R135,IF(TRIM('Base de Datos'!R135)="","",IFERROR(IF(IFERROR(FIND("@",SUBSTITUTE(TRIM('Base de Datos'!R135),",","@",LEN(TRIM('Base de Datos'!R135))-LEN(SUBSTITUTE(TRIM('Base de Datos'!R135),",","")))),0)&gt;IFERROR(FIND("@",SUBSTITUTE(TRIM('Base de Datos'!R135),".","@",LEN(TRIM('Base de Datos'!R135))-LEN(SUBSTITUTE(TRIM('Base de Datos'!R135),".","")))),0),_xlfn.NUMBERVALUE(SUBSTITUTE(SUBSTITUTE(TRIM('Base de Datos'!R135),".",""),",","."),".",","),_xlfn.NUMBERVALUE(SUBSTITUTE(TRIM('Base de Datos'!R135),",",""),".",",")),"")))</f>
        <v>34</v>
      </c>
      <c r="AJ139" s="73" t="n">
        <f aca="false">IF(ISNUMBER(AK139),IF(ISNUMBER('Base de Datos'!Y135),IF('Base de Datos'!Y135&gt;20000,INT('Base de Datos'!Y135),""),IF(TRIM('Base de Datos'!Y135)="","",IFERROR(DATE(VALUE(RIGHT(TRIM('Base de Datos'!Y135),4)),VALUE(MID(TRIM('Base de Datos'!Y135),4,2)),VALUE(LEFT(TRIM('Base de Datos'!Y135),2))),IFERROR(DATEVALUE(TRIM('Base de Datos'!Y135)),"")))),"")</f>
        <v>45389</v>
      </c>
      <c r="AK139" s="74" t="n">
        <f aca="false">IF(ISNUMBER('Base de Datos'!Z135),'Base de Datos'!Z135,IF(TRIM('Base de Datos'!Z135)="","",IFERROR(IF(IFERROR(FIND("@",SUBSTITUTE(TRIM('Base de Datos'!Z135),",","@",LEN(TRIM('Base de Datos'!Z135))-LEN(SUBSTITUTE(TRIM('Base de Datos'!Z135),",","")))),0)&gt;IFERROR(FIND("@",SUBSTITUTE(TRIM('Base de Datos'!Z135),".","@",LEN(TRIM('Base de Datos'!Z135))-LEN(SUBSTITUTE(TRIM('Base de Datos'!Z135),".","")))),0),_xlfn.NUMBERVALUE(SUBSTITUTE(SUBSTITUTE(TRIM('Base de Datos'!Z135),".",""),",","."),".",","),_xlfn.NUMBERVALUE(SUBSTITUTE(TRIM('Base de Datos'!Z135),",",""),".",",")),"")))</f>
        <v>56565.92</v>
      </c>
    </row>
    <row r="140" customFormat="false" ht="13.5" hidden="false" customHeight="false" outlineLevel="0" collapsed="false">
      <c r="A140" s="75" t="n">
        <f aca="false">ROWS(A$13:A140)</f>
        <v>128</v>
      </c>
      <c r="B140" s="73" t="n">
        <f aca="false">IF(B139="","",IFERROR(SMALL($AH$10:$AH$409,COUNTIF($AH$10:$AH$409,"&lt;="&amp;B139)+1),""))</f>
        <v>45375</v>
      </c>
      <c r="C140" s="74" t="n">
        <f aca="false">IF(B140="","",INDEX($AI$10:$AI$409,MATCH(B140,$AH$10:$AH$409,0)))</f>
        <v>33.96</v>
      </c>
      <c r="D140" s="74" t="n">
        <f aca="false">IF(B140="","",IFERROR(INDEX($AK$10:$AK$409,MATCH(B140,$AJ$10:$AJ$409,0)),""))</f>
        <v>57369.01</v>
      </c>
      <c r="E140" s="76" t="n">
        <f aca="false">IF(AND(ISNUMBER(C140),ISNUMBER(C139)),C140/C139-1,"")</f>
        <v>0.00413956238911895</v>
      </c>
      <c r="F140" s="76" t="n">
        <f aca="false">IF(AND(ISNUMBER(D140),ISNUMBER(D139)),D140/D139-1,"")</f>
        <v>0.0133980350655549</v>
      </c>
      <c r="G140" s="75" t="n">
        <f aca="false">IF(AND(ISNUMBER(E140),ISNUMBER(F140)),1,"")</f>
        <v>1</v>
      </c>
      <c r="H140" s="75" t="n">
        <f aca="false">IF(G140=1,COUNT(G140:G$412),"")</f>
        <v>132</v>
      </c>
      <c r="I140" s="75" t="n">
        <f aca="false">IF(G140=1,IF(H140&lt;='Beta Regresión'!$B$5,1,""),"")</f>
        <v>1</v>
      </c>
      <c r="J140" s="76" t="n">
        <f aca="false">IF(I140=1,E140,"")</f>
        <v>0.00413956238911895</v>
      </c>
      <c r="K140" s="76" t="n">
        <f aca="false">IF(I140=1,F140,"")</f>
        <v>0.0133980350655549</v>
      </c>
      <c r="L140" s="75" t="n">
        <f aca="false">IF(I140=1,COUNT(I$13:I140),"")</f>
        <v>127</v>
      </c>
      <c r="M140" s="76" t="n">
        <f aca="false">IFERROR(INDEX($J$13:$J$412,MATCH(A140,$L$13:$L$412,0)),"")</f>
        <v>0.000294464075382805</v>
      </c>
      <c r="N140" s="76" t="n">
        <f aca="false">IFERROR(INDEX($K$13:$K$412,MATCH(A140,$L$13:$L$412,0)),"")</f>
        <v>0.0126101182502538</v>
      </c>
      <c r="O140" s="76" t="n">
        <f aca="false">IF(I140=1,E140,NA())</f>
        <v>0.00413956238911895</v>
      </c>
      <c r="P140" s="76" t="n">
        <f aca="false">IF(I140=1,F140,NA())</f>
        <v>0.0133980350655549</v>
      </c>
      <c r="R140" s="75" t="n">
        <f aca="false">ROWS(R$13:R140)</f>
        <v>128</v>
      </c>
      <c r="S140" s="73" t="str">
        <f aca="false">IF(S139="","",IFERROR(SMALL($AD$10:$AD$509,COUNTIF($AD$10:$AD$509,"&lt;="&amp;S139)+1),""))</f>
        <v/>
      </c>
      <c r="T140" s="74" t="str">
        <f aca="false">IF(S140="","",INDEX($AE$10:$AE$509,MATCH(S140,$AD$10:$AD$509,0)))</f>
        <v/>
      </c>
      <c r="U140" s="74" t="str">
        <f aca="false">IF(S140="","",IFERROR(INDEX($AG$10:$AG$509,MATCH(S140,$AF$10:$AF$509,0)),""))</f>
        <v/>
      </c>
      <c r="V140" s="76" t="str">
        <f aca="false">IF(AND(ISNUMBER(T140),ISNUMBER(T139)),T140/T139-1,"")</f>
        <v/>
      </c>
      <c r="W140" s="76" t="str">
        <f aca="false">IF(AND(ISNUMBER(U140),ISNUMBER(U139)),U140/U139-1,"")</f>
        <v/>
      </c>
      <c r="X140" s="75" t="str">
        <f aca="false">IF(AND(ISNUMBER(V140),ISNUMBER(W140)),1,"")</f>
        <v/>
      </c>
      <c r="Y140" s="76" t="str">
        <f aca="false">IF(X140=1,V140,"")</f>
        <v/>
      </c>
      <c r="Z140" s="76" t="str">
        <f aca="false">IF(X140=1,W140,"")</f>
        <v/>
      </c>
      <c r="AA140" s="76" t="e">
        <f aca="false">IF(X140=1,V140,NA())</f>
        <v>#N/A</v>
      </c>
      <c r="AB140" s="76" t="e">
        <f aca="false">IF(X140=1,W140,NA())</f>
        <v>#N/A</v>
      </c>
      <c r="AD140" s="73" t="str">
        <f aca="false">IF(ISNUMBER(AE140),IF(ISNUMBER('Base de Datos'!A136),IF('Base de Datos'!A136&gt;20000,DATE(YEAR('Base de Datos'!A136),DAY('Base de Datos'!A136),MONTH('Base de Datos'!A136)),""),IF(TRIM('Base de Datos'!A136)="","",IFERROR(DATE(VALUE(RIGHT(TRIM('Base de Datos'!A136),4)),VALUE(LEFT(TRIM('Base de Datos'!A136),2)),VALUE(MID(TRIM('Base de Datos'!A136),4,2))),""))),"")</f>
        <v/>
      </c>
      <c r="AE140" s="74" t="str">
        <f aca="false">IF(ISNUMBER('Base de Datos'!B136),'Base de Datos'!B136,IF(TRIM('Base de Datos'!B136)="","",IFERROR(IF(IFERROR(FIND("@",SUBSTITUTE(TRIM('Base de Datos'!B136),",","@",LEN(TRIM('Base de Datos'!B136))-LEN(SUBSTITUTE(TRIM('Base de Datos'!B136),",","")))),0)&gt;IFERROR(FIND("@",SUBSTITUTE(TRIM('Base de Datos'!B136),".","@",LEN(TRIM('Base de Datos'!B136))-LEN(SUBSTITUTE(TRIM('Base de Datos'!B136),".","")))),0),_xlfn.NUMBERVALUE(SUBSTITUTE(SUBSTITUTE(TRIM('Base de Datos'!B136),".",""),",","."),".",","),_xlfn.NUMBERVALUE(SUBSTITUTE(TRIM('Base de Datos'!B136),",",""),".",",")),"")))</f>
        <v/>
      </c>
      <c r="AF140" s="73" t="str">
        <f aca="false">IF(ISNUMBER(AG140),IF(ISNUMBER('Base de Datos'!I136),IF('Base de Datos'!I136&gt;20000,INT('Base de Datos'!I136),""),IF(TRIM('Base de Datos'!I136)="","",IFERROR(DATE(VALUE(RIGHT(TRIM('Base de Datos'!I136),4)),VALUE(MID(TRIM('Base de Datos'!I136),4,2)),VALUE(LEFT(TRIM('Base de Datos'!I136),2))),IFERROR(DATEVALUE(TRIM('Base de Datos'!I136)),"")))),"")</f>
        <v/>
      </c>
      <c r="AG140" s="74" t="str">
        <f aca="false">IF(ISNUMBER('Base de Datos'!J136),'Base de Datos'!J136,IF(TRIM('Base de Datos'!J136)="","",IFERROR(IF(IFERROR(FIND("@",SUBSTITUTE(TRIM('Base de Datos'!J136),",","@",LEN(TRIM('Base de Datos'!J136))-LEN(SUBSTITUTE(TRIM('Base de Datos'!J136),",","")))),0)&gt;IFERROR(FIND("@",SUBSTITUTE(TRIM('Base de Datos'!J136),".","@",LEN(TRIM('Base de Datos'!J136))-LEN(SUBSTITUTE(TRIM('Base de Datos'!J136),".","")))),0),_xlfn.NUMBERVALUE(SUBSTITUTE(SUBSTITUTE(TRIM('Base de Datos'!J136),".",""),",","."),".",","),_xlfn.NUMBERVALUE(SUBSTITUTE(TRIM('Base de Datos'!J136),",",""),".",",")),"")))</f>
        <v/>
      </c>
      <c r="AH140" s="73" t="n">
        <f aca="false">IF(ISNUMBER(AI140),IF(ISNUMBER('Base de Datos'!Q136),IF('Base de Datos'!Q136&gt;20000,DATE(YEAR('Base de Datos'!Q136),DAY('Base de Datos'!Q136),MONTH('Base de Datos'!Q136)),""),IF(TRIM('Base de Datos'!Q136)="","",IFERROR(DATE(VALUE(RIGHT(TRIM('Base de Datos'!Q136),4)),VALUE(LEFT(TRIM('Base de Datos'!Q136),2)),VALUE(MID(TRIM('Base de Datos'!Q136),4,2))),""))),"")</f>
        <v>45396</v>
      </c>
      <c r="AI140" s="74" t="n">
        <f aca="false">IF(ISNUMBER('Base de Datos'!R136),'Base de Datos'!R136,IF(TRIM('Base de Datos'!R136)="","",IFERROR(IF(IFERROR(FIND("@",SUBSTITUTE(TRIM('Base de Datos'!R136),",","@",LEN(TRIM('Base de Datos'!R136))-LEN(SUBSTITUTE(TRIM('Base de Datos'!R136),",","")))),0)&gt;IFERROR(FIND("@",SUBSTITUTE(TRIM('Base de Datos'!R136),".","@",LEN(TRIM('Base de Datos'!R136))-LEN(SUBSTITUTE(TRIM('Base de Datos'!R136),".","")))),0),_xlfn.NUMBERVALUE(SUBSTITUTE(SUBSTITUTE(TRIM('Base de Datos'!R136),".",""),",","."),".",","),_xlfn.NUMBERVALUE(SUBSTITUTE(TRIM('Base de Datos'!R136),",",""),".",",")),"")))</f>
        <v>33.99</v>
      </c>
      <c r="AJ140" s="73" t="n">
        <f aca="false">IF(ISNUMBER(AK140),IF(ISNUMBER('Base de Datos'!Y136),IF('Base de Datos'!Y136&gt;20000,INT('Base de Datos'!Y136),""),IF(TRIM('Base de Datos'!Y136)="","",IFERROR(DATE(VALUE(RIGHT(TRIM('Base de Datos'!Y136),4)),VALUE(MID(TRIM('Base de Datos'!Y136),4,2)),VALUE(LEFT(TRIM('Base de Datos'!Y136),2))),IFERROR(DATEVALUE(TRIM('Base de Datos'!Y136)),"")))),"")</f>
        <v>45396</v>
      </c>
      <c r="AK140" s="74" t="n">
        <f aca="false">IF(ISNUMBER('Base de Datos'!Z136),'Base de Datos'!Z136,IF(TRIM('Base de Datos'!Z136)="","",IFERROR(IF(IFERROR(FIND("@",SUBSTITUTE(TRIM('Base de Datos'!Z136),",","@",LEN(TRIM('Base de Datos'!Z136))-LEN(SUBSTITUTE(TRIM('Base de Datos'!Z136),",","")))),0)&gt;IFERROR(FIND("@",SUBSTITUTE(TRIM('Base de Datos'!Z136),".","@",LEN(TRIM('Base de Datos'!Z136))-LEN(SUBSTITUTE(TRIM('Base de Datos'!Z136),".","")))),0),_xlfn.NUMBERVALUE(SUBSTITUTE(SUBSTITUTE(TRIM('Base de Datos'!Z136),".",""),",","."),".",","),_xlfn.NUMBERVALUE(SUBSTITUTE(TRIM('Base de Datos'!Z136),",",""),".",",")),"")))</f>
        <v>55862.85</v>
      </c>
    </row>
    <row r="141" customFormat="false" ht="13.5" hidden="false" customHeight="false" outlineLevel="0" collapsed="false">
      <c r="A141" s="75" t="n">
        <f aca="false">ROWS(A$13:A141)</f>
        <v>129</v>
      </c>
      <c r="B141" s="73" t="n">
        <f aca="false">IF(B140="","",IFERROR(SMALL($AH$10:$AH$409,COUNTIF($AH$10:$AH$409,"&lt;="&amp;B140)+1),""))</f>
        <v>45382</v>
      </c>
      <c r="C141" s="74" t="n">
        <f aca="false">IF(B141="","",INDEX($AI$10:$AI$409,MATCH(B141,$AH$10:$AH$409,0)))</f>
        <v>33.97</v>
      </c>
      <c r="D141" s="74" t="n">
        <f aca="false">IF(B141="","",IFERROR(INDEX($AK$10:$AK$409,MATCH(B141,$AJ$10:$AJ$409,0)),""))</f>
        <v>58092.44</v>
      </c>
      <c r="E141" s="76" t="n">
        <f aca="false">IF(AND(ISNUMBER(C141),ISNUMBER(C140)),C141/C140-1,"")</f>
        <v>0.000294464075382805</v>
      </c>
      <c r="F141" s="76" t="n">
        <f aca="false">IF(AND(ISNUMBER(D141),ISNUMBER(D140)),D141/D140-1,"")</f>
        <v>0.0126101182502538</v>
      </c>
      <c r="G141" s="75" t="n">
        <f aca="false">IF(AND(ISNUMBER(E141),ISNUMBER(F141)),1,"")</f>
        <v>1</v>
      </c>
      <c r="H141" s="75" t="n">
        <f aca="false">IF(G141=1,COUNT(G141:G$412),"")</f>
        <v>131</v>
      </c>
      <c r="I141" s="75" t="n">
        <f aca="false">IF(G141=1,IF(H141&lt;='Beta Regresión'!$B$5,1,""),"")</f>
        <v>1</v>
      </c>
      <c r="J141" s="76" t="n">
        <f aca="false">IF(I141=1,E141,"")</f>
        <v>0.000294464075382805</v>
      </c>
      <c r="K141" s="76" t="n">
        <f aca="false">IF(I141=1,F141,"")</f>
        <v>0.0126101182502538</v>
      </c>
      <c r="L141" s="75" t="n">
        <f aca="false">IF(I141=1,COUNT(I$13:I141),"")</f>
        <v>128</v>
      </c>
      <c r="M141" s="76" t="n">
        <f aca="false">IFERROR(INDEX($J$13:$J$412,MATCH(A141,$L$13:$L$412,0)),"")</f>
        <v>0.000883132175448997</v>
      </c>
      <c r="N141" s="76" t="n">
        <f aca="false">IFERROR(INDEX($K$13:$K$412,MATCH(A141,$L$13:$L$412,0)),"")</f>
        <v>-0.0262774295588205</v>
      </c>
      <c r="O141" s="76" t="n">
        <f aca="false">IF(I141=1,E141,NA())</f>
        <v>0.000294464075382805</v>
      </c>
      <c r="P141" s="76" t="n">
        <f aca="false">IF(I141=1,F141,NA())</f>
        <v>0.0126101182502538</v>
      </c>
      <c r="R141" s="75" t="n">
        <f aca="false">ROWS(R$13:R141)</f>
        <v>129</v>
      </c>
      <c r="S141" s="73" t="str">
        <f aca="false">IF(S140="","",IFERROR(SMALL($AD$10:$AD$509,COUNTIF($AD$10:$AD$509,"&lt;="&amp;S140)+1),""))</f>
        <v/>
      </c>
      <c r="T141" s="74" t="str">
        <f aca="false">IF(S141="","",INDEX($AE$10:$AE$509,MATCH(S141,$AD$10:$AD$509,0)))</f>
        <v/>
      </c>
      <c r="U141" s="74" t="str">
        <f aca="false">IF(S141="","",IFERROR(INDEX($AG$10:$AG$509,MATCH(S141,$AF$10:$AF$509,0)),""))</f>
        <v/>
      </c>
      <c r="V141" s="76" t="str">
        <f aca="false">IF(AND(ISNUMBER(T141),ISNUMBER(T140)),T141/T140-1,"")</f>
        <v/>
      </c>
      <c r="W141" s="76" t="str">
        <f aca="false">IF(AND(ISNUMBER(U141),ISNUMBER(U140)),U141/U140-1,"")</f>
        <v/>
      </c>
      <c r="X141" s="75" t="str">
        <f aca="false">IF(AND(ISNUMBER(V141),ISNUMBER(W141)),1,"")</f>
        <v/>
      </c>
      <c r="Y141" s="76" t="str">
        <f aca="false">IF(X141=1,V141,"")</f>
        <v/>
      </c>
      <c r="Z141" s="76" t="str">
        <f aca="false">IF(X141=1,W141,"")</f>
        <v/>
      </c>
      <c r="AA141" s="76" t="e">
        <f aca="false">IF(X141=1,V141,NA())</f>
        <v>#N/A</v>
      </c>
      <c r="AB141" s="76" t="e">
        <f aca="false">IF(X141=1,W141,NA())</f>
        <v>#N/A</v>
      </c>
      <c r="AD141" s="73" t="str">
        <f aca="false">IF(ISNUMBER(AE141),IF(ISNUMBER('Base de Datos'!A137),IF('Base de Datos'!A137&gt;20000,DATE(YEAR('Base de Datos'!A137),DAY('Base de Datos'!A137),MONTH('Base de Datos'!A137)),""),IF(TRIM('Base de Datos'!A137)="","",IFERROR(DATE(VALUE(RIGHT(TRIM('Base de Datos'!A137),4)),VALUE(LEFT(TRIM('Base de Datos'!A137),2)),VALUE(MID(TRIM('Base de Datos'!A137),4,2))),""))),"")</f>
        <v/>
      </c>
      <c r="AE141" s="74" t="str">
        <f aca="false">IF(ISNUMBER('Base de Datos'!B137),'Base de Datos'!B137,IF(TRIM('Base de Datos'!B137)="","",IFERROR(IF(IFERROR(FIND("@",SUBSTITUTE(TRIM('Base de Datos'!B137),",","@",LEN(TRIM('Base de Datos'!B137))-LEN(SUBSTITUTE(TRIM('Base de Datos'!B137),",","")))),0)&gt;IFERROR(FIND("@",SUBSTITUTE(TRIM('Base de Datos'!B137),".","@",LEN(TRIM('Base de Datos'!B137))-LEN(SUBSTITUTE(TRIM('Base de Datos'!B137),".","")))),0),_xlfn.NUMBERVALUE(SUBSTITUTE(SUBSTITUTE(TRIM('Base de Datos'!B137),".",""),",","."),".",","),_xlfn.NUMBERVALUE(SUBSTITUTE(TRIM('Base de Datos'!B137),",",""),".",",")),"")))</f>
        <v/>
      </c>
      <c r="AF141" s="73" t="str">
        <f aca="false">IF(ISNUMBER(AG141),IF(ISNUMBER('Base de Datos'!I137),IF('Base de Datos'!I137&gt;20000,INT('Base de Datos'!I137),""),IF(TRIM('Base de Datos'!I137)="","",IFERROR(DATE(VALUE(RIGHT(TRIM('Base de Datos'!I137),4)),VALUE(MID(TRIM('Base de Datos'!I137),4,2)),VALUE(LEFT(TRIM('Base de Datos'!I137),2))),IFERROR(DATEVALUE(TRIM('Base de Datos'!I137)),"")))),"")</f>
        <v/>
      </c>
      <c r="AG141" s="74" t="str">
        <f aca="false">IF(ISNUMBER('Base de Datos'!J137),'Base de Datos'!J137,IF(TRIM('Base de Datos'!J137)="","",IFERROR(IF(IFERROR(FIND("@",SUBSTITUTE(TRIM('Base de Datos'!J137),",","@",LEN(TRIM('Base de Datos'!J137))-LEN(SUBSTITUTE(TRIM('Base de Datos'!J137),",","")))),0)&gt;IFERROR(FIND("@",SUBSTITUTE(TRIM('Base de Datos'!J137),".","@",LEN(TRIM('Base de Datos'!J137))-LEN(SUBSTITUTE(TRIM('Base de Datos'!J137),".","")))),0),_xlfn.NUMBERVALUE(SUBSTITUTE(SUBSTITUTE(TRIM('Base de Datos'!J137),".",""),",","."),".",","),_xlfn.NUMBERVALUE(SUBSTITUTE(TRIM('Base de Datos'!J137),",",""),".",",")),"")))</f>
        <v/>
      </c>
      <c r="AH141" s="73" t="n">
        <f aca="false">IF(ISNUMBER(AI141),IF(ISNUMBER('Base de Datos'!Q137),IF('Base de Datos'!Q137&gt;20000,DATE(YEAR('Base de Datos'!Q137),DAY('Base de Datos'!Q137),MONTH('Base de Datos'!Q137)),""),IF(TRIM('Base de Datos'!Q137)="","",IFERROR(DATE(VALUE(RIGHT(TRIM('Base de Datos'!Q137),4)),VALUE(LEFT(TRIM('Base de Datos'!Q137),2)),VALUE(MID(TRIM('Base de Datos'!Q137),4,2))),""))),"")</f>
        <v>45403</v>
      </c>
      <c r="AI141" s="74" t="n">
        <f aca="false">IF(ISNUMBER('Base de Datos'!R137),'Base de Datos'!R137,IF(TRIM('Base de Datos'!R137)="","",IFERROR(IF(IFERROR(FIND("@",SUBSTITUTE(TRIM('Base de Datos'!R137),",","@",LEN(TRIM('Base de Datos'!R137))-LEN(SUBSTITUTE(TRIM('Base de Datos'!R137),",","")))),0)&gt;IFERROR(FIND("@",SUBSTITUTE(TRIM('Base de Datos'!R137),".","@",LEN(TRIM('Base de Datos'!R137))-LEN(SUBSTITUTE(TRIM('Base de Datos'!R137),".","")))),0),_xlfn.NUMBERVALUE(SUBSTITUTE(SUBSTITUTE(TRIM('Base de Datos'!R137),".",""),",","."),".",","),_xlfn.NUMBERVALUE(SUBSTITUTE(TRIM('Base de Datos'!R137),",",""),".",",")),"")))</f>
        <v>33.87</v>
      </c>
      <c r="AJ141" s="73" t="n">
        <f aca="false">IF(ISNUMBER(AK141),IF(ISNUMBER('Base de Datos'!Y137),IF('Base de Datos'!Y137&gt;20000,INT('Base de Datos'!Y137),""),IF(TRIM('Base de Datos'!Y137)="","",IFERROR(DATE(VALUE(RIGHT(TRIM('Base de Datos'!Y137),4)),VALUE(MID(TRIM('Base de Datos'!Y137),4,2)),VALUE(LEFT(TRIM('Base de Datos'!Y137),2))),IFERROR(DATEVALUE(TRIM('Base de Datos'!Y137)),"")))),"")</f>
        <v>45403</v>
      </c>
      <c r="AK141" s="74" t="n">
        <f aca="false">IF(ISNUMBER('Base de Datos'!Z137),'Base de Datos'!Z137,IF(TRIM('Base de Datos'!Z137)="","",IFERROR(IF(IFERROR(FIND("@",SUBSTITUTE(TRIM('Base de Datos'!Z137),",","@",LEN(TRIM('Base de Datos'!Z137))-LEN(SUBSTITUTE(TRIM('Base de Datos'!Z137),",","")))),0)&gt;IFERROR(FIND("@",SUBSTITUTE(TRIM('Base de Datos'!Z137),".","@",LEN(TRIM('Base de Datos'!Z137))-LEN(SUBSTITUTE(TRIM('Base de Datos'!Z137),".","")))),0),_xlfn.NUMBERVALUE(SUBSTITUTE(SUBSTITUTE(TRIM('Base de Datos'!Z137),".",""),",","."),".",","),_xlfn.NUMBERVALUE(SUBSTITUTE(TRIM('Base de Datos'!Z137),",",""),".",",")),"")))</f>
        <v>57833.85</v>
      </c>
    </row>
    <row r="142" customFormat="false" ht="13.5" hidden="false" customHeight="false" outlineLevel="0" collapsed="false">
      <c r="A142" s="75" t="n">
        <f aca="false">ROWS(A$13:A142)</f>
        <v>130</v>
      </c>
      <c r="B142" s="73" t="n">
        <f aca="false">IF(B141="","",IFERROR(SMALL($AH$10:$AH$409,COUNTIF($AH$10:$AH$409,"&lt;="&amp;B141)+1),""))</f>
        <v>45389</v>
      </c>
      <c r="C142" s="74" t="n">
        <f aca="false">IF(B142="","",INDEX($AI$10:$AI$409,MATCH(B142,$AH$10:$AH$409,0)))</f>
        <v>34</v>
      </c>
      <c r="D142" s="74" t="n">
        <f aca="false">IF(B142="","",IFERROR(INDEX($AK$10:$AK$409,MATCH(B142,$AJ$10:$AJ$409,0)),""))</f>
        <v>56565.92</v>
      </c>
      <c r="E142" s="76" t="n">
        <f aca="false">IF(AND(ISNUMBER(C142),ISNUMBER(C141)),C142/C141-1,"")</f>
        <v>0.000883132175448997</v>
      </c>
      <c r="F142" s="76" t="n">
        <f aca="false">IF(AND(ISNUMBER(D142),ISNUMBER(D141)),D142/D141-1,"")</f>
        <v>-0.0262774295588205</v>
      </c>
      <c r="G142" s="75" t="n">
        <f aca="false">IF(AND(ISNUMBER(E142),ISNUMBER(F142)),1,"")</f>
        <v>1</v>
      </c>
      <c r="H142" s="75" t="n">
        <f aca="false">IF(G142=1,COUNT(G142:G$412),"")</f>
        <v>130</v>
      </c>
      <c r="I142" s="75" t="n">
        <f aca="false">IF(G142=1,IF(H142&lt;='Beta Regresión'!$B$5,1,""),"")</f>
        <v>1</v>
      </c>
      <c r="J142" s="76" t="n">
        <f aca="false">IF(I142=1,E142,"")</f>
        <v>0.000883132175448997</v>
      </c>
      <c r="K142" s="76" t="n">
        <f aca="false">IF(I142=1,F142,"")</f>
        <v>-0.0262774295588205</v>
      </c>
      <c r="L142" s="75" t="n">
        <f aca="false">IF(I142=1,COUNT(I$13:I142),"")</f>
        <v>129</v>
      </c>
      <c r="M142" s="76" t="n">
        <f aca="false">IFERROR(INDEX($J$13:$J$412,MATCH(A142,$L$13:$L$412,0)),"")</f>
        <v>-0.000294117647058778</v>
      </c>
      <c r="N142" s="76" t="n">
        <f aca="false">IFERROR(INDEX($K$13:$K$412,MATCH(A142,$L$13:$L$412,0)),"")</f>
        <v>-0.0124292153296544</v>
      </c>
      <c r="O142" s="76" t="n">
        <f aca="false">IF(I142=1,E142,NA())</f>
        <v>0.000883132175448997</v>
      </c>
      <c r="P142" s="76" t="n">
        <f aca="false">IF(I142=1,F142,NA())</f>
        <v>-0.0262774295588205</v>
      </c>
      <c r="R142" s="75" t="n">
        <f aca="false">ROWS(R$13:R142)</f>
        <v>130</v>
      </c>
      <c r="S142" s="73" t="str">
        <f aca="false">IF(S141="","",IFERROR(SMALL($AD$10:$AD$509,COUNTIF($AD$10:$AD$509,"&lt;="&amp;S141)+1),""))</f>
        <v/>
      </c>
      <c r="T142" s="74" t="str">
        <f aca="false">IF(S142="","",INDEX($AE$10:$AE$509,MATCH(S142,$AD$10:$AD$509,0)))</f>
        <v/>
      </c>
      <c r="U142" s="74" t="str">
        <f aca="false">IF(S142="","",IFERROR(INDEX($AG$10:$AG$509,MATCH(S142,$AF$10:$AF$509,0)),""))</f>
        <v/>
      </c>
      <c r="V142" s="76" t="str">
        <f aca="false">IF(AND(ISNUMBER(T142),ISNUMBER(T141)),T142/T141-1,"")</f>
        <v/>
      </c>
      <c r="W142" s="76" t="str">
        <f aca="false">IF(AND(ISNUMBER(U142),ISNUMBER(U141)),U142/U141-1,"")</f>
        <v/>
      </c>
      <c r="X142" s="75" t="str">
        <f aca="false">IF(AND(ISNUMBER(V142),ISNUMBER(W142)),1,"")</f>
        <v/>
      </c>
      <c r="Y142" s="76" t="str">
        <f aca="false">IF(X142=1,V142,"")</f>
        <v/>
      </c>
      <c r="Z142" s="76" t="str">
        <f aca="false">IF(X142=1,W142,"")</f>
        <v/>
      </c>
      <c r="AA142" s="76" t="e">
        <f aca="false">IF(X142=1,V142,NA())</f>
        <v>#N/A</v>
      </c>
      <c r="AB142" s="76" t="e">
        <f aca="false">IF(X142=1,W142,NA())</f>
        <v>#N/A</v>
      </c>
      <c r="AD142" s="73" t="str">
        <f aca="false">IF(ISNUMBER(AE142),IF(ISNUMBER('Base de Datos'!A138),IF('Base de Datos'!A138&gt;20000,DATE(YEAR('Base de Datos'!A138),DAY('Base de Datos'!A138),MONTH('Base de Datos'!A138)),""),IF(TRIM('Base de Datos'!A138)="","",IFERROR(DATE(VALUE(RIGHT(TRIM('Base de Datos'!A138),4)),VALUE(LEFT(TRIM('Base de Datos'!A138),2)),VALUE(MID(TRIM('Base de Datos'!A138),4,2))),""))),"")</f>
        <v/>
      </c>
      <c r="AE142" s="74" t="str">
        <f aca="false">IF(ISNUMBER('Base de Datos'!B138),'Base de Datos'!B138,IF(TRIM('Base de Datos'!B138)="","",IFERROR(IF(IFERROR(FIND("@",SUBSTITUTE(TRIM('Base de Datos'!B138),",","@",LEN(TRIM('Base de Datos'!B138))-LEN(SUBSTITUTE(TRIM('Base de Datos'!B138),",","")))),0)&gt;IFERROR(FIND("@",SUBSTITUTE(TRIM('Base de Datos'!B138),".","@",LEN(TRIM('Base de Datos'!B138))-LEN(SUBSTITUTE(TRIM('Base de Datos'!B138),".","")))),0),_xlfn.NUMBERVALUE(SUBSTITUTE(SUBSTITUTE(TRIM('Base de Datos'!B138),".",""),",","."),".",","),_xlfn.NUMBERVALUE(SUBSTITUTE(TRIM('Base de Datos'!B138),",",""),".",",")),"")))</f>
        <v/>
      </c>
      <c r="AF142" s="73" t="str">
        <f aca="false">IF(ISNUMBER(AG142),IF(ISNUMBER('Base de Datos'!I138),IF('Base de Datos'!I138&gt;20000,INT('Base de Datos'!I138),""),IF(TRIM('Base de Datos'!I138)="","",IFERROR(DATE(VALUE(RIGHT(TRIM('Base de Datos'!I138),4)),VALUE(MID(TRIM('Base de Datos'!I138),4,2)),VALUE(LEFT(TRIM('Base de Datos'!I138),2))),IFERROR(DATEVALUE(TRIM('Base de Datos'!I138)),"")))),"")</f>
        <v/>
      </c>
      <c r="AG142" s="74" t="str">
        <f aca="false">IF(ISNUMBER('Base de Datos'!J138),'Base de Datos'!J138,IF(TRIM('Base de Datos'!J138)="","",IFERROR(IF(IFERROR(FIND("@",SUBSTITUTE(TRIM('Base de Datos'!J138),",","@",LEN(TRIM('Base de Datos'!J138))-LEN(SUBSTITUTE(TRIM('Base de Datos'!J138),",","")))),0)&gt;IFERROR(FIND("@",SUBSTITUTE(TRIM('Base de Datos'!J138),".","@",LEN(TRIM('Base de Datos'!J138))-LEN(SUBSTITUTE(TRIM('Base de Datos'!J138),".","")))),0),_xlfn.NUMBERVALUE(SUBSTITUTE(SUBSTITUTE(TRIM('Base de Datos'!J138),".",""),",","."),".",","),_xlfn.NUMBERVALUE(SUBSTITUTE(TRIM('Base de Datos'!J138),",",""),".",",")),"")))</f>
        <v/>
      </c>
      <c r="AH142" s="73" t="n">
        <f aca="false">IF(ISNUMBER(AI142),IF(ISNUMBER('Base de Datos'!Q138),IF('Base de Datos'!Q138&gt;20000,DATE(YEAR('Base de Datos'!Q138),DAY('Base de Datos'!Q138),MONTH('Base de Datos'!Q138)),""),IF(TRIM('Base de Datos'!Q138)="","",IFERROR(DATE(VALUE(RIGHT(TRIM('Base de Datos'!Q138),4)),VALUE(LEFT(TRIM('Base de Datos'!Q138),2)),VALUE(MID(TRIM('Base de Datos'!Q138),4,2))),""))),"")</f>
        <v>45410</v>
      </c>
      <c r="AI142" s="74" t="n">
        <f aca="false">IF(ISNUMBER('Base de Datos'!R138),'Base de Datos'!R138,IF(TRIM('Base de Datos'!R138)="","",IFERROR(IF(IFERROR(FIND("@",SUBSTITUTE(TRIM('Base de Datos'!R138),",","@",LEN(TRIM('Base de Datos'!R138))-LEN(SUBSTITUTE(TRIM('Base de Datos'!R138),",","")))),0)&gt;IFERROR(FIND("@",SUBSTITUTE(TRIM('Base de Datos'!R138),".","@",LEN(TRIM('Base de Datos'!R138))-LEN(SUBSTITUTE(TRIM('Base de Datos'!R138),".","")))),0),_xlfn.NUMBERVALUE(SUBSTITUTE(SUBSTITUTE(TRIM('Base de Datos'!R138),".",""),",","."),".",","),_xlfn.NUMBERVALUE(SUBSTITUTE(TRIM('Base de Datos'!R138),",",""),".",",")),"")))</f>
        <v>34</v>
      </c>
      <c r="AJ142" s="73" t="n">
        <f aca="false">IF(ISNUMBER(AK142),IF(ISNUMBER('Base de Datos'!Y138),IF('Base de Datos'!Y138&gt;20000,INT('Base de Datos'!Y138),""),IF(TRIM('Base de Datos'!Y138)="","",IFERROR(DATE(VALUE(RIGHT(TRIM('Base de Datos'!Y138),4)),VALUE(MID(TRIM('Base de Datos'!Y138),4,2)),VALUE(LEFT(TRIM('Base de Datos'!Y138),2))),IFERROR(DATEVALUE(TRIM('Base de Datos'!Y138)),"")))),"")</f>
        <v>45410</v>
      </c>
      <c r="AK142" s="74" t="n">
        <f aca="false">IF(ISNUMBER('Base de Datos'!Z138),'Base de Datos'!Z138,IF(TRIM('Base de Datos'!Z138)="","",IFERROR(IF(IFERROR(FIND("@",SUBSTITUTE(TRIM('Base de Datos'!Z138),",","@",LEN(TRIM('Base de Datos'!Z138))-LEN(SUBSTITUTE(TRIM('Base de Datos'!Z138),",","")))),0)&gt;IFERROR(FIND("@",SUBSTITUTE(TRIM('Base de Datos'!Z138),".","@",LEN(TRIM('Base de Datos'!Z138))-LEN(SUBSTITUTE(TRIM('Base de Datos'!Z138),".","")))),0),_xlfn.NUMBERVALUE(SUBSTITUTE(SUBSTITUTE(TRIM('Base de Datos'!Z138),".",""),",","."),".",","),_xlfn.NUMBERVALUE(SUBSTITUTE(TRIM('Base de Datos'!Z138),",",""),".",",")),"")))</f>
        <v>57135.26</v>
      </c>
    </row>
    <row r="143" customFormat="false" ht="13.5" hidden="false" customHeight="false" outlineLevel="0" collapsed="false">
      <c r="A143" s="75" t="n">
        <f aca="false">ROWS(A$13:A143)</f>
        <v>131</v>
      </c>
      <c r="B143" s="73" t="n">
        <f aca="false">IF(B142="","",IFERROR(SMALL($AH$10:$AH$409,COUNTIF($AH$10:$AH$409,"&lt;="&amp;B142)+1),""))</f>
        <v>45396</v>
      </c>
      <c r="C143" s="74" t="n">
        <f aca="false">IF(B143="","",INDEX($AI$10:$AI$409,MATCH(B143,$AH$10:$AH$409,0)))</f>
        <v>33.99</v>
      </c>
      <c r="D143" s="74" t="n">
        <f aca="false">IF(B143="","",IFERROR(INDEX($AK$10:$AK$409,MATCH(B143,$AJ$10:$AJ$409,0)),""))</f>
        <v>55862.85</v>
      </c>
      <c r="E143" s="76" t="n">
        <f aca="false">IF(AND(ISNUMBER(C143),ISNUMBER(C142)),C143/C142-1,"")</f>
        <v>-0.000294117647058778</v>
      </c>
      <c r="F143" s="76" t="n">
        <f aca="false">IF(AND(ISNUMBER(D143),ISNUMBER(D142)),D143/D142-1,"")</f>
        <v>-0.0124292153296544</v>
      </c>
      <c r="G143" s="75" t="n">
        <f aca="false">IF(AND(ISNUMBER(E143),ISNUMBER(F143)),1,"")</f>
        <v>1</v>
      </c>
      <c r="H143" s="75" t="n">
        <f aca="false">IF(G143=1,COUNT(G143:G$412),"")</f>
        <v>129</v>
      </c>
      <c r="I143" s="75" t="n">
        <f aca="false">IF(G143=1,IF(H143&lt;='Beta Regresión'!$B$5,1,""),"")</f>
        <v>1</v>
      </c>
      <c r="J143" s="76" t="n">
        <f aca="false">IF(I143=1,E143,"")</f>
        <v>-0.000294117647058778</v>
      </c>
      <c r="K143" s="76" t="n">
        <f aca="false">IF(I143=1,F143,"")</f>
        <v>-0.0124292153296544</v>
      </c>
      <c r="L143" s="75" t="n">
        <f aca="false">IF(I143=1,COUNT(I$13:I143),"")</f>
        <v>130</v>
      </c>
      <c r="M143" s="76" t="n">
        <f aca="false">IFERROR(INDEX($J$13:$J$412,MATCH(A143,$L$13:$L$412,0)),"")</f>
        <v>-0.00353045013239206</v>
      </c>
      <c r="N143" s="76" t="n">
        <f aca="false">IFERROR(INDEX($K$13:$K$412,MATCH(A143,$L$13:$L$412,0)),"")</f>
        <v>0.0352828400269589</v>
      </c>
      <c r="O143" s="76" t="n">
        <f aca="false">IF(I143=1,E143,NA())</f>
        <v>-0.000294117647058778</v>
      </c>
      <c r="P143" s="76" t="n">
        <f aca="false">IF(I143=1,F143,NA())</f>
        <v>-0.0124292153296544</v>
      </c>
      <c r="R143" s="75" t="n">
        <f aca="false">ROWS(R$13:R143)</f>
        <v>131</v>
      </c>
      <c r="S143" s="73" t="str">
        <f aca="false">IF(S142="","",IFERROR(SMALL($AD$10:$AD$509,COUNTIF($AD$10:$AD$509,"&lt;="&amp;S142)+1),""))</f>
        <v/>
      </c>
      <c r="T143" s="74" t="str">
        <f aca="false">IF(S143="","",INDEX($AE$10:$AE$509,MATCH(S143,$AD$10:$AD$509,0)))</f>
        <v/>
      </c>
      <c r="U143" s="74" t="str">
        <f aca="false">IF(S143="","",IFERROR(INDEX($AG$10:$AG$509,MATCH(S143,$AF$10:$AF$509,0)),""))</f>
        <v/>
      </c>
      <c r="V143" s="76" t="str">
        <f aca="false">IF(AND(ISNUMBER(T143),ISNUMBER(T142)),T143/T142-1,"")</f>
        <v/>
      </c>
      <c r="W143" s="76" t="str">
        <f aca="false">IF(AND(ISNUMBER(U143),ISNUMBER(U142)),U143/U142-1,"")</f>
        <v/>
      </c>
      <c r="X143" s="75" t="str">
        <f aca="false">IF(AND(ISNUMBER(V143),ISNUMBER(W143)),1,"")</f>
        <v/>
      </c>
      <c r="Y143" s="76" t="str">
        <f aca="false">IF(X143=1,V143,"")</f>
        <v/>
      </c>
      <c r="Z143" s="76" t="str">
        <f aca="false">IF(X143=1,W143,"")</f>
        <v/>
      </c>
      <c r="AA143" s="76" t="e">
        <f aca="false">IF(X143=1,V143,NA())</f>
        <v>#N/A</v>
      </c>
      <c r="AB143" s="76" t="e">
        <f aca="false">IF(X143=1,W143,NA())</f>
        <v>#N/A</v>
      </c>
      <c r="AD143" s="73" t="str">
        <f aca="false">IF(ISNUMBER(AE143),IF(ISNUMBER('Base de Datos'!A139),IF('Base de Datos'!A139&gt;20000,DATE(YEAR('Base de Datos'!A139),DAY('Base de Datos'!A139),MONTH('Base de Datos'!A139)),""),IF(TRIM('Base de Datos'!A139)="","",IFERROR(DATE(VALUE(RIGHT(TRIM('Base de Datos'!A139),4)),VALUE(LEFT(TRIM('Base de Datos'!A139),2)),VALUE(MID(TRIM('Base de Datos'!A139),4,2))),""))),"")</f>
        <v/>
      </c>
      <c r="AE143" s="74" t="str">
        <f aca="false">IF(ISNUMBER('Base de Datos'!B139),'Base de Datos'!B139,IF(TRIM('Base de Datos'!B139)="","",IFERROR(IF(IFERROR(FIND("@",SUBSTITUTE(TRIM('Base de Datos'!B139),",","@",LEN(TRIM('Base de Datos'!B139))-LEN(SUBSTITUTE(TRIM('Base de Datos'!B139),",","")))),0)&gt;IFERROR(FIND("@",SUBSTITUTE(TRIM('Base de Datos'!B139),".","@",LEN(TRIM('Base de Datos'!B139))-LEN(SUBSTITUTE(TRIM('Base de Datos'!B139),".","")))),0),_xlfn.NUMBERVALUE(SUBSTITUTE(SUBSTITUTE(TRIM('Base de Datos'!B139),".",""),",","."),".",","),_xlfn.NUMBERVALUE(SUBSTITUTE(TRIM('Base de Datos'!B139),",",""),".",",")),"")))</f>
        <v/>
      </c>
      <c r="AF143" s="73" t="str">
        <f aca="false">IF(ISNUMBER(AG143),IF(ISNUMBER('Base de Datos'!I139),IF('Base de Datos'!I139&gt;20000,INT('Base de Datos'!I139),""),IF(TRIM('Base de Datos'!I139)="","",IFERROR(DATE(VALUE(RIGHT(TRIM('Base de Datos'!I139),4)),VALUE(MID(TRIM('Base de Datos'!I139),4,2)),VALUE(LEFT(TRIM('Base de Datos'!I139),2))),IFERROR(DATEVALUE(TRIM('Base de Datos'!I139)),"")))),"")</f>
        <v/>
      </c>
      <c r="AG143" s="74" t="str">
        <f aca="false">IF(ISNUMBER('Base de Datos'!J139),'Base de Datos'!J139,IF(TRIM('Base de Datos'!J139)="","",IFERROR(IF(IFERROR(FIND("@",SUBSTITUTE(TRIM('Base de Datos'!J139),",","@",LEN(TRIM('Base de Datos'!J139))-LEN(SUBSTITUTE(TRIM('Base de Datos'!J139),",","")))),0)&gt;IFERROR(FIND("@",SUBSTITUTE(TRIM('Base de Datos'!J139),".","@",LEN(TRIM('Base de Datos'!J139))-LEN(SUBSTITUTE(TRIM('Base de Datos'!J139),".","")))),0),_xlfn.NUMBERVALUE(SUBSTITUTE(SUBSTITUTE(TRIM('Base de Datos'!J139),".",""),",","."),".",","),_xlfn.NUMBERVALUE(SUBSTITUTE(TRIM('Base de Datos'!J139),",",""),".",",")),"")))</f>
        <v/>
      </c>
      <c r="AH143" s="73" t="n">
        <f aca="false">IF(ISNUMBER(AI143),IF(ISNUMBER('Base de Datos'!Q139),IF('Base de Datos'!Q139&gt;20000,DATE(YEAR('Base de Datos'!Q139),DAY('Base de Datos'!Q139),MONTH('Base de Datos'!Q139)),""),IF(TRIM('Base de Datos'!Q139)="","",IFERROR(DATE(VALUE(RIGHT(TRIM('Base de Datos'!Q139),4)),VALUE(LEFT(TRIM('Base de Datos'!Q139),2)),VALUE(MID(TRIM('Base de Datos'!Q139),4,2))),""))),"")</f>
        <v>45417</v>
      </c>
      <c r="AI143" s="74" t="n">
        <f aca="false">IF(ISNUMBER('Base de Datos'!R139),'Base de Datos'!R139,IF(TRIM('Base de Datos'!R139)="","",IFERROR(IF(IFERROR(FIND("@",SUBSTITUTE(TRIM('Base de Datos'!R139),",","@",LEN(TRIM('Base de Datos'!R139))-LEN(SUBSTITUTE(TRIM('Base de Datos'!R139),",","")))),0)&gt;IFERROR(FIND("@",SUBSTITUTE(TRIM('Base de Datos'!R139),".","@",LEN(TRIM('Base de Datos'!R139))-LEN(SUBSTITUTE(TRIM('Base de Datos'!R139),".","")))),0),_xlfn.NUMBERVALUE(SUBSTITUTE(SUBSTITUTE(TRIM('Base de Datos'!R139),".",""),",","."),".",","),_xlfn.NUMBERVALUE(SUBSTITUTE(TRIM('Base de Datos'!R139),",",""),".",",")),"")))</f>
        <v>32.87</v>
      </c>
      <c r="AJ143" s="73" t="n">
        <f aca="false">IF(ISNUMBER(AK143),IF(ISNUMBER('Base de Datos'!Y139),IF('Base de Datos'!Y139&gt;20000,INT('Base de Datos'!Y139),""),IF(TRIM('Base de Datos'!Y139)="","",IFERROR(DATE(VALUE(RIGHT(TRIM('Base de Datos'!Y139),4)),VALUE(MID(TRIM('Base de Datos'!Y139),4,2)),VALUE(LEFT(TRIM('Base de Datos'!Y139),2))),IFERROR(DATEVALUE(TRIM('Base de Datos'!Y139)),"")))),"")</f>
        <v>45417</v>
      </c>
      <c r="AK143" s="74" t="n">
        <f aca="false">IF(ISNUMBER('Base de Datos'!Z139),'Base de Datos'!Z139,IF(TRIM('Base de Datos'!Z139)="","",IFERROR(IF(IFERROR(FIND("@",SUBSTITUTE(TRIM('Base de Datos'!Z139),",","@",LEN(TRIM('Base de Datos'!Z139))-LEN(SUBSTITUTE(TRIM('Base de Datos'!Z139),",","")))),0)&gt;IFERROR(FIND("@",SUBSTITUTE(TRIM('Base de Datos'!Z139),".","@",LEN(TRIM('Base de Datos'!Z139))-LEN(SUBSTITUTE(TRIM('Base de Datos'!Z139),".","")))),0),_xlfn.NUMBERVALUE(SUBSTITUTE(SUBSTITUTE(TRIM('Base de Datos'!Z139),".",""),",","."),".",","),_xlfn.NUMBERVALUE(SUBSTITUTE(TRIM('Base de Datos'!Z139),",",""),".",",")),"")))</f>
        <v>57718.04</v>
      </c>
    </row>
    <row r="144" customFormat="false" ht="13.5" hidden="false" customHeight="false" outlineLevel="0" collapsed="false">
      <c r="A144" s="75" t="n">
        <f aca="false">ROWS(A$13:A144)</f>
        <v>132</v>
      </c>
      <c r="B144" s="73" t="n">
        <f aca="false">IF(B143="","",IFERROR(SMALL($AH$10:$AH$409,COUNTIF($AH$10:$AH$409,"&lt;="&amp;B143)+1),""))</f>
        <v>45403</v>
      </c>
      <c r="C144" s="74" t="n">
        <f aca="false">IF(B144="","",INDEX($AI$10:$AI$409,MATCH(B144,$AH$10:$AH$409,0)))</f>
        <v>33.87</v>
      </c>
      <c r="D144" s="74" t="n">
        <f aca="false">IF(B144="","",IFERROR(INDEX($AK$10:$AK$409,MATCH(B144,$AJ$10:$AJ$409,0)),""))</f>
        <v>57833.85</v>
      </c>
      <c r="E144" s="76" t="n">
        <f aca="false">IF(AND(ISNUMBER(C144),ISNUMBER(C143)),C144/C143-1,"")</f>
        <v>-0.00353045013239206</v>
      </c>
      <c r="F144" s="76" t="n">
        <f aca="false">IF(AND(ISNUMBER(D144),ISNUMBER(D143)),D144/D143-1,"")</f>
        <v>0.0352828400269589</v>
      </c>
      <c r="G144" s="75" t="n">
        <f aca="false">IF(AND(ISNUMBER(E144),ISNUMBER(F144)),1,"")</f>
        <v>1</v>
      </c>
      <c r="H144" s="75" t="n">
        <f aca="false">IF(G144=1,COUNT(G144:G$412),"")</f>
        <v>128</v>
      </c>
      <c r="I144" s="75" t="n">
        <f aca="false">IF(G144=1,IF(H144&lt;='Beta Regresión'!$B$5,1,""),"")</f>
        <v>1</v>
      </c>
      <c r="J144" s="76" t="n">
        <f aca="false">IF(I144=1,E144,"")</f>
        <v>-0.00353045013239206</v>
      </c>
      <c r="K144" s="76" t="n">
        <f aca="false">IF(I144=1,F144,"")</f>
        <v>0.0352828400269589</v>
      </c>
      <c r="L144" s="75" t="n">
        <f aca="false">IF(I144=1,COUNT(I$13:I144),"")</f>
        <v>131</v>
      </c>
      <c r="M144" s="76" t="n">
        <f aca="false">IFERROR(INDEX($J$13:$J$412,MATCH(A144,$L$13:$L$412,0)),"")</f>
        <v>0.00383820490109255</v>
      </c>
      <c r="N144" s="76" t="n">
        <f aca="false">IFERROR(INDEX($K$13:$K$412,MATCH(A144,$L$13:$L$412,0)),"")</f>
        <v>-0.012079258081556</v>
      </c>
      <c r="O144" s="76" t="n">
        <f aca="false">IF(I144=1,E144,NA())</f>
        <v>-0.00353045013239206</v>
      </c>
      <c r="P144" s="76" t="n">
        <f aca="false">IF(I144=1,F144,NA())</f>
        <v>0.0352828400269589</v>
      </c>
      <c r="R144" s="75" t="n">
        <f aca="false">ROWS(R$13:R144)</f>
        <v>132</v>
      </c>
      <c r="S144" s="73" t="str">
        <f aca="false">IF(S143="","",IFERROR(SMALL($AD$10:$AD$509,COUNTIF($AD$10:$AD$509,"&lt;="&amp;S143)+1),""))</f>
        <v/>
      </c>
      <c r="T144" s="74" t="str">
        <f aca="false">IF(S144="","",INDEX($AE$10:$AE$509,MATCH(S144,$AD$10:$AD$509,0)))</f>
        <v/>
      </c>
      <c r="U144" s="74" t="str">
        <f aca="false">IF(S144="","",IFERROR(INDEX($AG$10:$AG$509,MATCH(S144,$AF$10:$AF$509,0)),""))</f>
        <v/>
      </c>
      <c r="V144" s="76" t="str">
        <f aca="false">IF(AND(ISNUMBER(T144),ISNUMBER(T143)),T144/T143-1,"")</f>
        <v/>
      </c>
      <c r="W144" s="76" t="str">
        <f aca="false">IF(AND(ISNUMBER(U144),ISNUMBER(U143)),U144/U143-1,"")</f>
        <v/>
      </c>
      <c r="X144" s="75" t="str">
        <f aca="false">IF(AND(ISNUMBER(V144),ISNUMBER(W144)),1,"")</f>
        <v/>
      </c>
      <c r="Y144" s="76" t="str">
        <f aca="false">IF(X144=1,V144,"")</f>
        <v/>
      </c>
      <c r="Z144" s="76" t="str">
        <f aca="false">IF(X144=1,W144,"")</f>
        <v/>
      </c>
      <c r="AA144" s="76" t="e">
        <f aca="false">IF(X144=1,V144,NA())</f>
        <v>#N/A</v>
      </c>
      <c r="AB144" s="76" t="e">
        <f aca="false">IF(X144=1,W144,NA())</f>
        <v>#N/A</v>
      </c>
      <c r="AD144" s="73" t="str">
        <f aca="false">IF(ISNUMBER(AE144),IF(ISNUMBER('Base de Datos'!A140),IF('Base de Datos'!A140&gt;20000,DATE(YEAR('Base de Datos'!A140),DAY('Base de Datos'!A140),MONTH('Base de Datos'!A140)),""),IF(TRIM('Base de Datos'!A140)="","",IFERROR(DATE(VALUE(RIGHT(TRIM('Base de Datos'!A140),4)),VALUE(LEFT(TRIM('Base de Datos'!A140),2)),VALUE(MID(TRIM('Base de Datos'!A140),4,2))),""))),"")</f>
        <v/>
      </c>
      <c r="AE144" s="74" t="str">
        <f aca="false">IF(ISNUMBER('Base de Datos'!B140),'Base de Datos'!B140,IF(TRIM('Base de Datos'!B140)="","",IFERROR(IF(IFERROR(FIND("@",SUBSTITUTE(TRIM('Base de Datos'!B140),",","@",LEN(TRIM('Base de Datos'!B140))-LEN(SUBSTITUTE(TRIM('Base de Datos'!B140),",","")))),0)&gt;IFERROR(FIND("@",SUBSTITUTE(TRIM('Base de Datos'!B140),".","@",LEN(TRIM('Base de Datos'!B140))-LEN(SUBSTITUTE(TRIM('Base de Datos'!B140),".","")))),0),_xlfn.NUMBERVALUE(SUBSTITUTE(SUBSTITUTE(TRIM('Base de Datos'!B140),".",""),",","."),".",","),_xlfn.NUMBERVALUE(SUBSTITUTE(TRIM('Base de Datos'!B140),",",""),".",",")),"")))</f>
        <v/>
      </c>
      <c r="AF144" s="73" t="str">
        <f aca="false">IF(ISNUMBER(AG144),IF(ISNUMBER('Base de Datos'!I140),IF('Base de Datos'!I140&gt;20000,INT('Base de Datos'!I140),""),IF(TRIM('Base de Datos'!I140)="","",IFERROR(DATE(VALUE(RIGHT(TRIM('Base de Datos'!I140),4)),VALUE(MID(TRIM('Base de Datos'!I140),4,2)),VALUE(LEFT(TRIM('Base de Datos'!I140),2))),IFERROR(DATEVALUE(TRIM('Base de Datos'!I140)),"")))),"")</f>
        <v/>
      </c>
      <c r="AG144" s="74" t="str">
        <f aca="false">IF(ISNUMBER('Base de Datos'!J140),'Base de Datos'!J140,IF(TRIM('Base de Datos'!J140)="","",IFERROR(IF(IFERROR(FIND("@",SUBSTITUTE(TRIM('Base de Datos'!J140),",","@",LEN(TRIM('Base de Datos'!J140))-LEN(SUBSTITUTE(TRIM('Base de Datos'!J140),",","")))),0)&gt;IFERROR(FIND("@",SUBSTITUTE(TRIM('Base de Datos'!J140),".","@",LEN(TRIM('Base de Datos'!J140))-LEN(SUBSTITUTE(TRIM('Base de Datos'!J140),".","")))),0),_xlfn.NUMBERVALUE(SUBSTITUTE(SUBSTITUTE(TRIM('Base de Datos'!J140),".",""),",","."),".",","),_xlfn.NUMBERVALUE(SUBSTITUTE(TRIM('Base de Datos'!J140),",",""),".",",")),"")))</f>
        <v/>
      </c>
      <c r="AH144" s="73" t="n">
        <f aca="false">IF(ISNUMBER(AI144),IF(ISNUMBER('Base de Datos'!Q140),IF('Base de Datos'!Q140&gt;20000,DATE(YEAR('Base de Datos'!Q140),DAY('Base de Datos'!Q140),MONTH('Base de Datos'!Q140)),""),IF(TRIM('Base de Datos'!Q140)="","",IFERROR(DATE(VALUE(RIGHT(TRIM('Base de Datos'!Q140),4)),VALUE(LEFT(TRIM('Base de Datos'!Q140),2)),VALUE(MID(TRIM('Base de Datos'!Q140),4,2))),""))),"")</f>
        <v>45424</v>
      </c>
      <c r="AI144" s="74" t="n">
        <f aca="false">IF(ISNUMBER('Base de Datos'!R140),'Base de Datos'!R140,IF(TRIM('Base de Datos'!R140)="","",IFERROR(IF(IFERROR(FIND("@",SUBSTITUTE(TRIM('Base de Datos'!R140),",","@",LEN(TRIM('Base de Datos'!R140))-LEN(SUBSTITUTE(TRIM('Base de Datos'!R140),",","")))),0)&gt;IFERROR(FIND("@",SUBSTITUTE(TRIM('Base de Datos'!R140),".","@",LEN(TRIM('Base de Datos'!R140))-LEN(SUBSTITUTE(TRIM('Base de Datos'!R140),".","")))),0),_xlfn.NUMBERVALUE(SUBSTITUTE(SUBSTITUTE(TRIM('Base de Datos'!R140),".",""),",","."),".",","),_xlfn.NUMBERVALUE(SUBSTITUTE(TRIM('Base de Datos'!R140),",",""),".",",")),"")))</f>
        <v>33</v>
      </c>
      <c r="AJ144" s="73" t="n">
        <f aca="false">IF(ISNUMBER(AK144),IF(ISNUMBER('Base de Datos'!Y140),IF('Base de Datos'!Y140&gt;20000,INT('Base de Datos'!Y140),""),IF(TRIM('Base de Datos'!Y140)="","",IFERROR(DATE(VALUE(RIGHT(TRIM('Base de Datos'!Y140),4)),VALUE(MID(TRIM('Base de Datos'!Y140),4,2)),VALUE(LEFT(TRIM('Base de Datos'!Y140),2))),IFERROR(DATEVALUE(TRIM('Base de Datos'!Y140)),"")))),"")</f>
        <v>45424</v>
      </c>
      <c r="AK144" s="74" t="n">
        <f aca="false">IF(ISNUMBER('Base de Datos'!Z140),'Base de Datos'!Z140,IF(TRIM('Base de Datos'!Z140)="","",IFERROR(IF(IFERROR(FIND("@",SUBSTITUTE(TRIM('Base de Datos'!Z140),",","@",LEN(TRIM('Base de Datos'!Z140))-LEN(SUBSTITUTE(TRIM('Base de Datos'!Z140),",","")))),0)&gt;IFERROR(FIND("@",SUBSTITUTE(TRIM('Base de Datos'!Z140),".","@",LEN(TRIM('Base de Datos'!Z140))-LEN(SUBSTITUTE(TRIM('Base de Datos'!Z140),".","")))),0),_xlfn.NUMBERVALUE(SUBSTITUTE(SUBSTITUTE(TRIM('Base de Datos'!Z140),".",""),",","."),".",","),_xlfn.NUMBERVALUE(SUBSTITUTE(TRIM('Base de Datos'!Z140),",",""),".",",")),"")))</f>
        <v>57583.08</v>
      </c>
    </row>
    <row r="145" customFormat="false" ht="13.5" hidden="false" customHeight="false" outlineLevel="0" collapsed="false">
      <c r="A145" s="75" t="n">
        <f aca="false">ROWS(A$13:A145)</f>
        <v>133</v>
      </c>
      <c r="B145" s="73" t="n">
        <f aca="false">IF(B144="","",IFERROR(SMALL($AH$10:$AH$409,COUNTIF($AH$10:$AH$409,"&lt;="&amp;B144)+1),""))</f>
        <v>45410</v>
      </c>
      <c r="C145" s="74" t="n">
        <f aca="false">IF(B145="","",INDEX($AI$10:$AI$409,MATCH(B145,$AH$10:$AH$409,0)))</f>
        <v>34</v>
      </c>
      <c r="D145" s="74" t="n">
        <f aca="false">IF(B145="","",IFERROR(INDEX($AK$10:$AK$409,MATCH(B145,$AJ$10:$AJ$409,0)),""))</f>
        <v>57135.26</v>
      </c>
      <c r="E145" s="76" t="n">
        <f aca="false">IF(AND(ISNUMBER(C145),ISNUMBER(C144)),C145/C144-1,"")</f>
        <v>0.00383820490109255</v>
      </c>
      <c r="F145" s="76" t="n">
        <f aca="false">IF(AND(ISNUMBER(D145),ISNUMBER(D144)),D145/D144-1,"")</f>
        <v>-0.012079258081556</v>
      </c>
      <c r="G145" s="75" t="n">
        <f aca="false">IF(AND(ISNUMBER(E145),ISNUMBER(F145)),1,"")</f>
        <v>1</v>
      </c>
      <c r="H145" s="75" t="n">
        <f aca="false">IF(G145=1,COUNT(G145:G$412),"")</f>
        <v>127</v>
      </c>
      <c r="I145" s="75" t="n">
        <f aca="false">IF(G145=1,IF(H145&lt;='Beta Regresión'!$B$5,1,""),"")</f>
        <v>1</v>
      </c>
      <c r="J145" s="76" t="n">
        <f aca="false">IF(I145=1,E145,"")</f>
        <v>0.00383820490109255</v>
      </c>
      <c r="K145" s="76" t="n">
        <f aca="false">IF(I145=1,F145,"")</f>
        <v>-0.012079258081556</v>
      </c>
      <c r="L145" s="75" t="n">
        <f aca="false">IF(I145=1,COUNT(I$13:I145),"")</f>
        <v>132</v>
      </c>
      <c r="M145" s="76" t="n">
        <f aca="false">IFERROR(INDEX($J$13:$J$412,MATCH(A145,$L$13:$L$412,0)),"")</f>
        <v>-0.0332352941176471</v>
      </c>
      <c r="N145" s="76" t="n">
        <f aca="false">IFERROR(INDEX($K$13:$K$412,MATCH(A145,$L$13:$L$412,0)),"")</f>
        <v>0.0102000060908098</v>
      </c>
      <c r="O145" s="76" t="n">
        <f aca="false">IF(I145=1,E145,NA())</f>
        <v>0.00383820490109255</v>
      </c>
      <c r="P145" s="76" t="n">
        <f aca="false">IF(I145=1,F145,NA())</f>
        <v>-0.012079258081556</v>
      </c>
      <c r="R145" s="75" t="n">
        <f aca="false">ROWS(R$13:R145)</f>
        <v>133</v>
      </c>
      <c r="S145" s="73" t="str">
        <f aca="false">IF(S144="","",IFERROR(SMALL($AD$10:$AD$509,COUNTIF($AD$10:$AD$509,"&lt;="&amp;S144)+1),""))</f>
        <v/>
      </c>
      <c r="T145" s="74" t="str">
        <f aca="false">IF(S145="","",INDEX($AE$10:$AE$509,MATCH(S145,$AD$10:$AD$509,0)))</f>
        <v/>
      </c>
      <c r="U145" s="74" t="str">
        <f aca="false">IF(S145="","",IFERROR(INDEX($AG$10:$AG$509,MATCH(S145,$AF$10:$AF$509,0)),""))</f>
        <v/>
      </c>
      <c r="V145" s="76" t="str">
        <f aca="false">IF(AND(ISNUMBER(T145),ISNUMBER(T144)),T145/T144-1,"")</f>
        <v/>
      </c>
      <c r="W145" s="76" t="str">
        <f aca="false">IF(AND(ISNUMBER(U145),ISNUMBER(U144)),U145/U144-1,"")</f>
        <v/>
      </c>
      <c r="X145" s="75" t="str">
        <f aca="false">IF(AND(ISNUMBER(V145),ISNUMBER(W145)),1,"")</f>
        <v/>
      </c>
      <c r="Y145" s="76" t="str">
        <f aca="false">IF(X145=1,V145,"")</f>
        <v/>
      </c>
      <c r="Z145" s="76" t="str">
        <f aca="false">IF(X145=1,W145,"")</f>
        <v/>
      </c>
      <c r="AA145" s="76" t="e">
        <f aca="false">IF(X145=1,V145,NA())</f>
        <v>#N/A</v>
      </c>
      <c r="AB145" s="76" t="e">
        <f aca="false">IF(X145=1,W145,NA())</f>
        <v>#N/A</v>
      </c>
      <c r="AD145" s="73" t="str">
        <f aca="false">IF(ISNUMBER(AE145),IF(ISNUMBER('Base de Datos'!A141),IF('Base de Datos'!A141&gt;20000,DATE(YEAR('Base de Datos'!A141),DAY('Base de Datos'!A141),MONTH('Base de Datos'!A141)),""),IF(TRIM('Base de Datos'!A141)="","",IFERROR(DATE(VALUE(RIGHT(TRIM('Base de Datos'!A141),4)),VALUE(LEFT(TRIM('Base de Datos'!A141),2)),VALUE(MID(TRIM('Base de Datos'!A141),4,2))),""))),"")</f>
        <v/>
      </c>
      <c r="AE145" s="74" t="str">
        <f aca="false">IF(ISNUMBER('Base de Datos'!B141),'Base de Datos'!B141,IF(TRIM('Base de Datos'!B141)="","",IFERROR(IF(IFERROR(FIND("@",SUBSTITUTE(TRIM('Base de Datos'!B141),",","@",LEN(TRIM('Base de Datos'!B141))-LEN(SUBSTITUTE(TRIM('Base de Datos'!B141),",","")))),0)&gt;IFERROR(FIND("@",SUBSTITUTE(TRIM('Base de Datos'!B141),".","@",LEN(TRIM('Base de Datos'!B141))-LEN(SUBSTITUTE(TRIM('Base de Datos'!B141),".","")))),0),_xlfn.NUMBERVALUE(SUBSTITUTE(SUBSTITUTE(TRIM('Base de Datos'!B141),".",""),",","."),".",","),_xlfn.NUMBERVALUE(SUBSTITUTE(TRIM('Base de Datos'!B141),",",""),".",",")),"")))</f>
        <v/>
      </c>
      <c r="AF145" s="73" t="str">
        <f aca="false">IF(ISNUMBER(AG145),IF(ISNUMBER('Base de Datos'!I141),IF('Base de Datos'!I141&gt;20000,INT('Base de Datos'!I141),""),IF(TRIM('Base de Datos'!I141)="","",IFERROR(DATE(VALUE(RIGHT(TRIM('Base de Datos'!I141),4)),VALUE(MID(TRIM('Base de Datos'!I141),4,2)),VALUE(LEFT(TRIM('Base de Datos'!I141),2))),IFERROR(DATEVALUE(TRIM('Base de Datos'!I141)),"")))),"")</f>
        <v/>
      </c>
      <c r="AG145" s="74" t="str">
        <f aca="false">IF(ISNUMBER('Base de Datos'!J141),'Base de Datos'!J141,IF(TRIM('Base de Datos'!J141)="","",IFERROR(IF(IFERROR(FIND("@",SUBSTITUTE(TRIM('Base de Datos'!J141),",","@",LEN(TRIM('Base de Datos'!J141))-LEN(SUBSTITUTE(TRIM('Base de Datos'!J141),",","")))),0)&gt;IFERROR(FIND("@",SUBSTITUTE(TRIM('Base de Datos'!J141),".","@",LEN(TRIM('Base de Datos'!J141))-LEN(SUBSTITUTE(TRIM('Base de Datos'!J141),".","")))),0),_xlfn.NUMBERVALUE(SUBSTITUTE(SUBSTITUTE(TRIM('Base de Datos'!J141),".",""),",","."),".",","),_xlfn.NUMBERVALUE(SUBSTITUTE(TRIM('Base de Datos'!J141),",",""),".",",")),"")))</f>
        <v/>
      </c>
      <c r="AH145" s="73" t="n">
        <f aca="false">IF(ISNUMBER(AI145),IF(ISNUMBER('Base de Datos'!Q141),IF('Base de Datos'!Q141&gt;20000,DATE(YEAR('Base de Datos'!Q141),DAY('Base de Datos'!Q141),MONTH('Base de Datos'!Q141)),""),IF(TRIM('Base de Datos'!Q141)="","",IFERROR(DATE(VALUE(RIGHT(TRIM('Base de Datos'!Q141),4)),VALUE(LEFT(TRIM('Base de Datos'!Q141),2)),VALUE(MID(TRIM('Base de Datos'!Q141),4,2))),""))),"")</f>
        <v>45431</v>
      </c>
      <c r="AI145" s="74" t="n">
        <f aca="false">IF(ISNUMBER('Base de Datos'!R141),'Base de Datos'!R141,IF(TRIM('Base de Datos'!R141)="","",IFERROR(IF(IFERROR(FIND("@",SUBSTITUTE(TRIM('Base de Datos'!R141),",","@",LEN(TRIM('Base de Datos'!R141))-LEN(SUBSTITUTE(TRIM('Base de Datos'!R141),",","")))),0)&gt;IFERROR(FIND("@",SUBSTITUTE(TRIM('Base de Datos'!R141),".","@",LEN(TRIM('Base de Datos'!R141))-LEN(SUBSTITUTE(TRIM('Base de Datos'!R141),".","")))),0),_xlfn.NUMBERVALUE(SUBSTITUTE(SUBSTITUTE(TRIM('Base de Datos'!R141),".",""),",","."),".",","),_xlfn.NUMBERVALUE(SUBSTITUTE(TRIM('Base de Datos'!R141),",",""),".",",")),"")))</f>
        <v>33.3</v>
      </c>
      <c r="AJ145" s="73" t="n">
        <f aca="false">IF(ISNUMBER(AK145),IF(ISNUMBER('Base de Datos'!Y141),IF('Base de Datos'!Y141&gt;20000,INT('Base de Datos'!Y141),""),IF(TRIM('Base de Datos'!Y141)="","",IFERROR(DATE(VALUE(RIGHT(TRIM('Base de Datos'!Y141),4)),VALUE(MID(TRIM('Base de Datos'!Y141),4,2)),VALUE(LEFT(TRIM('Base de Datos'!Y141),2))),IFERROR(DATEVALUE(TRIM('Base de Datos'!Y141)),"")))),"")</f>
        <v>45431</v>
      </c>
      <c r="AK145" s="74" t="n">
        <f aca="false">IF(ISNUMBER('Base de Datos'!Z141),'Base de Datos'!Z141,IF(TRIM('Base de Datos'!Z141)="","",IFERROR(IF(IFERROR(FIND("@",SUBSTITUTE(TRIM('Base de Datos'!Z141),",","@",LEN(TRIM('Base de Datos'!Z141))-LEN(SUBSTITUTE(TRIM('Base de Datos'!Z141),",","")))),0)&gt;IFERROR(FIND("@",SUBSTITUTE(TRIM('Base de Datos'!Z141),".","@",LEN(TRIM('Base de Datos'!Z141))-LEN(SUBSTITUTE(TRIM('Base de Datos'!Z141),".","")))),0),_xlfn.NUMBERVALUE(SUBSTITUTE(SUBSTITUTE(TRIM('Base de Datos'!Z141),".",""),",","."),".",","),_xlfn.NUMBERVALUE(SUBSTITUTE(TRIM('Base de Datos'!Z141),",",""),".",",")),"")))</f>
        <v>55413.12</v>
      </c>
    </row>
    <row r="146" customFormat="false" ht="13.5" hidden="false" customHeight="false" outlineLevel="0" collapsed="false">
      <c r="A146" s="75" t="n">
        <f aca="false">ROWS(A$13:A146)</f>
        <v>134</v>
      </c>
      <c r="B146" s="73" t="n">
        <f aca="false">IF(B145="","",IFERROR(SMALL($AH$10:$AH$409,COUNTIF($AH$10:$AH$409,"&lt;="&amp;B145)+1),""))</f>
        <v>45417</v>
      </c>
      <c r="C146" s="74" t="n">
        <f aca="false">IF(B146="","",INDEX($AI$10:$AI$409,MATCH(B146,$AH$10:$AH$409,0)))</f>
        <v>32.87</v>
      </c>
      <c r="D146" s="74" t="n">
        <f aca="false">IF(B146="","",IFERROR(INDEX($AK$10:$AK$409,MATCH(B146,$AJ$10:$AJ$409,0)),""))</f>
        <v>57718.04</v>
      </c>
      <c r="E146" s="76" t="n">
        <f aca="false">IF(AND(ISNUMBER(C146),ISNUMBER(C145)),C146/C145-1,"")</f>
        <v>-0.0332352941176471</v>
      </c>
      <c r="F146" s="76" t="n">
        <f aca="false">IF(AND(ISNUMBER(D146),ISNUMBER(D145)),D146/D145-1,"")</f>
        <v>0.0102000060908098</v>
      </c>
      <c r="G146" s="75" t="n">
        <f aca="false">IF(AND(ISNUMBER(E146),ISNUMBER(F146)),1,"")</f>
        <v>1</v>
      </c>
      <c r="H146" s="75" t="n">
        <f aca="false">IF(G146=1,COUNT(G146:G$412),"")</f>
        <v>126</v>
      </c>
      <c r="I146" s="75" t="n">
        <f aca="false">IF(G146=1,IF(H146&lt;='Beta Regresión'!$B$5,1,""),"")</f>
        <v>1</v>
      </c>
      <c r="J146" s="76" t="n">
        <f aca="false">IF(I146=1,E146,"")</f>
        <v>-0.0332352941176471</v>
      </c>
      <c r="K146" s="76" t="n">
        <f aca="false">IF(I146=1,F146,"")</f>
        <v>0.0102000060908098</v>
      </c>
      <c r="L146" s="75" t="n">
        <f aca="false">IF(I146=1,COUNT(I$13:I146),"")</f>
        <v>133</v>
      </c>
      <c r="M146" s="76" t="n">
        <f aca="false">IFERROR(INDEX($J$13:$J$412,MATCH(A146,$L$13:$L$412,0)),"")</f>
        <v>0.00395497414055379</v>
      </c>
      <c r="N146" s="76" t="n">
        <f aca="false">IFERROR(INDEX($K$13:$K$412,MATCH(A146,$L$13:$L$412,0)),"")</f>
        <v>-0.00233826373868551</v>
      </c>
      <c r="O146" s="76" t="n">
        <f aca="false">IF(I146=1,E146,NA())</f>
        <v>-0.0332352941176471</v>
      </c>
      <c r="P146" s="76" t="n">
        <f aca="false">IF(I146=1,F146,NA())</f>
        <v>0.0102000060908098</v>
      </c>
      <c r="R146" s="75" t="n">
        <f aca="false">ROWS(R$13:R146)</f>
        <v>134</v>
      </c>
      <c r="S146" s="73" t="str">
        <f aca="false">IF(S145="","",IFERROR(SMALL($AD$10:$AD$509,COUNTIF($AD$10:$AD$509,"&lt;="&amp;S145)+1),""))</f>
        <v/>
      </c>
      <c r="T146" s="74" t="str">
        <f aca="false">IF(S146="","",INDEX($AE$10:$AE$509,MATCH(S146,$AD$10:$AD$509,0)))</f>
        <v/>
      </c>
      <c r="U146" s="74" t="str">
        <f aca="false">IF(S146="","",IFERROR(INDEX($AG$10:$AG$509,MATCH(S146,$AF$10:$AF$509,0)),""))</f>
        <v/>
      </c>
      <c r="V146" s="76" t="str">
        <f aca="false">IF(AND(ISNUMBER(T146),ISNUMBER(T145)),T146/T145-1,"")</f>
        <v/>
      </c>
      <c r="W146" s="76" t="str">
        <f aca="false">IF(AND(ISNUMBER(U146),ISNUMBER(U145)),U146/U145-1,"")</f>
        <v/>
      </c>
      <c r="X146" s="75" t="str">
        <f aca="false">IF(AND(ISNUMBER(V146),ISNUMBER(W146)),1,"")</f>
        <v/>
      </c>
      <c r="Y146" s="76" t="str">
        <f aca="false">IF(X146=1,V146,"")</f>
        <v/>
      </c>
      <c r="Z146" s="76" t="str">
        <f aca="false">IF(X146=1,W146,"")</f>
        <v/>
      </c>
      <c r="AA146" s="76" t="e">
        <f aca="false">IF(X146=1,V146,NA())</f>
        <v>#N/A</v>
      </c>
      <c r="AB146" s="76" t="e">
        <f aca="false">IF(X146=1,W146,NA())</f>
        <v>#N/A</v>
      </c>
      <c r="AD146" s="73" t="str">
        <f aca="false">IF(ISNUMBER(AE146),IF(ISNUMBER('Base de Datos'!A142),IF('Base de Datos'!A142&gt;20000,DATE(YEAR('Base de Datos'!A142),DAY('Base de Datos'!A142),MONTH('Base de Datos'!A142)),""),IF(TRIM('Base de Datos'!A142)="","",IFERROR(DATE(VALUE(RIGHT(TRIM('Base de Datos'!A142),4)),VALUE(LEFT(TRIM('Base de Datos'!A142),2)),VALUE(MID(TRIM('Base de Datos'!A142),4,2))),""))),"")</f>
        <v/>
      </c>
      <c r="AE146" s="74" t="str">
        <f aca="false">IF(ISNUMBER('Base de Datos'!B142),'Base de Datos'!B142,IF(TRIM('Base de Datos'!B142)="","",IFERROR(IF(IFERROR(FIND("@",SUBSTITUTE(TRIM('Base de Datos'!B142),",","@",LEN(TRIM('Base de Datos'!B142))-LEN(SUBSTITUTE(TRIM('Base de Datos'!B142),",","")))),0)&gt;IFERROR(FIND("@",SUBSTITUTE(TRIM('Base de Datos'!B142),".","@",LEN(TRIM('Base de Datos'!B142))-LEN(SUBSTITUTE(TRIM('Base de Datos'!B142),".","")))),0),_xlfn.NUMBERVALUE(SUBSTITUTE(SUBSTITUTE(TRIM('Base de Datos'!B142),".",""),",","."),".",","),_xlfn.NUMBERVALUE(SUBSTITUTE(TRIM('Base de Datos'!B142),",",""),".",",")),"")))</f>
        <v/>
      </c>
      <c r="AF146" s="73" t="str">
        <f aca="false">IF(ISNUMBER(AG146),IF(ISNUMBER('Base de Datos'!I142),IF('Base de Datos'!I142&gt;20000,INT('Base de Datos'!I142),""),IF(TRIM('Base de Datos'!I142)="","",IFERROR(DATE(VALUE(RIGHT(TRIM('Base de Datos'!I142),4)),VALUE(MID(TRIM('Base de Datos'!I142),4,2)),VALUE(LEFT(TRIM('Base de Datos'!I142),2))),IFERROR(DATEVALUE(TRIM('Base de Datos'!I142)),"")))),"")</f>
        <v/>
      </c>
      <c r="AG146" s="74" t="str">
        <f aca="false">IF(ISNUMBER('Base de Datos'!J142),'Base de Datos'!J142,IF(TRIM('Base de Datos'!J142)="","",IFERROR(IF(IFERROR(FIND("@",SUBSTITUTE(TRIM('Base de Datos'!J142),",","@",LEN(TRIM('Base de Datos'!J142))-LEN(SUBSTITUTE(TRIM('Base de Datos'!J142),",","")))),0)&gt;IFERROR(FIND("@",SUBSTITUTE(TRIM('Base de Datos'!J142),".","@",LEN(TRIM('Base de Datos'!J142))-LEN(SUBSTITUTE(TRIM('Base de Datos'!J142),".","")))),0),_xlfn.NUMBERVALUE(SUBSTITUTE(SUBSTITUTE(TRIM('Base de Datos'!J142),".",""),",","."),".",","),_xlfn.NUMBERVALUE(SUBSTITUTE(TRIM('Base de Datos'!J142),",",""),".",",")),"")))</f>
        <v/>
      </c>
      <c r="AH146" s="73" t="n">
        <f aca="false">IF(ISNUMBER(AI146),IF(ISNUMBER('Base de Datos'!Q142),IF('Base de Datos'!Q142&gt;20000,DATE(YEAR('Base de Datos'!Q142),DAY('Base de Datos'!Q142),MONTH('Base de Datos'!Q142)),""),IF(TRIM('Base de Datos'!Q142)="","",IFERROR(DATE(VALUE(RIGHT(TRIM('Base de Datos'!Q142),4)),VALUE(LEFT(TRIM('Base de Datos'!Q142),2)),VALUE(MID(TRIM('Base de Datos'!Q142),4,2))),""))),"")</f>
        <v>45438</v>
      </c>
      <c r="AI146" s="74" t="n">
        <f aca="false">IF(ISNUMBER('Base de Datos'!R142),'Base de Datos'!R142,IF(TRIM('Base de Datos'!R142)="","",IFERROR(IF(IFERROR(FIND("@",SUBSTITUTE(TRIM('Base de Datos'!R142),",","@",LEN(TRIM('Base de Datos'!R142))-LEN(SUBSTITUTE(TRIM('Base de Datos'!R142),",","")))),0)&gt;IFERROR(FIND("@",SUBSTITUTE(TRIM('Base de Datos'!R142),".","@",LEN(TRIM('Base de Datos'!R142))-LEN(SUBSTITUTE(TRIM('Base de Datos'!R142),".","")))),0),_xlfn.NUMBERVALUE(SUBSTITUTE(SUBSTITUTE(TRIM('Base de Datos'!R142),".",""),",","."),".",","),_xlfn.NUMBERVALUE(SUBSTITUTE(TRIM('Base de Datos'!R142),",",""),".",",")),"")))</f>
        <v>32.32</v>
      </c>
      <c r="AJ146" s="73" t="n">
        <f aca="false">IF(ISNUMBER(AK146),IF(ISNUMBER('Base de Datos'!Y142),IF('Base de Datos'!Y142&gt;20000,INT('Base de Datos'!Y142),""),IF(TRIM('Base de Datos'!Y142)="","",IFERROR(DATE(VALUE(RIGHT(TRIM('Base de Datos'!Y142),4)),VALUE(MID(TRIM('Base de Datos'!Y142),4,2)),VALUE(LEFT(TRIM('Base de Datos'!Y142),2))),IFERROR(DATEVALUE(TRIM('Base de Datos'!Y142)),"")))),"")</f>
        <v>45438</v>
      </c>
      <c r="AK146" s="74" t="n">
        <f aca="false">IF(ISNUMBER('Base de Datos'!Z142),'Base de Datos'!Z142,IF(TRIM('Base de Datos'!Z142)="","",IFERROR(IF(IFERROR(FIND("@",SUBSTITUTE(TRIM('Base de Datos'!Z142),",","@",LEN(TRIM('Base de Datos'!Z142))-LEN(SUBSTITUTE(TRIM('Base de Datos'!Z142),",","")))),0)&gt;IFERROR(FIND("@",SUBSTITUTE(TRIM('Base de Datos'!Z142),".","@",LEN(TRIM('Base de Datos'!Z142))-LEN(SUBSTITUTE(TRIM('Base de Datos'!Z142),".","")))),0),_xlfn.NUMBERVALUE(SUBSTITUTE(SUBSTITUTE(TRIM('Base de Datos'!Z142),".",""),",","."),".",","),_xlfn.NUMBERVALUE(SUBSTITUTE(TRIM('Base de Datos'!Z142),",",""),".",",")),"")))</f>
        <v>55179.24</v>
      </c>
    </row>
    <row r="147" customFormat="false" ht="13.5" hidden="false" customHeight="false" outlineLevel="0" collapsed="false">
      <c r="A147" s="75" t="n">
        <f aca="false">ROWS(A$13:A147)</f>
        <v>135</v>
      </c>
      <c r="B147" s="73" t="n">
        <f aca="false">IF(B146="","",IFERROR(SMALL($AH$10:$AH$409,COUNTIF($AH$10:$AH$409,"&lt;="&amp;B146)+1),""))</f>
        <v>45424</v>
      </c>
      <c r="C147" s="74" t="n">
        <f aca="false">IF(B147="","",INDEX($AI$10:$AI$409,MATCH(B147,$AH$10:$AH$409,0)))</f>
        <v>33</v>
      </c>
      <c r="D147" s="74" t="n">
        <f aca="false">IF(B147="","",IFERROR(INDEX($AK$10:$AK$409,MATCH(B147,$AJ$10:$AJ$409,0)),""))</f>
        <v>57583.08</v>
      </c>
      <c r="E147" s="76" t="n">
        <f aca="false">IF(AND(ISNUMBER(C147),ISNUMBER(C146)),C147/C146-1,"")</f>
        <v>0.00395497414055379</v>
      </c>
      <c r="F147" s="76" t="n">
        <f aca="false">IF(AND(ISNUMBER(D147),ISNUMBER(D146)),D147/D146-1,"")</f>
        <v>-0.00233826373868551</v>
      </c>
      <c r="G147" s="75" t="n">
        <f aca="false">IF(AND(ISNUMBER(E147),ISNUMBER(F147)),1,"")</f>
        <v>1</v>
      </c>
      <c r="H147" s="75" t="n">
        <f aca="false">IF(G147=1,COUNT(G147:G$412),"")</f>
        <v>125</v>
      </c>
      <c r="I147" s="75" t="n">
        <f aca="false">IF(G147=1,IF(H147&lt;='Beta Regresión'!$B$5,1,""),"")</f>
        <v>1</v>
      </c>
      <c r="J147" s="76" t="n">
        <f aca="false">IF(I147=1,E147,"")</f>
        <v>0.00395497414055379</v>
      </c>
      <c r="K147" s="76" t="n">
        <f aca="false">IF(I147=1,F147,"")</f>
        <v>-0.00233826373868551</v>
      </c>
      <c r="L147" s="75" t="n">
        <f aca="false">IF(I147=1,COUNT(I$13:I147),"")</f>
        <v>134</v>
      </c>
      <c r="M147" s="76" t="n">
        <f aca="false">IFERROR(INDEX($J$13:$J$412,MATCH(A147,$L$13:$L$412,0)),"")</f>
        <v>0.00909090909090904</v>
      </c>
      <c r="N147" s="76" t="n">
        <f aca="false">IFERROR(INDEX($K$13:$K$412,MATCH(A147,$L$13:$L$412,0)),"")</f>
        <v>-0.0376839863376534</v>
      </c>
      <c r="O147" s="76" t="n">
        <f aca="false">IF(I147=1,E147,NA())</f>
        <v>0.00395497414055379</v>
      </c>
      <c r="P147" s="76" t="n">
        <f aca="false">IF(I147=1,F147,NA())</f>
        <v>-0.00233826373868551</v>
      </c>
      <c r="R147" s="75" t="n">
        <f aca="false">ROWS(R$13:R147)</f>
        <v>135</v>
      </c>
      <c r="S147" s="73" t="str">
        <f aca="false">IF(S146="","",IFERROR(SMALL($AD$10:$AD$509,COUNTIF($AD$10:$AD$509,"&lt;="&amp;S146)+1),""))</f>
        <v/>
      </c>
      <c r="T147" s="74" t="str">
        <f aca="false">IF(S147="","",INDEX($AE$10:$AE$509,MATCH(S147,$AD$10:$AD$509,0)))</f>
        <v/>
      </c>
      <c r="U147" s="74" t="str">
        <f aca="false">IF(S147="","",IFERROR(INDEX($AG$10:$AG$509,MATCH(S147,$AF$10:$AF$509,0)),""))</f>
        <v/>
      </c>
      <c r="V147" s="76" t="str">
        <f aca="false">IF(AND(ISNUMBER(T147),ISNUMBER(T146)),T147/T146-1,"")</f>
        <v/>
      </c>
      <c r="W147" s="76" t="str">
        <f aca="false">IF(AND(ISNUMBER(U147),ISNUMBER(U146)),U147/U146-1,"")</f>
        <v/>
      </c>
      <c r="X147" s="75" t="str">
        <f aca="false">IF(AND(ISNUMBER(V147),ISNUMBER(W147)),1,"")</f>
        <v/>
      </c>
      <c r="Y147" s="76" t="str">
        <f aca="false">IF(X147=1,V147,"")</f>
        <v/>
      </c>
      <c r="Z147" s="76" t="str">
        <f aca="false">IF(X147=1,W147,"")</f>
        <v/>
      </c>
      <c r="AA147" s="76" t="e">
        <f aca="false">IF(X147=1,V147,NA())</f>
        <v>#N/A</v>
      </c>
      <c r="AB147" s="76" t="e">
        <f aca="false">IF(X147=1,W147,NA())</f>
        <v>#N/A</v>
      </c>
      <c r="AD147" s="73" t="str">
        <f aca="false">IF(ISNUMBER(AE147),IF(ISNUMBER('Base de Datos'!A143),IF('Base de Datos'!A143&gt;20000,DATE(YEAR('Base de Datos'!A143),DAY('Base de Datos'!A143),MONTH('Base de Datos'!A143)),""),IF(TRIM('Base de Datos'!A143)="","",IFERROR(DATE(VALUE(RIGHT(TRIM('Base de Datos'!A143),4)),VALUE(LEFT(TRIM('Base de Datos'!A143),2)),VALUE(MID(TRIM('Base de Datos'!A143),4,2))),""))),"")</f>
        <v/>
      </c>
      <c r="AE147" s="74" t="str">
        <f aca="false">IF(ISNUMBER('Base de Datos'!B143),'Base de Datos'!B143,IF(TRIM('Base de Datos'!B143)="","",IFERROR(IF(IFERROR(FIND("@",SUBSTITUTE(TRIM('Base de Datos'!B143),",","@",LEN(TRIM('Base de Datos'!B143))-LEN(SUBSTITUTE(TRIM('Base de Datos'!B143),",","")))),0)&gt;IFERROR(FIND("@",SUBSTITUTE(TRIM('Base de Datos'!B143),".","@",LEN(TRIM('Base de Datos'!B143))-LEN(SUBSTITUTE(TRIM('Base de Datos'!B143),".","")))),0),_xlfn.NUMBERVALUE(SUBSTITUTE(SUBSTITUTE(TRIM('Base de Datos'!B143),".",""),",","."),".",","),_xlfn.NUMBERVALUE(SUBSTITUTE(TRIM('Base de Datos'!B143),",",""),".",",")),"")))</f>
        <v/>
      </c>
      <c r="AF147" s="73" t="str">
        <f aca="false">IF(ISNUMBER(AG147),IF(ISNUMBER('Base de Datos'!I143),IF('Base de Datos'!I143&gt;20000,INT('Base de Datos'!I143),""),IF(TRIM('Base de Datos'!I143)="","",IFERROR(DATE(VALUE(RIGHT(TRIM('Base de Datos'!I143),4)),VALUE(MID(TRIM('Base de Datos'!I143),4,2)),VALUE(LEFT(TRIM('Base de Datos'!I143),2))),IFERROR(DATEVALUE(TRIM('Base de Datos'!I143)),"")))),"")</f>
        <v/>
      </c>
      <c r="AG147" s="74" t="str">
        <f aca="false">IF(ISNUMBER('Base de Datos'!J143),'Base de Datos'!J143,IF(TRIM('Base de Datos'!J143)="","",IFERROR(IF(IFERROR(FIND("@",SUBSTITUTE(TRIM('Base de Datos'!J143),",","@",LEN(TRIM('Base de Datos'!J143))-LEN(SUBSTITUTE(TRIM('Base de Datos'!J143),",","")))),0)&gt;IFERROR(FIND("@",SUBSTITUTE(TRIM('Base de Datos'!J143),".","@",LEN(TRIM('Base de Datos'!J143))-LEN(SUBSTITUTE(TRIM('Base de Datos'!J143),".","")))),0),_xlfn.NUMBERVALUE(SUBSTITUTE(SUBSTITUTE(TRIM('Base de Datos'!J143),".",""),",","."),".",","),_xlfn.NUMBERVALUE(SUBSTITUTE(TRIM('Base de Datos'!J143),",",""),".",",")),"")))</f>
        <v/>
      </c>
      <c r="AH147" s="73" t="n">
        <f aca="false">IF(ISNUMBER(AI147),IF(ISNUMBER('Base de Datos'!Q143),IF('Base de Datos'!Q143&gt;20000,DATE(YEAR('Base de Datos'!Q143),DAY('Base de Datos'!Q143),MONTH('Base de Datos'!Q143)),""),IF(TRIM('Base de Datos'!Q143)="","",IFERROR(DATE(VALUE(RIGHT(TRIM('Base de Datos'!Q143),4)),VALUE(LEFT(TRIM('Base de Datos'!Q143),2)),VALUE(MID(TRIM('Base de Datos'!Q143),4,2))),""))),"")</f>
        <v>45445</v>
      </c>
      <c r="AI147" s="74" t="n">
        <f aca="false">IF(ISNUMBER('Base de Datos'!R143),'Base de Datos'!R143,IF(TRIM('Base de Datos'!R143)="","",IFERROR(IF(IFERROR(FIND("@",SUBSTITUTE(TRIM('Base de Datos'!R143),",","@",LEN(TRIM('Base de Datos'!R143))-LEN(SUBSTITUTE(TRIM('Base de Datos'!R143),",","")))),0)&gt;IFERROR(FIND("@",SUBSTITUTE(TRIM('Base de Datos'!R143),".","@",LEN(TRIM('Base de Datos'!R143))-LEN(SUBSTITUTE(TRIM('Base de Datos'!R143),".","")))),0),_xlfn.NUMBERVALUE(SUBSTITUTE(SUBSTITUTE(TRIM('Base de Datos'!R143),".",""),",","."),".",","),_xlfn.NUMBERVALUE(SUBSTITUTE(TRIM('Base de Datos'!R143),",",""),".",",")),"")))</f>
        <v>31.8</v>
      </c>
      <c r="AJ147" s="73" t="n">
        <f aca="false">IF(ISNUMBER(AK147),IF(ISNUMBER('Base de Datos'!Y143),IF('Base de Datos'!Y143&gt;20000,INT('Base de Datos'!Y143),""),IF(TRIM('Base de Datos'!Y143)="","",IFERROR(DATE(VALUE(RIGHT(TRIM('Base de Datos'!Y143),4)),VALUE(MID(TRIM('Base de Datos'!Y143),4,2)),VALUE(LEFT(TRIM('Base de Datos'!Y143),2))),IFERROR(DATEVALUE(TRIM('Base de Datos'!Y143)),"")))),"")</f>
        <v>45445</v>
      </c>
      <c r="AK147" s="74" t="n">
        <f aca="false">IF(ISNUMBER('Base de Datos'!Z143),'Base de Datos'!Z143,IF(TRIM('Base de Datos'!Z143)="","",IFERROR(IF(IFERROR(FIND("@",SUBSTITUTE(TRIM('Base de Datos'!Z143),",","@",LEN(TRIM('Base de Datos'!Z143))-LEN(SUBSTITUTE(TRIM('Base de Datos'!Z143),",","")))),0)&gt;IFERROR(FIND("@",SUBSTITUTE(TRIM('Base de Datos'!Z143),".","@",LEN(TRIM('Base de Datos'!Z143))-LEN(SUBSTITUTE(TRIM('Base de Datos'!Z143),".","")))),0),_xlfn.NUMBERVALUE(SUBSTITUTE(SUBSTITUTE(TRIM('Base de Datos'!Z143),".",""),",","."),".",","),_xlfn.NUMBERVALUE(SUBSTITUTE(TRIM('Base de Datos'!Z143),",",""),".",",")),"")))</f>
        <v>52977.32</v>
      </c>
    </row>
    <row r="148" customFormat="false" ht="13.5" hidden="false" customHeight="false" outlineLevel="0" collapsed="false">
      <c r="A148" s="75" t="n">
        <f aca="false">ROWS(A$13:A148)</f>
        <v>136</v>
      </c>
      <c r="B148" s="73" t="n">
        <f aca="false">IF(B147="","",IFERROR(SMALL($AH$10:$AH$409,COUNTIF($AH$10:$AH$409,"&lt;="&amp;B147)+1),""))</f>
        <v>45431</v>
      </c>
      <c r="C148" s="74" t="n">
        <f aca="false">IF(B148="","",INDEX($AI$10:$AI$409,MATCH(B148,$AH$10:$AH$409,0)))</f>
        <v>33.3</v>
      </c>
      <c r="D148" s="74" t="n">
        <f aca="false">IF(B148="","",IFERROR(INDEX($AK$10:$AK$409,MATCH(B148,$AJ$10:$AJ$409,0)),""))</f>
        <v>55413.12</v>
      </c>
      <c r="E148" s="76" t="n">
        <f aca="false">IF(AND(ISNUMBER(C148),ISNUMBER(C147)),C148/C147-1,"")</f>
        <v>0.00909090909090904</v>
      </c>
      <c r="F148" s="76" t="n">
        <f aca="false">IF(AND(ISNUMBER(D148),ISNUMBER(D147)),D148/D147-1,"")</f>
        <v>-0.0376839863376534</v>
      </c>
      <c r="G148" s="75" t="n">
        <f aca="false">IF(AND(ISNUMBER(E148),ISNUMBER(F148)),1,"")</f>
        <v>1</v>
      </c>
      <c r="H148" s="75" t="n">
        <f aca="false">IF(G148=1,COUNT(G148:G$412),"")</f>
        <v>124</v>
      </c>
      <c r="I148" s="75" t="n">
        <f aca="false">IF(G148=1,IF(H148&lt;='Beta Regresión'!$B$5,1,""),"")</f>
        <v>1</v>
      </c>
      <c r="J148" s="76" t="n">
        <f aca="false">IF(I148=1,E148,"")</f>
        <v>0.00909090909090904</v>
      </c>
      <c r="K148" s="76" t="n">
        <f aca="false">IF(I148=1,F148,"")</f>
        <v>-0.0376839863376534</v>
      </c>
      <c r="L148" s="75" t="n">
        <f aca="false">IF(I148=1,COUNT(I$13:I148),"")</f>
        <v>135</v>
      </c>
      <c r="M148" s="76" t="n">
        <f aca="false">IFERROR(INDEX($J$13:$J$412,MATCH(A148,$L$13:$L$412,0)),"")</f>
        <v>-0.0294294294294294</v>
      </c>
      <c r="N148" s="76" t="n">
        <f aca="false">IFERROR(INDEX($K$13:$K$412,MATCH(A148,$L$13:$L$412,0)),"")</f>
        <v>-0.00422066109975405</v>
      </c>
      <c r="O148" s="76" t="n">
        <f aca="false">IF(I148=1,E148,NA())</f>
        <v>0.00909090909090904</v>
      </c>
      <c r="P148" s="76" t="n">
        <f aca="false">IF(I148=1,F148,NA())</f>
        <v>-0.0376839863376534</v>
      </c>
      <c r="R148" s="75" t="n">
        <f aca="false">ROWS(R$13:R148)</f>
        <v>136</v>
      </c>
      <c r="S148" s="73" t="str">
        <f aca="false">IF(S147="","",IFERROR(SMALL($AD$10:$AD$509,COUNTIF($AD$10:$AD$509,"&lt;="&amp;S147)+1),""))</f>
        <v/>
      </c>
      <c r="T148" s="74" t="str">
        <f aca="false">IF(S148="","",INDEX($AE$10:$AE$509,MATCH(S148,$AD$10:$AD$509,0)))</f>
        <v/>
      </c>
      <c r="U148" s="74" t="str">
        <f aca="false">IF(S148="","",IFERROR(INDEX($AG$10:$AG$509,MATCH(S148,$AF$10:$AF$509,0)),""))</f>
        <v/>
      </c>
      <c r="V148" s="76" t="str">
        <f aca="false">IF(AND(ISNUMBER(T148),ISNUMBER(T147)),T148/T147-1,"")</f>
        <v/>
      </c>
      <c r="W148" s="76" t="str">
        <f aca="false">IF(AND(ISNUMBER(U148),ISNUMBER(U147)),U148/U147-1,"")</f>
        <v/>
      </c>
      <c r="X148" s="75" t="str">
        <f aca="false">IF(AND(ISNUMBER(V148),ISNUMBER(W148)),1,"")</f>
        <v/>
      </c>
      <c r="Y148" s="76" t="str">
        <f aca="false">IF(X148=1,V148,"")</f>
        <v/>
      </c>
      <c r="Z148" s="76" t="str">
        <f aca="false">IF(X148=1,W148,"")</f>
        <v/>
      </c>
      <c r="AA148" s="76" t="e">
        <f aca="false">IF(X148=1,V148,NA())</f>
        <v>#N/A</v>
      </c>
      <c r="AB148" s="76" t="e">
        <f aca="false">IF(X148=1,W148,NA())</f>
        <v>#N/A</v>
      </c>
      <c r="AD148" s="73" t="str">
        <f aca="false">IF(ISNUMBER(AE148),IF(ISNUMBER('Base de Datos'!A144),IF('Base de Datos'!A144&gt;20000,DATE(YEAR('Base de Datos'!A144),DAY('Base de Datos'!A144),MONTH('Base de Datos'!A144)),""),IF(TRIM('Base de Datos'!A144)="","",IFERROR(DATE(VALUE(RIGHT(TRIM('Base de Datos'!A144),4)),VALUE(LEFT(TRIM('Base de Datos'!A144),2)),VALUE(MID(TRIM('Base de Datos'!A144),4,2))),""))),"")</f>
        <v/>
      </c>
      <c r="AE148" s="74" t="str">
        <f aca="false">IF(ISNUMBER('Base de Datos'!B144),'Base de Datos'!B144,IF(TRIM('Base de Datos'!B144)="","",IFERROR(IF(IFERROR(FIND("@",SUBSTITUTE(TRIM('Base de Datos'!B144),",","@",LEN(TRIM('Base de Datos'!B144))-LEN(SUBSTITUTE(TRIM('Base de Datos'!B144),",","")))),0)&gt;IFERROR(FIND("@",SUBSTITUTE(TRIM('Base de Datos'!B144),".","@",LEN(TRIM('Base de Datos'!B144))-LEN(SUBSTITUTE(TRIM('Base de Datos'!B144),".","")))),0),_xlfn.NUMBERVALUE(SUBSTITUTE(SUBSTITUTE(TRIM('Base de Datos'!B144),".",""),",","."),".",","),_xlfn.NUMBERVALUE(SUBSTITUTE(TRIM('Base de Datos'!B144),",",""),".",",")),"")))</f>
        <v/>
      </c>
      <c r="AF148" s="73" t="str">
        <f aca="false">IF(ISNUMBER(AG148),IF(ISNUMBER('Base de Datos'!I144),IF('Base de Datos'!I144&gt;20000,INT('Base de Datos'!I144),""),IF(TRIM('Base de Datos'!I144)="","",IFERROR(DATE(VALUE(RIGHT(TRIM('Base de Datos'!I144),4)),VALUE(MID(TRIM('Base de Datos'!I144),4,2)),VALUE(LEFT(TRIM('Base de Datos'!I144),2))),IFERROR(DATEVALUE(TRIM('Base de Datos'!I144)),"")))),"")</f>
        <v/>
      </c>
      <c r="AG148" s="74" t="str">
        <f aca="false">IF(ISNUMBER('Base de Datos'!J144),'Base de Datos'!J144,IF(TRIM('Base de Datos'!J144)="","",IFERROR(IF(IFERROR(FIND("@",SUBSTITUTE(TRIM('Base de Datos'!J144),",","@",LEN(TRIM('Base de Datos'!J144))-LEN(SUBSTITUTE(TRIM('Base de Datos'!J144),",","")))),0)&gt;IFERROR(FIND("@",SUBSTITUTE(TRIM('Base de Datos'!J144),".","@",LEN(TRIM('Base de Datos'!J144))-LEN(SUBSTITUTE(TRIM('Base de Datos'!J144),".","")))),0),_xlfn.NUMBERVALUE(SUBSTITUTE(SUBSTITUTE(TRIM('Base de Datos'!J144),".",""),",","."),".",","),_xlfn.NUMBERVALUE(SUBSTITUTE(TRIM('Base de Datos'!J144),",",""),".",",")),"")))</f>
        <v/>
      </c>
      <c r="AH148" s="73" t="n">
        <f aca="false">IF(ISNUMBER(AI148),IF(ISNUMBER('Base de Datos'!Q144),IF('Base de Datos'!Q144&gt;20000,DATE(YEAR('Base de Datos'!Q144),DAY('Base de Datos'!Q144),MONTH('Base de Datos'!Q144)),""),IF(TRIM('Base de Datos'!Q144)="","",IFERROR(DATE(VALUE(RIGHT(TRIM('Base de Datos'!Q144),4)),VALUE(LEFT(TRIM('Base de Datos'!Q144),2)),VALUE(MID(TRIM('Base de Datos'!Q144),4,2))),""))),"")</f>
        <v>45452</v>
      </c>
      <c r="AI148" s="74" t="n">
        <f aca="false">IF(ISNUMBER('Base de Datos'!R144),'Base de Datos'!R144,IF(TRIM('Base de Datos'!R144)="","",IFERROR(IF(IFERROR(FIND("@",SUBSTITUTE(TRIM('Base de Datos'!R144),",","@",LEN(TRIM('Base de Datos'!R144))-LEN(SUBSTITUTE(TRIM('Base de Datos'!R144),",","")))),0)&gt;IFERROR(FIND("@",SUBSTITUTE(TRIM('Base de Datos'!R144),".","@",LEN(TRIM('Base de Datos'!R144))-LEN(SUBSTITUTE(TRIM('Base de Datos'!R144),".","")))),0),_xlfn.NUMBERVALUE(SUBSTITUTE(SUBSTITUTE(TRIM('Base de Datos'!R144),".",""),",","."),".",","),_xlfn.NUMBERVALUE(SUBSTITUTE(TRIM('Base de Datos'!R144),",",""),".",",")),"")))</f>
        <v>31.3</v>
      </c>
      <c r="AJ148" s="73" t="n">
        <f aca="false">IF(ISNUMBER(AK148),IF(ISNUMBER('Base de Datos'!Y144),IF('Base de Datos'!Y144&gt;20000,INT('Base de Datos'!Y144),""),IF(TRIM('Base de Datos'!Y144)="","",IFERROR(DATE(VALUE(RIGHT(TRIM('Base de Datos'!Y144),4)),VALUE(MID(TRIM('Base de Datos'!Y144),4,2)),VALUE(LEFT(TRIM('Base de Datos'!Y144),2))),IFERROR(DATEVALUE(TRIM('Base de Datos'!Y144)),"")))),"")</f>
        <v>45452</v>
      </c>
      <c r="AK148" s="74" t="n">
        <f aca="false">IF(ISNUMBER('Base de Datos'!Z144),'Base de Datos'!Z144,IF(TRIM('Base de Datos'!Z144)="","",IFERROR(IF(IFERROR(FIND("@",SUBSTITUTE(TRIM('Base de Datos'!Z144),",","@",LEN(TRIM('Base de Datos'!Z144))-LEN(SUBSTITUTE(TRIM('Base de Datos'!Z144),",","")))),0)&gt;IFERROR(FIND("@",SUBSTITUTE(TRIM('Base de Datos'!Z144),".","@",LEN(TRIM('Base de Datos'!Z144))-LEN(SUBSTITUTE(TRIM('Base de Datos'!Z144),".","")))),0),_xlfn.NUMBERVALUE(SUBSTITUTE(SUBSTITUTE(TRIM('Base de Datos'!Z144),".",""),",","."),".",","),_xlfn.NUMBERVALUE(SUBSTITUTE(TRIM('Base de Datos'!Z144),",",""),".",",")),"")))</f>
        <v>52222.94</v>
      </c>
    </row>
    <row r="149" customFormat="false" ht="13.5" hidden="false" customHeight="false" outlineLevel="0" collapsed="false">
      <c r="A149" s="75" t="n">
        <f aca="false">ROWS(A$13:A149)</f>
        <v>137</v>
      </c>
      <c r="B149" s="73" t="n">
        <f aca="false">IF(B148="","",IFERROR(SMALL($AH$10:$AH$409,COUNTIF($AH$10:$AH$409,"&lt;="&amp;B148)+1),""))</f>
        <v>45438</v>
      </c>
      <c r="C149" s="74" t="n">
        <f aca="false">IF(B149="","",INDEX($AI$10:$AI$409,MATCH(B149,$AH$10:$AH$409,0)))</f>
        <v>32.32</v>
      </c>
      <c r="D149" s="74" t="n">
        <f aca="false">IF(B149="","",IFERROR(INDEX($AK$10:$AK$409,MATCH(B149,$AJ$10:$AJ$409,0)),""))</f>
        <v>55179.24</v>
      </c>
      <c r="E149" s="76" t="n">
        <f aca="false">IF(AND(ISNUMBER(C149),ISNUMBER(C148)),C149/C148-1,"")</f>
        <v>-0.0294294294294294</v>
      </c>
      <c r="F149" s="76" t="n">
        <f aca="false">IF(AND(ISNUMBER(D149),ISNUMBER(D148)),D149/D148-1,"")</f>
        <v>-0.00422066109975405</v>
      </c>
      <c r="G149" s="75" t="n">
        <f aca="false">IF(AND(ISNUMBER(E149),ISNUMBER(F149)),1,"")</f>
        <v>1</v>
      </c>
      <c r="H149" s="75" t="n">
        <f aca="false">IF(G149=1,COUNT(G149:G$412),"")</f>
        <v>123</v>
      </c>
      <c r="I149" s="75" t="n">
        <f aca="false">IF(G149=1,IF(H149&lt;='Beta Regresión'!$B$5,1,""),"")</f>
        <v>1</v>
      </c>
      <c r="J149" s="76" t="n">
        <f aca="false">IF(I149=1,E149,"")</f>
        <v>-0.0294294294294294</v>
      </c>
      <c r="K149" s="76" t="n">
        <f aca="false">IF(I149=1,F149,"")</f>
        <v>-0.00422066109975405</v>
      </c>
      <c r="L149" s="75" t="n">
        <f aca="false">IF(I149=1,COUNT(I$13:I149),"")</f>
        <v>136</v>
      </c>
      <c r="M149" s="76" t="n">
        <f aca="false">IFERROR(INDEX($J$13:$J$412,MATCH(A149,$L$13:$L$412,0)),"")</f>
        <v>-0.0160891089108911</v>
      </c>
      <c r="N149" s="76" t="n">
        <f aca="false">IFERROR(INDEX($K$13:$K$412,MATCH(A149,$L$13:$L$412,0)),"")</f>
        <v>-0.0399048627708537</v>
      </c>
      <c r="O149" s="76" t="n">
        <f aca="false">IF(I149=1,E149,NA())</f>
        <v>-0.0294294294294294</v>
      </c>
      <c r="P149" s="76" t="n">
        <f aca="false">IF(I149=1,F149,NA())</f>
        <v>-0.00422066109975405</v>
      </c>
      <c r="R149" s="75" t="n">
        <f aca="false">ROWS(R$13:R149)</f>
        <v>137</v>
      </c>
      <c r="S149" s="73" t="str">
        <f aca="false">IF(S148="","",IFERROR(SMALL($AD$10:$AD$509,COUNTIF($AD$10:$AD$509,"&lt;="&amp;S148)+1),""))</f>
        <v/>
      </c>
      <c r="T149" s="74" t="str">
        <f aca="false">IF(S149="","",INDEX($AE$10:$AE$509,MATCH(S149,$AD$10:$AD$509,0)))</f>
        <v/>
      </c>
      <c r="U149" s="74" t="str">
        <f aca="false">IF(S149="","",IFERROR(INDEX($AG$10:$AG$509,MATCH(S149,$AF$10:$AF$509,0)),""))</f>
        <v/>
      </c>
      <c r="V149" s="76" t="str">
        <f aca="false">IF(AND(ISNUMBER(T149),ISNUMBER(T148)),T149/T148-1,"")</f>
        <v/>
      </c>
      <c r="W149" s="76" t="str">
        <f aca="false">IF(AND(ISNUMBER(U149),ISNUMBER(U148)),U149/U148-1,"")</f>
        <v/>
      </c>
      <c r="X149" s="75" t="str">
        <f aca="false">IF(AND(ISNUMBER(V149),ISNUMBER(W149)),1,"")</f>
        <v/>
      </c>
      <c r="Y149" s="76" t="str">
        <f aca="false">IF(X149=1,V149,"")</f>
        <v/>
      </c>
      <c r="Z149" s="76" t="str">
        <f aca="false">IF(X149=1,W149,"")</f>
        <v/>
      </c>
      <c r="AA149" s="76" t="e">
        <f aca="false">IF(X149=1,V149,NA())</f>
        <v>#N/A</v>
      </c>
      <c r="AB149" s="76" t="e">
        <f aca="false">IF(X149=1,W149,NA())</f>
        <v>#N/A</v>
      </c>
      <c r="AD149" s="73" t="str">
        <f aca="false">IF(ISNUMBER(AE149),IF(ISNUMBER('Base de Datos'!A145),IF('Base de Datos'!A145&gt;20000,DATE(YEAR('Base de Datos'!A145),DAY('Base de Datos'!A145),MONTH('Base de Datos'!A145)),""),IF(TRIM('Base de Datos'!A145)="","",IFERROR(DATE(VALUE(RIGHT(TRIM('Base de Datos'!A145),4)),VALUE(LEFT(TRIM('Base de Datos'!A145),2)),VALUE(MID(TRIM('Base de Datos'!A145),4,2))),""))),"")</f>
        <v/>
      </c>
      <c r="AE149" s="74" t="str">
        <f aca="false">IF(ISNUMBER('Base de Datos'!B145),'Base de Datos'!B145,IF(TRIM('Base de Datos'!B145)="","",IFERROR(IF(IFERROR(FIND("@",SUBSTITUTE(TRIM('Base de Datos'!B145),",","@",LEN(TRIM('Base de Datos'!B145))-LEN(SUBSTITUTE(TRIM('Base de Datos'!B145),",","")))),0)&gt;IFERROR(FIND("@",SUBSTITUTE(TRIM('Base de Datos'!B145),".","@",LEN(TRIM('Base de Datos'!B145))-LEN(SUBSTITUTE(TRIM('Base de Datos'!B145),".","")))),0),_xlfn.NUMBERVALUE(SUBSTITUTE(SUBSTITUTE(TRIM('Base de Datos'!B145),".",""),",","."),".",","),_xlfn.NUMBERVALUE(SUBSTITUTE(TRIM('Base de Datos'!B145),",",""),".",",")),"")))</f>
        <v/>
      </c>
      <c r="AF149" s="73" t="str">
        <f aca="false">IF(ISNUMBER(AG149),IF(ISNUMBER('Base de Datos'!I145),IF('Base de Datos'!I145&gt;20000,INT('Base de Datos'!I145),""),IF(TRIM('Base de Datos'!I145)="","",IFERROR(DATE(VALUE(RIGHT(TRIM('Base de Datos'!I145),4)),VALUE(MID(TRIM('Base de Datos'!I145),4,2)),VALUE(LEFT(TRIM('Base de Datos'!I145),2))),IFERROR(DATEVALUE(TRIM('Base de Datos'!I145)),"")))),"")</f>
        <v/>
      </c>
      <c r="AG149" s="74" t="str">
        <f aca="false">IF(ISNUMBER('Base de Datos'!J145),'Base de Datos'!J145,IF(TRIM('Base de Datos'!J145)="","",IFERROR(IF(IFERROR(FIND("@",SUBSTITUTE(TRIM('Base de Datos'!J145),",","@",LEN(TRIM('Base de Datos'!J145))-LEN(SUBSTITUTE(TRIM('Base de Datos'!J145),",","")))),0)&gt;IFERROR(FIND("@",SUBSTITUTE(TRIM('Base de Datos'!J145),".","@",LEN(TRIM('Base de Datos'!J145))-LEN(SUBSTITUTE(TRIM('Base de Datos'!J145),".","")))),0),_xlfn.NUMBERVALUE(SUBSTITUTE(SUBSTITUTE(TRIM('Base de Datos'!J145),".",""),",","."),".",","),_xlfn.NUMBERVALUE(SUBSTITUTE(TRIM('Base de Datos'!J145),",",""),".",",")),"")))</f>
        <v/>
      </c>
      <c r="AH149" s="73" t="n">
        <f aca="false">IF(ISNUMBER(AI149),IF(ISNUMBER('Base de Datos'!Q145),IF('Base de Datos'!Q145&gt;20000,DATE(YEAR('Base de Datos'!Q145),DAY('Base de Datos'!Q145),MONTH('Base de Datos'!Q145)),""),IF(TRIM('Base de Datos'!Q145)="","",IFERROR(DATE(VALUE(RIGHT(TRIM('Base de Datos'!Q145),4)),VALUE(LEFT(TRIM('Base de Datos'!Q145),2)),VALUE(MID(TRIM('Base de Datos'!Q145),4,2))),""))),"")</f>
        <v>45459</v>
      </c>
      <c r="AI149" s="74" t="n">
        <f aca="false">IF(ISNUMBER('Base de Datos'!R145),'Base de Datos'!R145,IF(TRIM('Base de Datos'!R145)="","",IFERROR(IF(IFERROR(FIND("@",SUBSTITUTE(TRIM('Base de Datos'!R145),",","@",LEN(TRIM('Base de Datos'!R145))-LEN(SUBSTITUTE(TRIM('Base de Datos'!R145),",","")))),0)&gt;IFERROR(FIND("@",SUBSTITUTE(TRIM('Base de Datos'!R145),".","@",LEN(TRIM('Base de Datos'!R145))-LEN(SUBSTITUTE(TRIM('Base de Datos'!R145),".","")))),0),_xlfn.NUMBERVALUE(SUBSTITUTE(SUBSTITUTE(TRIM('Base de Datos'!R145),".",""),",","."),".",","),_xlfn.NUMBERVALUE(SUBSTITUTE(TRIM('Base de Datos'!R145),",",""),".",",")),"")))</f>
        <v>29.48</v>
      </c>
      <c r="AJ149" s="73" t="n">
        <f aca="false">IF(ISNUMBER(AK149),IF(ISNUMBER('Base de Datos'!Y145),IF('Base de Datos'!Y145&gt;20000,INT('Base de Datos'!Y145),""),IF(TRIM('Base de Datos'!Y145)="","",IFERROR(DATE(VALUE(RIGHT(TRIM('Base de Datos'!Y145),4)),VALUE(MID(TRIM('Base de Datos'!Y145),4,2)),VALUE(LEFT(TRIM('Base de Datos'!Y145),2))),IFERROR(DATEVALUE(TRIM('Base de Datos'!Y145)),"")))),"")</f>
        <v>45459</v>
      </c>
      <c r="AK149" s="74" t="n">
        <f aca="false">IF(ISNUMBER('Base de Datos'!Z145),'Base de Datos'!Z145,IF(TRIM('Base de Datos'!Z145)="","",IFERROR(IF(IFERROR(FIND("@",SUBSTITUTE(TRIM('Base de Datos'!Z145),",","@",LEN(TRIM('Base de Datos'!Z145))-LEN(SUBSTITUTE(TRIM('Base de Datos'!Z145),",","")))),0)&gt;IFERROR(FIND("@",SUBSTITUTE(TRIM('Base de Datos'!Z145),".","@",LEN(TRIM('Base de Datos'!Z145))-LEN(SUBSTITUTE(TRIM('Base de Datos'!Z145),".","")))),0),_xlfn.NUMBERVALUE(SUBSTITUTE(SUBSTITUTE(TRIM('Base de Datos'!Z145),".",""),",","."),".",","),_xlfn.NUMBERVALUE(SUBSTITUTE(TRIM('Base de Datos'!Z145),",",""),".",",")),"")))</f>
        <v>52788.5</v>
      </c>
    </row>
    <row r="150" customFormat="false" ht="13.5" hidden="false" customHeight="false" outlineLevel="0" collapsed="false">
      <c r="A150" s="75" t="n">
        <f aca="false">ROWS(A$13:A150)</f>
        <v>138</v>
      </c>
      <c r="B150" s="73" t="n">
        <f aca="false">IF(B149="","",IFERROR(SMALL($AH$10:$AH$409,COUNTIF($AH$10:$AH$409,"&lt;="&amp;B149)+1),""))</f>
        <v>45445</v>
      </c>
      <c r="C150" s="74" t="n">
        <f aca="false">IF(B150="","",INDEX($AI$10:$AI$409,MATCH(B150,$AH$10:$AH$409,0)))</f>
        <v>31.8</v>
      </c>
      <c r="D150" s="74" t="n">
        <f aca="false">IF(B150="","",IFERROR(INDEX($AK$10:$AK$409,MATCH(B150,$AJ$10:$AJ$409,0)),""))</f>
        <v>52977.32</v>
      </c>
      <c r="E150" s="76" t="n">
        <f aca="false">IF(AND(ISNUMBER(C150),ISNUMBER(C149)),C150/C149-1,"")</f>
        <v>-0.0160891089108911</v>
      </c>
      <c r="F150" s="76" t="n">
        <f aca="false">IF(AND(ISNUMBER(D150),ISNUMBER(D149)),D150/D149-1,"")</f>
        <v>-0.0399048627708537</v>
      </c>
      <c r="G150" s="75" t="n">
        <f aca="false">IF(AND(ISNUMBER(E150),ISNUMBER(F150)),1,"")</f>
        <v>1</v>
      </c>
      <c r="H150" s="75" t="n">
        <f aca="false">IF(G150=1,COUNT(G150:G$412),"")</f>
        <v>122</v>
      </c>
      <c r="I150" s="75" t="n">
        <f aca="false">IF(G150=1,IF(H150&lt;='Beta Regresión'!$B$5,1,""),"")</f>
        <v>1</v>
      </c>
      <c r="J150" s="76" t="n">
        <f aca="false">IF(I150=1,E150,"")</f>
        <v>-0.0160891089108911</v>
      </c>
      <c r="K150" s="76" t="n">
        <f aca="false">IF(I150=1,F150,"")</f>
        <v>-0.0399048627708537</v>
      </c>
      <c r="L150" s="75" t="n">
        <f aca="false">IF(I150=1,COUNT(I$13:I150),"")</f>
        <v>137</v>
      </c>
      <c r="M150" s="76" t="n">
        <f aca="false">IFERROR(INDEX($J$13:$J$412,MATCH(A150,$L$13:$L$412,0)),"")</f>
        <v>-0.0157232704402516</v>
      </c>
      <c r="N150" s="76" t="n">
        <f aca="false">IFERROR(INDEX($K$13:$K$412,MATCH(A150,$L$13:$L$412,0)),"")</f>
        <v>-0.0142396784133285</v>
      </c>
      <c r="O150" s="76" t="n">
        <f aca="false">IF(I150=1,E150,NA())</f>
        <v>-0.0160891089108911</v>
      </c>
      <c r="P150" s="76" t="n">
        <f aca="false">IF(I150=1,F150,NA())</f>
        <v>-0.0399048627708537</v>
      </c>
      <c r="R150" s="75" t="n">
        <f aca="false">ROWS(R$13:R150)</f>
        <v>138</v>
      </c>
      <c r="S150" s="73" t="str">
        <f aca="false">IF(S149="","",IFERROR(SMALL($AD$10:$AD$509,COUNTIF($AD$10:$AD$509,"&lt;="&amp;S149)+1),""))</f>
        <v/>
      </c>
      <c r="T150" s="74" t="str">
        <f aca="false">IF(S150="","",INDEX($AE$10:$AE$509,MATCH(S150,$AD$10:$AD$509,0)))</f>
        <v/>
      </c>
      <c r="U150" s="74" t="str">
        <f aca="false">IF(S150="","",IFERROR(INDEX($AG$10:$AG$509,MATCH(S150,$AF$10:$AF$509,0)),""))</f>
        <v/>
      </c>
      <c r="V150" s="76" t="str">
        <f aca="false">IF(AND(ISNUMBER(T150),ISNUMBER(T149)),T150/T149-1,"")</f>
        <v/>
      </c>
      <c r="W150" s="76" t="str">
        <f aca="false">IF(AND(ISNUMBER(U150),ISNUMBER(U149)),U150/U149-1,"")</f>
        <v/>
      </c>
      <c r="X150" s="75" t="str">
        <f aca="false">IF(AND(ISNUMBER(V150),ISNUMBER(W150)),1,"")</f>
        <v/>
      </c>
      <c r="Y150" s="76" t="str">
        <f aca="false">IF(X150=1,V150,"")</f>
        <v/>
      </c>
      <c r="Z150" s="76" t="str">
        <f aca="false">IF(X150=1,W150,"")</f>
        <v/>
      </c>
      <c r="AA150" s="76" t="e">
        <f aca="false">IF(X150=1,V150,NA())</f>
        <v>#N/A</v>
      </c>
      <c r="AB150" s="76" t="e">
        <f aca="false">IF(X150=1,W150,NA())</f>
        <v>#N/A</v>
      </c>
      <c r="AD150" s="73" t="str">
        <f aca="false">IF(ISNUMBER(AE150),IF(ISNUMBER('Base de Datos'!A146),IF('Base de Datos'!A146&gt;20000,DATE(YEAR('Base de Datos'!A146),DAY('Base de Datos'!A146),MONTH('Base de Datos'!A146)),""),IF(TRIM('Base de Datos'!A146)="","",IFERROR(DATE(VALUE(RIGHT(TRIM('Base de Datos'!A146),4)),VALUE(LEFT(TRIM('Base de Datos'!A146),2)),VALUE(MID(TRIM('Base de Datos'!A146),4,2))),""))),"")</f>
        <v/>
      </c>
      <c r="AE150" s="74" t="str">
        <f aca="false">IF(ISNUMBER('Base de Datos'!B146),'Base de Datos'!B146,IF(TRIM('Base de Datos'!B146)="","",IFERROR(IF(IFERROR(FIND("@",SUBSTITUTE(TRIM('Base de Datos'!B146),",","@",LEN(TRIM('Base de Datos'!B146))-LEN(SUBSTITUTE(TRIM('Base de Datos'!B146),",","")))),0)&gt;IFERROR(FIND("@",SUBSTITUTE(TRIM('Base de Datos'!B146),".","@",LEN(TRIM('Base de Datos'!B146))-LEN(SUBSTITUTE(TRIM('Base de Datos'!B146),".","")))),0),_xlfn.NUMBERVALUE(SUBSTITUTE(SUBSTITUTE(TRIM('Base de Datos'!B146),".",""),",","."),".",","),_xlfn.NUMBERVALUE(SUBSTITUTE(TRIM('Base de Datos'!B146),",",""),".",",")),"")))</f>
        <v/>
      </c>
      <c r="AF150" s="73" t="str">
        <f aca="false">IF(ISNUMBER(AG150),IF(ISNUMBER('Base de Datos'!I146),IF('Base de Datos'!I146&gt;20000,INT('Base de Datos'!I146),""),IF(TRIM('Base de Datos'!I146)="","",IFERROR(DATE(VALUE(RIGHT(TRIM('Base de Datos'!I146),4)),VALUE(MID(TRIM('Base de Datos'!I146),4,2)),VALUE(LEFT(TRIM('Base de Datos'!I146),2))),IFERROR(DATEVALUE(TRIM('Base de Datos'!I146)),"")))),"")</f>
        <v/>
      </c>
      <c r="AG150" s="74" t="str">
        <f aca="false">IF(ISNUMBER('Base de Datos'!J146),'Base de Datos'!J146,IF(TRIM('Base de Datos'!J146)="","",IFERROR(IF(IFERROR(FIND("@",SUBSTITUTE(TRIM('Base de Datos'!J146),",","@",LEN(TRIM('Base de Datos'!J146))-LEN(SUBSTITUTE(TRIM('Base de Datos'!J146),",","")))),0)&gt;IFERROR(FIND("@",SUBSTITUTE(TRIM('Base de Datos'!J146),".","@",LEN(TRIM('Base de Datos'!J146))-LEN(SUBSTITUTE(TRIM('Base de Datos'!J146),".","")))),0),_xlfn.NUMBERVALUE(SUBSTITUTE(SUBSTITUTE(TRIM('Base de Datos'!J146),".",""),",","."),".",","),_xlfn.NUMBERVALUE(SUBSTITUTE(TRIM('Base de Datos'!J146),",",""),".",",")),"")))</f>
        <v/>
      </c>
      <c r="AH150" s="73" t="n">
        <f aca="false">IF(ISNUMBER(AI150),IF(ISNUMBER('Base de Datos'!Q146),IF('Base de Datos'!Q146&gt;20000,DATE(YEAR('Base de Datos'!Q146),DAY('Base de Datos'!Q146),MONTH('Base de Datos'!Q146)),""),IF(TRIM('Base de Datos'!Q146)="","",IFERROR(DATE(VALUE(RIGHT(TRIM('Base de Datos'!Q146),4)),VALUE(LEFT(TRIM('Base de Datos'!Q146),2)),VALUE(MID(TRIM('Base de Datos'!Q146),4,2))),""))),"")</f>
        <v>45466</v>
      </c>
      <c r="AI150" s="74" t="n">
        <f aca="false">IF(ISNUMBER('Base de Datos'!R146),'Base de Datos'!R146,IF(TRIM('Base de Datos'!R146)="","",IFERROR(IF(IFERROR(FIND("@",SUBSTITUTE(TRIM('Base de Datos'!R146),",","@",LEN(TRIM('Base de Datos'!R146))-LEN(SUBSTITUTE(TRIM('Base de Datos'!R146),",","")))),0)&gt;IFERROR(FIND("@",SUBSTITUTE(TRIM('Base de Datos'!R146),".","@",LEN(TRIM('Base de Datos'!R146))-LEN(SUBSTITUTE(TRIM('Base de Datos'!R146),".","")))),0),_xlfn.NUMBERVALUE(SUBSTITUTE(SUBSTITUTE(TRIM('Base de Datos'!R146),".",""),",","."),".",","),_xlfn.NUMBERVALUE(SUBSTITUTE(TRIM('Base de Datos'!R146),",",""),".",",")),"")))</f>
        <v>30.36</v>
      </c>
      <c r="AJ150" s="73" t="n">
        <f aca="false">IF(ISNUMBER(AK150),IF(ISNUMBER('Base de Datos'!Y146),IF('Base de Datos'!Y146&gt;20000,INT('Base de Datos'!Y146),""),IF(TRIM('Base de Datos'!Y146)="","",IFERROR(DATE(VALUE(RIGHT(TRIM('Base de Datos'!Y146),4)),VALUE(MID(TRIM('Base de Datos'!Y146),4,2)),VALUE(LEFT(TRIM('Base de Datos'!Y146),2))),IFERROR(DATEVALUE(TRIM('Base de Datos'!Y146)),"")))),"")</f>
        <v>45466</v>
      </c>
      <c r="AK150" s="74" t="n">
        <f aca="false">IF(ISNUMBER('Base de Datos'!Z146),'Base de Datos'!Z146,IF(TRIM('Base de Datos'!Z146)="","",IFERROR(IF(IFERROR(FIND("@",SUBSTITUTE(TRIM('Base de Datos'!Z146),",","@",LEN(TRIM('Base de Datos'!Z146))-LEN(SUBSTITUTE(TRIM('Base de Datos'!Z146),",","")))),0)&gt;IFERROR(FIND("@",SUBSTITUTE(TRIM('Base de Datos'!Z146),".","@",LEN(TRIM('Base de Datos'!Z146))-LEN(SUBSTITUTE(TRIM('Base de Datos'!Z146),".","")))),0),_xlfn.NUMBERVALUE(SUBSTITUTE(SUBSTITUTE(TRIM('Base de Datos'!Z146),".",""),",","."),".",","),_xlfn.NUMBERVALUE(SUBSTITUTE(TRIM('Base de Datos'!Z146),",",""),".",",")),"")))</f>
        <v>52440.02</v>
      </c>
    </row>
    <row r="151" customFormat="false" ht="13.5" hidden="false" customHeight="false" outlineLevel="0" collapsed="false">
      <c r="A151" s="75" t="n">
        <f aca="false">ROWS(A$13:A151)</f>
        <v>139</v>
      </c>
      <c r="B151" s="73" t="n">
        <f aca="false">IF(B150="","",IFERROR(SMALL($AH$10:$AH$409,COUNTIF($AH$10:$AH$409,"&lt;="&amp;B150)+1),""))</f>
        <v>45452</v>
      </c>
      <c r="C151" s="74" t="n">
        <f aca="false">IF(B151="","",INDEX($AI$10:$AI$409,MATCH(B151,$AH$10:$AH$409,0)))</f>
        <v>31.3</v>
      </c>
      <c r="D151" s="74" t="n">
        <f aca="false">IF(B151="","",IFERROR(INDEX($AK$10:$AK$409,MATCH(B151,$AJ$10:$AJ$409,0)),""))</f>
        <v>52222.94</v>
      </c>
      <c r="E151" s="76" t="n">
        <f aca="false">IF(AND(ISNUMBER(C151),ISNUMBER(C150)),C151/C150-1,"")</f>
        <v>-0.0157232704402516</v>
      </c>
      <c r="F151" s="76" t="n">
        <f aca="false">IF(AND(ISNUMBER(D151),ISNUMBER(D150)),D151/D150-1,"")</f>
        <v>-0.0142396784133285</v>
      </c>
      <c r="G151" s="75" t="n">
        <f aca="false">IF(AND(ISNUMBER(E151),ISNUMBER(F151)),1,"")</f>
        <v>1</v>
      </c>
      <c r="H151" s="75" t="n">
        <f aca="false">IF(G151=1,COUNT(G151:G$412),"")</f>
        <v>121</v>
      </c>
      <c r="I151" s="75" t="n">
        <f aca="false">IF(G151=1,IF(H151&lt;='Beta Regresión'!$B$5,1,""),"")</f>
        <v>1</v>
      </c>
      <c r="J151" s="76" t="n">
        <f aca="false">IF(I151=1,E151,"")</f>
        <v>-0.0157232704402516</v>
      </c>
      <c r="K151" s="76" t="n">
        <f aca="false">IF(I151=1,F151,"")</f>
        <v>-0.0142396784133285</v>
      </c>
      <c r="L151" s="75" t="n">
        <f aca="false">IF(I151=1,COUNT(I$13:I151),"")</f>
        <v>138</v>
      </c>
      <c r="M151" s="76" t="n">
        <f aca="false">IFERROR(INDEX($J$13:$J$412,MATCH(A151,$L$13:$L$412,0)),"")</f>
        <v>-0.0581469648562301</v>
      </c>
      <c r="N151" s="76" t="n">
        <f aca="false">IFERROR(INDEX($K$13:$K$412,MATCH(A151,$L$13:$L$412,0)),"")</f>
        <v>0.0108297234893324</v>
      </c>
      <c r="O151" s="76" t="n">
        <f aca="false">IF(I151=1,E151,NA())</f>
        <v>-0.0157232704402516</v>
      </c>
      <c r="P151" s="76" t="n">
        <f aca="false">IF(I151=1,F151,NA())</f>
        <v>-0.0142396784133285</v>
      </c>
      <c r="R151" s="75" t="n">
        <f aca="false">ROWS(R$13:R151)</f>
        <v>139</v>
      </c>
      <c r="S151" s="73" t="str">
        <f aca="false">IF(S150="","",IFERROR(SMALL($AD$10:$AD$509,COUNTIF($AD$10:$AD$509,"&lt;="&amp;S150)+1),""))</f>
        <v/>
      </c>
      <c r="T151" s="74" t="str">
        <f aca="false">IF(S151="","",INDEX($AE$10:$AE$509,MATCH(S151,$AD$10:$AD$509,0)))</f>
        <v/>
      </c>
      <c r="U151" s="74" t="str">
        <f aca="false">IF(S151="","",IFERROR(INDEX($AG$10:$AG$509,MATCH(S151,$AF$10:$AF$509,0)),""))</f>
        <v/>
      </c>
      <c r="V151" s="76" t="str">
        <f aca="false">IF(AND(ISNUMBER(T151),ISNUMBER(T150)),T151/T150-1,"")</f>
        <v/>
      </c>
      <c r="W151" s="76" t="str">
        <f aca="false">IF(AND(ISNUMBER(U151),ISNUMBER(U150)),U151/U150-1,"")</f>
        <v/>
      </c>
      <c r="X151" s="75" t="str">
        <f aca="false">IF(AND(ISNUMBER(V151),ISNUMBER(W151)),1,"")</f>
        <v/>
      </c>
      <c r="Y151" s="76" t="str">
        <f aca="false">IF(X151=1,V151,"")</f>
        <v/>
      </c>
      <c r="Z151" s="76" t="str">
        <f aca="false">IF(X151=1,W151,"")</f>
        <v/>
      </c>
      <c r="AA151" s="76" t="e">
        <f aca="false">IF(X151=1,V151,NA())</f>
        <v>#N/A</v>
      </c>
      <c r="AB151" s="76" t="e">
        <f aca="false">IF(X151=1,W151,NA())</f>
        <v>#N/A</v>
      </c>
      <c r="AD151" s="73" t="str">
        <f aca="false">IF(ISNUMBER(AE151),IF(ISNUMBER('Base de Datos'!A147),IF('Base de Datos'!A147&gt;20000,DATE(YEAR('Base de Datos'!A147),DAY('Base de Datos'!A147),MONTH('Base de Datos'!A147)),""),IF(TRIM('Base de Datos'!A147)="","",IFERROR(DATE(VALUE(RIGHT(TRIM('Base de Datos'!A147),4)),VALUE(LEFT(TRIM('Base de Datos'!A147),2)),VALUE(MID(TRIM('Base de Datos'!A147),4,2))),""))),"")</f>
        <v/>
      </c>
      <c r="AE151" s="74" t="str">
        <f aca="false">IF(ISNUMBER('Base de Datos'!B147),'Base de Datos'!B147,IF(TRIM('Base de Datos'!B147)="","",IFERROR(IF(IFERROR(FIND("@",SUBSTITUTE(TRIM('Base de Datos'!B147),",","@",LEN(TRIM('Base de Datos'!B147))-LEN(SUBSTITUTE(TRIM('Base de Datos'!B147),",","")))),0)&gt;IFERROR(FIND("@",SUBSTITUTE(TRIM('Base de Datos'!B147),".","@",LEN(TRIM('Base de Datos'!B147))-LEN(SUBSTITUTE(TRIM('Base de Datos'!B147),".","")))),0),_xlfn.NUMBERVALUE(SUBSTITUTE(SUBSTITUTE(TRIM('Base de Datos'!B147),".",""),",","."),".",","),_xlfn.NUMBERVALUE(SUBSTITUTE(TRIM('Base de Datos'!B147),",",""),".",",")),"")))</f>
        <v/>
      </c>
      <c r="AF151" s="73" t="str">
        <f aca="false">IF(ISNUMBER(AG151),IF(ISNUMBER('Base de Datos'!I147),IF('Base de Datos'!I147&gt;20000,INT('Base de Datos'!I147),""),IF(TRIM('Base de Datos'!I147)="","",IFERROR(DATE(VALUE(RIGHT(TRIM('Base de Datos'!I147),4)),VALUE(MID(TRIM('Base de Datos'!I147),4,2)),VALUE(LEFT(TRIM('Base de Datos'!I147),2))),IFERROR(DATEVALUE(TRIM('Base de Datos'!I147)),"")))),"")</f>
        <v/>
      </c>
      <c r="AG151" s="74" t="str">
        <f aca="false">IF(ISNUMBER('Base de Datos'!J147),'Base de Datos'!J147,IF(TRIM('Base de Datos'!J147)="","",IFERROR(IF(IFERROR(FIND("@",SUBSTITUTE(TRIM('Base de Datos'!J147),",","@",LEN(TRIM('Base de Datos'!J147))-LEN(SUBSTITUTE(TRIM('Base de Datos'!J147),",","")))),0)&gt;IFERROR(FIND("@",SUBSTITUTE(TRIM('Base de Datos'!J147),".","@",LEN(TRIM('Base de Datos'!J147))-LEN(SUBSTITUTE(TRIM('Base de Datos'!J147),".","")))),0),_xlfn.NUMBERVALUE(SUBSTITUTE(SUBSTITUTE(TRIM('Base de Datos'!J147),".",""),",","."),".",","),_xlfn.NUMBERVALUE(SUBSTITUTE(TRIM('Base de Datos'!J147),",",""),".",",")),"")))</f>
        <v/>
      </c>
      <c r="AH151" s="73" t="n">
        <f aca="false">IF(ISNUMBER(AI151),IF(ISNUMBER('Base de Datos'!Q147),IF('Base de Datos'!Q147&gt;20000,DATE(YEAR('Base de Datos'!Q147),DAY('Base de Datos'!Q147),MONTH('Base de Datos'!Q147)),""),IF(TRIM('Base de Datos'!Q147)="","",IFERROR(DATE(VALUE(RIGHT(TRIM('Base de Datos'!Q147),4)),VALUE(LEFT(TRIM('Base de Datos'!Q147),2)),VALUE(MID(TRIM('Base de Datos'!Q147),4,2))),""))),"")</f>
        <v>45473</v>
      </c>
      <c r="AI151" s="74" t="n">
        <f aca="false">IF(ISNUMBER('Base de Datos'!R147),'Base de Datos'!R147,IF(TRIM('Base de Datos'!R147)="","",IFERROR(IF(IFERROR(FIND("@",SUBSTITUTE(TRIM('Base de Datos'!R147),",","@",LEN(TRIM('Base de Datos'!R147))-LEN(SUBSTITUTE(TRIM('Base de Datos'!R147),",","")))),0)&gt;IFERROR(FIND("@",SUBSTITUTE(TRIM('Base de Datos'!R147),".","@",LEN(TRIM('Base de Datos'!R147))-LEN(SUBSTITUTE(TRIM('Base de Datos'!R147),".","")))),0),_xlfn.NUMBERVALUE(SUBSTITUTE(SUBSTITUTE(TRIM('Base de Datos'!R147),".",""),",","."),".",","),_xlfn.NUMBERVALUE(SUBSTITUTE(TRIM('Base de Datos'!R147),",",""),".",",")),"")))</f>
        <v>29.82</v>
      </c>
      <c r="AJ151" s="73" t="n">
        <f aca="false">IF(ISNUMBER(AK151),IF(ISNUMBER('Base de Datos'!Y147),IF('Base de Datos'!Y147&gt;20000,INT('Base de Datos'!Y147),""),IF(TRIM('Base de Datos'!Y147)="","",IFERROR(DATE(VALUE(RIGHT(TRIM('Base de Datos'!Y147),4)),VALUE(MID(TRIM('Base de Datos'!Y147),4,2)),VALUE(LEFT(TRIM('Base de Datos'!Y147),2))),IFERROR(DATEVALUE(TRIM('Base de Datos'!Y147)),"")))),"")</f>
        <v>45473</v>
      </c>
      <c r="AK151" s="74" t="n">
        <f aca="false">IF(ISNUMBER('Base de Datos'!Z147),'Base de Datos'!Z147,IF(TRIM('Base de Datos'!Z147)="","",IFERROR(IF(IFERROR(FIND("@",SUBSTITUTE(TRIM('Base de Datos'!Z147),",","@",LEN(TRIM('Base de Datos'!Z147))-LEN(SUBSTITUTE(TRIM('Base de Datos'!Z147),",","")))),0)&gt;IFERROR(FIND("@",SUBSTITUTE(TRIM('Base de Datos'!Z147),".","@",LEN(TRIM('Base de Datos'!Z147))-LEN(SUBSTITUTE(TRIM('Base de Datos'!Z147),".","")))),0),_xlfn.NUMBERVALUE(SUBSTITUTE(SUBSTITUTE(TRIM('Base de Datos'!Z147),".",""),",","."),".",","),_xlfn.NUMBERVALUE(SUBSTITUTE(TRIM('Base de Datos'!Z147),",",""),".",",")),"")))</f>
        <v>52333.16</v>
      </c>
    </row>
    <row r="152" customFormat="false" ht="13.5" hidden="false" customHeight="false" outlineLevel="0" collapsed="false">
      <c r="A152" s="75" t="n">
        <f aca="false">ROWS(A$13:A152)</f>
        <v>140</v>
      </c>
      <c r="B152" s="73" t="n">
        <f aca="false">IF(B151="","",IFERROR(SMALL($AH$10:$AH$409,COUNTIF($AH$10:$AH$409,"&lt;="&amp;B151)+1),""))</f>
        <v>45459</v>
      </c>
      <c r="C152" s="74" t="n">
        <f aca="false">IF(B152="","",INDEX($AI$10:$AI$409,MATCH(B152,$AH$10:$AH$409,0)))</f>
        <v>29.48</v>
      </c>
      <c r="D152" s="74" t="n">
        <f aca="false">IF(B152="","",IFERROR(INDEX($AK$10:$AK$409,MATCH(B152,$AJ$10:$AJ$409,0)),""))</f>
        <v>52788.5</v>
      </c>
      <c r="E152" s="76" t="n">
        <f aca="false">IF(AND(ISNUMBER(C152),ISNUMBER(C151)),C152/C151-1,"")</f>
        <v>-0.0581469648562301</v>
      </c>
      <c r="F152" s="76" t="n">
        <f aca="false">IF(AND(ISNUMBER(D152),ISNUMBER(D151)),D152/D151-1,"")</f>
        <v>0.0108297234893324</v>
      </c>
      <c r="G152" s="75" t="n">
        <f aca="false">IF(AND(ISNUMBER(E152),ISNUMBER(F152)),1,"")</f>
        <v>1</v>
      </c>
      <c r="H152" s="75" t="n">
        <f aca="false">IF(G152=1,COUNT(G152:G$412),"")</f>
        <v>120</v>
      </c>
      <c r="I152" s="75" t="n">
        <f aca="false">IF(G152=1,IF(H152&lt;='Beta Regresión'!$B$5,1,""),"")</f>
        <v>1</v>
      </c>
      <c r="J152" s="76" t="n">
        <f aca="false">IF(I152=1,E152,"")</f>
        <v>-0.0581469648562301</v>
      </c>
      <c r="K152" s="76" t="n">
        <f aca="false">IF(I152=1,F152,"")</f>
        <v>0.0108297234893324</v>
      </c>
      <c r="L152" s="75" t="n">
        <f aca="false">IF(I152=1,COUNT(I$13:I152),"")</f>
        <v>139</v>
      </c>
      <c r="M152" s="76" t="n">
        <f aca="false">IFERROR(INDEX($J$13:$J$412,MATCH(A152,$L$13:$L$412,0)),"")</f>
        <v>0.0298507462686566</v>
      </c>
      <c r="N152" s="76" t="n">
        <f aca="false">IFERROR(INDEX($K$13:$K$412,MATCH(A152,$L$13:$L$412,0)),"")</f>
        <v>-0.00660143781316014</v>
      </c>
      <c r="O152" s="76" t="n">
        <f aca="false">IF(I152=1,E152,NA())</f>
        <v>-0.0581469648562301</v>
      </c>
      <c r="P152" s="76" t="n">
        <f aca="false">IF(I152=1,F152,NA())</f>
        <v>0.0108297234893324</v>
      </c>
      <c r="R152" s="75" t="n">
        <f aca="false">ROWS(R$13:R152)</f>
        <v>140</v>
      </c>
      <c r="S152" s="73" t="str">
        <f aca="false">IF(S151="","",IFERROR(SMALL($AD$10:$AD$509,COUNTIF($AD$10:$AD$509,"&lt;="&amp;S151)+1),""))</f>
        <v/>
      </c>
      <c r="T152" s="74" t="str">
        <f aca="false">IF(S152="","",INDEX($AE$10:$AE$509,MATCH(S152,$AD$10:$AD$509,0)))</f>
        <v/>
      </c>
      <c r="U152" s="74" t="str">
        <f aca="false">IF(S152="","",IFERROR(INDEX($AG$10:$AG$509,MATCH(S152,$AF$10:$AF$509,0)),""))</f>
        <v/>
      </c>
      <c r="V152" s="76" t="str">
        <f aca="false">IF(AND(ISNUMBER(T152),ISNUMBER(T151)),T152/T151-1,"")</f>
        <v/>
      </c>
      <c r="W152" s="76" t="str">
        <f aca="false">IF(AND(ISNUMBER(U152),ISNUMBER(U151)),U152/U151-1,"")</f>
        <v/>
      </c>
      <c r="X152" s="75" t="str">
        <f aca="false">IF(AND(ISNUMBER(V152),ISNUMBER(W152)),1,"")</f>
        <v/>
      </c>
      <c r="Y152" s="76" t="str">
        <f aca="false">IF(X152=1,V152,"")</f>
        <v/>
      </c>
      <c r="Z152" s="76" t="str">
        <f aca="false">IF(X152=1,W152,"")</f>
        <v/>
      </c>
      <c r="AA152" s="76" t="e">
        <f aca="false">IF(X152=1,V152,NA())</f>
        <v>#N/A</v>
      </c>
      <c r="AB152" s="76" t="e">
        <f aca="false">IF(X152=1,W152,NA())</f>
        <v>#N/A</v>
      </c>
      <c r="AD152" s="73" t="str">
        <f aca="false">IF(ISNUMBER(AE152),IF(ISNUMBER('Base de Datos'!A148),IF('Base de Datos'!A148&gt;20000,DATE(YEAR('Base de Datos'!A148),DAY('Base de Datos'!A148),MONTH('Base de Datos'!A148)),""),IF(TRIM('Base de Datos'!A148)="","",IFERROR(DATE(VALUE(RIGHT(TRIM('Base de Datos'!A148),4)),VALUE(LEFT(TRIM('Base de Datos'!A148),2)),VALUE(MID(TRIM('Base de Datos'!A148),4,2))),""))),"")</f>
        <v/>
      </c>
      <c r="AE152" s="74" t="str">
        <f aca="false">IF(ISNUMBER('Base de Datos'!B148),'Base de Datos'!B148,IF(TRIM('Base de Datos'!B148)="","",IFERROR(IF(IFERROR(FIND("@",SUBSTITUTE(TRIM('Base de Datos'!B148),",","@",LEN(TRIM('Base de Datos'!B148))-LEN(SUBSTITUTE(TRIM('Base de Datos'!B148),",","")))),0)&gt;IFERROR(FIND("@",SUBSTITUTE(TRIM('Base de Datos'!B148),".","@",LEN(TRIM('Base de Datos'!B148))-LEN(SUBSTITUTE(TRIM('Base de Datos'!B148),".","")))),0),_xlfn.NUMBERVALUE(SUBSTITUTE(SUBSTITUTE(TRIM('Base de Datos'!B148),".",""),",","."),".",","),_xlfn.NUMBERVALUE(SUBSTITUTE(TRIM('Base de Datos'!B148),",",""),".",",")),"")))</f>
        <v/>
      </c>
      <c r="AF152" s="73" t="str">
        <f aca="false">IF(ISNUMBER(AG152),IF(ISNUMBER('Base de Datos'!I148),IF('Base de Datos'!I148&gt;20000,INT('Base de Datos'!I148),""),IF(TRIM('Base de Datos'!I148)="","",IFERROR(DATE(VALUE(RIGHT(TRIM('Base de Datos'!I148),4)),VALUE(MID(TRIM('Base de Datos'!I148),4,2)),VALUE(LEFT(TRIM('Base de Datos'!I148),2))),IFERROR(DATEVALUE(TRIM('Base de Datos'!I148)),"")))),"")</f>
        <v/>
      </c>
      <c r="AG152" s="74" t="str">
        <f aca="false">IF(ISNUMBER('Base de Datos'!J148),'Base de Datos'!J148,IF(TRIM('Base de Datos'!J148)="","",IFERROR(IF(IFERROR(FIND("@",SUBSTITUTE(TRIM('Base de Datos'!J148),",","@",LEN(TRIM('Base de Datos'!J148))-LEN(SUBSTITUTE(TRIM('Base de Datos'!J148),",","")))),0)&gt;IFERROR(FIND("@",SUBSTITUTE(TRIM('Base de Datos'!J148),".","@",LEN(TRIM('Base de Datos'!J148))-LEN(SUBSTITUTE(TRIM('Base de Datos'!J148),".","")))),0),_xlfn.NUMBERVALUE(SUBSTITUTE(SUBSTITUTE(TRIM('Base de Datos'!J148),".",""),",","."),".",","),_xlfn.NUMBERVALUE(SUBSTITUTE(TRIM('Base de Datos'!J148),",",""),".",",")),"")))</f>
        <v/>
      </c>
      <c r="AH152" s="73" t="n">
        <f aca="false">IF(ISNUMBER(AI152),IF(ISNUMBER('Base de Datos'!Q148),IF('Base de Datos'!Q148&gt;20000,DATE(YEAR('Base de Datos'!Q148),DAY('Base de Datos'!Q148),MONTH('Base de Datos'!Q148)),""),IF(TRIM('Base de Datos'!Q148)="","",IFERROR(DATE(VALUE(RIGHT(TRIM('Base de Datos'!Q148),4)),VALUE(LEFT(TRIM('Base de Datos'!Q148),2)),VALUE(MID(TRIM('Base de Datos'!Q148),4,2))),""))),"")</f>
        <v>45480</v>
      </c>
      <c r="AI152" s="74" t="n">
        <f aca="false">IF(ISNUMBER('Base de Datos'!R148),'Base de Datos'!R148,IF(TRIM('Base de Datos'!R148)="","",IFERROR(IF(IFERROR(FIND("@",SUBSTITUTE(TRIM('Base de Datos'!R148),",","@",LEN(TRIM('Base de Datos'!R148))-LEN(SUBSTITUTE(TRIM('Base de Datos'!R148),",","")))),0)&gt;IFERROR(FIND("@",SUBSTITUTE(TRIM('Base de Datos'!R148),".","@",LEN(TRIM('Base de Datos'!R148))-LEN(SUBSTITUTE(TRIM('Base de Datos'!R148),".","")))),0),_xlfn.NUMBERVALUE(SUBSTITUTE(SUBSTITUTE(TRIM('Base de Datos'!R148),".",""),",","."),".",","),_xlfn.NUMBERVALUE(SUBSTITUTE(TRIM('Base de Datos'!R148),",",""),".",",")),"")))</f>
        <v>30.8</v>
      </c>
      <c r="AJ152" s="73" t="n">
        <f aca="false">IF(ISNUMBER(AK152),IF(ISNUMBER('Base de Datos'!Y148),IF('Base de Datos'!Y148&gt;20000,INT('Base de Datos'!Y148),""),IF(TRIM('Base de Datos'!Y148)="","",IFERROR(DATE(VALUE(RIGHT(TRIM('Base de Datos'!Y148),4)),VALUE(MID(TRIM('Base de Datos'!Y148),4,2)),VALUE(LEFT(TRIM('Base de Datos'!Y148),2))),IFERROR(DATEVALUE(TRIM('Base de Datos'!Y148)),"")))),"")</f>
        <v>45480</v>
      </c>
      <c r="AK152" s="74" t="n">
        <f aca="false">IF(ISNUMBER('Base de Datos'!Z148),'Base de Datos'!Z148,IF(TRIM('Base de Datos'!Z148)="","",IFERROR(IF(IFERROR(FIND("@",SUBSTITUTE(TRIM('Base de Datos'!Z148),",","@",LEN(TRIM('Base de Datos'!Z148))-LEN(SUBSTITUTE(TRIM('Base de Datos'!Z148),",","")))),0)&gt;IFERROR(FIND("@",SUBSTITUTE(TRIM('Base de Datos'!Z148),".","@",LEN(TRIM('Base de Datos'!Z148))-LEN(SUBSTITUTE(TRIM('Base de Datos'!Z148),".","")))),0),_xlfn.NUMBERVALUE(SUBSTITUTE(SUBSTITUTE(TRIM('Base de Datos'!Z148),".",""),",","."),".",","),_xlfn.NUMBERVALUE(SUBSTITUTE(TRIM('Base de Datos'!Z148),",",""),".",",")),"")))</f>
        <v>54953.11</v>
      </c>
    </row>
    <row r="153" customFormat="false" ht="13.5" hidden="false" customHeight="false" outlineLevel="0" collapsed="false">
      <c r="A153" s="75" t="n">
        <f aca="false">ROWS(A$13:A153)</f>
        <v>141</v>
      </c>
      <c r="B153" s="73" t="n">
        <f aca="false">IF(B152="","",IFERROR(SMALL($AH$10:$AH$409,COUNTIF($AH$10:$AH$409,"&lt;="&amp;B152)+1),""))</f>
        <v>45466</v>
      </c>
      <c r="C153" s="74" t="n">
        <f aca="false">IF(B153="","",INDEX($AI$10:$AI$409,MATCH(B153,$AH$10:$AH$409,0)))</f>
        <v>30.36</v>
      </c>
      <c r="D153" s="74" t="n">
        <f aca="false">IF(B153="","",IFERROR(INDEX($AK$10:$AK$409,MATCH(B153,$AJ$10:$AJ$409,0)),""))</f>
        <v>52440.02</v>
      </c>
      <c r="E153" s="76" t="n">
        <f aca="false">IF(AND(ISNUMBER(C153),ISNUMBER(C152)),C153/C152-1,"")</f>
        <v>0.0298507462686566</v>
      </c>
      <c r="F153" s="76" t="n">
        <f aca="false">IF(AND(ISNUMBER(D153),ISNUMBER(D152)),D153/D152-1,"")</f>
        <v>-0.00660143781316014</v>
      </c>
      <c r="G153" s="75" t="n">
        <f aca="false">IF(AND(ISNUMBER(E153),ISNUMBER(F153)),1,"")</f>
        <v>1</v>
      </c>
      <c r="H153" s="75" t="n">
        <f aca="false">IF(G153=1,COUNT(G153:G$412),"")</f>
        <v>119</v>
      </c>
      <c r="I153" s="75" t="n">
        <f aca="false">IF(G153=1,IF(H153&lt;='Beta Regresión'!$B$5,1,""),"")</f>
        <v>1</v>
      </c>
      <c r="J153" s="76" t="n">
        <f aca="false">IF(I153=1,E153,"")</f>
        <v>0.0298507462686566</v>
      </c>
      <c r="K153" s="76" t="n">
        <f aca="false">IF(I153=1,F153,"")</f>
        <v>-0.00660143781316014</v>
      </c>
      <c r="L153" s="75" t="n">
        <f aca="false">IF(I153=1,COUNT(I$13:I153),"")</f>
        <v>140</v>
      </c>
      <c r="M153" s="76" t="n">
        <f aca="false">IFERROR(INDEX($J$13:$J$412,MATCH(A153,$L$13:$L$412,0)),"")</f>
        <v>-0.0177865612648221</v>
      </c>
      <c r="N153" s="76" t="n">
        <f aca="false">IFERROR(INDEX($K$13:$K$412,MATCH(A153,$L$13:$L$412,0)),"")</f>
        <v>-0.00203775665989436</v>
      </c>
      <c r="O153" s="76" t="n">
        <f aca="false">IF(I153=1,E153,NA())</f>
        <v>0.0298507462686566</v>
      </c>
      <c r="P153" s="76" t="n">
        <f aca="false">IF(I153=1,F153,NA())</f>
        <v>-0.00660143781316014</v>
      </c>
      <c r="R153" s="75" t="n">
        <f aca="false">ROWS(R$13:R153)</f>
        <v>141</v>
      </c>
      <c r="S153" s="73" t="str">
        <f aca="false">IF(S152="","",IFERROR(SMALL($AD$10:$AD$509,COUNTIF($AD$10:$AD$509,"&lt;="&amp;S152)+1),""))</f>
        <v/>
      </c>
      <c r="T153" s="74" t="str">
        <f aca="false">IF(S153="","",INDEX($AE$10:$AE$509,MATCH(S153,$AD$10:$AD$509,0)))</f>
        <v/>
      </c>
      <c r="U153" s="74" t="str">
        <f aca="false">IF(S153="","",IFERROR(INDEX($AG$10:$AG$509,MATCH(S153,$AF$10:$AF$509,0)),""))</f>
        <v/>
      </c>
      <c r="V153" s="76" t="str">
        <f aca="false">IF(AND(ISNUMBER(T153),ISNUMBER(T152)),T153/T152-1,"")</f>
        <v/>
      </c>
      <c r="W153" s="76" t="str">
        <f aca="false">IF(AND(ISNUMBER(U153),ISNUMBER(U152)),U153/U152-1,"")</f>
        <v/>
      </c>
      <c r="X153" s="75" t="str">
        <f aca="false">IF(AND(ISNUMBER(V153),ISNUMBER(W153)),1,"")</f>
        <v/>
      </c>
      <c r="Y153" s="76" t="str">
        <f aca="false">IF(X153=1,V153,"")</f>
        <v/>
      </c>
      <c r="Z153" s="76" t="str">
        <f aca="false">IF(X153=1,W153,"")</f>
        <v/>
      </c>
      <c r="AA153" s="76" t="e">
        <f aca="false">IF(X153=1,V153,NA())</f>
        <v>#N/A</v>
      </c>
      <c r="AB153" s="76" t="e">
        <f aca="false">IF(X153=1,W153,NA())</f>
        <v>#N/A</v>
      </c>
      <c r="AD153" s="73" t="str">
        <f aca="false">IF(ISNUMBER(AE153),IF(ISNUMBER('Base de Datos'!A149),IF('Base de Datos'!A149&gt;20000,DATE(YEAR('Base de Datos'!A149),DAY('Base de Datos'!A149),MONTH('Base de Datos'!A149)),""),IF(TRIM('Base de Datos'!A149)="","",IFERROR(DATE(VALUE(RIGHT(TRIM('Base de Datos'!A149),4)),VALUE(LEFT(TRIM('Base de Datos'!A149),2)),VALUE(MID(TRIM('Base de Datos'!A149),4,2))),""))),"")</f>
        <v/>
      </c>
      <c r="AE153" s="74" t="str">
        <f aca="false">IF(ISNUMBER('Base de Datos'!B149),'Base de Datos'!B149,IF(TRIM('Base de Datos'!B149)="","",IFERROR(IF(IFERROR(FIND("@",SUBSTITUTE(TRIM('Base de Datos'!B149),",","@",LEN(TRIM('Base de Datos'!B149))-LEN(SUBSTITUTE(TRIM('Base de Datos'!B149),",","")))),0)&gt;IFERROR(FIND("@",SUBSTITUTE(TRIM('Base de Datos'!B149),".","@",LEN(TRIM('Base de Datos'!B149))-LEN(SUBSTITUTE(TRIM('Base de Datos'!B149),".","")))),0),_xlfn.NUMBERVALUE(SUBSTITUTE(SUBSTITUTE(TRIM('Base de Datos'!B149),".",""),",","."),".",","),_xlfn.NUMBERVALUE(SUBSTITUTE(TRIM('Base de Datos'!B149),",",""),".",",")),"")))</f>
        <v/>
      </c>
      <c r="AF153" s="73" t="str">
        <f aca="false">IF(ISNUMBER(AG153),IF(ISNUMBER('Base de Datos'!I149),IF('Base de Datos'!I149&gt;20000,INT('Base de Datos'!I149),""),IF(TRIM('Base de Datos'!I149)="","",IFERROR(DATE(VALUE(RIGHT(TRIM('Base de Datos'!I149),4)),VALUE(MID(TRIM('Base de Datos'!I149),4,2)),VALUE(LEFT(TRIM('Base de Datos'!I149),2))),IFERROR(DATEVALUE(TRIM('Base de Datos'!I149)),"")))),"")</f>
        <v/>
      </c>
      <c r="AG153" s="74" t="str">
        <f aca="false">IF(ISNUMBER('Base de Datos'!J149),'Base de Datos'!J149,IF(TRIM('Base de Datos'!J149)="","",IFERROR(IF(IFERROR(FIND("@",SUBSTITUTE(TRIM('Base de Datos'!J149),",","@",LEN(TRIM('Base de Datos'!J149))-LEN(SUBSTITUTE(TRIM('Base de Datos'!J149),",","")))),0)&gt;IFERROR(FIND("@",SUBSTITUTE(TRIM('Base de Datos'!J149),".","@",LEN(TRIM('Base de Datos'!J149))-LEN(SUBSTITUTE(TRIM('Base de Datos'!J149),".","")))),0),_xlfn.NUMBERVALUE(SUBSTITUTE(SUBSTITUTE(TRIM('Base de Datos'!J149),".",""),",","."),".",","),_xlfn.NUMBERVALUE(SUBSTITUTE(TRIM('Base de Datos'!J149),",",""),".",",")),"")))</f>
        <v/>
      </c>
      <c r="AH153" s="73" t="n">
        <f aca="false">IF(ISNUMBER(AI153),IF(ISNUMBER('Base de Datos'!Q149),IF('Base de Datos'!Q149&gt;20000,DATE(YEAR('Base de Datos'!Q149),DAY('Base de Datos'!Q149),MONTH('Base de Datos'!Q149)),""),IF(TRIM('Base de Datos'!Q149)="","",IFERROR(DATE(VALUE(RIGHT(TRIM('Base de Datos'!Q149),4)),VALUE(LEFT(TRIM('Base de Datos'!Q149),2)),VALUE(MID(TRIM('Base de Datos'!Q149),4,2))),""))),"")</f>
        <v>45487</v>
      </c>
      <c r="AI153" s="74" t="n">
        <f aca="false">IF(ISNUMBER('Base de Datos'!R149),'Base de Datos'!R149,IF(TRIM('Base de Datos'!R149)="","",IFERROR(IF(IFERROR(FIND("@",SUBSTITUTE(TRIM('Base de Datos'!R149),",","@",LEN(TRIM('Base de Datos'!R149))-LEN(SUBSTITUTE(TRIM('Base de Datos'!R149),",","")))),0)&gt;IFERROR(FIND("@",SUBSTITUTE(TRIM('Base de Datos'!R149),".","@",LEN(TRIM('Base de Datos'!R149))-LEN(SUBSTITUTE(TRIM('Base de Datos'!R149),".","")))),0),_xlfn.NUMBERVALUE(SUBSTITUTE(SUBSTITUTE(TRIM('Base de Datos'!R149),".",""),",","."),".",","),_xlfn.NUMBERVALUE(SUBSTITUTE(TRIM('Base de Datos'!R149),",",""),".",",")),"")))</f>
        <v>30.79</v>
      </c>
      <c r="AJ153" s="73" t="n">
        <f aca="false">IF(ISNUMBER(AK153),IF(ISNUMBER('Base de Datos'!Y149),IF('Base de Datos'!Y149&gt;20000,INT('Base de Datos'!Y149),""),IF(TRIM('Base de Datos'!Y149)="","",IFERROR(DATE(VALUE(RIGHT(TRIM('Base de Datos'!Y149),4)),VALUE(MID(TRIM('Base de Datos'!Y149),4,2)),VALUE(LEFT(TRIM('Base de Datos'!Y149),2))),IFERROR(DATEVALUE(TRIM('Base de Datos'!Y149)),"")))),"")</f>
        <v>45487</v>
      </c>
      <c r="AK153" s="74" t="n">
        <f aca="false">IF(ISNUMBER('Base de Datos'!Z149),'Base de Datos'!Z149,IF(TRIM('Base de Datos'!Z149)="","",IFERROR(IF(IFERROR(FIND("@",SUBSTITUTE(TRIM('Base de Datos'!Z149),",","@",LEN(TRIM('Base de Datos'!Z149))-LEN(SUBSTITUTE(TRIM('Base de Datos'!Z149),",","")))),0)&gt;IFERROR(FIND("@",SUBSTITUTE(TRIM('Base de Datos'!Z149),".","@",LEN(TRIM('Base de Datos'!Z149))-LEN(SUBSTITUTE(TRIM('Base de Datos'!Z149),".","")))),0),_xlfn.NUMBERVALUE(SUBSTITUTE(SUBSTITUTE(TRIM('Base de Datos'!Z149),".",""),",","."),".",","),_xlfn.NUMBERVALUE(SUBSTITUTE(TRIM('Base de Datos'!Z149),",",""),".",",")),"")))</f>
        <v>53678.52</v>
      </c>
    </row>
    <row r="154" customFormat="false" ht="13.5" hidden="false" customHeight="false" outlineLevel="0" collapsed="false">
      <c r="A154" s="75" t="n">
        <f aca="false">ROWS(A$13:A154)</f>
        <v>142</v>
      </c>
      <c r="B154" s="73" t="n">
        <f aca="false">IF(B153="","",IFERROR(SMALL($AH$10:$AH$409,COUNTIF($AH$10:$AH$409,"&lt;="&amp;B153)+1),""))</f>
        <v>45473</v>
      </c>
      <c r="C154" s="74" t="n">
        <f aca="false">IF(B154="","",INDEX($AI$10:$AI$409,MATCH(B154,$AH$10:$AH$409,0)))</f>
        <v>29.82</v>
      </c>
      <c r="D154" s="74" t="n">
        <f aca="false">IF(B154="","",IFERROR(INDEX($AK$10:$AK$409,MATCH(B154,$AJ$10:$AJ$409,0)),""))</f>
        <v>52333.16</v>
      </c>
      <c r="E154" s="76" t="n">
        <f aca="false">IF(AND(ISNUMBER(C154),ISNUMBER(C153)),C154/C153-1,"")</f>
        <v>-0.0177865612648221</v>
      </c>
      <c r="F154" s="76" t="n">
        <f aca="false">IF(AND(ISNUMBER(D154),ISNUMBER(D153)),D154/D153-1,"")</f>
        <v>-0.00203775665989436</v>
      </c>
      <c r="G154" s="75" t="n">
        <f aca="false">IF(AND(ISNUMBER(E154),ISNUMBER(F154)),1,"")</f>
        <v>1</v>
      </c>
      <c r="H154" s="75" t="n">
        <f aca="false">IF(G154=1,COUNT(G154:G$412),"")</f>
        <v>118</v>
      </c>
      <c r="I154" s="75" t="n">
        <f aca="false">IF(G154=1,IF(H154&lt;='Beta Regresión'!$B$5,1,""),"")</f>
        <v>1</v>
      </c>
      <c r="J154" s="76" t="n">
        <f aca="false">IF(I154=1,E154,"")</f>
        <v>-0.0177865612648221</v>
      </c>
      <c r="K154" s="76" t="n">
        <f aca="false">IF(I154=1,F154,"")</f>
        <v>-0.00203775665989436</v>
      </c>
      <c r="L154" s="75" t="n">
        <f aca="false">IF(I154=1,COUNT(I$13:I154),"")</f>
        <v>141</v>
      </c>
      <c r="M154" s="76" t="n">
        <f aca="false">IFERROR(INDEX($J$13:$J$412,MATCH(A154,$L$13:$L$412,0)),"")</f>
        <v>0.0328638497652582</v>
      </c>
      <c r="N154" s="76" t="n">
        <f aca="false">IFERROR(INDEX($K$13:$K$412,MATCH(A154,$L$13:$L$412,0)),"")</f>
        <v>0.0500629046669454</v>
      </c>
      <c r="O154" s="76" t="n">
        <f aca="false">IF(I154=1,E154,NA())</f>
        <v>-0.0177865612648221</v>
      </c>
      <c r="P154" s="76" t="n">
        <f aca="false">IF(I154=1,F154,NA())</f>
        <v>-0.00203775665989436</v>
      </c>
      <c r="R154" s="75" t="n">
        <f aca="false">ROWS(R$13:R154)</f>
        <v>142</v>
      </c>
      <c r="S154" s="73" t="str">
        <f aca="false">IF(S153="","",IFERROR(SMALL($AD$10:$AD$509,COUNTIF($AD$10:$AD$509,"&lt;="&amp;S153)+1),""))</f>
        <v/>
      </c>
      <c r="T154" s="74" t="str">
        <f aca="false">IF(S154="","",INDEX($AE$10:$AE$509,MATCH(S154,$AD$10:$AD$509,0)))</f>
        <v/>
      </c>
      <c r="U154" s="74" t="str">
        <f aca="false">IF(S154="","",IFERROR(INDEX($AG$10:$AG$509,MATCH(S154,$AF$10:$AF$509,0)),""))</f>
        <v/>
      </c>
      <c r="V154" s="76" t="str">
        <f aca="false">IF(AND(ISNUMBER(T154),ISNUMBER(T153)),T154/T153-1,"")</f>
        <v/>
      </c>
      <c r="W154" s="76" t="str">
        <f aca="false">IF(AND(ISNUMBER(U154),ISNUMBER(U153)),U154/U153-1,"")</f>
        <v/>
      </c>
      <c r="X154" s="75" t="str">
        <f aca="false">IF(AND(ISNUMBER(V154),ISNUMBER(W154)),1,"")</f>
        <v/>
      </c>
      <c r="Y154" s="76" t="str">
        <f aca="false">IF(X154=1,V154,"")</f>
        <v/>
      </c>
      <c r="Z154" s="76" t="str">
        <f aca="false">IF(X154=1,W154,"")</f>
        <v/>
      </c>
      <c r="AA154" s="76" t="e">
        <f aca="false">IF(X154=1,V154,NA())</f>
        <v>#N/A</v>
      </c>
      <c r="AB154" s="76" t="e">
        <f aca="false">IF(X154=1,W154,NA())</f>
        <v>#N/A</v>
      </c>
      <c r="AD154" s="73" t="str">
        <f aca="false">IF(ISNUMBER(AE154),IF(ISNUMBER('Base de Datos'!A150),IF('Base de Datos'!A150&gt;20000,DATE(YEAR('Base de Datos'!A150),DAY('Base de Datos'!A150),MONTH('Base de Datos'!A150)),""),IF(TRIM('Base de Datos'!A150)="","",IFERROR(DATE(VALUE(RIGHT(TRIM('Base de Datos'!A150),4)),VALUE(LEFT(TRIM('Base de Datos'!A150),2)),VALUE(MID(TRIM('Base de Datos'!A150),4,2))),""))),"")</f>
        <v/>
      </c>
      <c r="AE154" s="74" t="str">
        <f aca="false">IF(ISNUMBER('Base de Datos'!B150),'Base de Datos'!B150,IF(TRIM('Base de Datos'!B150)="","",IFERROR(IF(IFERROR(FIND("@",SUBSTITUTE(TRIM('Base de Datos'!B150),",","@",LEN(TRIM('Base de Datos'!B150))-LEN(SUBSTITUTE(TRIM('Base de Datos'!B150),",","")))),0)&gt;IFERROR(FIND("@",SUBSTITUTE(TRIM('Base de Datos'!B150),".","@",LEN(TRIM('Base de Datos'!B150))-LEN(SUBSTITUTE(TRIM('Base de Datos'!B150),".","")))),0),_xlfn.NUMBERVALUE(SUBSTITUTE(SUBSTITUTE(TRIM('Base de Datos'!B150),".",""),",","."),".",","),_xlfn.NUMBERVALUE(SUBSTITUTE(TRIM('Base de Datos'!B150),",",""),".",",")),"")))</f>
        <v/>
      </c>
      <c r="AF154" s="73" t="str">
        <f aca="false">IF(ISNUMBER(AG154),IF(ISNUMBER('Base de Datos'!I150),IF('Base de Datos'!I150&gt;20000,INT('Base de Datos'!I150),""),IF(TRIM('Base de Datos'!I150)="","",IFERROR(DATE(VALUE(RIGHT(TRIM('Base de Datos'!I150),4)),VALUE(MID(TRIM('Base de Datos'!I150),4,2)),VALUE(LEFT(TRIM('Base de Datos'!I150),2))),IFERROR(DATEVALUE(TRIM('Base de Datos'!I150)),"")))),"")</f>
        <v/>
      </c>
      <c r="AG154" s="74" t="str">
        <f aca="false">IF(ISNUMBER('Base de Datos'!J150),'Base de Datos'!J150,IF(TRIM('Base de Datos'!J150)="","",IFERROR(IF(IFERROR(FIND("@",SUBSTITUTE(TRIM('Base de Datos'!J150),",","@",LEN(TRIM('Base de Datos'!J150))-LEN(SUBSTITUTE(TRIM('Base de Datos'!J150),",","")))),0)&gt;IFERROR(FIND("@",SUBSTITUTE(TRIM('Base de Datos'!J150),".","@",LEN(TRIM('Base de Datos'!J150))-LEN(SUBSTITUTE(TRIM('Base de Datos'!J150),".","")))),0),_xlfn.NUMBERVALUE(SUBSTITUTE(SUBSTITUTE(TRIM('Base de Datos'!J150),".",""),",","."),".",","),_xlfn.NUMBERVALUE(SUBSTITUTE(TRIM('Base de Datos'!J150),",",""),".",",")),"")))</f>
        <v/>
      </c>
      <c r="AH154" s="73" t="n">
        <f aca="false">IF(ISNUMBER(AI154),IF(ISNUMBER('Base de Datos'!Q150),IF('Base de Datos'!Q150&gt;20000,DATE(YEAR('Base de Datos'!Q150),DAY('Base de Datos'!Q150),MONTH('Base de Datos'!Q150)),""),IF(TRIM('Base de Datos'!Q150)="","",IFERROR(DATE(VALUE(RIGHT(TRIM('Base de Datos'!Q150),4)),VALUE(LEFT(TRIM('Base de Datos'!Q150),2)),VALUE(MID(TRIM('Base de Datos'!Q150),4,2))),""))),"")</f>
        <v>45494</v>
      </c>
      <c r="AI154" s="74" t="n">
        <f aca="false">IF(ISNUMBER('Base de Datos'!R150),'Base de Datos'!R150,IF(TRIM('Base de Datos'!R150)="","",IFERROR(IF(IFERROR(FIND("@",SUBSTITUTE(TRIM('Base de Datos'!R150),",","@",LEN(TRIM('Base de Datos'!R150))-LEN(SUBSTITUTE(TRIM('Base de Datos'!R150),",","")))),0)&gt;IFERROR(FIND("@",SUBSTITUTE(TRIM('Base de Datos'!R150),".","@",LEN(TRIM('Base de Datos'!R150))-LEN(SUBSTITUTE(TRIM('Base de Datos'!R150),".","")))),0),_xlfn.NUMBERVALUE(SUBSTITUTE(SUBSTITUTE(TRIM('Base de Datos'!R150),".",""),",","."),".",","),_xlfn.NUMBERVALUE(SUBSTITUTE(TRIM('Base de Datos'!R150),",",""),".",",")),"")))</f>
        <v>29.39</v>
      </c>
      <c r="AJ154" s="73" t="n">
        <f aca="false">IF(ISNUMBER(AK154),IF(ISNUMBER('Base de Datos'!Y150),IF('Base de Datos'!Y150&gt;20000,INT('Base de Datos'!Y150),""),IF(TRIM('Base de Datos'!Y150)="","",IFERROR(DATE(VALUE(RIGHT(TRIM('Base de Datos'!Y150),4)),VALUE(MID(TRIM('Base de Datos'!Y150),4,2)),VALUE(LEFT(TRIM('Base de Datos'!Y150),2))),IFERROR(DATEVALUE(TRIM('Base de Datos'!Y150)),"")))),"")</f>
        <v>45494</v>
      </c>
      <c r="AK154" s="74" t="n">
        <f aca="false">IF(ISNUMBER('Base de Datos'!Z150),'Base de Datos'!Z150,IF(TRIM('Base de Datos'!Z150)="","",IFERROR(IF(IFERROR(FIND("@",SUBSTITUTE(TRIM('Base de Datos'!Z150),",","@",LEN(TRIM('Base de Datos'!Z150))-LEN(SUBSTITUTE(TRIM('Base de Datos'!Z150),",","")))),0)&gt;IFERROR(FIND("@",SUBSTITUTE(TRIM('Base de Datos'!Z150),".","@",LEN(TRIM('Base de Datos'!Z150))-LEN(SUBSTITUTE(TRIM('Base de Datos'!Z150),".","")))),0),_xlfn.NUMBERVALUE(SUBSTITUTE(SUBSTITUTE(TRIM('Base de Datos'!Z150),".",""),",","."),".",","),_xlfn.NUMBERVALUE(SUBSTITUTE(TRIM('Base de Datos'!Z150),",",""),".",",")),"")))</f>
        <v>52819.58</v>
      </c>
    </row>
    <row r="155" customFormat="false" ht="13.5" hidden="false" customHeight="false" outlineLevel="0" collapsed="false">
      <c r="A155" s="75" t="n">
        <f aca="false">ROWS(A$13:A155)</f>
        <v>143</v>
      </c>
      <c r="B155" s="73" t="n">
        <f aca="false">IF(B154="","",IFERROR(SMALL($AH$10:$AH$409,COUNTIF($AH$10:$AH$409,"&lt;="&amp;B154)+1),""))</f>
        <v>45480</v>
      </c>
      <c r="C155" s="74" t="n">
        <f aca="false">IF(B155="","",INDEX($AI$10:$AI$409,MATCH(B155,$AH$10:$AH$409,0)))</f>
        <v>30.8</v>
      </c>
      <c r="D155" s="74" t="n">
        <f aca="false">IF(B155="","",IFERROR(INDEX($AK$10:$AK$409,MATCH(B155,$AJ$10:$AJ$409,0)),""))</f>
        <v>54953.11</v>
      </c>
      <c r="E155" s="76" t="n">
        <f aca="false">IF(AND(ISNUMBER(C155),ISNUMBER(C154)),C155/C154-1,"")</f>
        <v>0.0328638497652582</v>
      </c>
      <c r="F155" s="76" t="n">
        <f aca="false">IF(AND(ISNUMBER(D155),ISNUMBER(D154)),D155/D154-1,"")</f>
        <v>0.0500629046669454</v>
      </c>
      <c r="G155" s="75" t="n">
        <f aca="false">IF(AND(ISNUMBER(E155),ISNUMBER(F155)),1,"")</f>
        <v>1</v>
      </c>
      <c r="H155" s="75" t="n">
        <f aca="false">IF(G155=1,COUNT(G155:G$412),"")</f>
        <v>117</v>
      </c>
      <c r="I155" s="75" t="n">
        <f aca="false">IF(G155=1,IF(H155&lt;='Beta Regresión'!$B$5,1,""),"")</f>
        <v>1</v>
      </c>
      <c r="J155" s="76" t="n">
        <f aca="false">IF(I155=1,E155,"")</f>
        <v>0.0328638497652582</v>
      </c>
      <c r="K155" s="76" t="n">
        <f aca="false">IF(I155=1,F155,"")</f>
        <v>0.0500629046669454</v>
      </c>
      <c r="L155" s="75" t="n">
        <f aca="false">IF(I155=1,COUNT(I$13:I155),"")</f>
        <v>142</v>
      </c>
      <c r="M155" s="76" t="n">
        <f aca="false">IFERROR(INDEX($J$13:$J$412,MATCH(A155,$L$13:$L$412,0)),"")</f>
        <v>-0.000324675324675394</v>
      </c>
      <c r="N155" s="76" t="n">
        <f aca="false">IFERROR(INDEX($K$13:$K$412,MATCH(A155,$L$13:$L$412,0)),"")</f>
        <v>-0.023194137693026</v>
      </c>
      <c r="O155" s="76" t="n">
        <f aca="false">IF(I155=1,E155,NA())</f>
        <v>0.0328638497652582</v>
      </c>
      <c r="P155" s="76" t="n">
        <f aca="false">IF(I155=1,F155,NA())</f>
        <v>0.0500629046669454</v>
      </c>
      <c r="R155" s="75" t="n">
        <f aca="false">ROWS(R$13:R155)</f>
        <v>143</v>
      </c>
      <c r="S155" s="73" t="str">
        <f aca="false">IF(S154="","",IFERROR(SMALL($AD$10:$AD$509,COUNTIF($AD$10:$AD$509,"&lt;="&amp;S154)+1),""))</f>
        <v/>
      </c>
      <c r="T155" s="74" t="str">
        <f aca="false">IF(S155="","",INDEX($AE$10:$AE$509,MATCH(S155,$AD$10:$AD$509,0)))</f>
        <v/>
      </c>
      <c r="U155" s="74" t="str">
        <f aca="false">IF(S155="","",IFERROR(INDEX($AG$10:$AG$509,MATCH(S155,$AF$10:$AF$509,0)),""))</f>
        <v/>
      </c>
      <c r="V155" s="76" t="str">
        <f aca="false">IF(AND(ISNUMBER(T155),ISNUMBER(T154)),T155/T154-1,"")</f>
        <v/>
      </c>
      <c r="W155" s="76" t="str">
        <f aca="false">IF(AND(ISNUMBER(U155),ISNUMBER(U154)),U155/U154-1,"")</f>
        <v/>
      </c>
      <c r="X155" s="75" t="str">
        <f aca="false">IF(AND(ISNUMBER(V155),ISNUMBER(W155)),1,"")</f>
        <v/>
      </c>
      <c r="Y155" s="76" t="str">
        <f aca="false">IF(X155=1,V155,"")</f>
        <v/>
      </c>
      <c r="Z155" s="76" t="str">
        <f aca="false">IF(X155=1,W155,"")</f>
        <v/>
      </c>
      <c r="AA155" s="76" t="e">
        <f aca="false">IF(X155=1,V155,NA())</f>
        <v>#N/A</v>
      </c>
      <c r="AB155" s="76" t="e">
        <f aca="false">IF(X155=1,W155,NA())</f>
        <v>#N/A</v>
      </c>
      <c r="AD155" s="73" t="str">
        <f aca="false">IF(ISNUMBER(AE155),IF(ISNUMBER('Base de Datos'!A151),IF('Base de Datos'!A151&gt;20000,DATE(YEAR('Base de Datos'!A151),DAY('Base de Datos'!A151),MONTH('Base de Datos'!A151)),""),IF(TRIM('Base de Datos'!A151)="","",IFERROR(DATE(VALUE(RIGHT(TRIM('Base de Datos'!A151),4)),VALUE(LEFT(TRIM('Base de Datos'!A151),2)),VALUE(MID(TRIM('Base de Datos'!A151),4,2))),""))),"")</f>
        <v/>
      </c>
      <c r="AE155" s="74" t="str">
        <f aca="false">IF(ISNUMBER('Base de Datos'!B151),'Base de Datos'!B151,IF(TRIM('Base de Datos'!B151)="","",IFERROR(IF(IFERROR(FIND("@",SUBSTITUTE(TRIM('Base de Datos'!B151),",","@",LEN(TRIM('Base de Datos'!B151))-LEN(SUBSTITUTE(TRIM('Base de Datos'!B151),",","")))),0)&gt;IFERROR(FIND("@",SUBSTITUTE(TRIM('Base de Datos'!B151),".","@",LEN(TRIM('Base de Datos'!B151))-LEN(SUBSTITUTE(TRIM('Base de Datos'!B151),".","")))),0),_xlfn.NUMBERVALUE(SUBSTITUTE(SUBSTITUTE(TRIM('Base de Datos'!B151),".",""),",","."),".",","),_xlfn.NUMBERVALUE(SUBSTITUTE(TRIM('Base de Datos'!B151),",",""),".",",")),"")))</f>
        <v/>
      </c>
      <c r="AF155" s="73" t="str">
        <f aca="false">IF(ISNUMBER(AG155),IF(ISNUMBER('Base de Datos'!I151),IF('Base de Datos'!I151&gt;20000,INT('Base de Datos'!I151),""),IF(TRIM('Base de Datos'!I151)="","",IFERROR(DATE(VALUE(RIGHT(TRIM('Base de Datos'!I151),4)),VALUE(MID(TRIM('Base de Datos'!I151),4,2)),VALUE(LEFT(TRIM('Base de Datos'!I151),2))),IFERROR(DATEVALUE(TRIM('Base de Datos'!I151)),"")))),"")</f>
        <v/>
      </c>
      <c r="AG155" s="74" t="str">
        <f aca="false">IF(ISNUMBER('Base de Datos'!J151),'Base de Datos'!J151,IF(TRIM('Base de Datos'!J151)="","",IFERROR(IF(IFERROR(FIND("@",SUBSTITUTE(TRIM('Base de Datos'!J151),",","@",LEN(TRIM('Base de Datos'!J151))-LEN(SUBSTITUTE(TRIM('Base de Datos'!J151),",","")))),0)&gt;IFERROR(FIND("@",SUBSTITUTE(TRIM('Base de Datos'!J151),".","@",LEN(TRIM('Base de Datos'!J151))-LEN(SUBSTITUTE(TRIM('Base de Datos'!J151),".","")))),0),_xlfn.NUMBERVALUE(SUBSTITUTE(SUBSTITUTE(TRIM('Base de Datos'!J151),".",""),",","."),".",","),_xlfn.NUMBERVALUE(SUBSTITUTE(TRIM('Base de Datos'!J151),",",""),".",",")),"")))</f>
        <v/>
      </c>
      <c r="AH155" s="73" t="n">
        <f aca="false">IF(ISNUMBER(AI155),IF(ISNUMBER('Base de Datos'!Q151),IF('Base de Datos'!Q151&gt;20000,DATE(YEAR('Base de Datos'!Q151),DAY('Base de Datos'!Q151),MONTH('Base de Datos'!Q151)),""),IF(TRIM('Base de Datos'!Q151)="","",IFERROR(DATE(VALUE(RIGHT(TRIM('Base de Datos'!Q151),4)),VALUE(LEFT(TRIM('Base de Datos'!Q151),2)),VALUE(MID(TRIM('Base de Datos'!Q151),4,2))),""))),"")</f>
        <v>45501</v>
      </c>
      <c r="AI155" s="74" t="n">
        <f aca="false">IF(ISNUMBER('Base de Datos'!R151),'Base de Datos'!R151,IF(TRIM('Base de Datos'!R151)="","",IFERROR(IF(IFERROR(FIND("@",SUBSTITUTE(TRIM('Base de Datos'!R151),",","@",LEN(TRIM('Base de Datos'!R151))-LEN(SUBSTITUTE(TRIM('Base de Datos'!R151),",","")))),0)&gt;IFERROR(FIND("@",SUBSTITUTE(TRIM('Base de Datos'!R151),".","@",LEN(TRIM('Base de Datos'!R151))-LEN(SUBSTITUTE(TRIM('Base de Datos'!R151),".","")))),0),_xlfn.NUMBERVALUE(SUBSTITUTE(SUBSTITUTE(TRIM('Base de Datos'!R151),".",""),",","."),".",","),_xlfn.NUMBERVALUE(SUBSTITUTE(TRIM('Base de Datos'!R151),",",""),".",",")),"")))</f>
        <v>31.19</v>
      </c>
      <c r="AJ155" s="73" t="n">
        <f aca="false">IF(ISNUMBER(AK155),IF(ISNUMBER('Base de Datos'!Y151),IF('Base de Datos'!Y151&gt;20000,INT('Base de Datos'!Y151),""),IF(TRIM('Base de Datos'!Y151)="","",IFERROR(DATE(VALUE(RIGHT(TRIM('Base de Datos'!Y151),4)),VALUE(MID(TRIM('Base de Datos'!Y151),4,2)),VALUE(LEFT(TRIM('Base de Datos'!Y151),2))),IFERROR(DATEVALUE(TRIM('Base de Datos'!Y151)),"")))),"")</f>
        <v>45501</v>
      </c>
      <c r="AK155" s="74" t="n">
        <f aca="false">IF(ISNUMBER('Base de Datos'!Z151),'Base de Datos'!Z151,IF(TRIM('Base de Datos'!Z151)="","",IFERROR(IF(IFERROR(FIND("@",SUBSTITUTE(TRIM('Base de Datos'!Z151),",","@",LEN(TRIM('Base de Datos'!Z151))-LEN(SUBSTITUTE(TRIM('Base de Datos'!Z151),",","")))),0)&gt;IFERROR(FIND("@",SUBSTITUTE(TRIM('Base de Datos'!Z151),".","@",LEN(TRIM('Base de Datos'!Z151))-LEN(SUBSTITUTE(TRIM('Base de Datos'!Z151),".","")))),0),_xlfn.NUMBERVALUE(SUBSTITUTE(SUBSTITUTE(TRIM('Base de Datos'!Z151),".",""),",","."),".",","),_xlfn.NUMBERVALUE(SUBSTITUTE(TRIM('Base de Datos'!Z151),",",""),".",",")),"")))</f>
        <v>52242.38</v>
      </c>
    </row>
    <row r="156" customFormat="false" ht="13.5" hidden="false" customHeight="false" outlineLevel="0" collapsed="false">
      <c r="A156" s="75" t="n">
        <f aca="false">ROWS(A$13:A156)</f>
        <v>144</v>
      </c>
      <c r="B156" s="73" t="n">
        <f aca="false">IF(B155="","",IFERROR(SMALL($AH$10:$AH$409,COUNTIF($AH$10:$AH$409,"&lt;="&amp;B155)+1),""))</f>
        <v>45487</v>
      </c>
      <c r="C156" s="74" t="n">
        <f aca="false">IF(B156="","",INDEX($AI$10:$AI$409,MATCH(B156,$AH$10:$AH$409,0)))</f>
        <v>30.79</v>
      </c>
      <c r="D156" s="74" t="n">
        <f aca="false">IF(B156="","",IFERROR(INDEX($AK$10:$AK$409,MATCH(B156,$AJ$10:$AJ$409,0)),""))</f>
        <v>53678.52</v>
      </c>
      <c r="E156" s="76" t="n">
        <f aca="false">IF(AND(ISNUMBER(C156),ISNUMBER(C155)),C156/C155-1,"")</f>
        <v>-0.000324675324675394</v>
      </c>
      <c r="F156" s="76" t="n">
        <f aca="false">IF(AND(ISNUMBER(D156),ISNUMBER(D155)),D156/D155-1,"")</f>
        <v>-0.023194137693026</v>
      </c>
      <c r="G156" s="75" t="n">
        <f aca="false">IF(AND(ISNUMBER(E156),ISNUMBER(F156)),1,"")</f>
        <v>1</v>
      </c>
      <c r="H156" s="75" t="n">
        <f aca="false">IF(G156=1,COUNT(G156:G$412),"")</f>
        <v>116</v>
      </c>
      <c r="I156" s="75" t="n">
        <f aca="false">IF(G156=1,IF(H156&lt;='Beta Regresión'!$B$5,1,""),"")</f>
        <v>1</v>
      </c>
      <c r="J156" s="76" t="n">
        <f aca="false">IF(I156=1,E156,"")</f>
        <v>-0.000324675324675394</v>
      </c>
      <c r="K156" s="76" t="n">
        <f aca="false">IF(I156=1,F156,"")</f>
        <v>-0.023194137693026</v>
      </c>
      <c r="L156" s="75" t="n">
        <f aca="false">IF(I156=1,COUNT(I$13:I156),"")</f>
        <v>143</v>
      </c>
      <c r="M156" s="76" t="n">
        <f aca="false">IFERROR(INDEX($J$13:$J$412,MATCH(A156,$L$13:$L$412,0)),"")</f>
        <v>-0.0454693082169535</v>
      </c>
      <c r="N156" s="76" t="n">
        <f aca="false">IFERROR(INDEX($K$13:$K$412,MATCH(A156,$L$13:$L$412,0)),"")</f>
        <v>-0.0160015589103425</v>
      </c>
      <c r="O156" s="76" t="n">
        <f aca="false">IF(I156=1,E156,NA())</f>
        <v>-0.000324675324675394</v>
      </c>
      <c r="P156" s="76" t="n">
        <f aca="false">IF(I156=1,F156,NA())</f>
        <v>-0.023194137693026</v>
      </c>
      <c r="R156" s="75" t="n">
        <f aca="false">ROWS(R$13:R156)</f>
        <v>144</v>
      </c>
      <c r="S156" s="73" t="str">
        <f aca="false">IF(S155="","",IFERROR(SMALL($AD$10:$AD$509,COUNTIF($AD$10:$AD$509,"&lt;="&amp;S155)+1),""))</f>
        <v/>
      </c>
      <c r="T156" s="74" t="str">
        <f aca="false">IF(S156="","",INDEX($AE$10:$AE$509,MATCH(S156,$AD$10:$AD$509,0)))</f>
        <v/>
      </c>
      <c r="U156" s="74" t="str">
        <f aca="false">IF(S156="","",IFERROR(INDEX($AG$10:$AG$509,MATCH(S156,$AF$10:$AF$509,0)),""))</f>
        <v/>
      </c>
      <c r="V156" s="76" t="str">
        <f aca="false">IF(AND(ISNUMBER(T156),ISNUMBER(T155)),T156/T155-1,"")</f>
        <v/>
      </c>
      <c r="W156" s="76" t="str">
        <f aca="false">IF(AND(ISNUMBER(U156),ISNUMBER(U155)),U156/U155-1,"")</f>
        <v/>
      </c>
      <c r="X156" s="75" t="str">
        <f aca="false">IF(AND(ISNUMBER(V156),ISNUMBER(W156)),1,"")</f>
        <v/>
      </c>
      <c r="Y156" s="76" t="str">
        <f aca="false">IF(X156=1,V156,"")</f>
        <v/>
      </c>
      <c r="Z156" s="76" t="str">
        <f aca="false">IF(X156=1,W156,"")</f>
        <v/>
      </c>
      <c r="AA156" s="76" t="e">
        <f aca="false">IF(X156=1,V156,NA())</f>
        <v>#N/A</v>
      </c>
      <c r="AB156" s="76" t="e">
        <f aca="false">IF(X156=1,W156,NA())</f>
        <v>#N/A</v>
      </c>
      <c r="AD156" s="73" t="str">
        <f aca="false">IF(ISNUMBER(AE156),IF(ISNUMBER('Base de Datos'!A152),IF('Base de Datos'!A152&gt;20000,DATE(YEAR('Base de Datos'!A152),DAY('Base de Datos'!A152),MONTH('Base de Datos'!A152)),""),IF(TRIM('Base de Datos'!A152)="","",IFERROR(DATE(VALUE(RIGHT(TRIM('Base de Datos'!A152),4)),VALUE(LEFT(TRIM('Base de Datos'!A152),2)),VALUE(MID(TRIM('Base de Datos'!A152),4,2))),""))),"")</f>
        <v/>
      </c>
      <c r="AE156" s="74" t="str">
        <f aca="false">IF(ISNUMBER('Base de Datos'!B152),'Base de Datos'!B152,IF(TRIM('Base de Datos'!B152)="","",IFERROR(IF(IFERROR(FIND("@",SUBSTITUTE(TRIM('Base de Datos'!B152),",","@",LEN(TRIM('Base de Datos'!B152))-LEN(SUBSTITUTE(TRIM('Base de Datos'!B152),",","")))),0)&gt;IFERROR(FIND("@",SUBSTITUTE(TRIM('Base de Datos'!B152),".","@",LEN(TRIM('Base de Datos'!B152))-LEN(SUBSTITUTE(TRIM('Base de Datos'!B152),".","")))),0),_xlfn.NUMBERVALUE(SUBSTITUTE(SUBSTITUTE(TRIM('Base de Datos'!B152),".",""),",","."),".",","),_xlfn.NUMBERVALUE(SUBSTITUTE(TRIM('Base de Datos'!B152),",",""),".",",")),"")))</f>
        <v/>
      </c>
      <c r="AF156" s="73" t="str">
        <f aca="false">IF(ISNUMBER(AG156),IF(ISNUMBER('Base de Datos'!I152),IF('Base de Datos'!I152&gt;20000,INT('Base de Datos'!I152),""),IF(TRIM('Base de Datos'!I152)="","",IFERROR(DATE(VALUE(RIGHT(TRIM('Base de Datos'!I152),4)),VALUE(MID(TRIM('Base de Datos'!I152),4,2)),VALUE(LEFT(TRIM('Base de Datos'!I152),2))),IFERROR(DATEVALUE(TRIM('Base de Datos'!I152)),"")))),"")</f>
        <v/>
      </c>
      <c r="AG156" s="74" t="str">
        <f aca="false">IF(ISNUMBER('Base de Datos'!J152),'Base de Datos'!J152,IF(TRIM('Base de Datos'!J152)="","",IFERROR(IF(IFERROR(FIND("@",SUBSTITUTE(TRIM('Base de Datos'!J152),",","@",LEN(TRIM('Base de Datos'!J152))-LEN(SUBSTITUTE(TRIM('Base de Datos'!J152),",","")))),0)&gt;IFERROR(FIND("@",SUBSTITUTE(TRIM('Base de Datos'!J152),".","@",LEN(TRIM('Base de Datos'!J152))-LEN(SUBSTITUTE(TRIM('Base de Datos'!J152),".","")))),0),_xlfn.NUMBERVALUE(SUBSTITUTE(SUBSTITUTE(TRIM('Base de Datos'!J152),".",""),",","."),".",","),_xlfn.NUMBERVALUE(SUBSTITUTE(TRIM('Base de Datos'!J152),",",""),".",",")),"")))</f>
        <v/>
      </c>
      <c r="AH156" s="73" t="n">
        <f aca="false">IF(ISNUMBER(AI156),IF(ISNUMBER('Base de Datos'!Q152),IF('Base de Datos'!Q152&gt;20000,DATE(YEAR('Base de Datos'!Q152),DAY('Base de Datos'!Q152),MONTH('Base de Datos'!Q152)),""),IF(TRIM('Base de Datos'!Q152)="","",IFERROR(DATE(VALUE(RIGHT(TRIM('Base de Datos'!Q152),4)),VALUE(LEFT(TRIM('Base de Datos'!Q152),2)),VALUE(MID(TRIM('Base de Datos'!Q152),4,2))),""))),"")</f>
        <v>45508</v>
      </c>
      <c r="AI156" s="74" t="n">
        <f aca="false">IF(ISNUMBER('Base de Datos'!R152),'Base de Datos'!R152,IF(TRIM('Base de Datos'!R152)="","",IFERROR(IF(IFERROR(FIND("@",SUBSTITUTE(TRIM('Base de Datos'!R152),",","@",LEN(TRIM('Base de Datos'!R152))-LEN(SUBSTITUTE(TRIM('Base de Datos'!R152),",","")))),0)&gt;IFERROR(FIND("@",SUBSTITUTE(TRIM('Base de Datos'!R152),".","@",LEN(TRIM('Base de Datos'!R152))-LEN(SUBSTITUTE(TRIM('Base de Datos'!R152),".","")))),0),_xlfn.NUMBERVALUE(SUBSTITUTE(SUBSTITUTE(TRIM('Base de Datos'!R152),".",""),",","."),".",","),_xlfn.NUMBERVALUE(SUBSTITUTE(TRIM('Base de Datos'!R152),",",""),".",",")),"")))</f>
        <v>31.14</v>
      </c>
      <c r="AJ156" s="73" t="n">
        <f aca="false">IF(ISNUMBER(AK156),IF(ISNUMBER('Base de Datos'!Y152),IF('Base de Datos'!Y152&gt;20000,INT('Base de Datos'!Y152),""),IF(TRIM('Base de Datos'!Y152)="","",IFERROR(DATE(VALUE(RIGHT(TRIM('Base de Datos'!Y152),4)),VALUE(MID(TRIM('Base de Datos'!Y152),4,2)),VALUE(LEFT(TRIM('Base de Datos'!Y152),2))),IFERROR(DATEVALUE(TRIM('Base de Datos'!Y152)),"")))),"")</f>
        <v>45508</v>
      </c>
      <c r="AK156" s="74" t="n">
        <f aca="false">IF(ISNUMBER('Base de Datos'!Z152),'Base de Datos'!Z152,IF(TRIM('Base de Datos'!Z152)="","",IFERROR(IF(IFERROR(FIND("@",SUBSTITUTE(TRIM('Base de Datos'!Z152),",","@",LEN(TRIM('Base de Datos'!Z152))-LEN(SUBSTITUTE(TRIM('Base de Datos'!Z152),",","")))),0)&gt;IFERROR(FIND("@",SUBSTITUTE(TRIM('Base de Datos'!Z152),".","@",LEN(TRIM('Base de Datos'!Z152))-LEN(SUBSTITUTE(TRIM('Base de Datos'!Z152),".","")))),0),_xlfn.NUMBERVALUE(SUBSTITUTE(SUBSTITUTE(TRIM('Base de Datos'!Z152),".",""),",","."),".",","),_xlfn.NUMBERVALUE(SUBSTITUTE(TRIM('Base de Datos'!Z152),",",""),".",",")),"")))</f>
        <v>53051.54</v>
      </c>
    </row>
    <row r="157" customFormat="false" ht="13.5" hidden="false" customHeight="false" outlineLevel="0" collapsed="false">
      <c r="A157" s="75" t="n">
        <f aca="false">ROWS(A$13:A157)</f>
        <v>145</v>
      </c>
      <c r="B157" s="73" t="n">
        <f aca="false">IF(B156="","",IFERROR(SMALL($AH$10:$AH$409,COUNTIF($AH$10:$AH$409,"&lt;="&amp;B156)+1),""))</f>
        <v>45494</v>
      </c>
      <c r="C157" s="74" t="n">
        <f aca="false">IF(B157="","",INDEX($AI$10:$AI$409,MATCH(B157,$AH$10:$AH$409,0)))</f>
        <v>29.39</v>
      </c>
      <c r="D157" s="74" t="n">
        <f aca="false">IF(B157="","",IFERROR(INDEX($AK$10:$AK$409,MATCH(B157,$AJ$10:$AJ$409,0)),""))</f>
        <v>52819.58</v>
      </c>
      <c r="E157" s="76" t="n">
        <f aca="false">IF(AND(ISNUMBER(C157),ISNUMBER(C156)),C157/C156-1,"")</f>
        <v>-0.0454693082169535</v>
      </c>
      <c r="F157" s="76" t="n">
        <f aca="false">IF(AND(ISNUMBER(D157),ISNUMBER(D156)),D157/D156-1,"")</f>
        <v>-0.0160015589103425</v>
      </c>
      <c r="G157" s="75" t="n">
        <f aca="false">IF(AND(ISNUMBER(E157),ISNUMBER(F157)),1,"")</f>
        <v>1</v>
      </c>
      <c r="H157" s="75" t="n">
        <f aca="false">IF(G157=1,COUNT(G157:G$412),"")</f>
        <v>115</v>
      </c>
      <c r="I157" s="75" t="n">
        <f aca="false">IF(G157=1,IF(H157&lt;='Beta Regresión'!$B$5,1,""),"")</f>
        <v>1</v>
      </c>
      <c r="J157" s="76" t="n">
        <f aca="false">IF(I157=1,E157,"")</f>
        <v>-0.0454693082169535</v>
      </c>
      <c r="K157" s="76" t="n">
        <f aca="false">IF(I157=1,F157,"")</f>
        <v>-0.0160015589103425</v>
      </c>
      <c r="L157" s="75" t="n">
        <f aca="false">IF(I157=1,COUNT(I$13:I157),"")</f>
        <v>144</v>
      </c>
      <c r="M157" s="76" t="n">
        <f aca="false">IFERROR(INDEX($J$13:$J$412,MATCH(A157,$L$13:$L$412,0)),"")</f>
        <v>0.0612453215379381</v>
      </c>
      <c r="N157" s="76" t="n">
        <f aca="false">IFERROR(INDEX($K$13:$K$412,MATCH(A157,$L$13:$L$412,0)),"")</f>
        <v>-0.0109277658020001</v>
      </c>
      <c r="O157" s="76" t="n">
        <f aca="false">IF(I157=1,E157,NA())</f>
        <v>-0.0454693082169535</v>
      </c>
      <c r="P157" s="76" t="n">
        <f aca="false">IF(I157=1,F157,NA())</f>
        <v>-0.0160015589103425</v>
      </c>
      <c r="R157" s="75" t="n">
        <f aca="false">ROWS(R$13:R157)</f>
        <v>145</v>
      </c>
      <c r="S157" s="73" t="str">
        <f aca="false">IF(S156="","",IFERROR(SMALL($AD$10:$AD$509,COUNTIF($AD$10:$AD$509,"&lt;="&amp;S156)+1),""))</f>
        <v/>
      </c>
      <c r="T157" s="74" t="str">
        <f aca="false">IF(S157="","",INDEX($AE$10:$AE$509,MATCH(S157,$AD$10:$AD$509,0)))</f>
        <v/>
      </c>
      <c r="U157" s="74" t="str">
        <f aca="false">IF(S157="","",IFERROR(INDEX($AG$10:$AG$509,MATCH(S157,$AF$10:$AF$509,0)),""))</f>
        <v/>
      </c>
      <c r="V157" s="76" t="str">
        <f aca="false">IF(AND(ISNUMBER(T157),ISNUMBER(T156)),T157/T156-1,"")</f>
        <v/>
      </c>
      <c r="W157" s="76" t="str">
        <f aca="false">IF(AND(ISNUMBER(U157),ISNUMBER(U156)),U157/U156-1,"")</f>
        <v/>
      </c>
      <c r="X157" s="75" t="str">
        <f aca="false">IF(AND(ISNUMBER(V157),ISNUMBER(W157)),1,"")</f>
        <v/>
      </c>
      <c r="Y157" s="76" t="str">
        <f aca="false">IF(X157=1,V157,"")</f>
        <v/>
      </c>
      <c r="Z157" s="76" t="str">
        <f aca="false">IF(X157=1,W157,"")</f>
        <v/>
      </c>
      <c r="AA157" s="76" t="e">
        <f aca="false">IF(X157=1,V157,NA())</f>
        <v>#N/A</v>
      </c>
      <c r="AB157" s="76" t="e">
        <f aca="false">IF(X157=1,W157,NA())</f>
        <v>#N/A</v>
      </c>
      <c r="AD157" s="73" t="str">
        <f aca="false">IF(ISNUMBER(AE157),IF(ISNUMBER('Base de Datos'!A153),IF('Base de Datos'!A153&gt;20000,DATE(YEAR('Base de Datos'!A153),DAY('Base de Datos'!A153),MONTH('Base de Datos'!A153)),""),IF(TRIM('Base de Datos'!A153)="","",IFERROR(DATE(VALUE(RIGHT(TRIM('Base de Datos'!A153),4)),VALUE(LEFT(TRIM('Base de Datos'!A153),2)),VALUE(MID(TRIM('Base de Datos'!A153),4,2))),""))),"")</f>
        <v/>
      </c>
      <c r="AE157" s="74" t="str">
        <f aca="false">IF(ISNUMBER('Base de Datos'!B153),'Base de Datos'!B153,IF(TRIM('Base de Datos'!B153)="","",IFERROR(IF(IFERROR(FIND("@",SUBSTITUTE(TRIM('Base de Datos'!B153),",","@",LEN(TRIM('Base de Datos'!B153))-LEN(SUBSTITUTE(TRIM('Base de Datos'!B153),",","")))),0)&gt;IFERROR(FIND("@",SUBSTITUTE(TRIM('Base de Datos'!B153),".","@",LEN(TRIM('Base de Datos'!B153))-LEN(SUBSTITUTE(TRIM('Base de Datos'!B153),".","")))),0),_xlfn.NUMBERVALUE(SUBSTITUTE(SUBSTITUTE(TRIM('Base de Datos'!B153),".",""),",","."),".",","),_xlfn.NUMBERVALUE(SUBSTITUTE(TRIM('Base de Datos'!B153),",",""),".",",")),"")))</f>
        <v/>
      </c>
      <c r="AF157" s="73" t="str">
        <f aca="false">IF(ISNUMBER(AG157),IF(ISNUMBER('Base de Datos'!I153),IF('Base de Datos'!I153&gt;20000,INT('Base de Datos'!I153),""),IF(TRIM('Base de Datos'!I153)="","",IFERROR(DATE(VALUE(RIGHT(TRIM('Base de Datos'!I153),4)),VALUE(MID(TRIM('Base de Datos'!I153),4,2)),VALUE(LEFT(TRIM('Base de Datos'!I153),2))),IFERROR(DATEVALUE(TRIM('Base de Datos'!I153)),"")))),"")</f>
        <v/>
      </c>
      <c r="AG157" s="74" t="str">
        <f aca="false">IF(ISNUMBER('Base de Datos'!J153),'Base de Datos'!J153,IF(TRIM('Base de Datos'!J153)="","",IFERROR(IF(IFERROR(FIND("@",SUBSTITUTE(TRIM('Base de Datos'!J153),",","@",LEN(TRIM('Base de Datos'!J153))-LEN(SUBSTITUTE(TRIM('Base de Datos'!J153),",","")))),0)&gt;IFERROR(FIND("@",SUBSTITUTE(TRIM('Base de Datos'!J153),".","@",LEN(TRIM('Base de Datos'!J153))-LEN(SUBSTITUTE(TRIM('Base de Datos'!J153),".","")))),0),_xlfn.NUMBERVALUE(SUBSTITUTE(SUBSTITUTE(TRIM('Base de Datos'!J153),".",""),",","."),".",","),_xlfn.NUMBERVALUE(SUBSTITUTE(TRIM('Base de Datos'!J153),",",""),".",",")),"")))</f>
        <v/>
      </c>
      <c r="AH157" s="73" t="n">
        <f aca="false">IF(ISNUMBER(AI157),IF(ISNUMBER('Base de Datos'!Q153),IF('Base de Datos'!Q153&gt;20000,DATE(YEAR('Base de Datos'!Q153),DAY('Base de Datos'!Q153),MONTH('Base de Datos'!Q153)),""),IF(TRIM('Base de Datos'!Q153)="","",IFERROR(DATE(VALUE(RIGHT(TRIM('Base de Datos'!Q153),4)),VALUE(LEFT(TRIM('Base de Datos'!Q153),2)),VALUE(MID(TRIM('Base de Datos'!Q153),4,2))),""))),"")</f>
        <v>45515</v>
      </c>
      <c r="AI157" s="74" t="n">
        <f aca="false">IF(ISNUMBER('Base de Datos'!R153),'Base de Datos'!R153,IF(TRIM('Base de Datos'!R153)="","",IFERROR(IF(IFERROR(FIND("@",SUBSTITUTE(TRIM('Base de Datos'!R153),",","@",LEN(TRIM('Base de Datos'!R153))-LEN(SUBSTITUTE(TRIM('Base de Datos'!R153),",","")))),0)&gt;IFERROR(FIND("@",SUBSTITUTE(TRIM('Base de Datos'!R153),".","@",LEN(TRIM('Base de Datos'!R153))-LEN(SUBSTITUTE(TRIM('Base de Datos'!R153),".","")))),0),_xlfn.NUMBERVALUE(SUBSTITUTE(SUBSTITUTE(TRIM('Base de Datos'!R153),".",""),",","."),".",","),_xlfn.NUMBERVALUE(SUBSTITUTE(TRIM('Base de Datos'!R153),",",""),".",",")),"")))</f>
        <v>30.98</v>
      </c>
      <c r="AJ157" s="73" t="n">
        <f aca="false">IF(ISNUMBER(AK157),IF(ISNUMBER('Base de Datos'!Y153),IF('Base de Datos'!Y153&gt;20000,INT('Base de Datos'!Y153),""),IF(TRIM('Base de Datos'!Y153)="","",IFERROR(DATE(VALUE(RIGHT(TRIM('Base de Datos'!Y153),4)),VALUE(MID(TRIM('Base de Datos'!Y153),4,2)),VALUE(LEFT(TRIM('Base de Datos'!Y153),2))),IFERROR(DATEVALUE(TRIM('Base de Datos'!Y153)),"")))),"")</f>
        <v>45515</v>
      </c>
      <c r="AK157" s="74" t="n">
        <f aca="false">IF(ISNUMBER('Base de Datos'!Z153),'Base de Datos'!Z153,IF(TRIM('Base de Datos'!Z153)="","",IFERROR(IF(IFERROR(FIND("@",SUBSTITUTE(TRIM('Base de Datos'!Z153),",","@",LEN(TRIM('Base de Datos'!Z153))-LEN(SUBSTITUTE(TRIM('Base de Datos'!Z153),",","")))),0)&gt;IFERROR(FIND("@",SUBSTITUTE(TRIM('Base de Datos'!Z153),".","@",LEN(TRIM('Base de Datos'!Z153))-LEN(SUBSTITUTE(TRIM('Base de Datos'!Z153),".","")))),0),_xlfn.NUMBERVALUE(SUBSTITUTE(SUBSTITUTE(TRIM('Base de Datos'!Z153),".",""),",","."),".",","),_xlfn.NUMBERVALUE(SUBSTITUTE(TRIM('Base de Datos'!Z153),",",""),".",",")),"")))</f>
        <v>54083.78</v>
      </c>
    </row>
    <row r="158" customFormat="false" ht="13.5" hidden="false" customHeight="false" outlineLevel="0" collapsed="false">
      <c r="A158" s="75" t="n">
        <f aca="false">ROWS(A$13:A158)</f>
        <v>146</v>
      </c>
      <c r="B158" s="73" t="n">
        <f aca="false">IF(B157="","",IFERROR(SMALL($AH$10:$AH$409,COUNTIF($AH$10:$AH$409,"&lt;="&amp;B157)+1),""))</f>
        <v>45501</v>
      </c>
      <c r="C158" s="74" t="n">
        <f aca="false">IF(B158="","",INDEX($AI$10:$AI$409,MATCH(B158,$AH$10:$AH$409,0)))</f>
        <v>31.19</v>
      </c>
      <c r="D158" s="74" t="n">
        <f aca="false">IF(B158="","",IFERROR(INDEX($AK$10:$AK$409,MATCH(B158,$AJ$10:$AJ$409,0)),""))</f>
        <v>52242.38</v>
      </c>
      <c r="E158" s="76" t="n">
        <f aca="false">IF(AND(ISNUMBER(C158),ISNUMBER(C157)),C158/C157-1,"")</f>
        <v>0.0612453215379381</v>
      </c>
      <c r="F158" s="76" t="n">
        <f aca="false">IF(AND(ISNUMBER(D158),ISNUMBER(D157)),D158/D157-1,"")</f>
        <v>-0.0109277658020001</v>
      </c>
      <c r="G158" s="75" t="n">
        <f aca="false">IF(AND(ISNUMBER(E158),ISNUMBER(F158)),1,"")</f>
        <v>1</v>
      </c>
      <c r="H158" s="75" t="n">
        <f aca="false">IF(G158=1,COUNT(G158:G$412),"")</f>
        <v>114</v>
      </c>
      <c r="I158" s="75" t="n">
        <f aca="false">IF(G158=1,IF(H158&lt;='Beta Regresión'!$B$5,1,""),"")</f>
        <v>1</v>
      </c>
      <c r="J158" s="76" t="n">
        <f aca="false">IF(I158=1,E158,"")</f>
        <v>0.0612453215379381</v>
      </c>
      <c r="K158" s="76" t="n">
        <f aca="false">IF(I158=1,F158,"")</f>
        <v>-0.0109277658020001</v>
      </c>
      <c r="L158" s="75" t="n">
        <f aca="false">IF(I158=1,COUNT(I$13:I158),"")</f>
        <v>145</v>
      </c>
      <c r="M158" s="76" t="n">
        <f aca="false">IFERROR(INDEX($J$13:$J$412,MATCH(A158,$L$13:$L$412,0)),"")</f>
        <v>-0.00160307790958647</v>
      </c>
      <c r="N158" s="76" t="n">
        <f aca="false">IFERROR(INDEX($K$13:$K$412,MATCH(A158,$L$13:$L$412,0)),"")</f>
        <v>0.0154885746016933</v>
      </c>
      <c r="O158" s="76" t="n">
        <f aca="false">IF(I158=1,E158,NA())</f>
        <v>0.0612453215379381</v>
      </c>
      <c r="P158" s="76" t="n">
        <f aca="false">IF(I158=1,F158,NA())</f>
        <v>-0.0109277658020001</v>
      </c>
      <c r="R158" s="75" t="n">
        <f aca="false">ROWS(R$13:R158)</f>
        <v>146</v>
      </c>
      <c r="S158" s="73" t="str">
        <f aca="false">IF(S157="","",IFERROR(SMALL($AD$10:$AD$509,COUNTIF($AD$10:$AD$509,"&lt;="&amp;S157)+1),""))</f>
        <v/>
      </c>
      <c r="T158" s="74" t="str">
        <f aca="false">IF(S158="","",INDEX($AE$10:$AE$509,MATCH(S158,$AD$10:$AD$509,0)))</f>
        <v/>
      </c>
      <c r="U158" s="74" t="str">
        <f aca="false">IF(S158="","",IFERROR(INDEX($AG$10:$AG$509,MATCH(S158,$AF$10:$AF$509,0)),""))</f>
        <v/>
      </c>
      <c r="V158" s="76" t="str">
        <f aca="false">IF(AND(ISNUMBER(T158),ISNUMBER(T157)),T158/T157-1,"")</f>
        <v/>
      </c>
      <c r="W158" s="76" t="str">
        <f aca="false">IF(AND(ISNUMBER(U158),ISNUMBER(U157)),U158/U157-1,"")</f>
        <v/>
      </c>
      <c r="X158" s="75" t="str">
        <f aca="false">IF(AND(ISNUMBER(V158),ISNUMBER(W158)),1,"")</f>
        <v/>
      </c>
      <c r="Y158" s="76" t="str">
        <f aca="false">IF(X158=1,V158,"")</f>
        <v/>
      </c>
      <c r="Z158" s="76" t="str">
        <f aca="false">IF(X158=1,W158,"")</f>
        <v/>
      </c>
      <c r="AA158" s="76" t="e">
        <f aca="false">IF(X158=1,V158,NA())</f>
        <v>#N/A</v>
      </c>
      <c r="AB158" s="76" t="e">
        <f aca="false">IF(X158=1,W158,NA())</f>
        <v>#N/A</v>
      </c>
      <c r="AD158" s="73" t="str">
        <f aca="false">IF(ISNUMBER(AE158),IF(ISNUMBER('Base de Datos'!A154),IF('Base de Datos'!A154&gt;20000,DATE(YEAR('Base de Datos'!A154),DAY('Base de Datos'!A154),MONTH('Base de Datos'!A154)),""),IF(TRIM('Base de Datos'!A154)="","",IFERROR(DATE(VALUE(RIGHT(TRIM('Base de Datos'!A154),4)),VALUE(LEFT(TRIM('Base de Datos'!A154),2)),VALUE(MID(TRIM('Base de Datos'!A154),4,2))),""))),"")</f>
        <v/>
      </c>
      <c r="AE158" s="74" t="str">
        <f aca="false">IF(ISNUMBER('Base de Datos'!B154),'Base de Datos'!B154,IF(TRIM('Base de Datos'!B154)="","",IFERROR(IF(IFERROR(FIND("@",SUBSTITUTE(TRIM('Base de Datos'!B154),",","@",LEN(TRIM('Base de Datos'!B154))-LEN(SUBSTITUTE(TRIM('Base de Datos'!B154),",","")))),0)&gt;IFERROR(FIND("@",SUBSTITUTE(TRIM('Base de Datos'!B154),".","@",LEN(TRIM('Base de Datos'!B154))-LEN(SUBSTITUTE(TRIM('Base de Datos'!B154),".","")))),0),_xlfn.NUMBERVALUE(SUBSTITUTE(SUBSTITUTE(TRIM('Base de Datos'!B154),".",""),",","."),".",","),_xlfn.NUMBERVALUE(SUBSTITUTE(TRIM('Base de Datos'!B154),",",""),".",",")),"")))</f>
        <v/>
      </c>
      <c r="AF158" s="73" t="str">
        <f aca="false">IF(ISNUMBER(AG158),IF(ISNUMBER('Base de Datos'!I154),IF('Base de Datos'!I154&gt;20000,INT('Base de Datos'!I154),""),IF(TRIM('Base de Datos'!I154)="","",IFERROR(DATE(VALUE(RIGHT(TRIM('Base de Datos'!I154),4)),VALUE(MID(TRIM('Base de Datos'!I154),4,2)),VALUE(LEFT(TRIM('Base de Datos'!I154),2))),IFERROR(DATEVALUE(TRIM('Base de Datos'!I154)),"")))),"")</f>
        <v/>
      </c>
      <c r="AG158" s="74" t="str">
        <f aca="false">IF(ISNUMBER('Base de Datos'!J154),'Base de Datos'!J154,IF(TRIM('Base de Datos'!J154)="","",IFERROR(IF(IFERROR(FIND("@",SUBSTITUTE(TRIM('Base de Datos'!J154),",","@",LEN(TRIM('Base de Datos'!J154))-LEN(SUBSTITUTE(TRIM('Base de Datos'!J154),",","")))),0)&gt;IFERROR(FIND("@",SUBSTITUTE(TRIM('Base de Datos'!J154),".","@",LEN(TRIM('Base de Datos'!J154))-LEN(SUBSTITUTE(TRIM('Base de Datos'!J154),".","")))),0),_xlfn.NUMBERVALUE(SUBSTITUTE(SUBSTITUTE(TRIM('Base de Datos'!J154),".",""),",","."),".",","),_xlfn.NUMBERVALUE(SUBSTITUTE(TRIM('Base de Datos'!J154),",",""),".",",")),"")))</f>
        <v/>
      </c>
      <c r="AH158" s="73" t="n">
        <f aca="false">IF(ISNUMBER(AI158),IF(ISNUMBER('Base de Datos'!Q154),IF('Base de Datos'!Q154&gt;20000,DATE(YEAR('Base de Datos'!Q154),DAY('Base de Datos'!Q154),MONTH('Base de Datos'!Q154)),""),IF(TRIM('Base de Datos'!Q154)="","",IFERROR(DATE(VALUE(RIGHT(TRIM('Base de Datos'!Q154),4)),VALUE(LEFT(TRIM('Base de Datos'!Q154),2)),VALUE(MID(TRIM('Base de Datos'!Q154),4,2))),""))),"")</f>
        <v>45522</v>
      </c>
      <c r="AI158" s="74" t="n">
        <f aca="false">IF(ISNUMBER('Base de Datos'!R154),'Base de Datos'!R154,IF(TRIM('Base de Datos'!R154)="","",IFERROR(IF(IFERROR(FIND("@",SUBSTITUTE(TRIM('Base de Datos'!R154),",","@",LEN(TRIM('Base de Datos'!R154))-LEN(SUBSTITUTE(TRIM('Base de Datos'!R154),",","")))),0)&gt;IFERROR(FIND("@",SUBSTITUTE(TRIM('Base de Datos'!R154),".","@",LEN(TRIM('Base de Datos'!R154))-LEN(SUBSTITUTE(TRIM('Base de Datos'!R154),".","")))),0),_xlfn.NUMBERVALUE(SUBSTITUTE(SUBSTITUTE(TRIM('Base de Datos'!R154),".",""),",","."),".",","),_xlfn.NUMBERVALUE(SUBSTITUTE(TRIM('Base de Datos'!R154),",",""),".",",")),"")))</f>
        <v>30.47</v>
      </c>
      <c r="AJ158" s="73" t="n">
        <f aca="false">IF(ISNUMBER(AK158),IF(ISNUMBER('Base de Datos'!Y154),IF('Base de Datos'!Y154&gt;20000,INT('Base de Datos'!Y154),""),IF(TRIM('Base de Datos'!Y154)="","",IFERROR(DATE(VALUE(RIGHT(TRIM('Base de Datos'!Y154),4)),VALUE(MID(TRIM('Base de Datos'!Y154),4,2)),VALUE(LEFT(TRIM('Base de Datos'!Y154),2))),IFERROR(DATEVALUE(TRIM('Base de Datos'!Y154)),"")))),"")</f>
        <v>45522</v>
      </c>
      <c r="AK158" s="74" t="n">
        <f aca="false">IF(ISNUMBER('Base de Datos'!Z154),'Base de Datos'!Z154,IF(TRIM('Base de Datos'!Z154)="","",IFERROR(IF(IFERROR(FIND("@",SUBSTITUTE(TRIM('Base de Datos'!Z154),",","@",LEN(TRIM('Base de Datos'!Z154))-LEN(SUBSTITUTE(TRIM('Base de Datos'!Z154),",","")))),0)&gt;IFERROR(FIND("@",SUBSTITUTE(TRIM('Base de Datos'!Z154),".","@",LEN(TRIM('Base de Datos'!Z154))-LEN(SUBSTITUTE(TRIM('Base de Datos'!Z154),".","")))),0),_xlfn.NUMBERVALUE(SUBSTITUTE(SUBSTITUTE(TRIM('Base de Datos'!Z154),".",""),",","."),".",","),_xlfn.NUMBERVALUE(SUBSTITUTE(TRIM('Base de Datos'!Z154),",",""),".",",")),"")))</f>
        <v>53490.92</v>
      </c>
    </row>
    <row r="159" customFormat="false" ht="13.5" hidden="false" customHeight="false" outlineLevel="0" collapsed="false">
      <c r="A159" s="75" t="n">
        <f aca="false">ROWS(A$13:A159)</f>
        <v>147</v>
      </c>
      <c r="B159" s="73" t="n">
        <f aca="false">IF(B158="","",IFERROR(SMALL($AH$10:$AH$409,COUNTIF($AH$10:$AH$409,"&lt;="&amp;B158)+1),""))</f>
        <v>45508</v>
      </c>
      <c r="C159" s="74" t="n">
        <f aca="false">IF(B159="","",INDEX($AI$10:$AI$409,MATCH(B159,$AH$10:$AH$409,0)))</f>
        <v>31.14</v>
      </c>
      <c r="D159" s="74" t="n">
        <f aca="false">IF(B159="","",IFERROR(INDEX($AK$10:$AK$409,MATCH(B159,$AJ$10:$AJ$409,0)),""))</f>
        <v>53051.54</v>
      </c>
      <c r="E159" s="76" t="n">
        <f aca="false">IF(AND(ISNUMBER(C159),ISNUMBER(C158)),C159/C158-1,"")</f>
        <v>-0.00160307790958647</v>
      </c>
      <c r="F159" s="76" t="n">
        <f aca="false">IF(AND(ISNUMBER(D159),ISNUMBER(D158)),D159/D158-1,"")</f>
        <v>0.0154885746016933</v>
      </c>
      <c r="G159" s="75" t="n">
        <f aca="false">IF(AND(ISNUMBER(E159),ISNUMBER(F159)),1,"")</f>
        <v>1</v>
      </c>
      <c r="H159" s="75" t="n">
        <f aca="false">IF(G159=1,COUNT(G159:G$412),"")</f>
        <v>113</v>
      </c>
      <c r="I159" s="75" t="n">
        <f aca="false">IF(G159=1,IF(H159&lt;='Beta Regresión'!$B$5,1,""),"")</f>
        <v>1</v>
      </c>
      <c r="J159" s="76" t="n">
        <f aca="false">IF(I159=1,E159,"")</f>
        <v>-0.00160307790958647</v>
      </c>
      <c r="K159" s="76" t="n">
        <f aca="false">IF(I159=1,F159,"")</f>
        <v>0.0154885746016933</v>
      </c>
      <c r="L159" s="75" t="n">
        <f aca="false">IF(I159=1,COUNT(I$13:I159),"")</f>
        <v>146</v>
      </c>
      <c r="M159" s="76" t="n">
        <f aca="false">IFERROR(INDEX($J$13:$J$412,MATCH(A159,$L$13:$L$412,0)),"")</f>
        <v>-0.00513808606294153</v>
      </c>
      <c r="N159" s="76" t="n">
        <f aca="false">IFERROR(INDEX($K$13:$K$412,MATCH(A159,$L$13:$L$412,0)),"")</f>
        <v>0.0194573051036784</v>
      </c>
      <c r="O159" s="76" t="n">
        <f aca="false">IF(I159=1,E159,NA())</f>
        <v>-0.00160307790958647</v>
      </c>
      <c r="P159" s="76" t="n">
        <f aca="false">IF(I159=1,F159,NA())</f>
        <v>0.0154885746016933</v>
      </c>
      <c r="R159" s="75" t="n">
        <f aca="false">ROWS(R$13:R159)</f>
        <v>147</v>
      </c>
      <c r="S159" s="73" t="str">
        <f aca="false">IF(S158="","",IFERROR(SMALL($AD$10:$AD$509,COUNTIF($AD$10:$AD$509,"&lt;="&amp;S158)+1),""))</f>
        <v/>
      </c>
      <c r="T159" s="74" t="str">
        <f aca="false">IF(S159="","",INDEX($AE$10:$AE$509,MATCH(S159,$AD$10:$AD$509,0)))</f>
        <v/>
      </c>
      <c r="U159" s="74" t="str">
        <f aca="false">IF(S159="","",IFERROR(INDEX($AG$10:$AG$509,MATCH(S159,$AF$10:$AF$509,0)),""))</f>
        <v/>
      </c>
      <c r="V159" s="76" t="str">
        <f aca="false">IF(AND(ISNUMBER(T159),ISNUMBER(T158)),T159/T158-1,"")</f>
        <v/>
      </c>
      <c r="W159" s="76" t="str">
        <f aca="false">IF(AND(ISNUMBER(U159),ISNUMBER(U158)),U159/U158-1,"")</f>
        <v/>
      </c>
      <c r="X159" s="75" t="str">
        <f aca="false">IF(AND(ISNUMBER(V159),ISNUMBER(W159)),1,"")</f>
        <v/>
      </c>
      <c r="Y159" s="76" t="str">
        <f aca="false">IF(X159=1,V159,"")</f>
        <v/>
      </c>
      <c r="Z159" s="76" t="str">
        <f aca="false">IF(X159=1,W159,"")</f>
        <v/>
      </c>
      <c r="AA159" s="76" t="e">
        <f aca="false">IF(X159=1,V159,NA())</f>
        <v>#N/A</v>
      </c>
      <c r="AB159" s="76" t="e">
        <f aca="false">IF(X159=1,W159,NA())</f>
        <v>#N/A</v>
      </c>
      <c r="AD159" s="73" t="str">
        <f aca="false">IF(ISNUMBER(AE159),IF(ISNUMBER('Base de Datos'!A155),IF('Base de Datos'!A155&gt;20000,DATE(YEAR('Base de Datos'!A155),DAY('Base de Datos'!A155),MONTH('Base de Datos'!A155)),""),IF(TRIM('Base de Datos'!A155)="","",IFERROR(DATE(VALUE(RIGHT(TRIM('Base de Datos'!A155),4)),VALUE(LEFT(TRIM('Base de Datos'!A155),2)),VALUE(MID(TRIM('Base de Datos'!A155),4,2))),""))),"")</f>
        <v/>
      </c>
      <c r="AE159" s="74" t="str">
        <f aca="false">IF(ISNUMBER('Base de Datos'!B155),'Base de Datos'!B155,IF(TRIM('Base de Datos'!B155)="","",IFERROR(IF(IFERROR(FIND("@",SUBSTITUTE(TRIM('Base de Datos'!B155),",","@",LEN(TRIM('Base de Datos'!B155))-LEN(SUBSTITUTE(TRIM('Base de Datos'!B155),",","")))),0)&gt;IFERROR(FIND("@",SUBSTITUTE(TRIM('Base de Datos'!B155),".","@",LEN(TRIM('Base de Datos'!B155))-LEN(SUBSTITUTE(TRIM('Base de Datos'!B155),".","")))),0),_xlfn.NUMBERVALUE(SUBSTITUTE(SUBSTITUTE(TRIM('Base de Datos'!B155),".",""),",","."),".",","),_xlfn.NUMBERVALUE(SUBSTITUTE(TRIM('Base de Datos'!B155),",",""),".",",")),"")))</f>
        <v/>
      </c>
      <c r="AF159" s="73" t="str">
        <f aca="false">IF(ISNUMBER(AG159),IF(ISNUMBER('Base de Datos'!I155),IF('Base de Datos'!I155&gt;20000,INT('Base de Datos'!I155),""),IF(TRIM('Base de Datos'!I155)="","",IFERROR(DATE(VALUE(RIGHT(TRIM('Base de Datos'!I155),4)),VALUE(MID(TRIM('Base de Datos'!I155),4,2)),VALUE(LEFT(TRIM('Base de Datos'!I155),2))),IFERROR(DATEVALUE(TRIM('Base de Datos'!I155)),"")))),"")</f>
        <v/>
      </c>
      <c r="AG159" s="74" t="str">
        <f aca="false">IF(ISNUMBER('Base de Datos'!J155),'Base de Datos'!J155,IF(TRIM('Base de Datos'!J155)="","",IFERROR(IF(IFERROR(FIND("@",SUBSTITUTE(TRIM('Base de Datos'!J155),",","@",LEN(TRIM('Base de Datos'!J155))-LEN(SUBSTITUTE(TRIM('Base de Datos'!J155),",","")))),0)&gt;IFERROR(FIND("@",SUBSTITUTE(TRIM('Base de Datos'!J155),".","@",LEN(TRIM('Base de Datos'!J155))-LEN(SUBSTITUTE(TRIM('Base de Datos'!J155),".","")))),0),_xlfn.NUMBERVALUE(SUBSTITUTE(SUBSTITUTE(TRIM('Base de Datos'!J155),".",""),",","."),".",","),_xlfn.NUMBERVALUE(SUBSTITUTE(TRIM('Base de Datos'!J155),",",""),".",",")),"")))</f>
        <v/>
      </c>
      <c r="AH159" s="73" t="n">
        <f aca="false">IF(ISNUMBER(AI159),IF(ISNUMBER('Base de Datos'!Q155),IF('Base de Datos'!Q155&gt;20000,DATE(YEAR('Base de Datos'!Q155),DAY('Base de Datos'!Q155),MONTH('Base de Datos'!Q155)),""),IF(TRIM('Base de Datos'!Q155)="","",IFERROR(DATE(VALUE(RIGHT(TRIM('Base de Datos'!Q155),4)),VALUE(LEFT(TRIM('Base de Datos'!Q155),2)),VALUE(MID(TRIM('Base de Datos'!Q155),4,2))),""))),"")</f>
        <v>45529</v>
      </c>
      <c r="AI159" s="74" t="n">
        <f aca="false">IF(ISNUMBER('Base de Datos'!R155),'Base de Datos'!R155,IF(TRIM('Base de Datos'!R155)="","",IFERROR(IF(IFERROR(FIND("@",SUBSTITUTE(TRIM('Base de Datos'!R155),",","@",LEN(TRIM('Base de Datos'!R155))-LEN(SUBSTITUTE(TRIM('Base de Datos'!R155),",","")))),0)&gt;IFERROR(FIND("@",SUBSTITUTE(TRIM('Base de Datos'!R155),".","@",LEN(TRIM('Base de Datos'!R155))-LEN(SUBSTITUTE(TRIM('Base de Datos'!R155),".","")))),0),_xlfn.NUMBERVALUE(SUBSTITUTE(SUBSTITUTE(TRIM('Base de Datos'!R155),".",""),",","."),".",","),_xlfn.NUMBERVALUE(SUBSTITUTE(TRIM('Base de Datos'!R155),",",""),".",",")),"")))</f>
        <v>30.48</v>
      </c>
      <c r="AJ159" s="73" t="n">
        <f aca="false">IF(ISNUMBER(AK159),IF(ISNUMBER('Base de Datos'!Y155),IF('Base de Datos'!Y155&gt;20000,INT('Base de Datos'!Y155),""),IF(TRIM('Base de Datos'!Y155)="","",IFERROR(DATE(VALUE(RIGHT(TRIM('Base de Datos'!Y155),4)),VALUE(MID(TRIM('Base de Datos'!Y155),4,2)),VALUE(LEFT(TRIM('Base de Datos'!Y155),2))),IFERROR(DATEVALUE(TRIM('Base de Datos'!Y155)),"")))),"")</f>
        <v>45529</v>
      </c>
      <c r="AK159" s="74" t="n">
        <f aca="false">IF(ISNUMBER('Base de Datos'!Z155),'Base de Datos'!Z155,IF(TRIM('Base de Datos'!Z155)="","",IFERROR(IF(IFERROR(FIND("@",SUBSTITUTE(TRIM('Base de Datos'!Z155),",","@",LEN(TRIM('Base de Datos'!Z155))-LEN(SUBSTITUTE(TRIM('Base de Datos'!Z155),",","")))),0)&gt;IFERROR(FIND("@",SUBSTITUTE(TRIM('Base de Datos'!Z155),".","@",LEN(TRIM('Base de Datos'!Z155))-LEN(SUBSTITUTE(TRIM('Base de Datos'!Z155),".","")))),0),_xlfn.NUMBERVALUE(SUBSTITUTE(SUBSTITUTE(TRIM('Base de Datos'!Z155),".",""),",","."),".",","),_xlfn.NUMBERVALUE(SUBSTITUTE(TRIM('Base de Datos'!Z155),",",""),".",",")),"")))</f>
        <v>51985.87</v>
      </c>
    </row>
    <row r="160" customFormat="false" ht="13.5" hidden="false" customHeight="false" outlineLevel="0" collapsed="false">
      <c r="A160" s="75" t="n">
        <f aca="false">ROWS(A$13:A160)</f>
        <v>148</v>
      </c>
      <c r="B160" s="73" t="n">
        <f aca="false">IF(B159="","",IFERROR(SMALL($AH$10:$AH$409,COUNTIF($AH$10:$AH$409,"&lt;="&amp;B159)+1),""))</f>
        <v>45515</v>
      </c>
      <c r="C160" s="74" t="n">
        <f aca="false">IF(B160="","",INDEX($AI$10:$AI$409,MATCH(B160,$AH$10:$AH$409,0)))</f>
        <v>30.98</v>
      </c>
      <c r="D160" s="74" t="n">
        <f aca="false">IF(B160="","",IFERROR(INDEX($AK$10:$AK$409,MATCH(B160,$AJ$10:$AJ$409,0)),""))</f>
        <v>54083.78</v>
      </c>
      <c r="E160" s="76" t="n">
        <f aca="false">IF(AND(ISNUMBER(C160),ISNUMBER(C159)),C160/C159-1,"")</f>
        <v>-0.00513808606294153</v>
      </c>
      <c r="F160" s="76" t="n">
        <f aca="false">IF(AND(ISNUMBER(D160),ISNUMBER(D159)),D160/D159-1,"")</f>
        <v>0.0194573051036784</v>
      </c>
      <c r="G160" s="75" t="n">
        <f aca="false">IF(AND(ISNUMBER(E160),ISNUMBER(F160)),1,"")</f>
        <v>1</v>
      </c>
      <c r="H160" s="75" t="n">
        <f aca="false">IF(G160=1,COUNT(G160:G$412),"")</f>
        <v>112</v>
      </c>
      <c r="I160" s="75" t="n">
        <f aca="false">IF(G160=1,IF(H160&lt;='Beta Regresión'!$B$5,1,""),"")</f>
        <v>1</v>
      </c>
      <c r="J160" s="76" t="n">
        <f aca="false">IF(I160=1,E160,"")</f>
        <v>-0.00513808606294153</v>
      </c>
      <c r="K160" s="76" t="n">
        <f aca="false">IF(I160=1,F160,"")</f>
        <v>0.0194573051036784</v>
      </c>
      <c r="L160" s="75" t="n">
        <f aca="false">IF(I160=1,COUNT(I$13:I160),"")</f>
        <v>147</v>
      </c>
      <c r="M160" s="76" t="n">
        <f aca="false">IFERROR(INDEX($J$13:$J$412,MATCH(A160,$L$13:$L$412,0)),"")</f>
        <v>-0.0164622336991608</v>
      </c>
      <c r="N160" s="76" t="n">
        <f aca="false">IFERROR(INDEX($K$13:$K$412,MATCH(A160,$L$13:$L$412,0)),"")</f>
        <v>-0.0109618817323789</v>
      </c>
      <c r="O160" s="76" t="n">
        <f aca="false">IF(I160=1,E160,NA())</f>
        <v>-0.00513808606294153</v>
      </c>
      <c r="P160" s="76" t="n">
        <f aca="false">IF(I160=1,F160,NA())</f>
        <v>0.0194573051036784</v>
      </c>
      <c r="R160" s="75" t="n">
        <f aca="false">ROWS(R$13:R160)</f>
        <v>148</v>
      </c>
      <c r="S160" s="73" t="str">
        <f aca="false">IF(S159="","",IFERROR(SMALL($AD$10:$AD$509,COUNTIF($AD$10:$AD$509,"&lt;="&amp;S159)+1),""))</f>
        <v/>
      </c>
      <c r="T160" s="74" t="str">
        <f aca="false">IF(S160="","",INDEX($AE$10:$AE$509,MATCH(S160,$AD$10:$AD$509,0)))</f>
        <v/>
      </c>
      <c r="U160" s="74" t="str">
        <f aca="false">IF(S160="","",IFERROR(INDEX($AG$10:$AG$509,MATCH(S160,$AF$10:$AF$509,0)),""))</f>
        <v/>
      </c>
      <c r="V160" s="76" t="str">
        <f aca="false">IF(AND(ISNUMBER(T160),ISNUMBER(T159)),T160/T159-1,"")</f>
        <v/>
      </c>
      <c r="W160" s="76" t="str">
        <f aca="false">IF(AND(ISNUMBER(U160),ISNUMBER(U159)),U160/U159-1,"")</f>
        <v/>
      </c>
      <c r="X160" s="75" t="str">
        <f aca="false">IF(AND(ISNUMBER(V160),ISNUMBER(W160)),1,"")</f>
        <v/>
      </c>
      <c r="Y160" s="76" t="str">
        <f aca="false">IF(X160=1,V160,"")</f>
        <v/>
      </c>
      <c r="Z160" s="76" t="str">
        <f aca="false">IF(X160=1,W160,"")</f>
        <v/>
      </c>
      <c r="AA160" s="76" t="e">
        <f aca="false">IF(X160=1,V160,NA())</f>
        <v>#N/A</v>
      </c>
      <c r="AB160" s="76" t="e">
        <f aca="false">IF(X160=1,W160,NA())</f>
        <v>#N/A</v>
      </c>
      <c r="AD160" s="73" t="str">
        <f aca="false">IF(ISNUMBER(AE160),IF(ISNUMBER('Base de Datos'!A156),IF('Base de Datos'!A156&gt;20000,DATE(YEAR('Base de Datos'!A156),DAY('Base de Datos'!A156),MONTH('Base de Datos'!A156)),""),IF(TRIM('Base de Datos'!A156)="","",IFERROR(DATE(VALUE(RIGHT(TRIM('Base de Datos'!A156),4)),VALUE(LEFT(TRIM('Base de Datos'!A156),2)),VALUE(MID(TRIM('Base de Datos'!A156),4,2))),""))),"")</f>
        <v/>
      </c>
      <c r="AE160" s="74" t="str">
        <f aca="false">IF(ISNUMBER('Base de Datos'!B156),'Base de Datos'!B156,IF(TRIM('Base de Datos'!B156)="","",IFERROR(IF(IFERROR(FIND("@",SUBSTITUTE(TRIM('Base de Datos'!B156),",","@",LEN(TRIM('Base de Datos'!B156))-LEN(SUBSTITUTE(TRIM('Base de Datos'!B156),",","")))),0)&gt;IFERROR(FIND("@",SUBSTITUTE(TRIM('Base de Datos'!B156),".","@",LEN(TRIM('Base de Datos'!B156))-LEN(SUBSTITUTE(TRIM('Base de Datos'!B156),".","")))),0),_xlfn.NUMBERVALUE(SUBSTITUTE(SUBSTITUTE(TRIM('Base de Datos'!B156),".",""),",","."),".",","),_xlfn.NUMBERVALUE(SUBSTITUTE(TRIM('Base de Datos'!B156),",",""),".",",")),"")))</f>
        <v/>
      </c>
      <c r="AF160" s="73" t="str">
        <f aca="false">IF(ISNUMBER(AG160),IF(ISNUMBER('Base de Datos'!I156),IF('Base de Datos'!I156&gt;20000,INT('Base de Datos'!I156),""),IF(TRIM('Base de Datos'!I156)="","",IFERROR(DATE(VALUE(RIGHT(TRIM('Base de Datos'!I156),4)),VALUE(MID(TRIM('Base de Datos'!I156),4,2)),VALUE(LEFT(TRIM('Base de Datos'!I156),2))),IFERROR(DATEVALUE(TRIM('Base de Datos'!I156)),"")))),"")</f>
        <v/>
      </c>
      <c r="AG160" s="74" t="str">
        <f aca="false">IF(ISNUMBER('Base de Datos'!J156),'Base de Datos'!J156,IF(TRIM('Base de Datos'!J156)="","",IFERROR(IF(IFERROR(FIND("@",SUBSTITUTE(TRIM('Base de Datos'!J156),",","@",LEN(TRIM('Base de Datos'!J156))-LEN(SUBSTITUTE(TRIM('Base de Datos'!J156),",","")))),0)&gt;IFERROR(FIND("@",SUBSTITUTE(TRIM('Base de Datos'!J156),".","@",LEN(TRIM('Base de Datos'!J156))-LEN(SUBSTITUTE(TRIM('Base de Datos'!J156),".","")))),0),_xlfn.NUMBERVALUE(SUBSTITUTE(SUBSTITUTE(TRIM('Base de Datos'!J156),".",""),",","."),".",","),_xlfn.NUMBERVALUE(SUBSTITUTE(TRIM('Base de Datos'!J156),",",""),".",",")),"")))</f>
        <v/>
      </c>
      <c r="AH160" s="73" t="n">
        <f aca="false">IF(ISNUMBER(AI160),IF(ISNUMBER('Base de Datos'!Q156),IF('Base de Datos'!Q156&gt;20000,DATE(YEAR('Base de Datos'!Q156),DAY('Base de Datos'!Q156),MONTH('Base de Datos'!Q156)),""),IF(TRIM('Base de Datos'!Q156)="","",IFERROR(DATE(VALUE(RIGHT(TRIM('Base de Datos'!Q156),4)),VALUE(LEFT(TRIM('Base de Datos'!Q156),2)),VALUE(MID(TRIM('Base de Datos'!Q156),4,2))),""))),"")</f>
        <v>45536</v>
      </c>
      <c r="AI160" s="74" t="n">
        <f aca="false">IF(ISNUMBER('Base de Datos'!R156),'Base de Datos'!R156,IF(TRIM('Base de Datos'!R156)="","",IFERROR(IF(IFERROR(FIND("@",SUBSTITUTE(TRIM('Base de Datos'!R156),",","@",LEN(TRIM('Base de Datos'!R156))-LEN(SUBSTITUTE(TRIM('Base de Datos'!R156),",","")))),0)&gt;IFERROR(FIND("@",SUBSTITUTE(TRIM('Base de Datos'!R156),".","@",LEN(TRIM('Base de Datos'!R156))-LEN(SUBSTITUTE(TRIM('Base de Datos'!R156),".","")))),0),_xlfn.NUMBERVALUE(SUBSTITUTE(SUBSTITUTE(TRIM('Base de Datos'!R156),".",""),",","."),".",","),_xlfn.NUMBERVALUE(SUBSTITUTE(TRIM('Base de Datos'!R156),",",""),".",",")),"")))</f>
        <v>29.79</v>
      </c>
      <c r="AJ160" s="73" t="n">
        <f aca="false">IF(ISNUMBER(AK160),IF(ISNUMBER('Base de Datos'!Y156),IF('Base de Datos'!Y156&gt;20000,INT('Base de Datos'!Y156),""),IF(TRIM('Base de Datos'!Y156)="","",IFERROR(DATE(VALUE(RIGHT(TRIM('Base de Datos'!Y156),4)),VALUE(MID(TRIM('Base de Datos'!Y156),4,2)),VALUE(LEFT(TRIM('Base de Datos'!Y156),2))),IFERROR(DATEVALUE(TRIM('Base de Datos'!Y156)),"")))),"")</f>
        <v>45536</v>
      </c>
      <c r="AK160" s="74" t="n">
        <f aca="false">IF(ISNUMBER('Base de Datos'!Z156),'Base de Datos'!Z156,IF(TRIM('Base de Datos'!Z156)="","",IFERROR(IF(IFERROR(FIND("@",SUBSTITUTE(TRIM('Base de Datos'!Z156),",","@",LEN(TRIM('Base de Datos'!Z156))-LEN(SUBSTITUTE(TRIM('Base de Datos'!Z156),",","")))),0)&gt;IFERROR(FIND("@",SUBSTITUTE(TRIM('Base de Datos'!Z156),".","@",LEN(TRIM('Base de Datos'!Z156))-LEN(SUBSTITUTE(TRIM('Base de Datos'!Z156),".","")))),0),_xlfn.NUMBERVALUE(SUBSTITUTE(SUBSTITUTE(TRIM('Base de Datos'!Z156),".",""),",","."),".",","),_xlfn.NUMBERVALUE(SUBSTITUTE(TRIM('Base de Datos'!Z156),",",""),".",",")),"")))</f>
        <v>51083.44</v>
      </c>
    </row>
    <row r="161" customFormat="false" ht="13.5" hidden="false" customHeight="false" outlineLevel="0" collapsed="false">
      <c r="A161" s="75" t="n">
        <f aca="false">ROWS(A$13:A161)</f>
        <v>149</v>
      </c>
      <c r="B161" s="73" t="n">
        <f aca="false">IF(B160="","",IFERROR(SMALL($AH$10:$AH$409,COUNTIF($AH$10:$AH$409,"&lt;="&amp;B160)+1),""))</f>
        <v>45522</v>
      </c>
      <c r="C161" s="74" t="n">
        <f aca="false">IF(B161="","",INDEX($AI$10:$AI$409,MATCH(B161,$AH$10:$AH$409,0)))</f>
        <v>30.47</v>
      </c>
      <c r="D161" s="74" t="n">
        <f aca="false">IF(B161="","",IFERROR(INDEX($AK$10:$AK$409,MATCH(B161,$AJ$10:$AJ$409,0)),""))</f>
        <v>53490.92</v>
      </c>
      <c r="E161" s="76" t="n">
        <f aca="false">IF(AND(ISNUMBER(C161),ISNUMBER(C160)),C161/C160-1,"")</f>
        <v>-0.0164622336991608</v>
      </c>
      <c r="F161" s="76" t="n">
        <f aca="false">IF(AND(ISNUMBER(D161),ISNUMBER(D160)),D161/D160-1,"")</f>
        <v>-0.0109618817323789</v>
      </c>
      <c r="G161" s="75" t="n">
        <f aca="false">IF(AND(ISNUMBER(E161),ISNUMBER(F161)),1,"")</f>
        <v>1</v>
      </c>
      <c r="H161" s="75" t="n">
        <f aca="false">IF(G161=1,COUNT(G161:G$412),"")</f>
        <v>111</v>
      </c>
      <c r="I161" s="75" t="n">
        <f aca="false">IF(G161=1,IF(H161&lt;='Beta Regresión'!$B$5,1,""),"")</f>
        <v>1</v>
      </c>
      <c r="J161" s="76" t="n">
        <f aca="false">IF(I161=1,E161,"")</f>
        <v>-0.0164622336991608</v>
      </c>
      <c r="K161" s="76" t="n">
        <f aca="false">IF(I161=1,F161,"")</f>
        <v>-0.0109618817323789</v>
      </c>
      <c r="L161" s="75" t="n">
        <f aca="false">IF(I161=1,COUNT(I$13:I161),"")</f>
        <v>148</v>
      </c>
      <c r="M161" s="76" t="n">
        <f aca="false">IFERROR(INDEX($J$13:$J$412,MATCH(A161,$L$13:$L$412,0)),"")</f>
        <v>0.000328191663931721</v>
      </c>
      <c r="N161" s="76" t="n">
        <f aca="false">IFERROR(INDEX($K$13:$K$412,MATCH(A161,$L$13:$L$412,0)),"")</f>
        <v>-0.0281365510258562</v>
      </c>
      <c r="O161" s="76" t="n">
        <f aca="false">IF(I161=1,E161,NA())</f>
        <v>-0.0164622336991608</v>
      </c>
      <c r="P161" s="76" t="n">
        <f aca="false">IF(I161=1,F161,NA())</f>
        <v>-0.0109618817323789</v>
      </c>
      <c r="R161" s="75" t="n">
        <f aca="false">ROWS(R$13:R161)</f>
        <v>149</v>
      </c>
      <c r="S161" s="73" t="str">
        <f aca="false">IF(S160="","",IFERROR(SMALL($AD$10:$AD$509,COUNTIF($AD$10:$AD$509,"&lt;="&amp;S160)+1),""))</f>
        <v/>
      </c>
      <c r="T161" s="74" t="str">
        <f aca="false">IF(S161="","",INDEX($AE$10:$AE$509,MATCH(S161,$AD$10:$AD$509,0)))</f>
        <v/>
      </c>
      <c r="U161" s="74" t="str">
        <f aca="false">IF(S161="","",IFERROR(INDEX($AG$10:$AG$509,MATCH(S161,$AF$10:$AF$509,0)),""))</f>
        <v/>
      </c>
      <c r="V161" s="76" t="str">
        <f aca="false">IF(AND(ISNUMBER(T161),ISNUMBER(T160)),T161/T160-1,"")</f>
        <v/>
      </c>
      <c r="W161" s="76" t="str">
        <f aca="false">IF(AND(ISNUMBER(U161),ISNUMBER(U160)),U161/U160-1,"")</f>
        <v/>
      </c>
      <c r="X161" s="75" t="str">
        <f aca="false">IF(AND(ISNUMBER(V161),ISNUMBER(W161)),1,"")</f>
        <v/>
      </c>
      <c r="Y161" s="76" t="str">
        <f aca="false">IF(X161=1,V161,"")</f>
        <v/>
      </c>
      <c r="Z161" s="76" t="str">
        <f aca="false">IF(X161=1,W161,"")</f>
        <v/>
      </c>
      <c r="AA161" s="76" t="e">
        <f aca="false">IF(X161=1,V161,NA())</f>
        <v>#N/A</v>
      </c>
      <c r="AB161" s="76" t="e">
        <f aca="false">IF(X161=1,W161,NA())</f>
        <v>#N/A</v>
      </c>
      <c r="AD161" s="73" t="str">
        <f aca="false">IF(ISNUMBER(AE161),IF(ISNUMBER('Base de Datos'!A157),IF('Base de Datos'!A157&gt;20000,DATE(YEAR('Base de Datos'!A157),DAY('Base de Datos'!A157),MONTH('Base de Datos'!A157)),""),IF(TRIM('Base de Datos'!A157)="","",IFERROR(DATE(VALUE(RIGHT(TRIM('Base de Datos'!A157),4)),VALUE(LEFT(TRIM('Base de Datos'!A157),2)),VALUE(MID(TRIM('Base de Datos'!A157),4,2))),""))),"")</f>
        <v/>
      </c>
      <c r="AE161" s="74" t="str">
        <f aca="false">IF(ISNUMBER('Base de Datos'!B157),'Base de Datos'!B157,IF(TRIM('Base de Datos'!B157)="","",IFERROR(IF(IFERROR(FIND("@",SUBSTITUTE(TRIM('Base de Datos'!B157),",","@",LEN(TRIM('Base de Datos'!B157))-LEN(SUBSTITUTE(TRIM('Base de Datos'!B157),",","")))),0)&gt;IFERROR(FIND("@",SUBSTITUTE(TRIM('Base de Datos'!B157),".","@",LEN(TRIM('Base de Datos'!B157))-LEN(SUBSTITUTE(TRIM('Base de Datos'!B157),".","")))),0),_xlfn.NUMBERVALUE(SUBSTITUTE(SUBSTITUTE(TRIM('Base de Datos'!B157),".",""),",","."),".",","),_xlfn.NUMBERVALUE(SUBSTITUTE(TRIM('Base de Datos'!B157),",",""),".",",")),"")))</f>
        <v/>
      </c>
      <c r="AF161" s="73" t="str">
        <f aca="false">IF(ISNUMBER(AG161),IF(ISNUMBER('Base de Datos'!I157),IF('Base de Datos'!I157&gt;20000,INT('Base de Datos'!I157),""),IF(TRIM('Base de Datos'!I157)="","",IFERROR(DATE(VALUE(RIGHT(TRIM('Base de Datos'!I157),4)),VALUE(MID(TRIM('Base de Datos'!I157),4,2)),VALUE(LEFT(TRIM('Base de Datos'!I157),2))),IFERROR(DATEVALUE(TRIM('Base de Datos'!I157)),"")))),"")</f>
        <v/>
      </c>
      <c r="AG161" s="74" t="str">
        <f aca="false">IF(ISNUMBER('Base de Datos'!J157),'Base de Datos'!J157,IF(TRIM('Base de Datos'!J157)="","",IFERROR(IF(IFERROR(FIND("@",SUBSTITUTE(TRIM('Base de Datos'!J157),",","@",LEN(TRIM('Base de Datos'!J157))-LEN(SUBSTITUTE(TRIM('Base de Datos'!J157),",","")))),0)&gt;IFERROR(FIND("@",SUBSTITUTE(TRIM('Base de Datos'!J157),".","@",LEN(TRIM('Base de Datos'!J157))-LEN(SUBSTITUTE(TRIM('Base de Datos'!J157),".","")))),0),_xlfn.NUMBERVALUE(SUBSTITUTE(SUBSTITUTE(TRIM('Base de Datos'!J157),".",""),",","."),".",","),_xlfn.NUMBERVALUE(SUBSTITUTE(TRIM('Base de Datos'!J157),",",""),".",",")),"")))</f>
        <v/>
      </c>
      <c r="AH161" s="73" t="n">
        <f aca="false">IF(ISNUMBER(AI161),IF(ISNUMBER('Base de Datos'!Q157),IF('Base de Datos'!Q157&gt;20000,DATE(YEAR('Base de Datos'!Q157),DAY('Base de Datos'!Q157),MONTH('Base de Datos'!Q157)),""),IF(TRIM('Base de Datos'!Q157)="","",IFERROR(DATE(VALUE(RIGHT(TRIM('Base de Datos'!Q157),4)),VALUE(LEFT(TRIM('Base de Datos'!Q157),2)),VALUE(MID(TRIM('Base de Datos'!Q157),4,2))),""))),"")</f>
        <v>45543</v>
      </c>
      <c r="AI161" s="74" t="n">
        <f aca="false">IF(ISNUMBER('Base de Datos'!R157),'Base de Datos'!R157,IF(TRIM('Base de Datos'!R157)="","",IFERROR(IF(IFERROR(FIND("@",SUBSTITUTE(TRIM('Base de Datos'!R157),",","@",LEN(TRIM('Base de Datos'!R157))-LEN(SUBSTITUTE(TRIM('Base de Datos'!R157),",","")))),0)&gt;IFERROR(FIND("@",SUBSTITUTE(TRIM('Base de Datos'!R157),".","@",LEN(TRIM('Base de Datos'!R157))-LEN(SUBSTITUTE(TRIM('Base de Datos'!R157),".","")))),0),_xlfn.NUMBERVALUE(SUBSTITUTE(SUBSTITUTE(TRIM('Base de Datos'!R157),".",""),",","."),".",","),_xlfn.NUMBERVALUE(SUBSTITUTE(TRIM('Base de Datos'!R157),",",""),".",",")),"")))</f>
        <v>30</v>
      </c>
      <c r="AJ161" s="73" t="n">
        <f aca="false">IF(ISNUMBER(AK161),IF(ISNUMBER('Base de Datos'!Y157),IF('Base de Datos'!Y157&gt;20000,INT('Base de Datos'!Y157),""),IF(TRIM('Base de Datos'!Y157)="","",IFERROR(DATE(VALUE(RIGHT(TRIM('Base de Datos'!Y157),4)),VALUE(MID(TRIM('Base de Datos'!Y157),4,2)),VALUE(LEFT(TRIM('Base de Datos'!Y157),2))),IFERROR(DATEVALUE(TRIM('Base de Datos'!Y157)),"")))),"")</f>
        <v>45543</v>
      </c>
      <c r="AK161" s="74" t="n">
        <f aca="false">IF(ISNUMBER('Base de Datos'!Z157),'Base de Datos'!Z157,IF(TRIM('Base de Datos'!Z157)="","",IFERROR(IF(IFERROR(FIND("@",SUBSTITUTE(TRIM('Base de Datos'!Z157),",","@",LEN(TRIM('Base de Datos'!Z157))-LEN(SUBSTITUTE(TRIM('Base de Datos'!Z157),",","")))),0)&gt;IFERROR(FIND("@",SUBSTITUTE(TRIM('Base de Datos'!Z157),".","@",LEN(TRIM('Base de Datos'!Z157))-LEN(SUBSTITUTE(TRIM('Base de Datos'!Z157),".","")))),0),_xlfn.NUMBERVALUE(SUBSTITUTE(SUBSTITUTE(TRIM('Base de Datos'!Z157),".",""),",","."),".",","),_xlfn.NUMBERVALUE(SUBSTITUTE(TRIM('Base de Datos'!Z157),",",""),".",",")),"")))</f>
        <v>52016.85</v>
      </c>
    </row>
    <row r="162" customFormat="false" ht="13.5" hidden="false" customHeight="false" outlineLevel="0" collapsed="false">
      <c r="A162" s="75" t="n">
        <f aca="false">ROWS(A$13:A162)</f>
        <v>150</v>
      </c>
      <c r="B162" s="73" t="n">
        <f aca="false">IF(B161="","",IFERROR(SMALL($AH$10:$AH$409,COUNTIF($AH$10:$AH$409,"&lt;="&amp;B161)+1),""))</f>
        <v>45529</v>
      </c>
      <c r="C162" s="74" t="n">
        <f aca="false">IF(B162="","",INDEX($AI$10:$AI$409,MATCH(B162,$AH$10:$AH$409,0)))</f>
        <v>30.48</v>
      </c>
      <c r="D162" s="74" t="n">
        <f aca="false">IF(B162="","",IFERROR(INDEX($AK$10:$AK$409,MATCH(B162,$AJ$10:$AJ$409,0)),""))</f>
        <v>51985.87</v>
      </c>
      <c r="E162" s="76" t="n">
        <f aca="false">IF(AND(ISNUMBER(C162),ISNUMBER(C161)),C162/C161-1,"")</f>
        <v>0.000328191663931721</v>
      </c>
      <c r="F162" s="76" t="n">
        <f aca="false">IF(AND(ISNUMBER(D162),ISNUMBER(D161)),D162/D161-1,"")</f>
        <v>-0.0281365510258562</v>
      </c>
      <c r="G162" s="75" t="n">
        <f aca="false">IF(AND(ISNUMBER(E162),ISNUMBER(F162)),1,"")</f>
        <v>1</v>
      </c>
      <c r="H162" s="75" t="n">
        <f aca="false">IF(G162=1,COUNT(G162:G$412),"")</f>
        <v>110</v>
      </c>
      <c r="I162" s="75" t="n">
        <f aca="false">IF(G162=1,IF(H162&lt;='Beta Regresión'!$B$5,1,""),"")</f>
        <v>1</v>
      </c>
      <c r="J162" s="76" t="n">
        <f aca="false">IF(I162=1,E162,"")</f>
        <v>0.000328191663931721</v>
      </c>
      <c r="K162" s="76" t="n">
        <f aca="false">IF(I162=1,F162,"")</f>
        <v>-0.0281365510258562</v>
      </c>
      <c r="L162" s="75" t="n">
        <f aca="false">IF(I162=1,COUNT(I$13:I162),"")</f>
        <v>149</v>
      </c>
      <c r="M162" s="76" t="n">
        <f aca="false">IFERROR(INDEX($J$13:$J$412,MATCH(A162,$L$13:$L$412,0)),"")</f>
        <v>-0.0226377952755906</v>
      </c>
      <c r="N162" s="76" t="n">
        <f aca="false">IFERROR(INDEX($K$13:$K$412,MATCH(A162,$L$13:$L$412,0)),"")</f>
        <v>-0.0173591400894128</v>
      </c>
      <c r="O162" s="76" t="n">
        <f aca="false">IF(I162=1,E162,NA())</f>
        <v>0.000328191663931721</v>
      </c>
      <c r="P162" s="76" t="n">
        <f aca="false">IF(I162=1,F162,NA())</f>
        <v>-0.0281365510258562</v>
      </c>
      <c r="R162" s="75" t="n">
        <f aca="false">ROWS(R$13:R162)</f>
        <v>150</v>
      </c>
      <c r="S162" s="73" t="str">
        <f aca="false">IF(S161="","",IFERROR(SMALL($AD$10:$AD$509,COUNTIF($AD$10:$AD$509,"&lt;="&amp;S161)+1),""))</f>
        <v/>
      </c>
      <c r="T162" s="74" t="str">
        <f aca="false">IF(S162="","",INDEX($AE$10:$AE$509,MATCH(S162,$AD$10:$AD$509,0)))</f>
        <v/>
      </c>
      <c r="U162" s="74" t="str">
        <f aca="false">IF(S162="","",IFERROR(INDEX($AG$10:$AG$509,MATCH(S162,$AF$10:$AF$509,0)),""))</f>
        <v/>
      </c>
      <c r="V162" s="76" t="str">
        <f aca="false">IF(AND(ISNUMBER(T162),ISNUMBER(T161)),T162/T161-1,"")</f>
        <v/>
      </c>
      <c r="W162" s="76" t="str">
        <f aca="false">IF(AND(ISNUMBER(U162),ISNUMBER(U161)),U162/U161-1,"")</f>
        <v/>
      </c>
      <c r="X162" s="75" t="str">
        <f aca="false">IF(AND(ISNUMBER(V162),ISNUMBER(W162)),1,"")</f>
        <v/>
      </c>
      <c r="Y162" s="76" t="str">
        <f aca="false">IF(X162=1,V162,"")</f>
        <v/>
      </c>
      <c r="Z162" s="76" t="str">
        <f aca="false">IF(X162=1,W162,"")</f>
        <v/>
      </c>
      <c r="AA162" s="76" t="e">
        <f aca="false">IF(X162=1,V162,NA())</f>
        <v>#N/A</v>
      </c>
      <c r="AB162" s="76" t="e">
        <f aca="false">IF(X162=1,W162,NA())</f>
        <v>#N/A</v>
      </c>
      <c r="AD162" s="73" t="str">
        <f aca="false">IF(ISNUMBER(AE162),IF(ISNUMBER('Base de Datos'!A158),IF('Base de Datos'!A158&gt;20000,DATE(YEAR('Base de Datos'!A158),DAY('Base de Datos'!A158),MONTH('Base de Datos'!A158)),""),IF(TRIM('Base de Datos'!A158)="","",IFERROR(DATE(VALUE(RIGHT(TRIM('Base de Datos'!A158),4)),VALUE(LEFT(TRIM('Base de Datos'!A158),2)),VALUE(MID(TRIM('Base de Datos'!A158),4,2))),""))),"")</f>
        <v/>
      </c>
      <c r="AE162" s="74" t="str">
        <f aca="false">IF(ISNUMBER('Base de Datos'!B158),'Base de Datos'!B158,IF(TRIM('Base de Datos'!B158)="","",IFERROR(IF(IFERROR(FIND("@",SUBSTITUTE(TRIM('Base de Datos'!B158),",","@",LEN(TRIM('Base de Datos'!B158))-LEN(SUBSTITUTE(TRIM('Base de Datos'!B158),",","")))),0)&gt;IFERROR(FIND("@",SUBSTITUTE(TRIM('Base de Datos'!B158),".","@",LEN(TRIM('Base de Datos'!B158))-LEN(SUBSTITUTE(TRIM('Base de Datos'!B158),".","")))),0),_xlfn.NUMBERVALUE(SUBSTITUTE(SUBSTITUTE(TRIM('Base de Datos'!B158),".",""),",","."),".",","),_xlfn.NUMBERVALUE(SUBSTITUTE(TRIM('Base de Datos'!B158),",",""),".",",")),"")))</f>
        <v/>
      </c>
      <c r="AF162" s="73" t="str">
        <f aca="false">IF(ISNUMBER(AG162),IF(ISNUMBER('Base de Datos'!I158),IF('Base de Datos'!I158&gt;20000,INT('Base de Datos'!I158),""),IF(TRIM('Base de Datos'!I158)="","",IFERROR(DATE(VALUE(RIGHT(TRIM('Base de Datos'!I158),4)),VALUE(MID(TRIM('Base de Datos'!I158),4,2)),VALUE(LEFT(TRIM('Base de Datos'!I158),2))),IFERROR(DATEVALUE(TRIM('Base de Datos'!I158)),"")))),"")</f>
        <v/>
      </c>
      <c r="AG162" s="74" t="str">
        <f aca="false">IF(ISNUMBER('Base de Datos'!J158),'Base de Datos'!J158,IF(TRIM('Base de Datos'!J158)="","",IFERROR(IF(IFERROR(FIND("@",SUBSTITUTE(TRIM('Base de Datos'!J158),",","@",LEN(TRIM('Base de Datos'!J158))-LEN(SUBSTITUTE(TRIM('Base de Datos'!J158),",","")))),0)&gt;IFERROR(FIND("@",SUBSTITUTE(TRIM('Base de Datos'!J158),".","@",LEN(TRIM('Base de Datos'!J158))-LEN(SUBSTITUTE(TRIM('Base de Datos'!J158),".","")))),0),_xlfn.NUMBERVALUE(SUBSTITUTE(SUBSTITUTE(TRIM('Base de Datos'!J158),".",""),",","."),".",","),_xlfn.NUMBERVALUE(SUBSTITUTE(TRIM('Base de Datos'!J158),",",""),".",",")),"")))</f>
        <v/>
      </c>
      <c r="AH162" s="73" t="n">
        <f aca="false">IF(ISNUMBER(AI162),IF(ISNUMBER('Base de Datos'!Q158),IF('Base de Datos'!Q158&gt;20000,DATE(YEAR('Base de Datos'!Q158),DAY('Base de Datos'!Q158),MONTH('Base de Datos'!Q158)),""),IF(TRIM('Base de Datos'!Q158)="","",IFERROR(DATE(VALUE(RIGHT(TRIM('Base de Datos'!Q158),4)),VALUE(LEFT(TRIM('Base de Datos'!Q158),2)),VALUE(MID(TRIM('Base de Datos'!Q158),4,2))),""))),"")</f>
        <v>45550</v>
      </c>
      <c r="AI162" s="74" t="n">
        <f aca="false">IF(ISNUMBER('Base de Datos'!R158),'Base de Datos'!R158,IF(TRIM('Base de Datos'!R158)="","",IFERROR(IF(IFERROR(FIND("@",SUBSTITUTE(TRIM('Base de Datos'!R158),",","@",LEN(TRIM('Base de Datos'!R158))-LEN(SUBSTITUTE(TRIM('Base de Datos'!R158),",","")))),0)&gt;IFERROR(FIND("@",SUBSTITUTE(TRIM('Base de Datos'!R158),".","@",LEN(TRIM('Base de Datos'!R158))-LEN(SUBSTITUTE(TRIM('Base de Datos'!R158),".","")))),0),_xlfn.NUMBERVALUE(SUBSTITUTE(SUBSTITUTE(TRIM('Base de Datos'!R158),".",""),",","."),".",","),_xlfn.NUMBERVALUE(SUBSTITUTE(TRIM('Base de Datos'!R158),",",""),".",",")),"")))</f>
        <v>30.48</v>
      </c>
      <c r="AJ162" s="73" t="n">
        <f aca="false">IF(ISNUMBER(AK162),IF(ISNUMBER('Base de Datos'!Y158),IF('Base de Datos'!Y158&gt;20000,INT('Base de Datos'!Y158),""),IF(TRIM('Base de Datos'!Y158)="","",IFERROR(DATE(VALUE(RIGHT(TRIM('Base de Datos'!Y158),4)),VALUE(MID(TRIM('Base de Datos'!Y158),4,2)),VALUE(LEFT(TRIM('Base de Datos'!Y158),2))),IFERROR(DATEVALUE(TRIM('Base de Datos'!Y158)),"")))),"")</f>
        <v>45550</v>
      </c>
      <c r="AK162" s="74" t="n">
        <f aca="false">IF(ISNUMBER('Base de Datos'!Z158),'Base de Datos'!Z158,IF(TRIM('Base de Datos'!Z158)="","",IFERROR(IF(IFERROR(FIND("@",SUBSTITUTE(TRIM('Base de Datos'!Z158),",","@",LEN(TRIM('Base de Datos'!Z158))-LEN(SUBSTITUTE(TRIM('Base de Datos'!Z158),",","")))),0)&gt;IFERROR(FIND("@",SUBSTITUTE(TRIM('Base de Datos'!Z158),".","@",LEN(TRIM('Base de Datos'!Z158))-LEN(SUBSTITUTE(TRIM('Base de Datos'!Z158),".","")))),0),_xlfn.NUMBERVALUE(SUBSTITUTE(SUBSTITUTE(TRIM('Base de Datos'!Z158),".",""),",","."),".",","),_xlfn.NUMBERVALUE(SUBSTITUTE(TRIM('Base de Datos'!Z158),",",""),".",",")),"")))</f>
        <v>52190.48</v>
      </c>
    </row>
    <row r="163" customFormat="false" ht="13.5" hidden="false" customHeight="false" outlineLevel="0" collapsed="false">
      <c r="A163" s="75" t="n">
        <f aca="false">ROWS(A$13:A163)</f>
        <v>151</v>
      </c>
      <c r="B163" s="73" t="n">
        <f aca="false">IF(B162="","",IFERROR(SMALL($AH$10:$AH$409,COUNTIF($AH$10:$AH$409,"&lt;="&amp;B162)+1),""))</f>
        <v>45536</v>
      </c>
      <c r="C163" s="74" t="n">
        <f aca="false">IF(B163="","",INDEX($AI$10:$AI$409,MATCH(B163,$AH$10:$AH$409,0)))</f>
        <v>29.79</v>
      </c>
      <c r="D163" s="74" t="n">
        <f aca="false">IF(B163="","",IFERROR(INDEX($AK$10:$AK$409,MATCH(B163,$AJ$10:$AJ$409,0)),""))</f>
        <v>51083.44</v>
      </c>
      <c r="E163" s="76" t="n">
        <f aca="false">IF(AND(ISNUMBER(C163),ISNUMBER(C162)),C163/C162-1,"")</f>
        <v>-0.0226377952755906</v>
      </c>
      <c r="F163" s="76" t="n">
        <f aca="false">IF(AND(ISNUMBER(D163),ISNUMBER(D162)),D163/D162-1,"")</f>
        <v>-0.0173591400894128</v>
      </c>
      <c r="G163" s="75" t="n">
        <f aca="false">IF(AND(ISNUMBER(E163),ISNUMBER(F163)),1,"")</f>
        <v>1</v>
      </c>
      <c r="H163" s="75" t="n">
        <f aca="false">IF(G163=1,COUNT(G163:G$412),"")</f>
        <v>109</v>
      </c>
      <c r="I163" s="75" t="n">
        <f aca="false">IF(G163=1,IF(H163&lt;='Beta Regresión'!$B$5,1,""),"")</f>
        <v>1</v>
      </c>
      <c r="J163" s="76" t="n">
        <f aca="false">IF(I163=1,E163,"")</f>
        <v>-0.0226377952755906</v>
      </c>
      <c r="K163" s="76" t="n">
        <f aca="false">IF(I163=1,F163,"")</f>
        <v>-0.0173591400894128</v>
      </c>
      <c r="L163" s="75" t="n">
        <f aca="false">IF(I163=1,COUNT(I$13:I163),"")</f>
        <v>150</v>
      </c>
      <c r="M163" s="76" t="n">
        <f aca="false">IFERROR(INDEX($J$13:$J$412,MATCH(A163,$L$13:$L$412,0)),"")</f>
        <v>0.00704934541792546</v>
      </c>
      <c r="N163" s="76" t="n">
        <f aca="false">IFERROR(INDEX($K$13:$K$412,MATCH(A163,$L$13:$L$412,0)),"")</f>
        <v>0.0182722620089797</v>
      </c>
      <c r="O163" s="76" t="n">
        <f aca="false">IF(I163=1,E163,NA())</f>
        <v>-0.0226377952755906</v>
      </c>
      <c r="P163" s="76" t="n">
        <f aca="false">IF(I163=1,F163,NA())</f>
        <v>-0.0173591400894128</v>
      </c>
      <c r="R163" s="75" t="n">
        <f aca="false">ROWS(R$13:R163)</f>
        <v>151</v>
      </c>
      <c r="S163" s="73" t="str">
        <f aca="false">IF(S162="","",IFERROR(SMALL($AD$10:$AD$509,COUNTIF($AD$10:$AD$509,"&lt;="&amp;S162)+1),""))</f>
        <v/>
      </c>
      <c r="T163" s="74" t="str">
        <f aca="false">IF(S163="","",INDEX($AE$10:$AE$509,MATCH(S163,$AD$10:$AD$509,0)))</f>
        <v/>
      </c>
      <c r="U163" s="74" t="str">
        <f aca="false">IF(S163="","",IFERROR(INDEX($AG$10:$AG$509,MATCH(S163,$AF$10:$AF$509,0)),""))</f>
        <v/>
      </c>
      <c r="V163" s="76" t="str">
        <f aca="false">IF(AND(ISNUMBER(T163),ISNUMBER(T162)),T163/T162-1,"")</f>
        <v/>
      </c>
      <c r="W163" s="76" t="str">
        <f aca="false">IF(AND(ISNUMBER(U163),ISNUMBER(U162)),U163/U162-1,"")</f>
        <v/>
      </c>
      <c r="X163" s="75" t="str">
        <f aca="false">IF(AND(ISNUMBER(V163),ISNUMBER(W163)),1,"")</f>
        <v/>
      </c>
      <c r="Y163" s="76" t="str">
        <f aca="false">IF(X163=1,V163,"")</f>
        <v/>
      </c>
      <c r="Z163" s="76" t="str">
        <f aca="false">IF(X163=1,W163,"")</f>
        <v/>
      </c>
      <c r="AA163" s="76" t="e">
        <f aca="false">IF(X163=1,V163,NA())</f>
        <v>#N/A</v>
      </c>
      <c r="AB163" s="76" t="e">
        <f aca="false">IF(X163=1,W163,NA())</f>
        <v>#N/A</v>
      </c>
      <c r="AD163" s="73" t="str">
        <f aca="false">IF(ISNUMBER(AE163),IF(ISNUMBER('Base de Datos'!A159),IF('Base de Datos'!A159&gt;20000,DATE(YEAR('Base de Datos'!A159),DAY('Base de Datos'!A159),MONTH('Base de Datos'!A159)),""),IF(TRIM('Base de Datos'!A159)="","",IFERROR(DATE(VALUE(RIGHT(TRIM('Base de Datos'!A159),4)),VALUE(LEFT(TRIM('Base de Datos'!A159),2)),VALUE(MID(TRIM('Base de Datos'!A159),4,2))),""))),"")</f>
        <v/>
      </c>
      <c r="AE163" s="74" t="str">
        <f aca="false">IF(ISNUMBER('Base de Datos'!B159),'Base de Datos'!B159,IF(TRIM('Base de Datos'!B159)="","",IFERROR(IF(IFERROR(FIND("@",SUBSTITUTE(TRIM('Base de Datos'!B159),",","@",LEN(TRIM('Base de Datos'!B159))-LEN(SUBSTITUTE(TRIM('Base de Datos'!B159),",","")))),0)&gt;IFERROR(FIND("@",SUBSTITUTE(TRIM('Base de Datos'!B159),".","@",LEN(TRIM('Base de Datos'!B159))-LEN(SUBSTITUTE(TRIM('Base de Datos'!B159),".","")))),0),_xlfn.NUMBERVALUE(SUBSTITUTE(SUBSTITUTE(TRIM('Base de Datos'!B159),".",""),",","."),".",","),_xlfn.NUMBERVALUE(SUBSTITUTE(TRIM('Base de Datos'!B159),",",""),".",",")),"")))</f>
        <v/>
      </c>
      <c r="AF163" s="73" t="str">
        <f aca="false">IF(ISNUMBER(AG163),IF(ISNUMBER('Base de Datos'!I159),IF('Base de Datos'!I159&gt;20000,INT('Base de Datos'!I159),""),IF(TRIM('Base de Datos'!I159)="","",IFERROR(DATE(VALUE(RIGHT(TRIM('Base de Datos'!I159),4)),VALUE(MID(TRIM('Base de Datos'!I159),4,2)),VALUE(LEFT(TRIM('Base de Datos'!I159),2))),IFERROR(DATEVALUE(TRIM('Base de Datos'!I159)),"")))),"")</f>
        <v/>
      </c>
      <c r="AG163" s="74" t="str">
        <f aca="false">IF(ISNUMBER('Base de Datos'!J159),'Base de Datos'!J159,IF(TRIM('Base de Datos'!J159)="","",IFERROR(IF(IFERROR(FIND("@",SUBSTITUTE(TRIM('Base de Datos'!J159),",","@",LEN(TRIM('Base de Datos'!J159))-LEN(SUBSTITUTE(TRIM('Base de Datos'!J159),",","")))),0)&gt;IFERROR(FIND("@",SUBSTITUTE(TRIM('Base de Datos'!J159),".","@",LEN(TRIM('Base de Datos'!J159))-LEN(SUBSTITUTE(TRIM('Base de Datos'!J159),".","")))),0),_xlfn.NUMBERVALUE(SUBSTITUTE(SUBSTITUTE(TRIM('Base de Datos'!J159),".",""),",","."),".",","),_xlfn.NUMBERVALUE(SUBSTITUTE(TRIM('Base de Datos'!J159),",",""),".",",")),"")))</f>
        <v/>
      </c>
      <c r="AH163" s="73" t="n">
        <f aca="false">IF(ISNUMBER(AI163),IF(ISNUMBER('Base de Datos'!Q159),IF('Base de Datos'!Q159&gt;20000,DATE(YEAR('Base de Datos'!Q159),DAY('Base de Datos'!Q159),MONTH('Base de Datos'!Q159)),""),IF(TRIM('Base de Datos'!Q159)="","",IFERROR(DATE(VALUE(RIGHT(TRIM('Base de Datos'!Q159),4)),VALUE(LEFT(TRIM('Base de Datos'!Q159),2)),VALUE(MID(TRIM('Base de Datos'!Q159),4,2))),""))),"")</f>
        <v>45557</v>
      </c>
      <c r="AI163" s="74" t="n">
        <f aca="false">IF(ISNUMBER('Base de Datos'!R159),'Base de Datos'!R159,IF(TRIM('Base de Datos'!R159)="","",IFERROR(IF(IFERROR(FIND("@",SUBSTITUTE(TRIM('Base de Datos'!R159),",","@",LEN(TRIM('Base de Datos'!R159))-LEN(SUBSTITUTE(TRIM('Base de Datos'!R159),",","")))),0)&gt;IFERROR(FIND("@",SUBSTITUTE(TRIM('Base de Datos'!R159),".","@",LEN(TRIM('Base de Datos'!R159))-LEN(SUBSTITUTE(TRIM('Base de Datos'!R159),".","")))),0),_xlfn.NUMBERVALUE(SUBSTITUTE(SUBSTITUTE(TRIM('Base de Datos'!R159),".",""),",","."),".",","),_xlfn.NUMBERVALUE(SUBSTITUTE(TRIM('Base de Datos'!R159),",",""),".",",")),"")))</f>
        <v>31.04</v>
      </c>
      <c r="AJ163" s="73" t="n">
        <f aca="false">IF(ISNUMBER(AK163),IF(ISNUMBER('Base de Datos'!Y159),IF('Base de Datos'!Y159&gt;20000,INT('Base de Datos'!Y159),""),IF(TRIM('Base de Datos'!Y159)="","",IFERROR(DATE(VALUE(RIGHT(TRIM('Base de Datos'!Y159),4)),VALUE(MID(TRIM('Base de Datos'!Y159),4,2)),VALUE(LEFT(TRIM('Base de Datos'!Y159),2))),IFERROR(DATEVALUE(TRIM('Base de Datos'!Y159)),"")))),"")</f>
        <v>45557</v>
      </c>
      <c r="AK163" s="74" t="n">
        <f aca="false">IF(ISNUMBER('Base de Datos'!Z159),'Base de Datos'!Z159,IF(TRIM('Base de Datos'!Z159)="","",IFERROR(IF(IFERROR(FIND("@",SUBSTITUTE(TRIM('Base de Datos'!Z159),",","@",LEN(TRIM('Base de Datos'!Z159))-LEN(SUBSTITUTE(TRIM('Base de Datos'!Z159),",","")))),0)&gt;IFERROR(FIND("@",SUBSTITUTE(TRIM('Base de Datos'!Z159),".","@",LEN(TRIM('Base de Datos'!Z159))-LEN(SUBSTITUTE(TRIM('Base de Datos'!Z159),".","")))),0),_xlfn.NUMBERVALUE(SUBSTITUTE(SUBSTITUTE(TRIM('Base de Datos'!Z159),".",""),",","."),".",","),_xlfn.NUMBERVALUE(SUBSTITUTE(TRIM('Base de Datos'!Z159),",",""),".",",")),"")))</f>
        <v>52778.17</v>
      </c>
    </row>
    <row r="164" customFormat="false" ht="13.5" hidden="false" customHeight="false" outlineLevel="0" collapsed="false">
      <c r="A164" s="75" t="n">
        <f aca="false">ROWS(A$13:A164)</f>
        <v>152</v>
      </c>
      <c r="B164" s="73" t="n">
        <f aca="false">IF(B163="","",IFERROR(SMALL($AH$10:$AH$409,COUNTIF($AH$10:$AH$409,"&lt;="&amp;B163)+1),""))</f>
        <v>45543</v>
      </c>
      <c r="C164" s="74" t="n">
        <f aca="false">IF(B164="","",INDEX($AI$10:$AI$409,MATCH(B164,$AH$10:$AH$409,0)))</f>
        <v>30</v>
      </c>
      <c r="D164" s="74" t="n">
        <f aca="false">IF(B164="","",IFERROR(INDEX($AK$10:$AK$409,MATCH(B164,$AJ$10:$AJ$409,0)),""))</f>
        <v>52016.85</v>
      </c>
      <c r="E164" s="76" t="n">
        <f aca="false">IF(AND(ISNUMBER(C164),ISNUMBER(C163)),C164/C163-1,"")</f>
        <v>0.00704934541792546</v>
      </c>
      <c r="F164" s="76" t="n">
        <f aca="false">IF(AND(ISNUMBER(D164),ISNUMBER(D163)),D164/D163-1,"")</f>
        <v>0.0182722620089797</v>
      </c>
      <c r="G164" s="75" t="n">
        <f aca="false">IF(AND(ISNUMBER(E164),ISNUMBER(F164)),1,"")</f>
        <v>1</v>
      </c>
      <c r="H164" s="75" t="n">
        <f aca="false">IF(G164=1,COUNT(G164:G$412),"")</f>
        <v>108</v>
      </c>
      <c r="I164" s="75" t="n">
        <f aca="false">IF(G164=1,IF(H164&lt;='Beta Regresión'!$B$5,1,""),"")</f>
        <v>1</v>
      </c>
      <c r="J164" s="76" t="n">
        <f aca="false">IF(I164=1,E164,"")</f>
        <v>0.00704934541792546</v>
      </c>
      <c r="K164" s="76" t="n">
        <f aca="false">IF(I164=1,F164,"")</f>
        <v>0.0182722620089797</v>
      </c>
      <c r="L164" s="75" t="n">
        <f aca="false">IF(I164=1,COUNT(I$13:I164),"")</f>
        <v>151</v>
      </c>
      <c r="M164" s="76" t="n">
        <f aca="false">IFERROR(INDEX($J$13:$J$412,MATCH(A164,$L$13:$L$412,0)),"")</f>
        <v>0.016</v>
      </c>
      <c r="N164" s="76" t="n">
        <f aca="false">IFERROR(INDEX($K$13:$K$412,MATCH(A164,$L$13:$L$412,0)),"")</f>
        <v>0.00333795683514104</v>
      </c>
      <c r="O164" s="76" t="n">
        <f aca="false">IF(I164=1,E164,NA())</f>
        <v>0.00704934541792546</v>
      </c>
      <c r="P164" s="76" t="n">
        <f aca="false">IF(I164=1,F164,NA())</f>
        <v>0.0182722620089797</v>
      </c>
      <c r="R164" s="75" t="n">
        <f aca="false">ROWS(R$13:R164)</f>
        <v>152</v>
      </c>
      <c r="S164" s="73" t="str">
        <f aca="false">IF(S163="","",IFERROR(SMALL($AD$10:$AD$509,COUNTIF($AD$10:$AD$509,"&lt;="&amp;S163)+1),""))</f>
        <v/>
      </c>
      <c r="T164" s="74" t="str">
        <f aca="false">IF(S164="","",INDEX($AE$10:$AE$509,MATCH(S164,$AD$10:$AD$509,0)))</f>
        <v/>
      </c>
      <c r="U164" s="74" t="str">
        <f aca="false">IF(S164="","",IFERROR(INDEX($AG$10:$AG$509,MATCH(S164,$AF$10:$AF$509,0)),""))</f>
        <v/>
      </c>
      <c r="V164" s="76" t="str">
        <f aca="false">IF(AND(ISNUMBER(T164),ISNUMBER(T163)),T164/T163-1,"")</f>
        <v/>
      </c>
      <c r="W164" s="76" t="str">
        <f aca="false">IF(AND(ISNUMBER(U164),ISNUMBER(U163)),U164/U163-1,"")</f>
        <v/>
      </c>
      <c r="X164" s="75" t="str">
        <f aca="false">IF(AND(ISNUMBER(V164),ISNUMBER(W164)),1,"")</f>
        <v/>
      </c>
      <c r="Y164" s="76" t="str">
        <f aca="false">IF(X164=1,V164,"")</f>
        <v/>
      </c>
      <c r="Z164" s="76" t="str">
        <f aca="false">IF(X164=1,W164,"")</f>
        <v/>
      </c>
      <c r="AA164" s="76" t="e">
        <f aca="false">IF(X164=1,V164,NA())</f>
        <v>#N/A</v>
      </c>
      <c r="AB164" s="76" t="e">
        <f aca="false">IF(X164=1,W164,NA())</f>
        <v>#N/A</v>
      </c>
      <c r="AD164" s="73" t="str">
        <f aca="false">IF(ISNUMBER(AE164),IF(ISNUMBER('Base de Datos'!A160),IF('Base de Datos'!A160&gt;20000,DATE(YEAR('Base de Datos'!A160),DAY('Base de Datos'!A160),MONTH('Base de Datos'!A160)),""),IF(TRIM('Base de Datos'!A160)="","",IFERROR(DATE(VALUE(RIGHT(TRIM('Base de Datos'!A160),4)),VALUE(LEFT(TRIM('Base de Datos'!A160),2)),VALUE(MID(TRIM('Base de Datos'!A160),4,2))),""))),"")</f>
        <v/>
      </c>
      <c r="AE164" s="74" t="str">
        <f aca="false">IF(ISNUMBER('Base de Datos'!B160),'Base de Datos'!B160,IF(TRIM('Base de Datos'!B160)="","",IFERROR(IF(IFERROR(FIND("@",SUBSTITUTE(TRIM('Base de Datos'!B160),",","@",LEN(TRIM('Base de Datos'!B160))-LEN(SUBSTITUTE(TRIM('Base de Datos'!B160),",","")))),0)&gt;IFERROR(FIND("@",SUBSTITUTE(TRIM('Base de Datos'!B160),".","@",LEN(TRIM('Base de Datos'!B160))-LEN(SUBSTITUTE(TRIM('Base de Datos'!B160),".","")))),0),_xlfn.NUMBERVALUE(SUBSTITUTE(SUBSTITUTE(TRIM('Base de Datos'!B160),".",""),",","."),".",","),_xlfn.NUMBERVALUE(SUBSTITUTE(TRIM('Base de Datos'!B160),",",""),".",",")),"")))</f>
        <v/>
      </c>
      <c r="AF164" s="73" t="str">
        <f aca="false">IF(ISNUMBER(AG164),IF(ISNUMBER('Base de Datos'!I160),IF('Base de Datos'!I160&gt;20000,INT('Base de Datos'!I160),""),IF(TRIM('Base de Datos'!I160)="","",IFERROR(DATE(VALUE(RIGHT(TRIM('Base de Datos'!I160),4)),VALUE(MID(TRIM('Base de Datos'!I160),4,2)),VALUE(LEFT(TRIM('Base de Datos'!I160),2))),IFERROR(DATEVALUE(TRIM('Base de Datos'!I160)),"")))),"")</f>
        <v/>
      </c>
      <c r="AG164" s="74" t="str">
        <f aca="false">IF(ISNUMBER('Base de Datos'!J160),'Base de Datos'!J160,IF(TRIM('Base de Datos'!J160)="","",IFERROR(IF(IFERROR(FIND("@",SUBSTITUTE(TRIM('Base de Datos'!J160),",","@",LEN(TRIM('Base de Datos'!J160))-LEN(SUBSTITUTE(TRIM('Base de Datos'!J160),",","")))),0)&gt;IFERROR(FIND("@",SUBSTITUTE(TRIM('Base de Datos'!J160),".","@",LEN(TRIM('Base de Datos'!J160))-LEN(SUBSTITUTE(TRIM('Base de Datos'!J160),".","")))),0),_xlfn.NUMBERVALUE(SUBSTITUTE(SUBSTITUTE(TRIM('Base de Datos'!J160),".",""),",","."),".",","),_xlfn.NUMBERVALUE(SUBSTITUTE(TRIM('Base de Datos'!J160),",",""),".",",")),"")))</f>
        <v/>
      </c>
      <c r="AH164" s="73" t="n">
        <f aca="false">IF(ISNUMBER(AI164),IF(ISNUMBER('Base de Datos'!Q160),IF('Base de Datos'!Q160&gt;20000,DATE(YEAR('Base de Datos'!Q160),DAY('Base de Datos'!Q160),MONTH('Base de Datos'!Q160)),""),IF(TRIM('Base de Datos'!Q160)="","",IFERROR(DATE(VALUE(RIGHT(TRIM('Base de Datos'!Q160),4)),VALUE(LEFT(TRIM('Base de Datos'!Q160),2)),VALUE(MID(TRIM('Base de Datos'!Q160),4,2))),""))),"")</f>
        <v>45564</v>
      </c>
      <c r="AI164" s="74" t="n">
        <f aca="false">IF(ISNUMBER('Base de Datos'!R160),'Base de Datos'!R160,IF(TRIM('Base de Datos'!R160)="","",IFERROR(IF(IFERROR(FIND("@",SUBSTITUTE(TRIM('Base de Datos'!R160),",","@",LEN(TRIM('Base de Datos'!R160))-LEN(SUBSTITUTE(TRIM('Base de Datos'!R160),",","")))),0)&gt;IFERROR(FIND("@",SUBSTITUTE(TRIM('Base de Datos'!R160),".","@",LEN(TRIM('Base de Datos'!R160))-LEN(SUBSTITUTE(TRIM('Base de Datos'!R160),".","")))),0),_xlfn.NUMBERVALUE(SUBSTITUTE(SUBSTITUTE(TRIM('Base de Datos'!R160),".",""),",","."),".",","),_xlfn.NUMBERVALUE(SUBSTITUTE(TRIM('Base de Datos'!R160),",",""),".",",")),"")))</f>
        <v>30.4</v>
      </c>
      <c r="AJ164" s="73" t="n">
        <f aca="false">IF(ISNUMBER(AK164),IF(ISNUMBER('Base de Datos'!Y160),IF('Base de Datos'!Y160&gt;20000,INT('Base de Datos'!Y160),""),IF(TRIM('Base de Datos'!Y160)="","",IFERROR(DATE(VALUE(RIGHT(TRIM('Base de Datos'!Y160),4)),VALUE(MID(TRIM('Base de Datos'!Y160),4,2)),VALUE(LEFT(TRIM('Base de Datos'!Y160),2))),IFERROR(DATEVALUE(TRIM('Base de Datos'!Y160)),"")))),"")</f>
        <v>45564</v>
      </c>
      <c r="AK164" s="74" t="n">
        <f aca="false">IF(ISNUMBER('Base de Datos'!Z160),'Base de Datos'!Z160,IF(TRIM('Base de Datos'!Z160)="","",IFERROR(IF(IFERROR(FIND("@",SUBSTITUTE(TRIM('Base de Datos'!Z160),",","@",LEN(TRIM('Base de Datos'!Z160))-LEN(SUBSTITUTE(TRIM('Base de Datos'!Z160),",","")))),0)&gt;IFERROR(FIND("@",SUBSTITUTE(TRIM('Base de Datos'!Z160),".","@",LEN(TRIM('Base de Datos'!Z160))-LEN(SUBSTITUTE(TRIM('Base de Datos'!Z160),".","")))),0),_xlfn.NUMBERVALUE(SUBSTITUTE(SUBSTITUTE(TRIM('Base de Datos'!Z160),".",""),",","."),".",","),_xlfn.NUMBERVALUE(SUBSTITUTE(TRIM('Base de Datos'!Z160),",",""),".",",")),"")))</f>
        <v>52609.87</v>
      </c>
    </row>
    <row r="165" customFormat="false" ht="13.5" hidden="false" customHeight="false" outlineLevel="0" collapsed="false">
      <c r="A165" s="75" t="n">
        <f aca="false">ROWS(A$13:A165)</f>
        <v>153</v>
      </c>
      <c r="B165" s="73" t="n">
        <f aca="false">IF(B164="","",IFERROR(SMALL($AH$10:$AH$409,COUNTIF($AH$10:$AH$409,"&lt;="&amp;B164)+1),""))</f>
        <v>45550</v>
      </c>
      <c r="C165" s="74" t="n">
        <f aca="false">IF(B165="","",INDEX($AI$10:$AI$409,MATCH(B165,$AH$10:$AH$409,0)))</f>
        <v>30.48</v>
      </c>
      <c r="D165" s="74" t="n">
        <f aca="false">IF(B165="","",IFERROR(INDEX($AK$10:$AK$409,MATCH(B165,$AJ$10:$AJ$409,0)),""))</f>
        <v>52190.48</v>
      </c>
      <c r="E165" s="76" t="n">
        <f aca="false">IF(AND(ISNUMBER(C165),ISNUMBER(C164)),C165/C164-1,"")</f>
        <v>0.016</v>
      </c>
      <c r="F165" s="76" t="n">
        <f aca="false">IF(AND(ISNUMBER(D165),ISNUMBER(D164)),D165/D164-1,"")</f>
        <v>0.00333795683514104</v>
      </c>
      <c r="G165" s="75" t="n">
        <f aca="false">IF(AND(ISNUMBER(E165),ISNUMBER(F165)),1,"")</f>
        <v>1</v>
      </c>
      <c r="H165" s="75" t="n">
        <f aca="false">IF(G165=1,COUNT(G165:G$412),"")</f>
        <v>107</v>
      </c>
      <c r="I165" s="75" t="n">
        <f aca="false">IF(G165=1,IF(H165&lt;='Beta Regresión'!$B$5,1,""),"")</f>
        <v>1</v>
      </c>
      <c r="J165" s="76" t="n">
        <f aca="false">IF(I165=1,E165,"")</f>
        <v>0.016</v>
      </c>
      <c r="K165" s="76" t="n">
        <f aca="false">IF(I165=1,F165,"")</f>
        <v>0.00333795683514104</v>
      </c>
      <c r="L165" s="75" t="n">
        <f aca="false">IF(I165=1,COUNT(I$13:I165),"")</f>
        <v>152</v>
      </c>
      <c r="M165" s="76" t="n">
        <f aca="false">IFERROR(INDEX($J$13:$J$412,MATCH(A165,$L$13:$L$412,0)),"")</f>
        <v>0.0183727034120735</v>
      </c>
      <c r="N165" s="76" t="n">
        <f aca="false">IFERROR(INDEX($K$13:$K$412,MATCH(A165,$L$13:$L$412,0)),"")</f>
        <v>0.0112604827547091</v>
      </c>
      <c r="O165" s="76" t="n">
        <f aca="false">IF(I165=1,E165,NA())</f>
        <v>0.016</v>
      </c>
      <c r="P165" s="76" t="n">
        <f aca="false">IF(I165=1,F165,NA())</f>
        <v>0.00333795683514104</v>
      </c>
      <c r="R165" s="75" t="n">
        <f aca="false">ROWS(R$13:R165)</f>
        <v>153</v>
      </c>
      <c r="S165" s="73" t="str">
        <f aca="false">IF(S164="","",IFERROR(SMALL($AD$10:$AD$509,COUNTIF($AD$10:$AD$509,"&lt;="&amp;S164)+1),""))</f>
        <v/>
      </c>
      <c r="T165" s="74" t="str">
        <f aca="false">IF(S165="","",INDEX($AE$10:$AE$509,MATCH(S165,$AD$10:$AD$509,0)))</f>
        <v/>
      </c>
      <c r="U165" s="74" t="str">
        <f aca="false">IF(S165="","",IFERROR(INDEX($AG$10:$AG$509,MATCH(S165,$AF$10:$AF$509,0)),""))</f>
        <v/>
      </c>
      <c r="V165" s="76" t="str">
        <f aca="false">IF(AND(ISNUMBER(T165),ISNUMBER(T164)),T165/T164-1,"")</f>
        <v/>
      </c>
      <c r="W165" s="76" t="str">
        <f aca="false">IF(AND(ISNUMBER(U165),ISNUMBER(U164)),U165/U164-1,"")</f>
        <v/>
      </c>
      <c r="X165" s="75" t="str">
        <f aca="false">IF(AND(ISNUMBER(V165),ISNUMBER(W165)),1,"")</f>
        <v/>
      </c>
      <c r="Y165" s="76" t="str">
        <f aca="false">IF(X165=1,V165,"")</f>
        <v/>
      </c>
      <c r="Z165" s="76" t="str">
        <f aca="false">IF(X165=1,W165,"")</f>
        <v/>
      </c>
      <c r="AA165" s="76" t="e">
        <f aca="false">IF(X165=1,V165,NA())</f>
        <v>#N/A</v>
      </c>
      <c r="AB165" s="76" t="e">
        <f aca="false">IF(X165=1,W165,NA())</f>
        <v>#N/A</v>
      </c>
      <c r="AD165" s="73" t="str">
        <f aca="false">IF(ISNUMBER(AE165),IF(ISNUMBER('Base de Datos'!A161),IF('Base de Datos'!A161&gt;20000,DATE(YEAR('Base de Datos'!A161),DAY('Base de Datos'!A161),MONTH('Base de Datos'!A161)),""),IF(TRIM('Base de Datos'!A161)="","",IFERROR(DATE(VALUE(RIGHT(TRIM('Base de Datos'!A161),4)),VALUE(LEFT(TRIM('Base de Datos'!A161),2)),VALUE(MID(TRIM('Base de Datos'!A161),4,2))),""))),"")</f>
        <v/>
      </c>
      <c r="AE165" s="74" t="str">
        <f aca="false">IF(ISNUMBER('Base de Datos'!B161),'Base de Datos'!B161,IF(TRIM('Base de Datos'!B161)="","",IFERROR(IF(IFERROR(FIND("@",SUBSTITUTE(TRIM('Base de Datos'!B161),",","@",LEN(TRIM('Base de Datos'!B161))-LEN(SUBSTITUTE(TRIM('Base de Datos'!B161),",","")))),0)&gt;IFERROR(FIND("@",SUBSTITUTE(TRIM('Base de Datos'!B161),".","@",LEN(TRIM('Base de Datos'!B161))-LEN(SUBSTITUTE(TRIM('Base de Datos'!B161),".","")))),0),_xlfn.NUMBERVALUE(SUBSTITUTE(SUBSTITUTE(TRIM('Base de Datos'!B161),".",""),",","."),".",","),_xlfn.NUMBERVALUE(SUBSTITUTE(TRIM('Base de Datos'!B161),",",""),".",",")),"")))</f>
        <v/>
      </c>
      <c r="AF165" s="73" t="str">
        <f aca="false">IF(ISNUMBER(AG165),IF(ISNUMBER('Base de Datos'!I161),IF('Base de Datos'!I161&gt;20000,INT('Base de Datos'!I161),""),IF(TRIM('Base de Datos'!I161)="","",IFERROR(DATE(VALUE(RIGHT(TRIM('Base de Datos'!I161),4)),VALUE(MID(TRIM('Base de Datos'!I161),4,2)),VALUE(LEFT(TRIM('Base de Datos'!I161),2))),IFERROR(DATEVALUE(TRIM('Base de Datos'!I161)),"")))),"")</f>
        <v/>
      </c>
      <c r="AG165" s="74" t="str">
        <f aca="false">IF(ISNUMBER('Base de Datos'!J161),'Base de Datos'!J161,IF(TRIM('Base de Datos'!J161)="","",IFERROR(IF(IFERROR(FIND("@",SUBSTITUTE(TRIM('Base de Datos'!J161),",","@",LEN(TRIM('Base de Datos'!J161))-LEN(SUBSTITUTE(TRIM('Base de Datos'!J161),",","")))),0)&gt;IFERROR(FIND("@",SUBSTITUTE(TRIM('Base de Datos'!J161),".","@",LEN(TRIM('Base de Datos'!J161))-LEN(SUBSTITUTE(TRIM('Base de Datos'!J161),".","")))),0),_xlfn.NUMBERVALUE(SUBSTITUTE(SUBSTITUTE(TRIM('Base de Datos'!J161),".",""),",","."),".",","),_xlfn.NUMBERVALUE(SUBSTITUTE(TRIM('Base de Datos'!J161),",",""),".",",")),"")))</f>
        <v/>
      </c>
      <c r="AH165" s="73" t="n">
        <f aca="false">IF(ISNUMBER(AI165),IF(ISNUMBER('Base de Datos'!Q161),IF('Base de Datos'!Q161&gt;20000,DATE(YEAR('Base de Datos'!Q161),DAY('Base de Datos'!Q161),MONTH('Base de Datos'!Q161)),""),IF(TRIM('Base de Datos'!Q161)="","",IFERROR(DATE(VALUE(RIGHT(TRIM('Base de Datos'!Q161),4)),VALUE(LEFT(TRIM('Base de Datos'!Q161),2)),VALUE(MID(TRIM('Base de Datos'!Q161),4,2))),""))),"")</f>
        <v>45571</v>
      </c>
      <c r="AI165" s="74" t="n">
        <f aca="false">IF(ISNUMBER('Base de Datos'!R161),'Base de Datos'!R161,IF(TRIM('Base de Datos'!R161)="","",IFERROR(IF(IFERROR(FIND("@",SUBSTITUTE(TRIM('Base de Datos'!R161),",","@",LEN(TRIM('Base de Datos'!R161))-LEN(SUBSTITUTE(TRIM('Base de Datos'!R161),",","")))),0)&gt;IFERROR(FIND("@",SUBSTITUTE(TRIM('Base de Datos'!R161),".","@",LEN(TRIM('Base de Datos'!R161))-LEN(SUBSTITUTE(TRIM('Base de Datos'!R161),".","")))),0),_xlfn.NUMBERVALUE(SUBSTITUTE(SUBSTITUTE(TRIM('Base de Datos'!R161),".",""),",","."),".",","),_xlfn.NUMBERVALUE(SUBSTITUTE(TRIM('Base de Datos'!R161),",",""),".",",")),"")))</f>
        <v>30.59</v>
      </c>
      <c r="AJ165" s="73" t="n">
        <f aca="false">IF(ISNUMBER(AK165),IF(ISNUMBER('Base de Datos'!Y161),IF('Base de Datos'!Y161&gt;20000,INT('Base de Datos'!Y161),""),IF(TRIM('Base de Datos'!Y161)="","",IFERROR(DATE(VALUE(RIGHT(TRIM('Base de Datos'!Y161),4)),VALUE(MID(TRIM('Base de Datos'!Y161),4,2)),VALUE(LEFT(TRIM('Base de Datos'!Y161),2))),IFERROR(DATEVALUE(TRIM('Base de Datos'!Y161)),"")))),"")</f>
        <v>45571</v>
      </c>
      <c r="AK165" s="74" t="n">
        <f aca="false">IF(ISNUMBER('Base de Datos'!Z161),'Base de Datos'!Z161,IF(TRIM('Base de Datos'!Z161)="","",IFERROR(IF(IFERROR(FIND("@",SUBSTITUTE(TRIM('Base de Datos'!Z161),",","@",LEN(TRIM('Base de Datos'!Z161))-LEN(SUBSTITUTE(TRIM('Base de Datos'!Z161),",","")))),0)&gt;IFERROR(FIND("@",SUBSTITUTE(TRIM('Base de Datos'!Z161),".","@",LEN(TRIM('Base de Datos'!Z161))-LEN(SUBSTITUTE(TRIM('Base de Datos'!Z161),".","")))),0),_xlfn.NUMBERVALUE(SUBSTITUTE(SUBSTITUTE(TRIM('Base de Datos'!Z161),".",""),",","."),".",","),_xlfn.NUMBERVALUE(SUBSTITUTE(TRIM('Base de Datos'!Z161),",",""),".",",")),"")))</f>
        <v>52395.66</v>
      </c>
    </row>
    <row r="166" customFormat="false" ht="13.5" hidden="false" customHeight="false" outlineLevel="0" collapsed="false">
      <c r="A166" s="75" t="n">
        <f aca="false">ROWS(A$13:A166)</f>
        <v>154</v>
      </c>
      <c r="B166" s="73" t="n">
        <f aca="false">IF(B165="","",IFERROR(SMALL($AH$10:$AH$409,COUNTIF($AH$10:$AH$409,"&lt;="&amp;B165)+1),""))</f>
        <v>45557</v>
      </c>
      <c r="C166" s="74" t="n">
        <f aca="false">IF(B166="","",INDEX($AI$10:$AI$409,MATCH(B166,$AH$10:$AH$409,0)))</f>
        <v>31.04</v>
      </c>
      <c r="D166" s="74" t="n">
        <f aca="false">IF(B166="","",IFERROR(INDEX($AK$10:$AK$409,MATCH(B166,$AJ$10:$AJ$409,0)),""))</f>
        <v>52778.17</v>
      </c>
      <c r="E166" s="76" t="n">
        <f aca="false">IF(AND(ISNUMBER(C166),ISNUMBER(C165)),C166/C165-1,"")</f>
        <v>0.0183727034120735</v>
      </c>
      <c r="F166" s="76" t="n">
        <f aca="false">IF(AND(ISNUMBER(D166),ISNUMBER(D165)),D166/D165-1,"")</f>
        <v>0.0112604827547091</v>
      </c>
      <c r="G166" s="75" t="n">
        <f aca="false">IF(AND(ISNUMBER(E166),ISNUMBER(F166)),1,"")</f>
        <v>1</v>
      </c>
      <c r="H166" s="75" t="n">
        <f aca="false">IF(G166=1,COUNT(G166:G$412),"")</f>
        <v>106</v>
      </c>
      <c r="I166" s="75" t="n">
        <f aca="false">IF(G166=1,IF(H166&lt;='Beta Regresión'!$B$5,1,""),"")</f>
        <v>1</v>
      </c>
      <c r="J166" s="76" t="n">
        <f aca="false">IF(I166=1,E166,"")</f>
        <v>0.0183727034120735</v>
      </c>
      <c r="K166" s="76" t="n">
        <f aca="false">IF(I166=1,F166,"")</f>
        <v>0.0112604827547091</v>
      </c>
      <c r="L166" s="75" t="n">
        <f aca="false">IF(I166=1,COUNT(I$13:I166),"")</f>
        <v>153</v>
      </c>
      <c r="M166" s="76" t="n">
        <f aca="false">IFERROR(INDEX($J$13:$J$412,MATCH(A166,$L$13:$L$412,0)),"")</f>
        <v>-0.020618556701031</v>
      </c>
      <c r="N166" s="76" t="n">
        <f aca="false">IFERROR(INDEX($K$13:$K$412,MATCH(A166,$L$13:$L$412,0)),"")</f>
        <v>-0.00318881840730734</v>
      </c>
      <c r="O166" s="76" t="n">
        <f aca="false">IF(I166=1,E166,NA())</f>
        <v>0.0183727034120735</v>
      </c>
      <c r="P166" s="76" t="n">
        <f aca="false">IF(I166=1,F166,NA())</f>
        <v>0.0112604827547091</v>
      </c>
      <c r="R166" s="75" t="n">
        <f aca="false">ROWS(R$13:R166)</f>
        <v>154</v>
      </c>
      <c r="S166" s="73" t="str">
        <f aca="false">IF(S165="","",IFERROR(SMALL($AD$10:$AD$509,COUNTIF($AD$10:$AD$509,"&lt;="&amp;S165)+1),""))</f>
        <v/>
      </c>
      <c r="T166" s="74" t="str">
        <f aca="false">IF(S166="","",INDEX($AE$10:$AE$509,MATCH(S166,$AD$10:$AD$509,0)))</f>
        <v/>
      </c>
      <c r="U166" s="74" t="str">
        <f aca="false">IF(S166="","",IFERROR(INDEX($AG$10:$AG$509,MATCH(S166,$AF$10:$AF$509,0)),""))</f>
        <v/>
      </c>
      <c r="V166" s="76" t="str">
        <f aca="false">IF(AND(ISNUMBER(T166),ISNUMBER(T165)),T166/T165-1,"")</f>
        <v/>
      </c>
      <c r="W166" s="76" t="str">
        <f aca="false">IF(AND(ISNUMBER(U166),ISNUMBER(U165)),U166/U165-1,"")</f>
        <v/>
      </c>
      <c r="X166" s="75" t="str">
        <f aca="false">IF(AND(ISNUMBER(V166),ISNUMBER(W166)),1,"")</f>
        <v/>
      </c>
      <c r="Y166" s="76" t="str">
        <f aca="false">IF(X166=1,V166,"")</f>
        <v/>
      </c>
      <c r="Z166" s="76" t="str">
        <f aca="false">IF(X166=1,W166,"")</f>
        <v/>
      </c>
      <c r="AA166" s="76" t="e">
        <f aca="false">IF(X166=1,V166,NA())</f>
        <v>#N/A</v>
      </c>
      <c r="AB166" s="76" t="e">
        <f aca="false">IF(X166=1,W166,NA())</f>
        <v>#N/A</v>
      </c>
      <c r="AD166" s="73" t="str">
        <f aca="false">IF(ISNUMBER(AE166),IF(ISNUMBER('Base de Datos'!A162),IF('Base de Datos'!A162&gt;20000,DATE(YEAR('Base de Datos'!A162),DAY('Base de Datos'!A162),MONTH('Base de Datos'!A162)),""),IF(TRIM('Base de Datos'!A162)="","",IFERROR(DATE(VALUE(RIGHT(TRIM('Base de Datos'!A162),4)),VALUE(LEFT(TRIM('Base de Datos'!A162),2)),VALUE(MID(TRIM('Base de Datos'!A162),4,2))),""))),"")</f>
        <v/>
      </c>
      <c r="AE166" s="74" t="str">
        <f aca="false">IF(ISNUMBER('Base de Datos'!B162),'Base de Datos'!B162,IF(TRIM('Base de Datos'!B162)="","",IFERROR(IF(IFERROR(FIND("@",SUBSTITUTE(TRIM('Base de Datos'!B162),",","@",LEN(TRIM('Base de Datos'!B162))-LEN(SUBSTITUTE(TRIM('Base de Datos'!B162),",","")))),0)&gt;IFERROR(FIND("@",SUBSTITUTE(TRIM('Base de Datos'!B162),".","@",LEN(TRIM('Base de Datos'!B162))-LEN(SUBSTITUTE(TRIM('Base de Datos'!B162),".","")))),0),_xlfn.NUMBERVALUE(SUBSTITUTE(SUBSTITUTE(TRIM('Base de Datos'!B162),".",""),",","."),".",","),_xlfn.NUMBERVALUE(SUBSTITUTE(TRIM('Base de Datos'!B162),",",""),".",",")),"")))</f>
        <v/>
      </c>
      <c r="AF166" s="73" t="str">
        <f aca="false">IF(ISNUMBER(AG166),IF(ISNUMBER('Base de Datos'!I162),IF('Base de Datos'!I162&gt;20000,INT('Base de Datos'!I162),""),IF(TRIM('Base de Datos'!I162)="","",IFERROR(DATE(VALUE(RIGHT(TRIM('Base de Datos'!I162),4)),VALUE(MID(TRIM('Base de Datos'!I162),4,2)),VALUE(LEFT(TRIM('Base de Datos'!I162),2))),IFERROR(DATEVALUE(TRIM('Base de Datos'!I162)),"")))),"")</f>
        <v/>
      </c>
      <c r="AG166" s="74" t="str">
        <f aca="false">IF(ISNUMBER('Base de Datos'!J162),'Base de Datos'!J162,IF(TRIM('Base de Datos'!J162)="","",IFERROR(IF(IFERROR(FIND("@",SUBSTITUTE(TRIM('Base de Datos'!J162),",","@",LEN(TRIM('Base de Datos'!J162))-LEN(SUBSTITUTE(TRIM('Base de Datos'!J162),",","")))),0)&gt;IFERROR(FIND("@",SUBSTITUTE(TRIM('Base de Datos'!J162),".","@",LEN(TRIM('Base de Datos'!J162))-LEN(SUBSTITUTE(TRIM('Base de Datos'!J162),".","")))),0),_xlfn.NUMBERVALUE(SUBSTITUTE(SUBSTITUTE(TRIM('Base de Datos'!J162),".",""),",","."),".",","),_xlfn.NUMBERVALUE(SUBSTITUTE(TRIM('Base de Datos'!J162),",",""),".",",")),"")))</f>
        <v/>
      </c>
      <c r="AH166" s="73" t="n">
        <f aca="false">IF(ISNUMBER(AI166),IF(ISNUMBER('Base de Datos'!Q162),IF('Base de Datos'!Q162&gt;20000,DATE(YEAR('Base de Datos'!Q162),DAY('Base de Datos'!Q162),MONTH('Base de Datos'!Q162)),""),IF(TRIM('Base de Datos'!Q162)="","",IFERROR(DATE(VALUE(RIGHT(TRIM('Base de Datos'!Q162),4)),VALUE(LEFT(TRIM('Base de Datos'!Q162),2)),VALUE(MID(TRIM('Base de Datos'!Q162),4,2))),""))),"")</f>
        <v>45578</v>
      </c>
      <c r="AI166" s="74" t="n">
        <f aca="false">IF(ISNUMBER('Base de Datos'!R162),'Base de Datos'!R162,IF(TRIM('Base de Datos'!R162)="","",IFERROR(IF(IFERROR(FIND("@",SUBSTITUTE(TRIM('Base de Datos'!R162),",","@",LEN(TRIM('Base de Datos'!R162))-LEN(SUBSTITUTE(TRIM('Base de Datos'!R162),",","")))),0)&gt;IFERROR(FIND("@",SUBSTITUTE(TRIM('Base de Datos'!R162),".","@",LEN(TRIM('Base de Datos'!R162))-LEN(SUBSTITUTE(TRIM('Base de Datos'!R162),".","")))),0),_xlfn.NUMBERVALUE(SUBSTITUTE(SUBSTITUTE(TRIM('Base de Datos'!R162),".",""),",","."),".",","),_xlfn.NUMBERVALUE(SUBSTITUTE(TRIM('Base de Datos'!R162),",",""),".",",")),"")))</f>
        <v>29.3</v>
      </c>
      <c r="AJ166" s="73" t="n">
        <f aca="false">IF(ISNUMBER(AK166),IF(ISNUMBER('Base de Datos'!Y162),IF('Base de Datos'!Y162&gt;20000,INT('Base de Datos'!Y162),""),IF(TRIM('Base de Datos'!Y162)="","",IFERROR(DATE(VALUE(RIGHT(TRIM('Base de Datos'!Y162),4)),VALUE(MID(TRIM('Base de Datos'!Y162),4,2)),VALUE(LEFT(TRIM('Base de Datos'!Y162),2))),IFERROR(DATEVALUE(TRIM('Base de Datos'!Y162)),"")))),"")</f>
        <v>45578</v>
      </c>
      <c r="AK166" s="74" t="n">
        <f aca="false">IF(ISNUMBER('Base de Datos'!Z162),'Base de Datos'!Z162,IF(TRIM('Base de Datos'!Z162)="","",IFERROR(IF(IFERROR(FIND("@",SUBSTITUTE(TRIM('Base de Datos'!Z162),",","@",LEN(TRIM('Base de Datos'!Z162))-LEN(SUBSTITUTE(TRIM('Base de Datos'!Z162),",","")))),0)&gt;IFERROR(FIND("@",SUBSTITUTE(TRIM('Base de Datos'!Z162),".","@",LEN(TRIM('Base de Datos'!Z162))-LEN(SUBSTITUTE(TRIM('Base de Datos'!Z162),".","")))),0),_xlfn.NUMBERVALUE(SUBSTITUTE(SUBSTITUTE(TRIM('Base de Datos'!Z162),".",""),",","."),".",","),_xlfn.NUMBERVALUE(SUBSTITUTE(TRIM('Base de Datos'!Z162),",",""),".",",")),"")))</f>
        <v>53027.42</v>
      </c>
    </row>
    <row r="167" customFormat="false" ht="13.5" hidden="false" customHeight="false" outlineLevel="0" collapsed="false">
      <c r="A167" s="75" t="n">
        <f aca="false">ROWS(A$13:A167)</f>
        <v>155</v>
      </c>
      <c r="B167" s="73" t="n">
        <f aca="false">IF(B166="","",IFERROR(SMALL($AH$10:$AH$409,COUNTIF($AH$10:$AH$409,"&lt;="&amp;B166)+1),""))</f>
        <v>45564</v>
      </c>
      <c r="C167" s="74" t="n">
        <f aca="false">IF(B167="","",INDEX($AI$10:$AI$409,MATCH(B167,$AH$10:$AH$409,0)))</f>
        <v>30.4</v>
      </c>
      <c r="D167" s="74" t="n">
        <f aca="false">IF(B167="","",IFERROR(INDEX($AK$10:$AK$409,MATCH(B167,$AJ$10:$AJ$409,0)),""))</f>
        <v>52609.87</v>
      </c>
      <c r="E167" s="76" t="n">
        <f aca="false">IF(AND(ISNUMBER(C167),ISNUMBER(C166)),C167/C166-1,"")</f>
        <v>-0.020618556701031</v>
      </c>
      <c r="F167" s="76" t="n">
        <f aca="false">IF(AND(ISNUMBER(D167),ISNUMBER(D166)),D167/D166-1,"")</f>
        <v>-0.00318881840730734</v>
      </c>
      <c r="G167" s="75" t="n">
        <f aca="false">IF(AND(ISNUMBER(E167),ISNUMBER(F167)),1,"")</f>
        <v>1</v>
      </c>
      <c r="H167" s="75" t="n">
        <f aca="false">IF(G167=1,COUNT(G167:G$412),"")</f>
        <v>105</v>
      </c>
      <c r="I167" s="75" t="n">
        <f aca="false">IF(G167=1,IF(H167&lt;='Beta Regresión'!$B$5,1,""),"")</f>
        <v>1</v>
      </c>
      <c r="J167" s="76" t="n">
        <f aca="false">IF(I167=1,E167,"")</f>
        <v>-0.020618556701031</v>
      </c>
      <c r="K167" s="76" t="n">
        <f aca="false">IF(I167=1,F167,"")</f>
        <v>-0.00318881840730734</v>
      </c>
      <c r="L167" s="75" t="n">
        <f aca="false">IF(I167=1,COUNT(I$13:I167),"")</f>
        <v>154</v>
      </c>
      <c r="M167" s="76" t="n">
        <f aca="false">IFERROR(INDEX($J$13:$J$412,MATCH(A167,$L$13:$L$412,0)),"")</f>
        <v>0.00625000000000009</v>
      </c>
      <c r="N167" s="76" t="n">
        <f aca="false">IFERROR(INDEX($K$13:$K$412,MATCH(A167,$L$13:$L$412,0)),"")</f>
        <v>-0.00407166944149451</v>
      </c>
      <c r="O167" s="76" t="n">
        <f aca="false">IF(I167=1,E167,NA())</f>
        <v>-0.020618556701031</v>
      </c>
      <c r="P167" s="76" t="n">
        <f aca="false">IF(I167=1,F167,NA())</f>
        <v>-0.00318881840730734</v>
      </c>
      <c r="R167" s="75" t="n">
        <f aca="false">ROWS(R$13:R167)</f>
        <v>155</v>
      </c>
      <c r="S167" s="73" t="str">
        <f aca="false">IF(S166="","",IFERROR(SMALL($AD$10:$AD$509,COUNTIF($AD$10:$AD$509,"&lt;="&amp;S166)+1),""))</f>
        <v/>
      </c>
      <c r="T167" s="74" t="str">
        <f aca="false">IF(S167="","",INDEX($AE$10:$AE$509,MATCH(S167,$AD$10:$AD$509,0)))</f>
        <v/>
      </c>
      <c r="U167" s="74" t="str">
        <f aca="false">IF(S167="","",IFERROR(INDEX($AG$10:$AG$509,MATCH(S167,$AF$10:$AF$509,0)),""))</f>
        <v/>
      </c>
      <c r="V167" s="76" t="str">
        <f aca="false">IF(AND(ISNUMBER(T167),ISNUMBER(T166)),T167/T166-1,"")</f>
        <v/>
      </c>
      <c r="W167" s="76" t="str">
        <f aca="false">IF(AND(ISNUMBER(U167),ISNUMBER(U166)),U167/U166-1,"")</f>
        <v/>
      </c>
      <c r="X167" s="75" t="str">
        <f aca="false">IF(AND(ISNUMBER(V167),ISNUMBER(W167)),1,"")</f>
        <v/>
      </c>
      <c r="Y167" s="76" t="str">
        <f aca="false">IF(X167=1,V167,"")</f>
        <v/>
      </c>
      <c r="Z167" s="76" t="str">
        <f aca="false">IF(X167=1,W167,"")</f>
        <v/>
      </c>
      <c r="AA167" s="76" t="e">
        <f aca="false">IF(X167=1,V167,NA())</f>
        <v>#N/A</v>
      </c>
      <c r="AB167" s="76" t="e">
        <f aca="false">IF(X167=1,W167,NA())</f>
        <v>#N/A</v>
      </c>
      <c r="AD167" s="73" t="str">
        <f aca="false">IF(ISNUMBER(AE167),IF(ISNUMBER('Base de Datos'!A163),IF('Base de Datos'!A163&gt;20000,DATE(YEAR('Base de Datos'!A163),DAY('Base de Datos'!A163),MONTH('Base de Datos'!A163)),""),IF(TRIM('Base de Datos'!A163)="","",IFERROR(DATE(VALUE(RIGHT(TRIM('Base de Datos'!A163),4)),VALUE(LEFT(TRIM('Base de Datos'!A163),2)),VALUE(MID(TRIM('Base de Datos'!A163),4,2))),""))),"")</f>
        <v/>
      </c>
      <c r="AE167" s="74" t="str">
        <f aca="false">IF(ISNUMBER('Base de Datos'!B163),'Base de Datos'!B163,IF(TRIM('Base de Datos'!B163)="","",IFERROR(IF(IFERROR(FIND("@",SUBSTITUTE(TRIM('Base de Datos'!B163),",","@",LEN(TRIM('Base de Datos'!B163))-LEN(SUBSTITUTE(TRIM('Base de Datos'!B163),",","")))),0)&gt;IFERROR(FIND("@",SUBSTITUTE(TRIM('Base de Datos'!B163),".","@",LEN(TRIM('Base de Datos'!B163))-LEN(SUBSTITUTE(TRIM('Base de Datos'!B163),".","")))),0),_xlfn.NUMBERVALUE(SUBSTITUTE(SUBSTITUTE(TRIM('Base de Datos'!B163),".",""),",","."),".",","),_xlfn.NUMBERVALUE(SUBSTITUTE(TRIM('Base de Datos'!B163),",",""),".",",")),"")))</f>
        <v/>
      </c>
      <c r="AF167" s="73" t="str">
        <f aca="false">IF(ISNUMBER(AG167),IF(ISNUMBER('Base de Datos'!I163),IF('Base de Datos'!I163&gt;20000,INT('Base de Datos'!I163),""),IF(TRIM('Base de Datos'!I163)="","",IFERROR(DATE(VALUE(RIGHT(TRIM('Base de Datos'!I163),4)),VALUE(MID(TRIM('Base de Datos'!I163),4,2)),VALUE(LEFT(TRIM('Base de Datos'!I163),2))),IFERROR(DATEVALUE(TRIM('Base de Datos'!I163)),"")))),"")</f>
        <v/>
      </c>
      <c r="AG167" s="74" t="str">
        <f aca="false">IF(ISNUMBER('Base de Datos'!J163),'Base de Datos'!J163,IF(TRIM('Base de Datos'!J163)="","",IFERROR(IF(IFERROR(FIND("@",SUBSTITUTE(TRIM('Base de Datos'!J163),",","@",LEN(TRIM('Base de Datos'!J163))-LEN(SUBSTITUTE(TRIM('Base de Datos'!J163),",","")))),0)&gt;IFERROR(FIND("@",SUBSTITUTE(TRIM('Base de Datos'!J163),".","@",LEN(TRIM('Base de Datos'!J163))-LEN(SUBSTITUTE(TRIM('Base de Datos'!J163),".","")))),0),_xlfn.NUMBERVALUE(SUBSTITUTE(SUBSTITUTE(TRIM('Base de Datos'!J163),".",""),",","."),".",","),_xlfn.NUMBERVALUE(SUBSTITUTE(TRIM('Base de Datos'!J163),",",""),".",",")),"")))</f>
        <v/>
      </c>
      <c r="AH167" s="73" t="n">
        <f aca="false">IF(ISNUMBER(AI167),IF(ISNUMBER('Base de Datos'!Q163),IF('Base de Datos'!Q163&gt;20000,DATE(YEAR('Base de Datos'!Q163),DAY('Base de Datos'!Q163),MONTH('Base de Datos'!Q163)),""),IF(TRIM('Base de Datos'!Q163)="","",IFERROR(DATE(VALUE(RIGHT(TRIM('Base de Datos'!Q163),4)),VALUE(LEFT(TRIM('Base de Datos'!Q163),2)),VALUE(MID(TRIM('Base de Datos'!Q163),4,2))),""))),"")</f>
        <v>45585</v>
      </c>
      <c r="AI167" s="74" t="n">
        <f aca="false">IF(ISNUMBER('Base de Datos'!R163),'Base de Datos'!R163,IF(TRIM('Base de Datos'!R163)="","",IFERROR(IF(IFERROR(FIND("@",SUBSTITUTE(TRIM('Base de Datos'!R163),",","@",LEN(TRIM('Base de Datos'!R163))-LEN(SUBSTITUTE(TRIM('Base de Datos'!R163),",","")))),0)&gt;IFERROR(FIND("@",SUBSTITUTE(TRIM('Base de Datos'!R163),".","@",LEN(TRIM('Base de Datos'!R163))-LEN(SUBSTITUTE(TRIM('Base de Datos'!R163),".","")))),0),_xlfn.NUMBERVALUE(SUBSTITUTE(SUBSTITUTE(TRIM('Base de Datos'!R163),".",""),",","."),".",","),_xlfn.NUMBERVALUE(SUBSTITUTE(TRIM('Base de Datos'!R163),",",""),".",",")),"")))</f>
        <v>28.91</v>
      </c>
      <c r="AJ167" s="73" t="n">
        <f aca="false">IF(ISNUMBER(AK167),IF(ISNUMBER('Base de Datos'!Y163),IF('Base de Datos'!Y163&gt;20000,INT('Base de Datos'!Y163),""),IF(TRIM('Base de Datos'!Y163)="","",IFERROR(DATE(VALUE(RIGHT(TRIM('Base de Datos'!Y163),4)),VALUE(MID(TRIM('Base de Datos'!Y163),4,2)),VALUE(LEFT(TRIM('Base de Datos'!Y163),2))),IFERROR(DATEVALUE(TRIM('Base de Datos'!Y163)),"")))),"")</f>
        <v>45585</v>
      </c>
      <c r="AK167" s="74" t="n">
        <f aca="false">IF(ISNUMBER('Base de Datos'!Z163),'Base de Datos'!Z163,IF(TRIM('Base de Datos'!Z163)="","",IFERROR(IF(IFERROR(FIND("@",SUBSTITUTE(TRIM('Base de Datos'!Z163),",","@",LEN(TRIM('Base de Datos'!Z163))-LEN(SUBSTITUTE(TRIM('Base de Datos'!Z163),",","")))),0)&gt;IFERROR(FIND("@",SUBSTITUTE(TRIM('Base de Datos'!Z163),".","@",LEN(TRIM('Base de Datos'!Z163))-LEN(SUBSTITUTE(TRIM('Base de Datos'!Z163),".","")))),0),_xlfn.NUMBERVALUE(SUBSTITUTE(SUBSTITUTE(TRIM('Base de Datos'!Z163),".",""),",","."),".",","),_xlfn.NUMBERVALUE(SUBSTITUTE(TRIM('Base de Datos'!Z163),",",""),".",",")),"")))</f>
        <v>51784.33</v>
      </c>
    </row>
    <row r="168" customFormat="false" ht="13.5" hidden="false" customHeight="false" outlineLevel="0" collapsed="false">
      <c r="A168" s="75" t="n">
        <f aca="false">ROWS(A$13:A168)</f>
        <v>156</v>
      </c>
      <c r="B168" s="73" t="n">
        <f aca="false">IF(B167="","",IFERROR(SMALL($AH$10:$AH$409,COUNTIF($AH$10:$AH$409,"&lt;="&amp;B167)+1),""))</f>
        <v>45571</v>
      </c>
      <c r="C168" s="74" t="n">
        <f aca="false">IF(B168="","",INDEX($AI$10:$AI$409,MATCH(B168,$AH$10:$AH$409,0)))</f>
        <v>30.59</v>
      </c>
      <c r="D168" s="74" t="n">
        <f aca="false">IF(B168="","",IFERROR(INDEX($AK$10:$AK$409,MATCH(B168,$AJ$10:$AJ$409,0)),""))</f>
        <v>52395.66</v>
      </c>
      <c r="E168" s="76" t="n">
        <f aca="false">IF(AND(ISNUMBER(C168),ISNUMBER(C167)),C168/C167-1,"")</f>
        <v>0.00625000000000009</v>
      </c>
      <c r="F168" s="76" t="n">
        <f aca="false">IF(AND(ISNUMBER(D168),ISNUMBER(D167)),D168/D167-1,"")</f>
        <v>-0.00407166944149451</v>
      </c>
      <c r="G168" s="75" t="n">
        <f aca="false">IF(AND(ISNUMBER(E168),ISNUMBER(F168)),1,"")</f>
        <v>1</v>
      </c>
      <c r="H168" s="75" t="n">
        <f aca="false">IF(G168=1,COUNT(G168:G$412),"")</f>
        <v>104</v>
      </c>
      <c r="I168" s="75" t="n">
        <f aca="false">IF(G168=1,IF(H168&lt;='Beta Regresión'!$B$5,1,""),"")</f>
        <v>1</v>
      </c>
      <c r="J168" s="76" t="n">
        <f aca="false">IF(I168=1,E168,"")</f>
        <v>0.00625000000000009</v>
      </c>
      <c r="K168" s="76" t="n">
        <f aca="false">IF(I168=1,F168,"")</f>
        <v>-0.00407166944149451</v>
      </c>
      <c r="L168" s="75" t="n">
        <f aca="false">IF(I168=1,COUNT(I$13:I168),"")</f>
        <v>155</v>
      </c>
      <c r="M168" s="76" t="n">
        <f aca="false">IFERROR(INDEX($J$13:$J$412,MATCH(A168,$L$13:$L$412,0)),"")</f>
        <v>-0.0421706440013075</v>
      </c>
      <c r="N168" s="76" t="n">
        <f aca="false">IFERROR(INDEX($K$13:$K$412,MATCH(A168,$L$13:$L$412,0)),"")</f>
        <v>0.0120574872040928</v>
      </c>
      <c r="O168" s="76" t="n">
        <f aca="false">IF(I168=1,E168,NA())</f>
        <v>0.00625000000000009</v>
      </c>
      <c r="P168" s="76" t="n">
        <f aca="false">IF(I168=1,F168,NA())</f>
        <v>-0.00407166944149451</v>
      </c>
      <c r="R168" s="75" t="n">
        <f aca="false">ROWS(R$13:R168)</f>
        <v>156</v>
      </c>
      <c r="S168" s="73" t="str">
        <f aca="false">IF(S167="","",IFERROR(SMALL($AD$10:$AD$509,COUNTIF($AD$10:$AD$509,"&lt;="&amp;S167)+1),""))</f>
        <v/>
      </c>
      <c r="T168" s="74" t="str">
        <f aca="false">IF(S168="","",INDEX($AE$10:$AE$509,MATCH(S168,$AD$10:$AD$509,0)))</f>
        <v/>
      </c>
      <c r="U168" s="74" t="str">
        <f aca="false">IF(S168="","",IFERROR(INDEX($AG$10:$AG$509,MATCH(S168,$AF$10:$AF$509,0)),""))</f>
        <v/>
      </c>
      <c r="V168" s="76" t="str">
        <f aca="false">IF(AND(ISNUMBER(T168),ISNUMBER(T167)),T168/T167-1,"")</f>
        <v/>
      </c>
      <c r="W168" s="76" t="str">
        <f aca="false">IF(AND(ISNUMBER(U168),ISNUMBER(U167)),U168/U167-1,"")</f>
        <v/>
      </c>
      <c r="X168" s="75" t="str">
        <f aca="false">IF(AND(ISNUMBER(V168),ISNUMBER(W168)),1,"")</f>
        <v/>
      </c>
      <c r="Y168" s="76" t="str">
        <f aca="false">IF(X168=1,V168,"")</f>
        <v/>
      </c>
      <c r="Z168" s="76" t="str">
        <f aca="false">IF(X168=1,W168,"")</f>
        <v/>
      </c>
      <c r="AA168" s="76" t="e">
        <f aca="false">IF(X168=1,V168,NA())</f>
        <v>#N/A</v>
      </c>
      <c r="AB168" s="76" t="e">
        <f aca="false">IF(X168=1,W168,NA())</f>
        <v>#N/A</v>
      </c>
      <c r="AD168" s="73" t="str">
        <f aca="false">IF(ISNUMBER(AE168),IF(ISNUMBER('Base de Datos'!A164),IF('Base de Datos'!A164&gt;20000,DATE(YEAR('Base de Datos'!A164),DAY('Base de Datos'!A164),MONTH('Base de Datos'!A164)),""),IF(TRIM('Base de Datos'!A164)="","",IFERROR(DATE(VALUE(RIGHT(TRIM('Base de Datos'!A164),4)),VALUE(LEFT(TRIM('Base de Datos'!A164),2)),VALUE(MID(TRIM('Base de Datos'!A164),4,2))),""))),"")</f>
        <v/>
      </c>
      <c r="AE168" s="74" t="str">
        <f aca="false">IF(ISNUMBER('Base de Datos'!B164),'Base de Datos'!B164,IF(TRIM('Base de Datos'!B164)="","",IFERROR(IF(IFERROR(FIND("@",SUBSTITUTE(TRIM('Base de Datos'!B164),",","@",LEN(TRIM('Base de Datos'!B164))-LEN(SUBSTITUTE(TRIM('Base de Datos'!B164),",","")))),0)&gt;IFERROR(FIND("@",SUBSTITUTE(TRIM('Base de Datos'!B164),".","@",LEN(TRIM('Base de Datos'!B164))-LEN(SUBSTITUTE(TRIM('Base de Datos'!B164),".","")))),0),_xlfn.NUMBERVALUE(SUBSTITUTE(SUBSTITUTE(TRIM('Base de Datos'!B164),".",""),",","."),".",","),_xlfn.NUMBERVALUE(SUBSTITUTE(TRIM('Base de Datos'!B164),",",""),".",",")),"")))</f>
        <v/>
      </c>
      <c r="AF168" s="73" t="str">
        <f aca="false">IF(ISNUMBER(AG168),IF(ISNUMBER('Base de Datos'!I164),IF('Base de Datos'!I164&gt;20000,INT('Base de Datos'!I164),""),IF(TRIM('Base de Datos'!I164)="","",IFERROR(DATE(VALUE(RIGHT(TRIM('Base de Datos'!I164),4)),VALUE(MID(TRIM('Base de Datos'!I164),4,2)),VALUE(LEFT(TRIM('Base de Datos'!I164),2))),IFERROR(DATEVALUE(TRIM('Base de Datos'!I164)),"")))),"")</f>
        <v/>
      </c>
      <c r="AG168" s="74" t="str">
        <f aca="false">IF(ISNUMBER('Base de Datos'!J164),'Base de Datos'!J164,IF(TRIM('Base de Datos'!J164)="","",IFERROR(IF(IFERROR(FIND("@",SUBSTITUTE(TRIM('Base de Datos'!J164),",","@",LEN(TRIM('Base de Datos'!J164))-LEN(SUBSTITUTE(TRIM('Base de Datos'!J164),",","")))),0)&gt;IFERROR(FIND("@",SUBSTITUTE(TRIM('Base de Datos'!J164),".","@",LEN(TRIM('Base de Datos'!J164))-LEN(SUBSTITUTE(TRIM('Base de Datos'!J164),".","")))),0),_xlfn.NUMBERVALUE(SUBSTITUTE(SUBSTITUTE(TRIM('Base de Datos'!J164),".",""),",","."),".",","),_xlfn.NUMBERVALUE(SUBSTITUTE(TRIM('Base de Datos'!J164),",",""),".",",")),"")))</f>
        <v/>
      </c>
      <c r="AH168" s="73" t="n">
        <f aca="false">IF(ISNUMBER(AI168),IF(ISNUMBER('Base de Datos'!Q164),IF('Base de Datos'!Q164&gt;20000,DATE(YEAR('Base de Datos'!Q164),DAY('Base de Datos'!Q164),MONTH('Base de Datos'!Q164)),""),IF(TRIM('Base de Datos'!Q164)="","",IFERROR(DATE(VALUE(RIGHT(TRIM('Base de Datos'!Q164),4)),VALUE(LEFT(TRIM('Base de Datos'!Q164),2)),VALUE(MID(TRIM('Base de Datos'!Q164),4,2))),""))),"")</f>
        <v>45592</v>
      </c>
      <c r="AI168" s="74" t="n">
        <f aca="false">IF(ISNUMBER('Base de Datos'!R164),'Base de Datos'!R164,IF(TRIM('Base de Datos'!R164)="","",IFERROR(IF(IFERROR(FIND("@",SUBSTITUTE(TRIM('Base de Datos'!R164),",","@",LEN(TRIM('Base de Datos'!R164))-LEN(SUBSTITUTE(TRIM('Base de Datos'!R164),",","")))),0)&gt;IFERROR(FIND("@",SUBSTITUTE(TRIM('Base de Datos'!R164),".","@",LEN(TRIM('Base de Datos'!R164))-LEN(SUBSTITUTE(TRIM('Base de Datos'!R164),".","")))),0),_xlfn.NUMBERVALUE(SUBSTITUTE(SUBSTITUTE(TRIM('Base de Datos'!R164),".",""),",","."),".",","),_xlfn.NUMBERVALUE(SUBSTITUTE(TRIM('Base de Datos'!R164),",",""),".",",")),"")))</f>
        <v>28.28</v>
      </c>
      <c r="AJ168" s="73" t="n">
        <f aca="false">IF(ISNUMBER(AK168),IF(ISNUMBER('Base de Datos'!Y164),IF('Base de Datos'!Y164&gt;20000,INT('Base de Datos'!Y164),""),IF(TRIM('Base de Datos'!Y164)="","",IFERROR(DATE(VALUE(RIGHT(TRIM('Base de Datos'!Y164),4)),VALUE(MID(TRIM('Base de Datos'!Y164),4,2)),VALUE(LEFT(TRIM('Base de Datos'!Y164),2))),IFERROR(DATEVALUE(TRIM('Base de Datos'!Y164)),"")))),"")</f>
        <v>45592</v>
      </c>
      <c r="AK168" s="74" t="n">
        <f aca="false">IF(ISNUMBER('Base de Datos'!Z164),'Base de Datos'!Z164,IF(TRIM('Base de Datos'!Z164)="","",IFERROR(IF(IFERROR(FIND("@",SUBSTITUTE(TRIM('Base de Datos'!Z164),",","@",LEN(TRIM('Base de Datos'!Z164))-LEN(SUBSTITUTE(TRIM('Base de Datos'!Z164),",","")))),0)&gt;IFERROR(FIND("@",SUBSTITUTE(TRIM('Base de Datos'!Z164),".","@",LEN(TRIM('Base de Datos'!Z164))-LEN(SUBSTITUTE(TRIM('Base de Datos'!Z164),".","")))),0),_xlfn.NUMBERVALUE(SUBSTITUTE(SUBSTITUTE(TRIM('Base de Datos'!Z164),".",""),",","."),".",","),_xlfn.NUMBERVALUE(SUBSTITUTE(TRIM('Base de Datos'!Z164),",",""),".",",")),"")))</f>
        <v>50622.39</v>
      </c>
    </row>
    <row r="169" customFormat="false" ht="13.5" hidden="false" customHeight="false" outlineLevel="0" collapsed="false">
      <c r="A169" s="75" t="n">
        <f aca="false">ROWS(A$13:A169)</f>
        <v>157</v>
      </c>
      <c r="B169" s="73" t="n">
        <f aca="false">IF(B168="","",IFERROR(SMALL($AH$10:$AH$409,COUNTIF($AH$10:$AH$409,"&lt;="&amp;B168)+1),""))</f>
        <v>45578</v>
      </c>
      <c r="C169" s="74" t="n">
        <f aca="false">IF(B169="","",INDEX($AI$10:$AI$409,MATCH(B169,$AH$10:$AH$409,0)))</f>
        <v>29.3</v>
      </c>
      <c r="D169" s="74" t="n">
        <f aca="false">IF(B169="","",IFERROR(INDEX($AK$10:$AK$409,MATCH(B169,$AJ$10:$AJ$409,0)),""))</f>
        <v>53027.42</v>
      </c>
      <c r="E169" s="76" t="n">
        <f aca="false">IF(AND(ISNUMBER(C169),ISNUMBER(C168)),C169/C168-1,"")</f>
        <v>-0.0421706440013075</v>
      </c>
      <c r="F169" s="76" t="n">
        <f aca="false">IF(AND(ISNUMBER(D169),ISNUMBER(D168)),D169/D168-1,"")</f>
        <v>0.0120574872040928</v>
      </c>
      <c r="G169" s="75" t="n">
        <f aca="false">IF(AND(ISNUMBER(E169),ISNUMBER(F169)),1,"")</f>
        <v>1</v>
      </c>
      <c r="H169" s="75" t="n">
        <f aca="false">IF(G169=1,COUNT(G169:G$412),"")</f>
        <v>103</v>
      </c>
      <c r="I169" s="75" t="n">
        <f aca="false">IF(G169=1,IF(H169&lt;='Beta Regresión'!$B$5,1,""),"")</f>
        <v>1</v>
      </c>
      <c r="J169" s="76" t="n">
        <f aca="false">IF(I169=1,E169,"")</f>
        <v>-0.0421706440013075</v>
      </c>
      <c r="K169" s="76" t="n">
        <f aca="false">IF(I169=1,F169,"")</f>
        <v>0.0120574872040928</v>
      </c>
      <c r="L169" s="75" t="n">
        <f aca="false">IF(I169=1,COUNT(I$13:I169),"")</f>
        <v>156</v>
      </c>
      <c r="M169" s="76" t="n">
        <f aca="false">IFERROR(INDEX($J$13:$J$412,MATCH(A169,$L$13:$L$412,0)),"")</f>
        <v>-0.0133105802047782</v>
      </c>
      <c r="N169" s="76" t="n">
        <f aca="false">IFERROR(INDEX($K$13:$K$412,MATCH(A169,$L$13:$L$412,0)),"")</f>
        <v>-0.0234424001771159</v>
      </c>
      <c r="O169" s="76" t="n">
        <f aca="false">IF(I169=1,E169,NA())</f>
        <v>-0.0421706440013075</v>
      </c>
      <c r="P169" s="76" t="n">
        <f aca="false">IF(I169=1,F169,NA())</f>
        <v>0.0120574872040928</v>
      </c>
      <c r="R169" s="75" t="n">
        <f aca="false">ROWS(R$13:R169)</f>
        <v>157</v>
      </c>
      <c r="S169" s="73" t="str">
        <f aca="false">IF(S168="","",IFERROR(SMALL($AD$10:$AD$509,COUNTIF($AD$10:$AD$509,"&lt;="&amp;S168)+1),""))</f>
        <v/>
      </c>
      <c r="T169" s="74" t="str">
        <f aca="false">IF(S169="","",INDEX($AE$10:$AE$509,MATCH(S169,$AD$10:$AD$509,0)))</f>
        <v/>
      </c>
      <c r="U169" s="74" t="str">
        <f aca="false">IF(S169="","",IFERROR(INDEX($AG$10:$AG$509,MATCH(S169,$AF$10:$AF$509,0)),""))</f>
        <v/>
      </c>
      <c r="V169" s="76" t="str">
        <f aca="false">IF(AND(ISNUMBER(T169),ISNUMBER(T168)),T169/T168-1,"")</f>
        <v/>
      </c>
      <c r="W169" s="76" t="str">
        <f aca="false">IF(AND(ISNUMBER(U169),ISNUMBER(U168)),U169/U168-1,"")</f>
        <v/>
      </c>
      <c r="X169" s="75" t="str">
        <f aca="false">IF(AND(ISNUMBER(V169),ISNUMBER(W169)),1,"")</f>
        <v/>
      </c>
      <c r="Y169" s="76" t="str">
        <f aca="false">IF(X169=1,V169,"")</f>
        <v/>
      </c>
      <c r="Z169" s="76" t="str">
        <f aca="false">IF(X169=1,W169,"")</f>
        <v/>
      </c>
      <c r="AA169" s="76" t="e">
        <f aca="false">IF(X169=1,V169,NA())</f>
        <v>#N/A</v>
      </c>
      <c r="AB169" s="76" t="e">
        <f aca="false">IF(X169=1,W169,NA())</f>
        <v>#N/A</v>
      </c>
      <c r="AD169" s="73" t="str">
        <f aca="false">IF(ISNUMBER(AE169),IF(ISNUMBER('Base de Datos'!A165),IF('Base de Datos'!A165&gt;20000,DATE(YEAR('Base de Datos'!A165),DAY('Base de Datos'!A165),MONTH('Base de Datos'!A165)),""),IF(TRIM('Base de Datos'!A165)="","",IFERROR(DATE(VALUE(RIGHT(TRIM('Base de Datos'!A165),4)),VALUE(LEFT(TRIM('Base de Datos'!A165),2)),VALUE(MID(TRIM('Base de Datos'!A165),4,2))),""))),"")</f>
        <v/>
      </c>
      <c r="AE169" s="74" t="str">
        <f aca="false">IF(ISNUMBER('Base de Datos'!B165),'Base de Datos'!B165,IF(TRIM('Base de Datos'!B165)="","",IFERROR(IF(IFERROR(FIND("@",SUBSTITUTE(TRIM('Base de Datos'!B165),",","@",LEN(TRIM('Base de Datos'!B165))-LEN(SUBSTITUTE(TRIM('Base de Datos'!B165),",","")))),0)&gt;IFERROR(FIND("@",SUBSTITUTE(TRIM('Base de Datos'!B165),".","@",LEN(TRIM('Base de Datos'!B165))-LEN(SUBSTITUTE(TRIM('Base de Datos'!B165),".","")))),0),_xlfn.NUMBERVALUE(SUBSTITUTE(SUBSTITUTE(TRIM('Base de Datos'!B165),".",""),",","."),".",","),_xlfn.NUMBERVALUE(SUBSTITUTE(TRIM('Base de Datos'!B165),",",""),".",",")),"")))</f>
        <v/>
      </c>
      <c r="AF169" s="73" t="str">
        <f aca="false">IF(ISNUMBER(AG169),IF(ISNUMBER('Base de Datos'!I165),IF('Base de Datos'!I165&gt;20000,INT('Base de Datos'!I165),""),IF(TRIM('Base de Datos'!I165)="","",IFERROR(DATE(VALUE(RIGHT(TRIM('Base de Datos'!I165),4)),VALUE(MID(TRIM('Base de Datos'!I165),4,2)),VALUE(LEFT(TRIM('Base de Datos'!I165),2))),IFERROR(DATEVALUE(TRIM('Base de Datos'!I165)),"")))),"")</f>
        <v/>
      </c>
      <c r="AG169" s="74" t="str">
        <f aca="false">IF(ISNUMBER('Base de Datos'!J165),'Base de Datos'!J165,IF(TRIM('Base de Datos'!J165)="","",IFERROR(IF(IFERROR(FIND("@",SUBSTITUTE(TRIM('Base de Datos'!J165),",","@",LEN(TRIM('Base de Datos'!J165))-LEN(SUBSTITUTE(TRIM('Base de Datos'!J165),",","")))),0)&gt;IFERROR(FIND("@",SUBSTITUTE(TRIM('Base de Datos'!J165),".","@",LEN(TRIM('Base de Datos'!J165))-LEN(SUBSTITUTE(TRIM('Base de Datos'!J165),".","")))),0),_xlfn.NUMBERVALUE(SUBSTITUTE(SUBSTITUTE(TRIM('Base de Datos'!J165),".",""),",","."),".",","),_xlfn.NUMBERVALUE(SUBSTITUTE(TRIM('Base de Datos'!J165),",",""),".",",")),"")))</f>
        <v/>
      </c>
      <c r="AH169" s="73" t="n">
        <f aca="false">IF(ISNUMBER(AI169),IF(ISNUMBER('Base de Datos'!Q165),IF('Base de Datos'!Q165&gt;20000,DATE(YEAR('Base de Datos'!Q165),DAY('Base de Datos'!Q165),MONTH('Base de Datos'!Q165)),""),IF(TRIM('Base de Datos'!Q165)="","",IFERROR(DATE(VALUE(RIGHT(TRIM('Base de Datos'!Q165),4)),VALUE(LEFT(TRIM('Base de Datos'!Q165),2)),VALUE(MID(TRIM('Base de Datos'!Q165),4,2))),""))),"")</f>
        <v>45599</v>
      </c>
      <c r="AI169" s="74" t="n">
        <f aca="false">IF(ISNUMBER('Base de Datos'!R165),'Base de Datos'!R165,IF(TRIM('Base de Datos'!R165)="","",IFERROR(IF(IFERROR(FIND("@",SUBSTITUTE(TRIM('Base de Datos'!R165),",","@",LEN(TRIM('Base de Datos'!R165))-LEN(SUBSTITUTE(TRIM('Base de Datos'!R165),",","")))),0)&gt;IFERROR(FIND("@",SUBSTITUTE(TRIM('Base de Datos'!R165),".","@",LEN(TRIM('Base de Datos'!R165))-LEN(SUBSTITUTE(TRIM('Base de Datos'!R165),".","")))),0),_xlfn.NUMBERVALUE(SUBSTITUTE(SUBSTITUTE(TRIM('Base de Datos'!R165),".",""),",","."),".",","),_xlfn.NUMBERVALUE(SUBSTITUTE(TRIM('Base de Datos'!R165),",",""),".",",")),"")))</f>
        <v>29.59</v>
      </c>
      <c r="AJ169" s="73" t="n">
        <f aca="false">IF(ISNUMBER(AK169),IF(ISNUMBER('Base de Datos'!Y165),IF('Base de Datos'!Y165&gt;20000,INT('Base de Datos'!Y165),""),IF(TRIM('Base de Datos'!Y165)="","",IFERROR(DATE(VALUE(RIGHT(TRIM('Base de Datos'!Y165),4)),VALUE(MID(TRIM('Base de Datos'!Y165),4,2)),VALUE(LEFT(TRIM('Base de Datos'!Y165),2))),IFERROR(DATEVALUE(TRIM('Base de Datos'!Y165)),"")))),"")</f>
        <v>45599</v>
      </c>
      <c r="AK169" s="74" t="n">
        <f aca="false">IF(ISNUMBER('Base de Datos'!Z165),'Base de Datos'!Z165,IF(TRIM('Base de Datos'!Z165)="","",IFERROR(IF(IFERROR(FIND("@",SUBSTITUTE(TRIM('Base de Datos'!Z165),",","@",LEN(TRIM('Base de Datos'!Z165))-LEN(SUBSTITUTE(TRIM('Base de Datos'!Z165),",","")))),0)&gt;IFERROR(FIND("@",SUBSTITUTE(TRIM('Base de Datos'!Z165),".","@",LEN(TRIM('Base de Datos'!Z165))-LEN(SUBSTITUTE(TRIM('Base de Datos'!Z165),".","")))),0),_xlfn.NUMBERVALUE(SUBSTITUTE(SUBSTITUTE(TRIM('Base de Datos'!Z165),".",""),",","."),".",","),_xlfn.NUMBERVALUE(SUBSTITUTE(TRIM('Base de Datos'!Z165),",",""),".",",")),"")))</f>
        <v>51845.17</v>
      </c>
    </row>
    <row r="170" customFormat="false" ht="13.5" hidden="false" customHeight="false" outlineLevel="0" collapsed="false">
      <c r="A170" s="75" t="n">
        <f aca="false">ROWS(A$13:A170)</f>
        <v>158</v>
      </c>
      <c r="B170" s="73" t="n">
        <f aca="false">IF(B169="","",IFERROR(SMALL($AH$10:$AH$409,COUNTIF($AH$10:$AH$409,"&lt;="&amp;B169)+1),""))</f>
        <v>45585</v>
      </c>
      <c r="C170" s="74" t="n">
        <f aca="false">IF(B170="","",INDEX($AI$10:$AI$409,MATCH(B170,$AH$10:$AH$409,0)))</f>
        <v>28.91</v>
      </c>
      <c r="D170" s="74" t="n">
        <f aca="false">IF(B170="","",IFERROR(INDEX($AK$10:$AK$409,MATCH(B170,$AJ$10:$AJ$409,0)),""))</f>
        <v>51784.33</v>
      </c>
      <c r="E170" s="76" t="n">
        <f aca="false">IF(AND(ISNUMBER(C170),ISNUMBER(C169)),C170/C169-1,"")</f>
        <v>-0.0133105802047782</v>
      </c>
      <c r="F170" s="76" t="n">
        <f aca="false">IF(AND(ISNUMBER(D170),ISNUMBER(D169)),D170/D169-1,"")</f>
        <v>-0.0234424001771159</v>
      </c>
      <c r="G170" s="75" t="n">
        <f aca="false">IF(AND(ISNUMBER(E170),ISNUMBER(F170)),1,"")</f>
        <v>1</v>
      </c>
      <c r="H170" s="75" t="n">
        <f aca="false">IF(G170=1,COUNT(G170:G$412),"")</f>
        <v>102</v>
      </c>
      <c r="I170" s="75" t="n">
        <f aca="false">IF(G170=1,IF(H170&lt;='Beta Regresión'!$B$5,1,""),"")</f>
        <v>1</v>
      </c>
      <c r="J170" s="76" t="n">
        <f aca="false">IF(I170=1,E170,"")</f>
        <v>-0.0133105802047782</v>
      </c>
      <c r="K170" s="76" t="n">
        <f aca="false">IF(I170=1,F170,"")</f>
        <v>-0.0234424001771159</v>
      </c>
      <c r="L170" s="75" t="n">
        <f aca="false">IF(I170=1,COUNT(I$13:I170),"")</f>
        <v>157</v>
      </c>
      <c r="M170" s="76" t="n">
        <f aca="false">IFERROR(INDEX($J$13:$J$412,MATCH(A170,$L$13:$L$412,0)),"")</f>
        <v>-0.0217917675544794</v>
      </c>
      <c r="N170" s="76" t="n">
        <f aca="false">IFERROR(INDEX($K$13:$K$412,MATCH(A170,$L$13:$L$412,0)),"")</f>
        <v>-0.0224380618615709</v>
      </c>
      <c r="O170" s="76" t="n">
        <f aca="false">IF(I170=1,E170,NA())</f>
        <v>-0.0133105802047782</v>
      </c>
      <c r="P170" s="76" t="n">
        <f aca="false">IF(I170=1,F170,NA())</f>
        <v>-0.0234424001771159</v>
      </c>
      <c r="R170" s="75" t="n">
        <f aca="false">ROWS(R$13:R170)</f>
        <v>158</v>
      </c>
      <c r="S170" s="73" t="str">
        <f aca="false">IF(S169="","",IFERROR(SMALL($AD$10:$AD$509,COUNTIF($AD$10:$AD$509,"&lt;="&amp;S169)+1),""))</f>
        <v/>
      </c>
      <c r="T170" s="74" t="str">
        <f aca="false">IF(S170="","",INDEX($AE$10:$AE$509,MATCH(S170,$AD$10:$AD$509,0)))</f>
        <v/>
      </c>
      <c r="U170" s="74" t="str">
        <f aca="false">IF(S170="","",IFERROR(INDEX($AG$10:$AG$509,MATCH(S170,$AF$10:$AF$509,0)),""))</f>
        <v/>
      </c>
      <c r="V170" s="76" t="str">
        <f aca="false">IF(AND(ISNUMBER(T170),ISNUMBER(T169)),T170/T169-1,"")</f>
        <v/>
      </c>
      <c r="W170" s="76" t="str">
        <f aca="false">IF(AND(ISNUMBER(U170),ISNUMBER(U169)),U170/U169-1,"")</f>
        <v/>
      </c>
      <c r="X170" s="75" t="str">
        <f aca="false">IF(AND(ISNUMBER(V170),ISNUMBER(W170)),1,"")</f>
        <v/>
      </c>
      <c r="Y170" s="76" t="str">
        <f aca="false">IF(X170=1,V170,"")</f>
        <v/>
      </c>
      <c r="Z170" s="76" t="str">
        <f aca="false">IF(X170=1,W170,"")</f>
        <v/>
      </c>
      <c r="AA170" s="76" t="e">
        <f aca="false">IF(X170=1,V170,NA())</f>
        <v>#N/A</v>
      </c>
      <c r="AB170" s="76" t="e">
        <f aca="false">IF(X170=1,W170,NA())</f>
        <v>#N/A</v>
      </c>
      <c r="AD170" s="73" t="str">
        <f aca="false">IF(ISNUMBER(AE170),IF(ISNUMBER('Base de Datos'!A166),IF('Base de Datos'!A166&gt;20000,DATE(YEAR('Base de Datos'!A166),DAY('Base de Datos'!A166),MONTH('Base de Datos'!A166)),""),IF(TRIM('Base de Datos'!A166)="","",IFERROR(DATE(VALUE(RIGHT(TRIM('Base de Datos'!A166),4)),VALUE(LEFT(TRIM('Base de Datos'!A166),2)),VALUE(MID(TRIM('Base de Datos'!A166),4,2))),""))),"")</f>
        <v/>
      </c>
      <c r="AE170" s="74" t="str">
        <f aca="false">IF(ISNUMBER('Base de Datos'!B166),'Base de Datos'!B166,IF(TRIM('Base de Datos'!B166)="","",IFERROR(IF(IFERROR(FIND("@",SUBSTITUTE(TRIM('Base de Datos'!B166),",","@",LEN(TRIM('Base de Datos'!B166))-LEN(SUBSTITUTE(TRIM('Base de Datos'!B166),",","")))),0)&gt;IFERROR(FIND("@",SUBSTITUTE(TRIM('Base de Datos'!B166),".","@",LEN(TRIM('Base de Datos'!B166))-LEN(SUBSTITUTE(TRIM('Base de Datos'!B166),".","")))),0),_xlfn.NUMBERVALUE(SUBSTITUTE(SUBSTITUTE(TRIM('Base de Datos'!B166),".",""),",","."),".",","),_xlfn.NUMBERVALUE(SUBSTITUTE(TRIM('Base de Datos'!B166),",",""),".",",")),"")))</f>
        <v/>
      </c>
      <c r="AF170" s="73" t="str">
        <f aca="false">IF(ISNUMBER(AG170),IF(ISNUMBER('Base de Datos'!I166),IF('Base de Datos'!I166&gt;20000,INT('Base de Datos'!I166),""),IF(TRIM('Base de Datos'!I166)="","",IFERROR(DATE(VALUE(RIGHT(TRIM('Base de Datos'!I166),4)),VALUE(MID(TRIM('Base de Datos'!I166),4,2)),VALUE(LEFT(TRIM('Base de Datos'!I166),2))),IFERROR(DATEVALUE(TRIM('Base de Datos'!I166)),"")))),"")</f>
        <v/>
      </c>
      <c r="AG170" s="74" t="str">
        <f aca="false">IF(ISNUMBER('Base de Datos'!J166),'Base de Datos'!J166,IF(TRIM('Base de Datos'!J166)="","",IFERROR(IF(IFERROR(FIND("@",SUBSTITUTE(TRIM('Base de Datos'!J166),",","@",LEN(TRIM('Base de Datos'!J166))-LEN(SUBSTITUTE(TRIM('Base de Datos'!J166),",","")))),0)&gt;IFERROR(FIND("@",SUBSTITUTE(TRIM('Base de Datos'!J166),".","@",LEN(TRIM('Base de Datos'!J166))-LEN(SUBSTITUTE(TRIM('Base de Datos'!J166),".","")))),0),_xlfn.NUMBERVALUE(SUBSTITUTE(SUBSTITUTE(TRIM('Base de Datos'!J166),".",""),",","."),".",","),_xlfn.NUMBERVALUE(SUBSTITUTE(TRIM('Base de Datos'!J166),",",""),".",",")),"")))</f>
        <v/>
      </c>
      <c r="AH170" s="73" t="n">
        <f aca="false">IF(ISNUMBER(AI170),IF(ISNUMBER('Base de Datos'!Q166),IF('Base de Datos'!Q166&gt;20000,DATE(YEAR('Base de Datos'!Q166),DAY('Base de Datos'!Q166),MONTH('Base de Datos'!Q166)),""),IF(TRIM('Base de Datos'!Q166)="","",IFERROR(DATE(VALUE(RIGHT(TRIM('Base de Datos'!Q166),4)),VALUE(LEFT(TRIM('Base de Datos'!Q166),2)),VALUE(MID(TRIM('Base de Datos'!Q166),4,2))),""))),"")</f>
        <v>45606</v>
      </c>
      <c r="AI170" s="74" t="n">
        <f aca="false">IF(ISNUMBER('Base de Datos'!R166),'Base de Datos'!R166,IF(TRIM('Base de Datos'!R166)="","",IFERROR(IF(IFERROR(FIND("@",SUBSTITUTE(TRIM('Base de Datos'!R166),",","@",LEN(TRIM('Base de Datos'!R166))-LEN(SUBSTITUTE(TRIM('Base de Datos'!R166),",","")))),0)&gt;IFERROR(FIND("@",SUBSTITUTE(TRIM('Base de Datos'!R166),".","@",LEN(TRIM('Base de Datos'!R166))-LEN(SUBSTITUTE(TRIM('Base de Datos'!R166),".","")))),0),_xlfn.NUMBERVALUE(SUBSTITUTE(SUBSTITUTE(TRIM('Base de Datos'!R166),".",""),",","."),".",","),_xlfn.NUMBERVALUE(SUBSTITUTE(TRIM('Base de Datos'!R166),",",""),".",",")),"")))</f>
        <v>28.75</v>
      </c>
      <c r="AJ170" s="73" t="n">
        <f aca="false">IF(ISNUMBER(AK170),IF(ISNUMBER('Base de Datos'!Y166),IF('Base de Datos'!Y166&gt;20000,INT('Base de Datos'!Y166),""),IF(TRIM('Base de Datos'!Y166)="","",IFERROR(DATE(VALUE(RIGHT(TRIM('Base de Datos'!Y166),4)),VALUE(MID(TRIM('Base de Datos'!Y166),4,2)),VALUE(LEFT(TRIM('Base de Datos'!Y166),2))),IFERROR(DATEVALUE(TRIM('Base de Datos'!Y166)),"")))),"")</f>
        <v>45606</v>
      </c>
      <c r="AK170" s="74" t="n">
        <f aca="false">IF(ISNUMBER('Base de Datos'!Z166),'Base de Datos'!Z166,IF(TRIM('Base de Datos'!Z166)="","",IFERROR(IF(IFERROR(FIND("@",SUBSTITUTE(TRIM('Base de Datos'!Z166),",","@",LEN(TRIM('Base de Datos'!Z166))-LEN(SUBSTITUTE(TRIM('Base de Datos'!Z166),",","")))),0)&gt;IFERROR(FIND("@",SUBSTITUTE(TRIM('Base de Datos'!Z166),".","@",LEN(TRIM('Base de Datos'!Z166))-LEN(SUBSTITUTE(TRIM('Base de Datos'!Z166),".","")))),0),_xlfn.NUMBERVALUE(SUBSTITUTE(SUBSTITUTE(TRIM('Base de Datos'!Z166),".",""),",","."),".",","),_xlfn.NUMBERVALUE(SUBSTITUTE(TRIM('Base de Datos'!Z166),",",""),".",",")),"")))</f>
        <v>50469.4</v>
      </c>
    </row>
    <row r="171" customFormat="false" ht="13.5" hidden="false" customHeight="false" outlineLevel="0" collapsed="false">
      <c r="A171" s="75" t="n">
        <f aca="false">ROWS(A$13:A171)</f>
        <v>159</v>
      </c>
      <c r="B171" s="73" t="n">
        <f aca="false">IF(B170="","",IFERROR(SMALL($AH$10:$AH$409,COUNTIF($AH$10:$AH$409,"&lt;="&amp;B170)+1),""))</f>
        <v>45592</v>
      </c>
      <c r="C171" s="74" t="n">
        <f aca="false">IF(B171="","",INDEX($AI$10:$AI$409,MATCH(B171,$AH$10:$AH$409,0)))</f>
        <v>28.28</v>
      </c>
      <c r="D171" s="74" t="n">
        <f aca="false">IF(B171="","",IFERROR(INDEX($AK$10:$AK$409,MATCH(B171,$AJ$10:$AJ$409,0)),""))</f>
        <v>50622.39</v>
      </c>
      <c r="E171" s="76" t="n">
        <f aca="false">IF(AND(ISNUMBER(C171),ISNUMBER(C170)),C171/C170-1,"")</f>
        <v>-0.0217917675544794</v>
      </c>
      <c r="F171" s="76" t="n">
        <f aca="false">IF(AND(ISNUMBER(D171),ISNUMBER(D170)),D171/D170-1,"")</f>
        <v>-0.0224380618615709</v>
      </c>
      <c r="G171" s="75" t="n">
        <f aca="false">IF(AND(ISNUMBER(E171),ISNUMBER(F171)),1,"")</f>
        <v>1</v>
      </c>
      <c r="H171" s="75" t="n">
        <f aca="false">IF(G171=1,COUNT(G171:G$412),"")</f>
        <v>101</v>
      </c>
      <c r="I171" s="75" t="n">
        <f aca="false">IF(G171=1,IF(H171&lt;='Beta Regresión'!$B$5,1,""),"")</f>
        <v>1</v>
      </c>
      <c r="J171" s="76" t="n">
        <f aca="false">IF(I171=1,E171,"")</f>
        <v>-0.0217917675544794</v>
      </c>
      <c r="K171" s="76" t="n">
        <f aca="false">IF(I171=1,F171,"")</f>
        <v>-0.0224380618615709</v>
      </c>
      <c r="L171" s="75" t="n">
        <f aca="false">IF(I171=1,COUNT(I$13:I171),"")</f>
        <v>158</v>
      </c>
      <c r="M171" s="76" t="n">
        <f aca="false">IFERROR(INDEX($J$13:$J$412,MATCH(A171,$L$13:$L$412,0)),"")</f>
        <v>0.0463224893917962</v>
      </c>
      <c r="N171" s="76" t="n">
        <f aca="false">IFERROR(INDEX($K$13:$K$412,MATCH(A171,$L$13:$L$412,0)),"")</f>
        <v>0.0241549243328891</v>
      </c>
      <c r="O171" s="76" t="n">
        <f aca="false">IF(I171=1,E171,NA())</f>
        <v>-0.0217917675544794</v>
      </c>
      <c r="P171" s="76" t="n">
        <f aca="false">IF(I171=1,F171,NA())</f>
        <v>-0.0224380618615709</v>
      </c>
      <c r="R171" s="75" t="n">
        <f aca="false">ROWS(R$13:R171)</f>
        <v>159</v>
      </c>
      <c r="S171" s="73" t="str">
        <f aca="false">IF(S170="","",IFERROR(SMALL($AD$10:$AD$509,COUNTIF($AD$10:$AD$509,"&lt;="&amp;S170)+1),""))</f>
        <v/>
      </c>
      <c r="T171" s="74" t="str">
        <f aca="false">IF(S171="","",INDEX($AE$10:$AE$509,MATCH(S171,$AD$10:$AD$509,0)))</f>
        <v/>
      </c>
      <c r="U171" s="74" t="str">
        <f aca="false">IF(S171="","",IFERROR(INDEX($AG$10:$AG$509,MATCH(S171,$AF$10:$AF$509,0)),""))</f>
        <v/>
      </c>
      <c r="V171" s="76" t="str">
        <f aca="false">IF(AND(ISNUMBER(T171),ISNUMBER(T170)),T171/T170-1,"")</f>
        <v/>
      </c>
      <c r="W171" s="76" t="str">
        <f aca="false">IF(AND(ISNUMBER(U171),ISNUMBER(U170)),U171/U170-1,"")</f>
        <v/>
      </c>
      <c r="X171" s="75" t="str">
        <f aca="false">IF(AND(ISNUMBER(V171),ISNUMBER(W171)),1,"")</f>
        <v/>
      </c>
      <c r="Y171" s="76" t="str">
        <f aca="false">IF(X171=1,V171,"")</f>
        <v/>
      </c>
      <c r="Z171" s="76" t="str">
        <f aca="false">IF(X171=1,W171,"")</f>
        <v/>
      </c>
      <c r="AA171" s="76" t="e">
        <f aca="false">IF(X171=1,V171,NA())</f>
        <v>#N/A</v>
      </c>
      <c r="AB171" s="76" t="e">
        <f aca="false">IF(X171=1,W171,NA())</f>
        <v>#N/A</v>
      </c>
      <c r="AD171" s="73" t="str">
        <f aca="false">IF(ISNUMBER(AE171),IF(ISNUMBER('Base de Datos'!A167),IF('Base de Datos'!A167&gt;20000,DATE(YEAR('Base de Datos'!A167),DAY('Base de Datos'!A167),MONTH('Base de Datos'!A167)),""),IF(TRIM('Base de Datos'!A167)="","",IFERROR(DATE(VALUE(RIGHT(TRIM('Base de Datos'!A167),4)),VALUE(LEFT(TRIM('Base de Datos'!A167),2)),VALUE(MID(TRIM('Base de Datos'!A167),4,2))),""))),"")</f>
        <v/>
      </c>
      <c r="AE171" s="74" t="str">
        <f aca="false">IF(ISNUMBER('Base de Datos'!B167),'Base de Datos'!B167,IF(TRIM('Base de Datos'!B167)="","",IFERROR(IF(IFERROR(FIND("@",SUBSTITUTE(TRIM('Base de Datos'!B167),",","@",LEN(TRIM('Base de Datos'!B167))-LEN(SUBSTITUTE(TRIM('Base de Datos'!B167),",","")))),0)&gt;IFERROR(FIND("@",SUBSTITUTE(TRIM('Base de Datos'!B167),".","@",LEN(TRIM('Base de Datos'!B167))-LEN(SUBSTITUTE(TRIM('Base de Datos'!B167),".","")))),0),_xlfn.NUMBERVALUE(SUBSTITUTE(SUBSTITUTE(TRIM('Base de Datos'!B167),".",""),",","."),".",","),_xlfn.NUMBERVALUE(SUBSTITUTE(TRIM('Base de Datos'!B167),",",""),".",",")),"")))</f>
        <v/>
      </c>
      <c r="AF171" s="73" t="str">
        <f aca="false">IF(ISNUMBER(AG171),IF(ISNUMBER('Base de Datos'!I167),IF('Base de Datos'!I167&gt;20000,INT('Base de Datos'!I167),""),IF(TRIM('Base de Datos'!I167)="","",IFERROR(DATE(VALUE(RIGHT(TRIM('Base de Datos'!I167),4)),VALUE(MID(TRIM('Base de Datos'!I167),4,2)),VALUE(LEFT(TRIM('Base de Datos'!I167),2))),IFERROR(DATEVALUE(TRIM('Base de Datos'!I167)),"")))),"")</f>
        <v/>
      </c>
      <c r="AG171" s="74" t="str">
        <f aca="false">IF(ISNUMBER('Base de Datos'!J167),'Base de Datos'!J167,IF(TRIM('Base de Datos'!J167)="","",IFERROR(IF(IFERROR(FIND("@",SUBSTITUTE(TRIM('Base de Datos'!J167),",","@",LEN(TRIM('Base de Datos'!J167))-LEN(SUBSTITUTE(TRIM('Base de Datos'!J167),",","")))),0)&gt;IFERROR(FIND("@",SUBSTITUTE(TRIM('Base de Datos'!J167),".","@",LEN(TRIM('Base de Datos'!J167))-LEN(SUBSTITUTE(TRIM('Base de Datos'!J167),".","")))),0),_xlfn.NUMBERVALUE(SUBSTITUTE(SUBSTITUTE(TRIM('Base de Datos'!J167),".",""),",","."),".",","),_xlfn.NUMBERVALUE(SUBSTITUTE(TRIM('Base de Datos'!J167),",",""),".",",")),"")))</f>
        <v/>
      </c>
      <c r="AH171" s="73" t="n">
        <f aca="false">IF(ISNUMBER(AI171),IF(ISNUMBER('Base de Datos'!Q167),IF('Base de Datos'!Q167&gt;20000,DATE(YEAR('Base de Datos'!Q167),DAY('Base de Datos'!Q167),MONTH('Base de Datos'!Q167)),""),IF(TRIM('Base de Datos'!Q167)="","",IFERROR(DATE(VALUE(RIGHT(TRIM('Base de Datos'!Q167),4)),VALUE(LEFT(TRIM('Base de Datos'!Q167),2)),VALUE(MID(TRIM('Base de Datos'!Q167),4,2))),""))),"")</f>
        <v>45613</v>
      </c>
      <c r="AI171" s="74" t="n">
        <f aca="false">IF(ISNUMBER('Base de Datos'!R167),'Base de Datos'!R167,IF(TRIM('Base de Datos'!R167)="","",IFERROR(IF(IFERROR(FIND("@",SUBSTITUTE(TRIM('Base de Datos'!R167),",","@",LEN(TRIM('Base de Datos'!R167))-LEN(SUBSTITUTE(TRIM('Base de Datos'!R167),",","")))),0)&gt;IFERROR(FIND("@",SUBSTITUTE(TRIM('Base de Datos'!R167),".","@",LEN(TRIM('Base de Datos'!R167))-LEN(SUBSTITUTE(TRIM('Base de Datos'!R167),".","")))),0),_xlfn.NUMBERVALUE(SUBSTITUTE(SUBSTITUTE(TRIM('Base de Datos'!R167),".",""),",","."),".",","),_xlfn.NUMBERVALUE(SUBSTITUTE(TRIM('Base de Datos'!R167),",",""),".",",")),"")))</f>
        <v>29.68</v>
      </c>
      <c r="AJ171" s="73" t="n">
        <f aca="false">IF(ISNUMBER(AK171),IF(ISNUMBER('Base de Datos'!Y167),IF('Base de Datos'!Y167&gt;20000,INT('Base de Datos'!Y167),""),IF(TRIM('Base de Datos'!Y167)="","",IFERROR(DATE(VALUE(RIGHT(TRIM('Base de Datos'!Y167),4)),VALUE(MID(TRIM('Base de Datos'!Y167),4,2)),VALUE(LEFT(TRIM('Base de Datos'!Y167),2))),IFERROR(DATEVALUE(TRIM('Base de Datos'!Y167)),"")))),"")</f>
        <v>45613</v>
      </c>
      <c r="AK171" s="74" t="n">
        <f aca="false">IF(ISNUMBER('Base de Datos'!Z167),'Base de Datos'!Z167,IF(TRIM('Base de Datos'!Z167)="","",IFERROR(IF(IFERROR(FIND("@",SUBSTITUTE(TRIM('Base de Datos'!Z167),",","@",LEN(TRIM('Base de Datos'!Z167))-LEN(SUBSTITUTE(TRIM('Base de Datos'!Z167),",","")))),0)&gt;IFERROR(FIND("@",SUBSTITUTE(TRIM('Base de Datos'!Z167),".","@",LEN(TRIM('Base de Datos'!Z167))-LEN(SUBSTITUTE(TRIM('Base de Datos'!Z167),".","")))),0),_xlfn.NUMBERVALUE(SUBSTITUTE(SUBSTITUTE(TRIM('Base de Datos'!Z167),".",""),",","."),".",","),_xlfn.NUMBERVALUE(SUBSTITUTE(TRIM('Base de Datos'!Z167),",",""),".",",")),"")))</f>
        <v>50430.02</v>
      </c>
    </row>
    <row r="172" customFormat="false" ht="13.5" hidden="false" customHeight="false" outlineLevel="0" collapsed="false">
      <c r="A172" s="75" t="n">
        <f aca="false">ROWS(A$13:A172)</f>
        <v>160</v>
      </c>
      <c r="B172" s="73" t="n">
        <f aca="false">IF(B171="","",IFERROR(SMALL($AH$10:$AH$409,COUNTIF($AH$10:$AH$409,"&lt;="&amp;B171)+1),""))</f>
        <v>45599</v>
      </c>
      <c r="C172" s="74" t="n">
        <f aca="false">IF(B172="","",INDEX($AI$10:$AI$409,MATCH(B172,$AH$10:$AH$409,0)))</f>
        <v>29.59</v>
      </c>
      <c r="D172" s="74" t="n">
        <f aca="false">IF(B172="","",IFERROR(INDEX($AK$10:$AK$409,MATCH(B172,$AJ$10:$AJ$409,0)),""))</f>
        <v>51845.17</v>
      </c>
      <c r="E172" s="76" t="n">
        <f aca="false">IF(AND(ISNUMBER(C172),ISNUMBER(C171)),C172/C171-1,"")</f>
        <v>0.0463224893917962</v>
      </c>
      <c r="F172" s="76" t="n">
        <f aca="false">IF(AND(ISNUMBER(D172),ISNUMBER(D171)),D172/D171-1,"")</f>
        <v>0.0241549243328891</v>
      </c>
      <c r="G172" s="75" t="n">
        <f aca="false">IF(AND(ISNUMBER(E172),ISNUMBER(F172)),1,"")</f>
        <v>1</v>
      </c>
      <c r="H172" s="75" t="n">
        <f aca="false">IF(G172=1,COUNT(G172:G$412),"")</f>
        <v>100</v>
      </c>
      <c r="I172" s="75" t="n">
        <f aca="false">IF(G172=1,IF(H172&lt;='Beta Regresión'!$B$5,1,""),"")</f>
        <v>1</v>
      </c>
      <c r="J172" s="76" t="n">
        <f aca="false">IF(I172=1,E172,"")</f>
        <v>0.0463224893917962</v>
      </c>
      <c r="K172" s="76" t="n">
        <f aca="false">IF(I172=1,F172,"")</f>
        <v>0.0241549243328891</v>
      </c>
      <c r="L172" s="75" t="n">
        <f aca="false">IF(I172=1,COUNT(I$13:I172),"")</f>
        <v>159</v>
      </c>
      <c r="M172" s="76" t="n">
        <f aca="false">IFERROR(INDEX($J$13:$J$412,MATCH(A172,$L$13:$L$412,0)),"")</f>
        <v>-0.028387968908415</v>
      </c>
      <c r="N172" s="76" t="n">
        <f aca="false">IFERROR(INDEX($K$13:$K$412,MATCH(A172,$L$13:$L$412,0)),"")</f>
        <v>-0.0265361267018701</v>
      </c>
      <c r="O172" s="76" t="n">
        <f aca="false">IF(I172=1,E172,NA())</f>
        <v>0.0463224893917962</v>
      </c>
      <c r="P172" s="76" t="n">
        <f aca="false">IF(I172=1,F172,NA())</f>
        <v>0.0241549243328891</v>
      </c>
      <c r="R172" s="75" t="n">
        <f aca="false">ROWS(R$13:R172)</f>
        <v>160</v>
      </c>
      <c r="S172" s="73" t="str">
        <f aca="false">IF(S171="","",IFERROR(SMALL($AD$10:$AD$509,COUNTIF($AD$10:$AD$509,"&lt;="&amp;S171)+1),""))</f>
        <v/>
      </c>
      <c r="T172" s="74" t="str">
        <f aca="false">IF(S172="","",INDEX($AE$10:$AE$509,MATCH(S172,$AD$10:$AD$509,0)))</f>
        <v/>
      </c>
      <c r="U172" s="74" t="str">
        <f aca="false">IF(S172="","",IFERROR(INDEX($AG$10:$AG$509,MATCH(S172,$AF$10:$AF$509,0)),""))</f>
        <v/>
      </c>
      <c r="V172" s="76" t="str">
        <f aca="false">IF(AND(ISNUMBER(T172),ISNUMBER(T171)),T172/T171-1,"")</f>
        <v/>
      </c>
      <c r="W172" s="76" t="str">
        <f aca="false">IF(AND(ISNUMBER(U172),ISNUMBER(U171)),U172/U171-1,"")</f>
        <v/>
      </c>
      <c r="X172" s="75" t="str">
        <f aca="false">IF(AND(ISNUMBER(V172),ISNUMBER(W172)),1,"")</f>
        <v/>
      </c>
      <c r="Y172" s="76" t="str">
        <f aca="false">IF(X172=1,V172,"")</f>
        <v/>
      </c>
      <c r="Z172" s="76" t="str">
        <f aca="false">IF(X172=1,W172,"")</f>
        <v/>
      </c>
      <c r="AA172" s="76" t="e">
        <f aca="false">IF(X172=1,V172,NA())</f>
        <v>#N/A</v>
      </c>
      <c r="AB172" s="76" t="e">
        <f aca="false">IF(X172=1,W172,NA())</f>
        <v>#N/A</v>
      </c>
      <c r="AD172" s="73" t="str">
        <f aca="false">IF(ISNUMBER(AE172),IF(ISNUMBER('Base de Datos'!A168),IF('Base de Datos'!A168&gt;20000,DATE(YEAR('Base de Datos'!A168),DAY('Base de Datos'!A168),MONTH('Base de Datos'!A168)),""),IF(TRIM('Base de Datos'!A168)="","",IFERROR(DATE(VALUE(RIGHT(TRIM('Base de Datos'!A168),4)),VALUE(LEFT(TRIM('Base de Datos'!A168),2)),VALUE(MID(TRIM('Base de Datos'!A168),4,2))),""))),"")</f>
        <v/>
      </c>
      <c r="AE172" s="74" t="str">
        <f aca="false">IF(ISNUMBER('Base de Datos'!B168),'Base de Datos'!B168,IF(TRIM('Base de Datos'!B168)="","",IFERROR(IF(IFERROR(FIND("@",SUBSTITUTE(TRIM('Base de Datos'!B168),",","@",LEN(TRIM('Base de Datos'!B168))-LEN(SUBSTITUTE(TRIM('Base de Datos'!B168),",","")))),0)&gt;IFERROR(FIND("@",SUBSTITUTE(TRIM('Base de Datos'!B168),".","@",LEN(TRIM('Base de Datos'!B168))-LEN(SUBSTITUTE(TRIM('Base de Datos'!B168),".","")))),0),_xlfn.NUMBERVALUE(SUBSTITUTE(SUBSTITUTE(TRIM('Base de Datos'!B168),".",""),",","."),".",","),_xlfn.NUMBERVALUE(SUBSTITUTE(TRIM('Base de Datos'!B168),",",""),".",",")),"")))</f>
        <v/>
      </c>
      <c r="AF172" s="73" t="str">
        <f aca="false">IF(ISNUMBER(AG172),IF(ISNUMBER('Base de Datos'!I168),IF('Base de Datos'!I168&gt;20000,INT('Base de Datos'!I168),""),IF(TRIM('Base de Datos'!I168)="","",IFERROR(DATE(VALUE(RIGHT(TRIM('Base de Datos'!I168),4)),VALUE(MID(TRIM('Base de Datos'!I168),4,2)),VALUE(LEFT(TRIM('Base de Datos'!I168),2))),IFERROR(DATEVALUE(TRIM('Base de Datos'!I168)),"")))),"")</f>
        <v/>
      </c>
      <c r="AG172" s="74" t="str">
        <f aca="false">IF(ISNUMBER('Base de Datos'!J168),'Base de Datos'!J168,IF(TRIM('Base de Datos'!J168)="","",IFERROR(IF(IFERROR(FIND("@",SUBSTITUTE(TRIM('Base de Datos'!J168),",","@",LEN(TRIM('Base de Datos'!J168))-LEN(SUBSTITUTE(TRIM('Base de Datos'!J168),",","")))),0)&gt;IFERROR(FIND("@",SUBSTITUTE(TRIM('Base de Datos'!J168),".","@",LEN(TRIM('Base de Datos'!J168))-LEN(SUBSTITUTE(TRIM('Base de Datos'!J168),".","")))),0),_xlfn.NUMBERVALUE(SUBSTITUTE(SUBSTITUTE(TRIM('Base de Datos'!J168),".",""),",","."),".",","),_xlfn.NUMBERVALUE(SUBSTITUTE(TRIM('Base de Datos'!J168),",",""),".",",")),"")))</f>
        <v/>
      </c>
      <c r="AH172" s="73" t="n">
        <f aca="false">IF(ISNUMBER(AI172),IF(ISNUMBER('Base de Datos'!Q168),IF('Base de Datos'!Q168&gt;20000,DATE(YEAR('Base de Datos'!Q168),DAY('Base de Datos'!Q168),MONTH('Base de Datos'!Q168)),""),IF(TRIM('Base de Datos'!Q168)="","",IFERROR(DATE(VALUE(RIGHT(TRIM('Base de Datos'!Q168),4)),VALUE(LEFT(TRIM('Base de Datos'!Q168),2)),VALUE(MID(TRIM('Base de Datos'!Q168),4,2))),""))),"")</f>
        <v>45620</v>
      </c>
      <c r="AI172" s="74" t="n">
        <f aca="false">IF(ISNUMBER('Base de Datos'!R168),'Base de Datos'!R168,IF(TRIM('Base de Datos'!R168)="","",IFERROR(IF(IFERROR(FIND("@",SUBSTITUTE(TRIM('Base de Datos'!R168),",","@",LEN(TRIM('Base de Datos'!R168))-LEN(SUBSTITUTE(TRIM('Base de Datos'!R168),",","")))),0)&gt;IFERROR(FIND("@",SUBSTITUTE(TRIM('Base de Datos'!R168),".","@",LEN(TRIM('Base de Datos'!R168))-LEN(SUBSTITUTE(TRIM('Base de Datos'!R168),".","")))),0),_xlfn.NUMBERVALUE(SUBSTITUTE(SUBSTITUTE(TRIM('Base de Datos'!R168),".",""),",","."),".",","),_xlfn.NUMBERVALUE(SUBSTITUTE(TRIM('Base de Datos'!R168),",",""),".",",")),"")))</f>
        <v>30.5</v>
      </c>
      <c r="AJ172" s="73" t="n">
        <f aca="false">IF(ISNUMBER(AK172),IF(ISNUMBER('Base de Datos'!Y168),IF('Base de Datos'!Y168&gt;20000,INT('Base de Datos'!Y168),""),IF(TRIM('Base de Datos'!Y168)="","",IFERROR(DATE(VALUE(RIGHT(TRIM('Base de Datos'!Y168),4)),VALUE(MID(TRIM('Base de Datos'!Y168),4,2)),VALUE(LEFT(TRIM('Base de Datos'!Y168),2))),IFERROR(DATEVALUE(TRIM('Base de Datos'!Y168)),"")))),"")</f>
        <v>45620</v>
      </c>
      <c r="AK172" s="74" t="n">
        <f aca="false">IF(ISNUMBER('Base de Datos'!Z168),'Base de Datos'!Z168,IF(TRIM('Base de Datos'!Z168)="","",IFERROR(IF(IFERROR(FIND("@",SUBSTITUTE(TRIM('Base de Datos'!Z168),",","@",LEN(TRIM('Base de Datos'!Z168))-LEN(SUBSTITUTE(TRIM('Base de Datos'!Z168),",","")))),0)&gt;IFERROR(FIND("@",SUBSTITUTE(TRIM('Base de Datos'!Z168),".","@",LEN(TRIM('Base de Datos'!Z168))-LEN(SUBSTITUTE(TRIM('Base de Datos'!Z168),".","")))),0),_xlfn.NUMBERVALUE(SUBSTITUTE(SUBSTITUTE(TRIM('Base de Datos'!Z168),".",""),",","."),".",","),_xlfn.NUMBERVALUE(SUBSTITUTE(TRIM('Base de Datos'!Z168),",",""),".",",")),"")))</f>
        <v>49812.64</v>
      </c>
    </row>
    <row r="173" customFormat="false" ht="13.5" hidden="false" customHeight="false" outlineLevel="0" collapsed="false">
      <c r="A173" s="75" t="n">
        <f aca="false">ROWS(A$13:A173)</f>
        <v>161</v>
      </c>
      <c r="B173" s="73" t="n">
        <f aca="false">IF(B172="","",IFERROR(SMALL($AH$10:$AH$409,COUNTIF($AH$10:$AH$409,"&lt;="&amp;B172)+1),""))</f>
        <v>45606</v>
      </c>
      <c r="C173" s="74" t="n">
        <f aca="false">IF(B173="","",INDEX($AI$10:$AI$409,MATCH(B173,$AH$10:$AH$409,0)))</f>
        <v>28.75</v>
      </c>
      <c r="D173" s="74" t="n">
        <f aca="false">IF(B173="","",IFERROR(INDEX($AK$10:$AK$409,MATCH(B173,$AJ$10:$AJ$409,0)),""))</f>
        <v>50469.4</v>
      </c>
      <c r="E173" s="76" t="n">
        <f aca="false">IF(AND(ISNUMBER(C173),ISNUMBER(C172)),C173/C172-1,"")</f>
        <v>-0.028387968908415</v>
      </c>
      <c r="F173" s="76" t="n">
        <f aca="false">IF(AND(ISNUMBER(D173),ISNUMBER(D172)),D173/D172-1,"")</f>
        <v>-0.0265361267018701</v>
      </c>
      <c r="G173" s="75" t="n">
        <f aca="false">IF(AND(ISNUMBER(E173),ISNUMBER(F173)),1,"")</f>
        <v>1</v>
      </c>
      <c r="H173" s="75" t="n">
        <f aca="false">IF(G173=1,COUNT(G173:G$412),"")</f>
        <v>99</v>
      </c>
      <c r="I173" s="75" t="n">
        <f aca="false">IF(G173=1,IF(H173&lt;='Beta Regresión'!$B$5,1,""),"")</f>
        <v>1</v>
      </c>
      <c r="J173" s="76" t="n">
        <f aca="false">IF(I173=1,E173,"")</f>
        <v>-0.028387968908415</v>
      </c>
      <c r="K173" s="76" t="n">
        <f aca="false">IF(I173=1,F173,"")</f>
        <v>-0.0265361267018701</v>
      </c>
      <c r="L173" s="75" t="n">
        <f aca="false">IF(I173=1,COUNT(I$13:I173),"")</f>
        <v>160</v>
      </c>
      <c r="M173" s="76" t="n">
        <f aca="false">IFERROR(INDEX($J$13:$J$412,MATCH(A173,$L$13:$L$412,0)),"")</f>
        <v>0.0323478260869565</v>
      </c>
      <c r="N173" s="76" t="n">
        <f aca="false">IFERROR(INDEX($K$13:$K$412,MATCH(A173,$L$13:$L$412,0)),"")</f>
        <v>-0.000780274780362023</v>
      </c>
      <c r="O173" s="76" t="n">
        <f aca="false">IF(I173=1,E173,NA())</f>
        <v>-0.028387968908415</v>
      </c>
      <c r="P173" s="76" t="n">
        <f aca="false">IF(I173=1,F173,NA())</f>
        <v>-0.0265361267018701</v>
      </c>
      <c r="R173" s="75" t="n">
        <f aca="false">ROWS(R$13:R173)</f>
        <v>161</v>
      </c>
      <c r="S173" s="73" t="str">
        <f aca="false">IF(S172="","",IFERROR(SMALL($AD$10:$AD$509,COUNTIF($AD$10:$AD$509,"&lt;="&amp;S172)+1),""))</f>
        <v/>
      </c>
      <c r="T173" s="74" t="str">
        <f aca="false">IF(S173="","",INDEX($AE$10:$AE$509,MATCH(S173,$AD$10:$AD$509,0)))</f>
        <v/>
      </c>
      <c r="U173" s="74" t="str">
        <f aca="false">IF(S173="","",IFERROR(INDEX($AG$10:$AG$509,MATCH(S173,$AF$10:$AF$509,0)),""))</f>
        <v/>
      </c>
      <c r="V173" s="76" t="str">
        <f aca="false">IF(AND(ISNUMBER(T173),ISNUMBER(T172)),T173/T172-1,"")</f>
        <v/>
      </c>
      <c r="W173" s="76" t="str">
        <f aca="false">IF(AND(ISNUMBER(U173),ISNUMBER(U172)),U173/U172-1,"")</f>
        <v/>
      </c>
      <c r="X173" s="75" t="str">
        <f aca="false">IF(AND(ISNUMBER(V173),ISNUMBER(W173)),1,"")</f>
        <v/>
      </c>
      <c r="Y173" s="76" t="str">
        <f aca="false">IF(X173=1,V173,"")</f>
        <v/>
      </c>
      <c r="Z173" s="76" t="str">
        <f aca="false">IF(X173=1,W173,"")</f>
        <v/>
      </c>
      <c r="AA173" s="76" t="e">
        <f aca="false">IF(X173=1,V173,NA())</f>
        <v>#N/A</v>
      </c>
      <c r="AB173" s="76" t="e">
        <f aca="false">IF(X173=1,W173,NA())</f>
        <v>#N/A</v>
      </c>
      <c r="AD173" s="73" t="str">
        <f aca="false">IF(ISNUMBER(AE173),IF(ISNUMBER('Base de Datos'!A169),IF('Base de Datos'!A169&gt;20000,DATE(YEAR('Base de Datos'!A169),DAY('Base de Datos'!A169),MONTH('Base de Datos'!A169)),""),IF(TRIM('Base de Datos'!A169)="","",IFERROR(DATE(VALUE(RIGHT(TRIM('Base de Datos'!A169),4)),VALUE(LEFT(TRIM('Base de Datos'!A169),2)),VALUE(MID(TRIM('Base de Datos'!A169),4,2))),""))),"")</f>
        <v/>
      </c>
      <c r="AE173" s="74" t="str">
        <f aca="false">IF(ISNUMBER('Base de Datos'!B169),'Base de Datos'!B169,IF(TRIM('Base de Datos'!B169)="","",IFERROR(IF(IFERROR(FIND("@",SUBSTITUTE(TRIM('Base de Datos'!B169),",","@",LEN(TRIM('Base de Datos'!B169))-LEN(SUBSTITUTE(TRIM('Base de Datos'!B169),",","")))),0)&gt;IFERROR(FIND("@",SUBSTITUTE(TRIM('Base de Datos'!B169),".","@",LEN(TRIM('Base de Datos'!B169))-LEN(SUBSTITUTE(TRIM('Base de Datos'!B169),".","")))),0),_xlfn.NUMBERVALUE(SUBSTITUTE(SUBSTITUTE(TRIM('Base de Datos'!B169),".",""),",","."),".",","),_xlfn.NUMBERVALUE(SUBSTITUTE(TRIM('Base de Datos'!B169),",",""),".",",")),"")))</f>
        <v/>
      </c>
      <c r="AF173" s="73" t="str">
        <f aca="false">IF(ISNUMBER(AG173),IF(ISNUMBER('Base de Datos'!I169),IF('Base de Datos'!I169&gt;20000,INT('Base de Datos'!I169),""),IF(TRIM('Base de Datos'!I169)="","",IFERROR(DATE(VALUE(RIGHT(TRIM('Base de Datos'!I169),4)),VALUE(MID(TRIM('Base de Datos'!I169),4,2)),VALUE(LEFT(TRIM('Base de Datos'!I169),2))),IFERROR(DATEVALUE(TRIM('Base de Datos'!I169)),"")))),"")</f>
        <v/>
      </c>
      <c r="AG173" s="74" t="str">
        <f aca="false">IF(ISNUMBER('Base de Datos'!J169),'Base de Datos'!J169,IF(TRIM('Base de Datos'!J169)="","",IFERROR(IF(IFERROR(FIND("@",SUBSTITUTE(TRIM('Base de Datos'!J169),",","@",LEN(TRIM('Base de Datos'!J169))-LEN(SUBSTITUTE(TRIM('Base de Datos'!J169),",","")))),0)&gt;IFERROR(FIND("@",SUBSTITUTE(TRIM('Base de Datos'!J169),".","@",LEN(TRIM('Base de Datos'!J169))-LEN(SUBSTITUTE(TRIM('Base de Datos'!J169),".","")))),0),_xlfn.NUMBERVALUE(SUBSTITUTE(SUBSTITUTE(TRIM('Base de Datos'!J169),".",""),",","."),".",","),_xlfn.NUMBERVALUE(SUBSTITUTE(TRIM('Base de Datos'!J169),",",""),".",",")),"")))</f>
        <v/>
      </c>
      <c r="AH173" s="73" t="n">
        <f aca="false">IF(ISNUMBER(AI173),IF(ISNUMBER('Base de Datos'!Q169),IF('Base de Datos'!Q169&gt;20000,DATE(YEAR('Base de Datos'!Q169),DAY('Base de Datos'!Q169),MONTH('Base de Datos'!Q169)),""),IF(TRIM('Base de Datos'!Q169)="","",IFERROR(DATE(VALUE(RIGHT(TRIM('Base de Datos'!Q169),4)),VALUE(LEFT(TRIM('Base de Datos'!Q169),2)),VALUE(MID(TRIM('Base de Datos'!Q169),4,2))),""))),"")</f>
        <v>45627</v>
      </c>
      <c r="AI173" s="74" t="n">
        <f aca="false">IF(ISNUMBER('Base de Datos'!R169),'Base de Datos'!R169,IF(TRIM('Base de Datos'!R169)="","",IFERROR(IF(IFERROR(FIND("@",SUBSTITUTE(TRIM('Base de Datos'!R169),",","@",LEN(TRIM('Base de Datos'!R169))-LEN(SUBSTITUTE(TRIM('Base de Datos'!R169),",","")))),0)&gt;IFERROR(FIND("@",SUBSTITUTE(TRIM('Base de Datos'!R169),".","@",LEN(TRIM('Base de Datos'!R169))-LEN(SUBSTITUTE(TRIM('Base de Datos'!R169),".","")))),0),_xlfn.NUMBERVALUE(SUBSTITUTE(SUBSTITUTE(TRIM('Base de Datos'!R169),".",""),",","."),".",","),_xlfn.NUMBERVALUE(SUBSTITUTE(TRIM('Base de Datos'!R169),",",""),".",",")),"")))</f>
        <v>30.22</v>
      </c>
      <c r="AJ173" s="73" t="n">
        <f aca="false">IF(ISNUMBER(AK173),IF(ISNUMBER('Base de Datos'!Y169),IF('Base de Datos'!Y169&gt;20000,INT('Base de Datos'!Y169),""),IF(TRIM('Base de Datos'!Y169)="","",IFERROR(DATE(VALUE(RIGHT(TRIM('Base de Datos'!Y169),4)),VALUE(MID(TRIM('Base de Datos'!Y169),4,2)),VALUE(LEFT(TRIM('Base de Datos'!Y169),2))),IFERROR(DATEVALUE(TRIM('Base de Datos'!Y169)),"")))),"")</f>
        <v>45627</v>
      </c>
      <c r="AK173" s="74" t="n">
        <f aca="false">IF(ISNUMBER('Base de Datos'!Z169),'Base de Datos'!Z169,IF(TRIM('Base de Datos'!Z169)="","",IFERROR(IF(IFERROR(FIND("@",SUBSTITUTE(TRIM('Base de Datos'!Z169),",","@",LEN(TRIM('Base de Datos'!Z169))-LEN(SUBSTITUTE(TRIM('Base de Datos'!Z169),",","")))),0)&gt;IFERROR(FIND("@",SUBSTITUTE(TRIM('Base de Datos'!Z169),".","@",LEN(TRIM('Base de Datos'!Z169))-LEN(SUBSTITUTE(TRIM('Base de Datos'!Z169),".","")))),0),_xlfn.NUMBERVALUE(SUBSTITUTE(SUBSTITUTE(TRIM('Base de Datos'!Z169),".",""),",","."),".",","),_xlfn.NUMBERVALUE(SUBSTITUTE(TRIM('Base de Datos'!Z169),",",""),".",",")),"")))</f>
        <v>51348.8</v>
      </c>
    </row>
    <row r="174" customFormat="false" ht="13.5" hidden="false" customHeight="false" outlineLevel="0" collapsed="false">
      <c r="A174" s="75" t="n">
        <f aca="false">ROWS(A$13:A174)</f>
        <v>162</v>
      </c>
      <c r="B174" s="73" t="n">
        <f aca="false">IF(B173="","",IFERROR(SMALL($AH$10:$AH$409,COUNTIF($AH$10:$AH$409,"&lt;="&amp;B173)+1),""))</f>
        <v>45613</v>
      </c>
      <c r="C174" s="74" t="n">
        <f aca="false">IF(B174="","",INDEX($AI$10:$AI$409,MATCH(B174,$AH$10:$AH$409,0)))</f>
        <v>29.68</v>
      </c>
      <c r="D174" s="74" t="n">
        <f aca="false">IF(B174="","",IFERROR(INDEX($AK$10:$AK$409,MATCH(B174,$AJ$10:$AJ$409,0)),""))</f>
        <v>50430.02</v>
      </c>
      <c r="E174" s="76" t="n">
        <f aca="false">IF(AND(ISNUMBER(C174),ISNUMBER(C173)),C174/C173-1,"")</f>
        <v>0.0323478260869565</v>
      </c>
      <c r="F174" s="76" t="n">
        <f aca="false">IF(AND(ISNUMBER(D174),ISNUMBER(D173)),D174/D173-1,"")</f>
        <v>-0.000780274780362023</v>
      </c>
      <c r="G174" s="75" t="n">
        <f aca="false">IF(AND(ISNUMBER(E174),ISNUMBER(F174)),1,"")</f>
        <v>1</v>
      </c>
      <c r="H174" s="75" t="n">
        <f aca="false">IF(G174=1,COUNT(G174:G$412),"")</f>
        <v>98</v>
      </c>
      <c r="I174" s="75" t="n">
        <f aca="false">IF(G174=1,IF(H174&lt;='Beta Regresión'!$B$5,1,""),"")</f>
        <v>1</v>
      </c>
      <c r="J174" s="76" t="n">
        <f aca="false">IF(I174=1,E174,"")</f>
        <v>0.0323478260869565</v>
      </c>
      <c r="K174" s="76" t="n">
        <f aca="false">IF(I174=1,F174,"")</f>
        <v>-0.000780274780362023</v>
      </c>
      <c r="L174" s="75" t="n">
        <f aca="false">IF(I174=1,COUNT(I$13:I174),"")</f>
        <v>161</v>
      </c>
      <c r="M174" s="76" t="n">
        <f aca="false">IFERROR(INDEX($J$13:$J$412,MATCH(A174,$L$13:$L$412,0)),"")</f>
        <v>0.0276280323450135</v>
      </c>
      <c r="N174" s="76" t="n">
        <f aca="false">IFERROR(INDEX($K$13:$K$412,MATCH(A174,$L$13:$L$412,0)),"")</f>
        <v>-0.0122423112265273</v>
      </c>
      <c r="O174" s="76" t="n">
        <f aca="false">IF(I174=1,E174,NA())</f>
        <v>0.0323478260869565</v>
      </c>
      <c r="P174" s="76" t="n">
        <f aca="false">IF(I174=1,F174,NA())</f>
        <v>-0.000780274780362023</v>
      </c>
      <c r="R174" s="75" t="n">
        <f aca="false">ROWS(R$13:R174)</f>
        <v>162</v>
      </c>
      <c r="S174" s="73" t="str">
        <f aca="false">IF(S173="","",IFERROR(SMALL($AD$10:$AD$509,COUNTIF($AD$10:$AD$509,"&lt;="&amp;S173)+1),""))</f>
        <v/>
      </c>
      <c r="T174" s="74" t="str">
        <f aca="false">IF(S174="","",INDEX($AE$10:$AE$509,MATCH(S174,$AD$10:$AD$509,0)))</f>
        <v/>
      </c>
      <c r="U174" s="74" t="str">
        <f aca="false">IF(S174="","",IFERROR(INDEX($AG$10:$AG$509,MATCH(S174,$AF$10:$AF$509,0)),""))</f>
        <v/>
      </c>
      <c r="V174" s="76" t="str">
        <f aca="false">IF(AND(ISNUMBER(T174),ISNUMBER(T173)),T174/T173-1,"")</f>
        <v/>
      </c>
      <c r="W174" s="76" t="str">
        <f aca="false">IF(AND(ISNUMBER(U174),ISNUMBER(U173)),U174/U173-1,"")</f>
        <v/>
      </c>
      <c r="X174" s="75" t="str">
        <f aca="false">IF(AND(ISNUMBER(V174),ISNUMBER(W174)),1,"")</f>
        <v/>
      </c>
      <c r="Y174" s="76" t="str">
        <f aca="false">IF(X174=1,V174,"")</f>
        <v/>
      </c>
      <c r="Z174" s="76" t="str">
        <f aca="false">IF(X174=1,W174,"")</f>
        <v/>
      </c>
      <c r="AA174" s="76" t="e">
        <f aca="false">IF(X174=1,V174,NA())</f>
        <v>#N/A</v>
      </c>
      <c r="AB174" s="76" t="e">
        <f aca="false">IF(X174=1,W174,NA())</f>
        <v>#N/A</v>
      </c>
      <c r="AD174" s="73" t="str">
        <f aca="false">IF(ISNUMBER(AE174),IF(ISNUMBER('Base de Datos'!A170),IF('Base de Datos'!A170&gt;20000,DATE(YEAR('Base de Datos'!A170),DAY('Base de Datos'!A170),MONTH('Base de Datos'!A170)),""),IF(TRIM('Base de Datos'!A170)="","",IFERROR(DATE(VALUE(RIGHT(TRIM('Base de Datos'!A170),4)),VALUE(LEFT(TRIM('Base de Datos'!A170),2)),VALUE(MID(TRIM('Base de Datos'!A170),4,2))),""))),"")</f>
        <v/>
      </c>
      <c r="AE174" s="74" t="str">
        <f aca="false">IF(ISNUMBER('Base de Datos'!B170),'Base de Datos'!B170,IF(TRIM('Base de Datos'!B170)="","",IFERROR(IF(IFERROR(FIND("@",SUBSTITUTE(TRIM('Base de Datos'!B170),",","@",LEN(TRIM('Base de Datos'!B170))-LEN(SUBSTITUTE(TRIM('Base de Datos'!B170),",","")))),0)&gt;IFERROR(FIND("@",SUBSTITUTE(TRIM('Base de Datos'!B170),".","@",LEN(TRIM('Base de Datos'!B170))-LEN(SUBSTITUTE(TRIM('Base de Datos'!B170),".","")))),0),_xlfn.NUMBERVALUE(SUBSTITUTE(SUBSTITUTE(TRIM('Base de Datos'!B170),".",""),",","."),".",","),_xlfn.NUMBERVALUE(SUBSTITUTE(TRIM('Base de Datos'!B170),",",""),".",",")),"")))</f>
        <v/>
      </c>
      <c r="AF174" s="73" t="str">
        <f aca="false">IF(ISNUMBER(AG174),IF(ISNUMBER('Base de Datos'!I170),IF('Base de Datos'!I170&gt;20000,INT('Base de Datos'!I170),""),IF(TRIM('Base de Datos'!I170)="","",IFERROR(DATE(VALUE(RIGHT(TRIM('Base de Datos'!I170),4)),VALUE(MID(TRIM('Base de Datos'!I170),4,2)),VALUE(LEFT(TRIM('Base de Datos'!I170),2))),IFERROR(DATEVALUE(TRIM('Base de Datos'!I170)),"")))),"")</f>
        <v/>
      </c>
      <c r="AG174" s="74" t="str">
        <f aca="false">IF(ISNUMBER('Base de Datos'!J170),'Base de Datos'!J170,IF(TRIM('Base de Datos'!J170)="","",IFERROR(IF(IFERROR(FIND("@",SUBSTITUTE(TRIM('Base de Datos'!J170),",","@",LEN(TRIM('Base de Datos'!J170))-LEN(SUBSTITUTE(TRIM('Base de Datos'!J170),",","")))),0)&gt;IFERROR(FIND("@",SUBSTITUTE(TRIM('Base de Datos'!J170),".","@",LEN(TRIM('Base de Datos'!J170))-LEN(SUBSTITUTE(TRIM('Base de Datos'!J170),".","")))),0),_xlfn.NUMBERVALUE(SUBSTITUTE(SUBSTITUTE(TRIM('Base de Datos'!J170),".",""),",","."),".",","),_xlfn.NUMBERVALUE(SUBSTITUTE(TRIM('Base de Datos'!J170),",",""),".",",")),"")))</f>
        <v/>
      </c>
      <c r="AH174" s="73" t="n">
        <f aca="false">IF(ISNUMBER(AI174),IF(ISNUMBER('Base de Datos'!Q170),IF('Base de Datos'!Q170&gt;20000,DATE(YEAR('Base de Datos'!Q170),DAY('Base de Datos'!Q170),MONTH('Base de Datos'!Q170)),""),IF(TRIM('Base de Datos'!Q170)="","",IFERROR(DATE(VALUE(RIGHT(TRIM('Base de Datos'!Q170),4)),VALUE(LEFT(TRIM('Base de Datos'!Q170),2)),VALUE(MID(TRIM('Base de Datos'!Q170),4,2))),""))),"")</f>
        <v>45634</v>
      </c>
      <c r="AI174" s="74" t="n">
        <f aca="false">IF(ISNUMBER('Base de Datos'!R170),'Base de Datos'!R170,IF(TRIM('Base de Datos'!R170)="","",IFERROR(IF(IFERROR(FIND("@",SUBSTITUTE(TRIM('Base de Datos'!R170),",","@",LEN(TRIM('Base de Datos'!R170))-LEN(SUBSTITUTE(TRIM('Base de Datos'!R170),",","")))),0)&gt;IFERROR(FIND("@",SUBSTITUTE(TRIM('Base de Datos'!R170),".","@",LEN(TRIM('Base de Datos'!R170))-LEN(SUBSTITUTE(TRIM('Base de Datos'!R170),".","")))),0),_xlfn.NUMBERVALUE(SUBSTITUTE(SUBSTITUTE(TRIM('Base de Datos'!R170),".",""),",","."),".",","),_xlfn.NUMBERVALUE(SUBSTITUTE(TRIM('Base de Datos'!R170),",",""),".",",")),"")))</f>
        <v>30.07</v>
      </c>
      <c r="AJ174" s="73" t="n">
        <f aca="false">IF(ISNUMBER(AK174),IF(ISNUMBER('Base de Datos'!Y170),IF('Base de Datos'!Y170&gt;20000,INT('Base de Datos'!Y170),""),IF(TRIM('Base de Datos'!Y170)="","",IFERROR(DATE(VALUE(RIGHT(TRIM('Base de Datos'!Y170),4)),VALUE(MID(TRIM('Base de Datos'!Y170),4,2)),VALUE(LEFT(TRIM('Base de Datos'!Y170),2))),IFERROR(DATEVALUE(TRIM('Base de Datos'!Y170)),"")))),"")</f>
        <v>45634</v>
      </c>
      <c r="AK174" s="74" t="n">
        <f aca="false">IF(ISNUMBER('Base de Datos'!Z170),'Base de Datos'!Z170,IF(TRIM('Base de Datos'!Z170)="","",IFERROR(IF(IFERROR(FIND("@",SUBSTITUTE(TRIM('Base de Datos'!Z170),",","@",LEN(TRIM('Base de Datos'!Z170))-LEN(SUBSTITUTE(TRIM('Base de Datos'!Z170),",","")))),0)&gt;IFERROR(FIND("@",SUBSTITUTE(TRIM('Base de Datos'!Z170),".","@",LEN(TRIM('Base de Datos'!Z170))-LEN(SUBSTITUTE(TRIM('Base de Datos'!Z170),".","")))),0),_xlfn.NUMBERVALUE(SUBSTITUTE(SUBSTITUTE(TRIM('Base de Datos'!Z170),".",""),",","."),".",","),_xlfn.NUMBERVALUE(SUBSTITUTE(TRIM('Base de Datos'!Z170),",",""),".",",")),"")))</f>
        <v>51619.75</v>
      </c>
    </row>
    <row r="175" customFormat="false" ht="13.5" hidden="false" customHeight="false" outlineLevel="0" collapsed="false">
      <c r="A175" s="75" t="n">
        <f aca="false">ROWS(A$13:A175)</f>
        <v>163</v>
      </c>
      <c r="B175" s="73" t="n">
        <f aca="false">IF(B174="","",IFERROR(SMALL($AH$10:$AH$409,COUNTIF($AH$10:$AH$409,"&lt;="&amp;B174)+1),""))</f>
        <v>45620</v>
      </c>
      <c r="C175" s="74" t="n">
        <f aca="false">IF(B175="","",INDEX($AI$10:$AI$409,MATCH(B175,$AH$10:$AH$409,0)))</f>
        <v>30.5</v>
      </c>
      <c r="D175" s="74" t="n">
        <f aca="false">IF(B175="","",IFERROR(INDEX($AK$10:$AK$409,MATCH(B175,$AJ$10:$AJ$409,0)),""))</f>
        <v>49812.64</v>
      </c>
      <c r="E175" s="76" t="n">
        <f aca="false">IF(AND(ISNUMBER(C175),ISNUMBER(C174)),C175/C174-1,"")</f>
        <v>0.0276280323450135</v>
      </c>
      <c r="F175" s="76" t="n">
        <f aca="false">IF(AND(ISNUMBER(D175),ISNUMBER(D174)),D175/D174-1,"")</f>
        <v>-0.0122423112265273</v>
      </c>
      <c r="G175" s="75" t="n">
        <f aca="false">IF(AND(ISNUMBER(E175),ISNUMBER(F175)),1,"")</f>
        <v>1</v>
      </c>
      <c r="H175" s="75" t="n">
        <f aca="false">IF(G175=1,COUNT(G175:G$412),"")</f>
        <v>97</v>
      </c>
      <c r="I175" s="75" t="n">
        <f aca="false">IF(G175=1,IF(H175&lt;='Beta Regresión'!$B$5,1,""),"")</f>
        <v>1</v>
      </c>
      <c r="J175" s="76" t="n">
        <f aca="false">IF(I175=1,E175,"")</f>
        <v>0.0276280323450135</v>
      </c>
      <c r="K175" s="76" t="n">
        <f aca="false">IF(I175=1,F175,"")</f>
        <v>-0.0122423112265273</v>
      </c>
      <c r="L175" s="75" t="n">
        <f aca="false">IF(I175=1,COUNT(I$13:I175),"")</f>
        <v>162</v>
      </c>
      <c r="M175" s="76" t="n">
        <f aca="false">IFERROR(INDEX($J$13:$J$412,MATCH(A175,$L$13:$L$412,0)),"")</f>
        <v>-0.00918032786885248</v>
      </c>
      <c r="N175" s="76" t="n">
        <f aca="false">IFERROR(INDEX($K$13:$K$412,MATCH(A175,$L$13:$L$412,0)),"")</f>
        <v>0.0308387589977164</v>
      </c>
      <c r="O175" s="76" t="n">
        <f aca="false">IF(I175=1,E175,NA())</f>
        <v>0.0276280323450135</v>
      </c>
      <c r="P175" s="76" t="n">
        <f aca="false">IF(I175=1,F175,NA())</f>
        <v>-0.0122423112265273</v>
      </c>
      <c r="R175" s="75" t="n">
        <f aca="false">ROWS(R$13:R175)</f>
        <v>163</v>
      </c>
      <c r="S175" s="73" t="str">
        <f aca="false">IF(S174="","",IFERROR(SMALL($AD$10:$AD$509,COUNTIF($AD$10:$AD$509,"&lt;="&amp;S174)+1),""))</f>
        <v/>
      </c>
      <c r="T175" s="74" t="str">
        <f aca="false">IF(S175="","",INDEX($AE$10:$AE$509,MATCH(S175,$AD$10:$AD$509,0)))</f>
        <v/>
      </c>
      <c r="U175" s="74" t="str">
        <f aca="false">IF(S175="","",IFERROR(INDEX($AG$10:$AG$509,MATCH(S175,$AF$10:$AF$509,0)),""))</f>
        <v/>
      </c>
      <c r="V175" s="76" t="str">
        <f aca="false">IF(AND(ISNUMBER(T175),ISNUMBER(T174)),T175/T174-1,"")</f>
        <v/>
      </c>
      <c r="W175" s="76" t="str">
        <f aca="false">IF(AND(ISNUMBER(U175),ISNUMBER(U174)),U175/U174-1,"")</f>
        <v/>
      </c>
      <c r="X175" s="75" t="str">
        <f aca="false">IF(AND(ISNUMBER(V175),ISNUMBER(W175)),1,"")</f>
        <v/>
      </c>
      <c r="Y175" s="76" t="str">
        <f aca="false">IF(X175=1,V175,"")</f>
        <v/>
      </c>
      <c r="Z175" s="76" t="str">
        <f aca="false">IF(X175=1,W175,"")</f>
        <v/>
      </c>
      <c r="AA175" s="76" t="e">
        <f aca="false">IF(X175=1,V175,NA())</f>
        <v>#N/A</v>
      </c>
      <c r="AB175" s="76" t="e">
        <f aca="false">IF(X175=1,W175,NA())</f>
        <v>#N/A</v>
      </c>
      <c r="AD175" s="73" t="str">
        <f aca="false">IF(ISNUMBER(AE175),IF(ISNUMBER('Base de Datos'!A171),IF('Base de Datos'!A171&gt;20000,DATE(YEAR('Base de Datos'!A171),DAY('Base de Datos'!A171),MONTH('Base de Datos'!A171)),""),IF(TRIM('Base de Datos'!A171)="","",IFERROR(DATE(VALUE(RIGHT(TRIM('Base de Datos'!A171),4)),VALUE(LEFT(TRIM('Base de Datos'!A171),2)),VALUE(MID(TRIM('Base de Datos'!A171),4,2))),""))),"")</f>
        <v/>
      </c>
      <c r="AE175" s="74" t="str">
        <f aca="false">IF(ISNUMBER('Base de Datos'!B171),'Base de Datos'!B171,IF(TRIM('Base de Datos'!B171)="","",IFERROR(IF(IFERROR(FIND("@",SUBSTITUTE(TRIM('Base de Datos'!B171),",","@",LEN(TRIM('Base de Datos'!B171))-LEN(SUBSTITUTE(TRIM('Base de Datos'!B171),",","")))),0)&gt;IFERROR(FIND("@",SUBSTITUTE(TRIM('Base de Datos'!B171),".","@",LEN(TRIM('Base de Datos'!B171))-LEN(SUBSTITUTE(TRIM('Base de Datos'!B171),".","")))),0),_xlfn.NUMBERVALUE(SUBSTITUTE(SUBSTITUTE(TRIM('Base de Datos'!B171),".",""),",","."),".",","),_xlfn.NUMBERVALUE(SUBSTITUTE(TRIM('Base de Datos'!B171),",",""),".",",")),"")))</f>
        <v/>
      </c>
      <c r="AF175" s="73" t="str">
        <f aca="false">IF(ISNUMBER(AG175),IF(ISNUMBER('Base de Datos'!I171),IF('Base de Datos'!I171&gt;20000,INT('Base de Datos'!I171),""),IF(TRIM('Base de Datos'!I171)="","",IFERROR(DATE(VALUE(RIGHT(TRIM('Base de Datos'!I171),4)),VALUE(MID(TRIM('Base de Datos'!I171),4,2)),VALUE(LEFT(TRIM('Base de Datos'!I171),2))),IFERROR(DATEVALUE(TRIM('Base de Datos'!I171)),"")))),"")</f>
        <v/>
      </c>
      <c r="AG175" s="74" t="str">
        <f aca="false">IF(ISNUMBER('Base de Datos'!J171),'Base de Datos'!J171,IF(TRIM('Base de Datos'!J171)="","",IFERROR(IF(IFERROR(FIND("@",SUBSTITUTE(TRIM('Base de Datos'!J171),",","@",LEN(TRIM('Base de Datos'!J171))-LEN(SUBSTITUTE(TRIM('Base de Datos'!J171),",","")))),0)&gt;IFERROR(FIND("@",SUBSTITUTE(TRIM('Base de Datos'!J171),".","@",LEN(TRIM('Base de Datos'!J171))-LEN(SUBSTITUTE(TRIM('Base de Datos'!J171),".","")))),0),_xlfn.NUMBERVALUE(SUBSTITUTE(SUBSTITUTE(TRIM('Base de Datos'!J171),".",""),",","."),".",","),_xlfn.NUMBERVALUE(SUBSTITUTE(TRIM('Base de Datos'!J171),",",""),".",",")),"")))</f>
        <v/>
      </c>
      <c r="AH175" s="73" t="n">
        <f aca="false">IF(ISNUMBER(AI175),IF(ISNUMBER('Base de Datos'!Q171),IF('Base de Datos'!Q171&gt;20000,DATE(YEAR('Base de Datos'!Q171),DAY('Base de Datos'!Q171),MONTH('Base de Datos'!Q171)),""),IF(TRIM('Base de Datos'!Q171)="","",IFERROR(DATE(VALUE(RIGHT(TRIM('Base de Datos'!Q171),4)),VALUE(LEFT(TRIM('Base de Datos'!Q171),2)),VALUE(MID(TRIM('Base de Datos'!Q171),4,2))),""))),"")</f>
        <v>45641</v>
      </c>
      <c r="AI175" s="74" t="n">
        <f aca="false">IF(ISNUMBER('Base de Datos'!R171),'Base de Datos'!R171,IF(TRIM('Base de Datos'!R171)="","",IFERROR(IF(IFERROR(FIND("@",SUBSTITUTE(TRIM('Base de Datos'!R171),",","@",LEN(TRIM('Base de Datos'!R171))-LEN(SUBSTITUTE(TRIM('Base de Datos'!R171),",","")))),0)&gt;IFERROR(FIND("@",SUBSTITUTE(TRIM('Base de Datos'!R171),".","@",LEN(TRIM('Base de Datos'!R171))-LEN(SUBSTITUTE(TRIM('Base de Datos'!R171),".","")))),0),_xlfn.NUMBERVALUE(SUBSTITUTE(SUBSTITUTE(TRIM('Base de Datos'!R171),".",""),",","."),".",","),_xlfn.NUMBERVALUE(SUBSTITUTE(TRIM('Base de Datos'!R171),",",""),".",",")),"")))</f>
        <v>29.62</v>
      </c>
      <c r="AJ175" s="73" t="n">
        <f aca="false">IF(ISNUMBER(AK175),IF(ISNUMBER('Base de Datos'!Y171),IF('Base de Datos'!Y171&gt;20000,INT('Base de Datos'!Y171),""),IF(TRIM('Base de Datos'!Y171)="","",IFERROR(DATE(VALUE(RIGHT(TRIM('Base de Datos'!Y171),4)),VALUE(MID(TRIM('Base de Datos'!Y171),4,2)),VALUE(LEFT(TRIM('Base de Datos'!Y171),2))),IFERROR(DATEVALUE(TRIM('Base de Datos'!Y171)),"")))),"")</f>
        <v>45641</v>
      </c>
      <c r="AK175" s="74" t="n">
        <f aca="false">IF(ISNUMBER('Base de Datos'!Z171),'Base de Datos'!Z171,IF(TRIM('Base de Datos'!Z171)="","",IFERROR(IF(IFERROR(FIND("@",SUBSTITUTE(TRIM('Base de Datos'!Z171),",","@",LEN(TRIM('Base de Datos'!Z171))-LEN(SUBSTITUTE(TRIM('Base de Datos'!Z171),",","")))),0)&gt;IFERROR(FIND("@",SUBSTITUTE(TRIM('Base de Datos'!Z171),".","@",LEN(TRIM('Base de Datos'!Z171))-LEN(SUBSTITUTE(TRIM('Base de Datos'!Z171),".","")))),0),_xlfn.NUMBERVALUE(SUBSTITUTE(SUBSTITUTE(TRIM('Base de Datos'!Z171),".",""),",","."),".",","),_xlfn.NUMBERVALUE(SUBSTITUTE(TRIM('Base de Datos'!Z171),",",""),".",",")),"")))</f>
        <v>49586.21</v>
      </c>
    </row>
    <row r="176" customFormat="false" ht="13.5" hidden="false" customHeight="false" outlineLevel="0" collapsed="false">
      <c r="A176" s="75" t="n">
        <f aca="false">ROWS(A$13:A176)</f>
        <v>164</v>
      </c>
      <c r="B176" s="73" t="n">
        <f aca="false">IF(B175="","",IFERROR(SMALL($AH$10:$AH$409,COUNTIF($AH$10:$AH$409,"&lt;="&amp;B175)+1),""))</f>
        <v>45627</v>
      </c>
      <c r="C176" s="74" t="n">
        <f aca="false">IF(B176="","",INDEX($AI$10:$AI$409,MATCH(B176,$AH$10:$AH$409,0)))</f>
        <v>30.22</v>
      </c>
      <c r="D176" s="74" t="n">
        <f aca="false">IF(B176="","",IFERROR(INDEX($AK$10:$AK$409,MATCH(B176,$AJ$10:$AJ$409,0)),""))</f>
        <v>51348.8</v>
      </c>
      <c r="E176" s="76" t="n">
        <f aca="false">IF(AND(ISNUMBER(C176),ISNUMBER(C175)),C176/C175-1,"")</f>
        <v>-0.00918032786885248</v>
      </c>
      <c r="F176" s="76" t="n">
        <f aca="false">IF(AND(ISNUMBER(D176),ISNUMBER(D175)),D176/D175-1,"")</f>
        <v>0.0308387589977164</v>
      </c>
      <c r="G176" s="75" t="n">
        <f aca="false">IF(AND(ISNUMBER(E176),ISNUMBER(F176)),1,"")</f>
        <v>1</v>
      </c>
      <c r="H176" s="75" t="n">
        <f aca="false">IF(G176=1,COUNT(G176:G$412),"")</f>
        <v>96</v>
      </c>
      <c r="I176" s="75" t="n">
        <f aca="false">IF(G176=1,IF(H176&lt;='Beta Regresión'!$B$5,1,""),"")</f>
        <v>1</v>
      </c>
      <c r="J176" s="76" t="n">
        <f aca="false">IF(I176=1,E176,"")</f>
        <v>-0.00918032786885248</v>
      </c>
      <c r="K176" s="76" t="n">
        <f aca="false">IF(I176=1,F176,"")</f>
        <v>0.0308387589977164</v>
      </c>
      <c r="L176" s="75" t="n">
        <f aca="false">IF(I176=1,COUNT(I$13:I176),"")</f>
        <v>163</v>
      </c>
      <c r="M176" s="76" t="n">
        <f aca="false">IFERROR(INDEX($J$13:$J$412,MATCH(A176,$L$13:$L$412,0)),"")</f>
        <v>-0.00496360026472531</v>
      </c>
      <c r="N176" s="76" t="n">
        <f aca="false">IFERROR(INDEX($K$13:$K$412,MATCH(A176,$L$13:$L$412,0)),"")</f>
        <v>0.00527665690337442</v>
      </c>
      <c r="O176" s="76" t="n">
        <f aca="false">IF(I176=1,E176,NA())</f>
        <v>-0.00918032786885248</v>
      </c>
      <c r="P176" s="76" t="n">
        <f aca="false">IF(I176=1,F176,NA())</f>
        <v>0.0308387589977164</v>
      </c>
      <c r="R176" s="75" t="n">
        <f aca="false">ROWS(R$13:R176)</f>
        <v>164</v>
      </c>
      <c r="S176" s="73" t="str">
        <f aca="false">IF(S175="","",IFERROR(SMALL($AD$10:$AD$509,COUNTIF($AD$10:$AD$509,"&lt;="&amp;S175)+1),""))</f>
        <v/>
      </c>
      <c r="T176" s="74" t="str">
        <f aca="false">IF(S176="","",INDEX($AE$10:$AE$509,MATCH(S176,$AD$10:$AD$509,0)))</f>
        <v/>
      </c>
      <c r="U176" s="74" t="str">
        <f aca="false">IF(S176="","",IFERROR(INDEX($AG$10:$AG$509,MATCH(S176,$AF$10:$AF$509,0)),""))</f>
        <v/>
      </c>
      <c r="V176" s="76" t="str">
        <f aca="false">IF(AND(ISNUMBER(T176),ISNUMBER(T175)),T176/T175-1,"")</f>
        <v/>
      </c>
      <c r="W176" s="76" t="str">
        <f aca="false">IF(AND(ISNUMBER(U176),ISNUMBER(U175)),U176/U175-1,"")</f>
        <v/>
      </c>
      <c r="X176" s="75" t="str">
        <f aca="false">IF(AND(ISNUMBER(V176),ISNUMBER(W176)),1,"")</f>
        <v/>
      </c>
      <c r="Y176" s="76" t="str">
        <f aca="false">IF(X176=1,V176,"")</f>
        <v/>
      </c>
      <c r="Z176" s="76" t="str">
        <f aca="false">IF(X176=1,W176,"")</f>
        <v/>
      </c>
      <c r="AA176" s="76" t="e">
        <f aca="false">IF(X176=1,V176,NA())</f>
        <v>#N/A</v>
      </c>
      <c r="AB176" s="76" t="e">
        <f aca="false">IF(X176=1,W176,NA())</f>
        <v>#N/A</v>
      </c>
      <c r="AD176" s="73" t="str">
        <f aca="false">IF(ISNUMBER(AE176),IF(ISNUMBER('Base de Datos'!A172),IF('Base de Datos'!A172&gt;20000,DATE(YEAR('Base de Datos'!A172),DAY('Base de Datos'!A172),MONTH('Base de Datos'!A172)),""),IF(TRIM('Base de Datos'!A172)="","",IFERROR(DATE(VALUE(RIGHT(TRIM('Base de Datos'!A172),4)),VALUE(LEFT(TRIM('Base de Datos'!A172),2)),VALUE(MID(TRIM('Base de Datos'!A172),4,2))),""))),"")</f>
        <v/>
      </c>
      <c r="AE176" s="74" t="str">
        <f aca="false">IF(ISNUMBER('Base de Datos'!B172),'Base de Datos'!B172,IF(TRIM('Base de Datos'!B172)="","",IFERROR(IF(IFERROR(FIND("@",SUBSTITUTE(TRIM('Base de Datos'!B172),",","@",LEN(TRIM('Base de Datos'!B172))-LEN(SUBSTITUTE(TRIM('Base de Datos'!B172),",","")))),0)&gt;IFERROR(FIND("@",SUBSTITUTE(TRIM('Base de Datos'!B172),".","@",LEN(TRIM('Base de Datos'!B172))-LEN(SUBSTITUTE(TRIM('Base de Datos'!B172),".","")))),0),_xlfn.NUMBERVALUE(SUBSTITUTE(SUBSTITUTE(TRIM('Base de Datos'!B172),".",""),",","."),".",","),_xlfn.NUMBERVALUE(SUBSTITUTE(TRIM('Base de Datos'!B172),",",""),".",",")),"")))</f>
        <v/>
      </c>
      <c r="AF176" s="73" t="str">
        <f aca="false">IF(ISNUMBER(AG176),IF(ISNUMBER('Base de Datos'!I172),IF('Base de Datos'!I172&gt;20000,INT('Base de Datos'!I172),""),IF(TRIM('Base de Datos'!I172)="","",IFERROR(DATE(VALUE(RIGHT(TRIM('Base de Datos'!I172),4)),VALUE(MID(TRIM('Base de Datos'!I172),4,2)),VALUE(LEFT(TRIM('Base de Datos'!I172),2))),IFERROR(DATEVALUE(TRIM('Base de Datos'!I172)),"")))),"")</f>
        <v/>
      </c>
      <c r="AG176" s="74" t="str">
        <f aca="false">IF(ISNUMBER('Base de Datos'!J172),'Base de Datos'!J172,IF(TRIM('Base de Datos'!J172)="","",IFERROR(IF(IFERROR(FIND("@",SUBSTITUTE(TRIM('Base de Datos'!J172),",","@",LEN(TRIM('Base de Datos'!J172))-LEN(SUBSTITUTE(TRIM('Base de Datos'!J172),",","")))),0)&gt;IFERROR(FIND("@",SUBSTITUTE(TRIM('Base de Datos'!J172),".","@",LEN(TRIM('Base de Datos'!J172))-LEN(SUBSTITUTE(TRIM('Base de Datos'!J172),".","")))),0),_xlfn.NUMBERVALUE(SUBSTITUTE(SUBSTITUTE(TRIM('Base de Datos'!J172),".",""),",","."),".",","),_xlfn.NUMBERVALUE(SUBSTITUTE(TRIM('Base de Datos'!J172),",",""),".",",")),"")))</f>
        <v/>
      </c>
      <c r="AH176" s="73" t="n">
        <f aca="false">IF(ISNUMBER(AI176),IF(ISNUMBER('Base de Datos'!Q172),IF('Base de Datos'!Q172&gt;20000,DATE(YEAR('Base de Datos'!Q172),DAY('Base de Datos'!Q172),MONTH('Base de Datos'!Q172)),""),IF(TRIM('Base de Datos'!Q172)="","",IFERROR(DATE(VALUE(RIGHT(TRIM('Base de Datos'!Q172),4)),VALUE(LEFT(TRIM('Base de Datos'!Q172),2)),VALUE(MID(TRIM('Base de Datos'!Q172),4,2))),""))),"")</f>
        <v>45648</v>
      </c>
      <c r="AI176" s="74" t="n">
        <f aca="false">IF(ISNUMBER('Base de Datos'!R172),'Base de Datos'!R172,IF(TRIM('Base de Datos'!R172)="","",IFERROR(IF(IFERROR(FIND("@",SUBSTITUTE(TRIM('Base de Datos'!R172),",","@",LEN(TRIM('Base de Datos'!R172))-LEN(SUBSTITUTE(TRIM('Base de Datos'!R172),",","")))),0)&gt;IFERROR(FIND("@",SUBSTITUTE(TRIM('Base de Datos'!R172),".","@",LEN(TRIM('Base de Datos'!R172))-LEN(SUBSTITUTE(TRIM('Base de Datos'!R172),".","")))),0),_xlfn.NUMBERVALUE(SUBSTITUTE(SUBSTITUTE(TRIM('Base de Datos'!R172),".",""),",","."),".",","),_xlfn.NUMBERVALUE(SUBSTITUTE(TRIM('Base de Datos'!R172),",",""),".",",")),"")))</f>
        <v>29.69</v>
      </c>
      <c r="AJ176" s="73" t="n">
        <f aca="false">IF(ISNUMBER(AK176),IF(ISNUMBER('Base de Datos'!Y172),IF('Base de Datos'!Y172&gt;20000,INT('Base de Datos'!Y172),""),IF(TRIM('Base de Datos'!Y172)="","",IFERROR(DATE(VALUE(RIGHT(TRIM('Base de Datos'!Y172),4)),VALUE(MID(TRIM('Base de Datos'!Y172),4,2)),VALUE(LEFT(TRIM('Base de Datos'!Y172),2))),IFERROR(DATEVALUE(TRIM('Base de Datos'!Y172)),"")))),"")</f>
        <v>45648</v>
      </c>
      <c r="AK176" s="74" t="n">
        <f aca="false">IF(ISNUMBER('Base de Datos'!Z172),'Base de Datos'!Z172,IF(TRIM('Base de Datos'!Z172)="","",IFERROR(IF(IFERROR(FIND("@",SUBSTITUTE(TRIM('Base de Datos'!Z172),",","@",LEN(TRIM('Base de Datos'!Z172))-LEN(SUBSTITUTE(TRIM('Base de Datos'!Z172),",","")))),0)&gt;IFERROR(FIND("@",SUBSTITUTE(TRIM('Base de Datos'!Z172),".","@",LEN(TRIM('Base de Datos'!Z172))-LEN(SUBSTITUTE(TRIM('Base de Datos'!Z172),".","")))),0),_xlfn.NUMBERVALUE(SUBSTITUTE(SUBSTITUTE(TRIM('Base de Datos'!Z172),".",""),",","."),".",","),_xlfn.NUMBERVALUE(SUBSTITUTE(TRIM('Base de Datos'!Z172),",",""),".",",")),"")))</f>
        <v>49290.58</v>
      </c>
    </row>
    <row r="177" customFormat="false" ht="13.5" hidden="false" customHeight="false" outlineLevel="0" collapsed="false">
      <c r="A177" s="75" t="n">
        <f aca="false">ROWS(A$13:A177)</f>
        <v>165</v>
      </c>
      <c r="B177" s="73" t="n">
        <f aca="false">IF(B176="","",IFERROR(SMALL($AH$10:$AH$409,COUNTIF($AH$10:$AH$409,"&lt;="&amp;B176)+1),""))</f>
        <v>45634</v>
      </c>
      <c r="C177" s="74" t="n">
        <f aca="false">IF(B177="","",INDEX($AI$10:$AI$409,MATCH(B177,$AH$10:$AH$409,0)))</f>
        <v>30.07</v>
      </c>
      <c r="D177" s="74" t="n">
        <f aca="false">IF(B177="","",IFERROR(INDEX($AK$10:$AK$409,MATCH(B177,$AJ$10:$AJ$409,0)),""))</f>
        <v>51619.75</v>
      </c>
      <c r="E177" s="76" t="n">
        <f aca="false">IF(AND(ISNUMBER(C177),ISNUMBER(C176)),C177/C176-1,"")</f>
        <v>-0.00496360026472531</v>
      </c>
      <c r="F177" s="76" t="n">
        <f aca="false">IF(AND(ISNUMBER(D177),ISNUMBER(D176)),D177/D176-1,"")</f>
        <v>0.00527665690337442</v>
      </c>
      <c r="G177" s="75" t="n">
        <f aca="false">IF(AND(ISNUMBER(E177),ISNUMBER(F177)),1,"")</f>
        <v>1</v>
      </c>
      <c r="H177" s="75" t="n">
        <f aca="false">IF(G177=1,COUNT(G177:G$412),"")</f>
        <v>95</v>
      </c>
      <c r="I177" s="75" t="n">
        <f aca="false">IF(G177=1,IF(H177&lt;='Beta Regresión'!$B$5,1,""),"")</f>
        <v>1</v>
      </c>
      <c r="J177" s="76" t="n">
        <f aca="false">IF(I177=1,E177,"")</f>
        <v>-0.00496360026472531</v>
      </c>
      <c r="K177" s="76" t="n">
        <f aca="false">IF(I177=1,F177,"")</f>
        <v>0.00527665690337442</v>
      </c>
      <c r="L177" s="75" t="n">
        <f aca="false">IF(I177=1,COUNT(I$13:I177),"")</f>
        <v>164</v>
      </c>
      <c r="M177" s="76" t="n">
        <f aca="false">IFERROR(INDEX($J$13:$J$412,MATCH(A177,$L$13:$L$412,0)),"")</f>
        <v>-0.0149650814765547</v>
      </c>
      <c r="N177" s="76" t="n">
        <f aca="false">IFERROR(INDEX($K$13:$K$412,MATCH(A177,$L$13:$L$412,0)),"")</f>
        <v>-0.0393946115585605</v>
      </c>
      <c r="O177" s="76" t="n">
        <f aca="false">IF(I177=1,E177,NA())</f>
        <v>-0.00496360026472531</v>
      </c>
      <c r="P177" s="76" t="n">
        <f aca="false">IF(I177=1,F177,NA())</f>
        <v>0.00527665690337442</v>
      </c>
      <c r="R177" s="75" t="n">
        <f aca="false">ROWS(R$13:R177)</f>
        <v>165</v>
      </c>
      <c r="S177" s="73" t="str">
        <f aca="false">IF(S176="","",IFERROR(SMALL($AD$10:$AD$509,COUNTIF($AD$10:$AD$509,"&lt;="&amp;S176)+1),""))</f>
        <v/>
      </c>
      <c r="T177" s="74" t="str">
        <f aca="false">IF(S177="","",INDEX($AE$10:$AE$509,MATCH(S177,$AD$10:$AD$509,0)))</f>
        <v/>
      </c>
      <c r="U177" s="74" t="str">
        <f aca="false">IF(S177="","",IFERROR(INDEX($AG$10:$AG$509,MATCH(S177,$AF$10:$AF$509,0)),""))</f>
        <v/>
      </c>
      <c r="V177" s="76" t="str">
        <f aca="false">IF(AND(ISNUMBER(T177),ISNUMBER(T176)),T177/T176-1,"")</f>
        <v/>
      </c>
      <c r="W177" s="76" t="str">
        <f aca="false">IF(AND(ISNUMBER(U177),ISNUMBER(U176)),U177/U176-1,"")</f>
        <v/>
      </c>
      <c r="X177" s="75" t="str">
        <f aca="false">IF(AND(ISNUMBER(V177),ISNUMBER(W177)),1,"")</f>
        <v/>
      </c>
      <c r="Y177" s="76" t="str">
        <f aca="false">IF(X177=1,V177,"")</f>
        <v/>
      </c>
      <c r="Z177" s="76" t="str">
        <f aca="false">IF(X177=1,W177,"")</f>
        <v/>
      </c>
      <c r="AA177" s="76" t="e">
        <f aca="false">IF(X177=1,V177,NA())</f>
        <v>#N/A</v>
      </c>
      <c r="AB177" s="76" t="e">
        <f aca="false">IF(X177=1,W177,NA())</f>
        <v>#N/A</v>
      </c>
      <c r="AD177" s="73" t="str">
        <f aca="false">IF(ISNUMBER(AE177),IF(ISNUMBER('Base de Datos'!A173),IF('Base de Datos'!A173&gt;20000,DATE(YEAR('Base de Datos'!A173),DAY('Base de Datos'!A173),MONTH('Base de Datos'!A173)),""),IF(TRIM('Base de Datos'!A173)="","",IFERROR(DATE(VALUE(RIGHT(TRIM('Base de Datos'!A173),4)),VALUE(LEFT(TRIM('Base de Datos'!A173),2)),VALUE(MID(TRIM('Base de Datos'!A173),4,2))),""))),"")</f>
        <v/>
      </c>
      <c r="AE177" s="74" t="str">
        <f aca="false">IF(ISNUMBER('Base de Datos'!B173),'Base de Datos'!B173,IF(TRIM('Base de Datos'!B173)="","",IFERROR(IF(IFERROR(FIND("@",SUBSTITUTE(TRIM('Base de Datos'!B173),",","@",LEN(TRIM('Base de Datos'!B173))-LEN(SUBSTITUTE(TRIM('Base de Datos'!B173),",","")))),0)&gt;IFERROR(FIND("@",SUBSTITUTE(TRIM('Base de Datos'!B173),".","@",LEN(TRIM('Base de Datos'!B173))-LEN(SUBSTITUTE(TRIM('Base de Datos'!B173),".","")))),0),_xlfn.NUMBERVALUE(SUBSTITUTE(SUBSTITUTE(TRIM('Base de Datos'!B173),".",""),",","."),".",","),_xlfn.NUMBERVALUE(SUBSTITUTE(TRIM('Base de Datos'!B173),",",""),".",",")),"")))</f>
        <v/>
      </c>
      <c r="AF177" s="73" t="str">
        <f aca="false">IF(ISNUMBER(AG177),IF(ISNUMBER('Base de Datos'!I173),IF('Base de Datos'!I173&gt;20000,INT('Base de Datos'!I173),""),IF(TRIM('Base de Datos'!I173)="","",IFERROR(DATE(VALUE(RIGHT(TRIM('Base de Datos'!I173),4)),VALUE(MID(TRIM('Base de Datos'!I173),4,2)),VALUE(LEFT(TRIM('Base de Datos'!I173),2))),IFERROR(DATEVALUE(TRIM('Base de Datos'!I173)),"")))),"")</f>
        <v/>
      </c>
      <c r="AG177" s="74" t="str">
        <f aca="false">IF(ISNUMBER('Base de Datos'!J173),'Base de Datos'!J173,IF(TRIM('Base de Datos'!J173)="","",IFERROR(IF(IFERROR(FIND("@",SUBSTITUTE(TRIM('Base de Datos'!J173),",","@",LEN(TRIM('Base de Datos'!J173))-LEN(SUBSTITUTE(TRIM('Base de Datos'!J173),",","")))),0)&gt;IFERROR(FIND("@",SUBSTITUTE(TRIM('Base de Datos'!J173),".","@",LEN(TRIM('Base de Datos'!J173))-LEN(SUBSTITUTE(TRIM('Base de Datos'!J173),".","")))),0),_xlfn.NUMBERVALUE(SUBSTITUTE(SUBSTITUTE(TRIM('Base de Datos'!J173),".",""),",","."),".",","),_xlfn.NUMBERVALUE(SUBSTITUTE(TRIM('Base de Datos'!J173),",",""),".",",")),"")))</f>
        <v/>
      </c>
      <c r="AH177" s="73" t="n">
        <f aca="false">IF(ISNUMBER(AI177),IF(ISNUMBER('Base de Datos'!Q173),IF('Base de Datos'!Q173&gt;20000,DATE(YEAR('Base de Datos'!Q173),DAY('Base de Datos'!Q173),MONTH('Base de Datos'!Q173)),""),IF(TRIM('Base de Datos'!Q173)="","",IFERROR(DATE(VALUE(RIGHT(TRIM('Base de Datos'!Q173),4)),VALUE(LEFT(TRIM('Base de Datos'!Q173),2)),VALUE(MID(TRIM('Base de Datos'!Q173),4,2))),""))),"")</f>
        <v>45655</v>
      </c>
      <c r="AI177" s="74" t="n">
        <f aca="false">IF(ISNUMBER('Base de Datos'!R173),'Base de Datos'!R173,IF(TRIM('Base de Datos'!R173)="","",IFERROR(IF(IFERROR(FIND("@",SUBSTITUTE(TRIM('Base de Datos'!R173),",","@",LEN(TRIM('Base de Datos'!R173))-LEN(SUBSTITUTE(TRIM('Base de Datos'!R173),",","")))),0)&gt;IFERROR(FIND("@",SUBSTITUTE(TRIM('Base de Datos'!R173),".","@",LEN(TRIM('Base de Datos'!R173))-LEN(SUBSTITUTE(TRIM('Base de Datos'!R173),".","")))),0),_xlfn.NUMBERVALUE(SUBSTITUTE(SUBSTITUTE(TRIM('Base de Datos'!R173),".",""),",","."),".",","),_xlfn.NUMBERVALUE(SUBSTITUTE(TRIM('Base de Datos'!R173),",",""),".",",")),"")))</f>
        <v>29.63</v>
      </c>
      <c r="AJ177" s="73" t="n">
        <f aca="false">IF(ISNUMBER(AK177),IF(ISNUMBER('Base de Datos'!Y173),IF('Base de Datos'!Y173&gt;20000,INT('Base de Datos'!Y173),""),IF(TRIM('Base de Datos'!Y173)="","",IFERROR(DATE(VALUE(RIGHT(TRIM('Base de Datos'!Y173),4)),VALUE(MID(TRIM('Base de Datos'!Y173),4,2)),VALUE(LEFT(TRIM('Base de Datos'!Y173),2))),IFERROR(DATEVALUE(TRIM('Base de Datos'!Y173)),"")))),"")</f>
        <v>45655</v>
      </c>
      <c r="AK177" s="74" t="n">
        <f aca="false">IF(ISNUMBER('Base de Datos'!Z173),'Base de Datos'!Z173,IF(TRIM('Base de Datos'!Z173)="","",IFERROR(IF(IFERROR(FIND("@",SUBSTITUTE(TRIM('Base de Datos'!Z173),",","@",LEN(TRIM('Base de Datos'!Z173))-LEN(SUBSTITUTE(TRIM('Base de Datos'!Z173),",","")))),0)&gt;IFERROR(FIND("@",SUBSTITUTE(TRIM('Base de Datos'!Z173),".","@",LEN(TRIM('Base de Datos'!Z173))-LEN(SUBSTITUTE(TRIM('Base de Datos'!Z173),".","")))),0),_xlfn.NUMBERVALUE(SUBSTITUTE(SUBSTITUTE(TRIM('Base de Datos'!Z173),".",""),",","."),".",","),_xlfn.NUMBERVALUE(SUBSTITUTE(TRIM('Base de Datos'!Z173),",",""),".",",")),"")))</f>
        <v>48957.24</v>
      </c>
    </row>
    <row r="178" customFormat="false" ht="13.5" hidden="false" customHeight="false" outlineLevel="0" collapsed="false">
      <c r="A178" s="75" t="n">
        <f aca="false">ROWS(A$13:A178)</f>
        <v>166</v>
      </c>
      <c r="B178" s="73" t="n">
        <f aca="false">IF(B177="","",IFERROR(SMALL($AH$10:$AH$409,COUNTIF($AH$10:$AH$409,"&lt;="&amp;B177)+1),""))</f>
        <v>45641</v>
      </c>
      <c r="C178" s="74" t="n">
        <f aca="false">IF(B178="","",INDEX($AI$10:$AI$409,MATCH(B178,$AH$10:$AH$409,0)))</f>
        <v>29.62</v>
      </c>
      <c r="D178" s="74" t="n">
        <f aca="false">IF(B178="","",IFERROR(INDEX($AK$10:$AK$409,MATCH(B178,$AJ$10:$AJ$409,0)),""))</f>
        <v>49586.21</v>
      </c>
      <c r="E178" s="76" t="n">
        <f aca="false">IF(AND(ISNUMBER(C178),ISNUMBER(C177)),C178/C177-1,"")</f>
        <v>-0.0149650814765547</v>
      </c>
      <c r="F178" s="76" t="n">
        <f aca="false">IF(AND(ISNUMBER(D178),ISNUMBER(D177)),D178/D177-1,"")</f>
        <v>-0.0393946115585605</v>
      </c>
      <c r="G178" s="75" t="n">
        <f aca="false">IF(AND(ISNUMBER(E178),ISNUMBER(F178)),1,"")</f>
        <v>1</v>
      </c>
      <c r="H178" s="75" t="n">
        <f aca="false">IF(G178=1,COUNT(G178:G$412),"")</f>
        <v>94</v>
      </c>
      <c r="I178" s="75" t="n">
        <f aca="false">IF(G178=1,IF(H178&lt;='Beta Regresión'!$B$5,1,""),"")</f>
        <v>1</v>
      </c>
      <c r="J178" s="76" t="n">
        <f aca="false">IF(I178=1,E178,"")</f>
        <v>-0.0149650814765547</v>
      </c>
      <c r="K178" s="76" t="n">
        <f aca="false">IF(I178=1,F178,"")</f>
        <v>-0.0393946115585605</v>
      </c>
      <c r="L178" s="75" t="n">
        <f aca="false">IF(I178=1,COUNT(I$13:I178),"")</f>
        <v>165</v>
      </c>
      <c r="M178" s="76" t="n">
        <f aca="false">IFERROR(INDEX($J$13:$J$412,MATCH(A178,$L$13:$L$412,0)),"")</f>
        <v>0.00236326806212017</v>
      </c>
      <c r="N178" s="76" t="n">
        <f aca="false">IFERROR(INDEX($K$13:$K$412,MATCH(A178,$L$13:$L$412,0)),"")</f>
        <v>-0.00596193982157534</v>
      </c>
      <c r="O178" s="76" t="n">
        <f aca="false">IF(I178=1,E178,NA())</f>
        <v>-0.0149650814765547</v>
      </c>
      <c r="P178" s="76" t="n">
        <f aca="false">IF(I178=1,F178,NA())</f>
        <v>-0.0393946115585605</v>
      </c>
      <c r="R178" s="75" t="n">
        <f aca="false">ROWS(R$13:R178)</f>
        <v>166</v>
      </c>
      <c r="S178" s="73" t="str">
        <f aca="false">IF(S177="","",IFERROR(SMALL($AD$10:$AD$509,COUNTIF($AD$10:$AD$509,"&lt;="&amp;S177)+1),""))</f>
        <v/>
      </c>
      <c r="T178" s="74" t="str">
        <f aca="false">IF(S178="","",INDEX($AE$10:$AE$509,MATCH(S178,$AD$10:$AD$509,0)))</f>
        <v/>
      </c>
      <c r="U178" s="74" t="str">
        <f aca="false">IF(S178="","",IFERROR(INDEX($AG$10:$AG$509,MATCH(S178,$AF$10:$AF$509,0)),""))</f>
        <v/>
      </c>
      <c r="V178" s="76" t="str">
        <f aca="false">IF(AND(ISNUMBER(T178),ISNUMBER(T177)),T178/T177-1,"")</f>
        <v/>
      </c>
      <c r="W178" s="76" t="str">
        <f aca="false">IF(AND(ISNUMBER(U178),ISNUMBER(U177)),U178/U177-1,"")</f>
        <v/>
      </c>
      <c r="X178" s="75" t="str">
        <f aca="false">IF(AND(ISNUMBER(V178),ISNUMBER(W178)),1,"")</f>
        <v/>
      </c>
      <c r="Y178" s="76" t="str">
        <f aca="false">IF(X178=1,V178,"")</f>
        <v/>
      </c>
      <c r="Z178" s="76" t="str">
        <f aca="false">IF(X178=1,W178,"")</f>
        <v/>
      </c>
      <c r="AA178" s="76" t="e">
        <f aca="false">IF(X178=1,V178,NA())</f>
        <v>#N/A</v>
      </c>
      <c r="AB178" s="76" t="e">
        <f aca="false">IF(X178=1,W178,NA())</f>
        <v>#N/A</v>
      </c>
      <c r="AD178" s="73" t="str">
        <f aca="false">IF(ISNUMBER(AE178),IF(ISNUMBER('Base de Datos'!A174),IF('Base de Datos'!A174&gt;20000,DATE(YEAR('Base de Datos'!A174),DAY('Base de Datos'!A174),MONTH('Base de Datos'!A174)),""),IF(TRIM('Base de Datos'!A174)="","",IFERROR(DATE(VALUE(RIGHT(TRIM('Base de Datos'!A174),4)),VALUE(LEFT(TRIM('Base de Datos'!A174),2)),VALUE(MID(TRIM('Base de Datos'!A174),4,2))),""))),"")</f>
        <v/>
      </c>
      <c r="AE178" s="74" t="str">
        <f aca="false">IF(ISNUMBER('Base de Datos'!B174),'Base de Datos'!B174,IF(TRIM('Base de Datos'!B174)="","",IFERROR(IF(IFERROR(FIND("@",SUBSTITUTE(TRIM('Base de Datos'!B174),",","@",LEN(TRIM('Base de Datos'!B174))-LEN(SUBSTITUTE(TRIM('Base de Datos'!B174),",","")))),0)&gt;IFERROR(FIND("@",SUBSTITUTE(TRIM('Base de Datos'!B174),".","@",LEN(TRIM('Base de Datos'!B174))-LEN(SUBSTITUTE(TRIM('Base de Datos'!B174),".","")))),0),_xlfn.NUMBERVALUE(SUBSTITUTE(SUBSTITUTE(TRIM('Base de Datos'!B174),".",""),",","."),".",","),_xlfn.NUMBERVALUE(SUBSTITUTE(TRIM('Base de Datos'!B174),",",""),".",",")),"")))</f>
        <v/>
      </c>
      <c r="AF178" s="73" t="str">
        <f aca="false">IF(ISNUMBER(AG178),IF(ISNUMBER('Base de Datos'!I174),IF('Base de Datos'!I174&gt;20000,INT('Base de Datos'!I174),""),IF(TRIM('Base de Datos'!I174)="","",IFERROR(DATE(VALUE(RIGHT(TRIM('Base de Datos'!I174),4)),VALUE(MID(TRIM('Base de Datos'!I174),4,2)),VALUE(LEFT(TRIM('Base de Datos'!I174),2))),IFERROR(DATEVALUE(TRIM('Base de Datos'!I174)),"")))),"")</f>
        <v/>
      </c>
      <c r="AG178" s="74" t="str">
        <f aca="false">IF(ISNUMBER('Base de Datos'!J174),'Base de Datos'!J174,IF(TRIM('Base de Datos'!J174)="","",IFERROR(IF(IFERROR(FIND("@",SUBSTITUTE(TRIM('Base de Datos'!J174),",","@",LEN(TRIM('Base de Datos'!J174))-LEN(SUBSTITUTE(TRIM('Base de Datos'!J174),",","")))),0)&gt;IFERROR(FIND("@",SUBSTITUTE(TRIM('Base de Datos'!J174),".","@",LEN(TRIM('Base de Datos'!J174))-LEN(SUBSTITUTE(TRIM('Base de Datos'!J174),".","")))),0),_xlfn.NUMBERVALUE(SUBSTITUTE(SUBSTITUTE(TRIM('Base de Datos'!J174),".",""),",","."),".",","),_xlfn.NUMBERVALUE(SUBSTITUTE(TRIM('Base de Datos'!J174),",",""),".",",")),"")))</f>
        <v/>
      </c>
      <c r="AH178" s="73" t="n">
        <f aca="false">IF(ISNUMBER(AI178),IF(ISNUMBER('Base de Datos'!Q174),IF('Base de Datos'!Q174&gt;20000,DATE(YEAR('Base de Datos'!Q174),DAY('Base de Datos'!Q174),MONTH('Base de Datos'!Q174)),""),IF(TRIM('Base de Datos'!Q174)="","",IFERROR(DATE(VALUE(RIGHT(TRIM('Base de Datos'!Q174),4)),VALUE(LEFT(TRIM('Base de Datos'!Q174),2)),VALUE(MID(TRIM('Base de Datos'!Q174),4,2))),""))),"")</f>
        <v>45662</v>
      </c>
      <c r="AI178" s="74" t="n">
        <f aca="false">IF(ISNUMBER('Base de Datos'!R174),'Base de Datos'!R174,IF(TRIM('Base de Datos'!R174)="","",IFERROR(IF(IFERROR(FIND("@",SUBSTITUTE(TRIM('Base de Datos'!R174),",","@",LEN(TRIM('Base de Datos'!R174))-LEN(SUBSTITUTE(TRIM('Base de Datos'!R174),",","")))),0)&gt;IFERROR(FIND("@",SUBSTITUTE(TRIM('Base de Datos'!R174),".","@",LEN(TRIM('Base de Datos'!R174))-LEN(SUBSTITUTE(TRIM('Base de Datos'!R174),".","")))),0),_xlfn.NUMBERVALUE(SUBSTITUTE(SUBSTITUTE(TRIM('Base de Datos'!R174),".",""),",","."),".",","),_xlfn.NUMBERVALUE(SUBSTITUTE(TRIM('Base de Datos'!R174),",",""),".",",")),"")))</f>
        <v>29.9</v>
      </c>
      <c r="AJ178" s="73" t="n">
        <f aca="false">IF(ISNUMBER(AK178),IF(ISNUMBER('Base de Datos'!Y174),IF('Base de Datos'!Y174&gt;20000,INT('Base de Datos'!Y174),""),IF(TRIM('Base de Datos'!Y174)="","",IFERROR(DATE(VALUE(RIGHT(TRIM('Base de Datos'!Y174),4)),VALUE(MID(TRIM('Base de Datos'!Y174),4,2)),VALUE(LEFT(TRIM('Base de Datos'!Y174),2))),IFERROR(DATEVALUE(TRIM('Base de Datos'!Y174)),"")))),"")</f>
        <v>45662</v>
      </c>
      <c r="AK178" s="74" t="n">
        <f aca="false">IF(ISNUMBER('Base de Datos'!Z174),'Base de Datos'!Z174,IF(TRIM('Base de Datos'!Z174)="","",IFERROR(IF(IFERROR(FIND("@",SUBSTITUTE(TRIM('Base de Datos'!Z174),",","@",LEN(TRIM('Base de Datos'!Z174))-LEN(SUBSTITUTE(TRIM('Base de Datos'!Z174),",","")))),0)&gt;IFERROR(FIND("@",SUBSTITUTE(TRIM('Base de Datos'!Z174),".","@",LEN(TRIM('Base de Datos'!Z174))-LEN(SUBSTITUTE(TRIM('Base de Datos'!Z174),".","")))),0),_xlfn.NUMBERVALUE(SUBSTITUTE(SUBSTITUTE(TRIM('Base de Datos'!Z174),".",""),",","."),".",","),_xlfn.NUMBERVALUE(SUBSTITUTE(TRIM('Base de Datos'!Z174),",",""),".",",")),"")))</f>
        <v>49596.7</v>
      </c>
    </row>
    <row r="179" customFormat="false" ht="13.5" hidden="false" customHeight="false" outlineLevel="0" collapsed="false">
      <c r="A179" s="75" t="n">
        <f aca="false">ROWS(A$13:A179)</f>
        <v>167</v>
      </c>
      <c r="B179" s="73" t="n">
        <f aca="false">IF(B178="","",IFERROR(SMALL($AH$10:$AH$409,COUNTIF($AH$10:$AH$409,"&lt;="&amp;B178)+1),""))</f>
        <v>45648</v>
      </c>
      <c r="C179" s="74" t="n">
        <f aca="false">IF(B179="","",INDEX($AI$10:$AI$409,MATCH(B179,$AH$10:$AH$409,0)))</f>
        <v>29.69</v>
      </c>
      <c r="D179" s="74" t="n">
        <f aca="false">IF(B179="","",IFERROR(INDEX($AK$10:$AK$409,MATCH(B179,$AJ$10:$AJ$409,0)),""))</f>
        <v>49290.58</v>
      </c>
      <c r="E179" s="76" t="n">
        <f aca="false">IF(AND(ISNUMBER(C179),ISNUMBER(C178)),C179/C178-1,"")</f>
        <v>0.00236326806212017</v>
      </c>
      <c r="F179" s="76" t="n">
        <f aca="false">IF(AND(ISNUMBER(D179),ISNUMBER(D178)),D179/D178-1,"")</f>
        <v>-0.00596193982157534</v>
      </c>
      <c r="G179" s="75" t="n">
        <f aca="false">IF(AND(ISNUMBER(E179),ISNUMBER(F179)),1,"")</f>
        <v>1</v>
      </c>
      <c r="H179" s="75" t="n">
        <f aca="false">IF(G179=1,COUNT(G179:G$412),"")</f>
        <v>93</v>
      </c>
      <c r="I179" s="75" t="n">
        <f aca="false">IF(G179=1,IF(H179&lt;='Beta Regresión'!$B$5,1,""),"")</f>
        <v>1</v>
      </c>
      <c r="J179" s="76" t="n">
        <f aca="false">IF(I179=1,E179,"")</f>
        <v>0.00236326806212017</v>
      </c>
      <c r="K179" s="76" t="n">
        <f aca="false">IF(I179=1,F179,"")</f>
        <v>-0.00596193982157534</v>
      </c>
      <c r="L179" s="75" t="n">
        <f aca="false">IF(I179=1,COUNT(I$13:I179),"")</f>
        <v>166</v>
      </c>
      <c r="M179" s="76" t="n">
        <f aca="false">IFERROR(INDEX($J$13:$J$412,MATCH(A179,$L$13:$L$412,0)),"")</f>
        <v>-0.00202088245200416</v>
      </c>
      <c r="N179" s="76" t="n">
        <f aca="false">IFERROR(INDEX($K$13:$K$412,MATCH(A179,$L$13:$L$412,0)),"")</f>
        <v>-0.00676275263955106</v>
      </c>
      <c r="O179" s="76" t="n">
        <f aca="false">IF(I179=1,E179,NA())</f>
        <v>0.00236326806212017</v>
      </c>
      <c r="P179" s="76" t="n">
        <f aca="false">IF(I179=1,F179,NA())</f>
        <v>-0.00596193982157534</v>
      </c>
      <c r="R179" s="75" t="n">
        <f aca="false">ROWS(R$13:R179)</f>
        <v>167</v>
      </c>
      <c r="S179" s="73" t="str">
        <f aca="false">IF(S178="","",IFERROR(SMALL($AD$10:$AD$509,COUNTIF($AD$10:$AD$509,"&lt;="&amp;S178)+1),""))</f>
        <v/>
      </c>
      <c r="T179" s="74" t="str">
        <f aca="false">IF(S179="","",INDEX($AE$10:$AE$509,MATCH(S179,$AD$10:$AD$509,0)))</f>
        <v/>
      </c>
      <c r="U179" s="74" t="str">
        <f aca="false">IF(S179="","",IFERROR(INDEX($AG$10:$AG$509,MATCH(S179,$AF$10:$AF$509,0)),""))</f>
        <v/>
      </c>
      <c r="V179" s="76" t="str">
        <f aca="false">IF(AND(ISNUMBER(T179),ISNUMBER(T178)),T179/T178-1,"")</f>
        <v/>
      </c>
      <c r="W179" s="76" t="str">
        <f aca="false">IF(AND(ISNUMBER(U179),ISNUMBER(U178)),U179/U178-1,"")</f>
        <v/>
      </c>
      <c r="X179" s="75" t="str">
        <f aca="false">IF(AND(ISNUMBER(V179),ISNUMBER(W179)),1,"")</f>
        <v/>
      </c>
      <c r="Y179" s="76" t="str">
        <f aca="false">IF(X179=1,V179,"")</f>
        <v/>
      </c>
      <c r="Z179" s="76" t="str">
        <f aca="false">IF(X179=1,W179,"")</f>
        <v/>
      </c>
      <c r="AA179" s="76" t="e">
        <f aca="false">IF(X179=1,V179,NA())</f>
        <v>#N/A</v>
      </c>
      <c r="AB179" s="76" t="e">
        <f aca="false">IF(X179=1,W179,NA())</f>
        <v>#N/A</v>
      </c>
      <c r="AD179" s="73" t="str">
        <f aca="false">IF(ISNUMBER(AE179),IF(ISNUMBER('Base de Datos'!A175),IF('Base de Datos'!A175&gt;20000,DATE(YEAR('Base de Datos'!A175),DAY('Base de Datos'!A175),MONTH('Base de Datos'!A175)),""),IF(TRIM('Base de Datos'!A175)="","",IFERROR(DATE(VALUE(RIGHT(TRIM('Base de Datos'!A175),4)),VALUE(LEFT(TRIM('Base de Datos'!A175),2)),VALUE(MID(TRIM('Base de Datos'!A175),4,2))),""))),"")</f>
        <v/>
      </c>
      <c r="AE179" s="74" t="str">
        <f aca="false">IF(ISNUMBER('Base de Datos'!B175),'Base de Datos'!B175,IF(TRIM('Base de Datos'!B175)="","",IFERROR(IF(IFERROR(FIND("@",SUBSTITUTE(TRIM('Base de Datos'!B175),",","@",LEN(TRIM('Base de Datos'!B175))-LEN(SUBSTITUTE(TRIM('Base de Datos'!B175),",","")))),0)&gt;IFERROR(FIND("@",SUBSTITUTE(TRIM('Base de Datos'!B175),".","@",LEN(TRIM('Base de Datos'!B175))-LEN(SUBSTITUTE(TRIM('Base de Datos'!B175),".","")))),0),_xlfn.NUMBERVALUE(SUBSTITUTE(SUBSTITUTE(TRIM('Base de Datos'!B175),".",""),",","."),".",","),_xlfn.NUMBERVALUE(SUBSTITUTE(TRIM('Base de Datos'!B175),",",""),".",",")),"")))</f>
        <v/>
      </c>
      <c r="AF179" s="73" t="str">
        <f aca="false">IF(ISNUMBER(AG179),IF(ISNUMBER('Base de Datos'!I175),IF('Base de Datos'!I175&gt;20000,INT('Base de Datos'!I175),""),IF(TRIM('Base de Datos'!I175)="","",IFERROR(DATE(VALUE(RIGHT(TRIM('Base de Datos'!I175),4)),VALUE(MID(TRIM('Base de Datos'!I175),4,2)),VALUE(LEFT(TRIM('Base de Datos'!I175),2))),IFERROR(DATEVALUE(TRIM('Base de Datos'!I175)),"")))),"")</f>
        <v/>
      </c>
      <c r="AG179" s="74" t="str">
        <f aca="false">IF(ISNUMBER('Base de Datos'!J175),'Base de Datos'!J175,IF(TRIM('Base de Datos'!J175)="","",IFERROR(IF(IFERROR(FIND("@",SUBSTITUTE(TRIM('Base de Datos'!J175),",","@",LEN(TRIM('Base de Datos'!J175))-LEN(SUBSTITUTE(TRIM('Base de Datos'!J175),",","")))),0)&gt;IFERROR(FIND("@",SUBSTITUTE(TRIM('Base de Datos'!J175),".","@",LEN(TRIM('Base de Datos'!J175))-LEN(SUBSTITUTE(TRIM('Base de Datos'!J175),".","")))),0),_xlfn.NUMBERVALUE(SUBSTITUTE(SUBSTITUTE(TRIM('Base de Datos'!J175),".",""),",","."),".",","),_xlfn.NUMBERVALUE(SUBSTITUTE(TRIM('Base de Datos'!J175),",",""),".",",")),"")))</f>
        <v/>
      </c>
      <c r="AH179" s="73" t="n">
        <f aca="false">IF(ISNUMBER(AI179),IF(ISNUMBER('Base de Datos'!Q175),IF('Base de Datos'!Q175&gt;20000,DATE(YEAR('Base de Datos'!Q175),DAY('Base de Datos'!Q175),MONTH('Base de Datos'!Q175)),""),IF(TRIM('Base de Datos'!Q175)="","",IFERROR(DATE(VALUE(RIGHT(TRIM('Base de Datos'!Q175),4)),VALUE(LEFT(TRIM('Base de Datos'!Q175),2)),VALUE(MID(TRIM('Base de Datos'!Q175),4,2))),""))),"")</f>
        <v>45669</v>
      </c>
      <c r="AI179" s="74" t="n">
        <f aca="false">IF(ISNUMBER('Base de Datos'!R175),'Base de Datos'!R175,IF(TRIM('Base de Datos'!R175)="","",IFERROR(IF(IFERROR(FIND("@",SUBSTITUTE(TRIM('Base de Datos'!R175),",","@",LEN(TRIM('Base de Datos'!R175))-LEN(SUBSTITUTE(TRIM('Base de Datos'!R175),",","")))),0)&gt;IFERROR(FIND("@",SUBSTITUTE(TRIM('Base de Datos'!R175),".","@",LEN(TRIM('Base de Datos'!R175))-LEN(SUBSTITUTE(TRIM('Base de Datos'!R175),".","")))),0),_xlfn.NUMBERVALUE(SUBSTITUTE(SUBSTITUTE(TRIM('Base de Datos'!R175),".",""),",","."),".",","),_xlfn.NUMBERVALUE(SUBSTITUTE(TRIM('Base de Datos'!R175),",",""),".",",")),"")))</f>
        <v>30.8</v>
      </c>
      <c r="AJ179" s="73" t="n">
        <f aca="false">IF(ISNUMBER(AK179),IF(ISNUMBER('Base de Datos'!Y175),IF('Base de Datos'!Y175&gt;20000,INT('Base de Datos'!Y175),""),IF(TRIM('Base de Datos'!Y175)="","",IFERROR(DATE(VALUE(RIGHT(TRIM('Base de Datos'!Y175),4)),VALUE(MID(TRIM('Base de Datos'!Y175),4,2)),VALUE(LEFT(TRIM('Base de Datos'!Y175),2))),IFERROR(DATEVALUE(TRIM('Base de Datos'!Y175)),"")))),"")</f>
        <v>45669</v>
      </c>
      <c r="AK179" s="74" t="n">
        <f aca="false">IF(ISNUMBER('Base de Datos'!Z175),'Base de Datos'!Z175,IF(TRIM('Base de Datos'!Z175)="","",IFERROR(IF(IFERROR(FIND("@",SUBSTITUTE(TRIM('Base de Datos'!Z175),",","@",LEN(TRIM('Base de Datos'!Z175))-LEN(SUBSTITUTE(TRIM('Base de Datos'!Z175),",","")))),0)&gt;IFERROR(FIND("@",SUBSTITUTE(TRIM('Base de Datos'!Z175),".","@",LEN(TRIM('Base de Datos'!Z175))-LEN(SUBSTITUTE(TRIM('Base de Datos'!Z175),".","")))),0),_xlfn.NUMBERVALUE(SUBSTITUTE(SUBSTITUTE(TRIM('Base de Datos'!Z175),".",""),",","."),".",","),_xlfn.NUMBERVALUE(SUBSTITUTE(TRIM('Base de Datos'!Z175),",",""),".",",")),"")))</f>
        <v>49940.89</v>
      </c>
    </row>
    <row r="180" customFormat="false" ht="13.5" hidden="false" customHeight="false" outlineLevel="0" collapsed="false">
      <c r="A180" s="75" t="n">
        <f aca="false">ROWS(A$13:A180)</f>
        <v>168</v>
      </c>
      <c r="B180" s="73" t="n">
        <f aca="false">IF(B179="","",IFERROR(SMALL($AH$10:$AH$409,COUNTIF($AH$10:$AH$409,"&lt;="&amp;B179)+1),""))</f>
        <v>45655</v>
      </c>
      <c r="C180" s="74" t="n">
        <f aca="false">IF(B180="","",INDEX($AI$10:$AI$409,MATCH(B180,$AH$10:$AH$409,0)))</f>
        <v>29.63</v>
      </c>
      <c r="D180" s="74" t="n">
        <f aca="false">IF(B180="","",IFERROR(INDEX($AK$10:$AK$409,MATCH(B180,$AJ$10:$AJ$409,0)),""))</f>
        <v>48957.24</v>
      </c>
      <c r="E180" s="76" t="n">
        <f aca="false">IF(AND(ISNUMBER(C180),ISNUMBER(C179)),C180/C179-1,"")</f>
        <v>-0.00202088245200416</v>
      </c>
      <c r="F180" s="76" t="n">
        <f aca="false">IF(AND(ISNUMBER(D180),ISNUMBER(D179)),D180/D179-1,"")</f>
        <v>-0.00676275263955106</v>
      </c>
      <c r="G180" s="75" t="n">
        <f aca="false">IF(AND(ISNUMBER(E180),ISNUMBER(F180)),1,"")</f>
        <v>1</v>
      </c>
      <c r="H180" s="75" t="n">
        <f aca="false">IF(G180=1,COUNT(G180:G$412),"")</f>
        <v>92</v>
      </c>
      <c r="I180" s="75" t="n">
        <f aca="false">IF(G180=1,IF(H180&lt;='Beta Regresión'!$B$5,1,""),"")</f>
        <v>1</v>
      </c>
      <c r="J180" s="76" t="n">
        <f aca="false">IF(I180=1,E180,"")</f>
        <v>-0.00202088245200416</v>
      </c>
      <c r="K180" s="76" t="n">
        <f aca="false">IF(I180=1,F180,"")</f>
        <v>-0.00676275263955106</v>
      </c>
      <c r="L180" s="75" t="n">
        <f aca="false">IF(I180=1,COUNT(I$13:I180),"")</f>
        <v>167</v>
      </c>
      <c r="M180" s="76" t="n">
        <f aca="false">IFERROR(INDEX($J$13:$J$412,MATCH(A180,$L$13:$L$412,0)),"")</f>
        <v>0.00911238609517384</v>
      </c>
      <c r="N180" s="76" t="n">
        <f aca="false">IFERROR(INDEX($K$13:$K$412,MATCH(A180,$L$13:$L$412,0)),"")</f>
        <v>0.0130616023288894</v>
      </c>
      <c r="O180" s="76" t="n">
        <f aca="false">IF(I180=1,E180,NA())</f>
        <v>-0.00202088245200416</v>
      </c>
      <c r="P180" s="76" t="n">
        <f aca="false">IF(I180=1,F180,NA())</f>
        <v>-0.00676275263955106</v>
      </c>
      <c r="R180" s="75" t="n">
        <f aca="false">ROWS(R$13:R180)</f>
        <v>168</v>
      </c>
      <c r="S180" s="73" t="str">
        <f aca="false">IF(S179="","",IFERROR(SMALL($AD$10:$AD$509,COUNTIF($AD$10:$AD$509,"&lt;="&amp;S179)+1),""))</f>
        <v/>
      </c>
      <c r="T180" s="74" t="str">
        <f aca="false">IF(S180="","",INDEX($AE$10:$AE$509,MATCH(S180,$AD$10:$AD$509,0)))</f>
        <v/>
      </c>
      <c r="U180" s="74" t="str">
        <f aca="false">IF(S180="","",IFERROR(INDEX($AG$10:$AG$509,MATCH(S180,$AF$10:$AF$509,0)),""))</f>
        <v/>
      </c>
      <c r="V180" s="76" t="str">
        <f aca="false">IF(AND(ISNUMBER(T180),ISNUMBER(T179)),T180/T179-1,"")</f>
        <v/>
      </c>
      <c r="W180" s="76" t="str">
        <f aca="false">IF(AND(ISNUMBER(U180),ISNUMBER(U179)),U180/U179-1,"")</f>
        <v/>
      </c>
      <c r="X180" s="75" t="str">
        <f aca="false">IF(AND(ISNUMBER(V180),ISNUMBER(W180)),1,"")</f>
        <v/>
      </c>
      <c r="Y180" s="76" t="str">
        <f aca="false">IF(X180=1,V180,"")</f>
        <v/>
      </c>
      <c r="Z180" s="76" t="str">
        <f aca="false">IF(X180=1,W180,"")</f>
        <v/>
      </c>
      <c r="AA180" s="76" t="e">
        <f aca="false">IF(X180=1,V180,NA())</f>
        <v>#N/A</v>
      </c>
      <c r="AB180" s="76" t="e">
        <f aca="false">IF(X180=1,W180,NA())</f>
        <v>#N/A</v>
      </c>
      <c r="AD180" s="73" t="str">
        <f aca="false">IF(ISNUMBER(AE180),IF(ISNUMBER('Base de Datos'!A176),IF('Base de Datos'!A176&gt;20000,DATE(YEAR('Base de Datos'!A176),DAY('Base de Datos'!A176),MONTH('Base de Datos'!A176)),""),IF(TRIM('Base de Datos'!A176)="","",IFERROR(DATE(VALUE(RIGHT(TRIM('Base de Datos'!A176),4)),VALUE(LEFT(TRIM('Base de Datos'!A176),2)),VALUE(MID(TRIM('Base de Datos'!A176),4,2))),""))),"")</f>
        <v/>
      </c>
      <c r="AE180" s="74" t="str">
        <f aca="false">IF(ISNUMBER('Base de Datos'!B176),'Base de Datos'!B176,IF(TRIM('Base de Datos'!B176)="","",IFERROR(IF(IFERROR(FIND("@",SUBSTITUTE(TRIM('Base de Datos'!B176),",","@",LEN(TRIM('Base de Datos'!B176))-LEN(SUBSTITUTE(TRIM('Base de Datos'!B176),",","")))),0)&gt;IFERROR(FIND("@",SUBSTITUTE(TRIM('Base de Datos'!B176),".","@",LEN(TRIM('Base de Datos'!B176))-LEN(SUBSTITUTE(TRIM('Base de Datos'!B176),".","")))),0),_xlfn.NUMBERVALUE(SUBSTITUTE(SUBSTITUTE(TRIM('Base de Datos'!B176),".",""),",","."),".",","),_xlfn.NUMBERVALUE(SUBSTITUTE(TRIM('Base de Datos'!B176),",",""),".",",")),"")))</f>
        <v/>
      </c>
      <c r="AF180" s="73" t="str">
        <f aca="false">IF(ISNUMBER(AG180),IF(ISNUMBER('Base de Datos'!I176),IF('Base de Datos'!I176&gt;20000,INT('Base de Datos'!I176),""),IF(TRIM('Base de Datos'!I176)="","",IFERROR(DATE(VALUE(RIGHT(TRIM('Base de Datos'!I176),4)),VALUE(MID(TRIM('Base de Datos'!I176),4,2)),VALUE(LEFT(TRIM('Base de Datos'!I176),2))),IFERROR(DATEVALUE(TRIM('Base de Datos'!I176)),"")))),"")</f>
        <v/>
      </c>
      <c r="AG180" s="74" t="str">
        <f aca="false">IF(ISNUMBER('Base de Datos'!J176),'Base de Datos'!J176,IF(TRIM('Base de Datos'!J176)="","",IFERROR(IF(IFERROR(FIND("@",SUBSTITUTE(TRIM('Base de Datos'!J176),",","@",LEN(TRIM('Base de Datos'!J176))-LEN(SUBSTITUTE(TRIM('Base de Datos'!J176),",","")))),0)&gt;IFERROR(FIND("@",SUBSTITUTE(TRIM('Base de Datos'!J176),".","@",LEN(TRIM('Base de Datos'!J176))-LEN(SUBSTITUTE(TRIM('Base de Datos'!J176),".","")))),0),_xlfn.NUMBERVALUE(SUBSTITUTE(SUBSTITUTE(TRIM('Base de Datos'!J176),".",""),",","."),".",","),_xlfn.NUMBERVALUE(SUBSTITUTE(TRIM('Base de Datos'!J176),",",""),".",",")),"")))</f>
        <v/>
      </c>
      <c r="AH180" s="73" t="n">
        <f aca="false">IF(ISNUMBER(AI180),IF(ISNUMBER('Base de Datos'!Q176),IF('Base de Datos'!Q176&gt;20000,DATE(YEAR('Base de Datos'!Q176),DAY('Base de Datos'!Q176),MONTH('Base de Datos'!Q176)),""),IF(TRIM('Base de Datos'!Q176)="","",IFERROR(DATE(VALUE(RIGHT(TRIM('Base de Datos'!Q176),4)),VALUE(LEFT(TRIM('Base de Datos'!Q176),2)),VALUE(MID(TRIM('Base de Datos'!Q176),4,2))),""))),"")</f>
        <v>45676</v>
      </c>
      <c r="AI180" s="74" t="n">
        <f aca="false">IF(ISNUMBER('Base de Datos'!R176),'Base de Datos'!R176,IF(TRIM('Base de Datos'!R176)="","",IFERROR(IF(IFERROR(FIND("@",SUBSTITUTE(TRIM('Base de Datos'!R176),",","@",LEN(TRIM('Base de Datos'!R176))-LEN(SUBSTITUTE(TRIM('Base de Datos'!R176),",","")))),0)&gt;IFERROR(FIND("@",SUBSTITUTE(TRIM('Base de Datos'!R176),".","@",LEN(TRIM('Base de Datos'!R176))-LEN(SUBSTITUTE(TRIM('Base de Datos'!R176),".","")))),0),_xlfn.NUMBERVALUE(SUBSTITUTE(SUBSTITUTE(TRIM('Base de Datos'!R176),".",""),",","."),".",","),_xlfn.NUMBERVALUE(SUBSTITUTE(TRIM('Base de Datos'!R176),",",""),".",",")),"")))</f>
        <v>29.2</v>
      </c>
      <c r="AJ180" s="73" t="n">
        <f aca="false">IF(ISNUMBER(AK180),IF(ISNUMBER('Base de Datos'!Y176),IF('Base de Datos'!Y176&gt;20000,INT('Base de Datos'!Y176),""),IF(TRIM('Base de Datos'!Y176)="","",IFERROR(DATE(VALUE(RIGHT(TRIM('Base de Datos'!Y176),4)),VALUE(MID(TRIM('Base de Datos'!Y176),4,2)),VALUE(LEFT(TRIM('Base de Datos'!Y176),2))),IFERROR(DATEVALUE(TRIM('Base de Datos'!Y176)),"")))),"")</f>
        <v>45676</v>
      </c>
      <c r="AK180" s="74" t="n">
        <f aca="false">IF(ISNUMBER('Base de Datos'!Z176),'Base de Datos'!Z176,IF(TRIM('Base de Datos'!Z176)="","",IFERROR(IF(IFERROR(FIND("@",SUBSTITUTE(TRIM('Base de Datos'!Z176),",","@",LEN(TRIM('Base de Datos'!Z176))-LEN(SUBSTITUTE(TRIM('Base de Datos'!Z176),",","")))),0)&gt;IFERROR(FIND("@",SUBSTITUTE(TRIM('Base de Datos'!Z176),".","@",LEN(TRIM('Base de Datos'!Z176))-LEN(SUBSTITUTE(TRIM('Base de Datos'!Z176),".","")))),0),_xlfn.NUMBERVALUE(SUBSTITUTE(SUBSTITUTE(TRIM('Base de Datos'!Z176),".",""),",","."),".",","),_xlfn.NUMBERVALUE(SUBSTITUTE(TRIM('Base de Datos'!Z176),",",""),".",",")),"")))</f>
        <v>51357.31</v>
      </c>
    </row>
    <row r="181" customFormat="false" ht="13.5" hidden="false" customHeight="false" outlineLevel="0" collapsed="false">
      <c r="A181" s="75" t="n">
        <f aca="false">ROWS(A$13:A181)</f>
        <v>169</v>
      </c>
      <c r="B181" s="73" t="n">
        <f aca="false">IF(B180="","",IFERROR(SMALL($AH$10:$AH$409,COUNTIF($AH$10:$AH$409,"&lt;="&amp;B180)+1),""))</f>
        <v>45662</v>
      </c>
      <c r="C181" s="74" t="n">
        <f aca="false">IF(B181="","",INDEX($AI$10:$AI$409,MATCH(B181,$AH$10:$AH$409,0)))</f>
        <v>29.9</v>
      </c>
      <c r="D181" s="74" t="n">
        <f aca="false">IF(B181="","",IFERROR(INDEX($AK$10:$AK$409,MATCH(B181,$AJ$10:$AJ$409,0)),""))</f>
        <v>49596.7</v>
      </c>
      <c r="E181" s="76" t="n">
        <f aca="false">IF(AND(ISNUMBER(C181),ISNUMBER(C180)),C181/C180-1,"")</f>
        <v>0.00911238609517384</v>
      </c>
      <c r="F181" s="76" t="n">
        <f aca="false">IF(AND(ISNUMBER(D181),ISNUMBER(D180)),D181/D180-1,"")</f>
        <v>0.0130616023288894</v>
      </c>
      <c r="G181" s="75" t="n">
        <f aca="false">IF(AND(ISNUMBER(E181),ISNUMBER(F181)),1,"")</f>
        <v>1</v>
      </c>
      <c r="H181" s="75" t="n">
        <f aca="false">IF(G181=1,COUNT(G181:G$412),"")</f>
        <v>91</v>
      </c>
      <c r="I181" s="75" t="n">
        <f aca="false">IF(G181=1,IF(H181&lt;='Beta Regresión'!$B$5,1,""),"")</f>
        <v>1</v>
      </c>
      <c r="J181" s="76" t="n">
        <f aca="false">IF(I181=1,E181,"")</f>
        <v>0.00911238609517384</v>
      </c>
      <c r="K181" s="76" t="n">
        <f aca="false">IF(I181=1,F181,"")</f>
        <v>0.0130616023288894</v>
      </c>
      <c r="L181" s="75" t="n">
        <f aca="false">IF(I181=1,COUNT(I$13:I181),"")</f>
        <v>168</v>
      </c>
      <c r="M181" s="76" t="n">
        <f aca="false">IFERROR(INDEX($J$13:$J$412,MATCH(A181,$L$13:$L$412,0)),"")</f>
        <v>0.0301003344481605</v>
      </c>
      <c r="N181" s="76" t="n">
        <f aca="false">IFERROR(INDEX($K$13:$K$412,MATCH(A181,$L$13:$L$412,0)),"")</f>
        <v>0.00693977623511244</v>
      </c>
      <c r="O181" s="76" t="n">
        <f aca="false">IF(I181=1,E181,NA())</f>
        <v>0.00911238609517384</v>
      </c>
      <c r="P181" s="76" t="n">
        <f aca="false">IF(I181=1,F181,NA())</f>
        <v>0.0130616023288894</v>
      </c>
      <c r="R181" s="75" t="n">
        <f aca="false">ROWS(R$13:R181)</f>
        <v>169</v>
      </c>
      <c r="S181" s="73" t="str">
        <f aca="false">IF(S180="","",IFERROR(SMALL($AD$10:$AD$509,COUNTIF($AD$10:$AD$509,"&lt;="&amp;S180)+1),""))</f>
        <v/>
      </c>
      <c r="T181" s="74" t="str">
        <f aca="false">IF(S181="","",INDEX($AE$10:$AE$509,MATCH(S181,$AD$10:$AD$509,0)))</f>
        <v/>
      </c>
      <c r="U181" s="74" t="str">
        <f aca="false">IF(S181="","",IFERROR(INDEX($AG$10:$AG$509,MATCH(S181,$AF$10:$AF$509,0)),""))</f>
        <v/>
      </c>
      <c r="V181" s="76" t="str">
        <f aca="false">IF(AND(ISNUMBER(T181),ISNUMBER(T180)),T181/T180-1,"")</f>
        <v/>
      </c>
      <c r="W181" s="76" t="str">
        <f aca="false">IF(AND(ISNUMBER(U181),ISNUMBER(U180)),U181/U180-1,"")</f>
        <v/>
      </c>
      <c r="X181" s="75" t="str">
        <f aca="false">IF(AND(ISNUMBER(V181),ISNUMBER(W181)),1,"")</f>
        <v/>
      </c>
      <c r="Y181" s="76" t="str">
        <f aca="false">IF(X181=1,V181,"")</f>
        <v/>
      </c>
      <c r="Z181" s="76" t="str">
        <f aca="false">IF(X181=1,W181,"")</f>
        <v/>
      </c>
      <c r="AA181" s="76" t="e">
        <f aca="false">IF(X181=1,V181,NA())</f>
        <v>#N/A</v>
      </c>
      <c r="AB181" s="76" t="e">
        <f aca="false">IF(X181=1,W181,NA())</f>
        <v>#N/A</v>
      </c>
      <c r="AD181" s="73" t="str">
        <f aca="false">IF(ISNUMBER(AE181),IF(ISNUMBER('Base de Datos'!A177),IF('Base de Datos'!A177&gt;20000,DATE(YEAR('Base de Datos'!A177),DAY('Base de Datos'!A177),MONTH('Base de Datos'!A177)),""),IF(TRIM('Base de Datos'!A177)="","",IFERROR(DATE(VALUE(RIGHT(TRIM('Base de Datos'!A177),4)),VALUE(LEFT(TRIM('Base de Datos'!A177),2)),VALUE(MID(TRIM('Base de Datos'!A177),4,2))),""))),"")</f>
        <v/>
      </c>
      <c r="AE181" s="74" t="str">
        <f aca="false">IF(ISNUMBER('Base de Datos'!B177),'Base de Datos'!B177,IF(TRIM('Base de Datos'!B177)="","",IFERROR(IF(IFERROR(FIND("@",SUBSTITUTE(TRIM('Base de Datos'!B177),",","@",LEN(TRIM('Base de Datos'!B177))-LEN(SUBSTITUTE(TRIM('Base de Datos'!B177),",","")))),0)&gt;IFERROR(FIND("@",SUBSTITUTE(TRIM('Base de Datos'!B177),".","@",LEN(TRIM('Base de Datos'!B177))-LEN(SUBSTITUTE(TRIM('Base de Datos'!B177),".","")))),0),_xlfn.NUMBERVALUE(SUBSTITUTE(SUBSTITUTE(TRIM('Base de Datos'!B177),".",""),",","."),".",","),_xlfn.NUMBERVALUE(SUBSTITUTE(TRIM('Base de Datos'!B177),",",""),".",",")),"")))</f>
        <v/>
      </c>
      <c r="AF181" s="73" t="str">
        <f aca="false">IF(ISNUMBER(AG181),IF(ISNUMBER('Base de Datos'!I177),IF('Base de Datos'!I177&gt;20000,INT('Base de Datos'!I177),""),IF(TRIM('Base de Datos'!I177)="","",IFERROR(DATE(VALUE(RIGHT(TRIM('Base de Datos'!I177),4)),VALUE(MID(TRIM('Base de Datos'!I177),4,2)),VALUE(LEFT(TRIM('Base de Datos'!I177),2))),IFERROR(DATEVALUE(TRIM('Base de Datos'!I177)),"")))),"")</f>
        <v/>
      </c>
      <c r="AG181" s="74" t="str">
        <f aca="false">IF(ISNUMBER('Base de Datos'!J177),'Base de Datos'!J177,IF(TRIM('Base de Datos'!J177)="","",IFERROR(IF(IFERROR(FIND("@",SUBSTITUTE(TRIM('Base de Datos'!J177),",","@",LEN(TRIM('Base de Datos'!J177))-LEN(SUBSTITUTE(TRIM('Base de Datos'!J177),",","")))),0)&gt;IFERROR(FIND("@",SUBSTITUTE(TRIM('Base de Datos'!J177),".","@",LEN(TRIM('Base de Datos'!J177))-LEN(SUBSTITUTE(TRIM('Base de Datos'!J177),".","")))),0),_xlfn.NUMBERVALUE(SUBSTITUTE(SUBSTITUTE(TRIM('Base de Datos'!J177),".",""),",","."),".",","),_xlfn.NUMBERVALUE(SUBSTITUTE(TRIM('Base de Datos'!J177),",",""),".",",")),"")))</f>
        <v/>
      </c>
      <c r="AH181" s="73" t="n">
        <f aca="false">IF(ISNUMBER(AI181),IF(ISNUMBER('Base de Datos'!Q177),IF('Base de Datos'!Q177&gt;20000,DATE(YEAR('Base de Datos'!Q177),DAY('Base de Datos'!Q177),MONTH('Base de Datos'!Q177)),""),IF(TRIM('Base de Datos'!Q177)="","",IFERROR(DATE(VALUE(RIGHT(TRIM('Base de Datos'!Q177),4)),VALUE(LEFT(TRIM('Base de Datos'!Q177),2)),VALUE(MID(TRIM('Base de Datos'!Q177),4,2))),""))),"")</f>
        <v>45683</v>
      </c>
      <c r="AI181" s="74" t="n">
        <f aca="false">IF(ISNUMBER('Base de Datos'!R177),'Base de Datos'!R177,IF(TRIM('Base de Datos'!R177)="","",IFERROR(IF(IFERROR(FIND("@",SUBSTITUTE(TRIM('Base de Datos'!R177),",","@",LEN(TRIM('Base de Datos'!R177))-LEN(SUBSTITUTE(TRIM('Base de Datos'!R177),",","")))),0)&gt;IFERROR(FIND("@",SUBSTITUTE(TRIM('Base de Datos'!R177),".","@",LEN(TRIM('Base de Datos'!R177))-LEN(SUBSTITUTE(TRIM('Base de Datos'!R177),".","")))),0),_xlfn.NUMBERVALUE(SUBSTITUTE(SUBSTITUTE(TRIM('Base de Datos'!R177),".",""),",","."),".",","),_xlfn.NUMBERVALUE(SUBSTITUTE(TRIM('Base de Datos'!R177),",",""),".",",")),"")))</f>
        <v>29.18</v>
      </c>
      <c r="AJ181" s="73" t="n">
        <f aca="false">IF(ISNUMBER(AK181),IF(ISNUMBER('Base de Datos'!Y177),IF('Base de Datos'!Y177&gt;20000,INT('Base de Datos'!Y177),""),IF(TRIM('Base de Datos'!Y177)="","",IFERROR(DATE(VALUE(RIGHT(TRIM('Base de Datos'!Y177),4)),VALUE(MID(TRIM('Base de Datos'!Y177),4,2)),VALUE(LEFT(TRIM('Base de Datos'!Y177),2))),IFERROR(DATEVALUE(TRIM('Base de Datos'!Y177)),"")))),"")</f>
        <v>45683</v>
      </c>
      <c r="AK181" s="74" t="n">
        <f aca="false">IF(ISNUMBER('Base de Datos'!Z177),'Base de Datos'!Z177,IF(TRIM('Base de Datos'!Z177)="","",IFERROR(IF(IFERROR(FIND("@",SUBSTITUTE(TRIM('Base de Datos'!Z177),",","@",LEN(TRIM('Base de Datos'!Z177))-LEN(SUBSTITUTE(TRIM('Base de Datos'!Z177),",","")))),0)&gt;IFERROR(FIND("@",SUBSTITUTE(TRIM('Base de Datos'!Z177),".","@",LEN(TRIM('Base de Datos'!Z177))-LEN(SUBSTITUTE(TRIM('Base de Datos'!Z177),".","")))),0),_xlfn.NUMBERVALUE(SUBSTITUTE(SUBSTITUTE(TRIM('Base de Datos'!Z177),".",""),",","."),".",","),_xlfn.NUMBERVALUE(SUBSTITUTE(TRIM('Base de Datos'!Z177),",",""),".",",")),"")))</f>
        <v>51209.53</v>
      </c>
    </row>
    <row r="182" customFormat="false" ht="13.5" hidden="false" customHeight="false" outlineLevel="0" collapsed="false">
      <c r="A182" s="75" t="n">
        <f aca="false">ROWS(A$13:A182)</f>
        <v>170</v>
      </c>
      <c r="B182" s="73" t="n">
        <f aca="false">IF(B181="","",IFERROR(SMALL($AH$10:$AH$409,COUNTIF($AH$10:$AH$409,"&lt;="&amp;B181)+1),""))</f>
        <v>45669</v>
      </c>
      <c r="C182" s="74" t="n">
        <f aca="false">IF(B182="","",INDEX($AI$10:$AI$409,MATCH(B182,$AH$10:$AH$409,0)))</f>
        <v>30.8</v>
      </c>
      <c r="D182" s="74" t="n">
        <f aca="false">IF(B182="","",IFERROR(INDEX($AK$10:$AK$409,MATCH(B182,$AJ$10:$AJ$409,0)),""))</f>
        <v>49940.89</v>
      </c>
      <c r="E182" s="76" t="n">
        <f aca="false">IF(AND(ISNUMBER(C182),ISNUMBER(C181)),C182/C181-1,"")</f>
        <v>0.0301003344481605</v>
      </c>
      <c r="F182" s="76" t="n">
        <f aca="false">IF(AND(ISNUMBER(D182),ISNUMBER(D181)),D182/D181-1,"")</f>
        <v>0.00693977623511244</v>
      </c>
      <c r="G182" s="75" t="n">
        <f aca="false">IF(AND(ISNUMBER(E182),ISNUMBER(F182)),1,"")</f>
        <v>1</v>
      </c>
      <c r="H182" s="75" t="n">
        <f aca="false">IF(G182=1,COUNT(G182:G$412),"")</f>
        <v>90</v>
      </c>
      <c r="I182" s="75" t="n">
        <f aca="false">IF(G182=1,IF(H182&lt;='Beta Regresión'!$B$5,1,""),"")</f>
        <v>1</v>
      </c>
      <c r="J182" s="76" t="n">
        <f aca="false">IF(I182=1,E182,"")</f>
        <v>0.0301003344481605</v>
      </c>
      <c r="K182" s="76" t="n">
        <f aca="false">IF(I182=1,F182,"")</f>
        <v>0.00693977623511244</v>
      </c>
      <c r="L182" s="75" t="n">
        <f aca="false">IF(I182=1,COUNT(I$13:I182),"")</f>
        <v>169</v>
      </c>
      <c r="M182" s="76" t="n">
        <f aca="false">IFERROR(INDEX($J$13:$J$412,MATCH(A182,$L$13:$L$412,0)),"")</f>
        <v>-0.051948051948052</v>
      </c>
      <c r="N182" s="76" t="n">
        <f aca="false">IFERROR(INDEX($K$13:$K$412,MATCH(A182,$L$13:$L$412,0)),"")</f>
        <v>0.0283619294730231</v>
      </c>
      <c r="O182" s="76" t="n">
        <f aca="false">IF(I182=1,E182,NA())</f>
        <v>0.0301003344481605</v>
      </c>
      <c r="P182" s="76" t="n">
        <f aca="false">IF(I182=1,F182,NA())</f>
        <v>0.00693977623511244</v>
      </c>
      <c r="R182" s="75" t="n">
        <f aca="false">ROWS(R$13:R182)</f>
        <v>170</v>
      </c>
      <c r="S182" s="73" t="str">
        <f aca="false">IF(S181="","",IFERROR(SMALL($AD$10:$AD$509,COUNTIF($AD$10:$AD$509,"&lt;="&amp;S181)+1),""))</f>
        <v/>
      </c>
      <c r="T182" s="74" t="str">
        <f aca="false">IF(S182="","",INDEX($AE$10:$AE$509,MATCH(S182,$AD$10:$AD$509,0)))</f>
        <v/>
      </c>
      <c r="U182" s="74" t="str">
        <f aca="false">IF(S182="","",IFERROR(INDEX($AG$10:$AG$509,MATCH(S182,$AF$10:$AF$509,0)),""))</f>
        <v/>
      </c>
      <c r="V182" s="76" t="str">
        <f aca="false">IF(AND(ISNUMBER(T182),ISNUMBER(T181)),T182/T181-1,"")</f>
        <v/>
      </c>
      <c r="W182" s="76" t="str">
        <f aca="false">IF(AND(ISNUMBER(U182),ISNUMBER(U181)),U182/U181-1,"")</f>
        <v/>
      </c>
      <c r="X182" s="75" t="str">
        <f aca="false">IF(AND(ISNUMBER(V182),ISNUMBER(W182)),1,"")</f>
        <v/>
      </c>
      <c r="Y182" s="76" t="str">
        <f aca="false">IF(X182=1,V182,"")</f>
        <v/>
      </c>
      <c r="Z182" s="76" t="str">
        <f aca="false">IF(X182=1,W182,"")</f>
        <v/>
      </c>
      <c r="AA182" s="76" t="e">
        <f aca="false">IF(X182=1,V182,NA())</f>
        <v>#N/A</v>
      </c>
      <c r="AB182" s="76" t="e">
        <f aca="false">IF(X182=1,W182,NA())</f>
        <v>#N/A</v>
      </c>
      <c r="AD182" s="73" t="str">
        <f aca="false">IF(ISNUMBER(AE182),IF(ISNUMBER('Base de Datos'!A178),IF('Base de Datos'!A178&gt;20000,DATE(YEAR('Base de Datos'!A178),DAY('Base de Datos'!A178),MONTH('Base de Datos'!A178)),""),IF(TRIM('Base de Datos'!A178)="","",IFERROR(DATE(VALUE(RIGHT(TRIM('Base de Datos'!A178),4)),VALUE(LEFT(TRIM('Base de Datos'!A178),2)),VALUE(MID(TRIM('Base de Datos'!A178),4,2))),""))),"")</f>
        <v/>
      </c>
      <c r="AE182" s="74" t="str">
        <f aca="false">IF(ISNUMBER('Base de Datos'!B178),'Base de Datos'!B178,IF(TRIM('Base de Datos'!B178)="","",IFERROR(IF(IFERROR(FIND("@",SUBSTITUTE(TRIM('Base de Datos'!B178),",","@",LEN(TRIM('Base de Datos'!B178))-LEN(SUBSTITUTE(TRIM('Base de Datos'!B178),",","")))),0)&gt;IFERROR(FIND("@",SUBSTITUTE(TRIM('Base de Datos'!B178),".","@",LEN(TRIM('Base de Datos'!B178))-LEN(SUBSTITUTE(TRIM('Base de Datos'!B178),".","")))),0),_xlfn.NUMBERVALUE(SUBSTITUTE(SUBSTITUTE(TRIM('Base de Datos'!B178),".",""),",","."),".",","),_xlfn.NUMBERVALUE(SUBSTITUTE(TRIM('Base de Datos'!B178),",",""),".",",")),"")))</f>
        <v/>
      </c>
      <c r="AF182" s="73" t="str">
        <f aca="false">IF(ISNUMBER(AG182),IF(ISNUMBER('Base de Datos'!I178),IF('Base de Datos'!I178&gt;20000,INT('Base de Datos'!I178),""),IF(TRIM('Base de Datos'!I178)="","",IFERROR(DATE(VALUE(RIGHT(TRIM('Base de Datos'!I178),4)),VALUE(MID(TRIM('Base de Datos'!I178),4,2)),VALUE(LEFT(TRIM('Base de Datos'!I178),2))),IFERROR(DATEVALUE(TRIM('Base de Datos'!I178)),"")))),"")</f>
        <v/>
      </c>
      <c r="AG182" s="74" t="str">
        <f aca="false">IF(ISNUMBER('Base de Datos'!J178),'Base de Datos'!J178,IF(TRIM('Base de Datos'!J178)="","",IFERROR(IF(IFERROR(FIND("@",SUBSTITUTE(TRIM('Base de Datos'!J178),",","@",LEN(TRIM('Base de Datos'!J178))-LEN(SUBSTITUTE(TRIM('Base de Datos'!J178),",","")))),0)&gt;IFERROR(FIND("@",SUBSTITUTE(TRIM('Base de Datos'!J178),".","@",LEN(TRIM('Base de Datos'!J178))-LEN(SUBSTITUTE(TRIM('Base de Datos'!J178),".","")))),0),_xlfn.NUMBERVALUE(SUBSTITUTE(SUBSTITUTE(TRIM('Base de Datos'!J178),".",""),",","."),".",","),_xlfn.NUMBERVALUE(SUBSTITUTE(TRIM('Base de Datos'!J178),",",""),".",",")),"")))</f>
        <v/>
      </c>
      <c r="AH182" s="73" t="n">
        <f aca="false">IF(ISNUMBER(AI182),IF(ISNUMBER('Base de Datos'!Q178),IF('Base de Datos'!Q178&gt;20000,DATE(YEAR('Base de Datos'!Q178),DAY('Base de Datos'!Q178),MONTH('Base de Datos'!Q178)),""),IF(TRIM('Base de Datos'!Q178)="","",IFERROR(DATE(VALUE(RIGHT(TRIM('Base de Datos'!Q178),4)),VALUE(LEFT(TRIM('Base de Datos'!Q178),2)),VALUE(MID(TRIM('Base de Datos'!Q178),4,2))),""))),"")</f>
        <v>45690</v>
      </c>
      <c r="AI182" s="74" t="n">
        <f aca="false">IF(ISNUMBER('Base de Datos'!R178),'Base de Datos'!R178,IF(TRIM('Base de Datos'!R178)="","",IFERROR(IF(IFERROR(FIND("@",SUBSTITUTE(TRIM('Base de Datos'!R178),",","@",LEN(TRIM('Base de Datos'!R178))-LEN(SUBSTITUTE(TRIM('Base de Datos'!R178),",","")))),0)&gt;IFERROR(FIND("@",SUBSTITUTE(TRIM('Base de Datos'!R178),".","@",LEN(TRIM('Base de Datos'!R178))-LEN(SUBSTITUTE(TRIM('Base de Datos'!R178),".","")))),0),_xlfn.NUMBERVALUE(SUBSTITUTE(SUBSTITUTE(TRIM('Base de Datos'!R178),".",""),",","."),".",","),_xlfn.NUMBERVALUE(SUBSTITUTE(TRIM('Base de Datos'!R178),",",""),".",",")),"")))</f>
        <v>29.9</v>
      </c>
      <c r="AJ182" s="73" t="n">
        <f aca="false">IF(ISNUMBER(AK182),IF(ISNUMBER('Base de Datos'!Y178),IF('Base de Datos'!Y178&gt;20000,INT('Base de Datos'!Y178),""),IF(TRIM('Base de Datos'!Y178)="","",IFERROR(DATE(VALUE(RIGHT(TRIM('Base de Datos'!Y178),4)),VALUE(MID(TRIM('Base de Datos'!Y178),4,2)),VALUE(LEFT(TRIM('Base de Datos'!Y178),2))),IFERROR(DATEVALUE(TRIM('Base de Datos'!Y178)),"")))),"")</f>
        <v>45690</v>
      </c>
      <c r="AK182" s="74" t="n">
        <f aca="false">IF(ISNUMBER('Base de Datos'!Z178),'Base de Datos'!Z178,IF(TRIM('Base de Datos'!Z178)="","",IFERROR(IF(IFERROR(FIND("@",SUBSTITUTE(TRIM('Base de Datos'!Z178),",","@",LEN(TRIM('Base de Datos'!Z178))-LEN(SUBSTITUTE(TRIM('Base de Datos'!Z178),",","")))),0)&gt;IFERROR(FIND("@",SUBSTITUTE(TRIM('Base de Datos'!Z178),".","@",LEN(TRIM('Base de Datos'!Z178))-LEN(SUBSTITUTE(TRIM('Base de Datos'!Z178),".","")))),0),_xlfn.NUMBERVALUE(SUBSTITUTE(SUBSTITUTE(TRIM('Base de Datos'!Z178),".",""),",","."),".",","),_xlfn.NUMBERVALUE(SUBSTITUTE(TRIM('Base de Datos'!Z178),",",""),".",",")),"")))</f>
        <v>52817.75</v>
      </c>
    </row>
    <row r="183" customFormat="false" ht="13.5" hidden="false" customHeight="false" outlineLevel="0" collapsed="false">
      <c r="A183" s="75" t="n">
        <f aca="false">ROWS(A$13:A183)</f>
        <v>171</v>
      </c>
      <c r="B183" s="73" t="n">
        <f aca="false">IF(B182="","",IFERROR(SMALL($AH$10:$AH$409,COUNTIF($AH$10:$AH$409,"&lt;="&amp;B182)+1),""))</f>
        <v>45676</v>
      </c>
      <c r="C183" s="74" t="n">
        <f aca="false">IF(B183="","",INDEX($AI$10:$AI$409,MATCH(B183,$AH$10:$AH$409,0)))</f>
        <v>29.2</v>
      </c>
      <c r="D183" s="74" t="n">
        <f aca="false">IF(B183="","",IFERROR(INDEX($AK$10:$AK$409,MATCH(B183,$AJ$10:$AJ$409,0)),""))</f>
        <v>51357.31</v>
      </c>
      <c r="E183" s="76" t="n">
        <f aca="false">IF(AND(ISNUMBER(C183),ISNUMBER(C182)),C183/C182-1,"")</f>
        <v>-0.051948051948052</v>
      </c>
      <c r="F183" s="76" t="n">
        <f aca="false">IF(AND(ISNUMBER(D183),ISNUMBER(D182)),D183/D182-1,"")</f>
        <v>0.0283619294730231</v>
      </c>
      <c r="G183" s="75" t="n">
        <f aca="false">IF(AND(ISNUMBER(E183),ISNUMBER(F183)),1,"")</f>
        <v>1</v>
      </c>
      <c r="H183" s="75" t="n">
        <f aca="false">IF(G183=1,COUNT(G183:G$412),"")</f>
        <v>89</v>
      </c>
      <c r="I183" s="75" t="n">
        <f aca="false">IF(G183=1,IF(H183&lt;='Beta Regresión'!$B$5,1,""),"")</f>
        <v>1</v>
      </c>
      <c r="J183" s="76" t="n">
        <f aca="false">IF(I183=1,E183,"")</f>
        <v>-0.051948051948052</v>
      </c>
      <c r="K183" s="76" t="n">
        <f aca="false">IF(I183=1,F183,"")</f>
        <v>0.0283619294730231</v>
      </c>
      <c r="L183" s="75" t="n">
        <f aca="false">IF(I183=1,COUNT(I$13:I183),"")</f>
        <v>170</v>
      </c>
      <c r="M183" s="76" t="n">
        <f aca="false">IFERROR(INDEX($J$13:$J$412,MATCH(A183,$L$13:$L$412,0)),"")</f>
        <v>-0.00068493150684934</v>
      </c>
      <c r="N183" s="76" t="n">
        <f aca="false">IFERROR(INDEX($K$13:$K$412,MATCH(A183,$L$13:$L$412,0)),"")</f>
        <v>-0.00287748715810854</v>
      </c>
      <c r="O183" s="76" t="n">
        <f aca="false">IF(I183=1,E183,NA())</f>
        <v>-0.051948051948052</v>
      </c>
      <c r="P183" s="76" t="n">
        <f aca="false">IF(I183=1,F183,NA())</f>
        <v>0.0283619294730231</v>
      </c>
      <c r="R183" s="75" t="n">
        <f aca="false">ROWS(R$13:R183)</f>
        <v>171</v>
      </c>
      <c r="S183" s="73" t="str">
        <f aca="false">IF(S182="","",IFERROR(SMALL($AD$10:$AD$509,COUNTIF($AD$10:$AD$509,"&lt;="&amp;S182)+1),""))</f>
        <v/>
      </c>
      <c r="T183" s="74" t="str">
        <f aca="false">IF(S183="","",INDEX($AE$10:$AE$509,MATCH(S183,$AD$10:$AD$509,0)))</f>
        <v/>
      </c>
      <c r="U183" s="74" t="str">
        <f aca="false">IF(S183="","",IFERROR(INDEX($AG$10:$AG$509,MATCH(S183,$AF$10:$AF$509,0)),""))</f>
        <v/>
      </c>
      <c r="V183" s="76" t="str">
        <f aca="false">IF(AND(ISNUMBER(T183),ISNUMBER(T182)),T183/T182-1,"")</f>
        <v/>
      </c>
      <c r="W183" s="76" t="str">
        <f aca="false">IF(AND(ISNUMBER(U183),ISNUMBER(U182)),U183/U182-1,"")</f>
        <v/>
      </c>
      <c r="X183" s="75" t="str">
        <f aca="false">IF(AND(ISNUMBER(V183),ISNUMBER(W183)),1,"")</f>
        <v/>
      </c>
      <c r="Y183" s="76" t="str">
        <f aca="false">IF(X183=1,V183,"")</f>
        <v/>
      </c>
      <c r="Z183" s="76" t="str">
        <f aca="false">IF(X183=1,W183,"")</f>
        <v/>
      </c>
      <c r="AA183" s="76" t="e">
        <f aca="false">IF(X183=1,V183,NA())</f>
        <v>#N/A</v>
      </c>
      <c r="AB183" s="76" t="e">
        <f aca="false">IF(X183=1,W183,NA())</f>
        <v>#N/A</v>
      </c>
      <c r="AD183" s="73" t="str">
        <f aca="false">IF(ISNUMBER(AE183),IF(ISNUMBER('Base de Datos'!A179),IF('Base de Datos'!A179&gt;20000,DATE(YEAR('Base de Datos'!A179),DAY('Base de Datos'!A179),MONTH('Base de Datos'!A179)),""),IF(TRIM('Base de Datos'!A179)="","",IFERROR(DATE(VALUE(RIGHT(TRIM('Base de Datos'!A179),4)),VALUE(LEFT(TRIM('Base de Datos'!A179),2)),VALUE(MID(TRIM('Base de Datos'!A179),4,2))),""))),"")</f>
        <v/>
      </c>
      <c r="AE183" s="74" t="str">
        <f aca="false">IF(ISNUMBER('Base de Datos'!B179),'Base de Datos'!B179,IF(TRIM('Base de Datos'!B179)="","",IFERROR(IF(IFERROR(FIND("@",SUBSTITUTE(TRIM('Base de Datos'!B179),",","@",LEN(TRIM('Base de Datos'!B179))-LEN(SUBSTITUTE(TRIM('Base de Datos'!B179),",","")))),0)&gt;IFERROR(FIND("@",SUBSTITUTE(TRIM('Base de Datos'!B179),".","@",LEN(TRIM('Base de Datos'!B179))-LEN(SUBSTITUTE(TRIM('Base de Datos'!B179),".","")))),0),_xlfn.NUMBERVALUE(SUBSTITUTE(SUBSTITUTE(TRIM('Base de Datos'!B179),".",""),",","."),".",","),_xlfn.NUMBERVALUE(SUBSTITUTE(TRIM('Base de Datos'!B179),",",""),".",",")),"")))</f>
        <v/>
      </c>
      <c r="AF183" s="73" t="str">
        <f aca="false">IF(ISNUMBER(AG183),IF(ISNUMBER('Base de Datos'!I179),IF('Base de Datos'!I179&gt;20000,INT('Base de Datos'!I179),""),IF(TRIM('Base de Datos'!I179)="","",IFERROR(DATE(VALUE(RIGHT(TRIM('Base de Datos'!I179),4)),VALUE(MID(TRIM('Base de Datos'!I179),4,2)),VALUE(LEFT(TRIM('Base de Datos'!I179),2))),IFERROR(DATEVALUE(TRIM('Base de Datos'!I179)),"")))),"")</f>
        <v/>
      </c>
      <c r="AG183" s="74" t="str">
        <f aca="false">IF(ISNUMBER('Base de Datos'!J179),'Base de Datos'!J179,IF(TRIM('Base de Datos'!J179)="","",IFERROR(IF(IFERROR(FIND("@",SUBSTITUTE(TRIM('Base de Datos'!J179),",","@",LEN(TRIM('Base de Datos'!J179))-LEN(SUBSTITUTE(TRIM('Base de Datos'!J179),",","")))),0)&gt;IFERROR(FIND("@",SUBSTITUTE(TRIM('Base de Datos'!J179),".","@",LEN(TRIM('Base de Datos'!J179))-LEN(SUBSTITUTE(TRIM('Base de Datos'!J179),".","")))),0),_xlfn.NUMBERVALUE(SUBSTITUTE(SUBSTITUTE(TRIM('Base de Datos'!J179),".",""),",","."),".",","),_xlfn.NUMBERVALUE(SUBSTITUTE(TRIM('Base de Datos'!J179),",",""),".",",")),"")))</f>
        <v/>
      </c>
      <c r="AH183" s="73" t="n">
        <f aca="false">IF(ISNUMBER(AI183),IF(ISNUMBER('Base de Datos'!Q179),IF('Base de Datos'!Q179&gt;20000,DATE(YEAR('Base de Datos'!Q179),DAY('Base de Datos'!Q179),MONTH('Base de Datos'!Q179)),""),IF(TRIM('Base de Datos'!Q179)="","",IFERROR(DATE(VALUE(RIGHT(TRIM('Base de Datos'!Q179),4)),VALUE(LEFT(TRIM('Base de Datos'!Q179),2)),VALUE(MID(TRIM('Base de Datos'!Q179),4,2))),""))),"")</f>
        <v>45697</v>
      </c>
      <c r="AI183" s="74" t="n">
        <f aca="false">IF(ISNUMBER('Base de Datos'!R179),'Base de Datos'!R179,IF(TRIM('Base de Datos'!R179)="","",IFERROR(IF(IFERROR(FIND("@",SUBSTITUTE(TRIM('Base de Datos'!R179),",","@",LEN(TRIM('Base de Datos'!R179))-LEN(SUBSTITUTE(TRIM('Base de Datos'!R179),",","")))),0)&gt;IFERROR(FIND("@",SUBSTITUTE(TRIM('Base de Datos'!R179),".","@",LEN(TRIM('Base de Datos'!R179))-LEN(SUBSTITUTE(TRIM('Base de Datos'!R179),".","")))),0),_xlfn.NUMBERVALUE(SUBSTITUTE(SUBSTITUTE(TRIM('Base de Datos'!R179),".",""),",","."),".",","),_xlfn.NUMBERVALUE(SUBSTITUTE(TRIM('Base de Datos'!R179),",",""),".",",")),"")))</f>
        <v>29.17</v>
      </c>
      <c r="AJ183" s="73" t="n">
        <f aca="false">IF(ISNUMBER(AK183),IF(ISNUMBER('Base de Datos'!Y179),IF('Base de Datos'!Y179&gt;20000,INT('Base de Datos'!Y179),""),IF(TRIM('Base de Datos'!Y179)="","",IFERROR(DATE(VALUE(RIGHT(TRIM('Base de Datos'!Y179),4)),VALUE(MID(TRIM('Base de Datos'!Y179),4,2)),VALUE(LEFT(TRIM('Base de Datos'!Y179),2))),IFERROR(DATEVALUE(TRIM('Base de Datos'!Y179)),"")))),"")</f>
        <v>45697</v>
      </c>
      <c r="AK183" s="74" t="n">
        <f aca="false">IF(ISNUMBER('Base de Datos'!Z179),'Base de Datos'!Z179,IF(TRIM('Base de Datos'!Z179)="","",IFERROR(IF(IFERROR(FIND("@",SUBSTITUTE(TRIM('Base de Datos'!Z179),",","@",LEN(TRIM('Base de Datos'!Z179))-LEN(SUBSTITUTE(TRIM('Base de Datos'!Z179),",","")))),0)&gt;IFERROR(FIND("@",SUBSTITUTE(TRIM('Base de Datos'!Z179),".","@",LEN(TRIM('Base de Datos'!Z179))-LEN(SUBSTITUTE(TRIM('Base de Datos'!Z179),".","")))),0),_xlfn.NUMBERVALUE(SUBSTITUTE(SUBSTITUTE(TRIM('Base de Datos'!Z179),".",""),",","."),".",","),_xlfn.NUMBERVALUE(SUBSTITUTE(TRIM('Base de Datos'!Z179),",",""),".",",")),"")))</f>
        <v>54077.94</v>
      </c>
    </row>
    <row r="184" customFormat="false" ht="13.5" hidden="false" customHeight="false" outlineLevel="0" collapsed="false">
      <c r="A184" s="75" t="n">
        <f aca="false">ROWS(A$13:A184)</f>
        <v>172</v>
      </c>
      <c r="B184" s="73" t="n">
        <f aca="false">IF(B183="","",IFERROR(SMALL($AH$10:$AH$409,COUNTIF($AH$10:$AH$409,"&lt;="&amp;B183)+1),""))</f>
        <v>45683</v>
      </c>
      <c r="C184" s="74" t="n">
        <f aca="false">IF(B184="","",INDEX($AI$10:$AI$409,MATCH(B184,$AH$10:$AH$409,0)))</f>
        <v>29.18</v>
      </c>
      <c r="D184" s="74" t="n">
        <f aca="false">IF(B184="","",IFERROR(INDEX($AK$10:$AK$409,MATCH(B184,$AJ$10:$AJ$409,0)),""))</f>
        <v>51209.53</v>
      </c>
      <c r="E184" s="76" t="n">
        <f aca="false">IF(AND(ISNUMBER(C184),ISNUMBER(C183)),C184/C183-1,"")</f>
        <v>-0.00068493150684934</v>
      </c>
      <c r="F184" s="76" t="n">
        <f aca="false">IF(AND(ISNUMBER(D184),ISNUMBER(D183)),D184/D183-1,"")</f>
        <v>-0.00287748715810854</v>
      </c>
      <c r="G184" s="75" t="n">
        <f aca="false">IF(AND(ISNUMBER(E184),ISNUMBER(F184)),1,"")</f>
        <v>1</v>
      </c>
      <c r="H184" s="75" t="n">
        <f aca="false">IF(G184=1,COUNT(G184:G$412),"")</f>
        <v>88</v>
      </c>
      <c r="I184" s="75" t="n">
        <f aca="false">IF(G184=1,IF(H184&lt;='Beta Regresión'!$B$5,1,""),"")</f>
        <v>1</v>
      </c>
      <c r="J184" s="76" t="n">
        <f aca="false">IF(I184=1,E184,"")</f>
        <v>-0.00068493150684934</v>
      </c>
      <c r="K184" s="76" t="n">
        <f aca="false">IF(I184=1,F184,"")</f>
        <v>-0.00287748715810854</v>
      </c>
      <c r="L184" s="75" t="n">
        <f aca="false">IF(I184=1,COUNT(I$13:I184),"")</f>
        <v>171</v>
      </c>
      <c r="M184" s="76" t="n">
        <f aca="false">IFERROR(INDEX($J$13:$J$412,MATCH(A184,$L$13:$L$412,0)),"")</f>
        <v>0.0246744345442083</v>
      </c>
      <c r="N184" s="76" t="n">
        <f aca="false">IFERROR(INDEX($K$13:$K$412,MATCH(A184,$L$13:$L$412,0)),"")</f>
        <v>0.0314047014295973</v>
      </c>
      <c r="O184" s="76" t="n">
        <f aca="false">IF(I184=1,E184,NA())</f>
        <v>-0.00068493150684934</v>
      </c>
      <c r="P184" s="76" t="n">
        <f aca="false">IF(I184=1,F184,NA())</f>
        <v>-0.00287748715810854</v>
      </c>
      <c r="R184" s="75" t="n">
        <f aca="false">ROWS(R$13:R184)</f>
        <v>172</v>
      </c>
      <c r="S184" s="73" t="str">
        <f aca="false">IF(S183="","",IFERROR(SMALL($AD$10:$AD$509,COUNTIF($AD$10:$AD$509,"&lt;="&amp;S183)+1),""))</f>
        <v/>
      </c>
      <c r="T184" s="74" t="str">
        <f aca="false">IF(S184="","",INDEX($AE$10:$AE$509,MATCH(S184,$AD$10:$AD$509,0)))</f>
        <v/>
      </c>
      <c r="U184" s="74" t="str">
        <f aca="false">IF(S184="","",IFERROR(INDEX($AG$10:$AG$509,MATCH(S184,$AF$10:$AF$509,0)),""))</f>
        <v/>
      </c>
      <c r="V184" s="76" t="str">
        <f aca="false">IF(AND(ISNUMBER(T184),ISNUMBER(T183)),T184/T183-1,"")</f>
        <v/>
      </c>
      <c r="W184" s="76" t="str">
        <f aca="false">IF(AND(ISNUMBER(U184),ISNUMBER(U183)),U184/U183-1,"")</f>
        <v/>
      </c>
      <c r="X184" s="75" t="str">
        <f aca="false">IF(AND(ISNUMBER(V184),ISNUMBER(W184)),1,"")</f>
        <v/>
      </c>
      <c r="Y184" s="76" t="str">
        <f aca="false">IF(X184=1,V184,"")</f>
        <v/>
      </c>
      <c r="Z184" s="76" t="str">
        <f aca="false">IF(X184=1,W184,"")</f>
        <v/>
      </c>
      <c r="AA184" s="76" t="e">
        <f aca="false">IF(X184=1,V184,NA())</f>
        <v>#N/A</v>
      </c>
      <c r="AB184" s="76" t="e">
        <f aca="false">IF(X184=1,W184,NA())</f>
        <v>#N/A</v>
      </c>
      <c r="AD184" s="73" t="str">
        <f aca="false">IF(ISNUMBER(AE184),IF(ISNUMBER('Base de Datos'!A180),IF('Base de Datos'!A180&gt;20000,DATE(YEAR('Base de Datos'!A180),DAY('Base de Datos'!A180),MONTH('Base de Datos'!A180)),""),IF(TRIM('Base de Datos'!A180)="","",IFERROR(DATE(VALUE(RIGHT(TRIM('Base de Datos'!A180),4)),VALUE(LEFT(TRIM('Base de Datos'!A180),2)),VALUE(MID(TRIM('Base de Datos'!A180),4,2))),""))),"")</f>
        <v/>
      </c>
      <c r="AE184" s="74" t="str">
        <f aca="false">IF(ISNUMBER('Base de Datos'!B180),'Base de Datos'!B180,IF(TRIM('Base de Datos'!B180)="","",IFERROR(IF(IFERROR(FIND("@",SUBSTITUTE(TRIM('Base de Datos'!B180),",","@",LEN(TRIM('Base de Datos'!B180))-LEN(SUBSTITUTE(TRIM('Base de Datos'!B180),",","")))),0)&gt;IFERROR(FIND("@",SUBSTITUTE(TRIM('Base de Datos'!B180),".","@",LEN(TRIM('Base de Datos'!B180))-LEN(SUBSTITUTE(TRIM('Base de Datos'!B180),".","")))),0),_xlfn.NUMBERVALUE(SUBSTITUTE(SUBSTITUTE(TRIM('Base de Datos'!B180),".",""),",","."),".",","),_xlfn.NUMBERVALUE(SUBSTITUTE(TRIM('Base de Datos'!B180),",",""),".",",")),"")))</f>
        <v/>
      </c>
      <c r="AF184" s="73" t="str">
        <f aca="false">IF(ISNUMBER(AG184),IF(ISNUMBER('Base de Datos'!I180),IF('Base de Datos'!I180&gt;20000,INT('Base de Datos'!I180),""),IF(TRIM('Base de Datos'!I180)="","",IFERROR(DATE(VALUE(RIGHT(TRIM('Base de Datos'!I180),4)),VALUE(MID(TRIM('Base de Datos'!I180),4,2)),VALUE(LEFT(TRIM('Base de Datos'!I180),2))),IFERROR(DATEVALUE(TRIM('Base de Datos'!I180)),"")))),"")</f>
        <v/>
      </c>
      <c r="AG184" s="74" t="str">
        <f aca="false">IF(ISNUMBER('Base de Datos'!J180),'Base de Datos'!J180,IF(TRIM('Base de Datos'!J180)="","",IFERROR(IF(IFERROR(FIND("@",SUBSTITUTE(TRIM('Base de Datos'!J180),",","@",LEN(TRIM('Base de Datos'!J180))-LEN(SUBSTITUTE(TRIM('Base de Datos'!J180),",","")))),0)&gt;IFERROR(FIND("@",SUBSTITUTE(TRIM('Base de Datos'!J180),".","@",LEN(TRIM('Base de Datos'!J180))-LEN(SUBSTITUTE(TRIM('Base de Datos'!J180),".","")))),0),_xlfn.NUMBERVALUE(SUBSTITUTE(SUBSTITUTE(TRIM('Base de Datos'!J180),".",""),",","."),".",","),_xlfn.NUMBERVALUE(SUBSTITUTE(TRIM('Base de Datos'!J180),",",""),".",",")),"")))</f>
        <v/>
      </c>
      <c r="AH184" s="73" t="n">
        <f aca="false">IF(ISNUMBER(AI184),IF(ISNUMBER('Base de Datos'!Q180),IF('Base de Datos'!Q180&gt;20000,DATE(YEAR('Base de Datos'!Q180),DAY('Base de Datos'!Q180),MONTH('Base de Datos'!Q180)),""),IF(TRIM('Base de Datos'!Q180)="","",IFERROR(DATE(VALUE(RIGHT(TRIM('Base de Datos'!Q180),4)),VALUE(LEFT(TRIM('Base de Datos'!Q180),2)),VALUE(MID(TRIM('Base de Datos'!Q180),4,2))),""))),"")</f>
        <v>45704</v>
      </c>
      <c r="AI184" s="74" t="n">
        <f aca="false">IF(ISNUMBER('Base de Datos'!R180),'Base de Datos'!R180,IF(TRIM('Base de Datos'!R180)="","",IFERROR(IF(IFERROR(FIND("@",SUBSTITUTE(TRIM('Base de Datos'!R180),",","@",LEN(TRIM('Base de Datos'!R180))-LEN(SUBSTITUTE(TRIM('Base de Datos'!R180),",","")))),0)&gt;IFERROR(FIND("@",SUBSTITUTE(TRIM('Base de Datos'!R180),".","@",LEN(TRIM('Base de Datos'!R180))-LEN(SUBSTITUTE(TRIM('Base de Datos'!R180),".","")))),0),_xlfn.NUMBERVALUE(SUBSTITUTE(SUBSTITUTE(TRIM('Base de Datos'!R180),".",""),",","."),".",","),_xlfn.NUMBERVALUE(SUBSTITUTE(TRIM('Base de Datos'!R180),",",""),".",",")),"")))</f>
        <v>28.49</v>
      </c>
      <c r="AJ184" s="73" t="n">
        <f aca="false">IF(ISNUMBER(AK184),IF(ISNUMBER('Base de Datos'!Y180),IF('Base de Datos'!Y180&gt;20000,INT('Base de Datos'!Y180),""),IF(TRIM('Base de Datos'!Y180)="","",IFERROR(DATE(VALUE(RIGHT(TRIM('Base de Datos'!Y180),4)),VALUE(MID(TRIM('Base de Datos'!Y180),4,2)),VALUE(LEFT(TRIM('Base de Datos'!Y180),2))),IFERROR(DATEVALUE(TRIM('Base de Datos'!Y180)),"")))),"")</f>
        <v>45704</v>
      </c>
      <c r="AK184" s="74" t="n">
        <f aca="false">IF(ISNUMBER('Base de Datos'!Z180),'Base de Datos'!Z180,IF(TRIM('Base de Datos'!Z180)="","",IFERROR(IF(IFERROR(FIND("@",SUBSTITUTE(TRIM('Base de Datos'!Z180),",","@",LEN(TRIM('Base de Datos'!Z180))-LEN(SUBSTITUTE(TRIM('Base de Datos'!Z180),",","")))),0)&gt;IFERROR(FIND("@",SUBSTITUTE(TRIM('Base de Datos'!Z180),".","@",LEN(TRIM('Base de Datos'!Z180))-LEN(SUBSTITUTE(TRIM('Base de Datos'!Z180),".","")))),0),_xlfn.NUMBERVALUE(SUBSTITUTE(SUBSTITUTE(TRIM('Base de Datos'!Z180),".",""),",","."),".",","),_xlfn.NUMBERVALUE(SUBSTITUTE(TRIM('Base de Datos'!Z180),",",""),".",",")),"")))</f>
        <v>53738.75</v>
      </c>
    </row>
    <row r="185" customFormat="false" ht="13.5" hidden="false" customHeight="false" outlineLevel="0" collapsed="false">
      <c r="A185" s="75" t="n">
        <f aca="false">ROWS(A$13:A185)</f>
        <v>173</v>
      </c>
      <c r="B185" s="73" t="n">
        <f aca="false">IF(B184="","",IFERROR(SMALL($AH$10:$AH$409,COUNTIF($AH$10:$AH$409,"&lt;="&amp;B184)+1),""))</f>
        <v>45690</v>
      </c>
      <c r="C185" s="74" t="n">
        <f aca="false">IF(B185="","",INDEX($AI$10:$AI$409,MATCH(B185,$AH$10:$AH$409,0)))</f>
        <v>29.9</v>
      </c>
      <c r="D185" s="74" t="n">
        <f aca="false">IF(B185="","",IFERROR(INDEX($AK$10:$AK$409,MATCH(B185,$AJ$10:$AJ$409,0)),""))</f>
        <v>52817.75</v>
      </c>
      <c r="E185" s="76" t="n">
        <f aca="false">IF(AND(ISNUMBER(C185),ISNUMBER(C184)),C185/C184-1,"")</f>
        <v>0.0246744345442083</v>
      </c>
      <c r="F185" s="76" t="n">
        <f aca="false">IF(AND(ISNUMBER(D185),ISNUMBER(D184)),D185/D184-1,"")</f>
        <v>0.0314047014295973</v>
      </c>
      <c r="G185" s="75" t="n">
        <f aca="false">IF(AND(ISNUMBER(E185),ISNUMBER(F185)),1,"")</f>
        <v>1</v>
      </c>
      <c r="H185" s="75" t="n">
        <f aca="false">IF(G185=1,COUNT(G185:G$412),"")</f>
        <v>87</v>
      </c>
      <c r="I185" s="75" t="n">
        <f aca="false">IF(G185=1,IF(H185&lt;='Beta Regresión'!$B$5,1,""),"")</f>
        <v>1</v>
      </c>
      <c r="J185" s="76" t="n">
        <f aca="false">IF(I185=1,E185,"")</f>
        <v>0.0246744345442083</v>
      </c>
      <c r="K185" s="76" t="n">
        <f aca="false">IF(I185=1,F185,"")</f>
        <v>0.0314047014295973</v>
      </c>
      <c r="L185" s="75" t="n">
        <f aca="false">IF(I185=1,COUNT(I$13:I185),"")</f>
        <v>172</v>
      </c>
      <c r="M185" s="76" t="n">
        <f aca="false">IFERROR(INDEX($J$13:$J$412,MATCH(A185,$L$13:$L$412,0)),"")</f>
        <v>-0.0244147157190634</v>
      </c>
      <c r="N185" s="76" t="n">
        <f aca="false">IFERROR(INDEX($K$13:$K$412,MATCH(A185,$L$13:$L$412,0)),"")</f>
        <v>0.0238592139952951</v>
      </c>
      <c r="O185" s="76" t="n">
        <f aca="false">IF(I185=1,E185,NA())</f>
        <v>0.0246744345442083</v>
      </c>
      <c r="P185" s="76" t="n">
        <f aca="false">IF(I185=1,F185,NA())</f>
        <v>0.0314047014295973</v>
      </c>
      <c r="R185" s="75" t="n">
        <f aca="false">ROWS(R$13:R185)</f>
        <v>173</v>
      </c>
      <c r="S185" s="73" t="str">
        <f aca="false">IF(S184="","",IFERROR(SMALL($AD$10:$AD$509,COUNTIF($AD$10:$AD$509,"&lt;="&amp;S184)+1),""))</f>
        <v/>
      </c>
      <c r="T185" s="74" t="str">
        <f aca="false">IF(S185="","",INDEX($AE$10:$AE$509,MATCH(S185,$AD$10:$AD$509,0)))</f>
        <v/>
      </c>
      <c r="U185" s="74" t="str">
        <f aca="false">IF(S185="","",IFERROR(INDEX($AG$10:$AG$509,MATCH(S185,$AF$10:$AF$509,0)),""))</f>
        <v/>
      </c>
      <c r="V185" s="76" t="str">
        <f aca="false">IF(AND(ISNUMBER(T185),ISNUMBER(T184)),T185/T184-1,"")</f>
        <v/>
      </c>
      <c r="W185" s="76" t="str">
        <f aca="false">IF(AND(ISNUMBER(U185),ISNUMBER(U184)),U185/U184-1,"")</f>
        <v/>
      </c>
      <c r="X185" s="75" t="str">
        <f aca="false">IF(AND(ISNUMBER(V185),ISNUMBER(W185)),1,"")</f>
        <v/>
      </c>
      <c r="Y185" s="76" t="str">
        <f aca="false">IF(X185=1,V185,"")</f>
        <v/>
      </c>
      <c r="Z185" s="76" t="str">
        <f aca="false">IF(X185=1,W185,"")</f>
        <v/>
      </c>
      <c r="AA185" s="76" t="e">
        <f aca="false">IF(X185=1,V185,NA())</f>
        <v>#N/A</v>
      </c>
      <c r="AB185" s="76" t="e">
        <f aca="false">IF(X185=1,W185,NA())</f>
        <v>#N/A</v>
      </c>
      <c r="AD185" s="73" t="str">
        <f aca="false">IF(ISNUMBER(AE185),IF(ISNUMBER('Base de Datos'!A181),IF('Base de Datos'!A181&gt;20000,DATE(YEAR('Base de Datos'!A181),DAY('Base de Datos'!A181),MONTH('Base de Datos'!A181)),""),IF(TRIM('Base de Datos'!A181)="","",IFERROR(DATE(VALUE(RIGHT(TRIM('Base de Datos'!A181),4)),VALUE(LEFT(TRIM('Base de Datos'!A181),2)),VALUE(MID(TRIM('Base de Datos'!A181),4,2))),""))),"")</f>
        <v/>
      </c>
      <c r="AE185" s="74" t="str">
        <f aca="false">IF(ISNUMBER('Base de Datos'!B181),'Base de Datos'!B181,IF(TRIM('Base de Datos'!B181)="","",IFERROR(IF(IFERROR(FIND("@",SUBSTITUTE(TRIM('Base de Datos'!B181),",","@",LEN(TRIM('Base de Datos'!B181))-LEN(SUBSTITUTE(TRIM('Base de Datos'!B181),",","")))),0)&gt;IFERROR(FIND("@",SUBSTITUTE(TRIM('Base de Datos'!B181),".","@",LEN(TRIM('Base de Datos'!B181))-LEN(SUBSTITUTE(TRIM('Base de Datos'!B181),".","")))),0),_xlfn.NUMBERVALUE(SUBSTITUTE(SUBSTITUTE(TRIM('Base de Datos'!B181),".",""),",","."),".",","),_xlfn.NUMBERVALUE(SUBSTITUTE(TRIM('Base de Datos'!B181),",",""),".",",")),"")))</f>
        <v/>
      </c>
      <c r="AF185" s="73" t="str">
        <f aca="false">IF(ISNUMBER(AG185),IF(ISNUMBER('Base de Datos'!I181),IF('Base de Datos'!I181&gt;20000,INT('Base de Datos'!I181),""),IF(TRIM('Base de Datos'!I181)="","",IFERROR(DATE(VALUE(RIGHT(TRIM('Base de Datos'!I181),4)),VALUE(MID(TRIM('Base de Datos'!I181),4,2)),VALUE(LEFT(TRIM('Base de Datos'!I181),2))),IFERROR(DATEVALUE(TRIM('Base de Datos'!I181)),"")))),"")</f>
        <v/>
      </c>
      <c r="AG185" s="74" t="str">
        <f aca="false">IF(ISNUMBER('Base de Datos'!J181),'Base de Datos'!J181,IF(TRIM('Base de Datos'!J181)="","",IFERROR(IF(IFERROR(FIND("@",SUBSTITUTE(TRIM('Base de Datos'!J181),",","@",LEN(TRIM('Base de Datos'!J181))-LEN(SUBSTITUTE(TRIM('Base de Datos'!J181),",","")))),0)&gt;IFERROR(FIND("@",SUBSTITUTE(TRIM('Base de Datos'!J181),".","@",LEN(TRIM('Base de Datos'!J181))-LEN(SUBSTITUTE(TRIM('Base de Datos'!J181),".","")))),0),_xlfn.NUMBERVALUE(SUBSTITUTE(SUBSTITUTE(TRIM('Base de Datos'!J181),".",""),",","."),".",","),_xlfn.NUMBERVALUE(SUBSTITUTE(TRIM('Base de Datos'!J181),",",""),".",",")),"")))</f>
        <v/>
      </c>
      <c r="AH185" s="73" t="n">
        <f aca="false">IF(ISNUMBER(AI185),IF(ISNUMBER('Base de Datos'!Q181),IF('Base de Datos'!Q181&gt;20000,DATE(YEAR('Base de Datos'!Q181),DAY('Base de Datos'!Q181),MONTH('Base de Datos'!Q181)),""),IF(TRIM('Base de Datos'!Q181)="","",IFERROR(DATE(VALUE(RIGHT(TRIM('Base de Datos'!Q181),4)),VALUE(LEFT(TRIM('Base de Datos'!Q181),2)),VALUE(MID(TRIM('Base de Datos'!Q181),4,2))),""))),"")</f>
        <v>45711</v>
      </c>
      <c r="AI185" s="74" t="n">
        <f aca="false">IF(ISNUMBER('Base de Datos'!R181),'Base de Datos'!R181,IF(TRIM('Base de Datos'!R181)="","",IFERROR(IF(IFERROR(FIND("@",SUBSTITUTE(TRIM('Base de Datos'!R181),",","@",LEN(TRIM('Base de Datos'!R181))-LEN(SUBSTITUTE(TRIM('Base de Datos'!R181),",","")))),0)&gt;IFERROR(FIND("@",SUBSTITUTE(TRIM('Base de Datos'!R181),".","@",LEN(TRIM('Base de Datos'!R181))-LEN(SUBSTITUTE(TRIM('Base de Datos'!R181),".","")))),0),_xlfn.NUMBERVALUE(SUBSTITUTE(SUBSTITUTE(TRIM('Base de Datos'!R181),".",""),",","."),".",","),_xlfn.NUMBERVALUE(SUBSTITUTE(TRIM('Base de Datos'!R181),",",""),".",",")),"")))</f>
        <v>27.65</v>
      </c>
      <c r="AJ185" s="73" t="n">
        <f aca="false">IF(ISNUMBER(AK185),IF(ISNUMBER('Base de Datos'!Y181),IF('Base de Datos'!Y181&gt;20000,INT('Base de Datos'!Y181),""),IF(TRIM('Base de Datos'!Y181)="","",IFERROR(DATE(VALUE(RIGHT(TRIM('Base de Datos'!Y181),4)),VALUE(MID(TRIM('Base de Datos'!Y181),4,2)),VALUE(LEFT(TRIM('Base de Datos'!Y181),2))),IFERROR(DATEVALUE(TRIM('Base de Datos'!Y181)),"")))),"")</f>
        <v>45711</v>
      </c>
      <c r="AK185" s="74" t="n">
        <f aca="false">IF(ISNUMBER('Base de Datos'!Z181),'Base de Datos'!Z181,IF(TRIM('Base de Datos'!Z181)="","",IFERROR(IF(IFERROR(FIND("@",SUBSTITUTE(TRIM('Base de Datos'!Z181),",","@",LEN(TRIM('Base de Datos'!Z181))-LEN(SUBSTITUTE(TRIM('Base de Datos'!Z181),",","")))),0)&gt;IFERROR(FIND("@",SUBSTITUTE(TRIM('Base de Datos'!Z181),".","@",LEN(TRIM('Base de Datos'!Z181))-LEN(SUBSTITUTE(TRIM('Base de Datos'!Z181),".","")))),0),_xlfn.NUMBERVALUE(SUBSTITUTE(SUBSTITUTE(TRIM('Base de Datos'!Z181),".",""),",","."),".",","),_xlfn.NUMBERVALUE(SUBSTITUTE(TRIM('Base de Datos'!Z181),",",""),".",",")),"")))</f>
        <v>52325.73</v>
      </c>
    </row>
    <row r="186" customFormat="false" ht="13.5" hidden="false" customHeight="false" outlineLevel="0" collapsed="false">
      <c r="A186" s="75" t="n">
        <f aca="false">ROWS(A$13:A186)</f>
        <v>174</v>
      </c>
      <c r="B186" s="73" t="n">
        <f aca="false">IF(B185="","",IFERROR(SMALL($AH$10:$AH$409,COUNTIF($AH$10:$AH$409,"&lt;="&amp;B185)+1),""))</f>
        <v>45697</v>
      </c>
      <c r="C186" s="74" t="n">
        <f aca="false">IF(B186="","",INDEX($AI$10:$AI$409,MATCH(B186,$AH$10:$AH$409,0)))</f>
        <v>29.17</v>
      </c>
      <c r="D186" s="74" t="n">
        <f aca="false">IF(B186="","",IFERROR(INDEX($AK$10:$AK$409,MATCH(B186,$AJ$10:$AJ$409,0)),""))</f>
        <v>54077.94</v>
      </c>
      <c r="E186" s="76" t="n">
        <f aca="false">IF(AND(ISNUMBER(C186),ISNUMBER(C185)),C186/C185-1,"")</f>
        <v>-0.0244147157190634</v>
      </c>
      <c r="F186" s="76" t="n">
        <f aca="false">IF(AND(ISNUMBER(D186),ISNUMBER(D185)),D186/D185-1,"")</f>
        <v>0.0238592139952951</v>
      </c>
      <c r="G186" s="75" t="n">
        <f aca="false">IF(AND(ISNUMBER(E186),ISNUMBER(F186)),1,"")</f>
        <v>1</v>
      </c>
      <c r="H186" s="75" t="n">
        <f aca="false">IF(G186=1,COUNT(G186:G$412),"")</f>
        <v>86</v>
      </c>
      <c r="I186" s="75" t="n">
        <f aca="false">IF(G186=1,IF(H186&lt;='Beta Regresión'!$B$5,1,""),"")</f>
        <v>1</v>
      </c>
      <c r="J186" s="76" t="n">
        <f aca="false">IF(I186=1,E186,"")</f>
        <v>-0.0244147157190634</v>
      </c>
      <c r="K186" s="76" t="n">
        <f aca="false">IF(I186=1,F186,"")</f>
        <v>0.0238592139952951</v>
      </c>
      <c r="L186" s="75" t="n">
        <f aca="false">IF(I186=1,COUNT(I$13:I186),"")</f>
        <v>173</v>
      </c>
      <c r="M186" s="76" t="n">
        <f aca="false">IFERROR(INDEX($J$13:$J$412,MATCH(A186,$L$13:$L$412,0)),"")</f>
        <v>-0.0233116215289683</v>
      </c>
      <c r="N186" s="76" t="n">
        <f aca="false">IFERROR(INDEX($K$13:$K$412,MATCH(A186,$L$13:$L$412,0)),"")</f>
        <v>-0.00627224335838239</v>
      </c>
      <c r="O186" s="76" t="n">
        <f aca="false">IF(I186=1,E186,NA())</f>
        <v>-0.0244147157190634</v>
      </c>
      <c r="P186" s="76" t="n">
        <f aca="false">IF(I186=1,F186,NA())</f>
        <v>0.0238592139952951</v>
      </c>
      <c r="R186" s="75" t="n">
        <f aca="false">ROWS(R$13:R186)</f>
        <v>174</v>
      </c>
      <c r="S186" s="73" t="str">
        <f aca="false">IF(S185="","",IFERROR(SMALL($AD$10:$AD$509,COUNTIF($AD$10:$AD$509,"&lt;="&amp;S185)+1),""))</f>
        <v/>
      </c>
      <c r="T186" s="74" t="str">
        <f aca="false">IF(S186="","",INDEX($AE$10:$AE$509,MATCH(S186,$AD$10:$AD$509,0)))</f>
        <v/>
      </c>
      <c r="U186" s="74" t="str">
        <f aca="false">IF(S186="","",IFERROR(INDEX($AG$10:$AG$509,MATCH(S186,$AF$10:$AF$509,0)),""))</f>
        <v/>
      </c>
      <c r="V186" s="76" t="str">
        <f aca="false">IF(AND(ISNUMBER(T186),ISNUMBER(T185)),T186/T185-1,"")</f>
        <v/>
      </c>
      <c r="W186" s="76" t="str">
        <f aca="false">IF(AND(ISNUMBER(U186),ISNUMBER(U185)),U186/U185-1,"")</f>
        <v/>
      </c>
      <c r="X186" s="75" t="str">
        <f aca="false">IF(AND(ISNUMBER(V186),ISNUMBER(W186)),1,"")</f>
        <v/>
      </c>
      <c r="Y186" s="76" t="str">
        <f aca="false">IF(X186=1,V186,"")</f>
        <v/>
      </c>
      <c r="Z186" s="76" t="str">
        <f aca="false">IF(X186=1,W186,"")</f>
        <v/>
      </c>
      <c r="AA186" s="76" t="e">
        <f aca="false">IF(X186=1,V186,NA())</f>
        <v>#N/A</v>
      </c>
      <c r="AB186" s="76" t="e">
        <f aca="false">IF(X186=1,W186,NA())</f>
        <v>#N/A</v>
      </c>
      <c r="AD186" s="73" t="str">
        <f aca="false">IF(ISNUMBER(AE186),IF(ISNUMBER('Base de Datos'!A182),IF('Base de Datos'!A182&gt;20000,DATE(YEAR('Base de Datos'!A182),DAY('Base de Datos'!A182),MONTH('Base de Datos'!A182)),""),IF(TRIM('Base de Datos'!A182)="","",IFERROR(DATE(VALUE(RIGHT(TRIM('Base de Datos'!A182),4)),VALUE(LEFT(TRIM('Base de Datos'!A182),2)),VALUE(MID(TRIM('Base de Datos'!A182),4,2))),""))),"")</f>
        <v/>
      </c>
      <c r="AE186" s="74" t="str">
        <f aca="false">IF(ISNUMBER('Base de Datos'!B182),'Base de Datos'!B182,IF(TRIM('Base de Datos'!B182)="","",IFERROR(IF(IFERROR(FIND("@",SUBSTITUTE(TRIM('Base de Datos'!B182),",","@",LEN(TRIM('Base de Datos'!B182))-LEN(SUBSTITUTE(TRIM('Base de Datos'!B182),",","")))),0)&gt;IFERROR(FIND("@",SUBSTITUTE(TRIM('Base de Datos'!B182),".","@",LEN(TRIM('Base de Datos'!B182))-LEN(SUBSTITUTE(TRIM('Base de Datos'!B182),".","")))),0),_xlfn.NUMBERVALUE(SUBSTITUTE(SUBSTITUTE(TRIM('Base de Datos'!B182),".",""),",","."),".",","),_xlfn.NUMBERVALUE(SUBSTITUTE(TRIM('Base de Datos'!B182),",",""),".",",")),"")))</f>
        <v/>
      </c>
      <c r="AF186" s="73" t="str">
        <f aca="false">IF(ISNUMBER(AG186),IF(ISNUMBER('Base de Datos'!I182),IF('Base de Datos'!I182&gt;20000,INT('Base de Datos'!I182),""),IF(TRIM('Base de Datos'!I182)="","",IFERROR(DATE(VALUE(RIGHT(TRIM('Base de Datos'!I182),4)),VALUE(MID(TRIM('Base de Datos'!I182),4,2)),VALUE(LEFT(TRIM('Base de Datos'!I182),2))),IFERROR(DATEVALUE(TRIM('Base de Datos'!I182)),"")))),"")</f>
        <v/>
      </c>
      <c r="AG186" s="74" t="str">
        <f aca="false">IF(ISNUMBER('Base de Datos'!J182),'Base de Datos'!J182,IF(TRIM('Base de Datos'!J182)="","",IFERROR(IF(IFERROR(FIND("@",SUBSTITUTE(TRIM('Base de Datos'!J182),",","@",LEN(TRIM('Base de Datos'!J182))-LEN(SUBSTITUTE(TRIM('Base de Datos'!J182),",","")))),0)&gt;IFERROR(FIND("@",SUBSTITUTE(TRIM('Base de Datos'!J182),".","@",LEN(TRIM('Base de Datos'!J182))-LEN(SUBSTITUTE(TRIM('Base de Datos'!J182),".","")))),0),_xlfn.NUMBERVALUE(SUBSTITUTE(SUBSTITUTE(TRIM('Base de Datos'!J182),".",""),",","."),".",","),_xlfn.NUMBERVALUE(SUBSTITUTE(TRIM('Base de Datos'!J182),",",""),".",",")),"")))</f>
        <v/>
      </c>
      <c r="AH186" s="73" t="n">
        <f aca="false">IF(ISNUMBER(AI186),IF(ISNUMBER('Base de Datos'!Q182),IF('Base de Datos'!Q182&gt;20000,DATE(YEAR('Base de Datos'!Q182),DAY('Base de Datos'!Q182),MONTH('Base de Datos'!Q182)),""),IF(TRIM('Base de Datos'!Q182)="","",IFERROR(DATE(VALUE(RIGHT(TRIM('Base de Datos'!Q182),4)),VALUE(LEFT(TRIM('Base de Datos'!Q182),2)),VALUE(MID(TRIM('Base de Datos'!Q182),4,2))),""))),"")</f>
        <v>45718</v>
      </c>
      <c r="AI186" s="74" t="n">
        <f aca="false">IF(ISNUMBER('Base de Datos'!R182),'Base de Datos'!R182,IF(TRIM('Base de Datos'!R182)="","",IFERROR(IF(IFERROR(FIND("@",SUBSTITUTE(TRIM('Base de Datos'!R182),",","@",LEN(TRIM('Base de Datos'!R182))-LEN(SUBSTITUTE(TRIM('Base de Datos'!R182),",","")))),0)&gt;IFERROR(FIND("@",SUBSTITUTE(TRIM('Base de Datos'!R182),".","@",LEN(TRIM('Base de Datos'!R182))-LEN(SUBSTITUTE(TRIM('Base de Datos'!R182),".","")))),0),_xlfn.NUMBERVALUE(SUBSTITUTE(SUBSTITUTE(TRIM('Base de Datos'!R182),".",""),",","."),".",","),_xlfn.NUMBERVALUE(SUBSTITUTE(TRIM('Base de Datos'!R182),",",""),".",",")),"")))</f>
        <v>27</v>
      </c>
      <c r="AJ186" s="73" t="n">
        <f aca="false">IF(ISNUMBER(AK186),IF(ISNUMBER('Base de Datos'!Y182),IF('Base de Datos'!Y182&gt;20000,INT('Base de Datos'!Y182),""),IF(TRIM('Base de Datos'!Y182)="","",IFERROR(DATE(VALUE(RIGHT(TRIM('Base de Datos'!Y182),4)),VALUE(MID(TRIM('Base de Datos'!Y182),4,2)),VALUE(LEFT(TRIM('Base de Datos'!Y182),2))),IFERROR(DATEVALUE(TRIM('Base de Datos'!Y182)),"")))),"")</f>
        <v>45718</v>
      </c>
      <c r="AK186" s="74" t="n">
        <f aca="false">IF(ISNUMBER('Base de Datos'!Z182),'Base de Datos'!Z182,IF(TRIM('Base de Datos'!Z182)="","",IFERROR(IF(IFERROR(FIND("@",SUBSTITUTE(TRIM('Base de Datos'!Z182),",","@",LEN(TRIM('Base de Datos'!Z182))-LEN(SUBSTITUTE(TRIM('Base de Datos'!Z182),",","")))),0)&gt;IFERROR(FIND("@",SUBSTITUTE(TRIM('Base de Datos'!Z182),".","@",LEN(TRIM('Base de Datos'!Z182))-LEN(SUBSTITUTE(TRIM('Base de Datos'!Z182),".","")))),0),_xlfn.NUMBERVALUE(SUBSTITUTE(SUBSTITUTE(TRIM('Base de Datos'!Z182),".",""),",","."),".",","),_xlfn.NUMBERVALUE(SUBSTITUTE(TRIM('Base de Datos'!Z182),",",""),".",",")),"")))</f>
        <v>52839.63</v>
      </c>
    </row>
    <row r="187" customFormat="false" ht="13.5" hidden="false" customHeight="false" outlineLevel="0" collapsed="false">
      <c r="A187" s="75" t="n">
        <f aca="false">ROWS(A$13:A187)</f>
        <v>175</v>
      </c>
      <c r="B187" s="73" t="n">
        <f aca="false">IF(B186="","",IFERROR(SMALL($AH$10:$AH$409,COUNTIF($AH$10:$AH$409,"&lt;="&amp;B186)+1),""))</f>
        <v>45704</v>
      </c>
      <c r="C187" s="74" t="n">
        <f aca="false">IF(B187="","",INDEX($AI$10:$AI$409,MATCH(B187,$AH$10:$AH$409,0)))</f>
        <v>28.49</v>
      </c>
      <c r="D187" s="74" t="n">
        <f aca="false">IF(B187="","",IFERROR(INDEX($AK$10:$AK$409,MATCH(B187,$AJ$10:$AJ$409,0)),""))</f>
        <v>53738.75</v>
      </c>
      <c r="E187" s="76" t="n">
        <f aca="false">IF(AND(ISNUMBER(C187),ISNUMBER(C186)),C187/C186-1,"")</f>
        <v>-0.0233116215289683</v>
      </c>
      <c r="F187" s="76" t="n">
        <f aca="false">IF(AND(ISNUMBER(D187),ISNUMBER(D186)),D187/D186-1,"")</f>
        <v>-0.00627224335838239</v>
      </c>
      <c r="G187" s="75" t="n">
        <f aca="false">IF(AND(ISNUMBER(E187),ISNUMBER(F187)),1,"")</f>
        <v>1</v>
      </c>
      <c r="H187" s="75" t="n">
        <f aca="false">IF(G187=1,COUNT(G187:G$412),"")</f>
        <v>85</v>
      </c>
      <c r="I187" s="75" t="n">
        <f aca="false">IF(G187=1,IF(H187&lt;='Beta Regresión'!$B$5,1,""),"")</f>
        <v>1</v>
      </c>
      <c r="J187" s="76" t="n">
        <f aca="false">IF(I187=1,E187,"")</f>
        <v>-0.0233116215289683</v>
      </c>
      <c r="K187" s="76" t="n">
        <f aca="false">IF(I187=1,F187,"")</f>
        <v>-0.00627224335838239</v>
      </c>
      <c r="L187" s="75" t="n">
        <f aca="false">IF(I187=1,COUNT(I$13:I187),"")</f>
        <v>174</v>
      </c>
      <c r="M187" s="76" t="n">
        <f aca="false">IFERROR(INDEX($J$13:$J$412,MATCH(A187,$L$13:$L$412,0)),"")</f>
        <v>-0.0294840294840295</v>
      </c>
      <c r="N187" s="76" t="n">
        <f aca="false">IFERROR(INDEX($K$13:$K$412,MATCH(A187,$L$13:$L$412,0)),"")</f>
        <v>-0.0262942476332255</v>
      </c>
      <c r="O187" s="76" t="n">
        <f aca="false">IF(I187=1,E187,NA())</f>
        <v>-0.0233116215289683</v>
      </c>
      <c r="P187" s="76" t="n">
        <f aca="false">IF(I187=1,F187,NA())</f>
        <v>-0.00627224335838239</v>
      </c>
      <c r="R187" s="75" t="n">
        <f aca="false">ROWS(R$13:R187)</f>
        <v>175</v>
      </c>
      <c r="S187" s="73" t="str">
        <f aca="false">IF(S186="","",IFERROR(SMALL($AD$10:$AD$509,COUNTIF($AD$10:$AD$509,"&lt;="&amp;S186)+1),""))</f>
        <v/>
      </c>
      <c r="T187" s="74" t="str">
        <f aca="false">IF(S187="","",INDEX($AE$10:$AE$509,MATCH(S187,$AD$10:$AD$509,0)))</f>
        <v/>
      </c>
      <c r="U187" s="74" t="str">
        <f aca="false">IF(S187="","",IFERROR(INDEX($AG$10:$AG$509,MATCH(S187,$AF$10:$AF$509,0)),""))</f>
        <v/>
      </c>
      <c r="V187" s="76" t="str">
        <f aca="false">IF(AND(ISNUMBER(T187),ISNUMBER(T186)),T187/T186-1,"")</f>
        <v/>
      </c>
      <c r="W187" s="76" t="str">
        <f aca="false">IF(AND(ISNUMBER(U187),ISNUMBER(U186)),U187/U186-1,"")</f>
        <v/>
      </c>
      <c r="X187" s="75" t="str">
        <f aca="false">IF(AND(ISNUMBER(V187),ISNUMBER(W187)),1,"")</f>
        <v/>
      </c>
      <c r="Y187" s="76" t="str">
        <f aca="false">IF(X187=1,V187,"")</f>
        <v/>
      </c>
      <c r="Z187" s="76" t="str">
        <f aca="false">IF(X187=1,W187,"")</f>
        <v/>
      </c>
      <c r="AA187" s="76" t="e">
        <f aca="false">IF(X187=1,V187,NA())</f>
        <v>#N/A</v>
      </c>
      <c r="AB187" s="76" t="e">
        <f aca="false">IF(X187=1,W187,NA())</f>
        <v>#N/A</v>
      </c>
      <c r="AD187" s="73" t="str">
        <f aca="false">IF(ISNUMBER(AE187),IF(ISNUMBER('Base de Datos'!A183),IF('Base de Datos'!A183&gt;20000,DATE(YEAR('Base de Datos'!A183),DAY('Base de Datos'!A183),MONTH('Base de Datos'!A183)),""),IF(TRIM('Base de Datos'!A183)="","",IFERROR(DATE(VALUE(RIGHT(TRIM('Base de Datos'!A183),4)),VALUE(LEFT(TRIM('Base de Datos'!A183),2)),VALUE(MID(TRIM('Base de Datos'!A183),4,2))),""))),"")</f>
        <v/>
      </c>
      <c r="AE187" s="74" t="str">
        <f aca="false">IF(ISNUMBER('Base de Datos'!B183),'Base de Datos'!B183,IF(TRIM('Base de Datos'!B183)="","",IFERROR(IF(IFERROR(FIND("@",SUBSTITUTE(TRIM('Base de Datos'!B183),",","@",LEN(TRIM('Base de Datos'!B183))-LEN(SUBSTITUTE(TRIM('Base de Datos'!B183),",","")))),0)&gt;IFERROR(FIND("@",SUBSTITUTE(TRIM('Base de Datos'!B183),".","@",LEN(TRIM('Base de Datos'!B183))-LEN(SUBSTITUTE(TRIM('Base de Datos'!B183),".","")))),0),_xlfn.NUMBERVALUE(SUBSTITUTE(SUBSTITUTE(TRIM('Base de Datos'!B183),".",""),",","."),".",","),_xlfn.NUMBERVALUE(SUBSTITUTE(TRIM('Base de Datos'!B183),",",""),".",",")),"")))</f>
        <v/>
      </c>
      <c r="AF187" s="73" t="str">
        <f aca="false">IF(ISNUMBER(AG187),IF(ISNUMBER('Base de Datos'!I183),IF('Base de Datos'!I183&gt;20000,INT('Base de Datos'!I183),""),IF(TRIM('Base de Datos'!I183)="","",IFERROR(DATE(VALUE(RIGHT(TRIM('Base de Datos'!I183),4)),VALUE(MID(TRIM('Base de Datos'!I183),4,2)),VALUE(LEFT(TRIM('Base de Datos'!I183),2))),IFERROR(DATEVALUE(TRIM('Base de Datos'!I183)),"")))),"")</f>
        <v/>
      </c>
      <c r="AG187" s="74" t="str">
        <f aca="false">IF(ISNUMBER('Base de Datos'!J183),'Base de Datos'!J183,IF(TRIM('Base de Datos'!J183)="","",IFERROR(IF(IFERROR(FIND("@",SUBSTITUTE(TRIM('Base de Datos'!J183),",","@",LEN(TRIM('Base de Datos'!J183))-LEN(SUBSTITUTE(TRIM('Base de Datos'!J183),",","")))),0)&gt;IFERROR(FIND("@",SUBSTITUTE(TRIM('Base de Datos'!J183),".","@",LEN(TRIM('Base de Datos'!J183))-LEN(SUBSTITUTE(TRIM('Base de Datos'!J183),".","")))),0),_xlfn.NUMBERVALUE(SUBSTITUTE(SUBSTITUTE(TRIM('Base de Datos'!J183),".",""),",","."),".",","),_xlfn.NUMBERVALUE(SUBSTITUTE(TRIM('Base de Datos'!J183),",",""),".",",")),"")))</f>
        <v/>
      </c>
      <c r="AH187" s="73" t="n">
        <f aca="false">IF(ISNUMBER(AI187),IF(ISNUMBER('Base de Datos'!Q183),IF('Base de Datos'!Q183&gt;20000,DATE(YEAR('Base de Datos'!Q183),DAY('Base de Datos'!Q183),MONTH('Base de Datos'!Q183)),""),IF(TRIM('Base de Datos'!Q183)="","",IFERROR(DATE(VALUE(RIGHT(TRIM('Base de Datos'!Q183),4)),VALUE(LEFT(TRIM('Base de Datos'!Q183),2)),VALUE(MID(TRIM('Base de Datos'!Q183),4,2))),""))),"")</f>
        <v>45725</v>
      </c>
      <c r="AI187" s="74" t="n">
        <f aca="false">IF(ISNUMBER('Base de Datos'!R183),'Base de Datos'!R183,IF(TRIM('Base de Datos'!R183)="","",IFERROR(IF(IFERROR(FIND("@",SUBSTITUTE(TRIM('Base de Datos'!R183),",","@",LEN(TRIM('Base de Datos'!R183))-LEN(SUBSTITUTE(TRIM('Base de Datos'!R183),",","")))),0)&gt;IFERROR(FIND("@",SUBSTITUTE(TRIM('Base de Datos'!R183),".","@",LEN(TRIM('Base de Datos'!R183))-LEN(SUBSTITUTE(TRIM('Base de Datos'!R183),".","")))),0),_xlfn.NUMBERVALUE(SUBSTITUTE(SUBSTITUTE(TRIM('Base de Datos'!R183),".",""),",","."),".",","),_xlfn.NUMBERVALUE(SUBSTITUTE(TRIM('Base de Datos'!R183),",",""),".",",")),"")))</f>
        <v>28.24</v>
      </c>
      <c r="AJ187" s="73" t="n">
        <f aca="false">IF(ISNUMBER(AK187),IF(ISNUMBER('Base de Datos'!Y183),IF('Base de Datos'!Y183&gt;20000,INT('Base de Datos'!Y183),""),IF(TRIM('Base de Datos'!Y183)="","",IFERROR(DATE(VALUE(RIGHT(TRIM('Base de Datos'!Y183),4)),VALUE(MID(TRIM('Base de Datos'!Y183),4,2)),VALUE(LEFT(TRIM('Base de Datos'!Y183),2))),IFERROR(DATEVALUE(TRIM('Base de Datos'!Y183)),"")))),"")</f>
        <v>45725</v>
      </c>
      <c r="AK187" s="74" t="n">
        <f aca="false">IF(ISNUMBER('Base de Datos'!Z183),'Base de Datos'!Z183,IF(TRIM('Base de Datos'!Z183)="","",IFERROR(IF(IFERROR(FIND("@",SUBSTITUTE(TRIM('Base de Datos'!Z183),",","@",LEN(TRIM('Base de Datos'!Z183))-LEN(SUBSTITUTE(TRIM('Base de Datos'!Z183),",","")))),0)&gt;IFERROR(FIND("@",SUBSTITUTE(TRIM('Base de Datos'!Z183),".","@",LEN(TRIM('Base de Datos'!Z183))-LEN(SUBSTITUTE(TRIM('Base de Datos'!Z183),".","")))),0),_xlfn.NUMBERVALUE(SUBSTITUTE(SUBSTITUTE(TRIM('Base de Datos'!Z183),".",""),",","."),".",","),_xlfn.NUMBERVALUE(SUBSTITUTE(TRIM('Base de Datos'!Z183),",",""),".",",")),"")))</f>
        <v>52484.28</v>
      </c>
    </row>
    <row r="188" customFormat="false" ht="13.5" hidden="false" customHeight="false" outlineLevel="0" collapsed="false">
      <c r="A188" s="75" t="n">
        <f aca="false">ROWS(A$13:A188)</f>
        <v>176</v>
      </c>
      <c r="B188" s="73" t="n">
        <f aca="false">IF(B187="","",IFERROR(SMALL($AH$10:$AH$409,COUNTIF($AH$10:$AH$409,"&lt;="&amp;B187)+1),""))</f>
        <v>45711</v>
      </c>
      <c r="C188" s="74" t="n">
        <f aca="false">IF(B188="","",INDEX($AI$10:$AI$409,MATCH(B188,$AH$10:$AH$409,0)))</f>
        <v>27.65</v>
      </c>
      <c r="D188" s="74" t="n">
        <f aca="false">IF(B188="","",IFERROR(INDEX($AK$10:$AK$409,MATCH(B188,$AJ$10:$AJ$409,0)),""))</f>
        <v>52325.73</v>
      </c>
      <c r="E188" s="76" t="n">
        <f aca="false">IF(AND(ISNUMBER(C188),ISNUMBER(C187)),C188/C187-1,"")</f>
        <v>-0.0294840294840295</v>
      </c>
      <c r="F188" s="76" t="n">
        <f aca="false">IF(AND(ISNUMBER(D188),ISNUMBER(D187)),D188/D187-1,"")</f>
        <v>-0.0262942476332255</v>
      </c>
      <c r="G188" s="75" t="n">
        <f aca="false">IF(AND(ISNUMBER(E188),ISNUMBER(F188)),1,"")</f>
        <v>1</v>
      </c>
      <c r="H188" s="75" t="n">
        <f aca="false">IF(G188=1,COUNT(G188:G$412),"")</f>
        <v>84</v>
      </c>
      <c r="I188" s="75" t="n">
        <f aca="false">IF(G188=1,IF(H188&lt;='Beta Regresión'!$B$5,1,""),"")</f>
        <v>1</v>
      </c>
      <c r="J188" s="76" t="n">
        <f aca="false">IF(I188=1,E188,"")</f>
        <v>-0.0294840294840295</v>
      </c>
      <c r="K188" s="76" t="n">
        <f aca="false">IF(I188=1,F188,"")</f>
        <v>-0.0262942476332255</v>
      </c>
      <c r="L188" s="75" t="n">
        <f aca="false">IF(I188=1,COUNT(I$13:I188),"")</f>
        <v>175</v>
      </c>
      <c r="M188" s="76" t="n">
        <f aca="false">IFERROR(INDEX($J$13:$J$412,MATCH(A188,$L$13:$L$412,0)),"")</f>
        <v>-0.023508137432188</v>
      </c>
      <c r="N188" s="76" t="n">
        <f aca="false">IFERROR(INDEX($K$13:$K$412,MATCH(A188,$L$13:$L$412,0)),"")</f>
        <v>0.00982117210787115</v>
      </c>
      <c r="O188" s="76" t="n">
        <f aca="false">IF(I188=1,E188,NA())</f>
        <v>-0.0294840294840295</v>
      </c>
      <c r="P188" s="76" t="n">
        <f aca="false">IF(I188=1,F188,NA())</f>
        <v>-0.0262942476332255</v>
      </c>
      <c r="R188" s="75" t="n">
        <f aca="false">ROWS(R$13:R188)</f>
        <v>176</v>
      </c>
      <c r="S188" s="73" t="str">
        <f aca="false">IF(S187="","",IFERROR(SMALL($AD$10:$AD$509,COUNTIF($AD$10:$AD$509,"&lt;="&amp;S187)+1),""))</f>
        <v/>
      </c>
      <c r="T188" s="74" t="str">
        <f aca="false">IF(S188="","",INDEX($AE$10:$AE$509,MATCH(S188,$AD$10:$AD$509,0)))</f>
        <v/>
      </c>
      <c r="U188" s="74" t="str">
        <f aca="false">IF(S188="","",IFERROR(INDEX($AG$10:$AG$509,MATCH(S188,$AF$10:$AF$509,0)),""))</f>
        <v/>
      </c>
      <c r="V188" s="76" t="str">
        <f aca="false">IF(AND(ISNUMBER(T188),ISNUMBER(T187)),T188/T187-1,"")</f>
        <v/>
      </c>
      <c r="W188" s="76" t="str">
        <f aca="false">IF(AND(ISNUMBER(U188),ISNUMBER(U187)),U188/U187-1,"")</f>
        <v/>
      </c>
      <c r="X188" s="75" t="str">
        <f aca="false">IF(AND(ISNUMBER(V188),ISNUMBER(W188)),1,"")</f>
        <v/>
      </c>
      <c r="Y188" s="76" t="str">
        <f aca="false">IF(X188=1,V188,"")</f>
        <v/>
      </c>
      <c r="Z188" s="76" t="str">
        <f aca="false">IF(X188=1,W188,"")</f>
        <v/>
      </c>
      <c r="AA188" s="76" t="e">
        <f aca="false">IF(X188=1,V188,NA())</f>
        <v>#N/A</v>
      </c>
      <c r="AB188" s="76" t="e">
        <f aca="false">IF(X188=1,W188,NA())</f>
        <v>#N/A</v>
      </c>
      <c r="AD188" s="73" t="str">
        <f aca="false">IF(ISNUMBER(AE188),IF(ISNUMBER('Base de Datos'!A184),IF('Base de Datos'!A184&gt;20000,DATE(YEAR('Base de Datos'!A184),DAY('Base de Datos'!A184),MONTH('Base de Datos'!A184)),""),IF(TRIM('Base de Datos'!A184)="","",IFERROR(DATE(VALUE(RIGHT(TRIM('Base de Datos'!A184),4)),VALUE(LEFT(TRIM('Base de Datos'!A184),2)),VALUE(MID(TRIM('Base de Datos'!A184),4,2))),""))),"")</f>
        <v/>
      </c>
      <c r="AE188" s="74" t="str">
        <f aca="false">IF(ISNUMBER('Base de Datos'!B184),'Base de Datos'!B184,IF(TRIM('Base de Datos'!B184)="","",IFERROR(IF(IFERROR(FIND("@",SUBSTITUTE(TRIM('Base de Datos'!B184),",","@",LEN(TRIM('Base de Datos'!B184))-LEN(SUBSTITUTE(TRIM('Base de Datos'!B184),",","")))),0)&gt;IFERROR(FIND("@",SUBSTITUTE(TRIM('Base de Datos'!B184),".","@",LEN(TRIM('Base de Datos'!B184))-LEN(SUBSTITUTE(TRIM('Base de Datos'!B184),".","")))),0),_xlfn.NUMBERVALUE(SUBSTITUTE(SUBSTITUTE(TRIM('Base de Datos'!B184),".",""),",","."),".",","),_xlfn.NUMBERVALUE(SUBSTITUTE(TRIM('Base de Datos'!B184),",",""),".",",")),"")))</f>
        <v/>
      </c>
      <c r="AF188" s="73" t="str">
        <f aca="false">IF(ISNUMBER(AG188),IF(ISNUMBER('Base de Datos'!I184),IF('Base de Datos'!I184&gt;20000,INT('Base de Datos'!I184),""),IF(TRIM('Base de Datos'!I184)="","",IFERROR(DATE(VALUE(RIGHT(TRIM('Base de Datos'!I184),4)),VALUE(MID(TRIM('Base de Datos'!I184),4,2)),VALUE(LEFT(TRIM('Base de Datos'!I184),2))),IFERROR(DATEVALUE(TRIM('Base de Datos'!I184)),"")))),"")</f>
        <v/>
      </c>
      <c r="AG188" s="74" t="str">
        <f aca="false">IF(ISNUMBER('Base de Datos'!J184),'Base de Datos'!J184,IF(TRIM('Base de Datos'!J184)="","",IFERROR(IF(IFERROR(FIND("@",SUBSTITUTE(TRIM('Base de Datos'!J184),",","@",LEN(TRIM('Base de Datos'!J184))-LEN(SUBSTITUTE(TRIM('Base de Datos'!J184),",","")))),0)&gt;IFERROR(FIND("@",SUBSTITUTE(TRIM('Base de Datos'!J184),".","@",LEN(TRIM('Base de Datos'!J184))-LEN(SUBSTITUTE(TRIM('Base de Datos'!J184),".","")))),0),_xlfn.NUMBERVALUE(SUBSTITUTE(SUBSTITUTE(TRIM('Base de Datos'!J184),".",""),",","."),".",","),_xlfn.NUMBERVALUE(SUBSTITUTE(TRIM('Base de Datos'!J184),",",""),".",",")),"")))</f>
        <v/>
      </c>
      <c r="AH188" s="73" t="n">
        <f aca="false">IF(ISNUMBER(AI188),IF(ISNUMBER('Base de Datos'!Q184),IF('Base de Datos'!Q184&gt;20000,DATE(YEAR('Base de Datos'!Q184),DAY('Base de Datos'!Q184),MONTH('Base de Datos'!Q184)),""),IF(TRIM('Base de Datos'!Q184)="","",IFERROR(DATE(VALUE(RIGHT(TRIM('Base de Datos'!Q184),4)),VALUE(LEFT(TRIM('Base de Datos'!Q184),2)),VALUE(MID(TRIM('Base de Datos'!Q184),4,2))),""))),"")</f>
        <v>45732</v>
      </c>
      <c r="AI188" s="74" t="n">
        <f aca="false">IF(ISNUMBER('Base de Datos'!R184),'Base de Datos'!R184,IF(TRIM('Base de Datos'!R184)="","",IFERROR(IF(IFERROR(FIND("@",SUBSTITUTE(TRIM('Base de Datos'!R184),",","@",LEN(TRIM('Base de Datos'!R184))-LEN(SUBSTITUTE(TRIM('Base de Datos'!R184),",","")))),0)&gt;IFERROR(FIND("@",SUBSTITUTE(TRIM('Base de Datos'!R184),".","@",LEN(TRIM('Base de Datos'!R184))-LEN(SUBSTITUTE(TRIM('Base de Datos'!R184),".","")))),0),_xlfn.NUMBERVALUE(SUBSTITUTE(SUBSTITUTE(TRIM('Base de Datos'!R184),".",""),",","."),".",","),_xlfn.NUMBERVALUE(SUBSTITUTE(TRIM('Base de Datos'!R184),",",""),".",",")),"")))</f>
        <v>27.94</v>
      </c>
      <c r="AJ188" s="73" t="n">
        <f aca="false">IF(ISNUMBER(AK188),IF(ISNUMBER('Base de Datos'!Y184),IF('Base de Datos'!Y184&gt;20000,INT('Base de Datos'!Y184),""),IF(TRIM('Base de Datos'!Y184)="","",IFERROR(DATE(VALUE(RIGHT(TRIM('Base de Datos'!Y184),4)),VALUE(MID(TRIM('Base de Datos'!Y184),4,2)),VALUE(LEFT(TRIM('Base de Datos'!Y184),2))),IFERROR(DATEVALUE(TRIM('Base de Datos'!Y184)),"")))),"")</f>
        <v>45732</v>
      </c>
      <c r="AK188" s="74" t="n">
        <f aca="false">IF(ISNUMBER('Base de Datos'!Z184),'Base de Datos'!Z184,IF(TRIM('Base de Datos'!Z184)="","",IFERROR(IF(IFERROR(FIND("@",SUBSTITUTE(TRIM('Base de Datos'!Z184),",","@",LEN(TRIM('Base de Datos'!Z184))-LEN(SUBSTITUTE(TRIM('Base de Datos'!Z184),",","")))),0)&gt;IFERROR(FIND("@",SUBSTITUTE(TRIM('Base de Datos'!Z184),".","@",LEN(TRIM('Base de Datos'!Z184))-LEN(SUBSTITUTE(TRIM('Base de Datos'!Z184),".","")))),0),_xlfn.NUMBERVALUE(SUBSTITUTE(SUBSTITUTE(TRIM('Base de Datos'!Z184),".",""),",","."),".",","),_xlfn.NUMBERVALUE(SUBSTITUTE(TRIM('Base de Datos'!Z184),",",""),".",",")),"")))</f>
        <v>52672.42</v>
      </c>
    </row>
    <row r="189" customFormat="false" ht="13.5" hidden="false" customHeight="false" outlineLevel="0" collapsed="false">
      <c r="A189" s="75" t="n">
        <f aca="false">ROWS(A$13:A189)</f>
        <v>177</v>
      </c>
      <c r="B189" s="73" t="n">
        <f aca="false">IF(B188="","",IFERROR(SMALL($AH$10:$AH$409,COUNTIF($AH$10:$AH$409,"&lt;="&amp;B188)+1),""))</f>
        <v>45718</v>
      </c>
      <c r="C189" s="74" t="n">
        <f aca="false">IF(B189="","",INDEX($AI$10:$AI$409,MATCH(B189,$AH$10:$AH$409,0)))</f>
        <v>27</v>
      </c>
      <c r="D189" s="74" t="n">
        <f aca="false">IF(B189="","",IFERROR(INDEX($AK$10:$AK$409,MATCH(B189,$AJ$10:$AJ$409,0)),""))</f>
        <v>52839.63</v>
      </c>
      <c r="E189" s="76" t="n">
        <f aca="false">IF(AND(ISNUMBER(C189),ISNUMBER(C188)),C189/C188-1,"")</f>
        <v>-0.023508137432188</v>
      </c>
      <c r="F189" s="76" t="n">
        <f aca="false">IF(AND(ISNUMBER(D189),ISNUMBER(D188)),D189/D188-1,"")</f>
        <v>0.00982117210787115</v>
      </c>
      <c r="G189" s="75" t="n">
        <f aca="false">IF(AND(ISNUMBER(E189),ISNUMBER(F189)),1,"")</f>
        <v>1</v>
      </c>
      <c r="H189" s="75" t="n">
        <f aca="false">IF(G189=1,COUNT(G189:G$412),"")</f>
        <v>83</v>
      </c>
      <c r="I189" s="75" t="n">
        <f aca="false">IF(G189=1,IF(H189&lt;='Beta Regresión'!$B$5,1,""),"")</f>
        <v>1</v>
      </c>
      <c r="J189" s="76" t="n">
        <f aca="false">IF(I189=1,E189,"")</f>
        <v>-0.023508137432188</v>
      </c>
      <c r="K189" s="76" t="n">
        <f aca="false">IF(I189=1,F189,"")</f>
        <v>0.00982117210787115</v>
      </c>
      <c r="L189" s="75" t="n">
        <f aca="false">IF(I189=1,COUNT(I$13:I189),"")</f>
        <v>176</v>
      </c>
      <c r="M189" s="76" t="n">
        <f aca="false">IFERROR(INDEX($J$13:$J$412,MATCH(A189,$L$13:$L$412,0)),"")</f>
        <v>0.0459259259259259</v>
      </c>
      <c r="N189" s="76" t="n">
        <f aca="false">IFERROR(INDEX($K$13:$K$412,MATCH(A189,$L$13:$L$412,0)),"")</f>
        <v>-0.00672506601579148</v>
      </c>
      <c r="O189" s="76" t="n">
        <f aca="false">IF(I189=1,E189,NA())</f>
        <v>-0.023508137432188</v>
      </c>
      <c r="P189" s="76" t="n">
        <f aca="false">IF(I189=1,F189,NA())</f>
        <v>0.00982117210787115</v>
      </c>
      <c r="R189" s="75" t="n">
        <f aca="false">ROWS(R$13:R189)</f>
        <v>177</v>
      </c>
      <c r="S189" s="73" t="str">
        <f aca="false">IF(S188="","",IFERROR(SMALL($AD$10:$AD$509,COUNTIF($AD$10:$AD$509,"&lt;="&amp;S188)+1),""))</f>
        <v/>
      </c>
      <c r="T189" s="74" t="str">
        <f aca="false">IF(S189="","",INDEX($AE$10:$AE$509,MATCH(S189,$AD$10:$AD$509,0)))</f>
        <v/>
      </c>
      <c r="U189" s="74" t="str">
        <f aca="false">IF(S189="","",IFERROR(INDEX($AG$10:$AG$509,MATCH(S189,$AF$10:$AF$509,0)),""))</f>
        <v/>
      </c>
      <c r="V189" s="76" t="str">
        <f aca="false">IF(AND(ISNUMBER(T189),ISNUMBER(T188)),T189/T188-1,"")</f>
        <v/>
      </c>
      <c r="W189" s="76" t="str">
        <f aca="false">IF(AND(ISNUMBER(U189),ISNUMBER(U188)),U189/U188-1,"")</f>
        <v/>
      </c>
      <c r="X189" s="75" t="str">
        <f aca="false">IF(AND(ISNUMBER(V189),ISNUMBER(W189)),1,"")</f>
        <v/>
      </c>
      <c r="Y189" s="76" t="str">
        <f aca="false">IF(X189=1,V189,"")</f>
        <v/>
      </c>
      <c r="Z189" s="76" t="str">
        <f aca="false">IF(X189=1,W189,"")</f>
        <v/>
      </c>
      <c r="AA189" s="76" t="e">
        <f aca="false">IF(X189=1,V189,NA())</f>
        <v>#N/A</v>
      </c>
      <c r="AB189" s="76" t="e">
        <f aca="false">IF(X189=1,W189,NA())</f>
        <v>#N/A</v>
      </c>
      <c r="AD189" s="73" t="str">
        <f aca="false">IF(ISNUMBER(AE189),IF(ISNUMBER('Base de Datos'!A185),IF('Base de Datos'!A185&gt;20000,DATE(YEAR('Base de Datos'!A185),DAY('Base de Datos'!A185),MONTH('Base de Datos'!A185)),""),IF(TRIM('Base de Datos'!A185)="","",IFERROR(DATE(VALUE(RIGHT(TRIM('Base de Datos'!A185),4)),VALUE(LEFT(TRIM('Base de Datos'!A185),2)),VALUE(MID(TRIM('Base de Datos'!A185),4,2))),""))),"")</f>
        <v/>
      </c>
      <c r="AE189" s="74" t="str">
        <f aca="false">IF(ISNUMBER('Base de Datos'!B185),'Base de Datos'!B185,IF(TRIM('Base de Datos'!B185)="","",IFERROR(IF(IFERROR(FIND("@",SUBSTITUTE(TRIM('Base de Datos'!B185),",","@",LEN(TRIM('Base de Datos'!B185))-LEN(SUBSTITUTE(TRIM('Base de Datos'!B185),",","")))),0)&gt;IFERROR(FIND("@",SUBSTITUTE(TRIM('Base de Datos'!B185),".","@",LEN(TRIM('Base de Datos'!B185))-LEN(SUBSTITUTE(TRIM('Base de Datos'!B185),".","")))),0),_xlfn.NUMBERVALUE(SUBSTITUTE(SUBSTITUTE(TRIM('Base de Datos'!B185),".",""),",","."),".",","),_xlfn.NUMBERVALUE(SUBSTITUTE(TRIM('Base de Datos'!B185),",",""),".",",")),"")))</f>
        <v/>
      </c>
      <c r="AF189" s="73" t="str">
        <f aca="false">IF(ISNUMBER(AG189),IF(ISNUMBER('Base de Datos'!I185),IF('Base de Datos'!I185&gt;20000,INT('Base de Datos'!I185),""),IF(TRIM('Base de Datos'!I185)="","",IFERROR(DATE(VALUE(RIGHT(TRIM('Base de Datos'!I185),4)),VALUE(MID(TRIM('Base de Datos'!I185),4,2)),VALUE(LEFT(TRIM('Base de Datos'!I185),2))),IFERROR(DATEVALUE(TRIM('Base de Datos'!I185)),"")))),"")</f>
        <v/>
      </c>
      <c r="AG189" s="74" t="str">
        <f aca="false">IF(ISNUMBER('Base de Datos'!J185),'Base de Datos'!J185,IF(TRIM('Base de Datos'!J185)="","",IFERROR(IF(IFERROR(FIND("@",SUBSTITUTE(TRIM('Base de Datos'!J185),",","@",LEN(TRIM('Base de Datos'!J185))-LEN(SUBSTITUTE(TRIM('Base de Datos'!J185),",","")))),0)&gt;IFERROR(FIND("@",SUBSTITUTE(TRIM('Base de Datos'!J185),".","@",LEN(TRIM('Base de Datos'!J185))-LEN(SUBSTITUTE(TRIM('Base de Datos'!J185),".","")))),0),_xlfn.NUMBERVALUE(SUBSTITUTE(SUBSTITUTE(TRIM('Base de Datos'!J185),".",""),",","."),".",","),_xlfn.NUMBERVALUE(SUBSTITUTE(TRIM('Base de Datos'!J185),",",""),".",",")),"")))</f>
        <v/>
      </c>
      <c r="AH189" s="73" t="n">
        <f aca="false">IF(ISNUMBER(AI189),IF(ISNUMBER('Base de Datos'!Q185),IF('Base de Datos'!Q185&gt;20000,DATE(YEAR('Base de Datos'!Q185),DAY('Base de Datos'!Q185),MONTH('Base de Datos'!Q185)),""),IF(TRIM('Base de Datos'!Q185)="","",IFERROR(DATE(VALUE(RIGHT(TRIM('Base de Datos'!Q185),4)),VALUE(LEFT(TRIM('Base de Datos'!Q185),2)),VALUE(MID(TRIM('Base de Datos'!Q185),4,2))),""))),"")</f>
        <v>45739</v>
      </c>
      <c r="AI189" s="74" t="n">
        <f aca="false">IF(ISNUMBER('Base de Datos'!R185),'Base de Datos'!R185,IF(TRIM('Base de Datos'!R185)="","",IFERROR(IF(IFERROR(FIND("@",SUBSTITUTE(TRIM('Base de Datos'!R185),",","@",LEN(TRIM('Base de Datos'!R185))-LEN(SUBSTITUTE(TRIM('Base de Datos'!R185),",","")))),0)&gt;IFERROR(FIND("@",SUBSTITUTE(TRIM('Base de Datos'!R185),".","@",LEN(TRIM('Base de Datos'!R185))-LEN(SUBSTITUTE(TRIM('Base de Datos'!R185),".","")))),0),_xlfn.NUMBERVALUE(SUBSTITUTE(SUBSTITUTE(TRIM('Base de Datos'!R185),".",""),",","."),".",","),_xlfn.NUMBERVALUE(SUBSTITUTE(TRIM('Base de Datos'!R185),",",""),".",",")),"")))</f>
        <v>27.7</v>
      </c>
      <c r="AJ189" s="73" t="n">
        <f aca="false">IF(ISNUMBER(AK189),IF(ISNUMBER('Base de Datos'!Y185),IF('Base de Datos'!Y185&gt;20000,INT('Base de Datos'!Y185),""),IF(TRIM('Base de Datos'!Y185)="","",IFERROR(DATE(VALUE(RIGHT(TRIM('Base de Datos'!Y185),4)),VALUE(MID(TRIM('Base de Datos'!Y185),4,2)),VALUE(LEFT(TRIM('Base de Datos'!Y185),2))),IFERROR(DATEVALUE(TRIM('Base de Datos'!Y185)),"")))),"")</f>
        <v>45739</v>
      </c>
      <c r="AK189" s="74" t="n">
        <f aca="false">IF(ISNUMBER('Base de Datos'!Z185),'Base de Datos'!Z185,IF(TRIM('Base de Datos'!Z185)="","",IFERROR(IF(IFERROR(FIND("@",SUBSTITUTE(TRIM('Base de Datos'!Z185),",","@",LEN(TRIM('Base de Datos'!Z185))-LEN(SUBSTITUTE(TRIM('Base de Datos'!Z185),",","")))),0)&gt;IFERROR(FIND("@",SUBSTITUTE(TRIM('Base de Datos'!Z185),".","@",LEN(TRIM('Base de Datos'!Z185))-LEN(SUBSTITUTE(TRIM('Base de Datos'!Z185),".","")))),0),_xlfn.NUMBERVALUE(SUBSTITUTE(SUBSTITUTE(TRIM('Base de Datos'!Z185),".",""),",","."),".",","),_xlfn.NUMBERVALUE(SUBSTITUTE(TRIM('Base de Datos'!Z185),",",""),".",",")),"")))</f>
        <v>53172.97</v>
      </c>
    </row>
    <row r="190" customFormat="false" ht="13.5" hidden="false" customHeight="false" outlineLevel="0" collapsed="false">
      <c r="A190" s="75" t="n">
        <f aca="false">ROWS(A$13:A190)</f>
        <v>178</v>
      </c>
      <c r="B190" s="73" t="n">
        <f aca="false">IF(B189="","",IFERROR(SMALL($AH$10:$AH$409,COUNTIF($AH$10:$AH$409,"&lt;="&amp;B189)+1),""))</f>
        <v>45725</v>
      </c>
      <c r="C190" s="74" t="n">
        <f aca="false">IF(B190="","",INDEX($AI$10:$AI$409,MATCH(B190,$AH$10:$AH$409,0)))</f>
        <v>28.24</v>
      </c>
      <c r="D190" s="74" t="n">
        <f aca="false">IF(B190="","",IFERROR(INDEX($AK$10:$AK$409,MATCH(B190,$AJ$10:$AJ$409,0)),""))</f>
        <v>52484.28</v>
      </c>
      <c r="E190" s="76" t="n">
        <f aca="false">IF(AND(ISNUMBER(C190),ISNUMBER(C189)),C190/C189-1,"")</f>
        <v>0.0459259259259259</v>
      </c>
      <c r="F190" s="76" t="n">
        <f aca="false">IF(AND(ISNUMBER(D190),ISNUMBER(D189)),D190/D189-1,"")</f>
        <v>-0.00672506601579148</v>
      </c>
      <c r="G190" s="75" t="n">
        <f aca="false">IF(AND(ISNUMBER(E190),ISNUMBER(F190)),1,"")</f>
        <v>1</v>
      </c>
      <c r="H190" s="75" t="n">
        <f aca="false">IF(G190=1,COUNT(G190:G$412),"")</f>
        <v>82</v>
      </c>
      <c r="I190" s="75" t="n">
        <f aca="false">IF(G190=1,IF(H190&lt;='Beta Regresión'!$B$5,1,""),"")</f>
        <v>1</v>
      </c>
      <c r="J190" s="76" t="n">
        <f aca="false">IF(I190=1,E190,"")</f>
        <v>0.0459259259259259</v>
      </c>
      <c r="K190" s="76" t="n">
        <f aca="false">IF(I190=1,F190,"")</f>
        <v>-0.00672506601579148</v>
      </c>
      <c r="L190" s="75" t="n">
        <f aca="false">IF(I190=1,COUNT(I$13:I190),"")</f>
        <v>177</v>
      </c>
      <c r="M190" s="76" t="n">
        <f aca="false">IFERROR(INDEX($J$13:$J$412,MATCH(A190,$L$13:$L$412,0)),"")</f>
        <v>-0.0106232294617563</v>
      </c>
      <c r="N190" s="76" t="n">
        <f aca="false">IFERROR(INDEX($K$13:$K$412,MATCH(A190,$L$13:$L$412,0)),"")</f>
        <v>0.00358469240694537</v>
      </c>
      <c r="O190" s="76" t="n">
        <f aca="false">IF(I190=1,E190,NA())</f>
        <v>0.0459259259259259</v>
      </c>
      <c r="P190" s="76" t="n">
        <f aca="false">IF(I190=1,F190,NA())</f>
        <v>-0.00672506601579148</v>
      </c>
      <c r="R190" s="75" t="n">
        <f aca="false">ROWS(R$13:R190)</f>
        <v>178</v>
      </c>
      <c r="S190" s="73" t="str">
        <f aca="false">IF(S189="","",IFERROR(SMALL($AD$10:$AD$509,COUNTIF($AD$10:$AD$509,"&lt;="&amp;S189)+1),""))</f>
        <v/>
      </c>
      <c r="T190" s="74" t="str">
        <f aca="false">IF(S190="","",INDEX($AE$10:$AE$509,MATCH(S190,$AD$10:$AD$509,0)))</f>
        <v/>
      </c>
      <c r="U190" s="74" t="str">
        <f aca="false">IF(S190="","",IFERROR(INDEX($AG$10:$AG$509,MATCH(S190,$AF$10:$AF$509,0)),""))</f>
        <v/>
      </c>
      <c r="V190" s="76" t="str">
        <f aca="false">IF(AND(ISNUMBER(T190),ISNUMBER(T189)),T190/T189-1,"")</f>
        <v/>
      </c>
      <c r="W190" s="76" t="str">
        <f aca="false">IF(AND(ISNUMBER(U190),ISNUMBER(U189)),U190/U189-1,"")</f>
        <v/>
      </c>
      <c r="X190" s="75" t="str">
        <f aca="false">IF(AND(ISNUMBER(V190),ISNUMBER(W190)),1,"")</f>
        <v/>
      </c>
      <c r="Y190" s="76" t="str">
        <f aca="false">IF(X190=1,V190,"")</f>
        <v/>
      </c>
      <c r="Z190" s="76" t="str">
        <f aca="false">IF(X190=1,W190,"")</f>
        <v/>
      </c>
      <c r="AA190" s="76" t="e">
        <f aca="false">IF(X190=1,V190,NA())</f>
        <v>#N/A</v>
      </c>
      <c r="AB190" s="76" t="e">
        <f aca="false">IF(X190=1,W190,NA())</f>
        <v>#N/A</v>
      </c>
      <c r="AD190" s="73" t="str">
        <f aca="false">IF(ISNUMBER(AE190),IF(ISNUMBER('Base de Datos'!A186),IF('Base de Datos'!A186&gt;20000,DATE(YEAR('Base de Datos'!A186),DAY('Base de Datos'!A186),MONTH('Base de Datos'!A186)),""),IF(TRIM('Base de Datos'!A186)="","",IFERROR(DATE(VALUE(RIGHT(TRIM('Base de Datos'!A186),4)),VALUE(LEFT(TRIM('Base de Datos'!A186),2)),VALUE(MID(TRIM('Base de Datos'!A186),4,2))),""))),"")</f>
        <v/>
      </c>
      <c r="AE190" s="74" t="str">
        <f aca="false">IF(ISNUMBER('Base de Datos'!B186),'Base de Datos'!B186,IF(TRIM('Base de Datos'!B186)="","",IFERROR(IF(IFERROR(FIND("@",SUBSTITUTE(TRIM('Base de Datos'!B186),",","@",LEN(TRIM('Base de Datos'!B186))-LEN(SUBSTITUTE(TRIM('Base de Datos'!B186),",","")))),0)&gt;IFERROR(FIND("@",SUBSTITUTE(TRIM('Base de Datos'!B186),".","@",LEN(TRIM('Base de Datos'!B186))-LEN(SUBSTITUTE(TRIM('Base de Datos'!B186),".","")))),0),_xlfn.NUMBERVALUE(SUBSTITUTE(SUBSTITUTE(TRIM('Base de Datos'!B186),".",""),",","."),".",","),_xlfn.NUMBERVALUE(SUBSTITUTE(TRIM('Base de Datos'!B186),",",""),".",",")),"")))</f>
        <v/>
      </c>
      <c r="AF190" s="73" t="str">
        <f aca="false">IF(ISNUMBER(AG190),IF(ISNUMBER('Base de Datos'!I186),IF('Base de Datos'!I186&gt;20000,INT('Base de Datos'!I186),""),IF(TRIM('Base de Datos'!I186)="","",IFERROR(DATE(VALUE(RIGHT(TRIM('Base de Datos'!I186),4)),VALUE(MID(TRIM('Base de Datos'!I186),4,2)),VALUE(LEFT(TRIM('Base de Datos'!I186),2))),IFERROR(DATEVALUE(TRIM('Base de Datos'!I186)),"")))),"")</f>
        <v/>
      </c>
      <c r="AG190" s="74" t="str">
        <f aca="false">IF(ISNUMBER('Base de Datos'!J186),'Base de Datos'!J186,IF(TRIM('Base de Datos'!J186)="","",IFERROR(IF(IFERROR(FIND("@",SUBSTITUTE(TRIM('Base de Datos'!J186),",","@",LEN(TRIM('Base de Datos'!J186))-LEN(SUBSTITUTE(TRIM('Base de Datos'!J186),",","")))),0)&gt;IFERROR(FIND("@",SUBSTITUTE(TRIM('Base de Datos'!J186),".","@",LEN(TRIM('Base de Datos'!J186))-LEN(SUBSTITUTE(TRIM('Base de Datos'!J186),".","")))),0),_xlfn.NUMBERVALUE(SUBSTITUTE(SUBSTITUTE(TRIM('Base de Datos'!J186),".",""),",","."),".",","),_xlfn.NUMBERVALUE(SUBSTITUTE(TRIM('Base de Datos'!J186),",",""),".",",")),"")))</f>
        <v/>
      </c>
      <c r="AH190" s="73" t="n">
        <f aca="false">IF(ISNUMBER(AI190),IF(ISNUMBER('Base de Datos'!Q186),IF('Base de Datos'!Q186&gt;20000,DATE(YEAR('Base de Datos'!Q186),DAY('Base de Datos'!Q186),MONTH('Base de Datos'!Q186)),""),IF(TRIM('Base de Datos'!Q186)="","",IFERROR(DATE(VALUE(RIGHT(TRIM('Base de Datos'!Q186),4)),VALUE(LEFT(TRIM('Base de Datos'!Q186),2)),VALUE(MID(TRIM('Base de Datos'!Q186),4,2))),""))),"")</f>
        <v>45746</v>
      </c>
      <c r="AI190" s="74" t="n">
        <f aca="false">IF(ISNUMBER('Base de Datos'!R186),'Base de Datos'!R186,IF(TRIM('Base de Datos'!R186)="","",IFERROR(IF(IFERROR(FIND("@",SUBSTITUTE(TRIM('Base de Datos'!R186),",","@",LEN(TRIM('Base de Datos'!R186))-LEN(SUBSTITUTE(TRIM('Base de Datos'!R186),",","")))),0)&gt;IFERROR(FIND("@",SUBSTITUTE(TRIM('Base de Datos'!R186),".","@",LEN(TRIM('Base de Datos'!R186))-LEN(SUBSTITUTE(TRIM('Base de Datos'!R186),".","")))),0),_xlfn.NUMBERVALUE(SUBSTITUTE(SUBSTITUTE(TRIM('Base de Datos'!R186),".",""),",","."),".",","),_xlfn.NUMBERVALUE(SUBSTITUTE(TRIM('Base de Datos'!R186),",",""),".",",")),"")))</f>
        <v>26.49</v>
      </c>
      <c r="AJ190" s="73" t="n">
        <f aca="false">IF(ISNUMBER(AK190),IF(ISNUMBER('Base de Datos'!Y186),IF('Base de Datos'!Y186&gt;20000,INT('Base de Datos'!Y186),""),IF(TRIM('Base de Datos'!Y186)="","",IFERROR(DATE(VALUE(RIGHT(TRIM('Base de Datos'!Y186),4)),VALUE(MID(TRIM('Base de Datos'!Y186),4,2)),VALUE(LEFT(TRIM('Base de Datos'!Y186),2))),IFERROR(DATEVALUE(TRIM('Base de Datos'!Y186)),"")))),"")</f>
        <v>45746</v>
      </c>
      <c r="AK190" s="74" t="n">
        <f aca="false">IF(ISNUMBER('Base de Datos'!Z186),'Base de Datos'!Z186,IF(TRIM('Base de Datos'!Z186)="","",IFERROR(IF(IFERROR(FIND("@",SUBSTITUTE(TRIM('Base de Datos'!Z186),",","@",LEN(TRIM('Base de Datos'!Z186))-LEN(SUBSTITUTE(TRIM('Base de Datos'!Z186),",","")))),0)&gt;IFERROR(FIND("@",SUBSTITUTE(TRIM('Base de Datos'!Z186),".","@",LEN(TRIM('Base de Datos'!Z186))-LEN(SUBSTITUTE(TRIM('Base de Datos'!Z186),".","")))),0),_xlfn.NUMBERVALUE(SUBSTITUTE(SUBSTITUTE(TRIM('Base de Datos'!Z186),".",""),",","."),".",","),_xlfn.NUMBERVALUE(SUBSTITUTE(TRIM('Base de Datos'!Z186),",",""),".",",")),"")))</f>
        <v>51452.73</v>
      </c>
    </row>
    <row r="191" customFormat="false" ht="13.5" hidden="false" customHeight="false" outlineLevel="0" collapsed="false">
      <c r="A191" s="75" t="n">
        <f aca="false">ROWS(A$13:A191)</f>
        <v>179</v>
      </c>
      <c r="B191" s="73" t="n">
        <f aca="false">IF(B190="","",IFERROR(SMALL($AH$10:$AH$409,COUNTIF($AH$10:$AH$409,"&lt;="&amp;B190)+1),""))</f>
        <v>45732</v>
      </c>
      <c r="C191" s="74" t="n">
        <f aca="false">IF(B191="","",INDEX($AI$10:$AI$409,MATCH(B191,$AH$10:$AH$409,0)))</f>
        <v>27.94</v>
      </c>
      <c r="D191" s="74" t="n">
        <f aca="false">IF(B191="","",IFERROR(INDEX($AK$10:$AK$409,MATCH(B191,$AJ$10:$AJ$409,0)),""))</f>
        <v>52672.42</v>
      </c>
      <c r="E191" s="76" t="n">
        <f aca="false">IF(AND(ISNUMBER(C191),ISNUMBER(C190)),C191/C190-1,"")</f>
        <v>-0.0106232294617563</v>
      </c>
      <c r="F191" s="76" t="n">
        <f aca="false">IF(AND(ISNUMBER(D191),ISNUMBER(D190)),D191/D190-1,"")</f>
        <v>0.00358469240694537</v>
      </c>
      <c r="G191" s="75" t="n">
        <f aca="false">IF(AND(ISNUMBER(E191),ISNUMBER(F191)),1,"")</f>
        <v>1</v>
      </c>
      <c r="H191" s="75" t="n">
        <f aca="false">IF(G191=1,COUNT(G191:G$412),"")</f>
        <v>81</v>
      </c>
      <c r="I191" s="75" t="n">
        <f aca="false">IF(G191=1,IF(H191&lt;='Beta Regresión'!$B$5,1,""),"")</f>
        <v>1</v>
      </c>
      <c r="J191" s="76" t="n">
        <f aca="false">IF(I191=1,E191,"")</f>
        <v>-0.0106232294617563</v>
      </c>
      <c r="K191" s="76" t="n">
        <f aca="false">IF(I191=1,F191,"")</f>
        <v>0.00358469240694537</v>
      </c>
      <c r="L191" s="75" t="n">
        <f aca="false">IF(I191=1,COUNT(I$13:I191),"")</f>
        <v>178</v>
      </c>
      <c r="M191" s="76" t="n">
        <f aca="false">IFERROR(INDEX($J$13:$J$412,MATCH(A191,$L$13:$L$412,0)),"")</f>
        <v>-0.00858983536148894</v>
      </c>
      <c r="N191" s="76" t="n">
        <f aca="false">IFERROR(INDEX($K$13:$K$412,MATCH(A191,$L$13:$L$412,0)),"")</f>
        <v>0.00950307580323817</v>
      </c>
      <c r="O191" s="76" t="n">
        <f aca="false">IF(I191=1,E191,NA())</f>
        <v>-0.0106232294617563</v>
      </c>
      <c r="P191" s="76" t="n">
        <f aca="false">IF(I191=1,F191,NA())</f>
        <v>0.00358469240694537</v>
      </c>
      <c r="R191" s="75" t="n">
        <f aca="false">ROWS(R$13:R191)</f>
        <v>179</v>
      </c>
      <c r="S191" s="73" t="str">
        <f aca="false">IF(S190="","",IFERROR(SMALL($AD$10:$AD$509,COUNTIF($AD$10:$AD$509,"&lt;="&amp;S190)+1),""))</f>
        <v/>
      </c>
      <c r="T191" s="74" t="str">
        <f aca="false">IF(S191="","",INDEX($AE$10:$AE$509,MATCH(S191,$AD$10:$AD$509,0)))</f>
        <v/>
      </c>
      <c r="U191" s="74" t="str">
        <f aca="false">IF(S191="","",IFERROR(INDEX($AG$10:$AG$509,MATCH(S191,$AF$10:$AF$509,0)),""))</f>
        <v/>
      </c>
      <c r="V191" s="76" t="str">
        <f aca="false">IF(AND(ISNUMBER(T191),ISNUMBER(T190)),T191/T190-1,"")</f>
        <v/>
      </c>
      <c r="W191" s="76" t="str">
        <f aca="false">IF(AND(ISNUMBER(U191),ISNUMBER(U190)),U191/U190-1,"")</f>
        <v/>
      </c>
      <c r="X191" s="75" t="str">
        <f aca="false">IF(AND(ISNUMBER(V191),ISNUMBER(W191)),1,"")</f>
        <v/>
      </c>
      <c r="Y191" s="76" t="str">
        <f aca="false">IF(X191=1,V191,"")</f>
        <v/>
      </c>
      <c r="Z191" s="76" t="str">
        <f aca="false">IF(X191=1,W191,"")</f>
        <v/>
      </c>
      <c r="AA191" s="76" t="e">
        <f aca="false">IF(X191=1,V191,NA())</f>
        <v>#N/A</v>
      </c>
      <c r="AB191" s="76" t="e">
        <f aca="false">IF(X191=1,W191,NA())</f>
        <v>#N/A</v>
      </c>
      <c r="AD191" s="73" t="str">
        <f aca="false">IF(ISNUMBER(AE191),IF(ISNUMBER('Base de Datos'!A187),IF('Base de Datos'!A187&gt;20000,DATE(YEAR('Base de Datos'!A187),DAY('Base de Datos'!A187),MONTH('Base de Datos'!A187)),""),IF(TRIM('Base de Datos'!A187)="","",IFERROR(DATE(VALUE(RIGHT(TRIM('Base de Datos'!A187),4)),VALUE(LEFT(TRIM('Base de Datos'!A187),2)),VALUE(MID(TRIM('Base de Datos'!A187),4,2))),""))),"")</f>
        <v/>
      </c>
      <c r="AE191" s="74" t="str">
        <f aca="false">IF(ISNUMBER('Base de Datos'!B187),'Base de Datos'!B187,IF(TRIM('Base de Datos'!B187)="","",IFERROR(IF(IFERROR(FIND("@",SUBSTITUTE(TRIM('Base de Datos'!B187),",","@",LEN(TRIM('Base de Datos'!B187))-LEN(SUBSTITUTE(TRIM('Base de Datos'!B187),",","")))),0)&gt;IFERROR(FIND("@",SUBSTITUTE(TRIM('Base de Datos'!B187),".","@",LEN(TRIM('Base de Datos'!B187))-LEN(SUBSTITUTE(TRIM('Base de Datos'!B187),".","")))),0),_xlfn.NUMBERVALUE(SUBSTITUTE(SUBSTITUTE(TRIM('Base de Datos'!B187),".",""),",","."),".",","),_xlfn.NUMBERVALUE(SUBSTITUTE(TRIM('Base de Datos'!B187),",",""),".",",")),"")))</f>
        <v/>
      </c>
      <c r="AF191" s="73" t="str">
        <f aca="false">IF(ISNUMBER(AG191),IF(ISNUMBER('Base de Datos'!I187),IF('Base de Datos'!I187&gt;20000,INT('Base de Datos'!I187),""),IF(TRIM('Base de Datos'!I187)="","",IFERROR(DATE(VALUE(RIGHT(TRIM('Base de Datos'!I187),4)),VALUE(MID(TRIM('Base de Datos'!I187),4,2)),VALUE(LEFT(TRIM('Base de Datos'!I187),2))),IFERROR(DATEVALUE(TRIM('Base de Datos'!I187)),"")))),"")</f>
        <v/>
      </c>
      <c r="AG191" s="74" t="str">
        <f aca="false">IF(ISNUMBER('Base de Datos'!J187),'Base de Datos'!J187,IF(TRIM('Base de Datos'!J187)="","",IFERROR(IF(IFERROR(FIND("@",SUBSTITUTE(TRIM('Base de Datos'!J187),",","@",LEN(TRIM('Base de Datos'!J187))-LEN(SUBSTITUTE(TRIM('Base de Datos'!J187),",","")))),0)&gt;IFERROR(FIND("@",SUBSTITUTE(TRIM('Base de Datos'!J187),".","@",LEN(TRIM('Base de Datos'!J187))-LEN(SUBSTITUTE(TRIM('Base de Datos'!J187),".","")))),0),_xlfn.NUMBERVALUE(SUBSTITUTE(SUBSTITUTE(TRIM('Base de Datos'!J187),".",""),",","."),".",","),_xlfn.NUMBERVALUE(SUBSTITUTE(TRIM('Base de Datos'!J187),",",""),".",",")),"")))</f>
        <v/>
      </c>
      <c r="AH191" s="73" t="n">
        <f aca="false">IF(ISNUMBER(AI191),IF(ISNUMBER('Base de Datos'!Q187),IF('Base de Datos'!Q187&gt;20000,DATE(YEAR('Base de Datos'!Q187),DAY('Base de Datos'!Q187),MONTH('Base de Datos'!Q187)),""),IF(TRIM('Base de Datos'!Q187)="","",IFERROR(DATE(VALUE(RIGHT(TRIM('Base de Datos'!Q187),4)),VALUE(LEFT(TRIM('Base de Datos'!Q187),2)),VALUE(MID(TRIM('Base de Datos'!Q187),4,2))),""))),"")</f>
        <v>45753</v>
      </c>
      <c r="AI191" s="74" t="n">
        <f aca="false">IF(ISNUMBER('Base de Datos'!R187),'Base de Datos'!R187,IF(TRIM('Base de Datos'!R187)="","",IFERROR(IF(IFERROR(FIND("@",SUBSTITUTE(TRIM('Base de Datos'!R187),",","@",LEN(TRIM('Base de Datos'!R187))-LEN(SUBSTITUTE(TRIM('Base de Datos'!R187),",","")))),0)&gt;IFERROR(FIND("@",SUBSTITUTE(TRIM('Base de Datos'!R187),".","@",LEN(TRIM('Base de Datos'!R187))-LEN(SUBSTITUTE(TRIM('Base de Datos'!R187),".","")))),0),_xlfn.NUMBERVALUE(SUBSTITUTE(SUBSTITUTE(TRIM('Base de Datos'!R187),".",""),",","."),".",","),_xlfn.NUMBERVALUE(SUBSTITUTE(TRIM('Base de Datos'!R187),",",""),".",",")),"")))</f>
        <v>26.89</v>
      </c>
      <c r="AJ191" s="73" t="n">
        <f aca="false">IF(ISNUMBER(AK191),IF(ISNUMBER('Base de Datos'!Y187),IF('Base de Datos'!Y187&gt;20000,INT('Base de Datos'!Y187),""),IF(TRIM('Base de Datos'!Y187)="","",IFERROR(DATE(VALUE(RIGHT(TRIM('Base de Datos'!Y187),4)),VALUE(MID(TRIM('Base de Datos'!Y187),4,2)),VALUE(LEFT(TRIM('Base de Datos'!Y187),2))),IFERROR(DATEVALUE(TRIM('Base de Datos'!Y187)),"")))),"")</f>
        <v>45753</v>
      </c>
      <c r="AK191" s="74" t="n">
        <f aca="false">IF(ISNUMBER('Base de Datos'!Z187),'Base de Datos'!Z187,IF(TRIM('Base de Datos'!Z187)="","",IFERROR(IF(IFERROR(FIND("@",SUBSTITUTE(TRIM('Base de Datos'!Z187),",","@",LEN(TRIM('Base de Datos'!Z187))-LEN(SUBSTITUTE(TRIM('Base de Datos'!Z187),",","")))),0)&gt;IFERROR(FIND("@",SUBSTITUTE(TRIM('Base de Datos'!Z187),".","@",LEN(TRIM('Base de Datos'!Z187))-LEN(SUBSTITUTE(TRIM('Base de Datos'!Z187),".","")))),0),_xlfn.NUMBERVALUE(SUBSTITUTE(SUBSTITUTE(TRIM('Base de Datos'!Z187),".",""),",","."),".",","),_xlfn.NUMBERVALUE(SUBSTITUTE(TRIM('Base de Datos'!Z187),",",""),".",",")),"")))</f>
        <v>51498.9</v>
      </c>
    </row>
    <row r="192" customFormat="false" ht="13.5" hidden="false" customHeight="false" outlineLevel="0" collapsed="false">
      <c r="A192" s="75" t="n">
        <f aca="false">ROWS(A$13:A192)</f>
        <v>180</v>
      </c>
      <c r="B192" s="73" t="n">
        <f aca="false">IF(B191="","",IFERROR(SMALL($AH$10:$AH$409,COUNTIF($AH$10:$AH$409,"&lt;="&amp;B191)+1),""))</f>
        <v>45739</v>
      </c>
      <c r="C192" s="74" t="n">
        <f aca="false">IF(B192="","",INDEX($AI$10:$AI$409,MATCH(B192,$AH$10:$AH$409,0)))</f>
        <v>27.7</v>
      </c>
      <c r="D192" s="74" t="n">
        <f aca="false">IF(B192="","",IFERROR(INDEX($AK$10:$AK$409,MATCH(B192,$AJ$10:$AJ$409,0)),""))</f>
        <v>53172.97</v>
      </c>
      <c r="E192" s="76" t="n">
        <f aca="false">IF(AND(ISNUMBER(C192),ISNUMBER(C191)),C192/C191-1,"")</f>
        <v>-0.00858983536148894</v>
      </c>
      <c r="F192" s="76" t="n">
        <f aca="false">IF(AND(ISNUMBER(D192),ISNUMBER(D191)),D192/D191-1,"")</f>
        <v>0.00950307580323817</v>
      </c>
      <c r="G192" s="75" t="n">
        <f aca="false">IF(AND(ISNUMBER(E192),ISNUMBER(F192)),1,"")</f>
        <v>1</v>
      </c>
      <c r="H192" s="75" t="n">
        <f aca="false">IF(G192=1,COUNT(G192:G$412),"")</f>
        <v>80</v>
      </c>
      <c r="I192" s="75" t="n">
        <f aca="false">IF(G192=1,IF(H192&lt;='Beta Regresión'!$B$5,1,""),"")</f>
        <v>1</v>
      </c>
      <c r="J192" s="76" t="n">
        <f aca="false">IF(I192=1,E192,"")</f>
        <v>-0.00858983536148894</v>
      </c>
      <c r="K192" s="76" t="n">
        <f aca="false">IF(I192=1,F192,"")</f>
        <v>0.00950307580323817</v>
      </c>
      <c r="L192" s="75" t="n">
        <f aca="false">IF(I192=1,COUNT(I$13:I192),"")</f>
        <v>179</v>
      </c>
      <c r="M192" s="76" t="n">
        <f aca="false">IFERROR(INDEX($J$13:$J$412,MATCH(A192,$L$13:$L$412,0)),"")</f>
        <v>-0.0436823104693141</v>
      </c>
      <c r="N192" s="76" t="n">
        <f aca="false">IFERROR(INDEX($K$13:$K$412,MATCH(A192,$L$13:$L$412,0)),"")</f>
        <v>-0.032351775723643</v>
      </c>
      <c r="O192" s="76" t="n">
        <f aca="false">IF(I192=1,E192,NA())</f>
        <v>-0.00858983536148894</v>
      </c>
      <c r="P192" s="76" t="n">
        <f aca="false">IF(I192=1,F192,NA())</f>
        <v>0.00950307580323817</v>
      </c>
      <c r="R192" s="75" t="n">
        <f aca="false">ROWS(R$13:R192)</f>
        <v>180</v>
      </c>
      <c r="S192" s="73" t="str">
        <f aca="false">IF(S191="","",IFERROR(SMALL($AD$10:$AD$509,COUNTIF($AD$10:$AD$509,"&lt;="&amp;S191)+1),""))</f>
        <v/>
      </c>
      <c r="T192" s="74" t="str">
        <f aca="false">IF(S192="","",INDEX($AE$10:$AE$509,MATCH(S192,$AD$10:$AD$509,0)))</f>
        <v/>
      </c>
      <c r="U192" s="74" t="str">
        <f aca="false">IF(S192="","",IFERROR(INDEX($AG$10:$AG$509,MATCH(S192,$AF$10:$AF$509,0)),""))</f>
        <v/>
      </c>
      <c r="V192" s="76" t="str">
        <f aca="false">IF(AND(ISNUMBER(T192),ISNUMBER(T191)),T192/T191-1,"")</f>
        <v/>
      </c>
      <c r="W192" s="76" t="str">
        <f aca="false">IF(AND(ISNUMBER(U192),ISNUMBER(U191)),U192/U191-1,"")</f>
        <v/>
      </c>
      <c r="X192" s="75" t="str">
        <f aca="false">IF(AND(ISNUMBER(V192),ISNUMBER(W192)),1,"")</f>
        <v/>
      </c>
      <c r="Y192" s="76" t="str">
        <f aca="false">IF(X192=1,V192,"")</f>
        <v/>
      </c>
      <c r="Z192" s="76" t="str">
        <f aca="false">IF(X192=1,W192,"")</f>
        <v/>
      </c>
      <c r="AA192" s="76" t="e">
        <f aca="false">IF(X192=1,V192,NA())</f>
        <v>#N/A</v>
      </c>
      <c r="AB192" s="76" t="e">
        <f aca="false">IF(X192=1,W192,NA())</f>
        <v>#N/A</v>
      </c>
      <c r="AD192" s="73" t="str">
        <f aca="false">IF(ISNUMBER(AE192),IF(ISNUMBER('Base de Datos'!A188),IF('Base de Datos'!A188&gt;20000,DATE(YEAR('Base de Datos'!A188),DAY('Base de Datos'!A188),MONTH('Base de Datos'!A188)),""),IF(TRIM('Base de Datos'!A188)="","",IFERROR(DATE(VALUE(RIGHT(TRIM('Base de Datos'!A188),4)),VALUE(LEFT(TRIM('Base de Datos'!A188),2)),VALUE(MID(TRIM('Base de Datos'!A188),4,2))),""))),"")</f>
        <v/>
      </c>
      <c r="AE192" s="74" t="str">
        <f aca="false">IF(ISNUMBER('Base de Datos'!B188),'Base de Datos'!B188,IF(TRIM('Base de Datos'!B188)="","",IFERROR(IF(IFERROR(FIND("@",SUBSTITUTE(TRIM('Base de Datos'!B188),",","@",LEN(TRIM('Base de Datos'!B188))-LEN(SUBSTITUTE(TRIM('Base de Datos'!B188),",","")))),0)&gt;IFERROR(FIND("@",SUBSTITUTE(TRIM('Base de Datos'!B188),".","@",LEN(TRIM('Base de Datos'!B188))-LEN(SUBSTITUTE(TRIM('Base de Datos'!B188),".","")))),0),_xlfn.NUMBERVALUE(SUBSTITUTE(SUBSTITUTE(TRIM('Base de Datos'!B188),".",""),",","."),".",","),_xlfn.NUMBERVALUE(SUBSTITUTE(TRIM('Base de Datos'!B188),",",""),".",",")),"")))</f>
        <v/>
      </c>
      <c r="AF192" s="73" t="str">
        <f aca="false">IF(ISNUMBER(AG192),IF(ISNUMBER('Base de Datos'!I188),IF('Base de Datos'!I188&gt;20000,INT('Base de Datos'!I188),""),IF(TRIM('Base de Datos'!I188)="","",IFERROR(DATE(VALUE(RIGHT(TRIM('Base de Datos'!I188),4)),VALUE(MID(TRIM('Base de Datos'!I188),4,2)),VALUE(LEFT(TRIM('Base de Datos'!I188),2))),IFERROR(DATEVALUE(TRIM('Base de Datos'!I188)),"")))),"")</f>
        <v/>
      </c>
      <c r="AG192" s="74" t="str">
        <f aca="false">IF(ISNUMBER('Base de Datos'!J188),'Base de Datos'!J188,IF(TRIM('Base de Datos'!J188)="","",IFERROR(IF(IFERROR(FIND("@",SUBSTITUTE(TRIM('Base de Datos'!J188),",","@",LEN(TRIM('Base de Datos'!J188))-LEN(SUBSTITUTE(TRIM('Base de Datos'!J188),",","")))),0)&gt;IFERROR(FIND("@",SUBSTITUTE(TRIM('Base de Datos'!J188),".","@",LEN(TRIM('Base de Datos'!J188))-LEN(SUBSTITUTE(TRIM('Base de Datos'!J188),".","")))),0),_xlfn.NUMBERVALUE(SUBSTITUTE(SUBSTITUTE(TRIM('Base de Datos'!J188),".",""),",","."),".",","),_xlfn.NUMBERVALUE(SUBSTITUTE(TRIM('Base de Datos'!J188),",",""),".",",")),"")))</f>
        <v/>
      </c>
      <c r="AH192" s="73" t="n">
        <f aca="false">IF(ISNUMBER(AI192),IF(ISNUMBER('Base de Datos'!Q188),IF('Base de Datos'!Q188&gt;20000,DATE(YEAR('Base de Datos'!Q188),DAY('Base de Datos'!Q188),MONTH('Base de Datos'!Q188)),""),IF(TRIM('Base de Datos'!Q188)="","",IFERROR(DATE(VALUE(RIGHT(TRIM('Base de Datos'!Q188),4)),VALUE(LEFT(TRIM('Base de Datos'!Q188),2)),VALUE(MID(TRIM('Base de Datos'!Q188),4,2))),""))),"")</f>
        <v>45760</v>
      </c>
      <c r="AI192" s="74" t="n">
        <f aca="false">IF(ISNUMBER('Base de Datos'!R188),'Base de Datos'!R188,IF(TRIM('Base de Datos'!R188)="","",IFERROR(IF(IFERROR(FIND("@",SUBSTITUTE(TRIM('Base de Datos'!R188),",","@",LEN(TRIM('Base de Datos'!R188))-LEN(SUBSTITUTE(TRIM('Base de Datos'!R188),",","")))),0)&gt;IFERROR(FIND("@",SUBSTITUTE(TRIM('Base de Datos'!R188),".","@",LEN(TRIM('Base de Datos'!R188))-LEN(SUBSTITUTE(TRIM('Base de Datos'!R188),".","")))),0),_xlfn.NUMBERVALUE(SUBSTITUTE(SUBSTITUTE(TRIM('Base de Datos'!R188),".",""),",","."),".",","),_xlfn.NUMBERVALUE(SUBSTITUTE(TRIM('Base de Datos'!R188),",",""),".",",")),"")))</f>
        <v>26.1</v>
      </c>
      <c r="AJ192" s="73" t="n">
        <f aca="false">IF(ISNUMBER(AK192),IF(ISNUMBER('Base de Datos'!Y188),IF('Base de Datos'!Y188&gt;20000,INT('Base de Datos'!Y188),""),IF(TRIM('Base de Datos'!Y188)="","",IFERROR(DATE(VALUE(RIGHT(TRIM('Base de Datos'!Y188),4)),VALUE(MID(TRIM('Base de Datos'!Y188),4,2)),VALUE(LEFT(TRIM('Base de Datos'!Y188),2))),IFERROR(DATEVALUE(TRIM('Base de Datos'!Y188)),"")))),"")</f>
        <v>45760</v>
      </c>
      <c r="AK192" s="74" t="n">
        <f aca="false">IF(ISNUMBER('Base de Datos'!Z188),'Base de Datos'!Z188,IF(TRIM('Base de Datos'!Z188)="","",IFERROR(IF(IFERROR(FIND("@",SUBSTITUTE(TRIM('Base de Datos'!Z188),",","@",LEN(TRIM('Base de Datos'!Z188))-LEN(SUBSTITUTE(TRIM('Base de Datos'!Z188),",","")))),0)&gt;IFERROR(FIND("@",SUBSTITUTE(TRIM('Base de Datos'!Z188),".","@",LEN(TRIM('Base de Datos'!Z188))-LEN(SUBSTITUTE(TRIM('Base de Datos'!Z188),".","")))),0),_xlfn.NUMBERVALUE(SUBSTITUTE(SUBSTITUTE(TRIM('Base de Datos'!Z188),".",""),",","."),".",","),_xlfn.NUMBERVALUE(SUBSTITUTE(TRIM('Base de Datos'!Z188),",",""),".",",")),"")))</f>
        <v>53018.57</v>
      </c>
    </row>
    <row r="193" customFormat="false" ht="13.5" hidden="false" customHeight="false" outlineLevel="0" collapsed="false">
      <c r="A193" s="75" t="n">
        <f aca="false">ROWS(A$13:A193)</f>
        <v>181</v>
      </c>
      <c r="B193" s="73" t="n">
        <f aca="false">IF(B192="","",IFERROR(SMALL($AH$10:$AH$409,COUNTIF($AH$10:$AH$409,"&lt;="&amp;B192)+1),""))</f>
        <v>45746</v>
      </c>
      <c r="C193" s="74" t="n">
        <f aca="false">IF(B193="","",INDEX($AI$10:$AI$409,MATCH(B193,$AH$10:$AH$409,0)))</f>
        <v>26.49</v>
      </c>
      <c r="D193" s="74" t="n">
        <f aca="false">IF(B193="","",IFERROR(INDEX($AK$10:$AK$409,MATCH(B193,$AJ$10:$AJ$409,0)),""))</f>
        <v>51452.73</v>
      </c>
      <c r="E193" s="76" t="n">
        <f aca="false">IF(AND(ISNUMBER(C193),ISNUMBER(C192)),C193/C192-1,"")</f>
        <v>-0.0436823104693141</v>
      </c>
      <c r="F193" s="76" t="n">
        <f aca="false">IF(AND(ISNUMBER(D193),ISNUMBER(D192)),D193/D192-1,"")</f>
        <v>-0.032351775723643</v>
      </c>
      <c r="G193" s="75" t="n">
        <f aca="false">IF(AND(ISNUMBER(E193),ISNUMBER(F193)),1,"")</f>
        <v>1</v>
      </c>
      <c r="H193" s="75" t="n">
        <f aca="false">IF(G193=1,COUNT(G193:G$412),"")</f>
        <v>79</v>
      </c>
      <c r="I193" s="75" t="n">
        <f aca="false">IF(G193=1,IF(H193&lt;='Beta Regresión'!$B$5,1,""),"")</f>
        <v>1</v>
      </c>
      <c r="J193" s="76" t="n">
        <f aca="false">IF(I193=1,E193,"")</f>
        <v>-0.0436823104693141</v>
      </c>
      <c r="K193" s="76" t="n">
        <f aca="false">IF(I193=1,F193,"")</f>
        <v>-0.032351775723643</v>
      </c>
      <c r="L193" s="75" t="n">
        <f aca="false">IF(I193=1,COUNT(I$13:I193),"")</f>
        <v>180</v>
      </c>
      <c r="M193" s="76" t="n">
        <f aca="false">IFERROR(INDEX($J$13:$J$412,MATCH(A193,$L$13:$L$412,0)),"")</f>
        <v>0.0151000377500945</v>
      </c>
      <c r="N193" s="76" t="n">
        <f aca="false">IFERROR(INDEX($K$13:$K$412,MATCH(A193,$L$13:$L$412,0)),"")</f>
        <v>0.000897328479946502</v>
      </c>
      <c r="O193" s="76" t="n">
        <f aca="false">IF(I193=1,E193,NA())</f>
        <v>-0.0436823104693141</v>
      </c>
      <c r="P193" s="76" t="n">
        <f aca="false">IF(I193=1,F193,NA())</f>
        <v>-0.032351775723643</v>
      </c>
      <c r="R193" s="75" t="n">
        <f aca="false">ROWS(R$13:R193)</f>
        <v>181</v>
      </c>
      <c r="S193" s="73" t="str">
        <f aca="false">IF(S192="","",IFERROR(SMALL($AD$10:$AD$509,COUNTIF($AD$10:$AD$509,"&lt;="&amp;S192)+1),""))</f>
        <v/>
      </c>
      <c r="T193" s="74" t="str">
        <f aca="false">IF(S193="","",INDEX($AE$10:$AE$509,MATCH(S193,$AD$10:$AD$509,0)))</f>
        <v/>
      </c>
      <c r="U193" s="74" t="str">
        <f aca="false">IF(S193="","",IFERROR(INDEX($AG$10:$AG$509,MATCH(S193,$AF$10:$AF$509,0)),""))</f>
        <v/>
      </c>
      <c r="V193" s="76" t="str">
        <f aca="false">IF(AND(ISNUMBER(T193),ISNUMBER(T192)),T193/T192-1,"")</f>
        <v/>
      </c>
      <c r="W193" s="76" t="str">
        <f aca="false">IF(AND(ISNUMBER(U193),ISNUMBER(U192)),U193/U192-1,"")</f>
        <v/>
      </c>
      <c r="X193" s="75" t="str">
        <f aca="false">IF(AND(ISNUMBER(V193),ISNUMBER(W193)),1,"")</f>
        <v/>
      </c>
      <c r="Y193" s="76" t="str">
        <f aca="false">IF(X193=1,V193,"")</f>
        <v/>
      </c>
      <c r="Z193" s="76" t="str">
        <f aca="false">IF(X193=1,W193,"")</f>
        <v/>
      </c>
      <c r="AA193" s="76" t="e">
        <f aca="false">IF(X193=1,V193,NA())</f>
        <v>#N/A</v>
      </c>
      <c r="AB193" s="76" t="e">
        <f aca="false">IF(X193=1,W193,NA())</f>
        <v>#N/A</v>
      </c>
      <c r="AD193" s="73" t="str">
        <f aca="false">IF(ISNUMBER(AE193),IF(ISNUMBER('Base de Datos'!A189),IF('Base de Datos'!A189&gt;20000,DATE(YEAR('Base de Datos'!A189),DAY('Base de Datos'!A189),MONTH('Base de Datos'!A189)),""),IF(TRIM('Base de Datos'!A189)="","",IFERROR(DATE(VALUE(RIGHT(TRIM('Base de Datos'!A189),4)),VALUE(LEFT(TRIM('Base de Datos'!A189),2)),VALUE(MID(TRIM('Base de Datos'!A189),4,2))),""))),"")</f>
        <v/>
      </c>
      <c r="AE193" s="74" t="str">
        <f aca="false">IF(ISNUMBER('Base de Datos'!B189),'Base de Datos'!B189,IF(TRIM('Base de Datos'!B189)="","",IFERROR(IF(IFERROR(FIND("@",SUBSTITUTE(TRIM('Base de Datos'!B189),",","@",LEN(TRIM('Base de Datos'!B189))-LEN(SUBSTITUTE(TRIM('Base de Datos'!B189),",","")))),0)&gt;IFERROR(FIND("@",SUBSTITUTE(TRIM('Base de Datos'!B189),".","@",LEN(TRIM('Base de Datos'!B189))-LEN(SUBSTITUTE(TRIM('Base de Datos'!B189),".","")))),0),_xlfn.NUMBERVALUE(SUBSTITUTE(SUBSTITUTE(TRIM('Base de Datos'!B189),".",""),",","."),".",","),_xlfn.NUMBERVALUE(SUBSTITUTE(TRIM('Base de Datos'!B189),",",""),".",",")),"")))</f>
        <v/>
      </c>
      <c r="AF193" s="73" t="str">
        <f aca="false">IF(ISNUMBER(AG193),IF(ISNUMBER('Base de Datos'!I189),IF('Base de Datos'!I189&gt;20000,INT('Base de Datos'!I189),""),IF(TRIM('Base de Datos'!I189)="","",IFERROR(DATE(VALUE(RIGHT(TRIM('Base de Datos'!I189),4)),VALUE(MID(TRIM('Base de Datos'!I189),4,2)),VALUE(LEFT(TRIM('Base de Datos'!I189),2))),IFERROR(DATEVALUE(TRIM('Base de Datos'!I189)),"")))),"")</f>
        <v/>
      </c>
      <c r="AG193" s="74" t="str">
        <f aca="false">IF(ISNUMBER('Base de Datos'!J189),'Base de Datos'!J189,IF(TRIM('Base de Datos'!J189)="","",IFERROR(IF(IFERROR(FIND("@",SUBSTITUTE(TRIM('Base de Datos'!J189),",","@",LEN(TRIM('Base de Datos'!J189))-LEN(SUBSTITUTE(TRIM('Base de Datos'!J189),",","")))),0)&gt;IFERROR(FIND("@",SUBSTITUTE(TRIM('Base de Datos'!J189),".","@",LEN(TRIM('Base de Datos'!J189))-LEN(SUBSTITUTE(TRIM('Base de Datos'!J189),".","")))),0),_xlfn.NUMBERVALUE(SUBSTITUTE(SUBSTITUTE(TRIM('Base de Datos'!J189),".",""),",","."),".",","),_xlfn.NUMBERVALUE(SUBSTITUTE(TRIM('Base de Datos'!J189),",",""),".",",")),"")))</f>
        <v/>
      </c>
      <c r="AH193" s="73" t="n">
        <f aca="false">IF(ISNUMBER(AI193),IF(ISNUMBER('Base de Datos'!Q189),IF('Base de Datos'!Q189&gt;20000,DATE(YEAR('Base de Datos'!Q189),DAY('Base de Datos'!Q189),MONTH('Base de Datos'!Q189)),""),IF(TRIM('Base de Datos'!Q189)="","",IFERROR(DATE(VALUE(RIGHT(TRIM('Base de Datos'!Q189),4)),VALUE(LEFT(TRIM('Base de Datos'!Q189),2)),VALUE(MID(TRIM('Base de Datos'!Q189),4,2))),""))),"")</f>
        <v>45767</v>
      </c>
      <c r="AI193" s="74" t="n">
        <f aca="false">IF(ISNUMBER('Base de Datos'!R189),'Base de Datos'!R189,IF(TRIM('Base de Datos'!R189)="","",IFERROR(IF(IFERROR(FIND("@",SUBSTITUTE(TRIM('Base de Datos'!R189),",","@",LEN(TRIM('Base de Datos'!R189))-LEN(SUBSTITUTE(TRIM('Base de Datos'!R189),",","")))),0)&gt;IFERROR(FIND("@",SUBSTITUTE(TRIM('Base de Datos'!R189),".","@",LEN(TRIM('Base de Datos'!R189))-LEN(SUBSTITUTE(TRIM('Base de Datos'!R189),".","")))),0),_xlfn.NUMBERVALUE(SUBSTITUTE(SUBSTITUTE(TRIM('Base de Datos'!R189),".",""),",","."),".",","),_xlfn.NUMBERVALUE(SUBSTITUTE(TRIM('Base de Datos'!R189),",",""),".",",")),"")))</f>
        <v>25.8</v>
      </c>
      <c r="AJ193" s="73" t="n">
        <f aca="false">IF(ISNUMBER(AK193),IF(ISNUMBER('Base de Datos'!Y189),IF('Base de Datos'!Y189&gt;20000,INT('Base de Datos'!Y189),""),IF(TRIM('Base de Datos'!Y189)="","",IFERROR(DATE(VALUE(RIGHT(TRIM('Base de Datos'!Y189),4)),VALUE(MID(TRIM('Base de Datos'!Y189),4,2)),VALUE(LEFT(TRIM('Base de Datos'!Y189),2))),IFERROR(DATEVALUE(TRIM('Base de Datos'!Y189)),"")))),"")</f>
        <v>45767</v>
      </c>
      <c r="AK193" s="74" t="n">
        <f aca="false">IF(ISNUMBER('Base de Datos'!Z189),'Base de Datos'!Z189,IF(TRIM('Base de Datos'!Z189)="","",IFERROR(IF(IFERROR(FIND("@",SUBSTITUTE(TRIM('Base de Datos'!Z189),",","@",LEN(TRIM('Base de Datos'!Z189))-LEN(SUBSTITUTE(TRIM('Base de Datos'!Z189),",","")))),0)&gt;IFERROR(FIND("@",SUBSTITUTE(TRIM('Base de Datos'!Z189),".","@",LEN(TRIM('Base de Datos'!Z189))-LEN(SUBSTITUTE(TRIM('Base de Datos'!Z189),".","")))),0),_xlfn.NUMBERVALUE(SUBSTITUTE(SUBSTITUTE(TRIM('Base de Datos'!Z189),".",""),",","."),".",","),_xlfn.NUMBERVALUE(SUBSTITUTE(TRIM('Base de Datos'!Z189),",",""),".",",")),"")))</f>
        <v>56720.12</v>
      </c>
    </row>
    <row r="194" customFormat="false" ht="13.5" hidden="false" customHeight="false" outlineLevel="0" collapsed="false">
      <c r="A194" s="75" t="n">
        <f aca="false">ROWS(A$13:A194)</f>
        <v>182</v>
      </c>
      <c r="B194" s="73" t="n">
        <f aca="false">IF(B193="","",IFERROR(SMALL($AH$10:$AH$409,COUNTIF($AH$10:$AH$409,"&lt;="&amp;B193)+1),""))</f>
        <v>45753</v>
      </c>
      <c r="C194" s="74" t="n">
        <f aca="false">IF(B194="","",INDEX($AI$10:$AI$409,MATCH(B194,$AH$10:$AH$409,0)))</f>
        <v>26.89</v>
      </c>
      <c r="D194" s="74" t="n">
        <f aca="false">IF(B194="","",IFERROR(INDEX($AK$10:$AK$409,MATCH(B194,$AJ$10:$AJ$409,0)),""))</f>
        <v>51498.9</v>
      </c>
      <c r="E194" s="76" t="n">
        <f aca="false">IF(AND(ISNUMBER(C194),ISNUMBER(C193)),C194/C193-1,"")</f>
        <v>0.0151000377500945</v>
      </c>
      <c r="F194" s="76" t="n">
        <f aca="false">IF(AND(ISNUMBER(D194),ISNUMBER(D193)),D194/D193-1,"")</f>
        <v>0.000897328479946502</v>
      </c>
      <c r="G194" s="75" t="n">
        <f aca="false">IF(AND(ISNUMBER(E194),ISNUMBER(F194)),1,"")</f>
        <v>1</v>
      </c>
      <c r="H194" s="75" t="n">
        <f aca="false">IF(G194=1,COUNT(G194:G$412),"")</f>
        <v>78</v>
      </c>
      <c r="I194" s="75" t="n">
        <f aca="false">IF(G194=1,IF(H194&lt;='Beta Regresión'!$B$5,1,""),"")</f>
        <v>1</v>
      </c>
      <c r="J194" s="76" t="n">
        <f aca="false">IF(I194=1,E194,"")</f>
        <v>0.0151000377500945</v>
      </c>
      <c r="K194" s="76" t="n">
        <f aca="false">IF(I194=1,F194,"")</f>
        <v>0.000897328479946502</v>
      </c>
      <c r="L194" s="75" t="n">
        <f aca="false">IF(I194=1,COUNT(I$13:I194),"")</f>
        <v>181</v>
      </c>
      <c r="M194" s="76" t="n">
        <f aca="false">IFERROR(INDEX($J$13:$J$412,MATCH(A194,$L$13:$L$412,0)),"")</f>
        <v>-0.0293789512830048</v>
      </c>
      <c r="N194" s="76" t="n">
        <f aca="false">IFERROR(INDEX($K$13:$K$412,MATCH(A194,$L$13:$L$412,0)),"")</f>
        <v>0.0295087856245473</v>
      </c>
      <c r="O194" s="76" t="n">
        <f aca="false">IF(I194=1,E194,NA())</f>
        <v>0.0151000377500945</v>
      </c>
      <c r="P194" s="76" t="n">
        <f aca="false">IF(I194=1,F194,NA())</f>
        <v>0.000897328479946502</v>
      </c>
      <c r="R194" s="75" t="n">
        <f aca="false">ROWS(R$13:R194)</f>
        <v>182</v>
      </c>
      <c r="S194" s="73" t="str">
        <f aca="false">IF(S193="","",IFERROR(SMALL($AD$10:$AD$509,COUNTIF($AD$10:$AD$509,"&lt;="&amp;S193)+1),""))</f>
        <v/>
      </c>
      <c r="T194" s="74" t="str">
        <f aca="false">IF(S194="","",INDEX($AE$10:$AE$509,MATCH(S194,$AD$10:$AD$509,0)))</f>
        <v/>
      </c>
      <c r="U194" s="74" t="str">
        <f aca="false">IF(S194="","",IFERROR(INDEX($AG$10:$AG$509,MATCH(S194,$AF$10:$AF$509,0)),""))</f>
        <v/>
      </c>
      <c r="V194" s="76" t="str">
        <f aca="false">IF(AND(ISNUMBER(T194),ISNUMBER(T193)),T194/T193-1,"")</f>
        <v/>
      </c>
      <c r="W194" s="76" t="str">
        <f aca="false">IF(AND(ISNUMBER(U194),ISNUMBER(U193)),U194/U193-1,"")</f>
        <v/>
      </c>
      <c r="X194" s="75" t="str">
        <f aca="false">IF(AND(ISNUMBER(V194),ISNUMBER(W194)),1,"")</f>
        <v/>
      </c>
      <c r="Y194" s="76" t="str">
        <f aca="false">IF(X194=1,V194,"")</f>
        <v/>
      </c>
      <c r="Z194" s="76" t="str">
        <f aca="false">IF(X194=1,W194,"")</f>
        <v/>
      </c>
      <c r="AA194" s="76" t="e">
        <f aca="false">IF(X194=1,V194,NA())</f>
        <v>#N/A</v>
      </c>
      <c r="AB194" s="76" t="e">
        <f aca="false">IF(X194=1,W194,NA())</f>
        <v>#N/A</v>
      </c>
      <c r="AD194" s="73" t="str">
        <f aca="false">IF(ISNUMBER(AE194),IF(ISNUMBER('Base de Datos'!A190),IF('Base de Datos'!A190&gt;20000,DATE(YEAR('Base de Datos'!A190),DAY('Base de Datos'!A190),MONTH('Base de Datos'!A190)),""),IF(TRIM('Base de Datos'!A190)="","",IFERROR(DATE(VALUE(RIGHT(TRIM('Base de Datos'!A190),4)),VALUE(LEFT(TRIM('Base de Datos'!A190),2)),VALUE(MID(TRIM('Base de Datos'!A190),4,2))),""))),"")</f>
        <v/>
      </c>
      <c r="AE194" s="74" t="str">
        <f aca="false">IF(ISNUMBER('Base de Datos'!B190),'Base de Datos'!B190,IF(TRIM('Base de Datos'!B190)="","",IFERROR(IF(IFERROR(FIND("@",SUBSTITUTE(TRIM('Base de Datos'!B190),",","@",LEN(TRIM('Base de Datos'!B190))-LEN(SUBSTITUTE(TRIM('Base de Datos'!B190),",","")))),0)&gt;IFERROR(FIND("@",SUBSTITUTE(TRIM('Base de Datos'!B190),".","@",LEN(TRIM('Base de Datos'!B190))-LEN(SUBSTITUTE(TRIM('Base de Datos'!B190),".","")))),0),_xlfn.NUMBERVALUE(SUBSTITUTE(SUBSTITUTE(TRIM('Base de Datos'!B190),".",""),",","."),".",","),_xlfn.NUMBERVALUE(SUBSTITUTE(TRIM('Base de Datos'!B190),",",""),".",",")),"")))</f>
        <v/>
      </c>
      <c r="AF194" s="73" t="str">
        <f aca="false">IF(ISNUMBER(AG194),IF(ISNUMBER('Base de Datos'!I190),IF('Base de Datos'!I190&gt;20000,INT('Base de Datos'!I190),""),IF(TRIM('Base de Datos'!I190)="","",IFERROR(DATE(VALUE(RIGHT(TRIM('Base de Datos'!I190),4)),VALUE(MID(TRIM('Base de Datos'!I190),4,2)),VALUE(LEFT(TRIM('Base de Datos'!I190),2))),IFERROR(DATEVALUE(TRIM('Base de Datos'!I190)),"")))),"")</f>
        <v/>
      </c>
      <c r="AG194" s="74" t="str">
        <f aca="false">IF(ISNUMBER('Base de Datos'!J190),'Base de Datos'!J190,IF(TRIM('Base de Datos'!J190)="","",IFERROR(IF(IFERROR(FIND("@",SUBSTITUTE(TRIM('Base de Datos'!J190),",","@",LEN(TRIM('Base de Datos'!J190))-LEN(SUBSTITUTE(TRIM('Base de Datos'!J190),",","")))),0)&gt;IFERROR(FIND("@",SUBSTITUTE(TRIM('Base de Datos'!J190),".","@",LEN(TRIM('Base de Datos'!J190))-LEN(SUBSTITUTE(TRIM('Base de Datos'!J190),".","")))),0),_xlfn.NUMBERVALUE(SUBSTITUTE(SUBSTITUTE(TRIM('Base de Datos'!J190),".",""),",","."),".",","),_xlfn.NUMBERVALUE(SUBSTITUTE(TRIM('Base de Datos'!J190),",",""),".",",")),"")))</f>
        <v/>
      </c>
      <c r="AH194" s="73" t="n">
        <f aca="false">IF(ISNUMBER(AI194),IF(ISNUMBER('Base de Datos'!Q190),IF('Base de Datos'!Q190&gt;20000,DATE(YEAR('Base de Datos'!Q190),DAY('Base de Datos'!Q190),MONTH('Base de Datos'!Q190)),""),IF(TRIM('Base de Datos'!Q190)="","",IFERROR(DATE(VALUE(RIGHT(TRIM('Base de Datos'!Q190),4)),VALUE(LEFT(TRIM('Base de Datos'!Q190),2)),VALUE(MID(TRIM('Base de Datos'!Q190),4,2))),""))),"")</f>
        <v>45774</v>
      </c>
      <c r="AI194" s="74" t="n">
        <f aca="false">IF(ISNUMBER('Base de Datos'!R190),'Base de Datos'!R190,IF(TRIM('Base de Datos'!R190)="","",IFERROR(IF(IFERROR(FIND("@",SUBSTITUTE(TRIM('Base de Datos'!R190),",","@",LEN(TRIM('Base de Datos'!R190))-LEN(SUBSTITUTE(TRIM('Base de Datos'!R190),",","")))),0)&gt;IFERROR(FIND("@",SUBSTITUTE(TRIM('Base de Datos'!R190),".","@",LEN(TRIM('Base de Datos'!R190))-LEN(SUBSTITUTE(TRIM('Base de Datos'!R190),".","")))),0),_xlfn.NUMBERVALUE(SUBSTITUTE(SUBSTITUTE(TRIM('Base de Datos'!R190),".",""),",","."),".",","),_xlfn.NUMBERVALUE(SUBSTITUTE(TRIM('Base de Datos'!R190),",",""),".",",")),"")))</f>
        <v>26.93</v>
      </c>
      <c r="AJ194" s="73" t="n">
        <f aca="false">IF(ISNUMBER(AK194),IF(ISNUMBER('Base de Datos'!Y190),IF('Base de Datos'!Y190&gt;20000,INT('Base de Datos'!Y190),""),IF(TRIM('Base de Datos'!Y190)="","",IFERROR(DATE(VALUE(RIGHT(TRIM('Base de Datos'!Y190),4)),VALUE(MID(TRIM('Base de Datos'!Y190),4,2)),VALUE(LEFT(TRIM('Base de Datos'!Y190),2))),IFERROR(DATEVALUE(TRIM('Base de Datos'!Y190)),"")))),"")</f>
        <v>45774</v>
      </c>
      <c r="AK194" s="74" t="n">
        <f aca="false">IF(ISNUMBER('Base de Datos'!Z190),'Base de Datos'!Z190,IF(TRIM('Base de Datos'!Z190)="","",IFERROR(IF(IFERROR(FIND("@",SUBSTITUTE(TRIM('Base de Datos'!Z190),",","@",LEN(TRIM('Base de Datos'!Z190))-LEN(SUBSTITUTE(TRIM('Base de Datos'!Z190),",","")))),0)&gt;IFERROR(FIND("@",SUBSTITUTE(TRIM('Base de Datos'!Z190),".","@",LEN(TRIM('Base de Datos'!Z190))-LEN(SUBSTITUTE(TRIM('Base de Datos'!Z190),".","")))),0),_xlfn.NUMBERVALUE(SUBSTITUTE(SUBSTITUTE(TRIM('Base de Datos'!Z190),".",""),",","."),".",","),_xlfn.NUMBERVALUE(SUBSTITUTE(TRIM('Base de Datos'!Z190),",",""),".",",")),"")))</f>
        <v>55811.99</v>
      </c>
    </row>
    <row r="195" customFormat="false" ht="13.5" hidden="false" customHeight="false" outlineLevel="0" collapsed="false">
      <c r="A195" s="75" t="n">
        <f aca="false">ROWS(A$13:A195)</f>
        <v>183</v>
      </c>
      <c r="B195" s="73" t="n">
        <f aca="false">IF(B194="","",IFERROR(SMALL($AH$10:$AH$409,COUNTIF($AH$10:$AH$409,"&lt;="&amp;B194)+1),""))</f>
        <v>45760</v>
      </c>
      <c r="C195" s="74" t="n">
        <f aca="false">IF(B195="","",INDEX($AI$10:$AI$409,MATCH(B195,$AH$10:$AH$409,0)))</f>
        <v>26.1</v>
      </c>
      <c r="D195" s="74" t="n">
        <f aca="false">IF(B195="","",IFERROR(INDEX($AK$10:$AK$409,MATCH(B195,$AJ$10:$AJ$409,0)),""))</f>
        <v>53018.57</v>
      </c>
      <c r="E195" s="76" t="n">
        <f aca="false">IF(AND(ISNUMBER(C195),ISNUMBER(C194)),C195/C194-1,"")</f>
        <v>-0.0293789512830048</v>
      </c>
      <c r="F195" s="76" t="n">
        <f aca="false">IF(AND(ISNUMBER(D195),ISNUMBER(D194)),D195/D194-1,"")</f>
        <v>0.0295087856245473</v>
      </c>
      <c r="G195" s="75" t="n">
        <f aca="false">IF(AND(ISNUMBER(E195),ISNUMBER(F195)),1,"")</f>
        <v>1</v>
      </c>
      <c r="H195" s="75" t="n">
        <f aca="false">IF(G195=1,COUNT(G195:G$412),"")</f>
        <v>77</v>
      </c>
      <c r="I195" s="75" t="n">
        <f aca="false">IF(G195=1,IF(H195&lt;='Beta Regresión'!$B$5,1,""),"")</f>
        <v>1</v>
      </c>
      <c r="J195" s="76" t="n">
        <f aca="false">IF(I195=1,E195,"")</f>
        <v>-0.0293789512830048</v>
      </c>
      <c r="K195" s="76" t="n">
        <f aca="false">IF(I195=1,F195,"")</f>
        <v>0.0295087856245473</v>
      </c>
      <c r="L195" s="75" t="n">
        <f aca="false">IF(I195=1,COUNT(I$13:I195),"")</f>
        <v>182</v>
      </c>
      <c r="M195" s="76" t="n">
        <f aca="false">IFERROR(INDEX($J$13:$J$412,MATCH(A195,$L$13:$L$412,0)),"")</f>
        <v>-0.0114942528735632</v>
      </c>
      <c r="N195" s="76" t="n">
        <f aca="false">IFERROR(INDEX($K$13:$K$412,MATCH(A195,$L$13:$L$412,0)),"")</f>
        <v>0.0698161040556169</v>
      </c>
      <c r="O195" s="76" t="n">
        <f aca="false">IF(I195=1,E195,NA())</f>
        <v>-0.0293789512830048</v>
      </c>
      <c r="P195" s="76" t="n">
        <f aca="false">IF(I195=1,F195,NA())</f>
        <v>0.0295087856245473</v>
      </c>
      <c r="R195" s="75" t="n">
        <f aca="false">ROWS(R$13:R195)</f>
        <v>183</v>
      </c>
      <c r="S195" s="73" t="str">
        <f aca="false">IF(S194="","",IFERROR(SMALL($AD$10:$AD$509,COUNTIF($AD$10:$AD$509,"&lt;="&amp;S194)+1),""))</f>
        <v/>
      </c>
      <c r="T195" s="74" t="str">
        <f aca="false">IF(S195="","",INDEX($AE$10:$AE$509,MATCH(S195,$AD$10:$AD$509,0)))</f>
        <v/>
      </c>
      <c r="U195" s="74" t="str">
        <f aca="false">IF(S195="","",IFERROR(INDEX($AG$10:$AG$509,MATCH(S195,$AF$10:$AF$509,0)),""))</f>
        <v/>
      </c>
      <c r="V195" s="76" t="str">
        <f aca="false">IF(AND(ISNUMBER(T195),ISNUMBER(T194)),T195/T194-1,"")</f>
        <v/>
      </c>
      <c r="W195" s="76" t="str">
        <f aca="false">IF(AND(ISNUMBER(U195),ISNUMBER(U194)),U195/U194-1,"")</f>
        <v/>
      </c>
      <c r="X195" s="75" t="str">
        <f aca="false">IF(AND(ISNUMBER(V195),ISNUMBER(W195)),1,"")</f>
        <v/>
      </c>
      <c r="Y195" s="76" t="str">
        <f aca="false">IF(X195=1,V195,"")</f>
        <v/>
      </c>
      <c r="Z195" s="76" t="str">
        <f aca="false">IF(X195=1,W195,"")</f>
        <v/>
      </c>
      <c r="AA195" s="76" t="e">
        <f aca="false">IF(X195=1,V195,NA())</f>
        <v>#N/A</v>
      </c>
      <c r="AB195" s="76" t="e">
        <f aca="false">IF(X195=1,W195,NA())</f>
        <v>#N/A</v>
      </c>
      <c r="AD195" s="73" t="str">
        <f aca="false">IF(ISNUMBER(AE195),IF(ISNUMBER('Base de Datos'!A191),IF('Base de Datos'!A191&gt;20000,DATE(YEAR('Base de Datos'!A191),DAY('Base de Datos'!A191),MONTH('Base de Datos'!A191)),""),IF(TRIM('Base de Datos'!A191)="","",IFERROR(DATE(VALUE(RIGHT(TRIM('Base de Datos'!A191),4)),VALUE(LEFT(TRIM('Base de Datos'!A191),2)),VALUE(MID(TRIM('Base de Datos'!A191),4,2))),""))),"")</f>
        <v/>
      </c>
      <c r="AE195" s="74" t="str">
        <f aca="false">IF(ISNUMBER('Base de Datos'!B191),'Base de Datos'!B191,IF(TRIM('Base de Datos'!B191)="","",IFERROR(IF(IFERROR(FIND("@",SUBSTITUTE(TRIM('Base de Datos'!B191),",","@",LEN(TRIM('Base de Datos'!B191))-LEN(SUBSTITUTE(TRIM('Base de Datos'!B191),",","")))),0)&gt;IFERROR(FIND("@",SUBSTITUTE(TRIM('Base de Datos'!B191),".","@",LEN(TRIM('Base de Datos'!B191))-LEN(SUBSTITUTE(TRIM('Base de Datos'!B191),".","")))),0),_xlfn.NUMBERVALUE(SUBSTITUTE(SUBSTITUTE(TRIM('Base de Datos'!B191),".",""),",","."),".",","),_xlfn.NUMBERVALUE(SUBSTITUTE(TRIM('Base de Datos'!B191),",",""),".",",")),"")))</f>
        <v/>
      </c>
      <c r="AF195" s="73" t="str">
        <f aca="false">IF(ISNUMBER(AG195),IF(ISNUMBER('Base de Datos'!I191),IF('Base de Datos'!I191&gt;20000,INT('Base de Datos'!I191),""),IF(TRIM('Base de Datos'!I191)="","",IFERROR(DATE(VALUE(RIGHT(TRIM('Base de Datos'!I191),4)),VALUE(MID(TRIM('Base de Datos'!I191),4,2)),VALUE(LEFT(TRIM('Base de Datos'!I191),2))),IFERROR(DATEVALUE(TRIM('Base de Datos'!I191)),"")))),"")</f>
        <v/>
      </c>
      <c r="AG195" s="74" t="str">
        <f aca="false">IF(ISNUMBER('Base de Datos'!J191),'Base de Datos'!J191,IF(TRIM('Base de Datos'!J191)="","",IFERROR(IF(IFERROR(FIND("@",SUBSTITUTE(TRIM('Base de Datos'!J191),",","@",LEN(TRIM('Base de Datos'!J191))-LEN(SUBSTITUTE(TRIM('Base de Datos'!J191),",","")))),0)&gt;IFERROR(FIND("@",SUBSTITUTE(TRIM('Base de Datos'!J191),".","@",LEN(TRIM('Base de Datos'!J191))-LEN(SUBSTITUTE(TRIM('Base de Datos'!J191),".","")))),0),_xlfn.NUMBERVALUE(SUBSTITUTE(SUBSTITUTE(TRIM('Base de Datos'!J191),".",""),",","."),".",","),_xlfn.NUMBERVALUE(SUBSTITUTE(TRIM('Base de Datos'!J191),",",""),".",",")),"")))</f>
        <v/>
      </c>
      <c r="AH195" s="73" t="n">
        <f aca="false">IF(ISNUMBER(AI195),IF(ISNUMBER('Base de Datos'!Q191),IF('Base de Datos'!Q191&gt;20000,DATE(YEAR('Base de Datos'!Q191),DAY('Base de Datos'!Q191),MONTH('Base de Datos'!Q191)),""),IF(TRIM('Base de Datos'!Q191)="","",IFERROR(DATE(VALUE(RIGHT(TRIM('Base de Datos'!Q191),4)),VALUE(LEFT(TRIM('Base de Datos'!Q191),2)),VALUE(MID(TRIM('Base de Datos'!Q191),4,2))),""))),"")</f>
        <v>45781</v>
      </c>
      <c r="AI195" s="74" t="n">
        <f aca="false">IF(ISNUMBER('Base de Datos'!R191),'Base de Datos'!R191,IF(TRIM('Base de Datos'!R191)="","",IFERROR(IF(IFERROR(FIND("@",SUBSTITUTE(TRIM('Base de Datos'!R191),",","@",LEN(TRIM('Base de Datos'!R191))-LEN(SUBSTITUTE(TRIM('Base de Datos'!R191),",","")))),0)&gt;IFERROR(FIND("@",SUBSTITUTE(TRIM('Base de Datos'!R191),".","@",LEN(TRIM('Base de Datos'!R191))-LEN(SUBSTITUTE(TRIM('Base de Datos'!R191),".","")))),0),_xlfn.NUMBERVALUE(SUBSTITUTE(SUBSTITUTE(TRIM('Base de Datos'!R191),".",""),",","."),".",","),_xlfn.NUMBERVALUE(SUBSTITUTE(TRIM('Base de Datos'!R191),",",""),".",",")),"")))</f>
        <v>27.84</v>
      </c>
      <c r="AJ195" s="73" t="n">
        <f aca="false">IF(ISNUMBER(AK195),IF(ISNUMBER('Base de Datos'!Y191),IF('Base de Datos'!Y191&gt;20000,INT('Base de Datos'!Y191),""),IF(TRIM('Base de Datos'!Y191)="","",IFERROR(DATE(VALUE(RIGHT(TRIM('Base de Datos'!Y191),4)),VALUE(MID(TRIM('Base de Datos'!Y191),4,2)),VALUE(LEFT(TRIM('Base de Datos'!Y191),2))),IFERROR(DATEVALUE(TRIM('Base de Datos'!Y191)),"")))),"")</f>
        <v>45781</v>
      </c>
      <c r="AK195" s="74" t="n">
        <f aca="false">IF(ISNUMBER('Base de Datos'!Z191),'Base de Datos'!Z191,IF(TRIM('Base de Datos'!Z191)="","",IFERROR(IF(IFERROR(FIND("@",SUBSTITUTE(TRIM('Base de Datos'!Z191),",","@",LEN(TRIM('Base de Datos'!Z191))-LEN(SUBSTITUTE(TRIM('Base de Datos'!Z191),",","")))),0)&gt;IFERROR(FIND("@",SUBSTITUTE(TRIM('Base de Datos'!Z191),".","@",LEN(TRIM('Base de Datos'!Z191))-LEN(SUBSTITUTE(TRIM('Base de Datos'!Z191),".","")))),0),_xlfn.NUMBERVALUE(SUBSTITUTE(SUBSTITUTE(TRIM('Base de Datos'!Z191),".",""),",","."),".",","),_xlfn.NUMBERVALUE(SUBSTITUTE(TRIM('Base de Datos'!Z191),",",""),".",",")),"")))</f>
        <v>56551.18</v>
      </c>
    </row>
    <row r="196" customFormat="false" ht="13.5" hidden="false" customHeight="false" outlineLevel="0" collapsed="false">
      <c r="A196" s="75" t="n">
        <f aca="false">ROWS(A$13:A196)</f>
        <v>184</v>
      </c>
      <c r="B196" s="73" t="n">
        <f aca="false">IF(B195="","",IFERROR(SMALL($AH$10:$AH$409,COUNTIF($AH$10:$AH$409,"&lt;="&amp;B195)+1),""))</f>
        <v>45767</v>
      </c>
      <c r="C196" s="74" t="n">
        <f aca="false">IF(B196="","",INDEX($AI$10:$AI$409,MATCH(B196,$AH$10:$AH$409,0)))</f>
        <v>25.8</v>
      </c>
      <c r="D196" s="74" t="n">
        <f aca="false">IF(B196="","",IFERROR(INDEX($AK$10:$AK$409,MATCH(B196,$AJ$10:$AJ$409,0)),""))</f>
        <v>56720.12</v>
      </c>
      <c r="E196" s="76" t="n">
        <f aca="false">IF(AND(ISNUMBER(C196),ISNUMBER(C195)),C196/C195-1,"")</f>
        <v>-0.0114942528735632</v>
      </c>
      <c r="F196" s="76" t="n">
        <f aca="false">IF(AND(ISNUMBER(D196),ISNUMBER(D195)),D196/D195-1,"")</f>
        <v>0.0698161040556169</v>
      </c>
      <c r="G196" s="75" t="n">
        <f aca="false">IF(AND(ISNUMBER(E196),ISNUMBER(F196)),1,"")</f>
        <v>1</v>
      </c>
      <c r="H196" s="75" t="n">
        <f aca="false">IF(G196=1,COUNT(G196:G$412),"")</f>
        <v>76</v>
      </c>
      <c r="I196" s="75" t="n">
        <f aca="false">IF(G196=1,IF(H196&lt;='Beta Regresión'!$B$5,1,""),"")</f>
        <v>1</v>
      </c>
      <c r="J196" s="76" t="n">
        <f aca="false">IF(I196=1,E196,"")</f>
        <v>-0.0114942528735632</v>
      </c>
      <c r="K196" s="76" t="n">
        <f aca="false">IF(I196=1,F196,"")</f>
        <v>0.0698161040556169</v>
      </c>
      <c r="L196" s="75" t="n">
        <f aca="false">IF(I196=1,COUNT(I$13:I196),"")</f>
        <v>183</v>
      </c>
      <c r="M196" s="76" t="n">
        <f aca="false">IFERROR(INDEX($J$13:$J$412,MATCH(A196,$L$13:$L$412,0)),"")</f>
        <v>0.0437984496124031</v>
      </c>
      <c r="N196" s="76" t="n">
        <f aca="false">IFERROR(INDEX($K$13:$K$412,MATCH(A196,$L$13:$L$412,0)),"")</f>
        <v>-0.0160107207107462</v>
      </c>
      <c r="O196" s="76" t="n">
        <f aca="false">IF(I196=1,E196,NA())</f>
        <v>-0.0114942528735632</v>
      </c>
      <c r="P196" s="76" t="n">
        <f aca="false">IF(I196=1,F196,NA())</f>
        <v>0.0698161040556169</v>
      </c>
      <c r="R196" s="75" t="n">
        <f aca="false">ROWS(R$13:R196)</f>
        <v>184</v>
      </c>
      <c r="S196" s="73" t="str">
        <f aca="false">IF(S195="","",IFERROR(SMALL($AD$10:$AD$509,COUNTIF($AD$10:$AD$509,"&lt;="&amp;S195)+1),""))</f>
        <v/>
      </c>
      <c r="T196" s="74" t="str">
        <f aca="false">IF(S196="","",INDEX($AE$10:$AE$509,MATCH(S196,$AD$10:$AD$509,0)))</f>
        <v/>
      </c>
      <c r="U196" s="74" t="str">
        <f aca="false">IF(S196="","",IFERROR(INDEX($AG$10:$AG$509,MATCH(S196,$AF$10:$AF$509,0)),""))</f>
        <v/>
      </c>
      <c r="V196" s="76" t="str">
        <f aca="false">IF(AND(ISNUMBER(T196),ISNUMBER(T195)),T196/T195-1,"")</f>
        <v/>
      </c>
      <c r="W196" s="76" t="str">
        <f aca="false">IF(AND(ISNUMBER(U196),ISNUMBER(U195)),U196/U195-1,"")</f>
        <v/>
      </c>
      <c r="X196" s="75" t="str">
        <f aca="false">IF(AND(ISNUMBER(V196),ISNUMBER(W196)),1,"")</f>
        <v/>
      </c>
      <c r="Y196" s="76" t="str">
        <f aca="false">IF(X196=1,V196,"")</f>
        <v/>
      </c>
      <c r="Z196" s="76" t="str">
        <f aca="false">IF(X196=1,W196,"")</f>
        <v/>
      </c>
      <c r="AA196" s="76" t="e">
        <f aca="false">IF(X196=1,V196,NA())</f>
        <v>#N/A</v>
      </c>
      <c r="AB196" s="76" t="e">
        <f aca="false">IF(X196=1,W196,NA())</f>
        <v>#N/A</v>
      </c>
      <c r="AD196" s="73" t="str">
        <f aca="false">IF(ISNUMBER(AE196),IF(ISNUMBER('Base de Datos'!A192),IF('Base de Datos'!A192&gt;20000,DATE(YEAR('Base de Datos'!A192),DAY('Base de Datos'!A192),MONTH('Base de Datos'!A192)),""),IF(TRIM('Base de Datos'!A192)="","",IFERROR(DATE(VALUE(RIGHT(TRIM('Base de Datos'!A192),4)),VALUE(LEFT(TRIM('Base de Datos'!A192),2)),VALUE(MID(TRIM('Base de Datos'!A192),4,2))),""))),"")</f>
        <v/>
      </c>
      <c r="AE196" s="74" t="str">
        <f aca="false">IF(ISNUMBER('Base de Datos'!B192),'Base de Datos'!B192,IF(TRIM('Base de Datos'!B192)="","",IFERROR(IF(IFERROR(FIND("@",SUBSTITUTE(TRIM('Base de Datos'!B192),",","@",LEN(TRIM('Base de Datos'!B192))-LEN(SUBSTITUTE(TRIM('Base de Datos'!B192),",","")))),0)&gt;IFERROR(FIND("@",SUBSTITUTE(TRIM('Base de Datos'!B192),".","@",LEN(TRIM('Base de Datos'!B192))-LEN(SUBSTITUTE(TRIM('Base de Datos'!B192),".","")))),0),_xlfn.NUMBERVALUE(SUBSTITUTE(SUBSTITUTE(TRIM('Base de Datos'!B192),".",""),",","."),".",","),_xlfn.NUMBERVALUE(SUBSTITUTE(TRIM('Base de Datos'!B192),",",""),".",",")),"")))</f>
        <v/>
      </c>
      <c r="AF196" s="73" t="str">
        <f aca="false">IF(ISNUMBER(AG196),IF(ISNUMBER('Base de Datos'!I192),IF('Base de Datos'!I192&gt;20000,INT('Base de Datos'!I192),""),IF(TRIM('Base de Datos'!I192)="","",IFERROR(DATE(VALUE(RIGHT(TRIM('Base de Datos'!I192),4)),VALUE(MID(TRIM('Base de Datos'!I192),4,2)),VALUE(LEFT(TRIM('Base de Datos'!I192),2))),IFERROR(DATEVALUE(TRIM('Base de Datos'!I192)),"")))),"")</f>
        <v/>
      </c>
      <c r="AG196" s="74" t="str">
        <f aca="false">IF(ISNUMBER('Base de Datos'!J192),'Base de Datos'!J192,IF(TRIM('Base de Datos'!J192)="","",IFERROR(IF(IFERROR(FIND("@",SUBSTITUTE(TRIM('Base de Datos'!J192),",","@",LEN(TRIM('Base de Datos'!J192))-LEN(SUBSTITUTE(TRIM('Base de Datos'!J192),",","")))),0)&gt;IFERROR(FIND("@",SUBSTITUTE(TRIM('Base de Datos'!J192),".","@",LEN(TRIM('Base de Datos'!J192))-LEN(SUBSTITUTE(TRIM('Base de Datos'!J192),".","")))),0),_xlfn.NUMBERVALUE(SUBSTITUTE(SUBSTITUTE(TRIM('Base de Datos'!J192),".",""),",","."),".",","),_xlfn.NUMBERVALUE(SUBSTITUTE(TRIM('Base de Datos'!J192),",",""),".",",")),"")))</f>
        <v/>
      </c>
      <c r="AH196" s="73" t="n">
        <f aca="false">IF(ISNUMBER(AI196),IF(ISNUMBER('Base de Datos'!Q192),IF('Base de Datos'!Q192&gt;20000,DATE(YEAR('Base de Datos'!Q192),DAY('Base de Datos'!Q192),MONTH('Base de Datos'!Q192)),""),IF(TRIM('Base de Datos'!Q192)="","",IFERROR(DATE(VALUE(RIGHT(TRIM('Base de Datos'!Q192),4)),VALUE(LEFT(TRIM('Base de Datos'!Q192),2)),VALUE(MID(TRIM('Base de Datos'!Q192),4,2))),""))),"")</f>
        <v>45788</v>
      </c>
      <c r="AI196" s="74" t="n">
        <f aca="false">IF(ISNUMBER('Base de Datos'!R192),'Base de Datos'!R192,IF(TRIM('Base de Datos'!R192)="","",IFERROR(IF(IFERROR(FIND("@",SUBSTITUTE(TRIM('Base de Datos'!R192),",","@",LEN(TRIM('Base de Datos'!R192))-LEN(SUBSTITUTE(TRIM('Base de Datos'!R192),",","")))),0)&gt;IFERROR(FIND("@",SUBSTITUTE(TRIM('Base de Datos'!R192),".","@",LEN(TRIM('Base de Datos'!R192))-LEN(SUBSTITUTE(TRIM('Base de Datos'!R192),".","")))),0),_xlfn.NUMBERVALUE(SUBSTITUTE(SUBSTITUTE(TRIM('Base de Datos'!R192),".",""),",","."),".",","),_xlfn.NUMBERVALUE(SUBSTITUTE(TRIM('Base de Datos'!R192),",",""),".",",")),"")))</f>
        <v>28</v>
      </c>
      <c r="AJ196" s="73" t="n">
        <f aca="false">IF(ISNUMBER(AK196),IF(ISNUMBER('Base de Datos'!Y192),IF('Base de Datos'!Y192&gt;20000,INT('Base de Datos'!Y192),""),IF(TRIM('Base de Datos'!Y192)="","",IFERROR(DATE(VALUE(RIGHT(TRIM('Base de Datos'!Y192),4)),VALUE(MID(TRIM('Base de Datos'!Y192),4,2)),VALUE(LEFT(TRIM('Base de Datos'!Y192),2))),IFERROR(DATEVALUE(TRIM('Base de Datos'!Y192)),"")))),"")</f>
        <v>45788</v>
      </c>
      <c r="AK196" s="74" t="n">
        <f aca="false">IF(ISNUMBER('Base de Datos'!Z192),'Base de Datos'!Z192,IF(TRIM('Base de Datos'!Z192)="","",IFERROR(IF(IFERROR(FIND("@",SUBSTITUTE(TRIM('Base de Datos'!Z192),",","@",LEN(TRIM('Base de Datos'!Z192))-LEN(SUBSTITUTE(TRIM('Base de Datos'!Z192),",","")))),0)&gt;IFERROR(FIND("@",SUBSTITUTE(TRIM('Base de Datos'!Z192),".","@",LEN(TRIM('Base de Datos'!Z192))-LEN(SUBSTITUTE(TRIM('Base de Datos'!Z192),".","")))),0),_xlfn.NUMBERVALUE(SUBSTITUTE(SUBSTITUTE(TRIM('Base de Datos'!Z192),".",""),",","."),".",","),_xlfn.NUMBERVALUE(SUBSTITUTE(TRIM('Base de Datos'!Z192),",",""),".",",")),"")))</f>
        <v>57987.14</v>
      </c>
    </row>
    <row r="197" customFormat="false" ht="13.5" hidden="false" customHeight="false" outlineLevel="0" collapsed="false">
      <c r="A197" s="75" t="n">
        <f aca="false">ROWS(A$13:A197)</f>
        <v>185</v>
      </c>
      <c r="B197" s="73" t="n">
        <f aca="false">IF(B196="","",IFERROR(SMALL($AH$10:$AH$409,COUNTIF($AH$10:$AH$409,"&lt;="&amp;B196)+1),""))</f>
        <v>45774</v>
      </c>
      <c r="C197" s="74" t="n">
        <f aca="false">IF(B197="","",INDEX($AI$10:$AI$409,MATCH(B197,$AH$10:$AH$409,0)))</f>
        <v>26.93</v>
      </c>
      <c r="D197" s="74" t="n">
        <f aca="false">IF(B197="","",IFERROR(INDEX($AK$10:$AK$409,MATCH(B197,$AJ$10:$AJ$409,0)),""))</f>
        <v>55811.99</v>
      </c>
      <c r="E197" s="76" t="n">
        <f aca="false">IF(AND(ISNUMBER(C197),ISNUMBER(C196)),C197/C196-1,"")</f>
        <v>0.0437984496124031</v>
      </c>
      <c r="F197" s="76" t="n">
        <f aca="false">IF(AND(ISNUMBER(D197),ISNUMBER(D196)),D197/D196-1,"")</f>
        <v>-0.0160107207107462</v>
      </c>
      <c r="G197" s="75" t="n">
        <f aca="false">IF(AND(ISNUMBER(E197),ISNUMBER(F197)),1,"")</f>
        <v>1</v>
      </c>
      <c r="H197" s="75" t="n">
        <f aca="false">IF(G197=1,COUNT(G197:G$412),"")</f>
        <v>75</v>
      </c>
      <c r="I197" s="75" t="n">
        <f aca="false">IF(G197=1,IF(H197&lt;='Beta Regresión'!$B$5,1,""),"")</f>
        <v>1</v>
      </c>
      <c r="J197" s="76" t="n">
        <f aca="false">IF(I197=1,E197,"")</f>
        <v>0.0437984496124031</v>
      </c>
      <c r="K197" s="76" t="n">
        <f aca="false">IF(I197=1,F197,"")</f>
        <v>-0.0160107207107462</v>
      </c>
      <c r="L197" s="75" t="n">
        <f aca="false">IF(I197=1,COUNT(I$13:I197),"")</f>
        <v>184</v>
      </c>
      <c r="M197" s="76" t="n">
        <f aca="false">IFERROR(INDEX($J$13:$J$412,MATCH(A197,$L$13:$L$412,0)),"")</f>
        <v>0.0337913108057928</v>
      </c>
      <c r="N197" s="76" t="n">
        <f aca="false">IFERROR(INDEX($K$13:$K$412,MATCH(A197,$L$13:$L$412,0)),"")</f>
        <v>0.0132442867563045</v>
      </c>
      <c r="O197" s="76" t="n">
        <f aca="false">IF(I197=1,E197,NA())</f>
        <v>0.0437984496124031</v>
      </c>
      <c r="P197" s="76" t="n">
        <f aca="false">IF(I197=1,F197,NA())</f>
        <v>-0.0160107207107462</v>
      </c>
      <c r="R197" s="75" t="n">
        <f aca="false">ROWS(R$13:R197)</f>
        <v>185</v>
      </c>
      <c r="S197" s="73" t="str">
        <f aca="false">IF(S196="","",IFERROR(SMALL($AD$10:$AD$509,COUNTIF($AD$10:$AD$509,"&lt;="&amp;S196)+1),""))</f>
        <v/>
      </c>
      <c r="T197" s="74" t="str">
        <f aca="false">IF(S197="","",INDEX($AE$10:$AE$509,MATCH(S197,$AD$10:$AD$509,0)))</f>
        <v/>
      </c>
      <c r="U197" s="74" t="str">
        <f aca="false">IF(S197="","",IFERROR(INDEX($AG$10:$AG$509,MATCH(S197,$AF$10:$AF$509,0)),""))</f>
        <v/>
      </c>
      <c r="V197" s="76" t="str">
        <f aca="false">IF(AND(ISNUMBER(T197),ISNUMBER(T196)),T197/T196-1,"")</f>
        <v/>
      </c>
      <c r="W197" s="76" t="str">
        <f aca="false">IF(AND(ISNUMBER(U197),ISNUMBER(U196)),U197/U196-1,"")</f>
        <v/>
      </c>
      <c r="X197" s="75" t="str">
        <f aca="false">IF(AND(ISNUMBER(V197),ISNUMBER(W197)),1,"")</f>
        <v/>
      </c>
      <c r="Y197" s="76" t="str">
        <f aca="false">IF(X197=1,V197,"")</f>
        <v/>
      </c>
      <c r="Z197" s="76" t="str">
        <f aca="false">IF(X197=1,W197,"")</f>
        <v/>
      </c>
      <c r="AA197" s="76" t="e">
        <f aca="false">IF(X197=1,V197,NA())</f>
        <v>#N/A</v>
      </c>
      <c r="AB197" s="76" t="e">
        <f aca="false">IF(X197=1,W197,NA())</f>
        <v>#N/A</v>
      </c>
      <c r="AD197" s="73" t="str">
        <f aca="false">IF(ISNUMBER(AE197),IF(ISNUMBER('Base de Datos'!A193),IF('Base de Datos'!A193&gt;20000,DATE(YEAR('Base de Datos'!A193),DAY('Base de Datos'!A193),MONTH('Base de Datos'!A193)),""),IF(TRIM('Base de Datos'!A193)="","",IFERROR(DATE(VALUE(RIGHT(TRIM('Base de Datos'!A193),4)),VALUE(LEFT(TRIM('Base de Datos'!A193),2)),VALUE(MID(TRIM('Base de Datos'!A193),4,2))),""))),"")</f>
        <v/>
      </c>
      <c r="AE197" s="74" t="str">
        <f aca="false">IF(ISNUMBER('Base de Datos'!B193),'Base de Datos'!B193,IF(TRIM('Base de Datos'!B193)="","",IFERROR(IF(IFERROR(FIND("@",SUBSTITUTE(TRIM('Base de Datos'!B193),",","@",LEN(TRIM('Base de Datos'!B193))-LEN(SUBSTITUTE(TRIM('Base de Datos'!B193),",","")))),0)&gt;IFERROR(FIND("@",SUBSTITUTE(TRIM('Base de Datos'!B193),".","@",LEN(TRIM('Base de Datos'!B193))-LEN(SUBSTITUTE(TRIM('Base de Datos'!B193),".","")))),0),_xlfn.NUMBERVALUE(SUBSTITUTE(SUBSTITUTE(TRIM('Base de Datos'!B193),".",""),",","."),".",","),_xlfn.NUMBERVALUE(SUBSTITUTE(TRIM('Base de Datos'!B193),",",""),".",",")),"")))</f>
        <v/>
      </c>
      <c r="AF197" s="73" t="str">
        <f aca="false">IF(ISNUMBER(AG197),IF(ISNUMBER('Base de Datos'!I193),IF('Base de Datos'!I193&gt;20000,INT('Base de Datos'!I193),""),IF(TRIM('Base de Datos'!I193)="","",IFERROR(DATE(VALUE(RIGHT(TRIM('Base de Datos'!I193),4)),VALUE(MID(TRIM('Base de Datos'!I193),4,2)),VALUE(LEFT(TRIM('Base de Datos'!I193),2))),IFERROR(DATEVALUE(TRIM('Base de Datos'!I193)),"")))),"")</f>
        <v/>
      </c>
      <c r="AG197" s="74" t="str">
        <f aca="false">IF(ISNUMBER('Base de Datos'!J193),'Base de Datos'!J193,IF(TRIM('Base de Datos'!J193)="","",IFERROR(IF(IFERROR(FIND("@",SUBSTITUTE(TRIM('Base de Datos'!J193),",","@",LEN(TRIM('Base de Datos'!J193))-LEN(SUBSTITUTE(TRIM('Base de Datos'!J193),",","")))),0)&gt;IFERROR(FIND("@",SUBSTITUTE(TRIM('Base de Datos'!J193),".","@",LEN(TRIM('Base de Datos'!J193))-LEN(SUBSTITUTE(TRIM('Base de Datos'!J193),".","")))),0),_xlfn.NUMBERVALUE(SUBSTITUTE(SUBSTITUTE(TRIM('Base de Datos'!J193),".",""),",","."),".",","),_xlfn.NUMBERVALUE(SUBSTITUTE(TRIM('Base de Datos'!J193),",",""),".",",")),"")))</f>
        <v/>
      </c>
      <c r="AH197" s="73" t="n">
        <f aca="false">IF(ISNUMBER(AI197),IF(ISNUMBER('Base de Datos'!Q193),IF('Base de Datos'!Q193&gt;20000,DATE(YEAR('Base de Datos'!Q193),DAY('Base de Datos'!Q193),MONTH('Base de Datos'!Q193)),""),IF(TRIM('Base de Datos'!Q193)="","",IFERROR(DATE(VALUE(RIGHT(TRIM('Base de Datos'!Q193),4)),VALUE(LEFT(TRIM('Base de Datos'!Q193),2)),VALUE(MID(TRIM('Base de Datos'!Q193),4,2))),""))),"")</f>
        <v>45795</v>
      </c>
      <c r="AI197" s="74" t="n">
        <f aca="false">IF(ISNUMBER('Base de Datos'!R193),'Base de Datos'!R193,IF(TRIM('Base de Datos'!R193)="","",IFERROR(IF(IFERROR(FIND("@",SUBSTITUTE(TRIM('Base de Datos'!R193),",","@",LEN(TRIM('Base de Datos'!R193))-LEN(SUBSTITUTE(TRIM('Base de Datos'!R193),",","")))),0)&gt;IFERROR(FIND("@",SUBSTITUTE(TRIM('Base de Datos'!R193),".","@",LEN(TRIM('Base de Datos'!R193))-LEN(SUBSTITUTE(TRIM('Base de Datos'!R193),".","")))),0),_xlfn.NUMBERVALUE(SUBSTITUTE(SUBSTITUTE(TRIM('Base de Datos'!R193),".",""),",","."),".",","),_xlfn.NUMBERVALUE(SUBSTITUTE(TRIM('Base de Datos'!R193),",",""),".",",")),"")))</f>
        <v>27.34</v>
      </c>
      <c r="AJ197" s="73" t="n">
        <f aca="false">IF(ISNUMBER(AK197),IF(ISNUMBER('Base de Datos'!Y193),IF('Base de Datos'!Y193&gt;20000,INT('Base de Datos'!Y193),""),IF(TRIM('Base de Datos'!Y193)="","",IFERROR(DATE(VALUE(RIGHT(TRIM('Base de Datos'!Y193),4)),VALUE(MID(TRIM('Base de Datos'!Y193),4,2)),VALUE(LEFT(TRIM('Base de Datos'!Y193),2))),IFERROR(DATEVALUE(TRIM('Base de Datos'!Y193)),"")))),"")</f>
        <v>45795</v>
      </c>
      <c r="AK197" s="74" t="n">
        <f aca="false">IF(ISNUMBER('Base de Datos'!Z193),'Base de Datos'!Z193,IF(TRIM('Base de Datos'!Z193)="","",IFERROR(IF(IFERROR(FIND("@",SUBSTITUTE(TRIM('Base de Datos'!Z193),",","@",LEN(TRIM('Base de Datos'!Z193))-LEN(SUBSTITUTE(TRIM('Base de Datos'!Z193),",","")))),0)&gt;IFERROR(FIND("@",SUBSTITUTE(TRIM('Base de Datos'!Z193),".","@",LEN(TRIM('Base de Datos'!Z193))-LEN(SUBSTITUTE(TRIM('Base de Datos'!Z193),".","")))),0),_xlfn.NUMBERVALUE(SUBSTITUTE(SUBSTITUTE(TRIM('Base de Datos'!Z193),".",""),",","."),".",","),_xlfn.NUMBERVALUE(SUBSTITUTE(TRIM('Base de Datos'!Z193),",",""),".",",")),"")))</f>
        <v>58410.37</v>
      </c>
    </row>
    <row r="198" customFormat="false" ht="13.5" hidden="false" customHeight="false" outlineLevel="0" collapsed="false">
      <c r="A198" s="75" t="n">
        <f aca="false">ROWS(A$13:A198)</f>
        <v>186</v>
      </c>
      <c r="B198" s="73" t="n">
        <f aca="false">IF(B197="","",IFERROR(SMALL($AH$10:$AH$409,COUNTIF($AH$10:$AH$409,"&lt;="&amp;B197)+1),""))</f>
        <v>45781</v>
      </c>
      <c r="C198" s="74" t="n">
        <f aca="false">IF(B198="","",INDEX($AI$10:$AI$409,MATCH(B198,$AH$10:$AH$409,0)))</f>
        <v>27.84</v>
      </c>
      <c r="D198" s="74" t="n">
        <f aca="false">IF(B198="","",IFERROR(INDEX($AK$10:$AK$409,MATCH(B198,$AJ$10:$AJ$409,0)),""))</f>
        <v>56551.18</v>
      </c>
      <c r="E198" s="76" t="n">
        <f aca="false">IF(AND(ISNUMBER(C198),ISNUMBER(C197)),C198/C197-1,"")</f>
        <v>0.0337913108057928</v>
      </c>
      <c r="F198" s="76" t="n">
        <f aca="false">IF(AND(ISNUMBER(D198),ISNUMBER(D197)),D198/D197-1,"")</f>
        <v>0.0132442867563045</v>
      </c>
      <c r="G198" s="75" t="n">
        <f aca="false">IF(AND(ISNUMBER(E198),ISNUMBER(F198)),1,"")</f>
        <v>1</v>
      </c>
      <c r="H198" s="75" t="n">
        <f aca="false">IF(G198=1,COUNT(G198:G$412),"")</f>
        <v>74</v>
      </c>
      <c r="I198" s="75" t="n">
        <f aca="false">IF(G198=1,IF(H198&lt;='Beta Regresión'!$B$5,1,""),"")</f>
        <v>1</v>
      </c>
      <c r="J198" s="76" t="n">
        <f aca="false">IF(I198=1,E198,"")</f>
        <v>0.0337913108057928</v>
      </c>
      <c r="K198" s="76" t="n">
        <f aca="false">IF(I198=1,F198,"")</f>
        <v>0.0132442867563045</v>
      </c>
      <c r="L198" s="75" t="n">
        <f aca="false">IF(I198=1,COUNT(I$13:I198),"")</f>
        <v>185</v>
      </c>
      <c r="M198" s="76" t="n">
        <f aca="false">IFERROR(INDEX($J$13:$J$412,MATCH(A198,$L$13:$L$412,0)),"")</f>
        <v>0.00574712643678166</v>
      </c>
      <c r="N198" s="76" t="n">
        <f aca="false">IFERROR(INDEX($K$13:$K$412,MATCH(A198,$L$13:$L$412,0)),"")</f>
        <v>0.0253922199324577</v>
      </c>
      <c r="O198" s="76" t="n">
        <f aca="false">IF(I198=1,E198,NA())</f>
        <v>0.0337913108057928</v>
      </c>
      <c r="P198" s="76" t="n">
        <f aca="false">IF(I198=1,F198,NA())</f>
        <v>0.0132442867563045</v>
      </c>
      <c r="R198" s="75" t="n">
        <f aca="false">ROWS(R$13:R198)</f>
        <v>186</v>
      </c>
      <c r="S198" s="73" t="str">
        <f aca="false">IF(S197="","",IFERROR(SMALL($AD$10:$AD$509,COUNTIF($AD$10:$AD$509,"&lt;="&amp;S197)+1),""))</f>
        <v/>
      </c>
      <c r="T198" s="74" t="str">
        <f aca="false">IF(S198="","",INDEX($AE$10:$AE$509,MATCH(S198,$AD$10:$AD$509,0)))</f>
        <v/>
      </c>
      <c r="U198" s="74" t="str">
        <f aca="false">IF(S198="","",IFERROR(INDEX($AG$10:$AG$509,MATCH(S198,$AF$10:$AF$509,0)),""))</f>
        <v/>
      </c>
      <c r="V198" s="76" t="str">
        <f aca="false">IF(AND(ISNUMBER(T198),ISNUMBER(T197)),T198/T197-1,"")</f>
        <v/>
      </c>
      <c r="W198" s="76" t="str">
        <f aca="false">IF(AND(ISNUMBER(U198),ISNUMBER(U197)),U198/U197-1,"")</f>
        <v/>
      </c>
      <c r="X198" s="75" t="str">
        <f aca="false">IF(AND(ISNUMBER(V198),ISNUMBER(W198)),1,"")</f>
        <v/>
      </c>
      <c r="Y198" s="76" t="str">
        <f aca="false">IF(X198=1,V198,"")</f>
        <v/>
      </c>
      <c r="Z198" s="76" t="str">
        <f aca="false">IF(X198=1,W198,"")</f>
        <v/>
      </c>
      <c r="AA198" s="76" t="e">
        <f aca="false">IF(X198=1,V198,NA())</f>
        <v>#N/A</v>
      </c>
      <c r="AB198" s="76" t="e">
        <f aca="false">IF(X198=1,W198,NA())</f>
        <v>#N/A</v>
      </c>
      <c r="AD198" s="73" t="str">
        <f aca="false">IF(ISNUMBER(AE198),IF(ISNUMBER('Base de Datos'!A194),IF('Base de Datos'!A194&gt;20000,DATE(YEAR('Base de Datos'!A194),DAY('Base de Datos'!A194),MONTH('Base de Datos'!A194)),""),IF(TRIM('Base de Datos'!A194)="","",IFERROR(DATE(VALUE(RIGHT(TRIM('Base de Datos'!A194),4)),VALUE(LEFT(TRIM('Base de Datos'!A194),2)),VALUE(MID(TRIM('Base de Datos'!A194),4,2))),""))),"")</f>
        <v/>
      </c>
      <c r="AE198" s="74" t="str">
        <f aca="false">IF(ISNUMBER('Base de Datos'!B194),'Base de Datos'!B194,IF(TRIM('Base de Datos'!B194)="","",IFERROR(IF(IFERROR(FIND("@",SUBSTITUTE(TRIM('Base de Datos'!B194),",","@",LEN(TRIM('Base de Datos'!B194))-LEN(SUBSTITUTE(TRIM('Base de Datos'!B194),",","")))),0)&gt;IFERROR(FIND("@",SUBSTITUTE(TRIM('Base de Datos'!B194),".","@",LEN(TRIM('Base de Datos'!B194))-LEN(SUBSTITUTE(TRIM('Base de Datos'!B194),".","")))),0),_xlfn.NUMBERVALUE(SUBSTITUTE(SUBSTITUTE(TRIM('Base de Datos'!B194),".",""),",","."),".",","),_xlfn.NUMBERVALUE(SUBSTITUTE(TRIM('Base de Datos'!B194),",",""),".",",")),"")))</f>
        <v/>
      </c>
      <c r="AF198" s="73" t="str">
        <f aca="false">IF(ISNUMBER(AG198),IF(ISNUMBER('Base de Datos'!I194),IF('Base de Datos'!I194&gt;20000,INT('Base de Datos'!I194),""),IF(TRIM('Base de Datos'!I194)="","",IFERROR(DATE(VALUE(RIGHT(TRIM('Base de Datos'!I194),4)),VALUE(MID(TRIM('Base de Datos'!I194),4,2)),VALUE(LEFT(TRIM('Base de Datos'!I194),2))),IFERROR(DATEVALUE(TRIM('Base de Datos'!I194)),"")))),"")</f>
        <v/>
      </c>
      <c r="AG198" s="74" t="str">
        <f aca="false">IF(ISNUMBER('Base de Datos'!J194),'Base de Datos'!J194,IF(TRIM('Base de Datos'!J194)="","",IFERROR(IF(IFERROR(FIND("@",SUBSTITUTE(TRIM('Base de Datos'!J194),",","@",LEN(TRIM('Base de Datos'!J194))-LEN(SUBSTITUTE(TRIM('Base de Datos'!J194),",","")))),0)&gt;IFERROR(FIND("@",SUBSTITUTE(TRIM('Base de Datos'!J194),".","@",LEN(TRIM('Base de Datos'!J194))-LEN(SUBSTITUTE(TRIM('Base de Datos'!J194),".","")))),0),_xlfn.NUMBERVALUE(SUBSTITUTE(SUBSTITUTE(TRIM('Base de Datos'!J194),".",""),",","."),".",","),_xlfn.NUMBERVALUE(SUBSTITUTE(TRIM('Base de Datos'!J194),",",""),".",",")),"")))</f>
        <v/>
      </c>
      <c r="AH198" s="73" t="n">
        <f aca="false">IF(ISNUMBER(AI198),IF(ISNUMBER('Base de Datos'!Q194),IF('Base de Datos'!Q194&gt;20000,DATE(YEAR('Base de Datos'!Q194),DAY('Base de Datos'!Q194),MONTH('Base de Datos'!Q194)),""),IF(TRIM('Base de Datos'!Q194)="","",IFERROR(DATE(VALUE(RIGHT(TRIM('Base de Datos'!Q194),4)),VALUE(LEFT(TRIM('Base de Datos'!Q194),2)),VALUE(MID(TRIM('Base de Datos'!Q194),4,2))),""))),"")</f>
        <v>45802</v>
      </c>
      <c r="AI198" s="74" t="n">
        <f aca="false">IF(ISNUMBER('Base de Datos'!R194),'Base de Datos'!R194,IF(TRIM('Base de Datos'!R194)="","",IFERROR(IF(IFERROR(FIND("@",SUBSTITUTE(TRIM('Base de Datos'!R194),",","@",LEN(TRIM('Base de Datos'!R194))-LEN(SUBSTITUTE(TRIM('Base de Datos'!R194),",","")))),0)&gt;IFERROR(FIND("@",SUBSTITUTE(TRIM('Base de Datos'!R194),".","@",LEN(TRIM('Base de Datos'!R194))-LEN(SUBSTITUTE(TRIM('Base de Datos'!R194),".","")))),0),_xlfn.NUMBERVALUE(SUBSTITUTE(SUBSTITUTE(TRIM('Base de Datos'!R194),".",""),",","."),".",","),_xlfn.NUMBERVALUE(SUBSTITUTE(TRIM('Base de Datos'!R194),",",""),".",",")),"")))</f>
        <v>27.51</v>
      </c>
      <c r="AJ198" s="73" t="n">
        <f aca="false">IF(ISNUMBER(AK198),IF(ISNUMBER('Base de Datos'!Y194),IF('Base de Datos'!Y194&gt;20000,INT('Base de Datos'!Y194),""),IF(TRIM('Base de Datos'!Y194)="","",IFERROR(DATE(VALUE(RIGHT(TRIM('Base de Datos'!Y194),4)),VALUE(MID(TRIM('Base de Datos'!Y194),4,2)),VALUE(LEFT(TRIM('Base de Datos'!Y194),2))),IFERROR(DATEVALUE(TRIM('Base de Datos'!Y194)),"")))),"")</f>
        <v>45802</v>
      </c>
      <c r="AK198" s="74" t="n">
        <f aca="false">IF(ISNUMBER('Base de Datos'!Z194),'Base de Datos'!Z194,IF(TRIM('Base de Datos'!Z194)="","",IFERROR(IF(IFERROR(FIND("@",SUBSTITUTE(TRIM('Base de Datos'!Z194),",","@",LEN(TRIM('Base de Datos'!Z194))-LEN(SUBSTITUTE(TRIM('Base de Datos'!Z194),",","")))),0)&gt;IFERROR(FIND("@",SUBSTITUTE(TRIM('Base de Datos'!Z194),".","@",LEN(TRIM('Base de Datos'!Z194))-LEN(SUBSTITUTE(TRIM('Base de Datos'!Z194),".","")))),0),_xlfn.NUMBERVALUE(SUBSTITUTE(SUBSTITUTE(TRIM('Base de Datos'!Z194),".",""),",","."),".",","),_xlfn.NUMBERVALUE(SUBSTITUTE(TRIM('Base de Datos'!Z194),",",""),".",",")),"")))</f>
        <v>57841.69</v>
      </c>
    </row>
    <row r="199" customFormat="false" ht="13.5" hidden="false" customHeight="false" outlineLevel="0" collapsed="false">
      <c r="A199" s="75" t="n">
        <f aca="false">ROWS(A$13:A199)</f>
        <v>187</v>
      </c>
      <c r="B199" s="73" t="n">
        <f aca="false">IF(B198="","",IFERROR(SMALL($AH$10:$AH$409,COUNTIF($AH$10:$AH$409,"&lt;="&amp;B198)+1),""))</f>
        <v>45788</v>
      </c>
      <c r="C199" s="74" t="n">
        <f aca="false">IF(B199="","",INDEX($AI$10:$AI$409,MATCH(B199,$AH$10:$AH$409,0)))</f>
        <v>28</v>
      </c>
      <c r="D199" s="74" t="n">
        <f aca="false">IF(B199="","",IFERROR(INDEX($AK$10:$AK$409,MATCH(B199,$AJ$10:$AJ$409,0)),""))</f>
        <v>57987.14</v>
      </c>
      <c r="E199" s="76" t="n">
        <f aca="false">IF(AND(ISNUMBER(C199),ISNUMBER(C198)),C199/C198-1,"")</f>
        <v>0.00574712643678166</v>
      </c>
      <c r="F199" s="76" t="n">
        <f aca="false">IF(AND(ISNUMBER(D199),ISNUMBER(D198)),D199/D198-1,"")</f>
        <v>0.0253922199324577</v>
      </c>
      <c r="G199" s="75" t="n">
        <f aca="false">IF(AND(ISNUMBER(E199),ISNUMBER(F199)),1,"")</f>
        <v>1</v>
      </c>
      <c r="H199" s="75" t="n">
        <f aca="false">IF(G199=1,COUNT(G199:G$412),"")</f>
        <v>73</v>
      </c>
      <c r="I199" s="75" t="n">
        <f aca="false">IF(G199=1,IF(H199&lt;='Beta Regresión'!$B$5,1,""),"")</f>
        <v>1</v>
      </c>
      <c r="J199" s="76" t="n">
        <f aca="false">IF(I199=1,E199,"")</f>
        <v>0.00574712643678166</v>
      </c>
      <c r="K199" s="76" t="n">
        <f aca="false">IF(I199=1,F199,"")</f>
        <v>0.0253922199324577</v>
      </c>
      <c r="L199" s="75" t="n">
        <f aca="false">IF(I199=1,COUNT(I$13:I199),"")</f>
        <v>186</v>
      </c>
      <c r="M199" s="76" t="n">
        <f aca="false">IFERROR(INDEX($J$13:$J$412,MATCH(A199,$L$13:$L$412,0)),"")</f>
        <v>-0.0235714285714286</v>
      </c>
      <c r="N199" s="76" t="n">
        <f aca="false">IFERROR(INDEX($K$13:$K$412,MATCH(A199,$L$13:$L$412,0)),"")</f>
        <v>0.00729868726065819</v>
      </c>
      <c r="O199" s="76" t="n">
        <f aca="false">IF(I199=1,E199,NA())</f>
        <v>0.00574712643678166</v>
      </c>
      <c r="P199" s="76" t="n">
        <f aca="false">IF(I199=1,F199,NA())</f>
        <v>0.0253922199324577</v>
      </c>
      <c r="R199" s="75" t="n">
        <f aca="false">ROWS(R$13:R199)</f>
        <v>187</v>
      </c>
      <c r="S199" s="73" t="str">
        <f aca="false">IF(S198="","",IFERROR(SMALL($AD$10:$AD$509,COUNTIF($AD$10:$AD$509,"&lt;="&amp;S198)+1),""))</f>
        <v/>
      </c>
      <c r="T199" s="74" t="str">
        <f aca="false">IF(S199="","",INDEX($AE$10:$AE$509,MATCH(S199,$AD$10:$AD$509,0)))</f>
        <v/>
      </c>
      <c r="U199" s="74" t="str">
        <f aca="false">IF(S199="","",IFERROR(INDEX($AG$10:$AG$509,MATCH(S199,$AF$10:$AF$509,0)),""))</f>
        <v/>
      </c>
      <c r="V199" s="76" t="str">
        <f aca="false">IF(AND(ISNUMBER(T199),ISNUMBER(T198)),T199/T198-1,"")</f>
        <v/>
      </c>
      <c r="W199" s="76" t="str">
        <f aca="false">IF(AND(ISNUMBER(U199),ISNUMBER(U198)),U199/U198-1,"")</f>
        <v/>
      </c>
      <c r="X199" s="75" t="str">
        <f aca="false">IF(AND(ISNUMBER(V199),ISNUMBER(W199)),1,"")</f>
        <v/>
      </c>
      <c r="Y199" s="76" t="str">
        <f aca="false">IF(X199=1,V199,"")</f>
        <v/>
      </c>
      <c r="Z199" s="76" t="str">
        <f aca="false">IF(X199=1,W199,"")</f>
        <v/>
      </c>
      <c r="AA199" s="76" t="e">
        <f aca="false">IF(X199=1,V199,NA())</f>
        <v>#N/A</v>
      </c>
      <c r="AB199" s="76" t="e">
        <f aca="false">IF(X199=1,W199,NA())</f>
        <v>#N/A</v>
      </c>
      <c r="AD199" s="73" t="str">
        <f aca="false">IF(ISNUMBER(AE199),IF(ISNUMBER('Base de Datos'!A195),IF('Base de Datos'!A195&gt;20000,DATE(YEAR('Base de Datos'!A195),DAY('Base de Datos'!A195),MONTH('Base de Datos'!A195)),""),IF(TRIM('Base de Datos'!A195)="","",IFERROR(DATE(VALUE(RIGHT(TRIM('Base de Datos'!A195),4)),VALUE(LEFT(TRIM('Base de Datos'!A195),2)),VALUE(MID(TRIM('Base de Datos'!A195),4,2))),""))),"")</f>
        <v/>
      </c>
      <c r="AE199" s="74" t="str">
        <f aca="false">IF(ISNUMBER('Base de Datos'!B195),'Base de Datos'!B195,IF(TRIM('Base de Datos'!B195)="","",IFERROR(IF(IFERROR(FIND("@",SUBSTITUTE(TRIM('Base de Datos'!B195),",","@",LEN(TRIM('Base de Datos'!B195))-LEN(SUBSTITUTE(TRIM('Base de Datos'!B195),",","")))),0)&gt;IFERROR(FIND("@",SUBSTITUTE(TRIM('Base de Datos'!B195),".","@",LEN(TRIM('Base de Datos'!B195))-LEN(SUBSTITUTE(TRIM('Base de Datos'!B195),".","")))),0),_xlfn.NUMBERVALUE(SUBSTITUTE(SUBSTITUTE(TRIM('Base de Datos'!B195),".",""),",","."),".",","),_xlfn.NUMBERVALUE(SUBSTITUTE(TRIM('Base de Datos'!B195),",",""),".",",")),"")))</f>
        <v/>
      </c>
      <c r="AF199" s="73" t="str">
        <f aca="false">IF(ISNUMBER(AG199),IF(ISNUMBER('Base de Datos'!I195),IF('Base de Datos'!I195&gt;20000,INT('Base de Datos'!I195),""),IF(TRIM('Base de Datos'!I195)="","",IFERROR(DATE(VALUE(RIGHT(TRIM('Base de Datos'!I195),4)),VALUE(MID(TRIM('Base de Datos'!I195),4,2)),VALUE(LEFT(TRIM('Base de Datos'!I195),2))),IFERROR(DATEVALUE(TRIM('Base de Datos'!I195)),"")))),"")</f>
        <v/>
      </c>
      <c r="AG199" s="74" t="str">
        <f aca="false">IF(ISNUMBER('Base de Datos'!J195),'Base de Datos'!J195,IF(TRIM('Base de Datos'!J195)="","",IFERROR(IF(IFERROR(FIND("@",SUBSTITUTE(TRIM('Base de Datos'!J195),",","@",LEN(TRIM('Base de Datos'!J195))-LEN(SUBSTITUTE(TRIM('Base de Datos'!J195),",","")))),0)&gt;IFERROR(FIND("@",SUBSTITUTE(TRIM('Base de Datos'!J195),".","@",LEN(TRIM('Base de Datos'!J195))-LEN(SUBSTITUTE(TRIM('Base de Datos'!J195),".","")))),0),_xlfn.NUMBERVALUE(SUBSTITUTE(SUBSTITUTE(TRIM('Base de Datos'!J195),".",""),",","."),".",","),_xlfn.NUMBERVALUE(SUBSTITUTE(TRIM('Base de Datos'!J195),",",""),".",",")),"")))</f>
        <v/>
      </c>
      <c r="AH199" s="73" t="n">
        <f aca="false">IF(ISNUMBER(AI199),IF(ISNUMBER('Base de Datos'!Q195),IF('Base de Datos'!Q195&gt;20000,DATE(YEAR('Base de Datos'!Q195),DAY('Base de Datos'!Q195),MONTH('Base de Datos'!Q195)),""),IF(TRIM('Base de Datos'!Q195)="","",IFERROR(DATE(VALUE(RIGHT(TRIM('Base de Datos'!Q195),4)),VALUE(LEFT(TRIM('Base de Datos'!Q195),2)),VALUE(MID(TRIM('Base de Datos'!Q195),4,2))),""))),"")</f>
        <v>45809</v>
      </c>
      <c r="AI199" s="74" t="n">
        <f aca="false">IF(ISNUMBER('Base de Datos'!R195),'Base de Datos'!R195,IF(TRIM('Base de Datos'!R195)="","",IFERROR(IF(IFERROR(FIND("@",SUBSTITUTE(TRIM('Base de Datos'!R195),",","@",LEN(TRIM('Base de Datos'!R195))-LEN(SUBSTITUTE(TRIM('Base de Datos'!R195),",","")))),0)&gt;IFERROR(FIND("@",SUBSTITUTE(TRIM('Base de Datos'!R195),".","@",LEN(TRIM('Base de Datos'!R195))-LEN(SUBSTITUTE(TRIM('Base de Datos'!R195),".","")))),0),_xlfn.NUMBERVALUE(SUBSTITUTE(SUBSTITUTE(TRIM('Base de Datos'!R195),".",""),",","."),".",","),_xlfn.NUMBERVALUE(SUBSTITUTE(TRIM('Base de Datos'!R195),",",""),".",",")),"")))</f>
        <v>27</v>
      </c>
      <c r="AJ199" s="73" t="n">
        <f aca="false">IF(ISNUMBER(AK199),IF(ISNUMBER('Base de Datos'!Y195),IF('Base de Datos'!Y195&gt;20000,INT('Base de Datos'!Y195),""),IF(TRIM('Base de Datos'!Y195)="","",IFERROR(DATE(VALUE(RIGHT(TRIM('Base de Datos'!Y195),4)),VALUE(MID(TRIM('Base de Datos'!Y195),4,2)),VALUE(LEFT(TRIM('Base de Datos'!Y195),2))),IFERROR(DATEVALUE(TRIM('Base de Datos'!Y195)),"")))),"")</f>
        <v>45809</v>
      </c>
      <c r="AK199" s="74" t="n">
        <f aca="false">IF(ISNUMBER('Base de Datos'!Z195),'Base de Datos'!Z195,IF(TRIM('Base de Datos'!Z195)="","",IFERROR(IF(IFERROR(FIND("@",SUBSTITUTE(TRIM('Base de Datos'!Z195),",","@",LEN(TRIM('Base de Datos'!Z195))-LEN(SUBSTITUTE(TRIM('Base de Datos'!Z195),",","")))),0)&gt;IFERROR(FIND("@",SUBSTITUTE(TRIM('Base de Datos'!Z195),".","@",LEN(TRIM('Base de Datos'!Z195))-LEN(SUBSTITUTE(TRIM('Base de Datos'!Z195),".","")))),0),_xlfn.NUMBERVALUE(SUBSTITUTE(SUBSTITUTE(TRIM('Base de Datos'!Z195),".",""),",","."),".",","),_xlfn.NUMBERVALUE(SUBSTITUTE(TRIM('Base de Datos'!Z195),",",""),".",",")),"")))</f>
        <v>58061.41</v>
      </c>
    </row>
    <row r="200" customFormat="false" ht="13.5" hidden="false" customHeight="false" outlineLevel="0" collapsed="false">
      <c r="A200" s="75" t="n">
        <f aca="false">ROWS(A$13:A200)</f>
        <v>188</v>
      </c>
      <c r="B200" s="73" t="n">
        <f aca="false">IF(B199="","",IFERROR(SMALL($AH$10:$AH$409,COUNTIF($AH$10:$AH$409,"&lt;="&amp;B199)+1),""))</f>
        <v>45795</v>
      </c>
      <c r="C200" s="74" t="n">
        <f aca="false">IF(B200="","",INDEX($AI$10:$AI$409,MATCH(B200,$AH$10:$AH$409,0)))</f>
        <v>27.34</v>
      </c>
      <c r="D200" s="74" t="n">
        <f aca="false">IF(B200="","",IFERROR(INDEX($AK$10:$AK$409,MATCH(B200,$AJ$10:$AJ$409,0)),""))</f>
        <v>58410.37</v>
      </c>
      <c r="E200" s="76" t="n">
        <f aca="false">IF(AND(ISNUMBER(C200),ISNUMBER(C199)),C200/C199-1,"")</f>
        <v>-0.0235714285714286</v>
      </c>
      <c r="F200" s="76" t="n">
        <f aca="false">IF(AND(ISNUMBER(D200),ISNUMBER(D199)),D200/D199-1,"")</f>
        <v>0.00729868726065819</v>
      </c>
      <c r="G200" s="75" t="n">
        <f aca="false">IF(AND(ISNUMBER(E200),ISNUMBER(F200)),1,"")</f>
        <v>1</v>
      </c>
      <c r="H200" s="75" t="n">
        <f aca="false">IF(G200=1,COUNT(G200:G$412),"")</f>
        <v>72</v>
      </c>
      <c r="I200" s="75" t="n">
        <f aca="false">IF(G200=1,IF(H200&lt;='Beta Regresión'!$B$5,1,""),"")</f>
        <v>1</v>
      </c>
      <c r="J200" s="76" t="n">
        <f aca="false">IF(I200=1,E200,"")</f>
        <v>-0.0235714285714286</v>
      </c>
      <c r="K200" s="76" t="n">
        <f aca="false">IF(I200=1,F200,"")</f>
        <v>0.00729868726065819</v>
      </c>
      <c r="L200" s="75" t="n">
        <f aca="false">IF(I200=1,COUNT(I$13:I200),"")</f>
        <v>187</v>
      </c>
      <c r="M200" s="76" t="n">
        <f aca="false">IFERROR(INDEX($J$13:$J$412,MATCH(A200,$L$13:$L$412,0)),"")</f>
        <v>0.00621799561082659</v>
      </c>
      <c r="N200" s="76" t="n">
        <f aca="false">IFERROR(INDEX($K$13:$K$412,MATCH(A200,$L$13:$L$412,0)),"")</f>
        <v>-0.00973594243624887</v>
      </c>
      <c r="O200" s="76" t="n">
        <f aca="false">IF(I200=1,E200,NA())</f>
        <v>-0.0235714285714286</v>
      </c>
      <c r="P200" s="76" t="n">
        <f aca="false">IF(I200=1,F200,NA())</f>
        <v>0.00729868726065819</v>
      </c>
      <c r="R200" s="75" t="n">
        <f aca="false">ROWS(R$13:R200)</f>
        <v>188</v>
      </c>
      <c r="S200" s="73" t="str">
        <f aca="false">IF(S199="","",IFERROR(SMALL($AD$10:$AD$509,COUNTIF($AD$10:$AD$509,"&lt;="&amp;S199)+1),""))</f>
        <v/>
      </c>
      <c r="T200" s="74" t="str">
        <f aca="false">IF(S200="","",INDEX($AE$10:$AE$509,MATCH(S200,$AD$10:$AD$509,0)))</f>
        <v/>
      </c>
      <c r="U200" s="74" t="str">
        <f aca="false">IF(S200="","",IFERROR(INDEX($AG$10:$AG$509,MATCH(S200,$AF$10:$AF$509,0)),""))</f>
        <v/>
      </c>
      <c r="V200" s="76" t="str">
        <f aca="false">IF(AND(ISNUMBER(T200),ISNUMBER(T199)),T200/T199-1,"")</f>
        <v/>
      </c>
      <c r="W200" s="76" t="str">
        <f aca="false">IF(AND(ISNUMBER(U200),ISNUMBER(U199)),U200/U199-1,"")</f>
        <v/>
      </c>
      <c r="X200" s="75" t="str">
        <f aca="false">IF(AND(ISNUMBER(V200),ISNUMBER(W200)),1,"")</f>
        <v/>
      </c>
      <c r="Y200" s="76" t="str">
        <f aca="false">IF(X200=1,V200,"")</f>
        <v/>
      </c>
      <c r="Z200" s="76" t="str">
        <f aca="false">IF(X200=1,W200,"")</f>
        <v/>
      </c>
      <c r="AA200" s="76" t="e">
        <f aca="false">IF(X200=1,V200,NA())</f>
        <v>#N/A</v>
      </c>
      <c r="AB200" s="76" t="e">
        <f aca="false">IF(X200=1,W200,NA())</f>
        <v>#N/A</v>
      </c>
      <c r="AD200" s="73" t="str">
        <f aca="false">IF(ISNUMBER(AE200),IF(ISNUMBER('Base de Datos'!A196),IF('Base de Datos'!A196&gt;20000,DATE(YEAR('Base de Datos'!A196),DAY('Base de Datos'!A196),MONTH('Base de Datos'!A196)),""),IF(TRIM('Base de Datos'!A196)="","",IFERROR(DATE(VALUE(RIGHT(TRIM('Base de Datos'!A196),4)),VALUE(LEFT(TRIM('Base de Datos'!A196),2)),VALUE(MID(TRIM('Base de Datos'!A196),4,2))),""))),"")</f>
        <v/>
      </c>
      <c r="AE200" s="74" t="str">
        <f aca="false">IF(ISNUMBER('Base de Datos'!B196),'Base de Datos'!B196,IF(TRIM('Base de Datos'!B196)="","",IFERROR(IF(IFERROR(FIND("@",SUBSTITUTE(TRIM('Base de Datos'!B196),",","@",LEN(TRIM('Base de Datos'!B196))-LEN(SUBSTITUTE(TRIM('Base de Datos'!B196),",","")))),0)&gt;IFERROR(FIND("@",SUBSTITUTE(TRIM('Base de Datos'!B196),".","@",LEN(TRIM('Base de Datos'!B196))-LEN(SUBSTITUTE(TRIM('Base de Datos'!B196),".","")))),0),_xlfn.NUMBERVALUE(SUBSTITUTE(SUBSTITUTE(TRIM('Base de Datos'!B196),".",""),",","."),".",","),_xlfn.NUMBERVALUE(SUBSTITUTE(TRIM('Base de Datos'!B196),",",""),".",",")),"")))</f>
        <v/>
      </c>
      <c r="AF200" s="73" t="str">
        <f aca="false">IF(ISNUMBER(AG200),IF(ISNUMBER('Base de Datos'!I196),IF('Base de Datos'!I196&gt;20000,INT('Base de Datos'!I196),""),IF(TRIM('Base de Datos'!I196)="","",IFERROR(DATE(VALUE(RIGHT(TRIM('Base de Datos'!I196),4)),VALUE(MID(TRIM('Base de Datos'!I196),4,2)),VALUE(LEFT(TRIM('Base de Datos'!I196),2))),IFERROR(DATEVALUE(TRIM('Base de Datos'!I196)),"")))),"")</f>
        <v/>
      </c>
      <c r="AG200" s="74" t="str">
        <f aca="false">IF(ISNUMBER('Base de Datos'!J196),'Base de Datos'!J196,IF(TRIM('Base de Datos'!J196)="","",IFERROR(IF(IFERROR(FIND("@",SUBSTITUTE(TRIM('Base de Datos'!J196),",","@",LEN(TRIM('Base de Datos'!J196))-LEN(SUBSTITUTE(TRIM('Base de Datos'!J196),",","")))),0)&gt;IFERROR(FIND("@",SUBSTITUTE(TRIM('Base de Datos'!J196),".","@",LEN(TRIM('Base de Datos'!J196))-LEN(SUBSTITUTE(TRIM('Base de Datos'!J196),".","")))),0),_xlfn.NUMBERVALUE(SUBSTITUTE(SUBSTITUTE(TRIM('Base de Datos'!J196),".",""),",","."),".",","),_xlfn.NUMBERVALUE(SUBSTITUTE(TRIM('Base de Datos'!J196),",",""),".",",")),"")))</f>
        <v/>
      </c>
      <c r="AH200" s="73" t="n">
        <f aca="false">IF(ISNUMBER(AI200),IF(ISNUMBER('Base de Datos'!Q196),IF('Base de Datos'!Q196&gt;20000,DATE(YEAR('Base de Datos'!Q196),DAY('Base de Datos'!Q196),MONTH('Base de Datos'!Q196)),""),IF(TRIM('Base de Datos'!Q196)="","",IFERROR(DATE(VALUE(RIGHT(TRIM('Base de Datos'!Q196),4)),VALUE(LEFT(TRIM('Base de Datos'!Q196),2)),VALUE(MID(TRIM('Base de Datos'!Q196),4,2))),""))),"")</f>
        <v>45816</v>
      </c>
      <c r="AI200" s="74" t="n">
        <f aca="false">IF(ISNUMBER('Base de Datos'!R196),'Base de Datos'!R196,IF(TRIM('Base de Datos'!R196)="","",IFERROR(IF(IFERROR(FIND("@",SUBSTITUTE(TRIM('Base de Datos'!R196),",","@",LEN(TRIM('Base de Datos'!R196))-LEN(SUBSTITUTE(TRIM('Base de Datos'!R196),",","")))),0)&gt;IFERROR(FIND("@",SUBSTITUTE(TRIM('Base de Datos'!R196),".","@",LEN(TRIM('Base de Datos'!R196))-LEN(SUBSTITUTE(TRIM('Base de Datos'!R196),".","")))),0),_xlfn.NUMBERVALUE(SUBSTITUTE(SUBSTITUTE(TRIM('Base de Datos'!R196),".",""),",","."),".",","),_xlfn.NUMBERVALUE(SUBSTITUTE(TRIM('Base de Datos'!R196),",",""),".",",")),"")))</f>
        <v>27.38</v>
      </c>
      <c r="AJ200" s="73" t="n">
        <f aca="false">IF(ISNUMBER(AK200),IF(ISNUMBER('Base de Datos'!Y196),IF('Base de Datos'!Y196&gt;20000,INT('Base de Datos'!Y196),""),IF(TRIM('Base de Datos'!Y196)="","",IFERROR(DATE(VALUE(RIGHT(TRIM('Base de Datos'!Y196),4)),VALUE(MID(TRIM('Base de Datos'!Y196),4,2)),VALUE(LEFT(TRIM('Base de Datos'!Y196),2))),IFERROR(DATEVALUE(TRIM('Base de Datos'!Y196)),"")))),"")</f>
        <v>45816</v>
      </c>
      <c r="AK200" s="74" t="n">
        <f aca="false">IF(ISNUMBER('Base de Datos'!Z196),'Base de Datos'!Z196,IF(TRIM('Base de Datos'!Z196)="","",IFERROR(IF(IFERROR(FIND("@",SUBSTITUTE(TRIM('Base de Datos'!Z196),",","@",LEN(TRIM('Base de Datos'!Z196))-LEN(SUBSTITUTE(TRIM('Base de Datos'!Z196),",","")))),0)&gt;IFERROR(FIND("@",SUBSTITUTE(TRIM('Base de Datos'!Z196),".","@",LEN(TRIM('Base de Datos'!Z196))-LEN(SUBSTITUTE(TRIM('Base de Datos'!Z196),".","")))),0),_xlfn.NUMBERVALUE(SUBSTITUTE(SUBSTITUTE(TRIM('Base de Datos'!Z196),".",""),",","."),".",","),_xlfn.NUMBERVALUE(SUBSTITUTE(TRIM('Base de Datos'!Z196),",",""),".",",")),"")))</f>
        <v>57438.57</v>
      </c>
    </row>
    <row r="201" customFormat="false" ht="13.5" hidden="false" customHeight="false" outlineLevel="0" collapsed="false">
      <c r="A201" s="75" t="n">
        <f aca="false">ROWS(A$13:A201)</f>
        <v>189</v>
      </c>
      <c r="B201" s="73" t="n">
        <f aca="false">IF(B200="","",IFERROR(SMALL($AH$10:$AH$409,COUNTIF($AH$10:$AH$409,"&lt;="&amp;B200)+1),""))</f>
        <v>45802</v>
      </c>
      <c r="C201" s="74" t="n">
        <f aca="false">IF(B201="","",INDEX($AI$10:$AI$409,MATCH(B201,$AH$10:$AH$409,0)))</f>
        <v>27.51</v>
      </c>
      <c r="D201" s="74" t="n">
        <f aca="false">IF(B201="","",IFERROR(INDEX($AK$10:$AK$409,MATCH(B201,$AJ$10:$AJ$409,0)),""))</f>
        <v>57841.69</v>
      </c>
      <c r="E201" s="76" t="n">
        <f aca="false">IF(AND(ISNUMBER(C201),ISNUMBER(C200)),C201/C200-1,"")</f>
        <v>0.00621799561082659</v>
      </c>
      <c r="F201" s="76" t="n">
        <f aca="false">IF(AND(ISNUMBER(D201),ISNUMBER(D200)),D201/D200-1,"")</f>
        <v>-0.00973594243624887</v>
      </c>
      <c r="G201" s="75" t="n">
        <f aca="false">IF(AND(ISNUMBER(E201),ISNUMBER(F201)),1,"")</f>
        <v>1</v>
      </c>
      <c r="H201" s="75" t="n">
        <f aca="false">IF(G201=1,COUNT(G201:G$412),"")</f>
        <v>71</v>
      </c>
      <c r="I201" s="75" t="n">
        <f aca="false">IF(G201=1,IF(H201&lt;='Beta Regresión'!$B$5,1,""),"")</f>
        <v>1</v>
      </c>
      <c r="J201" s="76" t="n">
        <f aca="false">IF(I201=1,E201,"")</f>
        <v>0.00621799561082659</v>
      </c>
      <c r="K201" s="76" t="n">
        <f aca="false">IF(I201=1,F201,"")</f>
        <v>-0.00973594243624887</v>
      </c>
      <c r="L201" s="75" t="n">
        <f aca="false">IF(I201=1,COUNT(I$13:I201),"")</f>
        <v>188</v>
      </c>
      <c r="M201" s="76" t="n">
        <f aca="false">IFERROR(INDEX($J$13:$J$412,MATCH(A201,$L$13:$L$412,0)),"")</f>
        <v>-0.0185387131952018</v>
      </c>
      <c r="N201" s="76" t="n">
        <f aca="false">IFERROR(INDEX($K$13:$K$412,MATCH(A201,$L$13:$L$412,0)),"")</f>
        <v>0.00379864419590792</v>
      </c>
      <c r="O201" s="76" t="n">
        <f aca="false">IF(I201=1,E201,NA())</f>
        <v>0.00621799561082659</v>
      </c>
      <c r="P201" s="76" t="n">
        <f aca="false">IF(I201=1,F201,NA())</f>
        <v>-0.00973594243624887</v>
      </c>
      <c r="R201" s="75" t="n">
        <f aca="false">ROWS(R$13:R201)</f>
        <v>189</v>
      </c>
      <c r="S201" s="73" t="str">
        <f aca="false">IF(S200="","",IFERROR(SMALL($AD$10:$AD$509,COUNTIF($AD$10:$AD$509,"&lt;="&amp;S200)+1),""))</f>
        <v/>
      </c>
      <c r="T201" s="74" t="str">
        <f aca="false">IF(S201="","",INDEX($AE$10:$AE$509,MATCH(S201,$AD$10:$AD$509,0)))</f>
        <v/>
      </c>
      <c r="U201" s="74" t="str">
        <f aca="false">IF(S201="","",IFERROR(INDEX($AG$10:$AG$509,MATCH(S201,$AF$10:$AF$509,0)),""))</f>
        <v/>
      </c>
      <c r="V201" s="76" t="str">
        <f aca="false">IF(AND(ISNUMBER(T201),ISNUMBER(T200)),T201/T200-1,"")</f>
        <v/>
      </c>
      <c r="W201" s="76" t="str">
        <f aca="false">IF(AND(ISNUMBER(U201),ISNUMBER(U200)),U201/U200-1,"")</f>
        <v/>
      </c>
      <c r="X201" s="75" t="str">
        <f aca="false">IF(AND(ISNUMBER(V201),ISNUMBER(W201)),1,"")</f>
        <v/>
      </c>
      <c r="Y201" s="76" t="str">
        <f aca="false">IF(X201=1,V201,"")</f>
        <v/>
      </c>
      <c r="Z201" s="76" t="str">
        <f aca="false">IF(X201=1,W201,"")</f>
        <v/>
      </c>
      <c r="AA201" s="76" t="e">
        <f aca="false">IF(X201=1,V201,NA())</f>
        <v>#N/A</v>
      </c>
      <c r="AB201" s="76" t="e">
        <f aca="false">IF(X201=1,W201,NA())</f>
        <v>#N/A</v>
      </c>
      <c r="AD201" s="73" t="str">
        <f aca="false">IF(ISNUMBER(AE201),IF(ISNUMBER('Base de Datos'!A197),IF('Base de Datos'!A197&gt;20000,DATE(YEAR('Base de Datos'!A197),DAY('Base de Datos'!A197),MONTH('Base de Datos'!A197)),""),IF(TRIM('Base de Datos'!A197)="","",IFERROR(DATE(VALUE(RIGHT(TRIM('Base de Datos'!A197),4)),VALUE(LEFT(TRIM('Base de Datos'!A197),2)),VALUE(MID(TRIM('Base de Datos'!A197),4,2))),""))),"")</f>
        <v/>
      </c>
      <c r="AE201" s="74" t="str">
        <f aca="false">IF(ISNUMBER('Base de Datos'!B197),'Base de Datos'!B197,IF(TRIM('Base de Datos'!B197)="","",IFERROR(IF(IFERROR(FIND("@",SUBSTITUTE(TRIM('Base de Datos'!B197),",","@",LEN(TRIM('Base de Datos'!B197))-LEN(SUBSTITUTE(TRIM('Base de Datos'!B197),",","")))),0)&gt;IFERROR(FIND("@",SUBSTITUTE(TRIM('Base de Datos'!B197),".","@",LEN(TRIM('Base de Datos'!B197))-LEN(SUBSTITUTE(TRIM('Base de Datos'!B197),".","")))),0),_xlfn.NUMBERVALUE(SUBSTITUTE(SUBSTITUTE(TRIM('Base de Datos'!B197),".",""),",","."),".",","),_xlfn.NUMBERVALUE(SUBSTITUTE(TRIM('Base de Datos'!B197),",",""),".",",")),"")))</f>
        <v/>
      </c>
      <c r="AF201" s="73" t="str">
        <f aca="false">IF(ISNUMBER(AG201),IF(ISNUMBER('Base de Datos'!I197),IF('Base de Datos'!I197&gt;20000,INT('Base de Datos'!I197),""),IF(TRIM('Base de Datos'!I197)="","",IFERROR(DATE(VALUE(RIGHT(TRIM('Base de Datos'!I197),4)),VALUE(MID(TRIM('Base de Datos'!I197),4,2)),VALUE(LEFT(TRIM('Base de Datos'!I197),2))),IFERROR(DATEVALUE(TRIM('Base de Datos'!I197)),"")))),"")</f>
        <v/>
      </c>
      <c r="AG201" s="74" t="str">
        <f aca="false">IF(ISNUMBER('Base de Datos'!J197),'Base de Datos'!J197,IF(TRIM('Base de Datos'!J197)="","",IFERROR(IF(IFERROR(FIND("@",SUBSTITUTE(TRIM('Base de Datos'!J197),",","@",LEN(TRIM('Base de Datos'!J197))-LEN(SUBSTITUTE(TRIM('Base de Datos'!J197),",","")))),0)&gt;IFERROR(FIND("@",SUBSTITUTE(TRIM('Base de Datos'!J197),".","@",LEN(TRIM('Base de Datos'!J197))-LEN(SUBSTITUTE(TRIM('Base de Datos'!J197),".","")))),0),_xlfn.NUMBERVALUE(SUBSTITUTE(SUBSTITUTE(TRIM('Base de Datos'!J197),".",""),",","."),".",","),_xlfn.NUMBERVALUE(SUBSTITUTE(TRIM('Base de Datos'!J197),",",""),".",",")),"")))</f>
        <v/>
      </c>
      <c r="AH201" s="73" t="n">
        <f aca="false">IF(ISNUMBER(AI201),IF(ISNUMBER('Base de Datos'!Q197),IF('Base de Datos'!Q197&gt;20000,DATE(YEAR('Base de Datos'!Q197),DAY('Base de Datos'!Q197),MONTH('Base de Datos'!Q197)),""),IF(TRIM('Base de Datos'!Q197)="","",IFERROR(DATE(VALUE(RIGHT(TRIM('Base de Datos'!Q197),4)),VALUE(LEFT(TRIM('Base de Datos'!Q197),2)),VALUE(MID(TRIM('Base de Datos'!Q197),4,2))),""))),"")</f>
        <v>45823</v>
      </c>
      <c r="AI201" s="74" t="n">
        <f aca="false">IF(ISNUMBER('Base de Datos'!R197),'Base de Datos'!R197,IF(TRIM('Base de Datos'!R197)="","",IFERROR(IF(IFERROR(FIND("@",SUBSTITUTE(TRIM('Base de Datos'!R197),",","@",LEN(TRIM('Base de Datos'!R197))-LEN(SUBSTITUTE(TRIM('Base de Datos'!R197),",","")))),0)&gt;IFERROR(FIND("@",SUBSTITUTE(TRIM('Base de Datos'!R197),".","@",LEN(TRIM('Base de Datos'!R197))-LEN(SUBSTITUTE(TRIM('Base de Datos'!R197),".","")))),0),_xlfn.NUMBERVALUE(SUBSTITUTE(SUBSTITUTE(TRIM('Base de Datos'!R197),".",""),",","."),".",","),_xlfn.NUMBERVALUE(SUBSTITUTE(TRIM('Base de Datos'!R197),",",""),".",",")),"")))</f>
        <v>27.27</v>
      </c>
      <c r="AJ201" s="73" t="n">
        <f aca="false">IF(ISNUMBER(AK201),IF(ISNUMBER('Base de Datos'!Y197),IF('Base de Datos'!Y197&gt;20000,INT('Base de Datos'!Y197),""),IF(TRIM('Base de Datos'!Y197)="","",IFERROR(DATE(VALUE(RIGHT(TRIM('Base de Datos'!Y197),4)),VALUE(MID(TRIM('Base de Datos'!Y197),4,2)),VALUE(LEFT(TRIM('Base de Datos'!Y197),2))),IFERROR(DATEVALUE(TRIM('Base de Datos'!Y197)),"")))),"")</f>
        <v>45823</v>
      </c>
      <c r="AK201" s="74" t="n">
        <f aca="false">IF(ISNUMBER('Base de Datos'!Z197),'Base de Datos'!Z197,IF(TRIM('Base de Datos'!Z197)="","",IFERROR(IF(IFERROR(FIND("@",SUBSTITUTE(TRIM('Base de Datos'!Z197),",","@",LEN(TRIM('Base de Datos'!Z197))-LEN(SUBSTITUTE(TRIM('Base de Datos'!Z197),",","")))),0)&gt;IFERROR(FIND("@",SUBSTITUTE(TRIM('Base de Datos'!Z197),".","@",LEN(TRIM('Base de Datos'!Z197))-LEN(SUBSTITUTE(TRIM('Base de Datos'!Z197),".","")))),0),_xlfn.NUMBERVALUE(SUBSTITUTE(SUBSTITUTE(TRIM('Base de Datos'!Z197),".",""),",","."),".",","),_xlfn.NUMBERVALUE(SUBSTITUTE(TRIM('Base de Datos'!Z197),",",""),".",",")),"")))</f>
        <v>56264.69</v>
      </c>
    </row>
    <row r="202" customFormat="false" ht="13.5" hidden="false" customHeight="false" outlineLevel="0" collapsed="false">
      <c r="A202" s="75" t="n">
        <f aca="false">ROWS(A$13:A202)</f>
        <v>190</v>
      </c>
      <c r="B202" s="73" t="n">
        <f aca="false">IF(B201="","",IFERROR(SMALL($AH$10:$AH$409,COUNTIF($AH$10:$AH$409,"&lt;="&amp;B201)+1),""))</f>
        <v>45809</v>
      </c>
      <c r="C202" s="74" t="n">
        <f aca="false">IF(B202="","",INDEX($AI$10:$AI$409,MATCH(B202,$AH$10:$AH$409,0)))</f>
        <v>27</v>
      </c>
      <c r="D202" s="74" t="n">
        <f aca="false">IF(B202="","",IFERROR(INDEX($AK$10:$AK$409,MATCH(B202,$AJ$10:$AJ$409,0)),""))</f>
        <v>58061.41</v>
      </c>
      <c r="E202" s="76" t="n">
        <f aca="false">IF(AND(ISNUMBER(C202),ISNUMBER(C201)),C202/C201-1,"")</f>
        <v>-0.0185387131952018</v>
      </c>
      <c r="F202" s="76" t="n">
        <f aca="false">IF(AND(ISNUMBER(D202),ISNUMBER(D201)),D202/D201-1,"")</f>
        <v>0.00379864419590792</v>
      </c>
      <c r="G202" s="75" t="n">
        <f aca="false">IF(AND(ISNUMBER(E202),ISNUMBER(F202)),1,"")</f>
        <v>1</v>
      </c>
      <c r="H202" s="75" t="n">
        <f aca="false">IF(G202=1,COUNT(G202:G$412),"")</f>
        <v>70</v>
      </c>
      <c r="I202" s="75" t="n">
        <f aca="false">IF(G202=1,IF(H202&lt;='Beta Regresión'!$B$5,1,""),"")</f>
        <v>1</v>
      </c>
      <c r="J202" s="76" t="n">
        <f aca="false">IF(I202=1,E202,"")</f>
        <v>-0.0185387131952018</v>
      </c>
      <c r="K202" s="76" t="n">
        <f aca="false">IF(I202=1,F202,"")</f>
        <v>0.00379864419590792</v>
      </c>
      <c r="L202" s="75" t="n">
        <f aca="false">IF(I202=1,COUNT(I$13:I202),"")</f>
        <v>189</v>
      </c>
      <c r="M202" s="76" t="n">
        <f aca="false">IFERROR(INDEX($J$13:$J$412,MATCH(A202,$L$13:$L$412,0)),"")</f>
        <v>0.0140740740740741</v>
      </c>
      <c r="N202" s="76" t="n">
        <f aca="false">IFERROR(INDEX($K$13:$K$412,MATCH(A202,$L$13:$L$412,0)),"")</f>
        <v>-0.0107272627378495</v>
      </c>
      <c r="O202" s="76" t="n">
        <f aca="false">IF(I202=1,E202,NA())</f>
        <v>-0.0185387131952018</v>
      </c>
      <c r="P202" s="76" t="n">
        <f aca="false">IF(I202=1,F202,NA())</f>
        <v>0.00379864419590792</v>
      </c>
      <c r="R202" s="75" t="n">
        <f aca="false">ROWS(R$13:R202)</f>
        <v>190</v>
      </c>
      <c r="S202" s="73" t="str">
        <f aca="false">IF(S201="","",IFERROR(SMALL($AD$10:$AD$509,COUNTIF($AD$10:$AD$509,"&lt;="&amp;S201)+1),""))</f>
        <v/>
      </c>
      <c r="T202" s="74" t="str">
        <f aca="false">IF(S202="","",INDEX($AE$10:$AE$509,MATCH(S202,$AD$10:$AD$509,0)))</f>
        <v/>
      </c>
      <c r="U202" s="74" t="str">
        <f aca="false">IF(S202="","",IFERROR(INDEX($AG$10:$AG$509,MATCH(S202,$AF$10:$AF$509,0)),""))</f>
        <v/>
      </c>
      <c r="V202" s="76" t="str">
        <f aca="false">IF(AND(ISNUMBER(T202),ISNUMBER(T201)),T202/T201-1,"")</f>
        <v/>
      </c>
      <c r="W202" s="76" t="str">
        <f aca="false">IF(AND(ISNUMBER(U202),ISNUMBER(U201)),U202/U201-1,"")</f>
        <v/>
      </c>
      <c r="X202" s="75" t="str">
        <f aca="false">IF(AND(ISNUMBER(V202),ISNUMBER(W202)),1,"")</f>
        <v/>
      </c>
      <c r="Y202" s="76" t="str">
        <f aca="false">IF(X202=1,V202,"")</f>
        <v/>
      </c>
      <c r="Z202" s="76" t="str">
        <f aca="false">IF(X202=1,W202,"")</f>
        <v/>
      </c>
      <c r="AA202" s="76" t="e">
        <f aca="false">IF(X202=1,V202,NA())</f>
        <v>#N/A</v>
      </c>
      <c r="AB202" s="76" t="e">
        <f aca="false">IF(X202=1,W202,NA())</f>
        <v>#N/A</v>
      </c>
      <c r="AD202" s="73" t="str">
        <f aca="false">IF(ISNUMBER(AE202),IF(ISNUMBER('Base de Datos'!A198),IF('Base de Datos'!A198&gt;20000,DATE(YEAR('Base de Datos'!A198),DAY('Base de Datos'!A198),MONTH('Base de Datos'!A198)),""),IF(TRIM('Base de Datos'!A198)="","",IFERROR(DATE(VALUE(RIGHT(TRIM('Base de Datos'!A198),4)),VALUE(LEFT(TRIM('Base de Datos'!A198),2)),VALUE(MID(TRIM('Base de Datos'!A198),4,2))),""))),"")</f>
        <v/>
      </c>
      <c r="AE202" s="74" t="str">
        <f aca="false">IF(ISNUMBER('Base de Datos'!B198),'Base de Datos'!B198,IF(TRIM('Base de Datos'!B198)="","",IFERROR(IF(IFERROR(FIND("@",SUBSTITUTE(TRIM('Base de Datos'!B198),",","@",LEN(TRIM('Base de Datos'!B198))-LEN(SUBSTITUTE(TRIM('Base de Datos'!B198),",","")))),0)&gt;IFERROR(FIND("@",SUBSTITUTE(TRIM('Base de Datos'!B198),".","@",LEN(TRIM('Base de Datos'!B198))-LEN(SUBSTITUTE(TRIM('Base de Datos'!B198),".","")))),0),_xlfn.NUMBERVALUE(SUBSTITUTE(SUBSTITUTE(TRIM('Base de Datos'!B198),".",""),",","."),".",","),_xlfn.NUMBERVALUE(SUBSTITUTE(TRIM('Base de Datos'!B198),",",""),".",",")),"")))</f>
        <v/>
      </c>
      <c r="AF202" s="73" t="str">
        <f aca="false">IF(ISNUMBER(AG202),IF(ISNUMBER('Base de Datos'!I198),IF('Base de Datos'!I198&gt;20000,INT('Base de Datos'!I198),""),IF(TRIM('Base de Datos'!I198)="","",IFERROR(DATE(VALUE(RIGHT(TRIM('Base de Datos'!I198),4)),VALUE(MID(TRIM('Base de Datos'!I198),4,2)),VALUE(LEFT(TRIM('Base de Datos'!I198),2))),IFERROR(DATEVALUE(TRIM('Base de Datos'!I198)),"")))),"")</f>
        <v/>
      </c>
      <c r="AG202" s="74" t="str">
        <f aca="false">IF(ISNUMBER('Base de Datos'!J198),'Base de Datos'!J198,IF(TRIM('Base de Datos'!J198)="","",IFERROR(IF(IFERROR(FIND("@",SUBSTITUTE(TRIM('Base de Datos'!J198),",","@",LEN(TRIM('Base de Datos'!J198))-LEN(SUBSTITUTE(TRIM('Base de Datos'!J198),",","")))),0)&gt;IFERROR(FIND("@",SUBSTITUTE(TRIM('Base de Datos'!J198),".","@",LEN(TRIM('Base de Datos'!J198))-LEN(SUBSTITUTE(TRIM('Base de Datos'!J198),".","")))),0),_xlfn.NUMBERVALUE(SUBSTITUTE(SUBSTITUTE(TRIM('Base de Datos'!J198),".",""),",","."),".",","),_xlfn.NUMBERVALUE(SUBSTITUTE(TRIM('Base de Datos'!J198),",",""),".",",")),"")))</f>
        <v/>
      </c>
      <c r="AH202" s="73" t="n">
        <f aca="false">IF(ISNUMBER(AI202),IF(ISNUMBER('Base de Datos'!Q198),IF('Base de Datos'!Q198&gt;20000,DATE(YEAR('Base de Datos'!Q198),DAY('Base de Datos'!Q198),MONTH('Base de Datos'!Q198)),""),IF(TRIM('Base de Datos'!Q198)="","",IFERROR(DATE(VALUE(RIGHT(TRIM('Base de Datos'!Q198),4)),VALUE(LEFT(TRIM('Base de Datos'!Q198),2)),VALUE(MID(TRIM('Base de Datos'!Q198),4,2))),""))),"")</f>
        <v>45830</v>
      </c>
      <c r="AI202" s="74" t="n">
        <f aca="false">IF(ISNUMBER('Base de Datos'!R198),'Base de Datos'!R198,IF(TRIM('Base de Datos'!R198)="","",IFERROR(IF(IFERROR(FIND("@",SUBSTITUTE(TRIM('Base de Datos'!R198),",","@",LEN(TRIM('Base de Datos'!R198))-LEN(SUBSTITUTE(TRIM('Base de Datos'!R198),",","")))),0)&gt;IFERROR(FIND("@",SUBSTITUTE(TRIM('Base de Datos'!R198),".","@",LEN(TRIM('Base de Datos'!R198))-LEN(SUBSTITUTE(TRIM('Base de Datos'!R198),".","")))),0),_xlfn.NUMBERVALUE(SUBSTITUTE(SUBSTITUTE(TRIM('Base de Datos'!R198),".",""),",","."),".",","),_xlfn.NUMBERVALUE(SUBSTITUTE(TRIM('Base de Datos'!R198),",",""),".",",")),"")))</f>
        <v>27.98</v>
      </c>
      <c r="AJ202" s="73" t="n">
        <f aca="false">IF(ISNUMBER(AK202),IF(ISNUMBER('Base de Datos'!Y198),IF('Base de Datos'!Y198&gt;20000,INT('Base de Datos'!Y198),""),IF(TRIM('Base de Datos'!Y198)="","",IFERROR(DATE(VALUE(RIGHT(TRIM('Base de Datos'!Y198),4)),VALUE(MID(TRIM('Base de Datos'!Y198),4,2)),VALUE(LEFT(TRIM('Base de Datos'!Y198),2))),IFERROR(DATEVALUE(TRIM('Base de Datos'!Y198)),"")))),"")</f>
        <v>45830</v>
      </c>
      <c r="AK202" s="74" t="n">
        <f aca="false">IF(ISNUMBER('Base de Datos'!Z198),'Base de Datos'!Z198,IF(TRIM('Base de Datos'!Z198)="","",IFERROR(IF(IFERROR(FIND("@",SUBSTITUTE(TRIM('Base de Datos'!Z198),",","@",LEN(TRIM('Base de Datos'!Z198))-LEN(SUBSTITUTE(TRIM('Base de Datos'!Z198),",","")))),0)&gt;IFERROR(FIND("@",SUBSTITUTE(TRIM('Base de Datos'!Z198),".","@",LEN(TRIM('Base de Datos'!Z198))-LEN(SUBSTITUTE(TRIM('Base de Datos'!Z198),".","")))),0),_xlfn.NUMBERVALUE(SUBSTITUTE(SUBSTITUTE(TRIM('Base de Datos'!Z198),".",""),",","."),".",","),_xlfn.NUMBERVALUE(SUBSTITUTE(TRIM('Base de Datos'!Z198),",",""),".",",")),"")))</f>
        <v>57391.51</v>
      </c>
    </row>
    <row r="203" customFormat="false" ht="13.5" hidden="false" customHeight="false" outlineLevel="0" collapsed="false">
      <c r="A203" s="75" t="n">
        <f aca="false">ROWS(A$13:A203)</f>
        <v>191</v>
      </c>
      <c r="B203" s="73" t="n">
        <f aca="false">IF(B202="","",IFERROR(SMALL($AH$10:$AH$409,COUNTIF($AH$10:$AH$409,"&lt;="&amp;B202)+1),""))</f>
        <v>45816</v>
      </c>
      <c r="C203" s="74" t="n">
        <f aca="false">IF(B203="","",INDEX($AI$10:$AI$409,MATCH(B203,$AH$10:$AH$409,0)))</f>
        <v>27.38</v>
      </c>
      <c r="D203" s="74" t="n">
        <f aca="false">IF(B203="","",IFERROR(INDEX($AK$10:$AK$409,MATCH(B203,$AJ$10:$AJ$409,0)),""))</f>
        <v>57438.57</v>
      </c>
      <c r="E203" s="76" t="n">
        <f aca="false">IF(AND(ISNUMBER(C203),ISNUMBER(C202)),C203/C202-1,"")</f>
        <v>0.0140740740740741</v>
      </c>
      <c r="F203" s="76" t="n">
        <f aca="false">IF(AND(ISNUMBER(D203),ISNUMBER(D202)),D203/D202-1,"")</f>
        <v>-0.0107272627378495</v>
      </c>
      <c r="G203" s="75" t="n">
        <f aca="false">IF(AND(ISNUMBER(E203),ISNUMBER(F203)),1,"")</f>
        <v>1</v>
      </c>
      <c r="H203" s="75" t="n">
        <f aca="false">IF(G203=1,COUNT(G203:G$412),"")</f>
        <v>69</v>
      </c>
      <c r="I203" s="75" t="n">
        <f aca="false">IF(G203=1,IF(H203&lt;='Beta Regresión'!$B$5,1,""),"")</f>
        <v>1</v>
      </c>
      <c r="J203" s="76" t="n">
        <f aca="false">IF(I203=1,E203,"")</f>
        <v>0.0140740740740741</v>
      </c>
      <c r="K203" s="76" t="n">
        <f aca="false">IF(I203=1,F203,"")</f>
        <v>-0.0107272627378495</v>
      </c>
      <c r="L203" s="75" t="n">
        <f aca="false">IF(I203=1,COUNT(I$13:I203),"")</f>
        <v>190</v>
      </c>
      <c r="M203" s="76" t="n">
        <f aca="false">IFERROR(INDEX($J$13:$J$412,MATCH(A203,$L$13:$L$412,0)),"")</f>
        <v>-0.00401753104455804</v>
      </c>
      <c r="N203" s="76" t="n">
        <f aca="false">IFERROR(INDEX($K$13:$K$412,MATCH(A203,$L$13:$L$412,0)),"")</f>
        <v>-0.0204371383201217</v>
      </c>
      <c r="O203" s="76" t="n">
        <f aca="false">IF(I203=1,E203,NA())</f>
        <v>0.0140740740740741</v>
      </c>
      <c r="P203" s="76" t="n">
        <f aca="false">IF(I203=1,F203,NA())</f>
        <v>-0.0107272627378495</v>
      </c>
      <c r="R203" s="75" t="n">
        <f aca="false">ROWS(R$13:R203)</f>
        <v>191</v>
      </c>
      <c r="S203" s="73" t="str">
        <f aca="false">IF(S202="","",IFERROR(SMALL($AD$10:$AD$509,COUNTIF($AD$10:$AD$509,"&lt;="&amp;S202)+1),""))</f>
        <v/>
      </c>
      <c r="T203" s="74" t="str">
        <f aca="false">IF(S203="","",INDEX($AE$10:$AE$509,MATCH(S203,$AD$10:$AD$509,0)))</f>
        <v/>
      </c>
      <c r="U203" s="74" t="str">
        <f aca="false">IF(S203="","",IFERROR(INDEX($AG$10:$AG$509,MATCH(S203,$AF$10:$AF$509,0)),""))</f>
        <v/>
      </c>
      <c r="V203" s="76" t="str">
        <f aca="false">IF(AND(ISNUMBER(T203),ISNUMBER(T202)),T203/T202-1,"")</f>
        <v/>
      </c>
      <c r="W203" s="76" t="str">
        <f aca="false">IF(AND(ISNUMBER(U203),ISNUMBER(U202)),U203/U202-1,"")</f>
        <v/>
      </c>
      <c r="X203" s="75" t="str">
        <f aca="false">IF(AND(ISNUMBER(V203),ISNUMBER(W203)),1,"")</f>
        <v/>
      </c>
      <c r="Y203" s="76" t="str">
        <f aca="false">IF(X203=1,V203,"")</f>
        <v/>
      </c>
      <c r="Z203" s="76" t="str">
        <f aca="false">IF(X203=1,W203,"")</f>
        <v/>
      </c>
      <c r="AA203" s="76" t="e">
        <f aca="false">IF(X203=1,V203,NA())</f>
        <v>#N/A</v>
      </c>
      <c r="AB203" s="76" t="e">
        <f aca="false">IF(X203=1,W203,NA())</f>
        <v>#N/A</v>
      </c>
      <c r="AD203" s="73" t="str">
        <f aca="false">IF(ISNUMBER(AE203),IF(ISNUMBER('Base de Datos'!A199),IF('Base de Datos'!A199&gt;20000,DATE(YEAR('Base de Datos'!A199),DAY('Base de Datos'!A199),MONTH('Base de Datos'!A199)),""),IF(TRIM('Base de Datos'!A199)="","",IFERROR(DATE(VALUE(RIGHT(TRIM('Base de Datos'!A199),4)),VALUE(LEFT(TRIM('Base de Datos'!A199),2)),VALUE(MID(TRIM('Base de Datos'!A199),4,2))),""))),"")</f>
        <v/>
      </c>
      <c r="AE203" s="74" t="str">
        <f aca="false">IF(ISNUMBER('Base de Datos'!B199),'Base de Datos'!B199,IF(TRIM('Base de Datos'!B199)="","",IFERROR(IF(IFERROR(FIND("@",SUBSTITUTE(TRIM('Base de Datos'!B199),",","@",LEN(TRIM('Base de Datos'!B199))-LEN(SUBSTITUTE(TRIM('Base de Datos'!B199),",","")))),0)&gt;IFERROR(FIND("@",SUBSTITUTE(TRIM('Base de Datos'!B199),".","@",LEN(TRIM('Base de Datos'!B199))-LEN(SUBSTITUTE(TRIM('Base de Datos'!B199),".","")))),0),_xlfn.NUMBERVALUE(SUBSTITUTE(SUBSTITUTE(TRIM('Base de Datos'!B199),".",""),",","."),".",","),_xlfn.NUMBERVALUE(SUBSTITUTE(TRIM('Base de Datos'!B199),",",""),".",",")),"")))</f>
        <v/>
      </c>
      <c r="AF203" s="73" t="str">
        <f aca="false">IF(ISNUMBER(AG203),IF(ISNUMBER('Base de Datos'!I199),IF('Base de Datos'!I199&gt;20000,INT('Base de Datos'!I199),""),IF(TRIM('Base de Datos'!I199)="","",IFERROR(DATE(VALUE(RIGHT(TRIM('Base de Datos'!I199),4)),VALUE(MID(TRIM('Base de Datos'!I199),4,2)),VALUE(LEFT(TRIM('Base de Datos'!I199),2))),IFERROR(DATEVALUE(TRIM('Base de Datos'!I199)),"")))),"")</f>
        <v/>
      </c>
      <c r="AG203" s="74" t="str">
        <f aca="false">IF(ISNUMBER('Base de Datos'!J199),'Base de Datos'!J199,IF(TRIM('Base de Datos'!J199)="","",IFERROR(IF(IFERROR(FIND("@",SUBSTITUTE(TRIM('Base de Datos'!J199),",","@",LEN(TRIM('Base de Datos'!J199))-LEN(SUBSTITUTE(TRIM('Base de Datos'!J199),",","")))),0)&gt;IFERROR(FIND("@",SUBSTITUTE(TRIM('Base de Datos'!J199),".","@",LEN(TRIM('Base de Datos'!J199))-LEN(SUBSTITUTE(TRIM('Base de Datos'!J199),".","")))),0),_xlfn.NUMBERVALUE(SUBSTITUTE(SUBSTITUTE(TRIM('Base de Datos'!J199),".",""),",","."),".",","),_xlfn.NUMBERVALUE(SUBSTITUTE(TRIM('Base de Datos'!J199),",",""),".",",")),"")))</f>
        <v/>
      </c>
      <c r="AH203" s="73" t="n">
        <f aca="false">IF(ISNUMBER(AI203),IF(ISNUMBER('Base de Datos'!Q199),IF('Base de Datos'!Q199&gt;20000,DATE(YEAR('Base de Datos'!Q199),DAY('Base de Datos'!Q199),MONTH('Base de Datos'!Q199)),""),IF(TRIM('Base de Datos'!Q199)="","",IFERROR(DATE(VALUE(RIGHT(TRIM('Base de Datos'!Q199),4)),VALUE(LEFT(TRIM('Base de Datos'!Q199),2)),VALUE(MID(TRIM('Base de Datos'!Q199),4,2))),""))),"")</f>
        <v>45837</v>
      </c>
      <c r="AI203" s="74" t="n">
        <f aca="false">IF(ISNUMBER('Base de Datos'!R199),'Base de Datos'!R199,IF(TRIM('Base de Datos'!R199)="","",IFERROR(IF(IFERROR(FIND("@",SUBSTITUTE(TRIM('Base de Datos'!R199),",","@",LEN(TRIM('Base de Datos'!R199))-LEN(SUBSTITUTE(TRIM('Base de Datos'!R199),",","")))),0)&gt;IFERROR(FIND("@",SUBSTITUTE(TRIM('Base de Datos'!R199),".","@",LEN(TRIM('Base de Datos'!R199))-LEN(SUBSTITUTE(TRIM('Base de Datos'!R199),".","")))),0),_xlfn.NUMBERVALUE(SUBSTITUTE(SUBSTITUTE(TRIM('Base de Datos'!R199),".",""),",","."),".",","),_xlfn.NUMBERVALUE(SUBSTITUTE(TRIM('Base de Datos'!R199),",",""),".",",")),"")))</f>
        <v>27</v>
      </c>
      <c r="AJ203" s="73" t="n">
        <f aca="false">IF(ISNUMBER(AK203),IF(ISNUMBER('Base de Datos'!Y199),IF('Base de Datos'!Y199&gt;20000,INT('Base de Datos'!Y199),""),IF(TRIM('Base de Datos'!Y199)="","",IFERROR(DATE(VALUE(RIGHT(TRIM('Base de Datos'!Y199),4)),VALUE(MID(TRIM('Base de Datos'!Y199),4,2)),VALUE(LEFT(TRIM('Base de Datos'!Y199),2))),IFERROR(DATEVALUE(TRIM('Base de Datos'!Y199)),"")))),"")</f>
        <v>45837</v>
      </c>
      <c r="AK203" s="74" t="n">
        <f aca="false">IF(ISNUMBER('Base de Datos'!Z199),'Base de Datos'!Z199,IF(TRIM('Base de Datos'!Z199)="","",IFERROR(IF(IFERROR(FIND("@",SUBSTITUTE(TRIM('Base de Datos'!Z199),",","@",LEN(TRIM('Base de Datos'!Z199))-LEN(SUBSTITUTE(TRIM('Base de Datos'!Z199),",","")))),0)&gt;IFERROR(FIND("@",SUBSTITUTE(TRIM('Base de Datos'!Z199),".","@",LEN(TRIM('Base de Datos'!Z199))-LEN(SUBSTITUTE(TRIM('Base de Datos'!Z199),".","")))),0),_xlfn.NUMBERVALUE(SUBSTITUTE(SUBSTITUTE(TRIM('Base de Datos'!Z199),".",""),",","."),".",","),_xlfn.NUMBERVALUE(SUBSTITUTE(TRIM('Base de Datos'!Z199),",",""),".",",")),"")))</f>
        <v>57977.76</v>
      </c>
    </row>
    <row r="204" customFormat="false" ht="13.5" hidden="false" customHeight="false" outlineLevel="0" collapsed="false">
      <c r="A204" s="75" t="n">
        <f aca="false">ROWS(A$13:A204)</f>
        <v>192</v>
      </c>
      <c r="B204" s="73" t="n">
        <f aca="false">IF(B203="","",IFERROR(SMALL($AH$10:$AH$409,COUNTIF($AH$10:$AH$409,"&lt;="&amp;B203)+1),""))</f>
        <v>45823</v>
      </c>
      <c r="C204" s="74" t="n">
        <f aca="false">IF(B204="","",INDEX($AI$10:$AI$409,MATCH(B204,$AH$10:$AH$409,0)))</f>
        <v>27.27</v>
      </c>
      <c r="D204" s="74" t="n">
        <f aca="false">IF(B204="","",IFERROR(INDEX($AK$10:$AK$409,MATCH(B204,$AJ$10:$AJ$409,0)),""))</f>
        <v>56264.69</v>
      </c>
      <c r="E204" s="76" t="n">
        <f aca="false">IF(AND(ISNUMBER(C204),ISNUMBER(C203)),C204/C203-1,"")</f>
        <v>-0.00401753104455804</v>
      </c>
      <c r="F204" s="76" t="n">
        <f aca="false">IF(AND(ISNUMBER(D204),ISNUMBER(D203)),D204/D203-1,"")</f>
        <v>-0.0204371383201217</v>
      </c>
      <c r="G204" s="75" t="n">
        <f aca="false">IF(AND(ISNUMBER(E204),ISNUMBER(F204)),1,"")</f>
        <v>1</v>
      </c>
      <c r="H204" s="75" t="n">
        <f aca="false">IF(G204=1,COUNT(G204:G$412),"")</f>
        <v>68</v>
      </c>
      <c r="I204" s="75" t="n">
        <f aca="false">IF(G204=1,IF(H204&lt;='Beta Regresión'!$B$5,1,""),"")</f>
        <v>1</v>
      </c>
      <c r="J204" s="76" t="n">
        <f aca="false">IF(I204=1,E204,"")</f>
        <v>-0.00401753104455804</v>
      </c>
      <c r="K204" s="76" t="n">
        <f aca="false">IF(I204=1,F204,"")</f>
        <v>-0.0204371383201217</v>
      </c>
      <c r="L204" s="75" t="n">
        <f aca="false">IF(I204=1,COUNT(I$13:I204),"")</f>
        <v>191</v>
      </c>
      <c r="M204" s="76" t="n">
        <f aca="false">IFERROR(INDEX($J$13:$J$412,MATCH(A204,$L$13:$L$412,0)),"")</f>
        <v>0.026035936927026</v>
      </c>
      <c r="N204" s="76" t="n">
        <f aca="false">IFERROR(INDEX($K$13:$K$412,MATCH(A204,$L$13:$L$412,0)),"")</f>
        <v>0.0200271253605058</v>
      </c>
      <c r="O204" s="76" t="n">
        <f aca="false">IF(I204=1,E204,NA())</f>
        <v>-0.00401753104455804</v>
      </c>
      <c r="P204" s="76" t="n">
        <f aca="false">IF(I204=1,F204,NA())</f>
        <v>-0.0204371383201217</v>
      </c>
      <c r="R204" s="75" t="n">
        <f aca="false">ROWS(R$13:R204)</f>
        <v>192</v>
      </c>
      <c r="S204" s="73" t="str">
        <f aca="false">IF(S203="","",IFERROR(SMALL($AD$10:$AD$509,COUNTIF($AD$10:$AD$509,"&lt;="&amp;S203)+1),""))</f>
        <v/>
      </c>
      <c r="T204" s="74" t="str">
        <f aca="false">IF(S204="","",INDEX($AE$10:$AE$509,MATCH(S204,$AD$10:$AD$509,0)))</f>
        <v/>
      </c>
      <c r="U204" s="74" t="str">
        <f aca="false">IF(S204="","",IFERROR(INDEX($AG$10:$AG$509,MATCH(S204,$AF$10:$AF$509,0)),""))</f>
        <v/>
      </c>
      <c r="V204" s="76" t="str">
        <f aca="false">IF(AND(ISNUMBER(T204),ISNUMBER(T203)),T204/T203-1,"")</f>
        <v/>
      </c>
      <c r="W204" s="76" t="str">
        <f aca="false">IF(AND(ISNUMBER(U204),ISNUMBER(U203)),U204/U203-1,"")</f>
        <v/>
      </c>
      <c r="X204" s="75" t="str">
        <f aca="false">IF(AND(ISNUMBER(V204),ISNUMBER(W204)),1,"")</f>
        <v/>
      </c>
      <c r="Y204" s="76" t="str">
        <f aca="false">IF(X204=1,V204,"")</f>
        <v/>
      </c>
      <c r="Z204" s="76" t="str">
        <f aca="false">IF(X204=1,W204,"")</f>
        <v/>
      </c>
      <c r="AA204" s="76" t="e">
        <f aca="false">IF(X204=1,V204,NA())</f>
        <v>#N/A</v>
      </c>
      <c r="AB204" s="76" t="e">
        <f aca="false">IF(X204=1,W204,NA())</f>
        <v>#N/A</v>
      </c>
      <c r="AD204" s="73" t="str">
        <f aca="false">IF(ISNUMBER(AE204),IF(ISNUMBER('Base de Datos'!A200),IF('Base de Datos'!A200&gt;20000,DATE(YEAR('Base de Datos'!A200),DAY('Base de Datos'!A200),MONTH('Base de Datos'!A200)),""),IF(TRIM('Base de Datos'!A200)="","",IFERROR(DATE(VALUE(RIGHT(TRIM('Base de Datos'!A200),4)),VALUE(LEFT(TRIM('Base de Datos'!A200),2)),VALUE(MID(TRIM('Base de Datos'!A200),4,2))),""))),"")</f>
        <v/>
      </c>
      <c r="AE204" s="74" t="str">
        <f aca="false">IF(ISNUMBER('Base de Datos'!B200),'Base de Datos'!B200,IF(TRIM('Base de Datos'!B200)="","",IFERROR(IF(IFERROR(FIND("@",SUBSTITUTE(TRIM('Base de Datos'!B200),",","@",LEN(TRIM('Base de Datos'!B200))-LEN(SUBSTITUTE(TRIM('Base de Datos'!B200),",","")))),0)&gt;IFERROR(FIND("@",SUBSTITUTE(TRIM('Base de Datos'!B200),".","@",LEN(TRIM('Base de Datos'!B200))-LEN(SUBSTITUTE(TRIM('Base de Datos'!B200),".","")))),0),_xlfn.NUMBERVALUE(SUBSTITUTE(SUBSTITUTE(TRIM('Base de Datos'!B200),".",""),",","."),".",","),_xlfn.NUMBERVALUE(SUBSTITUTE(TRIM('Base de Datos'!B200),",",""),".",",")),"")))</f>
        <v/>
      </c>
      <c r="AF204" s="73" t="str">
        <f aca="false">IF(ISNUMBER(AG204),IF(ISNUMBER('Base de Datos'!I200),IF('Base de Datos'!I200&gt;20000,INT('Base de Datos'!I200),""),IF(TRIM('Base de Datos'!I200)="","",IFERROR(DATE(VALUE(RIGHT(TRIM('Base de Datos'!I200),4)),VALUE(MID(TRIM('Base de Datos'!I200),4,2)),VALUE(LEFT(TRIM('Base de Datos'!I200),2))),IFERROR(DATEVALUE(TRIM('Base de Datos'!I200)),"")))),"")</f>
        <v/>
      </c>
      <c r="AG204" s="74" t="str">
        <f aca="false">IF(ISNUMBER('Base de Datos'!J200),'Base de Datos'!J200,IF(TRIM('Base de Datos'!J200)="","",IFERROR(IF(IFERROR(FIND("@",SUBSTITUTE(TRIM('Base de Datos'!J200),",","@",LEN(TRIM('Base de Datos'!J200))-LEN(SUBSTITUTE(TRIM('Base de Datos'!J200),",","")))),0)&gt;IFERROR(FIND("@",SUBSTITUTE(TRIM('Base de Datos'!J200),".","@",LEN(TRIM('Base de Datos'!J200))-LEN(SUBSTITUTE(TRIM('Base de Datos'!J200),".","")))),0),_xlfn.NUMBERVALUE(SUBSTITUTE(SUBSTITUTE(TRIM('Base de Datos'!J200),".",""),",","."),".",","),_xlfn.NUMBERVALUE(SUBSTITUTE(TRIM('Base de Datos'!J200),",",""),".",",")),"")))</f>
        <v/>
      </c>
      <c r="AH204" s="73" t="n">
        <f aca="false">IF(ISNUMBER(AI204),IF(ISNUMBER('Base de Datos'!Q200),IF('Base de Datos'!Q200&gt;20000,DATE(YEAR('Base de Datos'!Q200),DAY('Base de Datos'!Q200),MONTH('Base de Datos'!Q200)),""),IF(TRIM('Base de Datos'!Q200)="","",IFERROR(DATE(VALUE(RIGHT(TRIM('Base de Datos'!Q200),4)),VALUE(LEFT(TRIM('Base de Datos'!Q200),2)),VALUE(MID(TRIM('Base de Datos'!Q200),4,2))),""))),"")</f>
        <v>45844</v>
      </c>
      <c r="AI204" s="74" t="n">
        <f aca="false">IF(ISNUMBER('Base de Datos'!R200),'Base de Datos'!R200,IF(TRIM('Base de Datos'!R200)="","",IFERROR(IF(IFERROR(FIND("@",SUBSTITUTE(TRIM('Base de Datos'!R200),",","@",LEN(TRIM('Base de Datos'!R200))-LEN(SUBSTITUTE(TRIM('Base de Datos'!R200),",","")))),0)&gt;IFERROR(FIND("@",SUBSTITUTE(TRIM('Base de Datos'!R200),".","@",LEN(TRIM('Base de Datos'!R200))-LEN(SUBSTITUTE(TRIM('Base de Datos'!R200),".","")))),0),_xlfn.NUMBERVALUE(SUBSTITUTE(SUBSTITUTE(TRIM('Base de Datos'!R200),".",""),",","."),".",","),_xlfn.NUMBERVALUE(SUBSTITUTE(TRIM('Base de Datos'!R200),",",""),".",",")),"")))</f>
        <v>25.33</v>
      </c>
      <c r="AJ204" s="73" t="n">
        <f aca="false">IF(ISNUMBER(AK204),IF(ISNUMBER('Base de Datos'!Y200),IF('Base de Datos'!Y200&gt;20000,INT('Base de Datos'!Y200),""),IF(TRIM('Base de Datos'!Y200)="","",IFERROR(DATE(VALUE(RIGHT(TRIM('Base de Datos'!Y200),4)),VALUE(MID(TRIM('Base de Datos'!Y200),4,2)),VALUE(LEFT(TRIM('Base de Datos'!Y200),2))),IFERROR(DATEVALUE(TRIM('Base de Datos'!Y200)),"")))),"")</f>
        <v>45844</v>
      </c>
      <c r="AK204" s="74" t="n">
        <f aca="false">IF(ISNUMBER('Base de Datos'!Z200),'Base de Datos'!Z200,IF(TRIM('Base de Datos'!Z200)="","",IFERROR(IF(IFERROR(FIND("@",SUBSTITUTE(TRIM('Base de Datos'!Z200),",","@",LEN(TRIM('Base de Datos'!Z200))-LEN(SUBSTITUTE(TRIM('Base de Datos'!Z200),",","")))),0)&gt;IFERROR(FIND("@",SUBSTITUTE(TRIM('Base de Datos'!Z200),".","@",LEN(TRIM('Base de Datos'!Z200))-LEN(SUBSTITUTE(TRIM('Base de Datos'!Z200),".","")))),0),_xlfn.NUMBERVALUE(SUBSTITUTE(SUBSTITUTE(TRIM('Base de Datos'!Z200),".",""),",","."),".",","),_xlfn.NUMBERVALUE(SUBSTITUTE(TRIM('Base de Datos'!Z200),",",""),".",",")),"")))</f>
        <v>56593.65</v>
      </c>
    </row>
    <row r="205" customFormat="false" ht="13.5" hidden="false" customHeight="false" outlineLevel="0" collapsed="false">
      <c r="A205" s="75" t="n">
        <f aca="false">ROWS(A$13:A205)</f>
        <v>193</v>
      </c>
      <c r="B205" s="73" t="n">
        <f aca="false">IF(B204="","",IFERROR(SMALL($AH$10:$AH$409,COUNTIF($AH$10:$AH$409,"&lt;="&amp;B204)+1),""))</f>
        <v>45830</v>
      </c>
      <c r="C205" s="74" t="n">
        <f aca="false">IF(B205="","",INDEX($AI$10:$AI$409,MATCH(B205,$AH$10:$AH$409,0)))</f>
        <v>27.98</v>
      </c>
      <c r="D205" s="74" t="n">
        <f aca="false">IF(B205="","",IFERROR(INDEX($AK$10:$AK$409,MATCH(B205,$AJ$10:$AJ$409,0)),""))</f>
        <v>57391.51</v>
      </c>
      <c r="E205" s="76" t="n">
        <f aca="false">IF(AND(ISNUMBER(C205),ISNUMBER(C204)),C205/C204-1,"")</f>
        <v>0.026035936927026</v>
      </c>
      <c r="F205" s="76" t="n">
        <f aca="false">IF(AND(ISNUMBER(D205),ISNUMBER(D204)),D205/D204-1,"")</f>
        <v>0.0200271253605058</v>
      </c>
      <c r="G205" s="75" t="n">
        <f aca="false">IF(AND(ISNUMBER(E205),ISNUMBER(F205)),1,"")</f>
        <v>1</v>
      </c>
      <c r="H205" s="75" t="n">
        <f aca="false">IF(G205=1,COUNT(G205:G$412),"")</f>
        <v>67</v>
      </c>
      <c r="I205" s="75" t="n">
        <f aca="false">IF(G205=1,IF(H205&lt;='Beta Regresión'!$B$5,1,""),"")</f>
        <v>1</v>
      </c>
      <c r="J205" s="76" t="n">
        <f aca="false">IF(I205=1,E205,"")</f>
        <v>0.026035936927026</v>
      </c>
      <c r="K205" s="76" t="n">
        <f aca="false">IF(I205=1,F205,"")</f>
        <v>0.0200271253605058</v>
      </c>
      <c r="L205" s="75" t="n">
        <f aca="false">IF(I205=1,COUNT(I$13:I205),"")</f>
        <v>192</v>
      </c>
      <c r="M205" s="76" t="n">
        <f aca="false">IFERROR(INDEX($J$13:$J$412,MATCH(A205,$L$13:$L$412,0)),"")</f>
        <v>-0.0350250178699071</v>
      </c>
      <c r="N205" s="76" t="n">
        <f aca="false">IFERROR(INDEX($K$13:$K$412,MATCH(A205,$L$13:$L$412,0)),"")</f>
        <v>0.0102149255177291</v>
      </c>
      <c r="O205" s="76" t="n">
        <f aca="false">IF(I205=1,E205,NA())</f>
        <v>0.026035936927026</v>
      </c>
      <c r="P205" s="76" t="n">
        <f aca="false">IF(I205=1,F205,NA())</f>
        <v>0.0200271253605058</v>
      </c>
      <c r="R205" s="75" t="n">
        <f aca="false">ROWS(R$13:R205)</f>
        <v>193</v>
      </c>
      <c r="S205" s="73" t="str">
        <f aca="false">IF(S204="","",IFERROR(SMALL($AD$10:$AD$509,COUNTIF($AD$10:$AD$509,"&lt;="&amp;S204)+1),""))</f>
        <v/>
      </c>
      <c r="T205" s="74" t="str">
        <f aca="false">IF(S205="","",INDEX($AE$10:$AE$509,MATCH(S205,$AD$10:$AD$509,0)))</f>
        <v/>
      </c>
      <c r="U205" s="74" t="str">
        <f aca="false">IF(S205="","",IFERROR(INDEX($AG$10:$AG$509,MATCH(S205,$AF$10:$AF$509,0)),""))</f>
        <v/>
      </c>
      <c r="V205" s="76" t="str">
        <f aca="false">IF(AND(ISNUMBER(T205),ISNUMBER(T204)),T205/T204-1,"")</f>
        <v/>
      </c>
      <c r="W205" s="76" t="str">
        <f aca="false">IF(AND(ISNUMBER(U205),ISNUMBER(U204)),U205/U204-1,"")</f>
        <v/>
      </c>
      <c r="X205" s="75" t="str">
        <f aca="false">IF(AND(ISNUMBER(V205),ISNUMBER(W205)),1,"")</f>
        <v/>
      </c>
      <c r="Y205" s="76" t="str">
        <f aca="false">IF(X205=1,V205,"")</f>
        <v/>
      </c>
      <c r="Z205" s="76" t="str">
        <f aca="false">IF(X205=1,W205,"")</f>
        <v/>
      </c>
      <c r="AA205" s="76" t="e">
        <f aca="false">IF(X205=1,V205,NA())</f>
        <v>#N/A</v>
      </c>
      <c r="AB205" s="76" t="e">
        <f aca="false">IF(X205=1,W205,NA())</f>
        <v>#N/A</v>
      </c>
      <c r="AD205" s="73" t="str">
        <f aca="false">IF(ISNUMBER(AE205),IF(ISNUMBER('Base de Datos'!A201),IF('Base de Datos'!A201&gt;20000,DATE(YEAR('Base de Datos'!A201),DAY('Base de Datos'!A201),MONTH('Base de Datos'!A201)),""),IF(TRIM('Base de Datos'!A201)="","",IFERROR(DATE(VALUE(RIGHT(TRIM('Base de Datos'!A201),4)),VALUE(LEFT(TRIM('Base de Datos'!A201),2)),VALUE(MID(TRIM('Base de Datos'!A201),4,2))),""))),"")</f>
        <v/>
      </c>
      <c r="AE205" s="74" t="str">
        <f aca="false">IF(ISNUMBER('Base de Datos'!B201),'Base de Datos'!B201,IF(TRIM('Base de Datos'!B201)="","",IFERROR(IF(IFERROR(FIND("@",SUBSTITUTE(TRIM('Base de Datos'!B201),",","@",LEN(TRIM('Base de Datos'!B201))-LEN(SUBSTITUTE(TRIM('Base de Datos'!B201),",","")))),0)&gt;IFERROR(FIND("@",SUBSTITUTE(TRIM('Base de Datos'!B201),".","@",LEN(TRIM('Base de Datos'!B201))-LEN(SUBSTITUTE(TRIM('Base de Datos'!B201),".","")))),0),_xlfn.NUMBERVALUE(SUBSTITUTE(SUBSTITUTE(TRIM('Base de Datos'!B201),".",""),",","."),".",","),_xlfn.NUMBERVALUE(SUBSTITUTE(TRIM('Base de Datos'!B201),",",""),".",",")),"")))</f>
        <v/>
      </c>
      <c r="AF205" s="73" t="str">
        <f aca="false">IF(ISNUMBER(AG205),IF(ISNUMBER('Base de Datos'!I201),IF('Base de Datos'!I201&gt;20000,INT('Base de Datos'!I201),""),IF(TRIM('Base de Datos'!I201)="","",IFERROR(DATE(VALUE(RIGHT(TRIM('Base de Datos'!I201),4)),VALUE(MID(TRIM('Base de Datos'!I201),4,2)),VALUE(LEFT(TRIM('Base de Datos'!I201),2))),IFERROR(DATEVALUE(TRIM('Base de Datos'!I201)),"")))),"")</f>
        <v/>
      </c>
      <c r="AG205" s="74" t="str">
        <f aca="false">IF(ISNUMBER('Base de Datos'!J201),'Base de Datos'!J201,IF(TRIM('Base de Datos'!J201)="","",IFERROR(IF(IFERROR(FIND("@",SUBSTITUTE(TRIM('Base de Datos'!J201),",","@",LEN(TRIM('Base de Datos'!J201))-LEN(SUBSTITUTE(TRIM('Base de Datos'!J201),",","")))),0)&gt;IFERROR(FIND("@",SUBSTITUTE(TRIM('Base de Datos'!J201),".","@",LEN(TRIM('Base de Datos'!J201))-LEN(SUBSTITUTE(TRIM('Base de Datos'!J201),".","")))),0),_xlfn.NUMBERVALUE(SUBSTITUTE(SUBSTITUTE(TRIM('Base de Datos'!J201),".",""),",","."),".",","),_xlfn.NUMBERVALUE(SUBSTITUTE(TRIM('Base de Datos'!J201),",",""),".",",")),"")))</f>
        <v/>
      </c>
      <c r="AH205" s="73" t="n">
        <f aca="false">IF(ISNUMBER(AI205),IF(ISNUMBER('Base de Datos'!Q201),IF('Base de Datos'!Q201&gt;20000,DATE(YEAR('Base de Datos'!Q201),DAY('Base de Datos'!Q201),MONTH('Base de Datos'!Q201)),""),IF(TRIM('Base de Datos'!Q201)="","",IFERROR(DATE(VALUE(RIGHT(TRIM('Base de Datos'!Q201),4)),VALUE(LEFT(TRIM('Base de Datos'!Q201),2)),VALUE(MID(TRIM('Base de Datos'!Q201),4,2))),""))),"")</f>
        <v>45851</v>
      </c>
      <c r="AI205" s="74" t="n">
        <f aca="false">IF(ISNUMBER('Base de Datos'!R201),'Base de Datos'!R201,IF(TRIM('Base de Datos'!R201)="","",IFERROR(IF(IFERROR(FIND("@",SUBSTITUTE(TRIM('Base de Datos'!R201),",","@",LEN(TRIM('Base de Datos'!R201))-LEN(SUBSTITUTE(TRIM('Base de Datos'!R201),",","")))),0)&gt;IFERROR(FIND("@",SUBSTITUTE(TRIM('Base de Datos'!R201),".","@",LEN(TRIM('Base de Datos'!R201))-LEN(SUBSTITUTE(TRIM('Base de Datos'!R201),".","")))),0),_xlfn.NUMBERVALUE(SUBSTITUTE(SUBSTITUTE(TRIM('Base de Datos'!R201),".",""),",","."),".",","),_xlfn.NUMBERVALUE(SUBSTITUTE(TRIM('Base de Datos'!R201),",",""),".",",")),"")))</f>
        <v>25.99</v>
      </c>
      <c r="AJ205" s="73" t="n">
        <f aca="false">IF(ISNUMBER(AK205),IF(ISNUMBER('Base de Datos'!Y201),IF('Base de Datos'!Y201&gt;20000,INT('Base de Datos'!Y201),""),IF(TRIM('Base de Datos'!Y201)="","",IFERROR(DATE(VALUE(RIGHT(TRIM('Base de Datos'!Y201),4)),VALUE(MID(TRIM('Base de Datos'!Y201),4,2)),VALUE(LEFT(TRIM('Base de Datos'!Y201),2))),IFERROR(DATEVALUE(TRIM('Base de Datos'!Y201)),"")))),"")</f>
        <v>45851</v>
      </c>
      <c r="AK205" s="74" t="n">
        <f aca="false">IF(ISNUMBER('Base de Datos'!Z201),'Base de Datos'!Z201,IF(TRIM('Base de Datos'!Z201)="","",IFERROR(IF(IFERROR(FIND("@",SUBSTITUTE(TRIM('Base de Datos'!Z201),",","@",LEN(TRIM('Base de Datos'!Z201))-LEN(SUBSTITUTE(TRIM('Base de Datos'!Z201),",","")))),0)&gt;IFERROR(FIND("@",SUBSTITUTE(TRIM('Base de Datos'!Z201),".","@",LEN(TRIM('Base de Datos'!Z201))-LEN(SUBSTITUTE(TRIM('Base de Datos'!Z201),".","")))),0),_xlfn.NUMBERVALUE(SUBSTITUTE(SUBSTITUTE(TRIM('Base de Datos'!Z201),".",""),",","."),".",","),_xlfn.NUMBERVALUE(SUBSTITUTE(TRIM('Base de Datos'!Z201),",",""),".",",")),"")))</f>
        <v>56273.45</v>
      </c>
    </row>
    <row r="206" customFormat="false" ht="13.5" hidden="false" customHeight="false" outlineLevel="0" collapsed="false">
      <c r="A206" s="75" t="n">
        <f aca="false">ROWS(A$13:A206)</f>
        <v>194</v>
      </c>
      <c r="B206" s="73" t="n">
        <f aca="false">IF(B205="","",IFERROR(SMALL($AH$10:$AH$409,COUNTIF($AH$10:$AH$409,"&lt;="&amp;B205)+1),""))</f>
        <v>45837</v>
      </c>
      <c r="C206" s="74" t="n">
        <f aca="false">IF(B206="","",INDEX($AI$10:$AI$409,MATCH(B206,$AH$10:$AH$409,0)))</f>
        <v>27</v>
      </c>
      <c r="D206" s="74" t="n">
        <f aca="false">IF(B206="","",IFERROR(INDEX($AK$10:$AK$409,MATCH(B206,$AJ$10:$AJ$409,0)),""))</f>
        <v>57977.76</v>
      </c>
      <c r="E206" s="76" t="n">
        <f aca="false">IF(AND(ISNUMBER(C206),ISNUMBER(C205)),C206/C205-1,"")</f>
        <v>-0.0350250178699071</v>
      </c>
      <c r="F206" s="76" t="n">
        <f aca="false">IF(AND(ISNUMBER(D206),ISNUMBER(D205)),D206/D205-1,"")</f>
        <v>0.0102149255177291</v>
      </c>
      <c r="G206" s="75" t="n">
        <f aca="false">IF(AND(ISNUMBER(E206),ISNUMBER(F206)),1,"")</f>
        <v>1</v>
      </c>
      <c r="H206" s="75" t="n">
        <f aca="false">IF(G206=1,COUNT(G206:G$412),"")</f>
        <v>66</v>
      </c>
      <c r="I206" s="75" t="n">
        <f aca="false">IF(G206=1,IF(H206&lt;='Beta Regresión'!$B$5,1,""),"")</f>
        <v>1</v>
      </c>
      <c r="J206" s="76" t="n">
        <f aca="false">IF(I206=1,E206,"")</f>
        <v>-0.0350250178699071</v>
      </c>
      <c r="K206" s="76" t="n">
        <f aca="false">IF(I206=1,F206,"")</f>
        <v>0.0102149255177291</v>
      </c>
      <c r="L206" s="75" t="n">
        <f aca="false">IF(I206=1,COUNT(I$13:I206),"")</f>
        <v>193</v>
      </c>
      <c r="M206" s="76" t="n">
        <f aca="false">IFERROR(INDEX($J$13:$J$412,MATCH(A206,$L$13:$L$412,0)),"")</f>
        <v>-0.0618518518518519</v>
      </c>
      <c r="N206" s="76" t="n">
        <f aca="false">IFERROR(INDEX($K$13:$K$412,MATCH(A206,$L$13:$L$412,0)),"")</f>
        <v>-0.0238731196238006</v>
      </c>
      <c r="O206" s="76" t="n">
        <f aca="false">IF(I206=1,E206,NA())</f>
        <v>-0.0350250178699071</v>
      </c>
      <c r="P206" s="76" t="n">
        <f aca="false">IF(I206=1,F206,NA())</f>
        <v>0.0102149255177291</v>
      </c>
      <c r="R206" s="75" t="n">
        <f aca="false">ROWS(R$13:R206)</f>
        <v>194</v>
      </c>
      <c r="S206" s="73" t="str">
        <f aca="false">IF(S205="","",IFERROR(SMALL($AD$10:$AD$509,COUNTIF($AD$10:$AD$509,"&lt;="&amp;S205)+1),""))</f>
        <v/>
      </c>
      <c r="T206" s="74" t="str">
        <f aca="false">IF(S206="","",INDEX($AE$10:$AE$509,MATCH(S206,$AD$10:$AD$509,0)))</f>
        <v/>
      </c>
      <c r="U206" s="74" t="str">
        <f aca="false">IF(S206="","",IFERROR(INDEX($AG$10:$AG$509,MATCH(S206,$AF$10:$AF$509,0)),""))</f>
        <v/>
      </c>
      <c r="V206" s="76" t="str">
        <f aca="false">IF(AND(ISNUMBER(T206),ISNUMBER(T205)),T206/T205-1,"")</f>
        <v/>
      </c>
      <c r="W206" s="76" t="str">
        <f aca="false">IF(AND(ISNUMBER(U206),ISNUMBER(U205)),U206/U205-1,"")</f>
        <v/>
      </c>
      <c r="X206" s="75" t="str">
        <f aca="false">IF(AND(ISNUMBER(V206),ISNUMBER(W206)),1,"")</f>
        <v/>
      </c>
      <c r="Y206" s="76" t="str">
        <f aca="false">IF(X206=1,V206,"")</f>
        <v/>
      </c>
      <c r="Z206" s="76" t="str">
        <f aca="false">IF(X206=1,W206,"")</f>
        <v/>
      </c>
      <c r="AA206" s="76" t="e">
        <f aca="false">IF(X206=1,V206,NA())</f>
        <v>#N/A</v>
      </c>
      <c r="AB206" s="76" t="e">
        <f aca="false">IF(X206=1,W206,NA())</f>
        <v>#N/A</v>
      </c>
      <c r="AD206" s="73" t="str">
        <f aca="false">IF(ISNUMBER(AE206),IF(ISNUMBER('Base de Datos'!A202),IF('Base de Datos'!A202&gt;20000,DATE(YEAR('Base de Datos'!A202),DAY('Base de Datos'!A202),MONTH('Base de Datos'!A202)),""),IF(TRIM('Base de Datos'!A202)="","",IFERROR(DATE(VALUE(RIGHT(TRIM('Base de Datos'!A202),4)),VALUE(LEFT(TRIM('Base de Datos'!A202),2)),VALUE(MID(TRIM('Base de Datos'!A202),4,2))),""))),"")</f>
        <v/>
      </c>
      <c r="AE206" s="74" t="str">
        <f aca="false">IF(ISNUMBER('Base de Datos'!B202),'Base de Datos'!B202,IF(TRIM('Base de Datos'!B202)="","",IFERROR(IF(IFERROR(FIND("@",SUBSTITUTE(TRIM('Base de Datos'!B202),",","@",LEN(TRIM('Base de Datos'!B202))-LEN(SUBSTITUTE(TRIM('Base de Datos'!B202),",","")))),0)&gt;IFERROR(FIND("@",SUBSTITUTE(TRIM('Base de Datos'!B202),".","@",LEN(TRIM('Base de Datos'!B202))-LEN(SUBSTITUTE(TRIM('Base de Datos'!B202),".","")))),0),_xlfn.NUMBERVALUE(SUBSTITUTE(SUBSTITUTE(TRIM('Base de Datos'!B202),".",""),",","."),".",","),_xlfn.NUMBERVALUE(SUBSTITUTE(TRIM('Base de Datos'!B202),",",""),".",",")),"")))</f>
        <v/>
      </c>
      <c r="AF206" s="73" t="str">
        <f aca="false">IF(ISNUMBER(AG206),IF(ISNUMBER('Base de Datos'!I202),IF('Base de Datos'!I202&gt;20000,INT('Base de Datos'!I202),""),IF(TRIM('Base de Datos'!I202)="","",IFERROR(DATE(VALUE(RIGHT(TRIM('Base de Datos'!I202),4)),VALUE(MID(TRIM('Base de Datos'!I202),4,2)),VALUE(LEFT(TRIM('Base de Datos'!I202),2))),IFERROR(DATEVALUE(TRIM('Base de Datos'!I202)),"")))),"")</f>
        <v/>
      </c>
      <c r="AG206" s="74" t="str">
        <f aca="false">IF(ISNUMBER('Base de Datos'!J202),'Base de Datos'!J202,IF(TRIM('Base de Datos'!J202)="","",IFERROR(IF(IFERROR(FIND("@",SUBSTITUTE(TRIM('Base de Datos'!J202),",","@",LEN(TRIM('Base de Datos'!J202))-LEN(SUBSTITUTE(TRIM('Base de Datos'!J202),",","")))),0)&gt;IFERROR(FIND("@",SUBSTITUTE(TRIM('Base de Datos'!J202),".","@",LEN(TRIM('Base de Datos'!J202))-LEN(SUBSTITUTE(TRIM('Base de Datos'!J202),".","")))),0),_xlfn.NUMBERVALUE(SUBSTITUTE(SUBSTITUTE(TRIM('Base de Datos'!J202),".",""),",","."),".",","),_xlfn.NUMBERVALUE(SUBSTITUTE(TRIM('Base de Datos'!J202),",",""),".",",")),"")))</f>
        <v/>
      </c>
      <c r="AH206" s="73" t="n">
        <f aca="false">IF(ISNUMBER(AI206),IF(ISNUMBER('Base de Datos'!Q202),IF('Base de Datos'!Q202&gt;20000,DATE(YEAR('Base de Datos'!Q202),DAY('Base de Datos'!Q202),MONTH('Base de Datos'!Q202)),""),IF(TRIM('Base de Datos'!Q202)="","",IFERROR(DATE(VALUE(RIGHT(TRIM('Base de Datos'!Q202),4)),VALUE(LEFT(TRIM('Base de Datos'!Q202),2)),VALUE(MID(TRIM('Base de Datos'!Q202),4,2))),""))),"")</f>
        <v>45858</v>
      </c>
      <c r="AI206" s="74" t="n">
        <f aca="false">IF(ISNUMBER('Base de Datos'!R202),'Base de Datos'!R202,IF(TRIM('Base de Datos'!R202)="","",IFERROR(IF(IFERROR(FIND("@",SUBSTITUTE(TRIM('Base de Datos'!R202),",","@",LEN(TRIM('Base de Datos'!R202))-LEN(SUBSTITUTE(TRIM('Base de Datos'!R202),",","")))),0)&gt;IFERROR(FIND("@",SUBSTITUTE(TRIM('Base de Datos'!R202),".","@",LEN(TRIM('Base de Datos'!R202))-LEN(SUBSTITUTE(TRIM('Base de Datos'!R202),".","")))),0),_xlfn.NUMBERVALUE(SUBSTITUTE(SUBSTITUTE(TRIM('Base de Datos'!R202),".",""),",","."),".",","),_xlfn.NUMBERVALUE(SUBSTITUTE(TRIM('Base de Datos'!R202),",",""),".",",")),"")))</f>
        <v>25.64</v>
      </c>
      <c r="AJ206" s="73" t="n">
        <f aca="false">IF(ISNUMBER(AK206),IF(ISNUMBER('Base de Datos'!Y202),IF('Base de Datos'!Y202&gt;20000,INT('Base de Datos'!Y202),""),IF(TRIM('Base de Datos'!Y202)="","",IFERROR(DATE(VALUE(RIGHT(TRIM('Base de Datos'!Y202),4)),VALUE(MID(TRIM('Base de Datos'!Y202),4,2)),VALUE(LEFT(TRIM('Base de Datos'!Y202),2))),IFERROR(DATEVALUE(TRIM('Base de Datos'!Y202)),"")))),"")</f>
        <v>45858</v>
      </c>
      <c r="AK206" s="74" t="n">
        <f aca="false">IF(ISNUMBER('Base de Datos'!Z202),'Base de Datos'!Z202,IF(TRIM('Base de Datos'!Z202)="","",IFERROR(IF(IFERROR(FIND("@",SUBSTITUTE(TRIM('Base de Datos'!Z202),",","@",LEN(TRIM('Base de Datos'!Z202))-LEN(SUBSTITUTE(TRIM('Base de Datos'!Z202),",","")))),0)&gt;IFERROR(FIND("@",SUBSTITUTE(TRIM('Base de Datos'!Z202),".","@",LEN(TRIM('Base de Datos'!Z202))-LEN(SUBSTITUTE(TRIM('Base de Datos'!Z202),".","")))),0),_xlfn.NUMBERVALUE(SUBSTITUTE(SUBSTITUTE(TRIM('Base de Datos'!Z202),".",""),",","."),".",","),_xlfn.NUMBERVALUE(SUBSTITUTE(TRIM('Base de Datos'!Z202),",",""),".",",")),"")))</f>
        <v>57323.14</v>
      </c>
    </row>
    <row r="207" customFormat="false" ht="13.5" hidden="false" customHeight="false" outlineLevel="0" collapsed="false">
      <c r="A207" s="75" t="n">
        <f aca="false">ROWS(A$13:A207)</f>
        <v>195</v>
      </c>
      <c r="B207" s="73" t="n">
        <f aca="false">IF(B206="","",IFERROR(SMALL($AH$10:$AH$409,COUNTIF($AH$10:$AH$409,"&lt;="&amp;B206)+1),""))</f>
        <v>45844</v>
      </c>
      <c r="C207" s="74" t="n">
        <f aca="false">IF(B207="","",INDEX($AI$10:$AI$409,MATCH(B207,$AH$10:$AH$409,0)))</f>
        <v>25.33</v>
      </c>
      <c r="D207" s="74" t="n">
        <f aca="false">IF(B207="","",IFERROR(INDEX($AK$10:$AK$409,MATCH(B207,$AJ$10:$AJ$409,0)),""))</f>
        <v>56593.65</v>
      </c>
      <c r="E207" s="76" t="n">
        <f aca="false">IF(AND(ISNUMBER(C207),ISNUMBER(C206)),C207/C206-1,"")</f>
        <v>-0.0618518518518519</v>
      </c>
      <c r="F207" s="76" t="n">
        <f aca="false">IF(AND(ISNUMBER(D207),ISNUMBER(D206)),D207/D206-1,"")</f>
        <v>-0.0238731196238006</v>
      </c>
      <c r="G207" s="75" t="n">
        <f aca="false">IF(AND(ISNUMBER(E207),ISNUMBER(F207)),1,"")</f>
        <v>1</v>
      </c>
      <c r="H207" s="75" t="n">
        <f aca="false">IF(G207=1,COUNT(G207:G$412),"")</f>
        <v>65</v>
      </c>
      <c r="I207" s="75" t="n">
        <f aca="false">IF(G207=1,IF(H207&lt;='Beta Regresión'!$B$5,1,""),"")</f>
        <v>1</v>
      </c>
      <c r="J207" s="76" t="n">
        <f aca="false">IF(I207=1,E207,"")</f>
        <v>-0.0618518518518519</v>
      </c>
      <c r="K207" s="76" t="n">
        <f aca="false">IF(I207=1,F207,"")</f>
        <v>-0.0238731196238006</v>
      </c>
      <c r="L207" s="75" t="n">
        <f aca="false">IF(I207=1,COUNT(I$13:I207),"")</f>
        <v>194</v>
      </c>
      <c r="M207" s="76" t="n">
        <f aca="false">IFERROR(INDEX($J$13:$J$412,MATCH(A207,$L$13:$L$412,0)),"")</f>
        <v>0.0260560600078958</v>
      </c>
      <c r="N207" s="76" t="n">
        <f aca="false">IFERROR(INDEX($K$13:$K$412,MATCH(A207,$L$13:$L$412,0)),"")</f>
        <v>-0.00565787857825051</v>
      </c>
      <c r="O207" s="76" t="n">
        <f aca="false">IF(I207=1,E207,NA())</f>
        <v>-0.0618518518518519</v>
      </c>
      <c r="P207" s="76" t="n">
        <f aca="false">IF(I207=1,F207,NA())</f>
        <v>-0.0238731196238006</v>
      </c>
      <c r="R207" s="75" t="n">
        <f aca="false">ROWS(R$13:R207)</f>
        <v>195</v>
      </c>
      <c r="S207" s="73" t="str">
        <f aca="false">IF(S206="","",IFERROR(SMALL($AD$10:$AD$509,COUNTIF($AD$10:$AD$509,"&lt;="&amp;S206)+1),""))</f>
        <v/>
      </c>
      <c r="T207" s="74" t="str">
        <f aca="false">IF(S207="","",INDEX($AE$10:$AE$509,MATCH(S207,$AD$10:$AD$509,0)))</f>
        <v/>
      </c>
      <c r="U207" s="74" t="str">
        <f aca="false">IF(S207="","",IFERROR(INDEX($AG$10:$AG$509,MATCH(S207,$AF$10:$AF$509,0)),""))</f>
        <v/>
      </c>
      <c r="V207" s="76" t="str">
        <f aca="false">IF(AND(ISNUMBER(T207),ISNUMBER(T206)),T207/T206-1,"")</f>
        <v/>
      </c>
      <c r="W207" s="76" t="str">
        <f aca="false">IF(AND(ISNUMBER(U207),ISNUMBER(U206)),U207/U206-1,"")</f>
        <v/>
      </c>
      <c r="X207" s="75" t="str">
        <f aca="false">IF(AND(ISNUMBER(V207),ISNUMBER(W207)),1,"")</f>
        <v/>
      </c>
      <c r="Y207" s="76" t="str">
        <f aca="false">IF(X207=1,V207,"")</f>
        <v/>
      </c>
      <c r="Z207" s="76" t="str">
        <f aca="false">IF(X207=1,W207,"")</f>
        <v/>
      </c>
      <c r="AA207" s="76" t="e">
        <f aca="false">IF(X207=1,V207,NA())</f>
        <v>#N/A</v>
      </c>
      <c r="AB207" s="76" t="e">
        <f aca="false">IF(X207=1,W207,NA())</f>
        <v>#N/A</v>
      </c>
      <c r="AD207" s="73" t="str">
        <f aca="false">IF(ISNUMBER(AE207),IF(ISNUMBER('Base de Datos'!A203),IF('Base de Datos'!A203&gt;20000,DATE(YEAR('Base de Datos'!A203),DAY('Base de Datos'!A203),MONTH('Base de Datos'!A203)),""),IF(TRIM('Base de Datos'!A203)="","",IFERROR(DATE(VALUE(RIGHT(TRIM('Base de Datos'!A203),4)),VALUE(LEFT(TRIM('Base de Datos'!A203),2)),VALUE(MID(TRIM('Base de Datos'!A203),4,2))),""))),"")</f>
        <v/>
      </c>
      <c r="AE207" s="74" t="str">
        <f aca="false">IF(ISNUMBER('Base de Datos'!B203),'Base de Datos'!B203,IF(TRIM('Base de Datos'!B203)="","",IFERROR(IF(IFERROR(FIND("@",SUBSTITUTE(TRIM('Base de Datos'!B203),",","@",LEN(TRIM('Base de Datos'!B203))-LEN(SUBSTITUTE(TRIM('Base de Datos'!B203),",","")))),0)&gt;IFERROR(FIND("@",SUBSTITUTE(TRIM('Base de Datos'!B203),".","@",LEN(TRIM('Base de Datos'!B203))-LEN(SUBSTITUTE(TRIM('Base de Datos'!B203),".","")))),0),_xlfn.NUMBERVALUE(SUBSTITUTE(SUBSTITUTE(TRIM('Base de Datos'!B203),".",""),",","."),".",","),_xlfn.NUMBERVALUE(SUBSTITUTE(TRIM('Base de Datos'!B203),",",""),".",",")),"")))</f>
        <v/>
      </c>
      <c r="AF207" s="73" t="str">
        <f aca="false">IF(ISNUMBER(AG207),IF(ISNUMBER('Base de Datos'!I203),IF('Base de Datos'!I203&gt;20000,INT('Base de Datos'!I203),""),IF(TRIM('Base de Datos'!I203)="","",IFERROR(DATE(VALUE(RIGHT(TRIM('Base de Datos'!I203),4)),VALUE(MID(TRIM('Base de Datos'!I203),4,2)),VALUE(LEFT(TRIM('Base de Datos'!I203),2))),IFERROR(DATEVALUE(TRIM('Base de Datos'!I203)),"")))),"")</f>
        <v/>
      </c>
      <c r="AG207" s="74" t="str">
        <f aca="false">IF(ISNUMBER('Base de Datos'!J203),'Base de Datos'!J203,IF(TRIM('Base de Datos'!J203)="","",IFERROR(IF(IFERROR(FIND("@",SUBSTITUTE(TRIM('Base de Datos'!J203),",","@",LEN(TRIM('Base de Datos'!J203))-LEN(SUBSTITUTE(TRIM('Base de Datos'!J203),",","")))),0)&gt;IFERROR(FIND("@",SUBSTITUTE(TRIM('Base de Datos'!J203),".","@",LEN(TRIM('Base de Datos'!J203))-LEN(SUBSTITUTE(TRIM('Base de Datos'!J203),".","")))),0),_xlfn.NUMBERVALUE(SUBSTITUTE(SUBSTITUTE(TRIM('Base de Datos'!J203),".",""),",","."),".",","),_xlfn.NUMBERVALUE(SUBSTITUTE(TRIM('Base de Datos'!J203),",",""),".",",")),"")))</f>
        <v/>
      </c>
      <c r="AH207" s="73" t="n">
        <f aca="false">IF(ISNUMBER(AI207),IF(ISNUMBER('Base de Datos'!Q203),IF('Base de Datos'!Q203&gt;20000,DATE(YEAR('Base de Datos'!Q203),DAY('Base de Datos'!Q203),MONTH('Base de Datos'!Q203)),""),IF(TRIM('Base de Datos'!Q203)="","",IFERROR(DATE(VALUE(RIGHT(TRIM('Base de Datos'!Q203),4)),VALUE(LEFT(TRIM('Base de Datos'!Q203),2)),VALUE(MID(TRIM('Base de Datos'!Q203),4,2))),""))),"")</f>
        <v>45865</v>
      </c>
      <c r="AI207" s="74" t="n">
        <f aca="false">IF(ISNUMBER('Base de Datos'!R203),'Base de Datos'!R203,IF(TRIM('Base de Datos'!R203)="","",IFERROR(IF(IFERROR(FIND("@",SUBSTITUTE(TRIM('Base de Datos'!R203),",","@",LEN(TRIM('Base de Datos'!R203))-LEN(SUBSTITUTE(TRIM('Base de Datos'!R203),",","")))),0)&gt;IFERROR(FIND("@",SUBSTITUTE(TRIM('Base de Datos'!R203),".","@",LEN(TRIM('Base de Datos'!R203))-LEN(SUBSTITUTE(TRIM('Base de Datos'!R203),".","")))),0),_xlfn.NUMBERVALUE(SUBSTITUTE(SUBSTITUTE(TRIM('Base de Datos'!R203),".",""),",","."),".",","),_xlfn.NUMBERVALUE(SUBSTITUTE(TRIM('Base de Datos'!R203),",",""),".",",")),"")))</f>
        <v>24.9</v>
      </c>
      <c r="AJ207" s="73" t="n">
        <f aca="false">IF(ISNUMBER(AK207),IF(ISNUMBER('Base de Datos'!Y203),IF('Base de Datos'!Y203&gt;20000,INT('Base de Datos'!Y203),""),IF(TRIM('Base de Datos'!Y203)="","",IFERROR(DATE(VALUE(RIGHT(TRIM('Base de Datos'!Y203),4)),VALUE(MID(TRIM('Base de Datos'!Y203),4,2)),VALUE(LEFT(TRIM('Base de Datos'!Y203),2))),IFERROR(DATEVALUE(TRIM('Base de Datos'!Y203)),"")))),"")</f>
        <v>45865</v>
      </c>
      <c r="AK207" s="74" t="n">
        <f aca="false">IF(ISNUMBER('Base de Datos'!Z203),'Base de Datos'!Z203,IF(TRIM('Base de Datos'!Z203)="","",IFERROR(IF(IFERROR(FIND("@",SUBSTITUTE(TRIM('Base de Datos'!Z203),",","@",LEN(TRIM('Base de Datos'!Z203))-LEN(SUBSTITUTE(TRIM('Base de Datos'!Z203),",","")))),0)&gt;IFERROR(FIND("@",SUBSTITUTE(TRIM('Base de Datos'!Z203),".","@",LEN(TRIM('Base de Datos'!Z203))-LEN(SUBSTITUTE(TRIM('Base de Datos'!Z203),".","")))),0),_xlfn.NUMBERVALUE(SUBSTITUTE(SUBSTITUTE(TRIM('Base de Datos'!Z203),".",""),",","."),".",","),_xlfn.NUMBERVALUE(SUBSTITUTE(TRIM('Base de Datos'!Z203),",",""),".",",")),"")))</f>
        <v>56900.07</v>
      </c>
    </row>
    <row r="208" customFormat="false" ht="13.5" hidden="false" customHeight="false" outlineLevel="0" collapsed="false">
      <c r="A208" s="75" t="n">
        <f aca="false">ROWS(A$13:A208)</f>
        <v>196</v>
      </c>
      <c r="B208" s="73" t="n">
        <f aca="false">IF(B207="","",IFERROR(SMALL($AH$10:$AH$409,COUNTIF($AH$10:$AH$409,"&lt;="&amp;B207)+1),""))</f>
        <v>45851</v>
      </c>
      <c r="C208" s="74" t="n">
        <f aca="false">IF(B208="","",INDEX($AI$10:$AI$409,MATCH(B208,$AH$10:$AH$409,0)))</f>
        <v>25.99</v>
      </c>
      <c r="D208" s="74" t="n">
        <f aca="false">IF(B208="","",IFERROR(INDEX($AK$10:$AK$409,MATCH(B208,$AJ$10:$AJ$409,0)),""))</f>
        <v>56273.45</v>
      </c>
      <c r="E208" s="76" t="n">
        <f aca="false">IF(AND(ISNUMBER(C208),ISNUMBER(C207)),C208/C207-1,"")</f>
        <v>0.0260560600078958</v>
      </c>
      <c r="F208" s="76" t="n">
        <f aca="false">IF(AND(ISNUMBER(D208),ISNUMBER(D207)),D208/D207-1,"")</f>
        <v>-0.00565787857825051</v>
      </c>
      <c r="G208" s="75" t="n">
        <f aca="false">IF(AND(ISNUMBER(E208),ISNUMBER(F208)),1,"")</f>
        <v>1</v>
      </c>
      <c r="H208" s="75" t="n">
        <f aca="false">IF(G208=1,COUNT(G208:G$412),"")</f>
        <v>64</v>
      </c>
      <c r="I208" s="75" t="n">
        <f aca="false">IF(G208=1,IF(H208&lt;='Beta Regresión'!$B$5,1,""),"")</f>
        <v>1</v>
      </c>
      <c r="J208" s="76" t="n">
        <f aca="false">IF(I208=1,E208,"")</f>
        <v>0.0260560600078958</v>
      </c>
      <c r="K208" s="76" t="n">
        <f aca="false">IF(I208=1,F208,"")</f>
        <v>-0.00565787857825051</v>
      </c>
      <c r="L208" s="75" t="n">
        <f aca="false">IF(I208=1,COUNT(I$13:I208),"")</f>
        <v>195</v>
      </c>
      <c r="M208" s="76" t="n">
        <f aca="false">IFERROR(INDEX($J$13:$J$412,MATCH(A208,$L$13:$L$412,0)),"")</f>
        <v>-0.0134667179684493</v>
      </c>
      <c r="N208" s="76" t="n">
        <f aca="false">IFERROR(INDEX($K$13:$K$412,MATCH(A208,$L$13:$L$412,0)),"")</f>
        <v>0.0186533791690398</v>
      </c>
      <c r="O208" s="76" t="n">
        <f aca="false">IF(I208=1,E208,NA())</f>
        <v>0.0260560600078958</v>
      </c>
      <c r="P208" s="76" t="n">
        <f aca="false">IF(I208=1,F208,NA())</f>
        <v>-0.00565787857825051</v>
      </c>
      <c r="R208" s="75" t="n">
        <f aca="false">ROWS(R$13:R208)</f>
        <v>196</v>
      </c>
      <c r="S208" s="73" t="str">
        <f aca="false">IF(S207="","",IFERROR(SMALL($AD$10:$AD$509,COUNTIF($AD$10:$AD$509,"&lt;="&amp;S207)+1),""))</f>
        <v/>
      </c>
      <c r="T208" s="74" t="str">
        <f aca="false">IF(S208="","",INDEX($AE$10:$AE$509,MATCH(S208,$AD$10:$AD$509,0)))</f>
        <v/>
      </c>
      <c r="U208" s="74" t="str">
        <f aca="false">IF(S208="","",IFERROR(INDEX($AG$10:$AG$509,MATCH(S208,$AF$10:$AF$509,0)),""))</f>
        <v/>
      </c>
      <c r="V208" s="76" t="str">
        <f aca="false">IF(AND(ISNUMBER(T208),ISNUMBER(T207)),T208/T207-1,"")</f>
        <v/>
      </c>
      <c r="W208" s="76" t="str">
        <f aca="false">IF(AND(ISNUMBER(U208),ISNUMBER(U207)),U208/U207-1,"")</f>
        <v/>
      </c>
      <c r="X208" s="75" t="str">
        <f aca="false">IF(AND(ISNUMBER(V208),ISNUMBER(W208)),1,"")</f>
        <v/>
      </c>
      <c r="Y208" s="76" t="str">
        <f aca="false">IF(X208=1,V208,"")</f>
        <v/>
      </c>
      <c r="Z208" s="76" t="str">
        <f aca="false">IF(X208=1,W208,"")</f>
        <v/>
      </c>
      <c r="AA208" s="76" t="e">
        <f aca="false">IF(X208=1,V208,NA())</f>
        <v>#N/A</v>
      </c>
      <c r="AB208" s="76" t="e">
        <f aca="false">IF(X208=1,W208,NA())</f>
        <v>#N/A</v>
      </c>
      <c r="AD208" s="73" t="str">
        <f aca="false">IF(ISNUMBER(AE208),IF(ISNUMBER('Base de Datos'!A204),IF('Base de Datos'!A204&gt;20000,DATE(YEAR('Base de Datos'!A204),DAY('Base de Datos'!A204),MONTH('Base de Datos'!A204)),""),IF(TRIM('Base de Datos'!A204)="","",IFERROR(DATE(VALUE(RIGHT(TRIM('Base de Datos'!A204),4)),VALUE(LEFT(TRIM('Base de Datos'!A204),2)),VALUE(MID(TRIM('Base de Datos'!A204),4,2))),""))),"")</f>
        <v/>
      </c>
      <c r="AE208" s="74" t="str">
        <f aca="false">IF(ISNUMBER('Base de Datos'!B204),'Base de Datos'!B204,IF(TRIM('Base de Datos'!B204)="","",IFERROR(IF(IFERROR(FIND("@",SUBSTITUTE(TRIM('Base de Datos'!B204),",","@",LEN(TRIM('Base de Datos'!B204))-LEN(SUBSTITUTE(TRIM('Base de Datos'!B204),",","")))),0)&gt;IFERROR(FIND("@",SUBSTITUTE(TRIM('Base de Datos'!B204),".","@",LEN(TRIM('Base de Datos'!B204))-LEN(SUBSTITUTE(TRIM('Base de Datos'!B204),".","")))),0),_xlfn.NUMBERVALUE(SUBSTITUTE(SUBSTITUTE(TRIM('Base de Datos'!B204),".",""),",","."),".",","),_xlfn.NUMBERVALUE(SUBSTITUTE(TRIM('Base de Datos'!B204),",",""),".",",")),"")))</f>
        <v/>
      </c>
      <c r="AF208" s="73" t="str">
        <f aca="false">IF(ISNUMBER(AG208),IF(ISNUMBER('Base de Datos'!I204),IF('Base de Datos'!I204&gt;20000,INT('Base de Datos'!I204),""),IF(TRIM('Base de Datos'!I204)="","",IFERROR(DATE(VALUE(RIGHT(TRIM('Base de Datos'!I204),4)),VALUE(MID(TRIM('Base de Datos'!I204),4,2)),VALUE(LEFT(TRIM('Base de Datos'!I204),2))),IFERROR(DATEVALUE(TRIM('Base de Datos'!I204)),"")))),"")</f>
        <v/>
      </c>
      <c r="AG208" s="74" t="str">
        <f aca="false">IF(ISNUMBER('Base de Datos'!J204),'Base de Datos'!J204,IF(TRIM('Base de Datos'!J204)="","",IFERROR(IF(IFERROR(FIND("@",SUBSTITUTE(TRIM('Base de Datos'!J204),",","@",LEN(TRIM('Base de Datos'!J204))-LEN(SUBSTITUTE(TRIM('Base de Datos'!J204),",","")))),0)&gt;IFERROR(FIND("@",SUBSTITUTE(TRIM('Base de Datos'!J204),".","@",LEN(TRIM('Base de Datos'!J204))-LEN(SUBSTITUTE(TRIM('Base de Datos'!J204),".","")))),0),_xlfn.NUMBERVALUE(SUBSTITUTE(SUBSTITUTE(TRIM('Base de Datos'!J204),".",""),",","."),".",","),_xlfn.NUMBERVALUE(SUBSTITUTE(TRIM('Base de Datos'!J204),",",""),".",",")),"")))</f>
        <v/>
      </c>
      <c r="AH208" s="73" t="n">
        <f aca="false">IF(ISNUMBER(AI208),IF(ISNUMBER('Base de Datos'!Q204),IF('Base de Datos'!Q204&gt;20000,DATE(YEAR('Base de Datos'!Q204),DAY('Base de Datos'!Q204),MONTH('Base de Datos'!Q204)),""),IF(TRIM('Base de Datos'!Q204)="","",IFERROR(DATE(VALUE(RIGHT(TRIM('Base de Datos'!Q204),4)),VALUE(LEFT(TRIM('Base de Datos'!Q204),2)),VALUE(MID(TRIM('Base de Datos'!Q204),4,2))),""))),"")</f>
        <v>45872</v>
      </c>
      <c r="AI208" s="74" t="n">
        <f aca="false">IF(ISNUMBER('Base de Datos'!R204),'Base de Datos'!R204,IF(TRIM('Base de Datos'!R204)="","",IFERROR(IF(IFERROR(FIND("@",SUBSTITUTE(TRIM('Base de Datos'!R204),",","@",LEN(TRIM('Base de Datos'!R204))-LEN(SUBSTITUTE(TRIM('Base de Datos'!R204),",","")))),0)&gt;IFERROR(FIND("@",SUBSTITUTE(TRIM('Base de Datos'!R204),".","@",LEN(TRIM('Base de Datos'!R204))-LEN(SUBSTITUTE(TRIM('Base de Datos'!R204),".","")))),0),_xlfn.NUMBERVALUE(SUBSTITUTE(SUBSTITUTE(TRIM('Base de Datos'!R204),".",""),",","."),".",","),_xlfn.NUMBERVALUE(SUBSTITUTE(TRIM('Base de Datos'!R204),",",""),".",",")),"")))</f>
        <v>24.97</v>
      </c>
      <c r="AJ208" s="73" t="n">
        <f aca="false">IF(ISNUMBER(AK208),IF(ISNUMBER('Base de Datos'!Y204),IF('Base de Datos'!Y204&gt;20000,INT('Base de Datos'!Y204),""),IF(TRIM('Base de Datos'!Y204)="","",IFERROR(DATE(VALUE(RIGHT(TRIM('Base de Datos'!Y204),4)),VALUE(MID(TRIM('Base de Datos'!Y204),4,2)),VALUE(LEFT(TRIM('Base de Datos'!Y204),2))),IFERROR(DATEVALUE(TRIM('Base de Datos'!Y204)),"")))),"")</f>
        <v>45872</v>
      </c>
      <c r="AK208" s="74" t="n">
        <f aca="false">IF(ISNUMBER('Base de Datos'!Z204),'Base de Datos'!Z204,IF(TRIM('Base de Datos'!Z204)="","",IFERROR(IF(IFERROR(FIND("@",SUBSTITUTE(TRIM('Base de Datos'!Z204),",","@",LEN(TRIM('Base de Datos'!Z204))-LEN(SUBSTITUTE(TRIM('Base de Datos'!Z204),",","")))),0)&gt;IFERROR(FIND("@",SUBSTITUTE(TRIM('Base de Datos'!Z204),".","@",LEN(TRIM('Base de Datos'!Z204))-LEN(SUBSTITUTE(TRIM('Base de Datos'!Z204),".","")))),0),_xlfn.NUMBERVALUE(SUBSTITUTE(SUBSTITUTE(TRIM('Base de Datos'!Z204),".",""),",","."),".",","),_xlfn.NUMBERVALUE(SUBSTITUTE(TRIM('Base de Datos'!Z204),",",""),".",",")),"")))</f>
        <v>58070.17</v>
      </c>
    </row>
    <row r="209" customFormat="false" ht="13.5" hidden="false" customHeight="false" outlineLevel="0" collapsed="false">
      <c r="A209" s="75" t="n">
        <f aca="false">ROWS(A$13:A209)</f>
        <v>197</v>
      </c>
      <c r="B209" s="73" t="n">
        <f aca="false">IF(B208="","",IFERROR(SMALL($AH$10:$AH$409,COUNTIF($AH$10:$AH$409,"&lt;="&amp;B208)+1),""))</f>
        <v>45858</v>
      </c>
      <c r="C209" s="74" t="n">
        <f aca="false">IF(B209="","",INDEX($AI$10:$AI$409,MATCH(B209,$AH$10:$AH$409,0)))</f>
        <v>25.64</v>
      </c>
      <c r="D209" s="74" t="n">
        <f aca="false">IF(B209="","",IFERROR(INDEX($AK$10:$AK$409,MATCH(B209,$AJ$10:$AJ$409,0)),""))</f>
        <v>57323.14</v>
      </c>
      <c r="E209" s="76" t="n">
        <f aca="false">IF(AND(ISNUMBER(C209),ISNUMBER(C208)),C209/C208-1,"")</f>
        <v>-0.0134667179684493</v>
      </c>
      <c r="F209" s="76" t="n">
        <f aca="false">IF(AND(ISNUMBER(D209),ISNUMBER(D208)),D209/D208-1,"")</f>
        <v>0.0186533791690398</v>
      </c>
      <c r="G209" s="75" t="n">
        <f aca="false">IF(AND(ISNUMBER(E209),ISNUMBER(F209)),1,"")</f>
        <v>1</v>
      </c>
      <c r="H209" s="75" t="n">
        <f aca="false">IF(G209=1,COUNT(G209:G$412),"")</f>
        <v>63</v>
      </c>
      <c r="I209" s="75" t="n">
        <f aca="false">IF(G209=1,IF(H209&lt;='Beta Regresión'!$B$5,1,""),"")</f>
        <v>1</v>
      </c>
      <c r="J209" s="76" t="n">
        <f aca="false">IF(I209=1,E209,"")</f>
        <v>-0.0134667179684493</v>
      </c>
      <c r="K209" s="76" t="n">
        <f aca="false">IF(I209=1,F209,"")</f>
        <v>0.0186533791690398</v>
      </c>
      <c r="L209" s="75" t="n">
        <f aca="false">IF(I209=1,COUNT(I$13:I209),"")</f>
        <v>196</v>
      </c>
      <c r="M209" s="76" t="n">
        <f aca="false">IFERROR(INDEX($J$13:$J$412,MATCH(A209,$L$13:$L$412,0)),"")</f>
        <v>-0.0288611544461779</v>
      </c>
      <c r="N209" s="76" t="n">
        <f aca="false">IFERROR(INDEX($K$13:$K$412,MATCH(A209,$L$13:$L$412,0)),"")</f>
        <v>-0.00738044008056782</v>
      </c>
      <c r="O209" s="76" t="n">
        <f aca="false">IF(I209=1,E209,NA())</f>
        <v>-0.0134667179684493</v>
      </c>
      <c r="P209" s="76" t="n">
        <f aca="false">IF(I209=1,F209,NA())</f>
        <v>0.0186533791690398</v>
      </c>
      <c r="R209" s="75" t="n">
        <f aca="false">ROWS(R$13:R209)</f>
        <v>197</v>
      </c>
      <c r="S209" s="73" t="str">
        <f aca="false">IF(S208="","",IFERROR(SMALL($AD$10:$AD$509,COUNTIF($AD$10:$AD$509,"&lt;="&amp;S208)+1),""))</f>
        <v/>
      </c>
      <c r="T209" s="74" t="str">
        <f aca="false">IF(S209="","",INDEX($AE$10:$AE$509,MATCH(S209,$AD$10:$AD$509,0)))</f>
        <v/>
      </c>
      <c r="U209" s="74" t="str">
        <f aca="false">IF(S209="","",IFERROR(INDEX($AG$10:$AG$509,MATCH(S209,$AF$10:$AF$509,0)),""))</f>
        <v/>
      </c>
      <c r="V209" s="76" t="str">
        <f aca="false">IF(AND(ISNUMBER(T209),ISNUMBER(T208)),T209/T208-1,"")</f>
        <v/>
      </c>
      <c r="W209" s="76" t="str">
        <f aca="false">IF(AND(ISNUMBER(U209),ISNUMBER(U208)),U209/U208-1,"")</f>
        <v/>
      </c>
      <c r="X209" s="75" t="str">
        <f aca="false">IF(AND(ISNUMBER(V209),ISNUMBER(W209)),1,"")</f>
        <v/>
      </c>
      <c r="Y209" s="76" t="str">
        <f aca="false">IF(X209=1,V209,"")</f>
        <v/>
      </c>
      <c r="Z209" s="76" t="str">
        <f aca="false">IF(X209=1,W209,"")</f>
        <v/>
      </c>
      <c r="AA209" s="76" t="e">
        <f aca="false">IF(X209=1,V209,NA())</f>
        <v>#N/A</v>
      </c>
      <c r="AB209" s="76" t="e">
        <f aca="false">IF(X209=1,W209,NA())</f>
        <v>#N/A</v>
      </c>
      <c r="AD209" s="73" t="str">
        <f aca="false">IF(ISNUMBER(AE209),IF(ISNUMBER('Base de Datos'!A205),IF('Base de Datos'!A205&gt;20000,DATE(YEAR('Base de Datos'!A205),DAY('Base de Datos'!A205),MONTH('Base de Datos'!A205)),""),IF(TRIM('Base de Datos'!A205)="","",IFERROR(DATE(VALUE(RIGHT(TRIM('Base de Datos'!A205),4)),VALUE(LEFT(TRIM('Base de Datos'!A205),2)),VALUE(MID(TRIM('Base de Datos'!A205),4,2))),""))),"")</f>
        <v/>
      </c>
      <c r="AE209" s="74" t="str">
        <f aca="false">IF(ISNUMBER('Base de Datos'!B205),'Base de Datos'!B205,IF(TRIM('Base de Datos'!B205)="","",IFERROR(IF(IFERROR(FIND("@",SUBSTITUTE(TRIM('Base de Datos'!B205),",","@",LEN(TRIM('Base de Datos'!B205))-LEN(SUBSTITUTE(TRIM('Base de Datos'!B205),",","")))),0)&gt;IFERROR(FIND("@",SUBSTITUTE(TRIM('Base de Datos'!B205),".","@",LEN(TRIM('Base de Datos'!B205))-LEN(SUBSTITUTE(TRIM('Base de Datos'!B205),".","")))),0),_xlfn.NUMBERVALUE(SUBSTITUTE(SUBSTITUTE(TRIM('Base de Datos'!B205),".",""),",","."),".",","),_xlfn.NUMBERVALUE(SUBSTITUTE(TRIM('Base de Datos'!B205),",",""),".",",")),"")))</f>
        <v/>
      </c>
      <c r="AF209" s="73" t="str">
        <f aca="false">IF(ISNUMBER(AG209),IF(ISNUMBER('Base de Datos'!I205),IF('Base de Datos'!I205&gt;20000,INT('Base de Datos'!I205),""),IF(TRIM('Base de Datos'!I205)="","",IFERROR(DATE(VALUE(RIGHT(TRIM('Base de Datos'!I205),4)),VALUE(MID(TRIM('Base de Datos'!I205),4,2)),VALUE(LEFT(TRIM('Base de Datos'!I205),2))),IFERROR(DATEVALUE(TRIM('Base de Datos'!I205)),"")))),"")</f>
        <v/>
      </c>
      <c r="AG209" s="74" t="str">
        <f aca="false">IF(ISNUMBER('Base de Datos'!J205),'Base de Datos'!J205,IF(TRIM('Base de Datos'!J205)="","",IFERROR(IF(IFERROR(FIND("@",SUBSTITUTE(TRIM('Base de Datos'!J205),",","@",LEN(TRIM('Base de Datos'!J205))-LEN(SUBSTITUTE(TRIM('Base de Datos'!J205),",","")))),0)&gt;IFERROR(FIND("@",SUBSTITUTE(TRIM('Base de Datos'!J205),".","@",LEN(TRIM('Base de Datos'!J205))-LEN(SUBSTITUTE(TRIM('Base de Datos'!J205),".","")))),0),_xlfn.NUMBERVALUE(SUBSTITUTE(SUBSTITUTE(TRIM('Base de Datos'!J205),".",""),",","."),".",","),_xlfn.NUMBERVALUE(SUBSTITUTE(TRIM('Base de Datos'!J205),",",""),".",",")),"")))</f>
        <v/>
      </c>
      <c r="AH209" s="73" t="n">
        <f aca="false">IF(ISNUMBER(AI209),IF(ISNUMBER('Base de Datos'!Q205),IF('Base de Datos'!Q205&gt;20000,DATE(YEAR('Base de Datos'!Q205),DAY('Base de Datos'!Q205),MONTH('Base de Datos'!Q205)),""),IF(TRIM('Base de Datos'!Q205)="","",IFERROR(DATE(VALUE(RIGHT(TRIM('Base de Datos'!Q205),4)),VALUE(LEFT(TRIM('Base de Datos'!Q205),2)),VALUE(MID(TRIM('Base de Datos'!Q205),4,2))),""))),"")</f>
        <v>45879</v>
      </c>
      <c r="AI209" s="74" t="n">
        <f aca="false">IF(ISNUMBER('Base de Datos'!R205),'Base de Datos'!R205,IF(TRIM('Base de Datos'!R205)="","",IFERROR(IF(IFERROR(FIND("@",SUBSTITUTE(TRIM('Base de Datos'!R205),",","@",LEN(TRIM('Base de Datos'!R205))-LEN(SUBSTITUTE(TRIM('Base de Datos'!R205),",","")))),0)&gt;IFERROR(FIND("@",SUBSTITUTE(TRIM('Base de Datos'!R205),".","@",LEN(TRIM('Base de Datos'!R205))-LEN(SUBSTITUTE(TRIM('Base de Datos'!R205),".","")))),0),_xlfn.NUMBERVALUE(SUBSTITUTE(SUBSTITUTE(TRIM('Base de Datos'!R205),".",""),",","."),".",","),_xlfn.NUMBERVALUE(SUBSTITUTE(TRIM('Base de Datos'!R205),",",""),".",",")),"")))</f>
        <v>25.24</v>
      </c>
      <c r="AJ209" s="73" t="n">
        <f aca="false">IF(ISNUMBER(AK209),IF(ISNUMBER('Base de Datos'!Y205),IF('Base de Datos'!Y205&gt;20000,INT('Base de Datos'!Y205),""),IF(TRIM('Base de Datos'!Y205)="","",IFERROR(DATE(VALUE(RIGHT(TRIM('Base de Datos'!Y205),4)),VALUE(MID(TRIM('Base de Datos'!Y205),4,2)),VALUE(LEFT(TRIM('Base de Datos'!Y205),2))),IFERROR(DATEVALUE(TRIM('Base de Datos'!Y205)),"")))),"")</f>
        <v>45879</v>
      </c>
      <c r="AK209" s="74" t="n">
        <f aca="false">IF(ISNUMBER('Base de Datos'!Z205),'Base de Datos'!Z205,IF(TRIM('Base de Datos'!Z205)="","",IFERROR(IF(IFERROR(FIND("@",SUBSTITUTE(TRIM('Base de Datos'!Z205),",","@",LEN(TRIM('Base de Datos'!Z205))-LEN(SUBSTITUTE(TRIM('Base de Datos'!Z205),",","")))),0)&gt;IFERROR(FIND("@",SUBSTITUTE(TRIM('Base de Datos'!Z205),".","@",LEN(TRIM('Base de Datos'!Z205))-LEN(SUBSTITUTE(TRIM('Base de Datos'!Z205),".","")))),0),_xlfn.NUMBERVALUE(SUBSTITUTE(SUBSTITUTE(TRIM('Base de Datos'!Z205),".",""),",","."),".",","),_xlfn.NUMBERVALUE(SUBSTITUTE(TRIM('Base de Datos'!Z205),",",""),".",",")),"")))</f>
        <v>58320.48</v>
      </c>
    </row>
    <row r="210" customFormat="false" ht="13.5" hidden="false" customHeight="false" outlineLevel="0" collapsed="false">
      <c r="A210" s="75" t="n">
        <f aca="false">ROWS(A$13:A210)</f>
        <v>198</v>
      </c>
      <c r="B210" s="73" t="n">
        <f aca="false">IF(B209="","",IFERROR(SMALL($AH$10:$AH$409,COUNTIF($AH$10:$AH$409,"&lt;="&amp;B209)+1),""))</f>
        <v>45865</v>
      </c>
      <c r="C210" s="74" t="n">
        <f aca="false">IF(B210="","",INDEX($AI$10:$AI$409,MATCH(B210,$AH$10:$AH$409,0)))</f>
        <v>24.9</v>
      </c>
      <c r="D210" s="74" t="n">
        <f aca="false">IF(B210="","",IFERROR(INDEX($AK$10:$AK$409,MATCH(B210,$AJ$10:$AJ$409,0)),""))</f>
        <v>56900.07</v>
      </c>
      <c r="E210" s="76" t="n">
        <f aca="false">IF(AND(ISNUMBER(C210),ISNUMBER(C209)),C210/C209-1,"")</f>
        <v>-0.0288611544461779</v>
      </c>
      <c r="F210" s="76" t="n">
        <f aca="false">IF(AND(ISNUMBER(D210),ISNUMBER(D209)),D210/D209-1,"")</f>
        <v>-0.00738044008056782</v>
      </c>
      <c r="G210" s="75" t="n">
        <f aca="false">IF(AND(ISNUMBER(E210),ISNUMBER(F210)),1,"")</f>
        <v>1</v>
      </c>
      <c r="H210" s="75" t="n">
        <f aca="false">IF(G210=1,COUNT(G210:G$412),"")</f>
        <v>62</v>
      </c>
      <c r="I210" s="75" t="n">
        <f aca="false">IF(G210=1,IF(H210&lt;='Beta Regresión'!$B$5,1,""),"")</f>
        <v>1</v>
      </c>
      <c r="J210" s="76" t="n">
        <f aca="false">IF(I210=1,E210,"")</f>
        <v>-0.0288611544461779</v>
      </c>
      <c r="K210" s="76" t="n">
        <f aca="false">IF(I210=1,F210,"")</f>
        <v>-0.00738044008056782</v>
      </c>
      <c r="L210" s="75" t="n">
        <f aca="false">IF(I210=1,COUNT(I$13:I210),"")</f>
        <v>197</v>
      </c>
      <c r="M210" s="76" t="n">
        <f aca="false">IFERROR(INDEX($J$13:$J$412,MATCH(A210,$L$13:$L$412,0)),"")</f>
        <v>0.00281124497991958</v>
      </c>
      <c r="N210" s="76" t="n">
        <f aca="false">IFERROR(INDEX($K$13:$K$412,MATCH(A210,$L$13:$L$412,0)),"")</f>
        <v>0.0205641223288477</v>
      </c>
      <c r="O210" s="76" t="n">
        <f aca="false">IF(I210=1,E210,NA())</f>
        <v>-0.0288611544461779</v>
      </c>
      <c r="P210" s="76" t="n">
        <f aca="false">IF(I210=1,F210,NA())</f>
        <v>-0.00738044008056782</v>
      </c>
      <c r="R210" s="75" t="n">
        <f aca="false">ROWS(R$13:R210)</f>
        <v>198</v>
      </c>
      <c r="S210" s="73" t="str">
        <f aca="false">IF(S209="","",IFERROR(SMALL($AD$10:$AD$509,COUNTIF($AD$10:$AD$509,"&lt;="&amp;S209)+1),""))</f>
        <v/>
      </c>
      <c r="T210" s="74" t="str">
        <f aca="false">IF(S210="","",INDEX($AE$10:$AE$509,MATCH(S210,$AD$10:$AD$509,0)))</f>
        <v/>
      </c>
      <c r="U210" s="74" t="str">
        <f aca="false">IF(S210="","",IFERROR(INDEX($AG$10:$AG$509,MATCH(S210,$AF$10:$AF$509,0)),""))</f>
        <v/>
      </c>
      <c r="V210" s="76" t="str">
        <f aca="false">IF(AND(ISNUMBER(T210),ISNUMBER(T209)),T210/T209-1,"")</f>
        <v/>
      </c>
      <c r="W210" s="76" t="str">
        <f aca="false">IF(AND(ISNUMBER(U210),ISNUMBER(U209)),U210/U209-1,"")</f>
        <v/>
      </c>
      <c r="X210" s="75" t="str">
        <f aca="false">IF(AND(ISNUMBER(V210),ISNUMBER(W210)),1,"")</f>
        <v/>
      </c>
      <c r="Y210" s="76" t="str">
        <f aca="false">IF(X210=1,V210,"")</f>
        <v/>
      </c>
      <c r="Z210" s="76" t="str">
        <f aca="false">IF(X210=1,W210,"")</f>
        <v/>
      </c>
      <c r="AA210" s="76" t="e">
        <f aca="false">IF(X210=1,V210,NA())</f>
        <v>#N/A</v>
      </c>
      <c r="AB210" s="76" t="e">
        <f aca="false">IF(X210=1,W210,NA())</f>
        <v>#N/A</v>
      </c>
      <c r="AD210" s="73" t="str">
        <f aca="false">IF(ISNUMBER(AE210),IF(ISNUMBER('Base de Datos'!A206),IF('Base de Datos'!A206&gt;20000,DATE(YEAR('Base de Datos'!A206),DAY('Base de Datos'!A206),MONTH('Base de Datos'!A206)),""),IF(TRIM('Base de Datos'!A206)="","",IFERROR(DATE(VALUE(RIGHT(TRIM('Base de Datos'!A206),4)),VALUE(LEFT(TRIM('Base de Datos'!A206),2)),VALUE(MID(TRIM('Base de Datos'!A206),4,2))),""))),"")</f>
        <v/>
      </c>
      <c r="AE210" s="74" t="str">
        <f aca="false">IF(ISNUMBER('Base de Datos'!B206),'Base de Datos'!B206,IF(TRIM('Base de Datos'!B206)="","",IFERROR(IF(IFERROR(FIND("@",SUBSTITUTE(TRIM('Base de Datos'!B206),",","@",LEN(TRIM('Base de Datos'!B206))-LEN(SUBSTITUTE(TRIM('Base de Datos'!B206),",","")))),0)&gt;IFERROR(FIND("@",SUBSTITUTE(TRIM('Base de Datos'!B206),".","@",LEN(TRIM('Base de Datos'!B206))-LEN(SUBSTITUTE(TRIM('Base de Datos'!B206),".","")))),0),_xlfn.NUMBERVALUE(SUBSTITUTE(SUBSTITUTE(TRIM('Base de Datos'!B206),".",""),",","."),".",","),_xlfn.NUMBERVALUE(SUBSTITUTE(TRIM('Base de Datos'!B206),",",""),".",",")),"")))</f>
        <v/>
      </c>
      <c r="AF210" s="73" t="str">
        <f aca="false">IF(ISNUMBER(AG210),IF(ISNUMBER('Base de Datos'!I206),IF('Base de Datos'!I206&gt;20000,INT('Base de Datos'!I206),""),IF(TRIM('Base de Datos'!I206)="","",IFERROR(DATE(VALUE(RIGHT(TRIM('Base de Datos'!I206),4)),VALUE(MID(TRIM('Base de Datos'!I206),4,2)),VALUE(LEFT(TRIM('Base de Datos'!I206),2))),IFERROR(DATEVALUE(TRIM('Base de Datos'!I206)),"")))),"")</f>
        <v/>
      </c>
      <c r="AG210" s="74" t="str">
        <f aca="false">IF(ISNUMBER('Base de Datos'!J206),'Base de Datos'!J206,IF(TRIM('Base de Datos'!J206)="","",IFERROR(IF(IFERROR(FIND("@",SUBSTITUTE(TRIM('Base de Datos'!J206),",","@",LEN(TRIM('Base de Datos'!J206))-LEN(SUBSTITUTE(TRIM('Base de Datos'!J206),",","")))),0)&gt;IFERROR(FIND("@",SUBSTITUTE(TRIM('Base de Datos'!J206),".","@",LEN(TRIM('Base de Datos'!J206))-LEN(SUBSTITUTE(TRIM('Base de Datos'!J206),".","")))),0),_xlfn.NUMBERVALUE(SUBSTITUTE(SUBSTITUTE(TRIM('Base de Datos'!J206),".",""),",","."),".",","),_xlfn.NUMBERVALUE(SUBSTITUTE(TRIM('Base de Datos'!J206),",",""),".",",")),"")))</f>
        <v/>
      </c>
      <c r="AH210" s="73" t="n">
        <f aca="false">IF(ISNUMBER(AI210),IF(ISNUMBER('Base de Datos'!Q206),IF('Base de Datos'!Q206&gt;20000,DATE(YEAR('Base de Datos'!Q206),DAY('Base de Datos'!Q206),MONTH('Base de Datos'!Q206)),""),IF(TRIM('Base de Datos'!Q206)="","",IFERROR(DATE(VALUE(RIGHT(TRIM('Base de Datos'!Q206),4)),VALUE(LEFT(TRIM('Base de Datos'!Q206),2)),VALUE(MID(TRIM('Base de Datos'!Q206),4,2))),""))),"")</f>
        <v>45886</v>
      </c>
      <c r="AI210" s="74" t="n">
        <f aca="false">IF(ISNUMBER('Base de Datos'!R206),'Base de Datos'!R206,IF(TRIM('Base de Datos'!R206)="","",IFERROR(IF(IFERROR(FIND("@",SUBSTITUTE(TRIM('Base de Datos'!R206),",","@",LEN(TRIM('Base de Datos'!R206))-LEN(SUBSTITUTE(TRIM('Base de Datos'!R206),",","")))),0)&gt;IFERROR(FIND("@",SUBSTITUTE(TRIM('Base de Datos'!R206),".","@",LEN(TRIM('Base de Datos'!R206))-LEN(SUBSTITUTE(TRIM('Base de Datos'!R206),".","")))),0),_xlfn.NUMBERVALUE(SUBSTITUTE(SUBSTITUTE(TRIM('Base de Datos'!R206),".",""),",","."),".",","),_xlfn.NUMBERVALUE(SUBSTITUTE(TRIM('Base de Datos'!R206),",",""),".",",")),"")))</f>
        <v>25.4</v>
      </c>
      <c r="AJ210" s="73" t="n">
        <f aca="false">IF(ISNUMBER(AK210),IF(ISNUMBER('Base de Datos'!Y206),IF('Base de Datos'!Y206&gt;20000,INT('Base de Datos'!Y206),""),IF(TRIM('Base de Datos'!Y206)="","",IFERROR(DATE(VALUE(RIGHT(TRIM('Base de Datos'!Y206),4)),VALUE(MID(TRIM('Base de Datos'!Y206),4,2)),VALUE(LEFT(TRIM('Base de Datos'!Y206),2))),IFERROR(DATEVALUE(TRIM('Base de Datos'!Y206)),"")))),"")</f>
        <v>45886</v>
      </c>
      <c r="AK210" s="74" t="n">
        <f aca="false">IF(ISNUMBER('Base de Datos'!Z206),'Base de Datos'!Z206,IF(TRIM('Base de Datos'!Z206)="","",IFERROR(IF(IFERROR(FIND("@",SUBSTITUTE(TRIM('Base de Datos'!Z206),",","@",LEN(TRIM('Base de Datos'!Z206))-LEN(SUBSTITUTE(TRIM('Base de Datos'!Z206),",","")))),0)&gt;IFERROR(FIND("@",SUBSTITUTE(TRIM('Base de Datos'!Z206),".","@",LEN(TRIM('Base de Datos'!Z206))-LEN(SUBSTITUTE(TRIM('Base de Datos'!Z206),".","")))),0),_xlfn.NUMBERVALUE(SUBSTITUTE(SUBSTITUTE(TRIM('Base de Datos'!Z206),".",""),",","."),".",","),_xlfn.NUMBERVALUE(SUBSTITUTE(TRIM('Base de Datos'!Z206),",",""),".",",")),"")))</f>
        <v>59225.48</v>
      </c>
    </row>
    <row r="211" customFormat="false" ht="13.5" hidden="false" customHeight="false" outlineLevel="0" collapsed="false">
      <c r="A211" s="75" t="n">
        <f aca="false">ROWS(A$13:A211)</f>
        <v>199</v>
      </c>
      <c r="B211" s="73" t="n">
        <f aca="false">IF(B210="","",IFERROR(SMALL($AH$10:$AH$409,COUNTIF($AH$10:$AH$409,"&lt;="&amp;B210)+1),""))</f>
        <v>45872</v>
      </c>
      <c r="C211" s="74" t="n">
        <f aca="false">IF(B211="","",INDEX($AI$10:$AI$409,MATCH(B211,$AH$10:$AH$409,0)))</f>
        <v>24.97</v>
      </c>
      <c r="D211" s="74" t="n">
        <f aca="false">IF(B211="","",IFERROR(INDEX($AK$10:$AK$409,MATCH(B211,$AJ$10:$AJ$409,0)),""))</f>
        <v>58070.17</v>
      </c>
      <c r="E211" s="76" t="n">
        <f aca="false">IF(AND(ISNUMBER(C211),ISNUMBER(C210)),C211/C210-1,"")</f>
        <v>0.00281124497991958</v>
      </c>
      <c r="F211" s="76" t="n">
        <f aca="false">IF(AND(ISNUMBER(D211),ISNUMBER(D210)),D211/D210-1,"")</f>
        <v>0.0205641223288477</v>
      </c>
      <c r="G211" s="75" t="n">
        <f aca="false">IF(AND(ISNUMBER(E211),ISNUMBER(F211)),1,"")</f>
        <v>1</v>
      </c>
      <c r="H211" s="75" t="n">
        <f aca="false">IF(G211=1,COUNT(G211:G$412),"")</f>
        <v>61</v>
      </c>
      <c r="I211" s="75" t="n">
        <f aca="false">IF(G211=1,IF(H211&lt;='Beta Regresión'!$B$5,1,""),"")</f>
        <v>1</v>
      </c>
      <c r="J211" s="76" t="n">
        <f aca="false">IF(I211=1,E211,"")</f>
        <v>0.00281124497991958</v>
      </c>
      <c r="K211" s="76" t="n">
        <f aca="false">IF(I211=1,F211,"")</f>
        <v>0.0205641223288477</v>
      </c>
      <c r="L211" s="75" t="n">
        <f aca="false">IF(I211=1,COUNT(I$13:I211),"")</f>
        <v>198</v>
      </c>
      <c r="M211" s="76" t="n">
        <f aca="false">IFERROR(INDEX($J$13:$J$412,MATCH(A211,$L$13:$L$412,0)),"")</f>
        <v>0.0108129755706847</v>
      </c>
      <c r="N211" s="76" t="n">
        <f aca="false">IFERROR(INDEX($K$13:$K$412,MATCH(A211,$L$13:$L$412,0)),"")</f>
        <v>0.00431047472394175</v>
      </c>
      <c r="O211" s="76" t="n">
        <f aca="false">IF(I211=1,E211,NA())</f>
        <v>0.00281124497991958</v>
      </c>
      <c r="P211" s="76" t="n">
        <f aca="false">IF(I211=1,F211,NA())</f>
        <v>0.0205641223288477</v>
      </c>
      <c r="R211" s="75" t="n">
        <f aca="false">ROWS(R$13:R211)</f>
        <v>199</v>
      </c>
      <c r="S211" s="73" t="str">
        <f aca="false">IF(S210="","",IFERROR(SMALL($AD$10:$AD$509,COUNTIF($AD$10:$AD$509,"&lt;="&amp;S210)+1),""))</f>
        <v/>
      </c>
      <c r="T211" s="74" t="str">
        <f aca="false">IF(S211="","",INDEX($AE$10:$AE$509,MATCH(S211,$AD$10:$AD$509,0)))</f>
        <v/>
      </c>
      <c r="U211" s="74" t="str">
        <f aca="false">IF(S211="","",IFERROR(INDEX($AG$10:$AG$509,MATCH(S211,$AF$10:$AF$509,0)),""))</f>
        <v/>
      </c>
      <c r="V211" s="76" t="str">
        <f aca="false">IF(AND(ISNUMBER(T211),ISNUMBER(T210)),T211/T210-1,"")</f>
        <v/>
      </c>
      <c r="W211" s="76" t="str">
        <f aca="false">IF(AND(ISNUMBER(U211),ISNUMBER(U210)),U211/U210-1,"")</f>
        <v/>
      </c>
      <c r="X211" s="75" t="str">
        <f aca="false">IF(AND(ISNUMBER(V211),ISNUMBER(W211)),1,"")</f>
        <v/>
      </c>
      <c r="Y211" s="76" t="str">
        <f aca="false">IF(X211=1,V211,"")</f>
        <v/>
      </c>
      <c r="Z211" s="76" t="str">
        <f aca="false">IF(X211=1,W211,"")</f>
        <v/>
      </c>
      <c r="AA211" s="76" t="e">
        <f aca="false">IF(X211=1,V211,NA())</f>
        <v>#N/A</v>
      </c>
      <c r="AB211" s="76" t="e">
        <f aca="false">IF(X211=1,W211,NA())</f>
        <v>#N/A</v>
      </c>
      <c r="AD211" s="73" t="str">
        <f aca="false">IF(ISNUMBER(AE211),IF(ISNUMBER('Base de Datos'!A207),IF('Base de Datos'!A207&gt;20000,DATE(YEAR('Base de Datos'!A207),DAY('Base de Datos'!A207),MONTH('Base de Datos'!A207)),""),IF(TRIM('Base de Datos'!A207)="","",IFERROR(DATE(VALUE(RIGHT(TRIM('Base de Datos'!A207),4)),VALUE(LEFT(TRIM('Base de Datos'!A207),2)),VALUE(MID(TRIM('Base de Datos'!A207),4,2))),""))),"")</f>
        <v/>
      </c>
      <c r="AE211" s="74" t="str">
        <f aca="false">IF(ISNUMBER('Base de Datos'!B207),'Base de Datos'!B207,IF(TRIM('Base de Datos'!B207)="","",IFERROR(IF(IFERROR(FIND("@",SUBSTITUTE(TRIM('Base de Datos'!B207),",","@",LEN(TRIM('Base de Datos'!B207))-LEN(SUBSTITUTE(TRIM('Base de Datos'!B207),",","")))),0)&gt;IFERROR(FIND("@",SUBSTITUTE(TRIM('Base de Datos'!B207),".","@",LEN(TRIM('Base de Datos'!B207))-LEN(SUBSTITUTE(TRIM('Base de Datos'!B207),".","")))),0),_xlfn.NUMBERVALUE(SUBSTITUTE(SUBSTITUTE(TRIM('Base de Datos'!B207),".",""),",","."),".",","),_xlfn.NUMBERVALUE(SUBSTITUTE(TRIM('Base de Datos'!B207),",",""),".",",")),"")))</f>
        <v/>
      </c>
      <c r="AF211" s="73" t="str">
        <f aca="false">IF(ISNUMBER(AG211),IF(ISNUMBER('Base de Datos'!I207),IF('Base de Datos'!I207&gt;20000,INT('Base de Datos'!I207),""),IF(TRIM('Base de Datos'!I207)="","",IFERROR(DATE(VALUE(RIGHT(TRIM('Base de Datos'!I207),4)),VALUE(MID(TRIM('Base de Datos'!I207),4,2)),VALUE(LEFT(TRIM('Base de Datos'!I207),2))),IFERROR(DATEVALUE(TRIM('Base de Datos'!I207)),"")))),"")</f>
        <v/>
      </c>
      <c r="AG211" s="74" t="str">
        <f aca="false">IF(ISNUMBER('Base de Datos'!J207),'Base de Datos'!J207,IF(TRIM('Base de Datos'!J207)="","",IFERROR(IF(IFERROR(FIND("@",SUBSTITUTE(TRIM('Base de Datos'!J207),",","@",LEN(TRIM('Base de Datos'!J207))-LEN(SUBSTITUTE(TRIM('Base de Datos'!J207),",","")))),0)&gt;IFERROR(FIND("@",SUBSTITUTE(TRIM('Base de Datos'!J207),".","@",LEN(TRIM('Base de Datos'!J207))-LEN(SUBSTITUTE(TRIM('Base de Datos'!J207),".","")))),0),_xlfn.NUMBERVALUE(SUBSTITUTE(SUBSTITUTE(TRIM('Base de Datos'!J207),".",""),",","."),".",","),_xlfn.NUMBERVALUE(SUBSTITUTE(TRIM('Base de Datos'!J207),",",""),".",",")),"")))</f>
        <v/>
      </c>
      <c r="AH211" s="73" t="n">
        <f aca="false">IF(ISNUMBER(AI211),IF(ISNUMBER('Base de Datos'!Q207),IF('Base de Datos'!Q207&gt;20000,DATE(YEAR('Base de Datos'!Q207),DAY('Base de Datos'!Q207),MONTH('Base de Datos'!Q207)),""),IF(TRIM('Base de Datos'!Q207)="","",IFERROR(DATE(VALUE(RIGHT(TRIM('Base de Datos'!Q207),4)),VALUE(LEFT(TRIM('Base de Datos'!Q207),2)),VALUE(MID(TRIM('Base de Datos'!Q207),4,2))),""))),"")</f>
        <v>45893</v>
      </c>
      <c r="AI211" s="74" t="n">
        <f aca="false">IF(ISNUMBER('Base de Datos'!R207),'Base de Datos'!R207,IF(TRIM('Base de Datos'!R207)="","",IFERROR(IF(IFERROR(FIND("@",SUBSTITUTE(TRIM('Base de Datos'!R207),",","@",LEN(TRIM('Base de Datos'!R207))-LEN(SUBSTITUTE(TRIM('Base de Datos'!R207),",","")))),0)&gt;IFERROR(FIND("@",SUBSTITUTE(TRIM('Base de Datos'!R207),".","@",LEN(TRIM('Base de Datos'!R207))-LEN(SUBSTITUTE(TRIM('Base de Datos'!R207),".","")))),0),_xlfn.NUMBERVALUE(SUBSTITUTE(SUBSTITUTE(TRIM('Base de Datos'!R207),".",""),",","."),".",","),_xlfn.NUMBERVALUE(SUBSTITUTE(TRIM('Base de Datos'!R207),",",""),".",",")),"")))</f>
        <v>25.73</v>
      </c>
      <c r="AJ211" s="73" t="n">
        <f aca="false">IF(ISNUMBER(AK211),IF(ISNUMBER('Base de Datos'!Y207),IF('Base de Datos'!Y207&gt;20000,INT('Base de Datos'!Y207),""),IF(TRIM('Base de Datos'!Y207)="","",IFERROR(DATE(VALUE(RIGHT(TRIM('Base de Datos'!Y207),4)),VALUE(MID(TRIM('Base de Datos'!Y207),4,2)),VALUE(LEFT(TRIM('Base de Datos'!Y207),2))),IFERROR(DATEVALUE(TRIM('Base de Datos'!Y207)),"")))),"")</f>
        <v>45893</v>
      </c>
      <c r="AK211" s="74" t="n">
        <f aca="false">IF(ISNUMBER('Base de Datos'!Z207),'Base de Datos'!Z207,IF(TRIM('Base de Datos'!Z207)="","",IFERROR(IF(IFERROR(FIND("@",SUBSTITUTE(TRIM('Base de Datos'!Z207),",","@",LEN(TRIM('Base de Datos'!Z207))-LEN(SUBSTITUTE(TRIM('Base de Datos'!Z207),",","")))),0)&gt;IFERROR(FIND("@",SUBSTITUTE(TRIM('Base de Datos'!Z207),".","@",LEN(TRIM('Base de Datos'!Z207))-LEN(SUBSTITUTE(TRIM('Base de Datos'!Z207),".","")))),0),_xlfn.NUMBERVALUE(SUBSTITUTE(SUBSTITUTE(TRIM('Base de Datos'!Z207),".",""),",","."),".",","),_xlfn.NUMBERVALUE(SUBSTITUTE(TRIM('Base de Datos'!Z207),",",""),".",",")),"")))</f>
        <v>58708.86</v>
      </c>
    </row>
    <row r="212" customFormat="false" ht="13.5" hidden="false" customHeight="false" outlineLevel="0" collapsed="false">
      <c r="A212" s="75" t="n">
        <f aca="false">ROWS(A$13:A212)</f>
        <v>200</v>
      </c>
      <c r="B212" s="73" t="n">
        <f aca="false">IF(B211="","",IFERROR(SMALL($AH$10:$AH$409,COUNTIF($AH$10:$AH$409,"&lt;="&amp;B211)+1),""))</f>
        <v>45879</v>
      </c>
      <c r="C212" s="74" t="n">
        <f aca="false">IF(B212="","",INDEX($AI$10:$AI$409,MATCH(B212,$AH$10:$AH$409,0)))</f>
        <v>25.24</v>
      </c>
      <c r="D212" s="74" t="n">
        <f aca="false">IF(B212="","",IFERROR(INDEX($AK$10:$AK$409,MATCH(B212,$AJ$10:$AJ$409,0)),""))</f>
        <v>58320.48</v>
      </c>
      <c r="E212" s="76" t="n">
        <f aca="false">IF(AND(ISNUMBER(C212),ISNUMBER(C211)),C212/C211-1,"")</f>
        <v>0.0108129755706847</v>
      </c>
      <c r="F212" s="76" t="n">
        <f aca="false">IF(AND(ISNUMBER(D212),ISNUMBER(D211)),D212/D211-1,"")</f>
        <v>0.00431047472394175</v>
      </c>
      <c r="G212" s="75" t="n">
        <f aca="false">IF(AND(ISNUMBER(E212),ISNUMBER(F212)),1,"")</f>
        <v>1</v>
      </c>
      <c r="H212" s="75" t="n">
        <f aca="false">IF(G212=1,COUNT(G212:G$412),"")</f>
        <v>60</v>
      </c>
      <c r="I212" s="75" t="n">
        <f aca="false">IF(G212=1,IF(H212&lt;='Beta Regresión'!$B$5,1,""),"")</f>
        <v>1</v>
      </c>
      <c r="J212" s="76" t="n">
        <f aca="false">IF(I212=1,E212,"")</f>
        <v>0.0108129755706847</v>
      </c>
      <c r="K212" s="76" t="n">
        <f aca="false">IF(I212=1,F212,"")</f>
        <v>0.00431047472394175</v>
      </c>
      <c r="L212" s="75" t="n">
        <f aca="false">IF(I212=1,COUNT(I$13:I212),"")</f>
        <v>199</v>
      </c>
      <c r="M212" s="76" t="n">
        <f aca="false">IFERROR(INDEX($J$13:$J$412,MATCH(A212,$L$13:$L$412,0)),"")</f>
        <v>0.00633914421553095</v>
      </c>
      <c r="N212" s="76" t="n">
        <f aca="false">IFERROR(INDEX($K$13:$K$412,MATCH(A212,$L$13:$L$412,0)),"")</f>
        <v>0.0155177049297262</v>
      </c>
      <c r="O212" s="76" t="n">
        <f aca="false">IF(I212=1,E212,NA())</f>
        <v>0.0108129755706847</v>
      </c>
      <c r="P212" s="76" t="n">
        <f aca="false">IF(I212=1,F212,NA())</f>
        <v>0.00431047472394175</v>
      </c>
      <c r="R212" s="75" t="n">
        <f aca="false">ROWS(R$13:R212)</f>
        <v>200</v>
      </c>
      <c r="S212" s="73" t="str">
        <f aca="false">IF(S211="","",IFERROR(SMALL($AD$10:$AD$509,COUNTIF($AD$10:$AD$509,"&lt;="&amp;S211)+1),""))</f>
        <v/>
      </c>
      <c r="T212" s="74" t="str">
        <f aca="false">IF(S212="","",INDEX($AE$10:$AE$509,MATCH(S212,$AD$10:$AD$509,0)))</f>
        <v/>
      </c>
      <c r="U212" s="74" t="str">
        <f aca="false">IF(S212="","",IFERROR(INDEX($AG$10:$AG$509,MATCH(S212,$AF$10:$AF$509,0)),""))</f>
        <v/>
      </c>
      <c r="V212" s="76" t="str">
        <f aca="false">IF(AND(ISNUMBER(T212),ISNUMBER(T211)),T212/T211-1,"")</f>
        <v/>
      </c>
      <c r="W212" s="76" t="str">
        <f aca="false">IF(AND(ISNUMBER(U212),ISNUMBER(U211)),U212/U211-1,"")</f>
        <v/>
      </c>
      <c r="X212" s="75" t="str">
        <f aca="false">IF(AND(ISNUMBER(V212),ISNUMBER(W212)),1,"")</f>
        <v/>
      </c>
      <c r="Y212" s="76" t="str">
        <f aca="false">IF(X212=1,V212,"")</f>
        <v/>
      </c>
      <c r="Z212" s="76" t="str">
        <f aca="false">IF(X212=1,W212,"")</f>
        <v/>
      </c>
      <c r="AA212" s="76" t="e">
        <f aca="false">IF(X212=1,V212,NA())</f>
        <v>#N/A</v>
      </c>
      <c r="AB212" s="76" t="e">
        <f aca="false">IF(X212=1,W212,NA())</f>
        <v>#N/A</v>
      </c>
      <c r="AD212" s="73" t="str">
        <f aca="false">IF(ISNUMBER(AE212),IF(ISNUMBER('Base de Datos'!A208),IF('Base de Datos'!A208&gt;20000,DATE(YEAR('Base de Datos'!A208),DAY('Base de Datos'!A208),MONTH('Base de Datos'!A208)),""),IF(TRIM('Base de Datos'!A208)="","",IFERROR(DATE(VALUE(RIGHT(TRIM('Base de Datos'!A208),4)),VALUE(LEFT(TRIM('Base de Datos'!A208),2)),VALUE(MID(TRIM('Base de Datos'!A208),4,2))),""))),"")</f>
        <v/>
      </c>
      <c r="AE212" s="74" t="str">
        <f aca="false">IF(ISNUMBER('Base de Datos'!B208),'Base de Datos'!B208,IF(TRIM('Base de Datos'!B208)="","",IFERROR(IF(IFERROR(FIND("@",SUBSTITUTE(TRIM('Base de Datos'!B208),",","@",LEN(TRIM('Base de Datos'!B208))-LEN(SUBSTITUTE(TRIM('Base de Datos'!B208),",","")))),0)&gt;IFERROR(FIND("@",SUBSTITUTE(TRIM('Base de Datos'!B208),".","@",LEN(TRIM('Base de Datos'!B208))-LEN(SUBSTITUTE(TRIM('Base de Datos'!B208),".","")))),0),_xlfn.NUMBERVALUE(SUBSTITUTE(SUBSTITUTE(TRIM('Base de Datos'!B208),".",""),",","."),".",","),_xlfn.NUMBERVALUE(SUBSTITUTE(TRIM('Base de Datos'!B208),",",""),".",",")),"")))</f>
        <v/>
      </c>
      <c r="AF212" s="73" t="str">
        <f aca="false">IF(ISNUMBER(AG212),IF(ISNUMBER('Base de Datos'!I208),IF('Base de Datos'!I208&gt;20000,INT('Base de Datos'!I208),""),IF(TRIM('Base de Datos'!I208)="","",IFERROR(DATE(VALUE(RIGHT(TRIM('Base de Datos'!I208),4)),VALUE(MID(TRIM('Base de Datos'!I208),4,2)),VALUE(LEFT(TRIM('Base de Datos'!I208),2))),IFERROR(DATEVALUE(TRIM('Base de Datos'!I208)),"")))),"")</f>
        <v/>
      </c>
      <c r="AG212" s="74" t="str">
        <f aca="false">IF(ISNUMBER('Base de Datos'!J208),'Base de Datos'!J208,IF(TRIM('Base de Datos'!J208)="","",IFERROR(IF(IFERROR(FIND("@",SUBSTITUTE(TRIM('Base de Datos'!J208),",","@",LEN(TRIM('Base de Datos'!J208))-LEN(SUBSTITUTE(TRIM('Base de Datos'!J208),",","")))),0)&gt;IFERROR(FIND("@",SUBSTITUTE(TRIM('Base de Datos'!J208),".","@",LEN(TRIM('Base de Datos'!J208))-LEN(SUBSTITUTE(TRIM('Base de Datos'!J208),".","")))),0),_xlfn.NUMBERVALUE(SUBSTITUTE(SUBSTITUTE(TRIM('Base de Datos'!J208),".",""),",","."),".",","),_xlfn.NUMBERVALUE(SUBSTITUTE(TRIM('Base de Datos'!J208),",",""),".",",")),"")))</f>
        <v/>
      </c>
      <c r="AH212" s="73" t="n">
        <f aca="false">IF(ISNUMBER(AI212),IF(ISNUMBER('Base de Datos'!Q208),IF('Base de Datos'!Q208&gt;20000,DATE(YEAR('Base de Datos'!Q208),DAY('Base de Datos'!Q208),MONTH('Base de Datos'!Q208)),""),IF(TRIM('Base de Datos'!Q208)="","",IFERROR(DATE(VALUE(RIGHT(TRIM('Base de Datos'!Q208),4)),VALUE(LEFT(TRIM('Base de Datos'!Q208),2)),VALUE(MID(TRIM('Base de Datos'!Q208),4,2))),""))),"")</f>
        <v>45900</v>
      </c>
      <c r="AI212" s="74" t="n">
        <f aca="false">IF(ISNUMBER('Base de Datos'!R208),'Base de Datos'!R208,IF(TRIM('Base de Datos'!R208)="","",IFERROR(IF(IFERROR(FIND("@",SUBSTITUTE(TRIM('Base de Datos'!R208),",","@",LEN(TRIM('Base de Datos'!R208))-LEN(SUBSTITUTE(TRIM('Base de Datos'!R208),",","")))),0)&gt;IFERROR(FIND("@",SUBSTITUTE(TRIM('Base de Datos'!R208),".","@",LEN(TRIM('Base de Datos'!R208))-LEN(SUBSTITUTE(TRIM('Base de Datos'!R208),".","")))),0),_xlfn.NUMBERVALUE(SUBSTITUTE(SUBSTITUTE(TRIM('Base de Datos'!R208),".",""),",","."),".",","),_xlfn.NUMBERVALUE(SUBSTITUTE(TRIM('Base de Datos'!R208),",",""),".",",")),"")))</f>
        <v>25.2</v>
      </c>
      <c r="AJ212" s="73" t="n">
        <f aca="false">IF(ISNUMBER(AK212),IF(ISNUMBER('Base de Datos'!Y208),IF('Base de Datos'!Y208&gt;20000,INT('Base de Datos'!Y208),""),IF(TRIM('Base de Datos'!Y208)="","",IFERROR(DATE(VALUE(RIGHT(TRIM('Base de Datos'!Y208),4)),VALUE(MID(TRIM('Base de Datos'!Y208),4,2)),VALUE(LEFT(TRIM('Base de Datos'!Y208),2))),IFERROR(DATEVALUE(TRIM('Base de Datos'!Y208)),"")))),"")</f>
        <v>45900</v>
      </c>
      <c r="AK212" s="74" t="n">
        <f aca="false">IF(ISNUMBER('Base de Datos'!Z208),'Base de Datos'!Z208,IF(TRIM('Base de Datos'!Z208)="","",IFERROR(IF(IFERROR(FIND("@",SUBSTITUTE(TRIM('Base de Datos'!Z208),",","@",LEN(TRIM('Base de Datos'!Z208))-LEN(SUBSTITUTE(TRIM('Base de Datos'!Z208),",","")))),0)&gt;IFERROR(FIND("@",SUBSTITUTE(TRIM('Base de Datos'!Z208),".","@",LEN(TRIM('Base de Datos'!Z208))-LEN(SUBSTITUTE(TRIM('Base de Datos'!Z208),".","")))),0),_xlfn.NUMBERVALUE(SUBSTITUTE(SUBSTITUTE(TRIM('Base de Datos'!Z208),".",""),",","."),".",","),_xlfn.NUMBERVALUE(SUBSTITUTE(TRIM('Base de Datos'!Z208),",",""),".",",")),"")))</f>
        <v>60479.76</v>
      </c>
    </row>
    <row r="213" customFormat="false" ht="13.5" hidden="false" customHeight="false" outlineLevel="0" collapsed="false">
      <c r="A213" s="75" t="n">
        <f aca="false">ROWS(A$13:A213)</f>
        <v>201</v>
      </c>
      <c r="B213" s="73" t="n">
        <f aca="false">IF(B212="","",IFERROR(SMALL($AH$10:$AH$409,COUNTIF($AH$10:$AH$409,"&lt;="&amp;B212)+1),""))</f>
        <v>45886</v>
      </c>
      <c r="C213" s="74" t="n">
        <f aca="false">IF(B213="","",INDEX($AI$10:$AI$409,MATCH(B213,$AH$10:$AH$409,0)))</f>
        <v>25.4</v>
      </c>
      <c r="D213" s="74" t="n">
        <f aca="false">IF(B213="","",IFERROR(INDEX($AK$10:$AK$409,MATCH(B213,$AJ$10:$AJ$409,0)),""))</f>
        <v>59225.48</v>
      </c>
      <c r="E213" s="76" t="n">
        <f aca="false">IF(AND(ISNUMBER(C213),ISNUMBER(C212)),C213/C212-1,"")</f>
        <v>0.00633914421553095</v>
      </c>
      <c r="F213" s="76" t="n">
        <f aca="false">IF(AND(ISNUMBER(D213),ISNUMBER(D212)),D213/D212-1,"")</f>
        <v>0.0155177049297262</v>
      </c>
      <c r="G213" s="75" t="n">
        <f aca="false">IF(AND(ISNUMBER(E213),ISNUMBER(F213)),1,"")</f>
        <v>1</v>
      </c>
      <c r="H213" s="75" t="n">
        <f aca="false">IF(G213=1,COUNT(G213:G$412),"")</f>
        <v>59</v>
      </c>
      <c r="I213" s="75" t="n">
        <f aca="false">IF(G213=1,IF(H213&lt;='Beta Regresión'!$B$5,1,""),"")</f>
        <v>1</v>
      </c>
      <c r="J213" s="76" t="n">
        <f aca="false">IF(I213=1,E213,"")</f>
        <v>0.00633914421553095</v>
      </c>
      <c r="K213" s="76" t="n">
        <f aca="false">IF(I213=1,F213,"")</f>
        <v>0.0155177049297262</v>
      </c>
      <c r="L213" s="75" t="n">
        <f aca="false">IF(I213=1,COUNT(I$13:I213),"")</f>
        <v>200</v>
      </c>
      <c r="M213" s="76" t="n">
        <f aca="false">IFERROR(INDEX($J$13:$J$412,MATCH(A213,$L$13:$L$412,0)),"")</f>
        <v>0.012992125984252</v>
      </c>
      <c r="N213" s="76" t="n">
        <f aca="false">IFERROR(INDEX($K$13:$K$412,MATCH(A213,$L$13:$L$412,0)),"")</f>
        <v>-0.00872293479090425</v>
      </c>
      <c r="O213" s="76" t="n">
        <f aca="false">IF(I213=1,E213,NA())</f>
        <v>0.00633914421553095</v>
      </c>
      <c r="P213" s="76" t="n">
        <f aca="false">IF(I213=1,F213,NA())</f>
        <v>0.0155177049297262</v>
      </c>
      <c r="R213" s="75" t="n">
        <f aca="false">ROWS(R$13:R213)</f>
        <v>201</v>
      </c>
      <c r="S213" s="73" t="str">
        <f aca="false">IF(S212="","",IFERROR(SMALL($AD$10:$AD$509,COUNTIF($AD$10:$AD$509,"&lt;="&amp;S212)+1),""))</f>
        <v/>
      </c>
      <c r="T213" s="74" t="str">
        <f aca="false">IF(S213="","",INDEX($AE$10:$AE$509,MATCH(S213,$AD$10:$AD$509,0)))</f>
        <v/>
      </c>
      <c r="U213" s="74" t="str">
        <f aca="false">IF(S213="","",IFERROR(INDEX($AG$10:$AG$509,MATCH(S213,$AF$10:$AF$509,0)),""))</f>
        <v/>
      </c>
      <c r="V213" s="76" t="str">
        <f aca="false">IF(AND(ISNUMBER(T213),ISNUMBER(T212)),T213/T212-1,"")</f>
        <v/>
      </c>
      <c r="W213" s="76" t="str">
        <f aca="false">IF(AND(ISNUMBER(U213),ISNUMBER(U212)),U213/U212-1,"")</f>
        <v/>
      </c>
      <c r="X213" s="75" t="str">
        <f aca="false">IF(AND(ISNUMBER(V213),ISNUMBER(W213)),1,"")</f>
        <v/>
      </c>
      <c r="Y213" s="76" t="str">
        <f aca="false">IF(X213=1,V213,"")</f>
        <v/>
      </c>
      <c r="Z213" s="76" t="str">
        <f aca="false">IF(X213=1,W213,"")</f>
        <v/>
      </c>
      <c r="AA213" s="76" t="e">
        <f aca="false">IF(X213=1,V213,NA())</f>
        <v>#N/A</v>
      </c>
      <c r="AB213" s="76" t="e">
        <f aca="false">IF(X213=1,W213,NA())</f>
        <v>#N/A</v>
      </c>
      <c r="AD213" s="73" t="str">
        <f aca="false">IF(ISNUMBER(AE213),IF(ISNUMBER('Base de Datos'!A209),IF('Base de Datos'!A209&gt;20000,DATE(YEAR('Base de Datos'!A209),DAY('Base de Datos'!A209),MONTH('Base de Datos'!A209)),""),IF(TRIM('Base de Datos'!A209)="","",IFERROR(DATE(VALUE(RIGHT(TRIM('Base de Datos'!A209),4)),VALUE(LEFT(TRIM('Base de Datos'!A209),2)),VALUE(MID(TRIM('Base de Datos'!A209),4,2))),""))),"")</f>
        <v/>
      </c>
      <c r="AE213" s="74" t="str">
        <f aca="false">IF(ISNUMBER('Base de Datos'!B209),'Base de Datos'!B209,IF(TRIM('Base de Datos'!B209)="","",IFERROR(IF(IFERROR(FIND("@",SUBSTITUTE(TRIM('Base de Datos'!B209),",","@",LEN(TRIM('Base de Datos'!B209))-LEN(SUBSTITUTE(TRIM('Base de Datos'!B209),",","")))),0)&gt;IFERROR(FIND("@",SUBSTITUTE(TRIM('Base de Datos'!B209),".","@",LEN(TRIM('Base de Datos'!B209))-LEN(SUBSTITUTE(TRIM('Base de Datos'!B209),".","")))),0),_xlfn.NUMBERVALUE(SUBSTITUTE(SUBSTITUTE(TRIM('Base de Datos'!B209),".",""),",","."),".",","),_xlfn.NUMBERVALUE(SUBSTITUTE(TRIM('Base de Datos'!B209),",",""),".",",")),"")))</f>
        <v/>
      </c>
      <c r="AF213" s="73" t="str">
        <f aca="false">IF(ISNUMBER(AG213),IF(ISNUMBER('Base de Datos'!I209),IF('Base de Datos'!I209&gt;20000,INT('Base de Datos'!I209),""),IF(TRIM('Base de Datos'!I209)="","",IFERROR(DATE(VALUE(RIGHT(TRIM('Base de Datos'!I209),4)),VALUE(MID(TRIM('Base de Datos'!I209),4,2)),VALUE(LEFT(TRIM('Base de Datos'!I209),2))),IFERROR(DATEVALUE(TRIM('Base de Datos'!I209)),"")))),"")</f>
        <v/>
      </c>
      <c r="AG213" s="74" t="str">
        <f aca="false">IF(ISNUMBER('Base de Datos'!J209),'Base de Datos'!J209,IF(TRIM('Base de Datos'!J209)="","",IFERROR(IF(IFERROR(FIND("@",SUBSTITUTE(TRIM('Base de Datos'!J209),",","@",LEN(TRIM('Base de Datos'!J209))-LEN(SUBSTITUTE(TRIM('Base de Datos'!J209),",","")))),0)&gt;IFERROR(FIND("@",SUBSTITUTE(TRIM('Base de Datos'!J209),".","@",LEN(TRIM('Base de Datos'!J209))-LEN(SUBSTITUTE(TRIM('Base de Datos'!J209),".","")))),0),_xlfn.NUMBERVALUE(SUBSTITUTE(SUBSTITUTE(TRIM('Base de Datos'!J209),".",""),",","."),".",","),_xlfn.NUMBERVALUE(SUBSTITUTE(TRIM('Base de Datos'!J209),",",""),".",",")),"")))</f>
        <v/>
      </c>
      <c r="AH213" s="73" t="n">
        <f aca="false">IF(ISNUMBER(AI213),IF(ISNUMBER('Base de Datos'!Q209),IF('Base de Datos'!Q209&gt;20000,DATE(YEAR('Base de Datos'!Q209),DAY('Base de Datos'!Q209),MONTH('Base de Datos'!Q209)),""),IF(TRIM('Base de Datos'!Q209)="","",IFERROR(DATE(VALUE(RIGHT(TRIM('Base de Datos'!Q209),4)),VALUE(LEFT(TRIM('Base de Datos'!Q209),2)),VALUE(MID(TRIM('Base de Datos'!Q209),4,2))),""))),"")</f>
        <v>45907</v>
      </c>
      <c r="AI213" s="74" t="n">
        <f aca="false">IF(ISNUMBER('Base de Datos'!R209),'Base de Datos'!R209,IF(TRIM('Base de Datos'!R209)="","",IFERROR(IF(IFERROR(FIND("@",SUBSTITUTE(TRIM('Base de Datos'!R209),",","@",LEN(TRIM('Base de Datos'!R209))-LEN(SUBSTITUTE(TRIM('Base de Datos'!R209),",","")))),0)&gt;IFERROR(FIND("@",SUBSTITUTE(TRIM('Base de Datos'!R209),".","@",LEN(TRIM('Base de Datos'!R209))-LEN(SUBSTITUTE(TRIM('Base de Datos'!R209),".","")))),0),_xlfn.NUMBERVALUE(SUBSTITUTE(SUBSTITUTE(TRIM('Base de Datos'!R209),".",""),",","."),".",","),_xlfn.NUMBERVALUE(SUBSTITUTE(TRIM('Base de Datos'!R209),",",""),".",",")),"")))</f>
        <v>24.9</v>
      </c>
      <c r="AJ213" s="73" t="n">
        <f aca="false">IF(ISNUMBER(AK213),IF(ISNUMBER('Base de Datos'!Y209),IF('Base de Datos'!Y209&gt;20000,INT('Base de Datos'!Y209),""),IF(TRIM('Base de Datos'!Y209)="","",IFERROR(DATE(VALUE(RIGHT(TRIM('Base de Datos'!Y209),4)),VALUE(MID(TRIM('Base de Datos'!Y209),4,2)),VALUE(LEFT(TRIM('Base de Datos'!Y209),2))),IFERROR(DATEVALUE(TRIM('Base de Datos'!Y209)),"")))),"")</f>
        <v>45907</v>
      </c>
      <c r="AK213" s="74" t="n">
        <f aca="false">IF(ISNUMBER('Base de Datos'!Z209),'Base de Datos'!Z209,IF(TRIM('Base de Datos'!Z209)="","",IFERROR(IF(IFERROR(FIND("@",SUBSTITUTE(TRIM('Base de Datos'!Z209),",","@",LEN(TRIM('Base de Datos'!Z209))-LEN(SUBSTITUTE(TRIM('Base de Datos'!Z209),",","")))),0)&gt;IFERROR(FIND("@",SUBSTITUTE(TRIM('Base de Datos'!Z209),".","@",LEN(TRIM('Base de Datos'!Z209))-LEN(SUBSTITUTE(TRIM('Base de Datos'!Z209),".","")))),0),_xlfn.NUMBERVALUE(SUBSTITUTE(SUBSTITUTE(TRIM('Base de Datos'!Z209),".",""),",","."),".",","),_xlfn.NUMBERVALUE(SUBSTITUTE(TRIM('Base de Datos'!Z209),",",""),".",",")),"")))</f>
        <v>61798.94</v>
      </c>
    </row>
    <row r="214" customFormat="false" ht="13.5" hidden="false" customHeight="false" outlineLevel="0" collapsed="false">
      <c r="A214" s="75" t="n">
        <f aca="false">ROWS(A$13:A214)</f>
        <v>202</v>
      </c>
      <c r="B214" s="73" t="n">
        <f aca="false">IF(B213="","",IFERROR(SMALL($AH$10:$AH$409,COUNTIF($AH$10:$AH$409,"&lt;="&amp;B213)+1),""))</f>
        <v>45893</v>
      </c>
      <c r="C214" s="74" t="n">
        <f aca="false">IF(B214="","",INDEX($AI$10:$AI$409,MATCH(B214,$AH$10:$AH$409,0)))</f>
        <v>25.73</v>
      </c>
      <c r="D214" s="74" t="n">
        <f aca="false">IF(B214="","",IFERROR(INDEX($AK$10:$AK$409,MATCH(B214,$AJ$10:$AJ$409,0)),""))</f>
        <v>58708.86</v>
      </c>
      <c r="E214" s="76" t="n">
        <f aca="false">IF(AND(ISNUMBER(C214),ISNUMBER(C213)),C214/C213-1,"")</f>
        <v>0.012992125984252</v>
      </c>
      <c r="F214" s="76" t="n">
        <f aca="false">IF(AND(ISNUMBER(D214),ISNUMBER(D213)),D214/D213-1,"")</f>
        <v>-0.00872293479090425</v>
      </c>
      <c r="G214" s="75" t="n">
        <f aca="false">IF(AND(ISNUMBER(E214),ISNUMBER(F214)),1,"")</f>
        <v>1</v>
      </c>
      <c r="H214" s="75" t="n">
        <f aca="false">IF(G214=1,COUNT(G214:G$412),"")</f>
        <v>58</v>
      </c>
      <c r="I214" s="75" t="n">
        <f aca="false">IF(G214=1,IF(H214&lt;='Beta Regresión'!$B$5,1,""),"")</f>
        <v>1</v>
      </c>
      <c r="J214" s="76" t="n">
        <f aca="false">IF(I214=1,E214,"")</f>
        <v>0.012992125984252</v>
      </c>
      <c r="K214" s="76" t="n">
        <f aca="false">IF(I214=1,F214,"")</f>
        <v>-0.00872293479090425</v>
      </c>
      <c r="L214" s="75" t="n">
        <f aca="false">IF(I214=1,COUNT(I$13:I214),"")</f>
        <v>201</v>
      </c>
      <c r="M214" s="76" t="n">
        <f aca="false">IFERROR(INDEX($J$13:$J$412,MATCH(A214,$L$13:$L$412,0)),"")</f>
        <v>-0.0205985231247572</v>
      </c>
      <c r="N214" s="76" t="n">
        <f aca="false">IFERROR(INDEX($K$13:$K$412,MATCH(A214,$L$13:$L$412,0)),"")</f>
        <v>0.0301641012957841</v>
      </c>
      <c r="O214" s="76" t="n">
        <f aca="false">IF(I214=1,E214,NA())</f>
        <v>0.012992125984252</v>
      </c>
      <c r="P214" s="76" t="n">
        <f aca="false">IF(I214=1,F214,NA())</f>
        <v>-0.00872293479090425</v>
      </c>
      <c r="R214" s="75" t="n">
        <f aca="false">ROWS(R$13:R214)</f>
        <v>202</v>
      </c>
      <c r="S214" s="73" t="str">
        <f aca="false">IF(S213="","",IFERROR(SMALL($AD$10:$AD$509,COUNTIF($AD$10:$AD$509,"&lt;="&amp;S213)+1),""))</f>
        <v/>
      </c>
      <c r="T214" s="74" t="str">
        <f aca="false">IF(S214="","",INDEX($AE$10:$AE$509,MATCH(S214,$AD$10:$AD$509,0)))</f>
        <v/>
      </c>
      <c r="U214" s="74" t="str">
        <f aca="false">IF(S214="","",IFERROR(INDEX($AG$10:$AG$509,MATCH(S214,$AF$10:$AF$509,0)),""))</f>
        <v/>
      </c>
      <c r="V214" s="76" t="str">
        <f aca="false">IF(AND(ISNUMBER(T214),ISNUMBER(T213)),T214/T213-1,"")</f>
        <v/>
      </c>
      <c r="W214" s="76" t="str">
        <f aca="false">IF(AND(ISNUMBER(U214),ISNUMBER(U213)),U214/U213-1,"")</f>
        <v/>
      </c>
      <c r="X214" s="75" t="str">
        <f aca="false">IF(AND(ISNUMBER(V214),ISNUMBER(W214)),1,"")</f>
        <v/>
      </c>
      <c r="Y214" s="76" t="str">
        <f aca="false">IF(X214=1,V214,"")</f>
        <v/>
      </c>
      <c r="Z214" s="76" t="str">
        <f aca="false">IF(X214=1,W214,"")</f>
        <v/>
      </c>
      <c r="AA214" s="76" t="e">
        <f aca="false">IF(X214=1,V214,NA())</f>
        <v>#N/A</v>
      </c>
      <c r="AB214" s="76" t="e">
        <f aca="false">IF(X214=1,W214,NA())</f>
        <v>#N/A</v>
      </c>
      <c r="AD214" s="73" t="str">
        <f aca="false">IF(ISNUMBER(AE214),IF(ISNUMBER('Base de Datos'!A210),IF('Base de Datos'!A210&gt;20000,DATE(YEAR('Base de Datos'!A210),DAY('Base de Datos'!A210),MONTH('Base de Datos'!A210)),""),IF(TRIM('Base de Datos'!A210)="","",IFERROR(DATE(VALUE(RIGHT(TRIM('Base de Datos'!A210),4)),VALUE(LEFT(TRIM('Base de Datos'!A210),2)),VALUE(MID(TRIM('Base de Datos'!A210),4,2))),""))),"")</f>
        <v/>
      </c>
      <c r="AE214" s="74" t="str">
        <f aca="false">IF(ISNUMBER('Base de Datos'!B210),'Base de Datos'!B210,IF(TRIM('Base de Datos'!B210)="","",IFERROR(IF(IFERROR(FIND("@",SUBSTITUTE(TRIM('Base de Datos'!B210),",","@",LEN(TRIM('Base de Datos'!B210))-LEN(SUBSTITUTE(TRIM('Base de Datos'!B210),",","")))),0)&gt;IFERROR(FIND("@",SUBSTITUTE(TRIM('Base de Datos'!B210),".","@",LEN(TRIM('Base de Datos'!B210))-LEN(SUBSTITUTE(TRIM('Base de Datos'!B210),".","")))),0),_xlfn.NUMBERVALUE(SUBSTITUTE(SUBSTITUTE(TRIM('Base de Datos'!B210),".",""),",","."),".",","),_xlfn.NUMBERVALUE(SUBSTITUTE(TRIM('Base de Datos'!B210),",",""),".",",")),"")))</f>
        <v/>
      </c>
      <c r="AF214" s="73" t="str">
        <f aca="false">IF(ISNUMBER(AG214),IF(ISNUMBER('Base de Datos'!I210),IF('Base de Datos'!I210&gt;20000,INT('Base de Datos'!I210),""),IF(TRIM('Base de Datos'!I210)="","",IFERROR(DATE(VALUE(RIGHT(TRIM('Base de Datos'!I210),4)),VALUE(MID(TRIM('Base de Datos'!I210),4,2)),VALUE(LEFT(TRIM('Base de Datos'!I210),2))),IFERROR(DATEVALUE(TRIM('Base de Datos'!I210)),"")))),"")</f>
        <v/>
      </c>
      <c r="AG214" s="74" t="str">
        <f aca="false">IF(ISNUMBER('Base de Datos'!J210),'Base de Datos'!J210,IF(TRIM('Base de Datos'!J210)="","",IFERROR(IF(IFERROR(FIND("@",SUBSTITUTE(TRIM('Base de Datos'!J210),",","@",LEN(TRIM('Base de Datos'!J210))-LEN(SUBSTITUTE(TRIM('Base de Datos'!J210),",","")))),0)&gt;IFERROR(FIND("@",SUBSTITUTE(TRIM('Base de Datos'!J210),".","@",LEN(TRIM('Base de Datos'!J210))-LEN(SUBSTITUTE(TRIM('Base de Datos'!J210),".","")))),0),_xlfn.NUMBERVALUE(SUBSTITUTE(SUBSTITUTE(TRIM('Base de Datos'!J210),".",""),",","."),".",","),_xlfn.NUMBERVALUE(SUBSTITUTE(TRIM('Base de Datos'!J210),",",""),".",",")),"")))</f>
        <v/>
      </c>
      <c r="AH214" s="73" t="n">
        <f aca="false">IF(ISNUMBER(AI214),IF(ISNUMBER('Base de Datos'!Q210),IF('Base de Datos'!Q210&gt;20000,DATE(YEAR('Base de Datos'!Q210),DAY('Base de Datos'!Q210),MONTH('Base de Datos'!Q210)),""),IF(TRIM('Base de Datos'!Q210)="","",IFERROR(DATE(VALUE(RIGHT(TRIM('Base de Datos'!Q210),4)),VALUE(LEFT(TRIM('Base de Datos'!Q210),2)),VALUE(MID(TRIM('Base de Datos'!Q210),4,2))),""))),"")</f>
        <v>45914</v>
      </c>
      <c r="AI214" s="74" t="n">
        <f aca="false">IF(ISNUMBER('Base de Datos'!R210),'Base de Datos'!R210,IF(TRIM('Base de Datos'!R210)="","",IFERROR(IF(IFERROR(FIND("@",SUBSTITUTE(TRIM('Base de Datos'!R210),",","@",LEN(TRIM('Base de Datos'!R210))-LEN(SUBSTITUTE(TRIM('Base de Datos'!R210),",","")))),0)&gt;IFERROR(FIND("@",SUBSTITUTE(TRIM('Base de Datos'!R210),".","@",LEN(TRIM('Base de Datos'!R210))-LEN(SUBSTITUTE(TRIM('Base de Datos'!R210),".","")))),0),_xlfn.NUMBERVALUE(SUBSTITUTE(SUBSTITUTE(TRIM('Base de Datos'!R210),".",""),",","."),".",","),_xlfn.NUMBERVALUE(SUBSTITUTE(TRIM('Base de Datos'!R210),",",""),".",",")),"")))</f>
        <v>24.82</v>
      </c>
      <c r="AJ214" s="73" t="n">
        <f aca="false">IF(ISNUMBER(AK214),IF(ISNUMBER('Base de Datos'!Y210),IF('Base de Datos'!Y210&gt;20000,INT('Base de Datos'!Y210),""),IF(TRIM('Base de Datos'!Y210)="","",IFERROR(DATE(VALUE(RIGHT(TRIM('Base de Datos'!Y210),4)),VALUE(MID(TRIM('Base de Datos'!Y210),4,2)),VALUE(LEFT(TRIM('Base de Datos'!Y210),2))),IFERROR(DATEVALUE(TRIM('Base de Datos'!Y210)),"")))),"")</f>
        <v>45914</v>
      </c>
      <c r="AK214" s="74" t="n">
        <f aca="false">IF(ISNUMBER('Base de Datos'!Z210),'Base de Datos'!Z210,IF(TRIM('Base de Datos'!Z210)="","",IFERROR(IF(IFERROR(FIND("@",SUBSTITUTE(TRIM('Base de Datos'!Z210),",","@",LEN(TRIM('Base de Datos'!Z210))-LEN(SUBSTITUTE(TRIM('Base de Datos'!Z210),",","")))),0)&gt;IFERROR(FIND("@",SUBSTITUTE(TRIM('Base de Datos'!Z210),".","@",LEN(TRIM('Base de Datos'!Z210))-LEN(SUBSTITUTE(TRIM('Base de Datos'!Z210),".","")))),0),_xlfn.NUMBERVALUE(SUBSTITUTE(SUBSTITUTE(TRIM('Base de Datos'!Z210),".",""),",","."),".",","),_xlfn.NUMBERVALUE(SUBSTITUTE(TRIM('Base de Datos'!Z210),",",""),".",",")),"")))</f>
        <v>61200.27</v>
      </c>
    </row>
    <row r="215" customFormat="false" ht="13.5" hidden="false" customHeight="false" outlineLevel="0" collapsed="false">
      <c r="A215" s="75" t="n">
        <f aca="false">ROWS(A$13:A215)</f>
        <v>203</v>
      </c>
      <c r="B215" s="73" t="n">
        <f aca="false">IF(B214="","",IFERROR(SMALL($AH$10:$AH$409,COUNTIF($AH$10:$AH$409,"&lt;="&amp;B214)+1),""))</f>
        <v>45900</v>
      </c>
      <c r="C215" s="74" t="n">
        <f aca="false">IF(B215="","",INDEX($AI$10:$AI$409,MATCH(B215,$AH$10:$AH$409,0)))</f>
        <v>25.2</v>
      </c>
      <c r="D215" s="74" t="n">
        <f aca="false">IF(B215="","",IFERROR(INDEX($AK$10:$AK$409,MATCH(B215,$AJ$10:$AJ$409,0)),""))</f>
        <v>60479.76</v>
      </c>
      <c r="E215" s="76" t="n">
        <f aca="false">IF(AND(ISNUMBER(C215),ISNUMBER(C214)),C215/C214-1,"")</f>
        <v>-0.0205985231247572</v>
      </c>
      <c r="F215" s="76" t="n">
        <f aca="false">IF(AND(ISNUMBER(D215),ISNUMBER(D214)),D215/D214-1,"")</f>
        <v>0.0301641012957841</v>
      </c>
      <c r="G215" s="75" t="n">
        <f aca="false">IF(AND(ISNUMBER(E215),ISNUMBER(F215)),1,"")</f>
        <v>1</v>
      </c>
      <c r="H215" s="75" t="n">
        <f aca="false">IF(G215=1,COUNT(G215:G$412),"")</f>
        <v>57</v>
      </c>
      <c r="I215" s="75" t="n">
        <f aca="false">IF(G215=1,IF(H215&lt;='Beta Regresión'!$B$5,1,""),"")</f>
        <v>1</v>
      </c>
      <c r="J215" s="76" t="n">
        <f aca="false">IF(I215=1,E215,"")</f>
        <v>-0.0205985231247572</v>
      </c>
      <c r="K215" s="76" t="n">
        <f aca="false">IF(I215=1,F215,"")</f>
        <v>0.0301641012957841</v>
      </c>
      <c r="L215" s="75" t="n">
        <f aca="false">IF(I215=1,COUNT(I$13:I215),"")</f>
        <v>202</v>
      </c>
      <c r="M215" s="76" t="n">
        <f aca="false">IFERROR(INDEX($J$13:$J$412,MATCH(A215,$L$13:$L$412,0)),"")</f>
        <v>-0.011904761904762</v>
      </c>
      <c r="N215" s="76" t="n">
        <f aca="false">IFERROR(INDEX($K$13:$K$412,MATCH(A215,$L$13:$L$412,0)),"")</f>
        <v>0.0218119251795972</v>
      </c>
      <c r="O215" s="76" t="n">
        <f aca="false">IF(I215=1,E215,NA())</f>
        <v>-0.0205985231247572</v>
      </c>
      <c r="P215" s="76" t="n">
        <f aca="false">IF(I215=1,F215,NA())</f>
        <v>0.0301641012957841</v>
      </c>
      <c r="R215" s="75" t="n">
        <f aca="false">ROWS(R$13:R215)</f>
        <v>203</v>
      </c>
      <c r="S215" s="73" t="str">
        <f aca="false">IF(S214="","",IFERROR(SMALL($AD$10:$AD$509,COUNTIF($AD$10:$AD$509,"&lt;="&amp;S214)+1),""))</f>
        <v/>
      </c>
      <c r="T215" s="74" t="str">
        <f aca="false">IF(S215="","",INDEX($AE$10:$AE$509,MATCH(S215,$AD$10:$AD$509,0)))</f>
        <v/>
      </c>
      <c r="U215" s="74" t="str">
        <f aca="false">IF(S215="","",IFERROR(INDEX($AG$10:$AG$509,MATCH(S215,$AF$10:$AF$509,0)),""))</f>
        <v/>
      </c>
      <c r="V215" s="76" t="str">
        <f aca="false">IF(AND(ISNUMBER(T215),ISNUMBER(T214)),T215/T214-1,"")</f>
        <v/>
      </c>
      <c r="W215" s="76" t="str">
        <f aca="false">IF(AND(ISNUMBER(U215),ISNUMBER(U214)),U215/U214-1,"")</f>
        <v/>
      </c>
      <c r="X215" s="75" t="str">
        <f aca="false">IF(AND(ISNUMBER(V215),ISNUMBER(W215)),1,"")</f>
        <v/>
      </c>
      <c r="Y215" s="76" t="str">
        <f aca="false">IF(X215=1,V215,"")</f>
        <v/>
      </c>
      <c r="Z215" s="76" t="str">
        <f aca="false">IF(X215=1,W215,"")</f>
        <v/>
      </c>
      <c r="AA215" s="76" t="e">
        <f aca="false">IF(X215=1,V215,NA())</f>
        <v>#N/A</v>
      </c>
      <c r="AB215" s="76" t="e">
        <f aca="false">IF(X215=1,W215,NA())</f>
        <v>#N/A</v>
      </c>
      <c r="AD215" s="73" t="str">
        <f aca="false">IF(ISNUMBER(AE215),IF(ISNUMBER('Base de Datos'!A211),IF('Base de Datos'!A211&gt;20000,DATE(YEAR('Base de Datos'!A211),DAY('Base de Datos'!A211),MONTH('Base de Datos'!A211)),""),IF(TRIM('Base de Datos'!A211)="","",IFERROR(DATE(VALUE(RIGHT(TRIM('Base de Datos'!A211),4)),VALUE(LEFT(TRIM('Base de Datos'!A211),2)),VALUE(MID(TRIM('Base de Datos'!A211),4,2))),""))),"")</f>
        <v/>
      </c>
      <c r="AE215" s="74" t="str">
        <f aca="false">IF(ISNUMBER('Base de Datos'!B211),'Base de Datos'!B211,IF(TRIM('Base de Datos'!B211)="","",IFERROR(IF(IFERROR(FIND("@",SUBSTITUTE(TRIM('Base de Datos'!B211),",","@",LEN(TRIM('Base de Datos'!B211))-LEN(SUBSTITUTE(TRIM('Base de Datos'!B211),",","")))),0)&gt;IFERROR(FIND("@",SUBSTITUTE(TRIM('Base de Datos'!B211),".","@",LEN(TRIM('Base de Datos'!B211))-LEN(SUBSTITUTE(TRIM('Base de Datos'!B211),".","")))),0),_xlfn.NUMBERVALUE(SUBSTITUTE(SUBSTITUTE(TRIM('Base de Datos'!B211),".",""),",","."),".",","),_xlfn.NUMBERVALUE(SUBSTITUTE(TRIM('Base de Datos'!B211),",",""),".",",")),"")))</f>
        <v/>
      </c>
      <c r="AF215" s="73" t="str">
        <f aca="false">IF(ISNUMBER(AG215),IF(ISNUMBER('Base de Datos'!I211),IF('Base de Datos'!I211&gt;20000,INT('Base de Datos'!I211),""),IF(TRIM('Base de Datos'!I211)="","",IFERROR(DATE(VALUE(RIGHT(TRIM('Base de Datos'!I211),4)),VALUE(MID(TRIM('Base de Datos'!I211),4,2)),VALUE(LEFT(TRIM('Base de Datos'!I211),2))),IFERROR(DATEVALUE(TRIM('Base de Datos'!I211)),"")))),"")</f>
        <v/>
      </c>
      <c r="AG215" s="74" t="str">
        <f aca="false">IF(ISNUMBER('Base de Datos'!J211),'Base de Datos'!J211,IF(TRIM('Base de Datos'!J211)="","",IFERROR(IF(IFERROR(FIND("@",SUBSTITUTE(TRIM('Base de Datos'!J211),",","@",LEN(TRIM('Base de Datos'!J211))-LEN(SUBSTITUTE(TRIM('Base de Datos'!J211),",","")))),0)&gt;IFERROR(FIND("@",SUBSTITUTE(TRIM('Base de Datos'!J211),".","@",LEN(TRIM('Base de Datos'!J211))-LEN(SUBSTITUTE(TRIM('Base de Datos'!J211),".","")))),0),_xlfn.NUMBERVALUE(SUBSTITUTE(SUBSTITUTE(TRIM('Base de Datos'!J211),".",""),",","."),".",","),_xlfn.NUMBERVALUE(SUBSTITUTE(TRIM('Base de Datos'!J211),",",""),".",",")),"")))</f>
        <v/>
      </c>
      <c r="AH215" s="73" t="n">
        <f aca="false">IF(ISNUMBER(AI215),IF(ISNUMBER('Base de Datos'!Q211),IF('Base de Datos'!Q211&gt;20000,DATE(YEAR('Base de Datos'!Q211),DAY('Base de Datos'!Q211),MONTH('Base de Datos'!Q211)),""),IF(TRIM('Base de Datos'!Q211)="","",IFERROR(DATE(VALUE(RIGHT(TRIM('Base de Datos'!Q211),4)),VALUE(LEFT(TRIM('Base de Datos'!Q211),2)),VALUE(MID(TRIM('Base de Datos'!Q211),4,2))),""))),"")</f>
        <v>45921</v>
      </c>
      <c r="AI215" s="74" t="n">
        <f aca="false">IF(ISNUMBER('Base de Datos'!R211),'Base de Datos'!R211,IF(TRIM('Base de Datos'!R211)="","",IFERROR(IF(IFERROR(FIND("@",SUBSTITUTE(TRIM('Base de Datos'!R211),",","@",LEN(TRIM('Base de Datos'!R211))-LEN(SUBSTITUTE(TRIM('Base de Datos'!R211),",","")))),0)&gt;IFERROR(FIND("@",SUBSTITUTE(TRIM('Base de Datos'!R211),".","@",LEN(TRIM('Base de Datos'!R211))-LEN(SUBSTITUTE(TRIM('Base de Datos'!R211),".","")))),0),_xlfn.NUMBERVALUE(SUBSTITUTE(SUBSTITUTE(TRIM('Base de Datos'!R211),".",""),",","."),".",","),_xlfn.NUMBERVALUE(SUBSTITUTE(TRIM('Base de Datos'!R211),",",""),".",",")),"")))</f>
        <v>25</v>
      </c>
      <c r="AJ215" s="73" t="n">
        <f aca="false">IF(ISNUMBER(AK215),IF(ISNUMBER('Base de Datos'!Y211),IF('Base de Datos'!Y211&gt;20000,INT('Base de Datos'!Y211),""),IF(TRIM('Base de Datos'!Y211)="","",IFERROR(DATE(VALUE(RIGHT(TRIM('Base de Datos'!Y211),4)),VALUE(MID(TRIM('Base de Datos'!Y211),4,2)),VALUE(LEFT(TRIM('Base de Datos'!Y211),2))),IFERROR(DATEVALUE(TRIM('Base de Datos'!Y211)),"")))),"")</f>
        <v>45921</v>
      </c>
      <c r="AK215" s="74" t="n">
        <f aca="false">IF(ISNUMBER('Base de Datos'!Z211),'Base de Datos'!Z211,IF(TRIM('Base de Datos'!Z211)="","",IFERROR(IF(IFERROR(FIND("@",SUBSTITUTE(TRIM('Base de Datos'!Z211),",","@",LEN(TRIM('Base de Datos'!Z211))-LEN(SUBSTITUTE(TRIM('Base de Datos'!Z211),",","")))),0)&gt;IFERROR(FIND("@",SUBSTITUTE(TRIM('Base de Datos'!Z211),".","@",LEN(TRIM('Base de Datos'!Z211))-LEN(SUBSTITUTE(TRIM('Base de Datos'!Z211),".","")))),0),_xlfn.NUMBERVALUE(SUBSTITUTE(SUBSTITUTE(TRIM('Base de Datos'!Z211),".",""),",","."),".",","),_xlfn.NUMBERVALUE(SUBSTITUTE(TRIM('Base de Datos'!Z211),",",""),".",",")),"")))</f>
        <v>62307.07</v>
      </c>
    </row>
    <row r="216" customFormat="false" ht="13.5" hidden="false" customHeight="false" outlineLevel="0" collapsed="false">
      <c r="A216" s="75" t="n">
        <f aca="false">ROWS(A$13:A216)</f>
        <v>204</v>
      </c>
      <c r="B216" s="73" t="n">
        <f aca="false">IF(B215="","",IFERROR(SMALL($AH$10:$AH$409,COUNTIF($AH$10:$AH$409,"&lt;="&amp;B215)+1),""))</f>
        <v>45907</v>
      </c>
      <c r="C216" s="74" t="n">
        <f aca="false">IF(B216="","",INDEX($AI$10:$AI$409,MATCH(B216,$AH$10:$AH$409,0)))</f>
        <v>24.9</v>
      </c>
      <c r="D216" s="74" t="n">
        <f aca="false">IF(B216="","",IFERROR(INDEX($AK$10:$AK$409,MATCH(B216,$AJ$10:$AJ$409,0)),""))</f>
        <v>61798.94</v>
      </c>
      <c r="E216" s="76" t="n">
        <f aca="false">IF(AND(ISNUMBER(C216),ISNUMBER(C215)),C216/C215-1,"")</f>
        <v>-0.011904761904762</v>
      </c>
      <c r="F216" s="76" t="n">
        <f aca="false">IF(AND(ISNUMBER(D216),ISNUMBER(D215)),D216/D215-1,"")</f>
        <v>0.0218119251795972</v>
      </c>
      <c r="G216" s="75" t="n">
        <f aca="false">IF(AND(ISNUMBER(E216),ISNUMBER(F216)),1,"")</f>
        <v>1</v>
      </c>
      <c r="H216" s="75" t="n">
        <f aca="false">IF(G216=1,COUNT(G216:G$412),"")</f>
        <v>56</v>
      </c>
      <c r="I216" s="75" t="n">
        <f aca="false">IF(G216=1,IF(H216&lt;='Beta Regresión'!$B$5,1,""),"")</f>
        <v>1</v>
      </c>
      <c r="J216" s="76" t="n">
        <f aca="false">IF(I216=1,E216,"")</f>
        <v>-0.011904761904762</v>
      </c>
      <c r="K216" s="76" t="n">
        <f aca="false">IF(I216=1,F216,"")</f>
        <v>0.0218119251795972</v>
      </c>
      <c r="L216" s="75" t="n">
        <f aca="false">IF(I216=1,COUNT(I$13:I216),"")</f>
        <v>203</v>
      </c>
      <c r="M216" s="76" t="n">
        <f aca="false">IFERROR(INDEX($J$13:$J$412,MATCH(A216,$L$13:$L$412,0)),"")</f>
        <v>-0.00321285140562244</v>
      </c>
      <c r="N216" s="76" t="n">
        <f aca="false">IFERROR(INDEX($K$13:$K$412,MATCH(A216,$L$13:$L$412,0)),"")</f>
        <v>-0.00968738298747529</v>
      </c>
      <c r="O216" s="76" t="n">
        <f aca="false">IF(I216=1,E216,NA())</f>
        <v>-0.011904761904762</v>
      </c>
      <c r="P216" s="76" t="n">
        <f aca="false">IF(I216=1,F216,NA())</f>
        <v>0.0218119251795972</v>
      </c>
      <c r="R216" s="75" t="n">
        <f aca="false">ROWS(R$13:R216)</f>
        <v>204</v>
      </c>
      <c r="S216" s="73" t="str">
        <f aca="false">IF(S215="","",IFERROR(SMALL($AD$10:$AD$509,COUNTIF($AD$10:$AD$509,"&lt;="&amp;S215)+1),""))</f>
        <v/>
      </c>
      <c r="T216" s="74" t="str">
        <f aca="false">IF(S216="","",INDEX($AE$10:$AE$509,MATCH(S216,$AD$10:$AD$509,0)))</f>
        <v/>
      </c>
      <c r="U216" s="74" t="str">
        <f aca="false">IF(S216="","",IFERROR(INDEX($AG$10:$AG$509,MATCH(S216,$AF$10:$AF$509,0)),""))</f>
        <v/>
      </c>
      <c r="V216" s="76" t="str">
        <f aca="false">IF(AND(ISNUMBER(T216),ISNUMBER(T215)),T216/T215-1,"")</f>
        <v/>
      </c>
      <c r="W216" s="76" t="str">
        <f aca="false">IF(AND(ISNUMBER(U216),ISNUMBER(U215)),U216/U215-1,"")</f>
        <v/>
      </c>
      <c r="X216" s="75" t="str">
        <f aca="false">IF(AND(ISNUMBER(V216),ISNUMBER(W216)),1,"")</f>
        <v/>
      </c>
      <c r="Y216" s="76" t="str">
        <f aca="false">IF(X216=1,V216,"")</f>
        <v/>
      </c>
      <c r="Z216" s="76" t="str">
        <f aca="false">IF(X216=1,W216,"")</f>
        <v/>
      </c>
      <c r="AA216" s="76" t="e">
        <f aca="false">IF(X216=1,V216,NA())</f>
        <v>#N/A</v>
      </c>
      <c r="AB216" s="76" t="e">
        <f aca="false">IF(X216=1,W216,NA())</f>
        <v>#N/A</v>
      </c>
      <c r="AD216" s="73" t="str">
        <f aca="false">IF(ISNUMBER(AE216),IF(ISNUMBER('Base de Datos'!A212),IF('Base de Datos'!A212&gt;20000,DATE(YEAR('Base de Datos'!A212),DAY('Base de Datos'!A212),MONTH('Base de Datos'!A212)),""),IF(TRIM('Base de Datos'!A212)="","",IFERROR(DATE(VALUE(RIGHT(TRIM('Base de Datos'!A212),4)),VALUE(LEFT(TRIM('Base de Datos'!A212),2)),VALUE(MID(TRIM('Base de Datos'!A212),4,2))),""))),"")</f>
        <v/>
      </c>
      <c r="AE216" s="74" t="str">
        <f aca="false">IF(ISNUMBER('Base de Datos'!B212),'Base de Datos'!B212,IF(TRIM('Base de Datos'!B212)="","",IFERROR(IF(IFERROR(FIND("@",SUBSTITUTE(TRIM('Base de Datos'!B212),",","@",LEN(TRIM('Base de Datos'!B212))-LEN(SUBSTITUTE(TRIM('Base de Datos'!B212),",","")))),0)&gt;IFERROR(FIND("@",SUBSTITUTE(TRIM('Base de Datos'!B212),".","@",LEN(TRIM('Base de Datos'!B212))-LEN(SUBSTITUTE(TRIM('Base de Datos'!B212),".","")))),0),_xlfn.NUMBERVALUE(SUBSTITUTE(SUBSTITUTE(TRIM('Base de Datos'!B212),".",""),",","."),".",","),_xlfn.NUMBERVALUE(SUBSTITUTE(TRIM('Base de Datos'!B212),",",""),".",",")),"")))</f>
        <v/>
      </c>
      <c r="AF216" s="73" t="str">
        <f aca="false">IF(ISNUMBER(AG216),IF(ISNUMBER('Base de Datos'!I212),IF('Base de Datos'!I212&gt;20000,INT('Base de Datos'!I212),""),IF(TRIM('Base de Datos'!I212)="","",IFERROR(DATE(VALUE(RIGHT(TRIM('Base de Datos'!I212),4)),VALUE(MID(TRIM('Base de Datos'!I212),4,2)),VALUE(LEFT(TRIM('Base de Datos'!I212),2))),IFERROR(DATEVALUE(TRIM('Base de Datos'!I212)),"")))),"")</f>
        <v/>
      </c>
      <c r="AG216" s="74" t="str">
        <f aca="false">IF(ISNUMBER('Base de Datos'!J212),'Base de Datos'!J212,IF(TRIM('Base de Datos'!J212)="","",IFERROR(IF(IFERROR(FIND("@",SUBSTITUTE(TRIM('Base de Datos'!J212),",","@",LEN(TRIM('Base de Datos'!J212))-LEN(SUBSTITUTE(TRIM('Base de Datos'!J212),",","")))),0)&gt;IFERROR(FIND("@",SUBSTITUTE(TRIM('Base de Datos'!J212),".","@",LEN(TRIM('Base de Datos'!J212))-LEN(SUBSTITUTE(TRIM('Base de Datos'!J212),".","")))),0),_xlfn.NUMBERVALUE(SUBSTITUTE(SUBSTITUTE(TRIM('Base de Datos'!J212),".",""),",","."),".",","),_xlfn.NUMBERVALUE(SUBSTITUTE(TRIM('Base de Datos'!J212),",",""),".",",")),"")))</f>
        <v/>
      </c>
      <c r="AH216" s="73" t="n">
        <f aca="false">IF(ISNUMBER(AI216),IF(ISNUMBER('Base de Datos'!Q212),IF('Base de Datos'!Q212&gt;20000,DATE(YEAR('Base de Datos'!Q212),DAY('Base de Datos'!Q212),MONTH('Base de Datos'!Q212)),""),IF(TRIM('Base de Datos'!Q212)="","",IFERROR(DATE(VALUE(RIGHT(TRIM('Base de Datos'!Q212),4)),VALUE(LEFT(TRIM('Base de Datos'!Q212),2)),VALUE(MID(TRIM('Base de Datos'!Q212),4,2))),""))),"")</f>
        <v>45928</v>
      </c>
      <c r="AI216" s="74" t="n">
        <f aca="false">IF(ISNUMBER('Base de Datos'!R212),'Base de Datos'!R212,IF(TRIM('Base de Datos'!R212)="","",IFERROR(IF(IFERROR(FIND("@",SUBSTITUTE(TRIM('Base de Datos'!R212),",","@",LEN(TRIM('Base de Datos'!R212))-LEN(SUBSTITUTE(TRIM('Base de Datos'!R212),",","")))),0)&gt;IFERROR(FIND("@",SUBSTITUTE(TRIM('Base de Datos'!R212),".","@",LEN(TRIM('Base de Datos'!R212))-LEN(SUBSTITUTE(TRIM('Base de Datos'!R212),".","")))),0),_xlfn.NUMBERVALUE(SUBSTITUTE(SUBSTITUTE(TRIM('Base de Datos'!R212),".",""),",","."),".",","),_xlfn.NUMBERVALUE(SUBSTITUTE(TRIM('Base de Datos'!R212),",",""),".",",")),"")))</f>
        <v>24.93</v>
      </c>
      <c r="AJ216" s="73" t="n">
        <f aca="false">IF(ISNUMBER(AK216),IF(ISNUMBER('Base de Datos'!Y212),IF('Base de Datos'!Y212&gt;20000,INT('Base de Datos'!Y212),""),IF(TRIM('Base de Datos'!Y212)="","",IFERROR(DATE(VALUE(RIGHT(TRIM('Base de Datos'!Y212),4)),VALUE(MID(TRIM('Base de Datos'!Y212),4,2)),VALUE(LEFT(TRIM('Base de Datos'!Y212),2))),IFERROR(DATEVALUE(TRIM('Base de Datos'!Y212)),"")))),"")</f>
        <v>45928</v>
      </c>
      <c r="AK216" s="74" t="n">
        <f aca="false">IF(ISNUMBER('Base de Datos'!Z212),'Base de Datos'!Z212,IF(TRIM('Base de Datos'!Z212)="","",IFERROR(IF(IFERROR(FIND("@",SUBSTITUTE(TRIM('Base de Datos'!Z212),",","@",LEN(TRIM('Base de Datos'!Z212))-LEN(SUBSTITUTE(TRIM('Base de Datos'!Z212),",","")))),0)&gt;IFERROR(FIND("@",SUBSTITUTE(TRIM('Base de Datos'!Z212),".","@",LEN(TRIM('Base de Datos'!Z212))-LEN(SUBSTITUTE(TRIM('Base de Datos'!Z212),".","")))),0),_xlfn.NUMBERVALUE(SUBSTITUTE(SUBSTITUTE(TRIM('Base de Datos'!Z212),".",""),",","."),".",","),_xlfn.NUMBERVALUE(SUBSTITUTE(TRIM('Base de Datos'!Z212),",",""),".",",")),"")))</f>
        <v>61984.43</v>
      </c>
    </row>
    <row r="217" customFormat="false" ht="13.5" hidden="false" customHeight="false" outlineLevel="0" collapsed="false">
      <c r="A217" s="75" t="n">
        <f aca="false">ROWS(A$13:A217)</f>
        <v>205</v>
      </c>
      <c r="B217" s="73" t="n">
        <f aca="false">IF(B216="","",IFERROR(SMALL($AH$10:$AH$409,COUNTIF($AH$10:$AH$409,"&lt;="&amp;B216)+1),""))</f>
        <v>45914</v>
      </c>
      <c r="C217" s="74" t="n">
        <f aca="false">IF(B217="","",INDEX($AI$10:$AI$409,MATCH(B217,$AH$10:$AH$409,0)))</f>
        <v>24.82</v>
      </c>
      <c r="D217" s="74" t="n">
        <f aca="false">IF(B217="","",IFERROR(INDEX($AK$10:$AK$409,MATCH(B217,$AJ$10:$AJ$409,0)),""))</f>
        <v>61200.27</v>
      </c>
      <c r="E217" s="76" t="n">
        <f aca="false">IF(AND(ISNUMBER(C217),ISNUMBER(C216)),C217/C216-1,"")</f>
        <v>-0.00321285140562244</v>
      </c>
      <c r="F217" s="76" t="n">
        <f aca="false">IF(AND(ISNUMBER(D217),ISNUMBER(D216)),D217/D216-1,"")</f>
        <v>-0.00968738298747529</v>
      </c>
      <c r="G217" s="75" t="n">
        <f aca="false">IF(AND(ISNUMBER(E217),ISNUMBER(F217)),1,"")</f>
        <v>1</v>
      </c>
      <c r="H217" s="75" t="n">
        <f aca="false">IF(G217=1,COUNT(G217:G$412),"")</f>
        <v>55</v>
      </c>
      <c r="I217" s="75" t="n">
        <f aca="false">IF(G217=1,IF(H217&lt;='Beta Regresión'!$B$5,1,""),"")</f>
        <v>1</v>
      </c>
      <c r="J217" s="76" t="n">
        <f aca="false">IF(I217=1,E217,"")</f>
        <v>-0.00321285140562244</v>
      </c>
      <c r="K217" s="76" t="n">
        <f aca="false">IF(I217=1,F217,"")</f>
        <v>-0.00968738298747529</v>
      </c>
      <c r="L217" s="75" t="n">
        <f aca="false">IF(I217=1,COUNT(I$13:I217),"")</f>
        <v>204</v>
      </c>
      <c r="M217" s="76" t="n">
        <f aca="false">IFERROR(INDEX($J$13:$J$412,MATCH(A217,$L$13:$L$412,0)),"")</f>
        <v>0.00725221595487513</v>
      </c>
      <c r="N217" s="76" t="n">
        <f aca="false">IFERROR(INDEX($K$13:$K$412,MATCH(A217,$L$13:$L$412,0)),"")</f>
        <v>0.018084887533993</v>
      </c>
      <c r="O217" s="76" t="n">
        <f aca="false">IF(I217=1,E217,NA())</f>
        <v>-0.00321285140562244</v>
      </c>
      <c r="P217" s="76" t="n">
        <f aca="false">IF(I217=1,F217,NA())</f>
        <v>-0.00968738298747529</v>
      </c>
      <c r="R217" s="75" t="n">
        <f aca="false">ROWS(R$13:R217)</f>
        <v>205</v>
      </c>
      <c r="S217" s="73" t="str">
        <f aca="false">IF(S216="","",IFERROR(SMALL($AD$10:$AD$509,COUNTIF($AD$10:$AD$509,"&lt;="&amp;S216)+1),""))</f>
        <v/>
      </c>
      <c r="T217" s="74" t="str">
        <f aca="false">IF(S217="","",INDEX($AE$10:$AE$509,MATCH(S217,$AD$10:$AD$509,0)))</f>
        <v/>
      </c>
      <c r="U217" s="74" t="str">
        <f aca="false">IF(S217="","",IFERROR(INDEX($AG$10:$AG$509,MATCH(S217,$AF$10:$AF$509,0)),""))</f>
        <v/>
      </c>
      <c r="V217" s="76" t="str">
        <f aca="false">IF(AND(ISNUMBER(T217),ISNUMBER(T216)),T217/T216-1,"")</f>
        <v/>
      </c>
      <c r="W217" s="76" t="str">
        <f aca="false">IF(AND(ISNUMBER(U217),ISNUMBER(U216)),U217/U216-1,"")</f>
        <v/>
      </c>
      <c r="X217" s="75" t="str">
        <f aca="false">IF(AND(ISNUMBER(V217),ISNUMBER(W217)),1,"")</f>
        <v/>
      </c>
      <c r="Y217" s="76" t="str">
        <f aca="false">IF(X217=1,V217,"")</f>
        <v/>
      </c>
      <c r="Z217" s="76" t="str">
        <f aca="false">IF(X217=1,W217,"")</f>
        <v/>
      </c>
      <c r="AA217" s="76" t="e">
        <f aca="false">IF(X217=1,V217,NA())</f>
        <v>#N/A</v>
      </c>
      <c r="AB217" s="76" t="e">
        <f aca="false">IF(X217=1,W217,NA())</f>
        <v>#N/A</v>
      </c>
      <c r="AD217" s="73" t="str">
        <f aca="false">IF(ISNUMBER(AE217),IF(ISNUMBER('Base de Datos'!A213),IF('Base de Datos'!A213&gt;20000,DATE(YEAR('Base de Datos'!A213),DAY('Base de Datos'!A213),MONTH('Base de Datos'!A213)),""),IF(TRIM('Base de Datos'!A213)="","",IFERROR(DATE(VALUE(RIGHT(TRIM('Base de Datos'!A213),4)),VALUE(LEFT(TRIM('Base de Datos'!A213),2)),VALUE(MID(TRIM('Base de Datos'!A213),4,2))),""))),"")</f>
        <v/>
      </c>
      <c r="AE217" s="74" t="str">
        <f aca="false">IF(ISNUMBER('Base de Datos'!B213),'Base de Datos'!B213,IF(TRIM('Base de Datos'!B213)="","",IFERROR(IF(IFERROR(FIND("@",SUBSTITUTE(TRIM('Base de Datos'!B213),",","@",LEN(TRIM('Base de Datos'!B213))-LEN(SUBSTITUTE(TRIM('Base de Datos'!B213),",","")))),0)&gt;IFERROR(FIND("@",SUBSTITUTE(TRIM('Base de Datos'!B213),".","@",LEN(TRIM('Base de Datos'!B213))-LEN(SUBSTITUTE(TRIM('Base de Datos'!B213),".","")))),0),_xlfn.NUMBERVALUE(SUBSTITUTE(SUBSTITUTE(TRIM('Base de Datos'!B213),".",""),",","."),".",","),_xlfn.NUMBERVALUE(SUBSTITUTE(TRIM('Base de Datos'!B213),",",""),".",",")),"")))</f>
        <v/>
      </c>
      <c r="AF217" s="73" t="str">
        <f aca="false">IF(ISNUMBER(AG217),IF(ISNUMBER('Base de Datos'!I213),IF('Base de Datos'!I213&gt;20000,INT('Base de Datos'!I213),""),IF(TRIM('Base de Datos'!I213)="","",IFERROR(DATE(VALUE(RIGHT(TRIM('Base de Datos'!I213),4)),VALUE(MID(TRIM('Base de Datos'!I213),4,2)),VALUE(LEFT(TRIM('Base de Datos'!I213),2))),IFERROR(DATEVALUE(TRIM('Base de Datos'!I213)),"")))),"")</f>
        <v/>
      </c>
      <c r="AG217" s="74" t="str">
        <f aca="false">IF(ISNUMBER('Base de Datos'!J213),'Base de Datos'!J213,IF(TRIM('Base de Datos'!J213)="","",IFERROR(IF(IFERROR(FIND("@",SUBSTITUTE(TRIM('Base de Datos'!J213),",","@",LEN(TRIM('Base de Datos'!J213))-LEN(SUBSTITUTE(TRIM('Base de Datos'!J213),",","")))),0)&gt;IFERROR(FIND("@",SUBSTITUTE(TRIM('Base de Datos'!J213),".","@",LEN(TRIM('Base de Datos'!J213))-LEN(SUBSTITUTE(TRIM('Base de Datos'!J213),".","")))),0),_xlfn.NUMBERVALUE(SUBSTITUTE(SUBSTITUTE(TRIM('Base de Datos'!J213),".",""),",","."),".",","),_xlfn.NUMBERVALUE(SUBSTITUTE(TRIM('Base de Datos'!J213),",",""),".",",")),"")))</f>
        <v/>
      </c>
      <c r="AH217" s="73" t="n">
        <f aca="false">IF(ISNUMBER(AI217),IF(ISNUMBER('Base de Datos'!Q213),IF('Base de Datos'!Q213&gt;20000,DATE(YEAR('Base de Datos'!Q213),DAY('Base de Datos'!Q213),MONTH('Base de Datos'!Q213)),""),IF(TRIM('Base de Datos'!Q213)="","",IFERROR(DATE(VALUE(RIGHT(TRIM('Base de Datos'!Q213),4)),VALUE(LEFT(TRIM('Base de Datos'!Q213),2)),VALUE(MID(TRIM('Base de Datos'!Q213),4,2))),""))),"")</f>
        <v>45935</v>
      </c>
      <c r="AI217" s="74" t="n">
        <f aca="false">IF(ISNUMBER('Base de Datos'!R213),'Base de Datos'!R213,IF(TRIM('Base de Datos'!R213)="","",IFERROR(IF(IFERROR(FIND("@",SUBSTITUTE(TRIM('Base de Datos'!R213),",","@",LEN(TRIM('Base de Datos'!R213))-LEN(SUBSTITUTE(TRIM('Base de Datos'!R213),",","")))),0)&gt;IFERROR(FIND("@",SUBSTITUTE(TRIM('Base de Datos'!R213),".","@",LEN(TRIM('Base de Datos'!R213))-LEN(SUBSTITUTE(TRIM('Base de Datos'!R213),".","")))),0),_xlfn.NUMBERVALUE(SUBSTITUTE(SUBSTITUTE(TRIM('Base de Datos'!R213),".",""),",","."),".",","),_xlfn.NUMBERVALUE(SUBSTITUTE(TRIM('Base de Datos'!R213),",",""),".",",")),"")))</f>
        <v>24.78</v>
      </c>
      <c r="AJ217" s="73" t="n">
        <f aca="false">IF(ISNUMBER(AK217),IF(ISNUMBER('Base de Datos'!Y213),IF('Base de Datos'!Y213&gt;20000,INT('Base de Datos'!Y213),""),IF(TRIM('Base de Datos'!Y213)="","",IFERROR(DATE(VALUE(RIGHT(TRIM('Base de Datos'!Y213),4)),VALUE(MID(TRIM('Base de Datos'!Y213),4,2)),VALUE(LEFT(TRIM('Base de Datos'!Y213),2))),IFERROR(DATEVALUE(TRIM('Base de Datos'!Y213)),"")))),"")</f>
        <v>45935</v>
      </c>
      <c r="AK217" s="74" t="n">
        <f aca="false">IF(ISNUMBER('Base de Datos'!Z213),'Base de Datos'!Z213,IF(TRIM('Base de Datos'!Z213)="","",IFERROR(IF(IFERROR(FIND("@",SUBSTITUTE(TRIM('Base de Datos'!Z213),",","@",LEN(TRIM('Base de Datos'!Z213))-LEN(SUBSTITUTE(TRIM('Base de Datos'!Z213),",","")))),0)&gt;IFERROR(FIND("@",SUBSTITUTE(TRIM('Base de Datos'!Z213),".","@",LEN(TRIM('Base de Datos'!Z213))-LEN(SUBSTITUTE(TRIM('Base de Datos'!Z213),".","")))),0),_xlfn.NUMBERVALUE(SUBSTITUTE(SUBSTITUTE(TRIM('Base de Datos'!Z213),".",""),",","."),".",","),_xlfn.NUMBERVALUE(SUBSTITUTE(TRIM('Base de Datos'!Z213),",",""),".",",")),"")))</f>
        <v>60568.93</v>
      </c>
    </row>
    <row r="218" customFormat="false" ht="13.5" hidden="false" customHeight="false" outlineLevel="0" collapsed="false">
      <c r="A218" s="75" t="n">
        <f aca="false">ROWS(A$13:A218)</f>
        <v>206</v>
      </c>
      <c r="B218" s="73" t="n">
        <f aca="false">IF(B217="","",IFERROR(SMALL($AH$10:$AH$409,COUNTIF($AH$10:$AH$409,"&lt;="&amp;B217)+1),""))</f>
        <v>45921</v>
      </c>
      <c r="C218" s="74" t="n">
        <f aca="false">IF(B218="","",INDEX($AI$10:$AI$409,MATCH(B218,$AH$10:$AH$409,0)))</f>
        <v>25</v>
      </c>
      <c r="D218" s="74" t="n">
        <f aca="false">IF(B218="","",IFERROR(INDEX($AK$10:$AK$409,MATCH(B218,$AJ$10:$AJ$409,0)),""))</f>
        <v>62307.07</v>
      </c>
      <c r="E218" s="76" t="n">
        <f aca="false">IF(AND(ISNUMBER(C218),ISNUMBER(C217)),C218/C217-1,"")</f>
        <v>0.00725221595487513</v>
      </c>
      <c r="F218" s="76" t="n">
        <f aca="false">IF(AND(ISNUMBER(D218),ISNUMBER(D217)),D218/D217-1,"")</f>
        <v>0.018084887533993</v>
      </c>
      <c r="G218" s="75" t="n">
        <f aca="false">IF(AND(ISNUMBER(E218),ISNUMBER(F218)),1,"")</f>
        <v>1</v>
      </c>
      <c r="H218" s="75" t="n">
        <f aca="false">IF(G218=1,COUNT(G218:G$412),"")</f>
        <v>54</v>
      </c>
      <c r="I218" s="75" t="n">
        <f aca="false">IF(G218=1,IF(H218&lt;='Beta Regresión'!$B$5,1,""),"")</f>
        <v>1</v>
      </c>
      <c r="J218" s="76" t="n">
        <f aca="false">IF(I218=1,E218,"")</f>
        <v>0.00725221595487513</v>
      </c>
      <c r="K218" s="76" t="n">
        <f aca="false">IF(I218=1,F218,"")</f>
        <v>0.018084887533993</v>
      </c>
      <c r="L218" s="75" t="n">
        <f aca="false">IF(I218=1,COUNT(I$13:I218),"")</f>
        <v>205</v>
      </c>
      <c r="M218" s="76" t="n">
        <f aca="false">IFERROR(INDEX($J$13:$J$412,MATCH(A218,$L$13:$L$412,0)),"")</f>
        <v>-0.00280000000000002</v>
      </c>
      <c r="N218" s="76" t="n">
        <f aca="false">IFERROR(INDEX($K$13:$K$412,MATCH(A218,$L$13:$L$412,0)),"")</f>
        <v>-0.00517822455782302</v>
      </c>
      <c r="O218" s="76" t="n">
        <f aca="false">IF(I218=1,E218,NA())</f>
        <v>0.00725221595487513</v>
      </c>
      <c r="P218" s="76" t="n">
        <f aca="false">IF(I218=1,F218,NA())</f>
        <v>0.018084887533993</v>
      </c>
      <c r="R218" s="75" t="n">
        <f aca="false">ROWS(R$13:R218)</f>
        <v>206</v>
      </c>
      <c r="S218" s="73" t="str">
        <f aca="false">IF(S217="","",IFERROR(SMALL($AD$10:$AD$509,COUNTIF($AD$10:$AD$509,"&lt;="&amp;S217)+1),""))</f>
        <v/>
      </c>
      <c r="T218" s="74" t="str">
        <f aca="false">IF(S218="","",INDEX($AE$10:$AE$509,MATCH(S218,$AD$10:$AD$509,0)))</f>
        <v/>
      </c>
      <c r="U218" s="74" t="str">
        <f aca="false">IF(S218="","",IFERROR(INDEX($AG$10:$AG$509,MATCH(S218,$AF$10:$AF$509,0)),""))</f>
        <v/>
      </c>
      <c r="V218" s="76" t="str">
        <f aca="false">IF(AND(ISNUMBER(T218),ISNUMBER(T217)),T218/T217-1,"")</f>
        <v/>
      </c>
      <c r="W218" s="76" t="str">
        <f aca="false">IF(AND(ISNUMBER(U218),ISNUMBER(U217)),U218/U217-1,"")</f>
        <v/>
      </c>
      <c r="X218" s="75" t="str">
        <f aca="false">IF(AND(ISNUMBER(V218),ISNUMBER(W218)),1,"")</f>
        <v/>
      </c>
      <c r="Y218" s="76" t="str">
        <f aca="false">IF(X218=1,V218,"")</f>
        <v/>
      </c>
      <c r="Z218" s="76" t="str">
        <f aca="false">IF(X218=1,W218,"")</f>
        <v/>
      </c>
      <c r="AA218" s="76" t="e">
        <f aca="false">IF(X218=1,V218,NA())</f>
        <v>#N/A</v>
      </c>
      <c r="AB218" s="76" t="e">
        <f aca="false">IF(X218=1,W218,NA())</f>
        <v>#N/A</v>
      </c>
      <c r="AD218" s="73" t="str">
        <f aca="false">IF(ISNUMBER(AE218),IF(ISNUMBER('Base de Datos'!A214),IF('Base de Datos'!A214&gt;20000,DATE(YEAR('Base de Datos'!A214),DAY('Base de Datos'!A214),MONTH('Base de Datos'!A214)),""),IF(TRIM('Base de Datos'!A214)="","",IFERROR(DATE(VALUE(RIGHT(TRIM('Base de Datos'!A214),4)),VALUE(LEFT(TRIM('Base de Datos'!A214),2)),VALUE(MID(TRIM('Base de Datos'!A214),4,2))),""))),"")</f>
        <v/>
      </c>
      <c r="AE218" s="74" t="str">
        <f aca="false">IF(ISNUMBER('Base de Datos'!B214),'Base de Datos'!B214,IF(TRIM('Base de Datos'!B214)="","",IFERROR(IF(IFERROR(FIND("@",SUBSTITUTE(TRIM('Base de Datos'!B214),",","@",LEN(TRIM('Base de Datos'!B214))-LEN(SUBSTITUTE(TRIM('Base de Datos'!B214),",","")))),0)&gt;IFERROR(FIND("@",SUBSTITUTE(TRIM('Base de Datos'!B214),".","@",LEN(TRIM('Base de Datos'!B214))-LEN(SUBSTITUTE(TRIM('Base de Datos'!B214),".","")))),0),_xlfn.NUMBERVALUE(SUBSTITUTE(SUBSTITUTE(TRIM('Base de Datos'!B214),".",""),",","."),".",","),_xlfn.NUMBERVALUE(SUBSTITUTE(TRIM('Base de Datos'!B214),",",""),".",",")),"")))</f>
        <v/>
      </c>
      <c r="AF218" s="73" t="str">
        <f aca="false">IF(ISNUMBER(AG218),IF(ISNUMBER('Base de Datos'!I214),IF('Base de Datos'!I214&gt;20000,INT('Base de Datos'!I214),""),IF(TRIM('Base de Datos'!I214)="","",IFERROR(DATE(VALUE(RIGHT(TRIM('Base de Datos'!I214),4)),VALUE(MID(TRIM('Base de Datos'!I214),4,2)),VALUE(LEFT(TRIM('Base de Datos'!I214),2))),IFERROR(DATEVALUE(TRIM('Base de Datos'!I214)),"")))),"")</f>
        <v/>
      </c>
      <c r="AG218" s="74" t="str">
        <f aca="false">IF(ISNUMBER('Base de Datos'!J214),'Base de Datos'!J214,IF(TRIM('Base de Datos'!J214)="","",IFERROR(IF(IFERROR(FIND("@",SUBSTITUTE(TRIM('Base de Datos'!J214),",","@",LEN(TRIM('Base de Datos'!J214))-LEN(SUBSTITUTE(TRIM('Base de Datos'!J214),",","")))),0)&gt;IFERROR(FIND("@",SUBSTITUTE(TRIM('Base de Datos'!J214),".","@",LEN(TRIM('Base de Datos'!J214))-LEN(SUBSTITUTE(TRIM('Base de Datos'!J214),".","")))),0),_xlfn.NUMBERVALUE(SUBSTITUTE(SUBSTITUTE(TRIM('Base de Datos'!J214),".",""),",","."),".",","),_xlfn.NUMBERVALUE(SUBSTITUTE(TRIM('Base de Datos'!J214),",",""),".",",")),"")))</f>
        <v/>
      </c>
      <c r="AH218" s="73" t="n">
        <f aca="false">IF(ISNUMBER(AI218),IF(ISNUMBER('Base de Datos'!Q214),IF('Base de Datos'!Q214&gt;20000,DATE(YEAR('Base de Datos'!Q214),DAY('Base de Datos'!Q214),MONTH('Base de Datos'!Q214)),""),IF(TRIM('Base de Datos'!Q214)="","",IFERROR(DATE(VALUE(RIGHT(TRIM('Base de Datos'!Q214),4)),VALUE(LEFT(TRIM('Base de Datos'!Q214),2)),VALUE(MID(TRIM('Base de Datos'!Q214),4,2))),""))),"")</f>
        <v>45942</v>
      </c>
      <c r="AI218" s="74" t="n">
        <f aca="false">IF(ISNUMBER('Base de Datos'!R214),'Base de Datos'!R214,IF(TRIM('Base de Datos'!R214)="","",IFERROR(IF(IFERROR(FIND("@",SUBSTITUTE(TRIM('Base de Datos'!R214),",","@",LEN(TRIM('Base de Datos'!R214))-LEN(SUBSTITUTE(TRIM('Base de Datos'!R214),",","")))),0)&gt;IFERROR(FIND("@",SUBSTITUTE(TRIM('Base de Datos'!R214),".","@",LEN(TRIM('Base de Datos'!R214))-LEN(SUBSTITUTE(TRIM('Base de Datos'!R214),".","")))),0),_xlfn.NUMBERVALUE(SUBSTITUTE(SUBSTITUTE(TRIM('Base de Datos'!R214),".",""),",","."),".",","),_xlfn.NUMBERVALUE(SUBSTITUTE(TRIM('Base de Datos'!R214),",",""),".",",")),"")))</f>
        <v>25.06</v>
      </c>
      <c r="AJ218" s="73" t="n">
        <f aca="false">IF(ISNUMBER(AK218),IF(ISNUMBER('Base de Datos'!Y214),IF('Base de Datos'!Y214&gt;20000,INT('Base de Datos'!Y214),""),IF(TRIM('Base de Datos'!Y214)="","",IFERROR(DATE(VALUE(RIGHT(TRIM('Base de Datos'!Y214),4)),VALUE(MID(TRIM('Base de Datos'!Y214),4,2)),VALUE(LEFT(TRIM('Base de Datos'!Y214),2))),IFERROR(DATEVALUE(TRIM('Base de Datos'!Y214)),"")))),"")</f>
        <v>45942</v>
      </c>
      <c r="AK218" s="74" t="n">
        <f aca="false">IF(ISNUMBER('Base de Datos'!Z214),'Base de Datos'!Z214,IF(TRIM('Base de Datos'!Z214)="","",IFERROR(IF(IFERROR(FIND("@",SUBSTITUTE(TRIM('Base de Datos'!Z214),",","@",LEN(TRIM('Base de Datos'!Z214))-LEN(SUBSTITUTE(TRIM('Base de Datos'!Z214),",","")))),0)&gt;IFERROR(FIND("@",SUBSTITUTE(TRIM('Base de Datos'!Z214),".","@",LEN(TRIM('Base de Datos'!Z214))-LEN(SUBSTITUTE(TRIM('Base de Datos'!Z214),".","")))),0),_xlfn.NUMBERVALUE(SUBSTITUTE(SUBSTITUTE(TRIM('Base de Datos'!Z214),".",""),",","."),".",","),_xlfn.NUMBERVALUE(SUBSTITUTE(TRIM('Base de Datos'!Z214),",",""),".",",")),"")))</f>
        <v>61743.92</v>
      </c>
    </row>
    <row r="219" customFormat="false" ht="13.5" hidden="false" customHeight="false" outlineLevel="0" collapsed="false">
      <c r="A219" s="75" t="n">
        <f aca="false">ROWS(A$13:A219)</f>
        <v>207</v>
      </c>
      <c r="B219" s="73" t="n">
        <f aca="false">IF(B218="","",IFERROR(SMALL($AH$10:$AH$409,COUNTIF($AH$10:$AH$409,"&lt;="&amp;B218)+1),""))</f>
        <v>45928</v>
      </c>
      <c r="C219" s="74" t="n">
        <f aca="false">IF(B219="","",INDEX($AI$10:$AI$409,MATCH(B219,$AH$10:$AH$409,0)))</f>
        <v>24.93</v>
      </c>
      <c r="D219" s="74" t="n">
        <f aca="false">IF(B219="","",IFERROR(INDEX($AK$10:$AK$409,MATCH(B219,$AJ$10:$AJ$409,0)),""))</f>
        <v>61984.43</v>
      </c>
      <c r="E219" s="76" t="n">
        <f aca="false">IF(AND(ISNUMBER(C219),ISNUMBER(C218)),C219/C218-1,"")</f>
        <v>-0.00280000000000002</v>
      </c>
      <c r="F219" s="76" t="n">
        <f aca="false">IF(AND(ISNUMBER(D219),ISNUMBER(D218)),D219/D218-1,"")</f>
        <v>-0.00517822455782302</v>
      </c>
      <c r="G219" s="75" t="n">
        <f aca="false">IF(AND(ISNUMBER(E219),ISNUMBER(F219)),1,"")</f>
        <v>1</v>
      </c>
      <c r="H219" s="75" t="n">
        <f aca="false">IF(G219=1,COUNT(G219:G$412),"")</f>
        <v>53</v>
      </c>
      <c r="I219" s="75" t="n">
        <f aca="false">IF(G219=1,IF(H219&lt;='Beta Regresión'!$B$5,1,""),"")</f>
        <v>1</v>
      </c>
      <c r="J219" s="76" t="n">
        <f aca="false">IF(I219=1,E219,"")</f>
        <v>-0.00280000000000002</v>
      </c>
      <c r="K219" s="76" t="n">
        <f aca="false">IF(I219=1,F219,"")</f>
        <v>-0.00517822455782302</v>
      </c>
      <c r="L219" s="75" t="n">
        <f aca="false">IF(I219=1,COUNT(I$13:I219),"")</f>
        <v>206</v>
      </c>
      <c r="M219" s="76" t="n">
        <f aca="false">IFERROR(INDEX($J$13:$J$412,MATCH(A219,$L$13:$L$412,0)),"")</f>
        <v>-0.00601684717208173</v>
      </c>
      <c r="N219" s="76" t="n">
        <f aca="false">IFERROR(INDEX($K$13:$K$412,MATCH(A219,$L$13:$L$412,0)),"")</f>
        <v>-0.0228363800393099</v>
      </c>
      <c r="O219" s="76" t="n">
        <f aca="false">IF(I219=1,E219,NA())</f>
        <v>-0.00280000000000002</v>
      </c>
      <c r="P219" s="76" t="n">
        <f aca="false">IF(I219=1,F219,NA())</f>
        <v>-0.00517822455782302</v>
      </c>
      <c r="R219" s="75" t="n">
        <f aca="false">ROWS(R$13:R219)</f>
        <v>207</v>
      </c>
      <c r="S219" s="73" t="str">
        <f aca="false">IF(S218="","",IFERROR(SMALL($AD$10:$AD$509,COUNTIF($AD$10:$AD$509,"&lt;="&amp;S218)+1),""))</f>
        <v/>
      </c>
      <c r="T219" s="74" t="str">
        <f aca="false">IF(S219="","",INDEX($AE$10:$AE$509,MATCH(S219,$AD$10:$AD$509,0)))</f>
        <v/>
      </c>
      <c r="U219" s="74" t="str">
        <f aca="false">IF(S219="","",IFERROR(INDEX($AG$10:$AG$509,MATCH(S219,$AF$10:$AF$509,0)),""))</f>
        <v/>
      </c>
      <c r="V219" s="76" t="str">
        <f aca="false">IF(AND(ISNUMBER(T219),ISNUMBER(T218)),T219/T218-1,"")</f>
        <v/>
      </c>
      <c r="W219" s="76" t="str">
        <f aca="false">IF(AND(ISNUMBER(U219),ISNUMBER(U218)),U219/U218-1,"")</f>
        <v/>
      </c>
      <c r="X219" s="75" t="str">
        <f aca="false">IF(AND(ISNUMBER(V219),ISNUMBER(W219)),1,"")</f>
        <v/>
      </c>
      <c r="Y219" s="76" t="str">
        <f aca="false">IF(X219=1,V219,"")</f>
        <v/>
      </c>
      <c r="Z219" s="76" t="str">
        <f aca="false">IF(X219=1,W219,"")</f>
        <v/>
      </c>
      <c r="AA219" s="76" t="e">
        <f aca="false">IF(X219=1,V219,NA())</f>
        <v>#N/A</v>
      </c>
      <c r="AB219" s="76" t="e">
        <f aca="false">IF(X219=1,W219,NA())</f>
        <v>#N/A</v>
      </c>
      <c r="AD219" s="73" t="str">
        <f aca="false">IF(ISNUMBER(AE219),IF(ISNUMBER('Base de Datos'!A215),IF('Base de Datos'!A215&gt;20000,DATE(YEAR('Base de Datos'!A215),DAY('Base de Datos'!A215),MONTH('Base de Datos'!A215)),""),IF(TRIM('Base de Datos'!A215)="","",IFERROR(DATE(VALUE(RIGHT(TRIM('Base de Datos'!A215),4)),VALUE(LEFT(TRIM('Base de Datos'!A215),2)),VALUE(MID(TRIM('Base de Datos'!A215),4,2))),""))),"")</f>
        <v/>
      </c>
      <c r="AE219" s="74" t="str">
        <f aca="false">IF(ISNUMBER('Base de Datos'!B215),'Base de Datos'!B215,IF(TRIM('Base de Datos'!B215)="","",IFERROR(IF(IFERROR(FIND("@",SUBSTITUTE(TRIM('Base de Datos'!B215),",","@",LEN(TRIM('Base de Datos'!B215))-LEN(SUBSTITUTE(TRIM('Base de Datos'!B215),",","")))),0)&gt;IFERROR(FIND("@",SUBSTITUTE(TRIM('Base de Datos'!B215),".","@",LEN(TRIM('Base de Datos'!B215))-LEN(SUBSTITUTE(TRIM('Base de Datos'!B215),".","")))),0),_xlfn.NUMBERVALUE(SUBSTITUTE(SUBSTITUTE(TRIM('Base de Datos'!B215),".",""),",","."),".",","),_xlfn.NUMBERVALUE(SUBSTITUTE(TRIM('Base de Datos'!B215),",",""),".",",")),"")))</f>
        <v/>
      </c>
      <c r="AF219" s="73" t="str">
        <f aca="false">IF(ISNUMBER(AG219),IF(ISNUMBER('Base de Datos'!I215),IF('Base de Datos'!I215&gt;20000,INT('Base de Datos'!I215),""),IF(TRIM('Base de Datos'!I215)="","",IFERROR(DATE(VALUE(RIGHT(TRIM('Base de Datos'!I215),4)),VALUE(MID(TRIM('Base de Datos'!I215),4,2)),VALUE(LEFT(TRIM('Base de Datos'!I215),2))),IFERROR(DATEVALUE(TRIM('Base de Datos'!I215)),"")))),"")</f>
        <v/>
      </c>
      <c r="AG219" s="74" t="str">
        <f aca="false">IF(ISNUMBER('Base de Datos'!J215),'Base de Datos'!J215,IF(TRIM('Base de Datos'!J215)="","",IFERROR(IF(IFERROR(FIND("@",SUBSTITUTE(TRIM('Base de Datos'!J215),",","@",LEN(TRIM('Base de Datos'!J215))-LEN(SUBSTITUTE(TRIM('Base de Datos'!J215),",","")))),0)&gt;IFERROR(FIND("@",SUBSTITUTE(TRIM('Base de Datos'!J215),".","@",LEN(TRIM('Base de Datos'!J215))-LEN(SUBSTITUTE(TRIM('Base de Datos'!J215),".","")))),0),_xlfn.NUMBERVALUE(SUBSTITUTE(SUBSTITUTE(TRIM('Base de Datos'!J215),".",""),",","."),".",","),_xlfn.NUMBERVALUE(SUBSTITUTE(TRIM('Base de Datos'!J215),",",""),".",",")),"")))</f>
        <v/>
      </c>
      <c r="AH219" s="73" t="n">
        <f aca="false">IF(ISNUMBER(AI219),IF(ISNUMBER('Base de Datos'!Q215),IF('Base de Datos'!Q215&gt;20000,DATE(YEAR('Base de Datos'!Q215),DAY('Base de Datos'!Q215),MONTH('Base de Datos'!Q215)),""),IF(TRIM('Base de Datos'!Q215)="","",IFERROR(DATE(VALUE(RIGHT(TRIM('Base de Datos'!Q215),4)),VALUE(LEFT(TRIM('Base de Datos'!Q215),2)),VALUE(MID(TRIM('Base de Datos'!Q215),4,2))),""))),"")</f>
        <v>45949</v>
      </c>
      <c r="AI219" s="74" t="n">
        <f aca="false">IF(ISNUMBER('Base de Datos'!R215),'Base de Datos'!R215,IF(TRIM('Base de Datos'!R215)="","",IFERROR(IF(IFERROR(FIND("@",SUBSTITUTE(TRIM('Base de Datos'!R215),",","@",LEN(TRIM('Base de Datos'!R215))-LEN(SUBSTITUTE(TRIM('Base de Datos'!R215),",","")))),0)&gt;IFERROR(FIND("@",SUBSTITUTE(TRIM('Base de Datos'!R215),".","@",LEN(TRIM('Base de Datos'!R215))-LEN(SUBSTITUTE(TRIM('Base de Datos'!R215),".","")))),0),_xlfn.NUMBERVALUE(SUBSTITUTE(SUBSTITUTE(TRIM('Base de Datos'!R215),".",""),",","."),".",","),_xlfn.NUMBERVALUE(SUBSTITUTE(TRIM('Base de Datos'!R215),",",""),".",",")),"")))</f>
        <v>24.88</v>
      </c>
      <c r="AJ219" s="73" t="n">
        <f aca="false">IF(ISNUMBER(AK219),IF(ISNUMBER('Base de Datos'!Y215),IF('Base de Datos'!Y215&gt;20000,INT('Base de Datos'!Y215),""),IF(TRIM('Base de Datos'!Y215)="","",IFERROR(DATE(VALUE(RIGHT(TRIM('Base de Datos'!Y215),4)),VALUE(MID(TRIM('Base de Datos'!Y215),4,2)),VALUE(LEFT(TRIM('Base de Datos'!Y215),2))),IFERROR(DATEVALUE(TRIM('Base de Datos'!Y215)),"")))),"")</f>
        <v>45949</v>
      </c>
      <c r="AK219" s="74" t="n">
        <f aca="false">IF(ISNUMBER('Base de Datos'!Z215),'Base de Datos'!Z215,IF(TRIM('Base de Datos'!Z215)="","",IFERROR(IF(IFERROR(FIND("@",SUBSTITUTE(TRIM('Base de Datos'!Z215),",","@",LEN(TRIM('Base de Datos'!Z215))-LEN(SUBSTITUTE(TRIM('Base de Datos'!Z215),",","")))),0)&gt;IFERROR(FIND("@",SUBSTITUTE(TRIM('Base de Datos'!Z215),".","@",LEN(TRIM('Base de Datos'!Z215))-LEN(SUBSTITUTE(TRIM('Base de Datos'!Z215),".","")))),0),_xlfn.NUMBERVALUE(SUBSTITUTE(SUBSTITUTE(TRIM('Base de Datos'!Z215),".",""),",","."),".",","),_xlfn.NUMBERVALUE(SUBSTITUTE(TRIM('Base de Datos'!Z215),",",""),".",",")),"")))</f>
        <v>61145.49</v>
      </c>
    </row>
    <row r="220" customFormat="false" ht="13.5" hidden="false" customHeight="false" outlineLevel="0" collapsed="false">
      <c r="A220" s="75" t="n">
        <f aca="false">ROWS(A$13:A220)</f>
        <v>208</v>
      </c>
      <c r="B220" s="73" t="n">
        <f aca="false">IF(B219="","",IFERROR(SMALL($AH$10:$AH$409,COUNTIF($AH$10:$AH$409,"&lt;="&amp;B219)+1),""))</f>
        <v>45935</v>
      </c>
      <c r="C220" s="74" t="n">
        <f aca="false">IF(B220="","",INDEX($AI$10:$AI$409,MATCH(B220,$AH$10:$AH$409,0)))</f>
        <v>24.78</v>
      </c>
      <c r="D220" s="74" t="n">
        <f aca="false">IF(B220="","",IFERROR(INDEX($AK$10:$AK$409,MATCH(B220,$AJ$10:$AJ$409,0)),""))</f>
        <v>60568.93</v>
      </c>
      <c r="E220" s="76" t="n">
        <f aca="false">IF(AND(ISNUMBER(C220),ISNUMBER(C219)),C220/C219-1,"")</f>
        <v>-0.00601684717208173</v>
      </c>
      <c r="F220" s="76" t="n">
        <f aca="false">IF(AND(ISNUMBER(D220),ISNUMBER(D219)),D220/D219-1,"")</f>
        <v>-0.0228363800393099</v>
      </c>
      <c r="G220" s="75" t="n">
        <f aca="false">IF(AND(ISNUMBER(E220),ISNUMBER(F220)),1,"")</f>
        <v>1</v>
      </c>
      <c r="H220" s="75" t="n">
        <f aca="false">IF(G220=1,COUNT(G220:G$412),"")</f>
        <v>52</v>
      </c>
      <c r="I220" s="75" t="n">
        <f aca="false">IF(G220=1,IF(H220&lt;='Beta Regresión'!$B$5,1,""),"")</f>
        <v>1</v>
      </c>
      <c r="J220" s="76" t="n">
        <f aca="false">IF(I220=1,E220,"")</f>
        <v>-0.00601684717208173</v>
      </c>
      <c r="K220" s="76" t="n">
        <f aca="false">IF(I220=1,F220,"")</f>
        <v>-0.0228363800393099</v>
      </c>
      <c r="L220" s="75" t="n">
        <f aca="false">IF(I220=1,COUNT(I$13:I220),"")</f>
        <v>207</v>
      </c>
      <c r="M220" s="76" t="n">
        <f aca="false">IFERROR(INDEX($J$13:$J$412,MATCH(A220,$L$13:$L$412,0)),"")</f>
        <v>0.0112994350282485</v>
      </c>
      <c r="N220" s="76" t="n">
        <f aca="false">IFERROR(INDEX($K$13:$K$412,MATCH(A220,$L$13:$L$412,0)),"")</f>
        <v>0.0193992200291468</v>
      </c>
      <c r="O220" s="76" t="n">
        <f aca="false">IF(I220=1,E220,NA())</f>
        <v>-0.00601684717208173</v>
      </c>
      <c r="P220" s="76" t="n">
        <f aca="false">IF(I220=1,F220,NA())</f>
        <v>-0.0228363800393099</v>
      </c>
      <c r="R220" s="75" t="n">
        <f aca="false">ROWS(R$13:R220)</f>
        <v>208</v>
      </c>
      <c r="S220" s="73" t="str">
        <f aca="false">IF(S219="","",IFERROR(SMALL($AD$10:$AD$509,COUNTIF($AD$10:$AD$509,"&lt;="&amp;S219)+1),""))</f>
        <v/>
      </c>
      <c r="T220" s="74" t="str">
        <f aca="false">IF(S220="","",INDEX($AE$10:$AE$509,MATCH(S220,$AD$10:$AD$509,0)))</f>
        <v/>
      </c>
      <c r="U220" s="74" t="str">
        <f aca="false">IF(S220="","",IFERROR(INDEX($AG$10:$AG$509,MATCH(S220,$AF$10:$AF$509,0)),""))</f>
        <v/>
      </c>
      <c r="V220" s="76" t="str">
        <f aca="false">IF(AND(ISNUMBER(T220),ISNUMBER(T219)),T220/T219-1,"")</f>
        <v/>
      </c>
      <c r="W220" s="76" t="str">
        <f aca="false">IF(AND(ISNUMBER(U220),ISNUMBER(U219)),U220/U219-1,"")</f>
        <v/>
      </c>
      <c r="X220" s="75" t="str">
        <f aca="false">IF(AND(ISNUMBER(V220),ISNUMBER(W220)),1,"")</f>
        <v/>
      </c>
      <c r="Y220" s="76" t="str">
        <f aca="false">IF(X220=1,V220,"")</f>
        <v/>
      </c>
      <c r="Z220" s="76" t="str">
        <f aca="false">IF(X220=1,W220,"")</f>
        <v/>
      </c>
      <c r="AA220" s="76" t="e">
        <f aca="false">IF(X220=1,V220,NA())</f>
        <v>#N/A</v>
      </c>
      <c r="AB220" s="76" t="e">
        <f aca="false">IF(X220=1,W220,NA())</f>
        <v>#N/A</v>
      </c>
      <c r="AD220" s="73" t="str">
        <f aca="false">IF(ISNUMBER(AE220),IF(ISNUMBER('Base de Datos'!A216),IF('Base de Datos'!A216&gt;20000,DATE(YEAR('Base de Datos'!A216),DAY('Base de Datos'!A216),MONTH('Base de Datos'!A216)),""),IF(TRIM('Base de Datos'!A216)="","",IFERROR(DATE(VALUE(RIGHT(TRIM('Base de Datos'!A216),4)),VALUE(LEFT(TRIM('Base de Datos'!A216),2)),VALUE(MID(TRIM('Base de Datos'!A216),4,2))),""))),"")</f>
        <v/>
      </c>
      <c r="AE220" s="74" t="str">
        <f aca="false">IF(ISNUMBER('Base de Datos'!B216),'Base de Datos'!B216,IF(TRIM('Base de Datos'!B216)="","",IFERROR(IF(IFERROR(FIND("@",SUBSTITUTE(TRIM('Base de Datos'!B216),",","@",LEN(TRIM('Base de Datos'!B216))-LEN(SUBSTITUTE(TRIM('Base de Datos'!B216),",","")))),0)&gt;IFERROR(FIND("@",SUBSTITUTE(TRIM('Base de Datos'!B216),".","@",LEN(TRIM('Base de Datos'!B216))-LEN(SUBSTITUTE(TRIM('Base de Datos'!B216),".","")))),0),_xlfn.NUMBERVALUE(SUBSTITUTE(SUBSTITUTE(TRIM('Base de Datos'!B216),".",""),",","."),".",","),_xlfn.NUMBERVALUE(SUBSTITUTE(TRIM('Base de Datos'!B216),",",""),".",",")),"")))</f>
        <v/>
      </c>
      <c r="AF220" s="73" t="str">
        <f aca="false">IF(ISNUMBER(AG220),IF(ISNUMBER('Base de Datos'!I216),IF('Base de Datos'!I216&gt;20000,INT('Base de Datos'!I216),""),IF(TRIM('Base de Datos'!I216)="","",IFERROR(DATE(VALUE(RIGHT(TRIM('Base de Datos'!I216),4)),VALUE(MID(TRIM('Base de Datos'!I216),4,2)),VALUE(LEFT(TRIM('Base de Datos'!I216),2))),IFERROR(DATEVALUE(TRIM('Base de Datos'!I216)),"")))),"")</f>
        <v/>
      </c>
      <c r="AG220" s="74" t="str">
        <f aca="false">IF(ISNUMBER('Base de Datos'!J216),'Base de Datos'!J216,IF(TRIM('Base de Datos'!J216)="","",IFERROR(IF(IFERROR(FIND("@",SUBSTITUTE(TRIM('Base de Datos'!J216),",","@",LEN(TRIM('Base de Datos'!J216))-LEN(SUBSTITUTE(TRIM('Base de Datos'!J216),",","")))),0)&gt;IFERROR(FIND("@",SUBSTITUTE(TRIM('Base de Datos'!J216),".","@",LEN(TRIM('Base de Datos'!J216))-LEN(SUBSTITUTE(TRIM('Base de Datos'!J216),".","")))),0),_xlfn.NUMBERVALUE(SUBSTITUTE(SUBSTITUTE(TRIM('Base de Datos'!J216),".",""),",","."),".",","),_xlfn.NUMBERVALUE(SUBSTITUTE(TRIM('Base de Datos'!J216),",",""),".",",")),"")))</f>
        <v/>
      </c>
      <c r="AH220" s="73" t="n">
        <f aca="false">IF(ISNUMBER(AI220),IF(ISNUMBER('Base de Datos'!Q216),IF('Base de Datos'!Q216&gt;20000,DATE(YEAR('Base de Datos'!Q216),DAY('Base de Datos'!Q216),MONTH('Base de Datos'!Q216)),""),IF(TRIM('Base de Datos'!Q216)="","",IFERROR(DATE(VALUE(RIGHT(TRIM('Base de Datos'!Q216),4)),VALUE(LEFT(TRIM('Base de Datos'!Q216),2)),VALUE(MID(TRIM('Base de Datos'!Q216),4,2))),""))),"")</f>
        <v>45956</v>
      </c>
      <c r="AI220" s="74" t="n">
        <f aca="false">IF(ISNUMBER('Base de Datos'!R216),'Base de Datos'!R216,IF(TRIM('Base de Datos'!R216)="","",IFERROR(IF(IFERROR(FIND("@",SUBSTITUTE(TRIM('Base de Datos'!R216),",","@",LEN(TRIM('Base de Datos'!R216))-LEN(SUBSTITUTE(TRIM('Base de Datos'!R216),",","")))),0)&gt;IFERROR(FIND("@",SUBSTITUTE(TRIM('Base de Datos'!R216),".","@",LEN(TRIM('Base de Datos'!R216))-LEN(SUBSTITUTE(TRIM('Base de Datos'!R216),".","")))),0),_xlfn.NUMBERVALUE(SUBSTITUTE(SUBSTITUTE(TRIM('Base de Datos'!R216),".",""),",","."),".",","),_xlfn.NUMBERVALUE(SUBSTITUTE(TRIM('Base de Datos'!R216),",",""),".",",")),"")))</f>
        <v>26.45</v>
      </c>
      <c r="AJ220" s="73" t="n">
        <f aca="false">IF(ISNUMBER(AK220),IF(ISNUMBER('Base de Datos'!Y216),IF('Base de Datos'!Y216&gt;20000,INT('Base de Datos'!Y216),""),IF(TRIM('Base de Datos'!Y216)="","",IFERROR(DATE(VALUE(RIGHT(TRIM('Base de Datos'!Y216),4)),VALUE(MID(TRIM('Base de Datos'!Y216),4,2)),VALUE(LEFT(TRIM('Base de Datos'!Y216),2))),IFERROR(DATEVALUE(TRIM('Base de Datos'!Y216)),"")))),"")</f>
        <v>45956</v>
      </c>
      <c r="AK220" s="74" t="n">
        <f aca="false">IF(ISNUMBER('Base de Datos'!Z216),'Base de Datos'!Z216,IF(TRIM('Base de Datos'!Z216)="","",IFERROR(IF(IFERROR(FIND("@",SUBSTITUTE(TRIM('Base de Datos'!Z216),",","@",LEN(TRIM('Base de Datos'!Z216))-LEN(SUBSTITUTE(TRIM('Base de Datos'!Z216),",","")))),0)&gt;IFERROR(FIND("@",SUBSTITUTE(TRIM('Base de Datos'!Z216),".","@",LEN(TRIM('Base de Datos'!Z216))-LEN(SUBSTITUTE(TRIM('Base de Datos'!Z216),".","")))),0),_xlfn.NUMBERVALUE(SUBSTITUTE(SUBSTITUTE(TRIM('Base de Datos'!Z216),".",""),",","."),".",","),_xlfn.NUMBERVALUE(SUBSTITUTE(TRIM('Base de Datos'!Z216),",",""),".",",")),"")))</f>
        <v>62769.18</v>
      </c>
    </row>
    <row r="221" customFormat="false" ht="13.5" hidden="false" customHeight="false" outlineLevel="0" collapsed="false">
      <c r="A221" s="75" t="n">
        <f aca="false">ROWS(A$13:A221)</f>
        <v>209</v>
      </c>
      <c r="B221" s="73" t="n">
        <f aca="false">IF(B220="","",IFERROR(SMALL($AH$10:$AH$409,COUNTIF($AH$10:$AH$409,"&lt;="&amp;B220)+1),""))</f>
        <v>45942</v>
      </c>
      <c r="C221" s="74" t="n">
        <f aca="false">IF(B221="","",INDEX($AI$10:$AI$409,MATCH(B221,$AH$10:$AH$409,0)))</f>
        <v>25.06</v>
      </c>
      <c r="D221" s="74" t="n">
        <f aca="false">IF(B221="","",IFERROR(INDEX($AK$10:$AK$409,MATCH(B221,$AJ$10:$AJ$409,0)),""))</f>
        <v>61743.92</v>
      </c>
      <c r="E221" s="76" t="n">
        <f aca="false">IF(AND(ISNUMBER(C221),ISNUMBER(C220)),C221/C220-1,"")</f>
        <v>0.0112994350282485</v>
      </c>
      <c r="F221" s="76" t="n">
        <f aca="false">IF(AND(ISNUMBER(D221),ISNUMBER(D220)),D221/D220-1,"")</f>
        <v>0.0193992200291468</v>
      </c>
      <c r="G221" s="75" t="n">
        <f aca="false">IF(AND(ISNUMBER(E221),ISNUMBER(F221)),1,"")</f>
        <v>1</v>
      </c>
      <c r="H221" s="75" t="n">
        <f aca="false">IF(G221=1,COUNT(G221:G$412),"")</f>
        <v>51</v>
      </c>
      <c r="I221" s="75" t="n">
        <f aca="false">IF(G221=1,IF(H221&lt;='Beta Regresión'!$B$5,1,""),"")</f>
        <v>1</v>
      </c>
      <c r="J221" s="76" t="n">
        <f aca="false">IF(I221=1,E221,"")</f>
        <v>0.0112994350282485</v>
      </c>
      <c r="K221" s="76" t="n">
        <f aca="false">IF(I221=1,F221,"")</f>
        <v>0.0193992200291468</v>
      </c>
      <c r="L221" s="75" t="n">
        <f aca="false">IF(I221=1,COUNT(I$13:I221),"")</f>
        <v>208</v>
      </c>
      <c r="M221" s="76" t="n">
        <f aca="false">IFERROR(INDEX($J$13:$J$412,MATCH(A221,$L$13:$L$412,0)),"")</f>
        <v>-0.00718276137270546</v>
      </c>
      <c r="N221" s="76" t="n">
        <f aca="false">IFERROR(INDEX($K$13:$K$412,MATCH(A221,$L$13:$L$412,0)),"")</f>
        <v>-0.00969212839094114</v>
      </c>
      <c r="O221" s="76" t="n">
        <f aca="false">IF(I221=1,E221,NA())</f>
        <v>0.0112994350282485</v>
      </c>
      <c r="P221" s="76" t="n">
        <f aca="false">IF(I221=1,F221,NA())</f>
        <v>0.0193992200291468</v>
      </c>
      <c r="R221" s="75" t="n">
        <f aca="false">ROWS(R$13:R221)</f>
        <v>209</v>
      </c>
      <c r="S221" s="73" t="str">
        <f aca="false">IF(S220="","",IFERROR(SMALL($AD$10:$AD$509,COUNTIF($AD$10:$AD$509,"&lt;="&amp;S220)+1),""))</f>
        <v/>
      </c>
      <c r="T221" s="74" t="str">
        <f aca="false">IF(S221="","",INDEX($AE$10:$AE$509,MATCH(S221,$AD$10:$AD$509,0)))</f>
        <v/>
      </c>
      <c r="U221" s="74" t="str">
        <f aca="false">IF(S221="","",IFERROR(INDEX($AG$10:$AG$509,MATCH(S221,$AF$10:$AF$509,0)),""))</f>
        <v/>
      </c>
      <c r="V221" s="76" t="str">
        <f aca="false">IF(AND(ISNUMBER(T221),ISNUMBER(T220)),T221/T220-1,"")</f>
        <v/>
      </c>
      <c r="W221" s="76" t="str">
        <f aca="false">IF(AND(ISNUMBER(U221),ISNUMBER(U220)),U221/U220-1,"")</f>
        <v/>
      </c>
      <c r="X221" s="75" t="str">
        <f aca="false">IF(AND(ISNUMBER(V221),ISNUMBER(W221)),1,"")</f>
        <v/>
      </c>
      <c r="Y221" s="76" t="str">
        <f aca="false">IF(X221=1,V221,"")</f>
        <v/>
      </c>
      <c r="Z221" s="76" t="str">
        <f aca="false">IF(X221=1,W221,"")</f>
        <v/>
      </c>
      <c r="AA221" s="76" t="e">
        <f aca="false">IF(X221=1,V221,NA())</f>
        <v>#N/A</v>
      </c>
      <c r="AB221" s="76" t="e">
        <f aca="false">IF(X221=1,W221,NA())</f>
        <v>#N/A</v>
      </c>
      <c r="AD221" s="73" t="str">
        <f aca="false">IF(ISNUMBER(AE221),IF(ISNUMBER('Base de Datos'!A217),IF('Base de Datos'!A217&gt;20000,DATE(YEAR('Base de Datos'!A217),DAY('Base de Datos'!A217),MONTH('Base de Datos'!A217)),""),IF(TRIM('Base de Datos'!A217)="","",IFERROR(DATE(VALUE(RIGHT(TRIM('Base de Datos'!A217),4)),VALUE(LEFT(TRIM('Base de Datos'!A217),2)),VALUE(MID(TRIM('Base de Datos'!A217),4,2))),""))),"")</f>
        <v/>
      </c>
      <c r="AE221" s="74" t="str">
        <f aca="false">IF(ISNUMBER('Base de Datos'!B217),'Base de Datos'!B217,IF(TRIM('Base de Datos'!B217)="","",IFERROR(IF(IFERROR(FIND("@",SUBSTITUTE(TRIM('Base de Datos'!B217),",","@",LEN(TRIM('Base de Datos'!B217))-LEN(SUBSTITUTE(TRIM('Base de Datos'!B217),",","")))),0)&gt;IFERROR(FIND("@",SUBSTITUTE(TRIM('Base de Datos'!B217),".","@",LEN(TRIM('Base de Datos'!B217))-LEN(SUBSTITUTE(TRIM('Base de Datos'!B217),".","")))),0),_xlfn.NUMBERVALUE(SUBSTITUTE(SUBSTITUTE(TRIM('Base de Datos'!B217),".",""),",","."),".",","),_xlfn.NUMBERVALUE(SUBSTITUTE(TRIM('Base de Datos'!B217),",",""),".",",")),"")))</f>
        <v/>
      </c>
      <c r="AF221" s="73" t="str">
        <f aca="false">IF(ISNUMBER(AG221),IF(ISNUMBER('Base de Datos'!I217),IF('Base de Datos'!I217&gt;20000,INT('Base de Datos'!I217),""),IF(TRIM('Base de Datos'!I217)="","",IFERROR(DATE(VALUE(RIGHT(TRIM('Base de Datos'!I217),4)),VALUE(MID(TRIM('Base de Datos'!I217),4,2)),VALUE(LEFT(TRIM('Base de Datos'!I217),2))),IFERROR(DATEVALUE(TRIM('Base de Datos'!I217)),"")))),"")</f>
        <v/>
      </c>
      <c r="AG221" s="74" t="str">
        <f aca="false">IF(ISNUMBER('Base de Datos'!J217),'Base de Datos'!J217,IF(TRIM('Base de Datos'!J217)="","",IFERROR(IF(IFERROR(FIND("@",SUBSTITUTE(TRIM('Base de Datos'!J217),",","@",LEN(TRIM('Base de Datos'!J217))-LEN(SUBSTITUTE(TRIM('Base de Datos'!J217),",","")))),0)&gt;IFERROR(FIND("@",SUBSTITUTE(TRIM('Base de Datos'!J217),".","@",LEN(TRIM('Base de Datos'!J217))-LEN(SUBSTITUTE(TRIM('Base de Datos'!J217),".","")))),0),_xlfn.NUMBERVALUE(SUBSTITUTE(SUBSTITUTE(TRIM('Base de Datos'!J217),".",""),",","."),".",","),_xlfn.NUMBERVALUE(SUBSTITUTE(TRIM('Base de Datos'!J217),",",""),".",",")),"")))</f>
        <v/>
      </c>
      <c r="AH221" s="73" t="n">
        <f aca="false">IF(ISNUMBER(AI221),IF(ISNUMBER('Base de Datos'!Q217),IF('Base de Datos'!Q217&gt;20000,DATE(YEAR('Base de Datos'!Q217),DAY('Base de Datos'!Q217),MONTH('Base de Datos'!Q217)),""),IF(TRIM('Base de Datos'!Q217)="","",IFERROR(DATE(VALUE(RIGHT(TRIM('Base de Datos'!Q217),4)),VALUE(LEFT(TRIM('Base de Datos'!Q217),2)),VALUE(MID(TRIM('Base de Datos'!Q217),4,2))),""))),"")</f>
        <v>45963</v>
      </c>
      <c r="AI221" s="74" t="n">
        <f aca="false">IF(ISNUMBER('Base de Datos'!R217),'Base de Datos'!R217,IF(TRIM('Base de Datos'!R217)="","",IFERROR(IF(IFERROR(FIND("@",SUBSTITUTE(TRIM('Base de Datos'!R217),",","@",LEN(TRIM('Base de Datos'!R217))-LEN(SUBSTITUTE(TRIM('Base de Datos'!R217),",","")))),0)&gt;IFERROR(FIND("@",SUBSTITUTE(TRIM('Base de Datos'!R217),".","@",LEN(TRIM('Base de Datos'!R217))-LEN(SUBSTITUTE(TRIM('Base de Datos'!R217),".","")))),0),_xlfn.NUMBERVALUE(SUBSTITUTE(SUBSTITUTE(TRIM('Base de Datos'!R217),".",""),",","."),".",","),_xlfn.NUMBERVALUE(SUBSTITUTE(TRIM('Base de Datos'!R217),",",""),".",",")),"")))</f>
        <v>25.74</v>
      </c>
      <c r="AJ221" s="73" t="n">
        <f aca="false">IF(ISNUMBER(AK221),IF(ISNUMBER('Base de Datos'!Y217),IF('Base de Datos'!Y217&gt;20000,INT('Base de Datos'!Y217),""),IF(TRIM('Base de Datos'!Y217)="","",IFERROR(DATE(VALUE(RIGHT(TRIM('Base de Datos'!Y217),4)),VALUE(MID(TRIM('Base de Datos'!Y217),4,2)),VALUE(LEFT(TRIM('Base de Datos'!Y217),2))),IFERROR(DATEVALUE(TRIM('Base de Datos'!Y217)),"")))),"")</f>
        <v>45963</v>
      </c>
      <c r="AK221" s="74" t="n">
        <f aca="false">IF(ISNUMBER('Base de Datos'!Z217),'Base de Datos'!Z217,IF(TRIM('Base de Datos'!Z217)="","",IFERROR(IF(IFERROR(FIND("@",SUBSTITUTE(TRIM('Base de Datos'!Z217),",","@",LEN(TRIM('Base de Datos'!Z217))-LEN(SUBSTITUTE(TRIM('Base de Datos'!Z217),",","")))),0)&gt;IFERROR(FIND("@",SUBSTITUTE(TRIM('Base de Datos'!Z217),".","@",LEN(TRIM('Base de Datos'!Z217))-LEN(SUBSTITUTE(TRIM('Base de Datos'!Z217),".","")))),0),_xlfn.NUMBERVALUE(SUBSTITUTE(SUBSTITUTE(TRIM('Base de Datos'!Z217),".",""),",","."),".",","),_xlfn.NUMBERVALUE(SUBSTITUTE(TRIM('Base de Datos'!Z217),",",""),".",",")),"")))</f>
        <v>63376.13</v>
      </c>
    </row>
    <row r="222" customFormat="false" ht="13.5" hidden="false" customHeight="false" outlineLevel="0" collapsed="false">
      <c r="A222" s="75" t="n">
        <f aca="false">ROWS(A$13:A222)</f>
        <v>210</v>
      </c>
      <c r="B222" s="73" t="n">
        <f aca="false">IF(B221="","",IFERROR(SMALL($AH$10:$AH$409,COUNTIF($AH$10:$AH$409,"&lt;="&amp;B221)+1),""))</f>
        <v>45949</v>
      </c>
      <c r="C222" s="74" t="n">
        <f aca="false">IF(B222="","",INDEX($AI$10:$AI$409,MATCH(B222,$AH$10:$AH$409,0)))</f>
        <v>24.88</v>
      </c>
      <c r="D222" s="74" t="n">
        <f aca="false">IF(B222="","",IFERROR(INDEX($AK$10:$AK$409,MATCH(B222,$AJ$10:$AJ$409,0)),""))</f>
        <v>61145.49</v>
      </c>
      <c r="E222" s="76" t="n">
        <f aca="false">IF(AND(ISNUMBER(C222),ISNUMBER(C221)),C222/C221-1,"")</f>
        <v>-0.00718276137270546</v>
      </c>
      <c r="F222" s="76" t="n">
        <f aca="false">IF(AND(ISNUMBER(D222),ISNUMBER(D221)),D222/D221-1,"")</f>
        <v>-0.00969212839094114</v>
      </c>
      <c r="G222" s="75" t="n">
        <f aca="false">IF(AND(ISNUMBER(E222),ISNUMBER(F222)),1,"")</f>
        <v>1</v>
      </c>
      <c r="H222" s="75" t="n">
        <f aca="false">IF(G222=1,COUNT(G222:G$412),"")</f>
        <v>50</v>
      </c>
      <c r="I222" s="75" t="n">
        <f aca="false">IF(G222=1,IF(H222&lt;='Beta Regresión'!$B$5,1,""),"")</f>
        <v>1</v>
      </c>
      <c r="J222" s="76" t="n">
        <f aca="false">IF(I222=1,E222,"")</f>
        <v>-0.00718276137270546</v>
      </c>
      <c r="K222" s="76" t="n">
        <f aca="false">IF(I222=1,F222,"")</f>
        <v>-0.00969212839094114</v>
      </c>
      <c r="L222" s="75" t="n">
        <f aca="false">IF(I222=1,COUNT(I$13:I222),"")</f>
        <v>209</v>
      </c>
      <c r="M222" s="76" t="n">
        <f aca="false">IFERROR(INDEX($J$13:$J$412,MATCH(A222,$L$13:$L$412,0)),"")</f>
        <v>0.0631028938906753</v>
      </c>
      <c r="N222" s="76" t="n">
        <f aca="false">IFERROR(INDEX($K$13:$K$412,MATCH(A222,$L$13:$L$412,0)),"")</f>
        <v>0.0265545341120008</v>
      </c>
      <c r="O222" s="76" t="n">
        <f aca="false">IF(I222=1,E222,NA())</f>
        <v>-0.00718276137270546</v>
      </c>
      <c r="P222" s="76" t="n">
        <f aca="false">IF(I222=1,F222,NA())</f>
        <v>-0.00969212839094114</v>
      </c>
      <c r="R222" s="75" t="n">
        <f aca="false">ROWS(R$13:R222)</f>
        <v>210</v>
      </c>
      <c r="S222" s="73" t="str">
        <f aca="false">IF(S221="","",IFERROR(SMALL($AD$10:$AD$509,COUNTIF($AD$10:$AD$509,"&lt;="&amp;S221)+1),""))</f>
        <v/>
      </c>
      <c r="T222" s="74" t="str">
        <f aca="false">IF(S222="","",INDEX($AE$10:$AE$509,MATCH(S222,$AD$10:$AD$509,0)))</f>
        <v/>
      </c>
      <c r="U222" s="74" t="str">
        <f aca="false">IF(S222="","",IFERROR(INDEX($AG$10:$AG$509,MATCH(S222,$AF$10:$AF$509,0)),""))</f>
        <v/>
      </c>
      <c r="V222" s="76" t="str">
        <f aca="false">IF(AND(ISNUMBER(T222),ISNUMBER(T221)),T222/T221-1,"")</f>
        <v/>
      </c>
      <c r="W222" s="76" t="str">
        <f aca="false">IF(AND(ISNUMBER(U222),ISNUMBER(U221)),U222/U221-1,"")</f>
        <v/>
      </c>
      <c r="X222" s="75" t="str">
        <f aca="false">IF(AND(ISNUMBER(V222),ISNUMBER(W222)),1,"")</f>
        <v/>
      </c>
      <c r="Y222" s="76" t="str">
        <f aca="false">IF(X222=1,V222,"")</f>
        <v/>
      </c>
      <c r="Z222" s="76" t="str">
        <f aca="false">IF(X222=1,W222,"")</f>
        <v/>
      </c>
      <c r="AA222" s="76" t="e">
        <f aca="false">IF(X222=1,V222,NA())</f>
        <v>#N/A</v>
      </c>
      <c r="AB222" s="76" t="e">
        <f aca="false">IF(X222=1,W222,NA())</f>
        <v>#N/A</v>
      </c>
      <c r="AD222" s="73" t="str">
        <f aca="false">IF(ISNUMBER(AE222),IF(ISNUMBER('Base de Datos'!A218),IF('Base de Datos'!A218&gt;20000,DATE(YEAR('Base de Datos'!A218),DAY('Base de Datos'!A218),MONTH('Base de Datos'!A218)),""),IF(TRIM('Base de Datos'!A218)="","",IFERROR(DATE(VALUE(RIGHT(TRIM('Base de Datos'!A218),4)),VALUE(LEFT(TRIM('Base de Datos'!A218),2)),VALUE(MID(TRIM('Base de Datos'!A218),4,2))),""))),"")</f>
        <v/>
      </c>
      <c r="AE222" s="74" t="str">
        <f aca="false">IF(ISNUMBER('Base de Datos'!B218),'Base de Datos'!B218,IF(TRIM('Base de Datos'!B218)="","",IFERROR(IF(IFERROR(FIND("@",SUBSTITUTE(TRIM('Base de Datos'!B218),",","@",LEN(TRIM('Base de Datos'!B218))-LEN(SUBSTITUTE(TRIM('Base de Datos'!B218),",","")))),0)&gt;IFERROR(FIND("@",SUBSTITUTE(TRIM('Base de Datos'!B218),".","@",LEN(TRIM('Base de Datos'!B218))-LEN(SUBSTITUTE(TRIM('Base de Datos'!B218),".","")))),0),_xlfn.NUMBERVALUE(SUBSTITUTE(SUBSTITUTE(TRIM('Base de Datos'!B218),".",""),",","."),".",","),_xlfn.NUMBERVALUE(SUBSTITUTE(TRIM('Base de Datos'!B218),",",""),".",",")),"")))</f>
        <v/>
      </c>
      <c r="AF222" s="73" t="str">
        <f aca="false">IF(ISNUMBER(AG222),IF(ISNUMBER('Base de Datos'!I218),IF('Base de Datos'!I218&gt;20000,INT('Base de Datos'!I218),""),IF(TRIM('Base de Datos'!I218)="","",IFERROR(DATE(VALUE(RIGHT(TRIM('Base de Datos'!I218),4)),VALUE(MID(TRIM('Base de Datos'!I218),4,2)),VALUE(LEFT(TRIM('Base de Datos'!I218),2))),IFERROR(DATEVALUE(TRIM('Base de Datos'!I218)),"")))),"")</f>
        <v/>
      </c>
      <c r="AG222" s="74" t="str">
        <f aca="false">IF(ISNUMBER('Base de Datos'!J218),'Base de Datos'!J218,IF(TRIM('Base de Datos'!J218)="","",IFERROR(IF(IFERROR(FIND("@",SUBSTITUTE(TRIM('Base de Datos'!J218),",","@",LEN(TRIM('Base de Datos'!J218))-LEN(SUBSTITUTE(TRIM('Base de Datos'!J218),",","")))),0)&gt;IFERROR(FIND("@",SUBSTITUTE(TRIM('Base de Datos'!J218),".","@",LEN(TRIM('Base de Datos'!J218))-LEN(SUBSTITUTE(TRIM('Base de Datos'!J218),".","")))),0),_xlfn.NUMBERVALUE(SUBSTITUTE(SUBSTITUTE(TRIM('Base de Datos'!J218),".",""),",","."),".",","),_xlfn.NUMBERVALUE(SUBSTITUTE(TRIM('Base de Datos'!J218),",",""),".",",")),"")))</f>
        <v/>
      </c>
      <c r="AH222" s="73" t="n">
        <f aca="false">IF(ISNUMBER(AI222),IF(ISNUMBER('Base de Datos'!Q218),IF('Base de Datos'!Q218&gt;20000,DATE(YEAR('Base de Datos'!Q218),DAY('Base de Datos'!Q218),MONTH('Base de Datos'!Q218)),""),IF(TRIM('Base de Datos'!Q218)="","",IFERROR(DATE(VALUE(RIGHT(TRIM('Base de Datos'!Q218),4)),VALUE(LEFT(TRIM('Base de Datos'!Q218),2)),VALUE(MID(TRIM('Base de Datos'!Q218),4,2))),""))),"")</f>
        <v>45970</v>
      </c>
      <c r="AI222" s="74" t="n">
        <f aca="false">IF(ISNUMBER('Base de Datos'!R218),'Base de Datos'!R218,IF(TRIM('Base de Datos'!R218)="","",IFERROR(IF(IFERROR(FIND("@",SUBSTITUTE(TRIM('Base de Datos'!R218),",","@",LEN(TRIM('Base de Datos'!R218))-LEN(SUBSTITUTE(TRIM('Base de Datos'!R218),",","")))),0)&gt;IFERROR(FIND("@",SUBSTITUTE(TRIM('Base de Datos'!R218),".","@",LEN(TRIM('Base de Datos'!R218))-LEN(SUBSTITUTE(TRIM('Base de Datos'!R218),".","")))),0),_xlfn.NUMBERVALUE(SUBSTITUTE(SUBSTITUTE(TRIM('Base de Datos'!R218),".",""),",","."),".",","),_xlfn.NUMBERVALUE(SUBSTITUTE(TRIM('Base de Datos'!R218),",",""),".",",")),"")))</f>
        <v>27.39</v>
      </c>
      <c r="AJ222" s="73" t="n">
        <f aca="false">IF(ISNUMBER(AK222),IF(ISNUMBER('Base de Datos'!Y218),IF('Base de Datos'!Y218&gt;20000,INT('Base de Datos'!Y218),""),IF(TRIM('Base de Datos'!Y218)="","",IFERROR(DATE(VALUE(RIGHT(TRIM('Base de Datos'!Y218),4)),VALUE(MID(TRIM('Base de Datos'!Y218),4,2)),VALUE(LEFT(TRIM('Base de Datos'!Y218),2))),IFERROR(DATEVALUE(TRIM('Base de Datos'!Y218)),"")))),"")</f>
        <v>45970</v>
      </c>
      <c r="AK222" s="74" t="n">
        <f aca="false">IF(ISNUMBER('Base de Datos'!Z218),'Base de Datos'!Z218,IF(TRIM('Base de Datos'!Z218)="","",IFERROR(IF(IFERROR(FIND("@",SUBSTITUTE(TRIM('Base de Datos'!Z218),",","@",LEN(TRIM('Base de Datos'!Z218))-LEN(SUBSTITUTE(TRIM('Base de Datos'!Z218),",","")))),0)&gt;IFERROR(FIND("@",SUBSTITUTE(TRIM('Base de Datos'!Z218),".","@",LEN(TRIM('Base de Datos'!Z218))-LEN(SUBSTITUTE(TRIM('Base de Datos'!Z218),".","")))),0),_xlfn.NUMBERVALUE(SUBSTITUTE(SUBSTITUTE(TRIM('Base de Datos'!Z218),".",""),",","."),".",","),_xlfn.NUMBERVALUE(SUBSTITUTE(TRIM('Base de Datos'!Z218),",",""),".",",")),"")))</f>
        <v>62328.63</v>
      </c>
    </row>
    <row r="223" customFormat="false" ht="13.5" hidden="false" customHeight="false" outlineLevel="0" collapsed="false">
      <c r="A223" s="75" t="n">
        <f aca="false">ROWS(A$13:A223)</f>
        <v>211</v>
      </c>
      <c r="B223" s="73" t="n">
        <f aca="false">IF(B222="","",IFERROR(SMALL($AH$10:$AH$409,COUNTIF($AH$10:$AH$409,"&lt;="&amp;B222)+1),""))</f>
        <v>45956</v>
      </c>
      <c r="C223" s="74" t="n">
        <f aca="false">IF(B223="","",INDEX($AI$10:$AI$409,MATCH(B223,$AH$10:$AH$409,0)))</f>
        <v>26.45</v>
      </c>
      <c r="D223" s="74" t="n">
        <f aca="false">IF(B223="","",IFERROR(INDEX($AK$10:$AK$409,MATCH(B223,$AJ$10:$AJ$409,0)),""))</f>
        <v>62769.18</v>
      </c>
      <c r="E223" s="76" t="n">
        <f aca="false">IF(AND(ISNUMBER(C223),ISNUMBER(C222)),C223/C222-1,"")</f>
        <v>0.0631028938906753</v>
      </c>
      <c r="F223" s="76" t="n">
        <f aca="false">IF(AND(ISNUMBER(D223),ISNUMBER(D222)),D223/D222-1,"")</f>
        <v>0.0265545341120008</v>
      </c>
      <c r="G223" s="75" t="n">
        <f aca="false">IF(AND(ISNUMBER(E223),ISNUMBER(F223)),1,"")</f>
        <v>1</v>
      </c>
      <c r="H223" s="75" t="n">
        <f aca="false">IF(G223=1,COUNT(G223:G$412),"")</f>
        <v>49</v>
      </c>
      <c r="I223" s="75" t="n">
        <f aca="false">IF(G223=1,IF(H223&lt;='Beta Regresión'!$B$5,1,""),"")</f>
        <v>1</v>
      </c>
      <c r="J223" s="76" t="n">
        <f aca="false">IF(I223=1,E223,"")</f>
        <v>0.0631028938906753</v>
      </c>
      <c r="K223" s="76" t="n">
        <f aca="false">IF(I223=1,F223,"")</f>
        <v>0.0265545341120008</v>
      </c>
      <c r="L223" s="75" t="n">
        <f aca="false">IF(I223=1,COUNT(I$13:I223),"")</f>
        <v>210</v>
      </c>
      <c r="M223" s="76" t="n">
        <f aca="false">IFERROR(INDEX($J$13:$J$412,MATCH(A223,$L$13:$L$412,0)),"")</f>
        <v>-0.0268431001890359</v>
      </c>
      <c r="N223" s="76" t="n">
        <f aca="false">IFERROR(INDEX($K$13:$K$412,MATCH(A223,$L$13:$L$412,0)),"")</f>
        <v>0.00966955438959061</v>
      </c>
      <c r="O223" s="76" t="n">
        <f aca="false">IF(I223=1,E223,NA())</f>
        <v>0.0631028938906753</v>
      </c>
      <c r="P223" s="76" t="n">
        <f aca="false">IF(I223=1,F223,NA())</f>
        <v>0.0265545341120008</v>
      </c>
      <c r="R223" s="75" t="n">
        <f aca="false">ROWS(R$13:R223)</f>
        <v>211</v>
      </c>
      <c r="S223" s="73" t="str">
        <f aca="false">IF(S222="","",IFERROR(SMALL($AD$10:$AD$509,COUNTIF($AD$10:$AD$509,"&lt;="&amp;S222)+1),""))</f>
        <v/>
      </c>
      <c r="T223" s="74" t="str">
        <f aca="false">IF(S223="","",INDEX($AE$10:$AE$509,MATCH(S223,$AD$10:$AD$509,0)))</f>
        <v/>
      </c>
      <c r="U223" s="74" t="str">
        <f aca="false">IF(S223="","",IFERROR(INDEX($AG$10:$AG$509,MATCH(S223,$AF$10:$AF$509,0)),""))</f>
        <v/>
      </c>
      <c r="V223" s="76" t="str">
        <f aca="false">IF(AND(ISNUMBER(T223),ISNUMBER(T222)),T223/T222-1,"")</f>
        <v/>
      </c>
      <c r="W223" s="76" t="str">
        <f aca="false">IF(AND(ISNUMBER(U223),ISNUMBER(U222)),U223/U222-1,"")</f>
        <v/>
      </c>
      <c r="X223" s="75" t="str">
        <f aca="false">IF(AND(ISNUMBER(V223),ISNUMBER(W223)),1,"")</f>
        <v/>
      </c>
      <c r="Y223" s="76" t="str">
        <f aca="false">IF(X223=1,V223,"")</f>
        <v/>
      </c>
      <c r="Z223" s="76" t="str">
        <f aca="false">IF(X223=1,W223,"")</f>
        <v/>
      </c>
      <c r="AA223" s="76" t="e">
        <f aca="false">IF(X223=1,V223,NA())</f>
        <v>#N/A</v>
      </c>
      <c r="AB223" s="76" t="e">
        <f aca="false">IF(X223=1,W223,NA())</f>
        <v>#N/A</v>
      </c>
      <c r="AD223" s="73" t="str">
        <f aca="false">IF(ISNUMBER(AE223),IF(ISNUMBER('Base de Datos'!A219),IF('Base de Datos'!A219&gt;20000,DATE(YEAR('Base de Datos'!A219),DAY('Base de Datos'!A219),MONTH('Base de Datos'!A219)),""),IF(TRIM('Base de Datos'!A219)="","",IFERROR(DATE(VALUE(RIGHT(TRIM('Base de Datos'!A219),4)),VALUE(LEFT(TRIM('Base de Datos'!A219),2)),VALUE(MID(TRIM('Base de Datos'!A219),4,2))),""))),"")</f>
        <v/>
      </c>
      <c r="AE223" s="74" t="str">
        <f aca="false">IF(ISNUMBER('Base de Datos'!B219),'Base de Datos'!B219,IF(TRIM('Base de Datos'!B219)="","",IFERROR(IF(IFERROR(FIND("@",SUBSTITUTE(TRIM('Base de Datos'!B219),",","@",LEN(TRIM('Base de Datos'!B219))-LEN(SUBSTITUTE(TRIM('Base de Datos'!B219),",","")))),0)&gt;IFERROR(FIND("@",SUBSTITUTE(TRIM('Base de Datos'!B219),".","@",LEN(TRIM('Base de Datos'!B219))-LEN(SUBSTITUTE(TRIM('Base de Datos'!B219),".","")))),0),_xlfn.NUMBERVALUE(SUBSTITUTE(SUBSTITUTE(TRIM('Base de Datos'!B219),".",""),",","."),".",","),_xlfn.NUMBERVALUE(SUBSTITUTE(TRIM('Base de Datos'!B219),",",""),".",",")),"")))</f>
        <v/>
      </c>
      <c r="AF223" s="73" t="str">
        <f aca="false">IF(ISNUMBER(AG223),IF(ISNUMBER('Base de Datos'!I219),IF('Base de Datos'!I219&gt;20000,INT('Base de Datos'!I219),""),IF(TRIM('Base de Datos'!I219)="","",IFERROR(DATE(VALUE(RIGHT(TRIM('Base de Datos'!I219),4)),VALUE(MID(TRIM('Base de Datos'!I219),4,2)),VALUE(LEFT(TRIM('Base de Datos'!I219),2))),IFERROR(DATEVALUE(TRIM('Base de Datos'!I219)),"")))),"")</f>
        <v/>
      </c>
      <c r="AG223" s="74" t="str">
        <f aca="false">IF(ISNUMBER('Base de Datos'!J219),'Base de Datos'!J219,IF(TRIM('Base de Datos'!J219)="","",IFERROR(IF(IFERROR(FIND("@",SUBSTITUTE(TRIM('Base de Datos'!J219),",","@",LEN(TRIM('Base de Datos'!J219))-LEN(SUBSTITUTE(TRIM('Base de Datos'!J219),",","")))),0)&gt;IFERROR(FIND("@",SUBSTITUTE(TRIM('Base de Datos'!J219),".","@",LEN(TRIM('Base de Datos'!J219))-LEN(SUBSTITUTE(TRIM('Base de Datos'!J219),".","")))),0),_xlfn.NUMBERVALUE(SUBSTITUTE(SUBSTITUTE(TRIM('Base de Datos'!J219),".",""),",","."),".",","),_xlfn.NUMBERVALUE(SUBSTITUTE(TRIM('Base de Datos'!J219),",",""),".",",")),"")))</f>
        <v/>
      </c>
      <c r="AH223" s="73" t="n">
        <f aca="false">IF(ISNUMBER(AI223),IF(ISNUMBER('Base de Datos'!Q219),IF('Base de Datos'!Q219&gt;20000,DATE(YEAR('Base de Datos'!Q219),DAY('Base de Datos'!Q219),MONTH('Base de Datos'!Q219)),""),IF(TRIM('Base de Datos'!Q219)="","",IFERROR(DATE(VALUE(RIGHT(TRIM('Base de Datos'!Q219),4)),VALUE(LEFT(TRIM('Base de Datos'!Q219),2)),VALUE(MID(TRIM('Base de Datos'!Q219),4,2))),""))),"")</f>
        <v>45977</v>
      </c>
      <c r="AI223" s="74" t="n">
        <f aca="false">IF(ISNUMBER('Base de Datos'!R219),'Base de Datos'!R219,IF(TRIM('Base de Datos'!R219)="","",IFERROR(IF(IFERROR(FIND("@",SUBSTITUTE(TRIM('Base de Datos'!R219),",","@",LEN(TRIM('Base de Datos'!R219))-LEN(SUBSTITUTE(TRIM('Base de Datos'!R219),",","")))),0)&gt;IFERROR(FIND("@",SUBSTITUTE(TRIM('Base de Datos'!R219),".","@",LEN(TRIM('Base de Datos'!R219))-LEN(SUBSTITUTE(TRIM('Base de Datos'!R219),".","")))),0),_xlfn.NUMBERVALUE(SUBSTITUTE(SUBSTITUTE(TRIM('Base de Datos'!R219),".",""),",","."),".",","),_xlfn.NUMBERVALUE(SUBSTITUTE(TRIM('Base de Datos'!R219),",",""),".",",")),"")))</f>
        <v>28.49</v>
      </c>
      <c r="AJ223" s="73" t="n">
        <f aca="false">IF(ISNUMBER(AK223),IF(ISNUMBER('Base de Datos'!Y219),IF('Base de Datos'!Y219&gt;20000,INT('Base de Datos'!Y219),""),IF(TRIM('Base de Datos'!Y219)="","",IFERROR(DATE(VALUE(RIGHT(TRIM('Base de Datos'!Y219),4)),VALUE(MID(TRIM('Base de Datos'!Y219),4,2)),VALUE(LEFT(TRIM('Base de Datos'!Y219),2))),IFERROR(DATEVALUE(TRIM('Base de Datos'!Y219)),"")))),"")</f>
        <v>45977</v>
      </c>
      <c r="AK223" s="74" t="n">
        <f aca="false">IF(ISNUMBER('Base de Datos'!Z219),'Base de Datos'!Z219,IF(TRIM('Base de Datos'!Z219)="","",IFERROR(IF(IFERROR(FIND("@",SUBSTITUTE(TRIM('Base de Datos'!Z219),",","@",LEN(TRIM('Base de Datos'!Z219))-LEN(SUBSTITUTE(TRIM('Base de Datos'!Z219),",","")))),0)&gt;IFERROR(FIND("@",SUBSTITUTE(TRIM('Base de Datos'!Z219),".","@",LEN(TRIM('Base de Datos'!Z219))-LEN(SUBSTITUTE(TRIM('Base de Datos'!Z219),".","")))),0),_xlfn.NUMBERVALUE(SUBSTITUTE(SUBSTITUTE(TRIM('Base de Datos'!Z219),".",""),",","."),".",","),_xlfn.NUMBERVALUE(SUBSTITUTE(TRIM('Base de Datos'!Z219),",",""),".",",")),"")))</f>
        <v>61877.27</v>
      </c>
    </row>
    <row r="224" customFormat="false" ht="13.5" hidden="false" customHeight="false" outlineLevel="0" collapsed="false">
      <c r="A224" s="75" t="n">
        <f aca="false">ROWS(A$13:A224)</f>
        <v>212</v>
      </c>
      <c r="B224" s="73" t="n">
        <f aca="false">IF(B223="","",IFERROR(SMALL($AH$10:$AH$409,COUNTIF($AH$10:$AH$409,"&lt;="&amp;B223)+1),""))</f>
        <v>45963</v>
      </c>
      <c r="C224" s="74" t="n">
        <f aca="false">IF(B224="","",INDEX($AI$10:$AI$409,MATCH(B224,$AH$10:$AH$409,0)))</f>
        <v>25.74</v>
      </c>
      <c r="D224" s="74" t="n">
        <f aca="false">IF(B224="","",IFERROR(INDEX($AK$10:$AK$409,MATCH(B224,$AJ$10:$AJ$409,0)),""))</f>
        <v>63376.13</v>
      </c>
      <c r="E224" s="76" t="n">
        <f aca="false">IF(AND(ISNUMBER(C224),ISNUMBER(C223)),C224/C223-1,"")</f>
        <v>-0.0268431001890359</v>
      </c>
      <c r="F224" s="76" t="n">
        <f aca="false">IF(AND(ISNUMBER(D224),ISNUMBER(D223)),D224/D223-1,"")</f>
        <v>0.00966955438959061</v>
      </c>
      <c r="G224" s="75" t="n">
        <f aca="false">IF(AND(ISNUMBER(E224),ISNUMBER(F224)),1,"")</f>
        <v>1</v>
      </c>
      <c r="H224" s="75" t="n">
        <f aca="false">IF(G224=1,COUNT(G224:G$412),"")</f>
        <v>48</v>
      </c>
      <c r="I224" s="75" t="n">
        <f aca="false">IF(G224=1,IF(H224&lt;='Beta Regresión'!$B$5,1,""),"")</f>
        <v>1</v>
      </c>
      <c r="J224" s="76" t="n">
        <f aca="false">IF(I224=1,E224,"")</f>
        <v>-0.0268431001890359</v>
      </c>
      <c r="K224" s="76" t="n">
        <f aca="false">IF(I224=1,F224,"")</f>
        <v>0.00966955438959061</v>
      </c>
      <c r="L224" s="75" t="n">
        <f aca="false">IF(I224=1,COUNT(I$13:I224),"")</f>
        <v>211</v>
      </c>
      <c r="M224" s="76" t="n">
        <f aca="false">IFERROR(INDEX($J$13:$J$412,MATCH(A224,$L$13:$L$412,0)),"")</f>
        <v>0.0641025641025641</v>
      </c>
      <c r="N224" s="76" t="n">
        <f aca="false">IFERROR(INDEX($K$13:$K$412,MATCH(A224,$L$13:$L$412,0)),"")</f>
        <v>-0.0165283048996523</v>
      </c>
      <c r="O224" s="76" t="n">
        <f aca="false">IF(I224=1,E224,NA())</f>
        <v>-0.0268431001890359</v>
      </c>
      <c r="P224" s="76" t="n">
        <f aca="false">IF(I224=1,F224,NA())</f>
        <v>0.00966955438959061</v>
      </c>
      <c r="R224" s="75" t="n">
        <f aca="false">ROWS(R$13:R224)</f>
        <v>212</v>
      </c>
      <c r="S224" s="73" t="str">
        <f aca="false">IF(S223="","",IFERROR(SMALL($AD$10:$AD$509,COUNTIF($AD$10:$AD$509,"&lt;="&amp;S223)+1),""))</f>
        <v/>
      </c>
      <c r="T224" s="74" t="str">
        <f aca="false">IF(S224="","",INDEX($AE$10:$AE$509,MATCH(S224,$AD$10:$AD$509,0)))</f>
        <v/>
      </c>
      <c r="U224" s="74" t="str">
        <f aca="false">IF(S224="","",IFERROR(INDEX($AG$10:$AG$509,MATCH(S224,$AF$10:$AF$509,0)),""))</f>
        <v/>
      </c>
      <c r="V224" s="76" t="str">
        <f aca="false">IF(AND(ISNUMBER(T224),ISNUMBER(T223)),T224/T223-1,"")</f>
        <v/>
      </c>
      <c r="W224" s="76" t="str">
        <f aca="false">IF(AND(ISNUMBER(U224),ISNUMBER(U223)),U224/U223-1,"")</f>
        <v/>
      </c>
      <c r="X224" s="75" t="str">
        <f aca="false">IF(AND(ISNUMBER(V224),ISNUMBER(W224)),1,"")</f>
        <v/>
      </c>
      <c r="Y224" s="76" t="str">
        <f aca="false">IF(X224=1,V224,"")</f>
        <v/>
      </c>
      <c r="Z224" s="76" t="str">
        <f aca="false">IF(X224=1,W224,"")</f>
        <v/>
      </c>
      <c r="AA224" s="76" t="e">
        <f aca="false">IF(X224=1,V224,NA())</f>
        <v>#N/A</v>
      </c>
      <c r="AB224" s="76" t="e">
        <f aca="false">IF(X224=1,W224,NA())</f>
        <v>#N/A</v>
      </c>
      <c r="AD224" s="73" t="str">
        <f aca="false">IF(ISNUMBER(AE224),IF(ISNUMBER('Base de Datos'!A220),IF('Base de Datos'!A220&gt;20000,DATE(YEAR('Base de Datos'!A220),DAY('Base de Datos'!A220),MONTH('Base de Datos'!A220)),""),IF(TRIM('Base de Datos'!A220)="","",IFERROR(DATE(VALUE(RIGHT(TRIM('Base de Datos'!A220),4)),VALUE(LEFT(TRIM('Base de Datos'!A220),2)),VALUE(MID(TRIM('Base de Datos'!A220),4,2))),""))),"")</f>
        <v/>
      </c>
      <c r="AE224" s="74" t="str">
        <f aca="false">IF(ISNUMBER('Base de Datos'!B220),'Base de Datos'!B220,IF(TRIM('Base de Datos'!B220)="","",IFERROR(IF(IFERROR(FIND("@",SUBSTITUTE(TRIM('Base de Datos'!B220),",","@",LEN(TRIM('Base de Datos'!B220))-LEN(SUBSTITUTE(TRIM('Base de Datos'!B220),",","")))),0)&gt;IFERROR(FIND("@",SUBSTITUTE(TRIM('Base de Datos'!B220),".","@",LEN(TRIM('Base de Datos'!B220))-LEN(SUBSTITUTE(TRIM('Base de Datos'!B220),".","")))),0),_xlfn.NUMBERVALUE(SUBSTITUTE(SUBSTITUTE(TRIM('Base de Datos'!B220),".",""),",","."),".",","),_xlfn.NUMBERVALUE(SUBSTITUTE(TRIM('Base de Datos'!B220),",",""),".",",")),"")))</f>
        <v/>
      </c>
      <c r="AF224" s="73" t="str">
        <f aca="false">IF(ISNUMBER(AG224),IF(ISNUMBER('Base de Datos'!I220),IF('Base de Datos'!I220&gt;20000,INT('Base de Datos'!I220),""),IF(TRIM('Base de Datos'!I220)="","",IFERROR(DATE(VALUE(RIGHT(TRIM('Base de Datos'!I220),4)),VALUE(MID(TRIM('Base de Datos'!I220),4,2)),VALUE(LEFT(TRIM('Base de Datos'!I220),2))),IFERROR(DATEVALUE(TRIM('Base de Datos'!I220)),"")))),"")</f>
        <v/>
      </c>
      <c r="AG224" s="74" t="str">
        <f aca="false">IF(ISNUMBER('Base de Datos'!J220),'Base de Datos'!J220,IF(TRIM('Base de Datos'!J220)="","",IFERROR(IF(IFERROR(FIND("@",SUBSTITUTE(TRIM('Base de Datos'!J220),",","@",LEN(TRIM('Base de Datos'!J220))-LEN(SUBSTITUTE(TRIM('Base de Datos'!J220),",","")))),0)&gt;IFERROR(FIND("@",SUBSTITUTE(TRIM('Base de Datos'!J220),".","@",LEN(TRIM('Base de Datos'!J220))-LEN(SUBSTITUTE(TRIM('Base de Datos'!J220),".","")))),0),_xlfn.NUMBERVALUE(SUBSTITUTE(SUBSTITUTE(TRIM('Base de Datos'!J220),".",""),",","."),".",","),_xlfn.NUMBERVALUE(SUBSTITUTE(TRIM('Base de Datos'!J220),",",""),".",",")),"")))</f>
        <v/>
      </c>
      <c r="AH224" s="73" t="n">
        <f aca="false">IF(ISNUMBER(AI224),IF(ISNUMBER('Base de Datos'!Q220),IF('Base de Datos'!Q220&gt;20000,DATE(YEAR('Base de Datos'!Q220),DAY('Base de Datos'!Q220),MONTH('Base de Datos'!Q220)),""),IF(TRIM('Base de Datos'!Q220)="","",IFERROR(DATE(VALUE(RIGHT(TRIM('Base de Datos'!Q220),4)),VALUE(LEFT(TRIM('Base de Datos'!Q220),2)),VALUE(MID(TRIM('Base de Datos'!Q220),4,2))),""))),"")</f>
        <v>45984</v>
      </c>
      <c r="AI224" s="74" t="n">
        <f aca="false">IF(ISNUMBER('Base de Datos'!R220),'Base de Datos'!R220,IF(TRIM('Base de Datos'!R220)="","",IFERROR(IF(IFERROR(FIND("@",SUBSTITUTE(TRIM('Base de Datos'!R220),",","@",LEN(TRIM('Base de Datos'!R220))-LEN(SUBSTITUTE(TRIM('Base de Datos'!R220),",","")))),0)&gt;IFERROR(FIND("@",SUBSTITUTE(TRIM('Base de Datos'!R220),".","@",LEN(TRIM('Base de Datos'!R220))-LEN(SUBSTITUTE(TRIM('Base de Datos'!R220),".","")))),0),_xlfn.NUMBERVALUE(SUBSTITUTE(SUBSTITUTE(TRIM('Base de Datos'!R220),".",""),",","."),".",","),_xlfn.NUMBERVALUE(SUBSTITUTE(TRIM('Base de Datos'!R220),",",""),".",",")),"")))</f>
        <v>31.05</v>
      </c>
      <c r="AJ224" s="73" t="n">
        <f aca="false">IF(ISNUMBER(AK224),IF(ISNUMBER('Base de Datos'!Y220),IF('Base de Datos'!Y220&gt;20000,INT('Base de Datos'!Y220),""),IF(TRIM('Base de Datos'!Y220)="","",IFERROR(DATE(VALUE(RIGHT(TRIM('Base de Datos'!Y220),4)),VALUE(MID(TRIM('Base de Datos'!Y220),4,2)),VALUE(LEFT(TRIM('Base de Datos'!Y220),2))),IFERROR(DATEVALUE(TRIM('Base de Datos'!Y220)),"")))),"")</f>
        <v>45984</v>
      </c>
      <c r="AK224" s="74" t="n">
        <f aca="false">IF(ISNUMBER('Base de Datos'!Z220),'Base de Datos'!Z220,IF(TRIM('Base de Datos'!Z220)="","",IFERROR(IF(IFERROR(FIND("@",SUBSTITUTE(TRIM('Base de Datos'!Z220),",","@",LEN(TRIM('Base de Datos'!Z220))-LEN(SUBSTITUTE(TRIM('Base de Datos'!Z220),",","")))),0)&gt;IFERROR(FIND("@",SUBSTITUTE(TRIM('Base de Datos'!Z220),".","@",LEN(TRIM('Base de Datos'!Z220))-LEN(SUBSTITUTE(TRIM('Base de Datos'!Z220),".","")))),0),_xlfn.NUMBERVALUE(SUBSTITUTE(SUBSTITUTE(TRIM('Base de Datos'!Z220),".",""),",","."),".",","),_xlfn.NUMBERVALUE(SUBSTITUTE(TRIM('Base de Datos'!Z220),",",""),".",",")),"")))</f>
        <v>63596.78</v>
      </c>
    </row>
    <row r="225" customFormat="false" ht="13.5" hidden="false" customHeight="false" outlineLevel="0" collapsed="false">
      <c r="A225" s="75" t="n">
        <f aca="false">ROWS(A$13:A225)</f>
        <v>213</v>
      </c>
      <c r="B225" s="73" t="n">
        <f aca="false">IF(B224="","",IFERROR(SMALL($AH$10:$AH$409,COUNTIF($AH$10:$AH$409,"&lt;="&amp;B224)+1),""))</f>
        <v>45970</v>
      </c>
      <c r="C225" s="74" t="n">
        <f aca="false">IF(B225="","",INDEX($AI$10:$AI$409,MATCH(B225,$AH$10:$AH$409,0)))</f>
        <v>27.39</v>
      </c>
      <c r="D225" s="74" t="n">
        <f aca="false">IF(B225="","",IFERROR(INDEX($AK$10:$AK$409,MATCH(B225,$AJ$10:$AJ$409,0)),""))</f>
        <v>62328.63</v>
      </c>
      <c r="E225" s="76" t="n">
        <f aca="false">IF(AND(ISNUMBER(C225),ISNUMBER(C224)),C225/C224-1,"")</f>
        <v>0.0641025641025641</v>
      </c>
      <c r="F225" s="76" t="n">
        <f aca="false">IF(AND(ISNUMBER(D225),ISNUMBER(D224)),D225/D224-1,"")</f>
        <v>-0.0165283048996523</v>
      </c>
      <c r="G225" s="75" t="n">
        <f aca="false">IF(AND(ISNUMBER(E225),ISNUMBER(F225)),1,"")</f>
        <v>1</v>
      </c>
      <c r="H225" s="75" t="n">
        <f aca="false">IF(G225=1,COUNT(G225:G$412),"")</f>
        <v>47</v>
      </c>
      <c r="I225" s="75" t="n">
        <f aca="false">IF(G225=1,IF(H225&lt;='Beta Regresión'!$B$5,1,""),"")</f>
        <v>1</v>
      </c>
      <c r="J225" s="76" t="n">
        <f aca="false">IF(I225=1,E225,"")</f>
        <v>0.0641025641025641</v>
      </c>
      <c r="K225" s="76" t="n">
        <f aca="false">IF(I225=1,F225,"")</f>
        <v>-0.0165283048996523</v>
      </c>
      <c r="L225" s="75" t="n">
        <f aca="false">IF(I225=1,COUNT(I$13:I225),"")</f>
        <v>212</v>
      </c>
      <c r="M225" s="76" t="n">
        <f aca="false">IFERROR(INDEX($J$13:$J$412,MATCH(A225,$L$13:$L$412,0)),"")</f>
        <v>0.040160642570281</v>
      </c>
      <c r="N225" s="76" t="n">
        <f aca="false">IFERROR(INDEX($K$13:$K$412,MATCH(A225,$L$13:$L$412,0)),"")</f>
        <v>-0.00724161593155503</v>
      </c>
      <c r="O225" s="76" t="n">
        <f aca="false">IF(I225=1,E225,NA())</f>
        <v>0.0641025641025641</v>
      </c>
      <c r="P225" s="76" t="n">
        <f aca="false">IF(I225=1,F225,NA())</f>
        <v>-0.0165283048996523</v>
      </c>
      <c r="R225" s="75" t="n">
        <f aca="false">ROWS(R$13:R225)</f>
        <v>213</v>
      </c>
      <c r="S225" s="73" t="str">
        <f aca="false">IF(S224="","",IFERROR(SMALL($AD$10:$AD$509,COUNTIF($AD$10:$AD$509,"&lt;="&amp;S224)+1),""))</f>
        <v/>
      </c>
      <c r="T225" s="74" t="str">
        <f aca="false">IF(S225="","",INDEX($AE$10:$AE$509,MATCH(S225,$AD$10:$AD$509,0)))</f>
        <v/>
      </c>
      <c r="U225" s="74" t="str">
        <f aca="false">IF(S225="","",IFERROR(INDEX($AG$10:$AG$509,MATCH(S225,$AF$10:$AF$509,0)),""))</f>
        <v/>
      </c>
      <c r="V225" s="76" t="str">
        <f aca="false">IF(AND(ISNUMBER(T225),ISNUMBER(T224)),T225/T224-1,"")</f>
        <v/>
      </c>
      <c r="W225" s="76" t="str">
        <f aca="false">IF(AND(ISNUMBER(U225),ISNUMBER(U224)),U225/U224-1,"")</f>
        <v/>
      </c>
      <c r="X225" s="75" t="str">
        <f aca="false">IF(AND(ISNUMBER(V225),ISNUMBER(W225)),1,"")</f>
        <v/>
      </c>
      <c r="Y225" s="76" t="str">
        <f aca="false">IF(X225=1,V225,"")</f>
        <v/>
      </c>
      <c r="Z225" s="76" t="str">
        <f aca="false">IF(X225=1,W225,"")</f>
        <v/>
      </c>
      <c r="AA225" s="76" t="e">
        <f aca="false">IF(X225=1,V225,NA())</f>
        <v>#N/A</v>
      </c>
      <c r="AB225" s="76" t="e">
        <f aca="false">IF(X225=1,W225,NA())</f>
        <v>#N/A</v>
      </c>
      <c r="AD225" s="73" t="str">
        <f aca="false">IF(ISNUMBER(AE225),IF(ISNUMBER('Base de Datos'!A221),IF('Base de Datos'!A221&gt;20000,DATE(YEAR('Base de Datos'!A221),DAY('Base de Datos'!A221),MONTH('Base de Datos'!A221)),""),IF(TRIM('Base de Datos'!A221)="","",IFERROR(DATE(VALUE(RIGHT(TRIM('Base de Datos'!A221),4)),VALUE(LEFT(TRIM('Base de Datos'!A221),2)),VALUE(MID(TRIM('Base de Datos'!A221),4,2))),""))),"")</f>
        <v/>
      </c>
      <c r="AE225" s="74" t="str">
        <f aca="false">IF(ISNUMBER('Base de Datos'!B221),'Base de Datos'!B221,IF(TRIM('Base de Datos'!B221)="","",IFERROR(IF(IFERROR(FIND("@",SUBSTITUTE(TRIM('Base de Datos'!B221),",","@",LEN(TRIM('Base de Datos'!B221))-LEN(SUBSTITUTE(TRIM('Base de Datos'!B221),",","")))),0)&gt;IFERROR(FIND("@",SUBSTITUTE(TRIM('Base de Datos'!B221),".","@",LEN(TRIM('Base de Datos'!B221))-LEN(SUBSTITUTE(TRIM('Base de Datos'!B221),".","")))),0),_xlfn.NUMBERVALUE(SUBSTITUTE(SUBSTITUTE(TRIM('Base de Datos'!B221),".",""),",","."),".",","),_xlfn.NUMBERVALUE(SUBSTITUTE(TRIM('Base de Datos'!B221),",",""),".",",")),"")))</f>
        <v/>
      </c>
      <c r="AF225" s="73" t="str">
        <f aca="false">IF(ISNUMBER(AG225),IF(ISNUMBER('Base de Datos'!I221),IF('Base de Datos'!I221&gt;20000,INT('Base de Datos'!I221),""),IF(TRIM('Base de Datos'!I221)="","",IFERROR(DATE(VALUE(RIGHT(TRIM('Base de Datos'!I221),4)),VALUE(MID(TRIM('Base de Datos'!I221),4,2)),VALUE(LEFT(TRIM('Base de Datos'!I221),2))),IFERROR(DATEVALUE(TRIM('Base de Datos'!I221)),"")))),"")</f>
        <v/>
      </c>
      <c r="AG225" s="74" t="str">
        <f aca="false">IF(ISNUMBER('Base de Datos'!J221),'Base de Datos'!J221,IF(TRIM('Base de Datos'!J221)="","",IFERROR(IF(IFERROR(FIND("@",SUBSTITUTE(TRIM('Base de Datos'!J221),",","@",LEN(TRIM('Base de Datos'!J221))-LEN(SUBSTITUTE(TRIM('Base de Datos'!J221),",","")))),0)&gt;IFERROR(FIND("@",SUBSTITUTE(TRIM('Base de Datos'!J221),".","@",LEN(TRIM('Base de Datos'!J221))-LEN(SUBSTITUTE(TRIM('Base de Datos'!J221),".","")))),0),_xlfn.NUMBERVALUE(SUBSTITUTE(SUBSTITUTE(TRIM('Base de Datos'!J221),".",""),",","."),".",","),_xlfn.NUMBERVALUE(SUBSTITUTE(TRIM('Base de Datos'!J221),",",""),".",",")),"")))</f>
        <v/>
      </c>
      <c r="AH225" s="73" t="n">
        <f aca="false">IF(ISNUMBER(AI225),IF(ISNUMBER('Base de Datos'!Q221),IF('Base de Datos'!Q221&gt;20000,DATE(YEAR('Base de Datos'!Q221),DAY('Base de Datos'!Q221),MONTH('Base de Datos'!Q221)),""),IF(TRIM('Base de Datos'!Q221)="","",IFERROR(DATE(VALUE(RIGHT(TRIM('Base de Datos'!Q221),4)),VALUE(LEFT(TRIM('Base de Datos'!Q221),2)),VALUE(MID(TRIM('Base de Datos'!Q221),4,2))),""))),"")</f>
        <v>45991</v>
      </c>
      <c r="AI225" s="74" t="n">
        <f aca="false">IF(ISNUMBER('Base de Datos'!R221),'Base de Datos'!R221,IF(TRIM('Base de Datos'!R221)="","",IFERROR(IF(IFERROR(FIND("@",SUBSTITUTE(TRIM('Base de Datos'!R221),",","@",LEN(TRIM('Base de Datos'!R221))-LEN(SUBSTITUTE(TRIM('Base de Datos'!R221),",","")))),0)&gt;IFERROR(FIND("@",SUBSTITUTE(TRIM('Base de Datos'!R221),".","@",LEN(TRIM('Base de Datos'!R221))-LEN(SUBSTITUTE(TRIM('Base de Datos'!R221),".","")))),0),_xlfn.NUMBERVALUE(SUBSTITUTE(SUBSTITUTE(TRIM('Base de Datos'!R221),".",""),",","."),".",","),_xlfn.NUMBERVALUE(SUBSTITUTE(TRIM('Base de Datos'!R221),",",""),".",",")),"")))</f>
        <v>29</v>
      </c>
      <c r="AJ225" s="73" t="n">
        <f aca="false">IF(ISNUMBER(AK225),IF(ISNUMBER('Base de Datos'!Y221),IF('Base de Datos'!Y221&gt;20000,INT('Base de Datos'!Y221),""),IF(TRIM('Base de Datos'!Y221)="","",IFERROR(DATE(VALUE(RIGHT(TRIM('Base de Datos'!Y221),4)),VALUE(MID(TRIM('Base de Datos'!Y221),4,2)),VALUE(LEFT(TRIM('Base de Datos'!Y221),2))),IFERROR(DATEVALUE(TRIM('Base de Datos'!Y221)),"")))),"")</f>
        <v>45991</v>
      </c>
      <c r="AK225" s="74" t="n">
        <f aca="false">IF(ISNUMBER('Base de Datos'!Z221),'Base de Datos'!Z221,IF(TRIM('Base de Datos'!Z221)="","",IFERROR(IF(IFERROR(FIND("@",SUBSTITUTE(TRIM('Base de Datos'!Z221),",","@",LEN(TRIM('Base de Datos'!Z221))-LEN(SUBSTITUTE(TRIM('Base de Datos'!Z221),",","")))),0)&gt;IFERROR(FIND("@",SUBSTITUTE(TRIM('Base de Datos'!Z221),".","@",LEN(TRIM('Base de Datos'!Z221))-LEN(SUBSTITUTE(TRIM('Base de Datos'!Z221),".","")))),0),_xlfn.NUMBERVALUE(SUBSTITUTE(SUBSTITUTE(TRIM('Base de Datos'!Z221),".",""),",","."),".",","),_xlfn.NUMBERVALUE(SUBSTITUTE(TRIM('Base de Datos'!Z221),",",""),".",",")),"")))</f>
        <v>63378.3</v>
      </c>
    </row>
    <row r="226" customFormat="false" ht="13.5" hidden="false" customHeight="false" outlineLevel="0" collapsed="false">
      <c r="A226" s="75" t="n">
        <f aca="false">ROWS(A$13:A226)</f>
        <v>214</v>
      </c>
      <c r="B226" s="73" t="n">
        <f aca="false">IF(B225="","",IFERROR(SMALL($AH$10:$AH$409,COUNTIF($AH$10:$AH$409,"&lt;="&amp;B225)+1),""))</f>
        <v>45977</v>
      </c>
      <c r="C226" s="74" t="n">
        <f aca="false">IF(B226="","",INDEX($AI$10:$AI$409,MATCH(B226,$AH$10:$AH$409,0)))</f>
        <v>28.49</v>
      </c>
      <c r="D226" s="74" t="n">
        <f aca="false">IF(B226="","",IFERROR(INDEX($AK$10:$AK$409,MATCH(B226,$AJ$10:$AJ$409,0)),""))</f>
        <v>61877.27</v>
      </c>
      <c r="E226" s="76" t="n">
        <f aca="false">IF(AND(ISNUMBER(C226),ISNUMBER(C225)),C226/C225-1,"")</f>
        <v>0.040160642570281</v>
      </c>
      <c r="F226" s="76" t="n">
        <f aca="false">IF(AND(ISNUMBER(D226),ISNUMBER(D225)),D226/D225-1,"")</f>
        <v>-0.00724161593155503</v>
      </c>
      <c r="G226" s="75" t="n">
        <f aca="false">IF(AND(ISNUMBER(E226),ISNUMBER(F226)),1,"")</f>
        <v>1</v>
      </c>
      <c r="H226" s="75" t="n">
        <f aca="false">IF(G226=1,COUNT(G226:G$412),"")</f>
        <v>46</v>
      </c>
      <c r="I226" s="75" t="n">
        <f aca="false">IF(G226=1,IF(H226&lt;='Beta Regresión'!$B$5,1,""),"")</f>
        <v>1</v>
      </c>
      <c r="J226" s="76" t="n">
        <f aca="false">IF(I226=1,E226,"")</f>
        <v>0.040160642570281</v>
      </c>
      <c r="K226" s="76" t="n">
        <f aca="false">IF(I226=1,F226,"")</f>
        <v>-0.00724161593155503</v>
      </c>
      <c r="L226" s="75" t="n">
        <f aca="false">IF(I226=1,COUNT(I$13:I226),"")</f>
        <v>213</v>
      </c>
      <c r="M226" s="76" t="n">
        <f aca="false">IFERROR(INDEX($J$13:$J$412,MATCH(A226,$L$13:$L$412,0)),"")</f>
        <v>0.0898560898560898</v>
      </c>
      <c r="N226" s="76" t="n">
        <f aca="false">IFERROR(INDEX($K$13:$K$412,MATCH(A226,$L$13:$L$412,0)),"")</f>
        <v>0.0277890411131585</v>
      </c>
      <c r="O226" s="76" t="n">
        <f aca="false">IF(I226=1,E226,NA())</f>
        <v>0.040160642570281</v>
      </c>
      <c r="P226" s="76" t="n">
        <f aca="false">IF(I226=1,F226,NA())</f>
        <v>-0.00724161593155503</v>
      </c>
      <c r="R226" s="75" t="n">
        <f aca="false">ROWS(R$13:R226)</f>
        <v>214</v>
      </c>
      <c r="S226" s="73" t="str">
        <f aca="false">IF(S225="","",IFERROR(SMALL($AD$10:$AD$509,COUNTIF($AD$10:$AD$509,"&lt;="&amp;S225)+1),""))</f>
        <v/>
      </c>
      <c r="T226" s="74" t="str">
        <f aca="false">IF(S226="","",INDEX($AE$10:$AE$509,MATCH(S226,$AD$10:$AD$509,0)))</f>
        <v/>
      </c>
      <c r="U226" s="74" t="str">
        <f aca="false">IF(S226="","",IFERROR(INDEX($AG$10:$AG$509,MATCH(S226,$AF$10:$AF$509,0)),""))</f>
        <v/>
      </c>
      <c r="V226" s="76" t="str">
        <f aca="false">IF(AND(ISNUMBER(T226),ISNUMBER(T225)),T226/T225-1,"")</f>
        <v/>
      </c>
      <c r="W226" s="76" t="str">
        <f aca="false">IF(AND(ISNUMBER(U226),ISNUMBER(U225)),U226/U225-1,"")</f>
        <v/>
      </c>
      <c r="X226" s="75" t="str">
        <f aca="false">IF(AND(ISNUMBER(V226),ISNUMBER(W226)),1,"")</f>
        <v/>
      </c>
      <c r="Y226" s="76" t="str">
        <f aca="false">IF(X226=1,V226,"")</f>
        <v/>
      </c>
      <c r="Z226" s="76" t="str">
        <f aca="false">IF(X226=1,W226,"")</f>
        <v/>
      </c>
      <c r="AA226" s="76" t="e">
        <f aca="false">IF(X226=1,V226,NA())</f>
        <v>#N/A</v>
      </c>
      <c r="AB226" s="76" t="e">
        <f aca="false">IF(X226=1,W226,NA())</f>
        <v>#N/A</v>
      </c>
      <c r="AD226" s="73" t="str">
        <f aca="false">IF(ISNUMBER(AE226),IF(ISNUMBER('Base de Datos'!A222),IF('Base de Datos'!A222&gt;20000,DATE(YEAR('Base de Datos'!A222),DAY('Base de Datos'!A222),MONTH('Base de Datos'!A222)),""),IF(TRIM('Base de Datos'!A222)="","",IFERROR(DATE(VALUE(RIGHT(TRIM('Base de Datos'!A222),4)),VALUE(LEFT(TRIM('Base de Datos'!A222),2)),VALUE(MID(TRIM('Base de Datos'!A222),4,2))),""))),"")</f>
        <v/>
      </c>
      <c r="AE226" s="74" t="str">
        <f aca="false">IF(ISNUMBER('Base de Datos'!B222),'Base de Datos'!B222,IF(TRIM('Base de Datos'!B222)="","",IFERROR(IF(IFERROR(FIND("@",SUBSTITUTE(TRIM('Base de Datos'!B222),",","@",LEN(TRIM('Base de Datos'!B222))-LEN(SUBSTITUTE(TRIM('Base de Datos'!B222),",","")))),0)&gt;IFERROR(FIND("@",SUBSTITUTE(TRIM('Base de Datos'!B222),".","@",LEN(TRIM('Base de Datos'!B222))-LEN(SUBSTITUTE(TRIM('Base de Datos'!B222),".","")))),0),_xlfn.NUMBERVALUE(SUBSTITUTE(SUBSTITUTE(TRIM('Base de Datos'!B222),".",""),",","."),".",","),_xlfn.NUMBERVALUE(SUBSTITUTE(TRIM('Base de Datos'!B222),",",""),".",",")),"")))</f>
        <v/>
      </c>
      <c r="AF226" s="73" t="str">
        <f aca="false">IF(ISNUMBER(AG226),IF(ISNUMBER('Base de Datos'!I222),IF('Base de Datos'!I222&gt;20000,INT('Base de Datos'!I222),""),IF(TRIM('Base de Datos'!I222)="","",IFERROR(DATE(VALUE(RIGHT(TRIM('Base de Datos'!I222),4)),VALUE(MID(TRIM('Base de Datos'!I222),4,2)),VALUE(LEFT(TRIM('Base de Datos'!I222),2))),IFERROR(DATEVALUE(TRIM('Base de Datos'!I222)),"")))),"")</f>
        <v/>
      </c>
      <c r="AG226" s="74" t="str">
        <f aca="false">IF(ISNUMBER('Base de Datos'!J222),'Base de Datos'!J222,IF(TRIM('Base de Datos'!J222)="","",IFERROR(IF(IFERROR(FIND("@",SUBSTITUTE(TRIM('Base de Datos'!J222),",","@",LEN(TRIM('Base de Datos'!J222))-LEN(SUBSTITUTE(TRIM('Base de Datos'!J222),",","")))),0)&gt;IFERROR(FIND("@",SUBSTITUTE(TRIM('Base de Datos'!J222),".","@",LEN(TRIM('Base de Datos'!J222))-LEN(SUBSTITUTE(TRIM('Base de Datos'!J222),".","")))),0),_xlfn.NUMBERVALUE(SUBSTITUTE(SUBSTITUTE(TRIM('Base de Datos'!J222),".",""),",","."),".",","),_xlfn.NUMBERVALUE(SUBSTITUTE(TRIM('Base de Datos'!J222),",",""),".",",")),"")))</f>
        <v/>
      </c>
      <c r="AH226" s="73" t="n">
        <f aca="false">IF(ISNUMBER(AI226),IF(ISNUMBER('Base de Datos'!Q222),IF('Base de Datos'!Q222&gt;20000,DATE(YEAR('Base de Datos'!Q222),DAY('Base de Datos'!Q222),MONTH('Base de Datos'!Q222)),""),IF(TRIM('Base de Datos'!Q222)="","",IFERROR(DATE(VALUE(RIGHT(TRIM('Base de Datos'!Q222),4)),VALUE(LEFT(TRIM('Base de Datos'!Q222),2)),VALUE(MID(TRIM('Base de Datos'!Q222),4,2))),""))),"")</f>
        <v>45998</v>
      </c>
      <c r="AI226" s="74" t="n">
        <f aca="false">IF(ISNUMBER('Base de Datos'!R222),'Base de Datos'!R222,IF(TRIM('Base de Datos'!R222)="","",IFERROR(IF(IFERROR(FIND("@",SUBSTITUTE(TRIM('Base de Datos'!R222),",","@",LEN(TRIM('Base de Datos'!R222))-LEN(SUBSTITUTE(TRIM('Base de Datos'!R222),",","")))),0)&gt;IFERROR(FIND("@",SUBSTITUTE(TRIM('Base de Datos'!R222),".","@",LEN(TRIM('Base de Datos'!R222))-LEN(SUBSTITUTE(TRIM('Base de Datos'!R222),".","")))),0),_xlfn.NUMBERVALUE(SUBSTITUTE(SUBSTITUTE(TRIM('Base de Datos'!R222),".",""),",","."),".",","),_xlfn.NUMBERVALUE(SUBSTITUTE(TRIM('Base de Datos'!R222),",",""),".",",")),"")))</f>
        <v>31.4</v>
      </c>
      <c r="AJ226" s="73" t="n">
        <f aca="false">IF(ISNUMBER(AK226),IF(ISNUMBER('Base de Datos'!Y222),IF('Base de Datos'!Y222&gt;20000,INT('Base de Datos'!Y222),""),IF(TRIM('Base de Datos'!Y222)="","",IFERROR(DATE(VALUE(RIGHT(TRIM('Base de Datos'!Y222),4)),VALUE(MID(TRIM('Base de Datos'!Y222),4,2)),VALUE(LEFT(TRIM('Base de Datos'!Y222),2))),IFERROR(DATEVALUE(TRIM('Base de Datos'!Y222)),"")))),"")</f>
        <v>45998</v>
      </c>
      <c r="AK226" s="74" t="n">
        <f aca="false">IF(ISNUMBER('Base de Datos'!Z222),'Base de Datos'!Z222,IF(TRIM('Base de Datos'!Z222)="","",IFERROR(IF(IFERROR(FIND("@",SUBSTITUTE(TRIM('Base de Datos'!Z222),",","@",LEN(TRIM('Base de Datos'!Z222))-LEN(SUBSTITUTE(TRIM('Base de Datos'!Z222),",","")))),0)&gt;IFERROR(FIND("@",SUBSTITUTE(TRIM('Base de Datos'!Z222),".","@",LEN(TRIM('Base de Datos'!Z222))-LEN(SUBSTITUTE(TRIM('Base de Datos'!Z222),".","")))),0),_xlfn.NUMBERVALUE(SUBSTITUTE(SUBSTITUTE(TRIM('Base de Datos'!Z222),".",""),",","."),".",","),_xlfn.NUMBERVALUE(SUBSTITUTE(TRIM('Base de Datos'!Z222),",",""),".",",")),"")))</f>
        <v>64712.07</v>
      </c>
    </row>
    <row r="227" customFormat="false" ht="13.5" hidden="false" customHeight="false" outlineLevel="0" collapsed="false">
      <c r="A227" s="75" t="n">
        <f aca="false">ROWS(A$13:A227)</f>
        <v>215</v>
      </c>
      <c r="B227" s="73" t="n">
        <f aca="false">IF(B226="","",IFERROR(SMALL($AH$10:$AH$409,COUNTIF($AH$10:$AH$409,"&lt;="&amp;B226)+1),""))</f>
        <v>45984</v>
      </c>
      <c r="C227" s="74" t="n">
        <f aca="false">IF(B227="","",INDEX($AI$10:$AI$409,MATCH(B227,$AH$10:$AH$409,0)))</f>
        <v>31.05</v>
      </c>
      <c r="D227" s="74" t="n">
        <f aca="false">IF(B227="","",IFERROR(INDEX($AK$10:$AK$409,MATCH(B227,$AJ$10:$AJ$409,0)),""))</f>
        <v>63596.78</v>
      </c>
      <c r="E227" s="76" t="n">
        <f aca="false">IF(AND(ISNUMBER(C227),ISNUMBER(C226)),C227/C226-1,"")</f>
        <v>0.0898560898560898</v>
      </c>
      <c r="F227" s="76" t="n">
        <f aca="false">IF(AND(ISNUMBER(D227),ISNUMBER(D226)),D227/D226-1,"")</f>
        <v>0.0277890411131585</v>
      </c>
      <c r="G227" s="75" t="n">
        <f aca="false">IF(AND(ISNUMBER(E227),ISNUMBER(F227)),1,"")</f>
        <v>1</v>
      </c>
      <c r="H227" s="75" t="n">
        <f aca="false">IF(G227=1,COUNT(G227:G$412),"")</f>
        <v>45</v>
      </c>
      <c r="I227" s="75" t="n">
        <f aca="false">IF(G227=1,IF(H227&lt;='Beta Regresión'!$B$5,1,""),"")</f>
        <v>1</v>
      </c>
      <c r="J227" s="76" t="n">
        <f aca="false">IF(I227=1,E227,"")</f>
        <v>0.0898560898560898</v>
      </c>
      <c r="K227" s="76" t="n">
        <f aca="false">IF(I227=1,F227,"")</f>
        <v>0.0277890411131585</v>
      </c>
      <c r="L227" s="75" t="n">
        <f aca="false">IF(I227=1,COUNT(I$13:I227),"")</f>
        <v>214</v>
      </c>
      <c r="M227" s="76" t="n">
        <f aca="false">IFERROR(INDEX($J$13:$J$412,MATCH(A227,$L$13:$L$412,0)),"")</f>
        <v>-0.0660225442834139</v>
      </c>
      <c r="N227" s="76" t="n">
        <f aca="false">IFERROR(INDEX($K$13:$K$412,MATCH(A227,$L$13:$L$412,0)),"")</f>
        <v>-0.00343539405611415</v>
      </c>
      <c r="O227" s="76" t="n">
        <f aca="false">IF(I227=1,E227,NA())</f>
        <v>0.0898560898560898</v>
      </c>
      <c r="P227" s="76" t="n">
        <f aca="false">IF(I227=1,F227,NA())</f>
        <v>0.0277890411131585</v>
      </c>
      <c r="R227" s="75" t="n">
        <f aca="false">ROWS(R$13:R227)</f>
        <v>215</v>
      </c>
      <c r="S227" s="73" t="str">
        <f aca="false">IF(S226="","",IFERROR(SMALL($AD$10:$AD$509,COUNTIF($AD$10:$AD$509,"&lt;="&amp;S226)+1),""))</f>
        <v/>
      </c>
      <c r="T227" s="74" t="str">
        <f aca="false">IF(S227="","",INDEX($AE$10:$AE$509,MATCH(S227,$AD$10:$AD$509,0)))</f>
        <v/>
      </c>
      <c r="U227" s="74" t="str">
        <f aca="false">IF(S227="","",IFERROR(INDEX($AG$10:$AG$509,MATCH(S227,$AF$10:$AF$509,0)),""))</f>
        <v/>
      </c>
      <c r="V227" s="76" t="str">
        <f aca="false">IF(AND(ISNUMBER(T227),ISNUMBER(T226)),T227/T226-1,"")</f>
        <v/>
      </c>
      <c r="W227" s="76" t="str">
        <f aca="false">IF(AND(ISNUMBER(U227),ISNUMBER(U226)),U227/U226-1,"")</f>
        <v/>
      </c>
      <c r="X227" s="75" t="str">
        <f aca="false">IF(AND(ISNUMBER(V227),ISNUMBER(W227)),1,"")</f>
        <v/>
      </c>
      <c r="Y227" s="76" t="str">
        <f aca="false">IF(X227=1,V227,"")</f>
        <v/>
      </c>
      <c r="Z227" s="76" t="str">
        <f aca="false">IF(X227=1,W227,"")</f>
        <v/>
      </c>
      <c r="AA227" s="76" t="e">
        <f aca="false">IF(X227=1,V227,NA())</f>
        <v>#N/A</v>
      </c>
      <c r="AB227" s="76" t="e">
        <f aca="false">IF(X227=1,W227,NA())</f>
        <v>#N/A</v>
      </c>
      <c r="AD227" s="73" t="str">
        <f aca="false">IF(ISNUMBER(AE227),IF(ISNUMBER('Base de Datos'!A223),IF('Base de Datos'!A223&gt;20000,DATE(YEAR('Base de Datos'!A223),DAY('Base de Datos'!A223),MONTH('Base de Datos'!A223)),""),IF(TRIM('Base de Datos'!A223)="","",IFERROR(DATE(VALUE(RIGHT(TRIM('Base de Datos'!A223),4)),VALUE(LEFT(TRIM('Base de Datos'!A223),2)),VALUE(MID(TRIM('Base de Datos'!A223),4,2))),""))),"")</f>
        <v/>
      </c>
      <c r="AE227" s="74" t="str">
        <f aca="false">IF(ISNUMBER('Base de Datos'!B223),'Base de Datos'!B223,IF(TRIM('Base de Datos'!B223)="","",IFERROR(IF(IFERROR(FIND("@",SUBSTITUTE(TRIM('Base de Datos'!B223),",","@",LEN(TRIM('Base de Datos'!B223))-LEN(SUBSTITUTE(TRIM('Base de Datos'!B223),",","")))),0)&gt;IFERROR(FIND("@",SUBSTITUTE(TRIM('Base de Datos'!B223),".","@",LEN(TRIM('Base de Datos'!B223))-LEN(SUBSTITUTE(TRIM('Base de Datos'!B223),".","")))),0),_xlfn.NUMBERVALUE(SUBSTITUTE(SUBSTITUTE(TRIM('Base de Datos'!B223),".",""),",","."),".",","),_xlfn.NUMBERVALUE(SUBSTITUTE(TRIM('Base de Datos'!B223),",",""),".",",")),"")))</f>
        <v/>
      </c>
      <c r="AF227" s="73" t="str">
        <f aca="false">IF(ISNUMBER(AG227),IF(ISNUMBER('Base de Datos'!I223),IF('Base de Datos'!I223&gt;20000,INT('Base de Datos'!I223),""),IF(TRIM('Base de Datos'!I223)="","",IFERROR(DATE(VALUE(RIGHT(TRIM('Base de Datos'!I223),4)),VALUE(MID(TRIM('Base de Datos'!I223),4,2)),VALUE(LEFT(TRIM('Base de Datos'!I223),2))),IFERROR(DATEVALUE(TRIM('Base de Datos'!I223)),"")))),"")</f>
        <v/>
      </c>
      <c r="AG227" s="74" t="str">
        <f aca="false">IF(ISNUMBER('Base de Datos'!J223),'Base de Datos'!J223,IF(TRIM('Base de Datos'!J223)="","",IFERROR(IF(IFERROR(FIND("@",SUBSTITUTE(TRIM('Base de Datos'!J223),",","@",LEN(TRIM('Base de Datos'!J223))-LEN(SUBSTITUTE(TRIM('Base de Datos'!J223),",","")))),0)&gt;IFERROR(FIND("@",SUBSTITUTE(TRIM('Base de Datos'!J223),".","@",LEN(TRIM('Base de Datos'!J223))-LEN(SUBSTITUTE(TRIM('Base de Datos'!J223),".","")))),0),_xlfn.NUMBERVALUE(SUBSTITUTE(SUBSTITUTE(TRIM('Base de Datos'!J223),".",""),",","."),".",","),_xlfn.NUMBERVALUE(SUBSTITUTE(TRIM('Base de Datos'!J223),",",""),".",",")),"")))</f>
        <v/>
      </c>
      <c r="AH227" s="73" t="n">
        <f aca="false">IF(ISNUMBER(AI227),IF(ISNUMBER('Base de Datos'!Q223),IF('Base de Datos'!Q223&gt;20000,DATE(YEAR('Base de Datos'!Q223),DAY('Base de Datos'!Q223),MONTH('Base de Datos'!Q223)),""),IF(TRIM('Base de Datos'!Q223)="","",IFERROR(DATE(VALUE(RIGHT(TRIM('Base de Datos'!Q223),4)),VALUE(LEFT(TRIM('Base de Datos'!Q223),2)),VALUE(MID(TRIM('Base de Datos'!Q223),4,2))),""))),"")</f>
        <v>46005</v>
      </c>
      <c r="AI227" s="74" t="n">
        <f aca="false">IF(ISNUMBER('Base de Datos'!R223),'Base de Datos'!R223,IF(TRIM('Base de Datos'!R223)="","",IFERROR(IF(IFERROR(FIND("@",SUBSTITUTE(TRIM('Base de Datos'!R223),",","@",LEN(TRIM('Base de Datos'!R223))-LEN(SUBSTITUTE(TRIM('Base de Datos'!R223),",","")))),0)&gt;IFERROR(FIND("@",SUBSTITUTE(TRIM('Base de Datos'!R223),".","@",LEN(TRIM('Base de Datos'!R223))-LEN(SUBSTITUTE(TRIM('Base de Datos'!R223),".","")))),0),_xlfn.NUMBERVALUE(SUBSTITUTE(SUBSTITUTE(TRIM('Base de Datos'!R223),".",""),",","."),".",","),_xlfn.NUMBERVALUE(SUBSTITUTE(TRIM('Base de Datos'!R223),",",""),".",",")),"")))</f>
        <v>39.16</v>
      </c>
      <c r="AJ227" s="73" t="n">
        <f aca="false">IF(ISNUMBER(AK227),IF(ISNUMBER('Base de Datos'!Y223),IF('Base de Datos'!Y223&gt;20000,INT('Base de Datos'!Y223),""),IF(TRIM('Base de Datos'!Y223)="","",IFERROR(DATE(VALUE(RIGHT(TRIM('Base de Datos'!Y223),4)),VALUE(MID(TRIM('Base de Datos'!Y223),4,2)),VALUE(LEFT(TRIM('Base de Datos'!Y223),2))),IFERROR(DATEVALUE(TRIM('Base de Datos'!Y223)),"")))),"")</f>
        <v>46005</v>
      </c>
      <c r="AK227" s="74" t="n">
        <f aca="false">IF(ISNUMBER('Base de Datos'!Z223),'Base de Datos'!Z223,IF(TRIM('Base de Datos'!Z223)="","",IFERROR(IF(IFERROR(FIND("@",SUBSTITUTE(TRIM('Base de Datos'!Z223),",","@",LEN(TRIM('Base de Datos'!Z223))-LEN(SUBSTITUTE(TRIM('Base de Datos'!Z223),",","")))),0)&gt;IFERROR(FIND("@",SUBSTITUTE(TRIM('Base de Datos'!Z223),".","@",LEN(TRIM('Base de Datos'!Z223))-LEN(SUBSTITUTE(TRIM('Base de Datos'!Z223),".","")))),0),_xlfn.NUMBERVALUE(SUBSTITUTE(SUBSTITUTE(TRIM('Base de Datos'!Z223),".",""),",","."),".",","),_xlfn.NUMBERVALUE(SUBSTITUTE(TRIM('Base de Datos'!Z223),",",""),".",",")),"")))</f>
        <v>63966.98</v>
      </c>
    </row>
    <row r="228" customFormat="false" ht="13.5" hidden="false" customHeight="false" outlineLevel="0" collapsed="false">
      <c r="A228" s="75" t="n">
        <f aca="false">ROWS(A$13:A228)</f>
        <v>216</v>
      </c>
      <c r="B228" s="73" t="n">
        <f aca="false">IF(B227="","",IFERROR(SMALL($AH$10:$AH$409,COUNTIF($AH$10:$AH$409,"&lt;="&amp;B227)+1),""))</f>
        <v>45991</v>
      </c>
      <c r="C228" s="74" t="n">
        <f aca="false">IF(B228="","",INDEX($AI$10:$AI$409,MATCH(B228,$AH$10:$AH$409,0)))</f>
        <v>29</v>
      </c>
      <c r="D228" s="74" t="n">
        <f aca="false">IF(B228="","",IFERROR(INDEX($AK$10:$AK$409,MATCH(B228,$AJ$10:$AJ$409,0)),""))</f>
        <v>63378.3</v>
      </c>
      <c r="E228" s="76" t="n">
        <f aca="false">IF(AND(ISNUMBER(C228),ISNUMBER(C227)),C228/C227-1,"")</f>
        <v>-0.0660225442834139</v>
      </c>
      <c r="F228" s="76" t="n">
        <f aca="false">IF(AND(ISNUMBER(D228),ISNUMBER(D227)),D228/D227-1,"")</f>
        <v>-0.00343539405611415</v>
      </c>
      <c r="G228" s="75" t="n">
        <f aca="false">IF(AND(ISNUMBER(E228),ISNUMBER(F228)),1,"")</f>
        <v>1</v>
      </c>
      <c r="H228" s="75" t="n">
        <f aca="false">IF(G228=1,COUNT(G228:G$412),"")</f>
        <v>44</v>
      </c>
      <c r="I228" s="75" t="n">
        <f aca="false">IF(G228=1,IF(H228&lt;='Beta Regresión'!$B$5,1,""),"")</f>
        <v>1</v>
      </c>
      <c r="J228" s="76" t="n">
        <f aca="false">IF(I228=1,E228,"")</f>
        <v>-0.0660225442834139</v>
      </c>
      <c r="K228" s="76" t="n">
        <f aca="false">IF(I228=1,F228,"")</f>
        <v>-0.00343539405611415</v>
      </c>
      <c r="L228" s="75" t="n">
        <f aca="false">IF(I228=1,COUNT(I$13:I228),"")</f>
        <v>215</v>
      </c>
      <c r="M228" s="76" t="n">
        <f aca="false">IFERROR(INDEX($J$13:$J$412,MATCH(A228,$L$13:$L$412,0)),"")</f>
        <v>0.0827586206896551</v>
      </c>
      <c r="N228" s="76" t="n">
        <f aca="false">IFERROR(INDEX($K$13:$K$412,MATCH(A228,$L$13:$L$412,0)),"")</f>
        <v>0.0210445846606804</v>
      </c>
      <c r="O228" s="76" t="n">
        <f aca="false">IF(I228=1,E228,NA())</f>
        <v>-0.0660225442834139</v>
      </c>
      <c r="P228" s="76" t="n">
        <f aca="false">IF(I228=1,F228,NA())</f>
        <v>-0.00343539405611415</v>
      </c>
      <c r="R228" s="75" t="n">
        <f aca="false">ROWS(R$13:R228)</f>
        <v>216</v>
      </c>
      <c r="S228" s="73" t="str">
        <f aca="false">IF(S227="","",IFERROR(SMALL($AD$10:$AD$509,COUNTIF($AD$10:$AD$509,"&lt;="&amp;S227)+1),""))</f>
        <v/>
      </c>
      <c r="T228" s="74" t="str">
        <f aca="false">IF(S228="","",INDEX($AE$10:$AE$509,MATCH(S228,$AD$10:$AD$509,0)))</f>
        <v/>
      </c>
      <c r="U228" s="74" t="str">
        <f aca="false">IF(S228="","",IFERROR(INDEX($AG$10:$AG$509,MATCH(S228,$AF$10:$AF$509,0)),""))</f>
        <v/>
      </c>
      <c r="V228" s="76" t="str">
        <f aca="false">IF(AND(ISNUMBER(T228),ISNUMBER(T227)),T228/T227-1,"")</f>
        <v/>
      </c>
      <c r="W228" s="76" t="str">
        <f aca="false">IF(AND(ISNUMBER(U228),ISNUMBER(U227)),U228/U227-1,"")</f>
        <v/>
      </c>
      <c r="X228" s="75" t="str">
        <f aca="false">IF(AND(ISNUMBER(V228),ISNUMBER(W228)),1,"")</f>
        <v/>
      </c>
      <c r="Y228" s="76" t="str">
        <f aca="false">IF(X228=1,V228,"")</f>
        <v/>
      </c>
      <c r="Z228" s="76" t="str">
        <f aca="false">IF(X228=1,W228,"")</f>
        <v/>
      </c>
      <c r="AA228" s="76" t="e">
        <f aca="false">IF(X228=1,V228,NA())</f>
        <v>#N/A</v>
      </c>
      <c r="AB228" s="76" t="e">
        <f aca="false">IF(X228=1,W228,NA())</f>
        <v>#N/A</v>
      </c>
      <c r="AD228" s="73" t="str">
        <f aca="false">IF(ISNUMBER(AE228),IF(ISNUMBER('Base de Datos'!A224),IF('Base de Datos'!A224&gt;20000,DATE(YEAR('Base de Datos'!A224),DAY('Base de Datos'!A224),MONTH('Base de Datos'!A224)),""),IF(TRIM('Base de Datos'!A224)="","",IFERROR(DATE(VALUE(RIGHT(TRIM('Base de Datos'!A224),4)),VALUE(LEFT(TRIM('Base de Datos'!A224),2)),VALUE(MID(TRIM('Base de Datos'!A224),4,2))),""))),"")</f>
        <v/>
      </c>
      <c r="AE228" s="74" t="str">
        <f aca="false">IF(ISNUMBER('Base de Datos'!B224),'Base de Datos'!B224,IF(TRIM('Base de Datos'!B224)="","",IFERROR(IF(IFERROR(FIND("@",SUBSTITUTE(TRIM('Base de Datos'!B224),",","@",LEN(TRIM('Base de Datos'!B224))-LEN(SUBSTITUTE(TRIM('Base de Datos'!B224),",","")))),0)&gt;IFERROR(FIND("@",SUBSTITUTE(TRIM('Base de Datos'!B224),".","@",LEN(TRIM('Base de Datos'!B224))-LEN(SUBSTITUTE(TRIM('Base de Datos'!B224),".","")))),0),_xlfn.NUMBERVALUE(SUBSTITUTE(SUBSTITUTE(TRIM('Base de Datos'!B224),".",""),",","."),".",","),_xlfn.NUMBERVALUE(SUBSTITUTE(TRIM('Base de Datos'!B224),",",""),".",",")),"")))</f>
        <v/>
      </c>
      <c r="AF228" s="73" t="str">
        <f aca="false">IF(ISNUMBER(AG228),IF(ISNUMBER('Base de Datos'!I224),IF('Base de Datos'!I224&gt;20000,INT('Base de Datos'!I224),""),IF(TRIM('Base de Datos'!I224)="","",IFERROR(DATE(VALUE(RIGHT(TRIM('Base de Datos'!I224),4)),VALUE(MID(TRIM('Base de Datos'!I224),4,2)),VALUE(LEFT(TRIM('Base de Datos'!I224),2))),IFERROR(DATEVALUE(TRIM('Base de Datos'!I224)),"")))),"")</f>
        <v/>
      </c>
      <c r="AG228" s="74" t="str">
        <f aca="false">IF(ISNUMBER('Base de Datos'!J224),'Base de Datos'!J224,IF(TRIM('Base de Datos'!J224)="","",IFERROR(IF(IFERROR(FIND("@",SUBSTITUTE(TRIM('Base de Datos'!J224),",","@",LEN(TRIM('Base de Datos'!J224))-LEN(SUBSTITUTE(TRIM('Base de Datos'!J224),",","")))),0)&gt;IFERROR(FIND("@",SUBSTITUTE(TRIM('Base de Datos'!J224),".","@",LEN(TRIM('Base de Datos'!J224))-LEN(SUBSTITUTE(TRIM('Base de Datos'!J224),".","")))),0),_xlfn.NUMBERVALUE(SUBSTITUTE(SUBSTITUTE(TRIM('Base de Datos'!J224),".",""),",","."),".",","),_xlfn.NUMBERVALUE(SUBSTITUTE(TRIM('Base de Datos'!J224),",",""),".",",")),"")))</f>
        <v/>
      </c>
      <c r="AH228" s="73" t="n">
        <f aca="false">IF(ISNUMBER(AI228),IF(ISNUMBER('Base de Datos'!Q224),IF('Base de Datos'!Q224&gt;20000,DATE(YEAR('Base de Datos'!Q224),DAY('Base de Datos'!Q224),MONTH('Base de Datos'!Q224)),""),IF(TRIM('Base de Datos'!Q224)="","",IFERROR(DATE(VALUE(RIGHT(TRIM('Base de Datos'!Q224),4)),VALUE(LEFT(TRIM('Base de Datos'!Q224),2)),VALUE(MID(TRIM('Base de Datos'!Q224),4,2))),""))),"")</f>
        <v>46012</v>
      </c>
      <c r="AI228" s="74" t="n">
        <f aca="false">IF(ISNUMBER('Base de Datos'!R224),'Base de Datos'!R224,IF(TRIM('Base de Datos'!R224)="","",IFERROR(IF(IFERROR(FIND("@",SUBSTITUTE(TRIM('Base de Datos'!R224),",","@",LEN(TRIM('Base de Datos'!R224))-LEN(SUBSTITUTE(TRIM('Base de Datos'!R224),",","")))),0)&gt;IFERROR(FIND("@",SUBSTITUTE(TRIM('Base de Datos'!R224),".","@",LEN(TRIM('Base de Datos'!R224))-LEN(SUBSTITUTE(TRIM('Base de Datos'!R224),".","")))),0),_xlfn.NUMBERVALUE(SUBSTITUTE(SUBSTITUTE(TRIM('Base de Datos'!R224),".",""),",","."),".",","),_xlfn.NUMBERVALUE(SUBSTITUTE(TRIM('Base de Datos'!R224),",",""),".",",")),"")))</f>
        <v>39.84</v>
      </c>
      <c r="AJ228" s="73" t="n">
        <f aca="false">IF(ISNUMBER(AK228),IF(ISNUMBER('Base de Datos'!Y224),IF('Base de Datos'!Y224&gt;20000,INT('Base de Datos'!Y224),""),IF(TRIM('Base de Datos'!Y224)="","",IFERROR(DATE(VALUE(RIGHT(TRIM('Base de Datos'!Y224),4)),VALUE(MID(TRIM('Base de Datos'!Y224),4,2)),VALUE(LEFT(TRIM('Base de Datos'!Y224),2))),IFERROR(DATEVALUE(TRIM('Base de Datos'!Y224)),"")))),"")</f>
        <v>46012</v>
      </c>
      <c r="AK228" s="74" t="n">
        <f aca="false">IF(ISNUMBER('Base de Datos'!Z224),'Base de Datos'!Z224,IF(TRIM('Base de Datos'!Z224)="","",IFERROR(IF(IFERROR(FIND("@",SUBSTITUTE(TRIM('Base de Datos'!Z224),",","@",LEN(TRIM('Base de Datos'!Z224))-LEN(SUBSTITUTE(TRIM('Base de Datos'!Z224),",","")))),0)&gt;IFERROR(FIND("@",SUBSTITUTE(TRIM('Base de Datos'!Z224),".","@",LEN(TRIM('Base de Datos'!Z224))-LEN(SUBSTITUTE(TRIM('Base de Datos'!Z224),".","")))),0),_xlfn.NUMBERVALUE(SUBSTITUTE(SUBSTITUTE(TRIM('Base de Datos'!Z224),".",""),",","."),".",","),_xlfn.NUMBERVALUE(SUBSTITUTE(TRIM('Base de Datos'!Z224),",",""),".",",")),"")))</f>
        <v>65636.36</v>
      </c>
    </row>
    <row r="229" customFormat="false" ht="13.5" hidden="false" customHeight="false" outlineLevel="0" collapsed="false">
      <c r="A229" s="75" t="n">
        <f aca="false">ROWS(A$13:A229)</f>
        <v>217</v>
      </c>
      <c r="B229" s="73" t="n">
        <f aca="false">IF(B228="","",IFERROR(SMALL($AH$10:$AH$409,COUNTIF($AH$10:$AH$409,"&lt;="&amp;B228)+1),""))</f>
        <v>45998</v>
      </c>
      <c r="C229" s="74" t="n">
        <f aca="false">IF(B229="","",INDEX($AI$10:$AI$409,MATCH(B229,$AH$10:$AH$409,0)))</f>
        <v>31.4</v>
      </c>
      <c r="D229" s="74" t="n">
        <f aca="false">IF(B229="","",IFERROR(INDEX($AK$10:$AK$409,MATCH(B229,$AJ$10:$AJ$409,0)),""))</f>
        <v>64712.07</v>
      </c>
      <c r="E229" s="76" t="n">
        <f aca="false">IF(AND(ISNUMBER(C229),ISNUMBER(C228)),C229/C228-1,"")</f>
        <v>0.0827586206896551</v>
      </c>
      <c r="F229" s="76" t="n">
        <f aca="false">IF(AND(ISNUMBER(D229),ISNUMBER(D228)),D229/D228-1,"")</f>
        <v>0.0210445846606804</v>
      </c>
      <c r="G229" s="75" t="n">
        <f aca="false">IF(AND(ISNUMBER(E229),ISNUMBER(F229)),1,"")</f>
        <v>1</v>
      </c>
      <c r="H229" s="75" t="n">
        <f aca="false">IF(G229=1,COUNT(G229:G$412),"")</f>
        <v>43</v>
      </c>
      <c r="I229" s="75" t="n">
        <f aca="false">IF(G229=1,IF(H229&lt;='Beta Regresión'!$B$5,1,""),"")</f>
        <v>1</v>
      </c>
      <c r="J229" s="76" t="n">
        <f aca="false">IF(I229=1,E229,"")</f>
        <v>0.0827586206896551</v>
      </c>
      <c r="K229" s="76" t="n">
        <f aca="false">IF(I229=1,F229,"")</f>
        <v>0.0210445846606804</v>
      </c>
      <c r="L229" s="75" t="n">
        <f aca="false">IF(I229=1,COUNT(I$13:I229),"")</f>
        <v>216</v>
      </c>
      <c r="M229" s="76" t="n">
        <f aca="false">IFERROR(INDEX($J$13:$J$412,MATCH(A229,$L$13:$L$412,0)),"")</f>
        <v>0.247133757961783</v>
      </c>
      <c r="N229" s="76" t="n">
        <f aca="false">IFERROR(INDEX($K$13:$K$412,MATCH(A229,$L$13:$L$412,0)),"")</f>
        <v>-0.0115139262273637</v>
      </c>
      <c r="O229" s="76" t="n">
        <f aca="false">IF(I229=1,E229,NA())</f>
        <v>0.0827586206896551</v>
      </c>
      <c r="P229" s="76" t="n">
        <f aca="false">IF(I229=1,F229,NA())</f>
        <v>0.0210445846606804</v>
      </c>
      <c r="R229" s="75" t="n">
        <f aca="false">ROWS(R$13:R229)</f>
        <v>217</v>
      </c>
      <c r="S229" s="73" t="str">
        <f aca="false">IF(S228="","",IFERROR(SMALL($AD$10:$AD$509,COUNTIF($AD$10:$AD$509,"&lt;="&amp;S228)+1),""))</f>
        <v/>
      </c>
      <c r="T229" s="74" t="str">
        <f aca="false">IF(S229="","",INDEX($AE$10:$AE$509,MATCH(S229,$AD$10:$AD$509,0)))</f>
        <v/>
      </c>
      <c r="U229" s="74" t="str">
        <f aca="false">IF(S229="","",IFERROR(INDEX($AG$10:$AG$509,MATCH(S229,$AF$10:$AF$509,0)),""))</f>
        <v/>
      </c>
      <c r="V229" s="76" t="str">
        <f aca="false">IF(AND(ISNUMBER(T229),ISNUMBER(T228)),T229/T228-1,"")</f>
        <v/>
      </c>
      <c r="W229" s="76" t="str">
        <f aca="false">IF(AND(ISNUMBER(U229),ISNUMBER(U228)),U229/U228-1,"")</f>
        <v/>
      </c>
      <c r="X229" s="75" t="str">
        <f aca="false">IF(AND(ISNUMBER(V229),ISNUMBER(W229)),1,"")</f>
        <v/>
      </c>
      <c r="Y229" s="76" t="str">
        <f aca="false">IF(X229=1,V229,"")</f>
        <v/>
      </c>
      <c r="Z229" s="76" t="str">
        <f aca="false">IF(X229=1,W229,"")</f>
        <v/>
      </c>
      <c r="AA229" s="76" t="e">
        <f aca="false">IF(X229=1,V229,NA())</f>
        <v>#N/A</v>
      </c>
      <c r="AB229" s="76" t="e">
        <f aca="false">IF(X229=1,W229,NA())</f>
        <v>#N/A</v>
      </c>
      <c r="AD229" s="73" t="str">
        <f aca="false">IF(ISNUMBER(AE229),IF(ISNUMBER('Base de Datos'!A225),IF('Base de Datos'!A225&gt;20000,DATE(YEAR('Base de Datos'!A225),DAY('Base de Datos'!A225),MONTH('Base de Datos'!A225)),""),IF(TRIM('Base de Datos'!A225)="","",IFERROR(DATE(VALUE(RIGHT(TRIM('Base de Datos'!A225),4)),VALUE(LEFT(TRIM('Base de Datos'!A225),2)),VALUE(MID(TRIM('Base de Datos'!A225),4,2))),""))),"")</f>
        <v/>
      </c>
      <c r="AE229" s="74" t="str">
        <f aca="false">IF(ISNUMBER('Base de Datos'!B225),'Base de Datos'!B225,IF(TRIM('Base de Datos'!B225)="","",IFERROR(IF(IFERROR(FIND("@",SUBSTITUTE(TRIM('Base de Datos'!B225),",","@",LEN(TRIM('Base de Datos'!B225))-LEN(SUBSTITUTE(TRIM('Base de Datos'!B225),",","")))),0)&gt;IFERROR(FIND("@",SUBSTITUTE(TRIM('Base de Datos'!B225),".","@",LEN(TRIM('Base de Datos'!B225))-LEN(SUBSTITUTE(TRIM('Base de Datos'!B225),".","")))),0),_xlfn.NUMBERVALUE(SUBSTITUTE(SUBSTITUTE(TRIM('Base de Datos'!B225),".",""),",","."),".",","),_xlfn.NUMBERVALUE(SUBSTITUTE(TRIM('Base de Datos'!B225),",",""),".",",")),"")))</f>
        <v/>
      </c>
      <c r="AF229" s="73" t="str">
        <f aca="false">IF(ISNUMBER(AG229),IF(ISNUMBER('Base de Datos'!I225),IF('Base de Datos'!I225&gt;20000,INT('Base de Datos'!I225),""),IF(TRIM('Base de Datos'!I225)="","",IFERROR(DATE(VALUE(RIGHT(TRIM('Base de Datos'!I225),4)),VALUE(MID(TRIM('Base de Datos'!I225),4,2)),VALUE(LEFT(TRIM('Base de Datos'!I225),2))),IFERROR(DATEVALUE(TRIM('Base de Datos'!I225)),"")))),"")</f>
        <v/>
      </c>
      <c r="AG229" s="74" t="str">
        <f aca="false">IF(ISNUMBER('Base de Datos'!J225),'Base de Datos'!J225,IF(TRIM('Base de Datos'!J225)="","",IFERROR(IF(IFERROR(FIND("@",SUBSTITUTE(TRIM('Base de Datos'!J225),",","@",LEN(TRIM('Base de Datos'!J225))-LEN(SUBSTITUTE(TRIM('Base de Datos'!J225),",","")))),0)&gt;IFERROR(FIND("@",SUBSTITUTE(TRIM('Base de Datos'!J225),".","@",LEN(TRIM('Base de Datos'!J225))-LEN(SUBSTITUTE(TRIM('Base de Datos'!J225),".","")))),0),_xlfn.NUMBERVALUE(SUBSTITUTE(SUBSTITUTE(TRIM('Base de Datos'!J225),".",""),",","."),".",","),_xlfn.NUMBERVALUE(SUBSTITUTE(TRIM('Base de Datos'!J225),",",""),".",",")),"")))</f>
        <v/>
      </c>
      <c r="AH229" s="73" t="n">
        <f aca="false">IF(ISNUMBER(AI229),IF(ISNUMBER('Base de Datos'!Q225),IF('Base de Datos'!Q225&gt;20000,DATE(YEAR('Base de Datos'!Q225),DAY('Base de Datos'!Q225),MONTH('Base de Datos'!Q225)),""),IF(TRIM('Base de Datos'!Q225)="","",IFERROR(DATE(VALUE(RIGHT(TRIM('Base de Datos'!Q225),4)),VALUE(LEFT(TRIM('Base de Datos'!Q225),2)),VALUE(MID(TRIM('Base de Datos'!Q225),4,2))),""))),"")</f>
        <v>46019</v>
      </c>
      <c r="AI229" s="74" t="n">
        <f aca="false">IF(ISNUMBER('Base de Datos'!R225),'Base de Datos'!R225,IF(TRIM('Base de Datos'!R225)="","",IFERROR(IF(IFERROR(FIND("@",SUBSTITUTE(TRIM('Base de Datos'!R225),",","@",LEN(TRIM('Base de Datos'!R225))-LEN(SUBSTITUTE(TRIM('Base de Datos'!R225),",","")))),0)&gt;IFERROR(FIND("@",SUBSTITUTE(TRIM('Base de Datos'!R225),".","@",LEN(TRIM('Base de Datos'!R225))-LEN(SUBSTITUTE(TRIM('Base de Datos'!R225),".","")))),0),_xlfn.NUMBERVALUE(SUBSTITUTE(SUBSTITUTE(TRIM('Base de Datos'!R225),".",""),",","."),".",","),_xlfn.NUMBERVALUE(SUBSTITUTE(TRIM('Base de Datos'!R225),",",""),".",",")),"")))</f>
        <v>41.8</v>
      </c>
      <c r="AJ229" s="73" t="n">
        <f aca="false">IF(ISNUMBER(AK229),IF(ISNUMBER('Base de Datos'!Y225),IF('Base de Datos'!Y225&gt;20000,INT('Base de Datos'!Y225),""),IF(TRIM('Base de Datos'!Y225)="","",IFERROR(DATE(VALUE(RIGHT(TRIM('Base de Datos'!Y225),4)),VALUE(MID(TRIM('Base de Datos'!Y225),4,2)),VALUE(LEFT(TRIM('Base de Datos'!Y225),2))),IFERROR(DATEVALUE(TRIM('Base de Datos'!Y225)),"")))),"")</f>
        <v>46019</v>
      </c>
      <c r="AK229" s="74" t="n">
        <f aca="false">IF(ISNUMBER('Base de Datos'!Z225),'Base de Datos'!Z225,IF(TRIM('Base de Datos'!Z225)="","",IFERROR(IF(IFERROR(FIND("@",SUBSTITUTE(TRIM('Base de Datos'!Z225),",","@",LEN(TRIM('Base de Datos'!Z225))-LEN(SUBSTITUTE(TRIM('Base de Datos'!Z225),",","")))),0)&gt;IFERROR(FIND("@",SUBSTITUTE(TRIM('Base de Datos'!Z225),".","@",LEN(TRIM('Base de Datos'!Z225))-LEN(SUBSTITUTE(TRIM('Base de Datos'!Z225),".","")))),0),_xlfn.NUMBERVALUE(SUBSTITUTE(SUBSTITUTE(TRIM('Base de Datos'!Z225),".",""),",","."),".",","),_xlfn.NUMBERVALUE(SUBSTITUTE(TRIM('Base de Datos'!Z225),",",""),".",",")),"")))</f>
        <v>64141.36</v>
      </c>
    </row>
    <row r="230" customFormat="false" ht="13.5" hidden="false" customHeight="false" outlineLevel="0" collapsed="false">
      <c r="A230" s="75" t="n">
        <f aca="false">ROWS(A$13:A230)</f>
        <v>218</v>
      </c>
      <c r="B230" s="73" t="n">
        <f aca="false">IF(B229="","",IFERROR(SMALL($AH$10:$AH$409,COUNTIF($AH$10:$AH$409,"&lt;="&amp;B229)+1),""))</f>
        <v>46005</v>
      </c>
      <c r="C230" s="74" t="n">
        <f aca="false">IF(B230="","",INDEX($AI$10:$AI$409,MATCH(B230,$AH$10:$AH$409,0)))</f>
        <v>39.16</v>
      </c>
      <c r="D230" s="74" t="n">
        <f aca="false">IF(B230="","",IFERROR(INDEX($AK$10:$AK$409,MATCH(B230,$AJ$10:$AJ$409,0)),""))</f>
        <v>63966.98</v>
      </c>
      <c r="E230" s="76" t="n">
        <f aca="false">IF(AND(ISNUMBER(C230),ISNUMBER(C229)),C230/C229-1,"")</f>
        <v>0.247133757961783</v>
      </c>
      <c r="F230" s="76" t="n">
        <f aca="false">IF(AND(ISNUMBER(D230),ISNUMBER(D229)),D230/D229-1,"")</f>
        <v>-0.0115139262273637</v>
      </c>
      <c r="G230" s="75" t="n">
        <f aca="false">IF(AND(ISNUMBER(E230),ISNUMBER(F230)),1,"")</f>
        <v>1</v>
      </c>
      <c r="H230" s="75" t="n">
        <f aca="false">IF(G230=1,COUNT(G230:G$412),"")</f>
        <v>42</v>
      </c>
      <c r="I230" s="75" t="n">
        <f aca="false">IF(G230=1,IF(H230&lt;='Beta Regresión'!$B$5,1,""),"")</f>
        <v>1</v>
      </c>
      <c r="J230" s="76" t="n">
        <f aca="false">IF(I230=1,E230,"")</f>
        <v>0.247133757961783</v>
      </c>
      <c r="K230" s="76" t="n">
        <f aca="false">IF(I230=1,F230,"")</f>
        <v>-0.0115139262273637</v>
      </c>
      <c r="L230" s="75" t="n">
        <f aca="false">IF(I230=1,COUNT(I$13:I230),"")</f>
        <v>217</v>
      </c>
      <c r="M230" s="76" t="n">
        <f aca="false">IFERROR(INDEX($J$13:$J$412,MATCH(A230,$L$13:$L$412,0)),"")</f>
        <v>0.0173646578140962</v>
      </c>
      <c r="N230" s="76" t="n">
        <f aca="false">IFERROR(INDEX($K$13:$K$412,MATCH(A230,$L$13:$L$412,0)),"")</f>
        <v>0.026097527192936</v>
      </c>
      <c r="O230" s="76" t="n">
        <f aca="false">IF(I230=1,E230,NA())</f>
        <v>0.247133757961783</v>
      </c>
      <c r="P230" s="76" t="n">
        <f aca="false">IF(I230=1,F230,NA())</f>
        <v>-0.0115139262273637</v>
      </c>
      <c r="R230" s="75" t="n">
        <f aca="false">ROWS(R$13:R230)</f>
        <v>218</v>
      </c>
      <c r="S230" s="73" t="str">
        <f aca="false">IF(S229="","",IFERROR(SMALL($AD$10:$AD$509,COUNTIF($AD$10:$AD$509,"&lt;="&amp;S229)+1),""))</f>
        <v/>
      </c>
      <c r="T230" s="74" t="str">
        <f aca="false">IF(S230="","",INDEX($AE$10:$AE$509,MATCH(S230,$AD$10:$AD$509,0)))</f>
        <v/>
      </c>
      <c r="U230" s="74" t="str">
        <f aca="false">IF(S230="","",IFERROR(INDEX($AG$10:$AG$509,MATCH(S230,$AF$10:$AF$509,0)),""))</f>
        <v/>
      </c>
      <c r="V230" s="76" t="str">
        <f aca="false">IF(AND(ISNUMBER(T230),ISNUMBER(T229)),T230/T229-1,"")</f>
        <v/>
      </c>
      <c r="W230" s="76" t="str">
        <f aca="false">IF(AND(ISNUMBER(U230),ISNUMBER(U229)),U230/U229-1,"")</f>
        <v/>
      </c>
      <c r="X230" s="75" t="str">
        <f aca="false">IF(AND(ISNUMBER(V230),ISNUMBER(W230)),1,"")</f>
        <v/>
      </c>
      <c r="Y230" s="76" t="str">
        <f aca="false">IF(X230=1,V230,"")</f>
        <v/>
      </c>
      <c r="Z230" s="76" t="str">
        <f aca="false">IF(X230=1,W230,"")</f>
        <v/>
      </c>
      <c r="AA230" s="76" t="e">
        <f aca="false">IF(X230=1,V230,NA())</f>
        <v>#N/A</v>
      </c>
      <c r="AB230" s="76" t="e">
        <f aca="false">IF(X230=1,W230,NA())</f>
        <v>#N/A</v>
      </c>
      <c r="AD230" s="73" t="str">
        <f aca="false">IF(ISNUMBER(AE230),IF(ISNUMBER('Base de Datos'!A226),IF('Base de Datos'!A226&gt;20000,DATE(YEAR('Base de Datos'!A226),DAY('Base de Datos'!A226),MONTH('Base de Datos'!A226)),""),IF(TRIM('Base de Datos'!A226)="","",IFERROR(DATE(VALUE(RIGHT(TRIM('Base de Datos'!A226),4)),VALUE(LEFT(TRIM('Base de Datos'!A226),2)),VALUE(MID(TRIM('Base de Datos'!A226),4,2))),""))),"")</f>
        <v/>
      </c>
      <c r="AE230" s="74" t="str">
        <f aca="false">IF(ISNUMBER('Base de Datos'!B226),'Base de Datos'!B226,IF(TRIM('Base de Datos'!B226)="","",IFERROR(IF(IFERROR(FIND("@",SUBSTITUTE(TRIM('Base de Datos'!B226),",","@",LEN(TRIM('Base de Datos'!B226))-LEN(SUBSTITUTE(TRIM('Base de Datos'!B226),",","")))),0)&gt;IFERROR(FIND("@",SUBSTITUTE(TRIM('Base de Datos'!B226),".","@",LEN(TRIM('Base de Datos'!B226))-LEN(SUBSTITUTE(TRIM('Base de Datos'!B226),".","")))),0),_xlfn.NUMBERVALUE(SUBSTITUTE(SUBSTITUTE(TRIM('Base de Datos'!B226),".",""),",","."),".",","),_xlfn.NUMBERVALUE(SUBSTITUTE(TRIM('Base de Datos'!B226),",",""),".",",")),"")))</f>
        <v/>
      </c>
      <c r="AF230" s="73" t="str">
        <f aca="false">IF(ISNUMBER(AG230),IF(ISNUMBER('Base de Datos'!I226),IF('Base de Datos'!I226&gt;20000,INT('Base de Datos'!I226),""),IF(TRIM('Base de Datos'!I226)="","",IFERROR(DATE(VALUE(RIGHT(TRIM('Base de Datos'!I226),4)),VALUE(MID(TRIM('Base de Datos'!I226),4,2)),VALUE(LEFT(TRIM('Base de Datos'!I226),2))),IFERROR(DATEVALUE(TRIM('Base de Datos'!I226)),"")))),"")</f>
        <v/>
      </c>
      <c r="AG230" s="74" t="str">
        <f aca="false">IF(ISNUMBER('Base de Datos'!J226),'Base de Datos'!J226,IF(TRIM('Base de Datos'!J226)="","",IFERROR(IF(IFERROR(FIND("@",SUBSTITUTE(TRIM('Base de Datos'!J226),",","@",LEN(TRIM('Base de Datos'!J226))-LEN(SUBSTITUTE(TRIM('Base de Datos'!J226),",","")))),0)&gt;IFERROR(FIND("@",SUBSTITUTE(TRIM('Base de Datos'!J226),".","@",LEN(TRIM('Base de Datos'!J226))-LEN(SUBSTITUTE(TRIM('Base de Datos'!J226),".","")))),0),_xlfn.NUMBERVALUE(SUBSTITUTE(SUBSTITUTE(TRIM('Base de Datos'!J226),".",""),",","."),".",","),_xlfn.NUMBERVALUE(SUBSTITUTE(TRIM('Base de Datos'!J226),",",""),".",",")),"")))</f>
        <v/>
      </c>
      <c r="AH230" s="73" t="n">
        <f aca="false">IF(ISNUMBER(AI230),IF(ISNUMBER('Base de Datos'!Q226),IF('Base de Datos'!Q226&gt;20000,DATE(YEAR('Base de Datos'!Q226),DAY('Base de Datos'!Q226),MONTH('Base de Datos'!Q226)),""),IF(TRIM('Base de Datos'!Q226)="","",IFERROR(DATE(VALUE(RIGHT(TRIM('Base de Datos'!Q226),4)),VALUE(LEFT(TRIM('Base de Datos'!Q226),2)),VALUE(MID(TRIM('Base de Datos'!Q226),4,2))),""))),"")</f>
        <v>46026</v>
      </c>
      <c r="AI230" s="74" t="n">
        <f aca="false">IF(ISNUMBER('Base de Datos'!R226),'Base de Datos'!R226,IF(TRIM('Base de Datos'!R226)="","",IFERROR(IF(IFERROR(FIND("@",SUBSTITUTE(TRIM('Base de Datos'!R226),",","@",LEN(TRIM('Base de Datos'!R226))-LEN(SUBSTITUTE(TRIM('Base de Datos'!R226),",","")))),0)&gt;IFERROR(FIND("@",SUBSTITUTE(TRIM('Base de Datos'!R226),".","@",LEN(TRIM('Base de Datos'!R226))-LEN(SUBSTITUTE(TRIM('Base de Datos'!R226),".","")))),0),_xlfn.NUMBERVALUE(SUBSTITUTE(SUBSTITUTE(TRIM('Base de Datos'!R226),".",""),",","."),".",","),_xlfn.NUMBERVALUE(SUBSTITUTE(TRIM('Base de Datos'!R226),",",""),".",",")),"")))</f>
        <v>37.17</v>
      </c>
      <c r="AJ230" s="73" t="n">
        <f aca="false">IF(ISNUMBER(AK230),IF(ISNUMBER('Base de Datos'!Y226),IF('Base de Datos'!Y226&gt;20000,INT('Base de Datos'!Y226),""),IF(TRIM('Base de Datos'!Y226)="","",IFERROR(DATE(VALUE(RIGHT(TRIM('Base de Datos'!Y226),4)),VALUE(MID(TRIM('Base de Datos'!Y226),4,2)),VALUE(LEFT(TRIM('Base de Datos'!Y226),2))),IFERROR(DATEVALUE(TRIM('Base de Datos'!Y226)),"")))),"")</f>
        <v>46026</v>
      </c>
      <c r="AK230" s="74" t="n">
        <f aca="false">IF(ISNUMBER('Base de Datos'!Z226),'Base de Datos'!Z226,IF(TRIM('Base de Datos'!Z226)="","",IFERROR(IF(IFERROR(FIND("@",SUBSTITUTE(TRIM('Base de Datos'!Z226),",","@",LEN(TRIM('Base de Datos'!Z226))-LEN(SUBSTITUTE(TRIM('Base de Datos'!Z226),",","")))),0)&gt;IFERROR(FIND("@",SUBSTITUTE(TRIM('Base de Datos'!Z226),".","@",LEN(TRIM('Base de Datos'!Z226))-LEN(SUBSTITUTE(TRIM('Base de Datos'!Z226),".","")))),0),_xlfn.NUMBERVALUE(SUBSTITUTE(SUBSTITUTE(TRIM('Base de Datos'!Z226),".",""),",","."),".",","),_xlfn.NUMBERVALUE(SUBSTITUTE(TRIM('Base de Datos'!Z226),",",""),".",",")),"")))</f>
        <v>66062.62</v>
      </c>
    </row>
    <row r="231" customFormat="false" ht="13.5" hidden="false" customHeight="false" outlineLevel="0" collapsed="false">
      <c r="A231" s="75" t="n">
        <f aca="false">ROWS(A$13:A231)</f>
        <v>219</v>
      </c>
      <c r="B231" s="73" t="n">
        <f aca="false">IF(B230="","",IFERROR(SMALL($AH$10:$AH$409,COUNTIF($AH$10:$AH$409,"&lt;="&amp;B230)+1),""))</f>
        <v>46012</v>
      </c>
      <c r="C231" s="74" t="n">
        <f aca="false">IF(B231="","",INDEX($AI$10:$AI$409,MATCH(B231,$AH$10:$AH$409,0)))</f>
        <v>39.84</v>
      </c>
      <c r="D231" s="74" t="n">
        <f aca="false">IF(B231="","",IFERROR(INDEX($AK$10:$AK$409,MATCH(B231,$AJ$10:$AJ$409,0)),""))</f>
        <v>65636.36</v>
      </c>
      <c r="E231" s="76" t="n">
        <f aca="false">IF(AND(ISNUMBER(C231),ISNUMBER(C230)),C231/C230-1,"")</f>
        <v>0.0173646578140962</v>
      </c>
      <c r="F231" s="76" t="n">
        <f aca="false">IF(AND(ISNUMBER(D231),ISNUMBER(D230)),D231/D230-1,"")</f>
        <v>0.026097527192936</v>
      </c>
      <c r="G231" s="75" t="n">
        <f aca="false">IF(AND(ISNUMBER(E231),ISNUMBER(F231)),1,"")</f>
        <v>1</v>
      </c>
      <c r="H231" s="75" t="n">
        <f aca="false">IF(G231=1,COUNT(G231:G$412),"")</f>
        <v>41</v>
      </c>
      <c r="I231" s="75" t="n">
        <f aca="false">IF(G231=1,IF(H231&lt;='Beta Regresión'!$B$5,1,""),"")</f>
        <v>1</v>
      </c>
      <c r="J231" s="76" t="n">
        <f aca="false">IF(I231=1,E231,"")</f>
        <v>0.0173646578140962</v>
      </c>
      <c r="K231" s="76" t="n">
        <f aca="false">IF(I231=1,F231,"")</f>
        <v>0.026097527192936</v>
      </c>
      <c r="L231" s="75" t="n">
        <f aca="false">IF(I231=1,COUNT(I$13:I231),"")</f>
        <v>218</v>
      </c>
      <c r="M231" s="76" t="n">
        <f aca="false">IFERROR(INDEX($J$13:$J$412,MATCH(A231,$L$13:$L$412,0)),"")</f>
        <v>0.0491967871485943</v>
      </c>
      <c r="N231" s="76" t="n">
        <f aca="false">IFERROR(INDEX($K$13:$K$412,MATCH(A231,$L$13:$L$412,0)),"")</f>
        <v>-0.0227770095721335</v>
      </c>
      <c r="O231" s="76" t="n">
        <f aca="false">IF(I231=1,E231,NA())</f>
        <v>0.0173646578140962</v>
      </c>
      <c r="P231" s="76" t="n">
        <f aca="false">IF(I231=1,F231,NA())</f>
        <v>0.026097527192936</v>
      </c>
      <c r="R231" s="75" t="n">
        <f aca="false">ROWS(R$13:R231)</f>
        <v>219</v>
      </c>
      <c r="S231" s="73" t="str">
        <f aca="false">IF(S230="","",IFERROR(SMALL($AD$10:$AD$509,COUNTIF($AD$10:$AD$509,"&lt;="&amp;S230)+1),""))</f>
        <v/>
      </c>
      <c r="T231" s="74" t="str">
        <f aca="false">IF(S231="","",INDEX($AE$10:$AE$509,MATCH(S231,$AD$10:$AD$509,0)))</f>
        <v/>
      </c>
      <c r="U231" s="74" t="str">
        <f aca="false">IF(S231="","",IFERROR(INDEX($AG$10:$AG$509,MATCH(S231,$AF$10:$AF$509,0)),""))</f>
        <v/>
      </c>
      <c r="V231" s="76" t="str">
        <f aca="false">IF(AND(ISNUMBER(T231),ISNUMBER(T230)),T231/T230-1,"")</f>
        <v/>
      </c>
      <c r="W231" s="76" t="str">
        <f aca="false">IF(AND(ISNUMBER(U231),ISNUMBER(U230)),U231/U230-1,"")</f>
        <v/>
      </c>
      <c r="X231" s="75" t="str">
        <f aca="false">IF(AND(ISNUMBER(V231),ISNUMBER(W231)),1,"")</f>
        <v/>
      </c>
      <c r="Y231" s="76" t="str">
        <f aca="false">IF(X231=1,V231,"")</f>
        <v/>
      </c>
      <c r="Z231" s="76" t="str">
        <f aca="false">IF(X231=1,W231,"")</f>
        <v/>
      </c>
      <c r="AA231" s="76" t="e">
        <f aca="false">IF(X231=1,V231,NA())</f>
        <v>#N/A</v>
      </c>
      <c r="AB231" s="76" t="e">
        <f aca="false">IF(X231=1,W231,NA())</f>
        <v>#N/A</v>
      </c>
      <c r="AD231" s="73" t="str">
        <f aca="false">IF(ISNUMBER(AE231),IF(ISNUMBER('Base de Datos'!A227),IF('Base de Datos'!A227&gt;20000,DATE(YEAR('Base de Datos'!A227),DAY('Base de Datos'!A227),MONTH('Base de Datos'!A227)),""),IF(TRIM('Base de Datos'!A227)="","",IFERROR(DATE(VALUE(RIGHT(TRIM('Base de Datos'!A227),4)),VALUE(LEFT(TRIM('Base de Datos'!A227),2)),VALUE(MID(TRIM('Base de Datos'!A227),4,2))),""))),"")</f>
        <v/>
      </c>
      <c r="AE231" s="74" t="str">
        <f aca="false">IF(ISNUMBER('Base de Datos'!B227),'Base de Datos'!B227,IF(TRIM('Base de Datos'!B227)="","",IFERROR(IF(IFERROR(FIND("@",SUBSTITUTE(TRIM('Base de Datos'!B227),",","@",LEN(TRIM('Base de Datos'!B227))-LEN(SUBSTITUTE(TRIM('Base de Datos'!B227),",","")))),0)&gt;IFERROR(FIND("@",SUBSTITUTE(TRIM('Base de Datos'!B227),".","@",LEN(TRIM('Base de Datos'!B227))-LEN(SUBSTITUTE(TRIM('Base de Datos'!B227),".","")))),0),_xlfn.NUMBERVALUE(SUBSTITUTE(SUBSTITUTE(TRIM('Base de Datos'!B227),".",""),",","."),".",","),_xlfn.NUMBERVALUE(SUBSTITUTE(TRIM('Base de Datos'!B227),",",""),".",",")),"")))</f>
        <v/>
      </c>
      <c r="AF231" s="73" t="str">
        <f aca="false">IF(ISNUMBER(AG231),IF(ISNUMBER('Base de Datos'!I227),IF('Base de Datos'!I227&gt;20000,INT('Base de Datos'!I227),""),IF(TRIM('Base de Datos'!I227)="","",IFERROR(DATE(VALUE(RIGHT(TRIM('Base de Datos'!I227),4)),VALUE(MID(TRIM('Base de Datos'!I227),4,2)),VALUE(LEFT(TRIM('Base de Datos'!I227),2))),IFERROR(DATEVALUE(TRIM('Base de Datos'!I227)),"")))),"")</f>
        <v/>
      </c>
      <c r="AG231" s="74" t="str">
        <f aca="false">IF(ISNUMBER('Base de Datos'!J227),'Base de Datos'!J227,IF(TRIM('Base de Datos'!J227)="","",IFERROR(IF(IFERROR(FIND("@",SUBSTITUTE(TRIM('Base de Datos'!J227),",","@",LEN(TRIM('Base de Datos'!J227))-LEN(SUBSTITUTE(TRIM('Base de Datos'!J227),",","")))),0)&gt;IFERROR(FIND("@",SUBSTITUTE(TRIM('Base de Datos'!J227),".","@",LEN(TRIM('Base de Datos'!J227))-LEN(SUBSTITUTE(TRIM('Base de Datos'!J227),".","")))),0),_xlfn.NUMBERVALUE(SUBSTITUTE(SUBSTITUTE(TRIM('Base de Datos'!J227),".",""),",","."),".",","),_xlfn.NUMBERVALUE(SUBSTITUTE(TRIM('Base de Datos'!J227),",",""),".",",")),"")))</f>
        <v/>
      </c>
      <c r="AH231" s="73" t="n">
        <f aca="false">IF(ISNUMBER(AI231),IF(ISNUMBER('Base de Datos'!Q227),IF('Base de Datos'!Q227&gt;20000,DATE(YEAR('Base de Datos'!Q227),DAY('Base de Datos'!Q227),MONTH('Base de Datos'!Q227)),""),IF(TRIM('Base de Datos'!Q227)="","",IFERROR(DATE(VALUE(RIGHT(TRIM('Base de Datos'!Q227),4)),VALUE(LEFT(TRIM('Base de Datos'!Q227),2)),VALUE(MID(TRIM('Base de Datos'!Q227),4,2))),""))),"")</f>
        <v>46033</v>
      </c>
      <c r="AI231" s="74" t="n">
        <f aca="false">IF(ISNUMBER('Base de Datos'!R227),'Base de Datos'!R227,IF(TRIM('Base de Datos'!R227)="","",IFERROR(IF(IFERROR(FIND("@",SUBSTITUTE(TRIM('Base de Datos'!R227),",","@",LEN(TRIM('Base de Datos'!R227))-LEN(SUBSTITUTE(TRIM('Base de Datos'!R227),",","")))),0)&gt;IFERROR(FIND("@",SUBSTITUTE(TRIM('Base de Datos'!R227),".","@",LEN(TRIM('Base de Datos'!R227))-LEN(SUBSTITUTE(TRIM('Base de Datos'!R227),".","")))),0),_xlfn.NUMBERVALUE(SUBSTITUTE(SUBSTITUTE(TRIM('Base de Datos'!R227),".",""),",","."),".",","),_xlfn.NUMBERVALUE(SUBSTITUTE(TRIM('Base de Datos'!R227),",",""),".",",")),"")))</f>
        <v>35.36</v>
      </c>
      <c r="AJ231" s="73" t="n">
        <f aca="false">IF(ISNUMBER(AK231),IF(ISNUMBER('Base de Datos'!Y227),IF('Base de Datos'!Y227&gt;20000,INT('Base de Datos'!Y227),""),IF(TRIM('Base de Datos'!Y227)="","",IFERROR(DATE(VALUE(RIGHT(TRIM('Base de Datos'!Y227),4)),VALUE(MID(TRIM('Base de Datos'!Y227),4,2)),VALUE(LEFT(TRIM('Base de Datos'!Y227),2))),IFERROR(DATEVALUE(TRIM('Base de Datos'!Y227)),"")))),"")</f>
        <v>46033</v>
      </c>
      <c r="AK231" s="74" t="n">
        <f aca="false">IF(ISNUMBER('Base de Datos'!Z227),'Base de Datos'!Z227,IF(TRIM('Base de Datos'!Z227)="","",IFERROR(IF(IFERROR(FIND("@",SUBSTITUTE(TRIM('Base de Datos'!Z227),",","@",LEN(TRIM('Base de Datos'!Z227))-LEN(SUBSTITUTE(TRIM('Base de Datos'!Z227),",","")))),0)&gt;IFERROR(FIND("@",SUBSTITUTE(TRIM('Base de Datos'!Z227),".","@",LEN(TRIM('Base de Datos'!Z227))-LEN(SUBSTITUTE(TRIM('Base de Datos'!Z227),".","")))),0),_xlfn.NUMBERVALUE(SUBSTITUTE(SUBSTITUTE(TRIM('Base de Datos'!Z227),".",""),",","."),".",","),_xlfn.NUMBERVALUE(SUBSTITUTE(TRIM('Base de Datos'!Z227),",",""),".",",")),"")))</f>
        <v>67141.11</v>
      </c>
    </row>
    <row r="232" customFormat="false" ht="13.5" hidden="false" customHeight="false" outlineLevel="0" collapsed="false">
      <c r="A232" s="75" t="n">
        <f aca="false">ROWS(A$13:A232)</f>
        <v>220</v>
      </c>
      <c r="B232" s="73" t="n">
        <f aca="false">IF(B231="","",IFERROR(SMALL($AH$10:$AH$409,COUNTIF($AH$10:$AH$409,"&lt;="&amp;B231)+1),""))</f>
        <v>46019</v>
      </c>
      <c r="C232" s="74" t="n">
        <f aca="false">IF(B232="","",INDEX($AI$10:$AI$409,MATCH(B232,$AH$10:$AH$409,0)))</f>
        <v>41.8</v>
      </c>
      <c r="D232" s="74" t="n">
        <f aca="false">IF(B232="","",IFERROR(INDEX($AK$10:$AK$409,MATCH(B232,$AJ$10:$AJ$409,0)),""))</f>
        <v>64141.36</v>
      </c>
      <c r="E232" s="76" t="n">
        <f aca="false">IF(AND(ISNUMBER(C232),ISNUMBER(C231)),C232/C231-1,"")</f>
        <v>0.0491967871485943</v>
      </c>
      <c r="F232" s="76" t="n">
        <f aca="false">IF(AND(ISNUMBER(D232),ISNUMBER(D231)),D232/D231-1,"")</f>
        <v>-0.0227770095721335</v>
      </c>
      <c r="G232" s="75" t="n">
        <f aca="false">IF(AND(ISNUMBER(E232),ISNUMBER(F232)),1,"")</f>
        <v>1</v>
      </c>
      <c r="H232" s="75" t="n">
        <f aca="false">IF(G232=1,COUNT(G232:G$412),"")</f>
        <v>40</v>
      </c>
      <c r="I232" s="75" t="n">
        <f aca="false">IF(G232=1,IF(H232&lt;='Beta Regresión'!$B$5,1,""),"")</f>
        <v>1</v>
      </c>
      <c r="J232" s="76" t="n">
        <f aca="false">IF(I232=1,E232,"")</f>
        <v>0.0491967871485943</v>
      </c>
      <c r="K232" s="76" t="n">
        <f aca="false">IF(I232=1,F232,"")</f>
        <v>-0.0227770095721335</v>
      </c>
      <c r="L232" s="75" t="n">
        <f aca="false">IF(I232=1,COUNT(I$13:I232),"")</f>
        <v>219</v>
      </c>
      <c r="M232" s="76" t="n">
        <f aca="false">IFERROR(INDEX($J$13:$J$412,MATCH(A232,$L$13:$L$412,0)),"")</f>
        <v>-0.110765550239234</v>
      </c>
      <c r="N232" s="76" t="n">
        <f aca="false">IFERROR(INDEX($K$13:$K$412,MATCH(A232,$L$13:$L$412,0)),"")</f>
        <v>0.0299535276458123</v>
      </c>
      <c r="O232" s="76" t="n">
        <f aca="false">IF(I232=1,E232,NA())</f>
        <v>0.0491967871485943</v>
      </c>
      <c r="P232" s="76" t="n">
        <f aca="false">IF(I232=1,F232,NA())</f>
        <v>-0.0227770095721335</v>
      </c>
      <c r="R232" s="75" t="n">
        <f aca="false">ROWS(R$13:R232)</f>
        <v>220</v>
      </c>
      <c r="S232" s="73" t="str">
        <f aca="false">IF(S231="","",IFERROR(SMALL($AD$10:$AD$509,COUNTIF($AD$10:$AD$509,"&lt;="&amp;S231)+1),""))</f>
        <v/>
      </c>
      <c r="T232" s="74" t="str">
        <f aca="false">IF(S232="","",INDEX($AE$10:$AE$509,MATCH(S232,$AD$10:$AD$509,0)))</f>
        <v/>
      </c>
      <c r="U232" s="74" t="str">
        <f aca="false">IF(S232="","",IFERROR(INDEX($AG$10:$AG$509,MATCH(S232,$AF$10:$AF$509,0)),""))</f>
        <v/>
      </c>
      <c r="V232" s="76" t="str">
        <f aca="false">IF(AND(ISNUMBER(T232),ISNUMBER(T231)),T232/T231-1,"")</f>
        <v/>
      </c>
      <c r="W232" s="76" t="str">
        <f aca="false">IF(AND(ISNUMBER(U232),ISNUMBER(U231)),U232/U231-1,"")</f>
        <v/>
      </c>
      <c r="X232" s="75" t="str">
        <f aca="false">IF(AND(ISNUMBER(V232),ISNUMBER(W232)),1,"")</f>
        <v/>
      </c>
      <c r="Y232" s="76" t="str">
        <f aca="false">IF(X232=1,V232,"")</f>
        <v/>
      </c>
      <c r="Z232" s="76" t="str">
        <f aca="false">IF(X232=1,W232,"")</f>
        <v/>
      </c>
      <c r="AA232" s="76" t="e">
        <f aca="false">IF(X232=1,V232,NA())</f>
        <v>#N/A</v>
      </c>
      <c r="AB232" s="76" t="e">
        <f aca="false">IF(X232=1,W232,NA())</f>
        <v>#N/A</v>
      </c>
      <c r="AD232" s="73" t="str">
        <f aca="false">IF(ISNUMBER(AE232),IF(ISNUMBER('Base de Datos'!A228),IF('Base de Datos'!A228&gt;20000,DATE(YEAR('Base de Datos'!A228),DAY('Base de Datos'!A228),MONTH('Base de Datos'!A228)),""),IF(TRIM('Base de Datos'!A228)="","",IFERROR(DATE(VALUE(RIGHT(TRIM('Base de Datos'!A228),4)),VALUE(LEFT(TRIM('Base de Datos'!A228),2)),VALUE(MID(TRIM('Base de Datos'!A228),4,2))),""))),"")</f>
        <v/>
      </c>
      <c r="AE232" s="74" t="str">
        <f aca="false">IF(ISNUMBER('Base de Datos'!B228),'Base de Datos'!B228,IF(TRIM('Base de Datos'!B228)="","",IFERROR(IF(IFERROR(FIND("@",SUBSTITUTE(TRIM('Base de Datos'!B228),",","@",LEN(TRIM('Base de Datos'!B228))-LEN(SUBSTITUTE(TRIM('Base de Datos'!B228),",","")))),0)&gt;IFERROR(FIND("@",SUBSTITUTE(TRIM('Base de Datos'!B228),".","@",LEN(TRIM('Base de Datos'!B228))-LEN(SUBSTITUTE(TRIM('Base de Datos'!B228),".","")))),0),_xlfn.NUMBERVALUE(SUBSTITUTE(SUBSTITUTE(TRIM('Base de Datos'!B228),".",""),",","."),".",","),_xlfn.NUMBERVALUE(SUBSTITUTE(TRIM('Base de Datos'!B228),",",""),".",",")),"")))</f>
        <v/>
      </c>
      <c r="AF232" s="73" t="str">
        <f aca="false">IF(ISNUMBER(AG232),IF(ISNUMBER('Base de Datos'!I228),IF('Base de Datos'!I228&gt;20000,INT('Base de Datos'!I228),""),IF(TRIM('Base de Datos'!I228)="","",IFERROR(DATE(VALUE(RIGHT(TRIM('Base de Datos'!I228),4)),VALUE(MID(TRIM('Base de Datos'!I228),4,2)),VALUE(LEFT(TRIM('Base de Datos'!I228),2))),IFERROR(DATEVALUE(TRIM('Base de Datos'!I228)),"")))),"")</f>
        <v/>
      </c>
      <c r="AG232" s="74" t="str">
        <f aca="false">IF(ISNUMBER('Base de Datos'!J228),'Base de Datos'!J228,IF(TRIM('Base de Datos'!J228)="","",IFERROR(IF(IFERROR(FIND("@",SUBSTITUTE(TRIM('Base de Datos'!J228),",","@",LEN(TRIM('Base de Datos'!J228))-LEN(SUBSTITUTE(TRIM('Base de Datos'!J228),",","")))),0)&gt;IFERROR(FIND("@",SUBSTITUTE(TRIM('Base de Datos'!J228),".","@",LEN(TRIM('Base de Datos'!J228))-LEN(SUBSTITUTE(TRIM('Base de Datos'!J228),".","")))),0),_xlfn.NUMBERVALUE(SUBSTITUTE(SUBSTITUTE(TRIM('Base de Datos'!J228),".",""),",","."),".",","),_xlfn.NUMBERVALUE(SUBSTITUTE(TRIM('Base de Datos'!J228),",",""),".",",")),"")))</f>
        <v/>
      </c>
      <c r="AH232" s="73" t="n">
        <f aca="false">IF(ISNUMBER(AI232),IF(ISNUMBER('Base de Datos'!Q228),IF('Base de Datos'!Q228&gt;20000,DATE(YEAR('Base de Datos'!Q228),DAY('Base de Datos'!Q228),MONTH('Base de Datos'!Q228)),""),IF(TRIM('Base de Datos'!Q228)="","",IFERROR(DATE(VALUE(RIGHT(TRIM('Base de Datos'!Q228),4)),VALUE(LEFT(TRIM('Base de Datos'!Q228),2)),VALUE(MID(TRIM('Base de Datos'!Q228),4,2))),""))),"")</f>
        <v>46040</v>
      </c>
      <c r="AI232" s="74" t="n">
        <f aca="false">IF(ISNUMBER('Base de Datos'!R228),'Base de Datos'!R228,IF(TRIM('Base de Datos'!R228)="","",IFERROR(IF(IFERROR(FIND("@",SUBSTITUTE(TRIM('Base de Datos'!R228),",","@",LEN(TRIM('Base de Datos'!R228))-LEN(SUBSTITUTE(TRIM('Base de Datos'!R228),",","")))),0)&gt;IFERROR(FIND("@",SUBSTITUTE(TRIM('Base de Datos'!R228),".","@",LEN(TRIM('Base de Datos'!R228))-LEN(SUBSTITUTE(TRIM('Base de Datos'!R228),".","")))),0),_xlfn.NUMBERVALUE(SUBSTITUTE(SUBSTITUTE(TRIM('Base de Datos'!R228),".",""),",","."),".",","),_xlfn.NUMBERVALUE(SUBSTITUTE(TRIM('Base de Datos'!R228),",",""),".",",")),"")))</f>
        <v>34</v>
      </c>
      <c r="AJ232" s="73" t="n">
        <f aca="false">IF(ISNUMBER(AK232),IF(ISNUMBER('Base de Datos'!Y228),IF('Base de Datos'!Y228&gt;20000,INT('Base de Datos'!Y228),""),IF(TRIM('Base de Datos'!Y228)="","",IFERROR(DATE(VALUE(RIGHT(TRIM('Base de Datos'!Y228),4)),VALUE(MID(TRIM('Base de Datos'!Y228),4,2)),VALUE(LEFT(TRIM('Base de Datos'!Y228),2))),IFERROR(DATEVALUE(TRIM('Base de Datos'!Y228)),"")))),"")</f>
        <v>46040</v>
      </c>
      <c r="AK232" s="74" t="n">
        <f aca="false">IF(ISNUMBER('Base de Datos'!Z228),'Base de Datos'!Z228,IF(TRIM('Base de Datos'!Z228)="","",IFERROR(IF(IFERROR(FIND("@",SUBSTITUTE(TRIM('Base de Datos'!Z228),",","@",LEN(TRIM('Base de Datos'!Z228))-LEN(SUBSTITUTE(TRIM('Base de Datos'!Z228),",","")))),0)&gt;IFERROR(FIND("@",SUBSTITUTE(TRIM('Base de Datos'!Z228),".","@",LEN(TRIM('Base de Datos'!Z228))-LEN(SUBSTITUTE(TRIM('Base de Datos'!Z228),".","")))),0),_xlfn.NUMBERVALUE(SUBSTITUTE(SUBSTITUTE(TRIM('Base de Datos'!Z228),".",""),",","."),".",","),_xlfn.NUMBERVALUE(SUBSTITUTE(TRIM('Base de Datos'!Z228),",",""),".",",")),"")))</f>
        <v>68195.15</v>
      </c>
    </row>
    <row r="233" customFormat="false" ht="13.5" hidden="false" customHeight="false" outlineLevel="0" collapsed="false">
      <c r="A233" s="75" t="n">
        <f aca="false">ROWS(A$13:A233)</f>
        <v>221</v>
      </c>
      <c r="B233" s="73" t="n">
        <f aca="false">IF(B232="","",IFERROR(SMALL($AH$10:$AH$409,COUNTIF($AH$10:$AH$409,"&lt;="&amp;B232)+1),""))</f>
        <v>46026</v>
      </c>
      <c r="C233" s="74" t="n">
        <f aca="false">IF(B233="","",INDEX($AI$10:$AI$409,MATCH(B233,$AH$10:$AH$409,0)))</f>
        <v>37.17</v>
      </c>
      <c r="D233" s="74" t="n">
        <f aca="false">IF(B233="","",IFERROR(INDEX($AK$10:$AK$409,MATCH(B233,$AJ$10:$AJ$409,0)),""))</f>
        <v>66062.62</v>
      </c>
      <c r="E233" s="76" t="n">
        <f aca="false">IF(AND(ISNUMBER(C233),ISNUMBER(C232)),C233/C232-1,"")</f>
        <v>-0.110765550239234</v>
      </c>
      <c r="F233" s="76" t="n">
        <f aca="false">IF(AND(ISNUMBER(D233),ISNUMBER(D232)),D233/D232-1,"")</f>
        <v>0.0299535276458123</v>
      </c>
      <c r="G233" s="75" t="n">
        <f aca="false">IF(AND(ISNUMBER(E233),ISNUMBER(F233)),1,"")</f>
        <v>1</v>
      </c>
      <c r="H233" s="75" t="n">
        <f aca="false">IF(G233=1,COUNT(G233:G$412),"")</f>
        <v>39</v>
      </c>
      <c r="I233" s="75" t="n">
        <f aca="false">IF(G233=1,IF(H233&lt;='Beta Regresión'!$B$5,1,""),"")</f>
        <v>1</v>
      </c>
      <c r="J233" s="76" t="n">
        <f aca="false">IF(I233=1,E233,"")</f>
        <v>-0.110765550239234</v>
      </c>
      <c r="K233" s="76" t="n">
        <f aca="false">IF(I233=1,F233,"")</f>
        <v>0.0299535276458123</v>
      </c>
      <c r="L233" s="75" t="n">
        <f aca="false">IF(I233=1,COUNT(I$13:I233),"")</f>
        <v>220</v>
      </c>
      <c r="M233" s="76" t="n">
        <f aca="false">IFERROR(INDEX($J$13:$J$412,MATCH(A233,$L$13:$L$412,0)),"")</f>
        <v>-0.0486951842884047</v>
      </c>
      <c r="N233" s="76" t="n">
        <f aca="false">IFERROR(INDEX($K$13:$K$412,MATCH(A233,$L$13:$L$412,0)),"")</f>
        <v>0.0163252683590207</v>
      </c>
      <c r="O233" s="76" t="n">
        <f aca="false">IF(I233=1,E233,NA())</f>
        <v>-0.110765550239234</v>
      </c>
      <c r="P233" s="76" t="n">
        <f aca="false">IF(I233=1,F233,NA())</f>
        <v>0.0299535276458123</v>
      </c>
      <c r="R233" s="75" t="n">
        <f aca="false">ROWS(R$13:R233)</f>
        <v>221</v>
      </c>
      <c r="S233" s="73" t="str">
        <f aca="false">IF(S232="","",IFERROR(SMALL($AD$10:$AD$509,COUNTIF($AD$10:$AD$509,"&lt;="&amp;S232)+1),""))</f>
        <v/>
      </c>
      <c r="T233" s="74" t="str">
        <f aca="false">IF(S233="","",INDEX($AE$10:$AE$509,MATCH(S233,$AD$10:$AD$509,0)))</f>
        <v/>
      </c>
      <c r="U233" s="74" t="str">
        <f aca="false">IF(S233="","",IFERROR(INDEX($AG$10:$AG$509,MATCH(S233,$AF$10:$AF$509,0)),""))</f>
        <v/>
      </c>
      <c r="V233" s="76" t="str">
        <f aca="false">IF(AND(ISNUMBER(T233),ISNUMBER(T232)),T233/T232-1,"")</f>
        <v/>
      </c>
      <c r="W233" s="76" t="str">
        <f aca="false">IF(AND(ISNUMBER(U233),ISNUMBER(U232)),U233/U232-1,"")</f>
        <v/>
      </c>
      <c r="X233" s="75" t="str">
        <f aca="false">IF(AND(ISNUMBER(V233),ISNUMBER(W233)),1,"")</f>
        <v/>
      </c>
      <c r="Y233" s="76" t="str">
        <f aca="false">IF(X233=1,V233,"")</f>
        <v/>
      </c>
      <c r="Z233" s="76" t="str">
        <f aca="false">IF(X233=1,W233,"")</f>
        <v/>
      </c>
      <c r="AA233" s="76" t="e">
        <f aca="false">IF(X233=1,V233,NA())</f>
        <v>#N/A</v>
      </c>
      <c r="AB233" s="76" t="e">
        <f aca="false">IF(X233=1,W233,NA())</f>
        <v>#N/A</v>
      </c>
      <c r="AD233" s="73" t="str">
        <f aca="false">IF(ISNUMBER(AE233),IF(ISNUMBER('Base de Datos'!A229),IF('Base de Datos'!A229&gt;20000,DATE(YEAR('Base de Datos'!A229),DAY('Base de Datos'!A229),MONTH('Base de Datos'!A229)),""),IF(TRIM('Base de Datos'!A229)="","",IFERROR(DATE(VALUE(RIGHT(TRIM('Base de Datos'!A229),4)),VALUE(LEFT(TRIM('Base de Datos'!A229),2)),VALUE(MID(TRIM('Base de Datos'!A229),4,2))),""))),"")</f>
        <v/>
      </c>
      <c r="AE233" s="74" t="str">
        <f aca="false">IF(ISNUMBER('Base de Datos'!B229),'Base de Datos'!B229,IF(TRIM('Base de Datos'!B229)="","",IFERROR(IF(IFERROR(FIND("@",SUBSTITUTE(TRIM('Base de Datos'!B229),",","@",LEN(TRIM('Base de Datos'!B229))-LEN(SUBSTITUTE(TRIM('Base de Datos'!B229),",","")))),0)&gt;IFERROR(FIND("@",SUBSTITUTE(TRIM('Base de Datos'!B229),".","@",LEN(TRIM('Base de Datos'!B229))-LEN(SUBSTITUTE(TRIM('Base de Datos'!B229),".","")))),0),_xlfn.NUMBERVALUE(SUBSTITUTE(SUBSTITUTE(TRIM('Base de Datos'!B229),".",""),",","."),".",","),_xlfn.NUMBERVALUE(SUBSTITUTE(TRIM('Base de Datos'!B229),",",""),".",",")),"")))</f>
        <v/>
      </c>
      <c r="AF233" s="73" t="str">
        <f aca="false">IF(ISNUMBER(AG233),IF(ISNUMBER('Base de Datos'!I229),IF('Base de Datos'!I229&gt;20000,INT('Base de Datos'!I229),""),IF(TRIM('Base de Datos'!I229)="","",IFERROR(DATE(VALUE(RIGHT(TRIM('Base de Datos'!I229),4)),VALUE(MID(TRIM('Base de Datos'!I229),4,2)),VALUE(LEFT(TRIM('Base de Datos'!I229),2))),IFERROR(DATEVALUE(TRIM('Base de Datos'!I229)),"")))),"")</f>
        <v/>
      </c>
      <c r="AG233" s="74" t="str">
        <f aca="false">IF(ISNUMBER('Base de Datos'!J229),'Base de Datos'!J229,IF(TRIM('Base de Datos'!J229)="","",IFERROR(IF(IFERROR(FIND("@",SUBSTITUTE(TRIM('Base de Datos'!J229),",","@",LEN(TRIM('Base de Datos'!J229))-LEN(SUBSTITUTE(TRIM('Base de Datos'!J229),",","")))),0)&gt;IFERROR(FIND("@",SUBSTITUTE(TRIM('Base de Datos'!J229),".","@",LEN(TRIM('Base de Datos'!J229))-LEN(SUBSTITUTE(TRIM('Base de Datos'!J229),".","")))),0),_xlfn.NUMBERVALUE(SUBSTITUTE(SUBSTITUTE(TRIM('Base de Datos'!J229),".",""),",","."),".",","),_xlfn.NUMBERVALUE(SUBSTITUTE(TRIM('Base de Datos'!J229),",",""),".",",")),"")))</f>
        <v/>
      </c>
      <c r="AH233" s="73" t="n">
        <f aca="false">IF(ISNUMBER(AI233),IF(ISNUMBER('Base de Datos'!Q229),IF('Base de Datos'!Q229&gt;20000,DATE(YEAR('Base de Datos'!Q229),DAY('Base de Datos'!Q229),MONTH('Base de Datos'!Q229)),""),IF(TRIM('Base de Datos'!Q229)="","",IFERROR(DATE(VALUE(RIGHT(TRIM('Base de Datos'!Q229),4)),VALUE(LEFT(TRIM('Base de Datos'!Q229),2)),VALUE(MID(TRIM('Base de Datos'!Q229),4,2))),""))),"")</f>
        <v>46047</v>
      </c>
      <c r="AI233" s="74" t="n">
        <f aca="false">IF(ISNUMBER('Base de Datos'!R229),'Base de Datos'!R229,IF(TRIM('Base de Datos'!R229)="","",IFERROR(IF(IFERROR(FIND("@",SUBSTITUTE(TRIM('Base de Datos'!R229),",","@",LEN(TRIM('Base de Datos'!R229))-LEN(SUBSTITUTE(TRIM('Base de Datos'!R229),",","")))),0)&gt;IFERROR(FIND("@",SUBSTITUTE(TRIM('Base de Datos'!R229),".","@",LEN(TRIM('Base de Datos'!R229))-LEN(SUBSTITUTE(TRIM('Base de Datos'!R229),".","")))),0),_xlfn.NUMBERVALUE(SUBSTITUTE(SUBSTITUTE(TRIM('Base de Datos'!R229),".",""),",","."),".",","),_xlfn.NUMBERVALUE(SUBSTITUTE(TRIM('Base de Datos'!R229),",",""),".",",")),"")))</f>
        <v>35.8</v>
      </c>
      <c r="AJ233" s="73" t="n">
        <f aca="false">IF(ISNUMBER(AK233),IF(ISNUMBER('Base de Datos'!Y229),IF('Base de Datos'!Y229&gt;20000,INT('Base de Datos'!Y229),""),IF(TRIM('Base de Datos'!Y229)="","",IFERROR(DATE(VALUE(RIGHT(TRIM('Base de Datos'!Y229),4)),VALUE(MID(TRIM('Base de Datos'!Y229),4,2)),VALUE(LEFT(TRIM('Base de Datos'!Y229),2))),IFERROR(DATEVALUE(TRIM('Base de Datos'!Y229)),"")))),"")</f>
        <v>46047</v>
      </c>
      <c r="AK233" s="74" t="n">
        <f aca="false">IF(ISNUMBER('Base de Datos'!Z229),'Base de Datos'!Z229,IF(TRIM('Base de Datos'!Z229)="","",IFERROR(IF(IFERROR(FIND("@",SUBSTITUTE(TRIM('Base de Datos'!Z229),",","@",LEN(TRIM('Base de Datos'!Z229))-LEN(SUBSTITUTE(TRIM('Base de Datos'!Z229),",","")))),0)&gt;IFERROR(FIND("@",SUBSTITUTE(TRIM('Base de Datos'!Z229),".","@",LEN(TRIM('Base de Datos'!Z229))-LEN(SUBSTITUTE(TRIM('Base de Datos'!Z229),".","")))),0),_xlfn.NUMBERVALUE(SUBSTITUTE(SUBSTITUTE(TRIM('Base de Datos'!Z229),".",""),",","."),".",","),_xlfn.NUMBERVALUE(SUBSTITUTE(TRIM('Base de Datos'!Z229),",",""),".",",")),"")))</f>
        <v>67598.95</v>
      </c>
    </row>
    <row r="234" customFormat="false" ht="13.5" hidden="false" customHeight="false" outlineLevel="0" collapsed="false">
      <c r="A234" s="75" t="n">
        <f aca="false">ROWS(A$13:A234)</f>
        <v>222</v>
      </c>
      <c r="B234" s="73" t="n">
        <f aca="false">IF(B233="","",IFERROR(SMALL($AH$10:$AH$409,COUNTIF($AH$10:$AH$409,"&lt;="&amp;B233)+1),""))</f>
        <v>46033</v>
      </c>
      <c r="C234" s="74" t="n">
        <f aca="false">IF(B234="","",INDEX($AI$10:$AI$409,MATCH(B234,$AH$10:$AH$409,0)))</f>
        <v>35.36</v>
      </c>
      <c r="D234" s="74" t="n">
        <f aca="false">IF(B234="","",IFERROR(INDEX($AK$10:$AK$409,MATCH(B234,$AJ$10:$AJ$409,0)),""))</f>
        <v>67141.11</v>
      </c>
      <c r="E234" s="76" t="n">
        <f aca="false">IF(AND(ISNUMBER(C234),ISNUMBER(C233)),C234/C233-1,"")</f>
        <v>-0.0486951842884047</v>
      </c>
      <c r="F234" s="76" t="n">
        <f aca="false">IF(AND(ISNUMBER(D234),ISNUMBER(D233)),D234/D233-1,"")</f>
        <v>0.0163252683590207</v>
      </c>
      <c r="G234" s="75" t="n">
        <f aca="false">IF(AND(ISNUMBER(E234),ISNUMBER(F234)),1,"")</f>
        <v>1</v>
      </c>
      <c r="H234" s="75" t="n">
        <f aca="false">IF(G234=1,COUNT(G234:G$412),"")</f>
        <v>38</v>
      </c>
      <c r="I234" s="75" t="n">
        <f aca="false">IF(G234=1,IF(H234&lt;='Beta Regresión'!$B$5,1,""),"")</f>
        <v>1</v>
      </c>
      <c r="J234" s="76" t="n">
        <f aca="false">IF(I234=1,E234,"")</f>
        <v>-0.0486951842884047</v>
      </c>
      <c r="K234" s="76" t="n">
        <f aca="false">IF(I234=1,F234,"")</f>
        <v>0.0163252683590207</v>
      </c>
      <c r="L234" s="75" t="n">
        <f aca="false">IF(I234=1,COUNT(I$13:I234),"")</f>
        <v>221</v>
      </c>
      <c r="M234" s="76" t="n">
        <f aca="false">IFERROR(INDEX($J$13:$J$412,MATCH(A234,$L$13:$L$412,0)),"")</f>
        <v>-0.0384615384615384</v>
      </c>
      <c r="N234" s="76" t="n">
        <f aca="false">IFERROR(INDEX($K$13:$K$412,MATCH(A234,$L$13:$L$412,0)),"")</f>
        <v>0.0156988765899162</v>
      </c>
      <c r="O234" s="76" t="n">
        <f aca="false">IF(I234=1,E234,NA())</f>
        <v>-0.0486951842884047</v>
      </c>
      <c r="P234" s="76" t="n">
        <f aca="false">IF(I234=1,F234,NA())</f>
        <v>0.0163252683590207</v>
      </c>
      <c r="R234" s="75" t="n">
        <f aca="false">ROWS(R$13:R234)</f>
        <v>222</v>
      </c>
      <c r="S234" s="73" t="str">
        <f aca="false">IF(S233="","",IFERROR(SMALL($AD$10:$AD$509,COUNTIF($AD$10:$AD$509,"&lt;="&amp;S233)+1),""))</f>
        <v/>
      </c>
      <c r="T234" s="74" t="str">
        <f aca="false">IF(S234="","",INDEX($AE$10:$AE$509,MATCH(S234,$AD$10:$AD$509,0)))</f>
        <v/>
      </c>
      <c r="U234" s="74" t="str">
        <f aca="false">IF(S234="","",IFERROR(INDEX($AG$10:$AG$509,MATCH(S234,$AF$10:$AF$509,0)),""))</f>
        <v/>
      </c>
      <c r="V234" s="76" t="str">
        <f aca="false">IF(AND(ISNUMBER(T234),ISNUMBER(T233)),T234/T233-1,"")</f>
        <v/>
      </c>
      <c r="W234" s="76" t="str">
        <f aca="false">IF(AND(ISNUMBER(U234),ISNUMBER(U233)),U234/U233-1,"")</f>
        <v/>
      </c>
      <c r="X234" s="75" t="str">
        <f aca="false">IF(AND(ISNUMBER(V234),ISNUMBER(W234)),1,"")</f>
        <v/>
      </c>
      <c r="Y234" s="76" t="str">
        <f aca="false">IF(X234=1,V234,"")</f>
        <v/>
      </c>
      <c r="Z234" s="76" t="str">
        <f aca="false">IF(X234=1,W234,"")</f>
        <v/>
      </c>
      <c r="AA234" s="76" t="e">
        <f aca="false">IF(X234=1,V234,NA())</f>
        <v>#N/A</v>
      </c>
      <c r="AB234" s="76" t="e">
        <f aca="false">IF(X234=1,W234,NA())</f>
        <v>#N/A</v>
      </c>
      <c r="AD234" s="73" t="str">
        <f aca="false">IF(ISNUMBER(AE234),IF(ISNUMBER('Base de Datos'!A230),IF('Base de Datos'!A230&gt;20000,DATE(YEAR('Base de Datos'!A230),DAY('Base de Datos'!A230),MONTH('Base de Datos'!A230)),""),IF(TRIM('Base de Datos'!A230)="","",IFERROR(DATE(VALUE(RIGHT(TRIM('Base de Datos'!A230),4)),VALUE(LEFT(TRIM('Base de Datos'!A230),2)),VALUE(MID(TRIM('Base de Datos'!A230),4,2))),""))),"")</f>
        <v/>
      </c>
      <c r="AE234" s="74" t="str">
        <f aca="false">IF(ISNUMBER('Base de Datos'!B230),'Base de Datos'!B230,IF(TRIM('Base de Datos'!B230)="","",IFERROR(IF(IFERROR(FIND("@",SUBSTITUTE(TRIM('Base de Datos'!B230),",","@",LEN(TRIM('Base de Datos'!B230))-LEN(SUBSTITUTE(TRIM('Base de Datos'!B230),",","")))),0)&gt;IFERROR(FIND("@",SUBSTITUTE(TRIM('Base de Datos'!B230),".","@",LEN(TRIM('Base de Datos'!B230))-LEN(SUBSTITUTE(TRIM('Base de Datos'!B230),".","")))),0),_xlfn.NUMBERVALUE(SUBSTITUTE(SUBSTITUTE(TRIM('Base de Datos'!B230),".",""),",","."),".",","),_xlfn.NUMBERVALUE(SUBSTITUTE(TRIM('Base de Datos'!B230),",",""),".",",")),"")))</f>
        <v/>
      </c>
      <c r="AF234" s="73" t="str">
        <f aca="false">IF(ISNUMBER(AG234),IF(ISNUMBER('Base de Datos'!I230),IF('Base de Datos'!I230&gt;20000,INT('Base de Datos'!I230),""),IF(TRIM('Base de Datos'!I230)="","",IFERROR(DATE(VALUE(RIGHT(TRIM('Base de Datos'!I230),4)),VALUE(MID(TRIM('Base de Datos'!I230),4,2)),VALUE(LEFT(TRIM('Base de Datos'!I230),2))),IFERROR(DATEVALUE(TRIM('Base de Datos'!I230)),"")))),"")</f>
        <v/>
      </c>
      <c r="AG234" s="74" t="str">
        <f aca="false">IF(ISNUMBER('Base de Datos'!J230),'Base de Datos'!J230,IF(TRIM('Base de Datos'!J230)="","",IFERROR(IF(IFERROR(FIND("@",SUBSTITUTE(TRIM('Base de Datos'!J230),",","@",LEN(TRIM('Base de Datos'!J230))-LEN(SUBSTITUTE(TRIM('Base de Datos'!J230),",","")))),0)&gt;IFERROR(FIND("@",SUBSTITUTE(TRIM('Base de Datos'!J230),".","@",LEN(TRIM('Base de Datos'!J230))-LEN(SUBSTITUTE(TRIM('Base de Datos'!J230),".","")))),0),_xlfn.NUMBERVALUE(SUBSTITUTE(SUBSTITUTE(TRIM('Base de Datos'!J230),".",""),",","."),".",","),_xlfn.NUMBERVALUE(SUBSTITUTE(TRIM('Base de Datos'!J230),",",""),".",",")),"")))</f>
        <v/>
      </c>
      <c r="AH234" s="73" t="n">
        <f aca="false">IF(ISNUMBER(AI234),IF(ISNUMBER('Base de Datos'!Q230),IF('Base de Datos'!Q230&gt;20000,DATE(YEAR('Base de Datos'!Q230),DAY('Base de Datos'!Q230),MONTH('Base de Datos'!Q230)),""),IF(TRIM('Base de Datos'!Q230)="","",IFERROR(DATE(VALUE(RIGHT(TRIM('Base de Datos'!Q230),4)),VALUE(LEFT(TRIM('Base de Datos'!Q230),2)),VALUE(MID(TRIM('Base de Datos'!Q230),4,2))),""))),"")</f>
        <v>46054</v>
      </c>
      <c r="AI234" s="74" t="n">
        <f aca="false">IF(ISNUMBER('Base de Datos'!R230),'Base de Datos'!R230,IF(TRIM('Base de Datos'!R230)="","",IFERROR(IF(IFERROR(FIND("@",SUBSTITUTE(TRIM('Base de Datos'!R230),",","@",LEN(TRIM('Base de Datos'!R230))-LEN(SUBSTITUTE(TRIM('Base de Datos'!R230),",","")))),0)&gt;IFERROR(FIND("@",SUBSTITUTE(TRIM('Base de Datos'!R230),".","@",LEN(TRIM('Base de Datos'!R230))-LEN(SUBSTITUTE(TRIM('Base de Datos'!R230),".","")))),0),_xlfn.NUMBERVALUE(SUBSTITUTE(SUBSTITUTE(TRIM('Base de Datos'!R230),".",""),",","."),".",","),_xlfn.NUMBERVALUE(SUBSTITUTE(TRIM('Base de Datos'!R230),",",""),".",",")),"")))</f>
        <v>36</v>
      </c>
      <c r="AJ234" s="73" t="n">
        <f aca="false">IF(ISNUMBER(AK234),IF(ISNUMBER('Base de Datos'!Y230),IF('Base de Datos'!Y230&gt;20000,INT('Base de Datos'!Y230),""),IF(TRIM('Base de Datos'!Y230)="","",IFERROR(DATE(VALUE(RIGHT(TRIM('Base de Datos'!Y230),4)),VALUE(MID(TRIM('Base de Datos'!Y230),4,2)),VALUE(LEFT(TRIM('Base de Datos'!Y230),2))),IFERROR(DATEVALUE(TRIM('Base de Datos'!Y230)),"")))),"")</f>
        <v>46054</v>
      </c>
      <c r="AK234" s="74" t="n">
        <f aca="false">IF(ISNUMBER('Base de Datos'!Z230),'Base de Datos'!Z230,IF(TRIM('Base de Datos'!Z230)="","",IFERROR(IF(IFERROR(FIND("@",SUBSTITUTE(TRIM('Base de Datos'!Z230),",","@",LEN(TRIM('Base de Datos'!Z230))-LEN(SUBSTITUTE(TRIM('Base de Datos'!Z230),",","")))),0)&gt;IFERROR(FIND("@",SUBSTITUTE(TRIM('Base de Datos'!Z230),".","@",LEN(TRIM('Base de Datos'!Z230))-LEN(SUBSTITUTE(TRIM('Base de Datos'!Z230),".","")))),0),_xlfn.NUMBERVALUE(SUBSTITUTE(SUBSTITUTE(TRIM('Base de Datos'!Z230),".",""),",","."),".",","),_xlfn.NUMBERVALUE(SUBSTITUTE(TRIM('Base de Datos'!Z230),",",""),".",",")),"")))</f>
        <v>70809.57</v>
      </c>
    </row>
    <row r="235" customFormat="false" ht="13.5" hidden="false" customHeight="false" outlineLevel="0" collapsed="false">
      <c r="A235" s="75" t="n">
        <f aca="false">ROWS(A$13:A235)</f>
        <v>223</v>
      </c>
      <c r="B235" s="73" t="n">
        <f aca="false">IF(B234="","",IFERROR(SMALL($AH$10:$AH$409,COUNTIF($AH$10:$AH$409,"&lt;="&amp;B234)+1),""))</f>
        <v>46040</v>
      </c>
      <c r="C235" s="74" t="n">
        <f aca="false">IF(B235="","",INDEX($AI$10:$AI$409,MATCH(B235,$AH$10:$AH$409,0)))</f>
        <v>34</v>
      </c>
      <c r="D235" s="74" t="n">
        <f aca="false">IF(B235="","",IFERROR(INDEX($AK$10:$AK$409,MATCH(B235,$AJ$10:$AJ$409,0)),""))</f>
        <v>68195.15</v>
      </c>
      <c r="E235" s="76" t="n">
        <f aca="false">IF(AND(ISNUMBER(C235),ISNUMBER(C234)),C235/C234-1,"")</f>
        <v>-0.0384615384615384</v>
      </c>
      <c r="F235" s="76" t="n">
        <f aca="false">IF(AND(ISNUMBER(D235),ISNUMBER(D234)),D235/D234-1,"")</f>
        <v>0.0156988765899162</v>
      </c>
      <c r="G235" s="75" t="n">
        <f aca="false">IF(AND(ISNUMBER(E235),ISNUMBER(F235)),1,"")</f>
        <v>1</v>
      </c>
      <c r="H235" s="75" t="n">
        <f aca="false">IF(G235=1,COUNT(G235:G$412),"")</f>
        <v>37</v>
      </c>
      <c r="I235" s="75" t="n">
        <f aca="false">IF(G235=1,IF(H235&lt;='Beta Regresión'!$B$5,1,""),"")</f>
        <v>1</v>
      </c>
      <c r="J235" s="76" t="n">
        <f aca="false">IF(I235=1,E235,"")</f>
        <v>-0.0384615384615384</v>
      </c>
      <c r="K235" s="76" t="n">
        <f aca="false">IF(I235=1,F235,"")</f>
        <v>0.0156988765899162</v>
      </c>
      <c r="L235" s="75" t="n">
        <f aca="false">IF(I235=1,COUNT(I$13:I235),"")</f>
        <v>222</v>
      </c>
      <c r="M235" s="76" t="n">
        <f aca="false">IFERROR(INDEX($J$13:$J$412,MATCH(A235,$L$13:$L$412,0)),"")</f>
        <v>0.0529411764705881</v>
      </c>
      <c r="N235" s="76" t="n">
        <f aca="false">IFERROR(INDEX($K$13:$K$412,MATCH(A235,$L$13:$L$412,0)),"")</f>
        <v>-0.00874255720531436</v>
      </c>
      <c r="O235" s="76" t="n">
        <f aca="false">IF(I235=1,E235,NA())</f>
        <v>-0.0384615384615384</v>
      </c>
      <c r="P235" s="76" t="n">
        <f aca="false">IF(I235=1,F235,NA())</f>
        <v>0.0156988765899162</v>
      </c>
      <c r="R235" s="75" t="n">
        <f aca="false">ROWS(R$13:R235)</f>
        <v>223</v>
      </c>
      <c r="S235" s="73" t="str">
        <f aca="false">IF(S234="","",IFERROR(SMALL($AD$10:$AD$509,COUNTIF($AD$10:$AD$509,"&lt;="&amp;S234)+1),""))</f>
        <v/>
      </c>
      <c r="T235" s="74" t="str">
        <f aca="false">IF(S235="","",INDEX($AE$10:$AE$509,MATCH(S235,$AD$10:$AD$509,0)))</f>
        <v/>
      </c>
      <c r="U235" s="74" t="str">
        <f aca="false">IF(S235="","",IFERROR(INDEX($AG$10:$AG$509,MATCH(S235,$AF$10:$AF$509,0)),""))</f>
        <v/>
      </c>
      <c r="V235" s="76" t="str">
        <f aca="false">IF(AND(ISNUMBER(T235),ISNUMBER(T234)),T235/T234-1,"")</f>
        <v/>
      </c>
      <c r="W235" s="76" t="str">
        <f aca="false">IF(AND(ISNUMBER(U235),ISNUMBER(U234)),U235/U234-1,"")</f>
        <v/>
      </c>
      <c r="X235" s="75" t="str">
        <f aca="false">IF(AND(ISNUMBER(V235),ISNUMBER(W235)),1,"")</f>
        <v/>
      </c>
      <c r="Y235" s="76" t="str">
        <f aca="false">IF(X235=1,V235,"")</f>
        <v/>
      </c>
      <c r="Z235" s="76" t="str">
        <f aca="false">IF(X235=1,W235,"")</f>
        <v/>
      </c>
      <c r="AA235" s="76" t="e">
        <f aca="false">IF(X235=1,V235,NA())</f>
        <v>#N/A</v>
      </c>
      <c r="AB235" s="76" t="e">
        <f aca="false">IF(X235=1,W235,NA())</f>
        <v>#N/A</v>
      </c>
      <c r="AD235" s="73" t="str">
        <f aca="false">IF(ISNUMBER(AE235),IF(ISNUMBER('Base de Datos'!A231),IF('Base de Datos'!A231&gt;20000,DATE(YEAR('Base de Datos'!A231),DAY('Base de Datos'!A231),MONTH('Base de Datos'!A231)),""),IF(TRIM('Base de Datos'!A231)="","",IFERROR(DATE(VALUE(RIGHT(TRIM('Base de Datos'!A231),4)),VALUE(LEFT(TRIM('Base de Datos'!A231),2)),VALUE(MID(TRIM('Base de Datos'!A231),4,2))),""))),"")</f>
        <v/>
      </c>
      <c r="AE235" s="74" t="str">
        <f aca="false">IF(ISNUMBER('Base de Datos'!B231),'Base de Datos'!B231,IF(TRIM('Base de Datos'!B231)="","",IFERROR(IF(IFERROR(FIND("@",SUBSTITUTE(TRIM('Base de Datos'!B231),",","@",LEN(TRIM('Base de Datos'!B231))-LEN(SUBSTITUTE(TRIM('Base de Datos'!B231),",","")))),0)&gt;IFERROR(FIND("@",SUBSTITUTE(TRIM('Base de Datos'!B231),".","@",LEN(TRIM('Base de Datos'!B231))-LEN(SUBSTITUTE(TRIM('Base de Datos'!B231),".","")))),0),_xlfn.NUMBERVALUE(SUBSTITUTE(SUBSTITUTE(TRIM('Base de Datos'!B231),".",""),",","."),".",","),_xlfn.NUMBERVALUE(SUBSTITUTE(TRIM('Base de Datos'!B231),",",""),".",",")),"")))</f>
        <v/>
      </c>
      <c r="AF235" s="73" t="str">
        <f aca="false">IF(ISNUMBER(AG235),IF(ISNUMBER('Base de Datos'!I231),IF('Base de Datos'!I231&gt;20000,INT('Base de Datos'!I231),""),IF(TRIM('Base de Datos'!I231)="","",IFERROR(DATE(VALUE(RIGHT(TRIM('Base de Datos'!I231),4)),VALUE(MID(TRIM('Base de Datos'!I231),4,2)),VALUE(LEFT(TRIM('Base de Datos'!I231),2))),IFERROR(DATEVALUE(TRIM('Base de Datos'!I231)),"")))),"")</f>
        <v/>
      </c>
      <c r="AG235" s="74" t="str">
        <f aca="false">IF(ISNUMBER('Base de Datos'!J231),'Base de Datos'!J231,IF(TRIM('Base de Datos'!J231)="","",IFERROR(IF(IFERROR(FIND("@",SUBSTITUTE(TRIM('Base de Datos'!J231),",","@",LEN(TRIM('Base de Datos'!J231))-LEN(SUBSTITUTE(TRIM('Base de Datos'!J231),",","")))),0)&gt;IFERROR(FIND("@",SUBSTITUTE(TRIM('Base de Datos'!J231),".","@",LEN(TRIM('Base de Datos'!J231))-LEN(SUBSTITUTE(TRIM('Base de Datos'!J231),".","")))),0),_xlfn.NUMBERVALUE(SUBSTITUTE(SUBSTITUTE(TRIM('Base de Datos'!J231),".",""),",","."),".",","),_xlfn.NUMBERVALUE(SUBSTITUTE(TRIM('Base de Datos'!J231),",",""),".",",")),"")))</f>
        <v/>
      </c>
      <c r="AH235" s="73" t="n">
        <f aca="false">IF(ISNUMBER(AI235),IF(ISNUMBER('Base de Datos'!Q231),IF('Base de Datos'!Q231&gt;20000,DATE(YEAR('Base de Datos'!Q231),DAY('Base de Datos'!Q231),MONTH('Base de Datos'!Q231)),""),IF(TRIM('Base de Datos'!Q231)="","",IFERROR(DATE(VALUE(RIGHT(TRIM('Base de Datos'!Q231),4)),VALUE(LEFT(TRIM('Base de Datos'!Q231),2)),VALUE(MID(TRIM('Base de Datos'!Q231),4,2))),""))),"")</f>
        <v>46061</v>
      </c>
      <c r="AI235" s="74" t="n">
        <f aca="false">IF(ISNUMBER('Base de Datos'!R231),'Base de Datos'!R231,IF(TRIM('Base de Datos'!R231)="","",IFERROR(IF(IFERROR(FIND("@",SUBSTITUTE(TRIM('Base de Datos'!R231),",","@",LEN(TRIM('Base de Datos'!R231))-LEN(SUBSTITUTE(TRIM('Base de Datos'!R231),",","")))),0)&gt;IFERROR(FIND("@",SUBSTITUTE(TRIM('Base de Datos'!R231),".","@",LEN(TRIM('Base de Datos'!R231))-LEN(SUBSTITUTE(TRIM('Base de Datos'!R231),".","")))),0),_xlfn.NUMBERVALUE(SUBSTITUTE(SUBSTITUTE(TRIM('Base de Datos'!R231),".",""),",","."),".",","),_xlfn.NUMBERVALUE(SUBSTITUTE(TRIM('Base de Datos'!R231),",",""),".",",")),"")))</f>
        <v>38</v>
      </c>
      <c r="AJ235" s="73" t="n">
        <f aca="false">IF(ISNUMBER(AK235),IF(ISNUMBER('Base de Datos'!Y231),IF('Base de Datos'!Y231&gt;20000,INT('Base de Datos'!Y231),""),IF(TRIM('Base de Datos'!Y231)="","",IFERROR(DATE(VALUE(RIGHT(TRIM('Base de Datos'!Y231),4)),VALUE(MID(TRIM('Base de Datos'!Y231),4,2)),VALUE(LEFT(TRIM('Base de Datos'!Y231),2))),IFERROR(DATEVALUE(TRIM('Base de Datos'!Y231)),"")))),"")</f>
        <v>46061</v>
      </c>
      <c r="AK235" s="74" t="n">
        <f aca="false">IF(ISNUMBER('Base de Datos'!Z231),'Base de Datos'!Z231,IF(TRIM('Base de Datos'!Z231)="","",IFERROR(IF(IFERROR(FIND("@",SUBSTITUTE(TRIM('Base de Datos'!Z231),",","@",LEN(TRIM('Base de Datos'!Z231))-LEN(SUBSTITUTE(TRIM('Base de Datos'!Z231),",","")))),0)&gt;IFERROR(FIND("@",SUBSTITUTE(TRIM('Base de Datos'!Z231),".","@",LEN(TRIM('Base de Datos'!Z231))-LEN(SUBSTITUTE(TRIM('Base de Datos'!Z231),".","")))),0),_xlfn.NUMBERVALUE(SUBSTITUTE(SUBSTITUTE(TRIM('Base de Datos'!Z231),".",""),",","."),".",","),_xlfn.NUMBERVALUE(SUBSTITUTE(TRIM('Base de Datos'!Z231),",",""),".",",")),"")))</f>
        <v>71478.81</v>
      </c>
    </row>
    <row r="236" customFormat="false" ht="13.5" hidden="false" customHeight="false" outlineLevel="0" collapsed="false">
      <c r="A236" s="75" t="n">
        <f aca="false">ROWS(A$13:A236)</f>
        <v>224</v>
      </c>
      <c r="B236" s="73" t="n">
        <f aca="false">IF(B235="","",IFERROR(SMALL($AH$10:$AH$409,COUNTIF($AH$10:$AH$409,"&lt;="&amp;B235)+1),""))</f>
        <v>46047</v>
      </c>
      <c r="C236" s="74" t="n">
        <f aca="false">IF(B236="","",INDEX($AI$10:$AI$409,MATCH(B236,$AH$10:$AH$409,0)))</f>
        <v>35.8</v>
      </c>
      <c r="D236" s="74" t="n">
        <f aca="false">IF(B236="","",IFERROR(INDEX($AK$10:$AK$409,MATCH(B236,$AJ$10:$AJ$409,0)),""))</f>
        <v>67598.95</v>
      </c>
      <c r="E236" s="76" t="n">
        <f aca="false">IF(AND(ISNUMBER(C236),ISNUMBER(C235)),C236/C235-1,"")</f>
        <v>0.0529411764705881</v>
      </c>
      <c r="F236" s="76" t="n">
        <f aca="false">IF(AND(ISNUMBER(D236),ISNUMBER(D235)),D236/D235-1,"")</f>
        <v>-0.00874255720531436</v>
      </c>
      <c r="G236" s="75" t="n">
        <f aca="false">IF(AND(ISNUMBER(E236),ISNUMBER(F236)),1,"")</f>
        <v>1</v>
      </c>
      <c r="H236" s="75" t="n">
        <f aca="false">IF(G236=1,COUNT(G236:G$412),"")</f>
        <v>36</v>
      </c>
      <c r="I236" s="75" t="n">
        <f aca="false">IF(G236=1,IF(H236&lt;='Beta Regresión'!$B$5,1,""),"")</f>
        <v>1</v>
      </c>
      <c r="J236" s="76" t="n">
        <f aca="false">IF(I236=1,E236,"")</f>
        <v>0.0529411764705881</v>
      </c>
      <c r="K236" s="76" t="n">
        <f aca="false">IF(I236=1,F236,"")</f>
        <v>-0.00874255720531436</v>
      </c>
      <c r="L236" s="75" t="n">
        <f aca="false">IF(I236=1,COUNT(I$13:I236),"")</f>
        <v>223</v>
      </c>
      <c r="M236" s="76" t="n">
        <f aca="false">IFERROR(INDEX($J$13:$J$412,MATCH(A236,$L$13:$L$412,0)),"")</f>
        <v>0.005586592178771</v>
      </c>
      <c r="N236" s="76" t="n">
        <f aca="false">IFERROR(INDEX($K$13:$K$412,MATCH(A236,$L$13:$L$412,0)),"")</f>
        <v>0.0474951164182285</v>
      </c>
      <c r="O236" s="76" t="n">
        <f aca="false">IF(I236=1,E236,NA())</f>
        <v>0.0529411764705881</v>
      </c>
      <c r="P236" s="76" t="n">
        <f aca="false">IF(I236=1,F236,NA())</f>
        <v>-0.00874255720531436</v>
      </c>
      <c r="R236" s="75" t="n">
        <f aca="false">ROWS(R$13:R236)</f>
        <v>224</v>
      </c>
      <c r="S236" s="73" t="str">
        <f aca="false">IF(S235="","",IFERROR(SMALL($AD$10:$AD$509,COUNTIF($AD$10:$AD$509,"&lt;="&amp;S235)+1),""))</f>
        <v/>
      </c>
      <c r="T236" s="74" t="str">
        <f aca="false">IF(S236="","",INDEX($AE$10:$AE$509,MATCH(S236,$AD$10:$AD$509,0)))</f>
        <v/>
      </c>
      <c r="U236" s="74" t="str">
        <f aca="false">IF(S236="","",IFERROR(INDEX($AG$10:$AG$509,MATCH(S236,$AF$10:$AF$509,0)),""))</f>
        <v/>
      </c>
      <c r="V236" s="76" t="str">
        <f aca="false">IF(AND(ISNUMBER(T236),ISNUMBER(T235)),T236/T235-1,"")</f>
        <v/>
      </c>
      <c r="W236" s="76" t="str">
        <f aca="false">IF(AND(ISNUMBER(U236),ISNUMBER(U235)),U236/U235-1,"")</f>
        <v/>
      </c>
      <c r="X236" s="75" t="str">
        <f aca="false">IF(AND(ISNUMBER(V236),ISNUMBER(W236)),1,"")</f>
        <v/>
      </c>
      <c r="Y236" s="76" t="str">
        <f aca="false">IF(X236=1,V236,"")</f>
        <v/>
      </c>
      <c r="Z236" s="76" t="str">
        <f aca="false">IF(X236=1,W236,"")</f>
        <v/>
      </c>
      <c r="AA236" s="76" t="e">
        <f aca="false">IF(X236=1,V236,NA())</f>
        <v>#N/A</v>
      </c>
      <c r="AB236" s="76" t="e">
        <f aca="false">IF(X236=1,W236,NA())</f>
        <v>#N/A</v>
      </c>
      <c r="AD236" s="73" t="str">
        <f aca="false">IF(ISNUMBER(AE236),IF(ISNUMBER('Base de Datos'!A232),IF('Base de Datos'!A232&gt;20000,DATE(YEAR('Base de Datos'!A232),DAY('Base de Datos'!A232),MONTH('Base de Datos'!A232)),""),IF(TRIM('Base de Datos'!A232)="","",IFERROR(DATE(VALUE(RIGHT(TRIM('Base de Datos'!A232),4)),VALUE(LEFT(TRIM('Base de Datos'!A232),2)),VALUE(MID(TRIM('Base de Datos'!A232),4,2))),""))),"")</f>
        <v/>
      </c>
      <c r="AE236" s="74" t="str">
        <f aca="false">IF(ISNUMBER('Base de Datos'!B232),'Base de Datos'!B232,IF(TRIM('Base de Datos'!B232)="","",IFERROR(IF(IFERROR(FIND("@",SUBSTITUTE(TRIM('Base de Datos'!B232),",","@",LEN(TRIM('Base de Datos'!B232))-LEN(SUBSTITUTE(TRIM('Base de Datos'!B232),",","")))),0)&gt;IFERROR(FIND("@",SUBSTITUTE(TRIM('Base de Datos'!B232),".","@",LEN(TRIM('Base de Datos'!B232))-LEN(SUBSTITUTE(TRIM('Base de Datos'!B232),".","")))),0),_xlfn.NUMBERVALUE(SUBSTITUTE(SUBSTITUTE(TRIM('Base de Datos'!B232),".",""),",","."),".",","),_xlfn.NUMBERVALUE(SUBSTITUTE(TRIM('Base de Datos'!B232),",",""),".",",")),"")))</f>
        <v/>
      </c>
      <c r="AF236" s="73" t="str">
        <f aca="false">IF(ISNUMBER(AG236),IF(ISNUMBER('Base de Datos'!I232),IF('Base de Datos'!I232&gt;20000,INT('Base de Datos'!I232),""),IF(TRIM('Base de Datos'!I232)="","",IFERROR(DATE(VALUE(RIGHT(TRIM('Base de Datos'!I232),4)),VALUE(MID(TRIM('Base de Datos'!I232),4,2)),VALUE(LEFT(TRIM('Base de Datos'!I232),2))),IFERROR(DATEVALUE(TRIM('Base de Datos'!I232)),"")))),"")</f>
        <v/>
      </c>
      <c r="AG236" s="74" t="str">
        <f aca="false">IF(ISNUMBER('Base de Datos'!J232),'Base de Datos'!J232,IF(TRIM('Base de Datos'!J232)="","",IFERROR(IF(IFERROR(FIND("@",SUBSTITUTE(TRIM('Base de Datos'!J232),",","@",LEN(TRIM('Base de Datos'!J232))-LEN(SUBSTITUTE(TRIM('Base de Datos'!J232),",","")))),0)&gt;IFERROR(FIND("@",SUBSTITUTE(TRIM('Base de Datos'!J232),".","@",LEN(TRIM('Base de Datos'!J232))-LEN(SUBSTITUTE(TRIM('Base de Datos'!J232),".","")))),0),_xlfn.NUMBERVALUE(SUBSTITUTE(SUBSTITUTE(TRIM('Base de Datos'!J232),".",""),",","."),".",","),_xlfn.NUMBERVALUE(SUBSTITUTE(TRIM('Base de Datos'!J232),",",""),".",",")),"")))</f>
        <v/>
      </c>
      <c r="AH236" s="73" t="n">
        <f aca="false">IF(ISNUMBER(AI236),IF(ISNUMBER('Base de Datos'!Q232),IF('Base de Datos'!Q232&gt;20000,DATE(YEAR('Base de Datos'!Q232),DAY('Base de Datos'!Q232),MONTH('Base de Datos'!Q232)),""),IF(TRIM('Base de Datos'!Q232)="","",IFERROR(DATE(VALUE(RIGHT(TRIM('Base de Datos'!Q232),4)),VALUE(LEFT(TRIM('Base de Datos'!Q232),2)),VALUE(MID(TRIM('Base de Datos'!Q232),4,2))),""))),"")</f>
        <v>46068</v>
      </c>
      <c r="AI236" s="74" t="n">
        <f aca="false">IF(ISNUMBER('Base de Datos'!R232),'Base de Datos'!R232,IF(TRIM('Base de Datos'!R232)="","",IFERROR(IF(IFERROR(FIND("@",SUBSTITUTE(TRIM('Base de Datos'!R232),",","@",LEN(TRIM('Base de Datos'!R232))-LEN(SUBSTITUTE(TRIM('Base de Datos'!R232),",","")))),0)&gt;IFERROR(FIND("@",SUBSTITUTE(TRIM('Base de Datos'!R232),".","@",LEN(TRIM('Base de Datos'!R232))-LEN(SUBSTITUTE(TRIM('Base de Datos'!R232),".","")))),0),_xlfn.NUMBERVALUE(SUBSTITUTE(SUBSTITUTE(TRIM('Base de Datos'!R232),".",""),",","."),".",","),_xlfn.NUMBERVALUE(SUBSTITUTE(TRIM('Base de Datos'!R232),",",""),".",",")),"")))</f>
        <v>37</v>
      </c>
      <c r="AJ236" s="73" t="n">
        <f aca="false">IF(ISNUMBER(AK236),IF(ISNUMBER('Base de Datos'!Y232),IF('Base de Datos'!Y232&gt;20000,INT('Base de Datos'!Y232),""),IF(TRIM('Base de Datos'!Y232)="","",IFERROR(DATE(VALUE(RIGHT(TRIM('Base de Datos'!Y232),4)),VALUE(MID(TRIM('Base de Datos'!Y232),4,2)),VALUE(LEFT(TRIM('Base de Datos'!Y232),2))),IFERROR(DATEVALUE(TRIM('Base de Datos'!Y232)),"")))),"")</f>
        <v>46068</v>
      </c>
      <c r="AK236" s="74" t="n">
        <f aca="false">IF(ISNUMBER('Base de Datos'!Z232),'Base de Datos'!Z232,IF(TRIM('Base de Datos'!Z232)="","",IFERROR(IF(IFERROR(FIND("@",SUBSTITUTE(TRIM('Base de Datos'!Z232),",","@",LEN(TRIM('Base de Datos'!Z232))-LEN(SUBSTITUTE(TRIM('Base de Datos'!Z232),",","")))),0)&gt;IFERROR(FIND("@",SUBSTITUTE(TRIM('Base de Datos'!Z232),".","@",LEN(TRIM('Base de Datos'!Z232))-LEN(SUBSTITUTE(TRIM('Base de Datos'!Z232),".","")))),0),_xlfn.NUMBERVALUE(SUBSTITUTE(SUBSTITUTE(TRIM('Base de Datos'!Z232),".",""),",","."),".",","),_xlfn.NUMBERVALUE(SUBSTITUTE(TRIM('Base de Datos'!Z232),",",""),".",",")),"")))</f>
        <v>71436.55</v>
      </c>
    </row>
    <row r="237" customFormat="false" ht="13.5" hidden="false" customHeight="false" outlineLevel="0" collapsed="false">
      <c r="A237" s="75" t="n">
        <f aca="false">ROWS(A$13:A237)</f>
        <v>225</v>
      </c>
      <c r="B237" s="73" t="n">
        <f aca="false">IF(B236="","",IFERROR(SMALL($AH$10:$AH$409,COUNTIF($AH$10:$AH$409,"&lt;="&amp;B236)+1),""))</f>
        <v>46054</v>
      </c>
      <c r="C237" s="74" t="n">
        <f aca="false">IF(B237="","",INDEX($AI$10:$AI$409,MATCH(B237,$AH$10:$AH$409,0)))</f>
        <v>36</v>
      </c>
      <c r="D237" s="74" t="n">
        <f aca="false">IF(B237="","",IFERROR(INDEX($AK$10:$AK$409,MATCH(B237,$AJ$10:$AJ$409,0)),""))</f>
        <v>70809.57</v>
      </c>
      <c r="E237" s="76" t="n">
        <f aca="false">IF(AND(ISNUMBER(C237),ISNUMBER(C236)),C237/C236-1,"")</f>
        <v>0.005586592178771</v>
      </c>
      <c r="F237" s="76" t="n">
        <f aca="false">IF(AND(ISNUMBER(D237),ISNUMBER(D236)),D237/D236-1,"")</f>
        <v>0.0474951164182285</v>
      </c>
      <c r="G237" s="75" t="n">
        <f aca="false">IF(AND(ISNUMBER(E237),ISNUMBER(F237)),1,"")</f>
        <v>1</v>
      </c>
      <c r="H237" s="75" t="n">
        <f aca="false">IF(G237=1,COUNT(G237:G$412),"")</f>
        <v>35</v>
      </c>
      <c r="I237" s="75" t="n">
        <f aca="false">IF(G237=1,IF(H237&lt;='Beta Regresión'!$B$5,1,""),"")</f>
        <v>1</v>
      </c>
      <c r="J237" s="76" t="n">
        <f aca="false">IF(I237=1,E237,"")</f>
        <v>0.005586592178771</v>
      </c>
      <c r="K237" s="76" t="n">
        <f aca="false">IF(I237=1,F237,"")</f>
        <v>0.0474951164182285</v>
      </c>
      <c r="L237" s="75" t="n">
        <f aca="false">IF(I237=1,COUNT(I$13:I237),"")</f>
        <v>224</v>
      </c>
      <c r="M237" s="76" t="n">
        <f aca="false">IFERROR(INDEX($J$13:$J$412,MATCH(A237,$L$13:$L$412,0)),"")</f>
        <v>0.0555555555555556</v>
      </c>
      <c r="N237" s="76" t="n">
        <f aca="false">IFERROR(INDEX($K$13:$K$412,MATCH(A237,$L$13:$L$412,0)),"")</f>
        <v>0.00945126485021719</v>
      </c>
      <c r="O237" s="76" t="n">
        <f aca="false">IF(I237=1,E237,NA())</f>
        <v>0.005586592178771</v>
      </c>
      <c r="P237" s="76" t="n">
        <f aca="false">IF(I237=1,F237,NA())</f>
        <v>0.0474951164182285</v>
      </c>
      <c r="R237" s="75" t="n">
        <f aca="false">ROWS(R$13:R237)</f>
        <v>225</v>
      </c>
      <c r="S237" s="73" t="str">
        <f aca="false">IF(S236="","",IFERROR(SMALL($AD$10:$AD$509,COUNTIF($AD$10:$AD$509,"&lt;="&amp;S236)+1),""))</f>
        <v/>
      </c>
      <c r="T237" s="74" t="str">
        <f aca="false">IF(S237="","",INDEX($AE$10:$AE$509,MATCH(S237,$AD$10:$AD$509,0)))</f>
        <v/>
      </c>
      <c r="U237" s="74" t="str">
        <f aca="false">IF(S237="","",IFERROR(INDEX($AG$10:$AG$509,MATCH(S237,$AF$10:$AF$509,0)),""))</f>
        <v/>
      </c>
      <c r="V237" s="76" t="str">
        <f aca="false">IF(AND(ISNUMBER(T237),ISNUMBER(T236)),T237/T236-1,"")</f>
        <v/>
      </c>
      <c r="W237" s="76" t="str">
        <f aca="false">IF(AND(ISNUMBER(U237),ISNUMBER(U236)),U237/U236-1,"")</f>
        <v/>
      </c>
      <c r="X237" s="75" t="str">
        <f aca="false">IF(AND(ISNUMBER(V237),ISNUMBER(W237)),1,"")</f>
        <v/>
      </c>
      <c r="Y237" s="76" t="str">
        <f aca="false">IF(X237=1,V237,"")</f>
        <v/>
      </c>
      <c r="Z237" s="76" t="str">
        <f aca="false">IF(X237=1,W237,"")</f>
        <v/>
      </c>
      <c r="AA237" s="76" t="e">
        <f aca="false">IF(X237=1,V237,NA())</f>
        <v>#N/A</v>
      </c>
      <c r="AB237" s="76" t="e">
        <f aca="false">IF(X237=1,W237,NA())</f>
        <v>#N/A</v>
      </c>
      <c r="AD237" s="73" t="str">
        <f aca="false">IF(ISNUMBER(AE237),IF(ISNUMBER('Base de Datos'!A233),IF('Base de Datos'!A233&gt;20000,DATE(YEAR('Base de Datos'!A233),DAY('Base de Datos'!A233),MONTH('Base de Datos'!A233)),""),IF(TRIM('Base de Datos'!A233)="","",IFERROR(DATE(VALUE(RIGHT(TRIM('Base de Datos'!A233),4)),VALUE(LEFT(TRIM('Base de Datos'!A233),2)),VALUE(MID(TRIM('Base de Datos'!A233),4,2))),""))),"")</f>
        <v/>
      </c>
      <c r="AE237" s="74" t="str">
        <f aca="false">IF(ISNUMBER('Base de Datos'!B233),'Base de Datos'!B233,IF(TRIM('Base de Datos'!B233)="","",IFERROR(IF(IFERROR(FIND("@",SUBSTITUTE(TRIM('Base de Datos'!B233),",","@",LEN(TRIM('Base de Datos'!B233))-LEN(SUBSTITUTE(TRIM('Base de Datos'!B233),",","")))),0)&gt;IFERROR(FIND("@",SUBSTITUTE(TRIM('Base de Datos'!B233),".","@",LEN(TRIM('Base de Datos'!B233))-LEN(SUBSTITUTE(TRIM('Base de Datos'!B233),".","")))),0),_xlfn.NUMBERVALUE(SUBSTITUTE(SUBSTITUTE(TRIM('Base de Datos'!B233),".",""),",","."),".",","),_xlfn.NUMBERVALUE(SUBSTITUTE(TRIM('Base de Datos'!B233),",",""),".",",")),"")))</f>
        <v/>
      </c>
      <c r="AF237" s="73" t="str">
        <f aca="false">IF(ISNUMBER(AG237),IF(ISNUMBER('Base de Datos'!I233),IF('Base de Datos'!I233&gt;20000,INT('Base de Datos'!I233),""),IF(TRIM('Base de Datos'!I233)="","",IFERROR(DATE(VALUE(RIGHT(TRIM('Base de Datos'!I233),4)),VALUE(MID(TRIM('Base de Datos'!I233),4,2)),VALUE(LEFT(TRIM('Base de Datos'!I233),2))),IFERROR(DATEVALUE(TRIM('Base de Datos'!I233)),"")))),"")</f>
        <v/>
      </c>
      <c r="AG237" s="74" t="str">
        <f aca="false">IF(ISNUMBER('Base de Datos'!J233),'Base de Datos'!J233,IF(TRIM('Base de Datos'!J233)="","",IFERROR(IF(IFERROR(FIND("@",SUBSTITUTE(TRIM('Base de Datos'!J233),",","@",LEN(TRIM('Base de Datos'!J233))-LEN(SUBSTITUTE(TRIM('Base de Datos'!J233),",","")))),0)&gt;IFERROR(FIND("@",SUBSTITUTE(TRIM('Base de Datos'!J233),".","@",LEN(TRIM('Base de Datos'!J233))-LEN(SUBSTITUTE(TRIM('Base de Datos'!J233),".","")))),0),_xlfn.NUMBERVALUE(SUBSTITUTE(SUBSTITUTE(TRIM('Base de Datos'!J233),".",""),",","."),".",","),_xlfn.NUMBERVALUE(SUBSTITUTE(TRIM('Base de Datos'!J233),",",""),".",",")),"")))</f>
        <v/>
      </c>
      <c r="AH237" s="73" t="n">
        <f aca="false">IF(ISNUMBER(AI237),IF(ISNUMBER('Base de Datos'!Q233),IF('Base de Datos'!Q233&gt;20000,DATE(YEAR('Base de Datos'!Q233),DAY('Base de Datos'!Q233),MONTH('Base de Datos'!Q233)),""),IF(TRIM('Base de Datos'!Q233)="","",IFERROR(DATE(VALUE(RIGHT(TRIM('Base de Datos'!Q233),4)),VALUE(LEFT(TRIM('Base de Datos'!Q233),2)),VALUE(MID(TRIM('Base de Datos'!Q233),4,2))),""))),"")</f>
        <v>46075</v>
      </c>
      <c r="AI237" s="74" t="n">
        <f aca="false">IF(ISNUMBER('Base de Datos'!R233),'Base de Datos'!R233,IF(TRIM('Base de Datos'!R233)="","",IFERROR(IF(IFERROR(FIND("@",SUBSTITUTE(TRIM('Base de Datos'!R233),",","@",LEN(TRIM('Base de Datos'!R233))-LEN(SUBSTITUTE(TRIM('Base de Datos'!R233),",","")))),0)&gt;IFERROR(FIND("@",SUBSTITUTE(TRIM('Base de Datos'!R233),".","@",LEN(TRIM('Base de Datos'!R233))-LEN(SUBSTITUTE(TRIM('Base de Datos'!R233),".","")))),0),_xlfn.NUMBERVALUE(SUBSTITUTE(SUBSTITUTE(TRIM('Base de Datos'!R233),".",""),",","."),".",","),_xlfn.NUMBERVALUE(SUBSTITUTE(TRIM('Base de Datos'!R233),",",""),".",",")),"")))</f>
        <v>37.12</v>
      </c>
      <c r="AJ237" s="73" t="n">
        <f aca="false">IF(ISNUMBER(AK237),IF(ISNUMBER('Base de Datos'!Y233),IF('Base de Datos'!Y233&gt;20000,INT('Base de Datos'!Y233),""),IF(TRIM('Base de Datos'!Y233)="","",IFERROR(DATE(VALUE(RIGHT(TRIM('Base de Datos'!Y233),4)),VALUE(MID(TRIM('Base de Datos'!Y233),4,2)),VALUE(LEFT(TRIM('Base de Datos'!Y233),2))),IFERROR(DATEVALUE(TRIM('Base de Datos'!Y233)),"")))),"")</f>
        <v>46075</v>
      </c>
      <c r="AK237" s="74" t="n">
        <f aca="false">IF(ISNUMBER('Base de Datos'!Z233),'Base de Datos'!Z233,IF(TRIM('Base de Datos'!Z233)="","",IFERROR(IF(IFERROR(FIND("@",SUBSTITUTE(TRIM('Base de Datos'!Z233),",","@",LEN(TRIM('Base de Datos'!Z233))-LEN(SUBSTITUTE(TRIM('Base de Datos'!Z233),",","")))),0)&gt;IFERROR(FIND("@",SUBSTITUTE(TRIM('Base de Datos'!Z233),".","@",LEN(TRIM('Base de Datos'!Z233))-LEN(SUBSTITUTE(TRIM('Base de Datos'!Z233),".","")))),0),_xlfn.NUMBERVALUE(SUBSTITUTE(SUBSTITUTE(TRIM('Base de Datos'!Z233),".",""),",","."),".",","),_xlfn.NUMBERVALUE(SUBSTITUTE(TRIM('Base de Datos'!Z233),",",""),".",",")),"")))</f>
        <v>71405.77</v>
      </c>
    </row>
    <row r="238" customFormat="false" ht="13.5" hidden="false" customHeight="false" outlineLevel="0" collapsed="false">
      <c r="A238" s="75" t="n">
        <f aca="false">ROWS(A$13:A238)</f>
        <v>226</v>
      </c>
      <c r="B238" s="73" t="n">
        <f aca="false">IF(B237="","",IFERROR(SMALL($AH$10:$AH$409,COUNTIF($AH$10:$AH$409,"&lt;="&amp;B237)+1),""))</f>
        <v>46061</v>
      </c>
      <c r="C238" s="74" t="n">
        <f aca="false">IF(B238="","",INDEX($AI$10:$AI$409,MATCH(B238,$AH$10:$AH$409,0)))</f>
        <v>38</v>
      </c>
      <c r="D238" s="74" t="n">
        <f aca="false">IF(B238="","",IFERROR(INDEX($AK$10:$AK$409,MATCH(B238,$AJ$10:$AJ$409,0)),""))</f>
        <v>71478.81</v>
      </c>
      <c r="E238" s="76" t="n">
        <f aca="false">IF(AND(ISNUMBER(C238),ISNUMBER(C237)),C238/C237-1,"")</f>
        <v>0.0555555555555556</v>
      </c>
      <c r="F238" s="76" t="n">
        <f aca="false">IF(AND(ISNUMBER(D238),ISNUMBER(D237)),D238/D237-1,"")</f>
        <v>0.00945126485021719</v>
      </c>
      <c r="G238" s="75" t="n">
        <f aca="false">IF(AND(ISNUMBER(E238),ISNUMBER(F238)),1,"")</f>
        <v>1</v>
      </c>
      <c r="H238" s="75" t="n">
        <f aca="false">IF(G238=1,COUNT(G238:G$412),"")</f>
        <v>34</v>
      </c>
      <c r="I238" s="75" t="n">
        <f aca="false">IF(G238=1,IF(H238&lt;='Beta Regresión'!$B$5,1,""),"")</f>
        <v>1</v>
      </c>
      <c r="J238" s="76" t="n">
        <f aca="false">IF(I238=1,E238,"")</f>
        <v>0.0555555555555556</v>
      </c>
      <c r="K238" s="76" t="n">
        <f aca="false">IF(I238=1,F238,"")</f>
        <v>0.00945126485021719</v>
      </c>
      <c r="L238" s="75" t="n">
        <f aca="false">IF(I238=1,COUNT(I$13:I238),"")</f>
        <v>225</v>
      </c>
      <c r="M238" s="76" t="n">
        <f aca="false">IFERROR(INDEX($J$13:$J$412,MATCH(A238,$L$13:$L$412,0)),"")</f>
        <v>-0.0263157894736842</v>
      </c>
      <c r="N238" s="76" t="n">
        <f aca="false">IFERROR(INDEX($K$13:$K$412,MATCH(A238,$L$13:$L$412,0)),"")</f>
        <v>-0.000591224168393301</v>
      </c>
      <c r="O238" s="76" t="n">
        <f aca="false">IF(I238=1,E238,NA())</f>
        <v>0.0555555555555556</v>
      </c>
      <c r="P238" s="76" t="n">
        <f aca="false">IF(I238=1,F238,NA())</f>
        <v>0.00945126485021719</v>
      </c>
      <c r="R238" s="75" t="n">
        <f aca="false">ROWS(R$13:R238)</f>
        <v>226</v>
      </c>
      <c r="S238" s="73" t="str">
        <f aca="false">IF(S237="","",IFERROR(SMALL($AD$10:$AD$509,COUNTIF($AD$10:$AD$509,"&lt;="&amp;S237)+1),""))</f>
        <v/>
      </c>
      <c r="T238" s="74" t="str">
        <f aca="false">IF(S238="","",INDEX($AE$10:$AE$509,MATCH(S238,$AD$10:$AD$509,0)))</f>
        <v/>
      </c>
      <c r="U238" s="74" t="str">
        <f aca="false">IF(S238="","",IFERROR(INDEX($AG$10:$AG$509,MATCH(S238,$AF$10:$AF$509,0)),""))</f>
        <v/>
      </c>
      <c r="V238" s="76" t="str">
        <f aca="false">IF(AND(ISNUMBER(T238),ISNUMBER(T237)),T238/T237-1,"")</f>
        <v/>
      </c>
      <c r="W238" s="76" t="str">
        <f aca="false">IF(AND(ISNUMBER(U238),ISNUMBER(U237)),U238/U237-1,"")</f>
        <v/>
      </c>
      <c r="X238" s="75" t="str">
        <f aca="false">IF(AND(ISNUMBER(V238),ISNUMBER(W238)),1,"")</f>
        <v/>
      </c>
      <c r="Y238" s="76" t="str">
        <f aca="false">IF(X238=1,V238,"")</f>
        <v/>
      </c>
      <c r="Z238" s="76" t="str">
        <f aca="false">IF(X238=1,W238,"")</f>
        <v/>
      </c>
      <c r="AA238" s="76" t="e">
        <f aca="false">IF(X238=1,V238,NA())</f>
        <v>#N/A</v>
      </c>
      <c r="AB238" s="76" t="e">
        <f aca="false">IF(X238=1,W238,NA())</f>
        <v>#N/A</v>
      </c>
      <c r="AD238" s="73" t="str">
        <f aca="false">IF(ISNUMBER(AE238),IF(ISNUMBER('Base de Datos'!A234),IF('Base de Datos'!A234&gt;20000,DATE(YEAR('Base de Datos'!A234),DAY('Base de Datos'!A234),MONTH('Base de Datos'!A234)),""),IF(TRIM('Base de Datos'!A234)="","",IFERROR(DATE(VALUE(RIGHT(TRIM('Base de Datos'!A234),4)),VALUE(LEFT(TRIM('Base de Datos'!A234),2)),VALUE(MID(TRIM('Base de Datos'!A234),4,2))),""))),"")</f>
        <v/>
      </c>
      <c r="AE238" s="74" t="str">
        <f aca="false">IF(ISNUMBER('Base de Datos'!B234),'Base de Datos'!B234,IF(TRIM('Base de Datos'!B234)="","",IFERROR(IF(IFERROR(FIND("@",SUBSTITUTE(TRIM('Base de Datos'!B234),",","@",LEN(TRIM('Base de Datos'!B234))-LEN(SUBSTITUTE(TRIM('Base de Datos'!B234),",","")))),0)&gt;IFERROR(FIND("@",SUBSTITUTE(TRIM('Base de Datos'!B234),".","@",LEN(TRIM('Base de Datos'!B234))-LEN(SUBSTITUTE(TRIM('Base de Datos'!B234),".","")))),0),_xlfn.NUMBERVALUE(SUBSTITUTE(SUBSTITUTE(TRIM('Base de Datos'!B234),".",""),",","."),".",","),_xlfn.NUMBERVALUE(SUBSTITUTE(TRIM('Base de Datos'!B234),",",""),".",",")),"")))</f>
        <v/>
      </c>
      <c r="AF238" s="73" t="str">
        <f aca="false">IF(ISNUMBER(AG238),IF(ISNUMBER('Base de Datos'!I234),IF('Base de Datos'!I234&gt;20000,INT('Base de Datos'!I234),""),IF(TRIM('Base de Datos'!I234)="","",IFERROR(DATE(VALUE(RIGHT(TRIM('Base de Datos'!I234),4)),VALUE(MID(TRIM('Base de Datos'!I234),4,2)),VALUE(LEFT(TRIM('Base de Datos'!I234),2))),IFERROR(DATEVALUE(TRIM('Base de Datos'!I234)),"")))),"")</f>
        <v/>
      </c>
      <c r="AG238" s="74" t="str">
        <f aca="false">IF(ISNUMBER('Base de Datos'!J234),'Base de Datos'!J234,IF(TRIM('Base de Datos'!J234)="","",IFERROR(IF(IFERROR(FIND("@",SUBSTITUTE(TRIM('Base de Datos'!J234),",","@",LEN(TRIM('Base de Datos'!J234))-LEN(SUBSTITUTE(TRIM('Base de Datos'!J234),",","")))),0)&gt;IFERROR(FIND("@",SUBSTITUTE(TRIM('Base de Datos'!J234),".","@",LEN(TRIM('Base de Datos'!J234))-LEN(SUBSTITUTE(TRIM('Base de Datos'!J234),".","")))),0),_xlfn.NUMBERVALUE(SUBSTITUTE(SUBSTITUTE(TRIM('Base de Datos'!J234),".",""),",","."),".",","),_xlfn.NUMBERVALUE(SUBSTITUTE(TRIM('Base de Datos'!J234),",",""),".",",")),"")))</f>
        <v/>
      </c>
      <c r="AH238" s="73" t="n">
        <f aca="false">IF(ISNUMBER(AI238),IF(ISNUMBER('Base de Datos'!Q234),IF('Base de Datos'!Q234&gt;20000,DATE(YEAR('Base de Datos'!Q234),DAY('Base de Datos'!Q234),MONTH('Base de Datos'!Q234)),""),IF(TRIM('Base de Datos'!Q234)="","",IFERROR(DATE(VALUE(RIGHT(TRIM('Base de Datos'!Q234),4)),VALUE(LEFT(TRIM('Base de Datos'!Q234),2)),VALUE(MID(TRIM('Base de Datos'!Q234),4,2))),""))),"")</f>
        <v>46082</v>
      </c>
      <c r="AI238" s="74" t="n">
        <f aca="false">IF(ISNUMBER('Base de Datos'!R234),'Base de Datos'!R234,IF(TRIM('Base de Datos'!R234)="","",IFERROR(IF(IFERROR(FIND("@",SUBSTITUTE(TRIM('Base de Datos'!R234),",","@",LEN(TRIM('Base de Datos'!R234))-LEN(SUBSTITUTE(TRIM('Base de Datos'!R234),",","")))),0)&gt;IFERROR(FIND("@",SUBSTITUTE(TRIM('Base de Datos'!R234),".","@",LEN(TRIM('Base de Datos'!R234))-LEN(SUBSTITUTE(TRIM('Base de Datos'!R234),".","")))),0),_xlfn.NUMBERVALUE(SUBSTITUTE(SUBSTITUTE(TRIM('Base de Datos'!R234),".",""),",","."),".",","),_xlfn.NUMBERVALUE(SUBSTITUTE(TRIM('Base de Datos'!R234),",",""),".",",")),"")))</f>
        <v>36.5</v>
      </c>
      <c r="AJ238" s="73" t="n">
        <f aca="false">IF(ISNUMBER(AK238),IF(ISNUMBER('Base de Datos'!Y234),IF('Base de Datos'!Y234&gt;20000,INT('Base de Datos'!Y234),""),IF(TRIM('Base de Datos'!Y234)="","",IFERROR(DATE(VALUE(RIGHT(TRIM('Base de Datos'!Y234),4)),VALUE(MID(TRIM('Base de Datos'!Y234),4,2)),VALUE(LEFT(TRIM('Base de Datos'!Y234),2))),IFERROR(DATEVALUE(TRIM('Base de Datos'!Y234)),"")))),"")</f>
        <v>46082</v>
      </c>
      <c r="AK238" s="74" t="n">
        <f aca="false">IF(ISNUMBER('Base de Datos'!Z234),'Base de Datos'!Z234,IF(TRIM('Base de Datos'!Z234)="","",IFERROR(IF(IFERROR(FIND("@",SUBSTITUTE(TRIM('Base de Datos'!Z234),",","@",LEN(TRIM('Base de Datos'!Z234))-LEN(SUBSTITUTE(TRIM('Base de Datos'!Z234),",","")))),0)&gt;IFERROR(FIND("@",SUBSTITUTE(TRIM('Base de Datos'!Z234),".","@",LEN(TRIM('Base de Datos'!Z234))-LEN(SUBSTITUTE(TRIM('Base de Datos'!Z234),".","")))),0),_xlfn.NUMBERVALUE(SUBSTITUTE(SUBSTITUTE(TRIM('Base de Datos'!Z234),".",""),",","."),".",","),_xlfn.NUMBERVALUE(SUBSTITUTE(TRIM('Base de Datos'!Z234),",",""),".",",")),"")))</f>
        <v>67313.5</v>
      </c>
    </row>
    <row r="239" customFormat="false" ht="13.5" hidden="false" customHeight="false" outlineLevel="0" collapsed="false">
      <c r="A239" s="75" t="n">
        <f aca="false">ROWS(A$13:A239)</f>
        <v>227</v>
      </c>
      <c r="B239" s="73" t="n">
        <f aca="false">IF(B238="","",IFERROR(SMALL($AH$10:$AH$409,COUNTIF($AH$10:$AH$409,"&lt;="&amp;B238)+1),""))</f>
        <v>46068</v>
      </c>
      <c r="C239" s="74" t="n">
        <f aca="false">IF(B239="","",INDEX($AI$10:$AI$409,MATCH(B239,$AH$10:$AH$409,0)))</f>
        <v>37</v>
      </c>
      <c r="D239" s="74" t="n">
        <f aca="false">IF(B239="","",IFERROR(INDEX($AK$10:$AK$409,MATCH(B239,$AJ$10:$AJ$409,0)),""))</f>
        <v>71436.55</v>
      </c>
      <c r="E239" s="76" t="n">
        <f aca="false">IF(AND(ISNUMBER(C239),ISNUMBER(C238)),C239/C238-1,"")</f>
        <v>-0.0263157894736842</v>
      </c>
      <c r="F239" s="76" t="n">
        <f aca="false">IF(AND(ISNUMBER(D239),ISNUMBER(D238)),D239/D238-1,"")</f>
        <v>-0.000591224168393301</v>
      </c>
      <c r="G239" s="75" t="n">
        <f aca="false">IF(AND(ISNUMBER(E239),ISNUMBER(F239)),1,"")</f>
        <v>1</v>
      </c>
      <c r="H239" s="75" t="n">
        <f aca="false">IF(G239=1,COUNT(G239:G$412),"")</f>
        <v>33</v>
      </c>
      <c r="I239" s="75" t="n">
        <f aca="false">IF(G239=1,IF(H239&lt;='Beta Regresión'!$B$5,1,""),"")</f>
        <v>1</v>
      </c>
      <c r="J239" s="76" t="n">
        <f aca="false">IF(I239=1,E239,"")</f>
        <v>-0.0263157894736842</v>
      </c>
      <c r="K239" s="76" t="n">
        <f aca="false">IF(I239=1,F239,"")</f>
        <v>-0.000591224168393301</v>
      </c>
      <c r="L239" s="75" t="n">
        <f aca="false">IF(I239=1,COUNT(I$13:I239),"")</f>
        <v>226</v>
      </c>
      <c r="M239" s="76" t="n">
        <f aca="false">IFERROR(INDEX($J$13:$J$412,MATCH(A239,$L$13:$L$412,0)),"")</f>
        <v>0.00324324324324321</v>
      </c>
      <c r="N239" s="76" t="n">
        <f aca="false">IFERROR(INDEX($K$13:$K$412,MATCH(A239,$L$13:$L$412,0)),"")</f>
        <v>-0.000430871871611949</v>
      </c>
      <c r="O239" s="76" t="n">
        <f aca="false">IF(I239=1,E239,NA())</f>
        <v>-0.0263157894736842</v>
      </c>
      <c r="P239" s="76" t="n">
        <f aca="false">IF(I239=1,F239,NA())</f>
        <v>-0.000591224168393301</v>
      </c>
      <c r="R239" s="75" t="n">
        <f aca="false">ROWS(R$13:R239)</f>
        <v>227</v>
      </c>
      <c r="S239" s="73" t="str">
        <f aca="false">IF(S238="","",IFERROR(SMALL($AD$10:$AD$509,COUNTIF($AD$10:$AD$509,"&lt;="&amp;S238)+1),""))</f>
        <v/>
      </c>
      <c r="T239" s="74" t="str">
        <f aca="false">IF(S239="","",INDEX($AE$10:$AE$509,MATCH(S239,$AD$10:$AD$509,0)))</f>
        <v/>
      </c>
      <c r="U239" s="74" t="str">
        <f aca="false">IF(S239="","",IFERROR(INDEX($AG$10:$AG$509,MATCH(S239,$AF$10:$AF$509,0)),""))</f>
        <v/>
      </c>
      <c r="V239" s="76" t="str">
        <f aca="false">IF(AND(ISNUMBER(T239),ISNUMBER(T238)),T239/T238-1,"")</f>
        <v/>
      </c>
      <c r="W239" s="76" t="str">
        <f aca="false">IF(AND(ISNUMBER(U239),ISNUMBER(U238)),U239/U238-1,"")</f>
        <v/>
      </c>
      <c r="X239" s="75" t="str">
        <f aca="false">IF(AND(ISNUMBER(V239),ISNUMBER(W239)),1,"")</f>
        <v/>
      </c>
      <c r="Y239" s="76" t="str">
        <f aca="false">IF(X239=1,V239,"")</f>
        <v/>
      </c>
      <c r="Z239" s="76" t="str">
        <f aca="false">IF(X239=1,W239,"")</f>
        <v/>
      </c>
      <c r="AA239" s="76" t="e">
        <f aca="false">IF(X239=1,V239,NA())</f>
        <v>#N/A</v>
      </c>
      <c r="AB239" s="76" t="e">
        <f aca="false">IF(X239=1,W239,NA())</f>
        <v>#N/A</v>
      </c>
      <c r="AD239" s="73" t="str">
        <f aca="false">IF(ISNUMBER(AE239),IF(ISNUMBER('Base de Datos'!A235),IF('Base de Datos'!A235&gt;20000,DATE(YEAR('Base de Datos'!A235),DAY('Base de Datos'!A235),MONTH('Base de Datos'!A235)),""),IF(TRIM('Base de Datos'!A235)="","",IFERROR(DATE(VALUE(RIGHT(TRIM('Base de Datos'!A235),4)),VALUE(LEFT(TRIM('Base de Datos'!A235),2)),VALUE(MID(TRIM('Base de Datos'!A235),4,2))),""))),"")</f>
        <v/>
      </c>
      <c r="AE239" s="74" t="str">
        <f aca="false">IF(ISNUMBER('Base de Datos'!B235),'Base de Datos'!B235,IF(TRIM('Base de Datos'!B235)="","",IFERROR(IF(IFERROR(FIND("@",SUBSTITUTE(TRIM('Base de Datos'!B235),",","@",LEN(TRIM('Base de Datos'!B235))-LEN(SUBSTITUTE(TRIM('Base de Datos'!B235),",","")))),0)&gt;IFERROR(FIND("@",SUBSTITUTE(TRIM('Base de Datos'!B235),".","@",LEN(TRIM('Base de Datos'!B235))-LEN(SUBSTITUTE(TRIM('Base de Datos'!B235),".","")))),0),_xlfn.NUMBERVALUE(SUBSTITUTE(SUBSTITUTE(TRIM('Base de Datos'!B235),".",""),",","."),".",","),_xlfn.NUMBERVALUE(SUBSTITUTE(TRIM('Base de Datos'!B235),",",""),".",",")),"")))</f>
        <v/>
      </c>
      <c r="AF239" s="73" t="str">
        <f aca="false">IF(ISNUMBER(AG239),IF(ISNUMBER('Base de Datos'!I235),IF('Base de Datos'!I235&gt;20000,INT('Base de Datos'!I235),""),IF(TRIM('Base de Datos'!I235)="","",IFERROR(DATE(VALUE(RIGHT(TRIM('Base de Datos'!I235),4)),VALUE(MID(TRIM('Base de Datos'!I235),4,2)),VALUE(LEFT(TRIM('Base de Datos'!I235),2))),IFERROR(DATEVALUE(TRIM('Base de Datos'!I235)),"")))),"")</f>
        <v/>
      </c>
      <c r="AG239" s="74" t="str">
        <f aca="false">IF(ISNUMBER('Base de Datos'!J235),'Base de Datos'!J235,IF(TRIM('Base de Datos'!J235)="","",IFERROR(IF(IFERROR(FIND("@",SUBSTITUTE(TRIM('Base de Datos'!J235),",","@",LEN(TRIM('Base de Datos'!J235))-LEN(SUBSTITUTE(TRIM('Base de Datos'!J235),",","")))),0)&gt;IFERROR(FIND("@",SUBSTITUTE(TRIM('Base de Datos'!J235),".","@",LEN(TRIM('Base de Datos'!J235))-LEN(SUBSTITUTE(TRIM('Base de Datos'!J235),".","")))),0),_xlfn.NUMBERVALUE(SUBSTITUTE(SUBSTITUTE(TRIM('Base de Datos'!J235),".",""),",","."),".",","),_xlfn.NUMBERVALUE(SUBSTITUTE(TRIM('Base de Datos'!J235),",",""),".",",")),"")))</f>
        <v/>
      </c>
      <c r="AH239" s="73" t="n">
        <f aca="false">IF(ISNUMBER(AI239),IF(ISNUMBER('Base de Datos'!Q235),IF('Base de Datos'!Q235&gt;20000,DATE(YEAR('Base de Datos'!Q235),DAY('Base de Datos'!Q235),MONTH('Base de Datos'!Q235)),""),IF(TRIM('Base de Datos'!Q235)="","",IFERROR(DATE(VALUE(RIGHT(TRIM('Base de Datos'!Q235),4)),VALUE(LEFT(TRIM('Base de Datos'!Q235),2)),VALUE(MID(TRIM('Base de Datos'!Q235),4,2))),""))),"")</f>
        <v>46089</v>
      </c>
      <c r="AI239" s="74" t="n">
        <f aca="false">IF(ISNUMBER('Base de Datos'!R235),'Base de Datos'!R235,IF(TRIM('Base de Datos'!R235)="","",IFERROR(IF(IFERROR(FIND("@",SUBSTITUTE(TRIM('Base de Datos'!R235),",","@",LEN(TRIM('Base de Datos'!R235))-LEN(SUBSTITUTE(TRIM('Base de Datos'!R235),",","")))),0)&gt;IFERROR(FIND("@",SUBSTITUTE(TRIM('Base de Datos'!R235),".","@",LEN(TRIM('Base de Datos'!R235))-LEN(SUBSTITUTE(TRIM('Base de Datos'!R235),".","")))),0),_xlfn.NUMBERVALUE(SUBSTITUTE(SUBSTITUTE(TRIM('Base de Datos'!R235),".",""),",","."),".",","),_xlfn.NUMBERVALUE(SUBSTITUTE(TRIM('Base de Datos'!R235),",",""),".",",")),"")))</f>
        <v>33.5</v>
      </c>
      <c r="AJ239" s="73" t="n">
        <f aca="false">IF(ISNUMBER(AK239),IF(ISNUMBER('Base de Datos'!Y235),IF('Base de Datos'!Y235&gt;20000,INT('Base de Datos'!Y235),""),IF(TRIM('Base de Datos'!Y235)="","",IFERROR(DATE(VALUE(RIGHT(TRIM('Base de Datos'!Y235),4)),VALUE(MID(TRIM('Base de Datos'!Y235),4,2)),VALUE(LEFT(TRIM('Base de Datos'!Y235),2))),IFERROR(DATEVALUE(TRIM('Base de Datos'!Y235)),"")))),"")</f>
        <v>46089</v>
      </c>
      <c r="AK239" s="74" t="n">
        <f aca="false">IF(ISNUMBER('Base de Datos'!Z235),'Base de Datos'!Z235,IF(TRIM('Base de Datos'!Z235)="","",IFERROR(IF(IFERROR(FIND("@",SUBSTITUTE(TRIM('Base de Datos'!Z235),",","@",LEN(TRIM('Base de Datos'!Z235))-LEN(SUBSTITUTE(TRIM('Base de Datos'!Z235),",","")))),0)&gt;IFERROR(FIND("@",SUBSTITUTE(TRIM('Base de Datos'!Z235),".","@",LEN(TRIM('Base de Datos'!Z235))-LEN(SUBSTITUTE(TRIM('Base de Datos'!Z235),".","")))),0),_xlfn.NUMBERVALUE(SUBSTITUTE(SUBSTITUTE(TRIM('Base de Datos'!Z235),".",""),",","."),".",","),_xlfn.NUMBERVALUE(SUBSTITUTE(TRIM('Base de Datos'!Z235),",",""),".",",")),"")))</f>
        <v>65648.91</v>
      </c>
    </row>
    <row r="240" customFormat="false" ht="13.5" hidden="false" customHeight="false" outlineLevel="0" collapsed="false">
      <c r="A240" s="75" t="n">
        <f aca="false">ROWS(A$13:A240)</f>
        <v>228</v>
      </c>
      <c r="B240" s="73" t="n">
        <f aca="false">IF(B239="","",IFERROR(SMALL($AH$10:$AH$409,COUNTIF($AH$10:$AH$409,"&lt;="&amp;B239)+1),""))</f>
        <v>46075</v>
      </c>
      <c r="C240" s="74" t="n">
        <f aca="false">IF(B240="","",INDEX($AI$10:$AI$409,MATCH(B240,$AH$10:$AH$409,0)))</f>
        <v>37.12</v>
      </c>
      <c r="D240" s="74" t="n">
        <f aca="false">IF(B240="","",IFERROR(INDEX($AK$10:$AK$409,MATCH(B240,$AJ$10:$AJ$409,0)),""))</f>
        <v>71405.77</v>
      </c>
      <c r="E240" s="76" t="n">
        <f aca="false">IF(AND(ISNUMBER(C240),ISNUMBER(C239)),C240/C239-1,"")</f>
        <v>0.00324324324324321</v>
      </c>
      <c r="F240" s="76" t="n">
        <f aca="false">IF(AND(ISNUMBER(D240),ISNUMBER(D239)),D240/D239-1,"")</f>
        <v>-0.000430871871611949</v>
      </c>
      <c r="G240" s="75" t="n">
        <f aca="false">IF(AND(ISNUMBER(E240),ISNUMBER(F240)),1,"")</f>
        <v>1</v>
      </c>
      <c r="H240" s="75" t="n">
        <f aca="false">IF(G240=1,COUNT(G240:G$412),"")</f>
        <v>32</v>
      </c>
      <c r="I240" s="75" t="n">
        <f aca="false">IF(G240=1,IF(H240&lt;='Beta Regresión'!$B$5,1,""),"")</f>
        <v>1</v>
      </c>
      <c r="J240" s="76" t="n">
        <f aca="false">IF(I240=1,E240,"")</f>
        <v>0.00324324324324321</v>
      </c>
      <c r="K240" s="76" t="n">
        <f aca="false">IF(I240=1,F240,"")</f>
        <v>-0.000430871871611949</v>
      </c>
      <c r="L240" s="75" t="n">
        <f aca="false">IF(I240=1,COUNT(I$13:I240),"")</f>
        <v>227</v>
      </c>
      <c r="M240" s="76" t="n">
        <f aca="false">IFERROR(INDEX($J$13:$J$412,MATCH(A240,$L$13:$L$412,0)),"")</f>
        <v>-0.0167025862068965</v>
      </c>
      <c r="N240" s="76" t="n">
        <f aca="false">IFERROR(INDEX($K$13:$K$412,MATCH(A240,$L$13:$L$412,0)),"")</f>
        <v>-0.057310074521989</v>
      </c>
      <c r="O240" s="76" t="n">
        <f aca="false">IF(I240=1,E240,NA())</f>
        <v>0.00324324324324321</v>
      </c>
      <c r="P240" s="76" t="n">
        <f aca="false">IF(I240=1,F240,NA())</f>
        <v>-0.000430871871611949</v>
      </c>
      <c r="R240" s="75" t="n">
        <f aca="false">ROWS(R$13:R240)</f>
        <v>228</v>
      </c>
      <c r="S240" s="73" t="str">
        <f aca="false">IF(S239="","",IFERROR(SMALL($AD$10:$AD$509,COUNTIF($AD$10:$AD$509,"&lt;="&amp;S239)+1),""))</f>
        <v/>
      </c>
      <c r="T240" s="74" t="str">
        <f aca="false">IF(S240="","",INDEX($AE$10:$AE$509,MATCH(S240,$AD$10:$AD$509,0)))</f>
        <v/>
      </c>
      <c r="U240" s="74" t="str">
        <f aca="false">IF(S240="","",IFERROR(INDEX($AG$10:$AG$509,MATCH(S240,$AF$10:$AF$509,0)),""))</f>
        <v/>
      </c>
      <c r="V240" s="76" t="str">
        <f aca="false">IF(AND(ISNUMBER(T240),ISNUMBER(T239)),T240/T239-1,"")</f>
        <v/>
      </c>
      <c r="W240" s="76" t="str">
        <f aca="false">IF(AND(ISNUMBER(U240),ISNUMBER(U239)),U240/U239-1,"")</f>
        <v/>
      </c>
      <c r="X240" s="75" t="str">
        <f aca="false">IF(AND(ISNUMBER(V240),ISNUMBER(W240)),1,"")</f>
        <v/>
      </c>
      <c r="Y240" s="76" t="str">
        <f aca="false">IF(X240=1,V240,"")</f>
        <v/>
      </c>
      <c r="Z240" s="76" t="str">
        <f aca="false">IF(X240=1,W240,"")</f>
        <v/>
      </c>
      <c r="AA240" s="76" t="e">
        <f aca="false">IF(X240=1,V240,NA())</f>
        <v>#N/A</v>
      </c>
      <c r="AB240" s="76" t="e">
        <f aca="false">IF(X240=1,W240,NA())</f>
        <v>#N/A</v>
      </c>
      <c r="AD240" s="73" t="str">
        <f aca="false">IF(ISNUMBER(AE240),IF(ISNUMBER('Base de Datos'!A236),IF('Base de Datos'!A236&gt;20000,DATE(YEAR('Base de Datos'!A236),DAY('Base de Datos'!A236),MONTH('Base de Datos'!A236)),""),IF(TRIM('Base de Datos'!A236)="","",IFERROR(DATE(VALUE(RIGHT(TRIM('Base de Datos'!A236),4)),VALUE(LEFT(TRIM('Base de Datos'!A236),2)),VALUE(MID(TRIM('Base de Datos'!A236),4,2))),""))),"")</f>
        <v/>
      </c>
      <c r="AE240" s="74" t="str">
        <f aca="false">IF(ISNUMBER('Base de Datos'!B236),'Base de Datos'!B236,IF(TRIM('Base de Datos'!B236)="","",IFERROR(IF(IFERROR(FIND("@",SUBSTITUTE(TRIM('Base de Datos'!B236),",","@",LEN(TRIM('Base de Datos'!B236))-LEN(SUBSTITUTE(TRIM('Base de Datos'!B236),",","")))),0)&gt;IFERROR(FIND("@",SUBSTITUTE(TRIM('Base de Datos'!B236),".","@",LEN(TRIM('Base de Datos'!B236))-LEN(SUBSTITUTE(TRIM('Base de Datos'!B236),".","")))),0),_xlfn.NUMBERVALUE(SUBSTITUTE(SUBSTITUTE(TRIM('Base de Datos'!B236),".",""),",","."),".",","),_xlfn.NUMBERVALUE(SUBSTITUTE(TRIM('Base de Datos'!B236),",",""),".",",")),"")))</f>
        <v/>
      </c>
      <c r="AF240" s="73" t="str">
        <f aca="false">IF(ISNUMBER(AG240),IF(ISNUMBER('Base de Datos'!I236),IF('Base de Datos'!I236&gt;20000,INT('Base de Datos'!I236),""),IF(TRIM('Base de Datos'!I236)="","",IFERROR(DATE(VALUE(RIGHT(TRIM('Base de Datos'!I236),4)),VALUE(MID(TRIM('Base de Datos'!I236),4,2)),VALUE(LEFT(TRIM('Base de Datos'!I236),2))),IFERROR(DATEVALUE(TRIM('Base de Datos'!I236)),"")))),"")</f>
        <v/>
      </c>
      <c r="AG240" s="74" t="str">
        <f aca="false">IF(ISNUMBER('Base de Datos'!J236),'Base de Datos'!J236,IF(TRIM('Base de Datos'!J236)="","",IFERROR(IF(IFERROR(FIND("@",SUBSTITUTE(TRIM('Base de Datos'!J236),",","@",LEN(TRIM('Base de Datos'!J236))-LEN(SUBSTITUTE(TRIM('Base de Datos'!J236),",","")))),0)&gt;IFERROR(FIND("@",SUBSTITUTE(TRIM('Base de Datos'!J236),".","@",LEN(TRIM('Base de Datos'!J236))-LEN(SUBSTITUTE(TRIM('Base de Datos'!J236),".","")))),0),_xlfn.NUMBERVALUE(SUBSTITUTE(SUBSTITUTE(TRIM('Base de Datos'!J236),".",""),",","."),".",","),_xlfn.NUMBERVALUE(SUBSTITUTE(TRIM('Base de Datos'!J236),",",""),".",",")),"")))</f>
        <v/>
      </c>
      <c r="AH240" s="73" t="n">
        <f aca="false">IF(ISNUMBER(AI240),IF(ISNUMBER('Base de Datos'!Q236),IF('Base de Datos'!Q236&gt;20000,DATE(YEAR('Base de Datos'!Q236),DAY('Base de Datos'!Q236),MONTH('Base de Datos'!Q236)),""),IF(TRIM('Base de Datos'!Q236)="","",IFERROR(DATE(VALUE(RIGHT(TRIM('Base de Datos'!Q236),4)),VALUE(LEFT(TRIM('Base de Datos'!Q236),2)),VALUE(MID(TRIM('Base de Datos'!Q236),4,2))),""))),"")</f>
        <v>46096</v>
      </c>
      <c r="AI240" s="74" t="n">
        <f aca="false">IF(ISNUMBER('Base de Datos'!R236),'Base de Datos'!R236,IF(TRIM('Base de Datos'!R236)="","",IFERROR(IF(IFERROR(FIND("@",SUBSTITUTE(TRIM('Base de Datos'!R236),",","@",LEN(TRIM('Base de Datos'!R236))-LEN(SUBSTITUTE(TRIM('Base de Datos'!R236),",","")))),0)&gt;IFERROR(FIND("@",SUBSTITUTE(TRIM('Base de Datos'!R236),".","@",LEN(TRIM('Base de Datos'!R236))-LEN(SUBSTITUTE(TRIM('Base de Datos'!R236),".","")))),0),_xlfn.NUMBERVALUE(SUBSTITUTE(SUBSTITUTE(TRIM('Base de Datos'!R236),".",""),",","."),".",","),_xlfn.NUMBERVALUE(SUBSTITUTE(TRIM('Base de Datos'!R236),",",""),".",",")),"")))</f>
        <v>32.96</v>
      </c>
      <c r="AJ240" s="73" t="n">
        <f aca="false">IF(ISNUMBER(AK240),IF(ISNUMBER('Base de Datos'!Y236),IF('Base de Datos'!Y236&gt;20000,INT('Base de Datos'!Y236),""),IF(TRIM('Base de Datos'!Y236)="","",IFERROR(DATE(VALUE(RIGHT(TRIM('Base de Datos'!Y236),4)),VALUE(MID(TRIM('Base de Datos'!Y236),4,2)),VALUE(LEFT(TRIM('Base de Datos'!Y236),2))),IFERROR(DATEVALUE(TRIM('Base de Datos'!Y236)),"")))),"")</f>
        <v>46096</v>
      </c>
      <c r="AK240" s="74" t="n">
        <f aca="false">IF(ISNUMBER('Base de Datos'!Z236),'Base de Datos'!Z236,IF(TRIM('Base de Datos'!Z236)="","",IFERROR(IF(IFERROR(FIND("@",SUBSTITUTE(TRIM('Base de Datos'!Z236),",","@",LEN(TRIM('Base de Datos'!Z236))-LEN(SUBSTITUTE(TRIM('Base de Datos'!Z236),",","")))),0)&gt;IFERROR(FIND("@",SUBSTITUTE(TRIM('Base de Datos'!Z236),".","@",LEN(TRIM('Base de Datos'!Z236))-LEN(SUBSTITUTE(TRIM('Base de Datos'!Z236),".","")))),0),_xlfn.NUMBERVALUE(SUBSTITUTE(SUBSTITUTE(TRIM('Base de Datos'!Z236),".",""),",","."),".",","),_xlfn.NUMBERVALUE(SUBSTITUTE(TRIM('Base de Datos'!Z236),",",""),".",",")),"")))</f>
        <v>64134.9</v>
      </c>
    </row>
    <row r="241" customFormat="false" ht="13.5" hidden="false" customHeight="false" outlineLevel="0" collapsed="false">
      <c r="A241" s="75" t="n">
        <f aca="false">ROWS(A$13:A241)</f>
        <v>229</v>
      </c>
      <c r="B241" s="73" t="n">
        <f aca="false">IF(B240="","",IFERROR(SMALL($AH$10:$AH$409,COUNTIF($AH$10:$AH$409,"&lt;="&amp;B240)+1),""))</f>
        <v>46082</v>
      </c>
      <c r="C241" s="74" t="n">
        <f aca="false">IF(B241="","",INDEX($AI$10:$AI$409,MATCH(B241,$AH$10:$AH$409,0)))</f>
        <v>36.5</v>
      </c>
      <c r="D241" s="74" t="n">
        <f aca="false">IF(B241="","",IFERROR(INDEX($AK$10:$AK$409,MATCH(B241,$AJ$10:$AJ$409,0)),""))</f>
        <v>67313.5</v>
      </c>
      <c r="E241" s="76" t="n">
        <f aca="false">IF(AND(ISNUMBER(C241),ISNUMBER(C240)),C241/C240-1,"")</f>
        <v>-0.0167025862068965</v>
      </c>
      <c r="F241" s="76" t="n">
        <f aca="false">IF(AND(ISNUMBER(D241),ISNUMBER(D240)),D241/D240-1,"")</f>
        <v>-0.057310074521989</v>
      </c>
      <c r="G241" s="75" t="n">
        <f aca="false">IF(AND(ISNUMBER(E241),ISNUMBER(F241)),1,"")</f>
        <v>1</v>
      </c>
      <c r="H241" s="75" t="n">
        <f aca="false">IF(G241=1,COUNT(G241:G$412),"")</f>
        <v>31</v>
      </c>
      <c r="I241" s="75" t="n">
        <f aca="false">IF(G241=1,IF(H241&lt;='Beta Regresión'!$B$5,1,""),"")</f>
        <v>1</v>
      </c>
      <c r="J241" s="76" t="n">
        <f aca="false">IF(I241=1,E241,"")</f>
        <v>-0.0167025862068965</v>
      </c>
      <c r="K241" s="76" t="n">
        <f aca="false">IF(I241=1,F241,"")</f>
        <v>-0.057310074521989</v>
      </c>
      <c r="L241" s="75" t="n">
        <f aca="false">IF(I241=1,COUNT(I$13:I241),"")</f>
        <v>228</v>
      </c>
      <c r="M241" s="76" t="n">
        <f aca="false">IFERROR(INDEX($J$13:$J$412,MATCH(A241,$L$13:$L$412,0)),"")</f>
        <v>-0.0821917808219178</v>
      </c>
      <c r="N241" s="76" t="n">
        <f aca="false">IFERROR(INDEX($K$13:$K$412,MATCH(A241,$L$13:$L$412,0)),"")</f>
        <v>-0.0247289176762462</v>
      </c>
      <c r="O241" s="76" t="n">
        <f aca="false">IF(I241=1,E241,NA())</f>
        <v>-0.0167025862068965</v>
      </c>
      <c r="P241" s="76" t="n">
        <f aca="false">IF(I241=1,F241,NA())</f>
        <v>-0.057310074521989</v>
      </c>
      <c r="R241" s="75" t="n">
        <f aca="false">ROWS(R$13:R241)</f>
        <v>229</v>
      </c>
      <c r="S241" s="73" t="str">
        <f aca="false">IF(S240="","",IFERROR(SMALL($AD$10:$AD$509,COUNTIF($AD$10:$AD$509,"&lt;="&amp;S240)+1),""))</f>
        <v/>
      </c>
      <c r="T241" s="74" t="str">
        <f aca="false">IF(S241="","",INDEX($AE$10:$AE$509,MATCH(S241,$AD$10:$AD$509,0)))</f>
        <v/>
      </c>
      <c r="U241" s="74" t="str">
        <f aca="false">IF(S241="","",IFERROR(INDEX($AG$10:$AG$509,MATCH(S241,$AF$10:$AF$509,0)),""))</f>
        <v/>
      </c>
      <c r="V241" s="76" t="str">
        <f aca="false">IF(AND(ISNUMBER(T241),ISNUMBER(T240)),T241/T240-1,"")</f>
        <v/>
      </c>
      <c r="W241" s="76" t="str">
        <f aca="false">IF(AND(ISNUMBER(U241),ISNUMBER(U240)),U241/U240-1,"")</f>
        <v/>
      </c>
      <c r="X241" s="75" t="str">
        <f aca="false">IF(AND(ISNUMBER(V241),ISNUMBER(W241)),1,"")</f>
        <v/>
      </c>
      <c r="Y241" s="76" t="str">
        <f aca="false">IF(X241=1,V241,"")</f>
        <v/>
      </c>
      <c r="Z241" s="76" t="str">
        <f aca="false">IF(X241=1,W241,"")</f>
        <v/>
      </c>
      <c r="AA241" s="76" t="e">
        <f aca="false">IF(X241=1,V241,NA())</f>
        <v>#N/A</v>
      </c>
      <c r="AB241" s="76" t="e">
        <f aca="false">IF(X241=1,W241,NA())</f>
        <v>#N/A</v>
      </c>
      <c r="AD241" s="73" t="str">
        <f aca="false">IF(ISNUMBER(AE241),IF(ISNUMBER('Base de Datos'!A237),IF('Base de Datos'!A237&gt;20000,DATE(YEAR('Base de Datos'!A237),DAY('Base de Datos'!A237),MONTH('Base de Datos'!A237)),""),IF(TRIM('Base de Datos'!A237)="","",IFERROR(DATE(VALUE(RIGHT(TRIM('Base de Datos'!A237),4)),VALUE(LEFT(TRIM('Base de Datos'!A237),2)),VALUE(MID(TRIM('Base de Datos'!A237),4,2))),""))),"")</f>
        <v/>
      </c>
      <c r="AE241" s="74" t="str">
        <f aca="false">IF(ISNUMBER('Base de Datos'!B237),'Base de Datos'!B237,IF(TRIM('Base de Datos'!B237)="","",IFERROR(IF(IFERROR(FIND("@",SUBSTITUTE(TRIM('Base de Datos'!B237),",","@",LEN(TRIM('Base de Datos'!B237))-LEN(SUBSTITUTE(TRIM('Base de Datos'!B237),",","")))),0)&gt;IFERROR(FIND("@",SUBSTITUTE(TRIM('Base de Datos'!B237),".","@",LEN(TRIM('Base de Datos'!B237))-LEN(SUBSTITUTE(TRIM('Base de Datos'!B237),".","")))),0),_xlfn.NUMBERVALUE(SUBSTITUTE(SUBSTITUTE(TRIM('Base de Datos'!B237),".",""),",","."),".",","),_xlfn.NUMBERVALUE(SUBSTITUTE(TRIM('Base de Datos'!B237),",",""),".",",")),"")))</f>
        <v/>
      </c>
      <c r="AF241" s="73" t="str">
        <f aca="false">IF(ISNUMBER(AG241),IF(ISNUMBER('Base de Datos'!I237),IF('Base de Datos'!I237&gt;20000,INT('Base de Datos'!I237),""),IF(TRIM('Base de Datos'!I237)="","",IFERROR(DATE(VALUE(RIGHT(TRIM('Base de Datos'!I237),4)),VALUE(MID(TRIM('Base de Datos'!I237),4,2)),VALUE(LEFT(TRIM('Base de Datos'!I237),2))),IFERROR(DATEVALUE(TRIM('Base de Datos'!I237)),"")))),"")</f>
        <v/>
      </c>
      <c r="AG241" s="74" t="str">
        <f aca="false">IF(ISNUMBER('Base de Datos'!J237),'Base de Datos'!J237,IF(TRIM('Base de Datos'!J237)="","",IFERROR(IF(IFERROR(FIND("@",SUBSTITUTE(TRIM('Base de Datos'!J237),",","@",LEN(TRIM('Base de Datos'!J237))-LEN(SUBSTITUTE(TRIM('Base de Datos'!J237),",","")))),0)&gt;IFERROR(FIND("@",SUBSTITUTE(TRIM('Base de Datos'!J237),".","@",LEN(TRIM('Base de Datos'!J237))-LEN(SUBSTITUTE(TRIM('Base de Datos'!J237),".","")))),0),_xlfn.NUMBERVALUE(SUBSTITUTE(SUBSTITUTE(TRIM('Base de Datos'!J237),".",""),",","."),".",","),_xlfn.NUMBERVALUE(SUBSTITUTE(TRIM('Base de Datos'!J237),",",""),".",",")),"")))</f>
        <v/>
      </c>
      <c r="AH241" s="73" t="n">
        <f aca="false">IF(ISNUMBER(AI241),IF(ISNUMBER('Base de Datos'!Q237),IF('Base de Datos'!Q237&gt;20000,DATE(YEAR('Base de Datos'!Q237),DAY('Base de Datos'!Q237),MONTH('Base de Datos'!Q237)),""),IF(TRIM('Base de Datos'!Q237)="","",IFERROR(DATE(VALUE(RIGHT(TRIM('Base de Datos'!Q237),4)),VALUE(LEFT(TRIM('Base de Datos'!Q237),2)),VALUE(MID(TRIM('Base de Datos'!Q237),4,2))),""))),"")</f>
        <v>46103</v>
      </c>
      <c r="AI241" s="74" t="n">
        <f aca="false">IF(ISNUMBER('Base de Datos'!R237),'Base de Datos'!R237,IF(TRIM('Base de Datos'!R237)="","",IFERROR(IF(IFERROR(FIND("@",SUBSTITUTE(TRIM('Base de Datos'!R237),",","@",LEN(TRIM('Base de Datos'!R237))-LEN(SUBSTITUTE(TRIM('Base de Datos'!R237),",","")))),0)&gt;IFERROR(FIND("@",SUBSTITUTE(TRIM('Base de Datos'!R237),".","@",LEN(TRIM('Base de Datos'!R237))-LEN(SUBSTITUTE(TRIM('Base de Datos'!R237),".","")))),0),_xlfn.NUMBERVALUE(SUBSTITUTE(SUBSTITUTE(TRIM('Base de Datos'!R237),".",""),",","."),".",","),_xlfn.NUMBERVALUE(SUBSTITUTE(TRIM('Base de Datos'!R237),",",""),".",",")),"")))</f>
        <v>34.2</v>
      </c>
      <c r="AJ241" s="73" t="n">
        <f aca="false">IF(ISNUMBER(AK241),IF(ISNUMBER('Base de Datos'!Y237),IF('Base de Datos'!Y237&gt;20000,INT('Base de Datos'!Y237),""),IF(TRIM('Base de Datos'!Y237)="","",IFERROR(DATE(VALUE(RIGHT(TRIM('Base de Datos'!Y237),4)),VALUE(MID(TRIM('Base de Datos'!Y237),4,2)),VALUE(LEFT(TRIM('Base de Datos'!Y237),2))),IFERROR(DATEVALUE(TRIM('Base de Datos'!Y237)),"")))),"")</f>
        <v>46103</v>
      </c>
      <c r="AK241" s="74" t="n">
        <f aca="false">IF(ISNUMBER('Base de Datos'!Z237),'Base de Datos'!Z237,IF(TRIM('Base de Datos'!Z237)="","",IFERROR(IF(IFERROR(FIND("@",SUBSTITUTE(TRIM('Base de Datos'!Z237),",","@",LEN(TRIM('Base de Datos'!Z237))-LEN(SUBSTITUTE(TRIM('Base de Datos'!Z237),",","")))),0)&gt;IFERROR(FIND("@",SUBSTITUTE(TRIM('Base de Datos'!Z237),".","@",LEN(TRIM('Base de Datos'!Z237))-LEN(SUBSTITUTE(TRIM('Base de Datos'!Z237),".","")))),0),_xlfn.NUMBERVALUE(SUBSTITUTE(SUBSTITUTE(TRIM('Base de Datos'!Z237),".",""),",","."),".",","),_xlfn.NUMBERVALUE(SUBSTITUTE(TRIM('Base de Datos'!Z237),",",""),".",",")),"")))</f>
        <v>66685.76</v>
      </c>
    </row>
    <row r="242" customFormat="false" ht="13.5" hidden="false" customHeight="false" outlineLevel="0" collapsed="false">
      <c r="A242" s="75" t="n">
        <f aca="false">ROWS(A$13:A242)</f>
        <v>230</v>
      </c>
      <c r="B242" s="73" t="n">
        <f aca="false">IF(B241="","",IFERROR(SMALL($AH$10:$AH$409,COUNTIF($AH$10:$AH$409,"&lt;="&amp;B241)+1),""))</f>
        <v>46089</v>
      </c>
      <c r="C242" s="74" t="n">
        <f aca="false">IF(B242="","",INDEX($AI$10:$AI$409,MATCH(B242,$AH$10:$AH$409,0)))</f>
        <v>33.5</v>
      </c>
      <c r="D242" s="74" t="n">
        <f aca="false">IF(B242="","",IFERROR(INDEX($AK$10:$AK$409,MATCH(B242,$AJ$10:$AJ$409,0)),""))</f>
        <v>65648.91</v>
      </c>
      <c r="E242" s="76" t="n">
        <f aca="false">IF(AND(ISNUMBER(C242),ISNUMBER(C241)),C242/C241-1,"")</f>
        <v>-0.0821917808219178</v>
      </c>
      <c r="F242" s="76" t="n">
        <f aca="false">IF(AND(ISNUMBER(D242),ISNUMBER(D241)),D242/D241-1,"")</f>
        <v>-0.0247289176762462</v>
      </c>
      <c r="G242" s="75" t="n">
        <f aca="false">IF(AND(ISNUMBER(E242),ISNUMBER(F242)),1,"")</f>
        <v>1</v>
      </c>
      <c r="H242" s="75" t="n">
        <f aca="false">IF(G242=1,COUNT(G242:G$412),"")</f>
        <v>30</v>
      </c>
      <c r="I242" s="75" t="n">
        <f aca="false">IF(G242=1,IF(H242&lt;='Beta Regresión'!$B$5,1,""),"")</f>
        <v>1</v>
      </c>
      <c r="J242" s="76" t="n">
        <f aca="false">IF(I242=1,E242,"")</f>
        <v>-0.0821917808219178</v>
      </c>
      <c r="K242" s="76" t="n">
        <f aca="false">IF(I242=1,F242,"")</f>
        <v>-0.0247289176762462</v>
      </c>
      <c r="L242" s="75" t="n">
        <f aca="false">IF(I242=1,COUNT(I$13:I242),"")</f>
        <v>229</v>
      </c>
      <c r="M242" s="76" t="n">
        <f aca="false">IFERROR(INDEX($J$13:$J$412,MATCH(A242,$L$13:$L$412,0)),"")</f>
        <v>-0.0161194029850746</v>
      </c>
      <c r="N242" s="76" t="n">
        <f aca="false">IFERROR(INDEX($K$13:$K$412,MATCH(A242,$L$13:$L$412,0)),"")</f>
        <v>-0.0230622260141106</v>
      </c>
      <c r="O242" s="76" t="n">
        <f aca="false">IF(I242=1,E242,NA())</f>
        <v>-0.0821917808219178</v>
      </c>
      <c r="P242" s="76" t="n">
        <f aca="false">IF(I242=1,F242,NA())</f>
        <v>-0.0247289176762462</v>
      </c>
      <c r="R242" s="75" t="n">
        <f aca="false">ROWS(R$13:R242)</f>
        <v>230</v>
      </c>
      <c r="S242" s="73" t="str">
        <f aca="false">IF(S241="","",IFERROR(SMALL($AD$10:$AD$509,COUNTIF($AD$10:$AD$509,"&lt;="&amp;S241)+1),""))</f>
        <v/>
      </c>
      <c r="T242" s="74" t="str">
        <f aca="false">IF(S242="","",INDEX($AE$10:$AE$509,MATCH(S242,$AD$10:$AD$509,0)))</f>
        <v/>
      </c>
      <c r="U242" s="74" t="str">
        <f aca="false">IF(S242="","",IFERROR(INDEX($AG$10:$AG$509,MATCH(S242,$AF$10:$AF$509,0)),""))</f>
        <v/>
      </c>
      <c r="V242" s="76" t="str">
        <f aca="false">IF(AND(ISNUMBER(T242),ISNUMBER(T241)),T242/T241-1,"")</f>
        <v/>
      </c>
      <c r="W242" s="76" t="str">
        <f aca="false">IF(AND(ISNUMBER(U242),ISNUMBER(U241)),U242/U241-1,"")</f>
        <v/>
      </c>
      <c r="X242" s="75" t="str">
        <f aca="false">IF(AND(ISNUMBER(V242),ISNUMBER(W242)),1,"")</f>
        <v/>
      </c>
      <c r="Y242" s="76" t="str">
        <f aca="false">IF(X242=1,V242,"")</f>
        <v/>
      </c>
      <c r="Z242" s="76" t="str">
        <f aca="false">IF(X242=1,W242,"")</f>
        <v/>
      </c>
      <c r="AA242" s="76" t="e">
        <f aca="false">IF(X242=1,V242,NA())</f>
        <v>#N/A</v>
      </c>
      <c r="AB242" s="76" t="e">
        <f aca="false">IF(X242=1,W242,NA())</f>
        <v>#N/A</v>
      </c>
      <c r="AD242" s="73" t="str">
        <f aca="false">IF(ISNUMBER(AE242),IF(ISNUMBER('Base de Datos'!A238),IF('Base de Datos'!A238&gt;20000,DATE(YEAR('Base de Datos'!A238),DAY('Base de Datos'!A238),MONTH('Base de Datos'!A238)),""),IF(TRIM('Base de Datos'!A238)="","",IFERROR(DATE(VALUE(RIGHT(TRIM('Base de Datos'!A238),4)),VALUE(LEFT(TRIM('Base de Datos'!A238),2)),VALUE(MID(TRIM('Base de Datos'!A238),4,2))),""))),"")</f>
        <v/>
      </c>
      <c r="AE242" s="74" t="str">
        <f aca="false">IF(ISNUMBER('Base de Datos'!B238),'Base de Datos'!B238,IF(TRIM('Base de Datos'!B238)="","",IFERROR(IF(IFERROR(FIND("@",SUBSTITUTE(TRIM('Base de Datos'!B238),",","@",LEN(TRIM('Base de Datos'!B238))-LEN(SUBSTITUTE(TRIM('Base de Datos'!B238),",","")))),0)&gt;IFERROR(FIND("@",SUBSTITUTE(TRIM('Base de Datos'!B238),".","@",LEN(TRIM('Base de Datos'!B238))-LEN(SUBSTITUTE(TRIM('Base de Datos'!B238),".","")))),0),_xlfn.NUMBERVALUE(SUBSTITUTE(SUBSTITUTE(TRIM('Base de Datos'!B238),".",""),",","."),".",","),_xlfn.NUMBERVALUE(SUBSTITUTE(TRIM('Base de Datos'!B238),",",""),".",",")),"")))</f>
        <v/>
      </c>
      <c r="AF242" s="73" t="str">
        <f aca="false">IF(ISNUMBER(AG242),IF(ISNUMBER('Base de Datos'!I238),IF('Base de Datos'!I238&gt;20000,INT('Base de Datos'!I238),""),IF(TRIM('Base de Datos'!I238)="","",IFERROR(DATE(VALUE(RIGHT(TRIM('Base de Datos'!I238),4)),VALUE(MID(TRIM('Base de Datos'!I238),4,2)),VALUE(LEFT(TRIM('Base de Datos'!I238),2))),IFERROR(DATEVALUE(TRIM('Base de Datos'!I238)),"")))),"")</f>
        <v/>
      </c>
      <c r="AG242" s="74" t="str">
        <f aca="false">IF(ISNUMBER('Base de Datos'!J238),'Base de Datos'!J238,IF(TRIM('Base de Datos'!J238)="","",IFERROR(IF(IFERROR(FIND("@",SUBSTITUTE(TRIM('Base de Datos'!J238),",","@",LEN(TRIM('Base de Datos'!J238))-LEN(SUBSTITUTE(TRIM('Base de Datos'!J238),",","")))),0)&gt;IFERROR(FIND("@",SUBSTITUTE(TRIM('Base de Datos'!J238),".","@",LEN(TRIM('Base de Datos'!J238))-LEN(SUBSTITUTE(TRIM('Base de Datos'!J238),".","")))),0),_xlfn.NUMBERVALUE(SUBSTITUTE(SUBSTITUTE(TRIM('Base de Datos'!J238),".",""),",","."),".",","),_xlfn.NUMBERVALUE(SUBSTITUTE(TRIM('Base de Datos'!J238),",",""),".",",")),"")))</f>
        <v/>
      </c>
      <c r="AH242" s="73" t="n">
        <f aca="false">IF(ISNUMBER(AI242),IF(ISNUMBER('Base de Datos'!Q238),IF('Base de Datos'!Q238&gt;20000,DATE(YEAR('Base de Datos'!Q238),DAY('Base de Datos'!Q238),MONTH('Base de Datos'!Q238)),""),IF(TRIM('Base de Datos'!Q238)="","",IFERROR(DATE(VALUE(RIGHT(TRIM('Base de Datos'!Q238),4)),VALUE(LEFT(TRIM('Base de Datos'!Q238),2)),VALUE(MID(TRIM('Base de Datos'!Q238),4,2))),""))),"")</f>
        <v>46110</v>
      </c>
      <c r="AI242" s="74" t="n">
        <f aca="false">IF(ISNUMBER('Base de Datos'!R238),'Base de Datos'!R238,IF(TRIM('Base de Datos'!R238)="","",IFERROR(IF(IFERROR(FIND("@",SUBSTITUTE(TRIM('Base de Datos'!R238),",","@",LEN(TRIM('Base de Datos'!R238))-LEN(SUBSTITUTE(TRIM('Base de Datos'!R238),",","")))),0)&gt;IFERROR(FIND("@",SUBSTITUTE(TRIM('Base de Datos'!R238),".","@",LEN(TRIM('Base de Datos'!R238))-LEN(SUBSTITUTE(TRIM('Base de Datos'!R238),".","")))),0),_xlfn.NUMBERVALUE(SUBSTITUTE(SUBSTITUTE(TRIM('Base de Datos'!R238),".",""),",","."),".",","),_xlfn.NUMBERVALUE(SUBSTITUTE(TRIM('Base de Datos'!R238),",",""),".",",")),"")))</f>
        <v>36.15</v>
      </c>
      <c r="AJ242" s="73" t="n">
        <f aca="false">IF(ISNUMBER(AK242),IF(ISNUMBER('Base de Datos'!Y238),IF('Base de Datos'!Y238&gt;20000,INT('Base de Datos'!Y238),""),IF(TRIM('Base de Datos'!Y238)="","",IFERROR(DATE(VALUE(RIGHT(TRIM('Base de Datos'!Y238),4)),VALUE(MID(TRIM('Base de Datos'!Y238),4,2)),VALUE(LEFT(TRIM('Base de Datos'!Y238),2))),IFERROR(DATEVALUE(TRIM('Base de Datos'!Y238)),"")))),"")</f>
        <v>46110</v>
      </c>
      <c r="AK242" s="74" t="n">
        <f aca="false">IF(ISNUMBER('Base de Datos'!Z238),'Base de Datos'!Z238,IF(TRIM('Base de Datos'!Z238)="","",IFERROR(IF(IFERROR(FIND("@",SUBSTITUTE(TRIM('Base de Datos'!Z238),",","@",LEN(TRIM('Base de Datos'!Z238))-LEN(SUBSTITUTE(TRIM('Base de Datos'!Z238),",","")))),0)&gt;IFERROR(FIND("@",SUBSTITUTE(TRIM('Base de Datos'!Z238),".","@",LEN(TRIM('Base de Datos'!Z238))-LEN(SUBSTITUTE(TRIM('Base de Datos'!Z238),".","")))),0),_xlfn.NUMBERVALUE(SUBSTITUTE(SUBSTITUTE(TRIM('Base de Datos'!Z238),".",""),",","."),".",","),_xlfn.NUMBERVALUE(SUBSTITUTE(TRIM('Base de Datos'!Z238),",",""),".",",")),"")))</f>
        <v>69702.02</v>
      </c>
    </row>
    <row r="243" customFormat="false" ht="13.5" hidden="false" customHeight="false" outlineLevel="0" collapsed="false">
      <c r="A243" s="75" t="n">
        <f aca="false">ROWS(A$13:A243)</f>
        <v>231</v>
      </c>
      <c r="B243" s="73" t="n">
        <f aca="false">IF(B242="","",IFERROR(SMALL($AH$10:$AH$409,COUNTIF($AH$10:$AH$409,"&lt;="&amp;B242)+1),""))</f>
        <v>46096</v>
      </c>
      <c r="C243" s="74" t="n">
        <f aca="false">IF(B243="","",INDEX($AI$10:$AI$409,MATCH(B243,$AH$10:$AH$409,0)))</f>
        <v>32.96</v>
      </c>
      <c r="D243" s="74" t="n">
        <f aca="false">IF(B243="","",IFERROR(INDEX($AK$10:$AK$409,MATCH(B243,$AJ$10:$AJ$409,0)),""))</f>
        <v>64134.9</v>
      </c>
      <c r="E243" s="76" t="n">
        <f aca="false">IF(AND(ISNUMBER(C243),ISNUMBER(C242)),C243/C242-1,"")</f>
        <v>-0.0161194029850746</v>
      </c>
      <c r="F243" s="76" t="n">
        <f aca="false">IF(AND(ISNUMBER(D243),ISNUMBER(D242)),D243/D242-1,"")</f>
        <v>-0.0230622260141106</v>
      </c>
      <c r="G243" s="75" t="n">
        <f aca="false">IF(AND(ISNUMBER(E243),ISNUMBER(F243)),1,"")</f>
        <v>1</v>
      </c>
      <c r="H243" s="75" t="n">
        <f aca="false">IF(G243=1,COUNT(G243:G$412),"")</f>
        <v>29</v>
      </c>
      <c r="I243" s="75" t="n">
        <f aca="false">IF(G243=1,IF(H243&lt;='Beta Regresión'!$B$5,1,""),"")</f>
        <v>1</v>
      </c>
      <c r="J243" s="76" t="n">
        <f aca="false">IF(I243=1,E243,"")</f>
        <v>-0.0161194029850746</v>
      </c>
      <c r="K243" s="76" t="n">
        <f aca="false">IF(I243=1,F243,"")</f>
        <v>-0.0230622260141106</v>
      </c>
      <c r="L243" s="75" t="n">
        <f aca="false">IF(I243=1,COUNT(I$13:I243),"")</f>
        <v>230</v>
      </c>
      <c r="M243" s="76" t="n">
        <f aca="false">IFERROR(INDEX($J$13:$J$412,MATCH(A243,$L$13:$L$412,0)),"")</f>
        <v>0.037621359223301</v>
      </c>
      <c r="N243" s="76" t="n">
        <f aca="false">IFERROR(INDEX($K$13:$K$412,MATCH(A243,$L$13:$L$412,0)),"")</f>
        <v>0.0397733527299489</v>
      </c>
      <c r="O243" s="76" t="n">
        <f aca="false">IF(I243=1,E243,NA())</f>
        <v>-0.0161194029850746</v>
      </c>
      <c r="P243" s="76" t="n">
        <f aca="false">IF(I243=1,F243,NA())</f>
        <v>-0.0230622260141106</v>
      </c>
      <c r="R243" s="75" t="n">
        <f aca="false">ROWS(R$13:R243)</f>
        <v>231</v>
      </c>
      <c r="S243" s="73" t="str">
        <f aca="false">IF(S242="","",IFERROR(SMALL($AD$10:$AD$509,COUNTIF($AD$10:$AD$509,"&lt;="&amp;S242)+1),""))</f>
        <v/>
      </c>
      <c r="T243" s="74" t="str">
        <f aca="false">IF(S243="","",INDEX($AE$10:$AE$509,MATCH(S243,$AD$10:$AD$509,0)))</f>
        <v/>
      </c>
      <c r="U243" s="74" t="str">
        <f aca="false">IF(S243="","",IFERROR(INDEX($AG$10:$AG$509,MATCH(S243,$AF$10:$AF$509,0)),""))</f>
        <v/>
      </c>
      <c r="V243" s="76" t="str">
        <f aca="false">IF(AND(ISNUMBER(T243),ISNUMBER(T242)),T243/T242-1,"")</f>
        <v/>
      </c>
      <c r="W243" s="76" t="str">
        <f aca="false">IF(AND(ISNUMBER(U243),ISNUMBER(U242)),U243/U242-1,"")</f>
        <v/>
      </c>
      <c r="X243" s="75" t="str">
        <f aca="false">IF(AND(ISNUMBER(V243),ISNUMBER(W243)),1,"")</f>
        <v/>
      </c>
      <c r="Y243" s="76" t="str">
        <f aca="false">IF(X243=1,V243,"")</f>
        <v/>
      </c>
      <c r="Z243" s="76" t="str">
        <f aca="false">IF(X243=1,W243,"")</f>
        <v/>
      </c>
      <c r="AA243" s="76" t="e">
        <f aca="false">IF(X243=1,V243,NA())</f>
        <v>#N/A</v>
      </c>
      <c r="AB243" s="76" t="e">
        <f aca="false">IF(X243=1,W243,NA())</f>
        <v>#N/A</v>
      </c>
      <c r="AD243" s="73" t="str">
        <f aca="false">IF(ISNUMBER(AE243),IF(ISNUMBER('Base de Datos'!A239),IF('Base de Datos'!A239&gt;20000,DATE(YEAR('Base de Datos'!A239),DAY('Base de Datos'!A239),MONTH('Base de Datos'!A239)),""),IF(TRIM('Base de Datos'!A239)="","",IFERROR(DATE(VALUE(RIGHT(TRIM('Base de Datos'!A239),4)),VALUE(LEFT(TRIM('Base de Datos'!A239),2)),VALUE(MID(TRIM('Base de Datos'!A239),4,2))),""))),"")</f>
        <v/>
      </c>
      <c r="AE243" s="74" t="str">
        <f aca="false">IF(ISNUMBER('Base de Datos'!B239),'Base de Datos'!B239,IF(TRIM('Base de Datos'!B239)="","",IFERROR(IF(IFERROR(FIND("@",SUBSTITUTE(TRIM('Base de Datos'!B239),",","@",LEN(TRIM('Base de Datos'!B239))-LEN(SUBSTITUTE(TRIM('Base de Datos'!B239),",","")))),0)&gt;IFERROR(FIND("@",SUBSTITUTE(TRIM('Base de Datos'!B239),".","@",LEN(TRIM('Base de Datos'!B239))-LEN(SUBSTITUTE(TRIM('Base de Datos'!B239),".","")))),0),_xlfn.NUMBERVALUE(SUBSTITUTE(SUBSTITUTE(TRIM('Base de Datos'!B239),".",""),",","."),".",","),_xlfn.NUMBERVALUE(SUBSTITUTE(TRIM('Base de Datos'!B239),",",""),".",",")),"")))</f>
        <v/>
      </c>
      <c r="AF243" s="73" t="str">
        <f aca="false">IF(ISNUMBER(AG243),IF(ISNUMBER('Base de Datos'!I239),IF('Base de Datos'!I239&gt;20000,INT('Base de Datos'!I239),""),IF(TRIM('Base de Datos'!I239)="","",IFERROR(DATE(VALUE(RIGHT(TRIM('Base de Datos'!I239),4)),VALUE(MID(TRIM('Base de Datos'!I239),4,2)),VALUE(LEFT(TRIM('Base de Datos'!I239),2))),IFERROR(DATEVALUE(TRIM('Base de Datos'!I239)),"")))),"")</f>
        <v/>
      </c>
      <c r="AG243" s="74" t="str">
        <f aca="false">IF(ISNUMBER('Base de Datos'!J239),'Base de Datos'!J239,IF(TRIM('Base de Datos'!J239)="","",IFERROR(IF(IFERROR(FIND("@",SUBSTITUTE(TRIM('Base de Datos'!J239),",","@",LEN(TRIM('Base de Datos'!J239))-LEN(SUBSTITUTE(TRIM('Base de Datos'!J239),",","")))),0)&gt;IFERROR(FIND("@",SUBSTITUTE(TRIM('Base de Datos'!J239),".","@",LEN(TRIM('Base de Datos'!J239))-LEN(SUBSTITUTE(TRIM('Base de Datos'!J239),".","")))),0),_xlfn.NUMBERVALUE(SUBSTITUTE(SUBSTITUTE(TRIM('Base de Datos'!J239),".",""),",","."),".",","),_xlfn.NUMBERVALUE(SUBSTITUTE(TRIM('Base de Datos'!J239),",",""),".",",")),"")))</f>
        <v/>
      </c>
      <c r="AH243" s="73" t="n">
        <f aca="false">IF(ISNUMBER(AI243),IF(ISNUMBER('Base de Datos'!Q239),IF('Base de Datos'!Q239&gt;20000,DATE(YEAR('Base de Datos'!Q239),DAY('Base de Datos'!Q239),MONTH('Base de Datos'!Q239)),""),IF(TRIM('Base de Datos'!Q239)="","",IFERROR(DATE(VALUE(RIGHT(TRIM('Base de Datos'!Q239),4)),VALUE(LEFT(TRIM('Base de Datos'!Q239),2)),VALUE(MID(TRIM('Base de Datos'!Q239),4,2))),""))),"")</f>
        <v>46117</v>
      </c>
      <c r="AI243" s="74" t="n">
        <f aca="false">IF(ISNUMBER('Base de Datos'!R239),'Base de Datos'!R239,IF(TRIM('Base de Datos'!R239)="","",IFERROR(IF(IFERROR(FIND("@",SUBSTITUTE(TRIM('Base de Datos'!R239),",","@",LEN(TRIM('Base de Datos'!R239))-LEN(SUBSTITUTE(TRIM('Base de Datos'!R239),",","")))),0)&gt;IFERROR(FIND("@",SUBSTITUTE(TRIM('Base de Datos'!R239),".","@",LEN(TRIM('Base de Datos'!R239))-LEN(SUBSTITUTE(TRIM('Base de Datos'!R239),".","")))),0),_xlfn.NUMBERVALUE(SUBSTITUTE(SUBSTITUTE(TRIM('Base de Datos'!R239),".",""),",","."),".",","),_xlfn.NUMBERVALUE(SUBSTITUTE(TRIM('Base de Datos'!R239),",",""),".",",")),"")))</f>
        <v>34.93</v>
      </c>
      <c r="AJ243" s="73" t="n">
        <f aca="false">IF(ISNUMBER(AK243),IF(ISNUMBER('Base de Datos'!Y239),IF('Base de Datos'!Y239&gt;20000,INT('Base de Datos'!Y239),""),IF(TRIM('Base de Datos'!Y239)="","",IFERROR(DATE(VALUE(RIGHT(TRIM('Base de Datos'!Y239),4)),VALUE(MID(TRIM('Base de Datos'!Y239),4,2)),VALUE(LEFT(TRIM('Base de Datos'!Y239),2))),IFERROR(DATEVALUE(TRIM('Base de Datos'!Y239)),"")))),"")</f>
        <v>46117</v>
      </c>
      <c r="AK243" s="74" t="n">
        <f aca="false">IF(ISNUMBER('Base de Datos'!Z239),'Base de Datos'!Z239,IF(TRIM('Base de Datos'!Z239)="","",IFERROR(IF(IFERROR(FIND("@",SUBSTITUTE(TRIM('Base de Datos'!Z239),",","@",LEN(TRIM('Base de Datos'!Z239))-LEN(SUBSTITUTE(TRIM('Base de Datos'!Z239),",","")))),0)&gt;IFERROR(FIND("@",SUBSTITUTE(TRIM('Base de Datos'!Z239),".","@",LEN(TRIM('Base de Datos'!Z239))-LEN(SUBSTITUTE(TRIM('Base de Datos'!Z239),".","")))),0),_xlfn.NUMBERVALUE(SUBSTITUTE(SUBSTITUTE(TRIM('Base de Datos'!Z239),".",""),",","."),".",","),_xlfn.NUMBERVALUE(SUBSTITUTE(TRIM('Base de Datos'!Z239),",",""),".",",")),"")))</f>
        <v>70023.39</v>
      </c>
    </row>
    <row r="244" customFormat="false" ht="13.5" hidden="false" customHeight="false" outlineLevel="0" collapsed="false">
      <c r="A244" s="75" t="n">
        <f aca="false">ROWS(A$13:A244)</f>
        <v>232</v>
      </c>
      <c r="B244" s="73" t="n">
        <f aca="false">IF(B243="","",IFERROR(SMALL($AH$10:$AH$409,COUNTIF($AH$10:$AH$409,"&lt;="&amp;B243)+1),""))</f>
        <v>46103</v>
      </c>
      <c r="C244" s="74" t="n">
        <f aca="false">IF(B244="","",INDEX($AI$10:$AI$409,MATCH(B244,$AH$10:$AH$409,0)))</f>
        <v>34.2</v>
      </c>
      <c r="D244" s="74" t="n">
        <f aca="false">IF(B244="","",IFERROR(INDEX($AK$10:$AK$409,MATCH(B244,$AJ$10:$AJ$409,0)),""))</f>
        <v>66685.76</v>
      </c>
      <c r="E244" s="76" t="n">
        <f aca="false">IF(AND(ISNUMBER(C244),ISNUMBER(C243)),C244/C243-1,"")</f>
        <v>0.037621359223301</v>
      </c>
      <c r="F244" s="76" t="n">
        <f aca="false">IF(AND(ISNUMBER(D244),ISNUMBER(D243)),D244/D243-1,"")</f>
        <v>0.0397733527299489</v>
      </c>
      <c r="G244" s="75" t="n">
        <f aca="false">IF(AND(ISNUMBER(E244),ISNUMBER(F244)),1,"")</f>
        <v>1</v>
      </c>
      <c r="H244" s="75" t="n">
        <f aca="false">IF(G244=1,COUNT(G244:G$412),"")</f>
        <v>28</v>
      </c>
      <c r="I244" s="75" t="n">
        <f aca="false">IF(G244=1,IF(H244&lt;='Beta Regresión'!$B$5,1,""),"")</f>
        <v>1</v>
      </c>
      <c r="J244" s="76" t="n">
        <f aca="false">IF(I244=1,E244,"")</f>
        <v>0.037621359223301</v>
      </c>
      <c r="K244" s="76" t="n">
        <f aca="false">IF(I244=1,F244,"")</f>
        <v>0.0397733527299489</v>
      </c>
      <c r="L244" s="75" t="n">
        <f aca="false">IF(I244=1,COUNT(I$13:I244),"")</f>
        <v>231</v>
      </c>
      <c r="M244" s="76" t="n">
        <f aca="false">IFERROR(INDEX($J$13:$J$412,MATCH(A244,$L$13:$L$412,0)),"")</f>
        <v>0.057017543859649</v>
      </c>
      <c r="N244" s="76" t="n">
        <f aca="false">IFERROR(INDEX($K$13:$K$412,MATCH(A244,$L$13:$L$412,0)),"")</f>
        <v>0.0452309458571067</v>
      </c>
      <c r="O244" s="76" t="n">
        <f aca="false">IF(I244=1,E244,NA())</f>
        <v>0.037621359223301</v>
      </c>
      <c r="P244" s="76" t="n">
        <f aca="false">IF(I244=1,F244,NA())</f>
        <v>0.0397733527299489</v>
      </c>
      <c r="R244" s="75" t="n">
        <f aca="false">ROWS(R$13:R244)</f>
        <v>232</v>
      </c>
      <c r="S244" s="73" t="str">
        <f aca="false">IF(S243="","",IFERROR(SMALL($AD$10:$AD$509,COUNTIF($AD$10:$AD$509,"&lt;="&amp;S243)+1),""))</f>
        <v/>
      </c>
      <c r="T244" s="74" t="str">
        <f aca="false">IF(S244="","",INDEX($AE$10:$AE$509,MATCH(S244,$AD$10:$AD$509,0)))</f>
        <v/>
      </c>
      <c r="U244" s="74" t="str">
        <f aca="false">IF(S244="","",IFERROR(INDEX($AG$10:$AG$509,MATCH(S244,$AF$10:$AF$509,0)),""))</f>
        <v/>
      </c>
      <c r="V244" s="76" t="str">
        <f aca="false">IF(AND(ISNUMBER(T244),ISNUMBER(T243)),T244/T243-1,"")</f>
        <v/>
      </c>
      <c r="W244" s="76" t="str">
        <f aca="false">IF(AND(ISNUMBER(U244),ISNUMBER(U243)),U244/U243-1,"")</f>
        <v/>
      </c>
      <c r="X244" s="75" t="str">
        <f aca="false">IF(AND(ISNUMBER(V244),ISNUMBER(W244)),1,"")</f>
        <v/>
      </c>
      <c r="Y244" s="76" t="str">
        <f aca="false">IF(X244=1,V244,"")</f>
        <v/>
      </c>
      <c r="Z244" s="76" t="str">
        <f aca="false">IF(X244=1,W244,"")</f>
        <v/>
      </c>
      <c r="AA244" s="76" t="e">
        <f aca="false">IF(X244=1,V244,NA())</f>
        <v>#N/A</v>
      </c>
      <c r="AB244" s="76" t="e">
        <f aca="false">IF(X244=1,W244,NA())</f>
        <v>#N/A</v>
      </c>
      <c r="AD244" s="73" t="str">
        <f aca="false">IF(ISNUMBER(AE244),IF(ISNUMBER('Base de Datos'!A240),IF('Base de Datos'!A240&gt;20000,DATE(YEAR('Base de Datos'!A240),DAY('Base de Datos'!A240),MONTH('Base de Datos'!A240)),""),IF(TRIM('Base de Datos'!A240)="","",IFERROR(DATE(VALUE(RIGHT(TRIM('Base de Datos'!A240),4)),VALUE(LEFT(TRIM('Base de Datos'!A240),2)),VALUE(MID(TRIM('Base de Datos'!A240),4,2))),""))),"")</f>
        <v/>
      </c>
      <c r="AE244" s="74" t="str">
        <f aca="false">IF(ISNUMBER('Base de Datos'!B240),'Base de Datos'!B240,IF(TRIM('Base de Datos'!B240)="","",IFERROR(IF(IFERROR(FIND("@",SUBSTITUTE(TRIM('Base de Datos'!B240),",","@",LEN(TRIM('Base de Datos'!B240))-LEN(SUBSTITUTE(TRIM('Base de Datos'!B240),",","")))),0)&gt;IFERROR(FIND("@",SUBSTITUTE(TRIM('Base de Datos'!B240),".","@",LEN(TRIM('Base de Datos'!B240))-LEN(SUBSTITUTE(TRIM('Base de Datos'!B240),".","")))),0),_xlfn.NUMBERVALUE(SUBSTITUTE(SUBSTITUTE(TRIM('Base de Datos'!B240),".",""),",","."),".",","),_xlfn.NUMBERVALUE(SUBSTITUTE(TRIM('Base de Datos'!B240),",",""),".",",")),"")))</f>
        <v/>
      </c>
      <c r="AF244" s="73" t="str">
        <f aca="false">IF(ISNUMBER(AG244),IF(ISNUMBER('Base de Datos'!I240),IF('Base de Datos'!I240&gt;20000,INT('Base de Datos'!I240),""),IF(TRIM('Base de Datos'!I240)="","",IFERROR(DATE(VALUE(RIGHT(TRIM('Base de Datos'!I240),4)),VALUE(MID(TRIM('Base de Datos'!I240),4,2)),VALUE(LEFT(TRIM('Base de Datos'!I240),2))),IFERROR(DATEVALUE(TRIM('Base de Datos'!I240)),"")))),"")</f>
        <v/>
      </c>
      <c r="AG244" s="74" t="str">
        <f aca="false">IF(ISNUMBER('Base de Datos'!J240),'Base de Datos'!J240,IF(TRIM('Base de Datos'!J240)="","",IFERROR(IF(IFERROR(FIND("@",SUBSTITUTE(TRIM('Base de Datos'!J240),",","@",LEN(TRIM('Base de Datos'!J240))-LEN(SUBSTITUTE(TRIM('Base de Datos'!J240),",","")))),0)&gt;IFERROR(FIND("@",SUBSTITUTE(TRIM('Base de Datos'!J240),".","@",LEN(TRIM('Base de Datos'!J240))-LEN(SUBSTITUTE(TRIM('Base de Datos'!J240),".","")))),0),_xlfn.NUMBERVALUE(SUBSTITUTE(SUBSTITUTE(TRIM('Base de Datos'!J240),".",""),",","."),".",","),_xlfn.NUMBERVALUE(SUBSTITUTE(TRIM('Base de Datos'!J240),",",""),".",",")),"")))</f>
        <v/>
      </c>
      <c r="AH244" s="73" t="n">
        <f aca="false">IF(ISNUMBER(AI244),IF(ISNUMBER('Base de Datos'!Q240),IF('Base de Datos'!Q240&gt;20000,DATE(YEAR('Base de Datos'!Q240),DAY('Base de Datos'!Q240),MONTH('Base de Datos'!Q240)),""),IF(TRIM('Base de Datos'!Q240)="","",IFERROR(DATE(VALUE(RIGHT(TRIM('Base de Datos'!Q240),4)),VALUE(LEFT(TRIM('Base de Datos'!Q240),2)),VALUE(MID(TRIM('Base de Datos'!Q240),4,2))),""))),"")</f>
        <v>46124</v>
      </c>
      <c r="AI244" s="74" t="n">
        <f aca="false">IF(ISNUMBER('Base de Datos'!R240),'Base de Datos'!R240,IF(TRIM('Base de Datos'!R240)="","",IFERROR(IF(IFERROR(FIND("@",SUBSTITUTE(TRIM('Base de Datos'!R240),",","@",LEN(TRIM('Base de Datos'!R240))-LEN(SUBSTITUTE(TRIM('Base de Datos'!R240),",","")))),0)&gt;IFERROR(FIND("@",SUBSTITUTE(TRIM('Base de Datos'!R240),".","@",LEN(TRIM('Base de Datos'!R240))-LEN(SUBSTITUTE(TRIM('Base de Datos'!R240),".","")))),0),_xlfn.NUMBERVALUE(SUBSTITUTE(SUBSTITUTE(TRIM('Base de Datos'!R240),".",""),",","."),".",","),_xlfn.NUMBERVALUE(SUBSTITUTE(TRIM('Base de Datos'!R240),",",""),".",",")),"")))</f>
        <v>33.38</v>
      </c>
      <c r="AJ244" s="73" t="n">
        <f aca="false">IF(ISNUMBER(AK244),IF(ISNUMBER('Base de Datos'!Y240),IF('Base de Datos'!Y240&gt;20000,INT('Base de Datos'!Y240),""),IF(TRIM('Base de Datos'!Y240)="","",IFERROR(DATE(VALUE(RIGHT(TRIM('Base de Datos'!Y240),4)),VALUE(MID(TRIM('Base de Datos'!Y240),4,2)),VALUE(LEFT(TRIM('Base de Datos'!Y240),2))),IFERROR(DATEVALUE(TRIM('Base de Datos'!Y240)),"")))),"")</f>
        <v>46124</v>
      </c>
      <c r="AK244" s="74" t="n">
        <f aca="false">IF(ISNUMBER('Base de Datos'!Z240),'Base de Datos'!Z240,IF(TRIM('Base de Datos'!Z240)="","",IFERROR(IF(IFERROR(FIND("@",SUBSTITUTE(TRIM('Base de Datos'!Z240),",","@",LEN(TRIM('Base de Datos'!Z240))-LEN(SUBSTITUTE(TRIM('Base de Datos'!Z240),",","")))),0)&gt;IFERROR(FIND("@",SUBSTITUTE(TRIM('Base de Datos'!Z240),".","@",LEN(TRIM('Base de Datos'!Z240))-LEN(SUBSTITUTE(TRIM('Base de Datos'!Z240),".","")))),0),_xlfn.NUMBERVALUE(SUBSTITUTE(SUBSTITUTE(TRIM('Base de Datos'!Z240),".",""),",","."),".",","),_xlfn.NUMBERVALUE(SUBSTITUTE(TRIM('Base de Datos'!Z240),",",""),".",",")),"")))</f>
        <v>69825.94</v>
      </c>
    </row>
    <row r="245" customFormat="false" ht="13.5" hidden="false" customHeight="false" outlineLevel="0" collapsed="false">
      <c r="A245" s="75" t="n">
        <f aca="false">ROWS(A$13:A245)</f>
        <v>233</v>
      </c>
      <c r="B245" s="73" t="n">
        <f aca="false">IF(B244="","",IFERROR(SMALL($AH$10:$AH$409,COUNTIF($AH$10:$AH$409,"&lt;="&amp;B244)+1),""))</f>
        <v>46110</v>
      </c>
      <c r="C245" s="74" t="n">
        <f aca="false">IF(B245="","",INDEX($AI$10:$AI$409,MATCH(B245,$AH$10:$AH$409,0)))</f>
        <v>36.15</v>
      </c>
      <c r="D245" s="74" t="n">
        <f aca="false">IF(B245="","",IFERROR(INDEX($AK$10:$AK$409,MATCH(B245,$AJ$10:$AJ$409,0)),""))</f>
        <v>69702.02</v>
      </c>
      <c r="E245" s="76" t="n">
        <f aca="false">IF(AND(ISNUMBER(C245),ISNUMBER(C244)),C245/C244-1,"")</f>
        <v>0.057017543859649</v>
      </c>
      <c r="F245" s="76" t="n">
        <f aca="false">IF(AND(ISNUMBER(D245),ISNUMBER(D244)),D245/D244-1,"")</f>
        <v>0.0452309458571067</v>
      </c>
      <c r="G245" s="75" t="n">
        <f aca="false">IF(AND(ISNUMBER(E245),ISNUMBER(F245)),1,"")</f>
        <v>1</v>
      </c>
      <c r="H245" s="75" t="n">
        <f aca="false">IF(G245=1,COUNT(G245:G$412),"")</f>
        <v>27</v>
      </c>
      <c r="I245" s="75" t="n">
        <f aca="false">IF(G245=1,IF(H245&lt;='Beta Regresión'!$B$5,1,""),"")</f>
        <v>1</v>
      </c>
      <c r="J245" s="76" t="n">
        <f aca="false">IF(I245=1,E245,"")</f>
        <v>0.057017543859649</v>
      </c>
      <c r="K245" s="76" t="n">
        <f aca="false">IF(I245=1,F245,"")</f>
        <v>0.0452309458571067</v>
      </c>
      <c r="L245" s="75" t="n">
        <f aca="false">IF(I245=1,COUNT(I$13:I245),"")</f>
        <v>232</v>
      </c>
      <c r="M245" s="76" t="n">
        <f aca="false">IFERROR(INDEX($J$13:$J$412,MATCH(A245,$L$13:$L$412,0)),"")</f>
        <v>-0.0337482710926694</v>
      </c>
      <c r="N245" s="76" t="n">
        <f aca="false">IFERROR(INDEX($K$13:$K$412,MATCH(A245,$L$13:$L$412,0)),"")</f>
        <v>0.00461062677953938</v>
      </c>
      <c r="O245" s="76" t="n">
        <f aca="false">IF(I245=1,E245,NA())</f>
        <v>0.057017543859649</v>
      </c>
      <c r="P245" s="76" t="n">
        <f aca="false">IF(I245=1,F245,NA())</f>
        <v>0.0452309458571067</v>
      </c>
      <c r="R245" s="75" t="n">
        <f aca="false">ROWS(R$13:R245)</f>
        <v>233</v>
      </c>
      <c r="S245" s="73" t="str">
        <f aca="false">IF(S244="","",IFERROR(SMALL($AD$10:$AD$509,COUNTIF($AD$10:$AD$509,"&lt;="&amp;S244)+1),""))</f>
        <v/>
      </c>
      <c r="T245" s="74" t="str">
        <f aca="false">IF(S245="","",INDEX($AE$10:$AE$509,MATCH(S245,$AD$10:$AD$509,0)))</f>
        <v/>
      </c>
      <c r="U245" s="74" t="str">
        <f aca="false">IF(S245="","",IFERROR(INDEX($AG$10:$AG$509,MATCH(S245,$AF$10:$AF$509,0)),""))</f>
        <v/>
      </c>
      <c r="V245" s="76" t="str">
        <f aca="false">IF(AND(ISNUMBER(T245),ISNUMBER(T244)),T245/T244-1,"")</f>
        <v/>
      </c>
      <c r="W245" s="76" t="str">
        <f aca="false">IF(AND(ISNUMBER(U245),ISNUMBER(U244)),U245/U244-1,"")</f>
        <v/>
      </c>
      <c r="X245" s="75" t="str">
        <f aca="false">IF(AND(ISNUMBER(V245),ISNUMBER(W245)),1,"")</f>
        <v/>
      </c>
      <c r="Y245" s="76" t="str">
        <f aca="false">IF(X245=1,V245,"")</f>
        <v/>
      </c>
      <c r="Z245" s="76" t="str">
        <f aca="false">IF(X245=1,W245,"")</f>
        <v/>
      </c>
      <c r="AA245" s="76" t="e">
        <f aca="false">IF(X245=1,V245,NA())</f>
        <v>#N/A</v>
      </c>
      <c r="AB245" s="76" t="e">
        <f aca="false">IF(X245=1,W245,NA())</f>
        <v>#N/A</v>
      </c>
      <c r="AD245" s="73" t="str">
        <f aca="false">IF(ISNUMBER(AE245),IF(ISNUMBER('Base de Datos'!A241),IF('Base de Datos'!A241&gt;20000,DATE(YEAR('Base de Datos'!A241),DAY('Base de Datos'!A241),MONTH('Base de Datos'!A241)),""),IF(TRIM('Base de Datos'!A241)="","",IFERROR(DATE(VALUE(RIGHT(TRIM('Base de Datos'!A241),4)),VALUE(LEFT(TRIM('Base de Datos'!A241),2)),VALUE(MID(TRIM('Base de Datos'!A241),4,2))),""))),"")</f>
        <v/>
      </c>
      <c r="AE245" s="74" t="str">
        <f aca="false">IF(ISNUMBER('Base de Datos'!B241),'Base de Datos'!B241,IF(TRIM('Base de Datos'!B241)="","",IFERROR(IF(IFERROR(FIND("@",SUBSTITUTE(TRIM('Base de Datos'!B241),",","@",LEN(TRIM('Base de Datos'!B241))-LEN(SUBSTITUTE(TRIM('Base de Datos'!B241),",","")))),0)&gt;IFERROR(FIND("@",SUBSTITUTE(TRIM('Base de Datos'!B241),".","@",LEN(TRIM('Base de Datos'!B241))-LEN(SUBSTITUTE(TRIM('Base de Datos'!B241),".","")))),0),_xlfn.NUMBERVALUE(SUBSTITUTE(SUBSTITUTE(TRIM('Base de Datos'!B241),".",""),",","."),".",","),_xlfn.NUMBERVALUE(SUBSTITUTE(TRIM('Base de Datos'!B241),",",""),".",",")),"")))</f>
        <v/>
      </c>
      <c r="AF245" s="73" t="str">
        <f aca="false">IF(ISNUMBER(AG245),IF(ISNUMBER('Base de Datos'!I241),IF('Base de Datos'!I241&gt;20000,INT('Base de Datos'!I241),""),IF(TRIM('Base de Datos'!I241)="","",IFERROR(DATE(VALUE(RIGHT(TRIM('Base de Datos'!I241),4)),VALUE(MID(TRIM('Base de Datos'!I241),4,2)),VALUE(LEFT(TRIM('Base de Datos'!I241),2))),IFERROR(DATEVALUE(TRIM('Base de Datos'!I241)),"")))),"")</f>
        <v/>
      </c>
      <c r="AG245" s="74" t="str">
        <f aca="false">IF(ISNUMBER('Base de Datos'!J241),'Base de Datos'!J241,IF(TRIM('Base de Datos'!J241)="","",IFERROR(IF(IFERROR(FIND("@",SUBSTITUTE(TRIM('Base de Datos'!J241),",","@",LEN(TRIM('Base de Datos'!J241))-LEN(SUBSTITUTE(TRIM('Base de Datos'!J241),",","")))),0)&gt;IFERROR(FIND("@",SUBSTITUTE(TRIM('Base de Datos'!J241),".","@",LEN(TRIM('Base de Datos'!J241))-LEN(SUBSTITUTE(TRIM('Base de Datos'!J241),".","")))),0),_xlfn.NUMBERVALUE(SUBSTITUTE(SUBSTITUTE(TRIM('Base de Datos'!J241),".",""),",","."),".",","),_xlfn.NUMBERVALUE(SUBSTITUTE(TRIM('Base de Datos'!J241),",",""),".",",")),"")))</f>
        <v/>
      </c>
      <c r="AH245" s="73" t="n">
        <f aca="false">IF(ISNUMBER(AI245),IF(ISNUMBER('Base de Datos'!Q241),IF('Base de Datos'!Q241&gt;20000,DATE(YEAR('Base de Datos'!Q241),DAY('Base de Datos'!Q241),MONTH('Base de Datos'!Q241)),""),IF(TRIM('Base de Datos'!Q241)="","",IFERROR(DATE(VALUE(RIGHT(TRIM('Base de Datos'!Q241),4)),VALUE(LEFT(TRIM('Base de Datos'!Q241),2)),VALUE(MID(TRIM('Base de Datos'!Q241),4,2))),""))),"")</f>
        <v>46131</v>
      </c>
      <c r="AI245" s="74" t="n">
        <f aca="false">IF(ISNUMBER('Base de Datos'!R241),'Base de Datos'!R241,IF(TRIM('Base de Datos'!R241)="","",IFERROR(IF(IFERROR(FIND("@",SUBSTITUTE(TRIM('Base de Datos'!R241),",","@",LEN(TRIM('Base de Datos'!R241))-LEN(SUBSTITUTE(TRIM('Base de Datos'!R241),",","")))),0)&gt;IFERROR(FIND("@",SUBSTITUTE(TRIM('Base de Datos'!R241),".","@",LEN(TRIM('Base de Datos'!R241))-LEN(SUBSTITUTE(TRIM('Base de Datos'!R241),".","")))),0),_xlfn.NUMBERVALUE(SUBSTITUTE(SUBSTITUTE(TRIM('Base de Datos'!R241),".",""),",","."),".",","),_xlfn.NUMBERVALUE(SUBSTITUTE(TRIM('Base de Datos'!R241),",",""),".",",")),"")))</f>
        <v>31.63</v>
      </c>
      <c r="AJ245" s="73" t="n">
        <f aca="false">IF(ISNUMBER(AK245),IF(ISNUMBER('Base de Datos'!Y241),IF('Base de Datos'!Y241&gt;20000,INT('Base de Datos'!Y241),""),IF(TRIM('Base de Datos'!Y241)="","",IFERROR(DATE(VALUE(RIGHT(TRIM('Base de Datos'!Y241),4)),VALUE(MID(TRIM('Base de Datos'!Y241),4,2)),VALUE(LEFT(TRIM('Base de Datos'!Y241),2))),IFERROR(DATEVALUE(TRIM('Base de Datos'!Y241)),"")))),"")</f>
        <v>46131</v>
      </c>
      <c r="AK245" s="74" t="n">
        <f aca="false">IF(ISNUMBER('Base de Datos'!Z241),'Base de Datos'!Z241,IF(TRIM('Base de Datos'!Z241)="","",IFERROR(IF(IFERROR(FIND("@",SUBSTITUTE(TRIM('Base de Datos'!Z241),",","@",LEN(TRIM('Base de Datos'!Z241))-LEN(SUBSTITUTE(TRIM('Base de Datos'!Z241),",","")))),0)&gt;IFERROR(FIND("@",SUBSTITUTE(TRIM('Base de Datos'!Z241),".","@",LEN(TRIM('Base de Datos'!Z241))-LEN(SUBSTITUTE(TRIM('Base de Datos'!Z241),".","")))),0),_xlfn.NUMBERVALUE(SUBSTITUTE(SUBSTITUTE(TRIM('Base de Datos'!Z241),".",""),",","."),".",","),_xlfn.NUMBERVALUE(SUBSTITUTE(TRIM('Base de Datos'!Z241),",",""),".",",")),"")))</f>
        <v>69230.56</v>
      </c>
    </row>
    <row r="246" customFormat="false" ht="13.5" hidden="false" customHeight="false" outlineLevel="0" collapsed="false">
      <c r="A246" s="75" t="n">
        <f aca="false">ROWS(A$13:A246)</f>
        <v>234</v>
      </c>
      <c r="B246" s="73" t="n">
        <f aca="false">IF(B245="","",IFERROR(SMALL($AH$10:$AH$409,COUNTIF($AH$10:$AH$409,"&lt;="&amp;B245)+1),""))</f>
        <v>46117</v>
      </c>
      <c r="C246" s="74" t="n">
        <f aca="false">IF(B246="","",INDEX($AI$10:$AI$409,MATCH(B246,$AH$10:$AH$409,0)))</f>
        <v>34.93</v>
      </c>
      <c r="D246" s="74" t="n">
        <f aca="false">IF(B246="","",IFERROR(INDEX($AK$10:$AK$409,MATCH(B246,$AJ$10:$AJ$409,0)),""))</f>
        <v>70023.39</v>
      </c>
      <c r="E246" s="76" t="n">
        <f aca="false">IF(AND(ISNUMBER(C246),ISNUMBER(C245)),C246/C245-1,"")</f>
        <v>-0.0337482710926694</v>
      </c>
      <c r="F246" s="76" t="n">
        <f aca="false">IF(AND(ISNUMBER(D246),ISNUMBER(D245)),D246/D245-1,"")</f>
        <v>0.00461062677953938</v>
      </c>
      <c r="G246" s="75" t="n">
        <f aca="false">IF(AND(ISNUMBER(E246),ISNUMBER(F246)),1,"")</f>
        <v>1</v>
      </c>
      <c r="H246" s="75" t="n">
        <f aca="false">IF(G246=1,COUNT(G246:G$412),"")</f>
        <v>26</v>
      </c>
      <c r="I246" s="75" t="n">
        <f aca="false">IF(G246=1,IF(H246&lt;='Beta Regresión'!$B$5,1,""),"")</f>
        <v>1</v>
      </c>
      <c r="J246" s="76" t="n">
        <f aca="false">IF(I246=1,E246,"")</f>
        <v>-0.0337482710926694</v>
      </c>
      <c r="K246" s="76" t="n">
        <f aca="false">IF(I246=1,F246,"")</f>
        <v>0.00461062677953938</v>
      </c>
      <c r="L246" s="75" t="n">
        <f aca="false">IF(I246=1,COUNT(I$13:I246),"")</f>
        <v>233</v>
      </c>
      <c r="M246" s="76" t="n">
        <f aca="false">IFERROR(INDEX($J$13:$J$412,MATCH(A246,$L$13:$L$412,0)),"")</f>
        <v>-0.0443744632121385</v>
      </c>
      <c r="N246" s="76" t="n">
        <f aca="false">IFERROR(INDEX($K$13:$K$412,MATCH(A246,$L$13:$L$412,0)),"")</f>
        <v>-0.00281977207901529</v>
      </c>
      <c r="O246" s="76" t="n">
        <f aca="false">IF(I246=1,E246,NA())</f>
        <v>-0.0337482710926694</v>
      </c>
      <c r="P246" s="76" t="n">
        <f aca="false">IF(I246=1,F246,NA())</f>
        <v>0.00461062677953938</v>
      </c>
      <c r="R246" s="75" t="n">
        <f aca="false">ROWS(R$13:R246)</f>
        <v>234</v>
      </c>
      <c r="S246" s="73" t="str">
        <f aca="false">IF(S245="","",IFERROR(SMALL($AD$10:$AD$509,COUNTIF($AD$10:$AD$509,"&lt;="&amp;S245)+1),""))</f>
        <v/>
      </c>
      <c r="T246" s="74" t="str">
        <f aca="false">IF(S246="","",INDEX($AE$10:$AE$509,MATCH(S246,$AD$10:$AD$509,0)))</f>
        <v/>
      </c>
      <c r="U246" s="74" t="str">
        <f aca="false">IF(S246="","",IFERROR(INDEX($AG$10:$AG$509,MATCH(S246,$AF$10:$AF$509,0)),""))</f>
        <v/>
      </c>
      <c r="V246" s="76" t="str">
        <f aca="false">IF(AND(ISNUMBER(T246),ISNUMBER(T245)),T246/T245-1,"")</f>
        <v/>
      </c>
      <c r="W246" s="76" t="str">
        <f aca="false">IF(AND(ISNUMBER(U246),ISNUMBER(U245)),U246/U245-1,"")</f>
        <v/>
      </c>
      <c r="X246" s="75" t="str">
        <f aca="false">IF(AND(ISNUMBER(V246),ISNUMBER(W246)),1,"")</f>
        <v/>
      </c>
      <c r="Y246" s="76" t="str">
        <f aca="false">IF(X246=1,V246,"")</f>
        <v/>
      </c>
      <c r="Z246" s="76" t="str">
        <f aca="false">IF(X246=1,W246,"")</f>
        <v/>
      </c>
      <c r="AA246" s="76" t="e">
        <f aca="false">IF(X246=1,V246,NA())</f>
        <v>#N/A</v>
      </c>
      <c r="AB246" s="76" t="e">
        <f aca="false">IF(X246=1,W246,NA())</f>
        <v>#N/A</v>
      </c>
      <c r="AD246" s="73" t="str">
        <f aca="false">IF(ISNUMBER(AE246),IF(ISNUMBER('Base de Datos'!A242),IF('Base de Datos'!A242&gt;20000,DATE(YEAR('Base de Datos'!A242),DAY('Base de Datos'!A242),MONTH('Base de Datos'!A242)),""),IF(TRIM('Base de Datos'!A242)="","",IFERROR(DATE(VALUE(RIGHT(TRIM('Base de Datos'!A242),4)),VALUE(LEFT(TRIM('Base de Datos'!A242),2)),VALUE(MID(TRIM('Base de Datos'!A242),4,2))),""))),"")</f>
        <v/>
      </c>
      <c r="AE246" s="74" t="str">
        <f aca="false">IF(ISNUMBER('Base de Datos'!B242),'Base de Datos'!B242,IF(TRIM('Base de Datos'!B242)="","",IFERROR(IF(IFERROR(FIND("@",SUBSTITUTE(TRIM('Base de Datos'!B242),",","@",LEN(TRIM('Base de Datos'!B242))-LEN(SUBSTITUTE(TRIM('Base de Datos'!B242),",","")))),0)&gt;IFERROR(FIND("@",SUBSTITUTE(TRIM('Base de Datos'!B242),".","@",LEN(TRIM('Base de Datos'!B242))-LEN(SUBSTITUTE(TRIM('Base de Datos'!B242),".","")))),0),_xlfn.NUMBERVALUE(SUBSTITUTE(SUBSTITUTE(TRIM('Base de Datos'!B242),".",""),",","."),".",","),_xlfn.NUMBERVALUE(SUBSTITUTE(TRIM('Base de Datos'!B242),",",""),".",",")),"")))</f>
        <v/>
      </c>
      <c r="AF246" s="73" t="str">
        <f aca="false">IF(ISNUMBER(AG246),IF(ISNUMBER('Base de Datos'!I242),IF('Base de Datos'!I242&gt;20000,INT('Base de Datos'!I242),""),IF(TRIM('Base de Datos'!I242)="","",IFERROR(DATE(VALUE(RIGHT(TRIM('Base de Datos'!I242),4)),VALUE(MID(TRIM('Base de Datos'!I242),4,2)),VALUE(LEFT(TRIM('Base de Datos'!I242),2))),IFERROR(DATEVALUE(TRIM('Base de Datos'!I242)),"")))),"")</f>
        <v/>
      </c>
      <c r="AG246" s="74" t="str">
        <f aca="false">IF(ISNUMBER('Base de Datos'!J242),'Base de Datos'!J242,IF(TRIM('Base de Datos'!J242)="","",IFERROR(IF(IFERROR(FIND("@",SUBSTITUTE(TRIM('Base de Datos'!J242),",","@",LEN(TRIM('Base de Datos'!J242))-LEN(SUBSTITUTE(TRIM('Base de Datos'!J242),",","")))),0)&gt;IFERROR(FIND("@",SUBSTITUTE(TRIM('Base de Datos'!J242),".","@",LEN(TRIM('Base de Datos'!J242))-LEN(SUBSTITUTE(TRIM('Base de Datos'!J242),".","")))),0),_xlfn.NUMBERVALUE(SUBSTITUTE(SUBSTITUTE(TRIM('Base de Datos'!J242),".",""),",","."),".",","),_xlfn.NUMBERVALUE(SUBSTITUTE(TRIM('Base de Datos'!J242),",",""),".",",")),"")))</f>
        <v/>
      </c>
      <c r="AH246" s="73" t="n">
        <f aca="false">IF(ISNUMBER(AI246),IF(ISNUMBER('Base de Datos'!Q242),IF('Base de Datos'!Q242&gt;20000,DATE(YEAR('Base de Datos'!Q242),DAY('Base de Datos'!Q242),MONTH('Base de Datos'!Q242)),""),IF(TRIM('Base de Datos'!Q242)="","",IFERROR(DATE(VALUE(RIGHT(TRIM('Base de Datos'!Q242),4)),VALUE(LEFT(TRIM('Base de Datos'!Q242),2)),VALUE(MID(TRIM('Base de Datos'!Q242),4,2))),""))),"")</f>
        <v>46138</v>
      </c>
      <c r="AI246" s="74" t="n">
        <f aca="false">IF(ISNUMBER('Base de Datos'!R242),'Base de Datos'!R242,IF(TRIM('Base de Datos'!R242)="","",IFERROR(IF(IFERROR(FIND("@",SUBSTITUTE(TRIM('Base de Datos'!R242),",","@",LEN(TRIM('Base de Datos'!R242))-LEN(SUBSTITUTE(TRIM('Base de Datos'!R242),",","")))),0)&gt;IFERROR(FIND("@",SUBSTITUTE(TRIM('Base de Datos'!R242),".","@",LEN(TRIM('Base de Datos'!R242))-LEN(SUBSTITUTE(TRIM('Base de Datos'!R242),".","")))),0),_xlfn.NUMBERVALUE(SUBSTITUTE(SUBSTITUTE(TRIM('Base de Datos'!R242),".",""),",","."),".",","),_xlfn.NUMBERVALUE(SUBSTITUTE(TRIM('Base de Datos'!R242),",",""),".",",")),"")))</f>
        <v>33.49</v>
      </c>
      <c r="AJ246" s="73" t="n">
        <f aca="false">IF(ISNUMBER(AK246),IF(ISNUMBER('Base de Datos'!Y242),IF('Base de Datos'!Y242&gt;20000,INT('Base de Datos'!Y242),""),IF(TRIM('Base de Datos'!Y242)="","",IFERROR(DATE(VALUE(RIGHT(TRIM('Base de Datos'!Y242),4)),VALUE(MID(TRIM('Base de Datos'!Y242),4,2)),VALUE(LEFT(TRIM('Base de Datos'!Y242),2))),IFERROR(DATEVALUE(TRIM('Base de Datos'!Y242)),"")))),"")</f>
        <v>46138</v>
      </c>
      <c r="AK246" s="74" t="n">
        <f aca="false">IF(ISNUMBER('Base de Datos'!Z242),'Base de Datos'!Z242,IF(TRIM('Base de Datos'!Z242)="","",IFERROR(IF(IFERROR(FIND("@",SUBSTITUTE(TRIM('Base de Datos'!Z242),",","@",LEN(TRIM('Base de Datos'!Z242))-LEN(SUBSTITUTE(TRIM('Base de Datos'!Z242),",","")))),0)&gt;IFERROR(FIND("@",SUBSTITUTE(TRIM('Base de Datos'!Z242),".","@",LEN(TRIM('Base de Datos'!Z242))-LEN(SUBSTITUTE(TRIM('Base de Datos'!Z242),".","")))),0),_xlfn.NUMBERVALUE(SUBSTITUTE(SUBSTITUTE(TRIM('Base de Datos'!Z242),".",""),",","."),".",","),_xlfn.NUMBERVALUE(SUBSTITUTE(TRIM('Base de Datos'!Z242),",",""),".",",")),"")))</f>
        <v>67858.09</v>
      </c>
    </row>
    <row r="247" customFormat="false" ht="13.5" hidden="false" customHeight="false" outlineLevel="0" collapsed="false">
      <c r="A247" s="75" t="n">
        <f aca="false">ROWS(A$13:A247)</f>
        <v>235</v>
      </c>
      <c r="B247" s="73" t="n">
        <f aca="false">IF(B246="","",IFERROR(SMALL($AH$10:$AH$409,COUNTIF($AH$10:$AH$409,"&lt;="&amp;B246)+1),""))</f>
        <v>46124</v>
      </c>
      <c r="C247" s="74" t="n">
        <f aca="false">IF(B247="","",INDEX($AI$10:$AI$409,MATCH(B247,$AH$10:$AH$409,0)))</f>
        <v>33.38</v>
      </c>
      <c r="D247" s="74" t="n">
        <f aca="false">IF(B247="","",IFERROR(INDEX($AK$10:$AK$409,MATCH(B247,$AJ$10:$AJ$409,0)),""))</f>
        <v>69825.94</v>
      </c>
      <c r="E247" s="76" t="n">
        <f aca="false">IF(AND(ISNUMBER(C247),ISNUMBER(C246)),C247/C246-1,"")</f>
        <v>-0.0443744632121385</v>
      </c>
      <c r="F247" s="76" t="n">
        <f aca="false">IF(AND(ISNUMBER(D247),ISNUMBER(D246)),D247/D246-1,"")</f>
        <v>-0.00281977207901529</v>
      </c>
      <c r="G247" s="75" t="n">
        <f aca="false">IF(AND(ISNUMBER(E247),ISNUMBER(F247)),1,"")</f>
        <v>1</v>
      </c>
      <c r="H247" s="75" t="n">
        <f aca="false">IF(G247=1,COUNT(G247:G$412),"")</f>
        <v>25</v>
      </c>
      <c r="I247" s="75" t="n">
        <f aca="false">IF(G247=1,IF(H247&lt;='Beta Regresión'!$B$5,1,""),"")</f>
        <v>1</v>
      </c>
      <c r="J247" s="76" t="n">
        <f aca="false">IF(I247=1,E247,"")</f>
        <v>-0.0443744632121385</v>
      </c>
      <c r="K247" s="76" t="n">
        <f aca="false">IF(I247=1,F247,"")</f>
        <v>-0.00281977207901529</v>
      </c>
      <c r="L247" s="75" t="n">
        <f aca="false">IF(I247=1,COUNT(I$13:I247),"")</f>
        <v>234</v>
      </c>
      <c r="M247" s="76" t="n">
        <f aca="false">IFERROR(INDEX($J$13:$J$412,MATCH(A247,$L$13:$L$412,0)),"")</f>
        <v>-0.0524266027561415</v>
      </c>
      <c r="N247" s="76" t="n">
        <f aca="false">IFERROR(INDEX($K$13:$K$412,MATCH(A247,$L$13:$L$412,0)),"")</f>
        <v>-0.00852663064757886</v>
      </c>
      <c r="O247" s="76" t="n">
        <f aca="false">IF(I247=1,E247,NA())</f>
        <v>-0.0443744632121385</v>
      </c>
      <c r="P247" s="76" t="n">
        <f aca="false">IF(I247=1,F247,NA())</f>
        <v>-0.00281977207901529</v>
      </c>
      <c r="R247" s="75" t="n">
        <f aca="false">ROWS(R$13:R247)</f>
        <v>235</v>
      </c>
      <c r="S247" s="73" t="str">
        <f aca="false">IF(S246="","",IFERROR(SMALL($AD$10:$AD$509,COUNTIF($AD$10:$AD$509,"&lt;="&amp;S246)+1),""))</f>
        <v/>
      </c>
      <c r="T247" s="74" t="str">
        <f aca="false">IF(S247="","",INDEX($AE$10:$AE$509,MATCH(S247,$AD$10:$AD$509,0)))</f>
        <v/>
      </c>
      <c r="U247" s="74" t="str">
        <f aca="false">IF(S247="","",IFERROR(INDEX($AG$10:$AG$509,MATCH(S247,$AF$10:$AF$509,0)),""))</f>
        <v/>
      </c>
      <c r="V247" s="76" t="str">
        <f aca="false">IF(AND(ISNUMBER(T247),ISNUMBER(T246)),T247/T246-1,"")</f>
        <v/>
      </c>
      <c r="W247" s="76" t="str">
        <f aca="false">IF(AND(ISNUMBER(U247),ISNUMBER(U246)),U247/U246-1,"")</f>
        <v/>
      </c>
      <c r="X247" s="75" t="str">
        <f aca="false">IF(AND(ISNUMBER(V247),ISNUMBER(W247)),1,"")</f>
        <v/>
      </c>
      <c r="Y247" s="76" t="str">
        <f aca="false">IF(X247=1,V247,"")</f>
        <v/>
      </c>
      <c r="Z247" s="76" t="str">
        <f aca="false">IF(X247=1,W247,"")</f>
        <v/>
      </c>
      <c r="AA247" s="76" t="e">
        <f aca="false">IF(X247=1,V247,NA())</f>
        <v>#N/A</v>
      </c>
      <c r="AB247" s="76" t="e">
        <f aca="false">IF(X247=1,W247,NA())</f>
        <v>#N/A</v>
      </c>
      <c r="AD247" s="73" t="str">
        <f aca="false">IF(ISNUMBER(AE247),IF(ISNUMBER('Base de Datos'!A243),IF('Base de Datos'!A243&gt;20000,DATE(YEAR('Base de Datos'!A243),DAY('Base de Datos'!A243),MONTH('Base de Datos'!A243)),""),IF(TRIM('Base de Datos'!A243)="","",IFERROR(DATE(VALUE(RIGHT(TRIM('Base de Datos'!A243),4)),VALUE(LEFT(TRIM('Base de Datos'!A243),2)),VALUE(MID(TRIM('Base de Datos'!A243),4,2))),""))),"")</f>
        <v/>
      </c>
      <c r="AE247" s="74" t="str">
        <f aca="false">IF(ISNUMBER('Base de Datos'!B243),'Base de Datos'!B243,IF(TRIM('Base de Datos'!B243)="","",IFERROR(IF(IFERROR(FIND("@",SUBSTITUTE(TRIM('Base de Datos'!B243),",","@",LEN(TRIM('Base de Datos'!B243))-LEN(SUBSTITUTE(TRIM('Base de Datos'!B243),",","")))),0)&gt;IFERROR(FIND("@",SUBSTITUTE(TRIM('Base de Datos'!B243),".","@",LEN(TRIM('Base de Datos'!B243))-LEN(SUBSTITUTE(TRIM('Base de Datos'!B243),".","")))),0),_xlfn.NUMBERVALUE(SUBSTITUTE(SUBSTITUTE(TRIM('Base de Datos'!B243),".",""),",","."),".",","),_xlfn.NUMBERVALUE(SUBSTITUTE(TRIM('Base de Datos'!B243),",",""),".",",")),"")))</f>
        <v/>
      </c>
      <c r="AF247" s="73" t="str">
        <f aca="false">IF(ISNUMBER(AG247),IF(ISNUMBER('Base de Datos'!I243),IF('Base de Datos'!I243&gt;20000,INT('Base de Datos'!I243),""),IF(TRIM('Base de Datos'!I243)="","",IFERROR(DATE(VALUE(RIGHT(TRIM('Base de Datos'!I243),4)),VALUE(MID(TRIM('Base de Datos'!I243),4,2)),VALUE(LEFT(TRIM('Base de Datos'!I243),2))),IFERROR(DATEVALUE(TRIM('Base de Datos'!I243)),"")))),"")</f>
        <v/>
      </c>
      <c r="AG247" s="74" t="str">
        <f aca="false">IF(ISNUMBER('Base de Datos'!J243),'Base de Datos'!J243,IF(TRIM('Base de Datos'!J243)="","",IFERROR(IF(IFERROR(FIND("@",SUBSTITUTE(TRIM('Base de Datos'!J243),",","@",LEN(TRIM('Base de Datos'!J243))-LEN(SUBSTITUTE(TRIM('Base de Datos'!J243),",","")))),0)&gt;IFERROR(FIND("@",SUBSTITUTE(TRIM('Base de Datos'!J243),".","@",LEN(TRIM('Base de Datos'!J243))-LEN(SUBSTITUTE(TRIM('Base de Datos'!J243),".","")))),0),_xlfn.NUMBERVALUE(SUBSTITUTE(SUBSTITUTE(TRIM('Base de Datos'!J243),".",""),",","."),".",","),_xlfn.NUMBERVALUE(SUBSTITUTE(TRIM('Base de Datos'!J243),",",""),".",",")),"")))</f>
        <v/>
      </c>
      <c r="AH247" s="73" t="n">
        <f aca="false">IF(ISNUMBER(AI247),IF(ISNUMBER('Base de Datos'!Q243),IF('Base de Datos'!Q243&gt;20000,DATE(YEAR('Base de Datos'!Q243),DAY('Base de Datos'!Q243),MONTH('Base de Datos'!Q243)),""),IF(TRIM('Base de Datos'!Q243)="","",IFERROR(DATE(VALUE(RIGHT(TRIM('Base de Datos'!Q243),4)),VALUE(LEFT(TRIM('Base de Datos'!Q243),2)),VALUE(MID(TRIM('Base de Datos'!Q243),4,2))),""))),"")</f>
        <v>46145</v>
      </c>
      <c r="AI247" s="74" t="n">
        <f aca="false">IF(ISNUMBER('Base de Datos'!R243),'Base de Datos'!R243,IF(TRIM('Base de Datos'!R243)="","",IFERROR(IF(IFERROR(FIND("@",SUBSTITUTE(TRIM('Base de Datos'!R243),",","@",LEN(TRIM('Base de Datos'!R243))-LEN(SUBSTITUTE(TRIM('Base de Datos'!R243),",","")))),0)&gt;IFERROR(FIND("@",SUBSTITUTE(TRIM('Base de Datos'!R243),".","@",LEN(TRIM('Base de Datos'!R243))-LEN(SUBSTITUTE(TRIM('Base de Datos'!R243),".","")))),0),_xlfn.NUMBERVALUE(SUBSTITUTE(SUBSTITUTE(TRIM('Base de Datos'!R243),".",""),",","."),".",","),_xlfn.NUMBERVALUE(SUBSTITUTE(TRIM('Base de Datos'!R243),",",""),".",",")),"")))</f>
        <v>31.52</v>
      </c>
      <c r="AJ247" s="73" t="n">
        <f aca="false">IF(ISNUMBER(AK247),IF(ISNUMBER('Base de Datos'!Y243),IF('Base de Datos'!Y243&gt;20000,INT('Base de Datos'!Y243),""),IF(TRIM('Base de Datos'!Y243)="","",IFERROR(DATE(VALUE(RIGHT(TRIM('Base de Datos'!Y243),4)),VALUE(MID(TRIM('Base de Datos'!Y243),4,2)),VALUE(LEFT(TRIM('Base de Datos'!Y243),2))),IFERROR(DATEVALUE(TRIM('Base de Datos'!Y243)),"")))),"")</f>
        <v>46145</v>
      </c>
      <c r="AK247" s="74" t="n">
        <f aca="false">IF(ISNUMBER('Base de Datos'!Z243),'Base de Datos'!Z243,IF(TRIM('Base de Datos'!Z243)="","",IFERROR(IF(IFERROR(FIND("@",SUBSTITUTE(TRIM('Base de Datos'!Z243),",","@",LEN(TRIM('Base de Datos'!Z243))-LEN(SUBSTITUTE(TRIM('Base de Datos'!Z243),",","")))),0)&gt;IFERROR(FIND("@",SUBSTITUTE(TRIM('Base de Datos'!Z243),".","@",LEN(TRIM('Base de Datos'!Z243))-LEN(SUBSTITUTE(TRIM('Base de Datos'!Z243),".","")))),0),_xlfn.NUMBERVALUE(SUBSTITUTE(SUBSTITUTE(TRIM('Base de Datos'!Z243),".",""),",","."),".",","),_xlfn.NUMBERVALUE(SUBSTITUTE(TRIM('Base de Datos'!Z243),",",""),".",",")),"")))</f>
        <v>69855.58</v>
      </c>
    </row>
    <row r="248" customFormat="false" ht="13.5" hidden="false" customHeight="false" outlineLevel="0" collapsed="false">
      <c r="A248" s="75" t="n">
        <f aca="false">ROWS(A$13:A248)</f>
        <v>236</v>
      </c>
      <c r="B248" s="73" t="n">
        <f aca="false">IF(B247="","",IFERROR(SMALL($AH$10:$AH$409,COUNTIF($AH$10:$AH$409,"&lt;="&amp;B247)+1),""))</f>
        <v>46131</v>
      </c>
      <c r="C248" s="74" t="n">
        <f aca="false">IF(B248="","",INDEX($AI$10:$AI$409,MATCH(B248,$AH$10:$AH$409,0)))</f>
        <v>31.63</v>
      </c>
      <c r="D248" s="74" t="n">
        <f aca="false">IF(B248="","",IFERROR(INDEX($AK$10:$AK$409,MATCH(B248,$AJ$10:$AJ$409,0)),""))</f>
        <v>69230.56</v>
      </c>
      <c r="E248" s="76" t="n">
        <f aca="false">IF(AND(ISNUMBER(C248),ISNUMBER(C247)),C248/C247-1,"")</f>
        <v>-0.0524266027561415</v>
      </c>
      <c r="F248" s="76" t="n">
        <f aca="false">IF(AND(ISNUMBER(D248),ISNUMBER(D247)),D248/D247-1,"")</f>
        <v>-0.00852663064757886</v>
      </c>
      <c r="G248" s="75" t="n">
        <f aca="false">IF(AND(ISNUMBER(E248),ISNUMBER(F248)),1,"")</f>
        <v>1</v>
      </c>
      <c r="H248" s="75" t="n">
        <f aca="false">IF(G248=1,COUNT(G248:G$412),"")</f>
        <v>24</v>
      </c>
      <c r="I248" s="75" t="n">
        <f aca="false">IF(G248=1,IF(H248&lt;='Beta Regresión'!$B$5,1,""),"")</f>
        <v>1</v>
      </c>
      <c r="J248" s="76" t="n">
        <f aca="false">IF(I248=1,E248,"")</f>
        <v>-0.0524266027561415</v>
      </c>
      <c r="K248" s="76" t="n">
        <f aca="false">IF(I248=1,F248,"")</f>
        <v>-0.00852663064757886</v>
      </c>
      <c r="L248" s="75" t="n">
        <f aca="false">IF(I248=1,COUNT(I$13:I248),"")</f>
        <v>235</v>
      </c>
      <c r="M248" s="76" t="n">
        <f aca="false">IFERROR(INDEX($J$13:$J$412,MATCH(A248,$L$13:$L$412,0)),"")</f>
        <v>0.0588049320265571</v>
      </c>
      <c r="N248" s="76" t="n">
        <f aca="false">IFERROR(INDEX($K$13:$K$412,MATCH(A248,$L$13:$L$412,0)),"")</f>
        <v>-0.0198246265810936</v>
      </c>
      <c r="O248" s="76" t="n">
        <f aca="false">IF(I248=1,E248,NA())</f>
        <v>-0.0524266027561415</v>
      </c>
      <c r="P248" s="76" t="n">
        <f aca="false">IF(I248=1,F248,NA())</f>
        <v>-0.00852663064757886</v>
      </c>
      <c r="R248" s="75" t="n">
        <f aca="false">ROWS(R$13:R248)</f>
        <v>236</v>
      </c>
      <c r="S248" s="73" t="str">
        <f aca="false">IF(S247="","",IFERROR(SMALL($AD$10:$AD$509,COUNTIF($AD$10:$AD$509,"&lt;="&amp;S247)+1),""))</f>
        <v/>
      </c>
      <c r="T248" s="74" t="str">
        <f aca="false">IF(S248="","",INDEX($AE$10:$AE$509,MATCH(S248,$AD$10:$AD$509,0)))</f>
        <v/>
      </c>
      <c r="U248" s="74" t="str">
        <f aca="false">IF(S248="","",IFERROR(INDEX($AG$10:$AG$509,MATCH(S248,$AF$10:$AF$509,0)),""))</f>
        <v/>
      </c>
      <c r="V248" s="76" t="str">
        <f aca="false">IF(AND(ISNUMBER(T248),ISNUMBER(T247)),T248/T247-1,"")</f>
        <v/>
      </c>
      <c r="W248" s="76" t="str">
        <f aca="false">IF(AND(ISNUMBER(U248),ISNUMBER(U247)),U248/U247-1,"")</f>
        <v/>
      </c>
      <c r="X248" s="75" t="str">
        <f aca="false">IF(AND(ISNUMBER(V248),ISNUMBER(W248)),1,"")</f>
        <v/>
      </c>
      <c r="Y248" s="76" t="str">
        <f aca="false">IF(X248=1,V248,"")</f>
        <v/>
      </c>
      <c r="Z248" s="76" t="str">
        <f aca="false">IF(X248=1,W248,"")</f>
        <v/>
      </c>
      <c r="AA248" s="76" t="e">
        <f aca="false">IF(X248=1,V248,NA())</f>
        <v>#N/A</v>
      </c>
      <c r="AB248" s="76" t="e">
        <f aca="false">IF(X248=1,W248,NA())</f>
        <v>#N/A</v>
      </c>
      <c r="AD248" s="73" t="str">
        <f aca="false">IF(ISNUMBER(AE248),IF(ISNUMBER('Base de Datos'!A244),IF('Base de Datos'!A244&gt;20000,DATE(YEAR('Base de Datos'!A244),DAY('Base de Datos'!A244),MONTH('Base de Datos'!A244)),""),IF(TRIM('Base de Datos'!A244)="","",IFERROR(DATE(VALUE(RIGHT(TRIM('Base de Datos'!A244),4)),VALUE(LEFT(TRIM('Base de Datos'!A244),2)),VALUE(MID(TRIM('Base de Datos'!A244),4,2))),""))),"")</f>
        <v/>
      </c>
      <c r="AE248" s="74" t="str">
        <f aca="false">IF(ISNUMBER('Base de Datos'!B244),'Base de Datos'!B244,IF(TRIM('Base de Datos'!B244)="","",IFERROR(IF(IFERROR(FIND("@",SUBSTITUTE(TRIM('Base de Datos'!B244),",","@",LEN(TRIM('Base de Datos'!B244))-LEN(SUBSTITUTE(TRIM('Base de Datos'!B244),",","")))),0)&gt;IFERROR(FIND("@",SUBSTITUTE(TRIM('Base de Datos'!B244),".","@",LEN(TRIM('Base de Datos'!B244))-LEN(SUBSTITUTE(TRIM('Base de Datos'!B244),".","")))),0),_xlfn.NUMBERVALUE(SUBSTITUTE(SUBSTITUTE(TRIM('Base de Datos'!B244),".",""),",","."),".",","),_xlfn.NUMBERVALUE(SUBSTITUTE(TRIM('Base de Datos'!B244),",",""),".",",")),"")))</f>
        <v/>
      </c>
      <c r="AF248" s="73" t="str">
        <f aca="false">IF(ISNUMBER(AG248),IF(ISNUMBER('Base de Datos'!I244),IF('Base de Datos'!I244&gt;20000,INT('Base de Datos'!I244),""),IF(TRIM('Base de Datos'!I244)="","",IFERROR(DATE(VALUE(RIGHT(TRIM('Base de Datos'!I244),4)),VALUE(MID(TRIM('Base de Datos'!I244),4,2)),VALUE(LEFT(TRIM('Base de Datos'!I244),2))),IFERROR(DATEVALUE(TRIM('Base de Datos'!I244)),"")))),"")</f>
        <v/>
      </c>
      <c r="AG248" s="74" t="str">
        <f aca="false">IF(ISNUMBER('Base de Datos'!J244),'Base de Datos'!J244,IF(TRIM('Base de Datos'!J244)="","",IFERROR(IF(IFERROR(FIND("@",SUBSTITUTE(TRIM('Base de Datos'!J244),",","@",LEN(TRIM('Base de Datos'!J244))-LEN(SUBSTITUTE(TRIM('Base de Datos'!J244),",","")))),0)&gt;IFERROR(FIND("@",SUBSTITUTE(TRIM('Base de Datos'!J244),".","@",LEN(TRIM('Base de Datos'!J244))-LEN(SUBSTITUTE(TRIM('Base de Datos'!J244),".","")))),0),_xlfn.NUMBERVALUE(SUBSTITUTE(SUBSTITUTE(TRIM('Base de Datos'!J244),".",""),",","."),".",","),_xlfn.NUMBERVALUE(SUBSTITUTE(TRIM('Base de Datos'!J244),",",""),".",",")),"")))</f>
        <v/>
      </c>
      <c r="AH248" s="73" t="n">
        <f aca="false">IF(ISNUMBER(AI248),IF(ISNUMBER('Base de Datos'!Q244),IF('Base de Datos'!Q244&gt;20000,DATE(YEAR('Base de Datos'!Q244),DAY('Base de Datos'!Q244),MONTH('Base de Datos'!Q244)),""),IF(TRIM('Base de Datos'!Q244)="","",IFERROR(DATE(VALUE(RIGHT(TRIM('Base de Datos'!Q244),4)),VALUE(LEFT(TRIM('Base de Datos'!Q244),2)),VALUE(MID(TRIM('Base de Datos'!Q244),4,2))),""))),"")</f>
        <v>46152</v>
      </c>
      <c r="AI248" s="74" t="n">
        <f aca="false">IF(ISNUMBER('Base de Datos'!R244),'Base de Datos'!R244,IF(TRIM('Base de Datos'!R244)="","",IFERROR(IF(IFERROR(FIND("@",SUBSTITUTE(TRIM('Base de Datos'!R244),",","@",LEN(TRIM('Base de Datos'!R244))-LEN(SUBSTITUTE(TRIM('Base de Datos'!R244),",","")))),0)&gt;IFERROR(FIND("@",SUBSTITUTE(TRIM('Base de Datos'!R244),".","@",LEN(TRIM('Base de Datos'!R244))-LEN(SUBSTITUTE(TRIM('Base de Datos'!R244),".","")))),0),_xlfn.NUMBERVALUE(SUBSTITUTE(SUBSTITUTE(TRIM('Base de Datos'!R244),".",""),",","."),".",","),_xlfn.NUMBERVALUE(SUBSTITUTE(TRIM('Base de Datos'!R244),",",""),".",",")),"")))</f>
        <v>30.39</v>
      </c>
      <c r="AJ248" s="73" t="n">
        <f aca="false">IF(ISNUMBER(AK248),IF(ISNUMBER('Base de Datos'!Y244),IF('Base de Datos'!Y244&gt;20000,INT('Base de Datos'!Y244),""),IF(TRIM('Base de Datos'!Y244)="","",IFERROR(DATE(VALUE(RIGHT(TRIM('Base de Datos'!Y244),4)),VALUE(MID(TRIM('Base de Datos'!Y244),4,2)),VALUE(LEFT(TRIM('Base de Datos'!Y244),2))),IFERROR(DATEVALUE(TRIM('Base de Datos'!Y244)),"")))),"")</f>
        <v>46152</v>
      </c>
      <c r="AK248" s="74" t="n">
        <f aca="false">IF(ISNUMBER('Base de Datos'!Z244),'Base de Datos'!Z244,IF(TRIM('Base de Datos'!Z244)="","",IFERROR(IF(IFERROR(FIND("@",SUBSTITUTE(TRIM('Base de Datos'!Z244),",","@",LEN(TRIM('Base de Datos'!Z244))-LEN(SUBSTITUTE(TRIM('Base de Datos'!Z244),",","")))),0)&gt;IFERROR(FIND("@",SUBSTITUTE(TRIM('Base de Datos'!Z244),".","@",LEN(TRIM('Base de Datos'!Z244))-LEN(SUBSTITUTE(TRIM('Base de Datos'!Z244),".","")))),0),_xlfn.NUMBERVALUE(SUBSTITUTE(SUBSTITUTE(TRIM('Base de Datos'!Z244),".",""),",","."),".",","),_xlfn.NUMBERVALUE(SUBSTITUTE(TRIM('Base de Datos'!Z244),",",""),".",",")),"")))</f>
        <v>67976.5</v>
      </c>
    </row>
    <row r="249" customFormat="false" ht="13.5" hidden="false" customHeight="false" outlineLevel="0" collapsed="false">
      <c r="A249" s="75" t="n">
        <f aca="false">ROWS(A$13:A249)</f>
        <v>237</v>
      </c>
      <c r="B249" s="73" t="n">
        <f aca="false">IF(B248="","",IFERROR(SMALL($AH$10:$AH$409,COUNTIF($AH$10:$AH$409,"&lt;="&amp;B248)+1),""))</f>
        <v>46138</v>
      </c>
      <c r="C249" s="74" t="n">
        <f aca="false">IF(B249="","",INDEX($AI$10:$AI$409,MATCH(B249,$AH$10:$AH$409,0)))</f>
        <v>33.49</v>
      </c>
      <c r="D249" s="74" t="n">
        <f aca="false">IF(B249="","",IFERROR(INDEX($AK$10:$AK$409,MATCH(B249,$AJ$10:$AJ$409,0)),""))</f>
        <v>67858.09</v>
      </c>
      <c r="E249" s="76" t="n">
        <f aca="false">IF(AND(ISNUMBER(C249),ISNUMBER(C248)),C249/C248-1,"")</f>
        <v>0.0588049320265571</v>
      </c>
      <c r="F249" s="76" t="n">
        <f aca="false">IF(AND(ISNUMBER(D249),ISNUMBER(D248)),D249/D248-1,"")</f>
        <v>-0.0198246265810936</v>
      </c>
      <c r="G249" s="75" t="n">
        <f aca="false">IF(AND(ISNUMBER(E249),ISNUMBER(F249)),1,"")</f>
        <v>1</v>
      </c>
      <c r="H249" s="75" t="n">
        <f aca="false">IF(G249=1,COUNT(G249:G$412),"")</f>
        <v>23</v>
      </c>
      <c r="I249" s="75" t="n">
        <f aca="false">IF(G249=1,IF(H249&lt;='Beta Regresión'!$B$5,1,""),"")</f>
        <v>1</v>
      </c>
      <c r="J249" s="76" t="n">
        <f aca="false">IF(I249=1,E249,"")</f>
        <v>0.0588049320265571</v>
      </c>
      <c r="K249" s="76" t="n">
        <f aca="false">IF(I249=1,F249,"")</f>
        <v>-0.0198246265810936</v>
      </c>
      <c r="L249" s="75" t="n">
        <f aca="false">IF(I249=1,COUNT(I$13:I249),"")</f>
        <v>236</v>
      </c>
      <c r="M249" s="76" t="n">
        <f aca="false">IFERROR(INDEX($J$13:$J$412,MATCH(A249,$L$13:$L$412,0)),"")</f>
        <v>-0.0588235294117648</v>
      </c>
      <c r="N249" s="76" t="n">
        <f aca="false">IFERROR(INDEX($K$13:$K$412,MATCH(A249,$L$13:$L$412,0)),"")</f>
        <v>0.0294362838682904</v>
      </c>
      <c r="O249" s="76" t="n">
        <f aca="false">IF(I249=1,E249,NA())</f>
        <v>0.0588049320265571</v>
      </c>
      <c r="P249" s="76" t="n">
        <f aca="false">IF(I249=1,F249,NA())</f>
        <v>-0.0198246265810936</v>
      </c>
      <c r="R249" s="75" t="n">
        <f aca="false">ROWS(R$13:R249)</f>
        <v>237</v>
      </c>
      <c r="S249" s="73" t="str">
        <f aca="false">IF(S248="","",IFERROR(SMALL($AD$10:$AD$509,COUNTIF($AD$10:$AD$509,"&lt;="&amp;S248)+1),""))</f>
        <v/>
      </c>
      <c r="T249" s="74" t="str">
        <f aca="false">IF(S249="","",INDEX($AE$10:$AE$509,MATCH(S249,$AD$10:$AD$509,0)))</f>
        <v/>
      </c>
      <c r="U249" s="74" t="str">
        <f aca="false">IF(S249="","",IFERROR(INDEX($AG$10:$AG$509,MATCH(S249,$AF$10:$AF$509,0)),""))</f>
        <v/>
      </c>
      <c r="V249" s="76" t="str">
        <f aca="false">IF(AND(ISNUMBER(T249),ISNUMBER(T248)),T249/T248-1,"")</f>
        <v/>
      </c>
      <c r="W249" s="76" t="str">
        <f aca="false">IF(AND(ISNUMBER(U249),ISNUMBER(U248)),U249/U248-1,"")</f>
        <v/>
      </c>
      <c r="X249" s="75" t="str">
        <f aca="false">IF(AND(ISNUMBER(V249),ISNUMBER(W249)),1,"")</f>
        <v/>
      </c>
      <c r="Y249" s="76" t="str">
        <f aca="false">IF(X249=1,V249,"")</f>
        <v/>
      </c>
      <c r="Z249" s="76" t="str">
        <f aca="false">IF(X249=1,W249,"")</f>
        <v/>
      </c>
      <c r="AA249" s="76" t="e">
        <f aca="false">IF(X249=1,V249,NA())</f>
        <v>#N/A</v>
      </c>
      <c r="AB249" s="76" t="e">
        <f aca="false">IF(X249=1,W249,NA())</f>
        <v>#N/A</v>
      </c>
      <c r="AD249" s="73" t="str">
        <f aca="false">IF(ISNUMBER(AE249),IF(ISNUMBER('Base de Datos'!A245),IF('Base de Datos'!A245&gt;20000,DATE(YEAR('Base de Datos'!A245),DAY('Base de Datos'!A245),MONTH('Base de Datos'!A245)),""),IF(TRIM('Base de Datos'!A245)="","",IFERROR(DATE(VALUE(RIGHT(TRIM('Base de Datos'!A245),4)),VALUE(LEFT(TRIM('Base de Datos'!A245),2)),VALUE(MID(TRIM('Base de Datos'!A245),4,2))),""))),"")</f>
        <v/>
      </c>
      <c r="AE249" s="74" t="str">
        <f aca="false">IF(ISNUMBER('Base de Datos'!B245),'Base de Datos'!B245,IF(TRIM('Base de Datos'!B245)="","",IFERROR(IF(IFERROR(FIND("@",SUBSTITUTE(TRIM('Base de Datos'!B245),",","@",LEN(TRIM('Base de Datos'!B245))-LEN(SUBSTITUTE(TRIM('Base de Datos'!B245),",","")))),0)&gt;IFERROR(FIND("@",SUBSTITUTE(TRIM('Base de Datos'!B245),".","@",LEN(TRIM('Base de Datos'!B245))-LEN(SUBSTITUTE(TRIM('Base de Datos'!B245),".","")))),0),_xlfn.NUMBERVALUE(SUBSTITUTE(SUBSTITUTE(TRIM('Base de Datos'!B245),".",""),",","."),".",","),_xlfn.NUMBERVALUE(SUBSTITUTE(TRIM('Base de Datos'!B245),",",""),".",",")),"")))</f>
        <v/>
      </c>
      <c r="AF249" s="73" t="str">
        <f aca="false">IF(ISNUMBER(AG249),IF(ISNUMBER('Base de Datos'!I245),IF('Base de Datos'!I245&gt;20000,INT('Base de Datos'!I245),""),IF(TRIM('Base de Datos'!I245)="","",IFERROR(DATE(VALUE(RIGHT(TRIM('Base de Datos'!I245),4)),VALUE(MID(TRIM('Base de Datos'!I245),4,2)),VALUE(LEFT(TRIM('Base de Datos'!I245),2))),IFERROR(DATEVALUE(TRIM('Base de Datos'!I245)),"")))),"")</f>
        <v/>
      </c>
      <c r="AG249" s="74" t="str">
        <f aca="false">IF(ISNUMBER('Base de Datos'!J245),'Base de Datos'!J245,IF(TRIM('Base de Datos'!J245)="","",IFERROR(IF(IFERROR(FIND("@",SUBSTITUTE(TRIM('Base de Datos'!J245),",","@",LEN(TRIM('Base de Datos'!J245))-LEN(SUBSTITUTE(TRIM('Base de Datos'!J245),",","")))),0)&gt;IFERROR(FIND("@",SUBSTITUTE(TRIM('Base de Datos'!J245),".","@",LEN(TRIM('Base de Datos'!J245))-LEN(SUBSTITUTE(TRIM('Base de Datos'!J245),".","")))),0),_xlfn.NUMBERVALUE(SUBSTITUTE(SUBSTITUTE(TRIM('Base de Datos'!J245),".",""),",","."),".",","),_xlfn.NUMBERVALUE(SUBSTITUTE(TRIM('Base de Datos'!J245),",",""),".",",")),"")))</f>
        <v/>
      </c>
      <c r="AH249" s="73" t="n">
        <f aca="false">IF(ISNUMBER(AI249),IF(ISNUMBER('Base de Datos'!Q245),IF('Base de Datos'!Q245&gt;20000,DATE(YEAR('Base de Datos'!Q245),DAY('Base de Datos'!Q245),MONTH('Base de Datos'!Q245)),""),IF(TRIM('Base de Datos'!Q245)="","",IFERROR(DATE(VALUE(RIGHT(TRIM('Base de Datos'!Q245),4)),VALUE(LEFT(TRIM('Base de Datos'!Q245),2)),VALUE(MID(TRIM('Base de Datos'!Q245),4,2))),""))),"")</f>
        <v>46159</v>
      </c>
      <c r="AI249" s="74" t="n">
        <f aca="false">IF(ISNUMBER('Base de Datos'!R245),'Base de Datos'!R245,IF(TRIM('Base de Datos'!R245)="","",IFERROR(IF(IFERROR(FIND("@",SUBSTITUTE(TRIM('Base de Datos'!R245),",","@",LEN(TRIM('Base de Datos'!R245))-LEN(SUBSTITUTE(TRIM('Base de Datos'!R245),",","")))),0)&gt;IFERROR(FIND("@",SUBSTITUTE(TRIM('Base de Datos'!R245),".","@",LEN(TRIM('Base de Datos'!R245))-LEN(SUBSTITUTE(TRIM('Base de Datos'!R245),".","")))),0),_xlfn.NUMBERVALUE(SUBSTITUTE(SUBSTITUTE(TRIM('Base de Datos'!R245),".",""),",","."),".",","),_xlfn.NUMBERVALUE(SUBSTITUTE(TRIM('Base de Datos'!R245),",",""),".",",")),"")))</f>
        <v>29.01</v>
      </c>
      <c r="AJ249" s="73" t="n">
        <f aca="false">IF(ISNUMBER(AK249),IF(ISNUMBER('Base de Datos'!Y245),IF('Base de Datos'!Y245&gt;20000,INT('Base de Datos'!Y245),""),IF(TRIM('Base de Datos'!Y245)="","",IFERROR(DATE(VALUE(RIGHT(TRIM('Base de Datos'!Y245),4)),VALUE(MID(TRIM('Base de Datos'!Y245),4,2)),VALUE(LEFT(TRIM('Base de Datos'!Y245),2))),IFERROR(DATEVALUE(TRIM('Base de Datos'!Y245)),"")))),"")</f>
        <v>46159</v>
      </c>
      <c r="AK249" s="74" t="n">
        <f aca="false">IF(ISNUMBER('Base de Datos'!Z245),'Base de Datos'!Z245,IF(TRIM('Base de Datos'!Z245)="","",IFERROR(IF(IFERROR(FIND("@",SUBSTITUTE(TRIM('Base de Datos'!Z245),",","@",LEN(TRIM('Base de Datos'!Z245))-LEN(SUBSTITUTE(TRIM('Base de Datos'!Z245),",","")))),0)&gt;IFERROR(FIND("@",SUBSTITUTE(TRIM('Base de Datos'!Z245),".","@",LEN(TRIM('Base de Datos'!Z245))-LEN(SUBSTITUTE(TRIM('Base de Datos'!Z245),".","")))),0),_xlfn.NUMBERVALUE(SUBSTITUTE(SUBSTITUTE(TRIM('Base de Datos'!Z245),".",""),",","."),".",","),_xlfn.NUMBERVALUE(SUBSTITUTE(TRIM('Base de Datos'!Z245),",",""),".",",")),"")))</f>
        <v>68333.47</v>
      </c>
    </row>
    <row r="250" customFormat="false" ht="13.5" hidden="false" customHeight="false" outlineLevel="0" collapsed="false">
      <c r="A250" s="75" t="n">
        <f aca="false">ROWS(A$13:A250)</f>
        <v>238</v>
      </c>
      <c r="B250" s="73" t="n">
        <f aca="false">IF(B249="","",IFERROR(SMALL($AH$10:$AH$409,COUNTIF($AH$10:$AH$409,"&lt;="&amp;B249)+1),""))</f>
        <v>46145</v>
      </c>
      <c r="C250" s="74" t="n">
        <f aca="false">IF(B250="","",INDEX($AI$10:$AI$409,MATCH(B250,$AH$10:$AH$409,0)))</f>
        <v>31.52</v>
      </c>
      <c r="D250" s="74" t="n">
        <f aca="false">IF(B250="","",IFERROR(INDEX($AK$10:$AK$409,MATCH(B250,$AJ$10:$AJ$409,0)),""))</f>
        <v>69855.58</v>
      </c>
      <c r="E250" s="76" t="n">
        <f aca="false">IF(AND(ISNUMBER(C250),ISNUMBER(C249)),C250/C249-1,"")</f>
        <v>-0.0588235294117648</v>
      </c>
      <c r="F250" s="76" t="n">
        <f aca="false">IF(AND(ISNUMBER(D250),ISNUMBER(D249)),D250/D249-1,"")</f>
        <v>0.0294362838682904</v>
      </c>
      <c r="G250" s="75" t="n">
        <f aca="false">IF(AND(ISNUMBER(E250),ISNUMBER(F250)),1,"")</f>
        <v>1</v>
      </c>
      <c r="H250" s="75" t="n">
        <f aca="false">IF(G250=1,COUNT(G250:G$412),"")</f>
        <v>22</v>
      </c>
      <c r="I250" s="75" t="n">
        <f aca="false">IF(G250=1,IF(H250&lt;='Beta Regresión'!$B$5,1,""),"")</f>
        <v>1</v>
      </c>
      <c r="J250" s="76" t="n">
        <f aca="false">IF(I250=1,E250,"")</f>
        <v>-0.0588235294117648</v>
      </c>
      <c r="K250" s="76" t="n">
        <f aca="false">IF(I250=1,F250,"")</f>
        <v>0.0294362838682904</v>
      </c>
      <c r="L250" s="75" t="n">
        <f aca="false">IF(I250=1,COUNT(I$13:I250),"")</f>
        <v>237</v>
      </c>
      <c r="M250" s="76" t="n">
        <f aca="false">IFERROR(INDEX($J$13:$J$412,MATCH(A250,$L$13:$L$412,0)),"")</f>
        <v>-0.0358502538071066</v>
      </c>
      <c r="N250" s="76" t="n">
        <f aca="false">IFERROR(INDEX($K$13:$K$412,MATCH(A250,$L$13:$L$412,0)),"")</f>
        <v>-0.0268994975061405</v>
      </c>
      <c r="O250" s="76" t="n">
        <f aca="false">IF(I250=1,E250,NA())</f>
        <v>-0.0588235294117648</v>
      </c>
      <c r="P250" s="76" t="n">
        <f aca="false">IF(I250=1,F250,NA())</f>
        <v>0.0294362838682904</v>
      </c>
      <c r="R250" s="75" t="n">
        <f aca="false">ROWS(R$13:R250)</f>
        <v>238</v>
      </c>
      <c r="S250" s="73" t="str">
        <f aca="false">IF(S249="","",IFERROR(SMALL($AD$10:$AD$509,COUNTIF($AD$10:$AD$509,"&lt;="&amp;S249)+1),""))</f>
        <v/>
      </c>
      <c r="T250" s="74" t="str">
        <f aca="false">IF(S250="","",INDEX($AE$10:$AE$509,MATCH(S250,$AD$10:$AD$509,0)))</f>
        <v/>
      </c>
      <c r="U250" s="74" t="str">
        <f aca="false">IF(S250="","",IFERROR(INDEX($AG$10:$AG$509,MATCH(S250,$AF$10:$AF$509,0)),""))</f>
        <v/>
      </c>
      <c r="V250" s="76" t="str">
        <f aca="false">IF(AND(ISNUMBER(T250),ISNUMBER(T249)),T250/T249-1,"")</f>
        <v/>
      </c>
      <c r="W250" s="76" t="str">
        <f aca="false">IF(AND(ISNUMBER(U250),ISNUMBER(U249)),U250/U249-1,"")</f>
        <v/>
      </c>
      <c r="X250" s="75" t="str">
        <f aca="false">IF(AND(ISNUMBER(V250),ISNUMBER(W250)),1,"")</f>
        <v/>
      </c>
      <c r="Y250" s="76" t="str">
        <f aca="false">IF(X250=1,V250,"")</f>
        <v/>
      </c>
      <c r="Z250" s="76" t="str">
        <f aca="false">IF(X250=1,W250,"")</f>
        <v/>
      </c>
      <c r="AA250" s="76" t="e">
        <f aca="false">IF(X250=1,V250,NA())</f>
        <v>#N/A</v>
      </c>
      <c r="AB250" s="76" t="e">
        <f aca="false">IF(X250=1,W250,NA())</f>
        <v>#N/A</v>
      </c>
      <c r="AD250" s="73" t="str">
        <f aca="false">IF(ISNUMBER(AE250),IF(ISNUMBER('Base de Datos'!A246),IF('Base de Datos'!A246&gt;20000,DATE(YEAR('Base de Datos'!A246),DAY('Base de Datos'!A246),MONTH('Base de Datos'!A246)),""),IF(TRIM('Base de Datos'!A246)="","",IFERROR(DATE(VALUE(RIGHT(TRIM('Base de Datos'!A246),4)),VALUE(LEFT(TRIM('Base de Datos'!A246),2)),VALUE(MID(TRIM('Base de Datos'!A246),4,2))),""))),"")</f>
        <v/>
      </c>
      <c r="AE250" s="74" t="str">
        <f aca="false">IF(ISNUMBER('Base de Datos'!B246),'Base de Datos'!B246,IF(TRIM('Base de Datos'!B246)="","",IFERROR(IF(IFERROR(FIND("@",SUBSTITUTE(TRIM('Base de Datos'!B246),",","@",LEN(TRIM('Base de Datos'!B246))-LEN(SUBSTITUTE(TRIM('Base de Datos'!B246),",","")))),0)&gt;IFERROR(FIND("@",SUBSTITUTE(TRIM('Base de Datos'!B246),".","@",LEN(TRIM('Base de Datos'!B246))-LEN(SUBSTITUTE(TRIM('Base de Datos'!B246),".","")))),0),_xlfn.NUMBERVALUE(SUBSTITUTE(SUBSTITUTE(TRIM('Base de Datos'!B246),".",""),",","."),".",","),_xlfn.NUMBERVALUE(SUBSTITUTE(TRIM('Base de Datos'!B246),",",""),".",",")),"")))</f>
        <v/>
      </c>
      <c r="AF250" s="73" t="str">
        <f aca="false">IF(ISNUMBER(AG250),IF(ISNUMBER('Base de Datos'!I246),IF('Base de Datos'!I246&gt;20000,INT('Base de Datos'!I246),""),IF(TRIM('Base de Datos'!I246)="","",IFERROR(DATE(VALUE(RIGHT(TRIM('Base de Datos'!I246),4)),VALUE(MID(TRIM('Base de Datos'!I246),4,2)),VALUE(LEFT(TRIM('Base de Datos'!I246),2))),IFERROR(DATEVALUE(TRIM('Base de Datos'!I246)),"")))),"")</f>
        <v/>
      </c>
      <c r="AG250" s="74" t="str">
        <f aca="false">IF(ISNUMBER('Base de Datos'!J246),'Base de Datos'!J246,IF(TRIM('Base de Datos'!J246)="","",IFERROR(IF(IFERROR(FIND("@",SUBSTITUTE(TRIM('Base de Datos'!J246),",","@",LEN(TRIM('Base de Datos'!J246))-LEN(SUBSTITUTE(TRIM('Base de Datos'!J246),",","")))),0)&gt;IFERROR(FIND("@",SUBSTITUTE(TRIM('Base de Datos'!J246),".","@",LEN(TRIM('Base de Datos'!J246))-LEN(SUBSTITUTE(TRIM('Base de Datos'!J246),".","")))),0),_xlfn.NUMBERVALUE(SUBSTITUTE(SUBSTITUTE(TRIM('Base de Datos'!J246),".",""),",","."),".",","),_xlfn.NUMBERVALUE(SUBSTITUTE(TRIM('Base de Datos'!J246),",",""),".",",")),"")))</f>
        <v/>
      </c>
      <c r="AH250" s="73" t="n">
        <f aca="false">IF(ISNUMBER(AI250),IF(ISNUMBER('Base de Datos'!Q246),IF('Base de Datos'!Q246&gt;20000,DATE(YEAR('Base de Datos'!Q246),DAY('Base de Datos'!Q246),MONTH('Base de Datos'!Q246)),""),IF(TRIM('Base de Datos'!Q246)="","",IFERROR(DATE(VALUE(RIGHT(TRIM('Base de Datos'!Q246),4)),VALUE(LEFT(TRIM('Base de Datos'!Q246),2)),VALUE(MID(TRIM('Base de Datos'!Q246),4,2))),""))),"")</f>
        <v>46166</v>
      </c>
      <c r="AI250" s="74" t="n">
        <f aca="false">IF(ISNUMBER('Base de Datos'!R246),'Base de Datos'!R246,IF(TRIM('Base de Datos'!R246)="","",IFERROR(IF(IFERROR(FIND("@",SUBSTITUTE(TRIM('Base de Datos'!R246),",","@",LEN(TRIM('Base de Datos'!R246))-LEN(SUBSTITUTE(TRIM('Base de Datos'!R246),",","")))),0)&gt;IFERROR(FIND("@",SUBSTITUTE(TRIM('Base de Datos'!R246),".","@",LEN(TRIM('Base de Datos'!R246))-LEN(SUBSTITUTE(TRIM('Base de Datos'!R246),".","")))),0),_xlfn.NUMBERVALUE(SUBSTITUTE(SUBSTITUTE(TRIM('Base de Datos'!R246),".",""),",","."),".",","),_xlfn.NUMBERVALUE(SUBSTITUTE(TRIM('Base de Datos'!R246),",",""),".",",")),"")))</f>
        <v>34.49</v>
      </c>
      <c r="AJ250" s="73" t="n">
        <f aca="false">IF(ISNUMBER(AK250),IF(ISNUMBER('Base de Datos'!Y246),IF('Base de Datos'!Y246&gt;20000,INT('Base de Datos'!Y246),""),IF(TRIM('Base de Datos'!Y246)="","",IFERROR(DATE(VALUE(RIGHT(TRIM('Base de Datos'!Y246),4)),VALUE(MID(TRIM('Base de Datos'!Y246),4,2)),VALUE(LEFT(TRIM('Base de Datos'!Y246),2))),IFERROR(DATEVALUE(TRIM('Base de Datos'!Y246)),"")))),"")</f>
        <v>46166</v>
      </c>
      <c r="AK250" s="74" t="n">
        <f aca="false">IF(ISNUMBER('Base de Datos'!Z246),'Base de Datos'!Z246,IF(TRIM('Base de Datos'!Z246)="","",IFERROR(IF(IFERROR(FIND("@",SUBSTITUTE(TRIM('Base de Datos'!Z246),",","@",LEN(TRIM('Base de Datos'!Z246))-LEN(SUBSTITUTE(TRIM('Base de Datos'!Z246),",","")))),0)&gt;IFERROR(FIND("@",SUBSTITUTE(TRIM('Base de Datos'!Z246),".","@",LEN(TRIM('Base de Datos'!Z246))-LEN(SUBSTITUTE(TRIM('Base de Datos'!Z246),".","")))),0),_xlfn.NUMBERVALUE(SUBSTITUTE(SUBSTITUTE(TRIM('Base de Datos'!Z246),".",""),",","."),".",","),_xlfn.NUMBERVALUE(SUBSTITUTE(TRIM('Base de Datos'!Z246),",",""),".",",")),"")))</f>
        <v>68587.74</v>
      </c>
    </row>
    <row r="251" customFormat="false" ht="13.5" hidden="false" customHeight="false" outlineLevel="0" collapsed="false">
      <c r="A251" s="75" t="n">
        <f aca="false">ROWS(A$13:A251)</f>
        <v>239</v>
      </c>
      <c r="B251" s="73" t="n">
        <f aca="false">IF(B250="","",IFERROR(SMALL($AH$10:$AH$409,COUNTIF($AH$10:$AH$409,"&lt;="&amp;B250)+1),""))</f>
        <v>46152</v>
      </c>
      <c r="C251" s="74" t="n">
        <f aca="false">IF(B251="","",INDEX($AI$10:$AI$409,MATCH(B251,$AH$10:$AH$409,0)))</f>
        <v>30.39</v>
      </c>
      <c r="D251" s="74" t="n">
        <f aca="false">IF(B251="","",IFERROR(INDEX($AK$10:$AK$409,MATCH(B251,$AJ$10:$AJ$409,0)),""))</f>
        <v>67976.5</v>
      </c>
      <c r="E251" s="76" t="n">
        <f aca="false">IF(AND(ISNUMBER(C251),ISNUMBER(C250)),C251/C250-1,"")</f>
        <v>-0.0358502538071066</v>
      </c>
      <c r="F251" s="76" t="n">
        <f aca="false">IF(AND(ISNUMBER(D251),ISNUMBER(D250)),D251/D250-1,"")</f>
        <v>-0.0268994975061405</v>
      </c>
      <c r="G251" s="75" t="n">
        <f aca="false">IF(AND(ISNUMBER(E251),ISNUMBER(F251)),1,"")</f>
        <v>1</v>
      </c>
      <c r="H251" s="75" t="n">
        <f aca="false">IF(G251=1,COUNT(G251:G$412),"")</f>
        <v>21</v>
      </c>
      <c r="I251" s="75" t="n">
        <f aca="false">IF(G251=1,IF(H251&lt;='Beta Regresión'!$B$5,1,""),"")</f>
        <v>1</v>
      </c>
      <c r="J251" s="76" t="n">
        <f aca="false">IF(I251=1,E251,"")</f>
        <v>-0.0358502538071066</v>
      </c>
      <c r="K251" s="76" t="n">
        <f aca="false">IF(I251=1,F251,"")</f>
        <v>-0.0268994975061405</v>
      </c>
      <c r="L251" s="75" t="n">
        <f aca="false">IF(I251=1,COUNT(I$13:I251),"")</f>
        <v>238</v>
      </c>
      <c r="M251" s="76" t="n">
        <f aca="false">IFERROR(INDEX($J$13:$J$412,MATCH(A251,$L$13:$L$412,0)),"")</f>
        <v>-0.0454096742349457</v>
      </c>
      <c r="N251" s="76" t="n">
        <f aca="false">IFERROR(INDEX($K$13:$K$412,MATCH(A251,$L$13:$L$412,0)),"")</f>
        <v>0.00525137363647743</v>
      </c>
      <c r="O251" s="76" t="n">
        <f aca="false">IF(I251=1,E251,NA())</f>
        <v>-0.0358502538071066</v>
      </c>
      <c r="P251" s="76" t="n">
        <f aca="false">IF(I251=1,F251,NA())</f>
        <v>-0.0268994975061405</v>
      </c>
      <c r="R251" s="75" t="n">
        <f aca="false">ROWS(R$13:R251)</f>
        <v>239</v>
      </c>
      <c r="S251" s="73" t="str">
        <f aca="false">IF(S250="","",IFERROR(SMALL($AD$10:$AD$509,COUNTIF($AD$10:$AD$509,"&lt;="&amp;S250)+1),""))</f>
        <v/>
      </c>
      <c r="T251" s="74" t="str">
        <f aca="false">IF(S251="","",INDEX($AE$10:$AE$509,MATCH(S251,$AD$10:$AD$509,0)))</f>
        <v/>
      </c>
      <c r="U251" s="74" t="str">
        <f aca="false">IF(S251="","",IFERROR(INDEX($AG$10:$AG$509,MATCH(S251,$AF$10:$AF$509,0)),""))</f>
        <v/>
      </c>
      <c r="V251" s="76" t="str">
        <f aca="false">IF(AND(ISNUMBER(T251),ISNUMBER(T250)),T251/T250-1,"")</f>
        <v/>
      </c>
      <c r="W251" s="76" t="str">
        <f aca="false">IF(AND(ISNUMBER(U251),ISNUMBER(U250)),U251/U250-1,"")</f>
        <v/>
      </c>
      <c r="X251" s="75" t="str">
        <f aca="false">IF(AND(ISNUMBER(V251),ISNUMBER(W251)),1,"")</f>
        <v/>
      </c>
      <c r="Y251" s="76" t="str">
        <f aca="false">IF(X251=1,V251,"")</f>
        <v/>
      </c>
      <c r="Z251" s="76" t="str">
        <f aca="false">IF(X251=1,W251,"")</f>
        <v/>
      </c>
      <c r="AA251" s="76" t="e">
        <f aca="false">IF(X251=1,V251,NA())</f>
        <v>#N/A</v>
      </c>
      <c r="AB251" s="76" t="e">
        <f aca="false">IF(X251=1,W251,NA())</f>
        <v>#N/A</v>
      </c>
      <c r="AD251" s="73" t="str">
        <f aca="false">IF(ISNUMBER(AE251),IF(ISNUMBER('Base de Datos'!A247),IF('Base de Datos'!A247&gt;20000,DATE(YEAR('Base de Datos'!A247),DAY('Base de Datos'!A247),MONTH('Base de Datos'!A247)),""),IF(TRIM('Base de Datos'!A247)="","",IFERROR(DATE(VALUE(RIGHT(TRIM('Base de Datos'!A247),4)),VALUE(LEFT(TRIM('Base de Datos'!A247),2)),VALUE(MID(TRIM('Base de Datos'!A247),4,2))),""))),"")</f>
        <v/>
      </c>
      <c r="AE251" s="74" t="str">
        <f aca="false">IF(ISNUMBER('Base de Datos'!B247),'Base de Datos'!B247,IF(TRIM('Base de Datos'!B247)="","",IFERROR(IF(IFERROR(FIND("@",SUBSTITUTE(TRIM('Base de Datos'!B247),",","@",LEN(TRIM('Base de Datos'!B247))-LEN(SUBSTITUTE(TRIM('Base de Datos'!B247),",","")))),0)&gt;IFERROR(FIND("@",SUBSTITUTE(TRIM('Base de Datos'!B247),".","@",LEN(TRIM('Base de Datos'!B247))-LEN(SUBSTITUTE(TRIM('Base de Datos'!B247),".","")))),0),_xlfn.NUMBERVALUE(SUBSTITUTE(SUBSTITUTE(TRIM('Base de Datos'!B247),".",""),",","."),".",","),_xlfn.NUMBERVALUE(SUBSTITUTE(TRIM('Base de Datos'!B247),",",""),".",",")),"")))</f>
        <v/>
      </c>
      <c r="AF251" s="73" t="str">
        <f aca="false">IF(ISNUMBER(AG251),IF(ISNUMBER('Base de Datos'!I247),IF('Base de Datos'!I247&gt;20000,INT('Base de Datos'!I247),""),IF(TRIM('Base de Datos'!I247)="","",IFERROR(DATE(VALUE(RIGHT(TRIM('Base de Datos'!I247),4)),VALUE(MID(TRIM('Base de Datos'!I247),4,2)),VALUE(LEFT(TRIM('Base de Datos'!I247),2))),IFERROR(DATEVALUE(TRIM('Base de Datos'!I247)),"")))),"")</f>
        <v/>
      </c>
      <c r="AG251" s="74" t="str">
        <f aca="false">IF(ISNUMBER('Base de Datos'!J247),'Base de Datos'!J247,IF(TRIM('Base de Datos'!J247)="","",IFERROR(IF(IFERROR(FIND("@",SUBSTITUTE(TRIM('Base de Datos'!J247),",","@",LEN(TRIM('Base de Datos'!J247))-LEN(SUBSTITUTE(TRIM('Base de Datos'!J247),",","")))),0)&gt;IFERROR(FIND("@",SUBSTITUTE(TRIM('Base de Datos'!J247),".","@",LEN(TRIM('Base de Datos'!J247))-LEN(SUBSTITUTE(TRIM('Base de Datos'!J247),".","")))),0),_xlfn.NUMBERVALUE(SUBSTITUTE(SUBSTITUTE(TRIM('Base de Datos'!J247),".",""),",","."),".",","),_xlfn.NUMBERVALUE(SUBSTITUTE(TRIM('Base de Datos'!J247),",",""),".",",")),"")))</f>
        <v/>
      </c>
      <c r="AH251" s="73" t="n">
        <f aca="false">IF(ISNUMBER(AI251),IF(ISNUMBER('Base de Datos'!Q247),IF('Base de Datos'!Q247&gt;20000,DATE(YEAR('Base de Datos'!Q247),DAY('Base de Datos'!Q247),MONTH('Base de Datos'!Q247)),""),IF(TRIM('Base de Datos'!Q247)="","",IFERROR(DATE(VALUE(RIGHT(TRIM('Base de Datos'!Q247),4)),VALUE(LEFT(TRIM('Base de Datos'!Q247),2)),VALUE(MID(TRIM('Base de Datos'!Q247),4,2))),""))),"")</f>
        <v>46173</v>
      </c>
      <c r="AI251" s="74" t="n">
        <f aca="false">IF(ISNUMBER('Base de Datos'!R247),'Base de Datos'!R247,IF(TRIM('Base de Datos'!R247)="","",IFERROR(IF(IFERROR(FIND("@",SUBSTITUTE(TRIM('Base de Datos'!R247),",","@",LEN(TRIM('Base de Datos'!R247))-LEN(SUBSTITUTE(TRIM('Base de Datos'!R247),",","")))),0)&gt;IFERROR(FIND("@",SUBSTITUTE(TRIM('Base de Datos'!R247),".","@",LEN(TRIM('Base de Datos'!R247))-LEN(SUBSTITUTE(TRIM('Base de Datos'!R247),".","")))),0),_xlfn.NUMBERVALUE(SUBSTITUTE(SUBSTITUTE(TRIM('Base de Datos'!R247),".",""),",","."),".",","),_xlfn.NUMBERVALUE(SUBSTITUTE(TRIM('Base de Datos'!R247),",",""),".",",")),"")))</f>
        <v>30.89</v>
      </c>
      <c r="AJ251" s="73" t="n">
        <f aca="false">IF(ISNUMBER(AK251),IF(ISNUMBER('Base de Datos'!Y247),IF('Base de Datos'!Y247&gt;20000,INT('Base de Datos'!Y247),""),IF(TRIM('Base de Datos'!Y247)="","",IFERROR(DATE(VALUE(RIGHT(TRIM('Base de Datos'!Y247),4)),VALUE(MID(TRIM('Base de Datos'!Y247),4,2)),VALUE(LEFT(TRIM('Base de Datos'!Y247),2))),IFERROR(DATEVALUE(TRIM('Base de Datos'!Y247)),"")))),"")</f>
        <v>46173</v>
      </c>
      <c r="AK251" s="74" t="n">
        <f aca="false">IF(ISNUMBER('Base de Datos'!Z247),'Base de Datos'!Z247,IF(TRIM('Base de Datos'!Z247)="","",IFERROR(IF(IFERROR(FIND("@",SUBSTITUTE(TRIM('Base de Datos'!Z247),",","@",LEN(TRIM('Base de Datos'!Z247))-LEN(SUBSTITUTE(TRIM('Base de Datos'!Z247),",","")))),0)&gt;IFERROR(FIND("@",SUBSTITUTE(TRIM('Base de Datos'!Z247),".","@",LEN(TRIM('Base de Datos'!Z247))-LEN(SUBSTITUTE(TRIM('Base de Datos'!Z247),".","")))),0),_xlfn.NUMBERVALUE(SUBSTITUTE(SUBSTITUTE(TRIM('Base de Datos'!Z247),".",""),",","."),".",","),_xlfn.NUMBERVALUE(SUBSTITUTE(TRIM('Base de Datos'!Z247),",",""),".",",")),"")))</f>
        <v>66141.38</v>
      </c>
    </row>
    <row r="252" customFormat="false" ht="13.5" hidden="false" customHeight="false" outlineLevel="0" collapsed="false">
      <c r="A252" s="75" t="n">
        <f aca="false">ROWS(A$13:A252)</f>
        <v>240</v>
      </c>
      <c r="B252" s="73" t="n">
        <f aca="false">IF(B251="","",IFERROR(SMALL($AH$10:$AH$409,COUNTIF($AH$10:$AH$409,"&lt;="&amp;B251)+1),""))</f>
        <v>46159</v>
      </c>
      <c r="C252" s="74" t="n">
        <f aca="false">IF(B252="","",INDEX($AI$10:$AI$409,MATCH(B252,$AH$10:$AH$409,0)))</f>
        <v>29.01</v>
      </c>
      <c r="D252" s="74" t="n">
        <f aca="false">IF(B252="","",IFERROR(INDEX($AK$10:$AK$409,MATCH(B252,$AJ$10:$AJ$409,0)),""))</f>
        <v>68333.47</v>
      </c>
      <c r="E252" s="76" t="n">
        <f aca="false">IF(AND(ISNUMBER(C252),ISNUMBER(C251)),C252/C251-1,"")</f>
        <v>-0.0454096742349457</v>
      </c>
      <c r="F252" s="76" t="n">
        <f aca="false">IF(AND(ISNUMBER(D252),ISNUMBER(D251)),D252/D251-1,"")</f>
        <v>0.00525137363647743</v>
      </c>
      <c r="G252" s="75" t="n">
        <f aca="false">IF(AND(ISNUMBER(E252),ISNUMBER(F252)),1,"")</f>
        <v>1</v>
      </c>
      <c r="H252" s="75" t="n">
        <f aca="false">IF(G252=1,COUNT(G252:G$412),"")</f>
        <v>20</v>
      </c>
      <c r="I252" s="75" t="n">
        <f aca="false">IF(G252=1,IF(H252&lt;='Beta Regresión'!$B$5,1,""),"")</f>
        <v>1</v>
      </c>
      <c r="J252" s="76" t="n">
        <f aca="false">IF(I252=1,E252,"")</f>
        <v>-0.0454096742349457</v>
      </c>
      <c r="K252" s="76" t="n">
        <f aca="false">IF(I252=1,F252,"")</f>
        <v>0.00525137363647743</v>
      </c>
      <c r="L252" s="75" t="n">
        <f aca="false">IF(I252=1,COUNT(I$13:I252),"")</f>
        <v>239</v>
      </c>
      <c r="M252" s="76" t="n">
        <f aca="false">IFERROR(INDEX($J$13:$J$412,MATCH(A252,$L$13:$L$412,0)),"")</f>
        <v>0.188900379179593</v>
      </c>
      <c r="N252" s="76" t="n">
        <f aca="false">IFERROR(INDEX($K$13:$K$412,MATCH(A252,$L$13:$L$412,0)),"")</f>
        <v>0.00372101694821003</v>
      </c>
      <c r="O252" s="76" t="n">
        <f aca="false">IF(I252=1,E252,NA())</f>
        <v>-0.0454096742349457</v>
      </c>
      <c r="P252" s="76" t="n">
        <f aca="false">IF(I252=1,F252,NA())</f>
        <v>0.00525137363647743</v>
      </c>
      <c r="R252" s="75" t="n">
        <f aca="false">ROWS(R$13:R252)</f>
        <v>240</v>
      </c>
      <c r="S252" s="73" t="str">
        <f aca="false">IF(S251="","",IFERROR(SMALL($AD$10:$AD$509,COUNTIF($AD$10:$AD$509,"&lt;="&amp;S251)+1),""))</f>
        <v/>
      </c>
      <c r="T252" s="74" t="str">
        <f aca="false">IF(S252="","",INDEX($AE$10:$AE$509,MATCH(S252,$AD$10:$AD$509,0)))</f>
        <v/>
      </c>
      <c r="U252" s="74" t="str">
        <f aca="false">IF(S252="","",IFERROR(INDEX($AG$10:$AG$509,MATCH(S252,$AF$10:$AF$509,0)),""))</f>
        <v/>
      </c>
      <c r="V252" s="76" t="str">
        <f aca="false">IF(AND(ISNUMBER(T252),ISNUMBER(T251)),T252/T251-1,"")</f>
        <v/>
      </c>
      <c r="W252" s="76" t="str">
        <f aca="false">IF(AND(ISNUMBER(U252),ISNUMBER(U251)),U252/U251-1,"")</f>
        <v/>
      </c>
      <c r="X252" s="75" t="str">
        <f aca="false">IF(AND(ISNUMBER(V252),ISNUMBER(W252)),1,"")</f>
        <v/>
      </c>
      <c r="Y252" s="76" t="str">
        <f aca="false">IF(X252=1,V252,"")</f>
        <v/>
      </c>
      <c r="Z252" s="76" t="str">
        <f aca="false">IF(X252=1,W252,"")</f>
        <v/>
      </c>
      <c r="AA252" s="76" t="e">
        <f aca="false">IF(X252=1,V252,NA())</f>
        <v>#N/A</v>
      </c>
      <c r="AB252" s="76" t="e">
        <f aca="false">IF(X252=1,W252,NA())</f>
        <v>#N/A</v>
      </c>
      <c r="AD252" s="73" t="str">
        <f aca="false">IF(ISNUMBER(AE252),IF(ISNUMBER('Base de Datos'!A248),IF('Base de Datos'!A248&gt;20000,DATE(YEAR('Base de Datos'!A248),DAY('Base de Datos'!A248),MONTH('Base de Datos'!A248)),""),IF(TRIM('Base de Datos'!A248)="","",IFERROR(DATE(VALUE(RIGHT(TRIM('Base de Datos'!A248),4)),VALUE(LEFT(TRIM('Base de Datos'!A248),2)),VALUE(MID(TRIM('Base de Datos'!A248),4,2))),""))),"")</f>
        <v/>
      </c>
      <c r="AE252" s="74" t="str">
        <f aca="false">IF(ISNUMBER('Base de Datos'!B248),'Base de Datos'!B248,IF(TRIM('Base de Datos'!B248)="","",IFERROR(IF(IFERROR(FIND("@",SUBSTITUTE(TRIM('Base de Datos'!B248),",","@",LEN(TRIM('Base de Datos'!B248))-LEN(SUBSTITUTE(TRIM('Base de Datos'!B248),",","")))),0)&gt;IFERROR(FIND("@",SUBSTITUTE(TRIM('Base de Datos'!B248),".","@",LEN(TRIM('Base de Datos'!B248))-LEN(SUBSTITUTE(TRIM('Base de Datos'!B248),".","")))),0),_xlfn.NUMBERVALUE(SUBSTITUTE(SUBSTITUTE(TRIM('Base de Datos'!B248),".",""),",","."),".",","),_xlfn.NUMBERVALUE(SUBSTITUTE(TRIM('Base de Datos'!B248),",",""),".",",")),"")))</f>
        <v/>
      </c>
      <c r="AF252" s="73" t="str">
        <f aca="false">IF(ISNUMBER(AG252),IF(ISNUMBER('Base de Datos'!I248),IF('Base de Datos'!I248&gt;20000,INT('Base de Datos'!I248),""),IF(TRIM('Base de Datos'!I248)="","",IFERROR(DATE(VALUE(RIGHT(TRIM('Base de Datos'!I248),4)),VALUE(MID(TRIM('Base de Datos'!I248),4,2)),VALUE(LEFT(TRIM('Base de Datos'!I248),2))),IFERROR(DATEVALUE(TRIM('Base de Datos'!I248)),"")))),"")</f>
        <v/>
      </c>
      <c r="AG252" s="74" t="str">
        <f aca="false">IF(ISNUMBER('Base de Datos'!J248),'Base de Datos'!J248,IF(TRIM('Base de Datos'!J248)="","",IFERROR(IF(IFERROR(FIND("@",SUBSTITUTE(TRIM('Base de Datos'!J248),",","@",LEN(TRIM('Base de Datos'!J248))-LEN(SUBSTITUTE(TRIM('Base de Datos'!J248),",","")))),0)&gt;IFERROR(FIND("@",SUBSTITUTE(TRIM('Base de Datos'!J248),".","@",LEN(TRIM('Base de Datos'!J248))-LEN(SUBSTITUTE(TRIM('Base de Datos'!J248),".","")))),0),_xlfn.NUMBERVALUE(SUBSTITUTE(SUBSTITUTE(TRIM('Base de Datos'!J248),".",""),",","."),".",","),_xlfn.NUMBERVALUE(SUBSTITUTE(TRIM('Base de Datos'!J248),",",""),".",",")),"")))</f>
        <v/>
      </c>
      <c r="AH252" s="73" t="n">
        <f aca="false">IF(ISNUMBER(AI252),IF(ISNUMBER('Base de Datos'!Q248),IF('Base de Datos'!Q248&gt;20000,DATE(YEAR('Base de Datos'!Q248),DAY('Base de Datos'!Q248),MONTH('Base de Datos'!Q248)),""),IF(TRIM('Base de Datos'!Q248)="","",IFERROR(DATE(VALUE(RIGHT(TRIM('Base de Datos'!Q248),4)),VALUE(LEFT(TRIM('Base de Datos'!Q248),2)),VALUE(MID(TRIM('Base de Datos'!Q248),4,2))),""))),"")</f>
        <v>46180</v>
      </c>
      <c r="AI252" s="74" t="n">
        <f aca="false">IF(ISNUMBER('Base de Datos'!R248),'Base de Datos'!R248,IF(TRIM('Base de Datos'!R248)="","",IFERROR(IF(IFERROR(FIND("@",SUBSTITUTE(TRIM('Base de Datos'!R248),",","@",LEN(TRIM('Base de Datos'!R248))-LEN(SUBSTITUTE(TRIM('Base de Datos'!R248),",","")))),0)&gt;IFERROR(FIND("@",SUBSTITUTE(TRIM('Base de Datos'!R248),".","@",LEN(TRIM('Base de Datos'!R248))-LEN(SUBSTITUTE(TRIM('Base de Datos'!R248),".","")))),0),_xlfn.NUMBERVALUE(SUBSTITUTE(SUBSTITUTE(TRIM('Base de Datos'!R248),".",""),",","."),".",","),_xlfn.NUMBERVALUE(SUBSTITUTE(TRIM('Base de Datos'!R248),",",""),".",",")),"")))</f>
        <v>31.14</v>
      </c>
      <c r="AJ252" s="73" t="n">
        <f aca="false">IF(ISNUMBER(AK252),IF(ISNUMBER('Base de Datos'!Y248),IF('Base de Datos'!Y248&gt;20000,INT('Base de Datos'!Y248),""),IF(TRIM('Base de Datos'!Y248)="","",IFERROR(DATE(VALUE(RIGHT(TRIM('Base de Datos'!Y248),4)),VALUE(MID(TRIM('Base de Datos'!Y248),4,2)),VALUE(LEFT(TRIM('Base de Datos'!Y248),2))),IFERROR(DATEVALUE(TRIM('Base de Datos'!Y248)),"")))),"")</f>
        <v>46180</v>
      </c>
      <c r="AK252" s="74" t="n">
        <f aca="false">IF(ISNUMBER('Base de Datos'!Z248),'Base de Datos'!Z248,IF(TRIM('Base de Datos'!Z248)="","",IFERROR(IF(IFERROR(FIND("@",SUBSTITUTE(TRIM('Base de Datos'!Z248),",","@",LEN(TRIM('Base de Datos'!Z248))-LEN(SUBSTITUTE(TRIM('Base de Datos'!Z248),",","")))),0)&gt;IFERROR(FIND("@",SUBSTITUTE(TRIM('Base de Datos'!Z248),".","@",LEN(TRIM('Base de Datos'!Z248))-LEN(SUBSTITUTE(TRIM('Base de Datos'!Z248),".","")))),0),_xlfn.NUMBERVALUE(SUBSTITUTE(SUBSTITUTE(TRIM('Base de Datos'!Z248),".",""),",","."),".",","),_xlfn.NUMBERVALUE(SUBSTITUTE(TRIM('Base de Datos'!Z248),",",""),".",",")),"")))</f>
        <v>67954.55</v>
      </c>
    </row>
    <row r="253" customFormat="false" ht="13.5" hidden="false" customHeight="false" outlineLevel="0" collapsed="false">
      <c r="A253" s="75" t="n">
        <f aca="false">ROWS(A$13:A253)</f>
        <v>241</v>
      </c>
      <c r="B253" s="73" t="n">
        <f aca="false">IF(B252="","",IFERROR(SMALL($AH$10:$AH$409,COUNTIF($AH$10:$AH$409,"&lt;="&amp;B252)+1),""))</f>
        <v>46166</v>
      </c>
      <c r="C253" s="74" t="n">
        <f aca="false">IF(B253="","",INDEX($AI$10:$AI$409,MATCH(B253,$AH$10:$AH$409,0)))</f>
        <v>34.49</v>
      </c>
      <c r="D253" s="74" t="n">
        <f aca="false">IF(B253="","",IFERROR(INDEX($AK$10:$AK$409,MATCH(B253,$AJ$10:$AJ$409,0)),""))</f>
        <v>68587.74</v>
      </c>
      <c r="E253" s="76" t="n">
        <f aca="false">IF(AND(ISNUMBER(C253),ISNUMBER(C252)),C253/C252-1,"")</f>
        <v>0.188900379179593</v>
      </c>
      <c r="F253" s="76" t="n">
        <f aca="false">IF(AND(ISNUMBER(D253),ISNUMBER(D252)),D253/D252-1,"")</f>
        <v>0.00372101694821003</v>
      </c>
      <c r="G253" s="75" t="n">
        <f aca="false">IF(AND(ISNUMBER(E253),ISNUMBER(F253)),1,"")</f>
        <v>1</v>
      </c>
      <c r="H253" s="75" t="n">
        <f aca="false">IF(G253=1,COUNT(G253:G$412),"")</f>
        <v>19</v>
      </c>
      <c r="I253" s="75" t="n">
        <f aca="false">IF(G253=1,IF(H253&lt;='Beta Regresión'!$B$5,1,""),"")</f>
        <v>1</v>
      </c>
      <c r="J253" s="76" t="n">
        <f aca="false">IF(I253=1,E253,"")</f>
        <v>0.188900379179593</v>
      </c>
      <c r="K253" s="76" t="n">
        <f aca="false">IF(I253=1,F253,"")</f>
        <v>0.00372101694821003</v>
      </c>
      <c r="L253" s="75" t="n">
        <f aca="false">IF(I253=1,COUNT(I$13:I253),"")</f>
        <v>240</v>
      </c>
      <c r="M253" s="76" t="n">
        <f aca="false">IFERROR(INDEX($J$13:$J$412,MATCH(A253,$L$13:$L$412,0)),"")</f>
        <v>-0.104378080603073</v>
      </c>
      <c r="N253" s="76" t="n">
        <f aca="false">IFERROR(INDEX($K$13:$K$412,MATCH(A253,$L$13:$L$412,0)),"")</f>
        <v>-0.0356675989032442</v>
      </c>
      <c r="O253" s="76" t="n">
        <f aca="false">IF(I253=1,E253,NA())</f>
        <v>0.188900379179593</v>
      </c>
      <c r="P253" s="76" t="n">
        <f aca="false">IF(I253=1,F253,NA())</f>
        <v>0.00372101694821003</v>
      </c>
      <c r="R253" s="75" t="n">
        <f aca="false">ROWS(R$13:R253)</f>
        <v>241</v>
      </c>
      <c r="S253" s="73" t="str">
        <f aca="false">IF(S252="","",IFERROR(SMALL($AD$10:$AD$509,COUNTIF($AD$10:$AD$509,"&lt;="&amp;S252)+1),""))</f>
        <v/>
      </c>
      <c r="T253" s="74" t="str">
        <f aca="false">IF(S253="","",INDEX($AE$10:$AE$509,MATCH(S253,$AD$10:$AD$509,0)))</f>
        <v/>
      </c>
      <c r="U253" s="74" t="str">
        <f aca="false">IF(S253="","",IFERROR(INDEX($AG$10:$AG$509,MATCH(S253,$AF$10:$AF$509,0)),""))</f>
        <v/>
      </c>
      <c r="V253" s="76" t="str">
        <f aca="false">IF(AND(ISNUMBER(T253),ISNUMBER(T252)),T253/T252-1,"")</f>
        <v/>
      </c>
      <c r="W253" s="76" t="str">
        <f aca="false">IF(AND(ISNUMBER(U253),ISNUMBER(U252)),U253/U252-1,"")</f>
        <v/>
      </c>
      <c r="X253" s="75" t="str">
        <f aca="false">IF(AND(ISNUMBER(V253),ISNUMBER(W253)),1,"")</f>
        <v/>
      </c>
      <c r="Y253" s="76" t="str">
        <f aca="false">IF(X253=1,V253,"")</f>
        <v/>
      </c>
      <c r="Z253" s="76" t="str">
        <f aca="false">IF(X253=1,W253,"")</f>
        <v/>
      </c>
      <c r="AA253" s="76" t="e">
        <f aca="false">IF(X253=1,V253,NA())</f>
        <v>#N/A</v>
      </c>
      <c r="AB253" s="76" t="e">
        <f aca="false">IF(X253=1,W253,NA())</f>
        <v>#N/A</v>
      </c>
      <c r="AD253" s="73" t="str">
        <f aca="false">IF(ISNUMBER(AE253),IF(ISNUMBER('Base de Datos'!A249),IF('Base de Datos'!A249&gt;20000,DATE(YEAR('Base de Datos'!A249),DAY('Base de Datos'!A249),MONTH('Base de Datos'!A249)),""),IF(TRIM('Base de Datos'!A249)="","",IFERROR(DATE(VALUE(RIGHT(TRIM('Base de Datos'!A249),4)),VALUE(LEFT(TRIM('Base de Datos'!A249),2)),VALUE(MID(TRIM('Base de Datos'!A249),4,2))),""))),"")</f>
        <v/>
      </c>
      <c r="AE253" s="74" t="str">
        <f aca="false">IF(ISNUMBER('Base de Datos'!B249),'Base de Datos'!B249,IF(TRIM('Base de Datos'!B249)="","",IFERROR(IF(IFERROR(FIND("@",SUBSTITUTE(TRIM('Base de Datos'!B249),",","@",LEN(TRIM('Base de Datos'!B249))-LEN(SUBSTITUTE(TRIM('Base de Datos'!B249),",","")))),0)&gt;IFERROR(FIND("@",SUBSTITUTE(TRIM('Base de Datos'!B249),".","@",LEN(TRIM('Base de Datos'!B249))-LEN(SUBSTITUTE(TRIM('Base de Datos'!B249),".","")))),0),_xlfn.NUMBERVALUE(SUBSTITUTE(SUBSTITUTE(TRIM('Base de Datos'!B249),".",""),",","."),".",","),_xlfn.NUMBERVALUE(SUBSTITUTE(TRIM('Base de Datos'!B249),",",""),".",",")),"")))</f>
        <v/>
      </c>
      <c r="AF253" s="73" t="str">
        <f aca="false">IF(ISNUMBER(AG253),IF(ISNUMBER('Base de Datos'!I249),IF('Base de Datos'!I249&gt;20000,INT('Base de Datos'!I249),""),IF(TRIM('Base de Datos'!I249)="","",IFERROR(DATE(VALUE(RIGHT(TRIM('Base de Datos'!I249),4)),VALUE(MID(TRIM('Base de Datos'!I249),4,2)),VALUE(LEFT(TRIM('Base de Datos'!I249),2))),IFERROR(DATEVALUE(TRIM('Base de Datos'!I249)),"")))),"")</f>
        <v/>
      </c>
      <c r="AG253" s="74" t="str">
        <f aca="false">IF(ISNUMBER('Base de Datos'!J249),'Base de Datos'!J249,IF(TRIM('Base de Datos'!J249)="","",IFERROR(IF(IFERROR(FIND("@",SUBSTITUTE(TRIM('Base de Datos'!J249),",","@",LEN(TRIM('Base de Datos'!J249))-LEN(SUBSTITUTE(TRIM('Base de Datos'!J249),",","")))),0)&gt;IFERROR(FIND("@",SUBSTITUTE(TRIM('Base de Datos'!J249),".","@",LEN(TRIM('Base de Datos'!J249))-LEN(SUBSTITUTE(TRIM('Base de Datos'!J249),".","")))),0),_xlfn.NUMBERVALUE(SUBSTITUTE(SUBSTITUTE(TRIM('Base de Datos'!J249),".",""),",","."),".",","),_xlfn.NUMBERVALUE(SUBSTITUTE(TRIM('Base de Datos'!J249),",",""),".",",")),"")))</f>
        <v/>
      </c>
      <c r="AH253" s="73" t="n">
        <f aca="false">IF(ISNUMBER(AI253),IF(ISNUMBER('Base de Datos'!Q249),IF('Base de Datos'!Q249&gt;20000,DATE(YEAR('Base de Datos'!Q249),DAY('Base de Datos'!Q249),MONTH('Base de Datos'!Q249)),""),IF(TRIM('Base de Datos'!Q249)="","",IFERROR(DATE(VALUE(RIGHT(TRIM('Base de Datos'!Q249),4)),VALUE(LEFT(TRIM('Base de Datos'!Q249),2)),VALUE(MID(TRIM('Base de Datos'!Q249),4,2))),""))),"")</f>
        <v>46187</v>
      </c>
      <c r="AI253" s="74" t="n">
        <f aca="false">IF(ISNUMBER('Base de Datos'!R249),'Base de Datos'!R249,IF(TRIM('Base de Datos'!R249)="","",IFERROR(IF(IFERROR(FIND("@",SUBSTITUTE(TRIM('Base de Datos'!R249),",","@",LEN(TRIM('Base de Datos'!R249))-LEN(SUBSTITUTE(TRIM('Base de Datos'!R249),",","")))),0)&gt;IFERROR(FIND("@",SUBSTITUTE(TRIM('Base de Datos'!R249),".","@",LEN(TRIM('Base de Datos'!R249))-LEN(SUBSTITUTE(TRIM('Base de Datos'!R249),".","")))),0),_xlfn.NUMBERVALUE(SUBSTITUTE(SUBSTITUTE(TRIM('Base de Datos'!R249),".",""),",","."),".",","),_xlfn.NUMBERVALUE(SUBSTITUTE(TRIM('Base de Datos'!R249),",",""),".",",")),"")))</f>
        <v>31.25</v>
      </c>
      <c r="AJ253" s="73" t="n">
        <f aca="false">IF(ISNUMBER(AK253),IF(ISNUMBER('Base de Datos'!Y249),IF('Base de Datos'!Y249&gt;20000,INT('Base de Datos'!Y249),""),IF(TRIM('Base de Datos'!Y249)="","",IFERROR(DATE(VALUE(RIGHT(TRIM('Base de Datos'!Y249),4)),VALUE(MID(TRIM('Base de Datos'!Y249),4,2)),VALUE(LEFT(TRIM('Base de Datos'!Y249),2))),IFERROR(DATEVALUE(TRIM('Base de Datos'!Y249)),"")))),"")</f>
        <v>46187</v>
      </c>
      <c r="AK253" s="74" t="n">
        <f aca="false">IF(ISNUMBER('Base de Datos'!Z249),'Base de Datos'!Z249,IF(TRIM('Base de Datos'!Z249)="","",IFERROR(IF(IFERROR(FIND("@",SUBSTITUTE(TRIM('Base de Datos'!Z249),",","@",LEN(TRIM('Base de Datos'!Z249))-LEN(SUBSTITUTE(TRIM('Base de Datos'!Z249),",","")))),0)&gt;IFERROR(FIND("@",SUBSTITUTE(TRIM('Base de Datos'!Z249),".","@",LEN(TRIM('Base de Datos'!Z249))-LEN(SUBSTITUTE(TRIM('Base de Datos'!Z249),".","")))),0),_xlfn.NUMBERVALUE(SUBSTITUTE(SUBSTITUTE(TRIM('Base de Datos'!Z249),".",""),",","."),".",","),_xlfn.NUMBERVALUE(SUBSTITUTE(TRIM('Base de Datos'!Z249),",",""),".",",")),"")))</f>
        <v>67705.37</v>
      </c>
    </row>
    <row r="254" customFormat="false" ht="13.5" hidden="false" customHeight="false" outlineLevel="0" collapsed="false">
      <c r="A254" s="75" t="n">
        <f aca="false">ROWS(A$13:A254)</f>
        <v>242</v>
      </c>
      <c r="B254" s="73" t="n">
        <f aca="false">IF(B253="","",IFERROR(SMALL($AH$10:$AH$409,COUNTIF($AH$10:$AH$409,"&lt;="&amp;B253)+1),""))</f>
        <v>46173</v>
      </c>
      <c r="C254" s="74" t="n">
        <f aca="false">IF(B254="","",INDEX($AI$10:$AI$409,MATCH(B254,$AH$10:$AH$409,0)))</f>
        <v>30.89</v>
      </c>
      <c r="D254" s="74" t="n">
        <f aca="false">IF(B254="","",IFERROR(INDEX($AK$10:$AK$409,MATCH(B254,$AJ$10:$AJ$409,0)),""))</f>
        <v>66141.38</v>
      </c>
      <c r="E254" s="76" t="n">
        <f aca="false">IF(AND(ISNUMBER(C254),ISNUMBER(C253)),C254/C253-1,"")</f>
        <v>-0.104378080603073</v>
      </c>
      <c r="F254" s="76" t="n">
        <f aca="false">IF(AND(ISNUMBER(D254),ISNUMBER(D253)),D254/D253-1,"")</f>
        <v>-0.0356675989032442</v>
      </c>
      <c r="G254" s="75" t="n">
        <f aca="false">IF(AND(ISNUMBER(E254),ISNUMBER(F254)),1,"")</f>
        <v>1</v>
      </c>
      <c r="H254" s="75" t="n">
        <f aca="false">IF(G254=1,COUNT(G254:G$412),"")</f>
        <v>18</v>
      </c>
      <c r="I254" s="75" t="n">
        <f aca="false">IF(G254=1,IF(H254&lt;='Beta Regresión'!$B$5,1,""),"")</f>
        <v>1</v>
      </c>
      <c r="J254" s="76" t="n">
        <f aca="false">IF(I254=1,E254,"")</f>
        <v>-0.104378080603073</v>
      </c>
      <c r="K254" s="76" t="n">
        <f aca="false">IF(I254=1,F254,"")</f>
        <v>-0.0356675989032442</v>
      </c>
      <c r="L254" s="75" t="n">
        <f aca="false">IF(I254=1,COUNT(I$13:I254),"")</f>
        <v>241</v>
      </c>
      <c r="M254" s="76" t="n">
        <f aca="false">IFERROR(INDEX($J$13:$J$412,MATCH(A254,$L$13:$L$412,0)),"")</f>
        <v>0.00809323405632889</v>
      </c>
      <c r="N254" s="76" t="n">
        <f aca="false">IFERROR(INDEX($K$13:$K$412,MATCH(A254,$L$13:$L$412,0)),"")</f>
        <v>0.0274135495812153</v>
      </c>
      <c r="O254" s="76" t="n">
        <f aca="false">IF(I254=1,E254,NA())</f>
        <v>-0.104378080603073</v>
      </c>
      <c r="P254" s="76" t="n">
        <f aca="false">IF(I254=1,F254,NA())</f>
        <v>-0.0356675989032442</v>
      </c>
      <c r="R254" s="75" t="n">
        <f aca="false">ROWS(R$13:R254)</f>
        <v>242</v>
      </c>
      <c r="S254" s="73" t="str">
        <f aca="false">IF(S253="","",IFERROR(SMALL($AD$10:$AD$509,COUNTIF($AD$10:$AD$509,"&lt;="&amp;S253)+1),""))</f>
        <v/>
      </c>
      <c r="T254" s="74" t="str">
        <f aca="false">IF(S254="","",INDEX($AE$10:$AE$509,MATCH(S254,$AD$10:$AD$509,0)))</f>
        <v/>
      </c>
      <c r="U254" s="74" t="str">
        <f aca="false">IF(S254="","",IFERROR(INDEX($AG$10:$AG$509,MATCH(S254,$AF$10:$AF$509,0)),""))</f>
        <v/>
      </c>
      <c r="V254" s="76" t="str">
        <f aca="false">IF(AND(ISNUMBER(T254),ISNUMBER(T253)),T254/T253-1,"")</f>
        <v/>
      </c>
      <c r="W254" s="76" t="str">
        <f aca="false">IF(AND(ISNUMBER(U254),ISNUMBER(U253)),U254/U253-1,"")</f>
        <v/>
      </c>
      <c r="X254" s="75" t="str">
        <f aca="false">IF(AND(ISNUMBER(V254),ISNUMBER(W254)),1,"")</f>
        <v/>
      </c>
      <c r="Y254" s="76" t="str">
        <f aca="false">IF(X254=1,V254,"")</f>
        <v/>
      </c>
      <c r="Z254" s="76" t="str">
        <f aca="false">IF(X254=1,W254,"")</f>
        <v/>
      </c>
      <c r="AA254" s="76" t="e">
        <f aca="false">IF(X254=1,V254,NA())</f>
        <v>#N/A</v>
      </c>
      <c r="AB254" s="76" t="e">
        <f aca="false">IF(X254=1,W254,NA())</f>
        <v>#N/A</v>
      </c>
      <c r="AD254" s="73" t="str">
        <f aca="false">IF(ISNUMBER(AE254),IF(ISNUMBER('Base de Datos'!A250),IF('Base de Datos'!A250&gt;20000,DATE(YEAR('Base de Datos'!A250),DAY('Base de Datos'!A250),MONTH('Base de Datos'!A250)),""),IF(TRIM('Base de Datos'!A250)="","",IFERROR(DATE(VALUE(RIGHT(TRIM('Base de Datos'!A250),4)),VALUE(LEFT(TRIM('Base de Datos'!A250),2)),VALUE(MID(TRIM('Base de Datos'!A250),4,2))),""))),"")</f>
        <v/>
      </c>
      <c r="AE254" s="74" t="str">
        <f aca="false">IF(ISNUMBER('Base de Datos'!B250),'Base de Datos'!B250,IF(TRIM('Base de Datos'!B250)="","",IFERROR(IF(IFERROR(FIND("@",SUBSTITUTE(TRIM('Base de Datos'!B250),",","@",LEN(TRIM('Base de Datos'!B250))-LEN(SUBSTITUTE(TRIM('Base de Datos'!B250),",","")))),0)&gt;IFERROR(FIND("@",SUBSTITUTE(TRIM('Base de Datos'!B250),".","@",LEN(TRIM('Base de Datos'!B250))-LEN(SUBSTITUTE(TRIM('Base de Datos'!B250),".","")))),0),_xlfn.NUMBERVALUE(SUBSTITUTE(SUBSTITUTE(TRIM('Base de Datos'!B250),".",""),",","."),".",","),_xlfn.NUMBERVALUE(SUBSTITUTE(TRIM('Base de Datos'!B250),",",""),".",",")),"")))</f>
        <v/>
      </c>
      <c r="AF254" s="73" t="str">
        <f aca="false">IF(ISNUMBER(AG254),IF(ISNUMBER('Base de Datos'!I250),IF('Base de Datos'!I250&gt;20000,INT('Base de Datos'!I250),""),IF(TRIM('Base de Datos'!I250)="","",IFERROR(DATE(VALUE(RIGHT(TRIM('Base de Datos'!I250),4)),VALUE(MID(TRIM('Base de Datos'!I250),4,2)),VALUE(LEFT(TRIM('Base de Datos'!I250),2))),IFERROR(DATEVALUE(TRIM('Base de Datos'!I250)),"")))),"")</f>
        <v/>
      </c>
      <c r="AG254" s="74" t="str">
        <f aca="false">IF(ISNUMBER('Base de Datos'!J250),'Base de Datos'!J250,IF(TRIM('Base de Datos'!J250)="","",IFERROR(IF(IFERROR(FIND("@",SUBSTITUTE(TRIM('Base de Datos'!J250),",","@",LEN(TRIM('Base de Datos'!J250))-LEN(SUBSTITUTE(TRIM('Base de Datos'!J250),",","")))),0)&gt;IFERROR(FIND("@",SUBSTITUTE(TRIM('Base de Datos'!J250),".","@",LEN(TRIM('Base de Datos'!J250))-LEN(SUBSTITUTE(TRIM('Base de Datos'!J250),".","")))),0),_xlfn.NUMBERVALUE(SUBSTITUTE(SUBSTITUTE(TRIM('Base de Datos'!J250),".",""),",","."),".",","),_xlfn.NUMBERVALUE(SUBSTITUTE(TRIM('Base de Datos'!J250),",",""),".",",")),"")))</f>
        <v/>
      </c>
      <c r="AH254" s="73" t="n">
        <f aca="false">IF(ISNUMBER(AI254),IF(ISNUMBER('Base de Datos'!Q250),IF('Base de Datos'!Q250&gt;20000,DATE(YEAR('Base de Datos'!Q250),DAY('Base de Datos'!Q250),MONTH('Base de Datos'!Q250)),""),IF(TRIM('Base de Datos'!Q250)="","",IFERROR(DATE(VALUE(RIGHT(TRIM('Base de Datos'!Q250),4)),VALUE(LEFT(TRIM('Base de Datos'!Q250),2)),VALUE(MID(TRIM('Base de Datos'!Q250),4,2))),""))),"")</f>
        <v>46201</v>
      </c>
      <c r="AI254" s="74" t="n">
        <f aca="false">IF(ISNUMBER('Base de Datos'!R250),'Base de Datos'!R250,IF(TRIM('Base de Datos'!R250)="","",IFERROR(IF(IFERROR(FIND("@",SUBSTITUTE(TRIM('Base de Datos'!R250),",","@",LEN(TRIM('Base de Datos'!R250))-LEN(SUBSTITUTE(TRIM('Base de Datos'!R250),",","")))),0)&gt;IFERROR(FIND("@",SUBSTITUTE(TRIM('Base de Datos'!R250),".","@",LEN(TRIM('Base de Datos'!R250))-LEN(SUBSTITUTE(TRIM('Base de Datos'!R250),".","")))),0),_xlfn.NUMBERVALUE(SUBSTITUTE(SUBSTITUTE(TRIM('Base de Datos'!R250),".",""),",","."),".",","),_xlfn.NUMBERVALUE(SUBSTITUTE(TRIM('Base de Datos'!R250),",",""),".",",")),"")))</f>
        <v>29.91</v>
      </c>
      <c r="AJ254" s="73" t="n">
        <f aca="false">IF(ISNUMBER(AK254),IF(ISNUMBER('Base de Datos'!Y250),IF('Base de Datos'!Y250&gt;20000,INT('Base de Datos'!Y250),""),IF(TRIM('Base de Datos'!Y250)="","",IFERROR(DATE(VALUE(RIGHT(TRIM('Base de Datos'!Y250),4)),VALUE(MID(TRIM('Base de Datos'!Y250),4,2)),VALUE(LEFT(TRIM('Base de Datos'!Y250),2))),IFERROR(DATEVALUE(TRIM('Base de Datos'!Y250)),"")))),"")</f>
        <v>46194</v>
      </c>
      <c r="AK254" s="74" t="n">
        <f aca="false">IF(ISNUMBER('Base de Datos'!Z250),'Base de Datos'!Z250,IF(TRIM('Base de Datos'!Z250)="","",IFERROR(IF(IFERROR(FIND("@",SUBSTITUTE(TRIM('Base de Datos'!Z250),",","@",LEN(TRIM('Base de Datos'!Z250))-LEN(SUBSTITUTE(TRIM('Base de Datos'!Z250),",","")))),0)&gt;IFERROR(FIND("@",SUBSTITUTE(TRIM('Base de Datos'!Z250),".","@",LEN(TRIM('Base de Datos'!Z250))-LEN(SUBSTITUTE(TRIM('Base de Datos'!Z250),".","")))),0),_xlfn.NUMBERVALUE(SUBSTITUTE(SUBSTITUTE(TRIM('Base de Datos'!Z250),".",""),",","."),".",","),_xlfn.NUMBERVALUE(SUBSTITUTE(TRIM('Base de Datos'!Z250),",",""),".",",")),"")))</f>
        <v>67226.01</v>
      </c>
    </row>
    <row r="255" customFormat="false" ht="13.5" hidden="false" customHeight="false" outlineLevel="0" collapsed="false">
      <c r="A255" s="75" t="n">
        <f aca="false">ROWS(A$13:A255)</f>
        <v>243</v>
      </c>
      <c r="B255" s="73" t="n">
        <f aca="false">IF(B254="","",IFERROR(SMALL($AH$10:$AH$409,COUNTIF($AH$10:$AH$409,"&lt;="&amp;B254)+1),""))</f>
        <v>46180</v>
      </c>
      <c r="C255" s="74" t="n">
        <f aca="false">IF(B255="","",INDEX($AI$10:$AI$409,MATCH(B255,$AH$10:$AH$409,0)))</f>
        <v>31.14</v>
      </c>
      <c r="D255" s="74" t="n">
        <f aca="false">IF(B255="","",IFERROR(INDEX($AK$10:$AK$409,MATCH(B255,$AJ$10:$AJ$409,0)),""))</f>
        <v>67954.55</v>
      </c>
      <c r="E255" s="76" t="n">
        <f aca="false">IF(AND(ISNUMBER(C255),ISNUMBER(C254)),C255/C254-1,"")</f>
        <v>0.00809323405632889</v>
      </c>
      <c r="F255" s="76" t="n">
        <f aca="false">IF(AND(ISNUMBER(D255),ISNUMBER(D254)),D255/D254-1,"")</f>
        <v>0.0274135495812153</v>
      </c>
      <c r="G255" s="75" t="n">
        <f aca="false">IF(AND(ISNUMBER(E255),ISNUMBER(F255)),1,"")</f>
        <v>1</v>
      </c>
      <c r="H255" s="75" t="n">
        <f aca="false">IF(G255=1,COUNT(G255:G$412),"")</f>
        <v>17</v>
      </c>
      <c r="I255" s="75" t="n">
        <f aca="false">IF(G255=1,IF(H255&lt;='Beta Regresión'!$B$5,1,""),"")</f>
        <v>1</v>
      </c>
      <c r="J255" s="76" t="n">
        <f aca="false">IF(I255=1,E255,"")</f>
        <v>0.00809323405632889</v>
      </c>
      <c r="K255" s="76" t="n">
        <f aca="false">IF(I255=1,F255,"")</f>
        <v>0.0274135495812153</v>
      </c>
      <c r="L255" s="75" t="n">
        <f aca="false">IF(I255=1,COUNT(I$13:I255),"")</f>
        <v>242</v>
      </c>
      <c r="M255" s="76" t="n">
        <f aca="false">IFERROR(INDEX($J$13:$J$412,MATCH(A255,$L$13:$L$412,0)),"")</f>
        <v>0.00353243416827231</v>
      </c>
      <c r="N255" s="76" t="n">
        <f aca="false">IFERROR(INDEX($K$13:$K$412,MATCH(A255,$L$13:$L$412,0)),"")</f>
        <v>-0.00366686263097915</v>
      </c>
      <c r="O255" s="76" t="n">
        <f aca="false">IF(I255=1,E255,NA())</f>
        <v>0.00809323405632889</v>
      </c>
      <c r="P255" s="76" t="n">
        <f aca="false">IF(I255=1,F255,NA())</f>
        <v>0.0274135495812153</v>
      </c>
      <c r="R255" s="75" t="n">
        <f aca="false">ROWS(R$13:R255)</f>
        <v>243</v>
      </c>
      <c r="S255" s="73" t="str">
        <f aca="false">IF(S254="","",IFERROR(SMALL($AD$10:$AD$509,COUNTIF($AD$10:$AD$509,"&lt;="&amp;S254)+1),""))</f>
        <v/>
      </c>
      <c r="T255" s="74" t="str">
        <f aca="false">IF(S255="","",INDEX($AE$10:$AE$509,MATCH(S255,$AD$10:$AD$509,0)))</f>
        <v/>
      </c>
      <c r="U255" s="74" t="str">
        <f aca="false">IF(S255="","",IFERROR(INDEX($AG$10:$AG$509,MATCH(S255,$AF$10:$AF$509,0)),""))</f>
        <v/>
      </c>
      <c r="V255" s="76" t="str">
        <f aca="false">IF(AND(ISNUMBER(T255),ISNUMBER(T254)),T255/T254-1,"")</f>
        <v/>
      </c>
      <c r="W255" s="76" t="str">
        <f aca="false">IF(AND(ISNUMBER(U255),ISNUMBER(U254)),U255/U254-1,"")</f>
        <v/>
      </c>
      <c r="X255" s="75" t="str">
        <f aca="false">IF(AND(ISNUMBER(V255),ISNUMBER(W255)),1,"")</f>
        <v/>
      </c>
      <c r="Y255" s="76" t="str">
        <f aca="false">IF(X255=1,V255,"")</f>
        <v/>
      </c>
      <c r="Z255" s="76" t="str">
        <f aca="false">IF(X255=1,W255,"")</f>
        <v/>
      </c>
      <c r="AA255" s="76" t="e">
        <f aca="false">IF(X255=1,V255,NA())</f>
        <v>#N/A</v>
      </c>
      <c r="AB255" s="76" t="e">
        <f aca="false">IF(X255=1,W255,NA())</f>
        <v>#N/A</v>
      </c>
      <c r="AD255" s="73" t="str">
        <f aca="false">IF(ISNUMBER(AE255),IF(ISNUMBER('Base de Datos'!A251),IF('Base de Datos'!A251&gt;20000,DATE(YEAR('Base de Datos'!A251),DAY('Base de Datos'!A251),MONTH('Base de Datos'!A251)),""),IF(TRIM('Base de Datos'!A251)="","",IFERROR(DATE(VALUE(RIGHT(TRIM('Base de Datos'!A251),4)),VALUE(LEFT(TRIM('Base de Datos'!A251),2)),VALUE(MID(TRIM('Base de Datos'!A251),4,2))),""))),"")</f>
        <v/>
      </c>
      <c r="AE255" s="74" t="str">
        <f aca="false">IF(ISNUMBER('Base de Datos'!B251),'Base de Datos'!B251,IF(TRIM('Base de Datos'!B251)="","",IFERROR(IF(IFERROR(FIND("@",SUBSTITUTE(TRIM('Base de Datos'!B251),",","@",LEN(TRIM('Base de Datos'!B251))-LEN(SUBSTITUTE(TRIM('Base de Datos'!B251),",","")))),0)&gt;IFERROR(FIND("@",SUBSTITUTE(TRIM('Base de Datos'!B251),".","@",LEN(TRIM('Base de Datos'!B251))-LEN(SUBSTITUTE(TRIM('Base de Datos'!B251),".","")))),0),_xlfn.NUMBERVALUE(SUBSTITUTE(SUBSTITUTE(TRIM('Base de Datos'!B251),".",""),",","."),".",","),_xlfn.NUMBERVALUE(SUBSTITUTE(TRIM('Base de Datos'!B251),",",""),".",",")),"")))</f>
        <v/>
      </c>
      <c r="AF255" s="73" t="str">
        <f aca="false">IF(ISNUMBER(AG255),IF(ISNUMBER('Base de Datos'!I251),IF('Base de Datos'!I251&gt;20000,INT('Base de Datos'!I251),""),IF(TRIM('Base de Datos'!I251)="","",IFERROR(DATE(VALUE(RIGHT(TRIM('Base de Datos'!I251),4)),VALUE(MID(TRIM('Base de Datos'!I251),4,2)),VALUE(LEFT(TRIM('Base de Datos'!I251),2))),IFERROR(DATEVALUE(TRIM('Base de Datos'!I251)),"")))),"")</f>
        <v/>
      </c>
      <c r="AG255" s="74" t="str">
        <f aca="false">IF(ISNUMBER('Base de Datos'!J251),'Base de Datos'!J251,IF(TRIM('Base de Datos'!J251)="","",IFERROR(IF(IFERROR(FIND("@",SUBSTITUTE(TRIM('Base de Datos'!J251),",","@",LEN(TRIM('Base de Datos'!J251))-LEN(SUBSTITUTE(TRIM('Base de Datos'!J251),",","")))),0)&gt;IFERROR(FIND("@",SUBSTITUTE(TRIM('Base de Datos'!J251),".","@",LEN(TRIM('Base de Datos'!J251))-LEN(SUBSTITUTE(TRIM('Base de Datos'!J251),".","")))),0),_xlfn.NUMBERVALUE(SUBSTITUTE(SUBSTITUTE(TRIM('Base de Datos'!J251),".",""),",","."),".",","),_xlfn.NUMBERVALUE(SUBSTITUTE(TRIM('Base de Datos'!J251),",",""),".",",")),"")))</f>
        <v/>
      </c>
      <c r="AH255" s="73" t="n">
        <f aca="false">IF(ISNUMBER(AI255),IF(ISNUMBER('Base de Datos'!Q251),IF('Base de Datos'!Q251&gt;20000,DATE(YEAR('Base de Datos'!Q251),DAY('Base de Datos'!Q251),MONTH('Base de Datos'!Q251)),""),IF(TRIM('Base de Datos'!Q251)="","",IFERROR(DATE(VALUE(RIGHT(TRIM('Base de Datos'!Q251),4)),VALUE(LEFT(TRIM('Base de Datos'!Q251),2)),VALUE(MID(TRIM('Base de Datos'!Q251),4,2))),""))),"")</f>
        <v>46208</v>
      </c>
      <c r="AI255" s="74" t="n">
        <f aca="false">IF(ISNUMBER('Base de Datos'!R251),'Base de Datos'!R251,IF(TRIM('Base de Datos'!R251)="","",IFERROR(IF(IFERROR(FIND("@",SUBSTITUTE(TRIM('Base de Datos'!R251),",","@",LEN(TRIM('Base de Datos'!R251))-LEN(SUBSTITUTE(TRIM('Base de Datos'!R251),",","")))),0)&gt;IFERROR(FIND("@",SUBSTITUTE(TRIM('Base de Datos'!R251),".","@",LEN(TRIM('Base de Datos'!R251))-LEN(SUBSTITUTE(TRIM('Base de Datos'!R251),".","")))),0),_xlfn.NUMBERVALUE(SUBSTITUTE(SUBSTITUTE(TRIM('Base de Datos'!R251),".",""),",","."),".",","),_xlfn.NUMBERVALUE(SUBSTITUTE(TRIM('Base de Datos'!R251),",",""),".",",")),"")))</f>
        <v>30.6</v>
      </c>
      <c r="AJ255" s="73" t="n">
        <f aca="false">IF(ISNUMBER(AK255),IF(ISNUMBER('Base de Datos'!Y251),IF('Base de Datos'!Y251&gt;20000,INT('Base de Datos'!Y251),""),IF(TRIM('Base de Datos'!Y251)="","",IFERROR(DATE(VALUE(RIGHT(TRIM('Base de Datos'!Y251),4)),VALUE(MID(TRIM('Base de Datos'!Y251),4,2)),VALUE(LEFT(TRIM('Base de Datos'!Y251),2))),IFERROR(DATEVALUE(TRIM('Base de Datos'!Y251)),"")))),"")</f>
        <v>46201</v>
      </c>
      <c r="AK255" s="74" t="n">
        <f aca="false">IF(ISNUMBER('Base de Datos'!Z251),'Base de Datos'!Z251,IF(TRIM('Base de Datos'!Z251)="","",IFERROR(IF(IFERROR(FIND("@",SUBSTITUTE(TRIM('Base de Datos'!Z251),",","@",LEN(TRIM('Base de Datos'!Z251))-LEN(SUBSTITUTE(TRIM('Base de Datos'!Z251),",","")))),0)&gt;IFERROR(FIND("@",SUBSTITUTE(TRIM('Base de Datos'!Z251),".","@",LEN(TRIM('Base de Datos'!Z251))-LEN(SUBSTITUTE(TRIM('Base de Datos'!Z251),".","")))),0),_xlfn.NUMBERVALUE(SUBSTITUTE(SUBSTITUTE(TRIM('Base de Datos'!Z251),".",""),",","."),".",","),_xlfn.NUMBERVALUE(SUBSTITUTE(TRIM('Base de Datos'!Z251),",",""),".",",")),"")))</f>
        <v>67060.49</v>
      </c>
    </row>
    <row r="256" customFormat="false" ht="13.5" hidden="false" customHeight="false" outlineLevel="0" collapsed="false">
      <c r="A256" s="75" t="n">
        <f aca="false">ROWS(A$13:A256)</f>
        <v>244</v>
      </c>
      <c r="B256" s="73" t="n">
        <f aca="false">IF(B255="","",IFERROR(SMALL($AH$10:$AH$409,COUNTIF($AH$10:$AH$409,"&lt;="&amp;B255)+1),""))</f>
        <v>46187</v>
      </c>
      <c r="C256" s="74" t="n">
        <f aca="false">IF(B256="","",INDEX($AI$10:$AI$409,MATCH(B256,$AH$10:$AH$409,0)))</f>
        <v>31.25</v>
      </c>
      <c r="D256" s="74" t="n">
        <f aca="false">IF(B256="","",IFERROR(INDEX($AK$10:$AK$409,MATCH(B256,$AJ$10:$AJ$409,0)),""))</f>
        <v>67705.37</v>
      </c>
      <c r="E256" s="76" t="n">
        <f aca="false">IF(AND(ISNUMBER(C256),ISNUMBER(C255)),C256/C255-1,"")</f>
        <v>0.00353243416827231</v>
      </c>
      <c r="F256" s="76" t="n">
        <f aca="false">IF(AND(ISNUMBER(D256),ISNUMBER(D255)),D256/D255-1,"")</f>
        <v>-0.00366686263097915</v>
      </c>
      <c r="G256" s="75" t="n">
        <f aca="false">IF(AND(ISNUMBER(E256),ISNUMBER(F256)),1,"")</f>
        <v>1</v>
      </c>
      <c r="H256" s="75" t="n">
        <f aca="false">IF(G256=1,COUNT(G256:G$412),"")</f>
        <v>16</v>
      </c>
      <c r="I256" s="75" t="n">
        <f aca="false">IF(G256=1,IF(H256&lt;='Beta Regresión'!$B$5,1,""),"")</f>
        <v>1</v>
      </c>
      <c r="J256" s="76" t="n">
        <f aca="false">IF(I256=1,E256,"")</f>
        <v>0.00353243416827231</v>
      </c>
      <c r="K256" s="76" t="n">
        <f aca="false">IF(I256=1,F256,"")</f>
        <v>-0.00366686263097915</v>
      </c>
      <c r="L256" s="75" t="n">
        <f aca="false">IF(I256=1,COUNT(I$13:I256),"")</f>
        <v>243</v>
      </c>
      <c r="M256" s="76" t="n">
        <f aca="false">IFERROR(INDEX($J$13:$J$412,MATCH(A256,$L$13:$L$412,0)),"")</f>
        <v>-0.04288</v>
      </c>
      <c r="N256" s="76" t="n">
        <f aca="false">IFERROR(INDEX($K$13:$K$412,MATCH(A256,$L$13:$L$412,0)),"")</f>
        <v>-0.00952479840225362</v>
      </c>
      <c r="O256" s="76" t="n">
        <f aca="false">IF(I256=1,E256,NA())</f>
        <v>0.00353243416827231</v>
      </c>
      <c r="P256" s="76" t="n">
        <f aca="false">IF(I256=1,F256,NA())</f>
        <v>-0.00366686263097915</v>
      </c>
      <c r="R256" s="75" t="n">
        <f aca="false">ROWS(R$13:R256)</f>
        <v>244</v>
      </c>
      <c r="S256" s="73" t="str">
        <f aca="false">IF(S255="","",IFERROR(SMALL($AD$10:$AD$509,COUNTIF($AD$10:$AD$509,"&lt;="&amp;S255)+1),""))</f>
        <v/>
      </c>
      <c r="T256" s="74" t="str">
        <f aca="false">IF(S256="","",INDEX($AE$10:$AE$509,MATCH(S256,$AD$10:$AD$509,0)))</f>
        <v/>
      </c>
      <c r="U256" s="74" t="str">
        <f aca="false">IF(S256="","",IFERROR(INDEX($AG$10:$AG$509,MATCH(S256,$AF$10:$AF$509,0)),""))</f>
        <v/>
      </c>
      <c r="V256" s="76" t="str">
        <f aca="false">IF(AND(ISNUMBER(T256),ISNUMBER(T255)),T256/T255-1,"")</f>
        <v/>
      </c>
      <c r="W256" s="76" t="str">
        <f aca="false">IF(AND(ISNUMBER(U256),ISNUMBER(U255)),U256/U255-1,"")</f>
        <v/>
      </c>
      <c r="X256" s="75" t="str">
        <f aca="false">IF(AND(ISNUMBER(V256),ISNUMBER(W256)),1,"")</f>
        <v/>
      </c>
      <c r="Y256" s="76" t="str">
        <f aca="false">IF(X256=1,V256,"")</f>
        <v/>
      </c>
      <c r="Z256" s="76" t="str">
        <f aca="false">IF(X256=1,W256,"")</f>
        <v/>
      </c>
      <c r="AA256" s="76" t="e">
        <f aca="false">IF(X256=1,V256,NA())</f>
        <v>#N/A</v>
      </c>
      <c r="AB256" s="76" t="e">
        <f aca="false">IF(X256=1,W256,NA())</f>
        <v>#N/A</v>
      </c>
      <c r="AD256" s="73" t="str">
        <f aca="false">IF(ISNUMBER(AE256),IF(ISNUMBER('Base de Datos'!A252),IF('Base de Datos'!A252&gt;20000,DATE(YEAR('Base de Datos'!A252),DAY('Base de Datos'!A252),MONTH('Base de Datos'!A252)),""),IF(TRIM('Base de Datos'!A252)="","",IFERROR(DATE(VALUE(RIGHT(TRIM('Base de Datos'!A252),4)),VALUE(LEFT(TRIM('Base de Datos'!A252),2)),VALUE(MID(TRIM('Base de Datos'!A252),4,2))),""))),"")</f>
        <v/>
      </c>
      <c r="AE256" s="74" t="str">
        <f aca="false">IF(ISNUMBER('Base de Datos'!B252),'Base de Datos'!B252,IF(TRIM('Base de Datos'!B252)="","",IFERROR(IF(IFERROR(FIND("@",SUBSTITUTE(TRIM('Base de Datos'!B252),",","@",LEN(TRIM('Base de Datos'!B252))-LEN(SUBSTITUTE(TRIM('Base de Datos'!B252),",","")))),0)&gt;IFERROR(FIND("@",SUBSTITUTE(TRIM('Base de Datos'!B252),".","@",LEN(TRIM('Base de Datos'!B252))-LEN(SUBSTITUTE(TRIM('Base de Datos'!B252),".","")))),0),_xlfn.NUMBERVALUE(SUBSTITUTE(SUBSTITUTE(TRIM('Base de Datos'!B252),".",""),",","."),".",","),_xlfn.NUMBERVALUE(SUBSTITUTE(TRIM('Base de Datos'!B252),",",""),".",",")),"")))</f>
        <v/>
      </c>
      <c r="AF256" s="73" t="str">
        <f aca="false">IF(ISNUMBER(AG256),IF(ISNUMBER('Base de Datos'!I252),IF('Base de Datos'!I252&gt;20000,INT('Base de Datos'!I252),""),IF(TRIM('Base de Datos'!I252)="","",IFERROR(DATE(VALUE(RIGHT(TRIM('Base de Datos'!I252),4)),VALUE(MID(TRIM('Base de Datos'!I252),4,2)),VALUE(LEFT(TRIM('Base de Datos'!I252),2))),IFERROR(DATEVALUE(TRIM('Base de Datos'!I252)),"")))),"")</f>
        <v/>
      </c>
      <c r="AG256" s="74" t="str">
        <f aca="false">IF(ISNUMBER('Base de Datos'!J252),'Base de Datos'!J252,IF(TRIM('Base de Datos'!J252)="","",IFERROR(IF(IFERROR(FIND("@",SUBSTITUTE(TRIM('Base de Datos'!J252),",","@",LEN(TRIM('Base de Datos'!J252))-LEN(SUBSTITUTE(TRIM('Base de Datos'!J252),",","")))),0)&gt;IFERROR(FIND("@",SUBSTITUTE(TRIM('Base de Datos'!J252),".","@",LEN(TRIM('Base de Datos'!J252))-LEN(SUBSTITUTE(TRIM('Base de Datos'!J252),".","")))),0),_xlfn.NUMBERVALUE(SUBSTITUTE(SUBSTITUTE(TRIM('Base de Datos'!J252),".",""),",","."),".",","),_xlfn.NUMBERVALUE(SUBSTITUTE(TRIM('Base de Datos'!J252),",",""),".",",")),"")))</f>
        <v/>
      </c>
      <c r="AH256" s="73" t="n">
        <f aca="false">IF(ISNUMBER(AI256),IF(ISNUMBER('Base de Datos'!Q252),IF('Base de Datos'!Q252&gt;20000,DATE(YEAR('Base de Datos'!Q252),DAY('Base de Datos'!Q252),MONTH('Base de Datos'!Q252)),""),IF(TRIM('Base de Datos'!Q252)="","",IFERROR(DATE(VALUE(RIGHT(TRIM('Base de Datos'!Q252),4)),VALUE(LEFT(TRIM('Base de Datos'!Q252),2)),VALUE(MID(TRIM('Base de Datos'!Q252),4,2))),""))),"")</f>
        <v>46215</v>
      </c>
      <c r="AI256" s="74" t="n">
        <f aca="false">IF(ISNUMBER('Base de Datos'!R252),'Base de Datos'!R252,IF(TRIM('Base de Datos'!R252)="","",IFERROR(IF(IFERROR(FIND("@",SUBSTITUTE(TRIM('Base de Datos'!R252),",","@",LEN(TRIM('Base de Datos'!R252))-LEN(SUBSTITUTE(TRIM('Base de Datos'!R252),",","")))),0)&gt;IFERROR(FIND("@",SUBSTITUTE(TRIM('Base de Datos'!R252),".","@",LEN(TRIM('Base de Datos'!R252))-LEN(SUBSTITUTE(TRIM('Base de Datos'!R252),".","")))),0),_xlfn.NUMBERVALUE(SUBSTITUTE(SUBSTITUTE(TRIM('Base de Datos'!R252),".",""),",","."),".",","),_xlfn.NUMBERVALUE(SUBSTITUTE(TRIM('Base de Datos'!R252),",",""),".",",")),"")))</f>
        <v>30.27</v>
      </c>
      <c r="AJ256" s="73" t="n">
        <f aca="false">IF(ISNUMBER(AK256),IF(ISNUMBER('Base de Datos'!Y252),IF('Base de Datos'!Y252&gt;20000,INT('Base de Datos'!Y252),""),IF(TRIM('Base de Datos'!Y252)="","",IFERROR(DATE(VALUE(RIGHT(TRIM('Base de Datos'!Y252),4)),VALUE(MID(TRIM('Base de Datos'!Y252),4,2)),VALUE(LEFT(TRIM('Base de Datos'!Y252),2))),IFERROR(DATEVALUE(TRIM('Base de Datos'!Y252)),"")))),"")</f>
        <v>46208</v>
      </c>
      <c r="AK256" s="74" t="n">
        <f aca="false">IF(ISNUMBER('Base de Datos'!Z252),'Base de Datos'!Z252,IF(TRIM('Base de Datos'!Z252)="","",IFERROR(IF(IFERROR(FIND("@",SUBSTITUTE(TRIM('Base de Datos'!Z252),",","@",LEN(TRIM('Base de Datos'!Z252))-LEN(SUBSTITUTE(TRIM('Base de Datos'!Z252),",","")))),0)&gt;IFERROR(FIND("@",SUBSTITUTE(TRIM('Base de Datos'!Z252),".","@",LEN(TRIM('Base de Datos'!Z252))-LEN(SUBSTITUTE(TRIM('Base de Datos'!Z252),".","")))),0),_xlfn.NUMBERVALUE(SUBSTITUTE(SUBSTITUTE(TRIM('Base de Datos'!Z252),".",""),",","."),".",","),_xlfn.NUMBERVALUE(SUBSTITUTE(TRIM('Base de Datos'!Z252),",",""),".",",")),"")))</f>
        <v>66496.1</v>
      </c>
    </row>
    <row r="257" customFormat="false" ht="13.5" hidden="false" customHeight="false" outlineLevel="0" collapsed="false">
      <c r="A257" s="75" t="n">
        <f aca="false">ROWS(A$13:A257)</f>
        <v>245</v>
      </c>
      <c r="B257" s="73" t="n">
        <f aca="false">IF(B256="","",IFERROR(SMALL($AH$10:$AH$409,COUNTIF($AH$10:$AH$409,"&lt;="&amp;B256)+1),""))</f>
        <v>46201</v>
      </c>
      <c r="C257" s="74" t="n">
        <f aca="false">IF(B257="","",INDEX($AI$10:$AI$409,MATCH(B257,$AH$10:$AH$409,0)))</f>
        <v>29.91</v>
      </c>
      <c r="D257" s="74" t="n">
        <f aca="false">IF(B257="","",IFERROR(INDEX($AK$10:$AK$409,MATCH(B257,$AJ$10:$AJ$409,0)),""))</f>
        <v>67060.49</v>
      </c>
      <c r="E257" s="76" t="n">
        <f aca="false">IF(AND(ISNUMBER(C257),ISNUMBER(C256)),C257/C256-1,"")</f>
        <v>-0.04288</v>
      </c>
      <c r="F257" s="76" t="n">
        <f aca="false">IF(AND(ISNUMBER(D257),ISNUMBER(D256)),D257/D256-1,"")</f>
        <v>-0.00952479840225362</v>
      </c>
      <c r="G257" s="75" t="n">
        <f aca="false">IF(AND(ISNUMBER(E257),ISNUMBER(F257)),1,"")</f>
        <v>1</v>
      </c>
      <c r="H257" s="75" t="n">
        <f aca="false">IF(G257=1,COUNT(G257:G$412),"")</f>
        <v>15</v>
      </c>
      <c r="I257" s="75" t="n">
        <f aca="false">IF(G257=1,IF(H257&lt;='Beta Regresión'!$B$5,1,""),"")</f>
        <v>1</v>
      </c>
      <c r="J257" s="76" t="n">
        <f aca="false">IF(I257=1,E257,"")</f>
        <v>-0.04288</v>
      </c>
      <c r="K257" s="76" t="n">
        <f aca="false">IF(I257=1,F257,"")</f>
        <v>-0.00952479840225362</v>
      </c>
      <c r="L257" s="75" t="n">
        <f aca="false">IF(I257=1,COUNT(I$13:I257),"")</f>
        <v>244</v>
      </c>
      <c r="M257" s="76" t="n">
        <f aca="false">IFERROR(INDEX($J$13:$J$412,MATCH(A257,$L$13:$L$412,0)),"")</f>
        <v>0.0230692076228687</v>
      </c>
      <c r="N257" s="76" t="n">
        <f aca="false">IFERROR(INDEX($K$13:$K$412,MATCH(A257,$L$13:$L$412,0)),"")</f>
        <v>-0.00841613295697663</v>
      </c>
      <c r="O257" s="76" t="n">
        <f aca="false">IF(I257=1,E257,NA())</f>
        <v>-0.04288</v>
      </c>
      <c r="P257" s="76" t="n">
        <f aca="false">IF(I257=1,F257,NA())</f>
        <v>-0.00952479840225362</v>
      </c>
      <c r="R257" s="75" t="n">
        <f aca="false">ROWS(R$13:R257)</f>
        <v>245</v>
      </c>
      <c r="S257" s="73" t="str">
        <f aca="false">IF(S256="","",IFERROR(SMALL($AD$10:$AD$509,COUNTIF($AD$10:$AD$509,"&lt;="&amp;S256)+1),""))</f>
        <v/>
      </c>
      <c r="T257" s="74" t="str">
        <f aca="false">IF(S257="","",INDEX($AE$10:$AE$509,MATCH(S257,$AD$10:$AD$509,0)))</f>
        <v/>
      </c>
      <c r="U257" s="74" t="str">
        <f aca="false">IF(S257="","",IFERROR(INDEX($AG$10:$AG$509,MATCH(S257,$AF$10:$AF$509,0)),""))</f>
        <v/>
      </c>
      <c r="V257" s="76" t="str">
        <f aca="false">IF(AND(ISNUMBER(T257),ISNUMBER(T256)),T257/T256-1,"")</f>
        <v/>
      </c>
      <c r="W257" s="76" t="str">
        <f aca="false">IF(AND(ISNUMBER(U257),ISNUMBER(U256)),U257/U256-1,"")</f>
        <v/>
      </c>
      <c r="X257" s="75" t="str">
        <f aca="false">IF(AND(ISNUMBER(V257),ISNUMBER(W257)),1,"")</f>
        <v/>
      </c>
      <c r="Y257" s="76" t="str">
        <f aca="false">IF(X257=1,V257,"")</f>
        <v/>
      </c>
      <c r="Z257" s="76" t="str">
        <f aca="false">IF(X257=1,W257,"")</f>
        <v/>
      </c>
      <c r="AA257" s="76" t="e">
        <f aca="false">IF(X257=1,V257,NA())</f>
        <v>#N/A</v>
      </c>
      <c r="AB257" s="76" t="e">
        <f aca="false">IF(X257=1,W257,NA())</f>
        <v>#N/A</v>
      </c>
      <c r="AD257" s="73" t="str">
        <f aca="false">IF(ISNUMBER(AE257),IF(ISNUMBER('Base de Datos'!A253),IF('Base de Datos'!A253&gt;20000,DATE(YEAR('Base de Datos'!A253),DAY('Base de Datos'!A253),MONTH('Base de Datos'!A253)),""),IF(TRIM('Base de Datos'!A253)="","",IFERROR(DATE(VALUE(RIGHT(TRIM('Base de Datos'!A253),4)),VALUE(LEFT(TRIM('Base de Datos'!A253),2)),VALUE(MID(TRIM('Base de Datos'!A253),4,2))),""))),"")</f>
        <v/>
      </c>
      <c r="AE257" s="74" t="str">
        <f aca="false">IF(ISNUMBER('Base de Datos'!B253),'Base de Datos'!B253,IF(TRIM('Base de Datos'!B253)="","",IFERROR(IF(IFERROR(FIND("@",SUBSTITUTE(TRIM('Base de Datos'!B253),",","@",LEN(TRIM('Base de Datos'!B253))-LEN(SUBSTITUTE(TRIM('Base de Datos'!B253),",","")))),0)&gt;IFERROR(FIND("@",SUBSTITUTE(TRIM('Base de Datos'!B253),".","@",LEN(TRIM('Base de Datos'!B253))-LEN(SUBSTITUTE(TRIM('Base de Datos'!B253),".","")))),0),_xlfn.NUMBERVALUE(SUBSTITUTE(SUBSTITUTE(TRIM('Base de Datos'!B253),".",""),",","."),".",","),_xlfn.NUMBERVALUE(SUBSTITUTE(TRIM('Base de Datos'!B253),",",""),".",",")),"")))</f>
        <v/>
      </c>
      <c r="AF257" s="73" t="str">
        <f aca="false">IF(ISNUMBER(AG257),IF(ISNUMBER('Base de Datos'!I253),IF('Base de Datos'!I253&gt;20000,INT('Base de Datos'!I253),""),IF(TRIM('Base de Datos'!I253)="","",IFERROR(DATE(VALUE(RIGHT(TRIM('Base de Datos'!I253),4)),VALUE(MID(TRIM('Base de Datos'!I253),4,2)),VALUE(LEFT(TRIM('Base de Datos'!I253),2))),IFERROR(DATEVALUE(TRIM('Base de Datos'!I253)),"")))),"")</f>
        <v/>
      </c>
      <c r="AG257" s="74" t="str">
        <f aca="false">IF(ISNUMBER('Base de Datos'!J253),'Base de Datos'!J253,IF(TRIM('Base de Datos'!J253)="","",IFERROR(IF(IFERROR(FIND("@",SUBSTITUTE(TRIM('Base de Datos'!J253),",","@",LEN(TRIM('Base de Datos'!J253))-LEN(SUBSTITUTE(TRIM('Base de Datos'!J253),",","")))),0)&gt;IFERROR(FIND("@",SUBSTITUTE(TRIM('Base de Datos'!J253),".","@",LEN(TRIM('Base de Datos'!J253))-LEN(SUBSTITUTE(TRIM('Base de Datos'!J253),".","")))),0),_xlfn.NUMBERVALUE(SUBSTITUTE(SUBSTITUTE(TRIM('Base de Datos'!J253),".",""),",","."),".",","),_xlfn.NUMBERVALUE(SUBSTITUTE(TRIM('Base de Datos'!J253),",",""),".",",")),"")))</f>
        <v/>
      </c>
      <c r="AH257" s="73" t="n">
        <f aca="false">IF(ISNUMBER(AI257),IF(ISNUMBER('Base de Datos'!Q253),IF('Base de Datos'!Q253&gt;20000,DATE(YEAR('Base de Datos'!Q253),DAY('Base de Datos'!Q253),MONTH('Base de Datos'!Q253)),""),IF(TRIM('Base de Datos'!Q253)="","",IFERROR(DATE(VALUE(RIGHT(TRIM('Base de Datos'!Q253),4)),VALUE(LEFT(TRIM('Base de Datos'!Q253),2)),VALUE(MID(TRIM('Base de Datos'!Q253),4,2))),""))),"")</f>
        <v>46222</v>
      </c>
      <c r="AI257" s="74" t="n">
        <f aca="false">IF(ISNUMBER('Base de Datos'!R253),'Base de Datos'!R253,IF(TRIM('Base de Datos'!R253)="","",IFERROR(IF(IFERROR(FIND("@",SUBSTITUTE(TRIM('Base de Datos'!R253),",","@",LEN(TRIM('Base de Datos'!R253))-LEN(SUBSTITUTE(TRIM('Base de Datos'!R253),",","")))),0)&gt;IFERROR(FIND("@",SUBSTITUTE(TRIM('Base de Datos'!R253),".","@",LEN(TRIM('Base de Datos'!R253))-LEN(SUBSTITUTE(TRIM('Base de Datos'!R253),".","")))),0),_xlfn.NUMBERVALUE(SUBSTITUTE(SUBSTITUTE(TRIM('Base de Datos'!R253),".",""),",","."),".",","),_xlfn.NUMBERVALUE(SUBSTITUTE(TRIM('Base de Datos'!R253),",",""),".",",")),"")))</f>
        <v>29.41</v>
      </c>
      <c r="AJ257" s="73" t="n">
        <f aca="false">IF(ISNUMBER(AK257),IF(ISNUMBER('Base de Datos'!Y253),IF('Base de Datos'!Y253&gt;20000,INT('Base de Datos'!Y253),""),IF(TRIM('Base de Datos'!Y253)="","",IFERROR(DATE(VALUE(RIGHT(TRIM('Base de Datos'!Y253),4)),VALUE(MID(TRIM('Base de Datos'!Y253),4,2)),VALUE(LEFT(TRIM('Base de Datos'!Y253),2))),IFERROR(DATEVALUE(TRIM('Base de Datos'!Y253)),"")))),"")</f>
        <v>46215</v>
      </c>
      <c r="AK257" s="74" t="n">
        <f aca="false">IF(ISNUMBER('Base de Datos'!Z253),'Base de Datos'!Z253,IF(TRIM('Base de Datos'!Z253)="","",IFERROR(IF(IFERROR(FIND("@",SUBSTITUTE(TRIM('Base de Datos'!Z253),",","@",LEN(TRIM('Base de Datos'!Z253))-LEN(SUBSTITUTE(TRIM('Base de Datos'!Z253),",","")))),0)&gt;IFERROR(FIND("@",SUBSTITUTE(TRIM('Base de Datos'!Z253),".","@",LEN(TRIM('Base de Datos'!Z253))-LEN(SUBSTITUTE(TRIM('Base de Datos'!Z253),".","")))),0),_xlfn.NUMBERVALUE(SUBSTITUTE(SUBSTITUTE(TRIM('Base de Datos'!Z253),".",""),",","."),".",","),_xlfn.NUMBERVALUE(SUBSTITUTE(TRIM('Base de Datos'!Z253),",",""),".",",")),"")))</f>
        <v>66634.23</v>
      </c>
    </row>
    <row r="258" customFormat="false" ht="13.5" hidden="false" customHeight="false" outlineLevel="0" collapsed="false">
      <c r="A258" s="75" t="n">
        <f aca="false">ROWS(A$13:A258)</f>
        <v>246</v>
      </c>
      <c r="B258" s="73" t="n">
        <f aca="false">IF(B257="","",IFERROR(SMALL($AH$10:$AH$409,COUNTIF($AH$10:$AH$409,"&lt;="&amp;B257)+1),""))</f>
        <v>46208</v>
      </c>
      <c r="C258" s="74" t="n">
        <f aca="false">IF(B258="","",INDEX($AI$10:$AI$409,MATCH(B258,$AH$10:$AH$409,0)))</f>
        <v>30.6</v>
      </c>
      <c r="D258" s="74" t="n">
        <f aca="false">IF(B258="","",IFERROR(INDEX($AK$10:$AK$409,MATCH(B258,$AJ$10:$AJ$409,0)),""))</f>
        <v>66496.1</v>
      </c>
      <c r="E258" s="76" t="n">
        <f aca="false">IF(AND(ISNUMBER(C258),ISNUMBER(C257)),C258/C257-1,"")</f>
        <v>0.0230692076228687</v>
      </c>
      <c r="F258" s="76" t="n">
        <f aca="false">IF(AND(ISNUMBER(D258),ISNUMBER(D257)),D258/D257-1,"")</f>
        <v>-0.00841613295697663</v>
      </c>
      <c r="G258" s="75" t="n">
        <f aca="false">IF(AND(ISNUMBER(E258),ISNUMBER(F258)),1,"")</f>
        <v>1</v>
      </c>
      <c r="H258" s="75" t="n">
        <f aca="false">IF(G258=1,COUNT(G258:G$412),"")</f>
        <v>14</v>
      </c>
      <c r="I258" s="75" t="n">
        <f aca="false">IF(G258=1,IF(H258&lt;='Beta Regresión'!$B$5,1,""),"")</f>
        <v>1</v>
      </c>
      <c r="J258" s="76" t="n">
        <f aca="false">IF(I258=1,E258,"")</f>
        <v>0.0230692076228687</v>
      </c>
      <c r="K258" s="76" t="n">
        <f aca="false">IF(I258=1,F258,"")</f>
        <v>-0.00841613295697663</v>
      </c>
      <c r="L258" s="75" t="n">
        <f aca="false">IF(I258=1,COUNT(I$13:I258),"")</f>
        <v>245</v>
      </c>
      <c r="M258" s="76" t="n">
        <f aca="false">IFERROR(INDEX($J$13:$J$412,MATCH(A258,$L$13:$L$412,0)),"")</f>
        <v>-0.0107843137254903</v>
      </c>
      <c r="N258" s="76" t="n">
        <f aca="false">IFERROR(INDEX($K$13:$K$412,MATCH(A258,$L$13:$L$412,0)),"")</f>
        <v>0.00207726468168801</v>
      </c>
      <c r="O258" s="76" t="n">
        <f aca="false">IF(I258=1,E258,NA())</f>
        <v>0.0230692076228687</v>
      </c>
      <c r="P258" s="76" t="n">
        <f aca="false">IF(I258=1,F258,NA())</f>
        <v>-0.00841613295697663</v>
      </c>
      <c r="R258" s="75" t="n">
        <f aca="false">ROWS(R$13:R258)</f>
        <v>246</v>
      </c>
      <c r="S258" s="73" t="str">
        <f aca="false">IF(S257="","",IFERROR(SMALL($AD$10:$AD$509,COUNTIF($AD$10:$AD$509,"&lt;="&amp;S257)+1),""))</f>
        <v/>
      </c>
      <c r="T258" s="74" t="str">
        <f aca="false">IF(S258="","",INDEX($AE$10:$AE$509,MATCH(S258,$AD$10:$AD$509,0)))</f>
        <v/>
      </c>
      <c r="U258" s="74" t="str">
        <f aca="false">IF(S258="","",IFERROR(INDEX($AG$10:$AG$509,MATCH(S258,$AF$10:$AF$509,0)),""))</f>
        <v/>
      </c>
      <c r="V258" s="76" t="str">
        <f aca="false">IF(AND(ISNUMBER(T258),ISNUMBER(T257)),T258/T257-1,"")</f>
        <v/>
      </c>
      <c r="W258" s="76" t="str">
        <f aca="false">IF(AND(ISNUMBER(U258),ISNUMBER(U257)),U258/U257-1,"")</f>
        <v/>
      </c>
      <c r="X258" s="75" t="str">
        <f aca="false">IF(AND(ISNUMBER(V258),ISNUMBER(W258)),1,"")</f>
        <v/>
      </c>
      <c r="Y258" s="76" t="str">
        <f aca="false">IF(X258=1,V258,"")</f>
        <v/>
      </c>
      <c r="Z258" s="76" t="str">
        <f aca="false">IF(X258=1,W258,"")</f>
        <v/>
      </c>
      <c r="AA258" s="76" t="e">
        <f aca="false">IF(X258=1,V258,NA())</f>
        <v>#N/A</v>
      </c>
      <c r="AB258" s="76" t="e">
        <f aca="false">IF(X258=1,W258,NA())</f>
        <v>#N/A</v>
      </c>
      <c r="AD258" s="73" t="str">
        <f aca="false">IF(ISNUMBER(AE258),IF(ISNUMBER('Base de Datos'!A254),IF('Base de Datos'!A254&gt;20000,DATE(YEAR('Base de Datos'!A254),DAY('Base de Datos'!A254),MONTH('Base de Datos'!A254)),""),IF(TRIM('Base de Datos'!A254)="","",IFERROR(DATE(VALUE(RIGHT(TRIM('Base de Datos'!A254),4)),VALUE(LEFT(TRIM('Base de Datos'!A254),2)),VALUE(MID(TRIM('Base de Datos'!A254),4,2))),""))),"")</f>
        <v/>
      </c>
      <c r="AE258" s="74" t="str">
        <f aca="false">IF(ISNUMBER('Base de Datos'!B254),'Base de Datos'!B254,IF(TRIM('Base de Datos'!B254)="","",IFERROR(IF(IFERROR(FIND("@",SUBSTITUTE(TRIM('Base de Datos'!B254),",","@",LEN(TRIM('Base de Datos'!B254))-LEN(SUBSTITUTE(TRIM('Base de Datos'!B254),",","")))),0)&gt;IFERROR(FIND("@",SUBSTITUTE(TRIM('Base de Datos'!B254),".","@",LEN(TRIM('Base de Datos'!B254))-LEN(SUBSTITUTE(TRIM('Base de Datos'!B254),".","")))),0),_xlfn.NUMBERVALUE(SUBSTITUTE(SUBSTITUTE(TRIM('Base de Datos'!B254),".",""),",","."),".",","),_xlfn.NUMBERVALUE(SUBSTITUTE(TRIM('Base de Datos'!B254),",",""),".",",")),"")))</f>
        <v/>
      </c>
      <c r="AF258" s="73" t="str">
        <f aca="false">IF(ISNUMBER(AG258),IF(ISNUMBER('Base de Datos'!I254),IF('Base de Datos'!I254&gt;20000,INT('Base de Datos'!I254),""),IF(TRIM('Base de Datos'!I254)="","",IFERROR(DATE(VALUE(RIGHT(TRIM('Base de Datos'!I254),4)),VALUE(MID(TRIM('Base de Datos'!I254),4,2)),VALUE(LEFT(TRIM('Base de Datos'!I254),2))),IFERROR(DATEVALUE(TRIM('Base de Datos'!I254)),"")))),"")</f>
        <v/>
      </c>
      <c r="AG258" s="74" t="str">
        <f aca="false">IF(ISNUMBER('Base de Datos'!J254),'Base de Datos'!J254,IF(TRIM('Base de Datos'!J254)="","",IFERROR(IF(IFERROR(FIND("@",SUBSTITUTE(TRIM('Base de Datos'!J254),",","@",LEN(TRIM('Base de Datos'!J254))-LEN(SUBSTITUTE(TRIM('Base de Datos'!J254),",","")))),0)&gt;IFERROR(FIND("@",SUBSTITUTE(TRIM('Base de Datos'!J254),".","@",LEN(TRIM('Base de Datos'!J254))-LEN(SUBSTITUTE(TRIM('Base de Datos'!J254),".","")))),0),_xlfn.NUMBERVALUE(SUBSTITUTE(SUBSTITUTE(TRIM('Base de Datos'!J254),".",""),",","."),".",","),_xlfn.NUMBERVALUE(SUBSTITUTE(TRIM('Base de Datos'!J254),",",""),".",",")),"")))</f>
        <v/>
      </c>
      <c r="AH258" s="73" t="n">
        <f aca="false">IF(ISNUMBER(AI258),IF(ISNUMBER('Base de Datos'!Q254),IF('Base de Datos'!Q254&gt;20000,DATE(YEAR('Base de Datos'!Q254),DAY('Base de Datos'!Q254),MONTH('Base de Datos'!Q254)),""),IF(TRIM('Base de Datos'!Q254)="","",IFERROR(DATE(VALUE(RIGHT(TRIM('Base de Datos'!Q254),4)),VALUE(LEFT(TRIM('Base de Datos'!Q254),2)),VALUE(MID(TRIM('Base de Datos'!Q254),4,2))),""))),"")</f>
        <v>46229</v>
      </c>
      <c r="AI258" s="74" t="n">
        <f aca="false">IF(ISNUMBER('Base de Datos'!R254),'Base de Datos'!R254,IF(TRIM('Base de Datos'!R254)="","",IFERROR(IF(IFERROR(FIND("@",SUBSTITUTE(TRIM('Base de Datos'!R254),",","@",LEN(TRIM('Base de Datos'!R254))-LEN(SUBSTITUTE(TRIM('Base de Datos'!R254),",","")))),0)&gt;IFERROR(FIND("@",SUBSTITUTE(TRIM('Base de Datos'!R254),".","@",LEN(TRIM('Base de Datos'!R254))-LEN(SUBSTITUTE(TRIM('Base de Datos'!R254),".","")))),0),_xlfn.NUMBERVALUE(SUBSTITUTE(SUBSTITUTE(TRIM('Base de Datos'!R254),".",""),",","."),".",","),_xlfn.NUMBERVALUE(SUBSTITUTE(TRIM('Base de Datos'!R254),",",""),".",",")),"")))</f>
        <v>29.59</v>
      </c>
      <c r="AJ258" s="73" t="n">
        <f aca="false">IF(ISNUMBER(AK258),IF(ISNUMBER('Base de Datos'!Y254),IF('Base de Datos'!Y254&gt;20000,INT('Base de Datos'!Y254),""),IF(TRIM('Base de Datos'!Y254)="","",IFERROR(DATE(VALUE(RIGHT(TRIM('Base de Datos'!Y254),4)),VALUE(MID(TRIM('Base de Datos'!Y254),4,2)),VALUE(LEFT(TRIM('Base de Datos'!Y254),2))),IFERROR(DATEVALUE(TRIM('Base de Datos'!Y254)),"")))),"")</f>
        <v>46222</v>
      </c>
      <c r="AK258" s="74" t="n">
        <f aca="false">IF(ISNUMBER('Base de Datos'!Z254),'Base de Datos'!Z254,IF(TRIM('Base de Datos'!Z254)="","",IFERROR(IF(IFERROR(FIND("@",SUBSTITUTE(TRIM('Base de Datos'!Z254),",","@",LEN(TRIM('Base de Datos'!Z254))-LEN(SUBSTITUTE(TRIM('Base de Datos'!Z254),",","")))),0)&gt;IFERROR(FIND("@",SUBSTITUTE(TRIM('Base de Datos'!Z254),".","@",LEN(TRIM('Base de Datos'!Z254))-LEN(SUBSTITUTE(TRIM('Base de Datos'!Z254),".","")))),0),_xlfn.NUMBERVALUE(SUBSTITUTE(SUBSTITUTE(TRIM('Base de Datos'!Z254),".",""),",","."),".",","),_xlfn.NUMBERVALUE(SUBSTITUTE(TRIM('Base de Datos'!Z254),",",""),".",",")),"")))</f>
        <v>66383.26</v>
      </c>
    </row>
    <row r="259" customFormat="false" ht="13.5" hidden="false" customHeight="false" outlineLevel="0" collapsed="false">
      <c r="A259" s="75" t="n">
        <f aca="false">ROWS(A$13:A259)</f>
        <v>247</v>
      </c>
      <c r="B259" s="73" t="n">
        <f aca="false">IF(B258="","",IFERROR(SMALL($AH$10:$AH$409,COUNTIF($AH$10:$AH$409,"&lt;="&amp;B258)+1),""))</f>
        <v>46215</v>
      </c>
      <c r="C259" s="74" t="n">
        <f aca="false">IF(B259="","",INDEX($AI$10:$AI$409,MATCH(B259,$AH$10:$AH$409,0)))</f>
        <v>30.27</v>
      </c>
      <c r="D259" s="74" t="n">
        <f aca="false">IF(B259="","",IFERROR(INDEX($AK$10:$AK$409,MATCH(B259,$AJ$10:$AJ$409,0)),""))</f>
        <v>66634.23</v>
      </c>
      <c r="E259" s="76" t="n">
        <f aca="false">IF(AND(ISNUMBER(C259),ISNUMBER(C258)),C259/C258-1,"")</f>
        <v>-0.0107843137254903</v>
      </c>
      <c r="F259" s="76" t="n">
        <f aca="false">IF(AND(ISNUMBER(D259),ISNUMBER(D258)),D259/D258-1,"")</f>
        <v>0.00207726468168801</v>
      </c>
      <c r="G259" s="75" t="n">
        <f aca="false">IF(AND(ISNUMBER(E259),ISNUMBER(F259)),1,"")</f>
        <v>1</v>
      </c>
      <c r="H259" s="75" t="n">
        <f aca="false">IF(G259=1,COUNT(G259:G$412),"")</f>
        <v>13</v>
      </c>
      <c r="I259" s="75" t="n">
        <f aca="false">IF(G259=1,IF(H259&lt;='Beta Regresión'!$B$5,1,""),"")</f>
        <v>1</v>
      </c>
      <c r="J259" s="76" t="n">
        <f aca="false">IF(I259=1,E259,"")</f>
        <v>-0.0107843137254903</v>
      </c>
      <c r="K259" s="76" t="n">
        <f aca="false">IF(I259=1,F259,"")</f>
        <v>0.00207726468168801</v>
      </c>
      <c r="L259" s="75" t="n">
        <f aca="false">IF(I259=1,COUNT(I$13:I259),"")</f>
        <v>246</v>
      </c>
      <c r="M259" s="76" t="n">
        <f aca="false">IFERROR(INDEX($J$13:$J$412,MATCH(A259,$L$13:$L$412,0)),"")</f>
        <v>-0.028410967955071</v>
      </c>
      <c r="N259" s="76" t="n">
        <f aca="false">IFERROR(INDEX($K$13:$K$412,MATCH(A259,$L$13:$L$412,0)),"")</f>
        <v>-0.00376638253342165</v>
      </c>
      <c r="O259" s="76" t="n">
        <f aca="false">IF(I259=1,E259,NA())</f>
        <v>-0.0107843137254903</v>
      </c>
      <c r="P259" s="76" t="n">
        <f aca="false">IF(I259=1,F259,NA())</f>
        <v>0.00207726468168801</v>
      </c>
      <c r="R259" s="75" t="n">
        <f aca="false">ROWS(R$13:R259)</f>
        <v>247</v>
      </c>
      <c r="S259" s="73" t="str">
        <f aca="false">IF(S258="","",IFERROR(SMALL($AD$10:$AD$509,COUNTIF($AD$10:$AD$509,"&lt;="&amp;S258)+1),""))</f>
        <v/>
      </c>
      <c r="T259" s="74" t="str">
        <f aca="false">IF(S259="","",INDEX($AE$10:$AE$509,MATCH(S259,$AD$10:$AD$509,0)))</f>
        <v/>
      </c>
      <c r="U259" s="74" t="str">
        <f aca="false">IF(S259="","",IFERROR(INDEX($AG$10:$AG$509,MATCH(S259,$AF$10:$AF$509,0)),""))</f>
        <v/>
      </c>
      <c r="V259" s="76" t="str">
        <f aca="false">IF(AND(ISNUMBER(T259),ISNUMBER(T258)),T259/T258-1,"")</f>
        <v/>
      </c>
      <c r="W259" s="76" t="str">
        <f aca="false">IF(AND(ISNUMBER(U259),ISNUMBER(U258)),U259/U258-1,"")</f>
        <v/>
      </c>
      <c r="X259" s="75" t="str">
        <f aca="false">IF(AND(ISNUMBER(V259),ISNUMBER(W259)),1,"")</f>
        <v/>
      </c>
      <c r="Y259" s="76" t="str">
        <f aca="false">IF(X259=1,V259,"")</f>
        <v/>
      </c>
      <c r="Z259" s="76" t="str">
        <f aca="false">IF(X259=1,W259,"")</f>
        <v/>
      </c>
      <c r="AA259" s="76" t="e">
        <f aca="false">IF(X259=1,V259,NA())</f>
        <v>#N/A</v>
      </c>
      <c r="AB259" s="76" t="e">
        <f aca="false">IF(X259=1,W259,NA())</f>
        <v>#N/A</v>
      </c>
      <c r="AD259" s="73" t="str">
        <f aca="false">IF(ISNUMBER(AE259),IF(ISNUMBER('Base de Datos'!A255),IF('Base de Datos'!A255&gt;20000,DATE(YEAR('Base de Datos'!A255),DAY('Base de Datos'!A255),MONTH('Base de Datos'!A255)),""),IF(TRIM('Base de Datos'!A255)="","",IFERROR(DATE(VALUE(RIGHT(TRIM('Base de Datos'!A255),4)),VALUE(LEFT(TRIM('Base de Datos'!A255),2)),VALUE(MID(TRIM('Base de Datos'!A255),4,2))),""))),"")</f>
        <v/>
      </c>
      <c r="AE259" s="74" t="str">
        <f aca="false">IF(ISNUMBER('Base de Datos'!B255),'Base de Datos'!B255,IF(TRIM('Base de Datos'!B255)="","",IFERROR(IF(IFERROR(FIND("@",SUBSTITUTE(TRIM('Base de Datos'!B255),",","@",LEN(TRIM('Base de Datos'!B255))-LEN(SUBSTITUTE(TRIM('Base de Datos'!B255),",","")))),0)&gt;IFERROR(FIND("@",SUBSTITUTE(TRIM('Base de Datos'!B255),".","@",LEN(TRIM('Base de Datos'!B255))-LEN(SUBSTITUTE(TRIM('Base de Datos'!B255),".","")))),0),_xlfn.NUMBERVALUE(SUBSTITUTE(SUBSTITUTE(TRIM('Base de Datos'!B255),".",""),",","."),".",","),_xlfn.NUMBERVALUE(SUBSTITUTE(TRIM('Base de Datos'!B255),",",""),".",",")),"")))</f>
        <v/>
      </c>
      <c r="AF259" s="73" t="str">
        <f aca="false">IF(ISNUMBER(AG259),IF(ISNUMBER('Base de Datos'!I255),IF('Base de Datos'!I255&gt;20000,INT('Base de Datos'!I255),""),IF(TRIM('Base de Datos'!I255)="","",IFERROR(DATE(VALUE(RIGHT(TRIM('Base de Datos'!I255),4)),VALUE(MID(TRIM('Base de Datos'!I255),4,2)),VALUE(LEFT(TRIM('Base de Datos'!I255),2))),IFERROR(DATEVALUE(TRIM('Base de Datos'!I255)),"")))),"")</f>
        <v/>
      </c>
      <c r="AG259" s="74" t="str">
        <f aca="false">IF(ISNUMBER('Base de Datos'!J255),'Base de Datos'!J255,IF(TRIM('Base de Datos'!J255)="","",IFERROR(IF(IFERROR(FIND("@",SUBSTITUTE(TRIM('Base de Datos'!J255),",","@",LEN(TRIM('Base de Datos'!J255))-LEN(SUBSTITUTE(TRIM('Base de Datos'!J255),",","")))),0)&gt;IFERROR(FIND("@",SUBSTITUTE(TRIM('Base de Datos'!J255),".","@",LEN(TRIM('Base de Datos'!J255))-LEN(SUBSTITUTE(TRIM('Base de Datos'!J255),".","")))),0),_xlfn.NUMBERVALUE(SUBSTITUTE(SUBSTITUTE(TRIM('Base de Datos'!J255),".",""),",","."),".",","),_xlfn.NUMBERVALUE(SUBSTITUTE(TRIM('Base de Datos'!J255),",",""),".",",")),"")))</f>
        <v/>
      </c>
      <c r="AH259" s="73" t="n">
        <f aca="false">IF(ISNUMBER(AI259),IF(ISNUMBER('Base de Datos'!Q255),IF('Base de Datos'!Q255&gt;20000,DATE(YEAR('Base de Datos'!Q255),DAY('Base de Datos'!Q255),MONTH('Base de Datos'!Q255)),""),IF(TRIM('Base de Datos'!Q255)="","",IFERROR(DATE(VALUE(RIGHT(TRIM('Base de Datos'!Q255),4)),VALUE(LEFT(TRIM('Base de Datos'!Q255),2)),VALUE(MID(TRIM('Base de Datos'!Q255),4,2))),""))),"")</f>
        <v>46236</v>
      </c>
      <c r="AI259" s="74" t="n">
        <f aca="false">IF(ISNUMBER('Base de Datos'!R255),'Base de Datos'!R255,IF(TRIM('Base de Datos'!R255)="","",IFERROR(IF(IFERROR(FIND("@",SUBSTITUTE(TRIM('Base de Datos'!R255),",","@",LEN(TRIM('Base de Datos'!R255))-LEN(SUBSTITUTE(TRIM('Base de Datos'!R255),",","")))),0)&gt;IFERROR(FIND("@",SUBSTITUTE(TRIM('Base de Datos'!R255),".","@",LEN(TRIM('Base de Datos'!R255))-LEN(SUBSTITUTE(TRIM('Base de Datos'!R255),".","")))),0),_xlfn.NUMBERVALUE(SUBSTITUTE(SUBSTITUTE(TRIM('Base de Datos'!R255),".",""),",","."),".",","),_xlfn.NUMBERVALUE(SUBSTITUTE(TRIM('Base de Datos'!R255),",",""),".",",")),"")))</f>
        <v>29.47</v>
      </c>
      <c r="AJ259" s="73" t="n">
        <f aca="false">IF(ISNUMBER(AK259),IF(ISNUMBER('Base de Datos'!Y255),IF('Base de Datos'!Y255&gt;20000,INT('Base de Datos'!Y255),""),IF(TRIM('Base de Datos'!Y255)="","",IFERROR(DATE(VALUE(RIGHT(TRIM('Base de Datos'!Y255),4)),VALUE(MID(TRIM('Base de Datos'!Y255),4,2)),VALUE(LEFT(TRIM('Base de Datos'!Y255),2))),IFERROR(DATEVALUE(TRIM('Base de Datos'!Y255)),"")))),"")</f>
        <v>46229</v>
      </c>
      <c r="AK259" s="74" t="n">
        <f aca="false">IF(ISNUMBER('Base de Datos'!Z255),'Base de Datos'!Z255,IF(TRIM('Base de Datos'!Z255)="","",IFERROR(IF(IFERROR(FIND("@",SUBSTITUTE(TRIM('Base de Datos'!Z255),",","@",LEN(TRIM('Base de Datos'!Z255))-LEN(SUBSTITUTE(TRIM('Base de Datos'!Z255),",","")))),0)&gt;IFERROR(FIND("@",SUBSTITUTE(TRIM('Base de Datos'!Z255),".","@",LEN(TRIM('Base de Datos'!Z255))-LEN(SUBSTITUTE(TRIM('Base de Datos'!Z255),".","")))),0),_xlfn.NUMBERVALUE(SUBSTITUTE(SUBSTITUTE(TRIM('Base de Datos'!Z255),".",""),",","."),".",","),_xlfn.NUMBERVALUE(SUBSTITUTE(TRIM('Base de Datos'!Z255),",",""),".",",")),"")))</f>
        <v>66936.99</v>
      </c>
    </row>
    <row r="260" customFormat="false" ht="13.5" hidden="false" customHeight="false" outlineLevel="0" collapsed="false">
      <c r="A260" s="75" t="n">
        <f aca="false">ROWS(A$13:A260)</f>
        <v>248</v>
      </c>
      <c r="B260" s="73" t="n">
        <f aca="false">IF(B259="","",IFERROR(SMALL($AH$10:$AH$409,COUNTIF($AH$10:$AH$409,"&lt;="&amp;B259)+1),""))</f>
        <v>46222</v>
      </c>
      <c r="C260" s="74" t="n">
        <f aca="false">IF(B260="","",INDEX($AI$10:$AI$409,MATCH(B260,$AH$10:$AH$409,0)))</f>
        <v>29.41</v>
      </c>
      <c r="D260" s="74" t="n">
        <f aca="false">IF(B260="","",IFERROR(INDEX($AK$10:$AK$409,MATCH(B260,$AJ$10:$AJ$409,0)),""))</f>
        <v>66383.26</v>
      </c>
      <c r="E260" s="76" t="n">
        <f aca="false">IF(AND(ISNUMBER(C260),ISNUMBER(C259)),C260/C259-1,"")</f>
        <v>-0.028410967955071</v>
      </c>
      <c r="F260" s="76" t="n">
        <f aca="false">IF(AND(ISNUMBER(D260),ISNUMBER(D259)),D260/D259-1,"")</f>
        <v>-0.00376638253342165</v>
      </c>
      <c r="G260" s="75" t="n">
        <f aca="false">IF(AND(ISNUMBER(E260),ISNUMBER(F260)),1,"")</f>
        <v>1</v>
      </c>
      <c r="H260" s="75" t="n">
        <f aca="false">IF(G260=1,COUNT(G260:G$412),"")</f>
        <v>12</v>
      </c>
      <c r="I260" s="75" t="n">
        <f aca="false">IF(G260=1,IF(H260&lt;='Beta Regresión'!$B$5,1,""),"")</f>
        <v>1</v>
      </c>
      <c r="J260" s="76" t="n">
        <f aca="false">IF(I260=1,E260,"")</f>
        <v>-0.028410967955071</v>
      </c>
      <c r="K260" s="76" t="n">
        <f aca="false">IF(I260=1,F260,"")</f>
        <v>-0.00376638253342165</v>
      </c>
      <c r="L260" s="75" t="n">
        <f aca="false">IF(I260=1,COUNT(I$13:I260),"")</f>
        <v>247</v>
      </c>
      <c r="M260" s="76" t="n">
        <f aca="false">IFERROR(INDEX($J$13:$J$412,MATCH(A260,$L$13:$L$412,0)),"")</f>
        <v>0.00612036722203335</v>
      </c>
      <c r="N260" s="76" t="n">
        <f aca="false">IFERROR(INDEX($K$13:$K$412,MATCH(A260,$L$13:$L$412,0)),"")</f>
        <v>0.00834141016876866</v>
      </c>
      <c r="O260" s="76" t="n">
        <f aca="false">IF(I260=1,E260,NA())</f>
        <v>-0.028410967955071</v>
      </c>
      <c r="P260" s="76" t="n">
        <f aca="false">IF(I260=1,F260,NA())</f>
        <v>-0.00376638253342165</v>
      </c>
      <c r="R260" s="75" t="n">
        <f aca="false">ROWS(R$13:R260)</f>
        <v>248</v>
      </c>
      <c r="S260" s="73" t="str">
        <f aca="false">IF(S259="","",IFERROR(SMALL($AD$10:$AD$509,COUNTIF($AD$10:$AD$509,"&lt;="&amp;S259)+1),""))</f>
        <v/>
      </c>
      <c r="T260" s="74" t="str">
        <f aca="false">IF(S260="","",INDEX($AE$10:$AE$509,MATCH(S260,$AD$10:$AD$509,0)))</f>
        <v/>
      </c>
      <c r="U260" s="74" t="str">
        <f aca="false">IF(S260="","",IFERROR(INDEX($AG$10:$AG$509,MATCH(S260,$AF$10:$AF$509,0)),""))</f>
        <v/>
      </c>
      <c r="V260" s="76" t="str">
        <f aca="false">IF(AND(ISNUMBER(T260),ISNUMBER(T259)),T260/T259-1,"")</f>
        <v/>
      </c>
      <c r="W260" s="76" t="str">
        <f aca="false">IF(AND(ISNUMBER(U260),ISNUMBER(U259)),U260/U259-1,"")</f>
        <v/>
      </c>
      <c r="X260" s="75" t="str">
        <f aca="false">IF(AND(ISNUMBER(V260),ISNUMBER(W260)),1,"")</f>
        <v/>
      </c>
      <c r="Y260" s="76" t="str">
        <f aca="false">IF(X260=1,V260,"")</f>
        <v/>
      </c>
      <c r="Z260" s="76" t="str">
        <f aca="false">IF(X260=1,W260,"")</f>
        <v/>
      </c>
      <c r="AA260" s="76" t="e">
        <f aca="false">IF(X260=1,V260,NA())</f>
        <v>#N/A</v>
      </c>
      <c r="AB260" s="76" t="e">
        <f aca="false">IF(X260=1,W260,NA())</f>
        <v>#N/A</v>
      </c>
      <c r="AD260" s="73" t="str">
        <f aca="false">IF(ISNUMBER(AE260),IF(ISNUMBER('Base de Datos'!A256),IF('Base de Datos'!A256&gt;20000,DATE(YEAR('Base de Datos'!A256),DAY('Base de Datos'!A256),MONTH('Base de Datos'!A256)),""),IF(TRIM('Base de Datos'!A256)="","",IFERROR(DATE(VALUE(RIGHT(TRIM('Base de Datos'!A256),4)),VALUE(LEFT(TRIM('Base de Datos'!A256),2)),VALUE(MID(TRIM('Base de Datos'!A256),4,2))),""))),"")</f>
        <v/>
      </c>
      <c r="AE260" s="74" t="str">
        <f aca="false">IF(ISNUMBER('Base de Datos'!B256),'Base de Datos'!B256,IF(TRIM('Base de Datos'!B256)="","",IFERROR(IF(IFERROR(FIND("@",SUBSTITUTE(TRIM('Base de Datos'!B256),",","@",LEN(TRIM('Base de Datos'!B256))-LEN(SUBSTITUTE(TRIM('Base de Datos'!B256),",","")))),0)&gt;IFERROR(FIND("@",SUBSTITUTE(TRIM('Base de Datos'!B256),".","@",LEN(TRIM('Base de Datos'!B256))-LEN(SUBSTITUTE(TRIM('Base de Datos'!B256),".","")))),0),_xlfn.NUMBERVALUE(SUBSTITUTE(SUBSTITUTE(TRIM('Base de Datos'!B256),".",""),",","."),".",","),_xlfn.NUMBERVALUE(SUBSTITUTE(TRIM('Base de Datos'!B256),",",""),".",",")),"")))</f>
        <v/>
      </c>
      <c r="AF260" s="73" t="str">
        <f aca="false">IF(ISNUMBER(AG260),IF(ISNUMBER('Base de Datos'!I256),IF('Base de Datos'!I256&gt;20000,INT('Base de Datos'!I256),""),IF(TRIM('Base de Datos'!I256)="","",IFERROR(DATE(VALUE(RIGHT(TRIM('Base de Datos'!I256),4)),VALUE(MID(TRIM('Base de Datos'!I256),4,2)),VALUE(LEFT(TRIM('Base de Datos'!I256),2))),IFERROR(DATEVALUE(TRIM('Base de Datos'!I256)),"")))),"")</f>
        <v/>
      </c>
      <c r="AG260" s="74" t="str">
        <f aca="false">IF(ISNUMBER('Base de Datos'!J256),'Base de Datos'!J256,IF(TRIM('Base de Datos'!J256)="","",IFERROR(IF(IFERROR(FIND("@",SUBSTITUTE(TRIM('Base de Datos'!J256),",","@",LEN(TRIM('Base de Datos'!J256))-LEN(SUBSTITUTE(TRIM('Base de Datos'!J256),",","")))),0)&gt;IFERROR(FIND("@",SUBSTITUTE(TRIM('Base de Datos'!J256),".","@",LEN(TRIM('Base de Datos'!J256))-LEN(SUBSTITUTE(TRIM('Base de Datos'!J256),".","")))),0),_xlfn.NUMBERVALUE(SUBSTITUTE(SUBSTITUTE(TRIM('Base de Datos'!J256),".",""),",","."),".",","),_xlfn.NUMBERVALUE(SUBSTITUTE(TRIM('Base de Datos'!J256),",",""),".",",")),"")))</f>
        <v/>
      </c>
      <c r="AH260" s="73" t="n">
        <f aca="false">IF(ISNUMBER(AI260),IF(ISNUMBER('Base de Datos'!Q256),IF('Base de Datos'!Q256&gt;20000,DATE(YEAR('Base de Datos'!Q256),DAY('Base de Datos'!Q256),MONTH('Base de Datos'!Q256)),""),IF(TRIM('Base de Datos'!Q256)="","",IFERROR(DATE(VALUE(RIGHT(TRIM('Base de Datos'!Q256),4)),VALUE(LEFT(TRIM('Base de Datos'!Q256),2)),VALUE(MID(TRIM('Base de Datos'!Q256),4,2))),""))),"")</f>
        <v>46243</v>
      </c>
      <c r="AI260" s="74" t="n">
        <f aca="false">IF(ISNUMBER('Base de Datos'!R256),'Base de Datos'!R256,IF(TRIM('Base de Datos'!R256)="","",IFERROR(IF(IFERROR(FIND("@",SUBSTITUTE(TRIM('Base de Datos'!R256),",","@",LEN(TRIM('Base de Datos'!R256))-LEN(SUBSTITUTE(TRIM('Base de Datos'!R256),",","")))),0)&gt;IFERROR(FIND("@",SUBSTITUTE(TRIM('Base de Datos'!R256),".","@",LEN(TRIM('Base de Datos'!R256))-LEN(SUBSTITUTE(TRIM('Base de Datos'!R256),".","")))),0),_xlfn.NUMBERVALUE(SUBSTITUTE(SUBSTITUTE(TRIM('Base de Datos'!R256),".",""),",","."),".",","),_xlfn.NUMBERVALUE(SUBSTITUTE(TRIM('Base de Datos'!R256),",",""),".",",")),"")))</f>
        <v>27.5</v>
      </c>
      <c r="AJ260" s="73" t="n">
        <f aca="false">IF(ISNUMBER(AK260),IF(ISNUMBER('Base de Datos'!Y256),IF('Base de Datos'!Y256&gt;20000,INT('Base de Datos'!Y256),""),IF(TRIM('Base de Datos'!Y256)="","",IFERROR(DATE(VALUE(RIGHT(TRIM('Base de Datos'!Y256),4)),VALUE(MID(TRIM('Base de Datos'!Y256),4,2)),VALUE(LEFT(TRIM('Base de Datos'!Y256),2))),IFERROR(DATEVALUE(TRIM('Base de Datos'!Y256)),"")))),"")</f>
        <v>46236</v>
      </c>
      <c r="AK260" s="74" t="n">
        <f aca="false">IF(ISNUMBER('Base de Datos'!Z256),'Base de Datos'!Z256,IF(TRIM('Base de Datos'!Z256)="","",IFERROR(IF(IFERROR(FIND("@",SUBSTITUTE(TRIM('Base de Datos'!Z256),",","@",LEN(TRIM('Base de Datos'!Z256))-LEN(SUBSTITUTE(TRIM('Base de Datos'!Z256),",","")))),0)&gt;IFERROR(FIND("@",SUBSTITUTE(TRIM('Base de Datos'!Z256),".","@",LEN(TRIM('Base de Datos'!Z256))-LEN(SUBSTITUTE(TRIM('Base de Datos'!Z256),".","")))),0),_xlfn.NUMBERVALUE(SUBSTITUTE(SUBSTITUTE(TRIM('Base de Datos'!Z256),".",""),",","."),".",","),_xlfn.NUMBERVALUE(SUBSTITUTE(TRIM('Base de Datos'!Z256),",",""),".",",")),"")))</f>
        <v>66938.64</v>
      </c>
    </row>
    <row r="261" customFormat="false" ht="13.5" hidden="false" customHeight="false" outlineLevel="0" collapsed="false">
      <c r="A261" s="75" t="n">
        <f aca="false">ROWS(A$13:A261)</f>
        <v>249</v>
      </c>
      <c r="B261" s="73" t="n">
        <f aca="false">IF(B260="","",IFERROR(SMALL($AH$10:$AH$409,COUNTIF($AH$10:$AH$409,"&lt;="&amp;B260)+1),""))</f>
        <v>46229</v>
      </c>
      <c r="C261" s="74" t="n">
        <f aca="false">IF(B261="","",INDEX($AI$10:$AI$409,MATCH(B261,$AH$10:$AH$409,0)))</f>
        <v>29.59</v>
      </c>
      <c r="D261" s="74" t="n">
        <f aca="false">IF(B261="","",IFERROR(INDEX($AK$10:$AK$409,MATCH(B261,$AJ$10:$AJ$409,0)),""))</f>
        <v>66936.99</v>
      </c>
      <c r="E261" s="76" t="n">
        <f aca="false">IF(AND(ISNUMBER(C261),ISNUMBER(C260)),C261/C260-1,"")</f>
        <v>0.00612036722203335</v>
      </c>
      <c r="F261" s="76" t="n">
        <f aca="false">IF(AND(ISNUMBER(D261),ISNUMBER(D260)),D261/D260-1,"")</f>
        <v>0.00834141016876866</v>
      </c>
      <c r="G261" s="75" t="n">
        <f aca="false">IF(AND(ISNUMBER(E261),ISNUMBER(F261)),1,"")</f>
        <v>1</v>
      </c>
      <c r="H261" s="75" t="n">
        <f aca="false">IF(G261=1,COUNT(G261:G$412),"")</f>
        <v>11</v>
      </c>
      <c r="I261" s="75" t="n">
        <f aca="false">IF(G261=1,IF(H261&lt;='Beta Regresión'!$B$5,1,""),"")</f>
        <v>1</v>
      </c>
      <c r="J261" s="76" t="n">
        <f aca="false">IF(I261=1,E261,"")</f>
        <v>0.00612036722203335</v>
      </c>
      <c r="K261" s="76" t="n">
        <f aca="false">IF(I261=1,F261,"")</f>
        <v>0.00834141016876866</v>
      </c>
      <c r="L261" s="75" t="n">
        <f aca="false">IF(I261=1,COUNT(I$13:I261),"")</f>
        <v>248</v>
      </c>
      <c r="M261" s="76" t="n">
        <f aca="false">IFERROR(INDEX($J$13:$J$412,MATCH(A261,$L$13:$L$412,0)),"")</f>
        <v>-0.00405542412977356</v>
      </c>
      <c r="N261" s="76" t="n">
        <f aca="false">IFERROR(INDEX($K$13:$K$412,MATCH(A261,$L$13:$L$412,0)),"")</f>
        <v>2.46500477538714E-005</v>
      </c>
      <c r="O261" s="76" t="n">
        <f aca="false">IF(I261=1,E261,NA())</f>
        <v>0.00612036722203335</v>
      </c>
      <c r="P261" s="76" t="n">
        <f aca="false">IF(I261=1,F261,NA())</f>
        <v>0.00834141016876866</v>
      </c>
      <c r="R261" s="75" t="n">
        <f aca="false">ROWS(R$13:R261)</f>
        <v>249</v>
      </c>
      <c r="S261" s="73" t="str">
        <f aca="false">IF(S260="","",IFERROR(SMALL($AD$10:$AD$509,COUNTIF($AD$10:$AD$509,"&lt;="&amp;S260)+1),""))</f>
        <v/>
      </c>
      <c r="T261" s="74" t="str">
        <f aca="false">IF(S261="","",INDEX($AE$10:$AE$509,MATCH(S261,$AD$10:$AD$509,0)))</f>
        <v/>
      </c>
      <c r="U261" s="74" t="str">
        <f aca="false">IF(S261="","",IFERROR(INDEX($AG$10:$AG$509,MATCH(S261,$AF$10:$AF$509,0)),""))</f>
        <v/>
      </c>
      <c r="V261" s="76" t="str">
        <f aca="false">IF(AND(ISNUMBER(T261),ISNUMBER(T260)),T261/T260-1,"")</f>
        <v/>
      </c>
      <c r="W261" s="76" t="str">
        <f aca="false">IF(AND(ISNUMBER(U261),ISNUMBER(U260)),U261/U260-1,"")</f>
        <v/>
      </c>
      <c r="X261" s="75" t="str">
        <f aca="false">IF(AND(ISNUMBER(V261),ISNUMBER(W261)),1,"")</f>
        <v/>
      </c>
      <c r="Y261" s="76" t="str">
        <f aca="false">IF(X261=1,V261,"")</f>
        <v/>
      </c>
      <c r="Z261" s="76" t="str">
        <f aca="false">IF(X261=1,W261,"")</f>
        <v/>
      </c>
      <c r="AA261" s="76" t="e">
        <f aca="false">IF(X261=1,V261,NA())</f>
        <v>#N/A</v>
      </c>
      <c r="AB261" s="76" t="e">
        <f aca="false">IF(X261=1,W261,NA())</f>
        <v>#N/A</v>
      </c>
      <c r="AD261" s="73" t="str">
        <f aca="false">IF(ISNUMBER(AE261),IF(ISNUMBER('Base de Datos'!A257),IF('Base de Datos'!A257&gt;20000,DATE(YEAR('Base de Datos'!A257),DAY('Base de Datos'!A257),MONTH('Base de Datos'!A257)),""),IF(TRIM('Base de Datos'!A257)="","",IFERROR(DATE(VALUE(RIGHT(TRIM('Base de Datos'!A257),4)),VALUE(LEFT(TRIM('Base de Datos'!A257),2)),VALUE(MID(TRIM('Base de Datos'!A257),4,2))),""))),"")</f>
        <v/>
      </c>
      <c r="AE261" s="74" t="str">
        <f aca="false">IF(ISNUMBER('Base de Datos'!B257),'Base de Datos'!B257,IF(TRIM('Base de Datos'!B257)="","",IFERROR(IF(IFERROR(FIND("@",SUBSTITUTE(TRIM('Base de Datos'!B257),",","@",LEN(TRIM('Base de Datos'!B257))-LEN(SUBSTITUTE(TRIM('Base de Datos'!B257),",","")))),0)&gt;IFERROR(FIND("@",SUBSTITUTE(TRIM('Base de Datos'!B257),".","@",LEN(TRIM('Base de Datos'!B257))-LEN(SUBSTITUTE(TRIM('Base de Datos'!B257),".","")))),0),_xlfn.NUMBERVALUE(SUBSTITUTE(SUBSTITUTE(TRIM('Base de Datos'!B257),".",""),",","."),".",","),_xlfn.NUMBERVALUE(SUBSTITUTE(TRIM('Base de Datos'!B257),",",""),".",",")),"")))</f>
        <v/>
      </c>
      <c r="AF261" s="73" t="str">
        <f aca="false">IF(ISNUMBER(AG261),IF(ISNUMBER('Base de Datos'!I257),IF('Base de Datos'!I257&gt;20000,INT('Base de Datos'!I257),""),IF(TRIM('Base de Datos'!I257)="","",IFERROR(DATE(VALUE(RIGHT(TRIM('Base de Datos'!I257),4)),VALUE(MID(TRIM('Base de Datos'!I257),4,2)),VALUE(LEFT(TRIM('Base de Datos'!I257),2))),IFERROR(DATEVALUE(TRIM('Base de Datos'!I257)),"")))),"")</f>
        <v/>
      </c>
      <c r="AG261" s="74" t="str">
        <f aca="false">IF(ISNUMBER('Base de Datos'!J257),'Base de Datos'!J257,IF(TRIM('Base de Datos'!J257)="","",IFERROR(IF(IFERROR(FIND("@",SUBSTITUTE(TRIM('Base de Datos'!J257),",","@",LEN(TRIM('Base de Datos'!J257))-LEN(SUBSTITUTE(TRIM('Base de Datos'!J257),",","")))),0)&gt;IFERROR(FIND("@",SUBSTITUTE(TRIM('Base de Datos'!J257),".","@",LEN(TRIM('Base de Datos'!J257))-LEN(SUBSTITUTE(TRIM('Base de Datos'!J257),".","")))),0),_xlfn.NUMBERVALUE(SUBSTITUTE(SUBSTITUTE(TRIM('Base de Datos'!J257),".",""),",","."),".",","),_xlfn.NUMBERVALUE(SUBSTITUTE(TRIM('Base de Datos'!J257),",",""),".",",")),"")))</f>
        <v/>
      </c>
      <c r="AH261" s="73" t="n">
        <f aca="false">IF(ISNUMBER(AI261),IF(ISNUMBER('Base de Datos'!Q257),IF('Base de Datos'!Q257&gt;20000,DATE(YEAR('Base de Datos'!Q257),DAY('Base de Datos'!Q257),MONTH('Base de Datos'!Q257)),""),IF(TRIM('Base de Datos'!Q257)="","",IFERROR(DATE(VALUE(RIGHT(TRIM('Base de Datos'!Q257),4)),VALUE(LEFT(TRIM('Base de Datos'!Q257),2)),VALUE(MID(TRIM('Base de Datos'!Q257),4,2))),""))),"")</f>
        <v>46250</v>
      </c>
      <c r="AI261" s="74" t="n">
        <f aca="false">IF(ISNUMBER('Base de Datos'!R257),'Base de Datos'!R257,IF(TRIM('Base de Datos'!R257)="","",IFERROR(IF(IFERROR(FIND("@",SUBSTITUTE(TRIM('Base de Datos'!R257),",","@",LEN(TRIM('Base de Datos'!R257))-LEN(SUBSTITUTE(TRIM('Base de Datos'!R257),",","")))),0)&gt;IFERROR(FIND("@",SUBSTITUTE(TRIM('Base de Datos'!R257),".","@",LEN(TRIM('Base de Datos'!R257))-LEN(SUBSTITUTE(TRIM('Base de Datos'!R257),".","")))),0),_xlfn.NUMBERVALUE(SUBSTITUTE(SUBSTITUTE(TRIM('Base de Datos'!R257),".",""),",","."),".",","),_xlfn.NUMBERVALUE(SUBSTITUTE(TRIM('Base de Datos'!R257),",",""),".",",")),"")))</f>
        <v>27.08</v>
      </c>
      <c r="AJ261" s="73" t="n">
        <f aca="false">IF(ISNUMBER(AK261),IF(ISNUMBER('Base de Datos'!Y257),IF('Base de Datos'!Y257&gt;20000,INT('Base de Datos'!Y257),""),IF(TRIM('Base de Datos'!Y257)="","",IFERROR(DATE(VALUE(RIGHT(TRIM('Base de Datos'!Y257),4)),VALUE(MID(TRIM('Base de Datos'!Y257),4,2)),VALUE(LEFT(TRIM('Base de Datos'!Y257),2))),IFERROR(DATEVALUE(TRIM('Base de Datos'!Y257)),"")))),"")</f>
        <v>46243</v>
      </c>
      <c r="AK261" s="74" t="n">
        <f aca="false">IF(ISNUMBER('Base de Datos'!Z257),'Base de Datos'!Z257,IF(TRIM('Base de Datos'!Z257)="","",IFERROR(IF(IFERROR(FIND("@",SUBSTITUTE(TRIM('Base de Datos'!Z257),",","@",LEN(TRIM('Base de Datos'!Z257))-LEN(SUBSTITUTE(TRIM('Base de Datos'!Z257),",","")))),0)&gt;IFERROR(FIND("@",SUBSTITUTE(TRIM('Base de Datos'!Z257),".","@",LEN(TRIM('Base de Datos'!Z257))-LEN(SUBSTITUTE(TRIM('Base de Datos'!Z257),".","")))),0),_xlfn.NUMBERVALUE(SUBSTITUTE(SUBSTITUTE(TRIM('Base de Datos'!Z257),".",""),",","."),".",","),_xlfn.NUMBERVALUE(SUBSTITUTE(TRIM('Base de Datos'!Z257),",",""),".",",")),"")))</f>
        <v>64397.45</v>
      </c>
    </row>
    <row r="262" customFormat="false" ht="13.5" hidden="false" customHeight="false" outlineLevel="0" collapsed="false">
      <c r="A262" s="75" t="n">
        <f aca="false">ROWS(A$13:A262)</f>
        <v>250</v>
      </c>
      <c r="B262" s="73" t="n">
        <f aca="false">IF(B261="","",IFERROR(SMALL($AH$10:$AH$409,COUNTIF($AH$10:$AH$409,"&lt;="&amp;B261)+1),""))</f>
        <v>46236</v>
      </c>
      <c r="C262" s="74" t="n">
        <f aca="false">IF(B262="","",INDEX($AI$10:$AI$409,MATCH(B262,$AH$10:$AH$409,0)))</f>
        <v>29.47</v>
      </c>
      <c r="D262" s="74" t="n">
        <f aca="false">IF(B262="","",IFERROR(INDEX($AK$10:$AK$409,MATCH(B262,$AJ$10:$AJ$409,0)),""))</f>
        <v>66938.64</v>
      </c>
      <c r="E262" s="76" t="n">
        <f aca="false">IF(AND(ISNUMBER(C262),ISNUMBER(C261)),C262/C261-1,"")</f>
        <v>-0.00405542412977356</v>
      </c>
      <c r="F262" s="76" t="n">
        <f aca="false">IF(AND(ISNUMBER(D262),ISNUMBER(D261)),D262/D261-1,"")</f>
        <v>2.46500477538714E-005</v>
      </c>
      <c r="G262" s="75" t="n">
        <f aca="false">IF(AND(ISNUMBER(E262),ISNUMBER(F262)),1,"")</f>
        <v>1</v>
      </c>
      <c r="H262" s="75" t="n">
        <f aca="false">IF(G262=1,COUNT(G262:G$412),"")</f>
        <v>10</v>
      </c>
      <c r="I262" s="75" t="n">
        <f aca="false">IF(G262=1,IF(H262&lt;='Beta Regresión'!$B$5,1,""),"")</f>
        <v>1</v>
      </c>
      <c r="J262" s="76" t="n">
        <f aca="false">IF(I262=1,E262,"")</f>
        <v>-0.00405542412977356</v>
      </c>
      <c r="K262" s="76" t="n">
        <f aca="false">IF(I262=1,F262,"")</f>
        <v>2.46500477538714E-005</v>
      </c>
      <c r="L262" s="75" t="n">
        <f aca="false">IF(I262=1,COUNT(I$13:I262),"")</f>
        <v>249</v>
      </c>
      <c r="M262" s="76" t="n">
        <f aca="false">IFERROR(INDEX($J$13:$J$412,MATCH(A262,$L$13:$L$412,0)),"")</f>
        <v>-0.0668476416694944</v>
      </c>
      <c r="N262" s="76" t="n">
        <f aca="false">IFERROR(INDEX($K$13:$K$412,MATCH(A262,$L$13:$L$412,0)),"")</f>
        <v>-0.0379629762421226</v>
      </c>
      <c r="O262" s="76" t="n">
        <f aca="false">IF(I262=1,E262,NA())</f>
        <v>-0.00405542412977356</v>
      </c>
      <c r="P262" s="76" t="n">
        <f aca="false">IF(I262=1,F262,NA())</f>
        <v>2.46500477538714E-005</v>
      </c>
      <c r="R262" s="75" t="n">
        <f aca="false">ROWS(R$13:R262)</f>
        <v>250</v>
      </c>
      <c r="S262" s="73" t="str">
        <f aca="false">IF(S261="","",IFERROR(SMALL($AD$10:$AD$509,COUNTIF($AD$10:$AD$509,"&lt;="&amp;S261)+1),""))</f>
        <v/>
      </c>
      <c r="T262" s="74" t="str">
        <f aca="false">IF(S262="","",INDEX($AE$10:$AE$509,MATCH(S262,$AD$10:$AD$509,0)))</f>
        <v/>
      </c>
      <c r="U262" s="74" t="str">
        <f aca="false">IF(S262="","",IFERROR(INDEX($AG$10:$AG$509,MATCH(S262,$AF$10:$AF$509,0)),""))</f>
        <v/>
      </c>
      <c r="V262" s="76" t="str">
        <f aca="false">IF(AND(ISNUMBER(T262),ISNUMBER(T261)),T262/T261-1,"")</f>
        <v/>
      </c>
      <c r="W262" s="76" t="str">
        <f aca="false">IF(AND(ISNUMBER(U262),ISNUMBER(U261)),U262/U261-1,"")</f>
        <v/>
      </c>
      <c r="X262" s="75" t="str">
        <f aca="false">IF(AND(ISNUMBER(V262),ISNUMBER(W262)),1,"")</f>
        <v/>
      </c>
      <c r="Y262" s="76" t="str">
        <f aca="false">IF(X262=1,V262,"")</f>
        <v/>
      </c>
      <c r="Z262" s="76" t="str">
        <f aca="false">IF(X262=1,W262,"")</f>
        <v/>
      </c>
      <c r="AA262" s="76" t="e">
        <f aca="false">IF(X262=1,V262,NA())</f>
        <v>#N/A</v>
      </c>
      <c r="AB262" s="76" t="e">
        <f aca="false">IF(X262=1,W262,NA())</f>
        <v>#N/A</v>
      </c>
      <c r="AD262" s="73" t="str">
        <f aca="false">IF(ISNUMBER(AE262),IF(ISNUMBER('Base de Datos'!A258),IF('Base de Datos'!A258&gt;20000,DATE(YEAR('Base de Datos'!A258),DAY('Base de Datos'!A258),MONTH('Base de Datos'!A258)),""),IF(TRIM('Base de Datos'!A258)="","",IFERROR(DATE(VALUE(RIGHT(TRIM('Base de Datos'!A258),4)),VALUE(LEFT(TRIM('Base de Datos'!A258),2)),VALUE(MID(TRIM('Base de Datos'!A258),4,2))),""))),"")</f>
        <v/>
      </c>
      <c r="AE262" s="74" t="str">
        <f aca="false">IF(ISNUMBER('Base de Datos'!B258),'Base de Datos'!B258,IF(TRIM('Base de Datos'!B258)="","",IFERROR(IF(IFERROR(FIND("@",SUBSTITUTE(TRIM('Base de Datos'!B258),",","@",LEN(TRIM('Base de Datos'!B258))-LEN(SUBSTITUTE(TRIM('Base de Datos'!B258),",","")))),0)&gt;IFERROR(FIND("@",SUBSTITUTE(TRIM('Base de Datos'!B258),".","@",LEN(TRIM('Base de Datos'!B258))-LEN(SUBSTITUTE(TRIM('Base de Datos'!B258),".","")))),0),_xlfn.NUMBERVALUE(SUBSTITUTE(SUBSTITUTE(TRIM('Base de Datos'!B258),".",""),",","."),".",","),_xlfn.NUMBERVALUE(SUBSTITUTE(TRIM('Base de Datos'!B258),",",""),".",",")),"")))</f>
        <v/>
      </c>
      <c r="AF262" s="73" t="str">
        <f aca="false">IF(ISNUMBER(AG262),IF(ISNUMBER('Base de Datos'!I258),IF('Base de Datos'!I258&gt;20000,INT('Base de Datos'!I258),""),IF(TRIM('Base de Datos'!I258)="","",IFERROR(DATE(VALUE(RIGHT(TRIM('Base de Datos'!I258),4)),VALUE(MID(TRIM('Base de Datos'!I258),4,2)),VALUE(LEFT(TRIM('Base de Datos'!I258),2))),IFERROR(DATEVALUE(TRIM('Base de Datos'!I258)),"")))),"")</f>
        <v/>
      </c>
      <c r="AG262" s="74" t="str">
        <f aca="false">IF(ISNUMBER('Base de Datos'!J258),'Base de Datos'!J258,IF(TRIM('Base de Datos'!J258)="","",IFERROR(IF(IFERROR(FIND("@",SUBSTITUTE(TRIM('Base de Datos'!J258),",","@",LEN(TRIM('Base de Datos'!J258))-LEN(SUBSTITUTE(TRIM('Base de Datos'!J258),",","")))),0)&gt;IFERROR(FIND("@",SUBSTITUTE(TRIM('Base de Datos'!J258),".","@",LEN(TRIM('Base de Datos'!J258))-LEN(SUBSTITUTE(TRIM('Base de Datos'!J258),".","")))),0),_xlfn.NUMBERVALUE(SUBSTITUTE(SUBSTITUTE(TRIM('Base de Datos'!J258),".",""),",","."),".",","),_xlfn.NUMBERVALUE(SUBSTITUTE(TRIM('Base de Datos'!J258),",",""),".",",")),"")))</f>
        <v/>
      </c>
      <c r="AH262" s="73" t="n">
        <f aca="false">IF(ISNUMBER(AI262),IF(ISNUMBER('Base de Datos'!Q258),IF('Base de Datos'!Q258&gt;20000,DATE(YEAR('Base de Datos'!Q258),DAY('Base de Datos'!Q258),MONTH('Base de Datos'!Q258)),""),IF(TRIM('Base de Datos'!Q258)="","",IFERROR(DATE(VALUE(RIGHT(TRIM('Base de Datos'!Q258),4)),VALUE(LEFT(TRIM('Base de Datos'!Q258),2)),VALUE(MID(TRIM('Base de Datos'!Q258),4,2))),""))),"")</f>
        <v>46257</v>
      </c>
      <c r="AI262" s="74" t="n">
        <f aca="false">IF(ISNUMBER('Base de Datos'!R258),'Base de Datos'!R258,IF(TRIM('Base de Datos'!R258)="","",IFERROR(IF(IFERROR(FIND("@",SUBSTITUTE(TRIM('Base de Datos'!R258),",","@",LEN(TRIM('Base de Datos'!R258))-LEN(SUBSTITUTE(TRIM('Base de Datos'!R258),",","")))),0)&gt;IFERROR(FIND("@",SUBSTITUTE(TRIM('Base de Datos'!R258),".","@",LEN(TRIM('Base de Datos'!R258))-LEN(SUBSTITUTE(TRIM('Base de Datos'!R258),".","")))),0),_xlfn.NUMBERVALUE(SUBSTITUTE(SUBSTITUTE(TRIM('Base de Datos'!R258),".",""),",","."),".",","),_xlfn.NUMBERVALUE(SUBSTITUTE(TRIM('Base de Datos'!R258),",",""),".",",")),"")))</f>
        <v>27.07</v>
      </c>
      <c r="AJ262" s="73" t="n">
        <f aca="false">IF(ISNUMBER(AK262),IF(ISNUMBER('Base de Datos'!Y258),IF('Base de Datos'!Y258&gt;20000,INT('Base de Datos'!Y258),""),IF(TRIM('Base de Datos'!Y258)="","",IFERROR(DATE(VALUE(RIGHT(TRIM('Base de Datos'!Y258),4)),VALUE(MID(TRIM('Base de Datos'!Y258),4,2)),VALUE(LEFT(TRIM('Base de Datos'!Y258),2))),IFERROR(DATEVALUE(TRIM('Base de Datos'!Y258)),"")))),"")</f>
        <v>46250</v>
      </c>
      <c r="AK262" s="74" t="n">
        <f aca="false">IF(ISNUMBER('Base de Datos'!Z258),'Base de Datos'!Z258,IF(TRIM('Base de Datos'!Z258)="","",IFERROR(IF(IFERROR(FIND("@",SUBSTITUTE(TRIM('Base de Datos'!Z258),",","@",LEN(TRIM('Base de Datos'!Z258))-LEN(SUBSTITUTE(TRIM('Base de Datos'!Z258),",","")))),0)&gt;IFERROR(FIND("@",SUBSTITUTE(TRIM('Base de Datos'!Z258),".","@",LEN(TRIM('Base de Datos'!Z258))-LEN(SUBSTITUTE(TRIM('Base de Datos'!Z258),".","")))),0),_xlfn.NUMBERVALUE(SUBSTITUTE(SUBSTITUTE(TRIM('Base de Datos'!Z258),".",""),",","."),".",","),_xlfn.NUMBERVALUE(SUBSTITUTE(TRIM('Base de Datos'!Z258),",",""),".",",")),"")))</f>
        <v>65729.18</v>
      </c>
    </row>
    <row r="263" customFormat="false" ht="13.5" hidden="false" customHeight="false" outlineLevel="0" collapsed="false">
      <c r="A263" s="75" t="n">
        <f aca="false">ROWS(A$13:A263)</f>
        <v>251</v>
      </c>
      <c r="B263" s="73" t="n">
        <f aca="false">IF(B262="","",IFERROR(SMALL($AH$10:$AH$409,COUNTIF($AH$10:$AH$409,"&lt;="&amp;B262)+1),""))</f>
        <v>46243</v>
      </c>
      <c r="C263" s="74" t="n">
        <f aca="false">IF(B263="","",INDEX($AI$10:$AI$409,MATCH(B263,$AH$10:$AH$409,0)))</f>
        <v>27.5</v>
      </c>
      <c r="D263" s="74" t="n">
        <f aca="false">IF(B263="","",IFERROR(INDEX($AK$10:$AK$409,MATCH(B263,$AJ$10:$AJ$409,0)),""))</f>
        <v>64397.45</v>
      </c>
      <c r="E263" s="76" t="n">
        <f aca="false">IF(AND(ISNUMBER(C263),ISNUMBER(C262)),C263/C262-1,"")</f>
        <v>-0.0668476416694944</v>
      </c>
      <c r="F263" s="76" t="n">
        <f aca="false">IF(AND(ISNUMBER(D263),ISNUMBER(D262)),D263/D262-1,"")</f>
        <v>-0.0379629762421226</v>
      </c>
      <c r="G263" s="75" t="n">
        <f aca="false">IF(AND(ISNUMBER(E263),ISNUMBER(F263)),1,"")</f>
        <v>1</v>
      </c>
      <c r="H263" s="75" t="n">
        <f aca="false">IF(G263=1,COUNT(G263:G$412),"")</f>
        <v>9</v>
      </c>
      <c r="I263" s="75" t="n">
        <f aca="false">IF(G263=1,IF(H263&lt;='Beta Regresión'!$B$5,1,""),"")</f>
        <v>1</v>
      </c>
      <c r="J263" s="76" t="n">
        <f aca="false">IF(I263=1,E263,"")</f>
        <v>-0.0668476416694944</v>
      </c>
      <c r="K263" s="76" t="n">
        <f aca="false">IF(I263=1,F263,"")</f>
        <v>-0.0379629762421226</v>
      </c>
      <c r="L263" s="75" t="n">
        <f aca="false">IF(I263=1,COUNT(I$13:I263),"")</f>
        <v>250</v>
      </c>
      <c r="M263" s="76" t="n">
        <f aca="false">IFERROR(INDEX($J$13:$J$412,MATCH(A263,$L$13:$L$412,0)),"")</f>
        <v>-0.0152727272727273</v>
      </c>
      <c r="N263" s="76" t="n">
        <f aca="false">IFERROR(INDEX($K$13:$K$412,MATCH(A263,$L$13:$L$412,0)),"")</f>
        <v>0.0206798561123149</v>
      </c>
      <c r="O263" s="76" t="n">
        <f aca="false">IF(I263=1,E263,NA())</f>
        <v>-0.0668476416694944</v>
      </c>
      <c r="P263" s="76" t="n">
        <f aca="false">IF(I263=1,F263,NA())</f>
        <v>-0.0379629762421226</v>
      </c>
      <c r="R263" s="75" t="n">
        <f aca="false">ROWS(R$13:R263)</f>
        <v>251</v>
      </c>
      <c r="S263" s="73" t="str">
        <f aca="false">IF(S262="","",IFERROR(SMALL($AD$10:$AD$509,COUNTIF($AD$10:$AD$509,"&lt;="&amp;S262)+1),""))</f>
        <v/>
      </c>
      <c r="T263" s="74" t="str">
        <f aca="false">IF(S263="","",INDEX($AE$10:$AE$509,MATCH(S263,$AD$10:$AD$509,0)))</f>
        <v/>
      </c>
      <c r="U263" s="74" t="str">
        <f aca="false">IF(S263="","",IFERROR(INDEX($AG$10:$AG$509,MATCH(S263,$AF$10:$AF$509,0)),""))</f>
        <v/>
      </c>
      <c r="V263" s="76" t="str">
        <f aca="false">IF(AND(ISNUMBER(T263),ISNUMBER(T262)),T263/T262-1,"")</f>
        <v/>
      </c>
      <c r="W263" s="76" t="str">
        <f aca="false">IF(AND(ISNUMBER(U263),ISNUMBER(U262)),U263/U262-1,"")</f>
        <v/>
      </c>
      <c r="X263" s="75" t="str">
        <f aca="false">IF(AND(ISNUMBER(V263),ISNUMBER(W263)),1,"")</f>
        <v/>
      </c>
      <c r="Y263" s="76" t="str">
        <f aca="false">IF(X263=1,V263,"")</f>
        <v/>
      </c>
      <c r="Z263" s="76" t="str">
        <f aca="false">IF(X263=1,W263,"")</f>
        <v/>
      </c>
      <c r="AA263" s="76" t="e">
        <f aca="false">IF(X263=1,V263,NA())</f>
        <v>#N/A</v>
      </c>
      <c r="AB263" s="76" t="e">
        <f aca="false">IF(X263=1,W263,NA())</f>
        <v>#N/A</v>
      </c>
      <c r="AD263" s="73" t="str">
        <f aca="false">IF(ISNUMBER(AE263),IF(ISNUMBER('Base de Datos'!A259),IF('Base de Datos'!A259&gt;20000,DATE(YEAR('Base de Datos'!A259),DAY('Base de Datos'!A259),MONTH('Base de Datos'!A259)),""),IF(TRIM('Base de Datos'!A259)="","",IFERROR(DATE(VALUE(RIGHT(TRIM('Base de Datos'!A259),4)),VALUE(LEFT(TRIM('Base de Datos'!A259),2)),VALUE(MID(TRIM('Base de Datos'!A259),4,2))),""))),"")</f>
        <v/>
      </c>
      <c r="AE263" s="74" t="str">
        <f aca="false">IF(ISNUMBER('Base de Datos'!B259),'Base de Datos'!B259,IF(TRIM('Base de Datos'!B259)="","",IFERROR(IF(IFERROR(FIND("@",SUBSTITUTE(TRIM('Base de Datos'!B259),",","@",LEN(TRIM('Base de Datos'!B259))-LEN(SUBSTITUTE(TRIM('Base de Datos'!B259),",","")))),0)&gt;IFERROR(FIND("@",SUBSTITUTE(TRIM('Base de Datos'!B259),".","@",LEN(TRIM('Base de Datos'!B259))-LEN(SUBSTITUTE(TRIM('Base de Datos'!B259),".","")))),0),_xlfn.NUMBERVALUE(SUBSTITUTE(SUBSTITUTE(TRIM('Base de Datos'!B259),".",""),",","."),".",","),_xlfn.NUMBERVALUE(SUBSTITUTE(TRIM('Base de Datos'!B259),",",""),".",",")),"")))</f>
        <v/>
      </c>
      <c r="AF263" s="73" t="str">
        <f aca="false">IF(ISNUMBER(AG263),IF(ISNUMBER('Base de Datos'!I259),IF('Base de Datos'!I259&gt;20000,INT('Base de Datos'!I259),""),IF(TRIM('Base de Datos'!I259)="","",IFERROR(DATE(VALUE(RIGHT(TRIM('Base de Datos'!I259),4)),VALUE(MID(TRIM('Base de Datos'!I259),4,2)),VALUE(LEFT(TRIM('Base de Datos'!I259),2))),IFERROR(DATEVALUE(TRIM('Base de Datos'!I259)),"")))),"")</f>
        <v/>
      </c>
      <c r="AG263" s="74" t="str">
        <f aca="false">IF(ISNUMBER('Base de Datos'!J259),'Base de Datos'!J259,IF(TRIM('Base de Datos'!J259)="","",IFERROR(IF(IFERROR(FIND("@",SUBSTITUTE(TRIM('Base de Datos'!J259),",","@",LEN(TRIM('Base de Datos'!J259))-LEN(SUBSTITUTE(TRIM('Base de Datos'!J259),",","")))),0)&gt;IFERROR(FIND("@",SUBSTITUTE(TRIM('Base de Datos'!J259),".","@",LEN(TRIM('Base de Datos'!J259))-LEN(SUBSTITUTE(TRIM('Base de Datos'!J259),".","")))),0),_xlfn.NUMBERVALUE(SUBSTITUTE(SUBSTITUTE(TRIM('Base de Datos'!J259),".",""),",","."),".",","),_xlfn.NUMBERVALUE(SUBSTITUTE(TRIM('Base de Datos'!J259),",",""),".",",")),"")))</f>
        <v/>
      </c>
      <c r="AH263" s="73" t="n">
        <f aca="false">IF(ISNUMBER(AI263),IF(ISNUMBER('Base de Datos'!Q259),IF('Base de Datos'!Q259&gt;20000,DATE(YEAR('Base de Datos'!Q259),DAY('Base de Datos'!Q259),MONTH('Base de Datos'!Q259)),""),IF(TRIM('Base de Datos'!Q259)="","",IFERROR(DATE(VALUE(RIGHT(TRIM('Base de Datos'!Q259),4)),VALUE(LEFT(TRIM('Base de Datos'!Q259),2)),VALUE(MID(TRIM('Base de Datos'!Q259),4,2))),""))),"")</f>
        <v>46264</v>
      </c>
      <c r="AI263" s="74" t="n">
        <f aca="false">IF(ISNUMBER('Base de Datos'!R259),'Base de Datos'!R259,IF(TRIM('Base de Datos'!R259)="","",IFERROR(IF(IFERROR(FIND("@",SUBSTITUTE(TRIM('Base de Datos'!R259),",","@",LEN(TRIM('Base de Datos'!R259))-LEN(SUBSTITUTE(TRIM('Base de Datos'!R259),",","")))),0)&gt;IFERROR(FIND("@",SUBSTITUTE(TRIM('Base de Datos'!R259),".","@",LEN(TRIM('Base de Datos'!R259))-LEN(SUBSTITUTE(TRIM('Base de Datos'!R259),".","")))),0),_xlfn.NUMBERVALUE(SUBSTITUTE(SUBSTITUTE(TRIM('Base de Datos'!R259),".",""),",","."),".",","),_xlfn.NUMBERVALUE(SUBSTITUTE(TRIM('Base de Datos'!R259),",",""),".",",")),"")))</f>
        <v>26</v>
      </c>
      <c r="AJ263" s="73" t="n">
        <f aca="false">IF(ISNUMBER(AK263),IF(ISNUMBER('Base de Datos'!Y259),IF('Base de Datos'!Y259&gt;20000,INT('Base de Datos'!Y259),""),IF(TRIM('Base de Datos'!Y259)="","",IFERROR(DATE(VALUE(RIGHT(TRIM('Base de Datos'!Y259),4)),VALUE(MID(TRIM('Base de Datos'!Y259),4,2)),VALUE(LEFT(TRIM('Base de Datos'!Y259),2))),IFERROR(DATEVALUE(TRIM('Base de Datos'!Y259)),"")))),"")</f>
        <v>46257</v>
      </c>
      <c r="AK263" s="74" t="n">
        <f aca="false">IF(ISNUMBER('Base de Datos'!Z259),'Base de Datos'!Z259,IF(TRIM('Base de Datos'!Z259)="","",IFERROR(IF(IFERROR(FIND("@",SUBSTITUTE(TRIM('Base de Datos'!Z259),",","@",LEN(TRIM('Base de Datos'!Z259))-LEN(SUBSTITUTE(TRIM('Base de Datos'!Z259),",","")))),0)&gt;IFERROR(FIND("@",SUBSTITUTE(TRIM('Base de Datos'!Z259),".","@",LEN(TRIM('Base de Datos'!Z259))-LEN(SUBSTITUTE(TRIM('Base de Datos'!Z259),".","")))),0),_xlfn.NUMBERVALUE(SUBSTITUTE(SUBSTITUTE(TRIM('Base de Datos'!Z259),".",""),",","."),".",","),_xlfn.NUMBERVALUE(SUBSTITUTE(TRIM('Base de Datos'!Z259),",",""),".",",")),"")))</f>
        <v>65484.32</v>
      </c>
    </row>
    <row r="264" customFormat="false" ht="13.5" hidden="false" customHeight="false" outlineLevel="0" collapsed="false">
      <c r="A264" s="75" t="n">
        <f aca="false">ROWS(A$13:A264)</f>
        <v>252</v>
      </c>
      <c r="B264" s="73" t="n">
        <f aca="false">IF(B263="","",IFERROR(SMALL($AH$10:$AH$409,COUNTIF($AH$10:$AH$409,"&lt;="&amp;B263)+1),""))</f>
        <v>46250</v>
      </c>
      <c r="C264" s="74" t="n">
        <f aca="false">IF(B264="","",INDEX($AI$10:$AI$409,MATCH(B264,$AH$10:$AH$409,0)))</f>
        <v>27.08</v>
      </c>
      <c r="D264" s="74" t="n">
        <f aca="false">IF(B264="","",IFERROR(INDEX($AK$10:$AK$409,MATCH(B264,$AJ$10:$AJ$409,0)),""))</f>
        <v>65729.18</v>
      </c>
      <c r="E264" s="76" t="n">
        <f aca="false">IF(AND(ISNUMBER(C264),ISNUMBER(C263)),C264/C263-1,"")</f>
        <v>-0.0152727272727273</v>
      </c>
      <c r="F264" s="76" t="n">
        <f aca="false">IF(AND(ISNUMBER(D264),ISNUMBER(D263)),D264/D263-1,"")</f>
        <v>0.0206798561123149</v>
      </c>
      <c r="G264" s="75" t="n">
        <f aca="false">IF(AND(ISNUMBER(E264),ISNUMBER(F264)),1,"")</f>
        <v>1</v>
      </c>
      <c r="H264" s="75" t="n">
        <f aca="false">IF(G264=1,COUNT(G264:G$412),"")</f>
        <v>8</v>
      </c>
      <c r="I264" s="75" t="n">
        <f aca="false">IF(G264=1,IF(H264&lt;='Beta Regresión'!$B$5,1,""),"")</f>
        <v>1</v>
      </c>
      <c r="J264" s="76" t="n">
        <f aca="false">IF(I264=1,E264,"")</f>
        <v>-0.0152727272727273</v>
      </c>
      <c r="K264" s="76" t="n">
        <f aca="false">IF(I264=1,F264,"")</f>
        <v>0.0206798561123149</v>
      </c>
      <c r="L264" s="75" t="n">
        <f aca="false">IF(I264=1,COUNT(I$13:I264),"")</f>
        <v>251</v>
      </c>
      <c r="M264" s="76" t="n">
        <f aca="false">IFERROR(INDEX($J$13:$J$412,MATCH(A264,$L$13:$L$412,0)),"")</f>
        <v>-0.000369276218611492</v>
      </c>
      <c r="N264" s="76" t="n">
        <f aca="false">IFERROR(INDEX($K$13:$K$412,MATCH(A264,$L$13:$L$412,0)),"")</f>
        <v>-0.00372528609059164</v>
      </c>
      <c r="O264" s="76" t="n">
        <f aca="false">IF(I264=1,E264,NA())</f>
        <v>-0.0152727272727273</v>
      </c>
      <c r="P264" s="76" t="n">
        <f aca="false">IF(I264=1,F264,NA())</f>
        <v>0.0206798561123149</v>
      </c>
      <c r="R264" s="75" t="n">
        <f aca="false">ROWS(R$13:R264)</f>
        <v>252</v>
      </c>
      <c r="S264" s="73" t="str">
        <f aca="false">IF(S263="","",IFERROR(SMALL($AD$10:$AD$509,COUNTIF($AD$10:$AD$509,"&lt;="&amp;S263)+1),""))</f>
        <v/>
      </c>
      <c r="T264" s="74" t="str">
        <f aca="false">IF(S264="","",INDEX($AE$10:$AE$509,MATCH(S264,$AD$10:$AD$509,0)))</f>
        <v/>
      </c>
      <c r="U264" s="74" t="str">
        <f aca="false">IF(S264="","",IFERROR(INDEX($AG$10:$AG$509,MATCH(S264,$AF$10:$AF$509,0)),""))</f>
        <v/>
      </c>
      <c r="V264" s="76" t="str">
        <f aca="false">IF(AND(ISNUMBER(T264),ISNUMBER(T263)),T264/T263-1,"")</f>
        <v/>
      </c>
      <c r="W264" s="76" t="str">
        <f aca="false">IF(AND(ISNUMBER(U264),ISNUMBER(U263)),U264/U263-1,"")</f>
        <v/>
      </c>
      <c r="X264" s="75" t="str">
        <f aca="false">IF(AND(ISNUMBER(V264),ISNUMBER(W264)),1,"")</f>
        <v/>
      </c>
      <c r="Y264" s="76" t="str">
        <f aca="false">IF(X264=1,V264,"")</f>
        <v/>
      </c>
      <c r="Z264" s="76" t="str">
        <f aca="false">IF(X264=1,W264,"")</f>
        <v/>
      </c>
      <c r="AA264" s="76" t="e">
        <f aca="false">IF(X264=1,V264,NA())</f>
        <v>#N/A</v>
      </c>
      <c r="AB264" s="76" t="e">
        <f aca="false">IF(X264=1,W264,NA())</f>
        <v>#N/A</v>
      </c>
      <c r="AD264" s="73" t="str">
        <f aca="false">IF(ISNUMBER(AE264),IF(ISNUMBER('Base de Datos'!A260),IF('Base de Datos'!A260&gt;20000,DATE(YEAR('Base de Datos'!A260),DAY('Base de Datos'!A260),MONTH('Base de Datos'!A260)),""),IF(TRIM('Base de Datos'!A260)="","",IFERROR(DATE(VALUE(RIGHT(TRIM('Base de Datos'!A260),4)),VALUE(LEFT(TRIM('Base de Datos'!A260),2)),VALUE(MID(TRIM('Base de Datos'!A260),4,2))),""))),"")</f>
        <v/>
      </c>
      <c r="AE264" s="74" t="str">
        <f aca="false">IF(ISNUMBER('Base de Datos'!B260),'Base de Datos'!B260,IF(TRIM('Base de Datos'!B260)="","",IFERROR(IF(IFERROR(FIND("@",SUBSTITUTE(TRIM('Base de Datos'!B260),",","@",LEN(TRIM('Base de Datos'!B260))-LEN(SUBSTITUTE(TRIM('Base de Datos'!B260),",","")))),0)&gt;IFERROR(FIND("@",SUBSTITUTE(TRIM('Base de Datos'!B260),".","@",LEN(TRIM('Base de Datos'!B260))-LEN(SUBSTITUTE(TRIM('Base de Datos'!B260),".","")))),0),_xlfn.NUMBERVALUE(SUBSTITUTE(SUBSTITUTE(TRIM('Base de Datos'!B260),".",""),",","."),".",","),_xlfn.NUMBERVALUE(SUBSTITUTE(TRIM('Base de Datos'!B260),",",""),".",",")),"")))</f>
        <v/>
      </c>
      <c r="AF264" s="73" t="str">
        <f aca="false">IF(ISNUMBER(AG264),IF(ISNUMBER('Base de Datos'!I260),IF('Base de Datos'!I260&gt;20000,INT('Base de Datos'!I260),""),IF(TRIM('Base de Datos'!I260)="","",IFERROR(DATE(VALUE(RIGHT(TRIM('Base de Datos'!I260),4)),VALUE(MID(TRIM('Base de Datos'!I260),4,2)),VALUE(LEFT(TRIM('Base de Datos'!I260),2))),IFERROR(DATEVALUE(TRIM('Base de Datos'!I260)),"")))),"")</f>
        <v/>
      </c>
      <c r="AG264" s="74" t="str">
        <f aca="false">IF(ISNUMBER('Base de Datos'!J260),'Base de Datos'!J260,IF(TRIM('Base de Datos'!J260)="","",IFERROR(IF(IFERROR(FIND("@",SUBSTITUTE(TRIM('Base de Datos'!J260),",","@",LEN(TRIM('Base de Datos'!J260))-LEN(SUBSTITUTE(TRIM('Base de Datos'!J260),",","")))),0)&gt;IFERROR(FIND("@",SUBSTITUTE(TRIM('Base de Datos'!J260),".","@",LEN(TRIM('Base de Datos'!J260))-LEN(SUBSTITUTE(TRIM('Base de Datos'!J260),".","")))),0),_xlfn.NUMBERVALUE(SUBSTITUTE(SUBSTITUTE(TRIM('Base de Datos'!J260),".",""),",","."),".",","),_xlfn.NUMBERVALUE(SUBSTITUTE(TRIM('Base de Datos'!J260),",",""),".",",")),"")))</f>
        <v/>
      </c>
      <c r="AH264" s="73" t="n">
        <f aca="false">IF(ISNUMBER(AI264),IF(ISNUMBER('Base de Datos'!Q260),IF('Base de Datos'!Q260&gt;20000,DATE(YEAR('Base de Datos'!Q260),DAY('Base de Datos'!Q260),MONTH('Base de Datos'!Q260)),""),IF(TRIM('Base de Datos'!Q260)="","",IFERROR(DATE(VALUE(RIGHT(TRIM('Base de Datos'!Q260),4)),VALUE(LEFT(TRIM('Base de Datos'!Q260),2)),VALUE(MID(TRIM('Base de Datos'!Q260),4,2))),""))),"")</f>
        <v>46271</v>
      </c>
      <c r="AI264" s="74" t="n">
        <f aca="false">IF(ISNUMBER('Base de Datos'!R260),'Base de Datos'!R260,IF(TRIM('Base de Datos'!R260)="","",IFERROR(IF(IFERROR(FIND("@",SUBSTITUTE(TRIM('Base de Datos'!R260),",","@",LEN(TRIM('Base de Datos'!R260))-LEN(SUBSTITUTE(TRIM('Base de Datos'!R260),",","")))),0)&gt;IFERROR(FIND("@",SUBSTITUTE(TRIM('Base de Datos'!R260),".","@",LEN(TRIM('Base de Datos'!R260))-LEN(SUBSTITUTE(TRIM('Base de Datos'!R260),".","")))),0),_xlfn.NUMBERVALUE(SUBSTITUTE(SUBSTITUTE(TRIM('Base de Datos'!R260),".",""),",","."),".",","),_xlfn.NUMBERVALUE(SUBSTITUTE(TRIM('Base de Datos'!R260),",",""),".",",")),"")))</f>
        <v>26</v>
      </c>
      <c r="AJ264" s="73" t="n">
        <f aca="false">IF(ISNUMBER(AK264),IF(ISNUMBER('Base de Datos'!Y260),IF('Base de Datos'!Y260&gt;20000,INT('Base de Datos'!Y260),""),IF(TRIM('Base de Datos'!Y260)="","",IFERROR(DATE(VALUE(RIGHT(TRIM('Base de Datos'!Y260),4)),VALUE(MID(TRIM('Base de Datos'!Y260),4,2)),VALUE(LEFT(TRIM('Base de Datos'!Y260),2))),IFERROR(DATEVALUE(TRIM('Base de Datos'!Y260)),"")))),"")</f>
        <v>46264</v>
      </c>
      <c r="AK264" s="74" t="n">
        <f aca="false">IF(ISNUMBER('Base de Datos'!Z260),'Base de Datos'!Z260,IF(TRIM('Base de Datos'!Z260)="","",IFERROR(IF(IFERROR(FIND("@",SUBSTITUTE(TRIM('Base de Datos'!Z260),",","@",LEN(TRIM('Base de Datos'!Z260))-LEN(SUBSTITUTE(TRIM('Base de Datos'!Z260),",","")))),0)&gt;IFERROR(FIND("@",SUBSTITUTE(TRIM('Base de Datos'!Z260),".","@",LEN(TRIM('Base de Datos'!Z260))-LEN(SUBSTITUTE(TRIM('Base de Datos'!Z260),".","")))),0),_xlfn.NUMBERVALUE(SUBSTITUTE(SUBSTITUTE(TRIM('Base de Datos'!Z260),".",""),",","."),".",","),_xlfn.NUMBERVALUE(SUBSTITUTE(TRIM('Base de Datos'!Z260),",",""),".",",")),"")))</f>
        <v>64866.61</v>
      </c>
    </row>
    <row r="265" customFormat="false" ht="13.5" hidden="false" customHeight="false" outlineLevel="0" collapsed="false">
      <c r="A265" s="75" t="n">
        <f aca="false">ROWS(A$13:A265)</f>
        <v>253</v>
      </c>
      <c r="B265" s="73" t="n">
        <f aca="false">IF(B264="","",IFERROR(SMALL($AH$10:$AH$409,COUNTIF($AH$10:$AH$409,"&lt;="&amp;B264)+1),""))</f>
        <v>46257</v>
      </c>
      <c r="C265" s="74" t="n">
        <f aca="false">IF(B265="","",INDEX($AI$10:$AI$409,MATCH(B265,$AH$10:$AH$409,0)))</f>
        <v>27.07</v>
      </c>
      <c r="D265" s="74" t="n">
        <f aca="false">IF(B265="","",IFERROR(INDEX($AK$10:$AK$409,MATCH(B265,$AJ$10:$AJ$409,0)),""))</f>
        <v>65484.32</v>
      </c>
      <c r="E265" s="76" t="n">
        <f aca="false">IF(AND(ISNUMBER(C265),ISNUMBER(C264)),C265/C264-1,"")</f>
        <v>-0.000369276218611492</v>
      </c>
      <c r="F265" s="76" t="n">
        <f aca="false">IF(AND(ISNUMBER(D265),ISNUMBER(D264)),D265/D264-1,"")</f>
        <v>-0.00372528609059164</v>
      </c>
      <c r="G265" s="75" t="n">
        <f aca="false">IF(AND(ISNUMBER(E265),ISNUMBER(F265)),1,"")</f>
        <v>1</v>
      </c>
      <c r="H265" s="75" t="n">
        <f aca="false">IF(G265=1,COUNT(G265:G$412),"")</f>
        <v>7</v>
      </c>
      <c r="I265" s="75" t="n">
        <f aca="false">IF(G265=1,IF(H265&lt;='Beta Regresión'!$B$5,1,""),"")</f>
        <v>1</v>
      </c>
      <c r="J265" s="76" t="n">
        <f aca="false">IF(I265=1,E265,"")</f>
        <v>-0.000369276218611492</v>
      </c>
      <c r="K265" s="76" t="n">
        <f aca="false">IF(I265=1,F265,"")</f>
        <v>-0.00372528609059164</v>
      </c>
      <c r="L265" s="75" t="n">
        <f aca="false">IF(I265=1,COUNT(I$13:I265),"")</f>
        <v>252</v>
      </c>
      <c r="M265" s="76" t="n">
        <f aca="false">IFERROR(INDEX($J$13:$J$412,MATCH(A265,$L$13:$L$412,0)),"")</f>
        <v>-0.0395271518285926</v>
      </c>
      <c r="N265" s="76" t="n">
        <f aca="false">IFERROR(INDEX($K$13:$K$412,MATCH(A265,$L$13:$L$412,0)),"")</f>
        <v>-0.00943294516916415</v>
      </c>
      <c r="O265" s="76" t="n">
        <f aca="false">IF(I265=1,E265,NA())</f>
        <v>-0.000369276218611492</v>
      </c>
      <c r="P265" s="76" t="n">
        <f aca="false">IF(I265=1,F265,NA())</f>
        <v>-0.00372528609059164</v>
      </c>
      <c r="R265" s="75" t="n">
        <f aca="false">ROWS(R$13:R265)</f>
        <v>253</v>
      </c>
      <c r="S265" s="73" t="str">
        <f aca="false">IF(S264="","",IFERROR(SMALL($AD$10:$AD$509,COUNTIF($AD$10:$AD$509,"&lt;="&amp;S264)+1),""))</f>
        <v/>
      </c>
      <c r="T265" s="74" t="str">
        <f aca="false">IF(S265="","",INDEX($AE$10:$AE$509,MATCH(S265,$AD$10:$AD$509,0)))</f>
        <v/>
      </c>
      <c r="U265" s="74" t="str">
        <f aca="false">IF(S265="","",IFERROR(INDEX($AG$10:$AG$509,MATCH(S265,$AF$10:$AF$509,0)),""))</f>
        <v/>
      </c>
      <c r="V265" s="76" t="str">
        <f aca="false">IF(AND(ISNUMBER(T265),ISNUMBER(T264)),T265/T264-1,"")</f>
        <v/>
      </c>
      <c r="W265" s="76" t="str">
        <f aca="false">IF(AND(ISNUMBER(U265),ISNUMBER(U264)),U265/U264-1,"")</f>
        <v/>
      </c>
      <c r="X265" s="75" t="str">
        <f aca="false">IF(AND(ISNUMBER(V265),ISNUMBER(W265)),1,"")</f>
        <v/>
      </c>
      <c r="Y265" s="76" t="str">
        <f aca="false">IF(X265=1,V265,"")</f>
        <v/>
      </c>
      <c r="Z265" s="76" t="str">
        <f aca="false">IF(X265=1,W265,"")</f>
        <v/>
      </c>
      <c r="AA265" s="76" t="e">
        <f aca="false">IF(X265=1,V265,NA())</f>
        <v>#N/A</v>
      </c>
      <c r="AB265" s="76" t="e">
        <f aca="false">IF(X265=1,W265,NA())</f>
        <v>#N/A</v>
      </c>
      <c r="AD265" s="73" t="str">
        <f aca="false">IF(ISNUMBER(AE265),IF(ISNUMBER('Base de Datos'!A261),IF('Base de Datos'!A261&gt;20000,DATE(YEAR('Base de Datos'!A261),DAY('Base de Datos'!A261),MONTH('Base de Datos'!A261)),""),IF(TRIM('Base de Datos'!A261)="","",IFERROR(DATE(VALUE(RIGHT(TRIM('Base de Datos'!A261),4)),VALUE(LEFT(TRIM('Base de Datos'!A261),2)),VALUE(MID(TRIM('Base de Datos'!A261),4,2))),""))),"")</f>
        <v/>
      </c>
      <c r="AE265" s="74" t="str">
        <f aca="false">IF(ISNUMBER('Base de Datos'!B261),'Base de Datos'!B261,IF(TRIM('Base de Datos'!B261)="","",IFERROR(IF(IFERROR(FIND("@",SUBSTITUTE(TRIM('Base de Datos'!B261),",","@",LEN(TRIM('Base de Datos'!B261))-LEN(SUBSTITUTE(TRIM('Base de Datos'!B261),",","")))),0)&gt;IFERROR(FIND("@",SUBSTITUTE(TRIM('Base de Datos'!B261),".","@",LEN(TRIM('Base de Datos'!B261))-LEN(SUBSTITUTE(TRIM('Base de Datos'!B261),".","")))),0),_xlfn.NUMBERVALUE(SUBSTITUTE(SUBSTITUTE(TRIM('Base de Datos'!B261),".",""),",","."),".",","),_xlfn.NUMBERVALUE(SUBSTITUTE(TRIM('Base de Datos'!B261),",",""),".",",")),"")))</f>
        <v/>
      </c>
      <c r="AF265" s="73" t="str">
        <f aca="false">IF(ISNUMBER(AG265),IF(ISNUMBER('Base de Datos'!I261),IF('Base de Datos'!I261&gt;20000,INT('Base de Datos'!I261),""),IF(TRIM('Base de Datos'!I261)="","",IFERROR(DATE(VALUE(RIGHT(TRIM('Base de Datos'!I261),4)),VALUE(MID(TRIM('Base de Datos'!I261),4,2)),VALUE(LEFT(TRIM('Base de Datos'!I261),2))),IFERROR(DATEVALUE(TRIM('Base de Datos'!I261)),"")))),"")</f>
        <v/>
      </c>
      <c r="AG265" s="74" t="str">
        <f aca="false">IF(ISNUMBER('Base de Datos'!J261),'Base de Datos'!J261,IF(TRIM('Base de Datos'!J261)="","",IFERROR(IF(IFERROR(FIND("@",SUBSTITUTE(TRIM('Base de Datos'!J261),",","@",LEN(TRIM('Base de Datos'!J261))-LEN(SUBSTITUTE(TRIM('Base de Datos'!J261),",","")))),0)&gt;IFERROR(FIND("@",SUBSTITUTE(TRIM('Base de Datos'!J261),".","@",LEN(TRIM('Base de Datos'!J261))-LEN(SUBSTITUTE(TRIM('Base de Datos'!J261),".","")))),0),_xlfn.NUMBERVALUE(SUBSTITUTE(SUBSTITUTE(TRIM('Base de Datos'!J261),".",""),",","."),".",","),_xlfn.NUMBERVALUE(SUBSTITUTE(TRIM('Base de Datos'!J261),",",""),".",",")),"")))</f>
        <v/>
      </c>
      <c r="AH265" s="73" t="n">
        <f aca="false">IF(ISNUMBER(AI265),IF(ISNUMBER('Base de Datos'!Q261),IF('Base de Datos'!Q261&gt;20000,DATE(YEAR('Base de Datos'!Q261),DAY('Base de Datos'!Q261),MONTH('Base de Datos'!Q261)),""),IF(TRIM('Base de Datos'!Q261)="","",IFERROR(DATE(VALUE(RIGHT(TRIM('Base de Datos'!Q261),4)),VALUE(LEFT(TRIM('Base de Datos'!Q261),2)),VALUE(MID(TRIM('Base de Datos'!Q261),4,2))),""))),"")</f>
        <v>46278</v>
      </c>
      <c r="AI265" s="74" t="n">
        <f aca="false">IF(ISNUMBER('Base de Datos'!R261),'Base de Datos'!R261,IF(TRIM('Base de Datos'!R261)="","",IFERROR(IF(IFERROR(FIND("@",SUBSTITUTE(TRIM('Base de Datos'!R261),",","@",LEN(TRIM('Base de Datos'!R261))-LEN(SUBSTITUTE(TRIM('Base de Datos'!R261),",","")))),0)&gt;IFERROR(FIND("@",SUBSTITUTE(TRIM('Base de Datos'!R261),".","@",LEN(TRIM('Base de Datos'!R261))-LEN(SUBSTITUTE(TRIM('Base de Datos'!R261),".","")))),0),_xlfn.NUMBERVALUE(SUBSTITUTE(SUBSTITUTE(TRIM('Base de Datos'!R261),".",""),",","."),".",","),_xlfn.NUMBERVALUE(SUBSTITUTE(TRIM('Base de Datos'!R261),",",""),".",",")),"")))</f>
        <v>30.24</v>
      </c>
      <c r="AJ265" s="73" t="n">
        <f aca="false">IF(ISNUMBER(AK265),IF(ISNUMBER('Base de Datos'!Y261),IF('Base de Datos'!Y261&gt;20000,INT('Base de Datos'!Y261),""),IF(TRIM('Base de Datos'!Y261)="","",IFERROR(DATE(VALUE(RIGHT(TRIM('Base de Datos'!Y261),4)),VALUE(MID(TRIM('Base de Datos'!Y261),4,2)),VALUE(LEFT(TRIM('Base de Datos'!Y261),2))),IFERROR(DATEVALUE(TRIM('Base de Datos'!Y261)),"")))),"")</f>
        <v>46271</v>
      </c>
      <c r="AK265" s="74" t="n">
        <f aca="false">IF(ISNUMBER('Base de Datos'!Z261),'Base de Datos'!Z261,IF(TRIM('Base de Datos'!Z261)="","",IFERROR(IF(IFERROR(FIND("@",SUBSTITUTE(TRIM('Base de Datos'!Z261),",","@",LEN(TRIM('Base de Datos'!Z261))-LEN(SUBSTITUTE(TRIM('Base de Datos'!Z261),",","")))),0)&gt;IFERROR(FIND("@",SUBSTITUTE(TRIM('Base de Datos'!Z261),".","@",LEN(TRIM('Base de Datos'!Z261))-LEN(SUBSTITUTE(TRIM('Base de Datos'!Z261),".","")))),0),_xlfn.NUMBERVALUE(SUBSTITUTE(SUBSTITUTE(TRIM('Base de Datos'!Z261),".",""),",","."),".",","),_xlfn.NUMBERVALUE(SUBSTITUTE(TRIM('Base de Datos'!Z261),",",""),".",",")),"")))</f>
        <v>63924.77</v>
      </c>
    </row>
    <row r="266" customFormat="false" ht="13.5" hidden="false" customHeight="false" outlineLevel="0" collapsed="false">
      <c r="A266" s="75" t="n">
        <f aca="false">ROWS(A$13:A266)</f>
        <v>254</v>
      </c>
      <c r="B266" s="73" t="n">
        <f aca="false">IF(B265="","",IFERROR(SMALL($AH$10:$AH$409,COUNTIF($AH$10:$AH$409,"&lt;="&amp;B265)+1),""))</f>
        <v>46264</v>
      </c>
      <c r="C266" s="74" t="n">
        <f aca="false">IF(B266="","",INDEX($AI$10:$AI$409,MATCH(B266,$AH$10:$AH$409,0)))</f>
        <v>26</v>
      </c>
      <c r="D266" s="74" t="n">
        <f aca="false">IF(B266="","",IFERROR(INDEX($AK$10:$AK$409,MATCH(B266,$AJ$10:$AJ$409,0)),""))</f>
        <v>64866.61</v>
      </c>
      <c r="E266" s="76" t="n">
        <f aca="false">IF(AND(ISNUMBER(C266),ISNUMBER(C265)),C266/C265-1,"")</f>
        <v>-0.0395271518285926</v>
      </c>
      <c r="F266" s="76" t="n">
        <f aca="false">IF(AND(ISNUMBER(D266),ISNUMBER(D265)),D266/D265-1,"")</f>
        <v>-0.00943294516916415</v>
      </c>
      <c r="G266" s="75" t="n">
        <f aca="false">IF(AND(ISNUMBER(E266),ISNUMBER(F266)),1,"")</f>
        <v>1</v>
      </c>
      <c r="H266" s="75" t="n">
        <f aca="false">IF(G266=1,COUNT(G266:G$412),"")</f>
        <v>6</v>
      </c>
      <c r="I266" s="75" t="n">
        <f aca="false">IF(G266=1,IF(H266&lt;='Beta Regresión'!$B$5,1,""),"")</f>
        <v>1</v>
      </c>
      <c r="J266" s="76" t="n">
        <f aca="false">IF(I266=1,E266,"")</f>
        <v>-0.0395271518285926</v>
      </c>
      <c r="K266" s="76" t="n">
        <f aca="false">IF(I266=1,F266,"")</f>
        <v>-0.00943294516916415</v>
      </c>
      <c r="L266" s="75" t="n">
        <f aca="false">IF(I266=1,COUNT(I$13:I266),"")</f>
        <v>253</v>
      </c>
      <c r="M266" s="76" t="n">
        <f aca="false">IFERROR(INDEX($J$13:$J$412,MATCH(A266,$L$13:$L$412,0)),"")</f>
        <v>0</v>
      </c>
      <c r="N266" s="76" t="n">
        <f aca="false">IFERROR(INDEX($K$13:$K$412,MATCH(A266,$L$13:$L$412,0)),"")</f>
        <v>-0.0145196426944464</v>
      </c>
      <c r="O266" s="76" t="n">
        <f aca="false">IF(I266=1,E266,NA())</f>
        <v>-0.0395271518285926</v>
      </c>
      <c r="P266" s="76" t="n">
        <f aca="false">IF(I266=1,F266,NA())</f>
        <v>-0.00943294516916415</v>
      </c>
      <c r="R266" s="75" t="n">
        <f aca="false">ROWS(R$13:R266)</f>
        <v>254</v>
      </c>
      <c r="S266" s="73" t="str">
        <f aca="false">IF(S265="","",IFERROR(SMALL($AD$10:$AD$509,COUNTIF($AD$10:$AD$509,"&lt;="&amp;S265)+1),""))</f>
        <v/>
      </c>
      <c r="T266" s="74" t="str">
        <f aca="false">IF(S266="","",INDEX($AE$10:$AE$509,MATCH(S266,$AD$10:$AD$509,0)))</f>
        <v/>
      </c>
      <c r="U266" s="74" t="str">
        <f aca="false">IF(S266="","",IFERROR(INDEX($AG$10:$AG$509,MATCH(S266,$AF$10:$AF$509,0)),""))</f>
        <v/>
      </c>
      <c r="V266" s="76" t="str">
        <f aca="false">IF(AND(ISNUMBER(T266),ISNUMBER(T265)),T266/T265-1,"")</f>
        <v/>
      </c>
      <c r="W266" s="76" t="str">
        <f aca="false">IF(AND(ISNUMBER(U266),ISNUMBER(U265)),U266/U265-1,"")</f>
        <v/>
      </c>
      <c r="X266" s="75" t="str">
        <f aca="false">IF(AND(ISNUMBER(V266),ISNUMBER(W266)),1,"")</f>
        <v/>
      </c>
      <c r="Y266" s="76" t="str">
        <f aca="false">IF(X266=1,V266,"")</f>
        <v/>
      </c>
      <c r="Z266" s="76" t="str">
        <f aca="false">IF(X266=1,W266,"")</f>
        <v/>
      </c>
      <c r="AA266" s="76" t="e">
        <f aca="false">IF(X266=1,V266,NA())</f>
        <v>#N/A</v>
      </c>
      <c r="AB266" s="76" t="e">
        <f aca="false">IF(X266=1,W266,NA())</f>
        <v>#N/A</v>
      </c>
      <c r="AD266" s="73" t="str">
        <f aca="false">IF(ISNUMBER(AE266),IF(ISNUMBER('Base de Datos'!A262),IF('Base de Datos'!A262&gt;20000,DATE(YEAR('Base de Datos'!A262),DAY('Base de Datos'!A262),MONTH('Base de Datos'!A262)),""),IF(TRIM('Base de Datos'!A262)="","",IFERROR(DATE(VALUE(RIGHT(TRIM('Base de Datos'!A262),4)),VALUE(LEFT(TRIM('Base de Datos'!A262),2)),VALUE(MID(TRIM('Base de Datos'!A262),4,2))),""))),"")</f>
        <v/>
      </c>
      <c r="AE266" s="74" t="str">
        <f aca="false">IF(ISNUMBER('Base de Datos'!B262),'Base de Datos'!B262,IF(TRIM('Base de Datos'!B262)="","",IFERROR(IF(IFERROR(FIND("@",SUBSTITUTE(TRIM('Base de Datos'!B262),",","@",LEN(TRIM('Base de Datos'!B262))-LEN(SUBSTITUTE(TRIM('Base de Datos'!B262),",","")))),0)&gt;IFERROR(FIND("@",SUBSTITUTE(TRIM('Base de Datos'!B262),".","@",LEN(TRIM('Base de Datos'!B262))-LEN(SUBSTITUTE(TRIM('Base de Datos'!B262),".","")))),0),_xlfn.NUMBERVALUE(SUBSTITUTE(SUBSTITUTE(TRIM('Base de Datos'!B262),".",""),",","."),".",","),_xlfn.NUMBERVALUE(SUBSTITUTE(TRIM('Base de Datos'!B262),",",""),".",",")),"")))</f>
        <v/>
      </c>
      <c r="AF266" s="73" t="str">
        <f aca="false">IF(ISNUMBER(AG266),IF(ISNUMBER('Base de Datos'!I262),IF('Base de Datos'!I262&gt;20000,INT('Base de Datos'!I262),""),IF(TRIM('Base de Datos'!I262)="","",IFERROR(DATE(VALUE(RIGHT(TRIM('Base de Datos'!I262),4)),VALUE(MID(TRIM('Base de Datos'!I262),4,2)),VALUE(LEFT(TRIM('Base de Datos'!I262),2))),IFERROR(DATEVALUE(TRIM('Base de Datos'!I262)),"")))),"")</f>
        <v/>
      </c>
      <c r="AG266" s="74" t="str">
        <f aca="false">IF(ISNUMBER('Base de Datos'!J262),'Base de Datos'!J262,IF(TRIM('Base de Datos'!J262)="","",IFERROR(IF(IFERROR(FIND("@",SUBSTITUTE(TRIM('Base de Datos'!J262),",","@",LEN(TRIM('Base de Datos'!J262))-LEN(SUBSTITUTE(TRIM('Base de Datos'!J262),",","")))),0)&gt;IFERROR(FIND("@",SUBSTITUTE(TRIM('Base de Datos'!J262),".","@",LEN(TRIM('Base de Datos'!J262))-LEN(SUBSTITUTE(TRIM('Base de Datos'!J262),".","")))),0),_xlfn.NUMBERVALUE(SUBSTITUTE(SUBSTITUTE(TRIM('Base de Datos'!J262),".",""),",","."),".",","),_xlfn.NUMBERVALUE(SUBSTITUTE(TRIM('Base de Datos'!J262),",",""),".",",")),"")))</f>
        <v/>
      </c>
      <c r="AH266" s="73" t="n">
        <f aca="false">IF(ISNUMBER(AI266),IF(ISNUMBER('Base de Datos'!Q262),IF('Base de Datos'!Q262&gt;20000,DATE(YEAR('Base de Datos'!Q262),DAY('Base de Datos'!Q262),MONTH('Base de Datos'!Q262)),""),IF(TRIM('Base de Datos'!Q262)="","",IFERROR(DATE(VALUE(RIGHT(TRIM('Base de Datos'!Q262),4)),VALUE(LEFT(TRIM('Base de Datos'!Q262),2)),VALUE(MID(TRIM('Base de Datos'!Q262),4,2))),""))),"")</f>
        <v>46285</v>
      </c>
      <c r="AI266" s="74" t="n">
        <f aca="false">IF(ISNUMBER('Base de Datos'!R262),'Base de Datos'!R262,IF(TRIM('Base de Datos'!R262)="","",IFERROR(IF(IFERROR(FIND("@",SUBSTITUTE(TRIM('Base de Datos'!R262),",","@",LEN(TRIM('Base de Datos'!R262))-LEN(SUBSTITUTE(TRIM('Base de Datos'!R262),",","")))),0)&gt;IFERROR(FIND("@",SUBSTITUTE(TRIM('Base de Datos'!R262),".","@",LEN(TRIM('Base de Datos'!R262))-LEN(SUBSTITUTE(TRIM('Base de Datos'!R262),".","")))),0),_xlfn.NUMBERVALUE(SUBSTITUTE(SUBSTITUTE(TRIM('Base de Datos'!R262),".",""),",","."),".",","),_xlfn.NUMBERVALUE(SUBSTITUTE(TRIM('Base de Datos'!R262),",",""),".",",")),"")))</f>
        <v>33.48</v>
      </c>
      <c r="AJ266" s="73" t="n">
        <f aca="false">IF(ISNUMBER(AK266),IF(ISNUMBER('Base de Datos'!Y262),IF('Base de Datos'!Y262&gt;20000,INT('Base de Datos'!Y262),""),IF(TRIM('Base de Datos'!Y262)="","",IFERROR(DATE(VALUE(RIGHT(TRIM('Base de Datos'!Y262),4)),VALUE(MID(TRIM('Base de Datos'!Y262),4,2)),VALUE(LEFT(TRIM('Base de Datos'!Y262),2))),IFERROR(DATEVALUE(TRIM('Base de Datos'!Y262)),"")))),"")</f>
        <v>46278</v>
      </c>
      <c r="AK266" s="74" t="n">
        <f aca="false">IF(ISNUMBER('Base de Datos'!Z262),'Base de Datos'!Z262,IF(TRIM('Base de Datos'!Z262)="","",IFERROR(IF(IFERROR(FIND("@",SUBSTITUTE(TRIM('Base de Datos'!Z262),",","@",LEN(TRIM('Base de Datos'!Z262))-LEN(SUBSTITUTE(TRIM('Base de Datos'!Z262),",","")))),0)&gt;IFERROR(FIND("@",SUBSTITUTE(TRIM('Base de Datos'!Z262),".","@",LEN(TRIM('Base de Datos'!Z262))-LEN(SUBSTITUTE(TRIM('Base de Datos'!Z262),".","")))),0),_xlfn.NUMBERVALUE(SUBSTITUTE(SUBSTITUTE(TRIM('Base de Datos'!Z262),".",""),",","."),".",","),_xlfn.NUMBERVALUE(SUBSTITUTE(TRIM('Base de Datos'!Z262),",",""),".",",")),"")))</f>
        <v>63375.93</v>
      </c>
    </row>
    <row r="267" customFormat="false" ht="13.5" hidden="false" customHeight="false" outlineLevel="0" collapsed="false">
      <c r="A267" s="75" t="n">
        <f aca="false">ROWS(A$13:A267)</f>
        <v>255</v>
      </c>
      <c r="B267" s="73" t="n">
        <f aca="false">IF(B266="","",IFERROR(SMALL($AH$10:$AH$409,COUNTIF($AH$10:$AH$409,"&lt;="&amp;B266)+1),""))</f>
        <v>46271</v>
      </c>
      <c r="C267" s="74" t="n">
        <f aca="false">IF(B267="","",INDEX($AI$10:$AI$409,MATCH(B267,$AH$10:$AH$409,0)))</f>
        <v>26</v>
      </c>
      <c r="D267" s="74" t="n">
        <f aca="false">IF(B267="","",IFERROR(INDEX($AK$10:$AK$409,MATCH(B267,$AJ$10:$AJ$409,0)),""))</f>
        <v>63924.77</v>
      </c>
      <c r="E267" s="76" t="n">
        <f aca="false">IF(AND(ISNUMBER(C267),ISNUMBER(C266)),C267/C266-1,"")</f>
        <v>0</v>
      </c>
      <c r="F267" s="76" t="n">
        <f aca="false">IF(AND(ISNUMBER(D267),ISNUMBER(D266)),D267/D266-1,"")</f>
        <v>-0.0145196426944464</v>
      </c>
      <c r="G267" s="75" t="n">
        <f aca="false">IF(AND(ISNUMBER(E267),ISNUMBER(F267)),1,"")</f>
        <v>1</v>
      </c>
      <c r="H267" s="75" t="n">
        <f aca="false">IF(G267=1,COUNT(G267:G$412),"")</f>
        <v>5</v>
      </c>
      <c r="I267" s="75" t="n">
        <f aca="false">IF(G267=1,IF(H267&lt;='Beta Regresión'!$B$5,1,""),"")</f>
        <v>1</v>
      </c>
      <c r="J267" s="76" t="n">
        <f aca="false">IF(I267=1,E267,"")</f>
        <v>0</v>
      </c>
      <c r="K267" s="76" t="n">
        <f aca="false">IF(I267=1,F267,"")</f>
        <v>-0.0145196426944464</v>
      </c>
      <c r="L267" s="75" t="n">
        <f aca="false">IF(I267=1,COUNT(I$13:I267),"")</f>
        <v>254</v>
      </c>
      <c r="M267" s="76" t="n">
        <f aca="false">IFERROR(INDEX($J$13:$J$412,MATCH(A267,$L$13:$L$412,0)),"")</f>
        <v>0.163076923076923</v>
      </c>
      <c r="N267" s="76" t="n">
        <f aca="false">IFERROR(INDEX($K$13:$K$412,MATCH(A267,$L$13:$L$412,0)),"")</f>
        <v>-0.00858571724231461</v>
      </c>
      <c r="O267" s="76" t="n">
        <f aca="false">IF(I267=1,E267,NA())</f>
        <v>0</v>
      </c>
      <c r="P267" s="76" t="n">
        <f aca="false">IF(I267=1,F267,NA())</f>
        <v>-0.0145196426944464</v>
      </c>
      <c r="R267" s="75" t="n">
        <f aca="false">ROWS(R$13:R267)</f>
        <v>255</v>
      </c>
      <c r="S267" s="73" t="str">
        <f aca="false">IF(S266="","",IFERROR(SMALL($AD$10:$AD$509,COUNTIF($AD$10:$AD$509,"&lt;="&amp;S266)+1),""))</f>
        <v/>
      </c>
      <c r="T267" s="74" t="str">
        <f aca="false">IF(S267="","",INDEX($AE$10:$AE$509,MATCH(S267,$AD$10:$AD$509,0)))</f>
        <v/>
      </c>
      <c r="U267" s="74" t="str">
        <f aca="false">IF(S267="","",IFERROR(INDEX($AG$10:$AG$509,MATCH(S267,$AF$10:$AF$509,0)),""))</f>
        <v/>
      </c>
      <c r="V267" s="76" t="str">
        <f aca="false">IF(AND(ISNUMBER(T267),ISNUMBER(T266)),T267/T266-1,"")</f>
        <v/>
      </c>
      <c r="W267" s="76" t="str">
        <f aca="false">IF(AND(ISNUMBER(U267),ISNUMBER(U266)),U267/U266-1,"")</f>
        <v/>
      </c>
      <c r="X267" s="75" t="str">
        <f aca="false">IF(AND(ISNUMBER(V267),ISNUMBER(W267)),1,"")</f>
        <v/>
      </c>
      <c r="Y267" s="76" t="str">
        <f aca="false">IF(X267=1,V267,"")</f>
        <v/>
      </c>
      <c r="Z267" s="76" t="str">
        <f aca="false">IF(X267=1,W267,"")</f>
        <v/>
      </c>
      <c r="AA267" s="76" t="e">
        <f aca="false">IF(X267=1,V267,NA())</f>
        <v>#N/A</v>
      </c>
      <c r="AB267" s="76" t="e">
        <f aca="false">IF(X267=1,W267,NA())</f>
        <v>#N/A</v>
      </c>
      <c r="AD267" s="73" t="str">
        <f aca="false">IF(ISNUMBER(AE267),IF(ISNUMBER('Base de Datos'!A263),IF('Base de Datos'!A263&gt;20000,DATE(YEAR('Base de Datos'!A263),DAY('Base de Datos'!A263),MONTH('Base de Datos'!A263)),""),IF(TRIM('Base de Datos'!A263)="","",IFERROR(DATE(VALUE(RIGHT(TRIM('Base de Datos'!A263),4)),VALUE(LEFT(TRIM('Base de Datos'!A263),2)),VALUE(MID(TRIM('Base de Datos'!A263),4,2))),""))),"")</f>
        <v/>
      </c>
      <c r="AE267" s="74" t="str">
        <f aca="false">IF(ISNUMBER('Base de Datos'!B263),'Base de Datos'!B263,IF(TRIM('Base de Datos'!B263)="","",IFERROR(IF(IFERROR(FIND("@",SUBSTITUTE(TRIM('Base de Datos'!B263),",","@",LEN(TRIM('Base de Datos'!B263))-LEN(SUBSTITUTE(TRIM('Base de Datos'!B263),",","")))),0)&gt;IFERROR(FIND("@",SUBSTITUTE(TRIM('Base de Datos'!B263),".","@",LEN(TRIM('Base de Datos'!B263))-LEN(SUBSTITUTE(TRIM('Base de Datos'!B263),".","")))),0),_xlfn.NUMBERVALUE(SUBSTITUTE(SUBSTITUTE(TRIM('Base de Datos'!B263),".",""),",","."),".",","),_xlfn.NUMBERVALUE(SUBSTITUTE(TRIM('Base de Datos'!B263),",",""),".",",")),"")))</f>
        <v/>
      </c>
      <c r="AF267" s="73" t="str">
        <f aca="false">IF(ISNUMBER(AG267),IF(ISNUMBER('Base de Datos'!I263),IF('Base de Datos'!I263&gt;20000,INT('Base de Datos'!I263),""),IF(TRIM('Base de Datos'!I263)="","",IFERROR(DATE(VALUE(RIGHT(TRIM('Base de Datos'!I263),4)),VALUE(MID(TRIM('Base de Datos'!I263),4,2)),VALUE(LEFT(TRIM('Base de Datos'!I263),2))),IFERROR(DATEVALUE(TRIM('Base de Datos'!I263)),"")))),"")</f>
        <v/>
      </c>
      <c r="AG267" s="74" t="str">
        <f aca="false">IF(ISNUMBER('Base de Datos'!J263),'Base de Datos'!J263,IF(TRIM('Base de Datos'!J263)="","",IFERROR(IF(IFERROR(FIND("@",SUBSTITUTE(TRIM('Base de Datos'!J263),",","@",LEN(TRIM('Base de Datos'!J263))-LEN(SUBSTITUTE(TRIM('Base de Datos'!J263),",","")))),0)&gt;IFERROR(FIND("@",SUBSTITUTE(TRIM('Base de Datos'!J263),".","@",LEN(TRIM('Base de Datos'!J263))-LEN(SUBSTITUTE(TRIM('Base de Datos'!J263),".","")))),0),_xlfn.NUMBERVALUE(SUBSTITUTE(SUBSTITUTE(TRIM('Base de Datos'!J263),".",""),",","."),".",","),_xlfn.NUMBERVALUE(SUBSTITUTE(TRIM('Base de Datos'!J263),",",""),".",",")),"")))</f>
        <v/>
      </c>
      <c r="AH267" s="73" t="n">
        <f aca="false">IF(ISNUMBER(AI267),IF(ISNUMBER('Base de Datos'!Q263),IF('Base de Datos'!Q263&gt;20000,DATE(YEAR('Base de Datos'!Q263),DAY('Base de Datos'!Q263),MONTH('Base de Datos'!Q263)),""),IF(TRIM('Base de Datos'!Q263)="","",IFERROR(DATE(VALUE(RIGHT(TRIM('Base de Datos'!Q263),4)),VALUE(LEFT(TRIM('Base de Datos'!Q263),2)),VALUE(MID(TRIM('Base de Datos'!Q263),4,2))),""))),"")</f>
        <v>46292</v>
      </c>
      <c r="AI267" s="74" t="n">
        <f aca="false">IF(ISNUMBER('Base de Datos'!R263),'Base de Datos'!R263,IF(TRIM('Base de Datos'!R263)="","",IFERROR(IF(IFERROR(FIND("@",SUBSTITUTE(TRIM('Base de Datos'!R263),",","@",LEN(TRIM('Base de Datos'!R263))-LEN(SUBSTITUTE(TRIM('Base de Datos'!R263),",","")))),0)&gt;IFERROR(FIND("@",SUBSTITUTE(TRIM('Base de Datos'!R263),".","@",LEN(TRIM('Base de Datos'!R263))-LEN(SUBSTITUTE(TRIM('Base de Datos'!R263),".","")))),0),_xlfn.NUMBERVALUE(SUBSTITUTE(SUBSTITUTE(TRIM('Base de Datos'!R263),".",""),",","."),".",","),_xlfn.NUMBERVALUE(SUBSTITUTE(TRIM('Base de Datos'!R263),",",""),".",",")),"")))</f>
        <v>34.1</v>
      </c>
      <c r="AJ267" s="73" t="n">
        <f aca="false">IF(ISNUMBER(AK267),IF(ISNUMBER('Base de Datos'!Y263),IF('Base de Datos'!Y263&gt;20000,INT('Base de Datos'!Y263),""),IF(TRIM('Base de Datos'!Y263)="","",IFERROR(DATE(VALUE(RIGHT(TRIM('Base de Datos'!Y263),4)),VALUE(MID(TRIM('Base de Datos'!Y263),4,2)),VALUE(LEFT(TRIM('Base de Datos'!Y263),2))),IFERROR(DATEVALUE(TRIM('Base de Datos'!Y263)),"")))),"")</f>
        <v>46285</v>
      </c>
      <c r="AK267" s="74" t="n">
        <f aca="false">IF(ISNUMBER('Base de Datos'!Z263),'Base de Datos'!Z263,IF(TRIM('Base de Datos'!Z263)="","",IFERROR(IF(IFERROR(FIND("@",SUBSTITUTE(TRIM('Base de Datos'!Z263),",","@",LEN(TRIM('Base de Datos'!Z263))-LEN(SUBSTITUTE(TRIM('Base de Datos'!Z263),",","")))),0)&gt;IFERROR(FIND("@",SUBSTITUTE(TRIM('Base de Datos'!Z263),".","@",LEN(TRIM('Base de Datos'!Z263))-LEN(SUBSTITUTE(TRIM('Base de Datos'!Z263),".","")))),0),_xlfn.NUMBERVALUE(SUBSTITUTE(SUBSTITUTE(TRIM('Base de Datos'!Z263),".",""),",","."),".",","),_xlfn.NUMBERVALUE(SUBSTITUTE(TRIM('Base de Datos'!Z263),",",""),".",",")),"")))</f>
        <v>64992.23</v>
      </c>
    </row>
    <row r="268" customFormat="false" ht="13.5" hidden="false" customHeight="false" outlineLevel="0" collapsed="false">
      <c r="A268" s="75" t="n">
        <f aca="false">ROWS(A$13:A268)</f>
        <v>256</v>
      </c>
      <c r="B268" s="73" t="n">
        <f aca="false">IF(B267="","",IFERROR(SMALL($AH$10:$AH$409,COUNTIF($AH$10:$AH$409,"&lt;="&amp;B267)+1),""))</f>
        <v>46278</v>
      </c>
      <c r="C268" s="74" t="n">
        <f aca="false">IF(B268="","",INDEX($AI$10:$AI$409,MATCH(B268,$AH$10:$AH$409,0)))</f>
        <v>30.24</v>
      </c>
      <c r="D268" s="74" t="n">
        <f aca="false">IF(B268="","",IFERROR(INDEX($AK$10:$AK$409,MATCH(B268,$AJ$10:$AJ$409,0)),""))</f>
        <v>63375.93</v>
      </c>
      <c r="E268" s="76" t="n">
        <f aca="false">IF(AND(ISNUMBER(C268),ISNUMBER(C267)),C268/C267-1,"")</f>
        <v>0.163076923076923</v>
      </c>
      <c r="F268" s="76" t="n">
        <f aca="false">IF(AND(ISNUMBER(D268),ISNUMBER(D267)),D268/D267-1,"")</f>
        <v>-0.00858571724231461</v>
      </c>
      <c r="G268" s="75" t="n">
        <f aca="false">IF(AND(ISNUMBER(E268),ISNUMBER(F268)),1,"")</f>
        <v>1</v>
      </c>
      <c r="H268" s="75" t="n">
        <f aca="false">IF(G268=1,COUNT(G268:G$412),"")</f>
        <v>4</v>
      </c>
      <c r="I268" s="75" t="n">
        <f aca="false">IF(G268=1,IF(H268&lt;='Beta Regresión'!$B$5,1,""),"")</f>
        <v>1</v>
      </c>
      <c r="J268" s="76" t="n">
        <f aca="false">IF(I268=1,E268,"")</f>
        <v>0.163076923076923</v>
      </c>
      <c r="K268" s="76" t="n">
        <f aca="false">IF(I268=1,F268,"")</f>
        <v>-0.00858571724231461</v>
      </c>
      <c r="L268" s="75" t="n">
        <f aca="false">IF(I268=1,COUNT(I$13:I268),"")</f>
        <v>255</v>
      </c>
      <c r="M268" s="76" t="n">
        <f aca="false">IFERROR(INDEX($J$13:$J$412,MATCH(A268,$L$13:$L$412,0)),"")</f>
        <v>0.107142857142857</v>
      </c>
      <c r="N268" s="76" t="n">
        <f aca="false">IFERROR(INDEX($K$13:$K$412,MATCH(A268,$L$13:$L$412,0)),"")</f>
        <v>0.0255033732838319</v>
      </c>
      <c r="O268" s="76" t="n">
        <f aca="false">IF(I268=1,E268,NA())</f>
        <v>0.163076923076923</v>
      </c>
      <c r="P268" s="76" t="n">
        <f aca="false">IF(I268=1,F268,NA())</f>
        <v>-0.00858571724231461</v>
      </c>
      <c r="R268" s="75" t="n">
        <f aca="false">ROWS(R$13:R268)</f>
        <v>256</v>
      </c>
      <c r="S268" s="73" t="str">
        <f aca="false">IF(S267="","",IFERROR(SMALL($AD$10:$AD$509,COUNTIF($AD$10:$AD$509,"&lt;="&amp;S267)+1),""))</f>
        <v/>
      </c>
      <c r="T268" s="74" t="str">
        <f aca="false">IF(S268="","",INDEX($AE$10:$AE$509,MATCH(S268,$AD$10:$AD$509,0)))</f>
        <v/>
      </c>
      <c r="U268" s="74" t="str">
        <f aca="false">IF(S268="","",IFERROR(INDEX($AG$10:$AG$509,MATCH(S268,$AF$10:$AF$509,0)),""))</f>
        <v/>
      </c>
      <c r="V268" s="76" t="str">
        <f aca="false">IF(AND(ISNUMBER(T268),ISNUMBER(T267)),T268/T267-1,"")</f>
        <v/>
      </c>
      <c r="W268" s="76" t="str">
        <f aca="false">IF(AND(ISNUMBER(U268),ISNUMBER(U267)),U268/U267-1,"")</f>
        <v/>
      </c>
      <c r="X268" s="75" t="str">
        <f aca="false">IF(AND(ISNUMBER(V268),ISNUMBER(W268)),1,"")</f>
        <v/>
      </c>
      <c r="Y268" s="76" t="str">
        <f aca="false">IF(X268=1,V268,"")</f>
        <v/>
      </c>
      <c r="Z268" s="76" t="str">
        <f aca="false">IF(X268=1,W268,"")</f>
        <v/>
      </c>
      <c r="AA268" s="76" t="e">
        <f aca="false">IF(X268=1,V268,NA())</f>
        <v>#N/A</v>
      </c>
      <c r="AB268" s="76" t="e">
        <f aca="false">IF(X268=1,W268,NA())</f>
        <v>#N/A</v>
      </c>
      <c r="AD268" s="73" t="str">
        <f aca="false">IF(ISNUMBER(AE268),IF(ISNUMBER('Base de Datos'!A264),IF('Base de Datos'!A264&gt;20000,DATE(YEAR('Base de Datos'!A264),DAY('Base de Datos'!A264),MONTH('Base de Datos'!A264)),""),IF(TRIM('Base de Datos'!A264)="","",IFERROR(DATE(VALUE(RIGHT(TRIM('Base de Datos'!A264),4)),VALUE(LEFT(TRIM('Base de Datos'!A264),2)),VALUE(MID(TRIM('Base de Datos'!A264),4,2))),""))),"")</f>
        <v/>
      </c>
      <c r="AE268" s="74" t="str">
        <f aca="false">IF(ISNUMBER('Base de Datos'!B264),'Base de Datos'!B264,IF(TRIM('Base de Datos'!B264)="","",IFERROR(IF(IFERROR(FIND("@",SUBSTITUTE(TRIM('Base de Datos'!B264),",","@",LEN(TRIM('Base de Datos'!B264))-LEN(SUBSTITUTE(TRIM('Base de Datos'!B264),",","")))),0)&gt;IFERROR(FIND("@",SUBSTITUTE(TRIM('Base de Datos'!B264),".","@",LEN(TRIM('Base de Datos'!B264))-LEN(SUBSTITUTE(TRIM('Base de Datos'!B264),".","")))),0),_xlfn.NUMBERVALUE(SUBSTITUTE(SUBSTITUTE(TRIM('Base de Datos'!B264),".",""),",","."),".",","),_xlfn.NUMBERVALUE(SUBSTITUTE(TRIM('Base de Datos'!B264),",",""),".",",")),"")))</f>
        <v/>
      </c>
      <c r="AF268" s="73" t="str">
        <f aca="false">IF(ISNUMBER(AG268),IF(ISNUMBER('Base de Datos'!I264),IF('Base de Datos'!I264&gt;20000,INT('Base de Datos'!I264),""),IF(TRIM('Base de Datos'!I264)="","",IFERROR(DATE(VALUE(RIGHT(TRIM('Base de Datos'!I264),4)),VALUE(MID(TRIM('Base de Datos'!I264),4,2)),VALUE(LEFT(TRIM('Base de Datos'!I264),2))),IFERROR(DATEVALUE(TRIM('Base de Datos'!I264)),"")))),"")</f>
        <v/>
      </c>
      <c r="AG268" s="74" t="str">
        <f aca="false">IF(ISNUMBER('Base de Datos'!J264),'Base de Datos'!J264,IF(TRIM('Base de Datos'!J264)="","",IFERROR(IF(IFERROR(FIND("@",SUBSTITUTE(TRIM('Base de Datos'!J264),",","@",LEN(TRIM('Base de Datos'!J264))-LEN(SUBSTITUTE(TRIM('Base de Datos'!J264),",","")))),0)&gt;IFERROR(FIND("@",SUBSTITUTE(TRIM('Base de Datos'!J264),".","@",LEN(TRIM('Base de Datos'!J264))-LEN(SUBSTITUTE(TRIM('Base de Datos'!J264),".","")))),0),_xlfn.NUMBERVALUE(SUBSTITUTE(SUBSTITUTE(TRIM('Base de Datos'!J264),".",""),",","."),".",","),_xlfn.NUMBERVALUE(SUBSTITUTE(TRIM('Base de Datos'!J264),",",""),".",",")),"")))</f>
        <v/>
      </c>
      <c r="AH268" s="73" t="n">
        <f aca="false">IF(ISNUMBER(AI268),IF(ISNUMBER('Base de Datos'!Q264),IF('Base de Datos'!Q264&gt;20000,DATE(YEAR('Base de Datos'!Q264),DAY('Base de Datos'!Q264),MONTH('Base de Datos'!Q264)),""),IF(TRIM('Base de Datos'!Q264)="","",IFERROR(DATE(VALUE(RIGHT(TRIM('Base de Datos'!Q264),4)),VALUE(LEFT(TRIM('Base de Datos'!Q264),2)),VALUE(MID(TRIM('Base de Datos'!Q264),4,2))),""))),"")</f>
        <v>46299</v>
      </c>
      <c r="AI268" s="74" t="n">
        <f aca="false">IF(ISNUMBER('Base de Datos'!R264),'Base de Datos'!R264,IF(TRIM('Base de Datos'!R264)="","",IFERROR(IF(IFERROR(FIND("@",SUBSTITUTE(TRIM('Base de Datos'!R264),",","@",LEN(TRIM('Base de Datos'!R264))-LEN(SUBSTITUTE(TRIM('Base de Datos'!R264),",","")))),0)&gt;IFERROR(FIND("@",SUBSTITUTE(TRIM('Base de Datos'!R264),".","@",LEN(TRIM('Base de Datos'!R264))-LEN(SUBSTITUTE(TRIM('Base de Datos'!R264),".","")))),0),_xlfn.NUMBERVALUE(SUBSTITUTE(SUBSTITUTE(TRIM('Base de Datos'!R264),".",""),",","."),".",","),_xlfn.NUMBERVALUE(SUBSTITUTE(TRIM('Base de Datos'!R264),",",""),".",",")),"")))</f>
        <v>33.1</v>
      </c>
      <c r="AJ268" s="73" t="n">
        <f aca="false">IF(ISNUMBER(AK268),IF(ISNUMBER('Base de Datos'!Y264),IF('Base de Datos'!Y264&gt;20000,INT('Base de Datos'!Y264),""),IF(TRIM('Base de Datos'!Y264)="","",IFERROR(DATE(VALUE(RIGHT(TRIM('Base de Datos'!Y264),4)),VALUE(MID(TRIM('Base de Datos'!Y264),4,2)),VALUE(LEFT(TRIM('Base de Datos'!Y264),2))),IFERROR(DATEVALUE(TRIM('Base de Datos'!Y264)),"")))),"")</f>
        <v>46292</v>
      </c>
      <c r="AK268" s="74" t="n">
        <f aca="false">IF(ISNUMBER('Base de Datos'!Z264),'Base de Datos'!Z264,IF(TRIM('Base de Datos'!Z264)="","",IFERROR(IF(IFERROR(FIND("@",SUBSTITUTE(TRIM('Base de Datos'!Z264),",","@",LEN(TRIM('Base de Datos'!Z264))-LEN(SUBSTITUTE(TRIM('Base de Datos'!Z264),",","")))),0)&gt;IFERROR(FIND("@",SUBSTITUTE(TRIM('Base de Datos'!Z264),".","@",LEN(TRIM('Base de Datos'!Z264))-LEN(SUBSTITUTE(TRIM('Base de Datos'!Z264),".","")))),0),_xlfn.NUMBERVALUE(SUBSTITUTE(SUBSTITUTE(TRIM('Base de Datos'!Z264),".",""),",","."),".",","),_xlfn.NUMBERVALUE(SUBSTITUTE(TRIM('Base de Datos'!Z264),",",""),".",",")),"")))</f>
        <v>64531.68</v>
      </c>
    </row>
    <row r="269" customFormat="false" ht="13.5" hidden="false" customHeight="false" outlineLevel="0" collapsed="false">
      <c r="A269" s="75" t="n">
        <f aca="false">ROWS(A$13:A269)</f>
        <v>257</v>
      </c>
      <c r="B269" s="73" t="n">
        <f aca="false">IF(B268="","",IFERROR(SMALL($AH$10:$AH$409,COUNTIF($AH$10:$AH$409,"&lt;="&amp;B268)+1),""))</f>
        <v>46285</v>
      </c>
      <c r="C269" s="74" t="n">
        <f aca="false">IF(B269="","",INDEX($AI$10:$AI$409,MATCH(B269,$AH$10:$AH$409,0)))</f>
        <v>33.48</v>
      </c>
      <c r="D269" s="74" t="n">
        <f aca="false">IF(B269="","",IFERROR(INDEX($AK$10:$AK$409,MATCH(B269,$AJ$10:$AJ$409,0)),""))</f>
        <v>64992.23</v>
      </c>
      <c r="E269" s="76" t="n">
        <f aca="false">IF(AND(ISNUMBER(C269),ISNUMBER(C268)),C269/C268-1,"")</f>
        <v>0.107142857142857</v>
      </c>
      <c r="F269" s="76" t="n">
        <f aca="false">IF(AND(ISNUMBER(D269),ISNUMBER(D268)),D269/D268-1,"")</f>
        <v>0.0255033732838319</v>
      </c>
      <c r="G269" s="75" t="n">
        <f aca="false">IF(AND(ISNUMBER(E269),ISNUMBER(F269)),1,"")</f>
        <v>1</v>
      </c>
      <c r="H269" s="75" t="n">
        <f aca="false">IF(G269=1,COUNT(G269:G$412),"")</f>
        <v>3</v>
      </c>
      <c r="I269" s="75" t="n">
        <f aca="false">IF(G269=1,IF(H269&lt;='Beta Regresión'!$B$5,1,""),"")</f>
        <v>1</v>
      </c>
      <c r="J269" s="76" t="n">
        <f aca="false">IF(I269=1,E269,"")</f>
        <v>0.107142857142857</v>
      </c>
      <c r="K269" s="76" t="n">
        <f aca="false">IF(I269=1,F269,"")</f>
        <v>0.0255033732838319</v>
      </c>
      <c r="L269" s="75" t="n">
        <f aca="false">IF(I269=1,COUNT(I$13:I269),"")</f>
        <v>256</v>
      </c>
      <c r="M269" s="76" t="n">
        <f aca="false">IFERROR(INDEX($J$13:$J$412,MATCH(A269,$L$13:$L$412,0)),"")</f>
        <v>0.0185185185185186</v>
      </c>
      <c r="N269" s="76" t="n">
        <f aca="false">IFERROR(INDEX($K$13:$K$412,MATCH(A269,$L$13:$L$412,0)),"")</f>
        <v>-0.00708623169261935</v>
      </c>
      <c r="O269" s="76" t="n">
        <f aca="false">IF(I269=1,E269,NA())</f>
        <v>0.107142857142857</v>
      </c>
      <c r="P269" s="76" t="n">
        <f aca="false">IF(I269=1,F269,NA())</f>
        <v>0.0255033732838319</v>
      </c>
      <c r="R269" s="75" t="n">
        <f aca="false">ROWS(R$13:R269)</f>
        <v>257</v>
      </c>
      <c r="S269" s="73" t="str">
        <f aca="false">IF(S268="","",IFERROR(SMALL($AD$10:$AD$509,COUNTIF($AD$10:$AD$509,"&lt;="&amp;S268)+1),""))</f>
        <v/>
      </c>
      <c r="T269" s="74" t="str">
        <f aca="false">IF(S269="","",INDEX($AE$10:$AE$509,MATCH(S269,$AD$10:$AD$509,0)))</f>
        <v/>
      </c>
      <c r="U269" s="74" t="str">
        <f aca="false">IF(S269="","",IFERROR(INDEX($AG$10:$AG$509,MATCH(S269,$AF$10:$AF$509,0)),""))</f>
        <v/>
      </c>
      <c r="V269" s="76" t="str">
        <f aca="false">IF(AND(ISNUMBER(T269),ISNUMBER(T268)),T269/T268-1,"")</f>
        <v/>
      </c>
      <c r="W269" s="76" t="str">
        <f aca="false">IF(AND(ISNUMBER(U269),ISNUMBER(U268)),U269/U268-1,"")</f>
        <v/>
      </c>
      <c r="X269" s="75" t="str">
        <f aca="false">IF(AND(ISNUMBER(V269),ISNUMBER(W269)),1,"")</f>
        <v/>
      </c>
      <c r="Y269" s="76" t="str">
        <f aca="false">IF(X269=1,V269,"")</f>
        <v/>
      </c>
      <c r="Z269" s="76" t="str">
        <f aca="false">IF(X269=1,W269,"")</f>
        <v/>
      </c>
      <c r="AA269" s="76" t="e">
        <f aca="false">IF(X269=1,V269,NA())</f>
        <v>#N/A</v>
      </c>
      <c r="AB269" s="76" t="e">
        <f aca="false">IF(X269=1,W269,NA())</f>
        <v>#N/A</v>
      </c>
      <c r="AD269" s="73" t="str">
        <f aca="false">IF(ISNUMBER(AE269),IF(ISNUMBER('Base de Datos'!A265),IF('Base de Datos'!A265&gt;20000,DATE(YEAR('Base de Datos'!A265),DAY('Base de Datos'!A265),MONTH('Base de Datos'!A265)),""),IF(TRIM('Base de Datos'!A265)="","",IFERROR(DATE(VALUE(RIGHT(TRIM('Base de Datos'!A265),4)),VALUE(LEFT(TRIM('Base de Datos'!A265),2)),VALUE(MID(TRIM('Base de Datos'!A265),4,2))),""))),"")</f>
        <v/>
      </c>
      <c r="AE269" s="74" t="str">
        <f aca="false">IF(ISNUMBER('Base de Datos'!B265),'Base de Datos'!B265,IF(TRIM('Base de Datos'!B265)="","",IFERROR(IF(IFERROR(FIND("@",SUBSTITUTE(TRIM('Base de Datos'!B265),",","@",LEN(TRIM('Base de Datos'!B265))-LEN(SUBSTITUTE(TRIM('Base de Datos'!B265),",","")))),0)&gt;IFERROR(FIND("@",SUBSTITUTE(TRIM('Base de Datos'!B265),".","@",LEN(TRIM('Base de Datos'!B265))-LEN(SUBSTITUTE(TRIM('Base de Datos'!B265),".","")))),0),_xlfn.NUMBERVALUE(SUBSTITUTE(SUBSTITUTE(TRIM('Base de Datos'!B265),".",""),",","."),".",","),_xlfn.NUMBERVALUE(SUBSTITUTE(TRIM('Base de Datos'!B265),",",""),".",",")),"")))</f>
        <v/>
      </c>
      <c r="AF269" s="73" t="str">
        <f aca="false">IF(ISNUMBER(AG269),IF(ISNUMBER('Base de Datos'!I265),IF('Base de Datos'!I265&gt;20000,INT('Base de Datos'!I265),""),IF(TRIM('Base de Datos'!I265)="","",IFERROR(DATE(VALUE(RIGHT(TRIM('Base de Datos'!I265),4)),VALUE(MID(TRIM('Base de Datos'!I265),4,2)),VALUE(LEFT(TRIM('Base de Datos'!I265),2))),IFERROR(DATEVALUE(TRIM('Base de Datos'!I265)),"")))),"")</f>
        <v/>
      </c>
      <c r="AG269" s="74" t="str">
        <f aca="false">IF(ISNUMBER('Base de Datos'!J265),'Base de Datos'!J265,IF(TRIM('Base de Datos'!J265)="","",IFERROR(IF(IFERROR(FIND("@",SUBSTITUTE(TRIM('Base de Datos'!J265),",","@",LEN(TRIM('Base de Datos'!J265))-LEN(SUBSTITUTE(TRIM('Base de Datos'!J265),",","")))),0)&gt;IFERROR(FIND("@",SUBSTITUTE(TRIM('Base de Datos'!J265),".","@",LEN(TRIM('Base de Datos'!J265))-LEN(SUBSTITUTE(TRIM('Base de Datos'!J265),".","")))),0),_xlfn.NUMBERVALUE(SUBSTITUTE(SUBSTITUTE(TRIM('Base de Datos'!J265),".",""),",","."),".",","),_xlfn.NUMBERVALUE(SUBSTITUTE(TRIM('Base de Datos'!J265),",",""),".",",")),"")))</f>
        <v/>
      </c>
      <c r="AH269" s="73" t="str">
        <f aca="false">IF(ISNUMBER(AI269),IF(ISNUMBER('Base de Datos'!Q265),IF('Base de Datos'!Q265&gt;20000,DATE(YEAR('Base de Datos'!Q265),DAY('Base de Datos'!Q265),MONTH('Base de Datos'!Q265)),""),IF(TRIM('Base de Datos'!Q265)="","",IFERROR(DATE(VALUE(RIGHT(TRIM('Base de Datos'!Q265),4)),VALUE(LEFT(TRIM('Base de Datos'!Q265),2)),VALUE(MID(TRIM('Base de Datos'!Q265),4,2))),""))),"")</f>
        <v/>
      </c>
      <c r="AI269" s="74" t="str">
        <f aca="false">IF(ISNUMBER('Base de Datos'!R265),'Base de Datos'!R265,IF(TRIM('Base de Datos'!R265)="","",IFERROR(IF(IFERROR(FIND("@",SUBSTITUTE(TRIM('Base de Datos'!R265),",","@",LEN(TRIM('Base de Datos'!R265))-LEN(SUBSTITUTE(TRIM('Base de Datos'!R265),",","")))),0)&gt;IFERROR(FIND("@",SUBSTITUTE(TRIM('Base de Datos'!R265),".","@",LEN(TRIM('Base de Datos'!R265))-LEN(SUBSTITUTE(TRIM('Base de Datos'!R265),".","")))),0),_xlfn.NUMBERVALUE(SUBSTITUTE(SUBSTITUTE(TRIM('Base de Datos'!R265),".",""),",","."),".",","),_xlfn.NUMBERVALUE(SUBSTITUTE(TRIM('Base de Datos'!R265),",",""),".",",")),"")))</f>
        <v/>
      </c>
      <c r="AJ269" s="73" t="n">
        <f aca="false">IF(ISNUMBER(AK269),IF(ISNUMBER('Base de Datos'!Y265),IF('Base de Datos'!Y265&gt;20000,INT('Base de Datos'!Y265),""),IF(TRIM('Base de Datos'!Y265)="","",IFERROR(DATE(VALUE(RIGHT(TRIM('Base de Datos'!Y265),4)),VALUE(MID(TRIM('Base de Datos'!Y265),4,2)),VALUE(LEFT(TRIM('Base de Datos'!Y265),2))),IFERROR(DATEVALUE(TRIM('Base de Datos'!Y265)),"")))),"")</f>
        <v>46299</v>
      </c>
      <c r="AK269" s="74" t="n">
        <f aca="false">IF(ISNUMBER('Base de Datos'!Z265),'Base de Datos'!Z265,IF(TRIM('Base de Datos'!Z265)="","",IFERROR(IF(IFERROR(FIND("@",SUBSTITUTE(TRIM('Base de Datos'!Z265),",","@",LEN(TRIM('Base de Datos'!Z265))-LEN(SUBSTITUTE(TRIM('Base de Datos'!Z265),",","")))),0)&gt;IFERROR(FIND("@",SUBSTITUTE(TRIM('Base de Datos'!Z265),".","@",LEN(TRIM('Base de Datos'!Z265))-LEN(SUBSTITUTE(TRIM('Base de Datos'!Z265),".","")))),0),_xlfn.NUMBERVALUE(SUBSTITUTE(SUBSTITUTE(TRIM('Base de Datos'!Z265),".",""),",","."),".",","),_xlfn.NUMBERVALUE(SUBSTITUTE(TRIM('Base de Datos'!Z265),",",""),".",",")),"")))</f>
        <v>66048.57</v>
      </c>
    </row>
    <row r="270" customFormat="false" ht="13.5" hidden="false" customHeight="false" outlineLevel="0" collapsed="false">
      <c r="A270" s="75" t="n">
        <f aca="false">ROWS(A$13:A270)</f>
        <v>258</v>
      </c>
      <c r="B270" s="73" t="n">
        <f aca="false">IF(B269="","",IFERROR(SMALL($AH$10:$AH$409,COUNTIF($AH$10:$AH$409,"&lt;="&amp;B269)+1),""))</f>
        <v>46292</v>
      </c>
      <c r="C270" s="74" t="n">
        <f aca="false">IF(B270="","",INDEX($AI$10:$AI$409,MATCH(B270,$AH$10:$AH$409,0)))</f>
        <v>34.1</v>
      </c>
      <c r="D270" s="74" t="n">
        <f aca="false">IF(B270="","",IFERROR(INDEX($AK$10:$AK$409,MATCH(B270,$AJ$10:$AJ$409,0)),""))</f>
        <v>64531.68</v>
      </c>
      <c r="E270" s="76" t="n">
        <f aca="false">IF(AND(ISNUMBER(C270),ISNUMBER(C269)),C270/C269-1,"")</f>
        <v>0.0185185185185186</v>
      </c>
      <c r="F270" s="76" t="n">
        <f aca="false">IF(AND(ISNUMBER(D270),ISNUMBER(D269)),D270/D269-1,"")</f>
        <v>-0.00708623169261935</v>
      </c>
      <c r="G270" s="75" t="n">
        <f aca="false">IF(AND(ISNUMBER(E270),ISNUMBER(F270)),1,"")</f>
        <v>1</v>
      </c>
      <c r="H270" s="75" t="n">
        <f aca="false">IF(G270=1,COUNT(G270:G$412),"")</f>
        <v>2</v>
      </c>
      <c r="I270" s="75" t="n">
        <f aca="false">IF(G270=1,IF(H270&lt;='Beta Regresión'!$B$5,1,""),"")</f>
        <v>1</v>
      </c>
      <c r="J270" s="76" t="n">
        <f aca="false">IF(I270=1,E270,"")</f>
        <v>0.0185185185185186</v>
      </c>
      <c r="K270" s="76" t="n">
        <f aca="false">IF(I270=1,F270,"")</f>
        <v>-0.00708623169261935</v>
      </c>
      <c r="L270" s="75" t="n">
        <f aca="false">IF(I270=1,COUNT(I$13:I270),"")</f>
        <v>257</v>
      </c>
      <c r="M270" s="76" t="n">
        <f aca="false">IFERROR(INDEX($J$13:$J$412,MATCH(A270,$L$13:$L$412,0)),"")</f>
        <v>-0.0293255131964809</v>
      </c>
      <c r="N270" s="76" t="n">
        <f aca="false">IFERROR(INDEX($K$13:$K$412,MATCH(A270,$L$13:$L$412,0)),"")</f>
        <v>0.0235061290826459</v>
      </c>
      <c r="O270" s="76" t="n">
        <f aca="false">IF(I270=1,E270,NA())</f>
        <v>0.0185185185185186</v>
      </c>
      <c r="P270" s="76" t="n">
        <f aca="false">IF(I270=1,F270,NA())</f>
        <v>-0.00708623169261935</v>
      </c>
      <c r="R270" s="75" t="n">
        <f aca="false">ROWS(R$13:R270)</f>
        <v>258</v>
      </c>
      <c r="S270" s="73" t="str">
        <f aca="false">IF(S269="","",IFERROR(SMALL($AD$10:$AD$509,COUNTIF($AD$10:$AD$509,"&lt;="&amp;S269)+1),""))</f>
        <v/>
      </c>
      <c r="T270" s="74" t="str">
        <f aca="false">IF(S270="","",INDEX($AE$10:$AE$509,MATCH(S270,$AD$10:$AD$509,0)))</f>
        <v/>
      </c>
      <c r="U270" s="74" t="str">
        <f aca="false">IF(S270="","",IFERROR(INDEX($AG$10:$AG$509,MATCH(S270,$AF$10:$AF$509,0)),""))</f>
        <v/>
      </c>
      <c r="V270" s="76" t="str">
        <f aca="false">IF(AND(ISNUMBER(T270),ISNUMBER(T269)),T270/T269-1,"")</f>
        <v/>
      </c>
      <c r="W270" s="76" t="str">
        <f aca="false">IF(AND(ISNUMBER(U270),ISNUMBER(U269)),U270/U269-1,"")</f>
        <v/>
      </c>
      <c r="X270" s="75" t="str">
        <f aca="false">IF(AND(ISNUMBER(V270),ISNUMBER(W270)),1,"")</f>
        <v/>
      </c>
      <c r="Y270" s="76" t="str">
        <f aca="false">IF(X270=1,V270,"")</f>
        <v/>
      </c>
      <c r="Z270" s="76" t="str">
        <f aca="false">IF(X270=1,W270,"")</f>
        <v/>
      </c>
      <c r="AA270" s="76" t="e">
        <f aca="false">IF(X270=1,V270,NA())</f>
        <v>#N/A</v>
      </c>
      <c r="AB270" s="76" t="e">
        <f aca="false">IF(X270=1,W270,NA())</f>
        <v>#N/A</v>
      </c>
      <c r="AD270" s="73" t="str">
        <f aca="false">IF(ISNUMBER(AE270),IF(ISNUMBER('Base de Datos'!A266),IF('Base de Datos'!A266&gt;20000,DATE(YEAR('Base de Datos'!A266),DAY('Base de Datos'!A266),MONTH('Base de Datos'!A266)),""),IF(TRIM('Base de Datos'!A266)="","",IFERROR(DATE(VALUE(RIGHT(TRIM('Base de Datos'!A266),4)),VALUE(LEFT(TRIM('Base de Datos'!A266),2)),VALUE(MID(TRIM('Base de Datos'!A266),4,2))),""))),"")</f>
        <v/>
      </c>
      <c r="AE270" s="74" t="str">
        <f aca="false">IF(ISNUMBER('Base de Datos'!B266),'Base de Datos'!B266,IF(TRIM('Base de Datos'!B266)="","",IFERROR(IF(IFERROR(FIND("@",SUBSTITUTE(TRIM('Base de Datos'!B266),",","@",LEN(TRIM('Base de Datos'!B266))-LEN(SUBSTITUTE(TRIM('Base de Datos'!B266),",","")))),0)&gt;IFERROR(FIND("@",SUBSTITUTE(TRIM('Base de Datos'!B266),".","@",LEN(TRIM('Base de Datos'!B266))-LEN(SUBSTITUTE(TRIM('Base de Datos'!B266),".","")))),0),_xlfn.NUMBERVALUE(SUBSTITUTE(SUBSTITUTE(TRIM('Base de Datos'!B266),".",""),",","."),".",","),_xlfn.NUMBERVALUE(SUBSTITUTE(TRIM('Base de Datos'!B266),",",""),".",",")),"")))</f>
        <v/>
      </c>
      <c r="AF270" s="73" t="str">
        <f aca="false">IF(ISNUMBER(AG270),IF(ISNUMBER('Base de Datos'!I266),IF('Base de Datos'!I266&gt;20000,INT('Base de Datos'!I266),""),IF(TRIM('Base de Datos'!I266)="","",IFERROR(DATE(VALUE(RIGHT(TRIM('Base de Datos'!I266),4)),VALUE(MID(TRIM('Base de Datos'!I266),4,2)),VALUE(LEFT(TRIM('Base de Datos'!I266),2))),IFERROR(DATEVALUE(TRIM('Base de Datos'!I266)),"")))),"")</f>
        <v/>
      </c>
      <c r="AG270" s="74" t="str">
        <f aca="false">IF(ISNUMBER('Base de Datos'!J266),'Base de Datos'!J266,IF(TRIM('Base de Datos'!J266)="","",IFERROR(IF(IFERROR(FIND("@",SUBSTITUTE(TRIM('Base de Datos'!J266),",","@",LEN(TRIM('Base de Datos'!J266))-LEN(SUBSTITUTE(TRIM('Base de Datos'!J266),",","")))),0)&gt;IFERROR(FIND("@",SUBSTITUTE(TRIM('Base de Datos'!J266),".","@",LEN(TRIM('Base de Datos'!J266))-LEN(SUBSTITUTE(TRIM('Base de Datos'!J266),".","")))),0),_xlfn.NUMBERVALUE(SUBSTITUTE(SUBSTITUTE(TRIM('Base de Datos'!J266),".",""),",","."),".",","),_xlfn.NUMBERVALUE(SUBSTITUTE(TRIM('Base de Datos'!J266),",",""),".",",")),"")))</f>
        <v/>
      </c>
      <c r="AH270" s="73" t="str">
        <f aca="false">IF(ISNUMBER(AI270),IF(ISNUMBER('Base de Datos'!Q266),IF('Base de Datos'!Q266&gt;20000,DATE(YEAR('Base de Datos'!Q266),DAY('Base de Datos'!Q266),MONTH('Base de Datos'!Q266)),""),IF(TRIM('Base de Datos'!Q266)="","",IFERROR(DATE(VALUE(RIGHT(TRIM('Base de Datos'!Q266),4)),VALUE(LEFT(TRIM('Base de Datos'!Q266),2)),VALUE(MID(TRIM('Base de Datos'!Q266),4,2))),""))),"")</f>
        <v/>
      </c>
      <c r="AI270" s="74" t="str">
        <f aca="false">IF(ISNUMBER('Base de Datos'!R266),'Base de Datos'!R266,IF(TRIM('Base de Datos'!R266)="","",IFERROR(IF(IFERROR(FIND("@",SUBSTITUTE(TRIM('Base de Datos'!R266),",","@",LEN(TRIM('Base de Datos'!R266))-LEN(SUBSTITUTE(TRIM('Base de Datos'!R266),",","")))),0)&gt;IFERROR(FIND("@",SUBSTITUTE(TRIM('Base de Datos'!R266),".","@",LEN(TRIM('Base de Datos'!R266))-LEN(SUBSTITUTE(TRIM('Base de Datos'!R266),".","")))),0),_xlfn.NUMBERVALUE(SUBSTITUTE(SUBSTITUTE(TRIM('Base de Datos'!R266),".",""),",","."),".",","),_xlfn.NUMBERVALUE(SUBSTITUTE(TRIM('Base de Datos'!R266),",",""),".",",")),"")))</f>
        <v/>
      </c>
      <c r="AJ270" s="73" t="n">
        <f aca="false">IF(ISNUMBER(AK270),IF(ISNUMBER('Base de Datos'!Y266),IF('Base de Datos'!Y266&gt;20000,INT('Base de Datos'!Y266),""),IF(TRIM('Base de Datos'!Y266)="","",IFERROR(DATE(VALUE(RIGHT(TRIM('Base de Datos'!Y266),4)),VALUE(MID(TRIM('Base de Datos'!Y266),4,2)),VALUE(LEFT(TRIM('Base de Datos'!Y266),2))),IFERROR(DATEVALUE(TRIM('Base de Datos'!Y266)),"")))),"")</f>
        <v>46306</v>
      </c>
      <c r="AK270" s="74" t="n">
        <f aca="false">IF(ISNUMBER('Base de Datos'!Z266),'Base de Datos'!Z266,IF(TRIM('Base de Datos'!Z266)="","",IFERROR(IF(IFERROR(FIND("@",SUBSTITUTE(TRIM('Base de Datos'!Z266),",","@",LEN(TRIM('Base de Datos'!Z266))-LEN(SUBSTITUTE(TRIM('Base de Datos'!Z266),",","")))),0)&gt;IFERROR(FIND("@",SUBSTITUTE(TRIM('Base de Datos'!Z266),".","@",LEN(TRIM('Base de Datos'!Z266))-LEN(SUBSTITUTE(TRIM('Base de Datos'!Z266),".","")))),0),_xlfn.NUMBERVALUE(SUBSTITUTE(SUBSTITUTE(TRIM('Base de Datos'!Z266),".",""),",","."),".",","),_xlfn.NUMBERVALUE(SUBSTITUTE(TRIM('Base de Datos'!Z266),",",""),".",",")),"")))</f>
        <v>66746.78</v>
      </c>
    </row>
    <row r="271" customFormat="false" ht="13.5" hidden="false" customHeight="false" outlineLevel="0" collapsed="false">
      <c r="A271" s="75" t="n">
        <f aca="false">ROWS(A$13:A271)</f>
        <v>259</v>
      </c>
      <c r="B271" s="73" t="n">
        <f aca="false">IF(B270="","",IFERROR(SMALL($AH$10:$AH$409,COUNTIF($AH$10:$AH$409,"&lt;="&amp;B270)+1),""))</f>
        <v>46299</v>
      </c>
      <c r="C271" s="74" t="n">
        <f aca="false">IF(B271="","",INDEX($AI$10:$AI$409,MATCH(B271,$AH$10:$AH$409,0)))</f>
        <v>33.1</v>
      </c>
      <c r="D271" s="74" t="n">
        <f aca="false">IF(B271="","",IFERROR(INDEX($AK$10:$AK$409,MATCH(B271,$AJ$10:$AJ$409,0)),""))</f>
        <v>66048.57</v>
      </c>
      <c r="E271" s="76" t="n">
        <f aca="false">IF(AND(ISNUMBER(C271),ISNUMBER(C270)),C271/C270-1,"")</f>
        <v>-0.0293255131964809</v>
      </c>
      <c r="F271" s="76" t="n">
        <f aca="false">IF(AND(ISNUMBER(D271),ISNUMBER(D270)),D271/D270-1,"")</f>
        <v>0.0235061290826459</v>
      </c>
      <c r="G271" s="75" t="n">
        <f aca="false">IF(AND(ISNUMBER(E271),ISNUMBER(F271)),1,"")</f>
        <v>1</v>
      </c>
      <c r="H271" s="75" t="n">
        <f aca="false">IF(G271=1,COUNT(G271:G$412),"")</f>
        <v>1</v>
      </c>
      <c r="I271" s="75" t="n">
        <f aca="false">IF(G271=1,IF(H271&lt;='Beta Regresión'!$B$5,1,""),"")</f>
        <v>1</v>
      </c>
      <c r="J271" s="76" t="n">
        <f aca="false">IF(I271=1,E271,"")</f>
        <v>-0.0293255131964809</v>
      </c>
      <c r="K271" s="76" t="n">
        <f aca="false">IF(I271=1,F271,"")</f>
        <v>0.0235061290826459</v>
      </c>
      <c r="L271" s="75" t="n">
        <f aca="false">IF(I271=1,COUNT(I$13:I271),"")</f>
        <v>258</v>
      </c>
      <c r="M271" s="76" t="str">
        <f aca="false">IFERROR(INDEX($J$13:$J$412,MATCH(A271,$L$13:$L$412,0)),"")</f>
        <v/>
      </c>
      <c r="N271" s="76" t="str">
        <f aca="false">IFERROR(INDEX($K$13:$K$412,MATCH(A271,$L$13:$L$412,0)),"")</f>
        <v/>
      </c>
      <c r="O271" s="76" t="n">
        <f aca="false">IF(I271=1,E271,NA())</f>
        <v>-0.0293255131964809</v>
      </c>
      <c r="P271" s="76" t="n">
        <f aca="false">IF(I271=1,F271,NA())</f>
        <v>0.0235061290826459</v>
      </c>
      <c r="R271" s="75" t="n">
        <f aca="false">ROWS(R$13:R271)</f>
        <v>259</v>
      </c>
      <c r="S271" s="73" t="str">
        <f aca="false">IF(S270="","",IFERROR(SMALL($AD$10:$AD$509,COUNTIF($AD$10:$AD$509,"&lt;="&amp;S270)+1),""))</f>
        <v/>
      </c>
      <c r="T271" s="74" t="str">
        <f aca="false">IF(S271="","",INDEX($AE$10:$AE$509,MATCH(S271,$AD$10:$AD$509,0)))</f>
        <v/>
      </c>
      <c r="U271" s="74" t="str">
        <f aca="false">IF(S271="","",IFERROR(INDEX($AG$10:$AG$509,MATCH(S271,$AF$10:$AF$509,0)),""))</f>
        <v/>
      </c>
      <c r="V271" s="76" t="str">
        <f aca="false">IF(AND(ISNUMBER(T271),ISNUMBER(T270)),T271/T270-1,"")</f>
        <v/>
      </c>
      <c r="W271" s="76" t="str">
        <f aca="false">IF(AND(ISNUMBER(U271),ISNUMBER(U270)),U271/U270-1,"")</f>
        <v/>
      </c>
      <c r="X271" s="75" t="str">
        <f aca="false">IF(AND(ISNUMBER(V271),ISNUMBER(W271)),1,"")</f>
        <v/>
      </c>
      <c r="Y271" s="76" t="str">
        <f aca="false">IF(X271=1,V271,"")</f>
        <v/>
      </c>
      <c r="Z271" s="76" t="str">
        <f aca="false">IF(X271=1,W271,"")</f>
        <v/>
      </c>
      <c r="AA271" s="76" t="e">
        <f aca="false">IF(X271=1,V271,NA())</f>
        <v>#N/A</v>
      </c>
      <c r="AB271" s="76" t="e">
        <f aca="false">IF(X271=1,W271,NA())</f>
        <v>#N/A</v>
      </c>
      <c r="AD271" s="73" t="str">
        <f aca="false">IF(ISNUMBER(AE271),IF(ISNUMBER('Base de Datos'!A267),IF('Base de Datos'!A267&gt;20000,DATE(YEAR('Base de Datos'!A267),DAY('Base de Datos'!A267),MONTH('Base de Datos'!A267)),""),IF(TRIM('Base de Datos'!A267)="","",IFERROR(DATE(VALUE(RIGHT(TRIM('Base de Datos'!A267),4)),VALUE(LEFT(TRIM('Base de Datos'!A267),2)),VALUE(MID(TRIM('Base de Datos'!A267),4,2))),""))),"")</f>
        <v/>
      </c>
      <c r="AE271" s="74" t="str">
        <f aca="false">IF(ISNUMBER('Base de Datos'!B267),'Base de Datos'!B267,IF(TRIM('Base de Datos'!B267)="","",IFERROR(IF(IFERROR(FIND("@",SUBSTITUTE(TRIM('Base de Datos'!B267),",","@",LEN(TRIM('Base de Datos'!B267))-LEN(SUBSTITUTE(TRIM('Base de Datos'!B267),",","")))),0)&gt;IFERROR(FIND("@",SUBSTITUTE(TRIM('Base de Datos'!B267),".","@",LEN(TRIM('Base de Datos'!B267))-LEN(SUBSTITUTE(TRIM('Base de Datos'!B267),".","")))),0),_xlfn.NUMBERVALUE(SUBSTITUTE(SUBSTITUTE(TRIM('Base de Datos'!B267),".",""),",","."),".",","),_xlfn.NUMBERVALUE(SUBSTITUTE(TRIM('Base de Datos'!B267),",",""),".",",")),"")))</f>
        <v/>
      </c>
      <c r="AF271" s="73" t="str">
        <f aca="false">IF(ISNUMBER(AG271),IF(ISNUMBER('Base de Datos'!I267),IF('Base de Datos'!I267&gt;20000,INT('Base de Datos'!I267),""),IF(TRIM('Base de Datos'!I267)="","",IFERROR(DATE(VALUE(RIGHT(TRIM('Base de Datos'!I267),4)),VALUE(MID(TRIM('Base de Datos'!I267),4,2)),VALUE(LEFT(TRIM('Base de Datos'!I267),2))),IFERROR(DATEVALUE(TRIM('Base de Datos'!I267)),"")))),"")</f>
        <v/>
      </c>
      <c r="AG271" s="74" t="str">
        <f aca="false">IF(ISNUMBER('Base de Datos'!J267),'Base de Datos'!J267,IF(TRIM('Base de Datos'!J267)="","",IFERROR(IF(IFERROR(FIND("@",SUBSTITUTE(TRIM('Base de Datos'!J267),",","@",LEN(TRIM('Base de Datos'!J267))-LEN(SUBSTITUTE(TRIM('Base de Datos'!J267),",","")))),0)&gt;IFERROR(FIND("@",SUBSTITUTE(TRIM('Base de Datos'!J267),".","@",LEN(TRIM('Base de Datos'!J267))-LEN(SUBSTITUTE(TRIM('Base de Datos'!J267),".","")))),0),_xlfn.NUMBERVALUE(SUBSTITUTE(SUBSTITUTE(TRIM('Base de Datos'!J267),".",""),",","."),".",","),_xlfn.NUMBERVALUE(SUBSTITUTE(TRIM('Base de Datos'!J267),",",""),".",",")),"")))</f>
        <v/>
      </c>
      <c r="AH271" s="73" t="str">
        <f aca="false">IF(ISNUMBER(AI271),IF(ISNUMBER('Base de Datos'!Q267),IF('Base de Datos'!Q267&gt;20000,DATE(YEAR('Base de Datos'!Q267),DAY('Base de Datos'!Q267),MONTH('Base de Datos'!Q267)),""),IF(TRIM('Base de Datos'!Q267)="","",IFERROR(DATE(VALUE(RIGHT(TRIM('Base de Datos'!Q267),4)),VALUE(LEFT(TRIM('Base de Datos'!Q267),2)),VALUE(MID(TRIM('Base de Datos'!Q267),4,2))),""))),"")</f>
        <v/>
      </c>
      <c r="AI271" s="74" t="str">
        <f aca="false">IF(ISNUMBER('Base de Datos'!R267),'Base de Datos'!R267,IF(TRIM('Base de Datos'!R267)="","",IFERROR(IF(IFERROR(FIND("@",SUBSTITUTE(TRIM('Base de Datos'!R267),",","@",LEN(TRIM('Base de Datos'!R267))-LEN(SUBSTITUTE(TRIM('Base de Datos'!R267),",","")))),0)&gt;IFERROR(FIND("@",SUBSTITUTE(TRIM('Base de Datos'!R267),".","@",LEN(TRIM('Base de Datos'!R267))-LEN(SUBSTITUTE(TRIM('Base de Datos'!R267),".","")))),0),_xlfn.NUMBERVALUE(SUBSTITUTE(SUBSTITUTE(TRIM('Base de Datos'!R267),".",""),",","."),".",","),_xlfn.NUMBERVALUE(SUBSTITUTE(TRIM('Base de Datos'!R267),",",""),".",",")),"")))</f>
        <v/>
      </c>
      <c r="AJ271" s="73" t="str">
        <f aca="false">IF(ISNUMBER(AK271),IF(ISNUMBER('Base de Datos'!Y267),IF('Base de Datos'!Y267&gt;20000,INT('Base de Datos'!Y267),""),IF(TRIM('Base de Datos'!Y267)="","",IFERROR(DATE(VALUE(RIGHT(TRIM('Base de Datos'!Y267),4)),VALUE(MID(TRIM('Base de Datos'!Y267),4,2)),VALUE(LEFT(TRIM('Base de Datos'!Y267),2))),IFERROR(DATEVALUE(TRIM('Base de Datos'!Y267)),"")))),"")</f>
        <v/>
      </c>
      <c r="AK271" s="74" t="str">
        <f aca="false">IF(ISNUMBER('Base de Datos'!Z267),'Base de Datos'!Z267,IF(TRIM('Base de Datos'!Z267)="","",IFERROR(IF(IFERROR(FIND("@",SUBSTITUTE(TRIM('Base de Datos'!Z267),",","@",LEN(TRIM('Base de Datos'!Z267))-LEN(SUBSTITUTE(TRIM('Base de Datos'!Z267),",","")))),0)&gt;IFERROR(FIND("@",SUBSTITUTE(TRIM('Base de Datos'!Z267),".","@",LEN(TRIM('Base de Datos'!Z267))-LEN(SUBSTITUTE(TRIM('Base de Datos'!Z267),".","")))),0),_xlfn.NUMBERVALUE(SUBSTITUTE(SUBSTITUTE(TRIM('Base de Datos'!Z267),".",""),",","."),".",","),_xlfn.NUMBERVALUE(SUBSTITUTE(TRIM('Base de Datos'!Z267),",",""),".",",")),"")))</f>
        <v/>
      </c>
    </row>
    <row r="272" customFormat="false" ht="13.5" hidden="false" customHeight="false" outlineLevel="0" collapsed="false">
      <c r="A272" s="75" t="n">
        <f aca="false">ROWS(A$13:A272)</f>
        <v>260</v>
      </c>
      <c r="B272" s="73" t="str">
        <f aca="false">IF(B271="","",IFERROR(SMALL($AH$10:$AH$409,COUNTIF($AH$10:$AH$409,"&lt;="&amp;B271)+1),""))</f>
        <v/>
      </c>
      <c r="C272" s="74" t="str">
        <f aca="false">IF(B272="","",INDEX($AI$10:$AI$409,MATCH(B272,$AH$10:$AH$409,0)))</f>
        <v/>
      </c>
      <c r="D272" s="74" t="str">
        <f aca="false">IF(B272="","",IFERROR(INDEX($AK$10:$AK$409,MATCH(B272,$AJ$10:$AJ$409,0)),""))</f>
        <v/>
      </c>
      <c r="E272" s="76" t="str">
        <f aca="false">IF(AND(ISNUMBER(C272),ISNUMBER(C271)),C272/C271-1,"")</f>
        <v/>
      </c>
      <c r="F272" s="76" t="str">
        <f aca="false">IF(AND(ISNUMBER(D272),ISNUMBER(D271)),D272/D271-1,"")</f>
        <v/>
      </c>
      <c r="G272" s="75" t="str">
        <f aca="false">IF(AND(ISNUMBER(E272),ISNUMBER(F272)),1,"")</f>
        <v/>
      </c>
      <c r="H272" s="75" t="str">
        <f aca="false">IF(G272=1,COUNT(G272:G$412),"")</f>
        <v/>
      </c>
      <c r="I272" s="75" t="str">
        <f aca="false">IF(G272=1,IF(H272&lt;='Beta Regresión'!$B$5,1,""),"")</f>
        <v/>
      </c>
      <c r="J272" s="76" t="str">
        <f aca="false">IF(I272=1,E272,"")</f>
        <v/>
      </c>
      <c r="K272" s="76" t="str">
        <f aca="false">IF(I272=1,F272,"")</f>
        <v/>
      </c>
      <c r="L272" s="75" t="str">
        <f aca="false">IF(I272=1,COUNT(I$13:I272),"")</f>
        <v/>
      </c>
      <c r="M272" s="76" t="str">
        <f aca="false">IFERROR(INDEX($J$13:$J$412,MATCH(A272,$L$13:$L$412,0)),"")</f>
        <v/>
      </c>
      <c r="N272" s="76" t="str">
        <f aca="false">IFERROR(INDEX($K$13:$K$412,MATCH(A272,$L$13:$L$412,0)),"")</f>
        <v/>
      </c>
      <c r="O272" s="76" t="e">
        <f aca="false">IF(I272=1,E272,NA())</f>
        <v>#N/A</v>
      </c>
      <c r="P272" s="76" t="e">
        <f aca="false">IF(I272=1,F272,NA())</f>
        <v>#N/A</v>
      </c>
      <c r="R272" s="75" t="n">
        <f aca="false">ROWS(R$13:R272)</f>
        <v>260</v>
      </c>
      <c r="S272" s="73" t="str">
        <f aca="false">IF(S271="","",IFERROR(SMALL($AD$10:$AD$509,COUNTIF($AD$10:$AD$509,"&lt;="&amp;S271)+1),""))</f>
        <v/>
      </c>
      <c r="T272" s="74" t="str">
        <f aca="false">IF(S272="","",INDEX($AE$10:$AE$509,MATCH(S272,$AD$10:$AD$509,0)))</f>
        <v/>
      </c>
      <c r="U272" s="74" t="str">
        <f aca="false">IF(S272="","",IFERROR(INDEX($AG$10:$AG$509,MATCH(S272,$AF$10:$AF$509,0)),""))</f>
        <v/>
      </c>
      <c r="V272" s="76" t="str">
        <f aca="false">IF(AND(ISNUMBER(T272),ISNUMBER(T271)),T272/T271-1,"")</f>
        <v/>
      </c>
      <c r="W272" s="76" t="str">
        <f aca="false">IF(AND(ISNUMBER(U272),ISNUMBER(U271)),U272/U271-1,"")</f>
        <v/>
      </c>
      <c r="X272" s="75" t="str">
        <f aca="false">IF(AND(ISNUMBER(V272),ISNUMBER(W272)),1,"")</f>
        <v/>
      </c>
      <c r="Y272" s="76" t="str">
        <f aca="false">IF(X272=1,V272,"")</f>
        <v/>
      </c>
      <c r="Z272" s="76" t="str">
        <f aca="false">IF(X272=1,W272,"")</f>
        <v/>
      </c>
      <c r="AA272" s="76" t="e">
        <f aca="false">IF(X272=1,V272,NA())</f>
        <v>#N/A</v>
      </c>
      <c r="AB272" s="76" t="e">
        <f aca="false">IF(X272=1,W272,NA())</f>
        <v>#N/A</v>
      </c>
      <c r="AD272" s="73" t="str">
        <f aca="false">IF(ISNUMBER(AE272),IF(ISNUMBER('Base de Datos'!A268),IF('Base de Datos'!A268&gt;20000,DATE(YEAR('Base de Datos'!A268),DAY('Base de Datos'!A268),MONTH('Base de Datos'!A268)),""),IF(TRIM('Base de Datos'!A268)="","",IFERROR(DATE(VALUE(RIGHT(TRIM('Base de Datos'!A268),4)),VALUE(LEFT(TRIM('Base de Datos'!A268),2)),VALUE(MID(TRIM('Base de Datos'!A268),4,2))),""))),"")</f>
        <v/>
      </c>
      <c r="AE272" s="74" t="str">
        <f aca="false">IF(ISNUMBER('Base de Datos'!B268),'Base de Datos'!B268,IF(TRIM('Base de Datos'!B268)="","",IFERROR(IF(IFERROR(FIND("@",SUBSTITUTE(TRIM('Base de Datos'!B268),",","@",LEN(TRIM('Base de Datos'!B268))-LEN(SUBSTITUTE(TRIM('Base de Datos'!B268),",","")))),0)&gt;IFERROR(FIND("@",SUBSTITUTE(TRIM('Base de Datos'!B268),".","@",LEN(TRIM('Base de Datos'!B268))-LEN(SUBSTITUTE(TRIM('Base de Datos'!B268),".","")))),0),_xlfn.NUMBERVALUE(SUBSTITUTE(SUBSTITUTE(TRIM('Base de Datos'!B268),".",""),",","."),".",","),_xlfn.NUMBERVALUE(SUBSTITUTE(TRIM('Base de Datos'!B268),",",""),".",",")),"")))</f>
        <v/>
      </c>
      <c r="AF272" s="73" t="str">
        <f aca="false">IF(ISNUMBER(AG272),IF(ISNUMBER('Base de Datos'!I268),IF('Base de Datos'!I268&gt;20000,INT('Base de Datos'!I268),""),IF(TRIM('Base de Datos'!I268)="","",IFERROR(DATE(VALUE(RIGHT(TRIM('Base de Datos'!I268),4)),VALUE(MID(TRIM('Base de Datos'!I268),4,2)),VALUE(LEFT(TRIM('Base de Datos'!I268),2))),IFERROR(DATEVALUE(TRIM('Base de Datos'!I268)),"")))),"")</f>
        <v/>
      </c>
      <c r="AG272" s="74" t="str">
        <f aca="false">IF(ISNUMBER('Base de Datos'!J268),'Base de Datos'!J268,IF(TRIM('Base de Datos'!J268)="","",IFERROR(IF(IFERROR(FIND("@",SUBSTITUTE(TRIM('Base de Datos'!J268),",","@",LEN(TRIM('Base de Datos'!J268))-LEN(SUBSTITUTE(TRIM('Base de Datos'!J268),",","")))),0)&gt;IFERROR(FIND("@",SUBSTITUTE(TRIM('Base de Datos'!J268),".","@",LEN(TRIM('Base de Datos'!J268))-LEN(SUBSTITUTE(TRIM('Base de Datos'!J268),".","")))),0),_xlfn.NUMBERVALUE(SUBSTITUTE(SUBSTITUTE(TRIM('Base de Datos'!J268),".",""),",","."),".",","),_xlfn.NUMBERVALUE(SUBSTITUTE(TRIM('Base de Datos'!J268),",",""),".",",")),"")))</f>
        <v/>
      </c>
      <c r="AH272" s="73" t="str">
        <f aca="false">IF(ISNUMBER(AI272),IF(ISNUMBER('Base de Datos'!Q268),IF('Base de Datos'!Q268&gt;20000,DATE(YEAR('Base de Datos'!Q268),DAY('Base de Datos'!Q268),MONTH('Base de Datos'!Q268)),""),IF(TRIM('Base de Datos'!Q268)="","",IFERROR(DATE(VALUE(RIGHT(TRIM('Base de Datos'!Q268),4)),VALUE(LEFT(TRIM('Base de Datos'!Q268),2)),VALUE(MID(TRIM('Base de Datos'!Q268),4,2))),""))),"")</f>
        <v/>
      </c>
      <c r="AI272" s="74" t="str">
        <f aca="false">IF(ISNUMBER('Base de Datos'!R268),'Base de Datos'!R268,IF(TRIM('Base de Datos'!R268)="","",IFERROR(IF(IFERROR(FIND("@",SUBSTITUTE(TRIM('Base de Datos'!R268),",","@",LEN(TRIM('Base de Datos'!R268))-LEN(SUBSTITUTE(TRIM('Base de Datos'!R268),",","")))),0)&gt;IFERROR(FIND("@",SUBSTITUTE(TRIM('Base de Datos'!R268),".","@",LEN(TRIM('Base de Datos'!R268))-LEN(SUBSTITUTE(TRIM('Base de Datos'!R268),".","")))),0),_xlfn.NUMBERVALUE(SUBSTITUTE(SUBSTITUTE(TRIM('Base de Datos'!R268),".",""),",","."),".",","),_xlfn.NUMBERVALUE(SUBSTITUTE(TRIM('Base de Datos'!R268),",",""),".",",")),"")))</f>
        <v/>
      </c>
      <c r="AJ272" s="73" t="str">
        <f aca="false">IF(ISNUMBER(AK272),IF(ISNUMBER('Base de Datos'!Y268),IF('Base de Datos'!Y268&gt;20000,INT('Base de Datos'!Y268),""),IF(TRIM('Base de Datos'!Y268)="","",IFERROR(DATE(VALUE(RIGHT(TRIM('Base de Datos'!Y268),4)),VALUE(MID(TRIM('Base de Datos'!Y268),4,2)),VALUE(LEFT(TRIM('Base de Datos'!Y268),2))),IFERROR(DATEVALUE(TRIM('Base de Datos'!Y268)),"")))),"")</f>
        <v/>
      </c>
      <c r="AK272" s="74" t="str">
        <f aca="false">IF(ISNUMBER('Base de Datos'!Z268),'Base de Datos'!Z268,IF(TRIM('Base de Datos'!Z268)="","",IFERROR(IF(IFERROR(FIND("@",SUBSTITUTE(TRIM('Base de Datos'!Z268),",","@",LEN(TRIM('Base de Datos'!Z268))-LEN(SUBSTITUTE(TRIM('Base de Datos'!Z268),",","")))),0)&gt;IFERROR(FIND("@",SUBSTITUTE(TRIM('Base de Datos'!Z268),".","@",LEN(TRIM('Base de Datos'!Z268))-LEN(SUBSTITUTE(TRIM('Base de Datos'!Z268),".","")))),0),_xlfn.NUMBERVALUE(SUBSTITUTE(SUBSTITUTE(TRIM('Base de Datos'!Z268),".",""),",","."),".",","),_xlfn.NUMBERVALUE(SUBSTITUTE(TRIM('Base de Datos'!Z268),",",""),".",",")),"")))</f>
        <v/>
      </c>
    </row>
    <row r="273" customFormat="false" ht="13.5" hidden="false" customHeight="false" outlineLevel="0" collapsed="false">
      <c r="A273" s="75" t="n">
        <f aca="false">ROWS(A$13:A273)</f>
        <v>261</v>
      </c>
      <c r="B273" s="73" t="str">
        <f aca="false">IF(B272="","",IFERROR(SMALL($AH$10:$AH$409,COUNTIF($AH$10:$AH$409,"&lt;="&amp;B272)+1),""))</f>
        <v/>
      </c>
      <c r="C273" s="74" t="str">
        <f aca="false">IF(B273="","",INDEX($AI$10:$AI$409,MATCH(B273,$AH$10:$AH$409,0)))</f>
        <v/>
      </c>
      <c r="D273" s="74" t="str">
        <f aca="false">IF(B273="","",IFERROR(INDEX($AK$10:$AK$409,MATCH(B273,$AJ$10:$AJ$409,0)),""))</f>
        <v/>
      </c>
      <c r="E273" s="76" t="str">
        <f aca="false">IF(AND(ISNUMBER(C273),ISNUMBER(C272)),C273/C272-1,"")</f>
        <v/>
      </c>
      <c r="F273" s="76" t="str">
        <f aca="false">IF(AND(ISNUMBER(D273),ISNUMBER(D272)),D273/D272-1,"")</f>
        <v/>
      </c>
      <c r="G273" s="75" t="str">
        <f aca="false">IF(AND(ISNUMBER(E273),ISNUMBER(F273)),1,"")</f>
        <v/>
      </c>
      <c r="H273" s="75" t="str">
        <f aca="false">IF(G273=1,COUNT(G273:G$412),"")</f>
        <v/>
      </c>
      <c r="I273" s="75" t="str">
        <f aca="false">IF(G273=1,IF(H273&lt;='Beta Regresión'!$B$5,1,""),"")</f>
        <v/>
      </c>
      <c r="J273" s="76" t="str">
        <f aca="false">IF(I273=1,E273,"")</f>
        <v/>
      </c>
      <c r="K273" s="76" t="str">
        <f aca="false">IF(I273=1,F273,"")</f>
        <v/>
      </c>
      <c r="L273" s="75" t="str">
        <f aca="false">IF(I273=1,COUNT(I$13:I273),"")</f>
        <v/>
      </c>
      <c r="M273" s="76" t="str">
        <f aca="false">IFERROR(INDEX($J$13:$J$412,MATCH(A273,$L$13:$L$412,0)),"")</f>
        <v/>
      </c>
      <c r="N273" s="76" t="str">
        <f aca="false">IFERROR(INDEX($K$13:$K$412,MATCH(A273,$L$13:$L$412,0)),"")</f>
        <v/>
      </c>
      <c r="O273" s="76" t="e">
        <f aca="false">IF(I273=1,E273,NA())</f>
        <v>#N/A</v>
      </c>
      <c r="P273" s="76" t="e">
        <f aca="false">IF(I273=1,F273,NA())</f>
        <v>#N/A</v>
      </c>
      <c r="R273" s="75" t="n">
        <f aca="false">ROWS(R$13:R273)</f>
        <v>261</v>
      </c>
      <c r="S273" s="73" t="str">
        <f aca="false">IF(S272="","",IFERROR(SMALL($AD$10:$AD$509,COUNTIF($AD$10:$AD$509,"&lt;="&amp;S272)+1),""))</f>
        <v/>
      </c>
      <c r="T273" s="74" t="str">
        <f aca="false">IF(S273="","",INDEX($AE$10:$AE$509,MATCH(S273,$AD$10:$AD$509,0)))</f>
        <v/>
      </c>
      <c r="U273" s="74" t="str">
        <f aca="false">IF(S273="","",IFERROR(INDEX($AG$10:$AG$509,MATCH(S273,$AF$10:$AF$509,0)),""))</f>
        <v/>
      </c>
      <c r="V273" s="76" t="str">
        <f aca="false">IF(AND(ISNUMBER(T273),ISNUMBER(T272)),T273/T272-1,"")</f>
        <v/>
      </c>
      <c r="W273" s="76" t="str">
        <f aca="false">IF(AND(ISNUMBER(U273),ISNUMBER(U272)),U273/U272-1,"")</f>
        <v/>
      </c>
      <c r="X273" s="75" t="str">
        <f aca="false">IF(AND(ISNUMBER(V273),ISNUMBER(W273)),1,"")</f>
        <v/>
      </c>
      <c r="Y273" s="76" t="str">
        <f aca="false">IF(X273=1,V273,"")</f>
        <v/>
      </c>
      <c r="Z273" s="76" t="str">
        <f aca="false">IF(X273=1,W273,"")</f>
        <v/>
      </c>
      <c r="AA273" s="76" t="e">
        <f aca="false">IF(X273=1,V273,NA())</f>
        <v>#N/A</v>
      </c>
      <c r="AB273" s="76" t="e">
        <f aca="false">IF(X273=1,W273,NA())</f>
        <v>#N/A</v>
      </c>
      <c r="AD273" s="73" t="str">
        <f aca="false">IF(ISNUMBER(AE273),IF(ISNUMBER('Base de Datos'!A269),IF('Base de Datos'!A269&gt;20000,DATE(YEAR('Base de Datos'!A269),DAY('Base de Datos'!A269),MONTH('Base de Datos'!A269)),""),IF(TRIM('Base de Datos'!A269)="","",IFERROR(DATE(VALUE(RIGHT(TRIM('Base de Datos'!A269),4)),VALUE(LEFT(TRIM('Base de Datos'!A269),2)),VALUE(MID(TRIM('Base de Datos'!A269),4,2))),""))),"")</f>
        <v/>
      </c>
      <c r="AE273" s="74" t="str">
        <f aca="false">IF(ISNUMBER('Base de Datos'!B269),'Base de Datos'!B269,IF(TRIM('Base de Datos'!B269)="","",IFERROR(IF(IFERROR(FIND("@",SUBSTITUTE(TRIM('Base de Datos'!B269),",","@",LEN(TRIM('Base de Datos'!B269))-LEN(SUBSTITUTE(TRIM('Base de Datos'!B269),",","")))),0)&gt;IFERROR(FIND("@",SUBSTITUTE(TRIM('Base de Datos'!B269),".","@",LEN(TRIM('Base de Datos'!B269))-LEN(SUBSTITUTE(TRIM('Base de Datos'!B269),".","")))),0),_xlfn.NUMBERVALUE(SUBSTITUTE(SUBSTITUTE(TRIM('Base de Datos'!B269),".",""),",","."),".",","),_xlfn.NUMBERVALUE(SUBSTITUTE(TRIM('Base de Datos'!B269),",",""),".",",")),"")))</f>
        <v/>
      </c>
      <c r="AF273" s="73" t="str">
        <f aca="false">IF(ISNUMBER(AG273),IF(ISNUMBER('Base de Datos'!I269),IF('Base de Datos'!I269&gt;20000,INT('Base de Datos'!I269),""),IF(TRIM('Base de Datos'!I269)="","",IFERROR(DATE(VALUE(RIGHT(TRIM('Base de Datos'!I269),4)),VALUE(MID(TRIM('Base de Datos'!I269),4,2)),VALUE(LEFT(TRIM('Base de Datos'!I269),2))),IFERROR(DATEVALUE(TRIM('Base de Datos'!I269)),"")))),"")</f>
        <v/>
      </c>
      <c r="AG273" s="74" t="str">
        <f aca="false">IF(ISNUMBER('Base de Datos'!J269),'Base de Datos'!J269,IF(TRIM('Base de Datos'!J269)="","",IFERROR(IF(IFERROR(FIND("@",SUBSTITUTE(TRIM('Base de Datos'!J269),",","@",LEN(TRIM('Base de Datos'!J269))-LEN(SUBSTITUTE(TRIM('Base de Datos'!J269),",","")))),0)&gt;IFERROR(FIND("@",SUBSTITUTE(TRIM('Base de Datos'!J269),".","@",LEN(TRIM('Base de Datos'!J269))-LEN(SUBSTITUTE(TRIM('Base de Datos'!J269),".","")))),0),_xlfn.NUMBERVALUE(SUBSTITUTE(SUBSTITUTE(TRIM('Base de Datos'!J269),".",""),",","."),".",","),_xlfn.NUMBERVALUE(SUBSTITUTE(TRIM('Base de Datos'!J269),",",""),".",",")),"")))</f>
        <v/>
      </c>
      <c r="AH273" s="73" t="str">
        <f aca="false">IF(ISNUMBER(AI273),IF(ISNUMBER('Base de Datos'!Q269),IF('Base de Datos'!Q269&gt;20000,DATE(YEAR('Base de Datos'!Q269),DAY('Base de Datos'!Q269),MONTH('Base de Datos'!Q269)),""),IF(TRIM('Base de Datos'!Q269)="","",IFERROR(DATE(VALUE(RIGHT(TRIM('Base de Datos'!Q269),4)),VALUE(LEFT(TRIM('Base de Datos'!Q269),2)),VALUE(MID(TRIM('Base de Datos'!Q269),4,2))),""))),"")</f>
        <v/>
      </c>
      <c r="AI273" s="74" t="str">
        <f aca="false">IF(ISNUMBER('Base de Datos'!R269),'Base de Datos'!R269,IF(TRIM('Base de Datos'!R269)="","",IFERROR(IF(IFERROR(FIND("@",SUBSTITUTE(TRIM('Base de Datos'!R269),",","@",LEN(TRIM('Base de Datos'!R269))-LEN(SUBSTITUTE(TRIM('Base de Datos'!R269),",","")))),0)&gt;IFERROR(FIND("@",SUBSTITUTE(TRIM('Base de Datos'!R269),".","@",LEN(TRIM('Base de Datos'!R269))-LEN(SUBSTITUTE(TRIM('Base de Datos'!R269),".","")))),0),_xlfn.NUMBERVALUE(SUBSTITUTE(SUBSTITUTE(TRIM('Base de Datos'!R269),".",""),",","."),".",","),_xlfn.NUMBERVALUE(SUBSTITUTE(TRIM('Base de Datos'!R269),",",""),".",",")),"")))</f>
        <v/>
      </c>
      <c r="AJ273" s="73" t="str">
        <f aca="false">IF(ISNUMBER(AK273),IF(ISNUMBER('Base de Datos'!Y269),IF('Base de Datos'!Y269&gt;20000,INT('Base de Datos'!Y269),""),IF(TRIM('Base de Datos'!Y269)="","",IFERROR(DATE(VALUE(RIGHT(TRIM('Base de Datos'!Y269),4)),VALUE(MID(TRIM('Base de Datos'!Y269),4,2)),VALUE(LEFT(TRIM('Base de Datos'!Y269),2))),IFERROR(DATEVALUE(TRIM('Base de Datos'!Y269)),"")))),"")</f>
        <v/>
      </c>
      <c r="AK273" s="74" t="str">
        <f aca="false">IF(ISNUMBER('Base de Datos'!Z269),'Base de Datos'!Z269,IF(TRIM('Base de Datos'!Z269)="","",IFERROR(IF(IFERROR(FIND("@",SUBSTITUTE(TRIM('Base de Datos'!Z269),",","@",LEN(TRIM('Base de Datos'!Z269))-LEN(SUBSTITUTE(TRIM('Base de Datos'!Z269),",","")))),0)&gt;IFERROR(FIND("@",SUBSTITUTE(TRIM('Base de Datos'!Z269),".","@",LEN(TRIM('Base de Datos'!Z269))-LEN(SUBSTITUTE(TRIM('Base de Datos'!Z269),".","")))),0),_xlfn.NUMBERVALUE(SUBSTITUTE(SUBSTITUTE(TRIM('Base de Datos'!Z269),".",""),",","."),".",","),_xlfn.NUMBERVALUE(SUBSTITUTE(TRIM('Base de Datos'!Z269),",",""),".",",")),"")))</f>
        <v/>
      </c>
    </row>
    <row r="274" customFormat="false" ht="13.5" hidden="false" customHeight="false" outlineLevel="0" collapsed="false">
      <c r="A274" s="75" t="n">
        <f aca="false">ROWS(A$13:A274)</f>
        <v>262</v>
      </c>
      <c r="B274" s="73" t="str">
        <f aca="false">IF(B273="","",IFERROR(SMALL($AH$10:$AH$409,COUNTIF($AH$10:$AH$409,"&lt;="&amp;B273)+1),""))</f>
        <v/>
      </c>
      <c r="C274" s="74" t="str">
        <f aca="false">IF(B274="","",INDEX($AI$10:$AI$409,MATCH(B274,$AH$10:$AH$409,0)))</f>
        <v/>
      </c>
      <c r="D274" s="74" t="str">
        <f aca="false">IF(B274="","",IFERROR(INDEX($AK$10:$AK$409,MATCH(B274,$AJ$10:$AJ$409,0)),""))</f>
        <v/>
      </c>
      <c r="E274" s="76" t="str">
        <f aca="false">IF(AND(ISNUMBER(C274),ISNUMBER(C273)),C274/C273-1,"")</f>
        <v/>
      </c>
      <c r="F274" s="76" t="str">
        <f aca="false">IF(AND(ISNUMBER(D274),ISNUMBER(D273)),D274/D273-1,"")</f>
        <v/>
      </c>
      <c r="G274" s="75" t="str">
        <f aca="false">IF(AND(ISNUMBER(E274),ISNUMBER(F274)),1,"")</f>
        <v/>
      </c>
      <c r="H274" s="75" t="str">
        <f aca="false">IF(G274=1,COUNT(G274:G$412),"")</f>
        <v/>
      </c>
      <c r="I274" s="75" t="str">
        <f aca="false">IF(G274=1,IF(H274&lt;='Beta Regresión'!$B$5,1,""),"")</f>
        <v/>
      </c>
      <c r="J274" s="76" t="str">
        <f aca="false">IF(I274=1,E274,"")</f>
        <v/>
      </c>
      <c r="K274" s="76" t="str">
        <f aca="false">IF(I274=1,F274,"")</f>
        <v/>
      </c>
      <c r="L274" s="75" t="str">
        <f aca="false">IF(I274=1,COUNT(I$13:I274),"")</f>
        <v/>
      </c>
      <c r="M274" s="76" t="str">
        <f aca="false">IFERROR(INDEX($J$13:$J$412,MATCH(A274,$L$13:$L$412,0)),"")</f>
        <v/>
      </c>
      <c r="N274" s="76" t="str">
        <f aca="false">IFERROR(INDEX($K$13:$K$412,MATCH(A274,$L$13:$L$412,0)),"")</f>
        <v/>
      </c>
      <c r="O274" s="76" t="e">
        <f aca="false">IF(I274=1,E274,NA())</f>
        <v>#N/A</v>
      </c>
      <c r="P274" s="76" t="e">
        <f aca="false">IF(I274=1,F274,NA())</f>
        <v>#N/A</v>
      </c>
      <c r="R274" s="75" t="n">
        <f aca="false">ROWS(R$13:R274)</f>
        <v>262</v>
      </c>
      <c r="S274" s="73" t="str">
        <f aca="false">IF(S273="","",IFERROR(SMALL($AD$10:$AD$509,COUNTIF($AD$10:$AD$509,"&lt;="&amp;S273)+1),""))</f>
        <v/>
      </c>
      <c r="T274" s="74" t="str">
        <f aca="false">IF(S274="","",INDEX($AE$10:$AE$509,MATCH(S274,$AD$10:$AD$509,0)))</f>
        <v/>
      </c>
      <c r="U274" s="74" t="str">
        <f aca="false">IF(S274="","",IFERROR(INDEX($AG$10:$AG$509,MATCH(S274,$AF$10:$AF$509,0)),""))</f>
        <v/>
      </c>
      <c r="V274" s="76" t="str">
        <f aca="false">IF(AND(ISNUMBER(T274),ISNUMBER(T273)),T274/T273-1,"")</f>
        <v/>
      </c>
      <c r="W274" s="76" t="str">
        <f aca="false">IF(AND(ISNUMBER(U274),ISNUMBER(U273)),U274/U273-1,"")</f>
        <v/>
      </c>
      <c r="X274" s="75" t="str">
        <f aca="false">IF(AND(ISNUMBER(V274),ISNUMBER(W274)),1,"")</f>
        <v/>
      </c>
      <c r="Y274" s="76" t="str">
        <f aca="false">IF(X274=1,V274,"")</f>
        <v/>
      </c>
      <c r="Z274" s="76" t="str">
        <f aca="false">IF(X274=1,W274,"")</f>
        <v/>
      </c>
      <c r="AA274" s="76" t="e">
        <f aca="false">IF(X274=1,V274,NA())</f>
        <v>#N/A</v>
      </c>
      <c r="AB274" s="76" t="e">
        <f aca="false">IF(X274=1,W274,NA())</f>
        <v>#N/A</v>
      </c>
      <c r="AD274" s="73" t="str">
        <f aca="false">IF(ISNUMBER(AE274),IF(ISNUMBER('Base de Datos'!A270),IF('Base de Datos'!A270&gt;20000,DATE(YEAR('Base de Datos'!A270),DAY('Base de Datos'!A270),MONTH('Base de Datos'!A270)),""),IF(TRIM('Base de Datos'!A270)="","",IFERROR(DATE(VALUE(RIGHT(TRIM('Base de Datos'!A270),4)),VALUE(LEFT(TRIM('Base de Datos'!A270),2)),VALUE(MID(TRIM('Base de Datos'!A270),4,2))),""))),"")</f>
        <v/>
      </c>
      <c r="AE274" s="74" t="str">
        <f aca="false">IF(ISNUMBER('Base de Datos'!B270),'Base de Datos'!B270,IF(TRIM('Base de Datos'!B270)="","",IFERROR(IF(IFERROR(FIND("@",SUBSTITUTE(TRIM('Base de Datos'!B270),",","@",LEN(TRIM('Base de Datos'!B270))-LEN(SUBSTITUTE(TRIM('Base de Datos'!B270),",","")))),0)&gt;IFERROR(FIND("@",SUBSTITUTE(TRIM('Base de Datos'!B270),".","@",LEN(TRIM('Base de Datos'!B270))-LEN(SUBSTITUTE(TRIM('Base de Datos'!B270),".","")))),0),_xlfn.NUMBERVALUE(SUBSTITUTE(SUBSTITUTE(TRIM('Base de Datos'!B270),".",""),",","."),".",","),_xlfn.NUMBERVALUE(SUBSTITUTE(TRIM('Base de Datos'!B270),",",""),".",",")),"")))</f>
        <v/>
      </c>
      <c r="AF274" s="73" t="str">
        <f aca="false">IF(ISNUMBER(AG274),IF(ISNUMBER('Base de Datos'!I270),IF('Base de Datos'!I270&gt;20000,INT('Base de Datos'!I270),""),IF(TRIM('Base de Datos'!I270)="","",IFERROR(DATE(VALUE(RIGHT(TRIM('Base de Datos'!I270),4)),VALUE(MID(TRIM('Base de Datos'!I270),4,2)),VALUE(LEFT(TRIM('Base de Datos'!I270),2))),IFERROR(DATEVALUE(TRIM('Base de Datos'!I270)),"")))),"")</f>
        <v/>
      </c>
      <c r="AG274" s="74" t="str">
        <f aca="false">IF(ISNUMBER('Base de Datos'!J270),'Base de Datos'!J270,IF(TRIM('Base de Datos'!J270)="","",IFERROR(IF(IFERROR(FIND("@",SUBSTITUTE(TRIM('Base de Datos'!J270),",","@",LEN(TRIM('Base de Datos'!J270))-LEN(SUBSTITUTE(TRIM('Base de Datos'!J270),",","")))),0)&gt;IFERROR(FIND("@",SUBSTITUTE(TRIM('Base de Datos'!J270),".","@",LEN(TRIM('Base de Datos'!J270))-LEN(SUBSTITUTE(TRIM('Base de Datos'!J270),".","")))),0),_xlfn.NUMBERVALUE(SUBSTITUTE(SUBSTITUTE(TRIM('Base de Datos'!J270),".",""),",","."),".",","),_xlfn.NUMBERVALUE(SUBSTITUTE(TRIM('Base de Datos'!J270),",",""),".",",")),"")))</f>
        <v/>
      </c>
      <c r="AH274" s="73" t="str">
        <f aca="false">IF(ISNUMBER(AI274),IF(ISNUMBER('Base de Datos'!Q270),IF('Base de Datos'!Q270&gt;20000,DATE(YEAR('Base de Datos'!Q270),DAY('Base de Datos'!Q270),MONTH('Base de Datos'!Q270)),""),IF(TRIM('Base de Datos'!Q270)="","",IFERROR(DATE(VALUE(RIGHT(TRIM('Base de Datos'!Q270),4)),VALUE(LEFT(TRIM('Base de Datos'!Q270),2)),VALUE(MID(TRIM('Base de Datos'!Q270),4,2))),""))),"")</f>
        <v/>
      </c>
      <c r="AI274" s="74" t="str">
        <f aca="false">IF(ISNUMBER('Base de Datos'!R270),'Base de Datos'!R270,IF(TRIM('Base de Datos'!R270)="","",IFERROR(IF(IFERROR(FIND("@",SUBSTITUTE(TRIM('Base de Datos'!R270),",","@",LEN(TRIM('Base de Datos'!R270))-LEN(SUBSTITUTE(TRIM('Base de Datos'!R270),",","")))),0)&gt;IFERROR(FIND("@",SUBSTITUTE(TRIM('Base de Datos'!R270),".","@",LEN(TRIM('Base de Datos'!R270))-LEN(SUBSTITUTE(TRIM('Base de Datos'!R270),".","")))),0),_xlfn.NUMBERVALUE(SUBSTITUTE(SUBSTITUTE(TRIM('Base de Datos'!R270),".",""),",","."),".",","),_xlfn.NUMBERVALUE(SUBSTITUTE(TRIM('Base de Datos'!R270),",",""),".",",")),"")))</f>
        <v/>
      </c>
      <c r="AJ274" s="73" t="str">
        <f aca="false">IF(ISNUMBER(AK274),IF(ISNUMBER('Base de Datos'!Y270),IF('Base de Datos'!Y270&gt;20000,INT('Base de Datos'!Y270),""),IF(TRIM('Base de Datos'!Y270)="","",IFERROR(DATE(VALUE(RIGHT(TRIM('Base de Datos'!Y270),4)),VALUE(MID(TRIM('Base de Datos'!Y270),4,2)),VALUE(LEFT(TRIM('Base de Datos'!Y270),2))),IFERROR(DATEVALUE(TRIM('Base de Datos'!Y270)),"")))),"")</f>
        <v/>
      </c>
      <c r="AK274" s="74" t="str">
        <f aca="false">IF(ISNUMBER('Base de Datos'!Z270),'Base de Datos'!Z270,IF(TRIM('Base de Datos'!Z270)="","",IFERROR(IF(IFERROR(FIND("@",SUBSTITUTE(TRIM('Base de Datos'!Z270),",","@",LEN(TRIM('Base de Datos'!Z270))-LEN(SUBSTITUTE(TRIM('Base de Datos'!Z270),",","")))),0)&gt;IFERROR(FIND("@",SUBSTITUTE(TRIM('Base de Datos'!Z270),".","@",LEN(TRIM('Base de Datos'!Z270))-LEN(SUBSTITUTE(TRIM('Base de Datos'!Z270),".","")))),0),_xlfn.NUMBERVALUE(SUBSTITUTE(SUBSTITUTE(TRIM('Base de Datos'!Z270),".",""),",","."),".",","),_xlfn.NUMBERVALUE(SUBSTITUTE(TRIM('Base de Datos'!Z270),",",""),".",",")),"")))</f>
        <v/>
      </c>
    </row>
    <row r="275" customFormat="false" ht="13.5" hidden="false" customHeight="false" outlineLevel="0" collapsed="false">
      <c r="A275" s="75" t="n">
        <f aca="false">ROWS(A$13:A275)</f>
        <v>263</v>
      </c>
      <c r="B275" s="73" t="str">
        <f aca="false">IF(B274="","",IFERROR(SMALL($AH$10:$AH$409,COUNTIF($AH$10:$AH$409,"&lt;="&amp;B274)+1),""))</f>
        <v/>
      </c>
      <c r="C275" s="74" t="str">
        <f aca="false">IF(B275="","",INDEX($AI$10:$AI$409,MATCH(B275,$AH$10:$AH$409,0)))</f>
        <v/>
      </c>
      <c r="D275" s="74" t="str">
        <f aca="false">IF(B275="","",IFERROR(INDEX($AK$10:$AK$409,MATCH(B275,$AJ$10:$AJ$409,0)),""))</f>
        <v/>
      </c>
      <c r="E275" s="76" t="str">
        <f aca="false">IF(AND(ISNUMBER(C275),ISNUMBER(C274)),C275/C274-1,"")</f>
        <v/>
      </c>
      <c r="F275" s="76" t="str">
        <f aca="false">IF(AND(ISNUMBER(D275),ISNUMBER(D274)),D275/D274-1,"")</f>
        <v/>
      </c>
      <c r="G275" s="75" t="str">
        <f aca="false">IF(AND(ISNUMBER(E275),ISNUMBER(F275)),1,"")</f>
        <v/>
      </c>
      <c r="H275" s="75" t="str">
        <f aca="false">IF(G275=1,COUNT(G275:G$412),"")</f>
        <v/>
      </c>
      <c r="I275" s="75" t="str">
        <f aca="false">IF(G275=1,IF(H275&lt;='Beta Regresión'!$B$5,1,""),"")</f>
        <v/>
      </c>
      <c r="J275" s="76" t="str">
        <f aca="false">IF(I275=1,E275,"")</f>
        <v/>
      </c>
      <c r="K275" s="76" t="str">
        <f aca="false">IF(I275=1,F275,"")</f>
        <v/>
      </c>
      <c r="L275" s="75" t="str">
        <f aca="false">IF(I275=1,COUNT(I$13:I275),"")</f>
        <v/>
      </c>
      <c r="M275" s="76" t="str">
        <f aca="false">IFERROR(INDEX($J$13:$J$412,MATCH(A275,$L$13:$L$412,0)),"")</f>
        <v/>
      </c>
      <c r="N275" s="76" t="str">
        <f aca="false">IFERROR(INDEX($K$13:$K$412,MATCH(A275,$L$13:$L$412,0)),"")</f>
        <v/>
      </c>
      <c r="O275" s="76" t="e">
        <f aca="false">IF(I275=1,E275,NA())</f>
        <v>#N/A</v>
      </c>
      <c r="P275" s="76" t="e">
        <f aca="false">IF(I275=1,F275,NA())</f>
        <v>#N/A</v>
      </c>
      <c r="R275" s="75" t="n">
        <f aca="false">ROWS(R$13:R275)</f>
        <v>263</v>
      </c>
      <c r="S275" s="73" t="str">
        <f aca="false">IF(S274="","",IFERROR(SMALL($AD$10:$AD$509,COUNTIF($AD$10:$AD$509,"&lt;="&amp;S274)+1),""))</f>
        <v/>
      </c>
      <c r="T275" s="74" t="str">
        <f aca="false">IF(S275="","",INDEX($AE$10:$AE$509,MATCH(S275,$AD$10:$AD$509,0)))</f>
        <v/>
      </c>
      <c r="U275" s="74" t="str">
        <f aca="false">IF(S275="","",IFERROR(INDEX($AG$10:$AG$509,MATCH(S275,$AF$10:$AF$509,0)),""))</f>
        <v/>
      </c>
      <c r="V275" s="76" t="str">
        <f aca="false">IF(AND(ISNUMBER(T275),ISNUMBER(T274)),T275/T274-1,"")</f>
        <v/>
      </c>
      <c r="W275" s="76" t="str">
        <f aca="false">IF(AND(ISNUMBER(U275),ISNUMBER(U274)),U275/U274-1,"")</f>
        <v/>
      </c>
      <c r="X275" s="75" t="str">
        <f aca="false">IF(AND(ISNUMBER(V275),ISNUMBER(W275)),1,"")</f>
        <v/>
      </c>
      <c r="Y275" s="76" t="str">
        <f aca="false">IF(X275=1,V275,"")</f>
        <v/>
      </c>
      <c r="Z275" s="76" t="str">
        <f aca="false">IF(X275=1,W275,"")</f>
        <v/>
      </c>
      <c r="AA275" s="76" t="e">
        <f aca="false">IF(X275=1,V275,NA())</f>
        <v>#N/A</v>
      </c>
      <c r="AB275" s="76" t="e">
        <f aca="false">IF(X275=1,W275,NA())</f>
        <v>#N/A</v>
      </c>
      <c r="AD275" s="73" t="str">
        <f aca="false">IF(ISNUMBER(AE275),IF(ISNUMBER('Base de Datos'!A271),IF('Base de Datos'!A271&gt;20000,DATE(YEAR('Base de Datos'!A271),DAY('Base de Datos'!A271),MONTH('Base de Datos'!A271)),""),IF(TRIM('Base de Datos'!A271)="","",IFERROR(DATE(VALUE(RIGHT(TRIM('Base de Datos'!A271),4)),VALUE(LEFT(TRIM('Base de Datos'!A271),2)),VALUE(MID(TRIM('Base de Datos'!A271),4,2))),""))),"")</f>
        <v/>
      </c>
      <c r="AE275" s="74" t="str">
        <f aca="false">IF(ISNUMBER('Base de Datos'!B271),'Base de Datos'!B271,IF(TRIM('Base de Datos'!B271)="","",IFERROR(IF(IFERROR(FIND("@",SUBSTITUTE(TRIM('Base de Datos'!B271),",","@",LEN(TRIM('Base de Datos'!B271))-LEN(SUBSTITUTE(TRIM('Base de Datos'!B271),",","")))),0)&gt;IFERROR(FIND("@",SUBSTITUTE(TRIM('Base de Datos'!B271),".","@",LEN(TRIM('Base de Datos'!B271))-LEN(SUBSTITUTE(TRIM('Base de Datos'!B271),".","")))),0),_xlfn.NUMBERVALUE(SUBSTITUTE(SUBSTITUTE(TRIM('Base de Datos'!B271),".",""),",","."),".",","),_xlfn.NUMBERVALUE(SUBSTITUTE(TRIM('Base de Datos'!B271),",",""),".",",")),"")))</f>
        <v/>
      </c>
      <c r="AF275" s="73" t="str">
        <f aca="false">IF(ISNUMBER(AG275),IF(ISNUMBER('Base de Datos'!I271),IF('Base de Datos'!I271&gt;20000,INT('Base de Datos'!I271),""),IF(TRIM('Base de Datos'!I271)="","",IFERROR(DATE(VALUE(RIGHT(TRIM('Base de Datos'!I271),4)),VALUE(MID(TRIM('Base de Datos'!I271),4,2)),VALUE(LEFT(TRIM('Base de Datos'!I271),2))),IFERROR(DATEVALUE(TRIM('Base de Datos'!I271)),"")))),"")</f>
        <v/>
      </c>
      <c r="AG275" s="74" t="str">
        <f aca="false">IF(ISNUMBER('Base de Datos'!J271),'Base de Datos'!J271,IF(TRIM('Base de Datos'!J271)="","",IFERROR(IF(IFERROR(FIND("@",SUBSTITUTE(TRIM('Base de Datos'!J271),",","@",LEN(TRIM('Base de Datos'!J271))-LEN(SUBSTITUTE(TRIM('Base de Datos'!J271),",","")))),0)&gt;IFERROR(FIND("@",SUBSTITUTE(TRIM('Base de Datos'!J271),".","@",LEN(TRIM('Base de Datos'!J271))-LEN(SUBSTITUTE(TRIM('Base de Datos'!J271),".","")))),0),_xlfn.NUMBERVALUE(SUBSTITUTE(SUBSTITUTE(TRIM('Base de Datos'!J271),".",""),",","."),".",","),_xlfn.NUMBERVALUE(SUBSTITUTE(TRIM('Base de Datos'!J271),",",""),".",",")),"")))</f>
        <v/>
      </c>
      <c r="AH275" s="73" t="str">
        <f aca="false">IF(ISNUMBER(AI275),IF(ISNUMBER('Base de Datos'!Q271),IF('Base de Datos'!Q271&gt;20000,DATE(YEAR('Base de Datos'!Q271),DAY('Base de Datos'!Q271),MONTH('Base de Datos'!Q271)),""),IF(TRIM('Base de Datos'!Q271)="","",IFERROR(DATE(VALUE(RIGHT(TRIM('Base de Datos'!Q271),4)),VALUE(LEFT(TRIM('Base de Datos'!Q271),2)),VALUE(MID(TRIM('Base de Datos'!Q271),4,2))),""))),"")</f>
        <v/>
      </c>
      <c r="AI275" s="74" t="str">
        <f aca="false">IF(ISNUMBER('Base de Datos'!R271),'Base de Datos'!R271,IF(TRIM('Base de Datos'!R271)="","",IFERROR(IF(IFERROR(FIND("@",SUBSTITUTE(TRIM('Base de Datos'!R271),",","@",LEN(TRIM('Base de Datos'!R271))-LEN(SUBSTITUTE(TRIM('Base de Datos'!R271),",","")))),0)&gt;IFERROR(FIND("@",SUBSTITUTE(TRIM('Base de Datos'!R271),".","@",LEN(TRIM('Base de Datos'!R271))-LEN(SUBSTITUTE(TRIM('Base de Datos'!R271),".","")))),0),_xlfn.NUMBERVALUE(SUBSTITUTE(SUBSTITUTE(TRIM('Base de Datos'!R271),".",""),",","."),".",","),_xlfn.NUMBERVALUE(SUBSTITUTE(TRIM('Base de Datos'!R271),",",""),".",",")),"")))</f>
        <v/>
      </c>
      <c r="AJ275" s="73" t="str">
        <f aca="false">IF(ISNUMBER(AK275),IF(ISNUMBER('Base de Datos'!Y271),IF('Base de Datos'!Y271&gt;20000,INT('Base de Datos'!Y271),""),IF(TRIM('Base de Datos'!Y271)="","",IFERROR(DATE(VALUE(RIGHT(TRIM('Base de Datos'!Y271),4)),VALUE(MID(TRIM('Base de Datos'!Y271),4,2)),VALUE(LEFT(TRIM('Base de Datos'!Y271),2))),IFERROR(DATEVALUE(TRIM('Base de Datos'!Y271)),"")))),"")</f>
        <v/>
      </c>
      <c r="AK275" s="74" t="str">
        <f aca="false">IF(ISNUMBER('Base de Datos'!Z271),'Base de Datos'!Z271,IF(TRIM('Base de Datos'!Z271)="","",IFERROR(IF(IFERROR(FIND("@",SUBSTITUTE(TRIM('Base de Datos'!Z271),",","@",LEN(TRIM('Base de Datos'!Z271))-LEN(SUBSTITUTE(TRIM('Base de Datos'!Z271),",","")))),0)&gt;IFERROR(FIND("@",SUBSTITUTE(TRIM('Base de Datos'!Z271),".","@",LEN(TRIM('Base de Datos'!Z271))-LEN(SUBSTITUTE(TRIM('Base de Datos'!Z271),".","")))),0),_xlfn.NUMBERVALUE(SUBSTITUTE(SUBSTITUTE(TRIM('Base de Datos'!Z271),".",""),",","."),".",","),_xlfn.NUMBERVALUE(SUBSTITUTE(TRIM('Base de Datos'!Z271),",",""),".",",")),"")))</f>
        <v/>
      </c>
    </row>
    <row r="276" customFormat="false" ht="13.5" hidden="false" customHeight="false" outlineLevel="0" collapsed="false">
      <c r="A276" s="75" t="n">
        <f aca="false">ROWS(A$13:A276)</f>
        <v>264</v>
      </c>
      <c r="B276" s="73" t="str">
        <f aca="false">IF(B275="","",IFERROR(SMALL($AH$10:$AH$409,COUNTIF($AH$10:$AH$409,"&lt;="&amp;B275)+1),""))</f>
        <v/>
      </c>
      <c r="C276" s="74" t="str">
        <f aca="false">IF(B276="","",INDEX($AI$10:$AI$409,MATCH(B276,$AH$10:$AH$409,0)))</f>
        <v/>
      </c>
      <c r="D276" s="74" t="str">
        <f aca="false">IF(B276="","",IFERROR(INDEX($AK$10:$AK$409,MATCH(B276,$AJ$10:$AJ$409,0)),""))</f>
        <v/>
      </c>
      <c r="E276" s="76" t="str">
        <f aca="false">IF(AND(ISNUMBER(C276),ISNUMBER(C275)),C276/C275-1,"")</f>
        <v/>
      </c>
      <c r="F276" s="76" t="str">
        <f aca="false">IF(AND(ISNUMBER(D276),ISNUMBER(D275)),D276/D275-1,"")</f>
        <v/>
      </c>
      <c r="G276" s="75" t="str">
        <f aca="false">IF(AND(ISNUMBER(E276),ISNUMBER(F276)),1,"")</f>
        <v/>
      </c>
      <c r="H276" s="75" t="str">
        <f aca="false">IF(G276=1,COUNT(G276:G$412),"")</f>
        <v/>
      </c>
      <c r="I276" s="75" t="str">
        <f aca="false">IF(G276=1,IF(H276&lt;='Beta Regresión'!$B$5,1,""),"")</f>
        <v/>
      </c>
      <c r="J276" s="76" t="str">
        <f aca="false">IF(I276=1,E276,"")</f>
        <v/>
      </c>
      <c r="K276" s="76" t="str">
        <f aca="false">IF(I276=1,F276,"")</f>
        <v/>
      </c>
      <c r="L276" s="75" t="str">
        <f aca="false">IF(I276=1,COUNT(I$13:I276),"")</f>
        <v/>
      </c>
      <c r="M276" s="76" t="str">
        <f aca="false">IFERROR(INDEX($J$13:$J$412,MATCH(A276,$L$13:$L$412,0)),"")</f>
        <v/>
      </c>
      <c r="N276" s="76" t="str">
        <f aca="false">IFERROR(INDEX($K$13:$K$412,MATCH(A276,$L$13:$L$412,0)),"")</f>
        <v/>
      </c>
      <c r="O276" s="76" t="e">
        <f aca="false">IF(I276=1,E276,NA())</f>
        <v>#N/A</v>
      </c>
      <c r="P276" s="76" t="e">
        <f aca="false">IF(I276=1,F276,NA())</f>
        <v>#N/A</v>
      </c>
      <c r="R276" s="75" t="n">
        <f aca="false">ROWS(R$13:R276)</f>
        <v>264</v>
      </c>
      <c r="S276" s="73" t="str">
        <f aca="false">IF(S275="","",IFERROR(SMALL($AD$10:$AD$509,COUNTIF($AD$10:$AD$509,"&lt;="&amp;S275)+1),""))</f>
        <v/>
      </c>
      <c r="T276" s="74" t="str">
        <f aca="false">IF(S276="","",INDEX($AE$10:$AE$509,MATCH(S276,$AD$10:$AD$509,0)))</f>
        <v/>
      </c>
      <c r="U276" s="74" t="str">
        <f aca="false">IF(S276="","",IFERROR(INDEX($AG$10:$AG$509,MATCH(S276,$AF$10:$AF$509,0)),""))</f>
        <v/>
      </c>
      <c r="V276" s="76" t="str">
        <f aca="false">IF(AND(ISNUMBER(T276),ISNUMBER(T275)),T276/T275-1,"")</f>
        <v/>
      </c>
      <c r="W276" s="76" t="str">
        <f aca="false">IF(AND(ISNUMBER(U276),ISNUMBER(U275)),U276/U275-1,"")</f>
        <v/>
      </c>
      <c r="X276" s="75" t="str">
        <f aca="false">IF(AND(ISNUMBER(V276),ISNUMBER(W276)),1,"")</f>
        <v/>
      </c>
      <c r="Y276" s="76" t="str">
        <f aca="false">IF(X276=1,V276,"")</f>
        <v/>
      </c>
      <c r="Z276" s="76" t="str">
        <f aca="false">IF(X276=1,W276,"")</f>
        <v/>
      </c>
      <c r="AA276" s="76" t="e">
        <f aca="false">IF(X276=1,V276,NA())</f>
        <v>#N/A</v>
      </c>
      <c r="AB276" s="76" t="e">
        <f aca="false">IF(X276=1,W276,NA())</f>
        <v>#N/A</v>
      </c>
      <c r="AD276" s="73" t="str">
        <f aca="false">IF(ISNUMBER(AE276),IF(ISNUMBER('Base de Datos'!A272),IF('Base de Datos'!A272&gt;20000,DATE(YEAR('Base de Datos'!A272),DAY('Base de Datos'!A272),MONTH('Base de Datos'!A272)),""),IF(TRIM('Base de Datos'!A272)="","",IFERROR(DATE(VALUE(RIGHT(TRIM('Base de Datos'!A272),4)),VALUE(LEFT(TRIM('Base de Datos'!A272),2)),VALUE(MID(TRIM('Base de Datos'!A272),4,2))),""))),"")</f>
        <v/>
      </c>
      <c r="AE276" s="74" t="str">
        <f aca="false">IF(ISNUMBER('Base de Datos'!B272),'Base de Datos'!B272,IF(TRIM('Base de Datos'!B272)="","",IFERROR(IF(IFERROR(FIND("@",SUBSTITUTE(TRIM('Base de Datos'!B272),",","@",LEN(TRIM('Base de Datos'!B272))-LEN(SUBSTITUTE(TRIM('Base de Datos'!B272),",","")))),0)&gt;IFERROR(FIND("@",SUBSTITUTE(TRIM('Base de Datos'!B272),".","@",LEN(TRIM('Base de Datos'!B272))-LEN(SUBSTITUTE(TRIM('Base de Datos'!B272),".","")))),0),_xlfn.NUMBERVALUE(SUBSTITUTE(SUBSTITUTE(TRIM('Base de Datos'!B272),".",""),",","."),".",","),_xlfn.NUMBERVALUE(SUBSTITUTE(TRIM('Base de Datos'!B272),",",""),".",",")),"")))</f>
        <v/>
      </c>
      <c r="AF276" s="73" t="str">
        <f aca="false">IF(ISNUMBER(AG276),IF(ISNUMBER('Base de Datos'!I272),IF('Base de Datos'!I272&gt;20000,INT('Base de Datos'!I272),""),IF(TRIM('Base de Datos'!I272)="","",IFERROR(DATE(VALUE(RIGHT(TRIM('Base de Datos'!I272),4)),VALUE(MID(TRIM('Base de Datos'!I272),4,2)),VALUE(LEFT(TRIM('Base de Datos'!I272),2))),IFERROR(DATEVALUE(TRIM('Base de Datos'!I272)),"")))),"")</f>
        <v/>
      </c>
      <c r="AG276" s="74" t="str">
        <f aca="false">IF(ISNUMBER('Base de Datos'!J272),'Base de Datos'!J272,IF(TRIM('Base de Datos'!J272)="","",IFERROR(IF(IFERROR(FIND("@",SUBSTITUTE(TRIM('Base de Datos'!J272),",","@",LEN(TRIM('Base de Datos'!J272))-LEN(SUBSTITUTE(TRIM('Base de Datos'!J272),",","")))),0)&gt;IFERROR(FIND("@",SUBSTITUTE(TRIM('Base de Datos'!J272),".","@",LEN(TRIM('Base de Datos'!J272))-LEN(SUBSTITUTE(TRIM('Base de Datos'!J272),".","")))),0),_xlfn.NUMBERVALUE(SUBSTITUTE(SUBSTITUTE(TRIM('Base de Datos'!J272),".",""),",","."),".",","),_xlfn.NUMBERVALUE(SUBSTITUTE(TRIM('Base de Datos'!J272),",",""),".",",")),"")))</f>
        <v/>
      </c>
      <c r="AH276" s="73" t="str">
        <f aca="false">IF(ISNUMBER(AI276),IF(ISNUMBER('Base de Datos'!Q272),IF('Base de Datos'!Q272&gt;20000,DATE(YEAR('Base de Datos'!Q272),DAY('Base de Datos'!Q272),MONTH('Base de Datos'!Q272)),""),IF(TRIM('Base de Datos'!Q272)="","",IFERROR(DATE(VALUE(RIGHT(TRIM('Base de Datos'!Q272),4)),VALUE(LEFT(TRIM('Base de Datos'!Q272),2)),VALUE(MID(TRIM('Base de Datos'!Q272),4,2))),""))),"")</f>
        <v/>
      </c>
      <c r="AI276" s="74" t="str">
        <f aca="false">IF(ISNUMBER('Base de Datos'!R272),'Base de Datos'!R272,IF(TRIM('Base de Datos'!R272)="","",IFERROR(IF(IFERROR(FIND("@",SUBSTITUTE(TRIM('Base de Datos'!R272),",","@",LEN(TRIM('Base de Datos'!R272))-LEN(SUBSTITUTE(TRIM('Base de Datos'!R272),",","")))),0)&gt;IFERROR(FIND("@",SUBSTITUTE(TRIM('Base de Datos'!R272),".","@",LEN(TRIM('Base de Datos'!R272))-LEN(SUBSTITUTE(TRIM('Base de Datos'!R272),".","")))),0),_xlfn.NUMBERVALUE(SUBSTITUTE(SUBSTITUTE(TRIM('Base de Datos'!R272),".",""),",","."),".",","),_xlfn.NUMBERVALUE(SUBSTITUTE(TRIM('Base de Datos'!R272),",",""),".",",")),"")))</f>
        <v/>
      </c>
      <c r="AJ276" s="73" t="str">
        <f aca="false">IF(ISNUMBER(AK276),IF(ISNUMBER('Base de Datos'!Y272),IF('Base de Datos'!Y272&gt;20000,INT('Base de Datos'!Y272),""),IF(TRIM('Base de Datos'!Y272)="","",IFERROR(DATE(VALUE(RIGHT(TRIM('Base de Datos'!Y272),4)),VALUE(MID(TRIM('Base de Datos'!Y272),4,2)),VALUE(LEFT(TRIM('Base de Datos'!Y272),2))),IFERROR(DATEVALUE(TRIM('Base de Datos'!Y272)),"")))),"")</f>
        <v/>
      </c>
      <c r="AK276" s="74" t="str">
        <f aca="false">IF(ISNUMBER('Base de Datos'!Z272),'Base de Datos'!Z272,IF(TRIM('Base de Datos'!Z272)="","",IFERROR(IF(IFERROR(FIND("@",SUBSTITUTE(TRIM('Base de Datos'!Z272),",","@",LEN(TRIM('Base de Datos'!Z272))-LEN(SUBSTITUTE(TRIM('Base de Datos'!Z272),",","")))),0)&gt;IFERROR(FIND("@",SUBSTITUTE(TRIM('Base de Datos'!Z272),".","@",LEN(TRIM('Base de Datos'!Z272))-LEN(SUBSTITUTE(TRIM('Base de Datos'!Z272),".","")))),0),_xlfn.NUMBERVALUE(SUBSTITUTE(SUBSTITUTE(TRIM('Base de Datos'!Z272),".",""),",","."),".",","),_xlfn.NUMBERVALUE(SUBSTITUTE(TRIM('Base de Datos'!Z272),",",""),".",",")),"")))</f>
        <v/>
      </c>
    </row>
    <row r="277" customFormat="false" ht="13.5" hidden="false" customHeight="false" outlineLevel="0" collapsed="false">
      <c r="A277" s="75" t="n">
        <f aca="false">ROWS(A$13:A277)</f>
        <v>265</v>
      </c>
      <c r="B277" s="73" t="str">
        <f aca="false">IF(B276="","",IFERROR(SMALL($AH$10:$AH$409,COUNTIF($AH$10:$AH$409,"&lt;="&amp;B276)+1),""))</f>
        <v/>
      </c>
      <c r="C277" s="74" t="str">
        <f aca="false">IF(B277="","",INDEX($AI$10:$AI$409,MATCH(B277,$AH$10:$AH$409,0)))</f>
        <v/>
      </c>
      <c r="D277" s="74" t="str">
        <f aca="false">IF(B277="","",IFERROR(INDEX($AK$10:$AK$409,MATCH(B277,$AJ$10:$AJ$409,0)),""))</f>
        <v/>
      </c>
      <c r="E277" s="76" t="str">
        <f aca="false">IF(AND(ISNUMBER(C277),ISNUMBER(C276)),C277/C276-1,"")</f>
        <v/>
      </c>
      <c r="F277" s="76" t="str">
        <f aca="false">IF(AND(ISNUMBER(D277),ISNUMBER(D276)),D277/D276-1,"")</f>
        <v/>
      </c>
      <c r="G277" s="75" t="str">
        <f aca="false">IF(AND(ISNUMBER(E277),ISNUMBER(F277)),1,"")</f>
        <v/>
      </c>
      <c r="H277" s="75" t="str">
        <f aca="false">IF(G277=1,COUNT(G277:G$412),"")</f>
        <v/>
      </c>
      <c r="I277" s="75" t="str">
        <f aca="false">IF(G277=1,IF(H277&lt;='Beta Regresión'!$B$5,1,""),"")</f>
        <v/>
      </c>
      <c r="J277" s="76" t="str">
        <f aca="false">IF(I277=1,E277,"")</f>
        <v/>
      </c>
      <c r="K277" s="76" t="str">
        <f aca="false">IF(I277=1,F277,"")</f>
        <v/>
      </c>
      <c r="L277" s="75" t="str">
        <f aca="false">IF(I277=1,COUNT(I$13:I277),"")</f>
        <v/>
      </c>
      <c r="M277" s="76" t="str">
        <f aca="false">IFERROR(INDEX($J$13:$J$412,MATCH(A277,$L$13:$L$412,0)),"")</f>
        <v/>
      </c>
      <c r="N277" s="76" t="str">
        <f aca="false">IFERROR(INDEX($K$13:$K$412,MATCH(A277,$L$13:$L$412,0)),"")</f>
        <v/>
      </c>
      <c r="O277" s="76" t="e">
        <f aca="false">IF(I277=1,E277,NA())</f>
        <v>#N/A</v>
      </c>
      <c r="P277" s="76" t="e">
        <f aca="false">IF(I277=1,F277,NA())</f>
        <v>#N/A</v>
      </c>
      <c r="R277" s="75" t="n">
        <f aca="false">ROWS(R$13:R277)</f>
        <v>265</v>
      </c>
      <c r="S277" s="73" t="str">
        <f aca="false">IF(S276="","",IFERROR(SMALL($AD$10:$AD$509,COUNTIF($AD$10:$AD$509,"&lt;="&amp;S276)+1),""))</f>
        <v/>
      </c>
      <c r="T277" s="74" t="str">
        <f aca="false">IF(S277="","",INDEX($AE$10:$AE$509,MATCH(S277,$AD$10:$AD$509,0)))</f>
        <v/>
      </c>
      <c r="U277" s="74" t="str">
        <f aca="false">IF(S277="","",IFERROR(INDEX($AG$10:$AG$509,MATCH(S277,$AF$10:$AF$509,0)),""))</f>
        <v/>
      </c>
      <c r="V277" s="76" t="str">
        <f aca="false">IF(AND(ISNUMBER(T277),ISNUMBER(T276)),T277/T276-1,"")</f>
        <v/>
      </c>
      <c r="W277" s="76" t="str">
        <f aca="false">IF(AND(ISNUMBER(U277),ISNUMBER(U276)),U277/U276-1,"")</f>
        <v/>
      </c>
      <c r="X277" s="75" t="str">
        <f aca="false">IF(AND(ISNUMBER(V277),ISNUMBER(W277)),1,"")</f>
        <v/>
      </c>
      <c r="Y277" s="76" t="str">
        <f aca="false">IF(X277=1,V277,"")</f>
        <v/>
      </c>
      <c r="Z277" s="76" t="str">
        <f aca="false">IF(X277=1,W277,"")</f>
        <v/>
      </c>
      <c r="AA277" s="76" t="e">
        <f aca="false">IF(X277=1,V277,NA())</f>
        <v>#N/A</v>
      </c>
      <c r="AB277" s="76" t="e">
        <f aca="false">IF(X277=1,W277,NA())</f>
        <v>#N/A</v>
      </c>
      <c r="AD277" s="73" t="str">
        <f aca="false">IF(ISNUMBER(AE277),IF(ISNUMBER('Base de Datos'!A273),IF('Base de Datos'!A273&gt;20000,DATE(YEAR('Base de Datos'!A273),DAY('Base de Datos'!A273),MONTH('Base de Datos'!A273)),""),IF(TRIM('Base de Datos'!A273)="","",IFERROR(DATE(VALUE(RIGHT(TRIM('Base de Datos'!A273),4)),VALUE(LEFT(TRIM('Base de Datos'!A273),2)),VALUE(MID(TRIM('Base de Datos'!A273),4,2))),""))),"")</f>
        <v/>
      </c>
      <c r="AE277" s="74" t="str">
        <f aca="false">IF(ISNUMBER('Base de Datos'!B273),'Base de Datos'!B273,IF(TRIM('Base de Datos'!B273)="","",IFERROR(IF(IFERROR(FIND("@",SUBSTITUTE(TRIM('Base de Datos'!B273),",","@",LEN(TRIM('Base de Datos'!B273))-LEN(SUBSTITUTE(TRIM('Base de Datos'!B273),",","")))),0)&gt;IFERROR(FIND("@",SUBSTITUTE(TRIM('Base de Datos'!B273),".","@",LEN(TRIM('Base de Datos'!B273))-LEN(SUBSTITUTE(TRIM('Base de Datos'!B273),".","")))),0),_xlfn.NUMBERVALUE(SUBSTITUTE(SUBSTITUTE(TRIM('Base de Datos'!B273),".",""),",","."),".",","),_xlfn.NUMBERVALUE(SUBSTITUTE(TRIM('Base de Datos'!B273),",",""),".",",")),"")))</f>
        <v/>
      </c>
      <c r="AF277" s="73" t="str">
        <f aca="false">IF(ISNUMBER(AG277),IF(ISNUMBER('Base de Datos'!I273),IF('Base de Datos'!I273&gt;20000,INT('Base de Datos'!I273),""),IF(TRIM('Base de Datos'!I273)="","",IFERROR(DATE(VALUE(RIGHT(TRIM('Base de Datos'!I273),4)),VALUE(MID(TRIM('Base de Datos'!I273),4,2)),VALUE(LEFT(TRIM('Base de Datos'!I273),2))),IFERROR(DATEVALUE(TRIM('Base de Datos'!I273)),"")))),"")</f>
        <v/>
      </c>
      <c r="AG277" s="74" t="str">
        <f aca="false">IF(ISNUMBER('Base de Datos'!J273),'Base de Datos'!J273,IF(TRIM('Base de Datos'!J273)="","",IFERROR(IF(IFERROR(FIND("@",SUBSTITUTE(TRIM('Base de Datos'!J273),",","@",LEN(TRIM('Base de Datos'!J273))-LEN(SUBSTITUTE(TRIM('Base de Datos'!J273),",","")))),0)&gt;IFERROR(FIND("@",SUBSTITUTE(TRIM('Base de Datos'!J273),".","@",LEN(TRIM('Base de Datos'!J273))-LEN(SUBSTITUTE(TRIM('Base de Datos'!J273),".","")))),0),_xlfn.NUMBERVALUE(SUBSTITUTE(SUBSTITUTE(TRIM('Base de Datos'!J273),".",""),",","."),".",","),_xlfn.NUMBERVALUE(SUBSTITUTE(TRIM('Base de Datos'!J273),",",""),".",",")),"")))</f>
        <v/>
      </c>
      <c r="AH277" s="73" t="str">
        <f aca="false">IF(ISNUMBER(AI277),IF(ISNUMBER('Base de Datos'!Q273),IF('Base de Datos'!Q273&gt;20000,DATE(YEAR('Base de Datos'!Q273),DAY('Base de Datos'!Q273),MONTH('Base de Datos'!Q273)),""),IF(TRIM('Base de Datos'!Q273)="","",IFERROR(DATE(VALUE(RIGHT(TRIM('Base de Datos'!Q273),4)),VALUE(LEFT(TRIM('Base de Datos'!Q273),2)),VALUE(MID(TRIM('Base de Datos'!Q273),4,2))),""))),"")</f>
        <v/>
      </c>
      <c r="AI277" s="74" t="str">
        <f aca="false">IF(ISNUMBER('Base de Datos'!R273),'Base de Datos'!R273,IF(TRIM('Base de Datos'!R273)="","",IFERROR(IF(IFERROR(FIND("@",SUBSTITUTE(TRIM('Base de Datos'!R273),",","@",LEN(TRIM('Base de Datos'!R273))-LEN(SUBSTITUTE(TRIM('Base de Datos'!R273),",","")))),0)&gt;IFERROR(FIND("@",SUBSTITUTE(TRIM('Base de Datos'!R273),".","@",LEN(TRIM('Base de Datos'!R273))-LEN(SUBSTITUTE(TRIM('Base de Datos'!R273),".","")))),0),_xlfn.NUMBERVALUE(SUBSTITUTE(SUBSTITUTE(TRIM('Base de Datos'!R273),".",""),",","."),".",","),_xlfn.NUMBERVALUE(SUBSTITUTE(TRIM('Base de Datos'!R273),",",""),".",",")),"")))</f>
        <v/>
      </c>
      <c r="AJ277" s="73" t="str">
        <f aca="false">IF(ISNUMBER(AK277),IF(ISNUMBER('Base de Datos'!Y273),IF('Base de Datos'!Y273&gt;20000,INT('Base de Datos'!Y273),""),IF(TRIM('Base de Datos'!Y273)="","",IFERROR(DATE(VALUE(RIGHT(TRIM('Base de Datos'!Y273),4)),VALUE(MID(TRIM('Base de Datos'!Y273),4,2)),VALUE(LEFT(TRIM('Base de Datos'!Y273),2))),IFERROR(DATEVALUE(TRIM('Base de Datos'!Y273)),"")))),"")</f>
        <v/>
      </c>
      <c r="AK277" s="74" t="str">
        <f aca="false">IF(ISNUMBER('Base de Datos'!Z273),'Base de Datos'!Z273,IF(TRIM('Base de Datos'!Z273)="","",IFERROR(IF(IFERROR(FIND("@",SUBSTITUTE(TRIM('Base de Datos'!Z273),",","@",LEN(TRIM('Base de Datos'!Z273))-LEN(SUBSTITUTE(TRIM('Base de Datos'!Z273),",","")))),0)&gt;IFERROR(FIND("@",SUBSTITUTE(TRIM('Base de Datos'!Z273),".","@",LEN(TRIM('Base de Datos'!Z273))-LEN(SUBSTITUTE(TRIM('Base de Datos'!Z273),".","")))),0),_xlfn.NUMBERVALUE(SUBSTITUTE(SUBSTITUTE(TRIM('Base de Datos'!Z273),".",""),",","."),".",","),_xlfn.NUMBERVALUE(SUBSTITUTE(TRIM('Base de Datos'!Z273),",",""),".",",")),"")))</f>
        <v/>
      </c>
    </row>
    <row r="278" customFormat="false" ht="13.5" hidden="false" customHeight="false" outlineLevel="0" collapsed="false">
      <c r="A278" s="75" t="n">
        <f aca="false">ROWS(A$13:A278)</f>
        <v>266</v>
      </c>
      <c r="B278" s="73" t="str">
        <f aca="false">IF(B277="","",IFERROR(SMALL($AH$10:$AH$409,COUNTIF($AH$10:$AH$409,"&lt;="&amp;B277)+1),""))</f>
        <v/>
      </c>
      <c r="C278" s="74" t="str">
        <f aca="false">IF(B278="","",INDEX($AI$10:$AI$409,MATCH(B278,$AH$10:$AH$409,0)))</f>
        <v/>
      </c>
      <c r="D278" s="74" t="str">
        <f aca="false">IF(B278="","",IFERROR(INDEX($AK$10:$AK$409,MATCH(B278,$AJ$10:$AJ$409,0)),""))</f>
        <v/>
      </c>
      <c r="E278" s="76" t="str">
        <f aca="false">IF(AND(ISNUMBER(C278),ISNUMBER(C277)),C278/C277-1,"")</f>
        <v/>
      </c>
      <c r="F278" s="76" t="str">
        <f aca="false">IF(AND(ISNUMBER(D278),ISNUMBER(D277)),D278/D277-1,"")</f>
        <v/>
      </c>
      <c r="G278" s="75" t="str">
        <f aca="false">IF(AND(ISNUMBER(E278),ISNUMBER(F278)),1,"")</f>
        <v/>
      </c>
      <c r="H278" s="75" t="str">
        <f aca="false">IF(G278=1,COUNT(G278:G$412),"")</f>
        <v/>
      </c>
      <c r="I278" s="75" t="str">
        <f aca="false">IF(G278=1,IF(H278&lt;='Beta Regresión'!$B$5,1,""),"")</f>
        <v/>
      </c>
      <c r="J278" s="76" t="str">
        <f aca="false">IF(I278=1,E278,"")</f>
        <v/>
      </c>
      <c r="K278" s="76" t="str">
        <f aca="false">IF(I278=1,F278,"")</f>
        <v/>
      </c>
      <c r="L278" s="75" t="str">
        <f aca="false">IF(I278=1,COUNT(I$13:I278),"")</f>
        <v/>
      </c>
      <c r="M278" s="76" t="str">
        <f aca="false">IFERROR(INDEX($J$13:$J$412,MATCH(A278,$L$13:$L$412,0)),"")</f>
        <v/>
      </c>
      <c r="N278" s="76" t="str">
        <f aca="false">IFERROR(INDEX($K$13:$K$412,MATCH(A278,$L$13:$L$412,0)),"")</f>
        <v/>
      </c>
      <c r="O278" s="76" t="e">
        <f aca="false">IF(I278=1,E278,NA())</f>
        <v>#N/A</v>
      </c>
      <c r="P278" s="76" t="e">
        <f aca="false">IF(I278=1,F278,NA())</f>
        <v>#N/A</v>
      </c>
      <c r="R278" s="75" t="n">
        <f aca="false">ROWS(R$13:R278)</f>
        <v>266</v>
      </c>
      <c r="S278" s="73" t="str">
        <f aca="false">IF(S277="","",IFERROR(SMALL($AD$10:$AD$509,COUNTIF($AD$10:$AD$509,"&lt;="&amp;S277)+1),""))</f>
        <v/>
      </c>
      <c r="T278" s="74" t="str">
        <f aca="false">IF(S278="","",INDEX($AE$10:$AE$509,MATCH(S278,$AD$10:$AD$509,0)))</f>
        <v/>
      </c>
      <c r="U278" s="74" t="str">
        <f aca="false">IF(S278="","",IFERROR(INDEX($AG$10:$AG$509,MATCH(S278,$AF$10:$AF$509,0)),""))</f>
        <v/>
      </c>
      <c r="V278" s="76" t="str">
        <f aca="false">IF(AND(ISNUMBER(T278),ISNUMBER(T277)),T278/T277-1,"")</f>
        <v/>
      </c>
      <c r="W278" s="76" t="str">
        <f aca="false">IF(AND(ISNUMBER(U278),ISNUMBER(U277)),U278/U277-1,"")</f>
        <v/>
      </c>
      <c r="X278" s="75" t="str">
        <f aca="false">IF(AND(ISNUMBER(V278),ISNUMBER(W278)),1,"")</f>
        <v/>
      </c>
      <c r="Y278" s="76" t="str">
        <f aca="false">IF(X278=1,V278,"")</f>
        <v/>
      </c>
      <c r="Z278" s="76" t="str">
        <f aca="false">IF(X278=1,W278,"")</f>
        <v/>
      </c>
      <c r="AA278" s="76" t="e">
        <f aca="false">IF(X278=1,V278,NA())</f>
        <v>#N/A</v>
      </c>
      <c r="AB278" s="76" t="e">
        <f aca="false">IF(X278=1,W278,NA())</f>
        <v>#N/A</v>
      </c>
      <c r="AD278" s="73" t="str">
        <f aca="false">IF(ISNUMBER(AE278),IF(ISNUMBER('Base de Datos'!A274),IF('Base de Datos'!A274&gt;20000,DATE(YEAR('Base de Datos'!A274),DAY('Base de Datos'!A274),MONTH('Base de Datos'!A274)),""),IF(TRIM('Base de Datos'!A274)="","",IFERROR(DATE(VALUE(RIGHT(TRIM('Base de Datos'!A274),4)),VALUE(LEFT(TRIM('Base de Datos'!A274),2)),VALUE(MID(TRIM('Base de Datos'!A274),4,2))),""))),"")</f>
        <v/>
      </c>
      <c r="AE278" s="74" t="str">
        <f aca="false">IF(ISNUMBER('Base de Datos'!B274),'Base de Datos'!B274,IF(TRIM('Base de Datos'!B274)="","",IFERROR(IF(IFERROR(FIND("@",SUBSTITUTE(TRIM('Base de Datos'!B274),",","@",LEN(TRIM('Base de Datos'!B274))-LEN(SUBSTITUTE(TRIM('Base de Datos'!B274),",","")))),0)&gt;IFERROR(FIND("@",SUBSTITUTE(TRIM('Base de Datos'!B274),".","@",LEN(TRIM('Base de Datos'!B274))-LEN(SUBSTITUTE(TRIM('Base de Datos'!B274),".","")))),0),_xlfn.NUMBERVALUE(SUBSTITUTE(SUBSTITUTE(TRIM('Base de Datos'!B274),".",""),",","."),".",","),_xlfn.NUMBERVALUE(SUBSTITUTE(TRIM('Base de Datos'!B274),",",""),".",",")),"")))</f>
        <v/>
      </c>
      <c r="AF278" s="73" t="str">
        <f aca="false">IF(ISNUMBER(AG278),IF(ISNUMBER('Base de Datos'!I274),IF('Base de Datos'!I274&gt;20000,INT('Base de Datos'!I274),""),IF(TRIM('Base de Datos'!I274)="","",IFERROR(DATE(VALUE(RIGHT(TRIM('Base de Datos'!I274),4)),VALUE(MID(TRIM('Base de Datos'!I274),4,2)),VALUE(LEFT(TRIM('Base de Datos'!I274),2))),IFERROR(DATEVALUE(TRIM('Base de Datos'!I274)),"")))),"")</f>
        <v/>
      </c>
      <c r="AG278" s="74" t="str">
        <f aca="false">IF(ISNUMBER('Base de Datos'!J274),'Base de Datos'!J274,IF(TRIM('Base de Datos'!J274)="","",IFERROR(IF(IFERROR(FIND("@",SUBSTITUTE(TRIM('Base de Datos'!J274),",","@",LEN(TRIM('Base de Datos'!J274))-LEN(SUBSTITUTE(TRIM('Base de Datos'!J274),",","")))),0)&gt;IFERROR(FIND("@",SUBSTITUTE(TRIM('Base de Datos'!J274),".","@",LEN(TRIM('Base de Datos'!J274))-LEN(SUBSTITUTE(TRIM('Base de Datos'!J274),".","")))),0),_xlfn.NUMBERVALUE(SUBSTITUTE(SUBSTITUTE(TRIM('Base de Datos'!J274),".",""),",","."),".",","),_xlfn.NUMBERVALUE(SUBSTITUTE(TRIM('Base de Datos'!J274),",",""),".",",")),"")))</f>
        <v/>
      </c>
      <c r="AH278" s="73" t="str">
        <f aca="false">IF(ISNUMBER(AI278),IF(ISNUMBER('Base de Datos'!Q274),IF('Base de Datos'!Q274&gt;20000,DATE(YEAR('Base de Datos'!Q274),DAY('Base de Datos'!Q274),MONTH('Base de Datos'!Q274)),""),IF(TRIM('Base de Datos'!Q274)="","",IFERROR(DATE(VALUE(RIGHT(TRIM('Base de Datos'!Q274),4)),VALUE(LEFT(TRIM('Base de Datos'!Q274),2)),VALUE(MID(TRIM('Base de Datos'!Q274),4,2))),""))),"")</f>
        <v/>
      </c>
      <c r="AI278" s="74" t="str">
        <f aca="false">IF(ISNUMBER('Base de Datos'!R274),'Base de Datos'!R274,IF(TRIM('Base de Datos'!R274)="","",IFERROR(IF(IFERROR(FIND("@",SUBSTITUTE(TRIM('Base de Datos'!R274),",","@",LEN(TRIM('Base de Datos'!R274))-LEN(SUBSTITUTE(TRIM('Base de Datos'!R274),",","")))),0)&gt;IFERROR(FIND("@",SUBSTITUTE(TRIM('Base de Datos'!R274),".","@",LEN(TRIM('Base de Datos'!R274))-LEN(SUBSTITUTE(TRIM('Base de Datos'!R274),".","")))),0),_xlfn.NUMBERVALUE(SUBSTITUTE(SUBSTITUTE(TRIM('Base de Datos'!R274),".",""),",","."),".",","),_xlfn.NUMBERVALUE(SUBSTITUTE(TRIM('Base de Datos'!R274),",",""),".",",")),"")))</f>
        <v/>
      </c>
      <c r="AJ278" s="73" t="str">
        <f aca="false">IF(ISNUMBER(AK278),IF(ISNUMBER('Base de Datos'!Y274),IF('Base de Datos'!Y274&gt;20000,INT('Base de Datos'!Y274),""),IF(TRIM('Base de Datos'!Y274)="","",IFERROR(DATE(VALUE(RIGHT(TRIM('Base de Datos'!Y274),4)),VALUE(MID(TRIM('Base de Datos'!Y274),4,2)),VALUE(LEFT(TRIM('Base de Datos'!Y274),2))),IFERROR(DATEVALUE(TRIM('Base de Datos'!Y274)),"")))),"")</f>
        <v/>
      </c>
      <c r="AK278" s="74" t="str">
        <f aca="false">IF(ISNUMBER('Base de Datos'!Z274),'Base de Datos'!Z274,IF(TRIM('Base de Datos'!Z274)="","",IFERROR(IF(IFERROR(FIND("@",SUBSTITUTE(TRIM('Base de Datos'!Z274),",","@",LEN(TRIM('Base de Datos'!Z274))-LEN(SUBSTITUTE(TRIM('Base de Datos'!Z274),",","")))),0)&gt;IFERROR(FIND("@",SUBSTITUTE(TRIM('Base de Datos'!Z274),".","@",LEN(TRIM('Base de Datos'!Z274))-LEN(SUBSTITUTE(TRIM('Base de Datos'!Z274),".","")))),0),_xlfn.NUMBERVALUE(SUBSTITUTE(SUBSTITUTE(TRIM('Base de Datos'!Z274),".",""),",","."),".",","),_xlfn.NUMBERVALUE(SUBSTITUTE(TRIM('Base de Datos'!Z274),",",""),".",",")),"")))</f>
        <v/>
      </c>
    </row>
    <row r="279" customFormat="false" ht="13.5" hidden="false" customHeight="false" outlineLevel="0" collapsed="false">
      <c r="A279" s="75" t="n">
        <f aca="false">ROWS(A$13:A279)</f>
        <v>267</v>
      </c>
      <c r="B279" s="73" t="str">
        <f aca="false">IF(B278="","",IFERROR(SMALL($AH$10:$AH$409,COUNTIF($AH$10:$AH$409,"&lt;="&amp;B278)+1),""))</f>
        <v/>
      </c>
      <c r="C279" s="74" t="str">
        <f aca="false">IF(B279="","",INDEX($AI$10:$AI$409,MATCH(B279,$AH$10:$AH$409,0)))</f>
        <v/>
      </c>
      <c r="D279" s="74" t="str">
        <f aca="false">IF(B279="","",IFERROR(INDEX($AK$10:$AK$409,MATCH(B279,$AJ$10:$AJ$409,0)),""))</f>
        <v/>
      </c>
      <c r="E279" s="76" t="str">
        <f aca="false">IF(AND(ISNUMBER(C279),ISNUMBER(C278)),C279/C278-1,"")</f>
        <v/>
      </c>
      <c r="F279" s="76" t="str">
        <f aca="false">IF(AND(ISNUMBER(D279),ISNUMBER(D278)),D279/D278-1,"")</f>
        <v/>
      </c>
      <c r="G279" s="75" t="str">
        <f aca="false">IF(AND(ISNUMBER(E279),ISNUMBER(F279)),1,"")</f>
        <v/>
      </c>
      <c r="H279" s="75" t="str">
        <f aca="false">IF(G279=1,COUNT(G279:G$412),"")</f>
        <v/>
      </c>
      <c r="I279" s="75" t="str">
        <f aca="false">IF(G279=1,IF(H279&lt;='Beta Regresión'!$B$5,1,""),"")</f>
        <v/>
      </c>
      <c r="J279" s="76" t="str">
        <f aca="false">IF(I279=1,E279,"")</f>
        <v/>
      </c>
      <c r="K279" s="76" t="str">
        <f aca="false">IF(I279=1,F279,"")</f>
        <v/>
      </c>
      <c r="L279" s="75" t="str">
        <f aca="false">IF(I279=1,COUNT(I$13:I279),"")</f>
        <v/>
      </c>
      <c r="M279" s="76" t="str">
        <f aca="false">IFERROR(INDEX($J$13:$J$412,MATCH(A279,$L$13:$L$412,0)),"")</f>
        <v/>
      </c>
      <c r="N279" s="76" t="str">
        <f aca="false">IFERROR(INDEX($K$13:$K$412,MATCH(A279,$L$13:$L$412,0)),"")</f>
        <v/>
      </c>
      <c r="O279" s="76" t="e">
        <f aca="false">IF(I279=1,E279,NA())</f>
        <v>#N/A</v>
      </c>
      <c r="P279" s="76" t="e">
        <f aca="false">IF(I279=1,F279,NA())</f>
        <v>#N/A</v>
      </c>
      <c r="R279" s="75" t="n">
        <f aca="false">ROWS(R$13:R279)</f>
        <v>267</v>
      </c>
      <c r="S279" s="73" t="str">
        <f aca="false">IF(S278="","",IFERROR(SMALL($AD$10:$AD$509,COUNTIF($AD$10:$AD$509,"&lt;="&amp;S278)+1),""))</f>
        <v/>
      </c>
      <c r="T279" s="74" t="str">
        <f aca="false">IF(S279="","",INDEX($AE$10:$AE$509,MATCH(S279,$AD$10:$AD$509,0)))</f>
        <v/>
      </c>
      <c r="U279" s="74" t="str">
        <f aca="false">IF(S279="","",IFERROR(INDEX($AG$10:$AG$509,MATCH(S279,$AF$10:$AF$509,0)),""))</f>
        <v/>
      </c>
      <c r="V279" s="76" t="str">
        <f aca="false">IF(AND(ISNUMBER(T279),ISNUMBER(T278)),T279/T278-1,"")</f>
        <v/>
      </c>
      <c r="W279" s="76" t="str">
        <f aca="false">IF(AND(ISNUMBER(U279),ISNUMBER(U278)),U279/U278-1,"")</f>
        <v/>
      </c>
      <c r="X279" s="75" t="str">
        <f aca="false">IF(AND(ISNUMBER(V279),ISNUMBER(W279)),1,"")</f>
        <v/>
      </c>
      <c r="Y279" s="76" t="str">
        <f aca="false">IF(X279=1,V279,"")</f>
        <v/>
      </c>
      <c r="Z279" s="76" t="str">
        <f aca="false">IF(X279=1,W279,"")</f>
        <v/>
      </c>
      <c r="AA279" s="76" t="e">
        <f aca="false">IF(X279=1,V279,NA())</f>
        <v>#N/A</v>
      </c>
      <c r="AB279" s="76" t="e">
        <f aca="false">IF(X279=1,W279,NA())</f>
        <v>#N/A</v>
      </c>
      <c r="AD279" s="73" t="str">
        <f aca="false">IF(ISNUMBER(AE279),IF(ISNUMBER('Base de Datos'!A275),IF('Base de Datos'!A275&gt;20000,DATE(YEAR('Base de Datos'!A275),DAY('Base de Datos'!A275),MONTH('Base de Datos'!A275)),""),IF(TRIM('Base de Datos'!A275)="","",IFERROR(DATE(VALUE(RIGHT(TRIM('Base de Datos'!A275),4)),VALUE(LEFT(TRIM('Base de Datos'!A275),2)),VALUE(MID(TRIM('Base de Datos'!A275),4,2))),""))),"")</f>
        <v/>
      </c>
      <c r="AE279" s="74" t="str">
        <f aca="false">IF(ISNUMBER('Base de Datos'!B275),'Base de Datos'!B275,IF(TRIM('Base de Datos'!B275)="","",IFERROR(IF(IFERROR(FIND("@",SUBSTITUTE(TRIM('Base de Datos'!B275),",","@",LEN(TRIM('Base de Datos'!B275))-LEN(SUBSTITUTE(TRIM('Base de Datos'!B275),",","")))),0)&gt;IFERROR(FIND("@",SUBSTITUTE(TRIM('Base de Datos'!B275),".","@",LEN(TRIM('Base de Datos'!B275))-LEN(SUBSTITUTE(TRIM('Base de Datos'!B275),".","")))),0),_xlfn.NUMBERVALUE(SUBSTITUTE(SUBSTITUTE(TRIM('Base de Datos'!B275),".",""),",","."),".",","),_xlfn.NUMBERVALUE(SUBSTITUTE(TRIM('Base de Datos'!B275),",",""),".",",")),"")))</f>
        <v/>
      </c>
      <c r="AF279" s="73" t="str">
        <f aca="false">IF(ISNUMBER(AG279),IF(ISNUMBER('Base de Datos'!I275),IF('Base de Datos'!I275&gt;20000,INT('Base de Datos'!I275),""),IF(TRIM('Base de Datos'!I275)="","",IFERROR(DATE(VALUE(RIGHT(TRIM('Base de Datos'!I275),4)),VALUE(MID(TRIM('Base de Datos'!I275),4,2)),VALUE(LEFT(TRIM('Base de Datos'!I275),2))),IFERROR(DATEVALUE(TRIM('Base de Datos'!I275)),"")))),"")</f>
        <v/>
      </c>
      <c r="AG279" s="74" t="str">
        <f aca="false">IF(ISNUMBER('Base de Datos'!J275),'Base de Datos'!J275,IF(TRIM('Base de Datos'!J275)="","",IFERROR(IF(IFERROR(FIND("@",SUBSTITUTE(TRIM('Base de Datos'!J275),",","@",LEN(TRIM('Base de Datos'!J275))-LEN(SUBSTITUTE(TRIM('Base de Datos'!J275),",","")))),0)&gt;IFERROR(FIND("@",SUBSTITUTE(TRIM('Base de Datos'!J275),".","@",LEN(TRIM('Base de Datos'!J275))-LEN(SUBSTITUTE(TRIM('Base de Datos'!J275),".","")))),0),_xlfn.NUMBERVALUE(SUBSTITUTE(SUBSTITUTE(TRIM('Base de Datos'!J275),".",""),",","."),".",","),_xlfn.NUMBERVALUE(SUBSTITUTE(TRIM('Base de Datos'!J275),",",""),".",",")),"")))</f>
        <v/>
      </c>
      <c r="AH279" s="73" t="str">
        <f aca="false">IF(ISNUMBER(AI279),IF(ISNUMBER('Base de Datos'!Q275),IF('Base de Datos'!Q275&gt;20000,DATE(YEAR('Base de Datos'!Q275),DAY('Base de Datos'!Q275),MONTH('Base de Datos'!Q275)),""),IF(TRIM('Base de Datos'!Q275)="","",IFERROR(DATE(VALUE(RIGHT(TRIM('Base de Datos'!Q275),4)),VALUE(LEFT(TRIM('Base de Datos'!Q275),2)),VALUE(MID(TRIM('Base de Datos'!Q275),4,2))),""))),"")</f>
        <v/>
      </c>
      <c r="AI279" s="74" t="str">
        <f aca="false">IF(ISNUMBER('Base de Datos'!R275),'Base de Datos'!R275,IF(TRIM('Base de Datos'!R275)="","",IFERROR(IF(IFERROR(FIND("@",SUBSTITUTE(TRIM('Base de Datos'!R275),",","@",LEN(TRIM('Base de Datos'!R275))-LEN(SUBSTITUTE(TRIM('Base de Datos'!R275),",","")))),0)&gt;IFERROR(FIND("@",SUBSTITUTE(TRIM('Base de Datos'!R275),".","@",LEN(TRIM('Base de Datos'!R275))-LEN(SUBSTITUTE(TRIM('Base de Datos'!R275),".","")))),0),_xlfn.NUMBERVALUE(SUBSTITUTE(SUBSTITUTE(TRIM('Base de Datos'!R275),".",""),",","."),".",","),_xlfn.NUMBERVALUE(SUBSTITUTE(TRIM('Base de Datos'!R275),",",""),".",",")),"")))</f>
        <v/>
      </c>
      <c r="AJ279" s="73" t="str">
        <f aca="false">IF(ISNUMBER(AK279),IF(ISNUMBER('Base de Datos'!Y275),IF('Base de Datos'!Y275&gt;20000,INT('Base de Datos'!Y275),""),IF(TRIM('Base de Datos'!Y275)="","",IFERROR(DATE(VALUE(RIGHT(TRIM('Base de Datos'!Y275),4)),VALUE(MID(TRIM('Base de Datos'!Y275),4,2)),VALUE(LEFT(TRIM('Base de Datos'!Y275),2))),IFERROR(DATEVALUE(TRIM('Base de Datos'!Y275)),"")))),"")</f>
        <v/>
      </c>
      <c r="AK279" s="74" t="str">
        <f aca="false">IF(ISNUMBER('Base de Datos'!Z275),'Base de Datos'!Z275,IF(TRIM('Base de Datos'!Z275)="","",IFERROR(IF(IFERROR(FIND("@",SUBSTITUTE(TRIM('Base de Datos'!Z275),",","@",LEN(TRIM('Base de Datos'!Z275))-LEN(SUBSTITUTE(TRIM('Base de Datos'!Z275),",","")))),0)&gt;IFERROR(FIND("@",SUBSTITUTE(TRIM('Base de Datos'!Z275),".","@",LEN(TRIM('Base de Datos'!Z275))-LEN(SUBSTITUTE(TRIM('Base de Datos'!Z275),".","")))),0),_xlfn.NUMBERVALUE(SUBSTITUTE(SUBSTITUTE(TRIM('Base de Datos'!Z275),".",""),",","."),".",","),_xlfn.NUMBERVALUE(SUBSTITUTE(TRIM('Base de Datos'!Z275),",",""),".",",")),"")))</f>
        <v/>
      </c>
    </row>
    <row r="280" customFormat="false" ht="13.5" hidden="false" customHeight="false" outlineLevel="0" collapsed="false">
      <c r="A280" s="75" t="n">
        <f aca="false">ROWS(A$13:A280)</f>
        <v>268</v>
      </c>
      <c r="B280" s="73" t="str">
        <f aca="false">IF(B279="","",IFERROR(SMALL($AH$10:$AH$409,COUNTIF($AH$10:$AH$409,"&lt;="&amp;B279)+1),""))</f>
        <v/>
      </c>
      <c r="C280" s="74" t="str">
        <f aca="false">IF(B280="","",INDEX($AI$10:$AI$409,MATCH(B280,$AH$10:$AH$409,0)))</f>
        <v/>
      </c>
      <c r="D280" s="74" t="str">
        <f aca="false">IF(B280="","",IFERROR(INDEX($AK$10:$AK$409,MATCH(B280,$AJ$10:$AJ$409,0)),""))</f>
        <v/>
      </c>
      <c r="E280" s="76" t="str">
        <f aca="false">IF(AND(ISNUMBER(C280),ISNUMBER(C279)),C280/C279-1,"")</f>
        <v/>
      </c>
      <c r="F280" s="76" t="str">
        <f aca="false">IF(AND(ISNUMBER(D280),ISNUMBER(D279)),D280/D279-1,"")</f>
        <v/>
      </c>
      <c r="G280" s="75" t="str">
        <f aca="false">IF(AND(ISNUMBER(E280),ISNUMBER(F280)),1,"")</f>
        <v/>
      </c>
      <c r="H280" s="75" t="str">
        <f aca="false">IF(G280=1,COUNT(G280:G$412),"")</f>
        <v/>
      </c>
      <c r="I280" s="75" t="str">
        <f aca="false">IF(G280=1,IF(H280&lt;='Beta Regresión'!$B$5,1,""),"")</f>
        <v/>
      </c>
      <c r="J280" s="76" t="str">
        <f aca="false">IF(I280=1,E280,"")</f>
        <v/>
      </c>
      <c r="K280" s="76" t="str">
        <f aca="false">IF(I280=1,F280,"")</f>
        <v/>
      </c>
      <c r="L280" s="75" t="str">
        <f aca="false">IF(I280=1,COUNT(I$13:I280),"")</f>
        <v/>
      </c>
      <c r="M280" s="76" t="str">
        <f aca="false">IFERROR(INDEX($J$13:$J$412,MATCH(A280,$L$13:$L$412,0)),"")</f>
        <v/>
      </c>
      <c r="N280" s="76" t="str">
        <f aca="false">IFERROR(INDEX($K$13:$K$412,MATCH(A280,$L$13:$L$412,0)),"")</f>
        <v/>
      </c>
      <c r="O280" s="76" t="e">
        <f aca="false">IF(I280=1,E280,NA())</f>
        <v>#N/A</v>
      </c>
      <c r="P280" s="76" t="e">
        <f aca="false">IF(I280=1,F280,NA())</f>
        <v>#N/A</v>
      </c>
      <c r="R280" s="75" t="n">
        <f aca="false">ROWS(R$13:R280)</f>
        <v>268</v>
      </c>
      <c r="S280" s="73" t="str">
        <f aca="false">IF(S279="","",IFERROR(SMALL($AD$10:$AD$509,COUNTIF($AD$10:$AD$509,"&lt;="&amp;S279)+1),""))</f>
        <v/>
      </c>
      <c r="T280" s="74" t="str">
        <f aca="false">IF(S280="","",INDEX($AE$10:$AE$509,MATCH(S280,$AD$10:$AD$509,0)))</f>
        <v/>
      </c>
      <c r="U280" s="74" t="str">
        <f aca="false">IF(S280="","",IFERROR(INDEX($AG$10:$AG$509,MATCH(S280,$AF$10:$AF$509,0)),""))</f>
        <v/>
      </c>
      <c r="V280" s="76" t="str">
        <f aca="false">IF(AND(ISNUMBER(T280),ISNUMBER(T279)),T280/T279-1,"")</f>
        <v/>
      </c>
      <c r="W280" s="76" t="str">
        <f aca="false">IF(AND(ISNUMBER(U280),ISNUMBER(U279)),U280/U279-1,"")</f>
        <v/>
      </c>
      <c r="X280" s="75" t="str">
        <f aca="false">IF(AND(ISNUMBER(V280),ISNUMBER(W280)),1,"")</f>
        <v/>
      </c>
      <c r="Y280" s="76" t="str">
        <f aca="false">IF(X280=1,V280,"")</f>
        <v/>
      </c>
      <c r="Z280" s="76" t="str">
        <f aca="false">IF(X280=1,W280,"")</f>
        <v/>
      </c>
      <c r="AA280" s="76" t="e">
        <f aca="false">IF(X280=1,V280,NA())</f>
        <v>#N/A</v>
      </c>
      <c r="AB280" s="76" t="e">
        <f aca="false">IF(X280=1,W280,NA())</f>
        <v>#N/A</v>
      </c>
      <c r="AD280" s="73" t="str">
        <f aca="false">IF(ISNUMBER(AE280),IF(ISNUMBER('Base de Datos'!A276),IF('Base de Datos'!A276&gt;20000,DATE(YEAR('Base de Datos'!A276),DAY('Base de Datos'!A276),MONTH('Base de Datos'!A276)),""),IF(TRIM('Base de Datos'!A276)="","",IFERROR(DATE(VALUE(RIGHT(TRIM('Base de Datos'!A276),4)),VALUE(LEFT(TRIM('Base de Datos'!A276),2)),VALUE(MID(TRIM('Base de Datos'!A276),4,2))),""))),"")</f>
        <v/>
      </c>
      <c r="AE280" s="74" t="str">
        <f aca="false">IF(ISNUMBER('Base de Datos'!B276),'Base de Datos'!B276,IF(TRIM('Base de Datos'!B276)="","",IFERROR(IF(IFERROR(FIND("@",SUBSTITUTE(TRIM('Base de Datos'!B276),",","@",LEN(TRIM('Base de Datos'!B276))-LEN(SUBSTITUTE(TRIM('Base de Datos'!B276),",","")))),0)&gt;IFERROR(FIND("@",SUBSTITUTE(TRIM('Base de Datos'!B276),".","@",LEN(TRIM('Base de Datos'!B276))-LEN(SUBSTITUTE(TRIM('Base de Datos'!B276),".","")))),0),_xlfn.NUMBERVALUE(SUBSTITUTE(SUBSTITUTE(TRIM('Base de Datos'!B276),".",""),",","."),".",","),_xlfn.NUMBERVALUE(SUBSTITUTE(TRIM('Base de Datos'!B276),",",""),".",",")),"")))</f>
        <v/>
      </c>
      <c r="AF280" s="73" t="str">
        <f aca="false">IF(ISNUMBER(AG280),IF(ISNUMBER('Base de Datos'!I276),IF('Base de Datos'!I276&gt;20000,INT('Base de Datos'!I276),""),IF(TRIM('Base de Datos'!I276)="","",IFERROR(DATE(VALUE(RIGHT(TRIM('Base de Datos'!I276),4)),VALUE(MID(TRIM('Base de Datos'!I276),4,2)),VALUE(LEFT(TRIM('Base de Datos'!I276),2))),IFERROR(DATEVALUE(TRIM('Base de Datos'!I276)),"")))),"")</f>
        <v/>
      </c>
      <c r="AG280" s="74" t="str">
        <f aca="false">IF(ISNUMBER('Base de Datos'!J276),'Base de Datos'!J276,IF(TRIM('Base de Datos'!J276)="","",IFERROR(IF(IFERROR(FIND("@",SUBSTITUTE(TRIM('Base de Datos'!J276),",","@",LEN(TRIM('Base de Datos'!J276))-LEN(SUBSTITUTE(TRIM('Base de Datos'!J276),",","")))),0)&gt;IFERROR(FIND("@",SUBSTITUTE(TRIM('Base de Datos'!J276),".","@",LEN(TRIM('Base de Datos'!J276))-LEN(SUBSTITUTE(TRIM('Base de Datos'!J276),".","")))),0),_xlfn.NUMBERVALUE(SUBSTITUTE(SUBSTITUTE(TRIM('Base de Datos'!J276),".",""),",","."),".",","),_xlfn.NUMBERVALUE(SUBSTITUTE(TRIM('Base de Datos'!J276),",",""),".",",")),"")))</f>
        <v/>
      </c>
      <c r="AH280" s="73" t="str">
        <f aca="false">IF(ISNUMBER(AI280),IF(ISNUMBER('Base de Datos'!Q276),IF('Base de Datos'!Q276&gt;20000,DATE(YEAR('Base de Datos'!Q276),DAY('Base de Datos'!Q276),MONTH('Base de Datos'!Q276)),""),IF(TRIM('Base de Datos'!Q276)="","",IFERROR(DATE(VALUE(RIGHT(TRIM('Base de Datos'!Q276),4)),VALUE(LEFT(TRIM('Base de Datos'!Q276),2)),VALUE(MID(TRIM('Base de Datos'!Q276),4,2))),""))),"")</f>
        <v/>
      </c>
      <c r="AI280" s="74" t="str">
        <f aca="false">IF(ISNUMBER('Base de Datos'!R276),'Base de Datos'!R276,IF(TRIM('Base de Datos'!R276)="","",IFERROR(IF(IFERROR(FIND("@",SUBSTITUTE(TRIM('Base de Datos'!R276),",","@",LEN(TRIM('Base de Datos'!R276))-LEN(SUBSTITUTE(TRIM('Base de Datos'!R276),",","")))),0)&gt;IFERROR(FIND("@",SUBSTITUTE(TRIM('Base de Datos'!R276),".","@",LEN(TRIM('Base de Datos'!R276))-LEN(SUBSTITUTE(TRIM('Base de Datos'!R276),".","")))),0),_xlfn.NUMBERVALUE(SUBSTITUTE(SUBSTITUTE(TRIM('Base de Datos'!R276),".",""),",","."),".",","),_xlfn.NUMBERVALUE(SUBSTITUTE(TRIM('Base de Datos'!R276),",",""),".",",")),"")))</f>
        <v/>
      </c>
      <c r="AJ280" s="73" t="str">
        <f aca="false">IF(ISNUMBER(AK280),IF(ISNUMBER('Base de Datos'!Y276),IF('Base de Datos'!Y276&gt;20000,INT('Base de Datos'!Y276),""),IF(TRIM('Base de Datos'!Y276)="","",IFERROR(DATE(VALUE(RIGHT(TRIM('Base de Datos'!Y276),4)),VALUE(MID(TRIM('Base de Datos'!Y276),4,2)),VALUE(LEFT(TRIM('Base de Datos'!Y276),2))),IFERROR(DATEVALUE(TRIM('Base de Datos'!Y276)),"")))),"")</f>
        <v/>
      </c>
      <c r="AK280" s="74" t="str">
        <f aca="false">IF(ISNUMBER('Base de Datos'!Z276),'Base de Datos'!Z276,IF(TRIM('Base de Datos'!Z276)="","",IFERROR(IF(IFERROR(FIND("@",SUBSTITUTE(TRIM('Base de Datos'!Z276),",","@",LEN(TRIM('Base de Datos'!Z276))-LEN(SUBSTITUTE(TRIM('Base de Datos'!Z276),",","")))),0)&gt;IFERROR(FIND("@",SUBSTITUTE(TRIM('Base de Datos'!Z276),".","@",LEN(TRIM('Base de Datos'!Z276))-LEN(SUBSTITUTE(TRIM('Base de Datos'!Z276),".","")))),0),_xlfn.NUMBERVALUE(SUBSTITUTE(SUBSTITUTE(TRIM('Base de Datos'!Z276),".",""),",","."),".",","),_xlfn.NUMBERVALUE(SUBSTITUTE(TRIM('Base de Datos'!Z276),",",""),".",",")),"")))</f>
        <v/>
      </c>
    </row>
    <row r="281" customFormat="false" ht="13.5" hidden="false" customHeight="false" outlineLevel="0" collapsed="false">
      <c r="A281" s="75" t="n">
        <f aca="false">ROWS(A$13:A281)</f>
        <v>269</v>
      </c>
      <c r="B281" s="73" t="str">
        <f aca="false">IF(B280="","",IFERROR(SMALL($AH$10:$AH$409,COUNTIF($AH$10:$AH$409,"&lt;="&amp;B280)+1),""))</f>
        <v/>
      </c>
      <c r="C281" s="74" t="str">
        <f aca="false">IF(B281="","",INDEX($AI$10:$AI$409,MATCH(B281,$AH$10:$AH$409,0)))</f>
        <v/>
      </c>
      <c r="D281" s="74" t="str">
        <f aca="false">IF(B281="","",IFERROR(INDEX($AK$10:$AK$409,MATCH(B281,$AJ$10:$AJ$409,0)),""))</f>
        <v/>
      </c>
      <c r="E281" s="76" t="str">
        <f aca="false">IF(AND(ISNUMBER(C281),ISNUMBER(C280)),C281/C280-1,"")</f>
        <v/>
      </c>
      <c r="F281" s="76" t="str">
        <f aca="false">IF(AND(ISNUMBER(D281),ISNUMBER(D280)),D281/D280-1,"")</f>
        <v/>
      </c>
      <c r="G281" s="75" t="str">
        <f aca="false">IF(AND(ISNUMBER(E281),ISNUMBER(F281)),1,"")</f>
        <v/>
      </c>
      <c r="H281" s="75" t="str">
        <f aca="false">IF(G281=1,COUNT(G281:G$412),"")</f>
        <v/>
      </c>
      <c r="I281" s="75" t="str">
        <f aca="false">IF(G281=1,IF(H281&lt;='Beta Regresión'!$B$5,1,""),"")</f>
        <v/>
      </c>
      <c r="J281" s="76" t="str">
        <f aca="false">IF(I281=1,E281,"")</f>
        <v/>
      </c>
      <c r="K281" s="76" t="str">
        <f aca="false">IF(I281=1,F281,"")</f>
        <v/>
      </c>
      <c r="L281" s="75" t="str">
        <f aca="false">IF(I281=1,COUNT(I$13:I281),"")</f>
        <v/>
      </c>
      <c r="M281" s="76" t="str">
        <f aca="false">IFERROR(INDEX($J$13:$J$412,MATCH(A281,$L$13:$L$412,0)),"")</f>
        <v/>
      </c>
      <c r="N281" s="76" t="str">
        <f aca="false">IFERROR(INDEX($K$13:$K$412,MATCH(A281,$L$13:$L$412,0)),"")</f>
        <v/>
      </c>
      <c r="O281" s="76" t="e">
        <f aca="false">IF(I281=1,E281,NA())</f>
        <v>#N/A</v>
      </c>
      <c r="P281" s="76" t="e">
        <f aca="false">IF(I281=1,F281,NA())</f>
        <v>#N/A</v>
      </c>
      <c r="R281" s="75" t="n">
        <f aca="false">ROWS(R$13:R281)</f>
        <v>269</v>
      </c>
      <c r="S281" s="73" t="str">
        <f aca="false">IF(S280="","",IFERROR(SMALL($AD$10:$AD$509,COUNTIF($AD$10:$AD$509,"&lt;="&amp;S280)+1),""))</f>
        <v/>
      </c>
      <c r="T281" s="74" t="str">
        <f aca="false">IF(S281="","",INDEX($AE$10:$AE$509,MATCH(S281,$AD$10:$AD$509,0)))</f>
        <v/>
      </c>
      <c r="U281" s="74" t="str">
        <f aca="false">IF(S281="","",IFERROR(INDEX($AG$10:$AG$509,MATCH(S281,$AF$10:$AF$509,0)),""))</f>
        <v/>
      </c>
      <c r="V281" s="76" t="str">
        <f aca="false">IF(AND(ISNUMBER(T281),ISNUMBER(T280)),T281/T280-1,"")</f>
        <v/>
      </c>
      <c r="W281" s="76" t="str">
        <f aca="false">IF(AND(ISNUMBER(U281),ISNUMBER(U280)),U281/U280-1,"")</f>
        <v/>
      </c>
      <c r="X281" s="75" t="str">
        <f aca="false">IF(AND(ISNUMBER(V281),ISNUMBER(W281)),1,"")</f>
        <v/>
      </c>
      <c r="Y281" s="76" t="str">
        <f aca="false">IF(X281=1,V281,"")</f>
        <v/>
      </c>
      <c r="Z281" s="76" t="str">
        <f aca="false">IF(X281=1,W281,"")</f>
        <v/>
      </c>
      <c r="AA281" s="76" t="e">
        <f aca="false">IF(X281=1,V281,NA())</f>
        <v>#N/A</v>
      </c>
      <c r="AB281" s="76" t="e">
        <f aca="false">IF(X281=1,W281,NA())</f>
        <v>#N/A</v>
      </c>
      <c r="AD281" s="73" t="str">
        <f aca="false">IF(ISNUMBER(AE281),IF(ISNUMBER('Base de Datos'!A277),IF('Base de Datos'!A277&gt;20000,DATE(YEAR('Base de Datos'!A277),DAY('Base de Datos'!A277),MONTH('Base de Datos'!A277)),""),IF(TRIM('Base de Datos'!A277)="","",IFERROR(DATE(VALUE(RIGHT(TRIM('Base de Datos'!A277),4)),VALUE(LEFT(TRIM('Base de Datos'!A277),2)),VALUE(MID(TRIM('Base de Datos'!A277),4,2))),""))),"")</f>
        <v/>
      </c>
      <c r="AE281" s="74" t="str">
        <f aca="false">IF(ISNUMBER('Base de Datos'!B277),'Base de Datos'!B277,IF(TRIM('Base de Datos'!B277)="","",IFERROR(IF(IFERROR(FIND("@",SUBSTITUTE(TRIM('Base de Datos'!B277),",","@",LEN(TRIM('Base de Datos'!B277))-LEN(SUBSTITUTE(TRIM('Base de Datos'!B277),",","")))),0)&gt;IFERROR(FIND("@",SUBSTITUTE(TRIM('Base de Datos'!B277),".","@",LEN(TRIM('Base de Datos'!B277))-LEN(SUBSTITUTE(TRIM('Base de Datos'!B277),".","")))),0),_xlfn.NUMBERVALUE(SUBSTITUTE(SUBSTITUTE(TRIM('Base de Datos'!B277),".",""),",","."),".",","),_xlfn.NUMBERVALUE(SUBSTITUTE(TRIM('Base de Datos'!B277),",",""),".",",")),"")))</f>
        <v/>
      </c>
      <c r="AF281" s="73" t="str">
        <f aca="false">IF(ISNUMBER(AG281),IF(ISNUMBER('Base de Datos'!I277),IF('Base de Datos'!I277&gt;20000,INT('Base de Datos'!I277),""),IF(TRIM('Base de Datos'!I277)="","",IFERROR(DATE(VALUE(RIGHT(TRIM('Base de Datos'!I277),4)),VALUE(MID(TRIM('Base de Datos'!I277),4,2)),VALUE(LEFT(TRIM('Base de Datos'!I277),2))),IFERROR(DATEVALUE(TRIM('Base de Datos'!I277)),"")))),"")</f>
        <v/>
      </c>
      <c r="AG281" s="74" t="str">
        <f aca="false">IF(ISNUMBER('Base de Datos'!J277),'Base de Datos'!J277,IF(TRIM('Base de Datos'!J277)="","",IFERROR(IF(IFERROR(FIND("@",SUBSTITUTE(TRIM('Base de Datos'!J277),",","@",LEN(TRIM('Base de Datos'!J277))-LEN(SUBSTITUTE(TRIM('Base de Datos'!J277),",","")))),0)&gt;IFERROR(FIND("@",SUBSTITUTE(TRIM('Base de Datos'!J277),".","@",LEN(TRIM('Base de Datos'!J277))-LEN(SUBSTITUTE(TRIM('Base de Datos'!J277),".","")))),0),_xlfn.NUMBERVALUE(SUBSTITUTE(SUBSTITUTE(TRIM('Base de Datos'!J277),".",""),",","."),".",","),_xlfn.NUMBERVALUE(SUBSTITUTE(TRIM('Base de Datos'!J277),",",""),".",",")),"")))</f>
        <v/>
      </c>
      <c r="AH281" s="73" t="str">
        <f aca="false">IF(ISNUMBER(AI281),IF(ISNUMBER('Base de Datos'!Q277),IF('Base de Datos'!Q277&gt;20000,DATE(YEAR('Base de Datos'!Q277),DAY('Base de Datos'!Q277),MONTH('Base de Datos'!Q277)),""),IF(TRIM('Base de Datos'!Q277)="","",IFERROR(DATE(VALUE(RIGHT(TRIM('Base de Datos'!Q277),4)),VALUE(LEFT(TRIM('Base de Datos'!Q277),2)),VALUE(MID(TRIM('Base de Datos'!Q277),4,2))),""))),"")</f>
        <v/>
      </c>
      <c r="AI281" s="74" t="str">
        <f aca="false">IF(ISNUMBER('Base de Datos'!R277),'Base de Datos'!R277,IF(TRIM('Base de Datos'!R277)="","",IFERROR(IF(IFERROR(FIND("@",SUBSTITUTE(TRIM('Base de Datos'!R277),",","@",LEN(TRIM('Base de Datos'!R277))-LEN(SUBSTITUTE(TRIM('Base de Datos'!R277),",","")))),0)&gt;IFERROR(FIND("@",SUBSTITUTE(TRIM('Base de Datos'!R277),".","@",LEN(TRIM('Base de Datos'!R277))-LEN(SUBSTITUTE(TRIM('Base de Datos'!R277),".","")))),0),_xlfn.NUMBERVALUE(SUBSTITUTE(SUBSTITUTE(TRIM('Base de Datos'!R277),".",""),",","."),".",","),_xlfn.NUMBERVALUE(SUBSTITUTE(TRIM('Base de Datos'!R277),",",""),".",",")),"")))</f>
        <v/>
      </c>
      <c r="AJ281" s="73" t="str">
        <f aca="false">IF(ISNUMBER(AK281),IF(ISNUMBER('Base de Datos'!Y277),IF('Base de Datos'!Y277&gt;20000,INT('Base de Datos'!Y277),""),IF(TRIM('Base de Datos'!Y277)="","",IFERROR(DATE(VALUE(RIGHT(TRIM('Base de Datos'!Y277),4)),VALUE(MID(TRIM('Base de Datos'!Y277),4,2)),VALUE(LEFT(TRIM('Base de Datos'!Y277),2))),IFERROR(DATEVALUE(TRIM('Base de Datos'!Y277)),"")))),"")</f>
        <v/>
      </c>
      <c r="AK281" s="74" t="str">
        <f aca="false">IF(ISNUMBER('Base de Datos'!Z277),'Base de Datos'!Z277,IF(TRIM('Base de Datos'!Z277)="","",IFERROR(IF(IFERROR(FIND("@",SUBSTITUTE(TRIM('Base de Datos'!Z277),",","@",LEN(TRIM('Base de Datos'!Z277))-LEN(SUBSTITUTE(TRIM('Base de Datos'!Z277),",","")))),0)&gt;IFERROR(FIND("@",SUBSTITUTE(TRIM('Base de Datos'!Z277),".","@",LEN(TRIM('Base de Datos'!Z277))-LEN(SUBSTITUTE(TRIM('Base de Datos'!Z277),".","")))),0),_xlfn.NUMBERVALUE(SUBSTITUTE(SUBSTITUTE(TRIM('Base de Datos'!Z277),".",""),",","."),".",","),_xlfn.NUMBERVALUE(SUBSTITUTE(TRIM('Base de Datos'!Z277),",",""),".",",")),"")))</f>
        <v/>
      </c>
    </row>
    <row r="282" customFormat="false" ht="13.5" hidden="false" customHeight="false" outlineLevel="0" collapsed="false">
      <c r="A282" s="75" t="n">
        <f aca="false">ROWS(A$13:A282)</f>
        <v>270</v>
      </c>
      <c r="B282" s="73" t="str">
        <f aca="false">IF(B281="","",IFERROR(SMALL($AH$10:$AH$409,COUNTIF($AH$10:$AH$409,"&lt;="&amp;B281)+1),""))</f>
        <v/>
      </c>
      <c r="C282" s="74" t="str">
        <f aca="false">IF(B282="","",INDEX($AI$10:$AI$409,MATCH(B282,$AH$10:$AH$409,0)))</f>
        <v/>
      </c>
      <c r="D282" s="74" t="str">
        <f aca="false">IF(B282="","",IFERROR(INDEX($AK$10:$AK$409,MATCH(B282,$AJ$10:$AJ$409,0)),""))</f>
        <v/>
      </c>
      <c r="E282" s="76" t="str">
        <f aca="false">IF(AND(ISNUMBER(C282),ISNUMBER(C281)),C282/C281-1,"")</f>
        <v/>
      </c>
      <c r="F282" s="76" t="str">
        <f aca="false">IF(AND(ISNUMBER(D282),ISNUMBER(D281)),D282/D281-1,"")</f>
        <v/>
      </c>
      <c r="G282" s="75" t="str">
        <f aca="false">IF(AND(ISNUMBER(E282),ISNUMBER(F282)),1,"")</f>
        <v/>
      </c>
      <c r="H282" s="75" t="str">
        <f aca="false">IF(G282=1,COUNT(G282:G$412),"")</f>
        <v/>
      </c>
      <c r="I282" s="75" t="str">
        <f aca="false">IF(G282=1,IF(H282&lt;='Beta Regresión'!$B$5,1,""),"")</f>
        <v/>
      </c>
      <c r="J282" s="76" t="str">
        <f aca="false">IF(I282=1,E282,"")</f>
        <v/>
      </c>
      <c r="K282" s="76" t="str">
        <f aca="false">IF(I282=1,F282,"")</f>
        <v/>
      </c>
      <c r="L282" s="75" t="str">
        <f aca="false">IF(I282=1,COUNT(I$13:I282),"")</f>
        <v/>
      </c>
      <c r="M282" s="76" t="str">
        <f aca="false">IFERROR(INDEX($J$13:$J$412,MATCH(A282,$L$13:$L$412,0)),"")</f>
        <v/>
      </c>
      <c r="N282" s="76" t="str">
        <f aca="false">IFERROR(INDEX($K$13:$K$412,MATCH(A282,$L$13:$L$412,0)),"")</f>
        <v/>
      </c>
      <c r="O282" s="76" t="e">
        <f aca="false">IF(I282=1,E282,NA())</f>
        <v>#N/A</v>
      </c>
      <c r="P282" s="76" t="e">
        <f aca="false">IF(I282=1,F282,NA())</f>
        <v>#N/A</v>
      </c>
      <c r="R282" s="75" t="n">
        <f aca="false">ROWS(R$13:R282)</f>
        <v>270</v>
      </c>
      <c r="S282" s="73" t="str">
        <f aca="false">IF(S281="","",IFERROR(SMALL($AD$10:$AD$509,COUNTIF($AD$10:$AD$509,"&lt;="&amp;S281)+1),""))</f>
        <v/>
      </c>
      <c r="T282" s="74" t="str">
        <f aca="false">IF(S282="","",INDEX($AE$10:$AE$509,MATCH(S282,$AD$10:$AD$509,0)))</f>
        <v/>
      </c>
      <c r="U282" s="74" t="str">
        <f aca="false">IF(S282="","",IFERROR(INDEX($AG$10:$AG$509,MATCH(S282,$AF$10:$AF$509,0)),""))</f>
        <v/>
      </c>
      <c r="V282" s="76" t="str">
        <f aca="false">IF(AND(ISNUMBER(T282),ISNUMBER(T281)),T282/T281-1,"")</f>
        <v/>
      </c>
      <c r="W282" s="76" t="str">
        <f aca="false">IF(AND(ISNUMBER(U282),ISNUMBER(U281)),U282/U281-1,"")</f>
        <v/>
      </c>
      <c r="X282" s="75" t="str">
        <f aca="false">IF(AND(ISNUMBER(V282),ISNUMBER(W282)),1,"")</f>
        <v/>
      </c>
      <c r="Y282" s="76" t="str">
        <f aca="false">IF(X282=1,V282,"")</f>
        <v/>
      </c>
      <c r="Z282" s="76" t="str">
        <f aca="false">IF(X282=1,W282,"")</f>
        <v/>
      </c>
      <c r="AA282" s="76" t="e">
        <f aca="false">IF(X282=1,V282,NA())</f>
        <v>#N/A</v>
      </c>
      <c r="AB282" s="76" t="e">
        <f aca="false">IF(X282=1,W282,NA())</f>
        <v>#N/A</v>
      </c>
      <c r="AD282" s="73" t="str">
        <f aca="false">IF(ISNUMBER(AE282),IF(ISNUMBER('Base de Datos'!A278),IF('Base de Datos'!A278&gt;20000,DATE(YEAR('Base de Datos'!A278),DAY('Base de Datos'!A278),MONTH('Base de Datos'!A278)),""),IF(TRIM('Base de Datos'!A278)="","",IFERROR(DATE(VALUE(RIGHT(TRIM('Base de Datos'!A278),4)),VALUE(LEFT(TRIM('Base de Datos'!A278),2)),VALUE(MID(TRIM('Base de Datos'!A278),4,2))),""))),"")</f>
        <v/>
      </c>
      <c r="AE282" s="74" t="str">
        <f aca="false">IF(ISNUMBER('Base de Datos'!B278),'Base de Datos'!B278,IF(TRIM('Base de Datos'!B278)="","",IFERROR(IF(IFERROR(FIND("@",SUBSTITUTE(TRIM('Base de Datos'!B278),",","@",LEN(TRIM('Base de Datos'!B278))-LEN(SUBSTITUTE(TRIM('Base de Datos'!B278),",","")))),0)&gt;IFERROR(FIND("@",SUBSTITUTE(TRIM('Base de Datos'!B278),".","@",LEN(TRIM('Base de Datos'!B278))-LEN(SUBSTITUTE(TRIM('Base de Datos'!B278),".","")))),0),_xlfn.NUMBERVALUE(SUBSTITUTE(SUBSTITUTE(TRIM('Base de Datos'!B278),".",""),",","."),".",","),_xlfn.NUMBERVALUE(SUBSTITUTE(TRIM('Base de Datos'!B278),",",""),".",",")),"")))</f>
        <v/>
      </c>
      <c r="AF282" s="73" t="str">
        <f aca="false">IF(ISNUMBER(AG282),IF(ISNUMBER('Base de Datos'!I278),IF('Base de Datos'!I278&gt;20000,INT('Base de Datos'!I278),""),IF(TRIM('Base de Datos'!I278)="","",IFERROR(DATE(VALUE(RIGHT(TRIM('Base de Datos'!I278),4)),VALUE(MID(TRIM('Base de Datos'!I278),4,2)),VALUE(LEFT(TRIM('Base de Datos'!I278),2))),IFERROR(DATEVALUE(TRIM('Base de Datos'!I278)),"")))),"")</f>
        <v/>
      </c>
      <c r="AG282" s="74" t="str">
        <f aca="false">IF(ISNUMBER('Base de Datos'!J278),'Base de Datos'!J278,IF(TRIM('Base de Datos'!J278)="","",IFERROR(IF(IFERROR(FIND("@",SUBSTITUTE(TRIM('Base de Datos'!J278),",","@",LEN(TRIM('Base de Datos'!J278))-LEN(SUBSTITUTE(TRIM('Base de Datos'!J278),",","")))),0)&gt;IFERROR(FIND("@",SUBSTITUTE(TRIM('Base de Datos'!J278),".","@",LEN(TRIM('Base de Datos'!J278))-LEN(SUBSTITUTE(TRIM('Base de Datos'!J278),".","")))),0),_xlfn.NUMBERVALUE(SUBSTITUTE(SUBSTITUTE(TRIM('Base de Datos'!J278),".",""),",","."),".",","),_xlfn.NUMBERVALUE(SUBSTITUTE(TRIM('Base de Datos'!J278),",",""),".",",")),"")))</f>
        <v/>
      </c>
      <c r="AH282" s="73" t="str">
        <f aca="false">IF(ISNUMBER(AI282),IF(ISNUMBER('Base de Datos'!Q278),IF('Base de Datos'!Q278&gt;20000,DATE(YEAR('Base de Datos'!Q278),DAY('Base de Datos'!Q278),MONTH('Base de Datos'!Q278)),""),IF(TRIM('Base de Datos'!Q278)="","",IFERROR(DATE(VALUE(RIGHT(TRIM('Base de Datos'!Q278),4)),VALUE(LEFT(TRIM('Base de Datos'!Q278),2)),VALUE(MID(TRIM('Base de Datos'!Q278),4,2))),""))),"")</f>
        <v/>
      </c>
      <c r="AI282" s="74" t="str">
        <f aca="false">IF(ISNUMBER('Base de Datos'!R278),'Base de Datos'!R278,IF(TRIM('Base de Datos'!R278)="","",IFERROR(IF(IFERROR(FIND("@",SUBSTITUTE(TRIM('Base de Datos'!R278),",","@",LEN(TRIM('Base de Datos'!R278))-LEN(SUBSTITUTE(TRIM('Base de Datos'!R278),",","")))),0)&gt;IFERROR(FIND("@",SUBSTITUTE(TRIM('Base de Datos'!R278),".","@",LEN(TRIM('Base de Datos'!R278))-LEN(SUBSTITUTE(TRIM('Base de Datos'!R278),".","")))),0),_xlfn.NUMBERVALUE(SUBSTITUTE(SUBSTITUTE(TRIM('Base de Datos'!R278),".",""),",","."),".",","),_xlfn.NUMBERVALUE(SUBSTITUTE(TRIM('Base de Datos'!R278),",",""),".",",")),"")))</f>
        <v/>
      </c>
      <c r="AJ282" s="73" t="str">
        <f aca="false">IF(ISNUMBER(AK282),IF(ISNUMBER('Base de Datos'!Y278),IF('Base de Datos'!Y278&gt;20000,INT('Base de Datos'!Y278),""),IF(TRIM('Base de Datos'!Y278)="","",IFERROR(DATE(VALUE(RIGHT(TRIM('Base de Datos'!Y278),4)),VALUE(MID(TRIM('Base de Datos'!Y278),4,2)),VALUE(LEFT(TRIM('Base de Datos'!Y278),2))),IFERROR(DATEVALUE(TRIM('Base de Datos'!Y278)),"")))),"")</f>
        <v/>
      </c>
      <c r="AK282" s="74" t="str">
        <f aca="false">IF(ISNUMBER('Base de Datos'!Z278),'Base de Datos'!Z278,IF(TRIM('Base de Datos'!Z278)="","",IFERROR(IF(IFERROR(FIND("@",SUBSTITUTE(TRIM('Base de Datos'!Z278),",","@",LEN(TRIM('Base de Datos'!Z278))-LEN(SUBSTITUTE(TRIM('Base de Datos'!Z278),",","")))),0)&gt;IFERROR(FIND("@",SUBSTITUTE(TRIM('Base de Datos'!Z278),".","@",LEN(TRIM('Base de Datos'!Z278))-LEN(SUBSTITUTE(TRIM('Base de Datos'!Z278),".","")))),0),_xlfn.NUMBERVALUE(SUBSTITUTE(SUBSTITUTE(TRIM('Base de Datos'!Z278),".",""),",","."),".",","),_xlfn.NUMBERVALUE(SUBSTITUTE(TRIM('Base de Datos'!Z278),",",""),".",",")),"")))</f>
        <v/>
      </c>
    </row>
    <row r="283" customFormat="false" ht="13.5" hidden="false" customHeight="false" outlineLevel="0" collapsed="false">
      <c r="A283" s="75" t="n">
        <f aca="false">ROWS(A$13:A283)</f>
        <v>271</v>
      </c>
      <c r="B283" s="73" t="str">
        <f aca="false">IF(B282="","",IFERROR(SMALL($AH$10:$AH$409,COUNTIF($AH$10:$AH$409,"&lt;="&amp;B282)+1),""))</f>
        <v/>
      </c>
      <c r="C283" s="74" t="str">
        <f aca="false">IF(B283="","",INDEX($AI$10:$AI$409,MATCH(B283,$AH$10:$AH$409,0)))</f>
        <v/>
      </c>
      <c r="D283" s="74" t="str">
        <f aca="false">IF(B283="","",IFERROR(INDEX($AK$10:$AK$409,MATCH(B283,$AJ$10:$AJ$409,0)),""))</f>
        <v/>
      </c>
      <c r="E283" s="76" t="str">
        <f aca="false">IF(AND(ISNUMBER(C283),ISNUMBER(C282)),C283/C282-1,"")</f>
        <v/>
      </c>
      <c r="F283" s="76" t="str">
        <f aca="false">IF(AND(ISNUMBER(D283),ISNUMBER(D282)),D283/D282-1,"")</f>
        <v/>
      </c>
      <c r="G283" s="75" t="str">
        <f aca="false">IF(AND(ISNUMBER(E283),ISNUMBER(F283)),1,"")</f>
        <v/>
      </c>
      <c r="H283" s="75" t="str">
        <f aca="false">IF(G283=1,COUNT(G283:G$412),"")</f>
        <v/>
      </c>
      <c r="I283" s="75" t="str">
        <f aca="false">IF(G283=1,IF(H283&lt;='Beta Regresión'!$B$5,1,""),"")</f>
        <v/>
      </c>
      <c r="J283" s="76" t="str">
        <f aca="false">IF(I283=1,E283,"")</f>
        <v/>
      </c>
      <c r="K283" s="76" t="str">
        <f aca="false">IF(I283=1,F283,"")</f>
        <v/>
      </c>
      <c r="L283" s="75" t="str">
        <f aca="false">IF(I283=1,COUNT(I$13:I283),"")</f>
        <v/>
      </c>
      <c r="M283" s="76" t="str">
        <f aca="false">IFERROR(INDEX($J$13:$J$412,MATCH(A283,$L$13:$L$412,0)),"")</f>
        <v/>
      </c>
      <c r="N283" s="76" t="str">
        <f aca="false">IFERROR(INDEX($K$13:$K$412,MATCH(A283,$L$13:$L$412,0)),"")</f>
        <v/>
      </c>
      <c r="O283" s="76" t="e">
        <f aca="false">IF(I283=1,E283,NA())</f>
        <v>#N/A</v>
      </c>
      <c r="P283" s="76" t="e">
        <f aca="false">IF(I283=1,F283,NA())</f>
        <v>#N/A</v>
      </c>
      <c r="R283" s="75" t="n">
        <f aca="false">ROWS(R$13:R283)</f>
        <v>271</v>
      </c>
      <c r="S283" s="73" t="str">
        <f aca="false">IF(S282="","",IFERROR(SMALL($AD$10:$AD$509,COUNTIF($AD$10:$AD$509,"&lt;="&amp;S282)+1),""))</f>
        <v/>
      </c>
      <c r="T283" s="74" t="str">
        <f aca="false">IF(S283="","",INDEX($AE$10:$AE$509,MATCH(S283,$AD$10:$AD$509,0)))</f>
        <v/>
      </c>
      <c r="U283" s="74" t="str">
        <f aca="false">IF(S283="","",IFERROR(INDEX($AG$10:$AG$509,MATCH(S283,$AF$10:$AF$509,0)),""))</f>
        <v/>
      </c>
      <c r="V283" s="76" t="str">
        <f aca="false">IF(AND(ISNUMBER(T283),ISNUMBER(T282)),T283/T282-1,"")</f>
        <v/>
      </c>
      <c r="W283" s="76" t="str">
        <f aca="false">IF(AND(ISNUMBER(U283),ISNUMBER(U282)),U283/U282-1,"")</f>
        <v/>
      </c>
      <c r="X283" s="75" t="str">
        <f aca="false">IF(AND(ISNUMBER(V283),ISNUMBER(W283)),1,"")</f>
        <v/>
      </c>
      <c r="Y283" s="76" t="str">
        <f aca="false">IF(X283=1,V283,"")</f>
        <v/>
      </c>
      <c r="Z283" s="76" t="str">
        <f aca="false">IF(X283=1,W283,"")</f>
        <v/>
      </c>
      <c r="AA283" s="76" t="e">
        <f aca="false">IF(X283=1,V283,NA())</f>
        <v>#N/A</v>
      </c>
      <c r="AB283" s="76" t="e">
        <f aca="false">IF(X283=1,W283,NA())</f>
        <v>#N/A</v>
      </c>
      <c r="AD283" s="73" t="str">
        <f aca="false">IF(ISNUMBER(AE283),IF(ISNUMBER('Base de Datos'!A279),IF('Base de Datos'!A279&gt;20000,DATE(YEAR('Base de Datos'!A279),DAY('Base de Datos'!A279),MONTH('Base de Datos'!A279)),""),IF(TRIM('Base de Datos'!A279)="","",IFERROR(DATE(VALUE(RIGHT(TRIM('Base de Datos'!A279),4)),VALUE(LEFT(TRIM('Base de Datos'!A279),2)),VALUE(MID(TRIM('Base de Datos'!A279),4,2))),""))),"")</f>
        <v/>
      </c>
      <c r="AE283" s="74" t="str">
        <f aca="false">IF(ISNUMBER('Base de Datos'!B279),'Base de Datos'!B279,IF(TRIM('Base de Datos'!B279)="","",IFERROR(IF(IFERROR(FIND("@",SUBSTITUTE(TRIM('Base de Datos'!B279),",","@",LEN(TRIM('Base de Datos'!B279))-LEN(SUBSTITUTE(TRIM('Base de Datos'!B279),",","")))),0)&gt;IFERROR(FIND("@",SUBSTITUTE(TRIM('Base de Datos'!B279),".","@",LEN(TRIM('Base de Datos'!B279))-LEN(SUBSTITUTE(TRIM('Base de Datos'!B279),".","")))),0),_xlfn.NUMBERVALUE(SUBSTITUTE(SUBSTITUTE(TRIM('Base de Datos'!B279),".",""),",","."),".",","),_xlfn.NUMBERVALUE(SUBSTITUTE(TRIM('Base de Datos'!B279),",",""),".",",")),"")))</f>
        <v/>
      </c>
      <c r="AF283" s="73" t="str">
        <f aca="false">IF(ISNUMBER(AG283),IF(ISNUMBER('Base de Datos'!I279),IF('Base de Datos'!I279&gt;20000,INT('Base de Datos'!I279),""),IF(TRIM('Base de Datos'!I279)="","",IFERROR(DATE(VALUE(RIGHT(TRIM('Base de Datos'!I279),4)),VALUE(MID(TRIM('Base de Datos'!I279),4,2)),VALUE(LEFT(TRIM('Base de Datos'!I279),2))),IFERROR(DATEVALUE(TRIM('Base de Datos'!I279)),"")))),"")</f>
        <v/>
      </c>
      <c r="AG283" s="74" t="str">
        <f aca="false">IF(ISNUMBER('Base de Datos'!J279),'Base de Datos'!J279,IF(TRIM('Base de Datos'!J279)="","",IFERROR(IF(IFERROR(FIND("@",SUBSTITUTE(TRIM('Base de Datos'!J279),",","@",LEN(TRIM('Base de Datos'!J279))-LEN(SUBSTITUTE(TRIM('Base de Datos'!J279),",","")))),0)&gt;IFERROR(FIND("@",SUBSTITUTE(TRIM('Base de Datos'!J279),".","@",LEN(TRIM('Base de Datos'!J279))-LEN(SUBSTITUTE(TRIM('Base de Datos'!J279),".","")))),0),_xlfn.NUMBERVALUE(SUBSTITUTE(SUBSTITUTE(TRIM('Base de Datos'!J279),".",""),",","."),".",","),_xlfn.NUMBERVALUE(SUBSTITUTE(TRIM('Base de Datos'!J279),",",""),".",",")),"")))</f>
        <v/>
      </c>
      <c r="AH283" s="73" t="str">
        <f aca="false">IF(ISNUMBER(AI283),IF(ISNUMBER('Base de Datos'!Q279),IF('Base de Datos'!Q279&gt;20000,DATE(YEAR('Base de Datos'!Q279),DAY('Base de Datos'!Q279),MONTH('Base de Datos'!Q279)),""),IF(TRIM('Base de Datos'!Q279)="","",IFERROR(DATE(VALUE(RIGHT(TRIM('Base de Datos'!Q279),4)),VALUE(LEFT(TRIM('Base de Datos'!Q279),2)),VALUE(MID(TRIM('Base de Datos'!Q279),4,2))),""))),"")</f>
        <v/>
      </c>
      <c r="AI283" s="74" t="str">
        <f aca="false">IF(ISNUMBER('Base de Datos'!R279),'Base de Datos'!R279,IF(TRIM('Base de Datos'!R279)="","",IFERROR(IF(IFERROR(FIND("@",SUBSTITUTE(TRIM('Base de Datos'!R279),",","@",LEN(TRIM('Base de Datos'!R279))-LEN(SUBSTITUTE(TRIM('Base de Datos'!R279),",","")))),0)&gt;IFERROR(FIND("@",SUBSTITUTE(TRIM('Base de Datos'!R279),".","@",LEN(TRIM('Base de Datos'!R279))-LEN(SUBSTITUTE(TRIM('Base de Datos'!R279),".","")))),0),_xlfn.NUMBERVALUE(SUBSTITUTE(SUBSTITUTE(TRIM('Base de Datos'!R279),".",""),",","."),".",","),_xlfn.NUMBERVALUE(SUBSTITUTE(TRIM('Base de Datos'!R279),",",""),".",",")),"")))</f>
        <v/>
      </c>
      <c r="AJ283" s="73" t="str">
        <f aca="false">IF(ISNUMBER(AK283),IF(ISNUMBER('Base de Datos'!Y279),IF('Base de Datos'!Y279&gt;20000,INT('Base de Datos'!Y279),""),IF(TRIM('Base de Datos'!Y279)="","",IFERROR(DATE(VALUE(RIGHT(TRIM('Base de Datos'!Y279),4)),VALUE(MID(TRIM('Base de Datos'!Y279),4,2)),VALUE(LEFT(TRIM('Base de Datos'!Y279),2))),IFERROR(DATEVALUE(TRIM('Base de Datos'!Y279)),"")))),"")</f>
        <v/>
      </c>
      <c r="AK283" s="74" t="str">
        <f aca="false">IF(ISNUMBER('Base de Datos'!Z279),'Base de Datos'!Z279,IF(TRIM('Base de Datos'!Z279)="","",IFERROR(IF(IFERROR(FIND("@",SUBSTITUTE(TRIM('Base de Datos'!Z279),",","@",LEN(TRIM('Base de Datos'!Z279))-LEN(SUBSTITUTE(TRIM('Base de Datos'!Z279),",","")))),0)&gt;IFERROR(FIND("@",SUBSTITUTE(TRIM('Base de Datos'!Z279),".","@",LEN(TRIM('Base de Datos'!Z279))-LEN(SUBSTITUTE(TRIM('Base de Datos'!Z279),".","")))),0),_xlfn.NUMBERVALUE(SUBSTITUTE(SUBSTITUTE(TRIM('Base de Datos'!Z279),".",""),",","."),".",","),_xlfn.NUMBERVALUE(SUBSTITUTE(TRIM('Base de Datos'!Z279),",",""),".",",")),"")))</f>
        <v/>
      </c>
    </row>
    <row r="284" customFormat="false" ht="13.5" hidden="false" customHeight="false" outlineLevel="0" collapsed="false">
      <c r="A284" s="75" t="n">
        <f aca="false">ROWS(A$13:A284)</f>
        <v>272</v>
      </c>
      <c r="B284" s="73" t="str">
        <f aca="false">IF(B283="","",IFERROR(SMALL($AH$10:$AH$409,COUNTIF($AH$10:$AH$409,"&lt;="&amp;B283)+1),""))</f>
        <v/>
      </c>
      <c r="C284" s="74" t="str">
        <f aca="false">IF(B284="","",INDEX($AI$10:$AI$409,MATCH(B284,$AH$10:$AH$409,0)))</f>
        <v/>
      </c>
      <c r="D284" s="74" t="str">
        <f aca="false">IF(B284="","",IFERROR(INDEX($AK$10:$AK$409,MATCH(B284,$AJ$10:$AJ$409,0)),""))</f>
        <v/>
      </c>
      <c r="E284" s="76" t="str">
        <f aca="false">IF(AND(ISNUMBER(C284),ISNUMBER(C283)),C284/C283-1,"")</f>
        <v/>
      </c>
      <c r="F284" s="76" t="str">
        <f aca="false">IF(AND(ISNUMBER(D284),ISNUMBER(D283)),D284/D283-1,"")</f>
        <v/>
      </c>
      <c r="G284" s="75" t="str">
        <f aca="false">IF(AND(ISNUMBER(E284),ISNUMBER(F284)),1,"")</f>
        <v/>
      </c>
      <c r="H284" s="75" t="str">
        <f aca="false">IF(G284=1,COUNT(G284:G$412),"")</f>
        <v/>
      </c>
      <c r="I284" s="75" t="str">
        <f aca="false">IF(G284=1,IF(H284&lt;='Beta Regresión'!$B$5,1,""),"")</f>
        <v/>
      </c>
      <c r="J284" s="76" t="str">
        <f aca="false">IF(I284=1,E284,"")</f>
        <v/>
      </c>
      <c r="K284" s="76" t="str">
        <f aca="false">IF(I284=1,F284,"")</f>
        <v/>
      </c>
      <c r="L284" s="75" t="str">
        <f aca="false">IF(I284=1,COUNT(I$13:I284),"")</f>
        <v/>
      </c>
      <c r="M284" s="76" t="str">
        <f aca="false">IFERROR(INDEX($J$13:$J$412,MATCH(A284,$L$13:$L$412,0)),"")</f>
        <v/>
      </c>
      <c r="N284" s="76" t="str">
        <f aca="false">IFERROR(INDEX($K$13:$K$412,MATCH(A284,$L$13:$L$412,0)),"")</f>
        <v/>
      </c>
      <c r="O284" s="76" t="e">
        <f aca="false">IF(I284=1,E284,NA())</f>
        <v>#N/A</v>
      </c>
      <c r="P284" s="76" t="e">
        <f aca="false">IF(I284=1,F284,NA())</f>
        <v>#N/A</v>
      </c>
      <c r="R284" s="75" t="n">
        <f aca="false">ROWS(R$13:R284)</f>
        <v>272</v>
      </c>
      <c r="S284" s="73" t="str">
        <f aca="false">IF(S283="","",IFERROR(SMALL($AD$10:$AD$509,COUNTIF($AD$10:$AD$509,"&lt;="&amp;S283)+1),""))</f>
        <v/>
      </c>
      <c r="T284" s="74" t="str">
        <f aca="false">IF(S284="","",INDEX($AE$10:$AE$509,MATCH(S284,$AD$10:$AD$509,0)))</f>
        <v/>
      </c>
      <c r="U284" s="74" t="str">
        <f aca="false">IF(S284="","",IFERROR(INDEX($AG$10:$AG$509,MATCH(S284,$AF$10:$AF$509,0)),""))</f>
        <v/>
      </c>
      <c r="V284" s="76" t="str">
        <f aca="false">IF(AND(ISNUMBER(T284),ISNUMBER(T283)),T284/T283-1,"")</f>
        <v/>
      </c>
      <c r="W284" s="76" t="str">
        <f aca="false">IF(AND(ISNUMBER(U284),ISNUMBER(U283)),U284/U283-1,"")</f>
        <v/>
      </c>
      <c r="X284" s="75" t="str">
        <f aca="false">IF(AND(ISNUMBER(V284),ISNUMBER(W284)),1,"")</f>
        <v/>
      </c>
      <c r="Y284" s="76" t="str">
        <f aca="false">IF(X284=1,V284,"")</f>
        <v/>
      </c>
      <c r="Z284" s="76" t="str">
        <f aca="false">IF(X284=1,W284,"")</f>
        <v/>
      </c>
      <c r="AA284" s="76" t="e">
        <f aca="false">IF(X284=1,V284,NA())</f>
        <v>#N/A</v>
      </c>
      <c r="AB284" s="76" t="e">
        <f aca="false">IF(X284=1,W284,NA())</f>
        <v>#N/A</v>
      </c>
      <c r="AD284" s="73" t="str">
        <f aca="false">IF(ISNUMBER(AE284),IF(ISNUMBER('Base de Datos'!A280),IF('Base de Datos'!A280&gt;20000,DATE(YEAR('Base de Datos'!A280),DAY('Base de Datos'!A280),MONTH('Base de Datos'!A280)),""),IF(TRIM('Base de Datos'!A280)="","",IFERROR(DATE(VALUE(RIGHT(TRIM('Base de Datos'!A280),4)),VALUE(LEFT(TRIM('Base de Datos'!A280),2)),VALUE(MID(TRIM('Base de Datos'!A280),4,2))),""))),"")</f>
        <v/>
      </c>
      <c r="AE284" s="74" t="str">
        <f aca="false">IF(ISNUMBER('Base de Datos'!B280),'Base de Datos'!B280,IF(TRIM('Base de Datos'!B280)="","",IFERROR(IF(IFERROR(FIND("@",SUBSTITUTE(TRIM('Base de Datos'!B280),",","@",LEN(TRIM('Base de Datos'!B280))-LEN(SUBSTITUTE(TRIM('Base de Datos'!B280),",","")))),0)&gt;IFERROR(FIND("@",SUBSTITUTE(TRIM('Base de Datos'!B280),".","@",LEN(TRIM('Base de Datos'!B280))-LEN(SUBSTITUTE(TRIM('Base de Datos'!B280),".","")))),0),_xlfn.NUMBERVALUE(SUBSTITUTE(SUBSTITUTE(TRIM('Base de Datos'!B280),".",""),",","."),".",","),_xlfn.NUMBERVALUE(SUBSTITUTE(TRIM('Base de Datos'!B280),",",""),".",",")),"")))</f>
        <v/>
      </c>
      <c r="AF284" s="73" t="str">
        <f aca="false">IF(ISNUMBER(AG284),IF(ISNUMBER('Base de Datos'!I280),IF('Base de Datos'!I280&gt;20000,INT('Base de Datos'!I280),""),IF(TRIM('Base de Datos'!I280)="","",IFERROR(DATE(VALUE(RIGHT(TRIM('Base de Datos'!I280),4)),VALUE(MID(TRIM('Base de Datos'!I280),4,2)),VALUE(LEFT(TRIM('Base de Datos'!I280),2))),IFERROR(DATEVALUE(TRIM('Base de Datos'!I280)),"")))),"")</f>
        <v/>
      </c>
      <c r="AG284" s="74" t="str">
        <f aca="false">IF(ISNUMBER('Base de Datos'!J280),'Base de Datos'!J280,IF(TRIM('Base de Datos'!J280)="","",IFERROR(IF(IFERROR(FIND("@",SUBSTITUTE(TRIM('Base de Datos'!J280),",","@",LEN(TRIM('Base de Datos'!J280))-LEN(SUBSTITUTE(TRIM('Base de Datos'!J280),",","")))),0)&gt;IFERROR(FIND("@",SUBSTITUTE(TRIM('Base de Datos'!J280),".","@",LEN(TRIM('Base de Datos'!J280))-LEN(SUBSTITUTE(TRIM('Base de Datos'!J280),".","")))),0),_xlfn.NUMBERVALUE(SUBSTITUTE(SUBSTITUTE(TRIM('Base de Datos'!J280),".",""),",","."),".",","),_xlfn.NUMBERVALUE(SUBSTITUTE(TRIM('Base de Datos'!J280),",",""),".",",")),"")))</f>
        <v/>
      </c>
      <c r="AH284" s="73" t="str">
        <f aca="false">IF(ISNUMBER(AI284),IF(ISNUMBER('Base de Datos'!Q280),IF('Base de Datos'!Q280&gt;20000,DATE(YEAR('Base de Datos'!Q280),DAY('Base de Datos'!Q280),MONTH('Base de Datos'!Q280)),""),IF(TRIM('Base de Datos'!Q280)="","",IFERROR(DATE(VALUE(RIGHT(TRIM('Base de Datos'!Q280),4)),VALUE(LEFT(TRIM('Base de Datos'!Q280),2)),VALUE(MID(TRIM('Base de Datos'!Q280),4,2))),""))),"")</f>
        <v/>
      </c>
      <c r="AI284" s="74" t="str">
        <f aca="false">IF(ISNUMBER('Base de Datos'!R280),'Base de Datos'!R280,IF(TRIM('Base de Datos'!R280)="","",IFERROR(IF(IFERROR(FIND("@",SUBSTITUTE(TRIM('Base de Datos'!R280),",","@",LEN(TRIM('Base de Datos'!R280))-LEN(SUBSTITUTE(TRIM('Base de Datos'!R280),",","")))),0)&gt;IFERROR(FIND("@",SUBSTITUTE(TRIM('Base de Datos'!R280),".","@",LEN(TRIM('Base de Datos'!R280))-LEN(SUBSTITUTE(TRIM('Base de Datos'!R280),".","")))),0),_xlfn.NUMBERVALUE(SUBSTITUTE(SUBSTITUTE(TRIM('Base de Datos'!R280),".",""),",","."),".",","),_xlfn.NUMBERVALUE(SUBSTITUTE(TRIM('Base de Datos'!R280),",",""),".",",")),"")))</f>
        <v/>
      </c>
      <c r="AJ284" s="73" t="str">
        <f aca="false">IF(ISNUMBER(AK284),IF(ISNUMBER('Base de Datos'!Y280),IF('Base de Datos'!Y280&gt;20000,INT('Base de Datos'!Y280),""),IF(TRIM('Base de Datos'!Y280)="","",IFERROR(DATE(VALUE(RIGHT(TRIM('Base de Datos'!Y280),4)),VALUE(MID(TRIM('Base de Datos'!Y280),4,2)),VALUE(LEFT(TRIM('Base de Datos'!Y280),2))),IFERROR(DATEVALUE(TRIM('Base de Datos'!Y280)),"")))),"")</f>
        <v/>
      </c>
      <c r="AK284" s="74" t="str">
        <f aca="false">IF(ISNUMBER('Base de Datos'!Z280),'Base de Datos'!Z280,IF(TRIM('Base de Datos'!Z280)="","",IFERROR(IF(IFERROR(FIND("@",SUBSTITUTE(TRIM('Base de Datos'!Z280),",","@",LEN(TRIM('Base de Datos'!Z280))-LEN(SUBSTITUTE(TRIM('Base de Datos'!Z280),",","")))),0)&gt;IFERROR(FIND("@",SUBSTITUTE(TRIM('Base de Datos'!Z280),".","@",LEN(TRIM('Base de Datos'!Z280))-LEN(SUBSTITUTE(TRIM('Base de Datos'!Z280),".","")))),0),_xlfn.NUMBERVALUE(SUBSTITUTE(SUBSTITUTE(TRIM('Base de Datos'!Z280),".",""),",","."),".",","),_xlfn.NUMBERVALUE(SUBSTITUTE(TRIM('Base de Datos'!Z280),",",""),".",",")),"")))</f>
        <v/>
      </c>
    </row>
    <row r="285" customFormat="false" ht="13.5" hidden="false" customHeight="false" outlineLevel="0" collapsed="false">
      <c r="A285" s="75" t="n">
        <f aca="false">ROWS(A$13:A285)</f>
        <v>273</v>
      </c>
      <c r="B285" s="73" t="str">
        <f aca="false">IF(B284="","",IFERROR(SMALL($AH$10:$AH$409,COUNTIF($AH$10:$AH$409,"&lt;="&amp;B284)+1),""))</f>
        <v/>
      </c>
      <c r="C285" s="74" t="str">
        <f aca="false">IF(B285="","",INDEX($AI$10:$AI$409,MATCH(B285,$AH$10:$AH$409,0)))</f>
        <v/>
      </c>
      <c r="D285" s="74" t="str">
        <f aca="false">IF(B285="","",IFERROR(INDEX($AK$10:$AK$409,MATCH(B285,$AJ$10:$AJ$409,0)),""))</f>
        <v/>
      </c>
      <c r="E285" s="76" t="str">
        <f aca="false">IF(AND(ISNUMBER(C285),ISNUMBER(C284)),C285/C284-1,"")</f>
        <v/>
      </c>
      <c r="F285" s="76" t="str">
        <f aca="false">IF(AND(ISNUMBER(D285),ISNUMBER(D284)),D285/D284-1,"")</f>
        <v/>
      </c>
      <c r="G285" s="75" t="str">
        <f aca="false">IF(AND(ISNUMBER(E285),ISNUMBER(F285)),1,"")</f>
        <v/>
      </c>
      <c r="H285" s="75" t="str">
        <f aca="false">IF(G285=1,COUNT(G285:G$412),"")</f>
        <v/>
      </c>
      <c r="I285" s="75" t="str">
        <f aca="false">IF(G285=1,IF(H285&lt;='Beta Regresión'!$B$5,1,""),"")</f>
        <v/>
      </c>
      <c r="J285" s="76" t="str">
        <f aca="false">IF(I285=1,E285,"")</f>
        <v/>
      </c>
      <c r="K285" s="76" t="str">
        <f aca="false">IF(I285=1,F285,"")</f>
        <v/>
      </c>
      <c r="L285" s="75" t="str">
        <f aca="false">IF(I285=1,COUNT(I$13:I285),"")</f>
        <v/>
      </c>
      <c r="M285" s="76" t="str">
        <f aca="false">IFERROR(INDEX($J$13:$J$412,MATCH(A285,$L$13:$L$412,0)),"")</f>
        <v/>
      </c>
      <c r="N285" s="76" t="str">
        <f aca="false">IFERROR(INDEX($K$13:$K$412,MATCH(A285,$L$13:$L$412,0)),"")</f>
        <v/>
      </c>
      <c r="O285" s="76" t="e">
        <f aca="false">IF(I285=1,E285,NA())</f>
        <v>#N/A</v>
      </c>
      <c r="P285" s="76" t="e">
        <f aca="false">IF(I285=1,F285,NA())</f>
        <v>#N/A</v>
      </c>
      <c r="R285" s="75" t="n">
        <f aca="false">ROWS(R$13:R285)</f>
        <v>273</v>
      </c>
      <c r="S285" s="73" t="str">
        <f aca="false">IF(S284="","",IFERROR(SMALL($AD$10:$AD$509,COUNTIF($AD$10:$AD$509,"&lt;="&amp;S284)+1),""))</f>
        <v/>
      </c>
      <c r="T285" s="74" t="str">
        <f aca="false">IF(S285="","",INDEX($AE$10:$AE$509,MATCH(S285,$AD$10:$AD$509,0)))</f>
        <v/>
      </c>
      <c r="U285" s="74" t="str">
        <f aca="false">IF(S285="","",IFERROR(INDEX($AG$10:$AG$509,MATCH(S285,$AF$10:$AF$509,0)),""))</f>
        <v/>
      </c>
      <c r="V285" s="76" t="str">
        <f aca="false">IF(AND(ISNUMBER(T285),ISNUMBER(T284)),T285/T284-1,"")</f>
        <v/>
      </c>
      <c r="W285" s="76" t="str">
        <f aca="false">IF(AND(ISNUMBER(U285),ISNUMBER(U284)),U285/U284-1,"")</f>
        <v/>
      </c>
      <c r="X285" s="75" t="str">
        <f aca="false">IF(AND(ISNUMBER(V285),ISNUMBER(W285)),1,"")</f>
        <v/>
      </c>
      <c r="Y285" s="76" t="str">
        <f aca="false">IF(X285=1,V285,"")</f>
        <v/>
      </c>
      <c r="Z285" s="76" t="str">
        <f aca="false">IF(X285=1,W285,"")</f>
        <v/>
      </c>
      <c r="AA285" s="76" t="e">
        <f aca="false">IF(X285=1,V285,NA())</f>
        <v>#N/A</v>
      </c>
      <c r="AB285" s="76" t="e">
        <f aca="false">IF(X285=1,W285,NA())</f>
        <v>#N/A</v>
      </c>
      <c r="AD285" s="73" t="str">
        <f aca="false">IF(ISNUMBER(AE285),IF(ISNUMBER('Base de Datos'!A281),IF('Base de Datos'!A281&gt;20000,DATE(YEAR('Base de Datos'!A281),DAY('Base de Datos'!A281),MONTH('Base de Datos'!A281)),""),IF(TRIM('Base de Datos'!A281)="","",IFERROR(DATE(VALUE(RIGHT(TRIM('Base de Datos'!A281),4)),VALUE(LEFT(TRIM('Base de Datos'!A281),2)),VALUE(MID(TRIM('Base de Datos'!A281),4,2))),""))),"")</f>
        <v/>
      </c>
      <c r="AE285" s="74" t="str">
        <f aca="false">IF(ISNUMBER('Base de Datos'!B281),'Base de Datos'!B281,IF(TRIM('Base de Datos'!B281)="","",IFERROR(IF(IFERROR(FIND("@",SUBSTITUTE(TRIM('Base de Datos'!B281),",","@",LEN(TRIM('Base de Datos'!B281))-LEN(SUBSTITUTE(TRIM('Base de Datos'!B281),",","")))),0)&gt;IFERROR(FIND("@",SUBSTITUTE(TRIM('Base de Datos'!B281),".","@",LEN(TRIM('Base de Datos'!B281))-LEN(SUBSTITUTE(TRIM('Base de Datos'!B281),".","")))),0),_xlfn.NUMBERVALUE(SUBSTITUTE(SUBSTITUTE(TRIM('Base de Datos'!B281),".",""),",","."),".",","),_xlfn.NUMBERVALUE(SUBSTITUTE(TRIM('Base de Datos'!B281),",",""),".",",")),"")))</f>
        <v/>
      </c>
      <c r="AF285" s="73" t="str">
        <f aca="false">IF(ISNUMBER(AG285),IF(ISNUMBER('Base de Datos'!I281),IF('Base de Datos'!I281&gt;20000,INT('Base de Datos'!I281),""),IF(TRIM('Base de Datos'!I281)="","",IFERROR(DATE(VALUE(RIGHT(TRIM('Base de Datos'!I281),4)),VALUE(MID(TRIM('Base de Datos'!I281),4,2)),VALUE(LEFT(TRIM('Base de Datos'!I281),2))),IFERROR(DATEVALUE(TRIM('Base de Datos'!I281)),"")))),"")</f>
        <v/>
      </c>
      <c r="AG285" s="74" t="str">
        <f aca="false">IF(ISNUMBER('Base de Datos'!J281),'Base de Datos'!J281,IF(TRIM('Base de Datos'!J281)="","",IFERROR(IF(IFERROR(FIND("@",SUBSTITUTE(TRIM('Base de Datos'!J281),",","@",LEN(TRIM('Base de Datos'!J281))-LEN(SUBSTITUTE(TRIM('Base de Datos'!J281),",","")))),0)&gt;IFERROR(FIND("@",SUBSTITUTE(TRIM('Base de Datos'!J281),".","@",LEN(TRIM('Base de Datos'!J281))-LEN(SUBSTITUTE(TRIM('Base de Datos'!J281),".","")))),0),_xlfn.NUMBERVALUE(SUBSTITUTE(SUBSTITUTE(TRIM('Base de Datos'!J281),".",""),",","."),".",","),_xlfn.NUMBERVALUE(SUBSTITUTE(TRIM('Base de Datos'!J281),",",""),".",",")),"")))</f>
        <v/>
      </c>
      <c r="AH285" s="73" t="str">
        <f aca="false">IF(ISNUMBER(AI285),IF(ISNUMBER('Base de Datos'!Q281),IF('Base de Datos'!Q281&gt;20000,DATE(YEAR('Base de Datos'!Q281),DAY('Base de Datos'!Q281),MONTH('Base de Datos'!Q281)),""),IF(TRIM('Base de Datos'!Q281)="","",IFERROR(DATE(VALUE(RIGHT(TRIM('Base de Datos'!Q281),4)),VALUE(LEFT(TRIM('Base de Datos'!Q281),2)),VALUE(MID(TRIM('Base de Datos'!Q281),4,2))),""))),"")</f>
        <v/>
      </c>
      <c r="AI285" s="74" t="str">
        <f aca="false">IF(ISNUMBER('Base de Datos'!R281),'Base de Datos'!R281,IF(TRIM('Base de Datos'!R281)="","",IFERROR(IF(IFERROR(FIND("@",SUBSTITUTE(TRIM('Base de Datos'!R281),",","@",LEN(TRIM('Base de Datos'!R281))-LEN(SUBSTITUTE(TRIM('Base de Datos'!R281),",","")))),0)&gt;IFERROR(FIND("@",SUBSTITUTE(TRIM('Base de Datos'!R281),".","@",LEN(TRIM('Base de Datos'!R281))-LEN(SUBSTITUTE(TRIM('Base de Datos'!R281),".","")))),0),_xlfn.NUMBERVALUE(SUBSTITUTE(SUBSTITUTE(TRIM('Base de Datos'!R281),".",""),",","."),".",","),_xlfn.NUMBERVALUE(SUBSTITUTE(TRIM('Base de Datos'!R281),",",""),".",",")),"")))</f>
        <v/>
      </c>
      <c r="AJ285" s="73" t="str">
        <f aca="false">IF(ISNUMBER(AK285),IF(ISNUMBER('Base de Datos'!Y281),IF('Base de Datos'!Y281&gt;20000,INT('Base de Datos'!Y281),""),IF(TRIM('Base de Datos'!Y281)="","",IFERROR(DATE(VALUE(RIGHT(TRIM('Base de Datos'!Y281),4)),VALUE(MID(TRIM('Base de Datos'!Y281),4,2)),VALUE(LEFT(TRIM('Base de Datos'!Y281),2))),IFERROR(DATEVALUE(TRIM('Base de Datos'!Y281)),"")))),"")</f>
        <v/>
      </c>
      <c r="AK285" s="74" t="str">
        <f aca="false">IF(ISNUMBER('Base de Datos'!Z281),'Base de Datos'!Z281,IF(TRIM('Base de Datos'!Z281)="","",IFERROR(IF(IFERROR(FIND("@",SUBSTITUTE(TRIM('Base de Datos'!Z281),",","@",LEN(TRIM('Base de Datos'!Z281))-LEN(SUBSTITUTE(TRIM('Base de Datos'!Z281),",","")))),0)&gt;IFERROR(FIND("@",SUBSTITUTE(TRIM('Base de Datos'!Z281),".","@",LEN(TRIM('Base de Datos'!Z281))-LEN(SUBSTITUTE(TRIM('Base de Datos'!Z281),".","")))),0),_xlfn.NUMBERVALUE(SUBSTITUTE(SUBSTITUTE(TRIM('Base de Datos'!Z281),".",""),",","."),".",","),_xlfn.NUMBERVALUE(SUBSTITUTE(TRIM('Base de Datos'!Z281),",",""),".",",")),"")))</f>
        <v/>
      </c>
    </row>
    <row r="286" customFormat="false" ht="13.5" hidden="false" customHeight="false" outlineLevel="0" collapsed="false">
      <c r="A286" s="75" t="n">
        <f aca="false">ROWS(A$13:A286)</f>
        <v>274</v>
      </c>
      <c r="B286" s="73" t="str">
        <f aca="false">IF(B285="","",IFERROR(SMALL($AH$10:$AH$409,COUNTIF($AH$10:$AH$409,"&lt;="&amp;B285)+1),""))</f>
        <v/>
      </c>
      <c r="C286" s="74" t="str">
        <f aca="false">IF(B286="","",INDEX($AI$10:$AI$409,MATCH(B286,$AH$10:$AH$409,0)))</f>
        <v/>
      </c>
      <c r="D286" s="74" t="str">
        <f aca="false">IF(B286="","",IFERROR(INDEX($AK$10:$AK$409,MATCH(B286,$AJ$10:$AJ$409,0)),""))</f>
        <v/>
      </c>
      <c r="E286" s="76" t="str">
        <f aca="false">IF(AND(ISNUMBER(C286),ISNUMBER(C285)),C286/C285-1,"")</f>
        <v/>
      </c>
      <c r="F286" s="76" t="str">
        <f aca="false">IF(AND(ISNUMBER(D286),ISNUMBER(D285)),D286/D285-1,"")</f>
        <v/>
      </c>
      <c r="G286" s="75" t="str">
        <f aca="false">IF(AND(ISNUMBER(E286),ISNUMBER(F286)),1,"")</f>
        <v/>
      </c>
      <c r="H286" s="75" t="str">
        <f aca="false">IF(G286=1,COUNT(G286:G$412),"")</f>
        <v/>
      </c>
      <c r="I286" s="75" t="str">
        <f aca="false">IF(G286=1,IF(H286&lt;='Beta Regresión'!$B$5,1,""),"")</f>
        <v/>
      </c>
      <c r="J286" s="76" t="str">
        <f aca="false">IF(I286=1,E286,"")</f>
        <v/>
      </c>
      <c r="K286" s="76" t="str">
        <f aca="false">IF(I286=1,F286,"")</f>
        <v/>
      </c>
      <c r="L286" s="75" t="str">
        <f aca="false">IF(I286=1,COUNT(I$13:I286),"")</f>
        <v/>
      </c>
      <c r="M286" s="76" t="str">
        <f aca="false">IFERROR(INDEX($J$13:$J$412,MATCH(A286,$L$13:$L$412,0)),"")</f>
        <v/>
      </c>
      <c r="N286" s="76" t="str">
        <f aca="false">IFERROR(INDEX($K$13:$K$412,MATCH(A286,$L$13:$L$412,0)),"")</f>
        <v/>
      </c>
      <c r="O286" s="76" t="e">
        <f aca="false">IF(I286=1,E286,NA())</f>
        <v>#N/A</v>
      </c>
      <c r="P286" s="76" t="e">
        <f aca="false">IF(I286=1,F286,NA())</f>
        <v>#N/A</v>
      </c>
      <c r="R286" s="75" t="n">
        <f aca="false">ROWS(R$13:R286)</f>
        <v>274</v>
      </c>
      <c r="S286" s="73" t="str">
        <f aca="false">IF(S285="","",IFERROR(SMALL($AD$10:$AD$509,COUNTIF($AD$10:$AD$509,"&lt;="&amp;S285)+1),""))</f>
        <v/>
      </c>
      <c r="T286" s="74" t="str">
        <f aca="false">IF(S286="","",INDEX($AE$10:$AE$509,MATCH(S286,$AD$10:$AD$509,0)))</f>
        <v/>
      </c>
      <c r="U286" s="74" t="str">
        <f aca="false">IF(S286="","",IFERROR(INDEX($AG$10:$AG$509,MATCH(S286,$AF$10:$AF$509,0)),""))</f>
        <v/>
      </c>
      <c r="V286" s="76" t="str">
        <f aca="false">IF(AND(ISNUMBER(T286),ISNUMBER(T285)),T286/T285-1,"")</f>
        <v/>
      </c>
      <c r="W286" s="76" t="str">
        <f aca="false">IF(AND(ISNUMBER(U286),ISNUMBER(U285)),U286/U285-1,"")</f>
        <v/>
      </c>
      <c r="X286" s="75" t="str">
        <f aca="false">IF(AND(ISNUMBER(V286),ISNUMBER(W286)),1,"")</f>
        <v/>
      </c>
      <c r="Y286" s="76" t="str">
        <f aca="false">IF(X286=1,V286,"")</f>
        <v/>
      </c>
      <c r="Z286" s="76" t="str">
        <f aca="false">IF(X286=1,W286,"")</f>
        <v/>
      </c>
      <c r="AA286" s="76" t="e">
        <f aca="false">IF(X286=1,V286,NA())</f>
        <v>#N/A</v>
      </c>
      <c r="AB286" s="76" t="e">
        <f aca="false">IF(X286=1,W286,NA())</f>
        <v>#N/A</v>
      </c>
      <c r="AD286" s="73" t="str">
        <f aca="false">IF(ISNUMBER(AE286),IF(ISNUMBER('Base de Datos'!A282),IF('Base de Datos'!A282&gt;20000,DATE(YEAR('Base de Datos'!A282),DAY('Base de Datos'!A282),MONTH('Base de Datos'!A282)),""),IF(TRIM('Base de Datos'!A282)="","",IFERROR(DATE(VALUE(RIGHT(TRIM('Base de Datos'!A282),4)),VALUE(LEFT(TRIM('Base de Datos'!A282),2)),VALUE(MID(TRIM('Base de Datos'!A282),4,2))),""))),"")</f>
        <v/>
      </c>
      <c r="AE286" s="74" t="str">
        <f aca="false">IF(ISNUMBER('Base de Datos'!B282),'Base de Datos'!B282,IF(TRIM('Base de Datos'!B282)="","",IFERROR(IF(IFERROR(FIND("@",SUBSTITUTE(TRIM('Base de Datos'!B282),",","@",LEN(TRIM('Base de Datos'!B282))-LEN(SUBSTITUTE(TRIM('Base de Datos'!B282),",","")))),0)&gt;IFERROR(FIND("@",SUBSTITUTE(TRIM('Base de Datos'!B282),".","@",LEN(TRIM('Base de Datos'!B282))-LEN(SUBSTITUTE(TRIM('Base de Datos'!B282),".","")))),0),_xlfn.NUMBERVALUE(SUBSTITUTE(SUBSTITUTE(TRIM('Base de Datos'!B282),".",""),",","."),".",","),_xlfn.NUMBERVALUE(SUBSTITUTE(TRIM('Base de Datos'!B282),",",""),".",",")),"")))</f>
        <v/>
      </c>
      <c r="AF286" s="73" t="str">
        <f aca="false">IF(ISNUMBER(AG286),IF(ISNUMBER('Base de Datos'!I282),IF('Base de Datos'!I282&gt;20000,INT('Base de Datos'!I282),""),IF(TRIM('Base de Datos'!I282)="","",IFERROR(DATE(VALUE(RIGHT(TRIM('Base de Datos'!I282),4)),VALUE(MID(TRIM('Base de Datos'!I282),4,2)),VALUE(LEFT(TRIM('Base de Datos'!I282),2))),IFERROR(DATEVALUE(TRIM('Base de Datos'!I282)),"")))),"")</f>
        <v/>
      </c>
      <c r="AG286" s="74" t="str">
        <f aca="false">IF(ISNUMBER('Base de Datos'!J282),'Base de Datos'!J282,IF(TRIM('Base de Datos'!J282)="","",IFERROR(IF(IFERROR(FIND("@",SUBSTITUTE(TRIM('Base de Datos'!J282),",","@",LEN(TRIM('Base de Datos'!J282))-LEN(SUBSTITUTE(TRIM('Base de Datos'!J282),",","")))),0)&gt;IFERROR(FIND("@",SUBSTITUTE(TRIM('Base de Datos'!J282),".","@",LEN(TRIM('Base de Datos'!J282))-LEN(SUBSTITUTE(TRIM('Base de Datos'!J282),".","")))),0),_xlfn.NUMBERVALUE(SUBSTITUTE(SUBSTITUTE(TRIM('Base de Datos'!J282),".",""),",","."),".",","),_xlfn.NUMBERVALUE(SUBSTITUTE(TRIM('Base de Datos'!J282),",",""),".",",")),"")))</f>
        <v/>
      </c>
      <c r="AH286" s="73" t="str">
        <f aca="false">IF(ISNUMBER(AI286),IF(ISNUMBER('Base de Datos'!Q282),IF('Base de Datos'!Q282&gt;20000,DATE(YEAR('Base de Datos'!Q282),DAY('Base de Datos'!Q282),MONTH('Base de Datos'!Q282)),""),IF(TRIM('Base de Datos'!Q282)="","",IFERROR(DATE(VALUE(RIGHT(TRIM('Base de Datos'!Q282),4)),VALUE(LEFT(TRIM('Base de Datos'!Q282),2)),VALUE(MID(TRIM('Base de Datos'!Q282),4,2))),""))),"")</f>
        <v/>
      </c>
      <c r="AI286" s="74" t="str">
        <f aca="false">IF(ISNUMBER('Base de Datos'!R282),'Base de Datos'!R282,IF(TRIM('Base de Datos'!R282)="","",IFERROR(IF(IFERROR(FIND("@",SUBSTITUTE(TRIM('Base de Datos'!R282),",","@",LEN(TRIM('Base de Datos'!R282))-LEN(SUBSTITUTE(TRIM('Base de Datos'!R282),",","")))),0)&gt;IFERROR(FIND("@",SUBSTITUTE(TRIM('Base de Datos'!R282),".","@",LEN(TRIM('Base de Datos'!R282))-LEN(SUBSTITUTE(TRIM('Base de Datos'!R282),".","")))),0),_xlfn.NUMBERVALUE(SUBSTITUTE(SUBSTITUTE(TRIM('Base de Datos'!R282),".",""),",","."),".",","),_xlfn.NUMBERVALUE(SUBSTITUTE(TRIM('Base de Datos'!R282),",",""),".",",")),"")))</f>
        <v/>
      </c>
      <c r="AJ286" s="73" t="str">
        <f aca="false">IF(ISNUMBER(AK286),IF(ISNUMBER('Base de Datos'!Y282),IF('Base de Datos'!Y282&gt;20000,INT('Base de Datos'!Y282),""),IF(TRIM('Base de Datos'!Y282)="","",IFERROR(DATE(VALUE(RIGHT(TRIM('Base de Datos'!Y282),4)),VALUE(MID(TRIM('Base de Datos'!Y282),4,2)),VALUE(LEFT(TRIM('Base de Datos'!Y282),2))),IFERROR(DATEVALUE(TRIM('Base de Datos'!Y282)),"")))),"")</f>
        <v/>
      </c>
      <c r="AK286" s="74" t="str">
        <f aca="false">IF(ISNUMBER('Base de Datos'!Z282),'Base de Datos'!Z282,IF(TRIM('Base de Datos'!Z282)="","",IFERROR(IF(IFERROR(FIND("@",SUBSTITUTE(TRIM('Base de Datos'!Z282),",","@",LEN(TRIM('Base de Datos'!Z282))-LEN(SUBSTITUTE(TRIM('Base de Datos'!Z282),",","")))),0)&gt;IFERROR(FIND("@",SUBSTITUTE(TRIM('Base de Datos'!Z282),".","@",LEN(TRIM('Base de Datos'!Z282))-LEN(SUBSTITUTE(TRIM('Base de Datos'!Z282),".","")))),0),_xlfn.NUMBERVALUE(SUBSTITUTE(SUBSTITUTE(TRIM('Base de Datos'!Z282),".",""),",","."),".",","),_xlfn.NUMBERVALUE(SUBSTITUTE(TRIM('Base de Datos'!Z282),",",""),".",",")),"")))</f>
        <v/>
      </c>
    </row>
    <row r="287" customFormat="false" ht="13.5" hidden="false" customHeight="false" outlineLevel="0" collapsed="false">
      <c r="A287" s="75" t="n">
        <f aca="false">ROWS(A$13:A287)</f>
        <v>275</v>
      </c>
      <c r="B287" s="73" t="str">
        <f aca="false">IF(B286="","",IFERROR(SMALL($AH$10:$AH$409,COUNTIF($AH$10:$AH$409,"&lt;="&amp;B286)+1),""))</f>
        <v/>
      </c>
      <c r="C287" s="74" t="str">
        <f aca="false">IF(B287="","",INDEX($AI$10:$AI$409,MATCH(B287,$AH$10:$AH$409,0)))</f>
        <v/>
      </c>
      <c r="D287" s="74" t="str">
        <f aca="false">IF(B287="","",IFERROR(INDEX($AK$10:$AK$409,MATCH(B287,$AJ$10:$AJ$409,0)),""))</f>
        <v/>
      </c>
      <c r="E287" s="76" t="str">
        <f aca="false">IF(AND(ISNUMBER(C287),ISNUMBER(C286)),C287/C286-1,"")</f>
        <v/>
      </c>
      <c r="F287" s="76" t="str">
        <f aca="false">IF(AND(ISNUMBER(D287),ISNUMBER(D286)),D287/D286-1,"")</f>
        <v/>
      </c>
      <c r="G287" s="75" t="str">
        <f aca="false">IF(AND(ISNUMBER(E287),ISNUMBER(F287)),1,"")</f>
        <v/>
      </c>
      <c r="H287" s="75" t="str">
        <f aca="false">IF(G287=1,COUNT(G287:G$412),"")</f>
        <v/>
      </c>
      <c r="I287" s="75" t="str">
        <f aca="false">IF(G287=1,IF(H287&lt;='Beta Regresión'!$B$5,1,""),"")</f>
        <v/>
      </c>
      <c r="J287" s="76" t="str">
        <f aca="false">IF(I287=1,E287,"")</f>
        <v/>
      </c>
      <c r="K287" s="76" t="str">
        <f aca="false">IF(I287=1,F287,"")</f>
        <v/>
      </c>
      <c r="L287" s="75" t="str">
        <f aca="false">IF(I287=1,COUNT(I$13:I287),"")</f>
        <v/>
      </c>
      <c r="M287" s="76" t="str">
        <f aca="false">IFERROR(INDEX($J$13:$J$412,MATCH(A287,$L$13:$L$412,0)),"")</f>
        <v/>
      </c>
      <c r="N287" s="76" t="str">
        <f aca="false">IFERROR(INDEX($K$13:$K$412,MATCH(A287,$L$13:$L$412,0)),"")</f>
        <v/>
      </c>
      <c r="O287" s="76" t="e">
        <f aca="false">IF(I287=1,E287,NA())</f>
        <v>#N/A</v>
      </c>
      <c r="P287" s="76" t="e">
        <f aca="false">IF(I287=1,F287,NA())</f>
        <v>#N/A</v>
      </c>
      <c r="R287" s="75" t="n">
        <f aca="false">ROWS(R$13:R287)</f>
        <v>275</v>
      </c>
      <c r="S287" s="73" t="str">
        <f aca="false">IF(S286="","",IFERROR(SMALL($AD$10:$AD$509,COUNTIF($AD$10:$AD$509,"&lt;="&amp;S286)+1),""))</f>
        <v/>
      </c>
      <c r="T287" s="74" t="str">
        <f aca="false">IF(S287="","",INDEX($AE$10:$AE$509,MATCH(S287,$AD$10:$AD$509,0)))</f>
        <v/>
      </c>
      <c r="U287" s="74" t="str">
        <f aca="false">IF(S287="","",IFERROR(INDEX($AG$10:$AG$509,MATCH(S287,$AF$10:$AF$509,0)),""))</f>
        <v/>
      </c>
      <c r="V287" s="76" t="str">
        <f aca="false">IF(AND(ISNUMBER(T287),ISNUMBER(T286)),T287/T286-1,"")</f>
        <v/>
      </c>
      <c r="W287" s="76" t="str">
        <f aca="false">IF(AND(ISNUMBER(U287),ISNUMBER(U286)),U287/U286-1,"")</f>
        <v/>
      </c>
      <c r="X287" s="75" t="str">
        <f aca="false">IF(AND(ISNUMBER(V287),ISNUMBER(W287)),1,"")</f>
        <v/>
      </c>
      <c r="Y287" s="76" t="str">
        <f aca="false">IF(X287=1,V287,"")</f>
        <v/>
      </c>
      <c r="Z287" s="76" t="str">
        <f aca="false">IF(X287=1,W287,"")</f>
        <v/>
      </c>
      <c r="AA287" s="76" t="e">
        <f aca="false">IF(X287=1,V287,NA())</f>
        <v>#N/A</v>
      </c>
      <c r="AB287" s="76" t="e">
        <f aca="false">IF(X287=1,W287,NA())</f>
        <v>#N/A</v>
      </c>
      <c r="AD287" s="73" t="str">
        <f aca="false">IF(ISNUMBER(AE287),IF(ISNUMBER('Base de Datos'!A283),IF('Base de Datos'!A283&gt;20000,DATE(YEAR('Base de Datos'!A283),DAY('Base de Datos'!A283),MONTH('Base de Datos'!A283)),""),IF(TRIM('Base de Datos'!A283)="","",IFERROR(DATE(VALUE(RIGHT(TRIM('Base de Datos'!A283),4)),VALUE(LEFT(TRIM('Base de Datos'!A283),2)),VALUE(MID(TRIM('Base de Datos'!A283),4,2))),""))),"")</f>
        <v/>
      </c>
      <c r="AE287" s="74" t="str">
        <f aca="false">IF(ISNUMBER('Base de Datos'!B283),'Base de Datos'!B283,IF(TRIM('Base de Datos'!B283)="","",IFERROR(IF(IFERROR(FIND("@",SUBSTITUTE(TRIM('Base de Datos'!B283),",","@",LEN(TRIM('Base de Datos'!B283))-LEN(SUBSTITUTE(TRIM('Base de Datos'!B283),",","")))),0)&gt;IFERROR(FIND("@",SUBSTITUTE(TRIM('Base de Datos'!B283),".","@",LEN(TRIM('Base de Datos'!B283))-LEN(SUBSTITUTE(TRIM('Base de Datos'!B283),".","")))),0),_xlfn.NUMBERVALUE(SUBSTITUTE(SUBSTITUTE(TRIM('Base de Datos'!B283),".",""),",","."),".",","),_xlfn.NUMBERVALUE(SUBSTITUTE(TRIM('Base de Datos'!B283),",",""),".",",")),"")))</f>
        <v/>
      </c>
      <c r="AF287" s="73" t="str">
        <f aca="false">IF(ISNUMBER(AG287),IF(ISNUMBER('Base de Datos'!I283),IF('Base de Datos'!I283&gt;20000,INT('Base de Datos'!I283),""),IF(TRIM('Base de Datos'!I283)="","",IFERROR(DATE(VALUE(RIGHT(TRIM('Base de Datos'!I283),4)),VALUE(MID(TRIM('Base de Datos'!I283),4,2)),VALUE(LEFT(TRIM('Base de Datos'!I283),2))),IFERROR(DATEVALUE(TRIM('Base de Datos'!I283)),"")))),"")</f>
        <v/>
      </c>
      <c r="AG287" s="74" t="str">
        <f aca="false">IF(ISNUMBER('Base de Datos'!J283),'Base de Datos'!J283,IF(TRIM('Base de Datos'!J283)="","",IFERROR(IF(IFERROR(FIND("@",SUBSTITUTE(TRIM('Base de Datos'!J283),",","@",LEN(TRIM('Base de Datos'!J283))-LEN(SUBSTITUTE(TRIM('Base de Datos'!J283),",","")))),0)&gt;IFERROR(FIND("@",SUBSTITUTE(TRIM('Base de Datos'!J283),".","@",LEN(TRIM('Base de Datos'!J283))-LEN(SUBSTITUTE(TRIM('Base de Datos'!J283),".","")))),0),_xlfn.NUMBERVALUE(SUBSTITUTE(SUBSTITUTE(TRIM('Base de Datos'!J283),".",""),",","."),".",","),_xlfn.NUMBERVALUE(SUBSTITUTE(TRIM('Base de Datos'!J283),",",""),".",",")),"")))</f>
        <v/>
      </c>
      <c r="AH287" s="73" t="str">
        <f aca="false">IF(ISNUMBER(AI287),IF(ISNUMBER('Base de Datos'!Q283),IF('Base de Datos'!Q283&gt;20000,DATE(YEAR('Base de Datos'!Q283),DAY('Base de Datos'!Q283),MONTH('Base de Datos'!Q283)),""),IF(TRIM('Base de Datos'!Q283)="","",IFERROR(DATE(VALUE(RIGHT(TRIM('Base de Datos'!Q283),4)),VALUE(LEFT(TRIM('Base de Datos'!Q283),2)),VALUE(MID(TRIM('Base de Datos'!Q283),4,2))),""))),"")</f>
        <v/>
      </c>
      <c r="AI287" s="74" t="str">
        <f aca="false">IF(ISNUMBER('Base de Datos'!R283),'Base de Datos'!R283,IF(TRIM('Base de Datos'!R283)="","",IFERROR(IF(IFERROR(FIND("@",SUBSTITUTE(TRIM('Base de Datos'!R283),",","@",LEN(TRIM('Base de Datos'!R283))-LEN(SUBSTITUTE(TRIM('Base de Datos'!R283),",","")))),0)&gt;IFERROR(FIND("@",SUBSTITUTE(TRIM('Base de Datos'!R283),".","@",LEN(TRIM('Base de Datos'!R283))-LEN(SUBSTITUTE(TRIM('Base de Datos'!R283),".","")))),0),_xlfn.NUMBERVALUE(SUBSTITUTE(SUBSTITUTE(TRIM('Base de Datos'!R283),".",""),",","."),".",","),_xlfn.NUMBERVALUE(SUBSTITUTE(TRIM('Base de Datos'!R283),",",""),".",",")),"")))</f>
        <v/>
      </c>
      <c r="AJ287" s="73" t="str">
        <f aca="false">IF(ISNUMBER(AK287),IF(ISNUMBER('Base de Datos'!Y283),IF('Base de Datos'!Y283&gt;20000,INT('Base de Datos'!Y283),""),IF(TRIM('Base de Datos'!Y283)="","",IFERROR(DATE(VALUE(RIGHT(TRIM('Base de Datos'!Y283),4)),VALUE(MID(TRIM('Base de Datos'!Y283),4,2)),VALUE(LEFT(TRIM('Base de Datos'!Y283),2))),IFERROR(DATEVALUE(TRIM('Base de Datos'!Y283)),"")))),"")</f>
        <v/>
      </c>
      <c r="AK287" s="74" t="str">
        <f aca="false">IF(ISNUMBER('Base de Datos'!Z283),'Base de Datos'!Z283,IF(TRIM('Base de Datos'!Z283)="","",IFERROR(IF(IFERROR(FIND("@",SUBSTITUTE(TRIM('Base de Datos'!Z283),",","@",LEN(TRIM('Base de Datos'!Z283))-LEN(SUBSTITUTE(TRIM('Base de Datos'!Z283),",","")))),0)&gt;IFERROR(FIND("@",SUBSTITUTE(TRIM('Base de Datos'!Z283),".","@",LEN(TRIM('Base de Datos'!Z283))-LEN(SUBSTITUTE(TRIM('Base de Datos'!Z283),".","")))),0),_xlfn.NUMBERVALUE(SUBSTITUTE(SUBSTITUTE(TRIM('Base de Datos'!Z283),".",""),",","."),".",","),_xlfn.NUMBERVALUE(SUBSTITUTE(TRIM('Base de Datos'!Z283),",",""),".",",")),"")))</f>
        <v/>
      </c>
    </row>
    <row r="288" customFormat="false" ht="13.5" hidden="false" customHeight="false" outlineLevel="0" collapsed="false">
      <c r="A288" s="75" t="n">
        <f aca="false">ROWS(A$13:A288)</f>
        <v>276</v>
      </c>
      <c r="B288" s="73" t="str">
        <f aca="false">IF(B287="","",IFERROR(SMALL($AH$10:$AH$409,COUNTIF($AH$10:$AH$409,"&lt;="&amp;B287)+1),""))</f>
        <v/>
      </c>
      <c r="C288" s="74" t="str">
        <f aca="false">IF(B288="","",INDEX($AI$10:$AI$409,MATCH(B288,$AH$10:$AH$409,0)))</f>
        <v/>
      </c>
      <c r="D288" s="74" t="str">
        <f aca="false">IF(B288="","",IFERROR(INDEX($AK$10:$AK$409,MATCH(B288,$AJ$10:$AJ$409,0)),""))</f>
        <v/>
      </c>
      <c r="E288" s="76" t="str">
        <f aca="false">IF(AND(ISNUMBER(C288),ISNUMBER(C287)),C288/C287-1,"")</f>
        <v/>
      </c>
      <c r="F288" s="76" t="str">
        <f aca="false">IF(AND(ISNUMBER(D288),ISNUMBER(D287)),D288/D287-1,"")</f>
        <v/>
      </c>
      <c r="G288" s="75" t="str">
        <f aca="false">IF(AND(ISNUMBER(E288),ISNUMBER(F288)),1,"")</f>
        <v/>
      </c>
      <c r="H288" s="75" t="str">
        <f aca="false">IF(G288=1,COUNT(G288:G$412),"")</f>
        <v/>
      </c>
      <c r="I288" s="75" t="str">
        <f aca="false">IF(G288=1,IF(H288&lt;='Beta Regresión'!$B$5,1,""),"")</f>
        <v/>
      </c>
      <c r="J288" s="76" t="str">
        <f aca="false">IF(I288=1,E288,"")</f>
        <v/>
      </c>
      <c r="K288" s="76" t="str">
        <f aca="false">IF(I288=1,F288,"")</f>
        <v/>
      </c>
      <c r="L288" s="75" t="str">
        <f aca="false">IF(I288=1,COUNT(I$13:I288),"")</f>
        <v/>
      </c>
      <c r="M288" s="76" t="str">
        <f aca="false">IFERROR(INDEX($J$13:$J$412,MATCH(A288,$L$13:$L$412,0)),"")</f>
        <v/>
      </c>
      <c r="N288" s="76" t="str">
        <f aca="false">IFERROR(INDEX($K$13:$K$412,MATCH(A288,$L$13:$L$412,0)),"")</f>
        <v/>
      </c>
      <c r="O288" s="76" t="e">
        <f aca="false">IF(I288=1,E288,NA())</f>
        <v>#N/A</v>
      </c>
      <c r="P288" s="76" t="e">
        <f aca="false">IF(I288=1,F288,NA())</f>
        <v>#N/A</v>
      </c>
      <c r="R288" s="75" t="n">
        <f aca="false">ROWS(R$13:R288)</f>
        <v>276</v>
      </c>
      <c r="S288" s="73" t="str">
        <f aca="false">IF(S287="","",IFERROR(SMALL($AD$10:$AD$509,COUNTIF($AD$10:$AD$509,"&lt;="&amp;S287)+1),""))</f>
        <v/>
      </c>
      <c r="T288" s="74" t="str">
        <f aca="false">IF(S288="","",INDEX($AE$10:$AE$509,MATCH(S288,$AD$10:$AD$509,0)))</f>
        <v/>
      </c>
      <c r="U288" s="74" t="str">
        <f aca="false">IF(S288="","",IFERROR(INDEX($AG$10:$AG$509,MATCH(S288,$AF$10:$AF$509,0)),""))</f>
        <v/>
      </c>
      <c r="V288" s="76" t="str">
        <f aca="false">IF(AND(ISNUMBER(T288),ISNUMBER(T287)),T288/T287-1,"")</f>
        <v/>
      </c>
      <c r="W288" s="76" t="str">
        <f aca="false">IF(AND(ISNUMBER(U288),ISNUMBER(U287)),U288/U287-1,"")</f>
        <v/>
      </c>
      <c r="X288" s="75" t="str">
        <f aca="false">IF(AND(ISNUMBER(V288),ISNUMBER(W288)),1,"")</f>
        <v/>
      </c>
      <c r="Y288" s="76" t="str">
        <f aca="false">IF(X288=1,V288,"")</f>
        <v/>
      </c>
      <c r="Z288" s="76" t="str">
        <f aca="false">IF(X288=1,W288,"")</f>
        <v/>
      </c>
      <c r="AA288" s="76" t="e">
        <f aca="false">IF(X288=1,V288,NA())</f>
        <v>#N/A</v>
      </c>
      <c r="AB288" s="76" t="e">
        <f aca="false">IF(X288=1,W288,NA())</f>
        <v>#N/A</v>
      </c>
      <c r="AD288" s="73" t="str">
        <f aca="false">IF(ISNUMBER(AE288),IF(ISNUMBER('Base de Datos'!A284),IF('Base de Datos'!A284&gt;20000,DATE(YEAR('Base de Datos'!A284),DAY('Base de Datos'!A284),MONTH('Base de Datos'!A284)),""),IF(TRIM('Base de Datos'!A284)="","",IFERROR(DATE(VALUE(RIGHT(TRIM('Base de Datos'!A284),4)),VALUE(LEFT(TRIM('Base de Datos'!A284),2)),VALUE(MID(TRIM('Base de Datos'!A284),4,2))),""))),"")</f>
        <v/>
      </c>
      <c r="AE288" s="74" t="str">
        <f aca="false">IF(ISNUMBER('Base de Datos'!B284),'Base de Datos'!B284,IF(TRIM('Base de Datos'!B284)="","",IFERROR(IF(IFERROR(FIND("@",SUBSTITUTE(TRIM('Base de Datos'!B284),",","@",LEN(TRIM('Base de Datos'!B284))-LEN(SUBSTITUTE(TRIM('Base de Datos'!B284),",","")))),0)&gt;IFERROR(FIND("@",SUBSTITUTE(TRIM('Base de Datos'!B284),".","@",LEN(TRIM('Base de Datos'!B284))-LEN(SUBSTITUTE(TRIM('Base de Datos'!B284),".","")))),0),_xlfn.NUMBERVALUE(SUBSTITUTE(SUBSTITUTE(TRIM('Base de Datos'!B284),".",""),",","."),".",","),_xlfn.NUMBERVALUE(SUBSTITUTE(TRIM('Base de Datos'!B284),",",""),".",",")),"")))</f>
        <v/>
      </c>
      <c r="AF288" s="73" t="str">
        <f aca="false">IF(ISNUMBER(AG288),IF(ISNUMBER('Base de Datos'!I284),IF('Base de Datos'!I284&gt;20000,INT('Base de Datos'!I284),""),IF(TRIM('Base de Datos'!I284)="","",IFERROR(DATE(VALUE(RIGHT(TRIM('Base de Datos'!I284),4)),VALUE(MID(TRIM('Base de Datos'!I284),4,2)),VALUE(LEFT(TRIM('Base de Datos'!I284),2))),IFERROR(DATEVALUE(TRIM('Base de Datos'!I284)),"")))),"")</f>
        <v/>
      </c>
      <c r="AG288" s="74" t="str">
        <f aca="false">IF(ISNUMBER('Base de Datos'!J284),'Base de Datos'!J284,IF(TRIM('Base de Datos'!J284)="","",IFERROR(IF(IFERROR(FIND("@",SUBSTITUTE(TRIM('Base de Datos'!J284),",","@",LEN(TRIM('Base de Datos'!J284))-LEN(SUBSTITUTE(TRIM('Base de Datos'!J284),",","")))),0)&gt;IFERROR(FIND("@",SUBSTITUTE(TRIM('Base de Datos'!J284),".","@",LEN(TRIM('Base de Datos'!J284))-LEN(SUBSTITUTE(TRIM('Base de Datos'!J284),".","")))),0),_xlfn.NUMBERVALUE(SUBSTITUTE(SUBSTITUTE(TRIM('Base de Datos'!J284),".",""),",","."),".",","),_xlfn.NUMBERVALUE(SUBSTITUTE(TRIM('Base de Datos'!J284),",",""),".",",")),"")))</f>
        <v/>
      </c>
      <c r="AH288" s="73" t="str">
        <f aca="false">IF(ISNUMBER(AI288),IF(ISNUMBER('Base de Datos'!Q284),IF('Base de Datos'!Q284&gt;20000,DATE(YEAR('Base de Datos'!Q284),DAY('Base de Datos'!Q284),MONTH('Base de Datos'!Q284)),""),IF(TRIM('Base de Datos'!Q284)="","",IFERROR(DATE(VALUE(RIGHT(TRIM('Base de Datos'!Q284),4)),VALUE(LEFT(TRIM('Base de Datos'!Q284),2)),VALUE(MID(TRIM('Base de Datos'!Q284),4,2))),""))),"")</f>
        <v/>
      </c>
      <c r="AI288" s="74" t="str">
        <f aca="false">IF(ISNUMBER('Base de Datos'!R284),'Base de Datos'!R284,IF(TRIM('Base de Datos'!R284)="","",IFERROR(IF(IFERROR(FIND("@",SUBSTITUTE(TRIM('Base de Datos'!R284),",","@",LEN(TRIM('Base de Datos'!R284))-LEN(SUBSTITUTE(TRIM('Base de Datos'!R284),",","")))),0)&gt;IFERROR(FIND("@",SUBSTITUTE(TRIM('Base de Datos'!R284),".","@",LEN(TRIM('Base de Datos'!R284))-LEN(SUBSTITUTE(TRIM('Base de Datos'!R284),".","")))),0),_xlfn.NUMBERVALUE(SUBSTITUTE(SUBSTITUTE(TRIM('Base de Datos'!R284),".",""),",","."),".",","),_xlfn.NUMBERVALUE(SUBSTITUTE(TRIM('Base de Datos'!R284),",",""),".",",")),"")))</f>
        <v/>
      </c>
      <c r="AJ288" s="73" t="str">
        <f aca="false">IF(ISNUMBER(AK288),IF(ISNUMBER('Base de Datos'!Y284),IF('Base de Datos'!Y284&gt;20000,INT('Base de Datos'!Y284),""),IF(TRIM('Base de Datos'!Y284)="","",IFERROR(DATE(VALUE(RIGHT(TRIM('Base de Datos'!Y284),4)),VALUE(MID(TRIM('Base de Datos'!Y284),4,2)),VALUE(LEFT(TRIM('Base de Datos'!Y284),2))),IFERROR(DATEVALUE(TRIM('Base de Datos'!Y284)),"")))),"")</f>
        <v/>
      </c>
      <c r="AK288" s="74" t="str">
        <f aca="false">IF(ISNUMBER('Base de Datos'!Z284),'Base de Datos'!Z284,IF(TRIM('Base de Datos'!Z284)="","",IFERROR(IF(IFERROR(FIND("@",SUBSTITUTE(TRIM('Base de Datos'!Z284),",","@",LEN(TRIM('Base de Datos'!Z284))-LEN(SUBSTITUTE(TRIM('Base de Datos'!Z284),",","")))),0)&gt;IFERROR(FIND("@",SUBSTITUTE(TRIM('Base de Datos'!Z284),".","@",LEN(TRIM('Base de Datos'!Z284))-LEN(SUBSTITUTE(TRIM('Base de Datos'!Z284),".","")))),0),_xlfn.NUMBERVALUE(SUBSTITUTE(SUBSTITUTE(TRIM('Base de Datos'!Z284),".",""),",","."),".",","),_xlfn.NUMBERVALUE(SUBSTITUTE(TRIM('Base de Datos'!Z284),",",""),".",",")),"")))</f>
        <v/>
      </c>
    </row>
    <row r="289" customFormat="false" ht="13.5" hidden="false" customHeight="false" outlineLevel="0" collapsed="false">
      <c r="A289" s="75" t="n">
        <f aca="false">ROWS(A$13:A289)</f>
        <v>277</v>
      </c>
      <c r="B289" s="73" t="str">
        <f aca="false">IF(B288="","",IFERROR(SMALL($AH$10:$AH$409,COUNTIF($AH$10:$AH$409,"&lt;="&amp;B288)+1),""))</f>
        <v/>
      </c>
      <c r="C289" s="74" t="str">
        <f aca="false">IF(B289="","",INDEX($AI$10:$AI$409,MATCH(B289,$AH$10:$AH$409,0)))</f>
        <v/>
      </c>
      <c r="D289" s="74" t="str">
        <f aca="false">IF(B289="","",IFERROR(INDEX($AK$10:$AK$409,MATCH(B289,$AJ$10:$AJ$409,0)),""))</f>
        <v/>
      </c>
      <c r="E289" s="76" t="str">
        <f aca="false">IF(AND(ISNUMBER(C289),ISNUMBER(C288)),C289/C288-1,"")</f>
        <v/>
      </c>
      <c r="F289" s="76" t="str">
        <f aca="false">IF(AND(ISNUMBER(D289),ISNUMBER(D288)),D289/D288-1,"")</f>
        <v/>
      </c>
      <c r="G289" s="75" t="str">
        <f aca="false">IF(AND(ISNUMBER(E289),ISNUMBER(F289)),1,"")</f>
        <v/>
      </c>
      <c r="H289" s="75" t="str">
        <f aca="false">IF(G289=1,COUNT(G289:G$412),"")</f>
        <v/>
      </c>
      <c r="I289" s="75" t="str">
        <f aca="false">IF(G289=1,IF(H289&lt;='Beta Regresión'!$B$5,1,""),"")</f>
        <v/>
      </c>
      <c r="J289" s="76" t="str">
        <f aca="false">IF(I289=1,E289,"")</f>
        <v/>
      </c>
      <c r="K289" s="76" t="str">
        <f aca="false">IF(I289=1,F289,"")</f>
        <v/>
      </c>
      <c r="L289" s="75" t="str">
        <f aca="false">IF(I289=1,COUNT(I$13:I289),"")</f>
        <v/>
      </c>
      <c r="M289" s="76" t="str">
        <f aca="false">IFERROR(INDEX($J$13:$J$412,MATCH(A289,$L$13:$L$412,0)),"")</f>
        <v/>
      </c>
      <c r="N289" s="76" t="str">
        <f aca="false">IFERROR(INDEX($K$13:$K$412,MATCH(A289,$L$13:$L$412,0)),"")</f>
        <v/>
      </c>
      <c r="O289" s="76" t="e">
        <f aca="false">IF(I289=1,E289,NA())</f>
        <v>#N/A</v>
      </c>
      <c r="P289" s="76" t="e">
        <f aca="false">IF(I289=1,F289,NA())</f>
        <v>#N/A</v>
      </c>
      <c r="R289" s="75" t="n">
        <f aca="false">ROWS(R$13:R289)</f>
        <v>277</v>
      </c>
      <c r="S289" s="73" t="str">
        <f aca="false">IF(S288="","",IFERROR(SMALL($AD$10:$AD$509,COUNTIF($AD$10:$AD$509,"&lt;="&amp;S288)+1),""))</f>
        <v/>
      </c>
      <c r="T289" s="74" t="str">
        <f aca="false">IF(S289="","",INDEX($AE$10:$AE$509,MATCH(S289,$AD$10:$AD$509,0)))</f>
        <v/>
      </c>
      <c r="U289" s="74" t="str">
        <f aca="false">IF(S289="","",IFERROR(INDEX($AG$10:$AG$509,MATCH(S289,$AF$10:$AF$509,0)),""))</f>
        <v/>
      </c>
      <c r="V289" s="76" t="str">
        <f aca="false">IF(AND(ISNUMBER(T289),ISNUMBER(T288)),T289/T288-1,"")</f>
        <v/>
      </c>
      <c r="W289" s="76" t="str">
        <f aca="false">IF(AND(ISNUMBER(U289),ISNUMBER(U288)),U289/U288-1,"")</f>
        <v/>
      </c>
      <c r="X289" s="75" t="str">
        <f aca="false">IF(AND(ISNUMBER(V289),ISNUMBER(W289)),1,"")</f>
        <v/>
      </c>
      <c r="Y289" s="76" t="str">
        <f aca="false">IF(X289=1,V289,"")</f>
        <v/>
      </c>
      <c r="Z289" s="76" t="str">
        <f aca="false">IF(X289=1,W289,"")</f>
        <v/>
      </c>
      <c r="AA289" s="76" t="e">
        <f aca="false">IF(X289=1,V289,NA())</f>
        <v>#N/A</v>
      </c>
      <c r="AB289" s="76" t="e">
        <f aca="false">IF(X289=1,W289,NA())</f>
        <v>#N/A</v>
      </c>
      <c r="AD289" s="73" t="str">
        <f aca="false">IF(ISNUMBER(AE289),IF(ISNUMBER('Base de Datos'!A285),IF('Base de Datos'!A285&gt;20000,DATE(YEAR('Base de Datos'!A285),DAY('Base de Datos'!A285),MONTH('Base de Datos'!A285)),""),IF(TRIM('Base de Datos'!A285)="","",IFERROR(DATE(VALUE(RIGHT(TRIM('Base de Datos'!A285),4)),VALUE(LEFT(TRIM('Base de Datos'!A285),2)),VALUE(MID(TRIM('Base de Datos'!A285),4,2))),""))),"")</f>
        <v/>
      </c>
      <c r="AE289" s="74" t="str">
        <f aca="false">IF(ISNUMBER('Base de Datos'!B285),'Base de Datos'!B285,IF(TRIM('Base de Datos'!B285)="","",IFERROR(IF(IFERROR(FIND("@",SUBSTITUTE(TRIM('Base de Datos'!B285),",","@",LEN(TRIM('Base de Datos'!B285))-LEN(SUBSTITUTE(TRIM('Base de Datos'!B285),",","")))),0)&gt;IFERROR(FIND("@",SUBSTITUTE(TRIM('Base de Datos'!B285),".","@",LEN(TRIM('Base de Datos'!B285))-LEN(SUBSTITUTE(TRIM('Base de Datos'!B285),".","")))),0),_xlfn.NUMBERVALUE(SUBSTITUTE(SUBSTITUTE(TRIM('Base de Datos'!B285),".",""),",","."),".",","),_xlfn.NUMBERVALUE(SUBSTITUTE(TRIM('Base de Datos'!B285),",",""),".",",")),"")))</f>
        <v/>
      </c>
      <c r="AF289" s="73" t="str">
        <f aca="false">IF(ISNUMBER(AG289),IF(ISNUMBER('Base de Datos'!I285),IF('Base de Datos'!I285&gt;20000,INT('Base de Datos'!I285),""),IF(TRIM('Base de Datos'!I285)="","",IFERROR(DATE(VALUE(RIGHT(TRIM('Base de Datos'!I285),4)),VALUE(MID(TRIM('Base de Datos'!I285),4,2)),VALUE(LEFT(TRIM('Base de Datos'!I285),2))),IFERROR(DATEVALUE(TRIM('Base de Datos'!I285)),"")))),"")</f>
        <v/>
      </c>
      <c r="AG289" s="74" t="str">
        <f aca="false">IF(ISNUMBER('Base de Datos'!J285),'Base de Datos'!J285,IF(TRIM('Base de Datos'!J285)="","",IFERROR(IF(IFERROR(FIND("@",SUBSTITUTE(TRIM('Base de Datos'!J285),",","@",LEN(TRIM('Base de Datos'!J285))-LEN(SUBSTITUTE(TRIM('Base de Datos'!J285),",","")))),0)&gt;IFERROR(FIND("@",SUBSTITUTE(TRIM('Base de Datos'!J285),".","@",LEN(TRIM('Base de Datos'!J285))-LEN(SUBSTITUTE(TRIM('Base de Datos'!J285),".","")))),0),_xlfn.NUMBERVALUE(SUBSTITUTE(SUBSTITUTE(TRIM('Base de Datos'!J285),".",""),",","."),".",","),_xlfn.NUMBERVALUE(SUBSTITUTE(TRIM('Base de Datos'!J285),",",""),".",",")),"")))</f>
        <v/>
      </c>
      <c r="AH289" s="73" t="str">
        <f aca="false">IF(ISNUMBER(AI289),IF(ISNUMBER('Base de Datos'!Q285),IF('Base de Datos'!Q285&gt;20000,DATE(YEAR('Base de Datos'!Q285),DAY('Base de Datos'!Q285),MONTH('Base de Datos'!Q285)),""),IF(TRIM('Base de Datos'!Q285)="","",IFERROR(DATE(VALUE(RIGHT(TRIM('Base de Datos'!Q285),4)),VALUE(LEFT(TRIM('Base de Datos'!Q285),2)),VALUE(MID(TRIM('Base de Datos'!Q285),4,2))),""))),"")</f>
        <v/>
      </c>
      <c r="AI289" s="74" t="str">
        <f aca="false">IF(ISNUMBER('Base de Datos'!R285),'Base de Datos'!R285,IF(TRIM('Base de Datos'!R285)="","",IFERROR(IF(IFERROR(FIND("@",SUBSTITUTE(TRIM('Base de Datos'!R285),",","@",LEN(TRIM('Base de Datos'!R285))-LEN(SUBSTITUTE(TRIM('Base de Datos'!R285),",","")))),0)&gt;IFERROR(FIND("@",SUBSTITUTE(TRIM('Base de Datos'!R285),".","@",LEN(TRIM('Base de Datos'!R285))-LEN(SUBSTITUTE(TRIM('Base de Datos'!R285),".","")))),0),_xlfn.NUMBERVALUE(SUBSTITUTE(SUBSTITUTE(TRIM('Base de Datos'!R285),".",""),",","."),".",","),_xlfn.NUMBERVALUE(SUBSTITUTE(TRIM('Base de Datos'!R285),",",""),".",",")),"")))</f>
        <v/>
      </c>
      <c r="AJ289" s="73" t="str">
        <f aca="false">IF(ISNUMBER(AK289),IF(ISNUMBER('Base de Datos'!Y285),IF('Base de Datos'!Y285&gt;20000,INT('Base de Datos'!Y285),""),IF(TRIM('Base de Datos'!Y285)="","",IFERROR(DATE(VALUE(RIGHT(TRIM('Base de Datos'!Y285),4)),VALUE(MID(TRIM('Base de Datos'!Y285),4,2)),VALUE(LEFT(TRIM('Base de Datos'!Y285),2))),IFERROR(DATEVALUE(TRIM('Base de Datos'!Y285)),"")))),"")</f>
        <v/>
      </c>
      <c r="AK289" s="74" t="str">
        <f aca="false">IF(ISNUMBER('Base de Datos'!Z285),'Base de Datos'!Z285,IF(TRIM('Base de Datos'!Z285)="","",IFERROR(IF(IFERROR(FIND("@",SUBSTITUTE(TRIM('Base de Datos'!Z285),",","@",LEN(TRIM('Base de Datos'!Z285))-LEN(SUBSTITUTE(TRIM('Base de Datos'!Z285),",","")))),0)&gt;IFERROR(FIND("@",SUBSTITUTE(TRIM('Base de Datos'!Z285),".","@",LEN(TRIM('Base de Datos'!Z285))-LEN(SUBSTITUTE(TRIM('Base de Datos'!Z285),".","")))),0),_xlfn.NUMBERVALUE(SUBSTITUTE(SUBSTITUTE(TRIM('Base de Datos'!Z285),".",""),",","."),".",","),_xlfn.NUMBERVALUE(SUBSTITUTE(TRIM('Base de Datos'!Z285),",",""),".",",")),"")))</f>
        <v/>
      </c>
    </row>
    <row r="290" customFormat="false" ht="13.5" hidden="false" customHeight="false" outlineLevel="0" collapsed="false">
      <c r="A290" s="75" t="n">
        <f aca="false">ROWS(A$13:A290)</f>
        <v>278</v>
      </c>
      <c r="B290" s="73" t="str">
        <f aca="false">IF(B289="","",IFERROR(SMALL($AH$10:$AH$409,COUNTIF($AH$10:$AH$409,"&lt;="&amp;B289)+1),""))</f>
        <v/>
      </c>
      <c r="C290" s="74" t="str">
        <f aca="false">IF(B290="","",INDEX($AI$10:$AI$409,MATCH(B290,$AH$10:$AH$409,0)))</f>
        <v/>
      </c>
      <c r="D290" s="74" t="str">
        <f aca="false">IF(B290="","",IFERROR(INDEX($AK$10:$AK$409,MATCH(B290,$AJ$10:$AJ$409,0)),""))</f>
        <v/>
      </c>
      <c r="E290" s="76" t="str">
        <f aca="false">IF(AND(ISNUMBER(C290),ISNUMBER(C289)),C290/C289-1,"")</f>
        <v/>
      </c>
      <c r="F290" s="76" t="str">
        <f aca="false">IF(AND(ISNUMBER(D290),ISNUMBER(D289)),D290/D289-1,"")</f>
        <v/>
      </c>
      <c r="G290" s="75" t="str">
        <f aca="false">IF(AND(ISNUMBER(E290),ISNUMBER(F290)),1,"")</f>
        <v/>
      </c>
      <c r="H290" s="75" t="str">
        <f aca="false">IF(G290=1,COUNT(G290:G$412),"")</f>
        <v/>
      </c>
      <c r="I290" s="75" t="str">
        <f aca="false">IF(G290=1,IF(H290&lt;='Beta Regresión'!$B$5,1,""),"")</f>
        <v/>
      </c>
      <c r="J290" s="76" t="str">
        <f aca="false">IF(I290=1,E290,"")</f>
        <v/>
      </c>
      <c r="K290" s="76" t="str">
        <f aca="false">IF(I290=1,F290,"")</f>
        <v/>
      </c>
      <c r="L290" s="75" t="str">
        <f aca="false">IF(I290=1,COUNT(I$13:I290),"")</f>
        <v/>
      </c>
      <c r="M290" s="76" t="str">
        <f aca="false">IFERROR(INDEX($J$13:$J$412,MATCH(A290,$L$13:$L$412,0)),"")</f>
        <v/>
      </c>
      <c r="N290" s="76" t="str">
        <f aca="false">IFERROR(INDEX($K$13:$K$412,MATCH(A290,$L$13:$L$412,0)),"")</f>
        <v/>
      </c>
      <c r="O290" s="76" t="e">
        <f aca="false">IF(I290=1,E290,NA())</f>
        <v>#N/A</v>
      </c>
      <c r="P290" s="76" t="e">
        <f aca="false">IF(I290=1,F290,NA())</f>
        <v>#N/A</v>
      </c>
      <c r="R290" s="75" t="n">
        <f aca="false">ROWS(R$13:R290)</f>
        <v>278</v>
      </c>
      <c r="S290" s="73" t="str">
        <f aca="false">IF(S289="","",IFERROR(SMALL($AD$10:$AD$509,COUNTIF($AD$10:$AD$509,"&lt;="&amp;S289)+1),""))</f>
        <v/>
      </c>
      <c r="T290" s="74" t="str">
        <f aca="false">IF(S290="","",INDEX($AE$10:$AE$509,MATCH(S290,$AD$10:$AD$509,0)))</f>
        <v/>
      </c>
      <c r="U290" s="74" t="str">
        <f aca="false">IF(S290="","",IFERROR(INDEX($AG$10:$AG$509,MATCH(S290,$AF$10:$AF$509,0)),""))</f>
        <v/>
      </c>
      <c r="V290" s="76" t="str">
        <f aca="false">IF(AND(ISNUMBER(T290),ISNUMBER(T289)),T290/T289-1,"")</f>
        <v/>
      </c>
      <c r="W290" s="76" t="str">
        <f aca="false">IF(AND(ISNUMBER(U290),ISNUMBER(U289)),U290/U289-1,"")</f>
        <v/>
      </c>
      <c r="X290" s="75" t="str">
        <f aca="false">IF(AND(ISNUMBER(V290),ISNUMBER(W290)),1,"")</f>
        <v/>
      </c>
      <c r="Y290" s="76" t="str">
        <f aca="false">IF(X290=1,V290,"")</f>
        <v/>
      </c>
      <c r="Z290" s="76" t="str">
        <f aca="false">IF(X290=1,W290,"")</f>
        <v/>
      </c>
      <c r="AA290" s="76" t="e">
        <f aca="false">IF(X290=1,V290,NA())</f>
        <v>#N/A</v>
      </c>
      <c r="AB290" s="76" t="e">
        <f aca="false">IF(X290=1,W290,NA())</f>
        <v>#N/A</v>
      </c>
      <c r="AD290" s="73" t="str">
        <f aca="false">IF(ISNUMBER(AE290),IF(ISNUMBER('Base de Datos'!A286),IF('Base de Datos'!A286&gt;20000,DATE(YEAR('Base de Datos'!A286),DAY('Base de Datos'!A286),MONTH('Base de Datos'!A286)),""),IF(TRIM('Base de Datos'!A286)="","",IFERROR(DATE(VALUE(RIGHT(TRIM('Base de Datos'!A286),4)),VALUE(LEFT(TRIM('Base de Datos'!A286),2)),VALUE(MID(TRIM('Base de Datos'!A286),4,2))),""))),"")</f>
        <v/>
      </c>
      <c r="AE290" s="74" t="str">
        <f aca="false">IF(ISNUMBER('Base de Datos'!B286),'Base de Datos'!B286,IF(TRIM('Base de Datos'!B286)="","",IFERROR(IF(IFERROR(FIND("@",SUBSTITUTE(TRIM('Base de Datos'!B286),",","@",LEN(TRIM('Base de Datos'!B286))-LEN(SUBSTITUTE(TRIM('Base de Datos'!B286),",","")))),0)&gt;IFERROR(FIND("@",SUBSTITUTE(TRIM('Base de Datos'!B286),".","@",LEN(TRIM('Base de Datos'!B286))-LEN(SUBSTITUTE(TRIM('Base de Datos'!B286),".","")))),0),_xlfn.NUMBERVALUE(SUBSTITUTE(SUBSTITUTE(TRIM('Base de Datos'!B286),".",""),",","."),".",","),_xlfn.NUMBERVALUE(SUBSTITUTE(TRIM('Base de Datos'!B286),",",""),".",",")),"")))</f>
        <v/>
      </c>
      <c r="AF290" s="73" t="str">
        <f aca="false">IF(ISNUMBER(AG290),IF(ISNUMBER('Base de Datos'!I286),IF('Base de Datos'!I286&gt;20000,INT('Base de Datos'!I286),""),IF(TRIM('Base de Datos'!I286)="","",IFERROR(DATE(VALUE(RIGHT(TRIM('Base de Datos'!I286),4)),VALUE(MID(TRIM('Base de Datos'!I286),4,2)),VALUE(LEFT(TRIM('Base de Datos'!I286),2))),IFERROR(DATEVALUE(TRIM('Base de Datos'!I286)),"")))),"")</f>
        <v/>
      </c>
      <c r="AG290" s="74" t="str">
        <f aca="false">IF(ISNUMBER('Base de Datos'!J286),'Base de Datos'!J286,IF(TRIM('Base de Datos'!J286)="","",IFERROR(IF(IFERROR(FIND("@",SUBSTITUTE(TRIM('Base de Datos'!J286),",","@",LEN(TRIM('Base de Datos'!J286))-LEN(SUBSTITUTE(TRIM('Base de Datos'!J286),",","")))),0)&gt;IFERROR(FIND("@",SUBSTITUTE(TRIM('Base de Datos'!J286),".","@",LEN(TRIM('Base de Datos'!J286))-LEN(SUBSTITUTE(TRIM('Base de Datos'!J286),".","")))),0),_xlfn.NUMBERVALUE(SUBSTITUTE(SUBSTITUTE(TRIM('Base de Datos'!J286),".",""),",","."),".",","),_xlfn.NUMBERVALUE(SUBSTITUTE(TRIM('Base de Datos'!J286),",",""),".",",")),"")))</f>
        <v/>
      </c>
      <c r="AH290" s="73" t="str">
        <f aca="false">IF(ISNUMBER(AI290),IF(ISNUMBER('Base de Datos'!Q286),IF('Base de Datos'!Q286&gt;20000,DATE(YEAR('Base de Datos'!Q286),DAY('Base de Datos'!Q286),MONTH('Base de Datos'!Q286)),""),IF(TRIM('Base de Datos'!Q286)="","",IFERROR(DATE(VALUE(RIGHT(TRIM('Base de Datos'!Q286),4)),VALUE(LEFT(TRIM('Base de Datos'!Q286),2)),VALUE(MID(TRIM('Base de Datos'!Q286),4,2))),""))),"")</f>
        <v/>
      </c>
      <c r="AI290" s="74" t="str">
        <f aca="false">IF(ISNUMBER('Base de Datos'!R286),'Base de Datos'!R286,IF(TRIM('Base de Datos'!R286)="","",IFERROR(IF(IFERROR(FIND("@",SUBSTITUTE(TRIM('Base de Datos'!R286),",","@",LEN(TRIM('Base de Datos'!R286))-LEN(SUBSTITUTE(TRIM('Base de Datos'!R286),",","")))),0)&gt;IFERROR(FIND("@",SUBSTITUTE(TRIM('Base de Datos'!R286),".","@",LEN(TRIM('Base de Datos'!R286))-LEN(SUBSTITUTE(TRIM('Base de Datos'!R286),".","")))),0),_xlfn.NUMBERVALUE(SUBSTITUTE(SUBSTITUTE(TRIM('Base de Datos'!R286),".",""),",","."),".",","),_xlfn.NUMBERVALUE(SUBSTITUTE(TRIM('Base de Datos'!R286),",",""),".",",")),"")))</f>
        <v/>
      </c>
      <c r="AJ290" s="73" t="str">
        <f aca="false">IF(ISNUMBER(AK290),IF(ISNUMBER('Base de Datos'!Y286),IF('Base de Datos'!Y286&gt;20000,INT('Base de Datos'!Y286),""),IF(TRIM('Base de Datos'!Y286)="","",IFERROR(DATE(VALUE(RIGHT(TRIM('Base de Datos'!Y286),4)),VALUE(MID(TRIM('Base de Datos'!Y286),4,2)),VALUE(LEFT(TRIM('Base de Datos'!Y286),2))),IFERROR(DATEVALUE(TRIM('Base de Datos'!Y286)),"")))),"")</f>
        <v/>
      </c>
      <c r="AK290" s="74" t="str">
        <f aca="false">IF(ISNUMBER('Base de Datos'!Z286),'Base de Datos'!Z286,IF(TRIM('Base de Datos'!Z286)="","",IFERROR(IF(IFERROR(FIND("@",SUBSTITUTE(TRIM('Base de Datos'!Z286),",","@",LEN(TRIM('Base de Datos'!Z286))-LEN(SUBSTITUTE(TRIM('Base de Datos'!Z286),",","")))),0)&gt;IFERROR(FIND("@",SUBSTITUTE(TRIM('Base de Datos'!Z286),".","@",LEN(TRIM('Base de Datos'!Z286))-LEN(SUBSTITUTE(TRIM('Base de Datos'!Z286),".","")))),0),_xlfn.NUMBERVALUE(SUBSTITUTE(SUBSTITUTE(TRIM('Base de Datos'!Z286),".",""),",","."),".",","),_xlfn.NUMBERVALUE(SUBSTITUTE(TRIM('Base de Datos'!Z286),",",""),".",",")),"")))</f>
        <v/>
      </c>
    </row>
    <row r="291" customFormat="false" ht="13.5" hidden="false" customHeight="false" outlineLevel="0" collapsed="false">
      <c r="A291" s="75" t="n">
        <f aca="false">ROWS(A$13:A291)</f>
        <v>279</v>
      </c>
      <c r="B291" s="73" t="str">
        <f aca="false">IF(B290="","",IFERROR(SMALL($AH$10:$AH$409,COUNTIF($AH$10:$AH$409,"&lt;="&amp;B290)+1),""))</f>
        <v/>
      </c>
      <c r="C291" s="74" t="str">
        <f aca="false">IF(B291="","",INDEX($AI$10:$AI$409,MATCH(B291,$AH$10:$AH$409,0)))</f>
        <v/>
      </c>
      <c r="D291" s="74" t="str">
        <f aca="false">IF(B291="","",IFERROR(INDEX($AK$10:$AK$409,MATCH(B291,$AJ$10:$AJ$409,0)),""))</f>
        <v/>
      </c>
      <c r="E291" s="76" t="str">
        <f aca="false">IF(AND(ISNUMBER(C291),ISNUMBER(C290)),C291/C290-1,"")</f>
        <v/>
      </c>
      <c r="F291" s="76" t="str">
        <f aca="false">IF(AND(ISNUMBER(D291),ISNUMBER(D290)),D291/D290-1,"")</f>
        <v/>
      </c>
      <c r="G291" s="75" t="str">
        <f aca="false">IF(AND(ISNUMBER(E291),ISNUMBER(F291)),1,"")</f>
        <v/>
      </c>
      <c r="H291" s="75" t="str">
        <f aca="false">IF(G291=1,COUNT(G291:G$412),"")</f>
        <v/>
      </c>
      <c r="I291" s="75" t="str">
        <f aca="false">IF(G291=1,IF(H291&lt;='Beta Regresión'!$B$5,1,""),"")</f>
        <v/>
      </c>
      <c r="J291" s="76" t="str">
        <f aca="false">IF(I291=1,E291,"")</f>
        <v/>
      </c>
      <c r="K291" s="76" t="str">
        <f aca="false">IF(I291=1,F291,"")</f>
        <v/>
      </c>
      <c r="L291" s="75" t="str">
        <f aca="false">IF(I291=1,COUNT(I$13:I291),"")</f>
        <v/>
      </c>
      <c r="M291" s="76" t="str">
        <f aca="false">IFERROR(INDEX($J$13:$J$412,MATCH(A291,$L$13:$L$412,0)),"")</f>
        <v/>
      </c>
      <c r="N291" s="76" t="str">
        <f aca="false">IFERROR(INDEX($K$13:$K$412,MATCH(A291,$L$13:$L$412,0)),"")</f>
        <v/>
      </c>
      <c r="O291" s="76" t="e">
        <f aca="false">IF(I291=1,E291,NA())</f>
        <v>#N/A</v>
      </c>
      <c r="P291" s="76" t="e">
        <f aca="false">IF(I291=1,F291,NA())</f>
        <v>#N/A</v>
      </c>
      <c r="R291" s="75" t="n">
        <f aca="false">ROWS(R$13:R291)</f>
        <v>279</v>
      </c>
      <c r="S291" s="73" t="str">
        <f aca="false">IF(S290="","",IFERROR(SMALL($AD$10:$AD$509,COUNTIF($AD$10:$AD$509,"&lt;="&amp;S290)+1),""))</f>
        <v/>
      </c>
      <c r="T291" s="74" t="str">
        <f aca="false">IF(S291="","",INDEX($AE$10:$AE$509,MATCH(S291,$AD$10:$AD$509,0)))</f>
        <v/>
      </c>
      <c r="U291" s="74" t="str">
        <f aca="false">IF(S291="","",IFERROR(INDEX($AG$10:$AG$509,MATCH(S291,$AF$10:$AF$509,0)),""))</f>
        <v/>
      </c>
      <c r="V291" s="76" t="str">
        <f aca="false">IF(AND(ISNUMBER(T291),ISNUMBER(T290)),T291/T290-1,"")</f>
        <v/>
      </c>
      <c r="W291" s="76" t="str">
        <f aca="false">IF(AND(ISNUMBER(U291),ISNUMBER(U290)),U291/U290-1,"")</f>
        <v/>
      </c>
      <c r="X291" s="75" t="str">
        <f aca="false">IF(AND(ISNUMBER(V291),ISNUMBER(W291)),1,"")</f>
        <v/>
      </c>
      <c r="Y291" s="76" t="str">
        <f aca="false">IF(X291=1,V291,"")</f>
        <v/>
      </c>
      <c r="Z291" s="76" t="str">
        <f aca="false">IF(X291=1,W291,"")</f>
        <v/>
      </c>
      <c r="AA291" s="76" t="e">
        <f aca="false">IF(X291=1,V291,NA())</f>
        <v>#N/A</v>
      </c>
      <c r="AB291" s="76" t="e">
        <f aca="false">IF(X291=1,W291,NA())</f>
        <v>#N/A</v>
      </c>
      <c r="AD291" s="73" t="str">
        <f aca="false">IF(ISNUMBER(AE291),IF(ISNUMBER('Base de Datos'!A287),IF('Base de Datos'!A287&gt;20000,DATE(YEAR('Base de Datos'!A287),DAY('Base de Datos'!A287),MONTH('Base de Datos'!A287)),""),IF(TRIM('Base de Datos'!A287)="","",IFERROR(DATE(VALUE(RIGHT(TRIM('Base de Datos'!A287),4)),VALUE(LEFT(TRIM('Base de Datos'!A287),2)),VALUE(MID(TRIM('Base de Datos'!A287),4,2))),""))),"")</f>
        <v/>
      </c>
      <c r="AE291" s="74" t="str">
        <f aca="false">IF(ISNUMBER('Base de Datos'!B287),'Base de Datos'!B287,IF(TRIM('Base de Datos'!B287)="","",IFERROR(IF(IFERROR(FIND("@",SUBSTITUTE(TRIM('Base de Datos'!B287),",","@",LEN(TRIM('Base de Datos'!B287))-LEN(SUBSTITUTE(TRIM('Base de Datos'!B287),",","")))),0)&gt;IFERROR(FIND("@",SUBSTITUTE(TRIM('Base de Datos'!B287),".","@",LEN(TRIM('Base de Datos'!B287))-LEN(SUBSTITUTE(TRIM('Base de Datos'!B287),".","")))),0),_xlfn.NUMBERVALUE(SUBSTITUTE(SUBSTITUTE(TRIM('Base de Datos'!B287),".",""),",","."),".",","),_xlfn.NUMBERVALUE(SUBSTITUTE(TRIM('Base de Datos'!B287),",",""),".",",")),"")))</f>
        <v/>
      </c>
      <c r="AF291" s="73" t="str">
        <f aca="false">IF(ISNUMBER(AG291),IF(ISNUMBER('Base de Datos'!I287),IF('Base de Datos'!I287&gt;20000,INT('Base de Datos'!I287),""),IF(TRIM('Base de Datos'!I287)="","",IFERROR(DATE(VALUE(RIGHT(TRIM('Base de Datos'!I287),4)),VALUE(MID(TRIM('Base de Datos'!I287),4,2)),VALUE(LEFT(TRIM('Base de Datos'!I287),2))),IFERROR(DATEVALUE(TRIM('Base de Datos'!I287)),"")))),"")</f>
        <v/>
      </c>
      <c r="AG291" s="74" t="str">
        <f aca="false">IF(ISNUMBER('Base de Datos'!J287),'Base de Datos'!J287,IF(TRIM('Base de Datos'!J287)="","",IFERROR(IF(IFERROR(FIND("@",SUBSTITUTE(TRIM('Base de Datos'!J287),",","@",LEN(TRIM('Base de Datos'!J287))-LEN(SUBSTITUTE(TRIM('Base de Datos'!J287),",","")))),0)&gt;IFERROR(FIND("@",SUBSTITUTE(TRIM('Base de Datos'!J287),".","@",LEN(TRIM('Base de Datos'!J287))-LEN(SUBSTITUTE(TRIM('Base de Datos'!J287),".","")))),0),_xlfn.NUMBERVALUE(SUBSTITUTE(SUBSTITUTE(TRIM('Base de Datos'!J287),".",""),",","."),".",","),_xlfn.NUMBERVALUE(SUBSTITUTE(TRIM('Base de Datos'!J287),",",""),".",",")),"")))</f>
        <v/>
      </c>
      <c r="AH291" s="73" t="str">
        <f aca="false">IF(ISNUMBER(AI291),IF(ISNUMBER('Base de Datos'!Q287),IF('Base de Datos'!Q287&gt;20000,DATE(YEAR('Base de Datos'!Q287),DAY('Base de Datos'!Q287),MONTH('Base de Datos'!Q287)),""),IF(TRIM('Base de Datos'!Q287)="","",IFERROR(DATE(VALUE(RIGHT(TRIM('Base de Datos'!Q287),4)),VALUE(LEFT(TRIM('Base de Datos'!Q287),2)),VALUE(MID(TRIM('Base de Datos'!Q287),4,2))),""))),"")</f>
        <v/>
      </c>
      <c r="AI291" s="74" t="str">
        <f aca="false">IF(ISNUMBER('Base de Datos'!R287),'Base de Datos'!R287,IF(TRIM('Base de Datos'!R287)="","",IFERROR(IF(IFERROR(FIND("@",SUBSTITUTE(TRIM('Base de Datos'!R287),",","@",LEN(TRIM('Base de Datos'!R287))-LEN(SUBSTITUTE(TRIM('Base de Datos'!R287),",","")))),0)&gt;IFERROR(FIND("@",SUBSTITUTE(TRIM('Base de Datos'!R287),".","@",LEN(TRIM('Base de Datos'!R287))-LEN(SUBSTITUTE(TRIM('Base de Datos'!R287),".","")))),0),_xlfn.NUMBERVALUE(SUBSTITUTE(SUBSTITUTE(TRIM('Base de Datos'!R287),".",""),",","."),".",","),_xlfn.NUMBERVALUE(SUBSTITUTE(TRIM('Base de Datos'!R287),",",""),".",",")),"")))</f>
        <v/>
      </c>
      <c r="AJ291" s="73" t="str">
        <f aca="false">IF(ISNUMBER(AK291),IF(ISNUMBER('Base de Datos'!Y287),IF('Base de Datos'!Y287&gt;20000,INT('Base de Datos'!Y287),""),IF(TRIM('Base de Datos'!Y287)="","",IFERROR(DATE(VALUE(RIGHT(TRIM('Base de Datos'!Y287),4)),VALUE(MID(TRIM('Base de Datos'!Y287),4,2)),VALUE(LEFT(TRIM('Base de Datos'!Y287),2))),IFERROR(DATEVALUE(TRIM('Base de Datos'!Y287)),"")))),"")</f>
        <v/>
      </c>
      <c r="AK291" s="74" t="str">
        <f aca="false">IF(ISNUMBER('Base de Datos'!Z287),'Base de Datos'!Z287,IF(TRIM('Base de Datos'!Z287)="","",IFERROR(IF(IFERROR(FIND("@",SUBSTITUTE(TRIM('Base de Datos'!Z287),",","@",LEN(TRIM('Base de Datos'!Z287))-LEN(SUBSTITUTE(TRIM('Base de Datos'!Z287),",","")))),0)&gt;IFERROR(FIND("@",SUBSTITUTE(TRIM('Base de Datos'!Z287),".","@",LEN(TRIM('Base de Datos'!Z287))-LEN(SUBSTITUTE(TRIM('Base de Datos'!Z287),".","")))),0),_xlfn.NUMBERVALUE(SUBSTITUTE(SUBSTITUTE(TRIM('Base de Datos'!Z287),".",""),",","."),".",","),_xlfn.NUMBERVALUE(SUBSTITUTE(TRIM('Base de Datos'!Z287),",",""),".",",")),"")))</f>
        <v/>
      </c>
    </row>
    <row r="292" customFormat="false" ht="13.5" hidden="false" customHeight="false" outlineLevel="0" collapsed="false">
      <c r="A292" s="75" t="n">
        <f aca="false">ROWS(A$13:A292)</f>
        <v>280</v>
      </c>
      <c r="B292" s="73" t="str">
        <f aca="false">IF(B291="","",IFERROR(SMALL($AH$10:$AH$409,COUNTIF($AH$10:$AH$409,"&lt;="&amp;B291)+1),""))</f>
        <v/>
      </c>
      <c r="C292" s="74" t="str">
        <f aca="false">IF(B292="","",INDEX($AI$10:$AI$409,MATCH(B292,$AH$10:$AH$409,0)))</f>
        <v/>
      </c>
      <c r="D292" s="74" t="str">
        <f aca="false">IF(B292="","",IFERROR(INDEX($AK$10:$AK$409,MATCH(B292,$AJ$10:$AJ$409,0)),""))</f>
        <v/>
      </c>
      <c r="E292" s="76" t="str">
        <f aca="false">IF(AND(ISNUMBER(C292),ISNUMBER(C291)),C292/C291-1,"")</f>
        <v/>
      </c>
      <c r="F292" s="76" t="str">
        <f aca="false">IF(AND(ISNUMBER(D292),ISNUMBER(D291)),D292/D291-1,"")</f>
        <v/>
      </c>
      <c r="G292" s="75" t="str">
        <f aca="false">IF(AND(ISNUMBER(E292),ISNUMBER(F292)),1,"")</f>
        <v/>
      </c>
      <c r="H292" s="75" t="str">
        <f aca="false">IF(G292=1,COUNT(G292:G$412),"")</f>
        <v/>
      </c>
      <c r="I292" s="75" t="str">
        <f aca="false">IF(G292=1,IF(H292&lt;='Beta Regresión'!$B$5,1,""),"")</f>
        <v/>
      </c>
      <c r="J292" s="76" t="str">
        <f aca="false">IF(I292=1,E292,"")</f>
        <v/>
      </c>
      <c r="K292" s="76" t="str">
        <f aca="false">IF(I292=1,F292,"")</f>
        <v/>
      </c>
      <c r="L292" s="75" t="str">
        <f aca="false">IF(I292=1,COUNT(I$13:I292),"")</f>
        <v/>
      </c>
      <c r="M292" s="76" t="str">
        <f aca="false">IFERROR(INDEX($J$13:$J$412,MATCH(A292,$L$13:$L$412,0)),"")</f>
        <v/>
      </c>
      <c r="N292" s="76" t="str">
        <f aca="false">IFERROR(INDEX($K$13:$K$412,MATCH(A292,$L$13:$L$412,0)),"")</f>
        <v/>
      </c>
      <c r="O292" s="76" t="e">
        <f aca="false">IF(I292=1,E292,NA())</f>
        <v>#N/A</v>
      </c>
      <c r="P292" s="76" t="e">
        <f aca="false">IF(I292=1,F292,NA())</f>
        <v>#N/A</v>
      </c>
      <c r="R292" s="75" t="n">
        <f aca="false">ROWS(R$13:R292)</f>
        <v>280</v>
      </c>
      <c r="S292" s="73" t="str">
        <f aca="false">IF(S291="","",IFERROR(SMALL($AD$10:$AD$509,COUNTIF($AD$10:$AD$509,"&lt;="&amp;S291)+1),""))</f>
        <v/>
      </c>
      <c r="T292" s="74" t="str">
        <f aca="false">IF(S292="","",INDEX($AE$10:$AE$509,MATCH(S292,$AD$10:$AD$509,0)))</f>
        <v/>
      </c>
      <c r="U292" s="74" t="str">
        <f aca="false">IF(S292="","",IFERROR(INDEX($AG$10:$AG$509,MATCH(S292,$AF$10:$AF$509,0)),""))</f>
        <v/>
      </c>
      <c r="V292" s="76" t="str">
        <f aca="false">IF(AND(ISNUMBER(T292),ISNUMBER(T291)),T292/T291-1,"")</f>
        <v/>
      </c>
      <c r="W292" s="76" t="str">
        <f aca="false">IF(AND(ISNUMBER(U292),ISNUMBER(U291)),U292/U291-1,"")</f>
        <v/>
      </c>
      <c r="X292" s="75" t="str">
        <f aca="false">IF(AND(ISNUMBER(V292),ISNUMBER(W292)),1,"")</f>
        <v/>
      </c>
      <c r="Y292" s="76" t="str">
        <f aca="false">IF(X292=1,V292,"")</f>
        <v/>
      </c>
      <c r="Z292" s="76" t="str">
        <f aca="false">IF(X292=1,W292,"")</f>
        <v/>
      </c>
      <c r="AA292" s="76" t="e">
        <f aca="false">IF(X292=1,V292,NA())</f>
        <v>#N/A</v>
      </c>
      <c r="AB292" s="76" t="e">
        <f aca="false">IF(X292=1,W292,NA())</f>
        <v>#N/A</v>
      </c>
      <c r="AD292" s="73" t="str">
        <f aca="false">IF(ISNUMBER(AE292),IF(ISNUMBER('Base de Datos'!A288),IF('Base de Datos'!A288&gt;20000,DATE(YEAR('Base de Datos'!A288),DAY('Base de Datos'!A288),MONTH('Base de Datos'!A288)),""),IF(TRIM('Base de Datos'!A288)="","",IFERROR(DATE(VALUE(RIGHT(TRIM('Base de Datos'!A288),4)),VALUE(LEFT(TRIM('Base de Datos'!A288),2)),VALUE(MID(TRIM('Base de Datos'!A288),4,2))),""))),"")</f>
        <v/>
      </c>
      <c r="AE292" s="74" t="str">
        <f aca="false">IF(ISNUMBER('Base de Datos'!B288),'Base de Datos'!B288,IF(TRIM('Base de Datos'!B288)="","",IFERROR(IF(IFERROR(FIND("@",SUBSTITUTE(TRIM('Base de Datos'!B288),",","@",LEN(TRIM('Base de Datos'!B288))-LEN(SUBSTITUTE(TRIM('Base de Datos'!B288),",","")))),0)&gt;IFERROR(FIND("@",SUBSTITUTE(TRIM('Base de Datos'!B288),".","@",LEN(TRIM('Base de Datos'!B288))-LEN(SUBSTITUTE(TRIM('Base de Datos'!B288),".","")))),0),_xlfn.NUMBERVALUE(SUBSTITUTE(SUBSTITUTE(TRIM('Base de Datos'!B288),".",""),",","."),".",","),_xlfn.NUMBERVALUE(SUBSTITUTE(TRIM('Base de Datos'!B288),",",""),".",",")),"")))</f>
        <v/>
      </c>
      <c r="AF292" s="73" t="str">
        <f aca="false">IF(ISNUMBER(AG292),IF(ISNUMBER('Base de Datos'!I288),IF('Base de Datos'!I288&gt;20000,INT('Base de Datos'!I288),""),IF(TRIM('Base de Datos'!I288)="","",IFERROR(DATE(VALUE(RIGHT(TRIM('Base de Datos'!I288),4)),VALUE(MID(TRIM('Base de Datos'!I288),4,2)),VALUE(LEFT(TRIM('Base de Datos'!I288),2))),IFERROR(DATEVALUE(TRIM('Base de Datos'!I288)),"")))),"")</f>
        <v/>
      </c>
      <c r="AG292" s="74" t="str">
        <f aca="false">IF(ISNUMBER('Base de Datos'!J288),'Base de Datos'!J288,IF(TRIM('Base de Datos'!J288)="","",IFERROR(IF(IFERROR(FIND("@",SUBSTITUTE(TRIM('Base de Datos'!J288),",","@",LEN(TRIM('Base de Datos'!J288))-LEN(SUBSTITUTE(TRIM('Base de Datos'!J288),",","")))),0)&gt;IFERROR(FIND("@",SUBSTITUTE(TRIM('Base de Datos'!J288),".","@",LEN(TRIM('Base de Datos'!J288))-LEN(SUBSTITUTE(TRIM('Base de Datos'!J288),".","")))),0),_xlfn.NUMBERVALUE(SUBSTITUTE(SUBSTITUTE(TRIM('Base de Datos'!J288),".",""),",","."),".",","),_xlfn.NUMBERVALUE(SUBSTITUTE(TRIM('Base de Datos'!J288),",",""),".",",")),"")))</f>
        <v/>
      </c>
      <c r="AH292" s="73" t="str">
        <f aca="false">IF(ISNUMBER(AI292),IF(ISNUMBER('Base de Datos'!Q288),IF('Base de Datos'!Q288&gt;20000,DATE(YEAR('Base de Datos'!Q288),DAY('Base de Datos'!Q288),MONTH('Base de Datos'!Q288)),""),IF(TRIM('Base de Datos'!Q288)="","",IFERROR(DATE(VALUE(RIGHT(TRIM('Base de Datos'!Q288),4)),VALUE(LEFT(TRIM('Base de Datos'!Q288),2)),VALUE(MID(TRIM('Base de Datos'!Q288),4,2))),""))),"")</f>
        <v/>
      </c>
      <c r="AI292" s="74" t="str">
        <f aca="false">IF(ISNUMBER('Base de Datos'!R288),'Base de Datos'!R288,IF(TRIM('Base de Datos'!R288)="","",IFERROR(IF(IFERROR(FIND("@",SUBSTITUTE(TRIM('Base de Datos'!R288),",","@",LEN(TRIM('Base de Datos'!R288))-LEN(SUBSTITUTE(TRIM('Base de Datos'!R288),",","")))),0)&gt;IFERROR(FIND("@",SUBSTITUTE(TRIM('Base de Datos'!R288),".","@",LEN(TRIM('Base de Datos'!R288))-LEN(SUBSTITUTE(TRIM('Base de Datos'!R288),".","")))),0),_xlfn.NUMBERVALUE(SUBSTITUTE(SUBSTITUTE(TRIM('Base de Datos'!R288),".",""),",","."),".",","),_xlfn.NUMBERVALUE(SUBSTITUTE(TRIM('Base de Datos'!R288),",",""),".",",")),"")))</f>
        <v/>
      </c>
      <c r="AJ292" s="73" t="str">
        <f aca="false">IF(ISNUMBER(AK292),IF(ISNUMBER('Base de Datos'!Y288),IF('Base de Datos'!Y288&gt;20000,INT('Base de Datos'!Y288),""),IF(TRIM('Base de Datos'!Y288)="","",IFERROR(DATE(VALUE(RIGHT(TRIM('Base de Datos'!Y288),4)),VALUE(MID(TRIM('Base de Datos'!Y288),4,2)),VALUE(LEFT(TRIM('Base de Datos'!Y288),2))),IFERROR(DATEVALUE(TRIM('Base de Datos'!Y288)),"")))),"")</f>
        <v/>
      </c>
      <c r="AK292" s="74" t="str">
        <f aca="false">IF(ISNUMBER('Base de Datos'!Z288),'Base de Datos'!Z288,IF(TRIM('Base de Datos'!Z288)="","",IFERROR(IF(IFERROR(FIND("@",SUBSTITUTE(TRIM('Base de Datos'!Z288),",","@",LEN(TRIM('Base de Datos'!Z288))-LEN(SUBSTITUTE(TRIM('Base de Datos'!Z288),",","")))),0)&gt;IFERROR(FIND("@",SUBSTITUTE(TRIM('Base de Datos'!Z288),".","@",LEN(TRIM('Base de Datos'!Z288))-LEN(SUBSTITUTE(TRIM('Base de Datos'!Z288),".","")))),0),_xlfn.NUMBERVALUE(SUBSTITUTE(SUBSTITUTE(TRIM('Base de Datos'!Z288),".",""),",","."),".",","),_xlfn.NUMBERVALUE(SUBSTITUTE(TRIM('Base de Datos'!Z288),",",""),".",",")),"")))</f>
        <v/>
      </c>
    </row>
    <row r="293" customFormat="false" ht="13.5" hidden="false" customHeight="false" outlineLevel="0" collapsed="false">
      <c r="A293" s="75" t="n">
        <f aca="false">ROWS(A$13:A293)</f>
        <v>281</v>
      </c>
      <c r="B293" s="73" t="str">
        <f aca="false">IF(B292="","",IFERROR(SMALL($AH$10:$AH$409,COUNTIF($AH$10:$AH$409,"&lt;="&amp;B292)+1),""))</f>
        <v/>
      </c>
      <c r="C293" s="74" t="str">
        <f aca="false">IF(B293="","",INDEX($AI$10:$AI$409,MATCH(B293,$AH$10:$AH$409,0)))</f>
        <v/>
      </c>
      <c r="D293" s="74" t="str">
        <f aca="false">IF(B293="","",IFERROR(INDEX($AK$10:$AK$409,MATCH(B293,$AJ$10:$AJ$409,0)),""))</f>
        <v/>
      </c>
      <c r="E293" s="76" t="str">
        <f aca="false">IF(AND(ISNUMBER(C293),ISNUMBER(C292)),C293/C292-1,"")</f>
        <v/>
      </c>
      <c r="F293" s="76" t="str">
        <f aca="false">IF(AND(ISNUMBER(D293),ISNUMBER(D292)),D293/D292-1,"")</f>
        <v/>
      </c>
      <c r="G293" s="75" t="str">
        <f aca="false">IF(AND(ISNUMBER(E293),ISNUMBER(F293)),1,"")</f>
        <v/>
      </c>
      <c r="H293" s="75" t="str">
        <f aca="false">IF(G293=1,COUNT(G293:G$412),"")</f>
        <v/>
      </c>
      <c r="I293" s="75" t="str">
        <f aca="false">IF(G293=1,IF(H293&lt;='Beta Regresión'!$B$5,1,""),"")</f>
        <v/>
      </c>
      <c r="J293" s="76" t="str">
        <f aca="false">IF(I293=1,E293,"")</f>
        <v/>
      </c>
      <c r="K293" s="76" t="str">
        <f aca="false">IF(I293=1,F293,"")</f>
        <v/>
      </c>
      <c r="L293" s="75" t="str">
        <f aca="false">IF(I293=1,COUNT(I$13:I293),"")</f>
        <v/>
      </c>
      <c r="M293" s="76" t="str">
        <f aca="false">IFERROR(INDEX($J$13:$J$412,MATCH(A293,$L$13:$L$412,0)),"")</f>
        <v/>
      </c>
      <c r="N293" s="76" t="str">
        <f aca="false">IFERROR(INDEX($K$13:$K$412,MATCH(A293,$L$13:$L$412,0)),"")</f>
        <v/>
      </c>
      <c r="O293" s="76" t="e">
        <f aca="false">IF(I293=1,E293,NA())</f>
        <v>#N/A</v>
      </c>
      <c r="P293" s="76" t="e">
        <f aca="false">IF(I293=1,F293,NA())</f>
        <v>#N/A</v>
      </c>
      <c r="R293" s="75" t="n">
        <f aca="false">ROWS(R$13:R293)</f>
        <v>281</v>
      </c>
      <c r="S293" s="73" t="str">
        <f aca="false">IF(S292="","",IFERROR(SMALL($AD$10:$AD$509,COUNTIF($AD$10:$AD$509,"&lt;="&amp;S292)+1),""))</f>
        <v/>
      </c>
      <c r="T293" s="74" t="str">
        <f aca="false">IF(S293="","",INDEX($AE$10:$AE$509,MATCH(S293,$AD$10:$AD$509,0)))</f>
        <v/>
      </c>
      <c r="U293" s="74" t="str">
        <f aca="false">IF(S293="","",IFERROR(INDEX($AG$10:$AG$509,MATCH(S293,$AF$10:$AF$509,0)),""))</f>
        <v/>
      </c>
      <c r="V293" s="76" t="str">
        <f aca="false">IF(AND(ISNUMBER(T293),ISNUMBER(T292)),T293/T292-1,"")</f>
        <v/>
      </c>
      <c r="W293" s="76" t="str">
        <f aca="false">IF(AND(ISNUMBER(U293),ISNUMBER(U292)),U293/U292-1,"")</f>
        <v/>
      </c>
      <c r="X293" s="75" t="str">
        <f aca="false">IF(AND(ISNUMBER(V293),ISNUMBER(W293)),1,"")</f>
        <v/>
      </c>
      <c r="Y293" s="76" t="str">
        <f aca="false">IF(X293=1,V293,"")</f>
        <v/>
      </c>
      <c r="Z293" s="76" t="str">
        <f aca="false">IF(X293=1,W293,"")</f>
        <v/>
      </c>
      <c r="AA293" s="76" t="e">
        <f aca="false">IF(X293=1,V293,NA())</f>
        <v>#N/A</v>
      </c>
      <c r="AB293" s="76" t="e">
        <f aca="false">IF(X293=1,W293,NA())</f>
        <v>#N/A</v>
      </c>
      <c r="AD293" s="73" t="str">
        <f aca="false">IF(ISNUMBER(AE293),IF(ISNUMBER('Base de Datos'!A289),IF('Base de Datos'!A289&gt;20000,DATE(YEAR('Base de Datos'!A289),DAY('Base de Datos'!A289),MONTH('Base de Datos'!A289)),""),IF(TRIM('Base de Datos'!A289)="","",IFERROR(DATE(VALUE(RIGHT(TRIM('Base de Datos'!A289),4)),VALUE(LEFT(TRIM('Base de Datos'!A289),2)),VALUE(MID(TRIM('Base de Datos'!A289),4,2))),""))),"")</f>
        <v/>
      </c>
      <c r="AE293" s="74" t="str">
        <f aca="false">IF(ISNUMBER('Base de Datos'!B289),'Base de Datos'!B289,IF(TRIM('Base de Datos'!B289)="","",IFERROR(IF(IFERROR(FIND("@",SUBSTITUTE(TRIM('Base de Datos'!B289),",","@",LEN(TRIM('Base de Datos'!B289))-LEN(SUBSTITUTE(TRIM('Base de Datos'!B289),",","")))),0)&gt;IFERROR(FIND("@",SUBSTITUTE(TRIM('Base de Datos'!B289),".","@",LEN(TRIM('Base de Datos'!B289))-LEN(SUBSTITUTE(TRIM('Base de Datos'!B289),".","")))),0),_xlfn.NUMBERVALUE(SUBSTITUTE(SUBSTITUTE(TRIM('Base de Datos'!B289),".",""),",","."),".",","),_xlfn.NUMBERVALUE(SUBSTITUTE(TRIM('Base de Datos'!B289),",",""),".",",")),"")))</f>
        <v/>
      </c>
      <c r="AF293" s="73" t="str">
        <f aca="false">IF(ISNUMBER(AG293),IF(ISNUMBER('Base de Datos'!I289),IF('Base de Datos'!I289&gt;20000,INT('Base de Datos'!I289),""),IF(TRIM('Base de Datos'!I289)="","",IFERROR(DATE(VALUE(RIGHT(TRIM('Base de Datos'!I289),4)),VALUE(MID(TRIM('Base de Datos'!I289),4,2)),VALUE(LEFT(TRIM('Base de Datos'!I289),2))),IFERROR(DATEVALUE(TRIM('Base de Datos'!I289)),"")))),"")</f>
        <v/>
      </c>
      <c r="AG293" s="74" t="str">
        <f aca="false">IF(ISNUMBER('Base de Datos'!J289),'Base de Datos'!J289,IF(TRIM('Base de Datos'!J289)="","",IFERROR(IF(IFERROR(FIND("@",SUBSTITUTE(TRIM('Base de Datos'!J289),",","@",LEN(TRIM('Base de Datos'!J289))-LEN(SUBSTITUTE(TRIM('Base de Datos'!J289),",","")))),0)&gt;IFERROR(FIND("@",SUBSTITUTE(TRIM('Base de Datos'!J289),".","@",LEN(TRIM('Base de Datos'!J289))-LEN(SUBSTITUTE(TRIM('Base de Datos'!J289),".","")))),0),_xlfn.NUMBERVALUE(SUBSTITUTE(SUBSTITUTE(TRIM('Base de Datos'!J289),".",""),",","."),".",","),_xlfn.NUMBERVALUE(SUBSTITUTE(TRIM('Base de Datos'!J289),",",""),".",",")),"")))</f>
        <v/>
      </c>
      <c r="AH293" s="73" t="str">
        <f aca="false">IF(ISNUMBER(AI293),IF(ISNUMBER('Base de Datos'!Q289),IF('Base de Datos'!Q289&gt;20000,DATE(YEAR('Base de Datos'!Q289),DAY('Base de Datos'!Q289),MONTH('Base de Datos'!Q289)),""),IF(TRIM('Base de Datos'!Q289)="","",IFERROR(DATE(VALUE(RIGHT(TRIM('Base de Datos'!Q289),4)),VALUE(LEFT(TRIM('Base de Datos'!Q289),2)),VALUE(MID(TRIM('Base de Datos'!Q289),4,2))),""))),"")</f>
        <v/>
      </c>
      <c r="AI293" s="74" t="str">
        <f aca="false">IF(ISNUMBER('Base de Datos'!R289),'Base de Datos'!R289,IF(TRIM('Base de Datos'!R289)="","",IFERROR(IF(IFERROR(FIND("@",SUBSTITUTE(TRIM('Base de Datos'!R289),",","@",LEN(TRIM('Base de Datos'!R289))-LEN(SUBSTITUTE(TRIM('Base de Datos'!R289),",","")))),0)&gt;IFERROR(FIND("@",SUBSTITUTE(TRIM('Base de Datos'!R289),".","@",LEN(TRIM('Base de Datos'!R289))-LEN(SUBSTITUTE(TRIM('Base de Datos'!R289),".","")))),0),_xlfn.NUMBERVALUE(SUBSTITUTE(SUBSTITUTE(TRIM('Base de Datos'!R289),".",""),",","."),".",","),_xlfn.NUMBERVALUE(SUBSTITUTE(TRIM('Base de Datos'!R289),",",""),".",",")),"")))</f>
        <v/>
      </c>
      <c r="AJ293" s="73" t="str">
        <f aca="false">IF(ISNUMBER(AK293),IF(ISNUMBER('Base de Datos'!Y289),IF('Base de Datos'!Y289&gt;20000,INT('Base de Datos'!Y289),""),IF(TRIM('Base de Datos'!Y289)="","",IFERROR(DATE(VALUE(RIGHT(TRIM('Base de Datos'!Y289),4)),VALUE(MID(TRIM('Base de Datos'!Y289),4,2)),VALUE(LEFT(TRIM('Base de Datos'!Y289),2))),IFERROR(DATEVALUE(TRIM('Base de Datos'!Y289)),"")))),"")</f>
        <v/>
      </c>
      <c r="AK293" s="74" t="str">
        <f aca="false">IF(ISNUMBER('Base de Datos'!Z289),'Base de Datos'!Z289,IF(TRIM('Base de Datos'!Z289)="","",IFERROR(IF(IFERROR(FIND("@",SUBSTITUTE(TRIM('Base de Datos'!Z289),",","@",LEN(TRIM('Base de Datos'!Z289))-LEN(SUBSTITUTE(TRIM('Base de Datos'!Z289),",","")))),0)&gt;IFERROR(FIND("@",SUBSTITUTE(TRIM('Base de Datos'!Z289),".","@",LEN(TRIM('Base de Datos'!Z289))-LEN(SUBSTITUTE(TRIM('Base de Datos'!Z289),".","")))),0),_xlfn.NUMBERVALUE(SUBSTITUTE(SUBSTITUTE(TRIM('Base de Datos'!Z289),".",""),",","."),".",","),_xlfn.NUMBERVALUE(SUBSTITUTE(TRIM('Base de Datos'!Z289),",",""),".",",")),"")))</f>
        <v/>
      </c>
    </row>
    <row r="294" customFormat="false" ht="13.5" hidden="false" customHeight="false" outlineLevel="0" collapsed="false">
      <c r="A294" s="75" t="n">
        <f aca="false">ROWS(A$13:A294)</f>
        <v>282</v>
      </c>
      <c r="B294" s="73" t="str">
        <f aca="false">IF(B293="","",IFERROR(SMALL($AH$10:$AH$409,COUNTIF($AH$10:$AH$409,"&lt;="&amp;B293)+1),""))</f>
        <v/>
      </c>
      <c r="C294" s="74" t="str">
        <f aca="false">IF(B294="","",INDEX($AI$10:$AI$409,MATCH(B294,$AH$10:$AH$409,0)))</f>
        <v/>
      </c>
      <c r="D294" s="74" t="str">
        <f aca="false">IF(B294="","",IFERROR(INDEX($AK$10:$AK$409,MATCH(B294,$AJ$10:$AJ$409,0)),""))</f>
        <v/>
      </c>
      <c r="E294" s="76" t="str">
        <f aca="false">IF(AND(ISNUMBER(C294),ISNUMBER(C293)),C294/C293-1,"")</f>
        <v/>
      </c>
      <c r="F294" s="76" t="str">
        <f aca="false">IF(AND(ISNUMBER(D294),ISNUMBER(D293)),D294/D293-1,"")</f>
        <v/>
      </c>
      <c r="G294" s="75" t="str">
        <f aca="false">IF(AND(ISNUMBER(E294),ISNUMBER(F294)),1,"")</f>
        <v/>
      </c>
      <c r="H294" s="75" t="str">
        <f aca="false">IF(G294=1,COUNT(G294:G$412),"")</f>
        <v/>
      </c>
      <c r="I294" s="75" t="str">
        <f aca="false">IF(G294=1,IF(H294&lt;='Beta Regresión'!$B$5,1,""),"")</f>
        <v/>
      </c>
      <c r="J294" s="76" t="str">
        <f aca="false">IF(I294=1,E294,"")</f>
        <v/>
      </c>
      <c r="K294" s="76" t="str">
        <f aca="false">IF(I294=1,F294,"")</f>
        <v/>
      </c>
      <c r="L294" s="75" t="str">
        <f aca="false">IF(I294=1,COUNT(I$13:I294),"")</f>
        <v/>
      </c>
      <c r="M294" s="76" t="str">
        <f aca="false">IFERROR(INDEX($J$13:$J$412,MATCH(A294,$L$13:$L$412,0)),"")</f>
        <v/>
      </c>
      <c r="N294" s="76" t="str">
        <f aca="false">IFERROR(INDEX($K$13:$K$412,MATCH(A294,$L$13:$L$412,0)),"")</f>
        <v/>
      </c>
      <c r="O294" s="76" t="e">
        <f aca="false">IF(I294=1,E294,NA())</f>
        <v>#N/A</v>
      </c>
      <c r="P294" s="76" t="e">
        <f aca="false">IF(I294=1,F294,NA())</f>
        <v>#N/A</v>
      </c>
      <c r="R294" s="75" t="n">
        <f aca="false">ROWS(R$13:R294)</f>
        <v>282</v>
      </c>
      <c r="S294" s="73" t="str">
        <f aca="false">IF(S293="","",IFERROR(SMALL($AD$10:$AD$509,COUNTIF($AD$10:$AD$509,"&lt;="&amp;S293)+1),""))</f>
        <v/>
      </c>
      <c r="T294" s="74" t="str">
        <f aca="false">IF(S294="","",INDEX($AE$10:$AE$509,MATCH(S294,$AD$10:$AD$509,0)))</f>
        <v/>
      </c>
      <c r="U294" s="74" t="str">
        <f aca="false">IF(S294="","",IFERROR(INDEX($AG$10:$AG$509,MATCH(S294,$AF$10:$AF$509,0)),""))</f>
        <v/>
      </c>
      <c r="V294" s="76" t="str">
        <f aca="false">IF(AND(ISNUMBER(T294),ISNUMBER(T293)),T294/T293-1,"")</f>
        <v/>
      </c>
      <c r="W294" s="76" t="str">
        <f aca="false">IF(AND(ISNUMBER(U294),ISNUMBER(U293)),U294/U293-1,"")</f>
        <v/>
      </c>
      <c r="X294" s="75" t="str">
        <f aca="false">IF(AND(ISNUMBER(V294),ISNUMBER(W294)),1,"")</f>
        <v/>
      </c>
      <c r="Y294" s="76" t="str">
        <f aca="false">IF(X294=1,V294,"")</f>
        <v/>
      </c>
      <c r="Z294" s="76" t="str">
        <f aca="false">IF(X294=1,W294,"")</f>
        <v/>
      </c>
      <c r="AA294" s="76" t="e">
        <f aca="false">IF(X294=1,V294,NA())</f>
        <v>#N/A</v>
      </c>
      <c r="AB294" s="76" t="e">
        <f aca="false">IF(X294=1,W294,NA())</f>
        <v>#N/A</v>
      </c>
      <c r="AD294" s="73" t="str">
        <f aca="false">IF(ISNUMBER(AE294),IF(ISNUMBER('Base de Datos'!A290),IF('Base de Datos'!A290&gt;20000,DATE(YEAR('Base de Datos'!A290),DAY('Base de Datos'!A290),MONTH('Base de Datos'!A290)),""),IF(TRIM('Base de Datos'!A290)="","",IFERROR(DATE(VALUE(RIGHT(TRIM('Base de Datos'!A290),4)),VALUE(LEFT(TRIM('Base de Datos'!A290),2)),VALUE(MID(TRIM('Base de Datos'!A290),4,2))),""))),"")</f>
        <v/>
      </c>
      <c r="AE294" s="74" t="str">
        <f aca="false">IF(ISNUMBER('Base de Datos'!B290),'Base de Datos'!B290,IF(TRIM('Base de Datos'!B290)="","",IFERROR(IF(IFERROR(FIND("@",SUBSTITUTE(TRIM('Base de Datos'!B290),",","@",LEN(TRIM('Base de Datos'!B290))-LEN(SUBSTITUTE(TRIM('Base de Datos'!B290),",","")))),0)&gt;IFERROR(FIND("@",SUBSTITUTE(TRIM('Base de Datos'!B290),".","@",LEN(TRIM('Base de Datos'!B290))-LEN(SUBSTITUTE(TRIM('Base de Datos'!B290),".","")))),0),_xlfn.NUMBERVALUE(SUBSTITUTE(SUBSTITUTE(TRIM('Base de Datos'!B290),".",""),",","."),".",","),_xlfn.NUMBERVALUE(SUBSTITUTE(TRIM('Base de Datos'!B290),",",""),".",",")),"")))</f>
        <v/>
      </c>
      <c r="AF294" s="73" t="str">
        <f aca="false">IF(ISNUMBER(AG294),IF(ISNUMBER('Base de Datos'!I290),IF('Base de Datos'!I290&gt;20000,INT('Base de Datos'!I290),""),IF(TRIM('Base de Datos'!I290)="","",IFERROR(DATE(VALUE(RIGHT(TRIM('Base de Datos'!I290),4)),VALUE(MID(TRIM('Base de Datos'!I290),4,2)),VALUE(LEFT(TRIM('Base de Datos'!I290),2))),IFERROR(DATEVALUE(TRIM('Base de Datos'!I290)),"")))),"")</f>
        <v/>
      </c>
      <c r="AG294" s="74" t="str">
        <f aca="false">IF(ISNUMBER('Base de Datos'!J290),'Base de Datos'!J290,IF(TRIM('Base de Datos'!J290)="","",IFERROR(IF(IFERROR(FIND("@",SUBSTITUTE(TRIM('Base de Datos'!J290),",","@",LEN(TRIM('Base de Datos'!J290))-LEN(SUBSTITUTE(TRIM('Base de Datos'!J290),",","")))),0)&gt;IFERROR(FIND("@",SUBSTITUTE(TRIM('Base de Datos'!J290),".","@",LEN(TRIM('Base de Datos'!J290))-LEN(SUBSTITUTE(TRIM('Base de Datos'!J290),".","")))),0),_xlfn.NUMBERVALUE(SUBSTITUTE(SUBSTITUTE(TRIM('Base de Datos'!J290),".",""),",","."),".",","),_xlfn.NUMBERVALUE(SUBSTITUTE(TRIM('Base de Datos'!J290),",",""),".",",")),"")))</f>
        <v/>
      </c>
      <c r="AH294" s="73" t="str">
        <f aca="false">IF(ISNUMBER(AI294),IF(ISNUMBER('Base de Datos'!Q290),IF('Base de Datos'!Q290&gt;20000,DATE(YEAR('Base de Datos'!Q290),DAY('Base de Datos'!Q290),MONTH('Base de Datos'!Q290)),""),IF(TRIM('Base de Datos'!Q290)="","",IFERROR(DATE(VALUE(RIGHT(TRIM('Base de Datos'!Q290),4)),VALUE(LEFT(TRIM('Base de Datos'!Q290),2)),VALUE(MID(TRIM('Base de Datos'!Q290),4,2))),""))),"")</f>
        <v/>
      </c>
      <c r="AI294" s="74" t="str">
        <f aca="false">IF(ISNUMBER('Base de Datos'!R290),'Base de Datos'!R290,IF(TRIM('Base de Datos'!R290)="","",IFERROR(IF(IFERROR(FIND("@",SUBSTITUTE(TRIM('Base de Datos'!R290),",","@",LEN(TRIM('Base de Datos'!R290))-LEN(SUBSTITUTE(TRIM('Base de Datos'!R290),",","")))),0)&gt;IFERROR(FIND("@",SUBSTITUTE(TRIM('Base de Datos'!R290),".","@",LEN(TRIM('Base de Datos'!R290))-LEN(SUBSTITUTE(TRIM('Base de Datos'!R290),".","")))),0),_xlfn.NUMBERVALUE(SUBSTITUTE(SUBSTITUTE(TRIM('Base de Datos'!R290),".",""),",","."),".",","),_xlfn.NUMBERVALUE(SUBSTITUTE(TRIM('Base de Datos'!R290),",",""),".",",")),"")))</f>
        <v/>
      </c>
      <c r="AJ294" s="73" t="str">
        <f aca="false">IF(ISNUMBER(AK294),IF(ISNUMBER('Base de Datos'!Y290),IF('Base de Datos'!Y290&gt;20000,INT('Base de Datos'!Y290),""),IF(TRIM('Base de Datos'!Y290)="","",IFERROR(DATE(VALUE(RIGHT(TRIM('Base de Datos'!Y290),4)),VALUE(MID(TRIM('Base de Datos'!Y290),4,2)),VALUE(LEFT(TRIM('Base de Datos'!Y290),2))),IFERROR(DATEVALUE(TRIM('Base de Datos'!Y290)),"")))),"")</f>
        <v/>
      </c>
      <c r="AK294" s="74" t="str">
        <f aca="false">IF(ISNUMBER('Base de Datos'!Z290),'Base de Datos'!Z290,IF(TRIM('Base de Datos'!Z290)="","",IFERROR(IF(IFERROR(FIND("@",SUBSTITUTE(TRIM('Base de Datos'!Z290),",","@",LEN(TRIM('Base de Datos'!Z290))-LEN(SUBSTITUTE(TRIM('Base de Datos'!Z290),",","")))),0)&gt;IFERROR(FIND("@",SUBSTITUTE(TRIM('Base de Datos'!Z290),".","@",LEN(TRIM('Base de Datos'!Z290))-LEN(SUBSTITUTE(TRIM('Base de Datos'!Z290),".","")))),0),_xlfn.NUMBERVALUE(SUBSTITUTE(SUBSTITUTE(TRIM('Base de Datos'!Z290),".",""),",","."),".",","),_xlfn.NUMBERVALUE(SUBSTITUTE(TRIM('Base de Datos'!Z290),",",""),".",",")),"")))</f>
        <v/>
      </c>
    </row>
    <row r="295" customFormat="false" ht="13.5" hidden="false" customHeight="false" outlineLevel="0" collapsed="false">
      <c r="A295" s="75" t="n">
        <f aca="false">ROWS(A$13:A295)</f>
        <v>283</v>
      </c>
      <c r="B295" s="73" t="str">
        <f aca="false">IF(B294="","",IFERROR(SMALL($AH$10:$AH$409,COUNTIF($AH$10:$AH$409,"&lt;="&amp;B294)+1),""))</f>
        <v/>
      </c>
      <c r="C295" s="74" t="str">
        <f aca="false">IF(B295="","",INDEX($AI$10:$AI$409,MATCH(B295,$AH$10:$AH$409,0)))</f>
        <v/>
      </c>
      <c r="D295" s="74" t="str">
        <f aca="false">IF(B295="","",IFERROR(INDEX($AK$10:$AK$409,MATCH(B295,$AJ$10:$AJ$409,0)),""))</f>
        <v/>
      </c>
      <c r="E295" s="76" t="str">
        <f aca="false">IF(AND(ISNUMBER(C295),ISNUMBER(C294)),C295/C294-1,"")</f>
        <v/>
      </c>
      <c r="F295" s="76" t="str">
        <f aca="false">IF(AND(ISNUMBER(D295),ISNUMBER(D294)),D295/D294-1,"")</f>
        <v/>
      </c>
      <c r="G295" s="75" t="str">
        <f aca="false">IF(AND(ISNUMBER(E295),ISNUMBER(F295)),1,"")</f>
        <v/>
      </c>
      <c r="H295" s="75" t="str">
        <f aca="false">IF(G295=1,COUNT(G295:G$412),"")</f>
        <v/>
      </c>
      <c r="I295" s="75" t="str">
        <f aca="false">IF(G295=1,IF(H295&lt;='Beta Regresión'!$B$5,1,""),"")</f>
        <v/>
      </c>
      <c r="J295" s="76" t="str">
        <f aca="false">IF(I295=1,E295,"")</f>
        <v/>
      </c>
      <c r="K295" s="76" t="str">
        <f aca="false">IF(I295=1,F295,"")</f>
        <v/>
      </c>
      <c r="L295" s="75" t="str">
        <f aca="false">IF(I295=1,COUNT(I$13:I295),"")</f>
        <v/>
      </c>
      <c r="M295" s="76" t="str">
        <f aca="false">IFERROR(INDEX($J$13:$J$412,MATCH(A295,$L$13:$L$412,0)),"")</f>
        <v/>
      </c>
      <c r="N295" s="76" t="str">
        <f aca="false">IFERROR(INDEX($K$13:$K$412,MATCH(A295,$L$13:$L$412,0)),"")</f>
        <v/>
      </c>
      <c r="O295" s="76" t="e">
        <f aca="false">IF(I295=1,E295,NA())</f>
        <v>#N/A</v>
      </c>
      <c r="P295" s="76" t="e">
        <f aca="false">IF(I295=1,F295,NA())</f>
        <v>#N/A</v>
      </c>
      <c r="R295" s="75" t="n">
        <f aca="false">ROWS(R$13:R295)</f>
        <v>283</v>
      </c>
      <c r="S295" s="73" t="str">
        <f aca="false">IF(S294="","",IFERROR(SMALL($AD$10:$AD$509,COUNTIF($AD$10:$AD$509,"&lt;="&amp;S294)+1),""))</f>
        <v/>
      </c>
      <c r="T295" s="74" t="str">
        <f aca="false">IF(S295="","",INDEX($AE$10:$AE$509,MATCH(S295,$AD$10:$AD$509,0)))</f>
        <v/>
      </c>
      <c r="U295" s="74" t="str">
        <f aca="false">IF(S295="","",IFERROR(INDEX($AG$10:$AG$509,MATCH(S295,$AF$10:$AF$509,0)),""))</f>
        <v/>
      </c>
      <c r="V295" s="76" t="str">
        <f aca="false">IF(AND(ISNUMBER(T295),ISNUMBER(T294)),T295/T294-1,"")</f>
        <v/>
      </c>
      <c r="W295" s="76" t="str">
        <f aca="false">IF(AND(ISNUMBER(U295),ISNUMBER(U294)),U295/U294-1,"")</f>
        <v/>
      </c>
      <c r="X295" s="75" t="str">
        <f aca="false">IF(AND(ISNUMBER(V295),ISNUMBER(W295)),1,"")</f>
        <v/>
      </c>
      <c r="Y295" s="76" t="str">
        <f aca="false">IF(X295=1,V295,"")</f>
        <v/>
      </c>
      <c r="Z295" s="76" t="str">
        <f aca="false">IF(X295=1,W295,"")</f>
        <v/>
      </c>
      <c r="AA295" s="76" t="e">
        <f aca="false">IF(X295=1,V295,NA())</f>
        <v>#N/A</v>
      </c>
      <c r="AB295" s="76" t="e">
        <f aca="false">IF(X295=1,W295,NA())</f>
        <v>#N/A</v>
      </c>
      <c r="AD295" s="73" t="str">
        <f aca="false">IF(ISNUMBER(AE295),IF(ISNUMBER('Base de Datos'!A291),IF('Base de Datos'!A291&gt;20000,DATE(YEAR('Base de Datos'!A291),DAY('Base de Datos'!A291),MONTH('Base de Datos'!A291)),""),IF(TRIM('Base de Datos'!A291)="","",IFERROR(DATE(VALUE(RIGHT(TRIM('Base de Datos'!A291),4)),VALUE(LEFT(TRIM('Base de Datos'!A291),2)),VALUE(MID(TRIM('Base de Datos'!A291),4,2))),""))),"")</f>
        <v/>
      </c>
      <c r="AE295" s="74" t="str">
        <f aca="false">IF(ISNUMBER('Base de Datos'!B291),'Base de Datos'!B291,IF(TRIM('Base de Datos'!B291)="","",IFERROR(IF(IFERROR(FIND("@",SUBSTITUTE(TRIM('Base de Datos'!B291),",","@",LEN(TRIM('Base de Datos'!B291))-LEN(SUBSTITUTE(TRIM('Base de Datos'!B291),",","")))),0)&gt;IFERROR(FIND("@",SUBSTITUTE(TRIM('Base de Datos'!B291),".","@",LEN(TRIM('Base de Datos'!B291))-LEN(SUBSTITUTE(TRIM('Base de Datos'!B291),".","")))),0),_xlfn.NUMBERVALUE(SUBSTITUTE(SUBSTITUTE(TRIM('Base de Datos'!B291),".",""),",","."),".",","),_xlfn.NUMBERVALUE(SUBSTITUTE(TRIM('Base de Datos'!B291),",",""),".",",")),"")))</f>
        <v/>
      </c>
      <c r="AF295" s="73" t="str">
        <f aca="false">IF(ISNUMBER(AG295),IF(ISNUMBER('Base de Datos'!I291),IF('Base de Datos'!I291&gt;20000,INT('Base de Datos'!I291),""),IF(TRIM('Base de Datos'!I291)="","",IFERROR(DATE(VALUE(RIGHT(TRIM('Base de Datos'!I291),4)),VALUE(MID(TRIM('Base de Datos'!I291),4,2)),VALUE(LEFT(TRIM('Base de Datos'!I291),2))),IFERROR(DATEVALUE(TRIM('Base de Datos'!I291)),"")))),"")</f>
        <v/>
      </c>
      <c r="AG295" s="74" t="str">
        <f aca="false">IF(ISNUMBER('Base de Datos'!J291),'Base de Datos'!J291,IF(TRIM('Base de Datos'!J291)="","",IFERROR(IF(IFERROR(FIND("@",SUBSTITUTE(TRIM('Base de Datos'!J291),",","@",LEN(TRIM('Base de Datos'!J291))-LEN(SUBSTITUTE(TRIM('Base de Datos'!J291),",","")))),0)&gt;IFERROR(FIND("@",SUBSTITUTE(TRIM('Base de Datos'!J291),".","@",LEN(TRIM('Base de Datos'!J291))-LEN(SUBSTITUTE(TRIM('Base de Datos'!J291),".","")))),0),_xlfn.NUMBERVALUE(SUBSTITUTE(SUBSTITUTE(TRIM('Base de Datos'!J291),".",""),",","."),".",","),_xlfn.NUMBERVALUE(SUBSTITUTE(TRIM('Base de Datos'!J291),",",""),".",",")),"")))</f>
        <v/>
      </c>
      <c r="AH295" s="73" t="str">
        <f aca="false">IF(ISNUMBER(AI295),IF(ISNUMBER('Base de Datos'!Q291),IF('Base de Datos'!Q291&gt;20000,DATE(YEAR('Base de Datos'!Q291),DAY('Base de Datos'!Q291),MONTH('Base de Datos'!Q291)),""),IF(TRIM('Base de Datos'!Q291)="","",IFERROR(DATE(VALUE(RIGHT(TRIM('Base de Datos'!Q291),4)),VALUE(LEFT(TRIM('Base de Datos'!Q291),2)),VALUE(MID(TRIM('Base de Datos'!Q291),4,2))),""))),"")</f>
        <v/>
      </c>
      <c r="AI295" s="74" t="str">
        <f aca="false">IF(ISNUMBER('Base de Datos'!R291),'Base de Datos'!R291,IF(TRIM('Base de Datos'!R291)="","",IFERROR(IF(IFERROR(FIND("@",SUBSTITUTE(TRIM('Base de Datos'!R291),",","@",LEN(TRIM('Base de Datos'!R291))-LEN(SUBSTITUTE(TRIM('Base de Datos'!R291),",","")))),0)&gt;IFERROR(FIND("@",SUBSTITUTE(TRIM('Base de Datos'!R291),".","@",LEN(TRIM('Base de Datos'!R291))-LEN(SUBSTITUTE(TRIM('Base de Datos'!R291),".","")))),0),_xlfn.NUMBERVALUE(SUBSTITUTE(SUBSTITUTE(TRIM('Base de Datos'!R291),".",""),",","."),".",","),_xlfn.NUMBERVALUE(SUBSTITUTE(TRIM('Base de Datos'!R291),",",""),".",",")),"")))</f>
        <v/>
      </c>
      <c r="AJ295" s="73" t="str">
        <f aca="false">IF(ISNUMBER(AK295),IF(ISNUMBER('Base de Datos'!Y291),IF('Base de Datos'!Y291&gt;20000,INT('Base de Datos'!Y291),""),IF(TRIM('Base de Datos'!Y291)="","",IFERROR(DATE(VALUE(RIGHT(TRIM('Base de Datos'!Y291),4)),VALUE(MID(TRIM('Base de Datos'!Y291),4,2)),VALUE(LEFT(TRIM('Base de Datos'!Y291),2))),IFERROR(DATEVALUE(TRIM('Base de Datos'!Y291)),"")))),"")</f>
        <v/>
      </c>
      <c r="AK295" s="74" t="str">
        <f aca="false">IF(ISNUMBER('Base de Datos'!Z291),'Base de Datos'!Z291,IF(TRIM('Base de Datos'!Z291)="","",IFERROR(IF(IFERROR(FIND("@",SUBSTITUTE(TRIM('Base de Datos'!Z291),",","@",LEN(TRIM('Base de Datos'!Z291))-LEN(SUBSTITUTE(TRIM('Base de Datos'!Z291),",","")))),0)&gt;IFERROR(FIND("@",SUBSTITUTE(TRIM('Base de Datos'!Z291),".","@",LEN(TRIM('Base de Datos'!Z291))-LEN(SUBSTITUTE(TRIM('Base de Datos'!Z291),".","")))),0),_xlfn.NUMBERVALUE(SUBSTITUTE(SUBSTITUTE(TRIM('Base de Datos'!Z291),".",""),",","."),".",","),_xlfn.NUMBERVALUE(SUBSTITUTE(TRIM('Base de Datos'!Z291),",",""),".",",")),"")))</f>
        <v/>
      </c>
    </row>
    <row r="296" customFormat="false" ht="13.5" hidden="false" customHeight="false" outlineLevel="0" collapsed="false">
      <c r="A296" s="75" t="n">
        <f aca="false">ROWS(A$13:A296)</f>
        <v>284</v>
      </c>
      <c r="B296" s="73" t="str">
        <f aca="false">IF(B295="","",IFERROR(SMALL($AH$10:$AH$409,COUNTIF($AH$10:$AH$409,"&lt;="&amp;B295)+1),""))</f>
        <v/>
      </c>
      <c r="C296" s="74" t="str">
        <f aca="false">IF(B296="","",INDEX($AI$10:$AI$409,MATCH(B296,$AH$10:$AH$409,0)))</f>
        <v/>
      </c>
      <c r="D296" s="74" t="str">
        <f aca="false">IF(B296="","",IFERROR(INDEX($AK$10:$AK$409,MATCH(B296,$AJ$10:$AJ$409,0)),""))</f>
        <v/>
      </c>
      <c r="E296" s="76" t="str">
        <f aca="false">IF(AND(ISNUMBER(C296),ISNUMBER(C295)),C296/C295-1,"")</f>
        <v/>
      </c>
      <c r="F296" s="76" t="str">
        <f aca="false">IF(AND(ISNUMBER(D296),ISNUMBER(D295)),D296/D295-1,"")</f>
        <v/>
      </c>
      <c r="G296" s="75" t="str">
        <f aca="false">IF(AND(ISNUMBER(E296),ISNUMBER(F296)),1,"")</f>
        <v/>
      </c>
      <c r="H296" s="75" t="str">
        <f aca="false">IF(G296=1,COUNT(G296:G$412),"")</f>
        <v/>
      </c>
      <c r="I296" s="75" t="str">
        <f aca="false">IF(G296=1,IF(H296&lt;='Beta Regresión'!$B$5,1,""),"")</f>
        <v/>
      </c>
      <c r="J296" s="76" t="str">
        <f aca="false">IF(I296=1,E296,"")</f>
        <v/>
      </c>
      <c r="K296" s="76" t="str">
        <f aca="false">IF(I296=1,F296,"")</f>
        <v/>
      </c>
      <c r="L296" s="75" t="str">
        <f aca="false">IF(I296=1,COUNT(I$13:I296),"")</f>
        <v/>
      </c>
      <c r="M296" s="76" t="str">
        <f aca="false">IFERROR(INDEX($J$13:$J$412,MATCH(A296,$L$13:$L$412,0)),"")</f>
        <v/>
      </c>
      <c r="N296" s="76" t="str">
        <f aca="false">IFERROR(INDEX($K$13:$K$412,MATCH(A296,$L$13:$L$412,0)),"")</f>
        <v/>
      </c>
      <c r="O296" s="76" t="e">
        <f aca="false">IF(I296=1,E296,NA())</f>
        <v>#N/A</v>
      </c>
      <c r="P296" s="76" t="e">
        <f aca="false">IF(I296=1,F296,NA())</f>
        <v>#N/A</v>
      </c>
      <c r="R296" s="75" t="n">
        <f aca="false">ROWS(R$13:R296)</f>
        <v>284</v>
      </c>
      <c r="S296" s="73" t="str">
        <f aca="false">IF(S295="","",IFERROR(SMALL($AD$10:$AD$509,COUNTIF($AD$10:$AD$509,"&lt;="&amp;S295)+1),""))</f>
        <v/>
      </c>
      <c r="T296" s="74" t="str">
        <f aca="false">IF(S296="","",INDEX($AE$10:$AE$509,MATCH(S296,$AD$10:$AD$509,0)))</f>
        <v/>
      </c>
      <c r="U296" s="74" t="str">
        <f aca="false">IF(S296="","",IFERROR(INDEX($AG$10:$AG$509,MATCH(S296,$AF$10:$AF$509,0)),""))</f>
        <v/>
      </c>
      <c r="V296" s="76" t="str">
        <f aca="false">IF(AND(ISNUMBER(T296),ISNUMBER(T295)),T296/T295-1,"")</f>
        <v/>
      </c>
      <c r="W296" s="76" t="str">
        <f aca="false">IF(AND(ISNUMBER(U296),ISNUMBER(U295)),U296/U295-1,"")</f>
        <v/>
      </c>
      <c r="X296" s="75" t="str">
        <f aca="false">IF(AND(ISNUMBER(V296),ISNUMBER(W296)),1,"")</f>
        <v/>
      </c>
      <c r="Y296" s="76" t="str">
        <f aca="false">IF(X296=1,V296,"")</f>
        <v/>
      </c>
      <c r="Z296" s="76" t="str">
        <f aca="false">IF(X296=1,W296,"")</f>
        <v/>
      </c>
      <c r="AA296" s="76" t="e">
        <f aca="false">IF(X296=1,V296,NA())</f>
        <v>#N/A</v>
      </c>
      <c r="AB296" s="76" t="e">
        <f aca="false">IF(X296=1,W296,NA())</f>
        <v>#N/A</v>
      </c>
      <c r="AD296" s="73" t="str">
        <f aca="false">IF(ISNUMBER(AE296),IF(ISNUMBER('Base de Datos'!A292),IF('Base de Datos'!A292&gt;20000,DATE(YEAR('Base de Datos'!A292),DAY('Base de Datos'!A292),MONTH('Base de Datos'!A292)),""),IF(TRIM('Base de Datos'!A292)="","",IFERROR(DATE(VALUE(RIGHT(TRIM('Base de Datos'!A292),4)),VALUE(LEFT(TRIM('Base de Datos'!A292),2)),VALUE(MID(TRIM('Base de Datos'!A292),4,2))),""))),"")</f>
        <v/>
      </c>
      <c r="AE296" s="74" t="str">
        <f aca="false">IF(ISNUMBER('Base de Datos'!B292),'Base de Datos'!B292,IF(TRIM('Base de Datos'!B292)="","",IFERROR(IF(IFERROR(FIND("@",SUBSTITUTE(TRIM('Base de Datos'!B292),",","@",LEN(TRIM('Base de Datos'!B292))-LEN(SUBSTITUTE(TRIM('Base de Datos'!B292),",","")))),0)&gt;IFERROR(FIND("@",SUBSTITUTE(TRIM('Base de Datos'!B292),".","@",LEN(TRIM('Base de Datos'!B292))-LEN(SUBSTITUTE(TRIM('Base de Datos'!B292),".","")))),0),_xlfn.NUMBERVALUE(SUBSTITUTE(SUBSTITUTE(TRIM('Base de Datos'!B292),".",""),",","."),".",","),_xlfn.NUMBERVALUE(SUBSTITUTE(TRIM('Base de Datos'!B292),",",""),".",",")),"")))</f>
        <v/>
      </c>
      <c r="AF296" s="73" t="str">
        <f aca="false">IF(ISNUMBER(AG296),IF(ISNUMBER('Base de Datos'!I292),IF('Base de Datos'!I292&gt;20000,INT('Base de Datos'!I292),""),IF(TRIM('Base de Datos'!I292)="","",IFERROR(DATE(VALUE(RIGHT(TRIM('Base de Datos'!I292),4)),VALUE(MID(TRIM('Base de Datos'!I292),4,2)),VALUE(LEFT(TRIM('Base de Datos'!I292),2))),IFERROR(DATEVALUE(TRIM('Base de Datos'!I292)),"")))),"")</f>
        <v/>
      </c>
      <c r="AG296" s="74" t="str">
        <f aca="false">IF(ISNUMBER('Base de Datos'!J292),'Base de Datos'!J292,IF(TRIM('Base de Datos'!J292)="","",IFERROR(IF(IFERROR(FIND("@",SUBSTITUTE(TRIM('Base de Datos'!J292),",","@",LEN(TRIM('Base de Datos'!J292))-LEN(SUBSTITUTE(TRIM('Base de Datos'!J292),",","")))),0)&gt;IFERROR(FIND("@",SUBSTITUTE(TRIM('Base de Datos'!J292),".","@",LEN(TRIM('Base de Datos'!J292))-LEN(SUBSTITUTE(TRIM('Base de Datos'!J292),".","")))),0),_xlfn.NUMBERVALUE(SUBSTITUTE(SUBSTITUTE(TRIM('Base de Datos'!J292),".",""),",","."),".",","),_xlfn.NUMBERVALUE(SUBSTITUTE(TRIM('Base de Datos'!J292),",",""),".",",")),"")))</f>
        <v/>
      </c>
      <c r="AH296" s="73" t="str">
        <f aca="false">IF(ISNUMBER(AI296),IF(ISNUMBER('Base de Datos'!Q292),IF('Base de Datos'!Q292&gt;20000,DATE(YEAR('Base de Datos'!Q292),DAY('Base de Datos'!Q292),MONTH('Base de Datos'!Q292)),""),IF(TRIM('Base de Datos'!Q292)="","",IFERROR(DATE(VALUE(RIGHT(TRIM('Base de Datos'!Q292),4)),VALUE(LEFT(TRIM('Base de Datos'!Q292),2)),VALUE(MID(TRIM('Base de Datos'!Q292),4,2))),""))),"")</f>
        <v/>
      </c>
      <c r="AI296" s="74" t="str">
        <f aca="false">IF(ISNUMBER('Base de Datos'!R292),'Base de Datos'!R292,IF(TRIM('Base de Datos'!R292)="","",IFERROR(IF(IFERROR(FIND("@",SUBSTITUTE(TRIM('Base de Datos'!R292),",","@",LEN(TRIM('Base de Datos'!R292))-LEN(SUBSTITUTE(TRIM('Base de Datos'!R292),",","")))),0)&gt;IFERROR(FIND("@",SUBSTITUTE(TRIM('Base de Datos'!R292),".","@",LEN(TRIM('Base de Datos'!R292))-LEN(SUBSTITUTE(TRIM('Base de Datos'!R292),".","")))),0),_xlfn.NUMBERVALUE(SUBSTITUTE(SUBSTITUTE(TRIM('Base de Datos'!R292),".",""),",","."),".",","),_xlfn.NUMBERVALUE(SUBSTITUTE(TRIM('Base de Datos'!R292),",",""),".",",")),"")))</f>
        <v/>
      </c>
      <c r="AJ296" s="73" t="str">
        <f aca="false">IF(ISNUMBER(AK296),IF(ISNUMBER('Base de Datos'!Y292),IF('Base de Datos'!Y292&gt;20000,INT('Base de Datos'!Y292),""),IF(TRIM('Base de Datos'!Y292)="","",IFERROR(DATE(VALUE(RIGHT(TRIM('Base de Datos'!Y292),4)),VALUE(MID(TRIM('Base de Datos'!Y292),4,2)),VALUE(LEFT(TRIM('Base de Datos'!Y292),2))),IFERROR(DATEVALUE(TRIM('Base de Datos'!Y292)),"")))),"")</f>
        <v/>
      </c>
      <c r="AK296" s="74" t="str">
        <f aca="false">IF(ISNUMBER('Base de Datos'!Z292),'Base de Datos'!Z292,IF(TRIM('Base de Datos'!Z292)="","",IFERROR(IF(IFERROR(FIND("@",SUBSTITUTE(TRIM('Base de Datos'!Z292),",","@",LEN(TRIM('Base de Datos'!Z292))-LEN(SUBSTITUTE(TRIM('Base de Datos'!Z292),",","")))),0)&gt;IFERROR(FIND("@",SUBSTITUTE(TRIM('Base de Datos'!Z292),".","@",LEN(TRIM('Base de Datos'!Z292))-LEN(SUBSTITUTE(TRIM('Base de Datos'!Z292),".","")))),0),_xlfn.NUMBERVALUE(SUBSTITUTE(SUBSTITUTE(TRIM('Base de Datos'!Z292),".",""),",","."),".",","),_xlfn.NUMBERVALUE(SUBSTITUTE(TRIM('Base de Datos'!Z292),",",""),".",",")),"")))</f>
        <v/>
      </c>
    </row>
    <row r="297" customFormat="false" ht="13.5" hidden="false" customHeight="false" outlineLevel="0" collapsed="false">
      <c r="A297" s="75" t="n">
        <f aca="false">ROWS(A$13:A297)</f>
        <v>285</v>
      </c>
      <c r="B297" s="73" t="str">
        <f aca="false">IF(B296="","",IFERROR(SMALL($AH$10:$AH$409,COUNTIF($AH$10:$AH$409,"&lt;="&amp;B296)+1),""))</f>
        <v/>
      </c>
      <c r="C297" s="74" t="str">
        <f aca="false">IF(B297="","",INDEX($AI$10:$AI$409,MATCH(B297,$AH$10:$AH$409,0)))</f>
        <v/>
      </c>
      <c r="D297" s="74" t="str">
        <f aca="false">IF(B297="","",IFERROR(INDEX($AK$10:$AK$409,MATCH(B297,$AJ$10:$AJ$409,0)),""))</f>
        <v/>
      </c>
      <c r="E297" s="76" t="str">
        <f aca="false">IF(AND(ISNUMBER(C297),ISNUMBER(C296)),C297/C296-1,"")</f>
        <v/>
      </c>
      <c r="F297" s="76" t="str">
        <f aca="false">IF(AND(ISNUMBER(D297),ISNUMBER(D296)),D297/D296-1,"")</f>
        <v/>
      </c>
      <c r="G297" s="75" t="str">
        <f aca="false">IF(AND(ISNUMBER(E297),ISNUMBER(F297)),1,"")</f>
        <v/>
      </c>
      <c r="H297" s="75" t="str">
        <f aca="false">IF(G297=1,COUNT(G297:G$412),"")</f>
        <v/>
      </c>
      <c r="I297" s="75" t="str">
        <f aca="false">IF(G297=1,IF(H297&lt;='Beta Regresión'!$B$5,1,""),"")</f>
        <v/>
      </c>
      <c r="J297" s="76" t="str">
        <f aca="false">IF(I297=1,E297,"")</f>
        <v/>
      </c>
      <c r="K297" s="76" t="str">
        <f aca="false">IF(I297=1,F297,"")</f>
        <v/>
      </c>
      <c r="L297" s="75" t="str">
        <f aca="false">IF(I297=1,COUNT(I$13:I297),"")</f>
        <v/>
      </c>
      <c r="M297" s="76" t="str">
        <f aca="false">IFERROR(INDEX($J$13:$J$412,MATCH(A297,$L$13:$L$412,0)),"")</f>
        <v/>
      </c>
      <c r="N297" s="76" t="str">
        <f aca="false">IFERROR(INDEX($K$13:$K$412,MATCH(A297,$L$13:$L$412,0)),"")</f>
        <v/>
      </c>
      <c r="O297" s="76" t="e">
        <f aca="false">IF(I297=1,E297,NA())</f>
        <v>#N/A</v>
      </c>
      <c r="P297" s="76" t="e">
        <f aca="false">IF(I297=1,F297,NA())</f>
        <v>#N/A</v>
      </c>
      <c r="R297" s="75" t="n">
        <f aca="false">ROWS(R$13:R297)</f>
        <v>285</v>
      </c>
      <c r="S297" s="73" t="str">
        <f aca="false">IF(S296="","",IFERROR(SMALL($AD$10:$AD$509,COUNTIF($AD$10:$AD$509,"&lt;="&amp;S296)+1),""))</f>
        <v/>
      </c>
      <c r="T297" s="74" t="str">
        <f aca="false">IF(S297="","",INDEX($AE$10:$AE$509,MATCH(S297,$AD$10:$AD$509,0)))</f>
        <v/>
      </c>
      <c r="U297" s="74" t="str">
        <f aca="false">IF(S297="","",IFERROR(INDEX($AG$10:$AG$509,MATCH(S297,$AF$10:$AF$509,0)),""))</f>
        <v/>
      </c>
      <c r="V297" s="76" t="str">
        <f aca="false">IF(AND(ISNUMBER(T297),ISNUMBER(T296)),T297/T296-1,"")</f>
        <v/>
      </c>
      <c r="W297" s="76" t="str">
        <f aca="false">IF(AND(ISNUMBER(U297),ISNUMBER(U296)),U297/U296-1,"")</f>
        <v/>
      </c>
      <c r="X297" s="75" t="str">
        <f aca="false">IF(AND(ISNUMBER(V297),ISNUMBER(W297)),1,"")</f>
        <v/>
      </c>
      <c r="Y297" s="76" t="str">
        <f aca="false">IF(X297=1,V297,"")</f>
        <v/>
      </c>
      <c r="Z297" s="76" t="str">
        <f aca="false">IF(X297=1,W297,"")</f>
        <v/>
      </c>
      <c r="AA297" s="76" t="e">
        <f aca="false">IF(X297=1,V297,NA())</f>
        <v>#N/A</v>
      </c>
      <c r="AB297" s="76" t="e">
        <f aca="false">IF(X297=1,W297,NA())</f>
        <v>#N/A</v>
      </c>
      <c r="AD297" s="73" t="str">
        <f aca="false">IF(ISNUMBER(AE297),IF(ISNUMBER('Base de Datos'!A293),IF('Base de Datos'!A293&gt;20000,DATE(YEAR('Base de Datos'!A293),DAY('Base de Datos'!A293),MONTH('Base de Datos'!A293)),""),IF(TRIM('Base de Datos'!A293)="","",IFERROR(DATE(VALUE(RIGHT(TRIM('Base de Datos'!A293),4)),VALUE(LEFT(TRIM('Base de Datos'!A293),2)),VALUE(MID(TRIM('Base de Datos'!A293),4,2))),""))),"")</f>
        <v/>
      </c>
      <c r="AE297" s="74" t="str">
        <f aca="false">IF(ISNUMBER('Base de Datos'!B293),'Base de Datos'!B293,IF(TRIM('Base de Datos'!B293)="","",IFERROR(IF(IFERROR(FIND("@",SUBSTITUTE(TRIM('Base de Datos'!B293),",","@",LEN(TRIM('Base de Datos'!B293))-LEN(SUBSTITUTE(TRIM('Base de Datos'!B293),",","")))),0)&gt;IFERROR(FIND("@",SUBSTITUTE(TRIM('Base de Datos'!B293),".","@",LEN(TRIM('Base de Datos'!B293))-LEN(SUBSTITUTE(TRIM('Base de Datos'!B293),".","")))),0),_xlfn.NUMBERVALUE(SUBSTITUTE(SUBSTITUTE(TRIM('Base de Datos'!B293),".",""),",","."),".",","),_xlfn.NUMBERVALUE(SUBSTITUTE(TRIM('Base de Datos'!B293),",",""),".",",")),"")))</f>
        <v/>
      </c>
      <c r="AF297" s="73" t="str">
        <f aca="false">IF(ISNUMBER(AG297),IF(ISNUMBER('Base de Datos'!I293),IF('Base de Datos'!I293&gt;20000,INT('Base de Datos'!I293),""),IF(TRIM('Base de Datos'!I293)="","",IFERROR(DATE(VALUE(RIGHT(TRIM('Base de Datos'!I293),4)),VALUE(MID(TRIM('Base de Datos'!I293),4,2)),VALUE(LEFT(TRIM('Base de Datos'!I293),2))),IFERROR(DATEVALUE(TRIM('Base de Datos'!I293)),"")))),"")</f>
        <v/>
      </c>
      <c r="AG297" s="74" t="str">
        <f aca="false">IF(ISNUMBER('Base de Datos'!J293),'Base de Datos'!J293,IF(TRIM('Base de Datos'!J293)="","",IFERROR(IF(IFERROR(FIND("@",SUBSTITUTE(TRIM('Base de Datos'!J293),",","@",LEN(TRIM('Base de Datos'!J293))-LEN(SUBSTITUTE(TRIM('Base de Datos'!J293),",","")))),0)&gt;IFERROR(FIND("@",SUBSTITUTE(TRIM('Base de Datos'!J293),".","@",LEN(TRIM('Base de Datos'!J293))-LEN(SUBSTITUTE(TRIM('Base de Datos'!J293),".","")))),0),_xlfn.NUMBERVALUE(SUBSTITUTE(SUBSTITUTE(TRIM('Base de Datos'!J293),".",""),",","."),".",","),_xlfn.NUMBERVALUE(SUBSTITUTE(TRIM('Base de Datos'!J293),",",""),".",",")),"")))</f>
        <v/>
      </c>
      <c r="AH297" s="73" t="str">
        <f aca="false">IF(ISNUMBER(AI297),IF(ISNUMBER('Base de Datos'!Q293),IF('Base de Datos'!Q293&gt;20000,DATE(YEAR('Base de Datos'!Q293),DAY('Base de Datos'!Q293),MONTH('Base de Datos'!Q293)),""),IF(TRIM('Base de Datos'!Q293)="","",IFERROR(DATE(VALUE(RIGHT(TRIM('Base de Datos'!Q293),4)),VALUE(LEFT(TRIM('Base de Datos'!Q293),2)),VALUE(MID(TRIM('Base de Datos'!Q293),4,2))),""))),"")</f>
        <v/>
      </c>
      <c r="AI297" s="74" t="str">
        <f aca="false">IF(ISNUMBER('Base de Datos'!R293),'Base de Datos'!R293,IF(TRIM('Base de Datos'!R293)="","",IFERROR(IF(IFERROR(FIND("@",SUBSTITUTE(TRIM('Base de Datos'!R293),",","@",LEN(TRIM('Base de Datos'!R293))-LEN(SUBSTITUTE(TRIM('Base de Datos'!R293),",","")))),0)&gt;IFERROR(FIND("@",SUBSTITUTE(TRIM('Base de Datos'!R293),".","@",LEN(TRIM('Base de Datos'!R293))-LEN(SUBSTITUTE(TRIM('Base de Datos'!R293),".","")))),0),_xlfn.NUMBERVALUE(SUBSTITUTE(SUBSTITUTE(TRIM('Base de Datos'!R293),".",""),",","."),".",","),_xlfn.NUMBERVALUE(SUBSTITUTE(TRIM('Base de Datos'!R293),",",""),".",",")),"")))</f>
        <v/>
      </c>
      <c r="AJ297" s="73" t="str">
        <f aca="false">IF(ISNUMBER(AK297),IF(ISNUMBER('Base de Datos'!Y293),IF('Base de Datos'!Y293&gt;20000,INT('Base de Datos'!Y293),""),IF(TRIM('Base de Datos'!Y293)="","",IFERROR(DATE(VALUE(RIGHT(TRIM('Base de Datos'!Y293),4)),VALUE(MID(TRIM('Base de Datos'!Y293),4,2)),VALUE(LEFT(TRIM('Base de Datos'!Y293),2))),IFERROR(DATEVALUE(TRIM('Base de Datos'!Y293)),"")))),"")</f>
        <v/>
      </c>
      <c r="AK297" s="74" t="str">
        <f aca="false">IF(ISNUMBER('Base de Datos'!Z293),'Base de Datos'!Z293,IF(TRIM('Base de Datos'!Z293)="","",IFERROR(IF(IFERROR(FIND("@",SUBSTITUTE(TRIM('Base de Datos'!Z293),",","@",LEN(TRIM('Base de Datos'!Z293))-LEN(SUBSTITUTE(TRIM('Base de Datos'!Z293),",","")))),0)&gt;IFERROR(FIND("@",SUBSTITUTE(TRIM('Base de Datos'!Z293),".","@",LEN(TRIM('Base de Datos'!Z293))-LEN(SUBSTITUTE(TRIM('Base de Datos'!Z293),".","")))),0),_xlfn.NUMBERVALUE(SUBSTITUTE(SUBSTITUTE(TRIM('Base de Datos'!Z293),".",""),",","."),".",","),_xlfn.NUMBERVALUE(SUBSTITUTE(TRIM('Base de Datos'!Z293),",",""),".",",")),"")))</f>
        <v/>
      </c>
    </row>
    <row r="298" customFormat="false" ht="13.5" hidden="false" customHeight="false" outlineLevel="0" collapsed="false">
      <c r="A298" s="75" t="n">
        <f aca="false">ROWS(A$13:A298)</f>
        <v>286</v>
      </c>
      <c r="B298" s="73" t="str">
        <f aca="false">IF(B297="","",IFERROR(SMALL($AH$10:$AH$409,COUNTIF($AH$10:$AH$409,"&lt;="&amp;B297)+1),""))</f>
        <v/>
      </c>
      <c r="C298" s="74" t="str">
        <f aca="false">IF(B298="","",INDEX($AI$10:$AI$409,MATCH(B298,$AH$10:$AH$409,0)))</f>
        <v/>
      </c>
      <c r="D298" s="74" t="str">
        <f aca="false">IF(B298="","",IFERROR(INDEX($AK$10:$AK$409,MATCH(B298,$AJ$10:$AJ$409,0)),""))</f>
        <v/>
      </c>
      <c r="E298" s="76" t="str">
        <f aca="false">IF(AND(ISNUMBER(C298),ISNUMBER(C297)),C298/C297-1,"")</f>
        <v/>
      </c>
      <c r="F298" s="76" t="str">
        <f aca="false">IF(AND(ISNUMBER(D298),ISNUMBER(D297)),D298/D297-1,"")</f>
        <v/>
      </c>
      <c r="G298" s="75" t="str">
        <f aca="false">IF(AND(ISNUMBER(E298),ISNUMBER(F298)),1,"")</f>
        <v/>
      </c>
      <c r="H298" s="75" t="str">
        <f aca="false">IF(G298=1,COUNT(G298:G$412),"")</f>
        <v/>
      </c>
      <c r="I298" s="75" t="str">
        <f aca="false">IF(G298=1,IF(H298&lt;='Beta Regresión'!$B$5,1,""),"")</f>
        <v/>
      </c>
      <c r="J298" s="76" t="str">
        <f aca="false">IF(I298=1,E298,"")</f>
        <v/>
      </c>
      <c r="K298" s="76" t="str">
        <f aca="false">IF(I298=1,F298,"")</f>
        <v/>
      </c>
      <c r="L298" s="75" t="str">
        <f aca="false">IF(I298=1,COUNT(I$13:I298),"")</f>
        <v/>
      </c>
      <c r="M298" s="76" t="str">
        <f aca="false">IFERROR(INDEX($J$13:$J$412,MATCH(A298,$L$13:$L$412,0)),"")</f>
        <v/>
      </c>
      <c r="N298" s="76" t="str">
        <f aca="false">IFERROR(INDEX($K$13:$K$412,MATCH(A298,$L$13:$L$412,0)),"")</f>
        <v/>
      </c>
      <c r="O298" s="76" t="e">
        <f aca="false">IF(I298=1,E298,NA())</f>
        <v>#N/A</v>
      </c>
      <c r="P298" s="76" t="e">
        <f aca="false">IF(I298=1,F298,NA())</f>
        <v>#N/A</v>
      </c>
      <c r="R298" s="75" t="n">
        <f aca="false">ROWS(R$13:R298)</f>
        <v>286</v>
      </c>
      <c r="S298" s="73" t="str">
        <f aca="false">IF(S297="","",IFERROR(SMALL($AD$10:$AD$509,COUNTIF($AD$10:$AD$509,"&lt;="&amp;S297)+1),""))</f>
        <v/>
      </c>
      <c r="T298" s="74" t="str">
        <f aca="false">IF(S298="","",INDEX($AE$10:$AE$509,MATCH(S298,$AD$10:$AD$509,0)))</f>
        <v/>
      </c>
      <c r="U298" s="74" t="str">
        <f aca="false">IF(S298="","",IFERROR(INDEX($AG$10:$AG$509,MATCH(S298,$AF$10:$AF$509,0)),""))</f>
        <v/>
      </c>
      <c r="V298" s="76" t="str">
        <f aca="false">IF(AND(ISNUMBER(T298),ISNUMBER(T297)),T298/T297-1,"")</f>
        <v/>
      </c>
      <c r="W298" s="76" t="str">
        <f aca="false">IF(AND(ISNUMBER(U298),ISNUMBER(U297)),U298/U297-1,"")</f>
        <v/>
      </c>
      <c r="X298" s="75" t="str">
        <f aca="false">IF(AND(ISNUMBER(V298),ISNUMBER(W298)),1,"")</f>
        <v/>
      </c>
      <c r="Y298" s="76" t="str">
        <f aca="false">IF(X298=1,V298,"")</f>
        <v/>
      </c>
      <c r="Z298" s="76" t="str">
        <f aca="false">IF(X298=1,W298,"")</f>
        <v/>
      </c>
      <c r="AA298" s="76" t="e">
        <f aca="false">IF(X298=1,V298,NA())</f>
        <v>#N/A</v>
      </c>
      <c r="AB298" s="76" t="e">
        <f aca="false">IF(X298=1,W298,NA())</f>
        <v>#N/A</v>
      </c>
      <c r="AD298" s="73" t="str">
        <f aca="false">IF(ISNUMBER(AE298),IF(ISNUMBER('Base de Datos'!A294),IF('Base de Datos'!A294&gt;20000,DATE(YEAR('Base de Datos'!A294),DAY('Base de Datos'!A294),MONTH('Base de Datos'!A294)),""),IF(TRIM('Base de Datos'!A294)="","",IFERROR(DATE(VALUE(RIGHT(TRIM('Base de Datos'!A294),4)),VALUE(LEFT(TRIM('Base de Datos'!A294),2)),VALUE(MID(TRIM('Base de Datos'!A294),4,2))),""))),"")</f>
        <v/>
      </c>
      <c r="AE298" s="74" t="str">
        <f aca="false">IF(ISNUMBER('Base de Datos'!B294),'Base de Datos'!B294,IF(TRIM('Base de Datos'!B294)="","",IFERROR(IF(IFERROR(FIND("@",SUBSTITUTE(TRIM('Base de Datos'!B294),",","@",LEN(TRIM('Base de Datos'!B294))-LEN(SUBSTITUTE(TRIM('Base de Datos'!B294),",","")))),0)&gt;IFERROR(FIND("@",SUBSTITUTE(TRIM('Base de Datos'!B294),".","@",LEN(TRIM('Base de Datos'!B294))-LEN(SUBSTITUTE(TRIM('Base de Datos'!B294),".","")))),0),_xlfn.NUMBERVALUE(SUBSTITUTE(SUBSTITUTE(TRIM('Base de Datos'!B294),".",""),",","."),".",","),_xlfn.NUMBERVALUE(SUBSTITUTE(TRIM('Base de Datos'!B294),",",""),".",",")),"")))</f>
        <v/>
      </c>
      <c r="AF298" s="73" t="str">
        <f aca="false">IF(ISNUMBER(AG298),IF(ISNUMBER('Base de Datos'!I294),IF('Base de Datos'!I294&gt;20000,INT('Base de Datos'!I294),""),IF(TRIM('Base de Datos'!I294)="","",IFERROR(DATE(VALUE(RIGHT(TRIM('Base de Datos'!I294),4)),VALUE(MID(TRIM('Base de Datos'!I294),4,2)),VALUE(LEFT(TRIM('Base de Datos'!I294),2))),IFERROR(DATEVALUE(TRIM('Base de Datos'!I294)),"")))),"")</f>
        <v/>
      </c>
      <c r="AG298" s="74" t="str">
        <f aca="false">IF(ISNUMBER('Base de Datos'!J294),'Base de Datos'!J294,IF(TRIM('Base de Datos'!J294)="","",IFERROR(IF(IFERROR(FIND("@",SUBSTITUTE(TRIM('Base de Datos'!J294),",","@",LEN(TRIM('Base de Datos'!J294))-LEN(SUBSTITUTE(TRIM('Base de Datos'!J294),",","")))),0)&gt;IFERROR(FIND("@",SUBSTITUTE(TRIM('Base de Datos'!J294),".","@",LEN(TRIM('Base de Datos'!J294))-LEN(SUBSTITUTE(TRIM('Base de Datos'!J294),".","")))),0),_xlfn.NUMBERVALUE(SUBSTITUTE(SUBSTITUTE(TRIM('Base de Datos'!J294),".",""),",","."),".",","),_xlfn.NUMBERVALUE(SUBSTITUTE(TRIM('Base de Datos'!J294),",",""),".",",")),"")))</f>
        <v/>
      </c>
      <c r="AH298" s="73" t="str">
        <f aca="false">IF(ISNUMBER(AI298),IF(ISNUMBER('Base de Datos'!Q294),IF('Base de Datos'!Q294&gt;20000,DATE(YEAR('Base de Datos'!Q294),DAY('Base de Datos'!Q294),MONTH('Base de Datos'!Q294)),""),IF(TRIM('Base de Datos'!Q294)="","",IFERROR(DATE(VALUE(RIGHT(TRIM('Base de Datos'!Q294),4)),VALUE(LEFT(TRIM('Base de Datos'!Q294),2)),VALUE(MID(TRIM('Base de Datos'!Q294),4,2))),""))),"")</f>
        <v/>
      </c>
      <c r="AI298" s="74" t="str">
        <f aca="false">IF(ISNUMBER('Base de Datos'!R294),'Base de Datos'!R294,IF(TRIM('Base de Datos'!R294)="","",IFERROR(IF(IFERROR(FIND("@",SUBSTITUTE(TRIM('Base de Datos'!R294),",","@",LEN(TRIM('Base de Datos'!R294))-LEN(SUBSTITUTE(TRIM('Base de Datos'!R294),",","")))),0)&gt;IFERROR(FIND("@",SUBSTITUTE(TRIM('Base de Datos'!R294),".","@",LEN(TRIM('Base de Datos'!R294))-LEN(SUBSTITUTE(TRIM('Base de Datos'!R294),".","")))),0),_xlfn.NUMBERVALUE(SUBSTITUTE(SUBSTITUTE(TRIM('Base de Datos'!R294),".",""),",","."),".",","),_xlfn.NUMBERVALUE(SUBSTITUTE(TRIM('Base de Datos'!R294),",",""),".",",")),"")))</f>
        <v/>
      </c>
      <c r="AJ298" s="73" t="str">
        <f aca="false">IF(ISNUMBER(AK298),IF(ISNUMBER('Base de Datos'!Y294),IF('Base de Datos'!Y294&gt;20000,INT('Base de Datos'!Y294),""),IF(TRIM('Base de Datos'!Y294)="","",IFERROR(DATE(VALUE(RIGHT(TRIM('Base de Datos'!Y294),4)),VALUE(MID(TRIM('Base de Datos'!Y294),4,2)),VALUE(LEFT(TRIM('Base de Datos'!Y294),2))),IFERROR(DATEVALUE(TRIM('Base de Datos'!Y294)),"")))),"")</f>
        <v/>
      </c>
      <c r="AK298" s="74" t="str">
        <f aca="false">IF(ISNUMBER('Base de Datos'!Z294),'Base de Datos'!Z294,IF(TRIM('Base de Datos'!Z294)="","",IFERROR(IF(IFERROR(FIND("@",SUBSTITUTE(TRIM('Base de Datos'!Z294),",","@",LEN(TRIM('Base de Datos'!Z294))-LEN(SUBSTITUTE(TRIM('Base de Datos'!Z294),",","")))),0)&gt;IFERROR(FIND("@",SUBSTITUTE(TRIM('Base de Datos'!Z294),".","@",LEN(TRIM('Base de Datos'!Z294))-LEN(SUBSTITUTE(TRIM('Base de Datos'!Z294),".","")))),0),_xlfn.NUMBERVALUE(SUBSTITUTE(SUBSTITUTE(TRIM('Base de Datos'!Z294),".",""),",","."),".",","),_xlfn.NUMBERVALUE(SUBSTITUTE(TRIM('Base de Datos'!Z294),",",""),".",",")),"")))</f>
        <v/>
      </c>
    </row>
    <row r="299" customFormat="false" ht="13.5" hidden="false" customHeight="false" outlineLevel="0" collapsed="false">
      <c r="A299" s="75" t="n">
        <f aca="false">ROWS(A$13:A299)</f>
        <v>287</v>
      </c>
      <c r="B299" s="73" t="str">
        <f aca="false">IF(B298="","",IFERROR(SMALL($AH$10:$AH$409,COUNTIF($AH$10:$AH$409,"&lt;="&amp;B298)+1),""))</f>
        <v/>
      </c>
      <c r="C299" s="74" t="str">
        <f aca="false">IF(B299="","",INDEX($AI$10:$AI$409,MATCH(B299,$AH$10:$AH$409,0)))</f>
        <v/>
      </c>
      <c r="D299" s="74" t="str">
        <f aca="false">IF(B299="","",IFERROR(INDEX($AK$10:$AK$409,MATCH(B299,$AJ$10:$AJ$409,0)),""))</f>
        <v/>
      </c>
      <c r="E299" s="76" t="str">
        <f aca="false">IF(AND(ISNUMBER(C299),ISNUMBER(C298)),C299/C298-1,"")</f>
        <v/>
      </c>
      <c r="F299" s="76" t="str">
        <f aca="false">IF(AND(ISNUMBER(D299),ISNUMBER(D298)),D299/D298-1,"")</f>
        <v/>
      </c>
      <c r="G299" s="75" t="str">
        <f aca="false">IF(AND(ISNUMBER(E299),ISNUMBER(F299)),1,"")</f>
        <v/>
      </c>
      <c r="H299" s="75" t="str">
        <f aca="false">IF(G299=1,COUNT(G299:G$412),"")</f>
        <v/>
      </c>
      <c r="I299" s="75" t="str">
        <f aca="false">IF(G299=1,IF(H299&lt;='Beta Regresión'!$B$5,1,""),"")</f>
        <v/>
      </c>
      <c r="J299" s="76" t="str">
        <f aca="false">IF(I299=1,E299,"")</f>
        <v/>
      </c>
      <c r="K299" s="76" t="str">
        <f aca="false">IF(I299=1,F299,"")</f>
        <v/>
      </c>
      <c r="L299" s="75" t="str">
        <f aca="false">IF(I299=1,COUNT(I$13:I299),"")</f>
        <v/>
      </c>
      <c r="M299" s="76" t="str">
        <f aca="false">IFERROR(INDEX($J$13:$J$412,MATCH(A299,$L$13:$L$412,0)),"")</f>
        <v/>
      </c>
      <c r="N299" s="76" t="str">
        <f aca="false">IFERROR(INDEX($K$13:$K$412,MATCH(A299,$L$13:$L$412,0)),"")</f>
        <v/>
      </c>
      <c r="O299" s="76" t="e">
        <f aca="false">IF(I299=1,E299,NA())</f>
        <v>#N/A</v>
      </c>
      <c r="P299" s="76" t="e">
        <f aca="false">IF(I299=1,F299,NA())</f>
        <v>#N/A</v>
      </c>
      <c r="R299" s="75" t="n">
        <f aca="false">ROWS(R$13:R299)</f>
        <v>287</v>
      </c>
      <c r="S299" s="73" t="str">
        <f aca="false">IF(S298="","",IFERROR(SMALL($AD$10:$AD$509,COUNTIF($AD$10:$AD$509,"&lt;="&amp;S298)+1),""))</f>
        <v/>
      </c>
      <c r="T299" s="74" t="str">
        <f aca="false">IF(S299="","",INDEX($AE$10:$AE$509,MATCH(S299,$AD$10:$AD$509,0)))</f>
        <v/>
      </c>
      <c r="U299" s="74" t="str">
        <f aca="false">IF(S299="","",IFERROR(INDEX($AG$10:$AG$509,MATCH(S299,$AF$10:$AF$509,0)),""))</f>
        <v/>
      </c>
      <c r="V299" s="76" t="str">
        <f aca="false">IF(AND(ISNUMBER(T299),ISNUMBER(T298)),T299/T298-1,"")</f>
        <v/>
      </c>
      <c r="W299" s="76" t="str">
        <f aca="false">IF(AND(ISNUMBER(U299),ISNUMBER(U298)),U299/U298-1,"")</f>
        <v/>
      </c>
      <c r="X299" s="75" t="str">
        <f aca="false">IF(AND(ISNUMBER(V299),ISNUMBER(W299)),1,"")</f>
        <v/>
      </c>
      <c r="Y299" s="76" t="str">
        <f aca="false">IF(X299=1,V299,"")</f>
        <v/>
      </c>
      <c r="Z299" s="76" t="str">
        <f aca="false">IF(X299=1,W299,"")</f>
        <v/>
      </c>
      <c r="AA299" s="76" t="e">
        <f aca="false">IF(X299=1,V299,NA())</f>
        <v>#N/A</v>
      </c>
      <c r="AB299" s="76" t="e">
        <f aca="false">IF(X299=1,W299,NA())</f>
        <v>#N/A</v>
      </c>
      <c r="AD299" s="73" t="str">
        <f aca="false">IF(ISNUMBER(AE299),IF(ISNUMBER('Base de Datos'!A295),IF('Base de Datos'!A295&gt;20000,DATE(YEAR('Base de Datos'!A295),DAY('Base de Datos'!A295),MONTH('Base de Datos'!A295)),""),IF(TRIM('Base de Datos'!A295)="","",IFERROR(DATE(VALUE(RIGHT(TRIM('Base de Datos'!A295),4)),VALUE(LEFT(TRIM('Base de Datos'!A295),2)),VALUE(MID(TRIM('Base de Datos'!A295),4,2))),""))),"")</f>
        <v/>
      </c>
      <c r="AE299" s="74" t="str">
        <f aca="false">IF(ISNUMBER('Base de Datos'!B295),'Base de Datos'!B295,IF(TRIM('Base de Datos'!B295)="","",IFERROR(IF(IFERROR(FIND("@",SUBSTITUTE(TRIM('Base de Datos'!B295),",","@",LEN(TRIM('Base de Datos'!B295))-LEN(SUBSTITUTE(TRIM('Base de Datos'!B295),",","")))),0)&gt;IFERROR(FIND("@",SUBSTITUTE(TRIM('Base de Datos'!B295),".","@",LEN(TRIM('Base de Datos'!B295))-LEN(SUBSTITUTE(TRIM('Base de Datos'!B295),".","")))),0),_xlfn.NUMBERVALUE(SUBSTITUTE(SUBSTITUTE(TRIM('Base de Datos'!B295),".",""),",","."),".",","),_xlfn.NUMBERVALUE(SUBSTITUTE(TRIM('Base de Datos'!B295),",",""),".",",")),"")))</f>
        <v/>
      </c>
      <c r="AF299" s="73" t="str">
        <f aca="false">IF(ISNUMBER(AG299),IF(ISNUMBER('Base de Datos'!I295),IF('Base de Datos'!I295&gt;20000,INT('Base de Datos'!I295),""),IF(TRIM('Base de Datos'!I295)="","",IFERROR(DATE(VALUE(RIGHT(TRIM('Base de Datos'!I295),4)),VALUE(MID(TRIM('Base de Datos'!I295),4,2)),VALUE(LEFT(TRIM('Base de Datos'!I295),2))),IFERROR(DATEVALUE(TRIM('Base de Datos'!I295)),"")))),"")</f>
        <v/>
      </c>
      <c r="AG299" s="74" t="str">
        <f aca="false">IF(ISNUMBER('Base de Datos'!J295),'Base de Datos'!J295,IF(TRIM('Base de Datos'!J295)="","",IFERROR(IF(IFERROR(FIND("@",SUBSTITUTE(TRIM('Base de Datos'!J295),",","@",LEN(TRIM('Base de Datos'!J295))-LEN(SUBSTITUTE(TRIM('Base de Datos'!J295),",","")))),0)&gt;IFERROR(FIND("@",SUBSTITUTE(TRIM('Base de Datos'!J295),".","@",LEN(TRIM('Base de Datos'!J295))-LEN(SUBSTITUTE(TRIM('Base de Datos'!J295),".","")))),0),_xlfn.NUMBERVALUE(SUBSTITUTE(SUBSTITUTE(TRIM('Base de Datos'!J295),".",""),",","."),".",","),_xlfn.NUMBERVALUE(SUBSTITUTE(TRIM('Base de Datos'!J295),",",""),".",",")),"")))</f>
        <v/>
      </c>
      <c r="AH299" s="73" t="str">
        <f aca="false">IF(ISNUMBER(AI299),IF(ISNUMBER('Base de Datos'!Q295),IF('Base de Datos'!Q295&gt;20000,DATE(YEAR('Base de Datos'!Q295),DAY('Base de Datos'!Q295),MONTH('Base de Datos'!Q295)),""),IF(TRIM('Base de Datos'!Q295)="","",IFERROR(DATE(VALUE(RIGHT(TRIM('Base de Datos'!Q295),4)),VALUE(LEFT(TRIM('Base de Datos'!Q295),2)),VALUE(MID(TRIM('Base de Datos'!Q295),4,2))),""))),"")</f>
        <v/>
      </c>
      <c r="AI299" s="74" t="str">
        <f aca="false">IF(ISNUMBER('Base de Datos'!R295),'Base de Datos'!R295,IF(TRIM('Base de Datos'!R295)="","",IFERROR(IF(IFERROR(FIND("@",SUBSTITUTE(TRIM('Base de Datos'!R295),",","@",LEN(TRIM('Base de Datos'!R295))-LEN(SUBSTITUTE(TRIM('Base de Datos'!R295),",","")))),0)&gt;IFERROR(FIND("@",SUBSTITUTE(TRIM('Base de Datos'!R295),".","@",LEN(TRIM('Base de Datos'!R295))-LEN(SUBSTITUTE(TRIM('Base de Datos'!R295),".","")))),0),_xlfn.NUMBERVALUE(SUBSTITUTE(SUBSTITUTE(TRIM('Base de Datos'!R295),".",""),",","."),".",","),_xlfn.NUMBERVALUE(SUBSTITUTE(TRIM('Base de Datos'!R295),",",""),".",",")),"")))</f>
        <v/>
      </c>
      <c r="AJ299" s="73" t="str">
        <f aca="false">IF(ISNUMBER(AK299),IF(ISNUMBER('Base de Datos'!Y295),IF('Base de Datos'!Y295&gt;20000,INT('Base de Datos'!Y295),""),IF(TRIM('Base de Datos'!Y295)="","",IFERROR(DATE(VALUE(RIGHT(TRIM('Base de Datos'!Y295),4)),VALUE(MID(TRIM('Base de Datos'!Y295),4,2)),VALUE(LEFT(TRIM('Base de Datos'!Y295),2))),IFERROR(DATEVALUE(TRIM('Base de Datos'!Y295)),"")))),"")</f>
        <v/>
      </c>
      <c r="AK299" s="74" t="str">
        <f aca="false">IF(ISNUMBER('Base de Datos'!Z295),'Base de Datos'!Z295,IF(TRIM('Base de Datos'!Z295)="","",IFERROR(IF(IFERROR(FIND("@",SUBSTITUTE(TRIM('Base de Datos'!Z295),",","@",LEN(TRIM('Base de Datos'!Z295))-LEN(SUBSTITUTE(TRIM('Base de Datos'!Z295),",","")))),0)&gt;IFERROR(FIND("@",SUBSTITUTE(TRIM('Base de Datos'!Z295),".","@",LEN(TRIM('Base de Datos'!Z295))-LEN(SUBSTITUTE(TRIM('Base de Datos'!Z295),".","")))),0),_xlfn.NUMBERVALUE(SUBSTITUTE(SUBSTITUTE(TRIM('Base de Datos'!Z295),".",""),",","."),".",","),_xlfn.NUMBERVALUE(SUBSTITUTE(TRIM('Base de Datos'!Z295),",",""),".",",")),"")))</f>
        <v/>
      </c>
    </row>
    <row r="300" customFormat="false" ht="13.5" hidden="false" customHeight="false" outlineLevel="0" collapsed="false">
      <c r="A300" s="75" t="n">
        <f aca="false">ROWS(A$13:A300)</f>
        <v>288</v>
      </c>
      <c r="B300" s="73" t="str">
        <f aca="false">IF(B299="","",IFERROR(SMALL($AH$10:$AH$409,COUNTIF($AH$10:$AH$409,"&lt;="&amp;B299)+1),""))</f>
        <v/>
      </c>
      <c r="C300" s="74" t="str">
        <f aca="false">IF(B300="","",INDEX($AI$10:$AI$409,MATCH(B300,$AH$10:$AH$409,0)))</f>
        <v/>
      </c>
      <c r="D300" s="74" t="str">
        <f aca="false">IF(B300="","",IFERROR(INDEX($AK$10:$AK$409,MATCH(B300,$AJ$10:$AJ$409,0)),""))</f>
        <v/>
      </c>
      <c r="E300" s="76" t="str">
        <f aca="false">IF(AND(ISNUMBER(C300),ISNUMBER(C299)),C300/C299-1,"")</f>
        <v/>
      </c>
      <c r="F300" s="76" t="str">
        <f aca="false">IF(AND(ISNUMBER(D300),ISNUMBER(D299)),D300/D299-1,"")</f>
        <v/>
      </c>
      <c r="G300" s="75" t="str">
        <f aca="false">IF(AND(ISNUMBER(E300),ISNUMBER(F300)),1,"")</f>
        <v/>
      </c>
      <c r="H300" s="75" t="str">
        <f aca="false">IF(G300=1,COUNT(G300:G$412),"")</f>
        <v/>
      </c>
      <c r="I300" s="75" t="str">
        <f aca="false">IF(G300=1,IF(H300&lt;='Beta Regresión'!$B$5,1,""),"")</f>
        <v/>
      </c>
      <c r="J300" s="76" t="str">
        <f aca="false">IF(I300=1,E300,"")</f>
        <v/>
      </c>
      <c r="K300" s="76" t="str">
        <f aca="false">IF(I300=1,F300,"")</f>
        <v/>
      </c>
      <c r="L300" s="75" t="str">
        <f aca="false">IF(I300=1,COUNT(I$13:I300),"")</f>
        <v/>
      </c>
      <c r="M300" s="76" t="str">
        <f aca="false">IFERROR(INDEX($J$13:$J$412,MATCH(A300,$L$13:$L$412,0)),"")</f>
        <v/>
      </c>
      <c r="N300" s="76" t="str">
        <f aca="false">IFERROR(INDEX($K$13:$K$412,MATCH(A300,$L$13:$L$412,0)),"")</f>
        <v/>
      </c>
      <c r="O300" s="76" t="e">
        <f aca="false">IF(I300=1,E300,NA())</f>
        <v>#N/A</v>
      </c>
      <c r="P300" s="76" t="e">
        <f aca="false">IF(I300=1,F300,NA())</f>
        <v>#N/A</v>
      </c>
      <c r="R300" s="75" t="n">
        <f aca="false">ROWS(R$13:R300)</f>
        <v>288</v>
      </c>
      <c r="S300" s="73" t="str">
        <f aca="false">IF(S299="","",IFERROR(SMALL($AD$10:$AD$509,COUNTIF($AD$10:$AD$509,"&lt;="&amp;S299)+1),""))</f>
        <v/>
      </c>
      <c r="T300" s="74" t="str">
        <f aca="false">IF(S300="","",INDEX($AE$10:$AE$509,MATCH(S300,$AD$10:$AD$509,0)))</f>
        <v/>
      </c>
      <c r="U300" s="74" t="str">
        <f aca="false">IF(S300="","",IFERROR(INDEX($AG$10:$AG$509,MATCH(S300,$AF$10:$AF$509,0)),""))</f>
        <v/>
      </c>
      <c r="V300" s="76" t="str">
        <f aca="false">IF(AND(ISNUMBER(T300),ISNUMBER(T299)),T300/T299-1,"")</f>
        <v/>
      </c>
      <c r="W300" s="76" t="str">
        <f aca="false">IF(AND(ISNUMBER(U300),ISNUMBER(U299)),U300/U299-1,"")</f>
        <v/>
      </c>
      <c r="X300" s="75" t="str">
        <f aca="false">IF(AND(ISNUMBER(V300),ISNUMBER(W300)),1,"")</f>
        <v/>
      </c>
      <c r="Y300" s="76" t="str">
        <f aca="false">IF(X300=1,V300,"")</f>
        <v/>
      </c>
      <c r="Z300" s="76" t="str">
        <f aca="false">IF(X300=1,W300,"")</f>
        <v/>
      </c>
      <c r="AA300" s="76" t="e">
        <f aca="false">IF(X300=1,V300,NA())</f>
        <v>#N/A</v>
      </c>
      <c r="AB300" s="76" t="e">
        <f aca="false">IF(X300=1,W300,NA())</f>
        <v>#N/A</v>
      </c>
      <c r="AD300" s="73" t="str">
        <f aca="false">IF(ISNUMBER(AE300),IF(ISNUMBER('Base de Datos'!A296),IF('Base de Datos'!A296&gt;20000,DATE(YEAR('Base de Datos'!A296),DAY('Base de Datos'!A296),MONTH('Base de Datos'!A296)),""),IF(TRIM('Base de Datos'!A296)="","",IFERROR(DATE(VALUE(RIGHT(TRIM('Base de Datos'!A296),4)),VALUE(LEFT(TRIM('Base de Datos'!A296),2)),VALUE(MID(TRIM('Base de Datos'!A296),4,2))),""))),"")</f>
        <v/>
      </c>
      <c r="AE300" s="74" t="str">
        <f aca="false">IF(ISNUMBER('Base de Datos'!B296),'Base de Datos'!B296,IF(TRIM('Base de Datos'!B296)="","",IFERROR(IF(IFERROR(FIND("@",SUBSTITUTE(TRIM('Base de Datos'!B296),",","@",LEN(TRIM('Base de Datos'!B296))-LEN(SUBSTITUTE(TRIM('Base de Datos'!B296),",","")))),0)&gt;IFERROR(FIND("@",SUBSTITUTE(TRIM('Base de Datos'!B296),".","@",LEN(TRIM('Base de Datos'!B296))-LEN(SUBSTITUTE(TRIM('Base de Datos'!B296),".","")))),0),_xlfn.NUMBERVALUE(SUBSTITUTE(SUBSTITUTE(TRIM('Base de Datos'!B296),".",""),",","."),".",","),_xlfn.NUMBERVALUE(SUBSTITUTE(TRIM('Base de Datos'!B296),",",""),".",",")),"")))</f>
        <v/>
      </c>
      <c r="AF300" s="73" t="str">
        <f aca="false">IF(ISNUMBER(AG300),IF(ISNUMBER('Base de Datos'!I296),IF('Base de Datos'!I296&gt;20000,INT('Base de Datos'!I296),""),IF(TRIM('Base de Datos'!I296)="","",IFERROR(DATE(VALUE(RIGHT(TRIM('Base de Datos'!I296),4)),VALUE(MID(TRIM('Base de Datos'!I296),4,2)),VALUE(LEFT(TRIM('Base de Datos'!I296),2))),IFERROR(DATEVALUE(TRIM('Base de Datos'!I296)),"")))),"")</f>
        <v/>
      </c>
      <c r="AG300" s="74" t="str">
        <f aca="false">IF(ISNUMBER('Base de Datos'!J296),'Base de Datos'!J296,IF(TRIM('Base de Datos'!J296)="","",IFERROR(IF(IFERROR(FIND("@",SUBSTITUTE(TRIM('Base de Datos'!J296),",","@",LEN(TRIM('Base de Datos'!J296))-LEN(SUBSTITUTE(TRIM('Base de Datos'!J296),",","")))),0)&gt;IFERROR(FIND("@",SUBSTITUTE(TRIM('Base de Datos'!J296),".","@",LEN(TRIM('Base de Datos'!J296))-LEN(SUBSTITUTE(TRIM('Base de Datos'!J296),".","")))),0),_xlfn.NUMBERVALUE(SUBSTITUTE(SUBSTITUTE(TRIM('Base de Datos'!J296),".",""),",","."),".",","),_xlfn.NUMBERVALUE(SUBSTITUTE(TRIM('Base de Datos'!J296),",",""),".",",")),"")))</f>
        <v/>
      </c>
      <c r="AH300" s="73" t="str">
        <f aca="false">IF(ISNUMBER(AI300),IF(ISNUMBER('Base de Datos'!Q296),IF('Base de Datos'!Q296&gt;20000,DATE(YEAR('Base de Datos'!Q296),DAY('Base de Datos'!Q296),MONTH('Base de Datos'!Q296)),""),IF(TRIM('Base de Datos'!Q296)="","",IFERROR(DATE(VALUE(RIGHT(TRIM('Base de Datos'!Q296),4)),VALUE(LEFT(TRIM('Base de Datos'!Q296),2)),VALUE(MID(TRIM('Base de Datos'!Q296),4,2))),""))),"")</f>
        <v/>
      </c>
      <c r="AI300" s="74" t="str">
        <f aca="false">IF(ISNUMBER('Base de Datos'!R296),'Base de Datos'!R296,IF(TRIM('Base de Datos'!R296)="","",IFERROR(IF(IFERROR(FIND("@",SUBSTITUTE(TRIM('Base de Datos'!R296),",","@",LEN(TRIM('Base de Datos'!R296))-LEN(SUBSTITUTE(TRIM('Base de Datos'!R296),",","")))),0)&gt;IFERROR(FIND("@",SUBSTITUTE(TRIM('Base de Datos'!R296),".","@",LEN(TRIM('Base de Datos'!R296))-LEN(SUBSTITUTE(TRIM('Base de Datos'!R296),".","")))),0),_xlfn.NUMBERVALUE(SUBSTITUTE(SUBSTITUTE(TRIM('Base de Datos'!R296),".",""),",","."),".",","),_xlfn.NUMBERVALUE(SUBSTITUTE(TRIM('Base de Datos'!R296),",",""),".",",")),"")))</f>
        <v/>
      </c>
      <c r="AJ300" s="73" t="str">
        <f aca="false">IF(ISNUMBER(AK300),IF(ISNUMBER('Base de Datos'!Y296),IF('Base de Datos'!Y296&gt;20000,INT('Base de Datos'!Y296),""),IF(TRIM('Base de Datos'!Y296)="","",IFERROR(DATE(VALUE(RIGHT(TRIM('Base de Datos'!Y296),4)),VALUE(MID(TRIM('Base de Datos'!Y296),4,2)),VALUE(LEFT(TRIM('Base de Datos'!Y296),2))),IFERROR(DATEVALUE(TRIM('Base de Datos'!Y296)),"")))),"")</f>
        <v/>
      </c>
      <c r="AK300" s="74" t="str">
        <f aca="false">IF(ISNUMBER('Base de Datos'!Z296),'Base de Datos'!Z296,IF(TRIM('Base de Datos'!Z296)="","",IFERROR(IF(IFERROR(FIND("@",SUBSTITUTE(TRIM('Base de Datos'!Z296),",","@",LEN(TRIM('Base de Datos'!Z296))-LEN(SUBSTITUTE(TRIM('Base de Datos'!Z296),",","")))),0)&gt;IFERROR(FIND("@",SUBSTITUTE(TRIM('Base de Datos'!Z296),".","@",LEN(TRIM('Base de Datos'!Z296))-LEN(SUBSTITUTE(TRIM('Base de Datos'!Z296),".","")))),0),_xlfn.NUMBERVALUE(SUBSTITUTE(SUBSTITUTE(TRIM('Base de Datos'!Z296),".",""),",","."),".",","),_xlfn.NUMBERVALUE(SUBSTITUTE(TRIM('Base de Datos'!Z296),",",""),".",",")),"")))</f>
        <v/>
      </c>
    </row>
    <row r="301" customFormat="false" ht="13.5" hidden="false" customHeight="false" outlineLevel="0" collapsed="false">
      <c r="A301" s="75" t="n">
        <f aca="false">ROWS(A$13:A301)</f>
        <v>289</v>
      </c>
      <c r="B301" s="73" t="str">
        <f aca="false">IF(B300="","",IFERROR(SMALL($AH$10:$AH$409,COUNTIF($AH$10:$AH$409,"&lt;="&amp;B300)+1),""))</f>
        <v/>
      </c>
      <c r="C301" s="74" t="str">
        <f aca="false">IF(B301="","",INDEX($AI$10:$AI$409,MATCH(B301,$AH$10:$AH$409,0)))</f>
        <v/>
      </c>
      <c r="D301" s="74" t="str">
        <f aca="false">IF(B301="","",IFERROR(INDEX($AK$10:$AK$409,MATCH(B301,$AJ$10:$AJ$409,0)),""))</f>
        <v/>
      </c>
      <c r="E301" s="76" t="str">
        <f aca="false">IF(AND(ISNUMBER(C301),ISNUMBER(C300)),C301/C300-1,"")</f>
        <v/>
      </c>
      <c r="F301" s="76" t="str">
        <f aca="false">IF(AND(ISNUMBER(D301),ISNUMBER(D300)),D301/D300-1,"")</f>
        <v/>
      </c>
      <c r="G301" s="75" t="str">
        <f aca="false">IF(AND(ISNUMBER(E301),ISNUMBER(F301)),1,"")</f>
        <v/>
      </c>
      <c r="H301" s="75" t="str">
        <f aca="false">IF(G301=1,COUNT(G301:G$412),"")</f>
        <v/>
      </c>
      <c r="I301" s="75" t="str">
        <f aca="false">IF(G301=1,IF(H301&lt;='Beta Regresión'!$B$5,1,""),"")</f>
        <v/>
      </c>
      <c r="J301" s="76" t="str">
        <f aca="false">IF(I301=1,E301,"")</f>
        <v/>
      </c>
      <c r="K301" s="76" t="str">
        <f aca="false">IF(I301=1,F301,"")</f>
        <v/>
      </c>
      <c r="L301" s="75" t="str">
        <f aca="false">IF(I301=1,COUNT(I$13:I301),"")</f>
        <v/>
      </c>
      <c r="M301" s="76" t="str">
        <f aca="false">IFERROR(INDEX($J$13:$J$412,MATCH(A301,$L$13:$L$412,0)),"")</f>
        <v/>
      </c>
      <c r="N301" s="76" t="str">
        <f aca="false">IFERROR(INDEX($K$13:$K$412,MATCH(A301,$L$13:$L$412,0)),"")</f>
        <v/>
      </c>
      <c r="O301" s="76" t="e">
        <f aca="false">IF(I301=1,E301,NA())</f>
        <v>#N/A</v>
      </c>
      <c r="P301" s="76" t="e">
        <f aca="false">IF(I301=1,F301,NA())</f>
        <v>#N/A</v>
      </c>
      <c r="R301" s="75" t="n">
        <f aca="false">ROWS(R$13:R301)</f>
        <v>289</v>
      </c>
      <c r="S301" s="73" t="str">
        <f aca="false">IF(S300="","",IFERROR(SMALL($AD$10:$AD$509,COUNTIF($AD$10:$AD$509,"&lt;="&amp;S300)+1),""))</f>
        <v/>
      </c>
      <c r="T301" s="74" t="str">
        <f aca="false">IF(S301="","",INDEX($AE$10:$AE$509,MATCH(S301,$AD$10:$AD$509,0)))</f>
        <v/>
      </c>
      <c r="U301" s="74" t="str">
        <f aca="false">IF(S301="","",IFERROR(INDEX($AG$10:$AG$509,MATCH(S301,$AF$10:$AF$509,0)),""))</f>
        <v/>
      </c>
      <c r="V301" s="76" t="str">
        <f aca="false">IF(AND(ISNUMBER(T301),ISNUMBER(T300)),T301/T300-1,"")</f>
        <v/>
      </c>
      <c r="W301" s="76" t="str">
        <f aca="false">IF(AND(ISNUMBER(U301),ISNUMBER(U300)),U301/U300-1,"")</f>
        <v/>
      </c>
      <c r="X301" s="75" t="str">
        <f aca="false">IF(AND(ISNUMBER(V301),ISNUMBER(W301)),1,"")</f>
        <v/>
      </c>
      <c r="Y301" s="76" t="str">
        <f aca="false">IF(X301=1,V301,"")</f>
        <v/>
      </c>
      <c r="Z301" s="76" t="str">
        <f aca="false">IF(X301=1,W301,"")</f>
        <v/>
      </c>
      <c r="AA301" s="76" t="e">
        <f aca="false">IF(X301=1,V301,NA())</f>
        <v>#N/A</v>
      </c>
      <c r="AB301" s="76" t="e">
        <f aca="false">IF(X301=1,W301,NA())</f>
        <v>#N/A</v>
      </c>
      <c r="AD301" s="73" t="str">
        <f aca="false">IF(ISNUMBER(AE301),IF(ISNUMBER('Base de Datos'!A297),IF('Base de Datos'!A297&gt;20000,DATE(YEAR('Base de Datos'!A297),DAY('Base de Datos'!A297),MONTH('Base de Datos'!A297)),""),IF(TRIM('Base de Datos'!A297)="","",IFERROR(DATE(VALUE(RIGHT(TRIM('Base de Datos'!A297),4)),VALUE(LEFT(TRIM('Base de Datos'!A297),2)),VALUE(MID(TRIM('Base de Datos'!A297),4,2))),""))),"")</f>
        <v/>
      </c>
      <c r="AE301" s="74" t="str">
        <f aca="false">IF(ISNUMBER('Base de Datos'!B297),'Base de Datos'!B297,IF(TRIM('Base de Datos'!B297)="","",IFERROR(IF(IFERROR(FIND("@",SUBSTITUTE(TRIM('Base de Datos'!B297),",","@",LEN(TRIM('Base de Datos'!B297))-LEN(SUBSTITUTE(TRIM('Base de Datos'!B297),",","")))),0)&gt;IFERROR(FIND("@",SUBSTITUTE(TRIM('Base de Datos'!B297),".","@",LEN(TRIM('Base de Datos'!B297))-LEN(SUBSTITUTE(TRIM('Base de Datos'!B297),".","")))),0),_xlfn.NUMBERVALUE(SUBSTITUTE(SUBSTITUTE(TRIM('Base de Datos'!B297),".",""),",","."),".",","),_xlfn.NUMBERVALUE(SUBSTITUTE(TRIM('Base de Datos'!B297),",",""),".",",")),"")))</f>
        <v/>
      </c>
      <c r="AF301" s="73" t="str">
        <f aca="false">IF(ISNUMBER(AG301),IF(ISNUMBER('Base de Datos'!I297),IF('Base de Datos'!I297&gt;20000,INT('Base de Datos'!I297),""),IF(TRIM('Base de Datos'!I297)="","",IFERROR(DATE(VALUE(RIGHT(TRIM('Base de Datos'!I297),4)),VALUE(MID(TRIM('Base de Datos'!I297),4,2)),VALUE(LEFT(TRIM('Base de Datos'!I297),2))),IFERROR(DATEVALUE(TRIM('Base de Datos'!I297)),"")))),"")</f>
        <v/>
      </c>
      <c r="AG301" s="74" t="str">
        <f aca="false">IF(ISNUMBER('Base de Datos'!J297),'Base de Datos'!J297,IF(TRIM('Base de Datos'!J297)="","",IFERROR(IF(IFERROR(FIND("@",SUBSTITUTE(TRIM('Base de Datos'!J297),",","@",LEN(TRIM('Base de Datos'!J297))-LEN(SUBSTITUTE(TRIM('Base de Datos'!J297),",","")))),0)&gt;IFERROR(FIND("@",SUBSTITUTE(TRIM('Base de Datos'!J297),".","@",LEN(TRIM('Base de Datos'!J297))-LEN(SUBSTITUTE(TRIM('Base de Datos'!J297),".","")))),0),_xlfn.NUMBERVALUE(SUBSTITUTE(SUBSTITUTE(TRIM('Base de Datos'!J297),".",""),",","."),".",","),_xlfn.NUMBERVALUE(SUBSTITUTE(TRIM('Base de Datos'!J297),",",""),".",",")),"")))</f>
        <v/>
      </c>
      <c r="AH301" s="73" t="str">
        <f aca="false">IF(ISNUMBER(AI301),IF(ISNUMBER('Base de Datos'!Q297),IF('Base de Datos'!Q297&gt;20000,DATE(YEAR('Base de Datos'!Q297),DAY('Base de Datos'!Q297),MONTH('Base de Datos'!Q297)),""),IF(TRIM('Base de Datos'!Q297)="","",IFERROR(DATE(VALUE(RIGHT(TRIM('Base de Datos'!Q297),4)),VALUE(LEFT(TRIM('Base de Datos'!Q297),2)),VALUE(MID(TRIM('Base de Datos'!Q297),4,2))),""))),"")</f>
        <v/>
      </c>
      <c r="AI301" s="74" t="str">
        <f aca="false">IF(ISNUMBER('Base de Datos'!R297),'Base de Datos'!R297,IF(TRIM('Base de Datos'!R297)="","",IFERROR(IF(IFERROR(FIND("@",SUBSTITUTE(TRIM('Base de Datos'!R297),",","@",LEN(TRIM('Base de Datos'!R297))-LEN(SUBSTITUTE(TRIM('Base de Datos'!R297),",","")))),0)&gt;IFERROR(FIND("@",SUBSTITUTE(TRIM('Base de Datos'!R297),".","@",LEN(TRIM('Base de Datos'!R297))-LEN(SUBSTITUTE(TRIM('Base de Datos'!R297),".","")))),0),_xlfn.NUMBERVALUE(SUBSTITUTE(SUBSTITUTE(TRIM('Base de Datos'!R297),".",""),",","."),".",","),_xlfn.NUMBERVALUE(SUBSTITUTE(TRIM('Base de Datos'!R297),",",""),".",",")),"")))</f>
        <v/>
      </c>
      <c r="AJ301" s="73" t="str">
        <f aca="false">IF(ISNUMBER(AK301),IF(ISNUMBER('Base de Datos'!Y297),IF('Base de Datos'!Y297&gt;20000,INT('Base de Datos'!Y297),""),IF(TRIM('Base de Datos'!Y297)="","",IFERROR(DATE(VALUE(RIGHT(TRIM('Base de Datos'!Y297),4)),VALUE(MID(TRIM('Base de Datos'!Y297),4,2)),VALUE(LEFT(TRIM('Base de Datos'!Y297),2))),IFERROR(DATEVALUE(TRIM('Base de Datos'!Y297)),"")))),"")</f>
        <v/>
      </c>
      <c r="AK301" s="74" t="str">
        <f aca="false">IF(ISNUMBER('Base de Datos'!Z297),'Base de Datos'!Z297,IF(TRIM('Base de Datos'!Z297)="","",IFERROR(IF(IFERROR(FIND("@",SUBSTITUTE(TRIM('Base de Datos'!Z297),",","@",LEN(TRIM('Base de Datos'!Z297))-LEN(SUBSTITUTE(TRIM('Base de Datos'!Z297),",","")))),0)&gt;IFERROR(FIND("@",SUBSTITUTE(TRIM('Base de Datos'!Z297),".","@",LEN(TRIM('Base de Datos'!Z297))-LEN(SUBSTITUTE(TRIM('Base de Datos'!Z297),".","")))),0),_xlfn.NUMBERVALUE(SUBSTITUTE(SUBSTITUTE(TRIM('Base de Datos'!Z297),".",""),",","."),".",","),_xlfn.NUMBERVALUE(SUBSTITUTE(TRIM('Base de Datos'!Z297),",",""),".",",")),"")))</f>
        <v/>
      </c>
    </row>
    <row r="302" customFormat="false" ht="13.5" hidden="false" customHeight="false" outlineLevel="0" collapsed="false">
      <c r="A302" s="75" t="n">
        <f aca="false">ROWS(A$13:A302)</f>
        <v>290</v>
      </c>
      <c r="B302" s="73" t="str">
        <f aca="false">IF(B301="","",IFERROR(SMALL($AH$10:$AH$409,COUNTIF($AH$10:$AH$409,"&lt;="&amp;B301)+1),""))</f>
        <v/>
      </c>
      <c r="C302" s="74" t="str">
        <f aca="false">IF(B302="","",INDEX($AI$10:$AI$409,MATCH(B302,$AH$10:$AH$409,0)))</f>
        <v/>
      </c>
      <c r="D302" s="74" t="str">
        <f aca="false">IF(B302="","",IFERROR(INDEX($AK$10:$AK$409,MATCH(B302,$AJ$10:$AJ$409,0)),""))</f>
        <v/>
      </c>
      <c r="E302" s="76" t="str">
        <f aca="false">IF(AND(ISNUMBER(C302),ISNUMBER(C301)),C302/C301-1,"")</f>
        <v/>
      </c>
      <c r="F302" s="76" t="str">
        <f aca="false">IF(AND(ISNUMBER(D302),ISNUMBER(D301)),D302/D301-1,"")</f>
        <v/>
      </c>
      <c r="G302" s="75" t="str">
        <f aca="false">IF(AND(ISNUMBER(E302),ISNUMBER(F302)),1,"")</f>
        <v/>
      </c>
      <c r="H302" s="75" t="str">
        <f aca="false">IF(G302=1,COUNT(G302:G$412),"")</f>
        <v/>
      </c>
      <c r="I302" s="75" t="str">
        <f aca="false">IF(G302=1,IF(H302&lt;='Beta Regresión'!$B$5,1,""),"")</f>
        <v/>
      </c>
      <c r="J302" s="76" t="str">
        <f aca="false">IF(I302=1,E302,"")</f>
        <v/>
      </c>
      <c r="K302" s="76" t="str">
        <f aca="false">IF(I302=1,F302,"")</f>
        <v/>
      </c>
      <c r="L302" s="75" t="str">
        <f aca="false">IF(I302=1,COUNT(I$13:I302),"")</f>
        <v/>
      </c>
      <c r="M302" s="76" t="str">
        <f aca="false">IFERROR(INDEX($J$13:$J$412,MATCH(A302,$L$13:$L$412,0)),"")</f>
        <v/>
      </c>
      <c r="N302" s="76" t="str">
        <f aca="false">IFERROR(INDEX($K$13:$K$412,MATCH(A302,$L$13:$L$412,0)),"")</f>
        <v/>
      </c>
      <c r="O302" s="76" t="e">
        <f aca="false">IF(I302=1,E302,NA())</f>
        <v>#N/A</v>
      </c>
      <c r="P302" s="76" t="e">
        <f aca="false">IF(I302=1,F302,NA())</f>
        <v>#N/A</v>
      </c>
      <c r="R302" s="75" t="n">
        <f aca="false">ROWS(R$13:R302)</f>
        <v>290</v>
      </c>
      <c r="S302" s="73" t="str">
        <f aca="false">IF(S301="","",IFERROR(SMALL($AD$10:$AD$509,COUNTIF($AD$10:$AD$509,"&lt;="&amp;S301)+1),""))</f>
        <v/>
      </c>
      <c r="T302" s="74" t="str">
        <f aca="false">IF(S302="","",INDEX($AE$10:$AE$509,MATCH(S302,$AD$10:$AD$509,0)))</f>
        <v/>
      </c>
      <c r="U302" s="74" t="str">
        <f aca="false">IF(S302="","",IFERROR(INDEX($AG$10:$AG$509,MATCH(S302,$AF$10:$AF$509,0)),""))</f>
        <v/>
      </c>
      <c r="V302" s="76" t="str">
        <f aca="false">IF(AND(ISNUMBER(T302),ISNUMBER(T301)),T302/T301-1,"")</f>
        <v/>
      </c>
      <c r="W302" s="76" t="str">
        <f aca="false">IF(AND(ISNUMBER(U302),ISNUMBER(U301)),U302/U301-1,"")</f>
        <v/>
      </c>
      <c r="X302" s="75" t="str">
        <f aca="false">IF(AND(ISNUMBER(V302),ISNUMBER(W302)),1,"")</f>
        <v/>
      </c>
      <c r="Y302" s="76" t="str">
        <f aca="false">IF(X302=1,V302,"")</f>
        <v/>
      </c>
      <c r="Z302" s="76" t="str">
        <f aca="false">IF(X302=1,W302,"")</f>
        <v/>
      </c>
      <c r="AA302" s="76" t="e">
        <f aca="false">IF(X302=1,V302,NA())</f>
        <v>#N/A</v>
      </c>
      <c r="AB302" s="76" t="e">
        <f aca="false">IF(X302=1,W302,NA())</f>
        <v>#N/A</v>
      </c>
      <c r="AD302" s="73" t="str">
        <f aca="false">IF(ISNUMBER(AE302),IF(ISNUMBER('Base de Datos'!A298),IF('Base de Datos'!A298&gt;20000,DATE(YEAR('Base de Datos'!A298),DAY('Base de Datos'!A298),MONTH('Base de Datos'!A298)),""),IF(TRIM('Base de Datos'!A298)="","",IFERROR(DATE(VALUE(RIGHT(TRIM('Base de Datos'!A298),4)),VALUE(LEFT(TRIM('Base de Datos'!A298),2)),VALUE(MID(TRIM('Base de Datos'!A298),4,2))),""))),"")</f>
        <v/>
      </c>
      <c r="AE302" s="74" t="str">
        <f aca="false">IF(ISNUMBER('Base de Datos'!B298),'Base de Datos'!B298,IF(TRIM('Base de Datos'!B298)="","",IFERROR(IF(IFERROR(FIND("@",SUBSTITUTE(TRIM('Base de Datos'!B298),",","@",LEN(TRIM('Base de Datos'!B298))-LEN(SUBSTITUTE(TRIM('Base de Datos'!B298),",","")))),0)&gt;IFERROR(FIND("@",SUBSTITUTE(TRIM('Base de Datos'!B298),".","@",LEN(TRIM('Base de Datos'!B298))-LEN(SUBSTITUTE(TRIM('Base de Datos'!B298),".","")))),0),_xlfn.NUMBERVALUE(SUBSTITUTE(SUBSTITUTE(TRIM('Base de Datos'!B298),".",""),",","."),".",","),_xlfn.NUMBERVALUE(SUBSTITUTE(TRIM('Base de Datos'!B298),",",""),".",",")),"")))</f>
        <v/>
      </c>
      <c r="AF302" s="73" t="str">
        <f aca="false">IF(ISNUMBER(AG302),IF(ISNUMBER('Base de Datos'!I298),IF('Base de Datos'!I298&gt;20000,INT('Base de Datos'!I298),""),IF(TRIM('Base de Datos'!I298)="","",IFERROR(DATE(VALUE(RIGHT(TRIM('Base de Datos'!I298),4)),VALUE(MID(TRIM('Base de Datos'!I298),4,2)),VALUE(LEFT(TRIM('Base de Datos'!I298),2))),IFERROR(DATEVALUE(TRIM('Base de Datos'!I298)),"")))),"")</f>
        <v/>
      </c>
      <c r="AG302" s="74" t="str">
        <f aca="false">IF(ISNUMBER('Base de Datos'!J298),'Base de Datos'!J298,IF(TRIM('Base de Datos'!J298)="","",IFERROR(IF(IFERROR(FIND("@",SUBSTITUTE(TRIM('Base de Datos'!J298),",","@",LEN(TRIM('Base de Datos'!J298))-LEN(SUBSTITUTE(TRIM('Base de Datos'!J298),",","")))),0)&gt;IFERROR(FIND("@",SUBSTITUTE(TRIM('Base de Datos'!J298),".","@",LEN(TRIM('Base de Datos'!J298))-LEN(SUBSTITUTE(TRIM('Base de Datos'!J298),".","")))),0),_xlfn.NUMBERVALUE(SUBSTITUTE(SUBSTITUTE(TRIM('Base de Datos'!J298),".",""),",","."),".",","),_xlfn.NUMBERVALUE(SUBSTITUTE(TRIM('Base de Datos'!J298),",",""),".",",")),"")))</f>
        <v/>
      </c>
      <c r="AH302" s="73" t="str">
        <f aca="false">IF(ISNUMBER(AI302),IF(ISNUMBER('Base de Datos'!Q298),IF('Base de Datos'!Q298&gt;20000,DATE(YEAR('Base de Datos'!Q298),DAY('Base de Datos'!Q298),MONTH('Base de Datos'!Q298)),""),IF(TRIM('Base de Datos'!Q298)="","",IFERROR(DATE(VALUE(RIGHT(TRIM('Base de Datos'!Q298),4)),VALUE(LEFT(TRIM('Base de Datos'!Q298),2)),VALUE(MID(TRIM('Base de Datos'!Q298),4,2))),""))),"")</f>
        <v/>
      </c>
      <c r="AI302" s="74" t="str">
        <f aca="false">IF(ISNUMBER('Base de Datos'!R298),'Base de Datos'!R298,IF(TRIM('Base de Datos'!R298)="","",IFERROR(IF(IFERROR(FIND("@",SUBSTITUTE(TRIM('Base de Datos'!R298),",","@",LEN(TRIM('Base de Datos'!R298))-LEN(SUBSTITUTE(TRIM('Base de Datos'!R298),",","")))),0)&gt;IFERROR(FIND("@",SUBSTITUTE(TRIM('Base de Datos'!R298),".","@",LEN(TRIM('Base de Datos'!R298))-LEN(SUBSTITUTE(TRIM('Base de Datos'!R298),".","")))),0),_xlfn.NUMBERVALUE(SUBSTITUTE(SUBSTITUTE(TRIM('Base de Datos'!R298),".",""),",","."),".",","),_xlfn.NUMBERVALUE(SUBSTITUTE(TRIM('Base de Datos'!R298),",",""),".",",")),"")))</f>
        <v/>
      </c>
      <c r="AJ302" s="73" t="str">
        <f aca="false">IF(ISNUMBER(AK302),IF(ISNUMBER('Base de Datos'!Y298),IF('Base de Datos'!Y298&gt;20000,INT('Base de Datos'!Y298),""),IF(TRIM('Base de Datos'!Y298)="","",IFERROR(DATE(VALUE(RIGHT(TRIM('Base de Datos'!Y298),4)),VALUE(MID(TRIM('Base de Datos'!Y298),4,2)),VALUE(LEFT(TRIM('Base de Datos'!Y298),2))),IFERROR(DATEVALUE(TRIM('Base de Datos'!Y298)),"")))),"")</f>
        <v/>
      </c>
      <c r="AK302" s="74" t="str">
        <f aca="false">IF(ISNUMBER('Base de Datos'!Z298),'Base de Datos'!Z298,IF(TRIM('Base de Datos'!Z298)="","",IFERROR(IF(IFERROR(FIND("@",SUBSTITUTE(TRIM('Base de Datos'!Z298),",","@",LEN(TRIM('Base de Datos'!Z298))-LEN(SUBSTITUTE(TRIM('Base de Datos'!Z298),",","")))),0)&gt;IFERROR(FIND("@",SUBSTITUTE(TRIM('Base de Datos'!Z298),".","@",LEN(TRIM('Base de Datos'!Z298))-LEN(SUBSTITUTE(TRIM('Base de Datos'!Z298),".","")))),0),_xlfn.NUMBERVALUE(SUBSTITUTE(SUBSTITUTE(TRIM('Base de Datos'!Z298),".",""),",","."),".",","),_xlfn.NUMBERVALUE(SUBSTITUTE(TRIM('Base de Datos'!Z298),",",""),".",",")),"")))</f>
        <v/>
      </c>
    </row>
    <row r="303" customFormat="false" ht="13.5" hidden="false" customHeight="false" outlineLevel="0" collapsed="false">
      <c r="A303" s="75" t="n">
        <f aca="false">ROWS(A$13:A303)</f>
        <v>291</v>
      </c>
      <c r="B303" s="73" t="str">
        <f aca="false">IF(B302="","",IFERROR(SMALL($AH$10:$AH$409,COUNTIF($AH$10:$AH$409,"&lt;="&amp;B302)+1),""))</f>
        <v/>
      </c>
      <c r="C303" s="74" t="str">
        <f aca="false">IF(B303="","",INDEX($AI$10:$AI$409,MATCH(B303,$AH$10:$AH$409,0)))</f>
        <v/>
      </c>
      <c r="D303" s="74" t="str">
        <f aca="false">IF(B303="","",IFERROR(INDEX($AK$10:$AK$409,MATCH(B303,$AJ$10:$AJ$409,0)),""))</f>
        <v/>
      </c>
      <c r="E303" s="76" t="str">
        <f aca="false">IF(AND(ISNUMBER(C303),ISNUMBER(C302)),C303/C302-1,"")</f>
        <v/>
      </c>
      <c r="F303" s="76" t="str">
        <f aca="false">IF(AND(ISNUMBER(D303),ISNUMBER(D302)),D303/D302-1,"")</f>
        <v/>
      </c>
      <c r="G303" s="75" t="str">
        <f aca="false">IF(AND(ISNUMBER(E303),ISNUMBER(F303)),1,"")</f>
        <v/>
      </c>
      <c r="H303" s="75" t="str">
        <f aca="false">IF(G303=1,COUNT(G303:G$412),"")</f>
        <v/>
      </c>
      <c r="I303" s="75" t="str">
        <f aca="false">IF(G303=1,IF(H303&lt;='Beta Regresión'!$B$5,1,""),"")</f>
        <v/>
      </c>
      <c r="J303" s="76" t="str">
        <f aca="false">IF(I303=1,E303,"")</f>
        <v/>
      </c>
      <c r="K303" s="76" t="str">
        <f aca="false">IF(I303=1,F303,"")</f>
        <v/>
      </c>
      <c r="L303" s="75" t="str">
        <f aca="false">IF(I303=1,COUNT(I$13:I303),"")</f>
        <v/>
      </c>
      <c r="M303" s="76" t="str">
        <f aca="false">IFERROR(INDEX($J$13:$J$412,MATCH(A303,$L$13:$L$412,0)),"")</f>
        <v/>
      </c>
      <c r="N303" s="76" t="str">
        <f aca="false">IFERROR(INDEX($K$13:$K$412,MATCH(A303,$L$13:$L$412,0)),"")</f>
        <v/>
      </c>
      <c r="O303" s="76" t="e">
        <f aca="false">IF(I303=1,E303,NA())</f>
        <v>#N/A</v>
      </c>
      <c r="P303" s="76" t="e">
        <f aca="false">IF(I303=1,F303,NA())</f>
        <v>#N/A</v>
      </c>
      <c r="R303" s="75" t="n">
        <f aca="false">ROWS(R$13:R303)</f>
        <v>291</v>
      </c>
      <c r="S303" s="73" t="str">
        <f aca="false">IF(S302="","",IFERROR(SMALL($AD$10:$AD$509,COUNTIF($AD$10:$AD$509,"&lt;="&amp;S302)+1),""))</f>
        <v/>
      </c>
      <c r="T303" s="74" t="str">
        <f aca="false">IF(S303="","",INDEX($AE$10:$AE$509,MATCH(S303,$AD$10:$AD$509,0)))</f>
        <v/>
      </c>
      <c r="U303" s="74" t="str">
        <f aca="false">IF(S303="","",IFERROR(INDEX($AG$10:$AG$509,MATCH(S303,$AF$10:$AF$509,0)),""))</f>
        <v/>
      </c>
      <c r="V303" s="76" t="str">
        <f aca="false">IF(AND(ISNUMBER(T303),ISNUMBER(T302)),T303/T302-1,"")</f>
        <v/>
      </c>
      <c r="W303" s="76" t="str">
        <f aca="false">IF(AND(ISNUMBER(U303),ISNUMBER(U302)),U303/U302-1,"")</f>
        <v/>
      </c>
      <c r="X303" s="75" t="str">
        <f aca="false">IF(AND(ISNUMBER(V303),ISNUMBER(W303)),1,"")</f>
        <v/>
      </c>
      <c r="Y303" s="76" t="str">
        <f aca="false">IF(X303=1,V303,"")</f>
        <v/>
      </c>
      <c r="Z303" s="76" t="str">
        <f aca="false">IF(X303=1,W303,"")</f>
        <v/>
      </c>
      <c r="AA303" s="76" t="e">
        <f aca="false">IF(X303=1,V303,NA())</f>
        <v>#N/A</v>
      </c>
      <c r="AB303" s="76" t="e">
        <f aca="false">IF(X303=1,W303,NA())</f>
        <v>#N/A</v>
      </c>
      <c r="AD303" s="73" t="str">
        <f aca="false">IF(ISNUMBER(AE303),IF(ISNUMBER('Base de Datos'!A299),IF('Base de Datos'!A299&gt;20000,DATE(YEAR('Base de Datos'!A299),DAY('Base de Datos'!A299),MONTH('Base de Datos'!A299)),""),IF(TRIM('Base de Datos'!A299)="","",IFERROR(DATE(VALUE(RIGHT(TRIM('Base de Datos'!A299),4)),VALUE(LEFT(TRIM('Base de Datos'!A299),2)),VALUE(MID(TRIM('Base de Datos'!A299),4,2))),""))),"")</f>
        <v/>
      </c>
      <c r="AE303" s="74" t="str">
        <f aca="false">IF(ISNUMBER('Base de Datos'!B299),'Base de Datos'!B299,IF(TRIM('Base de Datos'!B299)="","",IFERROR(IF(IFERROR(FIND("@",SUBSTITUTE(TRIM('Base de Datos'!B299),",","@",LEN(TRIM('Base de Datos'!B299))-LEN(SUBSTITUTE(TRIM('Base de Datos'!B299),",","")))),0)&gt;IFERROR(FIND("@",SUBSTITUTE(TRIM('Base de Datos'!B299),".","@",LEN(TRIM('Base de Datos'!B299))-LEN(SUBSTITUTE(TRIM('Base de Datos'!B299),".","")))),0),_xlfn.NUMBERVALUE(SUBSTITUTE(SUBSTITUTE(TRIM('Base de Datos'!B299),".",""),",","."),".",","),_xlfn.NUMBERVALUE(SUBSTITUTE(TRIM('Base de Datos'!B299),",",""),".",",")),"")))</f>
        <v/>
      </c>
      <c r="AF303" s="73" t="str">
        <f aca="false">IF(ISNUMBER(AG303),IF(ISNUMBER('Base de Datos'!I299),IF('Base de Datos'!I299&gt;20000,INT('Base de Datos'!I299),""),IF(TRIM('Base de Datos'!I299)="","",IFERROR(DATE(VALUE(RIGHT(TRIM('Base de Datos'!I299),4)),VALUE(MID(TRIM('Base de Datos'!I299),4,2)),VALUE(LEFT(TRIM('Base de Datos'!I299),2))),IFERROR(DATEVALUE(TRIM('Base de Datos'!I299)),"")))),"")</f>
        <v/>
      </c>
      <c r="AG303" s="74" t="str">
        <f aca="false">IF(ISNUMBER('Base de Datos'!J299),'Base de Datos'!J299,IF(TRIM('Base de Datos'!J299)="","",IFERROR(IF(IFERROR(FIND("@",SUBSTITUTE(TRIM('Base de Datos'!J299),",","@",LEN(TRIM('Base de Datos'!J299))-LEN(SUBSTITUTE(TRIM('Base de Datos'!J299),",","")))),0)&gt;IFERROR(FIND("@",SUBSTITUTE(TRIM('Base de Datos'!J299),".","@",LEN(TRIM('Base de Datos'!J299))-LEN(SUBSTITUTE(TRIM('Base de Datos'!J299),".","")))),0),_xlfn.NUMBERVALUE(SUBSTITUTE(SUBSTITUTE(TRIM('Base de Datos'!J299),".",""),",","."),".",","),_xlfn.NUMBERVALUE(SUBSTITUTE(TRIM('Base de Datos'!J299),",",""),".",",")),"")))</f>
        <v/>
      </c>
      <c r="AH303" s="73" t="str">
        <f aca="false">IF(ISNUMBER(AI303),IF(ISNUMBER('Base de Datos'!Q299),IF('Base de Datos'!Q299&gt;20000,DATE(YEAR('Base de Datos'!Q299),DAY('Base de Datos'!Q299),MONTH('Base de Datos'!Q299)),""),IF(TRIM('Base de Datos'!Q299)="","",IFERROR(DATE(VALUE(RIGHT(TRIM('Base de Datos'!Q299),4)),VALUE(LEFT(TRIM('Base de Datos'!Q299),2)),VALUE(MID(TRIM('Base de Datos'!Q299),4,2))),""))),"")</f>
        <v/>
      </c>
      <c r="AI303" s="74" t="str">
        <f aca="false">IF(ISNUMBER('Base de Datos'!R299),'Base de Datos'!R299,IF(TRIM('Base de Datos'!R299)="","",IFERROR(IF(IFERROR(FIND("@",SUBSTITUTE(TRIM('Base de Datos'!R299),",","@",LEN(TRIM('Base de Datos'!R299))-LEN(SUBSTITUTE(TRIM('Base de Datos'!R299),",","")))),0)&gt;IFERROR(FIND("@",SUBSTITUTE(TRIM('Base de Datos'!R299),".","@",LEN(TRIM('Base de Datos'!R299))-LEN(SUBSTITUTE(TRIM('Base de Datos'!R299),".","")))),0),_xlfn.NUMBERVALUE(SUBSTITUTE(SUBSTITUTE(TRIM('Base de Datos'!R299),".",""),",","."),".",","),_xlfn.NUMBERVALUE(SUBSTITUTE(TRIM('Base de Datos'!R299),",",""),".",",")),"")))</f>
        <v/>
      </c>
      <c r="AJ303" s="73" t="str">
        <f aca="false">IF(ISNUMBER(AK303),IF(ISNUMBER('Base de Datos'!Y299),IF('Base de Datos'!Y299&gt;20000,INT('Base de Datos'!Y299),""),IF(TRIM('Base de Datos'!Y299)="","",IFERROR(DATE(VALUE(RIGHT(TRIM('Base de Datos'!Y299),4)),VALUE(MID(TRIM('Base de Datos'!Y299),4,2)),VALUE(LEFT(TRIM('Base de Datos'!Y299),2))),IFERROR(DATEVALUE(TRIM('Base de Datos'!Y299)),"")))),"")</f>
        <v/>
      </c>
      <c r="AK303" s="74" t="str">
        <f aca="false">IF(ISNUMBER('Base de Datos'!Z299),'Base de Datos'!Z299,IF(TRIM('Base de Datos'!Z299)="","",IFERROR(IF(IFERROR(FIND("@",SUBSTITUTE(TRIM('Base de Datos'!Z299),",","@",LEN(TRIM('Base de Datos'!Z299))-LEN(SUBSTITUTE(TRIM('Base de Datos'!Z299),",","")))),0)&gt;IFERROR(FIND("@",SUBSTITUTE(TRIM('Base de Datos'!Z299),".","@",LEN(TRIM('Base de Datos'!Z299))-LEN(SUBSTITUTE(TRIM('Base de Datos'!Z299),".","")))),0),_xlfn.NUMBERVALUE(SUBSTITUTE(SUBSTITUTE(TRIM('Base de Datos'!Z299),".",""),",","."),".",","),_xlfn.NUMBERVALUE(SUBSTITUTE(TRIM('Base de Datos'!Z299),",",""),".",",")),"")))</f>
        <v/>
      </c>
    </row>
    <row r="304" customFormat="false" ht="13.5" hidden="false" customHeight="false" outlineLevel="0" collapsed="false">
      <c r="A304" s="75" t="n">
        <f aca="false">ROWS(A$13:A304)</f>
        <v>292</v>
      </c>
      <c r="B304" s="73" t="str">
        <f aca="false">IF(B303="","",IFERROR(SMALL($AH$10:$AH$409,COUNTIF($AH$10:$AH$409,"&lt;="&amp;B303)+1),""))</f>
        <v/>
      </c>
      <c r="C304" s="74" t="str">
        <f aca="false">IF(B304="","",INDEX($AI$10:$AI$409,MATCH(B304,$AH$10:$AH$409,0)))</f>
        <v/>
      </c>
      <c r="D304" s="74" t="str">
        <f aca="false">IF(B304="","",IFERROR(INDEX($AK$10:$AK$409,MATCH(B304,$AJ$10:$AJ$409,0)),""))</f>
        <v/>
      </c>
      <c r="E304" s="76" t="str">
        <f aca="false">IF(AND(ISNUMBER(C304),ISNUMBER(C303)),C304/C303-1,"")</f>
        <v/>
      </c>
      <c r="F304" s="76" t="str">
        <f aca="false">IF(AND(ISNUMBER(D304),ISNUMBER(D303)),D304/D303-1,"")</f>
        <v/>
      </c>
      <c r="G304" s="75" t="str">
        <f aca="false">IF(AND(ISNUMBER(E304),ISNUMBER(F304)),1,"")</f>
        <v/>
      </c>
      <c r="H304" s="75" t="str">
        <f aca="false">IF(G304=1,COUNT(G304:G$412),"")</f>
        <v/>
      </c>
      <c r="I304" s="75" t="str">
        <f aca="false">IF(G304=1,IF(H304&lt;='Beta Regresión'!$B$5,1,""),"")</f>
        <v/>
      </c>
      <c r="J304" s="76" t="str">
        <f aca="false">IF(I304=1,E304,"")</f>
        <v/>
      </c>
      <c r="K304" s="76" t="str">
        <f aca="false">IF(I304=1,F304,"")</f>
        <v/>
      </c>
      <c r="L304" s="75" t="str">
        <f aca="false">IF(I304=1,COUNT(I$13:I304),"")</f>
        <v/>
      </c>
      <c r="M304" s="76" t="str">
        <f aca="false">IFERROR(INDEX($J$13:$J$412,MATCH(A304,$L$13:$L$412,0)),"")</f>
        <v/>
      </c>
      <c r="N304" s="76" t="str">
        <f aca="false">IFERROR(INDEX($K$13:$K$412,MATCH(A304,$L$13:$L$412,0)),"")</f>
        <v/>
      </c>
      <c r="O304" s="76" t="e">
        <f aca="false">IF(I304=1,E304,NA())</f>
        <v>#N/A</v>
      </c>
      <c r="P304" s="76" t="e">
        <f aca="false">IF(I304=1,F304,NA())</f>
        <v>#N/A</v>
      </c>
      <c r="R304" s="75" t="n">
        <f aca="false">ROWS(R$13:R304)</f>
        <v>292</v>
      </c>
      <c r="S304" s="73" t="str">
        <f aca="false">IF(S303="","",IFERROR(SMALL($AD$10:$AD$509,COUNTIF($AD$10:$AD$509,"&lt;="&amp;S303)+1),""))</f>
        <v/>
      </c>
      <c r="T304" s="74" t="str">
        <f aca="false">IF(S304="","",INDEX($AE$10:$AE$509,MATCH(S304,$AD$10:$AD$509,0)))</f>
        <v/>
      </c>
      <c r="U304" s="74" t="str">
        <f aca="false">IF(S304="","",IFERROR(INDEX($AG$10:$AG$509,MATCH(S304,$AF$10:$AF$509,0)),""))</f>
        <v/>
      </c>
      <c r="V304" s="76" t="str">
        <f aca="false">IF(AND(ISNUMBER(T304),ISNUMBER(T303)),T304/T303-1,"")</f>
        <v/>
      </c>
      <c r="W304" s="76" t="str">
        <f aca="false">IF(AND(ISNUMBER(U304),ISNUMBER(U303)),U304/U303-1,"")</f>
        <v/>
      </c>
      <c r="X304" s="75" t="str">
        <f aca="false">IF(AND(ISNUMBER(V304),ISNUMBER(W304)),1,"")</f>
        <v/>
      </c>
      <c r="Y304" s="76" t="str">
        <f aca="false">IF(X304=1,V304,"")</f>
        <v/>
      </c>
      <c r="Z304" s="76" t="str">
        <f aca="false">IF(X304=1,W304,"")</f>
        <v/>
      </c>
      <c r="AA304" s="76" t="e">
        <f aca="false">IF(X304=1,V304,NA())</f>
        <v>#N/A</v>
      </c>
      <c r="AB304" s="76" t="e">
        <f aca="false">IF(X304=1,W304,NA())</f>
        <v>#N/A</v>
      </c>
      <c r="AD304" s="73" t="str">
        <f aca="false">IF(ISNUMBER(AE304),IF(ISNUMBER('Base de Datos'!A300),IF('Base de Datos'!A300&gt;20000,DATE(YEAR('Base de Datos'!A300),DAY('Base de Datos'!A300),MONTH('Base de Datos'!A300)),""),IF(TRIM('Base de Datos'!A300)="","",IFERROR(DATE(VALUE(RIGHT(TRIM('Base de Datos'!A300),4)),VALUE(LEFT(TRIM('Base de Datos'!A300),2)),VALUE(MID(TRIM('Base de Datos'!A300),4,2))),""))),"")</f>
        <v/>
      </c>
      <c r="AE304" s="74" t="str">
        <f aca="false">IF(ISNUMBER('Base de Datos'!B300),'Base de Datos'!B300,IF(TRIM('Base de Datos'!B300)="","",IFERROR(IF(IFERROR(FIND("@",SUBSTITUTE(TRIM('Base de Datos'!B300),",","@",LEN(TRIM('Base de Datos'!B300))-LEN(SUBSTITUTE(TRIM('Base de Datos'!B300),",","")))),0)&gt;IFERROR(FIND("@",SUBSTITUTE(TRIM('Base de Datos'!B300),".","@",LEN(TRIM('Base de Datos'!B300))-LEN(SUBSTITUTE(TRIM('Base de Datos'!B300),".","")))),0),_xlfn.NUMBERVALUE(SUBSTITUTE(SUBSTITUTE(TRIM('Base de Datos'!B300),".",""),",","."),".",","),_xlfn.NUMBERVALUE(SUBSTITUTE(TRIM('Base de Datos'!B300),",",""),".",",")),"")))</f>
        <v/>
      </c>
      <c r="AF304" s="73" t="str">
        <f aca="false">IF(ISNUMBER(AG304),IF(ISNUMBER('Base de Datos'!I300),IF('Base de Datos'!I300&gt;20000,INT('Base de Datos'!I300),""),IF(TRIM('Base de Datos'!I300)="","",IFERROR(DATE(VALUE(RIGHT(TRIM('Base de Datos'!I300),4)),VALUE(MID(TRIM('Base de Datos'!I300),4,2)),VALUE(LEFT(TRIM('Base de Datos'!I300),2))),IFERROR(DATEVALUE(TRIM('Base de Datos'!I300)),"")))),"")</f>
        <v/>
      </c>
      <c r="AG304" s="74" t="str">
        <f aca="false">IF(ISNUMBER('Base de Datos'!J300),'Base de Datos'!J300,IF(TRIM('Base de Datos'!J300)="","",IFERROR(IF(IFERROR(FIND("@",SUBSTITUTE(TRIM('Base de Datos'!J300),",","@",LEN(TRIM('Base de Datos'!J300))-LEN(SUBSTITUTE(TRIM('Base de Datos'!J300),",","")))),0)&gt;IFERROR(FIND("@",SUBSTITUTE(TRIM('Base de Datos'!J300),".","@",LEN(TRIM('Base de Datos'!J300))-LEN(SUBSTITUTE(TRIM('Base de Datos'!J300),".","")))),0),_xlfn.NUMBERVALUE(SUBSTITUTE(SUBSTITUTE(TRIM('Base de Datos'!J300),".",""),",","."),".",","),_xlfn.NUMBERVALUE(SUBSTITUTE(TRIM('Base de Datos'!J300),",",""),".",",")),"")))</f>
        <v/>
      </c>
      <c r="AH304" s="73" t="str">
        <f aca="false">IF(ISNUMBER(AI304),IF(ISNUMBER('Base de Datos'!Q300),IF('Base de Datos'!Q300&gt;20000,DATE(YEAR('Base de Datos'!Q300),DAY('Base de Datos'!Q300),MONTH('Base de Datos'!Q300)),""),IF(TRIM('Base de Datos'!Q300)="","",IFERROR(DATE(VALUE(RIGHT(TRIM('Base de Datos'!Q300),4)),VALUE(LEFT(TRIM('Base de Datos'!Q300),2)),VALUE(MID(TRIM('Base de Datos'!Q300),4,2))),""))),"")</f>
        <v/>
      </c>
      <c r="AI304" s="74" t="str">
        <f aca="false">IF(ISNUMBER('Base de Datos'!R300),'Base de Datos'!R300,IF(TRIM('Base de Datos'!R300)="","",IFERROR(IF(IFERROR(FIND("@",SUBSTITUTE(TRIM('Base de Datos'!R300),",","@",LEN(TRIM('Base de Datos'!R300))-LEN(SUBSTITUTE(TRIM('Base de Datos'!R300),",","")))),0)&gt;IFERROR(FIND("@",SUBSTITUTE(TRIM('Base de Datos'!R300),".","@",LEN(TRIM('Base de Datos'!R300))-LEN(SUBSTITUTE(TRIM('Base de Datos'!R300),".","")))),0),_xlfn.NUMBERVALUE(SUBSTITUTE(SUBSTITUTE(TRIM('Base de Datos'!R300),".",""),",","."),".",","),_xlfn.NUMBERVALUE(SUBSTITUTE(TRIM('Base de Datos'!R300),",",""),".",",")),"")))</f>
        <v/>
      </c>
      <c r="AJ304" s="73" t="str">
        <f aca="false">IF(ISNUMBER(AK304),IF(ISNUMBER('Base de Datos'!Y300),IF('Base de Datos'!Y300&gt;20000,INT('Base de Datos'!Y300),""),IF(TRIM('Base de Datos'!Y300)="","",IFERROR(DATE(VALUE(RIGHT(TRIM('Base de Datos'!Y300),4)),VALUE(MID(TRIM('Base de Datos'!Y300),4,2)),VALUE(LEFT(TRIM('Base de Datos'!Y300),2))),IFERROR(DATEVALUE(TRIM('Base de Datos'!Y300)),"")))),"")</f>
        <v/>
      </c>
      <c r="AK304" s="74" t="str">
        <f aca="false">IF(ISNUMBER('Base de Datos'!Z300),'Base de Datos'!Z300,IF(TRIM('Base de Datos'!Z300)="","",IFERROR(IF(IFERROR(FIND("@",SUBSTITUTE(TRIM('Base de Datos'!Z300),",","@",LEN(TRIM('Base de Datos'!Z300))-LEN(SUBSTITUTE(TRIM('Base de Datos'!Z300),",","")))),0)&gt;IFERROR(FIND("@",SUBSTITUTE(TRIM('Base de Datos'!Z300),".","@",LEN(TRIM('Base de Datos'!Z300))-LEN(SUBSTITUTE(TRIM('Base de Datos'!Z300),".","")))),0),_xlfn.NUMBERVALUE(SUBSTITUTE(SUBSTITUTE(TRIM('Base de Datos'!Z300),".",""),",","."),".",","),_xlfn.NUMBERVALUE(SUBSTITUTE(TRIM('Base de Datos'!Z300),",",""),".",",")),"")))</f>
        <v/>
      </c>
    </row>
    <row r="305" customFormat="false" ht="13.5" hidden="false" customHeight="false" outlineLevel="0" collapsed="false">
      <c r="A305" s="75" t="n">
        <f aca="false">ROWS(A$13:A305)</f>
        <v>293</v>
      </c>
      <c r="B305" s="73" t="str">
        <f aca="false">IF(B304="","",IFERROR(SMALL($AH$10:$AH$409,COUNTIF($AH$10:$AH$409,"&lt;="&amp;B304)+1),""))</f>
        <v/>
      </c>
      <c r="C305" s="74" t="str">
        <f aca="false">IF(B305="","",INDEX($AI$10:$AI$409,MATCH(B305,$AH$10:$AH$409,0)))</f>
        <v/>
      </c>
      <c r="D305" s="74" t="str">
        <f aca="false">IF(B305="","",IFERROR(INDEX($AK$10:$AK$409,MATCH(B305,$AJ$10:$AJ$409,0)),""))</f>
        <v/>
      </c>
      <c r="E305" s="76" t="str">
        <f aca="false">IF(AND(ISNUMBER(C305),ISNUMBER(C304)),C305/C304-1,"")</f>
        <v/>
      </c>
      <c r="F305" s="76" t="str">
        <f aca="false">IF(AND(ISNUMBER(D305),ISNUMBER(D304)),D305/D304-1,"")</f>
        <v/>
      </c>
      <c r="G305" s="75" t="str">
        <f aca="false">IF(AND(ISNUMBER(E305),ISNUMBER(F305)),1,"")</f>
        <v/>
      </c>
      <c r="H305" s="75" t="str">
        <f aca="false">IF(G305=1,COUNT(G305:G$412),"")</f>
        <v/>
      </c>
      <c r="I305" s="75" t="str">
        <f aca="false">IF(G305=1,IF(H305&lt;='Beta Regresión'!$B$5,1,""),"")</f>
        <v/>
      </c>
      <c r="J305" s="76" t="str">
        <f aca="false">IF(I305=1,E305,"")</f>
        <v/>
      </c>
      <c r="K305" s="76" t="str">
        <f aca="false">IF(I305=1,F305,"")</f>
        <v/>
      </c>
      <c r="L305" s="75" t="str">
        <f aca="false">IF(I305=1,COUNT(I$13:I305),"")</f>
        <v/>
      </c>
      <c r="M305" s="76" t="str">
        <f aca="false">IFERROR(INDEX($J$13:$J$412,MATCH(A305,$L$13:$L$412,0)),"")</f>
        <v/>
      </c>
      <c r="N305" s="76" t="str">
        <f aca="false">IFERROR(INDEX($K$13:$K$412,MATCH(A305,$L$13:$L$412,0)),"")</f>
        <v/>
      </c>
      <c r="O305" s="76" t="e">
        <f aca="false">IF(I305=1,E305,NA())</f>
        <v>#N/A</v>
      </c>
      <c r="P305" s="76" t="e">
        <f aca="false">IF(I305=1,F305,NA())</f>
        <v>#N/A</v>
      </c>
      <c r="R305" s="75" t="n">
        <f aca="false">ROWS(R$13:R305)</f>
        <v>293</v>
      </c>
      <c r="S305" s="73" t="str">
        <f aca="false">IF(S304="","",IFERROR(SMALL($AD$10:$AD$509,COUNTIF($AD$10:$AD$509,"&lt;="&amp;S304)+1),""))</f>
        <v/>
      </c>
      <c r="T305" s="74" t="str">
        <f aca="false">IF(S305="","",INDEX($AE$10:$AE$509,MATCH(S305,$AD$10:$AD$509,0)))</f>
        <v/>
      </c>
      <c r="U305" s="74" t="str">
        <f aca="false">IF(S305="","",IFERROR(INDEX($AG$10:$AG$509,MATCH(S305,$AF$10:$AF$509,0)),""))</f>
        <v/>
      </c>
      <c r="V305" s="76" t="str">
        <f aca="false">IF(AND(ISNUMBER(T305),ISNUMBER(T304)),T305/T304-1,"")</f>
        <v/>
      </c>
      <c r="W305" s="76" t="str">
        <f aca="false">IF(AND(ISNUMBER(U305),ISNUMBER(U304)),U305/U304-1,"")</f>
        <v/>
      </c>
      <c r="X305" s="75" t="str">
        <f aca="false">IF(AND(ISNUMBER(V305),ISNUMBER(W305)),1,"")</f>
        <v/>
      </c>
      <c r="Y305" s="76" t="str">
        <f aca="false">IF(X305=1,V305,"")</f>
        <v/>
      </c>
      <c r="Z305" s="76" t="str">
        <f aca="false">IF(X305=1,W305,"")</f>
        <v/>
      </c>
      <c r="AA305" s="76" t="e">
        <f aca="false">IF(X305=1,V305,NA())</f>
        <v>#N/A</v>
      </c>
      <c r="AB305" s="76" t="e">
        <f aca="false">IF(X305=1,W305,NA())</f>
        <v>#N/A</v>
      </c>
      <c r="AD305" s="73" t="str">
        <f aca="false">IF(ISNUMBER(AE305),IF(ISNUMBER('Base de Datos'!A301),IF('Base de Datos'!A301&gt;20000,DATE(YEAR('Base de Datos'!A301),DAY('Base de Datos'!A301),MONTH('Base de Datos'!A301)),""),IF(TRIM('Base de Datos'!A301)="","",IFERROR(DATE(VALUE(RIGHT(TRIM('Base de Datos'!A301),4)),VALUE(LEFT(TRIM('Base de Datos'!A301),2)),VALUE(MID(TRIM('Base de Datos'!A301),4,2))),""))),"")</f>
        <v/>
      </c>
      <c r="AE305" s="74" t="str">
        <f aca="false">IF(ISNUMBER('Base de Datos'!B301),'Base de Datos'!B301,IF(TRIM('Base de Datos'!B301)="","",IFERROR(IF(IFERROR(FIND("@",SUBSTITUTE(TRIM('Base de Datos'!B301),",","@",LEN(TRIM('Base de Datos'!B301))-LEN(SUBSTITUTE(TRIM('Base de Datos'!B301),",","")))),0)&gt;IFERROR(FIND("@",SUBSTITUTE(TRIM('Base de Datos'!B301),".","@",LEN(TRIM('Base de Datos'!B301))-LEN(SUBSTITUTE(TRIM('Base de Datos'!B301),".","")))),0),_xlfn.NUMBERVALUE(SUBSTITUTE(SUBSTITUTE(TRIM('Base de Datos'!B301),".",""),",","."),".",","),_xlfn.NUMBERVALUE(SUBSTITUTE(TRIM('Base de Datos'!B301),",",""),".",",")),"")))</f>
        <v/>
      </c>
      <c r="AF305" s="73" t="str">
        <f aca="false">IF(ISNUMBER(AG305),IF(ISNUMBER('Base de Datos'!I301),IF('Base de Datos'!I301&gt;20000,INT('Base de Datos'!I301),""),IF(TRIM('Base de Datos'!I301)="","",IFERROR(DATE(VALUE(RIGHT(TRIM('Base de Datos'!I301),4)),VALUE(MID(TRIM('Base de Datos'!I301),4,2)),VALUE(LEFT(TRIM('Base de Datos'!I301),2))),IFERROR(DATEVALUE(TRIM('Base de Datos'!I301)),"")))),"")</f>
        <v/>
      </c>
      <c r="AG305" s="74" t="str">
        <f aca="false">IF(ISNUMBER('Base de Datos'!J301),'Base de Datos'!J301,IF(TRIM('Base de Datos'!J301)="","",IFERROR(IF(IFERROR(FIND("@",SUBSTITUTE(TRIM('Base de Datos'!J301),",","@",LEN(TRIM('Base de Datos'!J301))-LEN(SUBSTITUTE(TRIM('Base de Datos'!J301),",","")))),0)&gt;IFERROR(FIND("@",SUBSTITUTE(TRIM('Base de Datos'!J301),".","@",LEN(TRIM('Base de Datos'!J301))-LEN(SUBSTITUTE(TRIM('Base de Datos'!J301),".","")))),0),_xlfn.NUMBERVALUE(SUBSTITUTE(SUBSTITUTE(TRIM('Base de Datos'!J301),".",""),",","."),".",","),_xlfn.NUMBERVALUE(SUBSTITUTE(TRIM('Base de Datos'!J301),",",""),".",",")),"")))</f>
        <v/>
      </c>
      <c r="AH305" s="73" t="str">
        <f aca="false">IF(ISNUMBER(AI305),IF(ISNUMBER('Base de Datos'!Q301),IF('Base de Datos'!Q301&gt;20000,DATE(YEAR('Base de Datos'!Q301),DAY('Base de Datos'!Q301),MONTH('Base de Datos'!Q301)),""),IF(TRIM('Base de Datos'!Q301)="","",IFERROR(DATE(VALUE(RIGHT(TRIM('Base de Datos'!Q301),4)),VALUE(LEFT(TRIM('Base de Datos'!Q301),2)),VALUE(MID(TRIM('Base de Datos'!Q301),4,2))),""))),"")</f>
        <v/>
      </c>
      <c r="AI305" s="74" t="str">
        <f aca="false">IF(ISNUMBER('Base de Datos'!R301),'Base de Datos'!R301,IF(TRIM('Base de Datos'!R301)="","",IFERROR(IF(IFERROR(FIND("@",SUBSTITUTE(TRIM('Base de Datos'!R301),",","@",LEN(TRIM('Base de Datos'!R301))-LEN(SUBSTITUTE(TRIM('Base de Datos'!R301),",","")))),0)&gt;IFERROR(FIND("@",SUBSTITUTE(TRIM('Base de Datos'!R301),".","@",LEN(TRIM('Base de Datos'!R301))-LEN(SUBSTITUTE(TRIM('Base de Datos'!R301),".","")))),0),_xlfn.NUMBERVALUE(SUBSTITUTE(SUBSTITUTE(TRIM('Base de Datos'!R301),".",""),",","."),".",","),_xlfn.NUMBERVALUE(SUBSTITUTE(TRIM('Base de Datos'!R301),",",""),".",",")),"")))</f>
        <v/>
      </c>
      <c r="AJ305" s="73" t="str">
        <f aca="false">IF(ISNUMBER(AK305),IF(ISNUMBER('Base de Datos'!Y301),IF('Base de Datos'!Y301&gt;20000,INT('Base de Datos'!Y301),""),IF(TRIM('Base de Datos'!Y301)="","",IFERROR(DATE(VALUE(RIGHT(TRIM('Base de Datos'!Y301),4)),VALUE(MID(TRIM('Base de Datos'!Y301),4,2)),VALUE(LEFT(TRIM('Base de Datos'!Y301),2))),IFERROR(DATEVALUE(TRIM('Base de Datos'!Y301)),"")))),"")</f>
        <v/>
      </c>
      <c r="AK305" s="74" t="str">
        <f aca="false">IF(ISNUMBER('Base de Datos'!Z301),'Base de Datos'!Z301,IF(TRIM('Base de Datos'!Z301)="","",IFERROR(IF(IFERROR(FIND("@",SUBSTITUTE(TRIM('Base de Datos'!Z301),",","@",LEN(TRIM('Base de Datos'!Z301))-LEN(SUBSTITUTE(TRIM('Base de Datos'!Z301),",","")))),0)&gt;IFERROR(FIND("@",SUBSTITUTE(TRIM('Base de Datos'!Z301),".","@",LEN(TRIM('Base de Datos'!Z301))-LEN(SUBSTITUTE(TRIM('Base de Datos'!Z301),".","")))),0),_xlfn.NUMBERVALUE(SUBSTITUTE(SUBSTITUTE(TRIM('Base de Datos'!Z301),".",""),",","."),".",","),_xlfn.NUMBERVALUE(SUBSTITUTE(TRIM('Base de Datos'!Z301),",",""),".",",")),"")))</f>
        <v/>
      </c>
    </row>
    <row r="306" customFormat="false" ht="13.5" hidden="false" customHeight="false" outlineLevel="0" collapsed="false">
      <c r="A306" s="75" t="n">
        <f aca="false">ROWS(A$13:A306)</f>
        <v>294</v>
      </c>
      <c r="B306" s="73" t="str">
        <f aca="false">IF(B305="","",IFERROR(SMALL($AH$10:$AH$409,COUNTIF($AH$10:$AH$409,"&lt;="&amp;B305)+1),""))</f>
        <v/>
      </c>
      <c r="C306" s="74" t="str">
        <f aca="false">IF(B306="","",INDEX($AI$10:$AI$409,MATCH(B306,$AH$10:$AH$409,0)))</f>
        <v/>
      </c>
      <c r="D306" s="74" t="str">
        <f aca="false">IF(B306="","",IFERROR(INDEX($AK$10:$AK$409,MATCH(B306,$AJ$10:$AJ$409,0)),""))</f>
        <v/>
      </c>
      <c r="E306" s="76" t="str">
        <f aca="false">IF(AND(ISNUMBER(C306),ISNUMBER(C305)),C306/C305-1,"")</f>
        <v/>
      </c>
      <c r="F306" s="76" t="str">
        <f aca="false">IF(AND(ISNUMBER(D306),ISNUMBER(D305)),D306/D305-1,"")</f>
        <v/>
      </c>
      <c r="G306" s="75" t="str">
        <f aca="false">IF(AND(ISNUMBER(E306),ISNUMBER(F306)),1,"")</f>
        <v/>
      </c>
      <c r="H306" s="75" t="str">
        <f aca="false">IF(G306=1,COUNT(G306:G$412),"")</f>
        <v/>
      </c>
      <c r="I306" s="75" t="str">
        <f aca="false">IF(G306=1,IF(H306&lt;='Beta Regresión'!$B$5,1,""),"")</f>
        <v/>
      </c>
      <c r="J306" s="76" t="str">
        <f aca="false">IF(I306=1,E306,"")</f>
        <v/>
      </c>
      <c r="K306" s="76" t="str">
        <f aca="false">IF(I306=1,F306,"")</f>
        <v/>
      </c>
      <c r="L306" s="75" t="str">
        <f aca="false">IF(I306=1,COUNT(I$13:I306),"")</f>
        <v/>
      </c>
      <c r="M306" s="76" t="str">
        <f aca="false">IFERROR(INDEX($J$13:$J$412,MATCH(A306,$L$13:$L$412,0)),"")</f>
        <v/>
      </c>
      <c r="N306" s="76" t="str">
        <f aca="false">IFERROR(INDEX($K$13:$K$412,MATCH(A306,$L$13:$L$412,0)),"")</f>
        <v/>
      </c>
      <c r="O306" s="76" t="e">
        <f aca="false">IF(I306=1,E306,NA())</f>
        <v>#N/A</v>
      </c>
      <c r="P306" s="76" t="e">
        <f aca="false">IF(I306=1,F306,NA())</f>
        <v>#N/A</v>
      </c>
      <c r="R306" s="75" t="n">
        <f aca="false">ROWS(R$13:R306)</f>
        <v>294</v>
      </c>
      <c r="S306" s="73" t="str">
        <f aca="false">IF(S305="","",IFERROR(SMALL($AD$10:$AD$509,COUNTIF($AD$10:$AD$509,"&lt;="&amp;S305)+1),""))</f>
        <v/>
      </c>
      <c r="T306" s="74" t="str">
        <f aca="false">IF(S306="","",INDEX($AE$10:$AE$509,MATCH(S306,$AD$10:$AD$509,0)))</f>
        <v/>
      </c>
      <c r="U306" s="74" t="str">
        <f aca="false">IF(S306="","",IFERROR(INDEX($AG$10:$AG$509,MATCH(S306,$AF$10:$AF$509,0)),""))</f>
        <v/>
      </c>
      <c r="V306" s="76" t="str">
        <f aca="false">IF(AND(ISNUMBER(T306),ISNUMBER(T305)),T306/T305-1,"")</f>
        <v/>
      </c>
      <c r="W306" s="76" t="str">
        <f aca="false">IF(AND(ISNUMBER(U306),ISNUMBER(U305)),U306/U305-1,"")</f>
        <v/>
      </c>
      <c r="X306" s="75" t="str">
        <f aca="false">IF(AND(ISNUMBER(V306),ISNUMBER(W306)),1,"")</f>
        <v/>
      </c>
      <c r="Y306" s="76" t="str">
        <f aca="false">IF(X306=1,V306,"")</f>
        <v/>
      </c>
      <c r="Z306" s="76" t="str">
        <f aca="false">IF(X306=1,W306,"")</f>
        <v/>
      </c>
      <c r="AA306" s="76" t="e">
        <f aca="false">IF(X306=1,V306,NA())</f>
        <v>#N/A</v>
      </c>
      <c r="AB306" s="76" t="e">
        <f aca="false">IF(X306=1,W306,NA())</f>
        <v>#N/A</v>
      </c>
      <c r="AD306" s="73" t="str">
        <f aca="false">IF(ISNUMBER(AE306),IF(ISNUMBER('Base de Datos'!A302),IF('Base de Datos'!A302&gt;20000,DATE(YEAR('Base de Datos'!A302),DAY('Base de Datos'!A302),MONTH('Base de Datos'!A302)),""),IF(TRIM('Base de Datos'!A302)="","",IFERROR(DATE(VALUE(RIGHT(TRIM('Base de Datos'!A302),4)),VALUE(LEFT(TRIM('Base de Datos'!A302),2)),VALUE(MID(TRIM('Base de Datos'!A302),4,2))),""))),"")</f>
        <v/>
      </c>
      <c r="AE306" s="74" t="str">
        <f aca="false">IF(ISNUMBER('Base de Datos'!B302),'Base de Datos'!B302,IF(TRIM('Base de Datos'!B302)="","",IFERROR(IF(IFERROR(FIND("@",SUBSTITUTE(TRIM('Base de Datos'!B302),",","@",LEN(TRIM('Base de Datos'!B302))-LEN(SUBSTITUTE(TRIM('Base de Datos'!B302),",","")))),0)&gt;IFERROR(FIND("@",SUBSTITUTE(TRIM('Base de Datos'!B302),".","@",LEN(TRIM('Base de Datos'!B302))-LEN(SUBSTITUTE(TRIM('Base de Datos'!B302),".","")))),0),_xlfn.NUMBERVALUE(SUBSTITUTE(SUBSTITUTE(TRIM('Base de Datos'!B302),".",""),",","."),".",","),_xlfn.NUMBERVALUE(SUBSTITUTE(TRIM('Base de Datos'!B302),",",""),".",",")),"")))</f>
        <v/>
      </c>
      <c r="AF306" s="73" t="str">
        <f aca="false">IF(ISNUMBER(AG306),IF(ISNUMBER('Base de Datos'!I302),IF('Base de Datos'!I302&gt;20000,INT('Base de Datos'!I302),""),IF(TRIM('Base de Datos'!I302)="","",IFERROR(DATE(VALUE(RIGHT(TRIM('Base de Datos'!I302),4)),VALUE(MID(TRIM('Base de Datos'!I302),4,2)),VALUE(LEFT(TRIM('Base de Datos'!I302),2))),IFERROR(DATEVALUE(TRIM('Base de Datos'!I302)),"")))),"")</f>
        <v/>
      </c>
      <c r="AG306" s="74" t="str">
        <f aca="false">IF(ISNUMBER('Base de Datos'!J302),'Base de Datos'!J302,IF(TRIM('Base de Datos'!J302)="","",IFERROR(IF(IFERROR(FIND("@",SUBSTITUTE(TRIM('Base de Datos'!J302),",","@",LEN(TRIM('Base de Datos'!J302))-LEN(SUBSTITUTE(TRIM('Base de Datos'!J302),",","")))),0)&gt;IFERROR(FIND("@",SUBSTITUTE(TRIM('Base de Datos'!J302),".","@",LEN(TRIM('Base de Datos'!J302))-LEN(SUBSTITUTE(TRIM('Base de Datos'!J302),".","")))),0),_xlfn.NUMBERVALUE(SUBSTITUTE(SUBSTITUTE(TRIM('Base de Datos'!J302),".",""),",","."),".",","),_xlfn.NUMBERVALUE(SUBSTITUTE(TRIM('Base de Datos'!J302),",",""),".",",")),"")))</f>
        <v/>
      </c>
      <c r="AH306" s="73" t="str">
        <f aca="false">IF(ISNUMBER(AI306),IF(ISNUMBER('Base de Datos'!Q302),IF('Base de Datos'!Q302&gt;20000,DATE(YEAR('Base de Datos'!Q302),DAY('Base de Datos'!Q302),MONTH('Base de Datos'!Q302)),""),IF(TRIM('Base de Datos'!Q302)="","",IFERROR(DATE(VALUE(RIGHT(TRIM('Base de Datos'!Q302),4)),VALUE(LEFT(TRIM('Base de Datos'!Q302),2)),VALUE(MID(TRIM('Base de Datos'!Q302),4,2))),""))),"")</f>
        <v/>
      </c>
      <c r="AI306" s="74" t="str">
        <f aca="false">IF(ISNUMBER('Base de Datos'!R302),'Base de Datos'!R302,IF(TRIM('Base de Datos'!R302)="","",IFERROR(IF(IFERROR(FIND("@",SUBSTITUTE(TRIM('Base de Datos'!R302),",","@",LEN(TRIM('Base de Datos'!R302))-LEN(SUBSTITUTE(TRIM('Base de Datos'!R302),",","")))),0)&gt;IFERROR(FIND("@",SUBSTITUTE(TRIM('Base de Datos'!R302),".","@",LEN(TRIM('Base de Datos'!R302))-LEN(SUBSTITUTE(TRIM('Base de Datos'!R302),".","")))),0),_xlfn.NUMBERVALUE(SUBSTITUTE(SUBSTITUTE(TRIM('Base de Datos'!R302),".",""),",","."),".",","),_xlfn.NUMBERVALUE(SUBSTITUTE(TRIM('Base de Datos'!R302),",",""),".",",")),"")))</f>
        <v/>
      </c>
      <c r="AJ306" s="73" t="str">
        <f aca="false">IF(ISNUMBER(AK306),IF(ISNUMBER('Base de Datos'!Y302),IF('Base de Datos'!Y302&gt;20000,INT('Base de Datos'!Y302),""),IF(TRIM('Base de Datos'!Y302)="","",IFERROR(DATE(VALUE(RIGHT(TRIM('Base de Datos'!Y302),4)),VALUE(MID(TRIM('Base de Datos'!Y302),4,2)),VALUE(LEFT(TRIM('Base de Datos'!Y302),2))),IFERROR(DATEVALUE(TRIM('Base de Datos'!Y302)),"")))),"")</f>
        <v/>
      </c>
      <c r="AK306" s="74" t="str">
        <f aca="false">IF(ISNUMBER('Base de Datos'!Z302),'Base de Datos'!Z302,IF(TRIM('Base de Datos'!Z302)="","",IFERROR(IF(IFERROR(FIND("@",SUBSTITUTE(TRIM('Base de Datos'!Z302),",","@",LEN(TRIM('Base de Datos'!Z302))-LEN(SUBSTITUTE(TRIM('Base de Datos'!Z302),",","")))),0)&gt;IFERROR(FIND("@",SUBSTITUTE(TRIM('Base de Datos'!Z302),".","@",LEN(TRIM('Base de Datos'!Z302))-LEN(SUBSTITUTE(TRIM('Base de Datos'!Z302),".","")))),0),_xlfn.NUMBERVALUE(SUBSTITUTE(SUBSTITUTE(TRIM('Base de Datos'!Z302),".",""),",","."),".",","),_xlfn.NUMBERVALUE(SUBSTITUTE(TRIM('Base de Datos'!Z302),",",""),".",",")),"")))</f>
        <v/>
      </c>
    </row>
    <row r="307" customFormat="false" ht="13.5" hidden="false" customHeight="false" outlineLevel="0" collapsed="false">
      <c r="A307" s="75" t="n">
        <f aca="false">ROWS(A$13:A307)</f>
        <v>295</v>
      </c>
      <c r="B307" s="73" t="str">
        <f aca="false">IF(B306="","",IFERROR(SMALL($AH$10:$AH$409,COUNTIF($AH$10:$AH$409,"&lt;="&amp;B306)+1),""))</f>
        <v/>
      </c>
      <c r="C307" s="74" t="str">
        <f aca="false">IF(B307="","",INDEX($AI$10:$AI$409,MATCH(B307,$AH$10:$AH$409,0)))</f>
        <v/>
      </c>
      <c r="D307" s="74" t="str">
        <f aca="false">IF(B307="","",IFERROR(INDEX($AK$10:$AK$409,MATCH(B307,$AJ$10:$AJ$409,0)),""))</f>
        <v/>
      </c>
      <c r="E307" s="76" t="str">
        <f aca="false">IF(AND(ISNUMBER(C307),ISNUMBER(C306)),C307/C306-1,"")</f>
        <v/>
      </c>
      <c r="F307" s="76" t="str">
        <f aca="false">IF(AND(ISNUMBER(D307),ISNUMBER(D306)),D307/D306-1,"")</f>
        <v/>
      </c>
      <c r="G307" s="75" t="str">
        <f aca="false">IF(AND(ISNUMBER(E307),ISNUMBER(F307)),1,"")</f>
        <v/>
      </c>
      <c r="H307" s="75" t="str">
        <f aca="false">IF(G307=1,COUNT(G307:G$412),"")</f>
        <v/>
      </c>
      <c r="I307" s="75" t="str">
        <f aca="false">IF(G307=1,IF(H307&lt;='Beta Regresión'!$B$5,1,""),"")</f>
        <v/>
      </c>
      <c r="J307" s="76" t="str">
        <f aca="false">IF(I307=1,E307,"")</f>
        <v/>
      </c>
      <c r="K307" s="76" t="str">
        <f aca="false">IF(I307=1,F307,"")</f>
        <v/>
      </c>
      <c r="L307" s="75" t="str">
        <f aca="false">IF(I307=1,COUNT(I$13:I307),"")</f>
        <v/>
      </c>
      <c r="M307" s="76" t="str">
        <f aca="false">IFERROR(INDEX($J$13:$J$412,MATCH(A307,$L$13:$L$412,0)),"")</f>
        <v/>
      </c>
      <c r="N307" s="76" t="str">
        <f aca="false">IFERROR(INDEX($K$13:$K$412,MATCH(A307,$L$13:$L$412,0)),"")</f>
        <v/>
      </c>
      <c r="O307" s="76" t="e">
        <f aca="false">IF(I307=1,E307,NA())</f>
        <v>#N/A</v>
      </c>
      <c r="P307" s="76" t="e">
        <f aca="false">IF(I307=1,F307,NA())</f>
        <v>#N/A</v>
      </c>
      <c r="R307" s="75" t="n">
        <f aca="false">ROWS(R$13:R307)</f>
        <v>295</v>
      </c>
      <c r="S307" s="73" t="str">
        <f aca="false">IF(S306="","",IFERROR(SMALL($AD$10:$AD$509,COUNTIF($AD$10:$AD$509,"&lt;="&amp;S306)+1),""))</f>
        <v/>
      </c>
      <c r="T307" s="74" t="str">
        <f aca="false">IF(S307="","",INDEX($AE$10:$AE$509,MATCH(S307,$AD$10:$AD$509,0)))</f>
        <v/>
      </c>
      <c r="U307" s="74" t="str">
        <f aca="false">IF(S307="","",IFERROR(INDEX($AG$10:$AG$509,MATCH(S307,$AF$10:$AF$509,0)),""))</f>
        <v/>
      </c>
      <c r="V307" s="76" t="str">
        <f aca="false">IF(AND(ISNUMBER(T307),ISNUMBER(T306)),T307/T306-1,"")</f>
        <v/>
      </c>
      <c r="W307" s="76" t="str">
        <f aca="false">IF(AND(ISNUMBER(U307),ISNUMBER(U306)),U307/U306-1,"")</f>
        <v/>
      </c>
      <c r="X307" s="75" t="str">
        <f aca="false">IF(AND(ISNUMBER(V307),ISNUMBER(W307)),1,"")</f>
        <v/>
      </c>
      <c r="Y307" s="76" t="str">
        <f aca="false">IF(X307=1,V307,"")</f>
        <v/>
      </c>
      <c r="Z307" s="76" t="str">
        <f aca="false">IF(X307=1,W307,"")</f>
        <v/>
      </c>
      <c r="AA307" s="76" t="e">
        <f aca="false">IF(X307=1,V307,NA())</f>
        <v>#N/A</v>
      </c>
      <c r="AB307" s="76" t="e">
        <f aca="false">IF(X307=1,W307,NA())</f>
        <v>#N/A</v>
      </c>
      <c r="AD307" s="73" t="str">
        <f aca="false">IF(ISNUMBER(AE307),IF(ISNUMBER('Base de Datos'!A303),IF('Base de Datos'!A303&gt;20000,DATE(YEAR('Base de Datos'!A303),DAY('Base de Datos'!A303),MONTH('Base de Datos'!A303)),""),IF(TRIM('Base de Datos'!A303)="","",IFERROR(DATE(VALUE(RIGHT(TRIM('Base de Datos'!A303),4)),VALUE(LEFT(TRIM('Base de Datos'!A303),2)),VALUE(MID(TRIM('Base de Datos'!A303),4,2))),""))),"")</f>
        <v/>
      </c>
      <c r="AE307" s="74" t="str">
        <f aca="false">IF(ISNUMBER('Base de Datos'!B303),'Base de Datos'!B303,IF(TRIM('Base de Datos'!B303)="","",IFERROR(IF(IFERROR(FIND("@",SUBSTITUTE(TRIM('Base de Datos'!B303),",","@",LEN(TRIM('Base de Datos'!B303))-LEN(SUBSTITUTE(TRIM('Base de Datos'!B303),",","")))),0)&gt;IFERROR(FIND("@",SUBSTITUTE(TRIM('Base de Datos'!B303),".","@",LEN(TRIM('Base de Datos'!B303))-LEN(SUBSTITUTE(TRIM('Base de Datos'!B303),".","")))),0),_xlfn.NUMBERVALUE(SUBSTITUTE(SUBSTITUTE(TRIM('Base de Datos'!B303),".",""),",","."),".",","),_xlfn.NUMBERVALUE(SUBSTITUTE(TRIM('Base de Datos'!B303),",",""),".",",")),"")))</f>
        <v/>
      </c>
      <c r="AF307" s="73" t="str">
        <f aca="false">IF(ISNUMBER(AG307),IF(ISNUMBER('Base de Datos'!I303),IF('Base de Datos'!I303&gt;20000,INT('Base de Datos'!I303),""),IF(TRIM('Base de Datos'!I303)="","",IFERROR(DATE(VALUE(RIGHT(TRIM('Base de Datos'!I303),4)),VALUE(MID(TRIM('Base de Datos'!I303),4,2)),VALUE(LEFT(TRIM('Base de Datos'!I303),2))),IFERROR(DATEVALUE(TRIM('Base de Datos'!I303)),"")))),"")</f>
        <v/>
      </c>
      <c r="AG307" s="74" t="str">
        <f aca="false">IF(ISNUMBER('Base de Datos'!J303),'Base de Datos'!J303,IF(TRIM('Base de Datos'!J303)="","",IFERROR(IF(IFERROR(FIND("@",SUBSTITUTE(TRIM('Base de Datos'!J303),",","@",LEN(TRIM('Base de Datos'!J303))-LEN(SUBSTITUTE(TRIM('Base de Datos'!J303),",","")))),0)&gt;IFERROR(FIND("@",SUBSTITUTE(TRIM('Base de Datos'!J303),".","@",LEN(TRIM('Base de Datos'!J303))-LEN(SUBSTITUTE(TRIM('Base de Datos'!J303),".","")))),0),_xlfn.NUMBERVALUE(SUBSTITUTE(SUBSTITUTE(TRIM('Base de Datos'!J303),".",""),",","."),".",","),_xlfn.NUMBERVALUE(SUBSTITUTE(TRIM('Base de Datos'!J303),",",""),".",",")),"")))</f>
        <v/>
      </c>
      <c r="AH307" s="73" t="str">
        <f aca="false">IF(ISNUMBER(AI307),IF(ISNUMBER('Base de Datos'!Q303),IF('Base de Datos'!Q303&gt;20000,DATE(YEAR('Base de Datos'!Q303),DAY('Base de Datos'!Q303),MONTH('Base de Datos'!Q303)),""),IF(TRIM('Base de Datos'!Q303)="","",IFERROR(DATE(VALUE(RIGHT(TRIM('Base de Datos'!Q303),4)),VALUE(LEFT(TRIM('Base de Datos'!Q303),2)),VALUE(MID(TRIM('Base de Datos'!Q303),4,2))),""))),"")</f>
        <v/>
      </c>
      <c r="AI307" s="74" t="str">
        <f aca="false">IF(ISNUMBER('Base de Datos'!R303),'Base de Datos'!R303,IF(TRIM('Base de Datos'!R303)="","",IFERROR(IF(IFERROR(FIND("@",SUBSTITUTE(TRIM('Base de Datos'!R303),",","@",LEN(TRIM('Base de Datos'!R303))-LEN(SUBSTITUTE(TRIM('Base de Datos'!R303),",","")))),0)&gt;IFERROR(FIND("@",SUBSTITUTE(TRIM('Base de Datos'!R303),".","@",LEN(TRIM('Base de Datos'!R303))-LEN(SUBSTITUTE(TRIM('Base de Datos'!R303),".","")))),0),_xlfn.NUMBERVALUE(SUBSTITUTE(SUBSTITUTE(TRIM('Base de Datos'!R303),".",""),",","."),".",","),_xlfn.NUMBERVALUE(SUBSTITUTE(TRIM('Base de Datos'!R303),",",""),".",",")),"")))</f>
        <v/>
      </c>
      <c r="AJ307" s="73" t="str">
        <f aca="false">IF(ISNUMBER(AK307),IF(ISNUMBER('Base de Datos'!Y303),IF('Base de Datos'!Y303&gt;20000,INT('Base de Datos'!Y303),""),IF(TRIM('Base de Datos'!Y303)="","",IFERROR(DATE(VALUE(RIGHT(TRIM('Base de Datos'!Y303),4)),VALUE(MID(TRIM('Base de Datos'!Y303),4,2)),VALUE(LEFT(TRIM('Base de Datos'!Y303),2))),IFERROR(DATEVALUE(TRIM('Base de Datos'!Y303)),"")))),"")</f>
        <v/>
      </c>
      <c r="AK307" s="74" t="str">
        <f aca="false">IF(ISNUMBER('Base de Datos'!Z303),'Base de Datos'!Z303,IF(TRIM('Base de Datos'!Z303)="","",IFERROR(IF(IFERROR(FIND("@",SUBSTITUTE(TRIM('Base de Datos'!Z303),",","@",LEN(TRIM('Base de Datos'!Z303))-LEN(SUBSTITUTE(TRIM('Base de Datos'!Z303),",","")))),0)&gt;IFERROR(FIND("@",SUBSTITUTE(TRIM('Base de Datos'!Z303),".","@",LEN(TRIM('Base de Datos'!Z303))-LEN(SUBSTITUTE(TRIM('Base de Datos'!Z303),".","")))),0),_xlfn.NUMBERVALUE(SUBSTITUTE(SUBSTITUTE(TRIM('Base de Datos'!Z303),".",""),",","."),".",","),_xlfn.NUMBERVALUE(SUBSTITUTE(TRIM('Base de Datos'!Z303),",",""),".",",")),"")))</f>
        <v/>
      </c>
    </row>
    <row r="308" customFormat="false" ht="13.5" hidden="false" customHeight="false" outlineLevel="0" collapsed="false">
      <c r="A308" s="75" t="n">
        <f aca="false">ROWS(A$13:A308)</f>
        <v>296</v>
      </c>
      <c r="B308" s="73" t="str">
        <f aca="false">IF(B307="","",IFERROR(SMALL($AH$10:$AH$409,COUNTIF($AH$10:$AH$409,"&lt;="&amp;B307)+1),""))</f>
        <v/>
      </c>
      <c r="C308" s="74" t="str">
        <f aca="false">IF(B308="","",INDEX($AI$10:$AI$409,MATCH(B308,$AH$10:$AH$409,0)))</f>
        <v/>
      </c>
      <c r="D308" s="74" t="str">
        <f aca="false">IF(B308="","",IFERROR(INDEX($AK$10:$AK$409,MATCH(B308,$AJ$10:$AJ$409,0)),""))</f>
        <v/>
      </c>
      <c r="E308" s="76" t="str">
        <f aca="false">IF(AND(ISNUMBER(C308),ISNUMBER(C307)),C308/C307-1,"")</f>
        <v/>
      </c>
      <c r="F308" s="76" t="str">
        <f aca="false">IF(AND(ISNUMBER(D308),ISNUMBER(D307)),D308/D307-1,"")</f>
        <v/>
      </c>
      <c r="G308" s="75" t="str">
        <f aca="false">IF(AND(ISNUMBER(E308),ISNUMBER(F308)),1,"")</f>
        <v/>
      </c>
      <c r="H308" s="75" t="str">
        <f aca="false">IF(G308=1,COUNT(G308:G$412),"")</f>
        <v/>
      </c>
      <c r="I308" s="75" t="str">
        <f aca="false">IF(G308=1,IF(H308&lt;='Beta Regresión'!$B$5,1,""),"")</f>
        <v/>
      </c>
      <c r="J308" s="76" t="str">
        <f aca="false">IF(I308=1,E308,"")</f>
        <v/>
      </c>
      <c r="K308" s="76" t="str">
        <f aca="false">IF(I308=1,F308,"")</f>
        <v/>
      </c>
      <c r="L308" s="75" t="str">
        <f aca="false">IF(I308=1,COUNT(I$13:I308),"")</f>
        <v/>
      </c>
      <c r="M308" s="76" t="str">
        <f aca="false">IFERROR(INDEX($J$13:$J$412,MATCH(A308,$L$13:$L$412,0)),"")</f>
        <v/>
      </c>
      <c r="N308" s="76" t="str">
        <f aca="false">IFERROR(INDEX($K$13:$K$412,MATCH(A308,$L$13:$L$412,0)),"")</f>
        <v/>
      </c>
      <c r="O308" s="76" t="e">
        <f aca="false">IF(I308=1,E308,NA())</f>
        <v>#N/A</v>
      </c>
      <c r="P308" s="76" t="e">
        <f aca="false">IF(I308=1,F308,NA())</f>
        <v>#N/A</v>
      </c>
      <c r="R308" s="75" t="n">
        <f aca="false">ROWS(R$13:R308)</f>
        <v>296</v>
      </c>
      <c r="S308" s="73" t="str">
        <f aca="false">IF(S307="","",IFERROR(SMALL($AD$10:$AD$509,COUNTIF($AD$10:$AD$509,"&lt;="&amp;S307)+1),""))</f>
        <v/>
      </c>
      <c r="T308" s="74" t="str">
        <f aca="false">IF(S308="","",INDEX($AE$10:$AE$509,MATCH(S308,$AD$10:$AD$509,0)))</f>
        <v/>
      </c>
      <c r="U308" s="74" t="str">
        <f aca="false">IF(S308="","",IFERROR(INDEX($AG$10:$AG$509,MATCH(S308,$AF$10:$AF$509,0)),""))</f>
        <v/>
      </c>
      <c r="V308" s="76" t="str">
        <f aca="false">IF(AND(ISNUMBER(T308),ISNUMBER(T307)),T308/T307-1,"")</f>
        <v/>
      </c>
      <c r="W308" s="76" t="str">
        <f aca="false">IF(AND(ISNUMBER(U308),ISNUMBER(U307)),U308/U307-1,"")</f>
        <v/>
      </c>
      <c r="X308" s="75" t="str">
        <f aca="false">IF(AND(ISNUMBER(V308),ISNUMBER(W308)),1,"")</f>
        <v/>
      </c>
      <c r="Y308" s="76" t="str">
        <f aca="false">IF(X308=1,V308,"")</f>
        <v/>
      </c>
      <c r="Z308" s="76" t="str">
        <f aca="false">IF(X308=1,W308,"")</f>
        <v/>
      </c>
      <c r="AA308" s="76" t="e">
        <f aca="false">IF(X308=1,V308,NA())</f>
        <v>#N/A</v>
      </c>
      <c r="AB308" s="76" t="e">
        <f aca="false">IF(X308=1,W308,NA())</f>
        <v>#N/A</v>
      </c>
      <c r="AD308" s="73" t="str">
        <f aca="false">IF(ISNUMBER(AE308),IF(ISNUMBER('Base de Datos'!A304),IF('Base de Datos'!A304&gt;20000,DATE(YEAR('Base de Datos'!A304),DAY('Base de Datos'!A304),MONTH('Base de Datos'!A304)),""),IF(TRIM('Base de Datos'!A304)="","",IFERROR(DATE(VALUE(RIGHT(TRIM('Base de Datos'!A304),4)),VALUE(LEFT(TRIM('Base de Datos'!A304),2)),VALUE(MID(TRIM('Base de Datos'!A304),4,2))),""))),"")</f>
        <v/>
      </c>
      <c r="AE308" s="74" t="str">
        <f aca="false">IF(ISNUMBER('Base de Datos'!B304),'Base de Datos'!B304,IF(TRIM('Base de Datos'!B304)="","",IFERROR(IF(IFERROR(FIND("@",SUBSTITUTE(TRIM('Base de Datos'!B304),",","@",LEN(TRIM('Base de Datos'!B304))-LEN(SUBSTITUTE(TRIM('Base de Datos'!B304),",","")))),0)&gt;IFERROR(FIND("@",SUBSTITUTE(TRIM('Base de Datos'!B304),".","@",LEN(TRIM('Base de Datos'!B304))-LEN(SUBSTITUTE(TRIM('Base de Datos'!B304),".","")))),0),_xlfn.NUMBERVALUE(SUBSTITUTE(SUBSTITUTE(TRIM('Base de Datos'!B304),".",""),",","."),".",","),_xlfn.NUMBERVALUE(SUBSTITUTE(TRIM('Base de Datos'!B304),",",""),".",",")),"")))</f>
        <v/>
      </c>
      <c r="AF308" s="73" t="str">
        <f aca="false">IF(ISNUMBER(AG308),IF(ISNUMBER('Base de Datos'!I304),IF('Base de Datos'!I304&gt;20000,INT('Base de Datos'!I304),""),IF(TRIM('Base de Datos'!I304)="","",IFERROR(DATE(VALUE(RIGHT(TRIM('Base de Datos'!I304),4)),VALUE(MID(TRIM('Base de Datos'!I304),4,2)),VALUE(LEFT(TRIM('Base de Datos'!I304),2))),IFERROR(DATEVALUE(TRIM('Base de Datos'!I304)),"")))),"")</f>
        <v/>
      </c>
      <c r="AG308" s="74" t="str">
        <f aca="false">IF(ISNUMBER('Base de Datos'!J304),'Base de Datos'!J304,IF(TRIM('Base de Datos'!J304)="","",IFERROR(IF(IFERROR(FIND("@",SUBSTITUTE(TRIM('Base de Datos'!J304),",","@",LEN(TRIM('Base de Datos'!J304))-LEN(SUBSTITUTE(TRIM('Base de Datos'!J304),",","")))),0)&gt;IFERROR(FIND("@",SUBSTITUTE(TRIM('Base de Datos'!J304),".","@",LEN(TRIM('Base de Datos'!J304))-LEN(SUBSTITUTE(TRIM('Base de Datos'!J304),".","")))),0),_xlfn.NUMBERVALUE(SUBSTITUTE(SUBSTITUTE(TRIM('Base de Datos'!J304),".",""),",","."),".",","),_xlfn.NUMBERVALUE(SUBSTITUTE(TRIM('Base de Datos'!J304),",",""),".",",")),"")))</f>
        <v/>
      </c>
      <c r="AH308" s="73" t="str">
        <f aca="false">IF(ISNUMBER(AI308),IF(ISNUMBER('Base de Datos'!Q304),IF('Base de Datos'!Q304&gt;20000,DATE(YEAR('Base de Datos'!Q304),DAY('Base de Datos'!Q304),MONTH('Base de Datos'!Q304)),""),IF(TRIM('Base de Datos'!Q304)="","",IFERROR(DATE(VALUE(RIGHT(TRIM('Base de Datos'!Q304),4)),VALUE(LEFT(TRIM('Base de Datos'!Q304),2)),VALUE(MID(TRIM('Base de Datos'!Q304),4,2))),""))),"")</f>
        <v/>
      </c>
      <c r="AI308" s="74" t="str">
        <f aca="false">IF(ISNUMBER('Base de Datos'!R304),'Base de Datos'!R304,IF(TRIM('Base de Datos'!R304)="","",IFERROR(IF(IFERROR(FIND("@",SUBSTITUTE(TRIM('Base de Datos'!R304),",","@",LEN(TRIM('Base de Datos'!R304))-LEN(SUBSTITUTE(TRIM('Base de Datos'!R304),",","")))),0)&gt;IFERROR(FIND("@",SUBSTITUTE(TRIM('Base de Datos'!R304),".","@",LEN(TRIM('Base de Datos'!R304))-LEN(SUBSTITUTE(TRIM('Base de Datos'!R304),".","")))),0),_xlfn.NUMBERVALUE(SUBSTITUTE(SUBSTITUTE(TRIM('Base de Datos'!R304),".",""),",","."),".",","),_xlfn.NUMBERVALUE(SUBSTITUTE(TRIM('Base de Datos'!R304),",",""),".",",")),"")))</f>
        <v/>
      </c>
      <c r="AJ308" s="73" t="str">
        <f aca="false">IF(ISNUMBER(AK308),IF(ISNUMBER('Base de Datos'!Y304),IF('Base de Datos'!Y304&gt;20000,INT('Base de Datos'!Y304),""),IF(TRIM('Base de Datos'!Y304)="","",IFERROR(DATE(VALUE(RIGHT(TRIM('Base de Datos'!Y304),4)),VALUE(MID(TRIM('Base de Datos'!Y304),4,2)),VALUE(LEFT(TRIM('Base de Datos'!Y304),2))),IFERROR(DATEVALUE(TRIM('Base de Datos'!Y304)),"")))),"")</f>
        <v/>
      </c>
      <c r="AK308" s="74" t="str">
        <f aca="false">IF(ISNUMBER('Base de Datos'!Z304),'Base de Datos'!Z304,IF(TRIM('Base de Datos'!Z304)="","",IFERROR(IF(IFERROR(FIND("@",SUBSTITUTE(TRIM('Base de Datos'!Z304),",","@",LEN(TRIM('Base de Datos'!Z304))-LEN(SUBSTITUTE(TRIM('Base de Datos'!Z304),",","")))),0)&gt;IFERROR(FIND("@",SUBSTITUTE(TRIM('Base de Datos'!Z304),".","@",LEN(TRIM('Base de Datos'!Z304))-LEN(SUBSTITUTE(TRIM('Base de Datos'!Z304),".","")))),0),_xlfn.NUMBERVALUE(SUBSTITUTE(SUBSTITUTE(TRIM('Base de Datos'!Z304),".",""),",","."),".",","),_xlfn.NUMBERVALUE(SUBSTITUTE(TRIM('Base de Datos'!Z304),",",""),".",",")),"")))</f>
        <v/>
      </c>
    </row>
    <row r="309" customFormat="false" ht="13.5" hidden="false" customHeight="false" outlineLevel="0" collapsed="false">
      <c r="A309" s="75" t="n">
        <f aca="false">ROWS(A$13:A309)</f>
        <v>297</v>
      </c>
      <c r="B309" s="73" t="str">
        <f aca="false">IF(B308="","",IFERROR(SMALL($AH$10:$AH$409,COUNTIF($AH$10:$AH$409,"&lt;="&amp;B308)+1),""))</f>
        <v/>
      </c>
      <c r="C309" s="74" t="str">
        <f aca="false">IF(B309="","",INDEX($AI$10:$AI$409,MATCH(B309,$AH$10:$AH$409,0)))</f>
        <v/>
      </c>
      <c r="D309" s="74" t="str">
        <f aca="false">IF(B309="","",IFERROR(INDEX($AK$10:$AK$409,MATCH(B309,$AJ$10:$AJ$409,0)),""))</f>
        <v/>
      </c>
      <c r="E309" s="76" t="str">
        <f aca="false">IF(AND(ISNUMBER(C309),ISNUMBER(C308)),C309/C308-1,"")</f>
        <v/>
      </c>
      <c r="F309" s="76" t="str">
        <f aca="false">IF(AND(ISNUMBER(D309),ISNUMBER(D308)),D309/D308-1,"")</f>
        <v/>
      </c>
      <c r="G309" s="75" t="str">
        <f aca="false">IF(AND(ISNUMBER(E309),ISNUMBER(F309)),1,"")</f>
        <v/>
      </c>
      <c r="H309" s="75" t="str">
        <f aca="false">IF(G309=1,COUNT(G309:G$412),"")</f>
        <v/>
      </c>
      <c r="I309" s="75" t="str">
        <f aca="false">IF(G309=1,IF(H309&lt;='Beta Regresión'!$B$5,1,""),"")</f>
        <v/>
      </c>
      <c r="J309" s="76" t="str">
        <f aca="false">IF(I309=1,E309,"")</f>
        <v/>
      </c>
      <c r="K309" s="76" t="str">
        <f aca="false">IF(I309=1,F309,"")</f>
        <v/>
      </c>
      <c r="L309" s="75" t="str">
        <f aca="false">IF(I309=1,COUNT(I$13:I309),"")</f>
        <v/>
      </c>
      <c r="M309" s="76" t="str">
        <f aca="false">IFERROR(INDEX($J$13:$J$412,MATCH(A309,$L$13:$L$412,0)),"")</f>
        <v/>
      </c>
      <c r="N309" s="76" t="str">
        <f aca="false">IFERROR(INDEX($K$13:$K$412,MATCH(A309,$L$13:$L$412,0)),"")</f>
        <v/>
      </c>
      <c r="O309" s="76" t="e">
        <f aca="false">IF(I309=1,E309,NA())</f>
        <v>#N/A</v>
      </c>
      <c r="P309" s="76" t="e">
        <f aca="false">IF(I309=1,F309,NA())</f>
        <v>#N/A</v>
      </c>
      <c r="R309" s="75" t="n">
        <f aca="false">ROWS(R$13:R309)</f>
        <v>297</v>
      </c>
      <c r="S309" s="73" t="str">
        <f aca="false">IF(S308="","",IFERROR(SMALL($AD$10:$AD$509,COUNTIF($AD$10:$AD$509,"&lt;="&amp;S308)+1),""))</f>
        <v/>
      </c>
      <c r="T309" s="74" t="str">
        <f aca="false">IF(S309="","",INDEX($AE$10:$AE$509,MATCH(S309,$AD$10:$AD$509,0)))</f>
        <v/>
      </c>
      <c r="U309" s="74" t="str">
        <f aca="false">IF(S309="","",IFERROR(INDEX($AG$10:$AG$509,MATCH(S309,$AF$10:$AF$509,0)),""))</f>
        <v/>
      </c>
      <c r="V309" s="76" t="str">
        <f aca="false">IF(AND(ISNUMBER(T309),ISNUMBER(T308)),T309/T308-1,"")</f>
        <v/>
      </c>
      <c r="W309" s="76" t="str">
        <f aca="false">IF(AND(ISNUMBER(U309),ISNUMBER(U308)),U309/U308-1,"")</f>
        <v/>
      </c>
      <c r="X309" s="75" t="str">
        <f aca="false">IF(AND(ISNUMBER(V309),ISNUMBER(W309)),1,"")</f>
        <v/>
      </c>
      <c r="Y309" s="76" t="str">
        <f aca="false">IF(X309=1,V309,"")</f>
        <v/>
      </c>
      <c r="Z309" s="76" t="str">
        <f aca="false">IF(X309=1,W309,"")</f>
        <v/>
      </c>
      <c r="AA309" s="76" t="e">
        <f aca="false">IF(X309=1,V309,NA())</f>
        <v>#N/A</v>
      </c>
      <c r="AB309" s="76" t="e">
        <f aca="false">IF(X309=1,W309,NA())</f>
        <v>#N/A</v>
      </c>
      <c r="AD309" s="73" t="str">
        <f aca="false">IF(ISNUMBER(AE309),IF(ISNUMBER('Base de Datos'!A305),IF('Base de Datos'!A305&gt;20000,DATE(YEAR('Base de Datos'!A305),DAY('Base de Datos'!A305),MONTH('Base de Datos'!A305)),""),IF(TRIM('Base de Datos'!A305)="","",IFERROR(DATE(VALUE(RIGHT(TRIM('Base de Datos'!A305),4)),VALUE(LEFT(TRIM('Base de Datos'!A305),2)),VALUE(MID(TRIM('Base de Datos'!A305),4,2))),""))),"")</f>
        <v/>
      </c>
      <c r="AE309" s="74" t="str">
        <f aca="false">IF(ISNUMBER('Base de Datos'!B305),'Base de Datos'!B305,IF(TRIM('Base de Datos'!B305)="","",IFERROR(IF(IFERROR(FIND("@",SUBSTITUTE(TRIM('Base de Datos'!B305),",","@",LEN(TRIM('Base de Datos'!B305))-LEN(SUBSTITUTE(TRIM('Base de Datos'!B305),",","")))),0)&gt;IFERROR(FIND("@",SUBSTITUTE(TRIM('Base de Datos'!B305),".","@",LEN(TRIM('Base de Datos'!B305))-LEN(SUBSTITUTE(TRIM('Base de Datos'!B305),".","")))),0),_xlfn.NUMBERVALUE(SUBSTITUTE(SUBSTITUTE(TRIM('Base de Datos'!B305),".",""),",","."),".",","),_xlfn.NUMBERVALUE(SUBSTITUTE(TRIM('Base de Datos'!B305),",",""),".",",")),"")))</f>
        <v/>
      </c>
      <c r="AF309" s="73" t="str">
        <f aca="false">IF(ISNUMBER(AG309),IF(ISNUMBER('Base de Datos'!I305),IF('Base de Datos'!I305&gt;20000,INT('Base de Datos'!I305),""),IF(TRIM('Base de Datos'!I305)="","",IFERROR(DATE(VALUE(RIGHT(TRIM('Base de Datos'!I305),4)),VALUE(MID(TRIM('Base de Datos'!I305),4,2)),VALUE(LEFT(TRIM('Base de Datos'!I305),2))),IFERROR(DATEVALUE(TRIM('Base de Datos'!I305)),"")))),"")</f>
        <v/>
      </c>
      <c r="AG309" s="74" t="str">
        <f aca="false">IF(ISNUMBER('Base de Datos'!J305),'Base de Datos'!J305,IF(TRIM('Base de Datos'!J305)="","",IFERROR(IF(IFERROR(FIND("@",SUBSTITUTE(TRIM('Base de Datos'!J305),",","@",LEN(TRIM('Base de Datos'!J305))-LEN(SUBSTITUTE(TRIM('Base de Datos'!J305),",","")))),0)&gt;IFERROR(FIND("@",SUBSTITUTE(TRIM('Base de Datos'!J305),".","@",LEN(TRIM('Base de Datos'!J305))-LEN(SUBSTITUTE(TRIM('Base de Datos'!J305),".","")))),0),_xlfn.NUMBERVALUE(SUBSTITUTE(SUBSTITUTE(TRIM('Base de Datos'!J305),".",""),",","."),".",","),_xlfn.NUMBERVALUE(SUBSTITUTE(TRIM('Base de Datos'!J305),",",""),".",",")),"")))</f>
        <v/>
      </c>
      <c r="AH309" s="73" t="str">
        <f aca="false">IF(ISNUMBER(AI309),IF(ISNUMBER('Base de Datos'!Q305),IF('Base de Datos'!Q305&gt;20000,DATE(YEAR('Base de Datos'!Q305),DAY('Base de Datos'!Q305),MONTH('Base de Datos'!Q305)),""),IF(TRIM('Base de Datos'!Q305)="","",IFERROR(DATE(VALUE(RIGHT(TRIM('Base de Datos'!Q305),4)),VALUE(LEFT(TRIM('Base de Datos'!Q305),2)),VALUE(MID(TRIM('Base de Datos'!Q305),4,2))),""))),"")</f>
        <v/>
      </c>
      <c r="AI309" s="74" t="str">
        <f aca="false">IF(ISNUMBER('Base de Datos'!R305),'Base de Datos'!R305,IF(TRIM('Base de Datos'!R305)="","",IFERROR(IF(IFERROR(FIND("@",SUBSTITUTE(TRIM('Base de Datos'!R305),",","@",LEN(TRIM('Base de Datos'!R305))-LEN(SUBSTITUTE(TRIM('Base de Datos'!R305),",","")))),0)&gt;IFERROR(FIND("@",SUBSTITUTE(TRIM('Base de Datos'!R305),".","@",LEN(TRIM('Base de Datos'!R305))-LEN(SUBSTITUTE(TRIM('Base de Datos'!R305),".","")))),0),_xlfn.NUMBERVALUE(SUBSTITUTE(SUBSTITUTE(TRIM('Base de Datos'!R305),".",""),",","."),".",","),_xlfn.NUMBERVALUE(SUBSTITUTE(TRIM('Base de Datos'!R305),",",""),".",",")),"")))</f>
        <v/>
      </c>
      <c r="AJ309" s="73" t="str">
        <f aca="false">IF(ISNUMBER(AK309),IF(ISNUMBER('Base de Datos'!Y305),IF('Base de Datos'!Y305&gt;20000,INT('Base de Datos'!Y305),""),IF(TRIM('Base de Datos'!Y305)="","",IFERROR(DATE(VALUE(RIGHT(TRIM('Base de Datos'!Y305),4)),VALUE(MID(TRIM('Base de Datos'!Y305),4,2)),VALUE(LEFT(TRIM('Base de Datos'!Y305),2))),IFERROR(DATEVALUE(TRIM('Base de Datos'!Y305)),"")))),"")</f>
        <v/>
      </c>
      <c r="AK309" s="74" t="str">
        <f aca="false">IF(ISNUMBER('Base de Datos'!Z305),'Base de Datos'!Z305,IF(TRIM('Base de Datos'!Z305)="","",IFERROR(IF(IFERROR(FIND("@",SUBSTITUTE(TRIM('Base de Datos'!Z305),",","@",LEN(TRIM('Base de Datos'!Z305))-LEN(SUBSTITUTE(TRIM('Base de Datos'!Z305),",","")))),0)&gt;IFERROR(FIND("@",SUBSTITUTE(TRIM('Base de Datos'!Z305),".","@",LEN(TRIM('Base de Datos'!Z305))-LEN(SUBSTITUTE(TRIM('Base de Datos'!Z305),".","")))),0),_xlfn.NUMBERVALUE(SUBSTITUTE(SUBSTITUTE(TRIM('Base de Datos'!Z305),".",""),",","."),".",","),_xlfn.NUMBERVALUE(SUBSTITUTE(TRIM('Base de Datos'!Z305),",",""),".",",")),"")))</f>
        <v/>
      </c>
    </row>
    <row r="310" customFormat="false" ht="13.5" hidden="false" customHeight="false" outlineLevel="0" collapsed="false">
      <c r="A310" s="75" t="n">
        <f aca="false">ROWS(A$13:A310)</f>
        <v>298</v>
      </c>
      <c r="B310" s="73" t="str">
        <f aca="false">IF(B309="","",IFERROR(SMALL($AH$10:$AH$409,COUNTIF($AH$10:$AH$409,"&lt;="&amp;B309)+1),""))</f>
        <v/>
      </c>
      <c r="C310" s="74" t="str">
        <f aca="false">IF(B310="","",INDEX($AI$10:$AI$409,MATCH(B310,$AH$10:$AH$409,0)))</f>
        <v/>
      </c>
      <c r="D310" s="74" t="str">
        <f aca="false">IF(B310="","",IFERROR(INDEX($AK$10:$AK$409,MATCH(B310,$AJ$10:$AJ$409,0)),""))</f>
        <v/>
      </c>
      <c r="E310" s="76" t="str">
        <f aca="false">IF(AND(ISNUMBER(C310),ISNUMBER(C309)),C310/C309-1,"")</f>
        <v/>
      </c>
      <c r="F310" s="76" t="str">
        <f aca="false">IF(AND(ISNUMBER(D310),ISNUMBER(D309)),D310/D309-1,"")</f>
        <v/>
      </c>
      <c r="G310" s="75" t="str">
        <f aca="false">IF(AND(ISNUMBER(E310),ISNUMBER(F310)),1,"")</f>
        <v/>
      </c>
      <c r="H310" s="75" t="str">
        <f aca="false">IF(G310=1,COUNT(G310:G$412),"")</f>
        <v/>
      </c>
      <c r="I310" s="75" t="str">
        <f aca="false">IF(G310=1,IF(H310&lt;='Beta Regresión'!$B$5,1,""),"")</f>
        <v/>
      </c>
      <c r="J310" s="76" t="str">
        <f aca="false">IF(I310=1,E310,"")</f>
        <v/>
      </c>
      <c r="K310" s="76" t="str">
        <f aca="false">IF(I310=1,F310,"")</f>
        <v/>
      </c>
      <c r="L310" s="75" t="str">
        <f aca="false">IF(I310=1,COUNT(I$13:I310),"")</f>
        <v/>
      </c>
      <c r="M310" s="76" t="str">
        <f aca="false">IFERROR(INDEX($J$13:$J$412,MATCH(A310,$L$13:$L$412,0)),"")</f>
        <v/>
      </c>
      <c r="N310" s="76" t="str">
        <f aca="false">IFERROR(INDEX($K$13:$K$412,MATCH(A310,$L$13:$L$412,0)),"")</f>
        <v/>
      </c>
      <c r="O310" s="76" t="e">
        <f aca="false">IF(I310=1,E310,NA())</f>
        <v>#N/A</v>
      </c>
      <c r="P310" s="76" t="e">
        <f aca="false">IF(I310=1,F310,NA())</f>
        <v>#N/A</v>
      </c>
      <c r="R310" s="75" t="n">
        <f aca="false">ROWS(R$13:R310)</f>
        <v>298</v>
      </c>
      <c r="S310" s="73" t="str">
        <f aca="false">IF(S309="","",IFERROR(SMALL($AD$10:$AD$509,COUNTIF($AD$10:$AD$509,"&lt;="&amp;S309)+1),""))</f>
        <v/>
      </c>
      <c r="T310" s="74" t="str">
        <f aca="false">IF(S310="","",INDEX($AE$10:$AE$509,MATCH(S310,$AD$10:$AD$509,0)))</f>
        <v/>
      </c>
      <c r="U310" s="74" t="str">
        <f aca="false">IF(S310="","",IFERROR(INDEX($AG$10:$AG$509,MATCH(S310,$AF$10:$AF$509,0)),""))</f>
        <v/>
      </c>
      <c r="V310" s="76" t="str">
        <f aca="false">IF(AND(ISNUMBER(T310),ISNUMBER(T309)),T310/T309-1,"")</f>
        <v/>
      </c>
      <c r="W310" s="76" t="str">
        <f aca="false">IF(AND(ISNUMBER(U310),ISNUMBER(U309)),U310/U309-1,"")</f>
        <v/>
      </c>
      <c r="X310" s="75" t="str">
        <f aca="false">IF(AND(ISNUMBER(V310),ISNUMBER(W310)),1,"")</f>
        <v/>
      </c>
      <c r="Y310" s="76" t="str">
        <f aca="false">IF(X310=1,V310,"")</f>
        <v/>
      </c>
      <c r="Z310" s="76" t="str">
        <f aca="false">IF(X310=1,W310,"")</f>
        <v/>
      </c>
      <c r="AA310" s="76" t="e">
        <f aca="false">IF(X310=1,V310,NA())</f>
        <v>#N/A</v>
      </c>
      <c r="AB310" s="76" t="e">
        <f aca="false">IF(X310=1,W310,NA())</f>
        <v>#N/A</v>
      </c>
      <c r="AD310" s="73" t="str">
        <f aca="false">IF(ISNUMBER(AE310),IF(ISNUMBER('Base de Datos'!A306),IF('Base de Datos'!A306&gt;20000,DATE(YEAR('Base de Datos'!A306),DAY('Base de Datos'!A306),MONTH('Base de Datos'!A306)),""),IF(TRIM('Base de Datos'!A306)="","",IFERROR(DATE(VALUE(RIGHT(TRIM('Base de Datos'!A306),4)),VALUE(LEFT(TRIM('Base de Datos'!A306),2)),VALUE(MID(TRIM('Base de Datos'!A306),4,2))),""))),"")</f>
        <v/>
      </c>
      <c r="AE310" s="74" t="str">
        <f aca="false">IF(ISNUMBER('Base de Datos'!B306),'Base de Datos'!B306,IF(TRIM('Base de Datos'!B306)="","",IFERROR(IF(IFERROR(FIND("@",SUBSTITUTE(TRIM('Base de Datos'!B306),",","@",LEN(TRIM('Base de Datos'!B306))-LEN(SUBSTITUTE(TRIM('Base de Datos'!B306),",","")))),0)&gt;IFERROR(FIND("@",SUBSTITUTE(TRIM('Base de Datos'!B306),".","@",LEN(TRIM('Base de Datos'!B306))-LEN(SUBSTITUTE(TRIM('Base de Datos'!B306),".","")))),0),_xlfn.NUMBERVALUE(SUBSTITUTE(SUBSTITUTE(TRIM('Base de Datos'!B306),".",""),",","."),".",","),_xlfn.NUMBERVALUE(SUBSTITUTE(TRIM('Base de Datos'!B306),",",""),".",",")),"")))</f>
        <v/>
      </c>
      <c r="AF310" s="73" t="str">
        <f aca="false">IF(ISNUMBER(AG310),IF(ISNUMBER('Base de Datos'!I306),IF('Base de Datos'!I306&gt;20000,INT('Base de Datos'!I306),""),IF(TRIM('Base de Datos'!I306)="","",IFERROR(DATE(VALUE(RIGHT(TRIM('Base de Datos'!I306),4)),VALUE(MID(TRIM('Base de Datos'!I306),4,2)),VALUE(LEFT(TRIM('Base de Datos'!I306),2))),IFERROR(DATEVALUE(TRIM('Base de Datos'!I306)),"")))),"")</f>
        <v/>
      </c>
      <c r="AG310" s="74" t="str">
        <f aca="false">IF(ISNUMBER('Base de Datos'!J306),'Base de Datos'!J306,IF(TRIM('Base de Datos'!J306)="","",IFERROR(IF(IFERROR(FIND("@",SUBSTITUTE(TRIM('Base de Datos'!J306),",","@",LEN(TRIM('Base de Datos'!J306))-LEN(SUBSTITUTE(TRIM('Base de Datos'!J306),",","")))),0)&gt;IFERROR(FIND("@",SUBSTITUTE(TRIM('Base de Datos'!J306),".","@",LEN(TRIM('Base de Datos'!J306))-LEN(SUBSTITUTE(TRIM('Base de Datos'!J306),".","")))),0),_xlfn.NUMBERVALUE(SUBSTITUTE(SUBSTITUTE(TRIM('Base de Datos'!J306),".",""),",","."),".",","),_xlfn.NUMBERVALUE(SUBSTITUTE(TRIM('Base de Datos'!J306),",",""),".",",")),"")))</f>
        <v/>
      </c>
      <c r="AH310" s="73" t="str">
        <f aca="false">IF(ISNUMBER(AI310),IF(ISNUMBER('Base de Datos'!Q306),IF('Base de Datos'!Q306&gt;20000,DATE(YEAR('Base de Datos'!Q306),DAY('Base de Datos'!Q306),MONTH('Base de Datos'!Q306)),""),IF(TRIM('Base de Datos'!Q306)="","",IFERROR(DATE(VALUE(RIGHT(TRIM('Base de Datos'!Q306),4)),VALUE(LEFT(TRIM('Base de Datos'!Q306),2)),VALUE(MID(TRIM('Base de Datos'!Q306),4,2))),""))),"")</f>
        <v/>
      </c>
      <c r="AI310" s="74" t="str">
        <f aca="false">IF(ISNUMBER('Base de Datos'!R306),'Base de Datos'!R306,IF(TRIM('Base de Datos'!R306)="","",IFERROR(IF(IFERROR(FIND("@",SUBSTITUTE(TRIM('Base de Datos'!R306),",","@",LEN(TRIM('Base de Datos'!R306))-LEN(SUBSTITUTE(TRIM('Base de Datos'!R306),",","")))),0)&gt;IFERROR(FIND("@",SUBSTITUTE(TRIM('Base de Datos'!R306),".","@",LEN(TRIM('Base de Datos'!R306))-LEN(SUBSTITUTE(TRIM('Base de Datos'!R306),".","")))),0),_xlfn.NUMBERVALUE(SUBSTITUTE(SUBSTITUTE(TRIM('Base de Datos'!R306),".",""),",","."),".",","),_xlfn.NUMBERVALUE(SUBSTITUTE(TRIM('Base de Datos'!R306),",",""),".",",")),"")))</f>
        <v/>
      </c>
      <c r="AJ310" s="73" t="str">
        <f aca="false">IF(ISNUMBER(AK310),IF(ISNUMBER('Base de Datos'!Y306),IF('Base de Datos'!Y306&gt;20000,INT('Base de Datos'!Y306),""),IF(TRIM('Base de Datos'!Y306)="","",IFERROR(DATE(VALUE(RIGHT(TRIM('Base de Datos'!Y306),4)),VALUE(MID(TRIM('Base de Datos'!Y306),4,2)),VALUE(LEFT(TRIM('Base de Datos'!Y306),2))),IFERROR(DATEVALUE(TRIM('Base de Datos'!Y306)),"")))),"")</f>
        <v/>
      </c>
      <c r="AK310" s="74" t="str">
        <f aca="false">IF(ISNUMBER('Base de Datos'!Z306),'Base de Datos'!Z306,IF(TRIM('Base de Datos'!Z306)="","",IFERROR(IF(IFERROR(FIND("@",SUBSTITUTE(TRIM('Base de Datos'!Z306),",","@",LEN(TRIM('Base de Datos'!Z306))-LEN(SUBSTITUTE(TRIM('Base de Datos'!Z306),",","")))),0)&gt;IFERROR(FIND("@",SUBSTITUTE(TRIM('Base de Datos'!Z306),".","@",LEN(TRIM('Base de Datos'!Z306))-LEN(SUBSTITUTE(TRIM('Base de Datos'!Z306),".","")))),0),_xlfn.NUMBERVALUE(SUBSTITUTE(SUBSTITUTE(TRIM('Base de Datos'!Z306),".",""),",","."),".",","),_xlfn.NUMBERVALUE(SUBSTITUTE(TRIM('Base de Datos'!Z306),",",""),".",",")),"")))</f>
        <v/>
      </c>
    </row>
    <row r="311" customFormat="false" ht="13.5" hidden="false" customHeight="false" outlineLevel="0" collapsed="false">
      <c r="A311" s="75" t="n">
        <f aca="false">ROWS(A$13:A311)</f>
        <v>299</v>
      </c>
      <c r="B311" s="73" t="str">
        <f aca="false">IF(B310="","",IFERROR(SMALL($AH$10:$AH$409,COUNTIF($AH$10:$AH$409,"&lt;="&amp;B310)+1),""))</f>
        <v/>
      </c>
      <c r="C311" s="74" t="str">
        <f aca="false">IF(B311="","",INDEX($AI$10:$AI$409,MATCH(B311,$AH$10:$AH$409,0)))</f>
        <v/>
      </c>
      <c r="D311" s="74" t="str">
        <f aca="false">IF(B311="","",IFERROR(INDEX($AK$10:$AK$409,MATCH(B311,$AJ$10:$AJ$409,0)),""))</f>
        <v/>
      </c>
      <c r="E311" s="76" t="str">
        <f aca="false">IF(AND(ISNUMBER(C311),ISNUMBER(C310)),C311/C310-1,"")</f>
        <v/>
      </c>
      <c r="F311" s="76" t="str">
        <f aca="false">IF(AND(ISNUMBER(D311),ISNUMBER(D310)),D311/D310-1,"")</f>
        <v/>
      </c>
      <c r="G311" s="75" t="str">
        <f aca="false">IF(AND(ISNUMBER(E311),ISNUMBER(F311)),1,"")</f>
        <v/>
      </c>
      <c r="H311" s="75" t="str">
        <f aca="false">IF(G311=1,COUNT(G311:G$412),"")</f>
        <v/>
      </c>
      <c r="I311" s="75" t="str">
        <f aca="false">IF(G311=1,IF(H311&lt;='Beta Regresión'!$B$5,1,""),"")</f>
        <v/>
      </c>
      <c r="J311" s="76" t="str">
        <f aca="false">IF(I311=1,E311,"")</f>
        <v/>
      </c>
      <c r="K311" s="76" t="str">
        <f aca="false">IF(I311=1,F311,"")</f>
        <v/>
      </c>
      <c r="L311" s="75" t="str">
        <f aca="false">IF(I311=1,COUNT(I$13:I311),"")</f>
        <v/>
      </c>
      <c r="M311" s="76" t="str">
        <f aca="false">IFERROR(INDEX($J$13:$J$412,MATCH(A311,$L$13:$L$412,0)),"")</f>
        <v/>
      </c>
      <c r="N311" s="76" t="str">
        <f aca="false">IFERROR(INDEX($K$13:$K$412,MATCH(A311,$L$13:$L$412,0)),"")</f>
        <v/>
      </c>
      <c r="O311" s="76" t="e">
        <f aca="false">IF(I311=1,E311,NA())</f>
        <v>#N/A</v>
      </c>
      <c r="P311" s="76" t="e">
        <f aca="false">IF(I311=1,F311,NA())</f>
        <v>#N/A</v>
      </c>
      <c r="R311" s="75" t="n">
        <f aca="false">ROWS(R$13:R311)</f>
        <v>299</v>
      </c>
      <c r="S311" s="73" t="str">
        <f aca="false">IF(S310="","",IFERROR(SMALL($AD$10:$AD$509,COUNTIF($AD$10:$AD$509,"&lt;="&amp;S310)+1),""))</f>
        <v/>
      </c>
      <c r="T311" s="74" t="str">
        <f aca="false">IF(S311="","",INDEX($AE$10:$AE$509,MATCH(S311,$AD$10:$AD$509,0)))</f>
        <v/>
      </c>
      <c r="U311" s="74" t="str">
        <f aca="false">IF(S311="","",IFERROR(INDEX($AG$10:$AG$509,MATCH(S311,$AF$10:$AF$509,0)),""))</f>
        <v/>
      </c>
      <c r="V311" s="76" t="str">
        <f aca="false">IF(AND(ISNUMBER(T311),ISNUMBER(T310)),T311/T310-1,"")</f>
        <v/>
      </c>
      <c r="W311" s="76" t="str">
        <f aca="false">IF(AND(ISNUMBER(U311),ISNUMBER(U310)),U311/U310-1,"")</f>
        <v/>
      </c>
      <c r="X311" s="75" t="str">
        <f aca="false">IF(AND(ISNUMBER(V311),ISNUMBER(W311)),1,"")</f>
        <v/>
      </c>
      <c r="Y311" s="76" t="str">
        <f aca="false">IF(X311=1,V311,"")</f>
        <v/>
      </c>
      <c r="Z311" s="76" t="str">
        <f aca="false">IF(X311=1,W311,"")</f>
        <v/>
      </c>
      <c r="AA311" s="76" t="e">
        <f aca="false">IF(X311=1,V311,NA())</f>
        <v>#N/A</v>
      </c>
      <c r="AB311" s="76" t="e">
        <f aca="false">IF(X311=1,W311,NA())</f>
        <v>#N/A</v>
      </c>
      <c r="AD311" s="73" t="str">
        <f aca="false">IF(ISNUMBER(AE311),IF(ISNUMBER('Base de Datos'!A307),IF('Base de Datos'!A307&gt;20000,DATE(YEAR('Base de Datos'!A307),DAY('Base de Datos'!A307),MONTH('Base de Datos'!A307)),""),IF(TRIM('Base de Datos'!A307)="","",IFERROR(DATE(VALUE(RIGHT(TRIM('Base de Datos'!A307),4)),VALUE(LEFT(TRIM('Base de Datos'!A307),2)),VALUE(MID(TRIM('Base de Datos'!A307),4,2))),""))),"")</f>
        <v/>
      </c>
      <c r="AE311" s="74" t="str">
        <f aca="false">IF(ISNUMBER('Base de Datos'!B307),'Base de Datos'!B307,IF(TRIM('Base de Datos'!B307)="","",IFERROR(IF(IFERROR(FIND("@",SUBSTITUTE(TRIM('Base de Datos'!B307),",","@",LEN(TRIM('Base de Datos'!B307))-LEN(SUBSTITUTE(TRIM('Base de Datos'!B307),",","")))),0)&gt;IFERROR(FIND("@",SUBSTITUTE(TRIM('Base de Datos'!B307),".","@",LEN(TRIM('Base de Datos'!B307))-LEN(SUBSTITUTE(TRIM('Base de Datos'!B307),".","")))),0),_xlfn.NUMBERVALUE(SUBSTITUTE(SUBSTITUTE(TRIM('Base de Datos'!B307),".",""),",","."),".",","),_xlfn.NUMBERVALUE(SUBSTITUTE(TRIM('Base de Datos'!B307),",",""),".",",")),"")))</f>
        <v/>
      </c>
      <c r="AF311" s="73" t="str">
        <f aca="false">IF(ISNUMBER(AG311),IF(ISNUMBER('Base de Datos'!I307),IF('Base de Datos'!I307&gt;20000,INT('Base de Datos'!I307),""),IF(TRIM('Base de Datos'!I307)="","",IFERROR(DATE(VALUE(RIGHT(TRIM('Base de Datos'!I307),4)),VALUE(MID(TRIM('Base de Datos'!I307),4,2)),VALUE(LEFT(TRIM('Base de Datos'!I307),2))),IFERROR(DATEVALUE(TRIM('Base de Datos'!I307)),"")))),"")</f>
        <v/>
      </c>
      <c r="AG311" s="74" t="str">
        <f aca="false">IF(ISNUMBER('Base de Datos'!J307),'Base de Datos'!J307,IF(TRIM('Base de Datos'!J307)="","",IFERROR(IF(IFERROR(FIND("@",SUBSTITUTE(TRIM('Base de Datos'!J307),",","@",LEN(TRIM('Base de Datos'!J307))-LEN(SUBSTITUTE(TRIM('Base de Datos'!J307),",","")))),0)&gt;IFERROR(FIND("@",SUBSTITUTE(TRIM('Base de Datos'!J307),".","@",LEN(TRIM('Base de Datos'!J307))-LEN(SUBSTITUTE(TRIM('Base de Datos'!J307),".","")))),0),_xlfn.NUMBERVALUE(SUBSTITUTE(SUBSTITUTE(TRIM('Base de Datos'!J307),".",""),",","."),".",","),_xlfn.NUMBERVALUE(SUBSTITUTE(TRIM('Base de Datos'!J307),",",""),".",",")),"")))</f>
        <v/>
      </c>
      <c r="AH311" s="73" t="str">
        <f aca="false">IF(ISNUMBER(AI311),IF(ISNUMBER('Base de Datos'!Q307),IF('Base de Datos'!Q307&gt;20000,DATE(YEAR('Base de Datos'!Q307),DAY('Base de Datos'!Q307),MONTH('Base de Datos'!Q307)),""),IF(TRIM('Base de Datos'!Q307)="","",IFERROR(DATE(VALUE(RIGHT(TRIM('Base de Datos'!Q307),4)),VALUE(LEFT(TRIM('Base de Datos'!Q307),2)),VALUE(MID(TRIM('Base de Datos'!Q307),4,2))),""))),"")</f>
        <v/>
      </c>
      <c r="AI311" s="74" t="str">
        <f aca="false">IF(ISNUMBER('Base de Datos'!R307),'Base de Datos'!R307,IF(TRIM('Base de Datos'!R307)="","",IFERROR(IF(IFERROR(FIND("@",SUBSTITUTE(TRIM('Base de Datos'!R307),",","@",LEN(TRIM('Base de Datos'!R307))-LEN(SUBSTITUTE(TRIM('Base de Datos'!R307),",","")))),0)&gt;IFERROR(FIND("@",SUBSTITUTE(TRIM('Base de Datos'!R307),".","@",LEN(TRIM('Base de Datos'!R307))-LEN(SUBSTITUTE(TRIM('Base de Datos'!R307),".","")))),0),_xlfn.NUMBERVALUE(SUBSTITUTE(SUBSTITUTE(TRIM('Base de Datos'!R307),".",""),",","."),".",","),_xlfn.NUMBERVALUE(SUBSTITUTE(TRIM('Base de Datos'!R307),",",""),".",",")),"")))</f>
        <v/>
      </c>
      <c r="AJ311" s="73" t="str">
        <f aca="false">IF(ISNUMBER(AK311),IF(ISNUMBER('Base de Datos'!Y307),IF('Base de Datos'!Y307&gt;20000,INT('Base de Datos'!Y307),""),IF(TRIM('Base de Datos'!Y307)="","",IFERROR(DATE(VALUE(RIGHT(TRIM('Base de Datos'!Y307),4)),VALUE(MID(TRIM('Base de Datos'!Y307),4,2)),VALUE(LEFT(TRIM('Base de Datos'!Y307),2))),IFERROR(DATEVALUE(TRIM('Base de Datos'!Y307)),"")))),"")</f>
        <v/>
      </c>
      <c r="AK311" s="74" t="str">
        <f aca="false">IF(ISNUMBER('Base de Datos'!Z307),'Base de Datos'!Z307,IF(TRIM('Base de Datos'!Z307)="","",IFERROR(IF(IFERROR(FIND("@",SUBSTITUTE(TRIM('Base de Datos'!Z307),",","@",LEN(TRIM('Base de Datos'!Z307))-LEN(SUBSTITUTE(TRIM('Base de Datos'!Z307),",","")))),0)&gt;IFERROR(FIND("@",SUBSTITUTE(TRIM('Base de Datos'!Z307),".","@",LEN(TRIM('Base de Datos'!Z307))-LEN(SUBSTITUTE(TRIM('Base de Datos'!Z307),".","")))),0),_xlfn.NUMBERVALUE(SUBSTITUTE(SUBSTITUTE(TRIM('Base de Datos'!Z307),".",""),",","."),".",","),_xlfn.NUMBERVALUE(SUBSTITUTE(TRIM('Base de Datos'!Z307),",",""),".",",")),"")))</f>
        <v/>
      </c>
    </row>
    <row r="312" customFormat="false" ht="13.5" hidden="false" customHeight="false" outlineLevel="0" collapsed="false">
      <c r="A312" s="75" t="n">
        <f aca="false">ROWS(A$13:A312)</f>
        <v>300</v>
      </c>
      <c r="B312" s="73" t="str">
        <f aca="false">IF(B311="","",IFERROR(SMALL($AH$10:$AH$409,COUNTIF($AH$10:$AH$409,"&lt;="&amp;B311)+1),""))</f>
        <v/>
      </c>
      <c r="C312" s="74" t="str">
        <f aca="false">IF(B312="","",INDEX($AI$10:$AI$409,MATCH(B312,$AH$10:$AH$409,0)))</f>
        <v/>
      </c>
      <c r="D312" s="74" t="str">
        <f aca="false">IF(B312="","",IFERROR(INDEX($AK$10:$AK$409,MATCH(B312,$AJ$10:$AJ$409,0)),""))</f>
        <v/>
      </c>
      <c r="E312" s="76" t="str">
        <f aca="false">IF(AND(ISNUMBER(C312),ISNUMBER(C311)),C312/C311-1,"")</f>
        <v/>
      </c>
      <c r="F312" s="76" t="str">
        <f aca="false">IF(AND(ISNUMBER(D312),ISNUMBER(D311)),D312/D311-1,"")</f>
        <v/>
      </c>
      <c r="G312" s="75" t="str">
        <f aca="false">IF(AND(ISNUMBER(E312),ISNUMBER(F312)),1,"")</f>
        <v/>
      </c>
      <c r="H312" s="75" t="str">
        <f aca="false">IF(G312=1,COUNT(G312:G$412),"")</f>
        <v/>
      </c>
      <c r="I312" s="75" t="str">
        <f aca="false">IF(G312=1,IF(H312&lt;='Beta Regresión'!$B$5,1,""),"")</f>
        <v/>
      </c>
      <c r="J312" s="76" t="str">
        <f aca="false">IF(I312=1,E312,"")</f>
        <v/>
      </c>
      <c r="K312" s="76" t="str">
        <f aca="false">IF(I312=1,F312,"")</f>
        <v/>
      </c>
      <c r="L312" s="75" t="str">
        <f aca="false">IF(I312=1,COUNT(I$13:I312),"")</f>
        <v/>
      </c>
      <c r="M312" s="76" t="str">
        <f aca="false">IFERROR(INDEX($J$13:$J$412,MATCH(A312,$L$13:$L$412,0)),"")</f>
        <v/>
      </c>
      <c r="N312" s="76" t="str">
        <f aca="false">IFERROR(INDEX($K$13:$K$412,MATCH(A312,$L$13:$L$412,0)),"")</f>
        <v/>
      </c>
      <c r="O312" s="76" t="e">
        <f aca="false">IF(I312=1,E312,NA())</f>
        <v>#N/A</v>
      </c>
      <c r="P312" s="76" t="e">
        <f aca="false">IF(I312=1,F312,NA())</f>
        <v>#N/A</v>
      </c>
      <c r="R312" s="75" t="n">
        <f aca="false">ROWS(R$13:R312)</f>
        <v>300</v>
      </c>
      <c r="S312" s="73" t="str">
        <f aca="false">IF(S311="","",IFERROR(SMALL($AD$10:$AD$509,COUNTIF($AD$10:$AD$509,"&lt;="&amp;S311)+1),""))</f>
        <v/>
      </c>
      <c r="T312" s="74" t="str">
        <f aca="false">IF(S312="","",INDEX($AE$10:$AE$509,MATCH(S312,$AD$10:$AD$509,0)))</f>
        <v/>
      </c>
      <c r="U312" s="74" t="str">
        <f aca="false">IF(S312="","",IFERROR(INDEX($AG$10:$AG$509,MATCH(S312,$AF$10:$AF$509,0)),""))</f>
        <v/>
      </c>
      <c r="V312" s="76" t="str">
        <f aca="false">IF(AND(ISNUMBER(T312),ISNUMBER(T311)),T312/T311-1,"")</f>
        <v/>
      </c>
      <c r="W312" s="76" t="str">
        <f aca="false">IF(AND(ISNUMBER(U312),ISNUMBER(U311)),U312/U311-1,"")</f>
        <v/>
      </c>
      <c r="X312" s="75" t="str">
        <f aca="false">IF(AND(ISNUMBER(V312),ISNUMBER(W312)),1,"")</f>
        <v/>
      </c>
      <c r="Y312" s="76" t="str">
        <f aca="false">IF(X312=1,V312,"")</f>
        <v/>
      </c>
      <c r="Z312" s="76" t="str">
        <f aca="false">IF(X312=1,W312,"")</f>
        <v/>
      </c>
      <c r="AA312" s="76" t="e">
        <f aca="false">IF(X312=1,V312,NA())</f>
        <v>#N/A</v>
      </c>
      <c r="AB312" s="76" t="e">
        <f aca="false">IF(X312=1,W312,NA())</f>
        <v>#N/A</v>
      </c>
      <c r="AD312" s="73" t="str">
        <f aca="false">IF(ISNUMBER(AE312),IF(ISNUMBER('Base de Datos'!A308),IF('Base de Datos'!A308&gt;20000,DATE(YEAR('Base de Datos'!A308),DAY('Base de Datos'!A308),MONTH('Base de Datos'!A308)),""),IF(TRIM('Base de Datos'!A308)="","",IFERROR(DATE(VALUE(RIGHT(TRIM('Base de Datos'!A308),4)),VALUE(LEFT(TRIM('Base de Datos'!A308),2)),VALUE(MID(TRIM('Base de Datos'!A308),4,2))),""))),"")</f>
        <v/>
      </c>
      <c r="AE312" s="74" t="str">
        <f aca="false">IF(ISNUMBER('Base de Datos'!B308),'Base de Datos'!B308,IF(TRIM('Base de Datos'!B308)="","",IFERROR(IF(IFERROR(FIND("@",SUBSTITUTE(TRIM('Base de Datos'!B308),",","@",LEN(TRIM('Base de Datos'!B308))-LEN(SUBSTITUTE(TRIM('Base de Datos'!B308),",","")))),0)&gt;IFERROR(FIND("@",SUBSTITUTE(TRIM('Base de Datos'!B308),".","@",LEN(TRIM('Base de Datos'!B308))-LEN(SUBSTITUTE(TRIM('Base de Datos'!B308),".","")))),0),_xlfn.NUMBERVALUE(SUBSTITUTE(SUBSTITUTE(TRIM('Base de Datos'!B308),".",""),",","."),".",","),_xlfn.NUMBERVALUE(SUBSTITUTE(TRIM('Base de Datos'!B308),",",""),".",",")),"")))</f>
        <v/>
      </c>
      <c r="AF312" s="73" t="str">
        <f aca="false">IF(ISNUMBER(AG312),IF(ISNUMBER('Base de Datos'!I308),IF('Base de Datos'!I308&gt;20000,INT('Base de Datos'!I308),""),IF(TRIM('Base de Datos'!I308)="","",IFERROR(DATE(VALUE(RIGHT(TRIM('Base de Datos'!I308),4)),VALUE(MID(TRIM('Base de Datos'!I308),4,2)),VALUE(LEFT(TRIM('Base de Datos'!I308),2))),IFERROR(DATEVALUE(TRIM('Base de Datos'!I308)),"")))),"")</f>
        <v/>
      </c>
      <c r="AG312" s="74" t="str">
        <f aca="false">IF(ISNUMBER('Base de Datos'!J308),'Base de Datos'!J308,IF(TRIM('Base de Datos'!J308)="","",IFERROR(IF(IFERROR(FIND("@",SUBSTITUTE(TRIM('Base de Datos'!J308),",","@",LEN(TRIM('Base de Datos'!J308))-LEN(SUBSTITUTE(TRIM('Base de Datos'!J308),",","")))),0)&gt;IFERROR(FIND("@",SUBSTITUTE(TRIM('Base de Datos'!J308),".","@",LEN(TRIM('Base de Datos'!J308))-LEN(SUBSTITUTE(TRIM('Base de Datos'!J308),".","")))),0),_xlfn.NUMBERVALUE(SUBSTITUTE(SUBSTITUTE(TRIM('Base de Datos'!J308),".",""),",","."),".",","),_xlfn.NUMBERVALUE(SUBSTITUTE(TRIM('Base de Datos'!J308),",",""),".",",")),"")))</f>
        <v/>
      </c>
      <c r="AH312" s="73" t="str">
        <f aca="false">IF(ISNUMBER(AI312),IF(ISNUMBER('Base de Datos'!Q308),IF('Base de Datos'!Q308&gt;20000,DATE(YEAR('Base de Datos'!Q308),DAY('Base de Datos'!Q308),MONTH('Base de Datos'!Q308)),""),IF(TRIM('Base de Datos'!Q308)="","",IFERROR(DATE(VALUE(RIGHT(TRIM('Base de Datos'!Q308),4)),VALUE(LEFT(TRIM('Base de Datos'!Q308),2)),VALUE(MID(TRIM('Base de Datos'!Q308),4,2))),""))),"")</f>
        <v/>
      </c>
      <c r="AI312" s="74" t="str">
        <f aca="false">IF(ISNUMBER('Base de Datos'!R308),'Base de Datos'!R308,IF(TRIM('Base de Datos'!R308)="","",IFERROR(IF(IFERROR(FIND("@",SUBSTITUTE(TRIM('Base de Datos'!R308),",","@",LEN(TRIM('Base de Datos'!R308))-LEN(SUBSTITUTE(TRIM('Base de Datos'!R308),",","")))),0)&gt;IFERROR(FIND("@",SUBSTITUTE(TRIM('Base de Datos'!R308),".","@",LEN(TRIM('Base de Datos'!R308))-LEN(SUBSTITUTE(TRIM('Base de Datos'!R308),".","")))),0),_xlfn.NUMBERVALUE(SUBSTITUTE(SUBSTITUTE(TRIM('Base de Datos'!R308),".",""),",","."),".",","),_xlfn.NUMBERVALUE(SUBSTITUTE(TRIM('Base de Datos'!R308),",",""),".",",")),"")))</f>
        <v/>
      </c>
      <c r="AJ312" s="73" t="str">
        <f aca="false">IF(ISNUMBER(AK312),IF(ISNUMBER('Base de Datos'!Y308),IF('Base de Datos'!Y308&gt;20000,INT('Base de Datos'!Y308),""),IF(TRIM('Base de Datos'!Y308)="","",IFERROR(DATE(VALUE(RIGHT(TRIM('Base de Datos'!Y308),4)),VALUE(MID(TRIM('Base de Datos'!Y308),4,2)),VALUE(LEFT(TRIM('Base de Datos'!Y308),2))),IFERROR(DATEVALUE(TRIM('Base de Datos'!Y308)),"")))),"")</f>
        <v/>
      </c>
      <c r="AK312" s="74" t="str">
        <f aca="false">IF(ISNUMBER('Base de Datos'!Z308),'Base de Datos'!Z308,IF(TRIM('Base de Datos'!Z308)="","",IFERROR(IF(IFERROR(FIND("@",SUBSTITUTE(TRIM('Base de Datos'!Z308),",","@",LEN(TRIM('Base de Datos'!Z308))-LEN(SUBSTITUTE(TRIM('Base de Datos'!Z308),",","")))),0)&gt;IFERROR(FIND("@",SUBSTITUTE(TRIM('Base de Datos'!Z308),".","@",LEN(TRIM('Base de Datos'!Z308))-LEN(SUBSTITUTE(TRIM('Base de Datos'!Z308),".","")))),0),_xlfn.NUMBERVALUE(SUBSTITUTE(SUBSTITUTE(TRIM('Base de Datos'!Z308),".",""),",","."),".",","),_xlfn.NUMBERVALUE(SUBSTITUTE(TRIM('Base de Datos'!Z308),",",""),".",",")),"")))</f>
        <v/>
      </c>
    </row>
    <row r="313" customFormat="false" ht="13.5" hidden="false" customHeight="false" outlineLevel="0" collapsed="false">
      <c r="A313" s="75" t="n">
        <f aca="false">ROWS(A$13:A313)</f>
        <v>301</v>
      </c>
      <c r="B313" s="73" t="str">
        <f aca="false">IF(B312="","",IFERROR(SMALL($AH$10:$AH$409,COUNTIF($AH$10:$AH$409,"&lt;="&amp;B312)+1),""))</f>
        <v/>
      </c>
      <c r="C313" s="74" t="str">
        <f aca="false">IF(B313="","",INDEX($AI$10:$AI$409,MATCH(B313,$AH$10:$AH$409,0)))</f>
        <v/>
      </c>
      <c r="D313" s="74" t="str">
        <f aca="false">IF(B313="","",IFERROR(INDEX($AK$10:$AK$409,MATCH(B313,$AJ$10:$AJ$409,0)),""))</f>
        <v/>
      </c>
      <c r="E313" s="76" t="str">
        <f aca="false">IF(AND(ISNUMBER(C313),ISNUMBER(C312)),C313/C312-1,"")</f>
        <v/>
      </c>
      <c r="F313" s="76" t="str">
        <f aca="false">IF(AND(ISNUMBER(D313),ISNUMBER(D312)),D313/D312-1,"")</f>
        <v/>
      </c>
      <c r="G313" s="75" t="str">
        <f aca="false">IF(AND(ISNUMBER(E313),ISNUMBER(F313)),1,"")</f>
        <v/>
      </c>
      <c r="H313" s="75" t="str">
        <f aca="false">IF(G313=1,COUNT(G313:G$412),"")</f>
        <v/>
      </c>
      <c r="I313" s="75" t="str">
        <f aca="false">IF(G313=1,IF(H313&lt;='Beta Regresión'!$B$5,1,""),"")</f>
        <v/>
      </c>
      <c r="J313" s="76" t="str">
        <f aca="false">IF(I313=1,E313,"")</f>
        <v/>
      </c>
      <c r="K313" s="76" t="str">
        <f aca="false">IF(I313=1,F313,"")</f>
        <v/>
      </c>
      <c r="L313" s="75" t="str">
        <f aca="false">IF(I313=1,COUNT(I$13:I313),"")</f>
        <v/>
      </c>
      <c r="M313" s="76" t="str">
        <f aca="false">IFERROR(INDEX($J$13:$J$412,MATCH(A313,$L$13:$L$412,0)),"")</f>
        <v/>
      </c>
      <c r="N313" s="76" t="str">
        <f aca="false">IFERROR(INDEX($K$13:$K$412,MATCH(A313,$L$13:$L$412,0)),"")</f>
        <v/>
      </c>
      <c r="O313" s="76" t="e">
        <f aca="false">IF(I313=1,E313,NA())</f>
        <v>#N/A</v>
      </c>
      <c r="P313" s="76" t="e">
        <f aca="false">IF(I313=1,F313,NA())</f>
        <v>#N/A</v>
      </c>
      <c r="R313" s="75" t="n">
        <f aca="false">ROWS(R$13:R313)</f>
        <v>301</v>
      </c>
      <c r="S313" s="73" t="str">
        <f aca="false">IF(S312="","",IFERROR(SMALL($AD$10:$AD$509,COUNTIF($AD$10:$AD$509,"&lt;="&amp;S312)+1),""))</f>
        <v/>
      </c>
      <c r="T313" s="74" t="str">
        <f aca="false">IF(S313="","",INDEX($AE$10:$AE$509,MATCH(S313,$AD$10:$AD$509,0)))</f>
        <v/>
      </c>
      <c r="U313" s="74" t="str">
        <f aca="false">IF(S313="","",IFERROR(INDEX($AG$10:$AG$509,MATCH(S313,$AF$10:$AF$509,0)),""))</f>
        <v/>
      </c>
      <c r="V313" s="76" t="str">
        <f aca="false">IF(AND(ISNUMBER(T313),ISNUMBER(T312)),T313/T312-1,"")</f>
        <v/>
      </c>
      <c r="W313" s="76" t="str">
        <f aca="false">IF(AND(ISNUMBER(U313),ISNUMBER(U312)),U313/U312-1,"")</f>
        <v/>
      </c>
      <c r="X313" s="75" t="str">
        <f aca="false">IF(AND(ISNUMBER(V313),ISNUMBER(W313)),1,"")</f>
        <v/>
      </c>
      <c r="Y313" s="76" t="str">
        <f aca="false">IF(X313=1,V313,"")</f>
        <v/>
      </c>
      <c r="Z313" s="76" t="str">
        <f aca="false">IF(X313=1,W313,"")</f>
        <v/>
      </c>
      <c r="AA313" s="76" t="e">
        <f aca="false">IF(X313=1,V313,NA())</f>
        <v>#N/A</v>
      </c>
      <c r="AB313" s="76" t="e">
        <f aca="false">IF(X313=1,W313,NA())</f>
        <v>#N/A</v>
      </c>
      <c r="AD313" s="73" t="str">
        <f aca="false">IF(ISNUMBER(AE313),IF(ISNUMBER('Base de Datos'!A309),IF('Base de Datos'!A309&gt;20000,DATE(YEAR('Base de Datos'!A309),DAY('Base de Datos'!A309),MONTH('Base de Datos'!A309)),""),IF(TRIM('Base de Datos'!A309)="","",IFERROR(DATE(VALUE(RIGHT(TRIM('Base de Datos'!A309),4)),VALUE(LEFT(TRIM('Base de Datos'!A309),2)),VALUE(MID(TRIM('Base de Datos'!A309),4,2))),""))),"")</f>
        <v/>
      </c>
      <c r="AE313" s="74" t="str">
        <f aca="false">IF(ISNUMBER('Base de Datos'!B309),'Base de Datos'!B309,IF(TRIM('Base de Datos'!B309)="","",IFERROR(IF(IFERROR(FIND("@",SUBSTITUTE(TRIM('Base de Datos'!B309),",","@",LEN(TRIM('Base de Datos'!B309))-LEN(SUBSTITUTE(TRIM('Base de Datos'!B309),",","")))),0)&gt;IFERROR(FIND("@",SUBSTITUTE(TRIM('Base de Datos'!B309),".","@",LEN(TRIM('Base de Datos'!B309))-LEN(SUBSTITUTE(TRIM('Base de Datos'!B309),".","")))),0),_xlfn.NUMBERVALUE(SUBSTITUTE(SUBSTITUTE(TRIM('Base de Datos'!B309),".",""),",","."),".",","),_xlfn.NUMBERVALUE(SUBSTITUTE(TRIM('Base de Datos'!B309),",",""),".",",")),"")))</f>
        <v/>
      </c>
      <c r="AF313" s="73" t="str">
        <f aca="false">IF(ISNUMBER(AG313),IF(ISNUMBER('Base de Datos'!I309),IF('Base de Datos'!I309&gt;20000,INT('Base de Datos'!I309),""),IF(TRIM('Base de Datos'!I309)="","",IFERROR(DATE(VALUE(RIGHT(TRIM('Base de Datos'!I309),4)),VALUE(MID(TRIM('Base de Datos'!I309),4,2)),VALUE(LEFT(TRIM('Base de Datos'!I309),2))),IFERROR(DATEVALUE(TRIM('Base de Datos'!I309)),"")))),"")</f>
        <v/>
      </c>
      <c r="AG313" s="74" t="str">
        <f aca="false">IF(ISNUMBER('Base de Datos'!J309),'Base de Datos'!J309,IF(TRIM('Base de Datos'!J309)="","",IFERROR(IF(IFERROR(FIND("@",SUBSTITUTE(TRIM('Base de Datos'!J309),",","@",LEN(TRIM('Base de Datos'!J309))-LEN(SUBSTITUTE(TRIM('Base de Datos'!J309),",","")))),0)&gt;IFERROR(FIND("@",SUBSTITUTE(TRIM('Base de Datos'!J309),".","@",LEN(TRIM('Base de Datos'!J309))-LEN(SUBSTITUTE(TRIM('Base de Datos'!J309),".","")))),0),_xlfn.NUMBERVALUE(SUBSTITUTE(SUBSTITUTE(TRIM('Base de Datos'!J309),".",""),",","."),".",","),_xlfn.NUMBERVALUE(SUBSTITUTE(TRIM('Base de Datos'!J309),",",""),".",",")),"")))</f>
        <v/>
      </c>
      <c r="AH313" s="73" t="str">
        <f aca="false">IF(ISNUMBER(AI313),IF(ISNUMBER('Base de Datos'!Q309),IF('Base de Datos'!Q309&gt;20000,DATE(YEAR('Base de Datos'!Q309),DAY('Base de Datos'!Q309),MONTH('Base de Datos'!Q309)),""),IF(TRIM('Base de Datos'!Q309)="","",IFERROR(DATE(VALUE(RIGHT(TRIM('Base de Datos'!Q309),4)),VALUE(LEFT(TRIM('Base de Datos'!Q309),2)),VALUE(MID(TRIM('Base de Datos'!Q309),4,2))),""))),"")</f>
        <v/>
      </c>
      <c r="AI313" s="74" t="str">
        <f aca="false">IF(ISNUMBER('Base de Datos'!R309),'Base de Datos'!R309,IF(TRIM('Base de Datos'!R309)="","",IFERROR(IF(IFERROR(FIND("@",SUBSTITUTE(TRIM('Base de Datos'!R309),",","@",LEN(TRIM('Base de Datos'!R309))-LEN(SUBSTITUTE(TRIM('Base de Datos'!R309),",","")))),0)&gt;IFERROR(FIND("@",SUBSTITUTE(TRIM('Base de Datos'!R309),".","@",LEN(TRIM('Base de Datos'!R309))-LEN(SUBSTITUTE(TRIM('Base de Datos'!R309),".","")))),0),_xlfn.NUMBERVALUE(SUBSTITUTE(SUBSTITUTE(TRIM('Base de Datos'!R309),".",""),",","."),".",","),_xlfn.NUMBERVALUE(SUBSTITUTE(TRIM('Base de Datos'!R309),",",""),".",",")),"")))</f>
        <v/>
      </c>
      <c r="AJ313" s="73" t="str">
        <f aca="false">IF(ISNUMBER(AK313),IF(ISNUMBER('Base de Datos'!Y309),IF('Base de Datos'!Y309&gt;20000,INT('Base de Datos'!Y309),""),IF(TRIM('Base de Datos'!Y309)="","",IFERROR(DATE(VALUE(RIGHT(TRIM('Base de Datos'!Y309),4)),VALUE(MID(TRIM('Base de Datos'!Y309),4,2)),VALUE(LEFT(TRIM('Base de Datos'!Y309),2))),IFERROR(DATEVALUE(TRIM('Base de Datos'!Y309)),"")))),"")</f>
        <v/>
      </c>
      <c r="AK313" s="74" t="str">
        <f aca="false">IF(ISNUMBER('Base de Datos'!Z309),'Base de Datos'!Z309,IF(TRIM('Base de Datos'!Z309)="","",IFERROR(IF(IFERROR(FIND("@",SUBSTITUTE(TRIM('Base de Datos'!Z309),",","@",LEN(TRIM('Base de Datos'!Z309))-LEN(SUBSTITUTE(TRIM('Base de Datos'!Z309),",","")))),0)&gt;IFERROR(FIND("@",SUBSTITUTE(TRIM('Base de Datos'!Z309),".","@",LEN(TRIM('Base de Datos'!Z309))-LEN(SUBSTITUTE(TRIM('Base de Datos'!Z309),".","")))),0),_xlfn.NUMBERVALUE(SUBSTITUTE(SUBSTITUTE(TRIM('Base de Datos'!Z309),".",""),",","."),".",","),_xlfn.NUMBERVALUE(SUBSTITUTE(TRIM('Base de Datos'!Z309),",",""),".",",")),"")))</f>
        <v/>
      </c>
    </row>
    <row r="314" customFormat="false" ht="13.5" hidden="false" customHeight="false" outlineLevel="0" collapsed="false">
      <c r="A314" s="75" t="n">
        <f aca="false">ROWS(A$13:A314)</f>
        <v>302</v>
      </c>
      <c r="B314" s="73" t="str">
        <f aca="false">IF(B313="","",IFERROR(SMALL($AH$10:$AH$409,COUNTIF($AH$10:$AH$409,"&lt;="&amp;B313)+1),""))</f>
        <v/>
      </c>
      <c r="C314" s="74" t="str">
        <f aca="false">IF(B314="","",INDEX($AI$10:$AI$409,MATCH(B314,$AH$10:$AH$409,0)))</f>
        <v/>
      </c>
      <c r="D314" s="74" t="str">
        <f aca="false">IF(B314="","",IFERROR(INDEX($AK$10:$AK$409,MATCH(B314,$AJ$10:$AJ$409,0)),""))</f>
        <v/>
      </c>
      <c r="E314" s="76" t="str">
        <f aca="false">IF(AND(ISNUMBER(C314),ISNUMBER(C313)),C314/C313-1,"")</f>
        <v/>
      </c>
      <c r="F314" s="76" t="str">
        <f aca="false">IF(AND(ISNUMBER(D314),ISNUMBER(D313)),D314/D313-1,"")</f>
        <v/>
      </c>
      <c r="G314" s="75" t="str">
        <f aca="false">IF(AND(ISNUMBER(E314),ISNUMBER(F314)),1,"")</f>
        <v/>
      </c>
      <c r="H314" s="75" t="str">
        <f aca="false">IF(G314=1,COUNT(G314:G$412),"")</f>
        <v/>
      </c>
      <c r="I314" s="75" t="str">
        <f aca="false">IF(G314=1,IF(H314&lt;='Beta Regresión'!$B$5,1,""),"")</f>
        <v/>
      </c>
      <c r="J314" s="76" t="str">
        <f aca="false">IF(I314=1,E314,"")</f>
        <v/>
      </c>
      <c r="K314" s="76" t="str">
        <f aca="false">IF(I314=1,F314,"")</f>
        <v/>
      </c>
      <c r="L314" s="75" t="str">
        <f aca="false">IF(I314=1,COUNT(I$13:I314),"")</f>
        <v/>
      </c>
      <c r="M314" s="76" t="str">
        <f aca="false">IFERROR(INDEX($J$13:$J$412,MATCH(A314,$L$13:$L$412,0)),"")</f>
        <v/>
      </c>
      <c r="N314" s="76" t="str">
        <f aca="false">IFERROR(INDEX($K$13:$K$412,MATCH(A314,$L$13:$L$412,0)),"")</f>
        <v/>
      </c>
      <c r="O314" s="76" t="e">
        <f aca="false">IF(I314=1,E314,NA())</f>
        <v>#N/A</v>
      </c>
      <c r="P314" s="76" t="e">
        <f aca="false">IF(I314=1,F314,NA())</f>
        <v>#N/A</v>
      </c>
      <c r="R314" s="75" t="n">
        <f aca="false">ROWS(R$13:R314)</f>
        <v>302</v>
      </c>
      <c r="S314" s="73" t="str">
        <f aca="false">IF(S313="","",IFERROR(SMALL($AD$10:$AD$509,COUNTIF($AD$10:$AD$509,"&lt;="&amp;S313)+1),""))</f>
        <v/>
      </c>
      <c r="T314" s="74" t="str">
        <f aca="false">IF(S314="","",INDEX($AE$10:$AE$509,MATCH(S314,$AD$10:$AD$509,0)))</f>
        <v/>
      </c>
      <c r="U314" s="74" t="str">
        <f aca="false">IF(S314="","",IFERROR(INDEX($AG$10:$AG$509,MATCH(S314,$AF$10:$AF$509,0)),""))</f>
        <v/>
      </c>
      <c r="V314" s="76" t="str">
        <f aca="false">IF(AND(ISNUMBER(T314),ISNUMBER(T313)),T314/T313-1,"")</f>
        <v/>
      </c>
      <c r="W314" s="76" t="str">
        <f aca="false">IF(AND(ISNUMBER(U314),ISNUMBER(U313)),U314/U313-1,"")</f>
        <v/>
      </c>
      <c r="X314" s="75" t="str">
        <f aca="false">IF(AND(ISNUMBER(V314),ISNUMBER(W314)),1,"")</f>
        <v/>
      </c>
      <c r="Y314" s="76" t="str">
        <f aca="false">IF(X314=1,V314,"")</f>
        <v/>
      </c>
      <c r="Z314" s="76" t="str">
        <f aca="false">IF(X314=1,W314,"")</f>
        <v/>
      </c>
      <c r="AA314" s="76" t="e">
        <f aca="false">IF(X314=1,V314,NA())</f>
        <v>#N/A</v>
      </c>
      <c r="AB314" s="76" t="e">
        <f aca="false">IF(X314=1,W314,NA())</f>
        <v>#N/A</v>
      </c>
      <c r="AD314" s="73" t="str">
        <f aca="false">IF(ISNUMBER(AE314),IF(ISNUMBER('Base de Datos'!A310),IF('Base de Datos'!A310&gt;20000,DATE(YEAR('Base de Datos'!A310),DAY('Base de Datos'!A310),MONTH('Base de Datos'!A310)),""),IF(TRIM('Base de Datos'!A310)="","",IFERROR(DATE(VALUE(RIGHT(TRIM('Base de Datos'!A310),4)),VALUE(LEFT(TRIM('Base de Datos'!A310),2)),VALUE(MID(TRIM('Base de Datos'!A310),4,2))),""))),"")</f>
        <v/>
      </c>
      <c r="AE314" s="74" t="str">
        <f aca="false">IF(ISNUMBER('Base de Datos'!B310),'Base de Datos'!B310,IF(TRIM('Base de Datos'!B310)="","",IFERROR(IF(IFERROR(FIND("@",SUBSTITUTE(TRIM('Base de Datos'!B310),",","@",LEN(TRIM('Base de Datos'!B310))-LEN(SUBSTITUTE(TRIM('Base de Datos'!B310),",","")))),0)&gt;IFERROR(FIND("@",SUBSTITUTE(TRIM('Base de Datos'!B310),".","@",LEN(TRIM('Base de Datos'!B310))-LEN(SUBSTITUTE(TRIM('Base de Datos'!B310),".","")))),0),_xlfn.NUMBERVALUE(SUBSTITUTE(SUBSTITUTE(TRIM('Base de Datos'!B310),".",""),",","."),".",","),_xlfn.NUMBERVALUE(SUBSTITUTE(TRIM('Base de Datos'!B310),",",""),".",",")),"")))</f>
        <v/>
      </c>
      <c r="AF314" s="73" t="str">
        <f aca="false">IF(ISNUMBER(AG314),IF(ISNUMBER('Base de Datos'!I310),IF('Base de Datos'!I310&gt;20000,INT('Base de Datos'!I310),""),IF(TRIM('Base de Datos'!I310)="","",IFERROR(DATE(VALUE(RIGHT(TRIM('Base de Datos'!I310),4)),VALUE(MID(TRIM('Base de Datos'!I310),4,2)),VALUE(LEFT(TRIM('Base de Datos'!I310),2))),IFERROR(DATEVALUE(TRIM('Base de Datos'!I310)),"")))),"")</f>
        <v/>
      </c>
      <c r="AG314" s="74" t="str">
        <f aca="false">IF(ISNUMBER('Base de Datos'!J310),'Base de Datos'!J310,IF(TRIM('Base de Datos'!J310)="","",IFERROR(IF(IFERROR(FIND("@",SUBSTITUTE(TRIM('Base de Datos'!J310),",","@",LEN(TRIM('Base de Datos'!J310))-LEN(SUBSTITUTE(TRIM('Base de Datos'!J310),",","")))),0)&gt;IFERROR(FIND("@",SUBSTITUTE(TRIM('Base de Datos'!J310),".","@",LEN(TRIM('Base de Datos'!J310))-LEN(SUBSTITUTE(TRIM('Base de Datos'!J310),".","")))),0),_xlfn.NUMBERVALUE(SUBSTITUTE(SUBSTITUTE(TRIM('Base de Datos'!J310),".",""),",","."),".",","),_xlfn.NUMBERVALUE(SUBSTITUTE(TRIM('Base de Datos'!J310),",",""),".",",")),"")))</f>
        <v/>
      </c>
      <c r="AH314" s="73" t="str">
        <f aca="false">IF(ISNUMBER(AI314),IF(ISNUMBER('Base de Datos'!Q310),IF('Base de Datos'!Q310&gt;20000,DATE(YEAR('Base de Datos'!Q310),DAY('Base de Datos'!Q310),MONTH('Base de Datos'!Q310)),""),IF(TRIM('Base de Datos'!Q310)="","",IFERROR(DATE(VALUE(RIGHT(TRIM('Base de Datos'!Q310),4)),VALUE(LEFT(TRIM('Base de Datos'!Q310),2)),VALUE(MID(TRIM('Base de Datos'!Q310),4,2))),""))),"")</f>
        <v/>
      </c>
      <c r="AI314" s="74" t="str">
        <f aca="false">IF(ISNUMBER('Base de Datos'!R310),'Base de Datos'!R310,IF(TRIM('Base de Datos'!R310)="","",IFERROR(IF(IFERROR(FIND("@",SUBSTITUTE(TRIM('Base de Datos'!R310),",","@",LEN(TRIM('Base de Datos'!R310))-LEN(SUBSTITUTE(TRIM('Base de Datos'!R310),",","")))),0)&gt;IFERROR(FIND("@",SUBSTITUTE(TRIM('Base de Datos'!R310),".","@",LEN(TRIM('Base de Datos'!R310))-LEN(SUBSTITUTE(TRIM('Base de Datos'!R310),".","")))),0),_xlfn.NUMBERVALUE(SUBSTITUTE(SUBSTITUTE(TRIM('Base de Datos'!R310),".",""),",","."),".",","),_xlfn.NUMBERVALUE(SUBSTITUTE(TRIM('Base de Datos'!R310),",",""),".",",")),"")))</f>
        <v/>
      </c>
      <c r="AJ314" s="73" t="str">
        <f aca="false">IF(ISNUMBER(AK314),IF(ISNUMBER('Base de Datos'!Y310),IF('Base de Datos'!Y310&gt;20000,INT('Base de Datos'!Y310),""),IF(TRIM('Base de Datos'!Y310)="","",IFERROR(DATE(VALUE(RIGHT(TRIM('Base de Datos'!Y310),4)),VALUE(MID(TRIM('Base de Datos'!Y310),4,2)),VALUE(LEFT(TRIM('Base de Datos'!Y310),2))),IFERROR(DATEVALUE(TRIM('Base de Datos'!Y310)),"")))),"")</f>
        <v/>
      </c>
      <c r="AK314" s="74" t="str">
        <f aca="false">IF(ISNUMBER('Base de Datos'!Z310),'Base de Datos'!Z310,IF(TRIM('Base de Datos'!Z310)="","",IFERROR(IF(IFERROR(FIND("@",SUBSTITUTE(TRIM('Base de Datos'!Z310),",","@",LEN(TRIM('Base de Datos'!Z310))-LEN(SUBSTITUTE(TRIM('Base de Datos'!Z310),",","")))),0)&gt;IFERROR(FIND("@",SUBSTITUTE(TRIM('Base de Datos'!Z310),".","@",LEN(TRIM('Base de Datos'!Z310))-LEN(SUBSTITUTE(TRIM('Base de Datos'!Z310),".","")))),0),_xlfn.NUMBERVALUE(SUBSTITUTE(SUBSTITUTE(TRIM('Base de Datos'!Z310),".",""),",","."),".",","),_xlfn.NUMBERVALUE(SUBSTITUTE(TRIM('Base de Datos'!Z310),",",""),".",",")),"")))</f>
        <v/>
      </c>
    </row>
    <row r="315" customFormat="false" ht="13.5" hidden="false" customHeight="false" outlineLevel="0" collapsed="false">
      <c r="A315" s="75" t="n">
        <f aca="false">ROWS(A$13:A315)</f>
        <v>303</v>
      </c>
      <c r="B315" s="73" t="str">
        <f aca="false">IF(B314="","",IFERROR(SMALL($AH$10:$AH$409,COUNTIF($AH$10:$AH$409,"&lt;="&amp;B314)+1),""))</f>
        <v/>
      </c>
      <c r="C315" s="74" t="str">
        <f aca="false">IF(B315="","",INDEX($AI$10:$AI$409,MATCH(B315,$AH$10:$AH$409,0)))</f>
        <v/>
      </c>
      <c r="D315" s="74" t="str">
        <f aca="false">IF(B315="","",IFERROR(INDEX($AK$10:$AK$409,MATCH(B315,$AJ$10:$AJ$409,0)),""))</f>
        <v/>
      </c>
      <c r="E315" s="76" t="str">
        <f aca="false">IF(AND(ISNUMBER(C315),ISNUMBER(C314)),C315/C314-1,"")</f>
        <v/>
      </c>
      <c r="F315" s="76" t="str">
        <f aca="false">IF(AND(ISNUMBER(D315),ISNUMBER(D314)),D315/D314-1,"")</f>
        <v/>
      </c>
      <c r="G315" s="75" t="str">
        <f aca="false">IF(AND(ISNUMBER(E315),ISNUMBER(F315)),1,"")</f>
        <v/>
      </c>
      <c r="H315" s="75" t="str">
        <f aca="false">IF(G315=1,COUNT(G315:G$412),"")</f>
        <v/>
      </c>
      <c r="I315" s="75" t="str">
        <f aca="false">IF(G315=1,IF(H315&lt;='Beta Regresión'!$B$5,1,""),"")</f>
        <v/>
      </c>
      <c r="J315" s="76" t="str">
        <f aca="false">IF(I315=1,E315,"")</f>
        <v/>
      </c>
      <c r="K315" s="76" t="str">
        <f aca="false">IF(I315=1,F315,"")</f>
        <v/>
      </c>
      <c r="L315" s="75" t="str">
        <f aca="false">IF(I315=1,COUNT(I$13:I315),"")</f>
        <v/>
      </c>
      <c r="M315" s="76" t="str">
        <f aca="false">IFERROR(INDEX($J$13:$J$412,MATCH(A315,$L$13:$L$412,0)),"")</f>
        <v/>
      </c>
      <c r="N315" s="76" t="str">
        <f aca="false">IFERROR(INDEX($K$13:$K$412,MATCH(A315,$L$13:$L$412,0)),"")</f>
        <v/>
      </c>
      <c r="O315" s="76" t="e">
        <f aca="false">IF(I315=1,E315,NA())</f>
        <v>#N/A</v>
      </c>
      <c r="P315" s="76" t="e">
        <f aca="false">IF(I315=1,F315,NA())</f>
        <v>#N/A</v>
      </c>
      <c r="R315" s="75" t="n">
        <f aca="false">ROWS(R$13:R315)</f>
        <v>303</v>
      </c>
      <c r="S315" s="73" t="str">
        <f aca="false">IF(S314="","",IFERROR(SMALL($AD$10:$AD$509,COUNTIF($AD$10:$AD$509,"&lt;="&amp;S314)+1),""))</f>
        <v/>
      </c>
      <c r="T315" s="74" t="str">
        <f aca="false">IF(S315="","",INDEX($AE$10:$AE$509,MATCH(S315,$AD$10:$AD$509,0)))</f>
        <v/>
      </c>
      <c r="U315" s="74" t="str">
        <f aca="false">IF(S315="","",IFERROR(INDEX($AG$10:$AG$509,MATCH(S315,$AF$10:$AF$509,0)),""))</f>
        <v/>
      </c>
      <c r="V315" s="76" t="str">
        <f aca="false">IF(AND(ISNUMBER(T315),ISNUMBER(T314)),T315/T314-1,"")</f>
        <v/>
      </c>
      <c r="W315" s="76" t="str">
        <f aca="false">IF(AND(ISNUMBER(U315),ISNUMBER(U314)),U315/U314-1,"")</f>
        <v/>
      </c>
      <c r="X315" s="75" t="str">
        <f aca="false">IF(AND(ISNUMBER(V315),ISNUMBER(W315)),1,"")</f>
        <v/>
      </c>
      <c r="Y315" s="76" t="str">
        <f aca="false">IF(X315=1,V315,"")</f>
        <v/>
      </c>
      <c r="Z315" s="76" t="str">
        <f aca="false">IF(X315=1,W315,"")</f>
        <v/>
      </c>
      <c r="AA315" s="76" t="e">
        <f aca="false">IF(X315=1,V315,NA())</f>
        <v>#N/A</v>
      </c>
      <c r="AB315" s="76" t="e">
        <f aca="false">IF(X315=1,W315,NA())</f>
        <v>#N/A</v>
      </c>
      <c r="AD315" s="73" t="str">
        <f aca="false">IF(ISNUMBER(AE315),IF(ISNUMBER('Base de Datos'!A311),IF('Base de Datos'!A311&gt;20000,DATE(YEAR('Base de Datos'!A311),DAY('Base de Datos'!A311),MONTH('Base de Datos'!A311)),""),IF(TRIM('Base de Datos'!A311)="","",IFERROR(DATE(VALUE(RIGHT(TRIM('Base de Datos'!A311),4)),VALUE(LEFT(TRIM('Base de Datos'!A311),2)),VALUE(MID(TRIM('Base de Datos'!A311),4,2))),""))),"")</f>
        <v/>
      </c>
      <c r="AE315" s="74" t="str">
        <f aca="false">IF(ISNUMBER('Base de Datos'!B311),'Base de Datos'!B311,IF(TRIM('Base de Datos'!B311)="","",IFERROR(IF(IFERROR(FIND("@",SUBSTITUTE(TRIM('Base de Datos'!B311),",","@",LEN(TRIM('Base de Datos'!B311))-LEN(SUBSTITUTE(TRIM('Base de Datos'!B311),",","")))),0)&gt;IFERROR(FIND("@",SUBSTITUTE(TRIM('Base de Datos'!B311),".","@",LEN(TRIM('Base de Datos'!B311))-LEN(SUBSTITUTE(TRIM('Base de Datos'!B311),".","")))),0),_xlfn.NUMBERVALUE(SUBSTITUTE(SUBSTITUTE(TRIM('Base de Datos'!B311),".",""),",","."),".",","),_xlfn.NUMBERVALUE(SUBSTITUTE(TRIM('Base de Datos'!B311),",",""),".",",")),"")))</f>
        <v/>
      </c>
      <c r="AF315" s="73" t="str">
        <f aca="false">IF(ISNUMBER(AG315),IF(ISNUMBER('Base de Datos'!I311),IF('Base de Datos'!I311&gt;20000,INT('Base de Datos'!I311),""),IF(TRIM('Base de Datos'!I311)="","",IFERROR(DATE(VALUE(RIGHT(TRIM('Base de Datos'!I311),4)),VALUE(MID(TRIM('Base de Datos'!I311),4,2)),VALUE(LEFT(TRIM('Base de Datos'!I311),2))),IFERROR(DATEVALUE(TRIM('Base de Datos'!I311)),"")))),"")</f>
        <v/>
      </c>
      <c r="AG315" s="74" t="str">
        <f aca="false">IF(ISNUMBER('Base de Datos'!J311),'Base de Datos'!J311,IF(TRIM('Base de Datos'!J311)="","",IFERROR(IF(IFERROR(FIND("@",SUBSTITUTE(TRIM('Base de Datos'!J311),",","@",LEN(TRIM('Base de Datos'!J311))-LEN(SUBSTITUTE(TRIM('Base de Datos'!J311),",","")))),0)&gt;IFERROR(FIND("@",SUBSTITUTE(TRIM('Base de Datos'!J311),".","@",LEN(TRIM('Base de Datos'!J311))-LEN(SUBSTITUTE(TRIM('Base de Datos'!J311),".","")))),0),_xlfn.NUMBERVALUE(SUBSTITUTE(SUBSTITUTE(TRIM('Base de Datos'!J311),".",""),",","."),".",","),_xlfn.NUMBERVALUE(SUBSTITUTE(TRIM('Base de Datos'!J311),",",""),".",",")),"")))</f>
        <v/>
      </c>
      <c r="AH315" s="73" t="str">
        <f aca="false">IF(ISNUMBER(AI315),IF(ISNUMBER('Base de Datos'!Q311),IF('Base de Datos'!Q311&gt;20000,DATE(YEAR('Base de Datos'!Q311),DAY('Base de Datos'!Q311),MONTH('Base de Datos'!Q311)),""),IF(TRIM('Base de Datos'!Q311)="","",IFERROR(DATE(VALUE(RIGHT(TRIM('Base de Datos'!Q311),4)),VALUE(LEFT(TRIM('Base de Datos'!Q311),2)),VALUE(MID(TRIM('Base de Datos'!Q311),4,2))),""))),"")</f>
        <v/>
      </c>
      <c r="AI315" s="74" t="str">
        <f aca="false">IF(ISNUMBER('Base de Datos'!R311),'Base de Datos'!R311,IF(TRIM('Base de Datos'!R311)="","",IFERROR(IF(IFERROR(FIND("@",SUBSTITUTE(TRIM('Base de Datos'!R311),",","@",LEN(TRIM('Base de Datos'!R311))-LEN(SUBSTITUTE(TRIM('Base de Datos'!R311),",","")))),0)&gt;IFERROR(FIND("@",SUBSTITUTE(TRIM('Base de Datos'!R311),".","@",LEN(TRIM('Base de Datos'!R311))-LEN(SUBSTITUTE(TRIM('Base de Datos'!R311),".","")))),0),_xlfn.NUMBERVALUE(SUBSTITUTE(SUBSTITUTE(TRIM('Base de Datos'!R311),".",""),",","."),".",","),_xlfn.NUMBERVALUE(SUBSTITUTE(TRIM('Base de Datos'!R311),",",""),".",",")),"")))</f>
        <v/>
      </c>
      <c r="AJ315" s="73" t="str">
        <f aca="false">IF(ISNUMBER(AK315),IF(ISNUMBER('Base de Datos'!Y311),IF('Base de Datos'!Y311&gt;20000,INT('Base de Datos'!Y311),""),IF(TRIM('Base de Datos'!Y311)="","",IFERROR(DATE(VALUE(RIGHT(TRIM('Base de Datos'!Y311),4)),VALUE(MID(TRIM('Base de Datos'!Y311),4,2)),VALUE(LEFT(TRIM('Base de Datos'!Y311),2))),IFERROR(DATEVALUE(TRIM('Base de Datos'!Y311)),"")))),"")</f>
        <v/>
      </c>
      <c r="AK315" s="74" t="str">
        <f aca="false">IF(ISNUMBER('Base de Datos'!Z311),'Base de Datos'!Z311,IF(TRIM('Base de Datos'!Z311)="","",IFERROR(IF(IFERROR(FIND("@",SUBSTITUTE(TRIM('Base de Datos'!Z311),",","@",LEN(TRIM('Base de Datos'!Z311))-LEN(SUBSTITUTE(TRIM('Base de Datos'!Z311),",","")))),0)&gt;IFERROR(FIND("@",SUBSTITUTE(TRIM('Base de Datos'!Z311),".","@",LEN(TRIM('Base de Datos'!Z311))-LEN(SUBSTITUTE(TRIM('Base de Datos'!Z311),".","")))),0),_xlfn.NUMBERVALUE(SUBSTITUTE(SUBSTITUTE(TRIM('Base de Datos'!Z311),".",""),",","."),".",","),_xlfn.NUMBERVALUE(SUBSTITUTE(TRIM('Base de Datos'!Z311),",",""),".",",")),"")))</f>
        <v/>
      </c>
    </row>
    <row r="316" customFormat="false" ht="13.5" hidden="false" customHeight="false" outlineLevel="0" collapsed="false">
      <c r="A316" s="75" t="n">
        <f aca="false">ROWS(A$13:A316)</f>
        <v>304</v>
      </c>
      <c r="B316" s="73" t="str">
        <f aca="false">IF(B315="","",IFERROR(SMALL($AH$10:$AH$409,COUNTIF($AH$10:$AH$409,"&lt;="&amp;B315)+1),""))</f>
        <v/>
      </c>
      <c r="C316" s="74" t="str">
        <f aca="false">IF(B316="","",INDEX($AI$10:$AI$409,MATCH(B316,$AH$10:$AH$409,0)))</f>
        <v/>
      </c>
      <c r="D316" s="74" t="str">
        <f aca="false">IF(B316="","",IFERROR(INDEX($AK$10:$AK$409,MATCH(B316,$AJ$10:$AJ$409,0)),""))</f>
        <v/>
      </c>
      <c r="E316" s="76" t="str">
        <f aca="false">IF(AND(ISNUMBER(C316),ISNUMBER(C315)),C316/C315-1,"")</f>
        <v/>
      </c>
      <c r="F316" s="76" t="str">
        <f aca="false">IF(AND(ISNUMBER(D316),ISNUMBER(D315)),D316/D315-1,"")</f>
        <v/>
      </c>
      <c r="G316" s="75" t="str">
        <f aca="false">IF(AND(ISNUMBER(E316),ISNUMBER(F316)),1,"")</f>
        <v/>
      </c>
      <c r="H316" s="75" t="str">
        <f aca="false">IF(G316=1,COUNT(G316:G$412),"")</f>
        <v/>
      </c>
      <c r="I316" s="75" t="str">
        <f aca="false">IF(G316=1,IF(H316&lt;='Beta Regresión'!$B$5,1,""),"")</f>
        <v/>
      </c>
      <c r="J316" s="76" t="str">
        <f aca="false">IF(I316=1,E316,"")</f>
        <v/>
      </c>
      <c r="K316" s="76" t="str">
        <f aca="false">IF(I316=1,F316,"")</f>
        <v/>
      </c>
      <c r="L316" s="75" t="str">
        <f aca="false">IF(I316=1,COUNT(I$13:I316),"")</f>
        <v/>
      </c>
      <c r="M316" s="76" t="str">
        <f aca="false">IFERROR(INDEX($J$13:$J$412,MATCH(A316,$L$13:$L$412,0)),"")</f>
        <v/>
      </c>
      <c r="N316" s="76" t="str">
        <f aca="false">IFERROR(INDEX($K$13:$K$412,MATCH(A316,$L$13:$L$412,0)),"")</f>
        <v/>
      </c>
      <c r="O316" s="76" t="e">
        <f aca="false">IF(I316=1,E316,NA())</f>
        <v>#N/A</v>
      </c>
      <c r="P316" s="76" t="e">
        <f aca="false">IF(I316=1,F316,NA())</f>
        <v>#N/A</v>
      </c>
      <c r="R316" s="75" t="n">
        <f aca="false">ROWS(R$13:R316)</f>
        <v>304</v>
      </c>
      <c r="S316" s="73" t="str">
        <f aca="false">IF(S315="","",IFERROR(SMALL($AD$10:$AD$509,COUNTIF($AD$10:$AD$509,"&lt;="&amp;S315)+1),""))</f>
        <v/>
      </c>
      <c r="T316" s="74" t="str">
        <f aca="false">IF(S316="","",INDEX($AE$10:$AE$509,MATCH(S316,$AD$10:$AD$509,0)))</f>
        <v/>
      </c>
      <c r="U316" s="74" t="str">
        <f aca="false">IF(S316="","",IFERROR(INDEX($AG$10:$AG$509,MATCH(S316,$AF$10:$AF$509,0)),""))</f>
        <v/>
      </c>
      <c r="V316" s="76" t="str">
        <f aca="false">IF(AND(ISNUMBER(T316),ISNUMBER(T315)),T316/T315-1,"")</f>
        <v/>
      </c>
      <c r="W316" s="76" t="str">
        <f aca="false">IF(AND(ISNUMBER(U316),ISNUMBER(U315)),U316/U315-1,"")</f>
        <v/>
      </c>
      <c r="X316" s="75" t="str">
        <f aca="false">IF(AND(ISNUMBER(V316),ISNUMBER(W316)),1,"")</f>
        <v/>
      </c>
      <c r="Y316" s="76" t="str">
        <f aca="false">IF(X316=1,V316,"")</f>
        <v/>
      </c>
      <c r="Z316" s="76" t="str">
        <f aca="false">IF(X316=1,W316,"")</f>
        <v/>
      </c>
      <c r="AA316" s="76" t="e">
        <f aca="false">IF(X316=1,V316,NA())</f>
        <v>#N/A</v>
      </c>
      <c r="AB316" s="76" t="e">
        <f aca="false">IF(X316=1,W316,NA())</f>
        <v>#N/A</v>
      </c>
      <c r="AD316" s="73" t="str">
        <f aca="false">IF(ISNUMBER(AE316),IF(ISNUMBER('Base de Datos'!A312),IF('Base de Datos'!A312&gt;20000,DATE(YEAR('Base de Datos'!A312),DAY('Base de Datos'!A312),MONTH('Base de Datos'!A312)),""),IF(TRIM('Base de Datos'!A312)="","",IFERROR(DATE(VALUE(RIGHT(TRIM('Base de Datos'!A312),4)),VALUE(LEFT(TRIM('Base de Datos'!A312),2)),VALUE(MID(TRIM('Base de Datos'!A312),4,2))),""))),"")</f>
        <v/>
      </c>
      <c r="AE316" s="74" t="str">
        <f aca="false">IF(ISNUMBER('Base de Datos'!B312),'Base de Datos'!B312,IF(TRIM('Base de Datos'!B312)="","",IFERROR(IF(IFERROR(FIND("@",SUBSTITUTE(TRIM('Base de Datos'!B312),",","@",LEN(TRIM('Base de Datos'!B312))-LEN(SUBSTITUTE(TRIM('Base de Datos'!B312),",","")))),0)&gt;IFERROR(FIND("@",SUBSTITUTE(TRIM('Base de Datos'!B312),".","@",LEN(TRIM('Base de Datos'!B312))-LEN(SUBSTITUTE(TRIM('Base de Datos'!B312),".","")))),0),_xlfn.NUMBERVALUE(SUBSTITUTE(SUBSTITUTE(TRIM('Base de Datos'!B312),".",""),",","."),".",","),_xlfn.NUMBERVALUE(SUBSTITUTE(TRIM('Base de Datos'!B312),",",""),".",",")),"")))</f>
        <v/>
      </c>
      <c r="AF316" s="73" t="str">
        <f aca="false">IF(ISNUMBER(AG316),IF(ISNUMBER('Base de Datos'!I312),IF('Base de Datos'!I312&gt;20000,INT('Base de Datos'!I312),""),IF(TRIM('Base de Datos'!I312)="","",IFERROR(DATE(VALUE(RIGHT(TRIM('Base de Datos'!I312),4)),VALUE(MID(TRIM('Base de Datos'!I312),4,2)),VALUE(LEFT(TRIM('Base de Datos'!I312),2))),IFERROR(DATEVALUE(TRIM('Base de Datos'!I312)),"")))),"")</f>
        <v/>
      </c>
      <c r="AG316" s="74" t="str">
        <f aca="false">IF(ISNUMBER('Base de Datos'!J312),'Base de Datos'!J312,IF(TRIM('Base de Datos'!J312)="","",IFERROR(IF(IFERROR(FIND("@",SUBSTITUTE(TRIM('Base de Datos'!J312),",","@",LEN(TRIM('Base de Datos'!J312))-LEN(SUBSTITUTE(TRIM('Base de Datos'!J312),",","")))),0)&gt;IFERROR(FIND("@",SUBSTITUTE(TRIM('Base de Datos'!J312),".","@",LEN(TRIM('Base de Datos'!J312))-LEN(SUBSTITUTE(TRIM('Base de Datos'!J312),".","")))),0),_xlfn.NUMBERVALUE(SUBSTITUTE(SUBSTITUTE(TRIM('Base de Datos'!J312),".",""),",","."),".",","),_xlfn.NUMBERVALUE(SUBSTITUTE(TRIM('Base de Datos'!J312),",",""),".",",")),"")))</f>
        <v/>
      </c>
      <c r="AH316" s="73" t="str">
        <f aca="false">IF(ISNUMBER(AI316),IF(ISNUMBER('Base de Datos'!Q312),IF('Base de Datos'!Q312&gt;20000,DATE(YEAR('Base de Datos'!Q312),DAY('Base de Datos'!Q312),MONTH('Base de Datos'!Q312)),""),IF(TRIM('Base de Datos'!Q312)="","",IFERROR(DATE(VALUE(RIGHT(TRIM('Base de Datos'!Q312),4)),VALUE(LEFT(TRIM('Base de Datos'!Q312),2)),VALUE(MID(TRIM('Base de Datos'!Q312),4,2))),""))),"")</f>
        <v/>
      </c>
      <c r="AI316" s="74" t="str">
        <f aca="false">IF(ISNUMBER('Base de Datos'!R312),'Base de Datos'!R312,IF(TRIM('Base de Datos'!R312)="","",IFERROR(IF(IFERROR(FIND("@",SUBSTITUTE(TRIM('Base de Datos'!R312),",","@",LEN(TRIM('Base de Datos'!R312))-LEN(SUBSTITUTE(TRIM('Base de Datos'!R312),",","")))),0)&gt;IFERROR(FIND("@",SUBSTITUTE(TRIM('Base de Datos'!R312),".","@",LEN(TRIM('Base de Datos'!R312))-LEN(SUBSTITUTE(TRIM('Base de Datos'!R312),".","")))),0),_xlfn.NUMBERVALUE(SUBSTITUTE(SUBSTITUTE(TRIM('Base de Datos'!R312),".",""),",","."),".",","),_xlfn.NUMBERVALUE(SUBSTITUTE(TRIM('Base de Datos'!R312),",",""),".",",")),"")))</f>
        <v/>
      </c>
      <c r="AJ316" s="73" t="str">
        <f aca="false">IF(ISNUMBER(AK316),IF(ISNUMBER('Base de Datos'!Y312),IF('Base de Datos'!Y312&gt;20000,INT('Base de Datos'!Y312),""),IF(TRIM('Base de Datos'!Y312)="","",IFERROR(DATE(VALUE(RIGHT(TRIM('Base de Datos'!Y312),4)),VALUE(MID(TRIM('Base de Datos'!Y312),4,2)),VALUE(LEFT(TRIM('Base de Datos'!Y312),2))),IFERROR(DATEVALUE(TRIM('Base de Datos'!Y312)),"")))),"")</f>
        <v/>
      </c>
      <c r="AK316" s="74" t="str">
        <f aca="false">IF(ISNUMBER('Base de Datos'!Z312),'Base de Datos'!Z312,IF(TRIM('Base de Datos'!Z312)="","",IFERROR(IF(IFERROR(FIND("@",SUBSTITUTE(TRIM('Base de Datos'!Z312),",","@",LEN(TRIM('Base de Datos'!Z312))-LEN(SUBSTITUTE(TRIM('Base de Datos'!Z312),",","")))),0)&gt;IFERROR(FIND("@",SUBSTITUTE(TRIM('Base de Datos'!Z312),".","@",LEN(TRIM('Base de Datos'!Z312))-LEN(SUBSTITUTE(TRIM('Base de Datos'!Z312),".","")))),0),_xlfn.NUMBERVALUE(SUBSTITUTE(SUBSTITUTE(TRIM('Base de Datos'!Z312),".",""),",","."),".",","),_xlfn.NUMBERVALUE(SUBSTITUTE(TRIM('Base de Datos'!Z312),",",""),".",",")),"")))</f>
        <v/>
      </c>
    </row>
    <row r="317" customFormat="false" ht="13.5" hidden="false" customHeight="false" outlineLevel="0" collapsed="false">
      <c r="A317" s="75" t="n">
        <f aca="false">ROWS(A$13:A317)</f>
        <v>305</v>
      </c>
      <c r="B317" s="73" t="str">
        <f aca="false">IF(B316="","",IFERROR(SMALL($AH$10:$AH$409,COUNTIF($AH$10:$AH$409,"&lt;="&amp;B316)+1),""))</f>
        <v/>
      </c>
      <c r="C317" s="74" t="str">
        <f aca="false">IF(B317="","",INDEX($AI$10:$AI$409,MATCH(B317,$AH$10:$AH$409,0)))</f>
        <v/>
      </c>
      <c r="D317" s="74" t="str">
        <f aca="false">IF(B317="","",IFERROR(INDEX($AK$10:$AK$409,MATCH(B317,$AJ$10:$AJ$409,0)),""))</f>
        <v/>
      </c>
      <c r="E317" s="76" t="str">
        <f aca="false">IF(AND(ISNUMBER(C317),ISNUMBER(C316)),C317/C316-1,"")</f>
        <v/>
      </c>
      <c r="F317" s="76" t="str">
        <f aca="false">IF(AND(ISNUMBER(D317),ISNUMBER(D316)),D317/D316-1,"")</f>
        <v/>
      </c>
      <c r="G317" s="75" t="str">
        <f aca="false">IF(AND(ISNUMBER(E317),ISNUMBER(F317)),1,"")</f>
        <v/>
      </c>
      <c r="H317" s="75" t="str">
        <f aca="false">IF(G317=1,COUNT(G317:G$412),"")</f>
        <v/>
      </c>
      <c r="I317" s="75" t="str">
        <f aca="false">IF(G317=1,IF(H317&lt;='Beta Regresión'!$B$5,1,""),"")</f>
        <v/>
      </c>
      <c r="J317" s="76" t="str">
        <f aca="false">IF(I317=1,E317,"")</f>
        <v/>
      </c>
      <c r="K317" s="76" t="str">
        <f aca="false">IF(I317=1,F317,"")</f>
        <v/>
      </c>
      <c r="L317" s="75" t="str">
        <f aca="false">IF(I317=1,COUNT(I$13:I317),"")</f>
        <v/>
      </c>
      <c r="M317" s="76" t="str">
        <f aca="false">IFERROR(INDEX($J$13:$J$412,MATCH(A317,$L$13:$L$412,0)),"")</f>
        <v/>
      </c>
      <c r="N317" s="76" t="str">
        <f aca="false">IFERROR(INDEX($K$13:$K$412,MATCH(A317,$L$13:$L$412,0)),"")</f>
        <v/>
      </c>
      <c r="O317" s="76" t="e">
        <f aca="false">IF(I317=1,E317,NA())</f>
        <v>#N/A</v>
      </c>
      <c r="P317" s="76" t="e">
        <f aca="false">IF(I317=1,F317,NA())</f>
        <v>#N/A</v>
      </c>
      <c r="R317" s="75" t="n">
        <f aca="false">ROWS(R$13:R317)</f>
        <v>305</v>
      </c>
      <c r="S317" s="73" t="str">
        <f aca="false">IF(S316="","",IFERROR(SMALL($AD$10:$AD$509,COUNTIF($AD$10:$AD$509,"&lt;="&amp;S316)+1),""))</f>
        <v/>
      </c>
      <c r="T317" s="74" t="str">
        <f aca="false">IF(S317="","",INDEX($AE$10:$AE$509,MATCH(S317,$AD$10:$AD$509,0)))</f>
        <v/>
      </c>
      <c r="U317" s="74" t="str">
        <f aca="false">IF(S317="","",IFERROR(INDEX($AG$10:$AG$509,MATCH(S317,$AF$10:$AF$509,0)),""))</f>
        <v/>
      </c>
      <c r="V317" s="76" t="str">
        <f aca="false">IF(AND(ISNUMBER(T317),ISNUMBER(T316)),T317/T316-1,"")</f>
        <v/>
      </c>
      <c r="W317" s="76" t="str">
        <f aca="false">IF(AND(ISNUMBER(U317),ISNUMBER(U316)),U317/U316-1,"")</f>
        <v/>
      </c>
      <c r="X317" s="75" t="str">
        <f aca="false">IF(AND(ISNUMBER(V317),ISNUMBER(W317)),1,"")</f>
        <v/>
      </c>
      <c r="Y317" s="76" t="str">
        <f aca="false">IF(X317=1,V317,"")</f>
        <v/>
      </c>
      <c r="Z317" s="76" t="str">
        <f aca="false">IF(X317=1,W317,"")</f>
        <v/>
      </c>
      <c r="AA317" s="76" t="e">
        <f aca="false">IF(X317=1,V317,NA())</f>
        <v>#N/A</v>
      </c>
      <c r="AB317" s="76" t="e">
        <f aca="false">IF(X317=1,W317,NA())</f>
        <v>#N/A</v>
      </c>
      <c r="AD317" s="73" t="str">
        <f aca="false">IF(ISNUMBER(AE317),IF(ISNUMBER('Base de Datos'!A313),IF('Base de Datos'!A313&gt;20000,DATE(YEAR('Base de Datos'!A313),DAY('Base de Datos'!A313),MONTH('Base de Datos'!A313)),""),IF(TRIM('Base de Datos'!A313)="","",IFERROR(DATE(VALUE(RIGHT(TRIM('Base de Datos'!A313),4)),VALUE(LEFT(TRIM('Base de Datos'!A313),2)),VALUE(MID(TRIM('Base de Datos'!A313),4,2))),""))),"")</f>
        <v/>
      </c>
      <c r="AE317" s="74" t="str">
        <f aca="false">IF(ISNUMBER('Base de Datos'!B313),'Base de Datos'!B313,IF(TRIM('Base de Datos'!B313)="","",IFERROR(IF(IFERROR(FIND("@",SUBSTITUTE(TRIM('Base de Datos'!B313),",","@",LEN(TRIM('Base de Datos'!B313))-LEN(SUBSTITUTE(TRIM('Base de Datos'!B313),",","")))),0)&gt;IFERROR(FIND("@",SUBSTITUTE(TRIM('Base de Datos'!B313),".","@",LEN(TRIM('Base de Datos'!B313))-LEN(SUBSTITUTE(TRIM('Base de Datos'!B313),".","")))),0),_xlfn.NUMBERVALUE(SUBSTITUTE(SUBSTITUTE(TRIM('Base de Datos'!B313),".",""),",","."),".",","),_xlfn.NUMBERVALUE(SUBSTITUTE(TRIM('Base de Datos'!B313),",",""),".",",")),"")))</f>
        <v/>
      </c>
      <c r="AF317" s="73" t="str">
        <f aca="false">IF(ISNUMBER(AG317),IF(ISNUMBER('Base de Datos'!I313),IF('Base de Datos'!I313&gt;20000,INT('Base de Datos'!I313),""),IF(TRIM('Base de Datos'!I313)="","",IFERROR(DATE(VALUE(RIGHT(TRIM('Base de Datos'!I313),4)),VALUE(MID(TRIM('Base de Datos'!I313),4,2)),VALUE(LEFT(TRIM('Base de Datos'!I313),2))),IFERROR(DATEVALUE(TRIM('Base de Datos'!I313)),"")))),"")</f>
        <v/>
      </c>
      <c r="AG317" s="74" t="str">
        <f aca="false">IF(ISNUMBER('Base de Datos'!J313),'Base de Datos'!J313,IF(TRIM('Base de Datos'!J313)="","",IFERROR(IF(IFERROR(FIND("@",SUBSTITUTE(TRIM('Base de Datos'!J313),",","@",LEN(TRIM('Base de Datos'!J313))-LEN(SUBSTITUTE(TRIM('Base de Datos'!J313),",","")))),0)&gt;IFERROR(FIND("@",SUBSTITUTE(TRIM('Base de Datos'!J313),".","@",LEN(TRIM('Base de Datos'!J313))-LEN(SUBSTITUTE(TRIM('Base de Datos'!J313),".","")))),0),_xlfn.NUMBERVALUE(SUBSTITUTE(SUBSTITUTE(TRIM('Base de Datos'!J313),".",""),",","."),".",","),_xlfn.NUMBERVALUE(SUBSTITUTE(TRIM('Base de Datos'!J313),",",""),".",",")),"")))</f>
        <v/>
      </c>
      <c r="AH317" s="73" t="str">
        <f aca="false">IF(ISNUMBER(AI317),IF(ISNUMBER('Base de Datos'!Q313),IF('Base de Datos'!Q313&gt;20000,DATE(YEAR('Base de Datos'!Q313),DAY('Base de Datos'!Q313),MONTH('Base de Datos'!Q313)),""),IF(TRIM('Base de Datos'!Q313)="","",IFERROR(DATE(VALUE(RIGHT(TRIM('Base de Datos'!Q313),4)),VALUE(LEFT(TRIM('Base de Datos'!Q313),2)),VALUE(MID(TRIM('Base de Datos'!Q313),4,2))),""))),"")</f>
        <v/>
      </c>
      <c r="AI317" s="74" t="str">
        <f aca="false">IF(ISNUMBER('Base de Datos'!R313),'Base de Datos'!R313,IF(TRIM('Base de Datos'!R313)="","",IFERROR(IF(IFERROR(FIND("@",SUBSTITUTE(TRIM('Base de Datos'!R313),",","@",LEN(TRIM('Base de Datos'!R313))-LEN(SUBSTITUTE(TRIM('Base de Datos'!R313),",","")))),0)&gt;IFERROR(FIND("@",SUBSTITUTE(TRIM('Base de Datos'!R313),".","@",LEN(TRIM('Base de Datos'!R313))-LEN(SUBSTITUTE(TRIM('Base de Datos'!R313),".","")))),0),_xlfn.NUMBERVALUE(SUBSTITUTE(SUBSTITUTE(TRIM('Base de Datos'!R313),".",""),",","."),".",","),_xlfn.NUMBERVALUE(SUBSTITUTE(TRIM('Base de Datos'!R313),",",""),".",",")),"")))</f>
        <v/>
      </c>
      <c r="AJ317" s="73" t="str">
        <f aca="false">IF(ISNUMBER(AK317),IF(ISNUMBER('Base de Datos'!Y313),IF('Base de Datos'!Y313&gt;20000,INT('Base de Datos'!Y313),""),IF(TRIM('Base de Datos'!Y313)="","",IFERROR(DATE(VALUE(RIGHT(TRIM('Base de Datos'!Y313),4)),VALUE(MID(TRIM('Base de Datos'!Y313),4,2)),VALUE(LEFT(TRIM('Base de Datos'!Y313),2))),IFERROR(DATEVALUE(TRIM('Base de Datos'!Y313)),"")))),"")</f>
        <v/>
      </c>
      <c r="AK317" s="74" t="str">
        <f aca="false">IF(ISNUMBER('Base de Datos'!Z313),'Base de Datos'!Z313,IF(TRIM('Base de Datos'!Z313)="","",IFERROR(IF(IFERROR(FIND("@",SUBSTITUTE(TRIM('Base de Datos'!Z313),",","@",LEN(TRIM('Base de Datos'!Z313))-LEN(SUBSTITUTE(TRIM('Base de Datos'!Z313),",","")))),0)&gt;IFERROR(FIND("@",SUBSTITUTE(TRIM('Base de Datos'!Z313),".","@",LEN(TRIM('Base de Datos'!Z313))-LEN(SUBSTITUTE(TRIM('Base de Datos'!Z313),".","")))),0),_xlfn.NUMBERVALUE(SUBSTITUTE(SUBSTITUTE(TRIM('Base de Datos'!Z313),".",""),",","."),".",","),_xlfn.NUMBERVALUE(SUBSTITUTE(TRIM('Base de Datos'!Z313),",",""),".",",")),"")))</f>
        <v/>
      </c>
    </row>
    <row r="318" customFormat="false" ht="13.5" hidden="false" customHeight="false" outlineLevel="0" collapsed="false">
      <c r="A318" s="75" t="n">
        <f aca="false">ROWS(A$13:A318)</f>
        <v>306</v>
      </c>
      <c r="B318" s="73" t="str">
        <f aca="false">IF(B317="","",IFERROR(SMALL($AH$10:$AH$409,COUNTIF($AH$10:$AH$409,"&lt;="&amp;B317)+1),""))</f>
        <v/>
      </c>
      <c r="C318" s="74" t="str">
        <f aca="false">IF(B318="","",INDEX($AI$10:$AI$409,MATCH(B318,$AH$10:$AH$409,0)))</f>
        <v/>
      </c>
      <c r="D318" s="74" t="str">
        <f aca="false">IF(B318="","",IFERROR(INDEX($AK$10:$AK$409,MATCH(B318,$AJ$10:$AJ$409,0)),""))</f>
        <v/>
      </c>
      <c r="E318" s="76" t="str">
        <f aca="false">IF(AND(ISNUMBER(C318),ISNUMBER(C317)),C318/C317-1,"")</f>
        <v/>
      </c>
      <c r="F318" s="76" t="str">
        <f aca="false">IF(AND(ISNUMBER(D318),ISNUMBER(D317)),D318/D317-1,"")</f>
        <v/>
      </c>
      <c r="G318" s="75" t="str">
        <f aca="false">IF(AND(ISNUMBER(E318),ISNUMBER(F318)),1,"")</f>
        <v/>
      </c>
      <c r="H318" s="75" t="str">
        <f aca="false">IF(G318=1,COUNT(G318:G$412),"")</f>
        <v/>
      </c>
      <c r="I318" s="75" t="str">
        <f aca="false">IF(G318=1,IF(H318&lt;='Beta Regresión'!$B$5,1,""),"")</f>
        <v/>
      </c>
      <c r="J318" s="76" t="str">
        <f aca="false">IF(I318=1,E318,"")</f>
        <v/>
      </c>
      <c r="K318" s="76" t="str">
        <f aca="false">IF(I318=1,F318,"")</f>
        <v/>
      </c>
      <c r="L318" s="75" t="str">
        <f aca="false">IF(I318=1,COUNT(I$13:I318),"")</f>
        <v/>
      </c>
      <c r="M318" s="76" t="str">
        <f aca="false">IFERROR(INDEX($J$13:$J$412,MATCH(A318,$L$13:$L$412,0)),"")</f>
        <v/>
      </c>
      <c r="N318" s="76" t="str">
        <f aca="false">IFERROR(INDEX($K$13:$K$412,MATCH(A318,$L$13:$L$412,0)),"")</f>
        <v/>
      </c>
      <c r="O318" s="76" t="e">
        <f aca="false">IF(I318=1,E318,NA())</f>
        <v>#N/A</v>
      </c>
      <c r="P318" s="76" t="e">
        <f aca="false">IF(I318=1,F318,NA())</f>
        <v>#N/A</v>
      </c>
      <c r="R318" s="75" t="n">
        <f aca="false">ROWS(R$13:R318)</f>
        <v>306</v>
      </c>
      <c r="S318" s="73" t="str">
        <f aca="false">IF(S317="","",IFERROR(SMALL($AD$10:$AD$509,COUNTIF($AD$10:$AD$509,"&lt;="&amp;S317)+1),""))</f>
        <v/>
      </c>
      <c r="T318" s="74" t="str">
        <f aca="false">IF(S318="","",INDEX($AE$10:$AE$509,MATCH(S318,$AD$10:$AD$509,0)))</f>
        <v/>
      </c>
      <c r="U318" s="74" t="str">
        <f aca="false">IF(S318="","",IFERROR(INDEX($AG$10:$AG$509,MATCH(S318,$AF$10:$AF$509,0)),""))</f>
        <v/>
      </c>
      <c r="V318" s="76" t="str">
        <f aca="false">IF(AND(ISNUMBER(T318),ISNUMBER(T317)),T318/T317-1,"")</f>
        <v/>
      </c>
      <c r="W318" s="76" t="str">
        <f aca="false">IF(AND(ISNUMBER(U318),ISNUMBER(U317)),U318/U317-1,"")</f>
        <v/>
      </c>
      <c r="X318" s="75" t="str">
        <f aca="false">IF(AND(ISNUMBER(V318),ISNUMBER(W318)),1,"")</f>
        <v/>
      </c>
      <c r="Y318" s="76" t="str">
        <f aca="false">IF(X318=1,V318,"")</f>
        <v/>
      </c>
      <c r="Z318" s="76" t="str">
        <f aca="false">IF(X318=1,W318,"")</f>
        <v/>
      </c>
      <c r="AA318" s="76" t="e">
        <f aca="false">IF(X318=1,V318,NA())</f>
        <v>#N/A</v>
      </c>
      <c r="AB318" s="76" t="e">
        <f aca="false">IF(X318=1,W318,NA())</f>
        <v>#N/A</v>
      </c>
      <c r="AD318" s="73" t="str">
        <f aca="false">IF(ISNUMBER(AE318),IF(ISNUMBER('Base de Datos'!A314),IF('Base de Datos'!A314&gt;20000,DATE(YEAR('Base de Datos'!A314),DAY('Base de Datos'!A314),MONTH('Base de Datos'!A314)),""),IF(TRIM('Base de Datos'!A314)="","",IFERROR(DATE(VALUE(RIGHT(TRIM('Base de Datos'!A314),4)),VALUE(LEFT(TRIM('Base de Datos'!A314),2)),VALUE(MID(TRIM('Base de Datos'!A314),4,2))),""))),"")</f>
        <v/>
      </c>
      <c r="AE318" s="74" t="str">
        <f aca="false">IF(ISNUMBER('Base de Datos'!B314),'Base de Datos'!B314,IF(TRIM('Base de Datos'!B314)="","",IFERROR(IF(IFERROR(FIND("@",SUBSTITUTE(TRIM('Base de Datos'!B314),",","@",LEN(TRIM('Base de Datos'!B314))-LEN(SUBSTITUTE(TRIM('Base de Datos'!B314),",","")))),0)&gt;IFERROR(FIND("@",SUBSTITUTE(TRIM('Base de Datos'!B314),".","@",LEN(TRIM('Base de Datos'!B314))-LEN(SUBSTITUTE(TRIM('Base de Datos'!B314),".","")))),0),_xlfn.NUMBERVALUE(SUBSTITUTE(SUBSTITUTE(TRIM('Base de Datos'!B314),".",""),",","."),".",","),_xlfn.NUMBERVALUE(SUBSTITUTE(TRIM('Base de Datos'!B314),",",""),".",",")),"")))</f>
        <v/>
      </c>
      <c r="AF318" s="73" t="str">
        <f aca="false">IF(ISNUMBER(AG318),IF(ISNUMBER('Base de Datos'!I314),IF('Base de Datos'!I314&gt;20000,INT('Base de Datos'!I314),""),IF(TRIM('Base de Datos'!I314)="","",IFERROR(DATE(VALUE(RIGHT(TRIM('Base de Datos'!I314),4)),VALUE(MID(TRIM('Base de Datos'!I314),4,2)),VALUE(LEFT(TRIM('Base de Datos'!I314),2))),IFERROR(DATEVALUE(TRIM('Base de Datos'!I314)),"")))),"")</f>
        <v/>
      </c>
      <c r="AG318" s="74" t="str">
        <f aca="false">IF(ISNUMBER('Base de Datos'!J314),'Base de Datos'!J314,IF(TRIM('Base de Datos'!J314)="","",IFERROR(IF(IFERROR(FIND("@",SUBSTITUTE(TRIM('Base de Datos'!J314),",","@",LEN(TRIM('Base de Datos'!J314))-LEN(SUBSTITUTE(TRIM('Base de Datos'!J314),",","")))),0)&gt;IFERROR(FIND("@",SUBSTITUTE(TRIM('Base de Datos'!J314),".","@",LEN(TRIM('Base de Datos'!J314))-LEN(SUBSTITUTE(TRIM('Base de Datos'!J314),".","")))),0),_xlfn.NUMBERVALUE(SUBSTITUTE(SUBSTITUTE(TRIM('Base de Datos'!J314),".",""),",","."),".",","),_xlfn.NUMBERVALUE(SUBSTITUTE(TRIM('Base de Datos'!J314),",",""),".",",")),"")))</f>
        <v/>
      </c>
      <c r="AH318" s="73" t="str">
        <f aca="false">IF(ISNUMBER(AI318),IF(ISNUMBER('Base de Datos'!Q314),IF('Base de Datos'!Q314&gt;20000,DATE(YEAR('Base de Datos'!Q314),DAY('Base de Datos'!Q314),MONTH('Base de Datos'!Q314)),""),IF(TRIM('Base de Datos'!Q314)="","",IFERROR(DATE(VALUE(RIGHT(TRIM('Base de Datos'!Q314),4)),VALUE(LEFT(TRIM('Base de Datos'!Q314),2)),VALUE(MID(TRIM('Base de Datos'!Q314),4,2))),""))),"")</f>
        <v/>
      </c>
      <c r="AI318" s="74" t="str">
        <f aca="false">IF(ISNUMBER('Base de Datos'!R314),'Base de Datos'!R314,IF(TRIM('Base de Datos'!R314)="","",IFERROR(IF(IFERROR(FIND("@",SUBSTITUTE(TRIM('Base de Datos'!R314),",","@",LEN(TRIM('Base de Datos'!R314))-LEN(SUBSTITUTE(TRIM('Base de Datos'!R314),",","")))),0)&gt;IFERROR(FIND("@",SUBSTITUTE(TRIM('Base de Datos'!R314),".","@",LEN(TRIM('Base de Datos'!R314))-LEN(SUBSTITUTE(TRIM('Base de Datos'!R314),".","")))),0),_xlfn.NUMBERVALUE(SUBSTITUTE(SUBSTITUTE(TRIM('Base de Datos'!R314),".",""),",","."),".",","),_xlfn.NUMBERVALUE(SUBSTITUTE(TRIM('Base de Datos'!R314),",",""),".",",")),"")))</f>
        <v/>
      </c>
      <c r="AJ318" s="73" t="str">
        <f aca="false">IF(ISNUMBER(AK318),IF(ISNUMBER('Base de Datos'!Y314),IF('Base de Datos'!Y314&gt;20000,INT('Base de Datos'!Y314),""),IF(TRIM('Base de Datos'!Y314)="","",IFERROR(DATE(VALUE(RIGHT(TRIM('Base de Datos'!Y314),4)),VALUE(MID(TRIM('Base de Datos'!Y314),4,2)),VALUE(LEFT(TRIM('Base de Datos'!Y314),2))),IFERROR(DATEVALUE(TRIM('Base de Datos'!Y314)),"")))),"")</f>
        <v/>
      </c>
      <c r="AK318" s="74" t="str">
        <f aca="false">IF(ISNUMBER('Base de Datos'!Z314),'Base de Datos'!Z314,IF(TRIM('Base de Datos'!Z314)="","",IFERROR(IF(IFERROR(FIND("@",SUBSTITUTE(TRIM('Base de Datos'!Z314),",","@",LEN(TRIM('Base de Datos'!Z314))-LEN(SUBSTITUTE(TRIM('Base de Datos'!Z314),",","")))),0)&gt;IFERROR(FIND("@",SUBSTITUTE(TRIM('Base de Datos'!Z314),".","@",LEN(TRIM('Base de Datos'!Z314))-LEN(SUBSTITUTE(TRIM('Base de Datos'!Z314),".","")))),0),_xlfn.NUMBERVALUE(SUBSTITUTE(SUBSTITUTE(TRIM('Base de Datos'!Z314),".",""),",","."),".",","),_xlfn.NUMBERVALUE(SUBSTITUTE(TRIM('Base de Datos'!Z314),",",""),".",",")),"")))</f>
        <v/>
      </c>
    </row>
    <row r="319" customFormat="false" ht="13.5" hidden="false" customHeight="false" outlineLevel="0" collapsed="false">
      <c r="A319" s="75" t="n">
        <f aca="false">ROWS(A$13:A319)</f>
        <v>307</v>
      </c>
      <c r="B319" s="73" t="str">
        <f aca="false">IF(B318="","",IFERROR(SMALL($AH$10:$AH$409,COUNTIF($AH$10:$AH$409,"&lt;="&amp;B318)+1),""))</f>
        <v/>
      </c>
      <c r="C319" s="74" t="str">
        <f aca="false">IF(B319="","",INDEX($AI$10:$AI$409,MATCH(B319,$AH$10:$AH$409,0)))</f>
        <v/>
      </c>
      <c r="D319" s="74" t="str">
        <f aca="false">IF(B319="","",IFERROR(INDEX($AK$10:$AK$409,MATCH(B319,$AJ$10:$AJ$409,0)),""))</f>
        <v/>
      </c>
      <c r="E319" s="76" t="str">
        <f aca="false">IF(AND(ISNUMBER(C319),ISNUMBER(C318)),C319/C318-1,"")</f>
        <v/>
      </c>
      <c r="F319" s="76" t="str">
        <f aca="false">IF(AND(ISNUMBER(D319),ISNUMBER(D318)),D319/D318-1,"")</f>
        <v/>
      </c>
      <c r="G319" s="75" t="str">
        <f aca="false">IF(AND(ISNUMBER(E319),ISNUMBER(F319)),1,"")</f>
        <v/>
      </c>
      <c r="H319" s="75" t="str">
        <f aca="false">IF(G319=1,COUNT(G319:G$412),"")</f>
        <v/>
      </c>
      <c r="I319" s="75" t="str">
        <f aca="false">IF(G319=1,IF(H319&lt;='Beta Regresión'!$B$5,1,""),"")</f>
        <v/>
      </c>
      <c r="J319" s="76" t="str">
        <f aca="false">IF(I319=1,E319,"")</f>
        <v/>
      </c>
      <c r="K319" s="76" t="str">
        <f aca="false">IF(I319=1,F319,"")</f>
        <v/>
      </c>
      <c r="L319" s="75" t="str">
        <f aca="false">IF(I319=1,COUNT(I$13:I319),"")</f>
        <v/>
      </c>
      <c r="M319" s="76" t="str">
        <f aca="false">IFERROR(INDEX($J$13:$J$412,MATCH(A319,$L$13:$L$412,0)),"")</f>
        <v/>
      </c>
      <c r="N319" s="76" t="str">
        <f aca="false">IFERROR(INDEX($K$13:$K$412,MATCH(A319,$L$13:$L$412,0)),"")</f>
        <v/>
      </c>
      <c r="O319" s="76" t="e">
        <f aca="false">IF(I319=1,E319,NA())</f>
        <v>#N/A</v>
      </c>
      <c r="P319" s="76" t="e">
        <f aca="false">IF(I319=1,F319,NA())</f>
        <v>#N/A</v>
      </c>
      <c r="R319" s="75" t="n">
        <f aca="false">ROWS(R$13:R319)</f>
        <v>307</v>
      </c>
      <c r="S319" s="73" t="str">
        <f aca="false">IF(S318="","",IFERROR(SMALL($AD$10:$AD$509,COUNTIF($AD$10:$AD$509,"&lt;="&amp;S318)+1),""))</f>
        <v/>
      </c>
      <c r="T319" s="74" t="str">
        <f aca="false">IF(S319="","",INDEX($AE$10:$AE$509,MATCH(S319,$AD$10:$AD$509,0)))</f>
        <v/>
      </c>
      <c r="U319" s="74" t="str">
        <f aca="false">IF(S319="","",IFERROR(INDEX($AG$10:$AG$509,MATCH(S319,$AF$10:$AF$509,0)),""))</f>
        <v/>
      </c>
      <c r="V319" s="76" t="str">
        <f aca="false">IF(AND(ISNUMBER(T319),ISNUMBER(T318)),T319/T318-1,"")</f>
        <v/>
      </c>
      <c r="W319" s="76" t="str">
        <f aca="false">IF(AND(ISNUMBER(U319),ISNUMBER(U318)),U319/U318-1,"")</f>
        <v/>
      </c>
      <c r="X319" s="75" t="str">
        <f aca="false">IF(AND(ISNUMBER(V319),ISNUMBER(W319)),1,"")</f>
        <v/>
      </c>
      <c r="Y319" s="76" t="str">
        <f aca="false">IF(X319=1,V319,"")</f>
        <v/>
      </c>
      <c r="Z319" s="76" t="str">
        <f aca="false">IF(X319=1,W319,"")</f>
        <v/>
      </c>
      <c r="AA319" s="76" t="e">
        <f aca="false">IF(X319=1,V319,NA())</f>
        <v>#N/A</v>
      </c>
      <c r="AB319" s="76" t="e">
        <f aca="false">IF(X319=1,W319,NA())</f>
        <v>#N/A</v>
      </c>
      <c r="AD319" s="73" t="str">
        <f aca="false">IF(ISNUMBER(AE319),IF(ISNUMBER('Base de Datos'!A315),IF('Base de Datos'!A315&gt;20000,DATE(YEAR('Base de Datos'!A315),DAY('Base de Datos'!A315),MONTH('Base de Datos'!A315)),""),IF(TRIM('Base de Datos'!A315)="","",IFERROR(DATE(VALUE(RIGHT(TRIM('Base de Datos'!A315),4)),VALUE(LEFT(TRIM('Base de Datos'!A315),2)),VALUE(MID(TRIM('Base de Datos'!A315),4,2))),""))),"")</f>
        <v/>
      </c>
      <c r="AE319" s="74" t="str">
        <f aca="false">IF(ISNUMBER('Base de Datos'!B315),'Base de Datos'!B315,IF(TRIM('Base de Datos'!B315)="","",IFERROR(IF(IFERROR(FIND("@",SUBSTITUTE(TRIM('Base de Datos'!B315),",","@",LEN(TRIM('Base de Datos'!B315))-LEN(SUBSTITUTE(TRIM('Base de Datos'!B315),",","")))),0)&gt;IFERROR(FIND("@",SUBSTITUTE(TRIM('Base de Datos'!B315),".","@",LEN(TRIM('Base de Datos'!B315))-LEN(SUBSTITUTE(TRIM('Base de Datos'!B315),".","")))),0),_xlfn.NUMBERVALUE(SUBSTITUTE(SUBSTITUTE(TRIM('Base de Datos'!B315),".",""),",","."),".",","),_xlfn.NUMBERVALUE(SUBSTITUTE(TRIM('Base de Datos'!B315),",",""),".",",")),"")))</f>
        <v/>
      </c>
      <c r="AF319" s="73" t="str">
        <f aca="false">IF(ISNUMBER(AG319),IF(ISNUMBER('Base de Datos'!I315),IF('Base de Datos'!I315&gt;20000,INT('Base de Datos'!I315),""),IF(TRIM('Base de Datos'!I315)="","",IFERROR(DATE(VALUE(RIGHT(TRIM('Base de Datos'!I315),4)),VALUE(MID(TRIM('Base de Datos'!I315),4,2)),VALUE(LEFT(TRIM('Base de Datos'!I315),2))),IFERROR(DATEVALUE(TRIM('Base de Datos'!I315)),"")))),"")</f>
        <v/>
      </c>
      <c r="AG319" s="74" t="str">
        <f aca="false">IF(ISNUMBER('Base de Datos'!J315),'Base de Datos'!J315,IF(TRIM('Base de Datos'!J315)="","",IFERROR(IF(IFERROR(FIND("@",SUBSTITUTE(TRIM('Base de Datos'!J315),",","@",LEN(TRIM('Base de Datos'!J315))-LEN(SUBSTITUTE(TRIM('Base de Datos'!J315),",","")))),0)&gt;IFERROR(FIND("@",SUBSTITUTE(TRIM('Base de Datos'!J315),".","@",LEN(TRIM('Base de Datos'!J315))-LEN(SUBSTITUTE(TRIM('Base de Datos'!J315),".","")))),0),_xlfn.NUMBERVALUE(SUBSTITUTE(SUBSTITUTE(TRIM('Base de Datos'!J315),".",""),",","."),".",","),_xlfn.NUMBERVALUE(SUBSTITUTE(TRIM('Base de Datos'!J315),",",""),".",",")),"")))</f>
        <v/>
      </c>
      <c r="AH319" s="73" t="str">
        <f aca="false">IF(ISNUMBER(AI319),IF(ISNUMBER('Base de Datos'!Q315),IF('Base de Datos'!Q315&gt;20000,DATE(YEAR('Base de Datos'!Q315),DAY('Base de Datos'!Q315),MONTH('Base de Datos'!Q315)),""),IF(TRIM('Base de Datos'!Q315)="","",IFERROR(DATE(VALUE(RIGHT(TRIM('Base de Datos'!Q315),4)),VALUE(LEFT(TRIM('Base de Datos'!Q315),2)),VALUE(MID(TRIM('Base de Datos'!Q315),4,2))),""))),"")</f>
        <v/>
      </c>
      <c r="AI319" s="74" t="str">
        <f aca="false">IF(ISNUMBER('Base de Datos'!R315),'Base de Datos'!R315,IF(TRIM('Base de Datos'!R315)="","",IFERROR(IF(IFERROR(FIND("@",SUBSTITUTE(TRIM('Base de Datos'!R315),",","@",LEN(TRIM('Base de Datos'!R315))-LEN(SUBSTITUTE(TRIM('Base de Datos'!R315),",","")))),0)&gt;IFERROR(FIND("@",SUBSTITUTE(TRIM('Base de Datos'!R315),".","@",LEN(TRIM('Base de Datos'!R315))-LEN(SUBSTITUTE(TRIM('Base de Datos'!R315),".","")))),0),_xlfn.NUMBERVALUE(SUBSTITUTE(SUBSTITUTE(TRIM('Base de Datos'!R315),".",""),",","."),".",","),_xlfn.NUMBERVALUE(SUBSTITUTE(TRIM('Base de Datos'!R315),",",""),".",",")),"")))</f>
        <v/>
      </c>
      <c r="AJ319" s="73" t="str">
        <f aca="false">IF(ISNUMBER(AK319),IF(ISNUMBER('Base de Datos'!Y315),IF('Base de Datos'!Y315&gt;20000,INT('Base de Datos'!Y315),""),IF(TRIM('Base de Datos'!Y315)="","",IFERROR(DATE(VALUE(RIGHT(TRIM('Base de Datos'!Y315),4)),VALUE(MID(TRIM('Base de Datos'!Y315),4,2)),VALUE(LEFT(TRIM('Base de Datos'!Y315),2))),IFERROR(DATEVALUE(TRIM('Base de Datos'!Y315)),"")))),"")</f>
        <v/>
      </c>
      <c r="AK319" s="74" t="str">
        <f aca="false">IF(ISNUMBER('Base de Datos'!Z315),'Base de Datos'!Z315,IF(TRIM('Base de Datos'!Z315)="","",IFERROR(IF(IFERROR(FIND("@",SUBSTITUTE(TRIM('Base de Datos'!Z315),",","@",LEN(TRIM('Base de Datos'!Z315))-LEN(SUBSTITUTE(TRIM('Base de Datos'!Z315),",","")))),0)&gt;IFERROR(FIND("@",SUBSTITUTE(TRIM('Base de Datos'!Z315),".","@",LEN(TRIM('Base de Datos'!Z315))-LEN(SUBSTITUTE(TRIM('Base de Datos'!Z315),".","")))),0),_xlfn.NUMBERVALUE(SUBSTITUTE(SUBSTITUTE(TRIM('Base de Datos'!Z315),".",""),",","."),".",","),_xlfn.NUMBERVALUE(SUBSTITUTE(TRIM('Base de Datos'!Z315),",",""),".",",")),"")))</f>
        <v/>
      </c>
    </row>
    <row r="320" customFormat="false" ht="13.5" hidden="false" customHeight="false" outlineLevel="0" collapsed="false">
      <c r="A320" s="75" t="n">
        <f aca="false">ROWS(A$13:A320)</f>
        <v>308</v>
      </c>
      <c r="B320" s="73" t="str">
        <f aca="false">IF(B319="","",IFERROR(SMALL($AH$10:$AH$409,COUNTIF($AH$10:$AH$409,"&lt;="&amp;B319)+1),""))</f>
        <v/>
      </c>
      <c r="C320" s="74" t="str">
        <f aca="false">IF(B320="","",INDEX($AI$10:$AI$409,MATCH(B320,$AH$10:$AH$409,0)))</f>
        <v/>
      </c>
      <c r="D320" s="74" t="str">
        <f aca="false">IF(B320="","",IFERROR(INDEX($AK$10:$AK$409,MATCH(B320,$AJ$10:$AJ$409,0)),""))</f>
        <v/>
      </c>
      <c r="E320" s="76" t="str">
        <f aca="false">IF(AND(ISNUMBER(C320),ISNUMBER(C319)),C320/C319-1,"")</f>
        <v/>
      </c>
      <c r="F320" s="76" t="str">
        <f aca="false">IF(AND(ISNUMBER(D320),ISNUMBER(D319)),D320/D319-1,"")</f>
        <v/>
      </c>
      <c r="G320" s="75" t="str">
        <f aca="false">IF(AND(ISNUMBER(E320),ISNUMBER(F320)),1,"")</f>
        <v/>
      </c>
      <c r="H320" s="75" t="str">
        <f aca="false">IF(G320=1,COUNT(G320:G$412),"")</f>
        <v/>
      </c>
      <c r="I320" s="75" t="str">
        <f aca="false">IF(G320=1,IF(H320&lt;='Beta Regresión'!$B$5,1,""),"")</f>
        <v/>
      </c>
      <c r="J320" s="76" t="str">
        <f aca="false">IF(I320=1,E320,"")</f>
        <v/>
      </c>
      <c r="K320" s="76" t="str">
        <f aca="false">IF(I320=1,F320,"")</f>
        <v/>
      </c>
      <c r="L320" s="75" t="str">
        <f aca="false">IF(I320=1,COUNT(I$13:I320),"")</f>
        <v/>
      </c>
      <c r="M320" s="76" t="str">
        <f aca="false">IFERROR(INDEX($J$13:$J$412,MATCH(A320,$L$13:$L$412,0)),"")</f>
        <v/>
      </c>
      <c r="N320" s="76" t="str">
        <f aca="false">IFERROR(INDEX($K$13:$K$412,MATCH(A320,$L$13:$L$412,0)),"")</f>
        <v/>
      </c>
      <c r="O320" s="76" t="e">
        <f aca="false">IF(I320=1,E320,NA())</f>
        <v>#N/A</v>
      </c>
      <c r="P320" s="76" t="e">
        <f aca="false">IF(I320=1,F320,NA())</f>
        <v>#N/A</v>
      </c>
      <c r="R320" s="75" t="n">
        <f aca="false">ROWS(R$13:R320)</f>
        <v>308</v>
      </c>
      <c r="S320" s="73" t="str">
        <f aca="false">IF(S319="","",IFERROR(SMALL($AD$10:$AD$509,COUNTIF($AD$10:$AD$509,"&lt;="&amp;S319)+1),""))</f>
        <v/>
      </c>
      <c r="T320" s="74" t="str">
        <f aca="false">IF(S320="","",INDEX($AE$10:$AE$509,MATCH(S320,$AD$10:$AD$509,0)))</f>
        <v/>
      </c>
      <c r="U320" s="74" t="str">
        <f aca="false">IF(S320="","",IFERROR(INDEX($AG$10:$AG$509,MATCH(S320,$AF$10:$AF$509,0)),""))</f>
        <v/>
      </c>
      <c r="V320" s="76" t="str">
        <f aca="false">IF(AND(ISNUMBER(T320),ISNUMBER(T319)),T320/T319-1,"")</f>
        <v/>
      </c>
      <c r="W320" s="76" t="str">
        <f aca="false">IF(AND(ISNUMBER(U320),ISNUMBER(U319)),U320/U319-1,"")</f>
        <v/>
      </c>
      <c r="X320" s="75" t="str">
        <f aca="false">IF(AND(ISNUMBER(V320),ISNUMBER(W320)),1,"")</f>
        <v/>
      </c>
      <c r="Y320" s="76" t="str">
        <f aca="false">IF(X320=1,V320,"")</f>
        <v/>
      </c>
      <c r="Z320" s="76" t="str">
        <f aca="false">IF(X320=1,W320,"")</f>
        <v/>
      </c>
      <c r="AA320" s="76" t="e">
        <f aca="false">IF(X320=1,V320,NA())</f>
        <v>#N/A</v>
      </c>
      <c r="AB320" s="76" t="e">
        <f aca="false">IF(X320=1,W320,NA())</f>
        <v>#N/A</v>
      </c>
      <c r="AD320" s="73" t="str">
        <f aca="false">IF(ISNUMBER(AE320),IF(ISNUMBER('Base de Datos'!A316),IF('Base de Datos'!A316&gt;20000,DATE(YEAR('Base de Datos'!A316),DAY('Base de Datos'!A316),MONTH('Base de Datos'!A316)),""),IF(TRIM('Base de Datos'!A316)="","",IFERROR(DATE(VALUE(RIGHT(TRIM('Base de Datos'!A316),4)),VALUE(LEFT(TRIM('Base de Datos'!A316),2)),VALUE(MID(TRIM('Base de Datos'!A316),4,2))),""))),"")</f>
        <v/>
      </c>
      <c r="AE320" s="74" t="str">
        <f aca="false">IF(ISNUMBER('Base de Datos'!B316),'Base de Datos'!B316,IF(TRIM('Base de Datos'!B316)="","",IFERROR(IF(IFERROR(FIND("@",SUBSTITUTE(TRIM('Base de Datos'!B316),",","@",LEN(TRIM('Base de Datos'!B316))-LEN(SUBSTITUTE(TRIM('Base de Datos'!B316),",","")))),0)&gt;IFERROR(FIND("@",SUBSTITUTE(TRIM('Base de Datos'!B316),".","@",LEN(TRIM('Base de Datos'!B316))-LEN(SUBSTITUTE(TRIM('Base de Datos'!B316),".","")))),0),_xlfn.NUMBERVALUE(SUBSTITUTE(SUBSTITUTE(TRIM('Base de Datos'!B316),".",""),",","."),".",","),_xlfn.NUMBERVALUE(SUBSTITUTE(TRIM('Base de Datos'!B316),",",""),".",",")),"")))</f>
        <v/>
      </c>
      <c r="AF320" s="73" t="str">
        <f aca="false">IF(ISNUMBER(AG320),IF(ISNUMBER('Base de Datos'!I316),IF('Base de Datos'!I316&gt;20000,INT('Base de Datos'!I316),""),IF(TRIM('Base de Datos'!I316)="","",IFERROR(DATE(VALUE(RIGHT(TRIM('Base de Datos'!I316),4)),VALUE(MID(TRIM('Base de Datos'!I316),4,2)),VALUE(LEFT(TRIM('Base de Datos'!I316),2))),IFERROR(DATEVALUE(TRIM('Base de Datos'!I316)),"")))),"")</f>
        <v/>
      </c>
      <c r="AG320" s="74" t="str">
        <f aca="false">IF(ISNUMBER('Base de Datos'!J316),'Base de Datos'!J316,IF(TRIM('Base de Datos'!J316)="","",IFERROR(IF(IFERROR(FIND("@",SUBSTITUTE(TRIM('Base de Datos'!J316),",","@",LEN(TRIM('Base de Datos'!J316))-LEN(SUBSTITUTE(TRIM('Base de Datos'!J316),",","")))),0)&gt;IFERROR(FIND("@",SUBSTITUTE(TRIM('Base de Datos'!J316),".","@",LEN(TRIM('Base de Datos'!J316))-LEN(SUBSTITUTE(TRIM('Base de Datos'!J316),".","")))),0),_xlfn.NUMBERVALUE(SUBSTITUTE(SUBSTITUTE(TRIM('Base de Datos'!J316),".",""),",","."),".",","),_xlfn.NUMBERVALUE(SUBSTITUTE(TRIM('Base de Datos'!J316),",",""),".",",")),"")))</f>
        <v/>
      </c>
      <c r="AH320" s="73" t="str">
        <f aca="false">IF(ISNUMBER(AI320),IF(ISNUMBER('Base de Datos'!Q316),IF('Base de Datos'!Q316&gt;20000,DATE(YEAR('Base de Datos'!Q316),DAY('Base de Datos'!Q316),MONTH('Base de Datos'!Q316)),""),IF(TRIM('Base de Datos'!Q316)="","",IFERROR(DATE(VALUE(RIGHT(TRIM('Base de Datos'!Q316),4)),VALUE(LEFT(TRIM('Base de Datos'!Q316),2)),VALUE(MID(TRIM('Base de Datos'!Q316),4,2))),""))),"")</f>
        <v/>
      </c>
      <c r="AI320" s="74" t="str">
        <f aca="false">IF(ISNUMBER('Base de Datos'!R316),'Base de Datos'!R316,IF(TRIM('Base de Datos'!R316)="","",IFERROR(IF(IFERROR(FIND("@",SUBSTITUTE(TRIM('Base de Datos'!R316),",","@",LEN(TRIM('Base de Datos'!R316))-LEN(SUBSTITUTE(TRIM('Base de Datos'!R316),",","")))),0)&gt;IFERROR(FIND("@",SUBSTITUTE(TRIM('Base de Datos'!R316),".","@",LEN(TRIM('Base de Datos'!R316))-LEN(SUBSTITUTE(TRIM('Base de Datos'!R316),".","")))),0),_xlfn.NUMBERVALUE(SUBSTITUTE(SUBSTITUTE(TRIM('Base de Datos'!R316),".",""),",","."),".",","),_xlfn.NUMBERVALUE(SUBSTITUTE(TRIM('Base de Datos'!R316),",",""),".",",")),"")))</f>
        <v/>
      </c>
      <c r="AJ320" s="73" t="str">
        <f aca="false">IF(ISNUMBER(AK320),IF(ISNUMBER('Base de Datos'!Y316),IF('Base de Datos'!Y316&gt;20000,INT('Base de Datos'!Y316),""),IF(TRIM('Base de Datos'!Y316)="","",IFERROR(DATE(VALUE(RIGHT(TRIM('Base de Datos'!Y316),4)),VALUE(MID(TRIM('Base de Datos'!Y316),4,2)),VALUE(LEFT(TRIM('Base de Datos'!Y316),2))),IFERROR(DATEVALUE(TRIM('Base de Datos'!Y316)),"")))),"")</f>
        <v/>
      </c>
      <c r="AK320" s="74" t="str">
        <f aca="false">IF(ISNUMBER('Base de Datos'!Z316),'Base de Datos'!Z316,IF(TRIM('Base de Datos'!Z316)="","",IFERROR(IF(IFERROR(FIND("@",SUBSTITUTE(TRIM('Base de Datos'!Z316),",","@",LEN(TRIM('Base de Datos'!Z316))-LEN(SUBSTITUTE(TRIM('Base de Datos'!Z316),",","")))),0)&gt;IFERROR(FIND("@",SUBSTITUTE(TRIM('Base de Datos'!Z316),".","@",LEN(TRIM('Base de Datos'!Z316))-LEN(SUBSTITUTE(TRIM('Base de Datos'!Z316),".","")))),0),_xlfn.NUMBERVALUE(SUBSTITUTE(SUBSTITUTE(TRIM('Base de Datos'!Z316),".",""),",","."),".",","),_xlfn.NUMBERVALUE(SUBSTITUTE(TRIM('Base de Datos'!Z316),",",""),".",",")),"")))</f>
        <v/>
      </c>
    </row>
    <row r="321" customFormat="false" ht="13.5" hidden="false" customHeight="false" outlineLevel="0" collapsed="false">
      <c r="A321" s="75" t="n">
        <f aca="false">ROWS(A$13:A321)</f>
        <v>309</v>
      </c>
      <c r="B321" s="73" t="str">
        <f aca="false">IF(B320="","",IFERROR(SMALL($AH$10:$AH$409,COUNTIF($AH$10:$AH$409,"&lt;="&amp;B320)+1),""))</f>
        <v/>
      </c>
      <c r="C321" s="74" t="str">
        <f aca="false">IF(B321="","",INDEX($AI$10:$AI$409,MATCH(B321,$AH$10:$AH$409,0)))</f>
        <v/>
      </c>
      <c r="D321" s="74" t="str">
        <f aca="false">IF(B321="","",IFERROR(INDEX($AK$10:$AK$409,MATCH(B321,$AJ$10:$AJ$409,0)),""))</f>
        <v/>
      </c>
      <c r="E321" s="76" t="str">
        <f aca="false">IF(AND(ISNUMBER(C321),ISNUMBER(C320)),C321/C320-1,"")</f>
        <v/>
      </c>
      <c r="F321" s="76" t="str">
        <f aca="false">IF(AND(ISNUMBER(D321),ISNUMBER(D320)),D321/D320-1,"")</f>
        <v/>
      </c>
      <c r="G321" s="75" t="str">
        <f aca="false">IF(AND(ISNUMBER(E321),ISNUMBER(F321)),1,"")</f>
        <v/>
      </c>
      <c r="H321" s="75" t="str">
        <f aca="false">IF(G321=1,COUNT(G321:G$412),"")</f>
        <v/>
      </c>
      <c r="I321" s="75" t="str">
        <f aca="false">IF(G321=1,IF(H321&lt;='Beta Regresión'!$B$5,1,""),"")</f>
        <v/>
      </c>
      <c r="J321" s="76" t="str">
        <f aca="false">IF(I321=1,E321,"")</f>
        <v/>
      </c>
      <c r="K321" s="76" t="str">
        <f aca="false">IF(I321=1,F321,"")</f>
        <v/>
      </c>
      <c r="L321" s="75" t="str">
        <f aca="false">IF(I321=1,COUNT(I$13:I321),"")</f>
        <v/>
      </c>
      <c r="M321" s="76" t="str">
        <f aca="false">IFERROR(INDEX($J$13:$J$412,MATCH(A321,$L$13:$L$412,0)),"")</f>
        <v/>
      </c>
      <c r="N321" s="76" t="str">
        <f aca="false">IFERROR(INDEX($K$13:$K$412,MATCH(A321,$L$13:$L$412,0)),"")</f>
        <v/>
      </c>
      <c r="O321" s="76" t="e">
        <f aca="false">IF(I321=1,E321,NA())</f>
        <v>#N/A</v>
      </c>
      <c r="P321" s="76" t="e">
        <f aca="false">IF(I321=1,F321,NA())</f>
        <v>#N/A</v>
      </c>
      <c r="R321" s="75" t="n">
        <f aca="false">ROWS(R$13:R321)</f>
        <v>309</v>
      </c>
      <c r="S321" s="73" t="str">
        <f aca="false">IF(S320="","",IFERROR(SMALL($AD$10:$AD$509,COUNTIF($AD$10:$AD$509,"&lt;="&amp;S320)+1),""))</f>
        <v/>
      </c>
      <c r="T321" s="74" t="str">
        <f aca="false">IF(S321="","",INDEX($AE$10:$AE$509,MATCH(S321,$AD$10:$AD$509,0)))</f>
        <v/>
      </c>
      <c r="U321" s="74" t="str">
        <f aca="false">IF(S321="","",IFERROR(INDEX($AG$10:$AG$509,MATCH(S321,$AF$10:$AF$509,0)),""))</f>
        <v/>
      </c>
      <c r="V321" s="76" t="str">
        <f aca="false">IF(AND(ISNUMBER(T321),ISNUMBER(T320)),T321/T320-1,"")</f>
        <v/>
      </c>
      <c r="W321" s="76" t="str">
        <f aca="false">IF(AND(ISNUMBER(U321),ISNUMBER(U320)),U321/U320-1,"")</f>
        <v/>
      </c>
      <c r="X321" s="75" t="str">
        <f aca="false">IF(AND(ISNUMBER(V321),ISNUMBER(W321)),1,"")</f>
        <v/>
      </c>
      <c r="Y321" s="76" t="str">
        <f aca="false">IF(X321=1,V321,"")</f>
        <v/>
      </c>
      <c r="Z321" s="76" t="str">
        <f aca="false">IF(X321=1,W321,"")</f>
        <v/>
      </c>
      <c r="AA321" s="76" t="e">
        <f aca="false">IF(X321=1,V321,NA())</f>
        <v>#N/A</v>
      </c>
      <c r="AB321" s="76" t="e">
        <f aca="false">IF(X321=1,W321,NA())</f>
        <v>#N/A</v>
      </c>
      <c r="AD321" s="73" t="str">
        <f aca="false">IF(ISNUMBER(AE321),IF(ISNUMBER('Base de Datos'!A317),IF('Base de Datos'!A317&gt;20000,DATE(YEAR('Base de Datos'!A317),DAY('Base de Datos'!A317),MONTH('Base de Datos'!A317)),""),IF(TRIM('Base de Datos'!A317)="","",IFERROR(DATE(VALUE(RIGHT(TRIM('Base de Datos'!A317),4)),VALUE(LEFT(TRIM('Base de Datos'!A317),2)),VALUE(MID(TRIM('Base de Datos'!A317),4,2))),""))),"")</f>
        <v/>
      </c>
      <c r="AE321" s="74" t="str">
        <f aca="false">IF(ISNUMBER('Base de Datos'!B317),'Base de Datos'!B317,IF(TRIM('Base de Datos'!B317)="","",IFERROR(IF(IFERROR(FIND("@",SUBSTITUTE(TRIM('Base de Datos'!B317),",","@",LEN(TRIM('Base de Datos'!B317))-LEN(SUBSTITUTE(TRIM('Base de Datos'!B317),",","")))),0)&gt;IFERROR(FIND("@",SUBSTITUTE(TRIM('Base de Datos'!B317),".","@",LEN(TRIM('Base de Datos'!B317))-LEN(SUBSTITUTE(TRIM('Base de Datos'!B317),".","")))),0),_xlfn.NUMBERVALUE(SUBSTITUTE(SUBSTITUTE(TRIM('Base de Datos'!B317),".",""),",","."),".",","),_xlfn.NUMBERVALUE(SUBSTITUTE(TRIM('Base de Datos'!B317),",",""),".",",")),"")))</f>
        <v/>
      </c>
      <c r="AF321" s="73" t="str">
        <f aca="false">IF(ISNUMBER(AG321),IF(ISNUMBER('Base de Datos'!I317),IF('Base de Datos'!I317&gt;20000,INT('Base de Datos'!I317),""),IF(TRIM('Base de Datos'!I317)="","",IFERROR(DATE(VALUE(RIGHT(TRIM('Base de Datos'!I317),4)),VALUE(MID(TRIM('Base de Datos'!I317),4,2)),VALUE(LEFT(TRIM('Base de Datos'!I317),2))),IFERROR(DATEVALUE(TRIM('Base de Datos'!I317)),"")))),"")</f>
        <v/>
      </c>
      <c r="AG321" s="74" t="str">
        <f aca="false">IF(ISNUMBER('Base de Datos'!J317),'Base de Datos'!J317,IF(TRIM('Base de Datos'!J317)="","",IFERROR(IF(IFERROR(FIND("@",SUBSTITUTE(TRIM('Base de Datos'!J317),",","@",LEN(TRIM('Base de Datos'!J317))-LEN(SUBSTITUTE(TRIM('Base de Datos'!J317),",","")))),0)&gt;IFERROR(FIND("@",SUBSTITUTE(TRIM('Base de Datos'!J317),".","@",LEN(TRIM('Base de Datos'!J317))-LEN(SUBSTITUTE(TRIM('Base de Datos'!J317),".","")))),0),_xlfn.NUMBERVALUE(SUBSTITUTE(SUBSTITUTE(TRIM('Base de Datos'!J317),".",""),",","."),".",","),_xlfn.NUMBERVALUE(SUBSTITUTE(TRIM('Base de Datos'!J317),",",""),".",",")),"")))</f>
        <v/>
      </c>
      <c r="AH321" s="73" t="str">
        <f aca="false">IF(ISNUMBER(AI321),IF(ISNUMBER('Base de Datos'!Q317),IF('Base de Datos'!Q317&gt;20000,DATE(YEAR('Base de Datos'!Q317),DAY('Base de Datos'!Q317),MONTH('Base de Datos'!Q317)),""),IF(TRIM('Base de Datos'!Q317)="","",IFERROR(DATE(VALUE(RIGHT(TRIM('Base de Datos'!Q317),4)),VALUE(LEFT(TRIM('Base de Datos'!Q317),2)),VALUE(MID(TRIM('Base de Datos'!Q317),4,2))),""))),"")</f>
        <v/>
      </c>
      <c r="AI321" s="74" t="str">
        <f aca="false">IF(ISNUMBER('Base de Datos'!R317),'Base de Datos'!R317,IF(TRIM('Base de Datos'!R317)="","",IFERROR(IF(IFERROR(FIND("@",SUBSTITUTE(TRIM('Base de Datos'!R317),",","@",LEN(TRIM('Base de Datos'!R317))-LEN(SUBSTITUTE(TRIM('Base de Datos'!R317),",","")))),0)&gt;IFERROR(FIND("@",SUBSTITUTE(TRIM('Base de Datos'!R317),".","@",LEN(TRIM('Base de Datos'!R317))-LEN(SUBSTITUTE(TRIM('Base de Datos'!R317),".","")))),0),_xlfn.NUMBERVALUE(SUBSTITUTE(SUBSTITUTE(TRIM('Base de Datos'!R317),".",""),",","."),".",","),_xlfn.NUMBERVALUE(SUBSTITUTE(TRIM('Base de Datos'!R317),",",""),".",",")),"")))</f>
        <v/>
      </c>
      <c r="AJ321" s="73" t="str">
        <f aca="false">IF(ISNUMBER(AK321),IF(ISNUMBER('Base de Datos'!Y317),IF('Base de Datos'!Y317&gt;20000,INT('Base de Datos'!Y317),""),IF(TRIM('Base de Datos'!Y317)="","",IFERROR(DATE(VALUE(RIGHT(TRIM('Base de Datos'!Y317),4)),VALUE(MID(TRIM('Base de Datos'!Y317),4,2)),VALUE(LEFT(TRIM('Base de Datos'!Y317),2))),IFERROR(DATEVALUE(TRIM('Base de Datos'!Y317)),"")))),"")</f>
        <v/>
      </c>
      <c r="AK321" s="74" t="str">
        <f aca="false">IF(ISNUMBER('Base de Datos'!Z317),'Base de Datos'!Z317,IF(TRIM('Base de Datos'!Z317)="","",IFERROR(IF(IFERROR(FIND("@",SUBSTITUTE(TRIM('Base de Datos'!Z317),",","@",LEN(TRIM('Base de Datos'!Z317))-LEN(SUBSTITUTE(TRIM('Base de Datos'!Z317),",","")))),0)&gt;IFERROR(FIND("@",SUBSTITUTE(TRIM('Base de Datos'!Z317),".","@",LEN(TRIM('Base de Datos'!Z317))-LEN(SUBSTITUTE(TRIM('Base de Datos'!Z317),".","")))),0),_xlfn.NUMBERVALUE(SUBSTITUTE(SUBSTITUTE(TRIM('Base de Datos'!Z317),".",""),",","."),".",","),_xlfn.NUMBERVALUE(SUBSTITUTE(TRIM('Base de Datos'!Z317),",",""),".",",")),"")))</f>
        <v/>
      </c>
    </row>
    <row r="322" customFormat="false" ht="13.5" hidden="false" customHeight="false" outlineLevel="0" collapsed="false">
      <c r="A322" s="75" t="n">
        <f aca="false">ROWS(A$13:A322)</f>
        <v>310</v>
      </c>
      <c r="B322" s="73" t="str">
        <f aca="false">IF(B321="","",IFERROR(SMALL($AH$10:$AH$409,COUNTIF($AH$10:$AH$409,"&lt;="&amp;B321)+1),""))</f>
        <v/>
      </c>
      <c r="C322" s="74" t="str">
        <f aca="false">IF(B322="","",INDEX($AI$10:$AI$409,MATCH(B322,$AH$10:$AH$409,0)))</f>
        <v/>
      </c>
      <c r="D322" s="74" t="str">
        <f aca="false">IF(B322="","",IFERROR(INDEX($AK$10:$AK$409,MATCH(B322,$AJ$10:$AJ$409,0)),""))</f>
        <v/>
      </c>
      <c r="E322" s="76" t="str">
        <f aca="false">IF(AND(ISNUMBER(C322),ISNUMBER(C321)),C322/C321-1,"")</f>
        <v/>
      </c>
      <c r="F322" s="76" t="str">
        <f aca="false">IF(AND(ISNUMBER(D322),ISNUMBER(D321)),D322/D321-1,"")</f>
        <v/>
      </c>
      <c r="G322" s="75" t="str">
        <f aca="false">IF(AND(ISNUMBER(E322),ISNUMBER(F322)),1,"")</f>
        <v/>
      </c>
      <c r="H322" s="75" t="str">
        <f aca="false">IF(G322=1,COUNT(G322:G$412),"")</f>
        <v/>
      </c>
      <c r="I322" s="75" t="str">
        <f aca="false">IF(G322=1,IF(H322&lt;='Beta Regresión'!$B$5,1,""),"")</f>
        <v/>
      </c>
      <c r="J322" s="76" t="str">
        <f aca="false">IF(I322=1,E322,"")</f>
        <v/>
      </c>
      <c r="K322" s="76" t="str">
        <f aca="false">IF(I322=1,F322,"")</f>
        <v/>
      </c>
      <c r="L322" s="75" t="str">
        <f aca="false">IF(I322=1,COUNT(I$13:I322),"")</f>
        <v/>
      </c>
      <c r="M322" s="76" t="str">
        <f aca="false">IFERROR(INDEX($J$13:$J$412,MATCH(A322,$L$13:$L$412,0)),"")</f>
        <v/>
      </c>
      <c r="N322" s="76" t="str">
        <f aca="false">IFERROR(INDEX($K$13:$K$412,MATCH(A322,$L$13:$L$412,0)),"")</f>
        <v/>
      </c>
      <c r="O322" s="76" t="e">
        <f aca="false">IF(I322=1,E322,NA())</f>
        <v>#N/A</v>
      </c>
      <c r="P322" s="76" t="e">
        <f aca="false">IF(I322=1,F322,NA())</f>
        <v>#N/A</v>
      </c>
      <c r="R322" s="75" t="n">
        <f aca="false">ROWS(R$13:R322)</f>
        <v>310</v>
      </c>
      <c r="S322" s="73" t="str">
        <f aca="false">IF(S321="","",IFERROR(SMALL($AD$10:$AD$509,COUNTIF($AD$10:$AD$509,"&lt;="&amp;S321)+1),""))</f>
        <v/>
      </c>
      <c r="T322" s="74" t="str">
        <f aca="false">IF(S322="","",INDEX($AE$10:$AE$509,MATCH(S322,$AD$10:$AD$509,0)))</f>
        <v/>
      </c>
      <c r="U322" s="74" t="str">
        <f aca="false">IF(S322="","",IFERROR(INDEX($AG$10:$AG$509,MATCH(S322,$AF$10:$AF$509,0)),""))</f>
        <v/>
      </c>
      <c r="V322" s="76" t="str">
        <f aca="false">IF(AND(ISNUMBER(T322),ISNUMBER(T321)),T322/T321-1,"")</f>
        <v/>
      </c>
      <c r="W322" s="76" t="str">
        <f aca="false">IF(AND(ISNUMBER(U322),ISNUMBER(U321)),U322/U321-1,"")</f>
        <v/>
      </c>
      <c r="X322" s="75" t="str">
        <f aca="false">IF(AND(ISNUMBER(V322),ISNUMBER(W322)),1,"")</f>
        <v/>
      </c>
      <c r="Y322" s="76" t="str">
        <f aca="false">IF(X322=1,V322,"")</f>
        <v/>
      </c>
      <c r="Z322" s="76" t="str">
        <f aca="false">IF(X322=1,W322,"")</f>
        <v/>
      </c>
      <c r="AA322" s="76" t="e">
        <f aca="false">IF(X322=1,V322,NA())</f>
        <v>#N/A</v>
      </c>
      <c r="AB322" s="76" t="e">
        <f aca="false">IF(X322=1,W322,NA())</f>
        <v>#N/A</v>
      </c>
      <c r="AD322" s="73" t="str">
        <f aca="false">IF(ISNUMBER(AE322),IF(ISNUMBER('Base de Datos'!A318),IF('Base de Datos'!A318&gt;20000,DATE(YEAR('Base de Datos'!A318),DAY('Base de Datos'!A318),MONTH('Base de Datos'!A318)),""),IF(TRIM('Base de Datos'!A318)="","",IFERROR(DATE(VALUE(RIGHT(TRIM('Base de Datos'!A318),4)),VALUE(LEFT(TRIM('Base de Datos'!A318),2)),VALUE(MID(TRIM('Base de Datos'!A318),4,2))),""))),"")</f>
        <v/>
      </c>
      <c r="AE322" s="74" t="str">
        <f aca="false">IF(ISNUMBER('Base de Datos'!B318),'Base de Datos'!B318,IF(TRIM('Base de Datos'!B318)="","",IFERROR(IF(IFERROR(FIND("@",SUBSTITUTE(TRIM('Base de Datos'!B318),",","@",LEN(TRIM('Base de Datos'!B318))-LEN(SUBSTITUTE(TRIM('Base de Datos'!B318),",","")))),0)&gt;IFERROR(FIND("@",SUBSTITUTE(TRIM('Base de Datos'!B318),".","@",LEN(TRIM('Base de Datos'!B318))-LEN(SUBSTITUTE(TRIM('Base de Datos'!B318),".","")))),0),_xlfn.NUMBERVALUE(SUBSTITUTE(SUBSTITUTE(TRIM('Base de Datos'!B318),".",""),",","."),".",","),_xlfn.NUMBERVALUE(SUBSTITUTE(TRIM('Base de Datos'!B318),",",""),".",",")),"")))</f>
        <v/>
      </c>
      <c r="AF322" s="73" t="str">
        <f aca="false">IF(ISNUMBER(AG322),IF(ISNUMBER('Base de Datos'!I318),IF('Base de Datos'!I318&gt;20000,INT('Base de Datos'!I318),""),IF(TRIM('Base de Datos'!I318)="","",IFERROR(DATE(VALUE(RIGHT(TRIM('Base de Datos'!I318),4)),VALUE(MID(TRIM('Base de Datos'!I318),4,2)),VALUE(LEFT(TRIM('Base de Datos'!I318),2))),IFERROR(DATEVALUE(TRIM('Base de Datos'!I318)),"")))),"")</f>
        <v/>
      </c>
      <c r="AG322" s="74" t="str">
        <f aca="false">IF(ISNUMBER('Base de Datos'!J318),'Base de Datos'!J318,IF(TRIM('Base de Datos'!J318)="","",IFERROR(IF(IFERROR(FIND("@",SUBSTITUTE(TRIM('Base de Datos'!J318),",","@",LEN(TRIM('Base de Datos'!J318))-LEN(SUBSTITUTE(TRIM('Base de Datos'!J318),",","")))),0)&gt;IFERROR(FIND("@",SUBSTITUTE(TRIM('Base de Datos'!J318),".","@",LEN(TRIM('Base de Datos'!J318))-LEN(SUBSTITUTE(TRIM('Base de Datos'!J318),".","")))),0),_xlfn.NUMBERVALUE(SUBSTITUTE(SUBSTITUTE(TRIM('Base de Datos'!J318),".",""),",","."),".",","),_xlfn.NUMBERVALUE(SUBSTITUTE(TRIM('Base de Datos'!J318),",",""),".",",")),"")))</f>
        <v/>
      </c>
      <c r="AH322" s="73" t="str">
        <f aca="false">IF(ISNUMBER(AI322),IF(ISNUMBER('Base de Datos'!Q318),IF('Base de Datos'!Q318&gt;20000,DATE(YEAR('Base de Datos'!Q318),DAY('Base de Datos'!Q318),MONTH('Base de Datos'!Q318)),""),IF(TRIM('Base de Datos'!Q318)="","",IFERROR(DATE(VALUE(RIGHT(TRIM('Base de Datos'!Q318),4)),VALUE(LEFT(TRIM('Base de Datos'!Q318),2)),VALUE(MID(TRIM('Base de Datos'!Q318),4,2))),""))),"")</f>
        <v/>
      </c>
      <c r="AI322" s="74" t="str">
        <f aca="false">IF(ISNUMBER('Base de Datos'!R318),'Base de Datos'!R318,IF(TRIM('Base de Datos'!R318)="","",IFERROR(IF(IFERROR(FIND("@",SUBSTITUTE(TRIM('Base de Datos'!R318),",","@",LEN(TRIM('Base de Datos'!R318))-LEN(SUBSTITUTE(TRIM('Base de Datos'!R318),",","")))),0)&gt;IFERROR(FIND("@",SUBSTITUTE(TRIM('Base de Datos'!R318),".","@",LEN(TRIM('Base de Datos'!R318))-LEN(SUBSTITUTE(TRIM('Base de Datos'!R318),".","")))),0),_xlfn.NUMBERVALUE(SUBSTITUTE(SUBSTITUTE(TRIM('Base de Datos'!R318),".",""),",","."),".",","),_xlfn.NUMBERVALUE(SUBSTITUTE(TRIM('Base de Datos'!R318),",",""),".",",")),"")))</f>
        <v/>
      </c>
      <c r="AJ322" s="73" t="str">
        <f aca="false">IF(ISNUMBER(AK322),IF(ISNUMBER('Base de Datos'!Y318),IF('Base de Datos'!Y318&gt;20000,INT('Base de Datos'!Y318),""),IF(TRIM('Base de Datos'!Y318)="","",IFERROR(DATE(VALUE(RIGHT(TRIM('Base de Datos'!Y318),4)),VALUE(MID(TRIM('Base de Datos'!Y318),4,2)),VALUE(LEFT(TRIM('Base de Datos'!Y318),2))),IFERROR(DATEVALUE(TRIM('Base de Datos'!Y318)),"")))),"")</f>
        <v/>
      </c>
      <c r="AK322" s="74" t="str">
        <f aca="false">IF(ISNUMBER('Base de Datos'!Z318),'Base de Datos'!Z318,IF(TRIM('Base de Datos'!Z318)="","",IFERROR(IF(IFERROR(FIND("@",SUBSTITUTE(TRIM('Base de Datos'!Z318),",","@",LEN(TRIM('Base de Datos'!Z318))-LEN(SUBSTITUTE(TRIM('Base de Datos'!Z318),",","")))),0)&gt;IFERROR(FIND("@",SUBSTITUTE(TRIM('Base de Datos'!Z318),".","@",LEN(TRIM('Base de Datos'!Z318))-LEN(SUBSTITUTE(TRIM('Base de Datos'!Z318),".","")))),0),_xlfn.NUMBERVALUE(SUBSTITUTE(SUBSTITUTE(TRIM('Base de Datos'!Z318),".",""),",","."),".",","),_xlfn.NUMBERVALUE(SUBSTITUTE(TRIM('Base de Datos'!Z318),",",""),".",",")),"")))</f>
        <v/>
      </c>
    </row>
    <row r="323" customFormat="false" ht="13.5" hidden="false" customHeight="false" outlineLevel="0" collapsed="false">
      <c r="A323" s="75" t="n">
        <f aca="false">ROWS(A$13:A323)</f>
        <v>311</v>
      </c>
      <c r="B323" s="73" t="str">
        <f aca="false">IF(B322="","",IFERROR(SMALL($AH$10:$AH$409,COUNTIF($AH$10:$AH$409,"&lt;="&amp;B322)+1),""))</f>
        <v/>
      </c>
      <c r="C323" s="74" t="str">
        <f aca="false">IF(B323="","",INDEX($AI$10:$AI$409,MATCH(B323,$AH$10:$AH$409,0)))</f>
        <v/>
      </c>
      <c r="D323" s="74" t="str">
        <f aca="false">IF(B323="","",IFERROR(INDEX($AK$10:$AK$409,MATCH(B323,$AJ$10:$AJ$409,0)),""))</f>
        <v/>
      </c>
      <c r="E323" s="76" t="str">
        <f aca="false">IF(AND(ISNUMBER(C323),ISNUMBER(C322)),C323/C322-1,"")</f>
        <v/>
      </c>
      <c r="F323" s="76" t="str">
        <f aca="false">IF(AND(ISNUMBER(D323),ISNUMBER(D322)),D323/D322-1,"")</f>
        <v/>
      </c>
      <c r="G323" s="75" t="str">
        <f aca="false">IF(AND(ISNUMBER(E323),ISNUMBER(F323)),1,"")</f>
        <v/>
      </c>
      <c r="H323" s="75" t="str">
        <f aca="false">IF(G323=1,COUNT(G323:G$412),"")</f>
        <v/>
      </c>
      <c r="I323" s="75" t="str">
        <f aca="false">IF(G323=1,IF(H323&lt;='Beta Regresión'!$B$5,1,""),"")</f>
        <v/>
      </c>
      <c r="J323" s="76" t="str">
        <f aca="false">IF(I323=1,E323,"")</f>
        <v/>
      </c>
      <c r="K323" s="76" t="str">
        <f aca="false">IF(I323=1,F323,"")</f>
        <v/>
      </c>
      <c r="L323" s="75" t="str">
        <f aca="false">IF(I323=1,COUNT(I$13:I323),"")</f>
        <v/>
      </c>
      <c r="M323" s="76" t="str">
        <f aca="false">IFERROR(INDEX($J$13:$J$412,MATCH(A323,$L$13:$L$412,0)),"")</f>
        <v/>
      </c>
      <c r="N323" s="76" t="str">
        <f aca="false">IFERROR(INDEX($K$13:$K$412,MATCH(A323,$L$13:$L$412,0)),"")</f>
        <v/>
      </c>
      <c r="O323" s="76" t="e">
        <f aca="false">IF(I323=1,E323,NA())</f>
        <v>#N/A</v>
      </c>
      <c r="P323" s="76" t="e">
        <f aca="false">IF(I323=1,F323,NA())</f>
        <v>#N/A</v>
      </c>
      <c r="R323" s="75" t="n">
        <f aca="false">ROWS(R$13:R323)</f>
        <v>311</v>
      </c>
      <c r="S323" s="73" t="str">
        <f aca="false">IF(S322="","",IFERROR(SMALL($AD$10:$AD$509,COUNTIF($AD$10:$AD$509,"&lt;="&amp;S322)+1),""))</f>
        <v/>
      </c>
      <c r="T323" s="74" t="str">
        <f aca="false">IF(S323="","",INDEX($AE$10:$AE$509,MATCH(S323,$AD$10:$AD$509,0)))</f>
        <v/>
      </c>
      <c r="U323" s="74" t="str">
        <f aca="false">IF(S323="","",IFERROR(INDEX($AG$10:$AG$509,MATCH(S323,$AF$10:$AF$509,0)),""))</f>
        <v/>
      </c>
      <c r="V323" s="76" t="str">
        <f aca="false">IF(AND(ISNUMBER(T323),ISNUMBER(T322)),T323/T322-1,"")</f>
        <v/>
      </c>
      <c r="W323" s="76" t="str">
        <f aca="false">IF(AND(ISNUMBER(U323),ISNUMBER(U322)),U323/U322-1,"")</f>
        <v/>
      </c>
      <c r="X323" s="75" t="str">
        <f aca="false">IF(AND(ISNUMBER(V323),ISNUMBER(W323)),1,"")</f>
        <v/>
      </c>
      <c r="Y323" s="76" t="str">
        <f aca="false">IF(X323=1,V323,"")</f>
        <v/>
      </c>
      <c r="Z323" s="76" t="str">
        <f aca="false">IF(X323=1,W323,"")</f>
        <v/>
      </c>
      <c r="AA323" s="76" t="e">
        <f aca="false">IF(X323=1,V323,NA())</f>
        <v>#N/A</v>
      </c>
      <c r="AB323" s="76" t="e">
        <f aca="false">IF(X323=1,W323,NA())</f>
        <v>#N/A</v>
      </c>
      <c r="AD323" s="73" t="str">
        <f aca="false">IF(ISNUMBER(AE323),IF(ISNUMBER('Base de Datos'!A319),IF('Base de Datos'!A319&gt;20000,DATE(YEAR('Base de Datos'!A319),DAY('Base de Datos'!A319),MONTH('Base de Datos'!A319)),""),IF(TRIM('Base de Datos'!A319)="","",IFERROR(DATE(VALUE(RIGHT(TRIM('Base de Datos'!A319),4)),VALUE(LEFT(TRIM('Base de Datos'!A319),2)),VALUE(MID(TRIM('Base de Datos'!A319),4,2))),""))),"")</f>
        <v/>
      </c>
      <c r="AE323" s="74" t="str">
        <f aca="false">IF(ISNUMBER('Base de Datos'!B319),'Base de Datos'!B319,IF(TRIM('Base de Datos'!B319)="","",IFERROR(IF(IFERROR(FIND("@",SUBSTITUTE(TRIM('Base de Datos'!B319),",","@",LEN(TRIM('Base de Datos'!B319))-LEN(SUBSTITUTE(TRIM('Base de Datos'!B319),",","")))),0)&gt;IFERROR(FIND("@",SUBSTITUTE(TRIM('Base de Datos'!B319),".","@",LEN(TRIM('Base de Datos'!B319))-LEN(SUBSTITUTE(TRIM('Base de Datos'!B319),".","")))),0),_xlfn.NUMBERVALUE(SUBSTITUTE(SUBSTITUTE(TRIM('Base de Datos'!B319),".",""),",","."),".",","),_xlfn.NUMBERVALUE(SUBSTITUTE(TRIM('Base de Datos'!B319),",",""),".",",")),"")))</f>
        <v/>
      </c>
      <c r="AF323" s="73" t="str">
        <f aca="false">IF(ISNUMBER(AG323),IF(ISNUMBER('Base de Datos'!I319),IF('Base de Datos'!I319&gt;20000,INT('Base de Datos'!I319),""),IF(TRIM('Base de Datos'!I319)="","",IFERROR(DATE(VALUE(RIGHT(TRIM('Base de Datos'!I319),4)),VALUE(MID(TRIM('Base de Datos'!I319),4,2)),VALUE(LEFT(TRIM('Base de Datos'!I319),2))),IFERROR(DATEVALUE(TRIM('Base de Datos'!I319)),"")))),"")</f>
        <v/>
      </c>
      <c r="AG323" s="74" t="str">
        <f aca="false">IF(ISNUMBER('Base de Datos'!J319),'Base de Datos'!J319,IF(TRIM('Base de Datos'!J319)="","",IFERROR(IF(IFERROR(FIND("@",SUBSTITUTE(TRIM('Base de Datos'!J319),",","@",LEN(TRIM('Base de Datos'!J319))-LEN(SUBSTITUTE(TRIM('Base de Datos'!J319),",","")))),0)&gt;IFERROR(FIND("@",SUBSTITUTE(TRIM('Base de Datos'!J319),".","@",LEN(TRIM('Base de Datos'!J319))-LEN(SUBSTITUTE(TRIM('Base de Datos'!J319),".","")))),0),_xlfn.NUMBERVALUE(SUBSTITUTE(SUBSTITUTE(TRIM('Base de Datos'!J319),".",""),",","."),".",","),_xlfn.NUMBERVALUE(SUBSTITUTE(TRIM('Base de Datos'!J319),",",""),".",",")),"")))</f>
        <v/>
      </c>
      <c r="AH323" s="73" t="str">
        <f aca="false">IF(ISNUMBER(AI323),IF(ISNUMBER('Base de Datos'!Q319),IF('Base de Datos'!Q319&gt;20000,DATE(YEAR('Base de Datos'!Q319),DAY('Base de Datos'!Q319),MONTH('Base de Datos'!Q319)),""),IF(TRIM('Base de Datos'!Q319)="","",IFERROR(DATE(VALUE(RIGHT(TRIM('Base de Datos'!Q319),4)),VALUE(LEFT(TRIM('Base de Datos'!Q319),2)),VALUE(MID(TRIM('Base de Datos'!Q319),4,2))),""))),"")</f>
        <v/>
      </c>
      <c r="AI323" s="74" t="str">
        <f aca="false">IF(ISNUMBER('Base de Datos'!R319),'Base de Datos'!R319,IF(TRIM('Base de Datos'!R319)="","",IFERROR(IF(IFERROR(FIND("@",SUBSTITUTE(TRIM('Base de Datos'!R319),",","@",LEN(TRIM('Base de Datos'!R319))-LEN(SUBSTITUTE(TRIM('Base de Datos'!R319),",","")))),0)&gt;IFERROR(FIND("@",SUBSTITUTE(TRIM('Base de Datos'!R319),".","@",LEN(TRIM('Base de Datos'!R319))-LEN(SUBSTITUTE(TRIM('Base de Datos'!R319),".","")))),0),_xlfn.NUMBERVALUE(SUBSTITUTE(SUBSTITUTE(TRIM('Base de Datos'!R319),".",""),",","."),".",","),_xlfn.NUMBERVALUE(SUBSTITUTE(TRIM('Base de Datos'!R319),",",""),".",",")),"")))</f>
        <v/>
      </c>
      <c r="AJ323" s="73" t="str">
        <f aca="false">IF(ISNUMBER(AK323),IF(ISNUMBER('Base de Datos'!Y319),IF('Base de Datos'!Y319&gt;20000,INT('Base de Datos'!Y319),""),IF(TRIM('Base de Datos'!Y319)="","",IFERROR(DATE(VALUE(RIGHT(TRIM('Base de Datos'!Y319),4)),VALUE(MID(TRIM('Base de Datos'!Y319),4,2)),VALUE(LEFT(TRIM('Base de Datos'!Y319),2))),IFERROR(DATEVALUE(TRIM('Base de Datos'!Y319)),"")))),"")</f>
        <v/>
      </c>
      <c r="AK323" s="74" t="str">
        <f aca="false">IF(ISNUMBER('Base de Datos'!Z319),'Base de Datos'!Z319,IF(TRIM('Base de Datos'!Z319)="","",IFERROR(IF(IFERROR(FIND("@",SUBSTITUTE(TRIM('Base de Datos'!Z319),",","@",LEN(TRIM('Base de Datos'!Z319))-LEN(SUBSTITUTE(TRIM('Base de Datos'!Z319),",","")))),0)&gt;IFERROR(FIND("@",SUBSTITUTE(TRIM('Base de Datos'!Z319),".","@",LEN(TRIM('Base de Datos'!Z319))-LEN(SUBSTITUTE(TRIM('Base de Datos'!Z319),".","")))),0),_xlfn.NUMBERVALUE(SUBSTITUTE(SUBSTITUTE(TRIM('Base de Datos'!Z319),".",""),",","."),".",","),_xlfn.NUMBERVALUE(SUBSTITUTE(TRIM('Base de Datos'!Z319),",",""),".",",")),"")))</f>
        <v/>
      </c>
    </row>
    <row r="324" customFormat="false" ht="13.5" hidden="false" customHeight="false" outlineLevel="0" collapsed="false">
      <c r="A324" s="75" t="n">
        <f aca="false">ROWS(A$13:A324)</f>
        <v>312</v>
      </c>
      <c r="B324" s="73" t="str">
        <f aca="false">IF(B323="","",IFERROR(SMALL($AH$10:$AH$409,COUNTIF($AH$10:$AH$409,"&lt;="&amp;B323)+1),""))</f>
        <v/>
      </c>
      <c r="C324" s="74" t="str">
        <f aca="false">IF(B324="","",INDEX($AI$10:$AI$409,MATCH(B324,$AH$10:$AH$409,0)))</f>
        <v/>
      </c>
      <c r="D324" s="74" t="str">
        <f aca="false">IF(B324="","",IFERROR(INDEX($AK$10:$AK$409,MATCH(B324,$AJ$10:$AJ$409,0)),""))</f>
        <v/>
      </c>
      <c r="E324" s="76" t="str">
        <f aca="false">IF(AND(ISNUMBER(C324),ISNUMBER(C323)),C324/C323-1,"")</f>
        <v/>
      </c>
      <c r="F324" s="76" t="str">
        <f aca="false">IF(AND(ISNUMBER(D324),ISNUMBER(D323)),D324/D323-1,"")</f>
        <v/>
      </c>
      <c r="G324" s="75" t="str">
        <f aca="false">IF(AND(ISNUMBER(E324),ISNUMBER(F324)),1,"")</f>
        <v/>
      </c>
      <c r="H324" s="75" t="str">
        <f aca="false">IF(G324=1,COUNT(G324:G$412),"")</f>
        <v/>
      </c>
      <c r="I324" s="75" t="str">
        <f aca="false">IF(G324=1,IF(H324&lt;='Beta Regresión'!$B$5,1,""),"")</f>
        <v/>
      </c>
      <c r="J324" s="76" t="str">
        <f aca="false">IF(I324=1,E324,"")</f>
        <v/>
      </c>
      <c r="K324" s="76" t="str">
        <f aca="false">IF(I324=1,F324,"")</f>
        <v/>
      </c>
      <c r="L324" s="75" t="str">
        <f aca="false">IF(I324=1,COUNT(I$13:I324),"")</f>
        <v/>
      </c>
      <c r="M324" s="76" t="str">
        <f aca="false">IFERROR(INDEX($J$13:$J$412,MATCH(A324,$L$13:$L$412,0)),"")</f>
        <v/>
      </c>
      <c r="N324" s="76" t="str">
        <f aca="false">IFERROR(INDEX($K$13:$K$412,MATCH(A324,$L$13:$L$412,0)),"")</f>
        <v/>
      </c>
      <c r="O324" s="76" t="e">
        <f aca="false">IF(I324=1,E324,NA())</f>
        <v>#N/A</v>
      </c>
      <c r="P324" s="76" t="e">
        <f aca="false">IF(I324=1,F324,NA())</f>
        <v>#N/A</v>
      </c>
      <c r="R324" s="75" t="n">
        <f aca="false">ROWS(R$13:R324)</f>
        <v>312</v>
      </c>
      <c r="S324" s="73" t="str">
        <f aca="false">IF(S323="","",IFERROR(SMALL($AD$10:$AD$509,COUNTIF($AD$10:$AD$509,"&lt;="&amp;S323)+1),""))</f>
        <v/>
      </c>
      <c r="T324" s="74" t="str">
        <f aca="false">IF(S324="","",INDEX($AE$10:$AE$509,MATCH(S324,$AD$10:$AD$509,0)))</f>
        <v/>
      </c>
      <c r="U324" s="74" t="str">
        <f aca="false">IF(S324="","",IFERROR(INDEX($AG$10:$AG$509,MATCH(S324,$AF$10:$AF$509,0)),""))</f>
        <v/>
      </c>
      <c r="V324" s="76" t="str">
        <f aca="false">IF(AND(ISNUMBER(T324),ISNUMBER(T323)),T324/T323-1,"")</f>
        <v/>
      </c>
      <c r="W324" s="76" t="str">
        <f aca="false">IF(AND(ISNUMBER(U324),ISNUMBER(U323)),U324/U323-1,"")</f>
        <v/>
      </c>
      <c r="X324" s="75" t="str">
        <f aca="false">IF(AND(ISNUMBER(V324),ISNUMBER(W324)),1,"")</f>
        <v/>
      </c>
      <c r="Y324" s="76" t="str">
        <f aca="false">IF(X324=1,V324,"")</f>
        <v/>
      </c>
      <c r="Z324" s="76" t="str">
        <f aca="false">IF(X324=1,W324,"")</f>
        <v/>
      </c>
      <c r="AA324" s="76" t="e">
        <f aca="false">IF(X324=1,V324,NA())</f>
        <v>#N/A</v>
      </c>
      <c r="AB324" s="76" t="e">
        <f aca="false">IF(X324=1,W324,NA())</f>
        <v>#N/A</v>
      </c>
      <c r="AD324" s="73" t="str">
        <f aca="false">IF(ISNUMBER(AE324),IF(ISNUMBER('Base de Datos'!A320),IF('Base de Datos'!A320&gt;20000,DATE(YEAR('Base de Datos'!A320),DAY('Base de Datos'!A320),MONTH('Base de Datos'!A320)),""),IF(TRIM('Base de Datos'!A320)="","",IFERROR(DATE(VALUE(RIGHT(TRIM('Base de Datos'!A320),4)),VALUE(LEFT(TRIM('Base de Datos'!A320),2)),VALUE(MID(TRIM('Base de Datos'!A320),4,2))),""))),"")</f>
        <v/>
      </c>
      <c r="AE324" s="74" t="str">
        <f aca="false">IF(ISNUMBER('Base de Datos'!B320),'Base de Datos'!B320,IF(TRIM('Base de Datos'!B320)="","",IFERROR(IF(IFERROR(FIND("@",SUBSTITUTE(TRIM('Base de Datos'!B320),",","@",LEN(TRIM('Base de Datos'!B320))-LEN(SUBSTITUTE(TRIM('Base de Datos'!B320),",","")))),0)&gt;IFERROR(FIND("@",SUBSTITUTE(TRIM('Base de Datos'!B320),".","@",LEN(TRIM('Base de Datos'!B320))-LEN(SUBSTITUTE(TRIM('Base de Datos'!B320),".","")))),0),_xlfn.NUMBERVALUE(SUBSTITUTE(SUBSTITUTE(TRIM('Base de Datos'!B320),".",""),",","."),".",","),_xlfn.NUMBERVALUE(SUBSTITUTE(TRIM('Base de Datos'!B320),",",""),".",",")),"")))</f>
        <v/>
      </c>
      <c r="AF324" s="73" t="str">
        <f aca="false">IF(ISNUMBER(AG324),IF(ISNUMBER('Base de Datos'!I320),IF('Base de Datos'!I320&gt;20000,INT('Base de Datos'!I320),""),IF(TRIM('Base de Datos'!I320)="","",IFERROR(DATE(VALUE(RIGHT(TRIM('Base de Datos'!I320),4)),VALUE(MID(TRIM('Base de Datos'!I320),4,2)),VALUE(LEFT(TRIM('Base de Datos'!I320),2))),IFERROR(DATEVALUE(TRIM('Base de Datos'!I320)),"")))),"")</f>
        <v/>
      </c>
      <c r="AG324" s="74" t="str">
        <f aca="false">IF(ISNUMBER('Base de Datos'!J320),'Base de Datos'!J320,IF(TRIM('Base de Datos'!J320)="","",IFERROR(IF(IFERROR(FIND("@",SUBSTITUTE(TRIM('Base de Datos'!J320),",","@",LEN(TRIM('Base de Datos'!J320))-LEN(SUBSTITUTE(TRIM('Base de Datos'!J320),",","")))),0)&gt;IFERROR(FIND("@",SUBSTITUTE(TRIM('Base de Datos'!J320),".","@",LEN(TRIM('Base de Datos'!J320))-LEN(SUBSTITUTE(TRIM('Base de Datos'!J320),".","")))),0),_xlfn.NUMBERVALUE(SUBSTITUTE(SUBSTITUTE(TRIM('Base de Datos'!J320),".",""),",","."),".",","),_xlfn.NUMBERVALUE(SUBSTITUTE(TRIM('Base de Datos'!J320),",",""),".",",")),"")))</f>
        <v/>
      </c>
      <c r="AH324" s="73" t="str">
        <f aca="false">IF(ISNUMBER(AI324),IF(ISNUMBER('Base de Datos'!Q320),IF('Base de Datos'!Q320&gt;20000,DATE(YEAR('Base de Datos'!Q320),DAY('Base de Datos'!Q320),MONTH('Base de Datos'!Q320)),""),IF(TRIM('Base de Datos'!Q320)="","",IFERROR(DATE(VALUE(RIGHT(TRIM('Base de Datos'!Q320),4)),VALUE(LEFT(TRIM('Base de Datos'!Q320),2)),VALUE(MID(TRIM('Base de Datos'!Q320),4,2))),""))),"")</f>
        <v/>
      </c>
      <c r="AI324" s="74" t="str">
        <f aca="false">IF(ISNUMBER('Base de Datos'!R320),'Base de Datos'!R320,IF(TRIM('Base de Datos'!R320)="","",IFERROR(IF(IFERROR(FIND("@",SUBSTITUTE(TRIM('Base de Datos'!R320),",","@",LEN(TRIM('Base de Datos'!R320))-LEN(SUBSTITUTE(TRIM('Base de Datos'!R320),",","")))),0)&gt;IFERROR(FIND("@",SUBSTITUTE(TRIM('Base de Datos'!R320),".","@",LEN(TRIM('Base de Datos'!R320))-LEN(SUBSTITUTE(TRIM('Base de Datos'!R320),".","")))),0),_xlfn.NUMBERVALUE(SUBSTITUTE(SUBSTITUTE(TRIM('Base de Datos'!R320),".",""),",","."),".",","),_xlfn.NUMBERVALUE(SUBSTITUTE(TRIM('Base de Datos'!R320),",",""),".",",")),"")))</f>
        <v/>
      </c>
      <c r="AJ324" s="73" t="str">
        <f aca="false">IF(ISNUMBER(AK324),IF(ISNUMBER('Base de Datos'!Y320),IF('Base de Datos'!Y320&gt;20000,INT('Base de Datos'!Y320),""),IF(TRIM('Base de Datos'!Y320)="","",IFERROR(DATE(VALUE(RIGHT(TRIM('Base de Datos'!Y320),4)),VALUE(MID(TRIM('Base de Datos'!Y320),4,2)),VALUE(LEFT(TRIM('Base de Datos'!Y320),2))),IFERROR(DATEVALUE(TRIM('Base de Datos'!Y320)),"")))),"")</f>
        <v/>
      </c>
      <c r="AK324" s="74" t="str">
        <f aca="false">IF(ISNUMBER('Base de Datos'!Z320),'Base de Datos'!Z320,IF(TRIM('Base de Datos'!Z320)="","",IFERROR(IF(IFERROR(FIND("@",SUBSTITUTE(TRIM('Base de Datos'!Z320),",","@",LEN(TRIM('Base de Datos'!Z320))-LEN(SUBSTITUTE(TRIM('Base de Datos'!Z320),",","")))),0)&gt;IFERROR(FIND("@",SUBSTITUTE(TRIM('Base de Datos'!Z320),".","@",LEN(TRIM('Base de Datos'!Z320))-LEN(SUBSTITUTE(TRIM('Base de Datos'!Z320),".","")))),0),_xlfn.NUMBERVALUE(SUBSTITUTE(SUBSTITUTE(TRIM('Base de Datos'!Z320),".",""),",","."),".",","),_xlfn.NUMBERVALUE(SUBSTITUTE(TRIM('Base de Datos'!Z320),",",""),".",",")),"")))</f>
        <v/>
      </c>
    </row>
    <row r="325" customFormat="false" ht="13.5" hidden="false" customHeight="false" outlineLevel="0" collapsed="false">
      <c r="A325" s="75" t="n">
        <f aca="false">ROWS(A$13:A325)</f>
        <v>313</v>
      </c>
      <c r="B325" s="73" t="str">
        <f aca="false">IF(B324="","",IFERROR(SMALL($AH$10:$AH$409,COUNTIF($AH$10:$AH$409,"&lt;="&amp;B324)+1),""))</f>
        <v/>
      </c>
      <c r="C325" s="74" t="str">
        <f aca="false">IF(B325="","",INDEX($AI$10:$AI$409,MATCH(B325,$AH$10:$AH$409,0)))</f>
        <v/>
      </c>
      <c r="D325" s="74" t="str">
        <f aca="false">IF(B325="","",IFERROR(INDEX($AK$10:$AK$409,MATCH(B325,$AJ$10:$AJ$409,0)),""))</f>
        <v/>
      </c>
      <c r="E325" s="76" t="str">
        <f aca="false">IF(AND(ISNUMBER(C325),ISNUMBER(C324)),C325/C324-1,"")</f>
        <v/>
      </c>
      <c r="F325" s="76" t="str">
        <f aca="false">IF(AND(ISNUMBER(D325),ISNUMBER(D324)),D325/D324-1,"")</f>
        <v/>
      </c>
      <c r="G325" s="75" t="str">
        <f aca="false">IF(AND(ISNUMBER(E325),ISNUMBER(F325)),1,"")</f>
        <v/>
      </c>
      <c r="H325" s="75" t="str">
        <f aca="false">IF(G325=1,COUNT(G325:G$412),"")</f>
        <v/>
      </c>
      <c r="I325" s="75" t="str">
        <f aca="false">IF(G325=1,IF(H325&lt;='Beta Regresión'!$B$5,1,""),"")</f>
        <v/>
      </c>
      <c r="J325" s="76" t="str">
        <f aca="false">IF(I325=1,E325,"")</f>
        <v/>
      </c>
      <c r="K325" s="76" t="str">
        <f aca="false">IF(I325=1,F325,"")</f>
        <v/>
      </c>
      <c r="L325" s="75" t="str">
        <f aca="false">IF(I325=1,COUNT(I$13:I325),"")</f>
        <v/>
      </c>
      <c r="M325" s="76" t="str">
        <f aca="false">IFERROR(INDEX($J$13:$J$412,MATCH(A325,$L$13:$L$412,0)),"")</f>
        <v/>
      </c>
      <c r="N325" s="76" t="str">
        <f aca="false">IFERROR(INDEX($K$13:$K$412,MATCH(A325,$L$13:$L$412,0)),"")</f>
        <v/>
      </c>
      <c r="O325" s="76" t="e">
        <f aca="false">IF(I325=1,E325,NA())</f>
        <v>#N/A</v>
      </c>
      <c r="P325" s="76" t="e">
        <f aca="false">IF(I325=1,F325,NA())</f>
        <v>#N/A</v>
      </c>
      <c r="R325" s="75" t="n">
        <f aca="false">ROWS(R$13:R325)</f>
        <v>313</v>
      </c>
      <c r="S325" s="73" t="str">
        <f aca="false">IF(S324="","",IFERROR(SMALL($AD$10:$AD$509,COUNTIF($AD$10:$AD$509,"&lt;="&amp;S324)+1),""))</f>
        <v/>
      </c>
      <c r="T325" s="74" t="str">
        <f aca="false">IF(S325="","",INDEX($AE$10:$AE$509,MATCH(S325,$AD$10:$AD$509,0)))</f>
        <v/>
      </c>
      <c r="U325" s="74" t="str">
        <f aca="false">IF(S325="","",IFERROR(INDEX($AG$10:$AG$509,MATCH(S325,$AF$10:$AF$509,0)),""))</f>
        <v/>
      </c>
      <c r="V325" s="76" t="str">
        <f aca="false">IF(AND(ISNUMBER(T325),ISNUMBER(T324)),T325/T324-1,"")</f>
        <v/>
      </c>
      <c r="W325" s="76" t="str">
        <f aca="false">IF(AND(ISNUMBER(U325),ISNUMBER(U324)),U325/U324-1,"")</f>
        <v/>
      </c>
      <c r="X325" s="75" t="str">
        <f aca="false">IF(AND(ISNUMBER(V325),ISNUMBER(W325)),1,"")</f>
        <v/>
      </c>
      <c r="Y325" s="76" t="str">
        <f aca="false">IF(X325=1,V325,"")</f>
        <v/>
      </c>
      <c r="Z325" s="76" t="str">
        <f aca="false">IF(X325=1,W325,"")</f>
        <v/>
      </c>
      <c r="AA325" s="76" t="e">
        <f aca="false">IF(X325=1,V325,NA())</f>
        <v>#N/A</v>
      </c>
      <c r="AB325" s="76" t="e">
        <f aca="false">IF(X325=1,W325,NA())</f>
        <v>#N/A</v>
      </c>
      <c r="AD325" s="73" t="str">
        <f aca="false">IF(ISNUMBER(AE325),IF(ISNUMBER('Base de Datos'!A321),IF('Base de Datos'!A321&gt;20000,DATE(YEAR('Base de Datos'!A321),DAY('Base de Datos'!A321),MONTH('Base de Datos'!A321)),""),IF(TRIM('Base de Datos'!A321)="","",IFERROR(DATE(VALUE(RIGHT(TRIM('Base de Datos'!A321),4)),VALUE(LEFT(TRIM('Base de Datos'!A321),2)),VALUE(MID(TRIM('Base de Datos'!A321),4,2))),""))),"")</f>
        <v/>
      </c>
      <c r="AE325" s="74" t="str">
        <f aca="false">IF(ISNUMBER('Base de Datos'!B321),'Base de Datos'!B321,IF(TRIM('Base de Datos'!B321)="","",IFERROR(IF(IFERROR(FIND("@",SUBSTITUTE(TRIM('Base de Datos'!B321),",","@",LEN(TRIM('Base de Datos'!B321))-LEN(SUBSTITUTE(TRIM('Base de Datos'!B321),",","")))),0)&gt;IFERROR(FIND("@",SUBSTITUTE(TRIM('Base de Datos'!B321),".","@",LEN(TRIM('Base de Datos'!B321))-LEN(SUBSTITUTE(TRIM('Base de Datos'!B321),".","")))),0),_xlfn.NUMBERVALUE(SUBSTITUTE(SUBSTITUTE(TRIM('Base de Datos'!B321),".",""),",","."),".",","),_xlfn.NUMBERVALUE(SUBSTITUTE(TRIM('Base de Datos'!B321),",",""),".",",")),"")))</f>
        <v/>
      </c>
      <c r="AF325" s="73" t="str">
        <f aca="false">IF(ISNUMBER(AG325),IF(ISNUMBER('Base de Datos'!I321),IF('Base de Datos'!I321&gt;20000,INT('Base de Datos'!I321),""),IF(TRIM('Base de Datos'!I321)="","",IFERROR(DATE(VALUE(RIGHT(TRIM('Base de Datos'!I321),4)),VALUE(MID(TRIM('Base de Datos'!I321),4,2)),VALUE(LEFT(TRIM('Base de Datos'!I321),2))),IFERROR(DATEVALUE(TRIM('Base de Datos'!I321)),"")))),"")</f>
        <v/>
      </c>
      <c r="AG325" s="74" t="str">
        <f aca="false">IF(ISNUMBER('Base de Datos'!J321),'Base de Datos'!J321,IF(TRIM('Base de Datos'!J321)="","",IFERROR(IF(IFERROR(FIND("@",SUBSTITUTE(TRIM('Base de Datos'!J321),",","@",LEN(TRIM('Base de Datos'!J321))-LEN(SUBSTITUTE(TRIM('Base de Datos'!J321),",","")))),0)&gt;IFERROR(FIND("@",SUBSTITUTE(TRIM('Base de Datos'!J321),".","@",LEN(TRIM('Base de Datos'!J321))-LEN(SUBSTITUTE(TRIM('Base de Datos'!J321),".","")))),0),_xlfn.NUMBERVALUE(SUBSTITUTE(SUBSTITUTE(TRIM('Base de Datos'!J321),".",""),",","."),".",","),_xlfn.NUMBERVALUE(SUBSTITUTE(TRIM('Base de Datos'!J321),",",""),".",",")),"")))</f>
        <v/>
      </c>
      <c r="AH325" s="73" t="str">
        <f aca="false">IF(ISNUMBER(AI325),IF(ISNUMBER('Base de Datos'!Q321),IF('Base de Datos'!Q321&gt;20000,DATE(YEAR('Base de Datos'!Q321),DAY('Base de Datos'!Q321),MONTH('Base de Datos'!Q321)),""),IF(TRIM('Base de Datos'!Q321)="","",IFERROR(DATE(VALUE(RIGHT(TRIM('Base de Datos'!Q321),4)),VALUE(LEFT(TRIM('Base de Datos'!Q321),2)),VALUE(MID(TRIM('Base de Datos'!Q321),4,2))),""))),"")</f>
        <v/>
      </c>
      <c r="AI325" s="74" t="str">
        <f aca="false">IF(ISNUMBER('Base de Datos'!R321),'Base de Datos'!R321,IF(TRIM('Base de Datos'!R321)="","",IFERROR(IF(IFERROR(FIND("@",SUBSTITUTE(TRIM('Base de Datos'!R321),",","@",LEN(TRIM('Base de Datos'!R321))-LEN(SUBSTITUTE(TRIM('Base de Datos'!R321),",","")))),0)&gt;IFERROR(FIND("@",SUBSTITUTE(TRIM('Base de Datos'!R321),".","@",LEN(TRIM('Base de Datos'!R321))-LEN(SUBSTITUTE(TRIM('Base de Datos'!R321),".","")))),0),_xlfn.NUMBERVALUE(SUBSTITUTE(SUBSTITUTE(TRIM('Base de Datos'!R321),".",""),",","."),".",","),_xlfn.NUMBERVALUE(SUBSTITUTE(TRIM('Base de Datos'!R321),",",""),".",",")),"")))</f>
        <v/>
      </c>
      <c r="AJ325" s="73" t="str">
        <f aca="false">IF(ISNUMBER(AK325),IF(ISNUMBER('Base de Datos'!Y321),IF('Base de Datos'!Y321&gt;20000,INT('Base de Datos'!Y321),""),IF(TRIM('Base de Datos'!Y321)="","",IFERROR(DATE(VALUE(RIGHT(TRIM('Base de Datos'!Y321),4)),VALUE(MID(TRIM('Base de Datos'!Y321),4,2)),VALUE(LEFT(TRIM('Base de Datos'!Y321),2))),IFERROR(DATEVALUE(TRIM('Base de Datos'!Y321)),"")))),"")</f>
        <v/>
      </c>
      <c r="AK325" s="74" t="str">
        <f aca="false">IF(ISNUMBER('Base de Datos'!Z321),'Base de Datos'!Z321,IF(TRIM('Base de Datos'!Z321)="","",IFERROR(IF(IFERROR(FIND("@",SUBSTITUTE(TRIM('Base de Datos'!Z321),",","@",LEN(TRIM('Base de Datos'!Z321))-LEN(SUBSTITUTE(TRIM('Base de Datos'!Z321),",","")))),0)&gt;IFERROR(FIND("@",SUBSTITUTE(TRIM('Base de Datos'!Z321),".","@",LEN(TRIM('Base de Datos'!Z321))-LEN(SUBSTITUTE(TRIM('Base de Datos'!Z321),".","")))),0),_xlfn.NUMBERVALUE(SUBSTITUTE(SUBSTITUTE(TRIM('Base de Datos'!Z321),".",""),",","."),".",","),_xlfn.NUMBERVALUE(SUBSTITUTE(TRIM('Base de Datos'!Z321),",",""),".",",")),"")))</f>
        <v/>
      </c>
    </row>
    <row r="326" customFormat="false" ht="13.5" hidden="false" customHeight="false" outlineLevel="0" collapsed="false">
      <c r="A326" s="75" t="n">
        <f aca="false">ROWS(A$13:A326)</f>
        <v>314</v>
      </c>
      <c r="B326" s="73" t="str">
        <f aca="false">IF(B325="","",IFERROR(SMALL($AH$10:$AH$409,COUNTIF($AH$10:$AH$409,"&lt;="&amp;B325)+1),""))</f>
        <v/>
      </c>
      <c r="C326" s="74" t="str">
        <f aca="false">IF(B326="","",INDEX($AI$10:$AI$409,MATCH(B326,$AH$10:$AH$409,0)))</f>
        <v/>
      </c>
      <c r="D326" s="74" t="str">
        <f aca="false">IF(B326="","",IFERROR(INDEX($AK$10:$AK$409,MATCH(B326,$AJ$10:$AJ$409,0)),""))</f>
        <v/>
      </c>
      <c r="E326" s="76" t="str">
        <f aca="false">IF(AND(ISNUMBER(C326),ISNUMBER(C325)),C326/C325-1,"")</f>
        <v/>
      </c>
      <c r="F326" s="76" t="str">
        <f aca="false">IF(AND(ISNUMBER(D326),ISNUMBER(D325)),D326/D325-1,"")</f>
        <v/>
      </c>
      <c r="G326" s="75" t="str">
        <f aca="false">IF(AND(ISNUMBER(E326),ISNUMBER(F326)),1,"")</f>
        <v/>
      </c>
      <c r="H326" s="75" t="str">
        <f aca="false">IF(G326=1,COUNT(G326:G$412),"")</f>
        <v/>
      </c>
      <c r="I326" s="75" t="str">
        <f aca="false">IF(G326=1,IF(H326&lt;='Beta Regresión'!$B$5,1,""),"")</f>
        <v/>
      </c>
      <c r="J326" s="76" t="str">
        <f aca="false">IF(I326=1,E326,"")</f>
        <v/>
      </c>
      <c r="K326" s="76" t="str">
        <f aca="false">IF(I326=1,F326,"")</f>
        <v/>
      </c>
      <c r="L326" s="75" t="str">
        <f aca="false">IF(I326=1,COUNT(I$13:I326),"")</f>
        <v/>
      </c>
      <c r="M326" s="76" t="str">
        <f aca="false">IFERROR(INDEX($J$13:$J$412,MATCH(A326,$L$13:$L$412,0)),"")</f>
        <v/>
      </c>
      <c r="N326" s="76" t="str">
        <f aca="false">IFERROR(INDEX($K$13:$K$412,MATCH(A326,$L$13:$L$412,0)),"")</f>
        <v/>
      </c>
      <c r="O326" s="76" t="e">
        <f aca="false">IF(I326=1,E326,NA())</f>
        <v>#N/A</v>
      </c>
      <c r="P326" s="76" t="e">
        <f aca="false">IF(I326=1,F326,NA())</f>
        <v>#N/A</v>
      </c>
      <c r="R326" s="75" t="n">
        <f aca="false">ROWS(R$13:R326)</f>
        <v>314</v>
      </c>
      <c r="S326" s="73" t="str">
        <f aca="false">IF(S325="","",IFERROR(SMALL($AD$10:$AD$509,COUNTIF($AD$10:$AD$509,"&lt;="&amp;S325)+1),""))</f>
        <v/>
      </c>
      <c r="T326" s="74" t="str">
        <f aca="false">IF(S326="","",INDEX($AE$10:$AE$509,MATCH(S326,$AD$10:$AD$509,0)))</f>
        <v/>
      </c>
      <c r="U326" s="74" t="str">
        <f aca="false">IF(S326="","",IFERROR(INDEX($AG$10:$AG$509,MATCH(S326,$AF$10:$AF$509,0)),""))</f>
        <v/>
      </c>
      <c r="V326" s="76" t="str">
        <f aca="false">IF(AND(ISNUMBER(T326),ISNUMBER(T325)),T326/T325-1,"")</f>
        <v/>
      </c>
      <c r="W326" s="76" t="str">
        <f aca="false">IF(AND(ISNUMBER(U326),ISNUMBER(U325)),U326/U325-1,"")</f>
        <v/>
      </c>
      <c r="X326" s="75" t="str">
        <f aca="false">IF(AND(ISNUMBER(V326),ISNUMBER(W326)),1,"")</f>
        <v/>
      </c>
      <c r="Y326" s="76" t="str">
        <f aca="false">IF(X326=1,V326,"")</f>
        <v/>
      </c>
      <c r="Z326" s="76" t="str">
        <f aca="false">IF(X326=1,W326,"")</f>
        <v/>
      </c>
      <c r="AA326" s="76" t="e">
        <f aca="false">IF(X326=1,V326,NA())</f>
        <v>#N/A</v>
      </c>
      <c r="AB326" s="76" t="e">
        <f aca="false">IF(X326=1,W326,NA())</f>
        <v>#N/A</v>
      </c>
      <c r="AD326" s="73" t="str">
        <f aca="false">IF(ISNUMBER(AE326),IF(ISNUMBER('Base de Datos'!A322),IF('Base de Datos'!A322&gt;20000,DATE(YEAR('Base de Datos'!A322),DAY('Base de Datos'!A322),MONTH('Base de Datos'!A322)),""),IF(TRIM('Base de Datos'!A322)="","",IFERROR(DATE(VALUE(RIGHT(TRIM('Base de Datos'!A322),4)),VALUE(LEFT(TRIM('Base de Datos'!A322),2)),VALUE(MID(TRIM('Base de Datos'!A322),4,2))),""))),"")</f>
        <v/>
      </c>
      <c r="AE326" s="74" t="str">
        <f aca="false">IF(ISNUMBER('Base de Datos'!B322),'Base de Datos'!B322,IF(TRIM('Base de Datos'!B322)="","",IFERROR(IF(IFERROR(FIND("@",SUBSTITUTE(TRIM('Base de Datos'!B322),",","@",LEN(TRIM('Base de Datos'!B322))-LEN(SUBSTITUTE(TRIM('Base de Datos'!B322),",","")))),0)&gt;IFERROR(FIND("@",SUBSTITUTE(TRIM('Base de Datos'!B322),".","@",LEN(TRIM('Base de Datos'!B322))-LEN(SUBSTITUTE(TRIM('Base de Datos'!B322),".","")))),0),_xlfn.NUMBERVALUE(SUBSTITUTE(SUBSTITUTE(TRIM('Base de Datos'!B322),".",""),",","."),".",","),_xlfn.NUMBERVALUE(SUBSTITUTE(TRIM('Base de Datos'!B322),",",""),".",",")),"")))</f>
        <v/>
      </c>
      <c r="AF326" s="73" t="str">
        <f aca="false">IF(ISNUMBER(AG326),IF(ISNUMBER('Base de Datos'!I322),IF('Base de Datos'!I322&gt;20000,INT('Base de Datos'!I322),""),IF(TRIM('Base de Datos'!I322)="","",IFERROR(DATE(VALUE(RIGHT(TRIM('Base de Datos'!I322),4)),VALUE(MID(TRIM('Base de Datos'!I322),4,2)),VALUE(LEFT(TRIM('Base de Datos'!I322),2))),IFERROR(DATEVALUE(TRIM('Base de Datos'!I322)),"")))),"")</f>
        <v/>
      </c>
      <c r="AG326" s="74" t="str">
        <f aca="false">IF(ISNUMBER('Base de Datos'!J322),'Base de Datos'!J322,IF(TRIM('Base de Datos'!J322)="","",IFERROR(IF(IFERROR(FIND("@",SUBSTITUTE(TRIM('Base de Datos'!J322),",","@",LEN(TRIM('Base de Datos'!J322))-LEN(SUBSTITUTE(TRIM('Base de Datos'!J322),",","")))),0)&gt;IFERROR(FIND("@",SUBSTITUTE(TRIM('Base de Datos'!J322),".","@",LEN(TRIM('Base de Datos'!J322))-LEN(SUBSTITUTE(TRIM('Base de Datos'!J322),".","")))),0),_xlfn.NUMBERVALUE(SUBSTITUTE(SUBSTITUTE(TRIM('Base de Datos'!J322),".",""),",","."),".",","),_xlfn.NUMBERVALUE(SUBSTITUTE(TRIM('Base de Datos'!J322),",",""),".",",")),"")))</f>
        <v/>
      </c>
      <c r="AH326" s="73" t="str">
        <f aca="false">IF(ISNUMBER(AI326),IF(ISNUMBER('Base de Datos'!Q322),IF('Base de Datos'!Q322&gt;20000,DATE(YEAR('Base de Datos'!Q322),DAY('Base de Datos'!Q322),MONTH('Base de Datos'!Q322)),""),IF(TRIM('Base de Datos'!Q322)="","",IFERROR(DATE(VALUE(RIGHT(TRIM('Base de Datos'!Q322),4)),VALUE(LEFT(TRIM('Base de Datos'!Q322),2)),VALUE(MID(TRIM('Base de Datos'!Q322),4,2))),""))),"")</f>
        <v/>
      </c>
      <c r="AI326" s="74" t="str">
        <f aca="false">IF(ISNUMBER('Base de Datos'!R322),'Base de Datos'!R322,IF(TRIM('Base de Datos'!R322)="","",IFERROR(IF(IFERROR(FIND("@",SUBSTITUTE(TRIM('Base de Datos'!R322),",","@",LEN(TRIM('Base de Datos'!R322))-LEN(SUBSTITUTE(TRIM('Base de Datos'!R322),",","")))),0)&gt;IFERROR(FIND("@",SUBSTITUTE(TRIM('Base de Datos'!R322),".","@",LEN(TRIM('Base de Datos'!R322))-LEN(SUBSTITUTE(TRIM('Base de Datos'!R322),".","")))),0),_xlfn.NUMBERVALUE(SUBSTITUTE(SUBSTITUTE(TRIM('Base de Datos'!R322),".",""),",","."),".",","),_xlfn.NUMBERVALUE(SUBSTITUTE(TRIM('Base de Datos'!R322),",",""),".",",")),"")))</f>
        <v/>
      </c>
      <c r="AJ326" s="73" t="str">
        <f aca="false">IF(ISNUMBER(AK326),IF(ISNUMBER('Base de Datos'!Y322),IF('Base de Datos'!Y322&gt;20000,INT('Base de Datos'!Y322),""),IF(TRIM('Base de Datos'!Y322)="","",IFERROR(DATE(VALUE(RIGHT(TRIM('Base de Datos'!Y322),4)),VALUE(MID(TRIM('Base de Datos'!Y322),4,2)),VALUE(LEFT(TRIM('Base de Datos'!Y322),2))),IFERROR(DATEVALUE(TRIM('Base de Datos'!Y322)),"")))),"")</f>
        <v/>
      </c>
      <c r="AK326" s="74" t="str">
        <f aca="false">IF(ISNUMBER('Base de Datos'!Z322),'Base de Datos'!Z322,IF(TRIM('Base de Datos'!Z322)="","",IFERROR(IF(IFERROR(FIND("@",SUBSTITUTE(TRIM('Base de Datos'!Z322),",","@",LEN(TRIM('Base de Datos'!Z322))-LEN(SUBSTITUTE(TRIM('Base de Datos'!Z322),",","")))),0)&gt;IFERROR(FIND("@",SUBSTITUTE(TRIM('Base de Datos'!Z322),".","@",LEN(TRIM('Base de Datos'!Z322))-LEN(SUBSTITUTE(TRIM('Base de Datos'!Z322),".","")))),0),_xlfn.NUMBERVALUE(SUBSTITUTE(SUBSTITUTE(TRIM('Base de Datos'!Z322),".",""),",","."),".",","),_xlfn.NUMBERVALUE(SUBSTITUTE(TRIM('Base de Datos'!Z322),",",""),".",",")),"")))</f>
        <v/>
      </c>
    </row>
    <row r="327" customFormat="false" ht="13.5" hidden="false" customHeight="false" outlineLevel="0" collapsed="false">
      <c r="A327" s="75" t="n">
        <f aca="false">ROWS(A$13:A327)</f>
        <v>315</v>
      </c>
      <c r="B327" s="73" t="str">
        <f aca="false">IF(B326="","",IFERROR(SMALL($AH$10:$AH$409,COUNTIF($AH$10:$AH$409,"&lt;="&amp;B326)+1),""))</f>
        <v/>
      </c>
      <c r="C327" s="74" t="str">
        <f aca="false">IF(B327="","",INDEX($AI$10:$AI$409,MATCH(B327,$AH$10:$AH$409,0)))</f>
        <v/>
      </c>
      <c r="D327" s="74" t="str">
        <f aca="false">IF(B327="","",IFERROR(INDEX($AK$10:$AK$409,MATCH(B327,$AJ$10:$AJ$409,0)),""))</f>
        <v/>
      </c>
      <c r="E327" s="76" t="str">
        <f aca="false">IF(AND(ISNUMBER(C327),ISNUMBER(C326)),C327/C326-1,"")</f>
        <v/>
      </c>
      <c r="F327" s="76" t="str">
        <f aca="false">IF(AND(ISNUMBER(D327),ISNUMBER(D326)),D327/D326-1,"")</f>
        <v/>
      </c>
      <c r="G327" s="75" t="str">
        <f aca="false">IF(AND(ISNUMBER(E327),ISNUMBER(F327)),1,"")</f>
        <v/>
      </c>
      <c r="H327" s="75" t="str">
        <f aca="false">IF(G327=1,COUNT(G327:G$412),"")</f>
        <v/>
      </c>
      <c r="I327" s="75" t="str">
        <f aca="false">IF(G327=1,IF(H327&lt;='Beta Regresión'!$B$5,1,""),"")</f>
        <v/>
      </c>
      <c r="J327" s="76" t="str">
        <f aca="false">IF(I327=1,E327,"")</f>
        <v/>
      </c>
      <c r="K327" s="76" t="str">
        <f aca="false">IF(I327=1,F327,"")</f>
        <v/>
      </c>
      <c r="L327" s="75" t="str">
        <f aca="false">IF(I327=1,COUNT(I$13:I327),"")</f>
        <v/>
      </c>
      <c r="M327" s="76" t="str">
        <f aca="false">IFERROR(INDEX($J$13:$J$412,MATCH(A327,$L$13:$L$412,0)),"")</f>
        <v/>
      </c>
      <c r="N327" s="76" t="str">
        <f aca="false">IFERROR(INDEX($K$13:$K$412,MATCH(A327,$L$13:$L$412,0)),"")</f>
        <v/>
      </c>
      <c r="O327" s="76" t="e">
        <f aca="false">IF(I327=1,E327,NA())</f>
        <v>#N/A</v>
      </c>
      <c r="P327" s="76" t="e">
        <f aca="false">IF(I327=1,F327,NA())</f>
        <v>#N/A</v>
      </c>
      <c r="R327" s="75" t="n">
        <f aca="false">ROWS(R$13:R327)</f>
        <v>315</v>
      </c>
      <c r="S327" s="73" t="str">
        <f aca="false">IF(S326="","",IFERROR(SMALL($AD$10:$AD$509,COUNTIF($AD$10:$AD$509,"&lt;="&amp;S326)+1),""))</f>
        <v/>
      </c>
      <c r="T327" s="74" t="str">
        <f aca="false">IF(S327="","",INDEX($AE$10:$AE$509,MATCH(S327,$AD$10:$AD$509,0)))</f>
        <v/>
      </c>
      <c r="U327" s="74" t="str">
        <f aca="false">IF(S327="","",IFERROR(INDEX($AG$10:$AG$509,MATCH(S327,$AF$10:$AF$509,0)),""))</f>
        <v/>
      </c>
      <c r="V327" s="76" t="str">
        <f aca="false">IF(AND(ISNUMBER(T327),ISNUMBER(T326)),T327/T326-1,"")</f>
        <v/>
      </c>
      <c r="W327" s="76" t="str">
        <f aca="false">IF(AND(ISNUMBER(U327),ISNUMBER(U326)),U327/U326-1,"")</f>
        <v/>
      </c>
      <c r="X327" s="75" t="str">
        <f aca="false">IF(AND(ISNUMBER(V327),ISNUMBER(W327)),1,"")</f>
        <v/>
      </c>
      <c r="Y327" s="76" t="str">
        <f aca="false">IF(X327=1,V327,"")</f>
        <v/>
      </c>
      <c r="Z327" s="76" t="str">
        <f aca="false">IF(X327=1,W327,"")</f>
        <v/>
      </c>
      <c r="AA327" s="76" t="e">
        <f aca="false">IF(X327=1,V327,NA())</f>
        <v>#N/A</v>
      </c>
      <c r="AB327" s="76" t="e">
        <f aca="false">IF(X327=1,W327,NA())</f>
        <v>#N/A</v>
      </c>
      <c r="AD327" s="73" t="str">
        <f aca="false">IF(ISNUMBER(AE327),IF(ISNUMBER('Base de Datos'!A323),IF('Base de Datos'!A323&gt;20000,DATE(YEAR('Base de Datos'!A323),DAY('Base de Datos'!A323),MONTH('Base de Datos'!A323)),""),IF(TRIM('Base de Datos'!A323)="","",IFERROR(DATE(VALUE(RIGHT(TRIM('Base de Datos'!A323),4)),VALUE(LEFT(TRIM('Base de Datos'!A323),2)),VALUE(MID(TRIM('Base de Datos'!A323),4,2))),""))),"")</f>
        <v/>
      </c>
      <c r="AE327" s="74" t="str">
        <f aca="false">IF(ISNUMBER('Base de Datos'!B323),'Base de Datos'!B323,IF(TRIM('Base de Datos'!B323)="","",IFERROR(IF(IFERROR(FIND("@",SUBSTITUTE(TRIM('Base de Datos'!B323),",","@",LEN(TRIM('Base de Datos'!B323))-LEN(SUBSTITUTE(TRIM('Base de Datos'!B323),",","")))),0)&gt;IFERROR(FIND("@",SUBSTITUTE(TRIM('Base de Datos'!B323),".","@",LEN(TRIM('Base de Datos'!B323))-LEN(SUBSTITUTE(TRIM('Base de Datos'!B323),".","")))),0),_xlfn.NUMBERVALUE(SUBSTITUTE(SUBSTITUTE(TRIM('Base de Datos'!B323),".",""),",","."),".",","),_xlfn.NUMBERVALUE(SUBSTITUTE(TRIM('Base de Datos'!B323),",",""),".",",")),"")))</f>
        <v/>
      </c>
      <c r="AF327" s="73" t="str">
        <f aca="false">IF(ISNUMBER(AG327),IF(ISNUMBER('Base de Datos'!I323),IF('Base de Datos'!I323&gt;20000,INT('Base de Datos'!I323),""),IF(TRIM('Base de Datos'!I323)="","",IFERROR(DATE(VALUE(RIGHT(TRIM('Base de Datos'!I323),4)),VALUE(MID(TRIM('Base de Datos'!I323),4,2)),VALUE(LEFT(TRIM('Base de Datos'!I323),2))),IFERROR(DATEVALUE(TRIM('Base de Datos'!I323)),"")))),"")</f>
        <v/>
      </c>
      <c r="AG327" s="74" t="str">
        <f aca="false">IF(ISNUMBER('Base de Datos'!J323),'Base de Datos'!J323,IF(TRIM('Base de Datos'!J323)="","",IFERROR(IF(IFERROR(FIND("@",SUBSTITUTE(TRIM('Base de Datos'!J323),",","@",LEN(TRIM('Base de Datos'!J323))-LEN(SUBSTITUTE(TRIM('Base de Datos'!J323),",","")))),0)&gt;IFERROR(FIND("@",SUBSTITUTE(TRIM('Base de Datos'!J323),".","@",LEN(TRIM('Base de Datos'!J323))-LEN(SUBSTITUTE(TRIM('Base de Datos'!J323),".","")))),0),_xlfn.NUMBERVALUE(SUBSTITUTE(SUBSTITUTE(TRIM('Base de Datos'!J323),".",""),",","."),".",","),_xlfn.NUMBERVALUE(SUBSTITUTE(TRIM('Base de Datos'!J323),",",""),".",",")),"")))</f>
        <v/>
      </c>
      <c r="AH327" s="73" t="str">
        <f aca="false">IF(ISNUMBER(AI327),IF(ISNUMBER('Base de Datos'!Q323),IF('Base de Datos'!Q323&gt;20000,DATE(YEAR('Base de Datos'!Q323),DAY('Base de Datos'!Q323),MONTH('Base de Datos'!Q323)),""),IF(TRIM('Base de Datos'!Q323)="","",IFERROR(DATE(VALUE(RIGHT(TRIM('Base de Datos'!Q323),4)),VALUE(LEFT(TRIM('Base de Datos'!Q323),2)),VALUE(MID(TRIM('Base de Datos'!Q323),4,2))),""))),"")</f>
        <v/>
      </c>
      <c r="AI327" s="74" t="str">
        <f aca="false">IF(ISNUMBER('Base de Datos'!R323),'Base de Datos'!R323,IF(TRIM('Base de Datos'!R323)="","",IFERROR(IF(IFERROR(FIND("@",SUBSTITUTE(TRIM('Base de Datos'!R323),",","@",LEN(TRIM('Base de Datos'!R323))-LEN(SUBSTITUTE(TRIM('Base de Datos'!R323),",","")))),0)&gt;IFERROR(FIND("@",SUBSTITUTE(TRIM('Base de Datos'!R323),".","@",LEN(TRIM('Base de Datos'!R323))-LEN(SUBSTITUTE(TRIM('Base de Datos'!R323),".","")))),0),_xlfn.NUMBERVALUE(SUBSTITUTE(SUBSTITUTE(TRIM('Base de Datos'!R323),".",""),",","."),".",","),_xlfn.NUMBERVALUE(SUBSTITUTE(TRIM('Base de Datos'!R323),",",""),".",",")),"")))</f>
        <v/>
      </c>
      <c r="AJ327" s="73" t="str">
        <f aca="false">IF(ISNUMBER(AK327),IF(ISNUMBER('Base de Datos'!Y323),IF('Base de Datos'!Y323&gt;20000,INT('Base de Datos'!Y323),""),IF(TRIM('Base de Datos'!Y323)="","",IFERROR(DATE(VALUE(RIGHT(TRIM('Base de Datos'!Y323),4)),VALUE(MID(TRIM('Base de Datos'!Y323),4,2)),VALUE(LEFT(TRIM('Base de Datos'!Y323),2))),IFERROR(DATEVALUE(TRIM('Base de Datos'!Y323)),"")))),"")</f>
        <v/>
      </c>
      <c r="AK327" s="74" t="str">
        <f aca="false">IF(ISNUMBER('Base de Datos'!Z323),'Base de Datos'!Z323,IF(TRIM('Base de Datos'!Z323)="","",IFERROR(IF(IFERROR(FIND("@",SUBSTITUTE(TRIM('Base de Datos'!Z323),",","@",LEN(TRIM('Base de Datos'!Z323))-LEN(SUBSTITUTE(TRIM('Base de Datos'!Z323),",","")))),0)&gt;IFERROR(FIND("@",SUBSTITUTE(TRIM('Base de Datos'!Z323),".","@",LEN(TRIM('Base de Datos'!Z323))-LEN(SUBSTITUTE(TRIM('Base de Datos'!Z323),".","")))),0),_xlfn.NUMBERVALUE(SUBSTITUTE(SUBSTITUTE(TRIM('Base de Datos'!Z323),".",""),",","."),".",","),_xlfn.NUMBERVALUE(SUBSTITUTE(TRIM('Base de Datos'!Z323),",",""),".",",")),"")))</f>
        <v/>
      </c>
    </row>
    <row r="328" customFormat="false" ht="13.5" hidden="false" customHeight="false" outlineLevel="0" collapsed="false">
      <c r="A328" s="75" t="n">
        <f aca="false">ROWS(A$13:A328)</f>
        <v>316</v>
      </c>
      <c r="B328" s="73" t="str">
        <f aca="false">IF(B327="","",IFERROR(SMALL($AH$10:$AH$409,COUNTIF($AH$10:$AH$409,"&lt;="&amp;B327)+1),""))</f>
        <v/>
      </c>
      <c r="C328" s="74" t="str">
        <f aca="false">IF(B328="","",INDEX($AI$10:$AI$409,MATCH(B328,$AH$10:$AH$409,0)))</f>
        <v/>
      </c>
      <c r="D328" s="74" t="str">
        <f aca="false">IF(B328="","",IFERROR(INDEX($AK$10:$AK$409,MATCH(B328,$AJ$10:$AJ$409,0)),""))</f>
        <v/>
      </c>
      <c r="E328" s="76" t="str">
        <f aca="false">IF(AND(ISNUMBER(C328),ISNUMBER(C327)),C328/C327-1,"")</f>
        <v/>
      </c>
      <c r="F328" s="76" t="str">
        <f aca="false">IF(AND(ISNUMBER(D328),ISNUMBER(D327)),D328/D327-1,"")</f>
        <v/>
      </c>
      <c r="G328" s="75" t="str">
        <f aca="false">IF(AND(ISNUMBER(E328),ISNUMBER(F328)),1,"")</f>
        <v/>
      </c>
      <c r="H328" s="75" t="str">
        <f aca="false">IF(G328=1,COUNT(G328:G$412),"")</f>
        <v/>
      </c>
      <c r="I328" s="75" t="str">
        <f aca="false">IF(G328=1,IF(H328&lt;='Beta Regresión'!$B$5,1,""),"")</f>
        <v/>
      </c>
      <c r="J328" s="76" t="str">
        <f aca="false">IF(I328=1,E328,"")</f>
        <v/>
      </c>
      <c r="K328" s="76" t="str">
        <f aca="false">IF(I328=1,F328,"")</f>
        <v/>
      </c>
      <c r="L328" s="75" t="str">
        <f aca="false">IF(I328=1,COUNT(I$13:I328),"")</f>
        <v/>
      </c>
      <c r="M328" s="76" t="str">
        <f aca="false">IFERROR(INDEX($J$13:$J$412,MATCH(A328,$L$13:$L$412,0)),"")</f>
        <v/>
      </c>
      <c r="N328" s="76" t="str">
        <f aca="false">IFERROR(INDEX($K$13:$K$412,MATCH(A328,$L$13:$L$412,0)),"")</f>
        <v/>
      </c>
      <c r="O328" s="76" t="e">
        <f aca="false">IF(I328=1,E328,NA())</f>
        <v>#N/A</v>
      </c>
      <c r="P328" s="76" t="e">
        <f aca="false">IF(I328=1,F328,NA())</f>
        <v>#N/A</v>
      </c>
      <c r="R328" s="75" t="n">
        <f aca="false">ROWS(R$13:R328)</f>
        <v>316</v>
      </c>
      <c r="S328" s="73" t="str">
        <f aca="false">IF(S327="","",IFERROR(SMALL($AD$10:$AD$509,COUNTIF($AD$10:$AD$509,"&lt;="&amp;S327)+1),""))</f>
        <v/>
      </c>
      <c r="T328" s="74" t="str">
        <f aca="false">IF(S328="","",INDEX($AE$10:$AE$509,MATCH(S328,$AD$10:$AD$509,0)))</f>
        <v/>
      </c>
      <c r="U328" s="74" t="str">
        <f aca="false">IF(S328="","",IFERROR(INDEX($AG$10:$AG$509,MATCH(S328,$AF$10:$AF$509,0)),""))</f>
        <v/>
      </c>
      <c r="V328" s="76" t="str">
        <f aca="false">IF(AND(ISNUMBER(T328),ISNUMBER(T327)),T328/T327-1,"")</f>
        <v/>
      </c>
      <c r="W328" s="76" t="str">
        <f aca="false">IF(AND(ISNUMBER(U328),ISNUMBER(U327)),U328/U327-1,"")</f>
        <v/>
      </c>
      <c r="X328" s="75" t="str">
        <f aca="false">IF(AND(ISNUMBER(V328),ISNUMBER(W328)),1,"")</f>
        <v/>
      </c>
      <c r="Y328" s="76" t="str">
        <f aca="false">IF(X328=1,V328,"")</f>
        <v/>
      </c>
      <c r="Z328" s="76" t="str">
        <f aca="false">IF(X328=1,W328,"")</f>
        <v/>
      </c>
      <c r="AA328" s="76" t="e">
        <f aca="false">IF(X328=1,V328,NA())</f>
        <v>#N/A</v>
      </c>
      <c r="AB328" s="76" t="e">
        <f aca="false">IF(X328=1,W328,NA())</f>
        <v>#N/A</v>
      </c>
      <c r="AD328" s="73" t="str">
        <f aca="false">IF(ISNUMBER(AE328),IF(ISNUMBER('Base de Datos'!A324),IF('Base de Datos'!A324&gt;20000,DATE(YEAR('Base de Datos'!A324),DAY('Base de Datos'!A324),MONTH('Base de Datos'!A324)),""),IF(TRIM('Base de Datos'!A324)="","",IFERROR(DATE(VALUE(RIGHT(TRIM('Base de Datos'!A324),4)),VALUE(LEFT(TRIM('Base de Datos'!A324),2)),VALUE(MID(TRIM('Base de Datos'!A324),4,2))),""))),"")</f>
        <v/>
      </c>
      <c r="AE328" s="74" t="str">
        <f aca="false">IF(ISNUMBER('Base de Datos'!B324),'Base de Datos'!B324,IF(TRIM('Base de Datos'!B324)="","",IFERROR(IF(IFERROR(FIND("@",SUBSTITUTE(TRIM('Base de Datos'!B324),",","@",LEN(TRIM('Base de Datos'!B324))-LEN(SUBSTITUTE(TRIM('Base de Datos'!B324),",","")))),0)&gt;IFERROR(FIND("@",SUBSTITUTE(TRIM('Base de Datos'!B324),".","@",LEN(TRIM('Base de Datos'!B324))-LEN(SUBSTITUTE(TRIM('Base de Datos'!B324),".","")))),0),_xlfn.NUMBERVALUE(SUBSTITUTE(SUBSTITUTE(TRIM('Base de Datos'!B324),".",""),",","."),".",","),_xlfn.NUMBERVALUE(SUBSTITUTE(TRIM('Base de Datos'!B324),",",""),".",",")),"")))</f>
        <v/>
      </c>
      <c r="AF328" s="73" t="str">
        <f aca="false">IF(ISNUMBER(AG328),IF(ISNUMBER('Base de Datos'!I324),IF('Base de Datos'!I324&gt;20000,INT('Base de Datos'!I324),""),IF(TRIM('Base de Datos'!I324)="","",IFERROR(DATE(VALUE(RIGHT(TRIM('Base de Datos'!I324),4)),VALUE(MID(TRIM('Base de Datos'!I324),4,2)),VALUE(LEFT(TRIM('Base de Datos'!I324),2))),IFERROR(DATEVALUE(TRIM('Base de Datos'!I324)),"")))),"")</f>
        <v/>
      </c>
      <c r="AG328" s="74" t="str">
        <f aca="false">IF(ISNUMBER('Base de Datos'!J324),'Base de Datos'!J324,IF(TRIM('Base de Datos'!J324)="","",IFERROR(IF(IFERROR(FIND("@",SUBSTITUTE(TRIM('Base de Datos'!J324),",","@",LEN(TRIM('Base de Datos'!J324))-LEN(SUBSTITUTE(TRIM('Base de Datos'!J324),",","")))),0)&gt;IFERROR(FIND("@",SUBSTITUTE(TRIM('Base de Datos'!J324),".","@",LEN(TRIM('Base de Datos'!J324))-LEN(SUBSTITUTE(TRIM('Base de Datos'!J324),".","")))),0),_xlfn.NUMBERVALUE(SUBSTITUTE(SUBSTITUTE(TRIM('Base de Datos'!J324),".",""),",","."),".",","),_xlfn.NUMBERVALUE(SUBSTITUTE(TRIM('Base de Datos'!J324),",",""),".",",")),"")))</f>
        <v/>
      </c>
      <c r="AH328" s="73" t="str">
        <f aca="false">IF(ISNUMBER(AI328),IF(ISNUMBER('Base de Datos'!Q324),IF('Base de Datos'!Q324&gt;20000,DATE(YEAR('Base de Datos'!Q324),DAY('Base de Datos'!Q324),MONTH('Base de Datos'!Q324)),""),IF(TRIM('Base de Datos'!Q324)="","",IFERROR(DATE(VALUE(RIGHT(TRIM('Base de Datos'!Q324),4)),VALUE(LEFT(TRIM('Base de Datos'!Q324),2)),VALUE(MID(TRIM('Base de Datos'!Q324),4,2))),""))),"")</f>
        <v/>
      </c>
      <c r="AI328" s="74" t="str">
        <f aca="false">IF(ISNUMBER('Base de Datos'!R324),'Base de Datos'!R324,IF(TRIM('Base de Datos'!R324)="","",IFERROR(IF(IFERROR(FIND("@",SUBSTITUTE(TRIM('Base de Datos'!R324),",","@",LEN(TRIM('Base de Datos'!R324))-LEN(SUBSTITUTE(TRIM('Base de Datos'!R324),",","")))),0)&gt;IFERROR(FIND("@",SUBSTITUTE(TRIM('Base de Datos'!R324),".","@",LEN(TRIM('Base de Datos'!R324))-LEN(SUBSTITUTE(TRIM('Base de Datos'!R324),".","")))),0),_xlfn.NUMBERVALUE(SUBSTITUTE(SUBSTITUTE(TRIM('Base de Datos'!R324),".",""),",","."),".",","),_xlfn.NUMBERVALUE(SUBSTITUTE(TRIM('Base de Datos'!R324),",",""),".",",")),"")))</f>
        <v/>
      </c>
      <c r="AJ328" s="73" t="str">
        <f aca="false">IF(ISNUMBER(AK328),IF(ISNUMBER('Base de Datos'!Y324),IF('Base de Datos'!Y324&gt;20000,INT('Base de Datos'!Y324),""),IF(TRIM('Base de Datos'!Y324)="","",IFERROR(DATE(VALUE(RIGHT(TRIM('Base de Datos'!Y324),4)),VALUE(MID(TRIM('Base de Datos'!Y324),4,2)),VALUE(LEFT(TRIM('Base de Datos'!Y324),2))),IFERROR(DATEVALUE(TRIM('Base de Datos'!Y324)),"")))),"")</f>
        <v/>
      </c>
      <c r="AK328" s="74" t="str">
        <f aca="false">IF(ISNUMBER('Base de Datos'!Z324),'Base de Datos'!Z324,IF(TRIM('Base de Datos'!Z324)="","",IFERROR(IF(IFERROR(FIND("@",SUBSTITUTE(TRIM('Base de Datos'!Z324),",","@",LEN(TRIM('Base de Datos'!Z324))-LEN(SUBSTITUTE(TRIM('Base de Datos'!Z324),",","")))),0)&gt;IFERROR(FIND("@",SUBSTITUTE(TRIM('Base de Datos'!Z324),".","@",LEN(TRIM('Base de Datos'!Z324))-LEN(SUBSTITUTE(TRIM('Base de Datos'!Z324),".","")))),0),_xlfn.NUMBERVALUE(SUBSTITUTE(SUBSTITUTE(TRIM('Base de Datos'!Z324),".",""),",","."),".",","),_xlfn.NUMBERVALUE(SUBSTITUTE(TRIM('Base de Datos'!Z324),",",""),".",",")),"")))</f>
        <v/>
      </c>
    </row>
    <row r="329" customFormat="false" ht="13.5" hidden="false" customHeight="false" outlineLevel="0" collapsed="false">
      <c r="A329" s="75" t="n">
        <f aca="false">ROWS(A$13:A329)</f>
        <v>317</v>
      </c>
      <c r="B329" s="73" t="str">
        <f aca="false">IF(B328="","",IFERROR(SMALL($AH$10:$AH$409,COUNTIF($AH$10:$AH$409,"&lt;="&amp;B328)+1),""))</f>
        <v/>
      </c>
      <c r="C329" s="74" t="str">
        <f aca="false">IF(B329="","",INDEX($AI$10:$AI$409,MATCH(B329,$AH$10:$AH$409,0)))</f>
        <v/>
      </c>
      <c r="D329" s="74" t="str">
        <f aca="false">IF(B329="","",IFERROR(INDEX($AK$10:$AK$409,MATCH(B329,$AJ$10:$AJ$409,0)),""))</f>
        <v/>
      </c>
      <c r="E329" s="76" t="str">
        <f aca="false">IF(AND(ISNUMBER(C329),ISNUMBER(C328)),C329/C328-1,"")</f>
        <v/>
      </c>
      <c r="F329" s="76" t="str">
        <f aca="false">IF(AND(ISNUMBER(D329),ISNUMBER(D328)),D329/D328-1,"")</f>
        <v/>
      </c>
      <c r="G329" s="75" t="str">
        <f aca="false">IF(AND(ISNUMBER(E329),ISNUMBER(F329)),1,"")</f>
        <v/>
      </c>
      <c r="H329" s="75" t="str">
        <f aca="false">IF(G329=1,COUNT(G329:G$412),"")</f>
        <v/>
      </c>
      <c r="I329" s="75" t="str">
        <f aca="false">IF(G329=1,IF(H329&lt;='Beta Regresión'!$B$5,1,""),"")</f>
        <v/>
      </c>
      <c r="J329" s="76" t="str">
        <f aca="false">IF(I329=1,E329,"")</f>
        <v/>
      </c>
      <c r="K329" s="76" t="str">
        <f aca="false">IF(I329=1,F329,"")</f>
        <v/>
      </c>
      <c r="L329" s="75" t="str">
        <f aca="false">IF(I329=1,COUNT(I$13:I329),"")</f>
        <v/>
      </c>
      <c r="M329" s="76" t="str">
        <f aca="false">IFERROR(INDEX($J$13:$J$412,MATCH(A329,$L$13:$L$412,0)),"")</f>
        <v/>
      </c>
      <c r="N329" s="76" t="str">
        <f aca="false">IFERROR(INDEX($K$13:$K$412,MATCH(A329,$L$13:$L$412,0)),"")</f>
        <v/>
      </c>
      <c r="O329" s="76" t="e">
        <f aca="false">IF(I329=1,E329,NA())</f>
        <v>#N/A</v>
      </c>
      <c r="P329" s="76" t="e">
        <f aca="false">IF(I329=1,F329,NA())</f>
        <v>#N/A</v>
      </c>
      <c r="R329" s="75" t="n">
        <f aca="false">ROWS(R$13:R329)</f>
        <v>317</v>
      </c>
      <c r="S329" s="73" t="str">
        <f aca="false">IF(S328="","",IFERROR(SMALL($AD$10:$AD$509,COUNTIF($AD$10:$AD$509,"&lt;="&amp;S328)+1),""))</f>
        <v/>
      </c>
      <c r="T329" s="74" t="str">
        <f aca="false">IF(S329="","",INDEX($AE$10:$AE$509,MATCH(S329,$AD$10:$AD$509,0)))</f>
        <v/>
      </c>
      <c r="U329" s="74" t="str">
        <f aca="false">IF(S329="","",IFERROR(INDEX($AG$10:$AG$509,MATCH(S329,$AF$10:$AF$509,0)),""))</f>
        <v/>
      </c>
      <c r="V329" s="76" t="str">
        <f aca="false">IF(AND(ISNUMBER(T329),ISNUMBER(T328)),T329/T328-1,"")</f>
        <v/>
      </c>
      <c r="W329" s="76" t="str">
        <f aca="false">IF(AND(ISNUMBER(U329),ISNUMBER(U328)),U329/U328-1,"")</f>
        <v/>
      </c>
      <c r="X329" s="75" t="str">
        <f aca="false">IF(AND(ISNUMBER(V329),ISNUMBER(W329)),1,"")</f>
        <v/>
      </c>
      <c r="Y329" s="76" t="str">
        <f aca="false">IF(X329=1,V329,"")</f>
        <v/>
      </c>
      <c r="Z329" s="76" t="str">
        <f aca="false">IF(X329=1,W329,"")</f>
        <v/>
      </c>
      <c r="AA329" s="76" t="e">
        <f aca="false">IF(X329=1,V329,NA())</f>
        <v>#N/A</v>
      </c>
      <c r="AB329" s="76" t="e">
        <f aca="false">IF(X329=1,W329,NA())</f>
        <v>#N/A</v>
      </c>
      <c r="AD329" s="73" t="str">
        <f aca="false">IF(ISNUMBER(AE329),IF(ISNUMBER('Base de Datos'!A325),IF('Base de Datos'!A325&gt;20000,DATE(YEAR('Base de Datos'!A325),DAY('Base de Datos'!A325),MONTH('Base de Datos'!A325)),""),IF(TRIM('Base de Datos'!A325)="","",IFERROR(DATE(VALUE(RIGHT(TRIM('Base de Datos'!A325),4)),VALUE(LEFT(TRIM('Base de Datos'!A325),2)),VALUE(MID(TRIM('Base de Datos'!A325),4,2))),""))),"")</f>
        <v/>
      </c>
      <c r="AE329" s="74" t="str">
        <f aca="false">IF(ISNUMBER('Base de Datos'!B325),'Base de Datos'!B325,IF(TRIM('Base de Datos'!B325)="","",IFERROR(IF(IFERROR(FIND("@",SUBSTITUTE(TRIM('Base de Datos'!B325),",","@",LEN(TRIM('Base de Datos'!B325))-LEN(SUBSTITUTE(TRIM('Base de Datos'!B325),",","")))),0)&gt;IFERROR(FIND("@",SUBSTITUTE(TRIM('Base de Datos'!B325),".","@",LEN(TRIM('Base de Datos'!B325))-LEN(SUBSTITUTE(TRIM('Base de Datos'!B325),".","")))),0),_xlfn.NUMBERVALUE(SUBSTITUTE(SUBSTITUTE(TRIM('Base de Datos'!B325),".",""),",","."),".",","),_xlfn.NUMBERVALUE(SUBSTITUTE(TRIM('Base de Datos'!B325),",",""),".",",")),"")))</f>
        <v/>
      </c>
      <c r="AF329" s="73" t="str">
        <f aca="false">IF(ISNUMBER(AG329),IF(ISNUMBER('Base de Datos'!I325),IF('Base de Datos'!I325&gt;20000,INT('Base de Datos'!I325),""),IF(TRIM('Base de Datos'!I325)="","",IFERROR(DATE(VALUE(RIGHT(TRIM('Base de Datos'!I325),4)),VALUE(MID(TRIM('Base de Datos'!I325),4,2)),VALUE(LEFT(TRIM('Base de Datos'!I325),2))),IFERROR(DATEVALUE(TRIM('Base de Datos'!I325)),"")))),"")</f>
        <v/>
      </c>
      <c r="AG329" s="74" t="str">
        <f aca="false">IF(ISNUMBER('Base de Datos'!J325),'Base de Datos'!J325,IF(TRIM('Base de Datos'!J325)="","",IFERROR(IF(IFERROR(FIND("@",SUBSTITUTE(TRIM('Base de Datos'!J325),",","@",LEN(TRIM('Base de Datos'!J325))-LEN(SUBSTITUTE(TRIM('Base de Datos'!J325),",","")))),0)&gt;IFERROR(FIND("@",SUBSTITUTE(TRIM('Base de Datos'!J325),".","@",LEN(TRIM('Base de Datos'!J325))-LEN(SUBSTITUTE(TRIM('Base de Datos'!J325),".","")))),0),_xlfn.NUMBERVALUE(SUBSTITUTE(SUBSTITUTE(TRIM('Base de Datos'!J325),".",""),",","."),".",","),_xlfn.NUMBERVALUE(SUBSTITUTE(TRIM('Base de Datos'!J325),",",""),".",",")),"")))</f>
        <v/>
      </c>
      <c r="AH329" s="73" t="str">
        <f aca="false">IF(ISNUMBER(AI329),IF(ISNUMBER('Base de Datos'!Q325),IF('Base de Datos'!Q325&gt;20000,DATE(YEAR('Base de Datos'!Q325),DAY('Base de Datos'!Q325),MONTH('Base de Datos'!Q325)),""),IF(TRIM('Base de Datos'!Q325)="","",IFERROR(DATE(VALUE(RIGHT(TRIM('Base de Datos'!Q325),4)),VALUE(LEFT(TRIM('Base de Datos'!Q325),2)),VALUE(MID(TRIM('Base de Datos'!Q325),4,2))),""))),"")</f>
        <v/>
      </c>
      <c r="AI329" s="74" t="str">
        <f aca="false">IF(ISNUMBER('Base de Datos'!R325),'Base de Datos'!R325,IF(TRIM('Base de Datos'!R325)="","",IFERROR(IF(IFERROR(FIND("@",SUBSTITUTE(TRIM('Base de Datos'!R325),",","@",LEN(TRIM('Base de Datos'!R325))-LEN(SUBSTITUTE(TRIM('Base de Datos'!R325),",","")))),0)&gt;IFERROR(FIND("@",SUBSTITUTE(TRIM('Base de Datos'!R325),".","@",LEN(TRIM('Base de Datos'!R325))-LEN(SUBSTITUTE(TRIM('Base de Datos'!R325),".","")))),0),_xlfn.NUMBERVALUE(SUBSTITUTE(SUBSTITUTE(TRIM('Base de Datos'!R325),".",""),",","."),".",","),_xlfn.NUMBERVALUE(SUBSTITUTE(TRIM('Base de Datos'!R325),",",""),".",",")),"")))</f>
        <v/>
      </c>
      <c r="AJ329" s="73" t="str">
        <f aca="false">IF(ISNUMBER(AK329),IF(ISNUMBER('Base de Datos'!Y325),IF('Base de Datos'!Y325&gt;20000,INT('Base de Datos'!Y325),""),IF(TRIM('Base de Datos'!Y325)="","",IFERROR(DATE(VALUE(RIGHT(TRIM('Base de Datos'!Y325),4)),VALUE(MID(TRIM('Base de Datos'!Y325),4,2)),VALUE(LEFT(TRIM('Base de Datos'!Y325),2))),IFERROR(DATEVALUE(TRIM('Base de Datos'!Y325)),"")))),"")</f>
        <v/>
      </c>
      <c r="AK329" s="74" t="str">
        <f aca="false">IF(ISNUMBER('Base de Datos'!Z325),'Base de Datos'!Z325,IF(TRIM('Base de Datos'!Z325)="","",IFERROR(IF(IFERROR(FIND("@",SUBSTITUTE(TRIM('Base de Datos'!Z325),",","@",LEN(TRIM('Base de Datos'!Z325))-LEN(SUBSTITUTE(TRIM('Base de Datos'!Z325),",","")))),0)&gt;IFERROR(FIND("@",SUBSTITUTE(TRIM('Base de Datos'!Z325),".","@",LEN(TRIM('Base de Datos'!Z325))-LEN(SUBSTITUTE(TRIM('Base de Datos'!Z325),".","")))),0),_xlfn.NUMBERVALUE(SUBSTITUTE(SUBSTITUTE(TRIM('Base de Datos'!Z325),".",""),",","."),".",","),_xlfn.NUMBERVALUE(SUBSTITUTE(TRIM('Base de Datos'!Z325),",",""),".",",")),"")))</f>
        <v/>
      </c>
    </row>
    <row r="330" customFormat="false" ht="13.5" hidden="false" customHeight="false" outlineLevel="0" collapsed="false">
      <c r="A330" s="75" t="n">
        <f aca="false">ROWS(A$13:A330)</f>
        <v>318</v>
      </c>
      <c r="B330" s="73" t="str">
        <f aca="false">IF(B329="","",IFERROR(SMALL($AH$10:$AH$409,COUNTIF($AH$10:$AH$409,"&lt;="&amp;B329)+1),""))</f>
        <v/>
      </c>
      <c r="C330" s="74" t="str">
        <f aca="false">IF(B330="","",INDEX($AI$10:$AI$409,MATCH(B330,$AH$10:$AH$409,0)))</f>
        <v/>
      </c>
      <c r="D330" s="74" t="str">
        <f aca="false">IF(B330="","",IFERROR(INDEX($AK$10:$AK$409,MATCH(B330,$AJ$10:$AJ$409,0)),""))</f>
        <v/>
      </c>
      <c r="E330" s="76" t="str">
        <f aca="false">IF(AND(ISNUMBER(C330),ISNUMBER(C329)),C330/C329-1,"")</f>
        <v/>
      </c>
      <c r="F330" s="76" t="str">
        <f aca="false">IF(AND(ISNUMBER(D330),ISNUMBER(D329)),D330/D329-1,"")</f>
        <v/>
      </c>
      <c r="G330" s="75" t="str">
        <f aca="false">IF(AND(ISNUMBER(E330),ISNUMBER(F330)),1,"")</f>
        <v/>
      </c>
      <c r="H330" s="75" t="str">
        <f aca="false">IF(G330=1,COUNT(G330:G$412),"")</f>
        <v/>
      </c>
      <c r="I330" s="75" t="str">
        <f aca="false">IF(G330=1,IF(H330&lt;='Beta Regresión'!$B$5,1,""),"")</f>
        <v/>
      </c>
      <c r="J330" s="76" t="str">
        <f aca="false">IF(I330=1,E330,"")</f>
        <v/>
      </c>
      <c r="K330" s="76" t="str">
        <f aca="false">IF(I330=1,F330,"")</f>
        <v/>
      </c>
      <c r="L330" s="75" t="str">
        <f aca="false">IF(I330=1,COUNT(I$13:I330),"")</f>
        <v/>
      </c>
      <c r="M330" s="76" t="str">
        <f aca="false">IFERROR(INDEX($J$13:$J$412,MATCH(A330,$L$13:$L$412,0)),"")</f>
        <v/>
      </c>
      <c r="N330" s="76" t="str">
        <f aca="false">IFERROR(INDEX($K$13:$K$412,MATCH(A330,$L$13:$L$412,0)),"")</f>
        <v/>
      </c>
      <c r="O330" s="76" t="e">
        <f aca="false">IF(I330=1,E330,NA())</f>
        <v>#N/A</v>
      </c>
      <c r="P330" s="76" t="e">
        <f aca="false">IF(I330=1,F330,NA())</f>
        <v>#N/A</v>
      </c>
      <c r="R330" s="75" t="n">
        <f aca="false">ROWS(R$13:R330)</f>
        <v>318</v>
      </c>
      <c r="S330" s="73" t="str">
        <f aca="false">IF(S329="","",IFERROR(SMALL($AD$10:$AD$509,COUNTIF($AD$10:$AD$509,"&lt;="&amp;S329)+1),""))</f>
        <v/>
      </c>
      <c r="T330" s="74" t="str">
        <f aca="false">IF(S330="","",INDEX($AE$10:$AE$509,MATCH(S330,$AD$10:$AD$509,0)))</f>
        <v/>
      </c>
      <c r="U330" s="74" t="str">
        <f aca="false">IF(S330="","",IFERROR(INDEX($AG$10:$AG$509,MATCH(S330,$AF$10:$AF$509,0)),""))</f>
        <v/>
      </c>
      <c r="V330" s="76" t="str">
        <f aca="false">IF(AND(ISNUMBER(T330),ISNUMBER(T329)),T330/T329-1,"")</f>
        <v/>
      </c>
      <c r="W330" s="76" t="str">
        <f aca="false">IF(AND(ISNUMBER(U330),ISNUMBER(U329)),U330/U329-1,"")</f>
        <v/>
      </c>
      <c r="X330" s="75" t="str">
        <f aca="false">IF(AND(ISNUMBER(V330),ISNUMBER(W330)),1,"")</f>
        <v/>
      </c>
      <c r="Y330" s="76" t="str">
        <f aca="false">IF(X330=1,V330,"")</f>
        <v/>
      </c>
      <c r="Z330" s="76" t="str">
        <f aca="false">IF(X330=1,W330,"")</f>
        <v/>
      </c>
      <c r="AA330" s="76" t="e">
        <f aca="false">IF(X330=1,V330,NA())</f>
        <v>#N/A</v>
      </c>
      <c r="AB330" s="76" t="e">
        <f aca="false">IF(X330=1,W330,NA())</f>
        <v>#N/A</v>
      </c>
      <c r="AD330" s="73" t="str">
        <f aca="false">IF(ISNUMBER(AE330),IF(ISNUMBER('Base de Datos'!A326),IF('Base de Datos'!A326&gt;20000,DATE(YEAR('Base de Datos'!A326),DAY('Base de Datos'!A326),MONTH('Base de Datos'!A326)),""),IF(TRIM('Base de Datos'!A326)="","",IFERROR(DATE(VALUE(RIGHT(TRIM('Base de Datos'!A326),4)),VALUE(LEFT(TRIM('Base de Datos'!A326),2)),VALUE(MID(TRIM('Base de Datos'!A326),4,2))),""))),"")</f>
        <v/>
      </c>
      <c r="AE330" s="74" t="str">
        <f aca="false">IF(ISNUMBER('Base de Datos'!B326),'Base de Datos'!B326,IF(TRIM('Base de Datos'!B326)="","",IFERROR(IF(IFERROR(FIND("@",SUBSTITUTE(TRIM('Base de Datos'!B326),",","@",LEN(TRIM('Base de Datos'!B326))-LEN(SUBSTITUTE(TRIM('Base de Datos'!B326),",","")))),0)&gt;IFERROR(FIND("@",SUBSTITUTE(TRIM('Base de Datos'!B326),".","@",LEN(TRIM('Base de Datos'!B326))-LEN(SUBSTITUTE(TRIM('Base de Datos'!B326),".","")))),0),_xlfn.NUMBERVALUE(SUBSTITUTE(SUBSTITUTE(TRIM('Base de Datos'!B326),".",""),",","."),".",","),_xlfn.NUMBERVALUE(SUBSTITUTE(TRIM('Base de Datos'!B326),",",""),".",",")),"")))</f>
        <v/>
      </c>
      <c r="AF330" s="73" t="str">
        <f aca="false">IF(ISNUMBER(AG330),IF(ISNUMBER('Base de Datos'!I326),IF('Base de Datos'!I326&gt;20000,INT('Base de Datos'!I326),""),IF(TRIM('Base de Datos'!I326)="","",IFERROR(DATE(VALUE(RIGHT(TRIM('Base de Datos'!I326),4)),VALUE(MID(TRIM('Base de Datos'!I326),4,2)),VALUE(LEFT(TRIM('Base de Datos'!I326),2))),IFERROR(DATEVALUE(TRIM('Base de Datos'!I326)),"")))),"")</f>
        <v/>
      </c>
      <c r="AG330" s="74" t="str">
        <f aca="false">IF(ISNUMBER('Base de Datos'!J326),'Base de Datos'!J326,IF(TRIM('Base de Datos'!J326)="","",IFERROR(IF(IFERROR(FIND("@",SUBSTITUTE(TRIM('Base de Datos'!J326),",","@",LEN(TRIM('Base de Datos'!J326))-LEN(SUBSTITUTE(TRIM('Base de Datos'!J326),",","")))),0)&gt;IFERROR(FIND("@",SUBSTITUTE(TRIM('Base de Datos'!J326),".","@",LEN(TRIM('Base de Datos'!J326))-LEN(SUBSTITUTE(TRIM('Base de Datos'!J326),".","")))),0),_xlfn.NUMBERVALUE(SUBSTITUTE(SUBSTITUTE(TRIM('Base de Datos'!J326),".",""),",","."),".",","),_xlfn.NUMBERVALUE(SUBSTITUTE(TRIM('Base de Datos'!J326),",",""),".",",")),"")))</f>
        <v/>
      </c>
      <c r="AH330" s="73" t="str">
        <f aca="false">IF(ISNUMBER(AI330),IF(ISNUMBER('Base de Datos'!Q326),IF('Base de Datos'!Q326&gt;20000,DATE(YEAR('Base de Datos'!Q326),DAY('Base de Datos'!Q326),MONTH('Base de Datos'!Q326)),""),IF(TRIM('Base de Datos'!Q326)="","",IFERROR(DATE(VALUE(RIGHT(TRIM('Base de Datos'!Q326),4)),VALUE(LEFT(TRIM('Base de Datos'!Q326),2)),VALUE(MID(TRIM('Base de Datos'!Q326),4,2))),""))),"")</f>
        <v/>
      </c>
      <c r="AI330" s="74" t="str">
        <f aca="false">IF(ISNUMBER('Base de Datos'!R326),'Base de Datos'!R326,IF(TRIM('Base de Datos'!R326)="","",IFERROR(IF(IFERROR(FIND("@",SUBSTITUTE(TRIM('Base de Datos'!R326),",","@",LEN(TRIM('Base de Datos'!R326))-LEN(SUBSTITUTE(TRIM('Base de Datos'!R326),",","")))),0)&gt;IFERROR(FIND("@",SUBSTITUTE(TRIM('Base de Datos'!R326),".","@",LEN(TRIM('Base de Datos'!R326))-LEN(SUBSTITUTE(TRIM('Base de Datos'!R326),".","")))),0),_xlfn.NUMBERVALUE(SUBSTITUTE(SUBSTITUTE(TRIM('Base de Datos'!R326),".",""),",","."),".",","),_xlfn.NUMBERVALUE(SUBSTITUTE(TRIM('Base de Datos'!R326),",",""),".",",")),"")))</f>
        <v/>
      </c>
      <c r="AJ330" s="73" t="str">
        <f aca="false">IF(ISNUMBER(AK330),IF(ISNUMBER('Base de Datos'!Y326),IF('Base de Datos'!Y326&gt;20000,INT('Base de Datos'!Y326),""),IF(TRIM('Base de Datos'!Y326)="","",IFERROR(DATE(VALUE(RIGHT(TRIM('Base de Datos'!Y326),4)),VALUE(MID(TRIM('Base de Datos'!Y326),4,2)),VALUE(LEFT(TRIM('Base de Datos'!Y326),2))),IFERROR(DATEVALUE(TRIM('Base de Datos'!Y326)),"")))),"")</f>
        <v/>
      </c>
      <c r="AK330" s="74" t="str">
        <f aca="false">IF(ISNUMBER('Base de Datos'!Z326),'Base de Datos'!Z326,IF(TRIM('Base de Datos'!Z326)="","",IFERROR(IF(IFERROR(FIND("@",SUBSTITUTE(TRIM('Base de Datos'!Z326),",","@",LEN(TRIM('Base de Datos'!Z326))-LEN(SUBSTITUTE(TRIM('Base de Datos'!Z326),",","")))),0)&gt;IFERROR(FIND("@",SUBSTITUTE(TRIM('Base de Datos'!Z326),".","@",LEN(TRIM('Base de Datos'!Z326))-LEN(SUBSTITUTE(TRIM('Base de Datos'!Z326),".","")))),0),_xlfn.NUMBERVALUE(SUBSTITUTE(SUBSTITUTE(TRIM('Base de Datos'!Z326),".",""),",","."),".",","),_xlfn.NUMBERVALUE(SUBSTITUTE(TRIM('Base de Datos'!Z326),",",""),".",",")),"")))</f>
        <v/>
      </c>
    </row>
    <row r="331" customFormat="false" ht="13.5" hidden="false" customHeight="false" outlineLevel="0" collapsed="false">
      <c r="A331" s="75" t="n">
        <f aca="false">ROWS(A$13:A331)</f>
        <v>319</v>
      </c>
      <c r="B331" s="73" t="str">
        <f aca="false">IF(B330="","",IFERROR(SMALL($AH$10:$AH$409,COUNTIF($AH$10:$AH$409,"&lt;="&amp;B330)+1),""))</f>
        <v/>
      </c>
      <c r="C331" s="74" t="str">
        <f aca="false">IF(B331="","",INDEX($AI$10:$AI$409,MATCH(B331,$AH$10:$AH$409,0)))</f>
        <v/>
      </c>
      <c r="D331" s="74" t="str">
        <f aca="false">IF(B331="","",IFERROR(INDEX($AK$10:$AK$409,MATCH(B331,$AJ$10:$AJ$409,0)),""))</f>
        <v/>
      </c>
      <c r="E331" s="76" t="str">
        <f aca="false">IF(AND(ISNUMBER(C331),ISNUMBER(C330)),C331/C330-1,"")</f>
        <v/>
      </c>
      <c r="F331" s="76" t="str">
        <f aca="false">IF(AND(ISNUMBER(D331),ISNUMBER(D330)),D331/D330-1,"")</f>
        <v/>
      </c>
      <c r="G331" s="75" t="str">
        <f aca="false">IF(AND(ISNUMBER(E331),ISNUMBER(F331)),1,"")</f>
        <v/>
      </c>
      <c r="H331" s="75" t="str">
        <f aca="false">IF(G331=1,COUNT(G331:G$412),"")</f>
        <v/>
      </c>
      <c r="I331" s="75" t="str">
        <f aca="false">IF(G331=1,IF(H331&lt;='Beta Regresión'!$B$5,1,""),"")</f>
        <v/>
      </c>
      <c r="J331" s="76" t="str">
        <f aca="false">IF(I331=1,E331,"")</f>
        <v/>
      </c>
      <c r="K331" s="76" t="str">
        <f aca="false">IF(I331=1,F331,"")</f>
        <v/>
      </c>
      <c r="L331" s="75" t="str">
        <f aca="false">IF(I331=1,COUNT(I$13:I331),"")</f>
        <v/>
      </c>
      <c r="M331" s="76" t="str">
        <f aca="false">IFERROR(INDEX($J$13:$J$412,MATCH(A331,$L$13:$L$412,0)),"")</f>
        <v/>
      </c>
      <c r="N331" s="76" t="str">
        <f aca="false">IFERROR(INDEX($K$13:$K$412,MATCH(A331,$L$13:$L$412,0)),"")</f>
        <v/>
      </c>
      <c r="O331" s="76" t="e">
        <f aca="false">IF(I331=1,E331,NA())</f>
        <v>#N/A</v>
      </c>
      <c r="P331" s="76" t="e">
        <f aca="false">IF(I331=1,F331,NA())</f>
        <v>#N/A</v>
      </c>
      <c r="R331" s="75" t="n">
        <f aca="false">ROWS(R$13:R331)</f>
        <v>319</v>
      </c>
      <c r="S331" s="73" t="str">
        <f aca="false">IF(S330="","",IFERROR(SMALL($AD$10:$AD$509,COUNTIF($AD$10:$AD$509,"&lt;="&amp;S330)+1),""))</f>
        <v/>
      </c>
      <c r="T331" s="74" t="str">
        <f aca="false">IF(S331="","",INDEX($AE$10:$AE$509,MATCH(S331,$AD$10:$AD$509,0)))</f>
        <v/>
      </c>
      <c r="U331" s="74" t="str">
        <f aca="false">IF(S331="","",IFERROR(INDEX($AG$10:$AG$509,MATCH(S331,$AF$10:$AF$509,0)),""))</f>
        <v/>
      </c>
      <c r="V331" s="76" t="str">
        <f aca="false">IF(AND(ISNUMBER(T331),ISNUMBER(T330)),T331/T330-1,"")</f>
        <v/>
      </c>
      <c r="W331" s="76" t="str">
        <f aca="false">IF(AND(ISNUMBER(U331),ISNUMBER(U330)),U331/U330-1,"")</f>
        <v/>
      </c>
      <c r="X331" s="75" t="str">
        <f aca="false">IF(AND(ISNUMBER(V331),ISNUMBER(W331)),1,"")</f>
        <v/>
      </c>
      <c r="Y331" s="76" t="str">
        <f aca="false">IF(X331=1,V331,"")</f>
        <v/>
      </c>
      <c r="Z331" s="76" t="str">
        <f aca="false">IF(X331=1,W331,"")</f>
        <v/>
      </c>
      <c r="AA331" s="76" t="e">
        <f aca="false">IF(X331=1,V331,NA())</f>
        <v>#N/A</v>
      </c>
      <c r="AB331" s="76" t="e">
        <f aca="false">IF(X331=1,W331,NA())</f>
        <v>#N/A</v>
      </c>
      <c r="AD331" s="73" t="str">
        <f aca="false">IF(ISNUMBER(AE331),IF(ISNUMBER('Base de Datos'!A327),IF('Base de Datos'!A327&gt;20000,DATE(YEAR('Base de Datos'!A327),DAY('Base de Datos'!A327),MONTH('Base de Datos'!A327)),""),IF(TRIM('Base de Datos'!A327)="","",IFERROR(DATE(VALUE(RIGHT(TRIM('Base de Datos'!A327),4)),VALUE(LEFT(TRIM('Base de Datos'!A327),2)),VALUE(MID(TRIM('Base de Datos'!A327),4,2))),""))),"")</f>
        <v/>
      </c>
      <c r="AE331" s="74" t="str">
        <f aca="false">IF(ISNUMBER('Base de Datos'!B327),'Base de Datos'!B327,IF(TRIM('Base de Datos'!B327)="","",IFERROR(IF(IFERROR(FIND("@",SUBSTITUTE(TRIM('Base de Datos'!B327),",","@",LEN(TRIM('Base de Datos'!B327))-LEN(SUBSTITUTE(TRIM('Base de Datos'!B327),",","")))),0)&gt;IFERROR(FIND("@",SUBSTITUTE(TRIM('Base de Datos'!B327),".","@",LEN(TRIM('Base de Datos'!B327))-LEN(SUBSTITUTE(TRIM('Base de Datos'!B327),".","")))),0),_xlfn.NUMBERVALUE(SUBSTITUTE(SUBSTITUTE(TRIM('Base de Datos'!B327),".",""),",","."),".",","),_xlfn.NUMBERVALUE(SUBSTITUTE(TRIM('Base de Datos'!B327),",",""),".",",")),"")))</f>
        <v/>
      </c>
      <c r="AF331" s="73" t="str">
        <f aca="false">IF(ISNUMBER(AG331),IF(ISNUMBER('Base de Datos'!I327),IF('Base de Datos'!I327&gt;20000,INT('Base de Datos'!I327),""),IF(TRIM('Base de Datos'!I327)="","",IFERROR(DATE(VALUE(RIGHT(TRIM('Base de Datos'!I327),4)),VALUE(MID(TRIM('Base de Datos'!I327),4,2)),VALUE(LEFT(TRIM('Base de Datos'!I327),2))),IFERROR(DATEVALUE(TRIM('Base de Datos'!I327)),"")))),"")</f>
        <v/>
      </c>
      <c r="AG331" s="74" t="str">
        <f aca="false">IF(ISNUMBER('Base de Datos'!J327),'Base de Datos'!J327,IF(TRIM('Base de Datos'!J327)="","",IFERROR(IF(IFERROR(FIND("@",SUBSTITUTE(TRIM('Base de Datos'!J327),",","@",LEN(TRIM('Base de Datos'!J327))-LEN(SUBSTITUTE(TRIM('Base de Datos'!J327),",","")))),0)&gt;IFERROR(FIND("@",SUBSTITUTE(TRIM('Base de Datos'!J327),".","@",LEN(TRIM('Base de Datos'!J327))-LEN(SUBSTITUTE(TRIM('Base de Datos'!J327),".","")))),0),_xlfn.NUMBERVALUE(SUBSTITUTE(SUBSTITUTE(TRIM('Base de Datos'!J327),".",""),",","."),".",","),_xlfn.NUMBERVALUE(SUBSTITUTE(TRIM('Base de Datos'!J327),",",""),".",",")),"")))</f>
        <v/>
      </c>
      <c r="AH331" s="73" t="str">
        <f aca="false">IF(ISNUMBER(AI331),IF(ISNUMBER('Base de Datos'!Q327),IF('Base de Datos'!Q327&gt;20000,DATE(YEAR('Base de Datos'!Q327),DAY('Base de Datos'!Q327),MONTH('Base de Datos'!Q327)),""),IF(TRIM('Base de Datos'!Q327)="","",IFERROR(DATE(VALUE(RIGHT(TRIM('Base de Datos'!Q327),4)),VALUE(LEFT(TRIM('Base de Datos'!Q327),2)),VALUE(MID(TRIM('Base de Datos'!Q327),4,2))),""))),"")</f>
        <v/>
      </c>
      <c r="AI331" s="74" t="str">
        <f aca="false">IF(ISNUMBER('Base de Datos'!R327),'Base de Datos'!R327,IF(TRIM('Base de Datos'!R327)="","",IFERROR(IF(IFERROR(FIND("@",SUBSTITUTE(TRIM('Base de Datos'!R327),",","@",LEN(TRIM('Base de Datos'!R327))-LEN(SUBSTITUTE(TRIM('Base de Datos'!R327),",","")))),0)&gt;IFERROR(FIND("@",SUBSTITUTE(TRIM('Base de Datos'!R327),".","@",LEN(TRIM('Base de Datos'!R327))-LEN(SUBSTITUTE(TRIM('Base de Datos'!R327),".","")))),0),_xlfn.NUMBERVALUE(SUBSTITUTE(SUBSTITUTE(TRIM('Base de Datos'!R327),".",""),",","."),".",","),_xlfn.NUMBERVALUE(SUBSTITUTE(TRIM('Base de Datos'!R327),",",""),".",",")),"")))</f>
        <v/>
      </c>
      <c r="AJ331" s="73" t="str">
        <f aca="false">IF(ISNUMBER(AK331),IF(ISNUMBER('Base de Datos'!Y327),IF('Base de Datos'!Y327&gt;20000,INT('Base de Datos'!Y327),""),IF(TRIM('Base de Datos'!Y327)="","",IFERROR(DATE(VALUE(RIGHT(TRIM('Base de Datos'!Y327),4)),VALUE(MID(TRIM('Base de Datos'!Y327),4,2)),VALUE(LEFT(TRIM('Base de Datos'!Y327),2))),IFERROR(DATEVALUE(TRIM('Base de Datos'!Y327)),"")))),"")</f>
        <v/>
      </c>
      <c r="AK331" s="74" t="str">
        <f aca="false">IF(ISNUMBER('Base de Datos'!Z327),'Base de Datos'!Z327,IF(TRIM('Base de Datos'!Z327)="","",IFERROR(IF(IFERROR(FIND("@",SUBSTITUTE(TRIM('Base de Datos'!Z327),",","@",LEN(TRIM('Base de Datos'!Z327))-LEN(SUBSTITUTE(TRIM('Base de Datos'!Z327),",","")))),0)&gt;IFERROR(FIND("@",SUBSTITUTE(TRIM('Base de Datos'!Z327),".","@",LEN(TRIM('Base de Datos'!Z327))-LEN(SUBSTITUTE(TRIM('Base de Datos'!Z327),".","")))),0),_xlfn.NUMBERVALUE(SUBSTITUTE(SUBSTITUTE(TRIM('Base de Datos'!Z327),".",""),",","."),".",","),_xlfn.NUMBERVALUE(SUBSTITUTE(TRIM('Base de Datos'!Z327),",",""),".",",")),"")))</f>
        <v/>
      </c>
    </row>
    <row r="332" customFormat="false" ht="13.5" hidden="false" customHeight="false" outlineLevel="0" collapsed="false">
      <c r="A332" s="75" t="n">
        <f aca="false">ROWS(A$13:A332)</f>
        <v>320</v>
      </c>
      <c r="B332" s="73" t="str">
        <f aca="false">IF(B331="","",IFERROR(SMALL($AH$10:$AH$409,COUNTIF($AH$10:$AH$409,"&lt;="&amp;B331)+1),""))</f>
        <v/>
      </c>
      <c r="C332" s="74" t="str">
        <f aca="false">IF(B332="","",INDEX($AI$10:$AI$409,MATCH(B332,$AH$10:$AH$409,0)))</f>
        <v/>
      </c>
      <c r="D332" s="74" t="str">
        <f aca="false">IF(B332="","",IFERROR(INDEX($AK$10:$AK$409,MATCH(B332,$AJ$10:$AJ$409,0)),""))</f>
        <v/>
      </c>
      <c r="E332" s="76" t="str">
        <f aca="false">IF(AND(ISNUMBER(C332),ISNUMBER(C331)),C332/C331-1,"")</f>
        <v/>
      </c>
      <c r="F332" s="76" t="str">
        <f aca="false">IF(AND(ISNUMBER(D332),ISNUMBER(D331)),D332/D331-1,"")</f>
        <v/>
      </c>
      <c r="G332" s="75" t="str">
        <f aca="false">IF(AND(ISNUMBER(E332),ISNUMBER(F332)),1,"")</f>
        <v/>
      </c>
      <c r="H332" s="75" t="str">
        <f aca="false">IF(G332=1,COUNT(G332:G$412),"")</f>
        <v/>
      </c>
      <c r="I332" s="75" t="str">
        <f aca="false">IF(G332=1,IF(H332&lt;='Beta Regresión'!$B$5,1,""),"")</f>
        <v/>
      </c>
      <c r="J332" s="76" t="str">
        <f aca="false">IF(I332=1,E332,"")</f>
        <v/>
      </c>
      <c r="K332" s="76" t="str">
        <f aca="false">IF(I332=1,F332,"")</f>
        <v/>
      </c>
      <c r="L332" s="75" t="str">
        <f aca="false">IF(I332=1,COUNT(I$13:I332),"")</f>
        <v/>
      </c>
      <c r="M332" s="76" t="str">
        <f aca="false">IFERROR(INDEX($J$13:$J$412,MATCH(A332,$L$13:$L$412,0)),"")</f>
        <v/>
      </c>
      <c r="N332" s="76" t="str">
        <f aca="false">IFERROR(INDEX($K$13:$K$412,MATCH(A332,$L$13:$L$412,0)),"")</f>
        <v/>
      </c>
      <c r="O332" s="76" t="e">
        <f aca="false">IF(I332=1,E332,NA())</f>
        <v>#N/A</v>
      </c>
      <c r="P332" s="76" t="e">
        <f aca="false">IF(I332=1,F332,NA())</f>
        <v>#N/A</v>
      </c>
      <c r="R332" s="75" t="n">
        <f aca="false">ROWS(R$13:R332)</f>
        <v>320</v>
      </c>
      <c r="S332" s="73" t="str">
        <f aca="false">IF(S331="","",IFERROR(SMALL($AD$10:$AD$509,COUNTIF($AD$10:$AD$509,"&lt;="&amp;S331)+1),""))</f>
        <v/>
      </c>
      <c r="T332" s="74" t="str">
        <f aca="false">IF(S332="","",INDEX($AE$10:$AE$509,MATCH(S332,$AD$10:$AD$509,0)))</f>
        <v/>
      </c>
      <c r="U332" s="74" t="str">
        <f aca="false">IF(S332="","",IFERROR(INDEX($AG$10:$AG$509,MATCH(S332,$AF$10:$AF$509,0)),""))</f>
        <v/>
      </c>
      <c r="V332" s="76" t="str">
        <f aca="false">IF(AND(ISNUMBER(T332),ISNUMBER(T331)),T332/T331-1,"")</f>
        <v/>
      </c>
      <c r="W332" s="76" t="str">
        <f aca="false">IF(AND(ISNUMBER(U332),ISNUMBER(U331)),U332/U331-1,"")</f>
        <v/>
      </c>
      <c r="X332" s="75" t="str">
        <f aca="false">IF(AND(ISNUMBER(V332),ISNUMBER(W332)),1,"")</f>
        <v/>
      </c>
      <c r="Y332" s="76" t="str">
        <f aca="false">IF(X332=1,V332,"")</f>
        <v/>
      </c>
      <c r="Z332" s="76" t="str">
        <f aca="false">IF(X332=1,W332,"")</f>
        <v/>
      </c>
      <c r="AA332" s="76" t="e">
        <f aca="false">IF(X332=1,V332,NA())</f>
        <v>#N/A</v>
      </c>
      <c r="AB332" s="76" t="e">
        <f aca="false">IF(X332=1,W332,NA())</f>
        <v>#N/A</v>
      </c>
      <c r="AD332" s="73" t="str">
        <f aca="false">IF(ISNUMBER(AE332),IF(ISNUMBER('Base de Datos'!A328),IF('Base de Datos'!A328&gt;20000,DATE(YEAR('Base de Datos'!A328),DAY('Base de Datos'!A328),MONTH('Base de Datos'!A328)),""),IF(TRIM('Base de Datos'!A328)="","",IFERROR(DATE(VALUE(RIGHT(TRIM('Base de Datos'!A328),4)),VALUE(LEFT(TRIM('Base de Datos'!A328),2)),VALUE(MID(TRIM('Base de Datos'!A328),4,2))),""))),"")</f>
        <v/>
      </c>
      <c r="AE332" s="74" t="str">
        <f aca="false">IF(ISNUMBER('Base de Datos'!B328),'Base de Datos'!B328,IF(TRIM('Base de Datos'!B328)="","",IFERROR(IF(IFERROR(FIND("@",SUBSTITUTE(TRIM('Base de Datos'!B328),",","@",LEN(TRIM('Base de Datos'!B328))-LEN(SUBSTITUTE(TRIM('Base de Datos'!B328),",","")))),0)&gt;IFERROR(FIND("@",SUBSTITUTE(TRIM('Base de Datos'!B328),".","@",LEN(TRIM('Base de Datos'!B328))-LEN(SUBSTITUTE(TRIM('Base de Datos'!B328),".","")))),0),_xlfn.NUMBERVALUE(SUBSTITUTE(SUBSTITUTE(TRIM('Base de Datos'!B328),".",""),",","."),".",","),_xlfn.NUMBERVALUE(SUBSTITUTE(TRIM('Base de Datos'!B328),",",""),".",",")),"")))</f>
        <v/>
      </c>
      <c r="AF332" s="73" t="str">
        <f aca="false">IF(ISNUMBER(AG332),IF(ISNUMBER('Base de Datos'!I328),IF('Base de Datos'!I328&gt;20000,INT('Base de Datos'!I328),""),IF(TRIM('Base de Datos'!I328)="","",IFERROR(DATE(VALUE(RIGHT(TRIM('Base de Datos'!I328),4)),VALUE(MID(TRIM('Base de Datos'!I328),4,2)),VALUE(LEFT(TRIM('Base de Datos'!I328),2))),IFERROR(DATEVALUE(TRIM('Base de Datos'!I328)),"")))),"")</f>
        <v/>
      </c>
      <c r="AG332" s="74" t="str">
        <f aca="false">IF(ISNUMBER('Base de Datos'!J328),'Base de Datos'!J328,IF(TRIM('Base de Datos'!J328)="","",IFERROR(IF(IFERROR(FIND("@",SUBSTITUTE(TRIM('Base de Datos'!J328),",","@",LEN(TRIM('Base de Datos'!J328))-LEN(SUBSTITUTE(TRIM('Base de Datos'!J328),",","")))),0)&gt;IFERROR(FIND("@",SUBSTITUTE(TRIM('Base de Datos'!J328),".","@",LEN(TRIM('Base de Datos'!J328))-LEN(SUBSTITUTE(TRIM('Base de Datos'!J328),".","")))),0),_xlfn.NUMBERVALUE(SUBSTITUTE(SUBSTITUTE(TRIM('Base de Datos'!J328),".",""),",","."),".",","),_xlfn.NUMBERVALUE(SUBSTITUTE(TRIM('Base de Datos'!J328),",",""),".",",")),"")))</f>
        <v/>
      </c>
      <c r="AH332" s="73" t="str">
        <f aca="false">IF(ISNUMBER(AI332),IF(ISNUMBER('Base de Datos'!Q328),IF('Base de Datos'!Q328&gt;20000,DATE(YEAR('Base de Datos'!Q328),DAY('Base de Datos'!Q328),MONTH('Base de Datos'!Q328)),""),IF(TRIM('Base de Datos'!Q328)="","",IFERROR(DATE(VALUE(RIGHT(TRIM('Base de Datos'!Q328),4)),VALUE(LEFT(TRIM('Base de Datos'!Q328),2)),VALUE(MID(TRIM('Base de Datos'!Q328),4,2))),""))),"")</f>
        <v/>
      </c>
      <c r="AI332" s="74" t="str">
        <f aca="false">IF(ISNUMBER('Base de Datos'!R328),'Base de Datos'!R328,IF(TRIM('Base de Datos'!R328)="","",IFERROR(IF(IFERROR(FIND("@",SUBSTITUTE(TRIM('Base de Datos'!R328),",","@",LEN(TRIM('Base de Datos'!R328))-LEN(SUBSTITUTE(TRIM('Base de Datos'!R328),",","")))),0)&gt;IFERROR(FIND("@",SUBSTITUTE(TRIM('Base de Datos'!R328),".","@",LEN(TRIM('Base de Datos'!R328))-LEN(SUBSTITUTE(TRIM('Base de Datos'!R328),".","")))),0),_xlfn.NUMBERVALUE(SUBSTITUTE(SUBSTITUTE(TRIM('Base de Datos'!R328),".",""),",","."),".",","),_xlfn.NUMBERVALUE(SUBSTITUTE(TRIM('Base de Datos'!R328),",",""),".",",")),"")))</f>
        <v/>
      </c>
      <c r="AJ332" s="73" t="str">
        <f aca="false">IF(ISNUMBER(AK332),IF(ISNUMBER('Base de Datos'!Y328),IF('Base de Datos'!Y328&gt;20000,INT('Base de Datos'!Y328),""),IF(TRIM('Base de Datos'!Y328)="","",IFERROR(DATE(VALUE(RIGHT(TRIM('Base de Datos'!Y328),4)),VALUE(MID(TRIM('Base de Datos'!Y328),4,2)),VALUE(LEFT(TRIM('Base de Datos'!Y328),2))),IFERROR(DATEVALUE(TRIM('Base de Datos'!Y328)),"")))),"")</f>
        <v/>
      </c>
      <c r="AK332" s="74" t="str">
        <f aca="false">IF(ISNUMBER('Base de Datos'!Z328),'Base de Datos'!Z328,IF(TRIM('Base de Datos'!Z328)="","",IFERROR(IF(IFERROR(FIND("@",SUBSTITUTE(TRIM('Base de Datos'!Z328),",","@",LEN(TRIM('Base de Datos'!Z328))-LEN(SUBSTITUTE(TRIM('Base de Datos'!Z328),",","")))),0)&gt;IFERROR(FIND("@",SUBSTITUTE(TRIM('Base de Datos'!Z328),".","@",LEN(TRIM('Base de Datos'!Z328))-LEN(SUBSTITUTE(TRIM('Base de Datos'!Z328),".","")))),0),_xlfn.NUMBERVALUE(SUBSTITUTE(SUBSTITUTE(TRIM('Base de Datos'!Z328),".",""),",","."),".",","),_xlfn.NUMBERVALUE(SUBSTITUTE(TRIM('Base de Datos'!Z328),",",""),".",",")),"")))</f>
        <v/>
      </c>
    </row>
    <row r="333" customFormat="false" ht="13.5" hidden="false" customHeight="false" outlineLevel="0" collapsed="false">
      <c r="A333" s="75" t="n">
        <f aca="false">ROWS(A$13:A333)</f>
        <v>321</v>
      </c>
      <c r="B333" s="73" t="str">
        <f aca="false">IF(B332="","",IFERROR(SMALL($AH$10:$AH$409,COUNTIF($AH$10:$AH$409,"&lt;="&amp;B332)+1),""))</f>
        <v/>
      </c>
      <c r="C333" s="74" t="str">
        <f aca="false">IF(B333="","",INDEX($AI$10:$AI$409,MATCH(B333,$AH$10:$AH$409,0)))</f>
        <v/>
      </c>
      <c r="D333" s="74" t="str">
        <f aca="false">IF(B333="","",IFERROR(INDEX($AK$10:$AK$409,MATCH(B333,$AJ$10:$AJ$409,0)),""))</f>
        <v/>
      </c>
      <c r="E333" s="76" t="str">
        <f aca="false">IF(AND(ISNUMBER(C333),ISNUMBER(C332)),C333/C332-1,"")</f>
        <v/>
      </c>
      <c r="F333" s="76" t="str">
        <f aca="false">IF(AND(ISNUMBER(D333),ISNUMBER(D332)),D333/D332-1,"")</f>
        <v/>
      </c>
      <c r="G333" s="75" t="str">
        <f aca="false">IF(AND(ISNUMBER(E333),ISNUMBER(F333)),1,"")</f>
        <v/>
      </c>
      <c r="H333" s="75" t="str">
        <f aca="false">IF(G333=1,COUNT(G333:G$412),"")</f>
        <v/>
      </c>
      <c r="I333" s="75" t="str">
        <f aca="false">IF(G333=1,IF(H333&lt;='Beta Regresión'!$B$5,1,""),"")</f>
        <v/>
      </c>
      <c r="J333" s="76" t="str">
        <f aca="false">IF(I333=1,E333,"")</f>
        <v/>
      </c>
      <c r="K333" s="76" t="str">
        <f aca="false">IF(I333=1,F333,"")</f>
        <v/>
      </c>
      <c r="L333" s="75" t="str">
        <f aca="false">IF(I333=1,COUNT(I$13:I333),"")</f>
        <v/>
      </c>
      <c r="M333" s="76" t="str">
        <f aca="false">IFERROR(INDEX($J$13:$J$412,MATCH(A333,$L$13:$L$412,0)),"")</f>
        <v/>
      </c>
      <c r="N333" s="76" t="str">
        <f aca="false">IFERROR(INDEX($K$13:$K$412,MATCH(A333,$L$13:$L$412,0)),"")</f>
        <v/>
      </c>
      <c r="O333" s="76" t="e">
        <f aca="false">IF(I333=1,E333,NA())</f>
        <v>#N/A</v>
      </c>
      <c r="P333" s="76" t="e">
        <f aca="false">IF(I333=1,F333,NA())</f>
        <v>#N/A</v>
      </c>
      <c r="R333" s="75" t="n">
        <f aca="false">ROWS(R$13:R333)</f>
        <v>321</v>
      </c>
      <c r="S333" s="73" t="str">
        <f aca="false">IF(S332="","",IFERROR(SMALL($AD$10:$AD$509,COUNTIF($AD$10:$AD$509,"&lt;="&amp;S332)+1),""))</f>
        <v/>
      </c>
      <c r="T333" s="74" t="str">
        <f aca="false">IF(S333="","",INDEX($AE$10:$AE$509,MATCH(S333,$AD$10:$AD$509,0)))</f>
        <v/>
      </c>
      <c r="U333" s="74" t="str">
        <f aca="false">IF(S333="","",IFERROR(INDEX($AG$10:$AG$509,MATCH(S333,$AF$10:$AF$509,0)),""))</f>
        <v/>
      </c>
      <c r="V333" s="76" t="str">
        <f aca="false">IF(AND(ISNUMBER(T333),ISNUMBER(T332)),T333/T332-1,"")</f>
        <v/>
      </c>
      <c r="W333" s="76" t="str">
        <f aca="false">IF(AND(ISNUMBER(U333),ISNUMBER(U332)),U333/U332-1,"")</f>
        <v/>
      </c>
      <c r="X333" s="75" t="str">
        <f aca="false">IF(AND(ISNUMBER(V333),ISNUMBER(W333)),1,"")</f>
        <v/>
      </c>
      <c r="Y333" s="76" t="str">
        <f aca="false">IF(X333=1,V333,"")</f>
        <v/>
      </c>
      <c r="Z333" s="76" t="str">
        <f aca="false">IF(X333=1,W333,"")</f>
        <v/>
      </c>
      <c r="AA333" s="76" t="e">
        <f aca="false">IF(X333=1,V333,NA())</f>
        <v>#N/A</v>
      </c>
      <c r="AB333" s="76" t="e">
        <f aca="false">IF(X333=1,W333,NA())</f>
        <v>#N/A</v>
      </c>
      <c r="AD333" s="73" t="str">
        <f aca="false">IF(ISNUMBER(AE333),IF(ISNUMBER('Base de Datos'!A329),IF('Base de Datos'!A329&gt;20000,DATE(YEAR('Base de Datos'!A329),DAY('Base de Datos'!A329),MONTH('Base de Datos'!A329)),""),IF(TRIM('Base de Datos'!A329)="","",IFERROR(DATE(VALUE(RIGHT(TRIM('Base de Datos'!A329),4)),VALUE(LEFT(TRIM('Base de Datos'!A329),2)),VALUE(MID(TRIM('Base de Datos'!A329),4,2))),""))),"")</f>
        <v/>
      </c>
      <c r="AE333" s="74" t="str">
        <f aca="false">IF(ISNUMBER('Base de Datos'!B329),'Base de Datos'!B329,IF(TRIM('Base de Datos'!B329)="","",IFERROR(IF(IFERROR(FIND("@",SUBSTITUTE(TRIM('Base de Datos'!B329),",","@",LEN(TRIM('Base de Datos'!B329))-LEN(SUBSTITUTE(TRIM('Base de Datos'!B329),",","")))),0)&gt;IFERROR(FIND("@",SUBSTITUTE(TRIM('Base de Datos'!B329),".","@",LEN(TRIM('Base de Datos'!B329))-LEN(SUBSTITUTE(TRIM('Base de Datos'!B329),".","")))),0),_xlfn.NUMBERVALUE(SUBSTITUTE(SUBSTITUTE(TRIM('Base de Datos'!B329),".",""),",","."),".",","),_xlfn.NUMBERVALUE(SUBSTITUTE(TRIM('Base de Datos'!B329),",",""),".",",")),"")))</f>
        <v/>
      </c>
      <c r="AF333" s="73" t="str">
        <f aca="false">IF(ISNUMBER(AG333),IF(ISNUMBER('Base de Datos'!I329),IF('Base de Datos'!I329&gt;20000,INT('Base de Datos'!I329),""),IF(TRIM('Base de Datos'!I329)="","",IFERROR(DATE(VALUE(RIGHT(TRIM('Base de Datos'!I329),4)),VALUE(MID(TRIM('Base de Datos'!I329),4,2)),VALUE(LEFT(TRIM('Base de Datos'!I329),2))),IFERROR(DATEVALUE(TRIM('Base de Datos'!I329)),"")))),"")</f>
        <v/>
      </c>
      <c r="AG333" s="74" t="str">
        <f aca="false">IF(ISNUMBER('Base de Datos'!J329),'Base de Datos'!J329,IF(TRIM('Base de Datos'!J329)="","",IFERROR(IF(IFERROR(FIND("@",SUBSTITUTE(TRIM('Base de Datos'!J329),",","@",LEN(TRIM('Base de Datos'!J329))-LEN(SUBSTITUTE(TRIM('Base de Datos'!J329),",","")))),0)&gt;IFERROR(FIND("@",SUBSTITUTE(TRIM('Base de Datos'!J329),".","@",LEN(TRIM('Base de Datos'!J329))-LEN(SUBSTITUTE(TRIM('Base de Datos'!J329),".","")))),0),_xlfn.NUMBERVALUE(SUBSTITUTE(SUBSTITUTE(TRIM('Base de Datos'!J329),".",""),",","."),".",","),_xlfn.NUMBERVALUE(SUBSTITUTE(TRIM('Base de Datos'!J329),",",""),".",",")),"")))</f>
        <v/>
      </c>
      <c r="AH333" s="73" t="str">
        <f aca="false">IF(ISNUMBER(AI333),IF(ISNUMBER('Base de Datos'!Q329),IF('Base de Datos'!Q329&gt;20000,DATE(YEAR('Base de Datos'!Q329),DAY('Base de Datos'!Q329),MONTH('Base de Datos'!Q329)),""),IF(TRIM('Base de Datos'!Q329)="","",IFERROR(DATE(VALUE(RIGHT(TRIM('Base de Datos'!Q329),4)),VALUE(LEFT(TRIM('Base de Datos'!Q329),2)),VALUE(MID(TRIM('Base de Datos'!Q329),4,2))),""))),"")</f>
        <v/>
      </c>
      <c r="AI333" s="74" t="str">
        <f aca="false">IF(ISNUMBER('Base de Datos'!R329),'Base de Datos'!R329,IF(TRIM('Base de Datos'!R329)="","",IFERROR(IF(IFERROR(FIND("@",SUBSTITUTE(TRIM('Base de Datos'!R329),",","@",LEN(TRIM('Base de Datos'!R329))-LEN(SUBSTITUTE(TRIM('Base de Datos'!R329),",","")))),0)&gt;IFERROR(FIND("@",SUBSTITUTE(TRIM('Base de Datos'!R329),".","@",LEN(TRIM('Base de Datos'!R329))-LEN(SUBSTITUTE(TRIM('Base de Datos'!R329),".","")))),0),_xlfn.NUMBERVALUE(SUBSTITUTE(SUBSTITUTE(TRIM('Base de Datos'!R329),".",""),",","."),".",","),_xlfn.NUMBERVALUE(SUBSTITUTE(TRIM('Base de Datos'!R329),",",""),".",",")),"")))</f>
        <v/>
      </c>
      <c r="AJ333" s="73" t="str">
        <f aca="false">IF(ISNUMBER(AK333),IF(ISNUMBER('Base de Datos'!Y329),IF('Base de Datos'!Y329&gt;20000,INT('Base de Datos'!Y329),""),IF(TRIM('Base de Datos'!Y329)="","",IFERROR(DATE(VALUE(RIGHT(TRIM('Base de Datos'!Y329),4)),VALUE(MID(TRIM('Base de Datos'!Y329),4,2)),VALUE(LEFT(TRIM('Base de Datos'!Y329),2))),IFERROR(DATEVALUE(TRIM('Base de Datos'!Y329)),"")))),"")</f>
        <v/>
      </c>
      <c r="AK333" s="74" t="str">
        <f aca="false">IF(ISNUMBER('Base de Datos'!Z329),'Base de Datos'!Z329,IF(TRIM('Base de Datos'!Z329)="","",IFERROR(IF(IFERROR(FIND("@",SUBSTITUTE(TRIM('Base de Datos'!Z329),",","@",LEN(TRIM('Base de Datos'!Z329))-LEN(SUBSTITUTE(TRIM('Base de Datos'!Z329),",","")))),0)&gt;IFERROR(FIND("@",SUBSTITUTE(TRIM('Base de Datos'!Z329),".","@",LEN(TRIM('Base de Datos'!Z329))-LEN(SUBSTITUTE(TRIM('Base de Datos'!Z329),".","")))),0),_xlfn.NUMBERVALUE(SUBSTITUTE(SUBSTITUTE(TRIM('Base de Datos'!Z329),".",""),",","."),".",","),_xlfn.NUMBERVALUE(SUBSTITUTE(TRIM('Base de Datos'!Z329),",",""),".",",")),"")))</f>
        <v/>
      </c>
    </row>
    <row r="334" customFormat="false" ht="13.5" hidden="false" customHeight="false" outlineLevel="0" collapsed="false">
      <c r="A334" s="75" t="n">
        <f aca="false">ROWS(A$13:A334)</f>
        <v>322</v>
      </c>
      <c r="B334" s="73" t="str">
        <f aca="false">IF(B333="","",IFERROR(SMALL($AH$10:$AH$409,COUNTIF($AH$10:$AH$409,"&lt;="&amp;B333)+1),""))</f>
        <v/>
      </c>
      <c r="C334" s="74" t="str">
        <f aca="false">IF(B334="","",INDEX($AI$10:$AI$409,MATCH(B334,$AH$10:$AH$409,0)))</f>
        <v/>
      </c>
      <c r="D334" s="74" t="str">
        <f aca="false">IF(B334="","",IFERROR(INDEX($AK$10:$AK$409,MATCH(B334,$AJ$10:$AJ$409,0)),""))</f>
        <v/>
      </c>
      <c r="E334" s="76" t="str">
        <f aca="false">IF(AND(ISNUMBER(C334),ISNUMBER(C333)),C334/C333-1,"")</f>
        <v/>
      </c>
      <c r="F334" s="76" t="str">
        <f aca="false">IF(AND(ISNUMBER(D334),ISNUMBER(D333)),D334/D333-1,"")</f>
        <v/>
      </c>
      <c r="G334" s="75" t="str">
        <f aca="false">IF(AND(ISNUMBER(E334),ISNUMBER(F334)),1,"")</f>
        <v/>
      </c>
      <c r="H334" s="75" t="str">
        <f aca="false">IF(G334=1,COUNT(G334:G$412),"")</f>
        <v/>
      </c>
      <c r="I334" s="75" t="str">
        <f aca="false">IF(G334=1,IF(H334&lt;='Beta Regresión'!$B$5,1,""),"")</f>
        <v/>
      </c>
      <c r="J334" s="76" t="str">
        <f aca="false">IF(I334=1,E334,"")</f>
        <v/>
      </c>
      <c r="K334" s="76" t="str">
        <f aca="false">IF(I334=1,F334,"")</f>
        <v/>
      </c>
      <c r="L334" s="75" t="str">
        <f aca="false">IF(I334=1,COUNT(I$13:I334),"")</f>
        <v/>
      </c>
      <c r="M334" s="76" t="str">
        <f aca="false">IFERROR(INDEX($J$13:$J$412,MATCH(A334,$L$13:$L$412,0)),"")</f>
        <v/>
      </c>
      <c r="N334" s="76" t="str">
        <f aca="false">IFERROR(INDEX($K$13:$K$412,MATCH(A334,$L$13:$L$412,0)),"")</f>
        <v/>
      </c>
      <c r="O334" s="76" t="e">
        <f aca="false">IF(I334=1,E334,NA())</f>
        <v>#N/A</v>
      </c>
      <c r="P334" s="76" t="e">
        <f aca="false">IF(I334=1,F334,NA())</f>
        <v>#N/A</v>
      </c>
      <c r="R334" s="75" t="n">
        <f aca="false">ROWS(R$13:R334)</f>
        <v>322</v>
      </c>
      <c r="S334" s="73" t="str">
        <f aca="false">IF(S333="","",IFERROR(SMALL($AD$10:$AD$509,COUNTIF($AD$10:$AD$509,"&lt;="&amp;S333)+1),""))</f>
        <v/>
      </c>
      <c r="T334" s="74" t="str">
        <f aca="false">IF(S334="","",INDEX($AE$10:$AE$509,MATCH(S334,$AD$10:$AD$509,0)))</f>
        <v/>
      </c>
      <c r="U334" s="74" t="str">
        <f aca="false">IF(S334="","",IFERROR(INDEX($AG$10:$AG$509,MATCH(S334,$AF$10:$AF$509,0)),""))</f>
        <v/>
      </c>
      <c r="V334" s="76" t="str">
        <f aca="false">IF(AND(ISNUMBER(T334),ISNUMBER(T333)),T334/T333-1,"")</f>
        <v/>
      </c>
      <c r="W334" s="76" t="str">
        <f aca="false">IF(AND(ISNUMBER(U334),ISNUMBER(U333)),U334/U333-1,"")</f>
        <v/>
      </c>
      <c r="X334" s="75" t="str">
        <f aca="false">IF(AND(ISNUMBER(V334),ISNUMBER(W334)),1,"")</f>
        <v/>
      </c>
      <c r="Y334" s="76" t="str">
        <f aca="false">IF(X334=1,V334,"")</f>
        <v/>
      </c>
      <c r="Z334" s="76" t="str">
        <f aca="false">IF(X334=1,W334,"")</f>
        <v/>
      </c>
      <c r="AA334" s="76" t="e">
        <f aca="false">IF(X334=1,V334,NA())</f>
        <v>#N/A</v>
      </c>
      <c r="AB334" s="76" t="e">
        <f aca="false">IF(X334=1,W334,NA())</f>
        <v>#N/A</v>
      </c>
      <c r="AD334" s="73" t="str">
        <f aca="false">IF(ISNUMBER(AE334),IF(ISNUMBER('Base de Datos'!A330),IF('Base de Datos'!A330&gt;20000,DATE(YEAR('Base de Datos'!A330),DAY('Base de Datos'!A330),MONTH('Base de Datos'!A330)),""),IF(TRIM('Base de Datos'!A330)="","",IFERROR(DATE(VALUE(RIGHT(TRIM('Base de Datos'!A330),4)),VALUE(LEFT(TRIM('Base de Datos'!A330),2)),VALUE(MID(TRIM('Base de Datos'!A330),4,2))),""))),"")</f>
        <v/>
      </c>
      <c r="AE334" s="74" t="str">
        <f aca="false">IF(ISNUMBER('Base de Datos'!B330),'Base de Datos'!B330,IF(TRIM('Base de Datos'!B330)="","",IFERROR(IF(IFERROR(FIND("@",SUBSTITUTE(TRIM('Base de Datos'!B330),",","@",LEN(TRIM('Base de Datos'!B330))-LEN(SUBSTITUTE(TRIM('Base de Datos'!B330),",","")))),0)&gt;IFERROR(FIND("@",SUBSTITUTE(TRIM('Base de Datos'!B330),".","@",LEN(TRIM('Base de Datos'!B330))-LEN(SUBSTITUTE(TRIM('Base de Datos'!B330),".","")))),0),_xlfn.NUMBERVALUE(SUBSTITUTE(SUBSTITUTE(TRIM('Base de Datos'!B330),".",""),",","."),".",","),_xlfn.NUMBERVALUE(SUBSTITUTE(TRIM('Base de Datos'!B330),",",""),".",",")),"")))</f>
        <v/>
      </c>
      <c r="AF334" s="73" t="str">
        <f aca="false">IF(ISNUMBER(AG334),IF(ISNUMBER('Base de Datos'!I330),IF('Base de Datos'!I330&gt;20000,INT('Base de Datos'!I330),""),IF(TRIM('Base de Datos'!I330)="","",IFERROR(DATE(VALUE(RIGHT(TRIM('Base de Datos'!I330),4)),VALUE(MID(TRIM('Base de Datos'!I330),4,2)),VALUE(LEFT(TRIM('Base de Datos'!I330),2))),IFERROR(DATEVALUE(TRIM('Base de Datos'!I330)),"")))),"")</f>
        <v/>
      </c>
      <c r="AG334" s="74" t="str">
        <f aca="false">IF(ISNUMBER('Base de Datos'!J330),'Base de Datos'!J330,IF(TRIM('Base de Datos'!J330)="","",IFERROR(IF(IFERROR(FIND("@",SUBSTITUTE(TRIM('Base de Datos'!J330),",","@",LEN(TRIM('Base de Datos'!J330))-LEN(SUBSTITUTE(TRIM('Base de Datos'!J330),",","")))),0)&gt;IFERROR(FIND("@",SUBSTITUTE(TRIM('Base de Datos'!J330),".","@",LEN(TRIM('Base de Datos'!J330))-LEN(SUBSTITUTE(TRIM('Base de Datos'!J330),".","")))),0),_xlfn.NUMBERVALUE(SUBSTITUTE(SUBSTITUTE(TRIM('Base de Datos'!J330),".",""),",","."),".",","),_xlfn.NUMBERVALUE(SUBSTITUTE(TRIM('Base de Datos'!J330),",",""),".",",")),"")))</f>
        <v/>
      </c>
      <c r="AH334" s="73" t="str">
        <f aca="false">IF(ISNUMBER(AI334),IF(ISNUMBER('Base de Datos'!Q330),IF('Base de Datos'!Q330&gt;20000,DATE(YEAR('Base de Datos'!Q330),DAY('Base de Datos'!Q330),MONTH('Base de Datos'!Q330)),""),IF(TRIM('Base de Datos'!Q330)="","",IFERROR(DATE(VALUE(RIGHT(TRIM('Base de Datos'!Q330),4)),VALUE(LEFT(TRIM('Base de Datos'!Q330),2)),VALUE(MID(TRIM('Base de Datos'!Q330),4,2))),""))),"")</f>
        <v/>
      </c>
      <c r="AI334" s="74" t="str">
        <f aca="false">IF(ISNUMBER('Base de Datos'!R330),'Base de Datos'!R330,IF(TRIM('Base de Datos'!R330)="","",IFERROR(IF(IFERROR(FIND("@",SUBSTITUTE(TRIM('Base de Datos'!R330),",","@",LEN(TRIM('Base de Datos'!R330))-LEN(SUBSTITUTE(TRIM('Base de Datos'!R330),",","")))),0)&gt;IFERROR(FIND("@",SUBSTITUTE(TRIM('Base de Datos'!R330),".","@",LEN(TRIM('Base de Datos'!R330))-LEN(SUBSTITUTE(TRIM('Base de Datos'!R330),".","")))),0),_xlfn.NUMBERVALUE(SUBSTITUTE(SUBSTITUTE(TRIM('Base de Datos'!R330),".",""),",","."),".",","),_xlfn.NUMBERVALUE(SUBSTITUTE(TRIM('Base de Datos'!R330),",",""),".",",")),"")))</f>
        <v/>
      </c>
      <c r="AJ334" s="73" t="str">
        <f aca="false">IF(ISNUMBER(AK334),IF(ISNUMBER('Base de Datos'!Y330),IF('Base de Datos'!Y330&gt;20000,INT('Base de Datos'!Y330),""),IF(TRIM('Base de Datos'!Y330)="","",IFERROR(DATE(VALUE(RIGHT(TRIM('Base de Datos'!Y330),4)),VALUE(MID(TRIM('Base de Datos'!Y330),4,2)),VALUE(LEFT(TRIM('Base de Datos'!Y330),2))),IFERROR(DATEVALUE(TRIM('Base de Datos'!Y330)),"")))),"")</f>
        <v/>
      </c>
      <c r="AK334" s="74" t="str">
        <f aca="false">IF(ISNUMBER('Base de Datos'!Z330),'Base de Datos'!Z330,IF(TRIM('Base de Datos'!Z330)="","",IFERROR(IF(IFERROR(FIND("@",SUBSTITUTE(TRIM('Base de Datos'!Z330),",","@",LEN(TRIM('Base de Datos'!Z330))-LEN(SUBSTITUTE(TRIM('Base de Datos'!Z330),",","")))),0)&gt;IFERROR(FIND("@",SUBSTITUTE(TRIM('Base de Datos'!Z330),".","@",LEN(TRIM('Base de Datos'!Z330))-LEN(SUBSTITUTE(TRIM('Base de Datos'!Z330),".","")))),0),_xlfn.NUMBERVALUE(SUBSTITUTE(SUBSTITUTE(TRIM('Base de Datos'!Z330),".",""),",","."),".",","),_xlfn.NUMBERVALUE(SUBSTITUTE(TRIM('Base de Datos'!Z330),",",""),".",",")),"")))</f>
        <v/>
      </c>
    </row>
    <row r="335" customFormat="false" ht="13.5" hidden="false" customHeight="false" outlineLevel="0" collapsed="false">
      <c r="A335" s="75" t="n">
        <f aca="false">ROWS(A$13:A335)</f>
        <v>323</v>
      </c>
      <c r="B335" s="73" t="str">
        <f aca="false">IF(B334="","",IFERROR(SMALL($AH$10:$AH$409,COUNTIF($AH$10:$AH$409,"&lt;="&amp;B334)+1),""))</f>
        <v/>
      </c>
      <c r="C335" s="74" t="str">
        <f aca="false">IF(B335="","",INDEX($AI$10:$AI$409,MATCH(B335,$AH$10:$AH$409,0)))</f>
        <v/>
      </c>
      <c r="D335" s="74" t="str">
        <f aca="false">IF(B335="","",IFERROR(INDEX($AK$10:$AK$409,MATCH(B335,$AJ$10:$AJ$409,0)),""))</f>
        <v/>
      </c>
      <c r="E335" s="76" t="str">
        <f aca="false">IF(AND(ISNUMBER(C335),ISNUMBER(C334)),C335/C334-1,"")</f>
        <v/>
      </c>
      <c r="F335" s="76" t="str">
        <f aca="false">IF(AND(ISNUMBER(D335),ISNUMBER(D334)),D335/D334-1,"")</f>
        <v/>
      </c>
      <c r="G335" s="75" t="str">
        <f aca="false">IF(AND(ISNUMBER(E335),ISNUMBER(F335)),1,"")</f>
        <v/>
      </c>
      <c r="H335" s="75" t="str">
        <f aca="false">IF(G335=1,COUNT(G335:G$412),"")</f>
        <v/>
      </c>
      <c r="I335" s="75" t="str">
        <f aca="false">IF(G335=1,IF(H335&lt;='Beta Regresión'!$B$5,1,""),"")</f>
        <v/>
      </c>
      <c r="J335" s="76" t="str">
        <f aca="false">IF(I335=1,E335,"")</f>
        <v/>
      </c>
      <c r="K335" s="76" t="str">
        <f aca="false">IF(I335=1,F335,"")</f>
        <v/>
      </c>
      <c r="L335" s="75" t="str">
        <f aca="false">IF(I335=1,COUNT(I$13:I335),"")</f>
        <v/>
      </c>
      <c r="M335" s="76" t="str">
        <f aca="false">IFERROR(INDEX($J$13:$J$412,MATCH(A335,$L$13:$L$412,0)),"")</f>
        <v/>
      </c>
      <c r="N335" s="76" t="str">
        <f aca="false">IFERROR(INDEX($K$13:$K$412,MATCH(A335,$L$13:$L$412,0)),"")</f>
        <v/>
      </c>
      <c r="O335" s="76" t="e">
        <f aca="false">IF(I335=1,E335,NA())</f>
        <v>#N/A</v>
      </c>
      <c r="P335" s="76" t="e">
        <f aca="false">IF(I335=1,F335,NA())</f>
        <v>#N/A</v>
      </c>
      <c r="R335" s="75" t="n">
        <f aca="false">ROWS(R$13:R335)</f>
        <v>323</v>
      </c>
      <c r="S335" s="73" t="str">
        <f aca="false">IF(S334="","",IFERROR(SMALL($AD$10:$AD$509,COUNTIF($AD$10:$AD$509,"&lt;="&amp;S334)+1),""))</f>
        <v/>
      </c>
      <c r="T335" s="74" t="str">
        <f aca="false">IF(S335="","",INDEX($AE$10:$AE$509,MATCH(S335,$AD$10:$AD$509,0)))</f>
        <v/>
      </c>
      <c r="U335" s="74" t="str">
        <f aca="false">IF(S335="","",IFERROR(INDEX($AG$10:$AG$509,MATCH(S335,$AF$10:$AF$509,0)),""))</f>
        <v/>
      </c>
      <c r="V335" s="76" t="str">
        <f aca="false">IF(AND(ISNUMBER(T335),ISNUMBER(T334)),T335/T334-1,"")</f>
        <v/>
      </c>
      <c r="W335" s="76" t="str">
        <f aca="false">IF(AND(ISNUMBER(U335),ISNUMBER(U334)),U335/U334-1,"")</f>
        <v/>
      </c>
      <c r="X335" s="75" t="str">
        <f aca="false">IF(AND(ISNUMBER(V335),ISNUMBER(W335)),1,"")</f>
        <v/>
      </c>
      <c r="Y335" s="76" t="str">
        <f aca="false">IF(X335=1,V335,"")</f>
        <v/>
      </c>
      <c r="Z335" s="76" t="str">
        <f aca="false">IF(X335=1,W335,"")</f>
        <v/>
      </c>
      <c r="AA335" s="76" t="e">
        <f aca="false">IF(X335=1,V335,NA())</f>
        <v>#N/A</v>
      </c>
      <c r="AB335" s="76" t="e">
        <f aca="false">IF(X335=1,W335,NA())</f>
        <v>#N/A</v>
      </c>
      <c r="AD335" s="73" t="str">
        <f aca="false">IF(ISNUMBER(AE335),IF(ISNUMBER('Base de Datos'!A331),IF('Base de Datos'!A331&gt;20000,DATE(YEAR('Base de Datos'!A331),DAY('Base de Datos'!A331),MONTH('Base de Datos'!A331)),""),IF(TRIM('Base de Datos'!A331)="","",IFERROR(DATE(VALUE(RIGHT(TRIM('Base de Datos'!A331),4)),VALUE(LEFT(TRIM('Base de Datos'!A331),2)),VALUE(MID(TRIM('Base de Datos'!A331),4,2))),""))),"")</f>
        <v/>
      </c>
      <c r="AE335" s="74" t="str">
        <f aca="false">IF(ISNUMBER('Base de Datos'!B331),'Base de Datos'!B331,IF(TRIM('Base de Datos'!B331)="","",IFERROR(IF(IFERROR(FIND("@",SUBSTITUTE(TRIM('Base de Datos'!B331),",","@",LEN(TRIM('Base de Datos'!B331))-LEN(SUBSTITUTE(TRIM('Base de Datos'!B331),",","")))),0)&gt;IFERROR(FIND("@",SUBSTITUTE(TRIM('Base de Datos'!B331),".","@",LEN(TRIM('Base de Datos'!B331))-LEN(SUBSTITUTE(TRIM('Base de Datos'!B331),".","")))),0),_xlfn.NUMBERVALUE(SUBSTITUTE(SUBSTITUTE(TRIM('Base de Datos'!B331),".",""),",","."),".",","),_xlfn.NUMBERVALUE(SUBSTITUTE(TRIM('Base de Datos'!B331),",",""),".",",")),"")))</f>
        <v/>
      </c>
      <c r="AF335" s="73" t="str">
        <f aca="false">IF(ISNUMBER(AG335),IF(ISNUMBER('Base de Datos'!I331),IF('Base de Datos'!I331&gt;20000,INT('Base de Datos'!I331),""),IF(TRIM('Base de Datos'!I331)="","",IFERROR(DATE(VALUE(RIGHT(TRIM('Base de Datos'!I331),4)),VALUE(MID(TRIM('Base de Datos'!I331),4,2)),VALUE(LEFT(TRIM('Base de Datos'!I331),2))),IFERROR(DATEVALUE(TRIM('Base de Datos'!I331)),"")))),"")</f>
        <v/>
      </c>
      <c r="AG335" s="74" t="str">
        <f aca="false">IF(ISNUMBER('Base de Datos'!J331),'Base de Datos'!J331,IF(TRIM('Base de Datos'!J331)="","",IFERROR(IF(IFERROR(FIND("@",SUBSTITUTE(TRIM('Base de Datos'!J331),",","@",LEN(TRIM('Base de Datos'!J331))-LEN(SUBSTITUTE(TRIM('Base de Datos'!J331),",","")))),0)&gt;IFERROR(FIND("@",SUBSTITUTE(TRIM('Base de Datos'!J331),".","@",LEN(TRIM('Base de Datos'!J331))-LEN(SUBSTITUTE(TRIM('Base de Datos'!J331),".","")))),0),_xlfn.NUMBERVALUE(SUBSTITUTE(SUBSTITUTE(TRIM('Base de Datos'!J331),".",""),",","."),".",","),_xlfn.NUMBERVALUE(SUBSTITUTE(TRIM('Base de Datos'!J331),",",""),".",",")),"")))</f>
        <v/>
      </c>
      <c r="AH335" s="73" t="str">
        <f aca="false">IF(ISNUMBER(AI335),IF(ISNUMBER('Base de Datos'!Q331),IF('Base de Datos'!Q331&gt;20000,DATE(YEAR('Base de Datos'!Q331),DAY('Base de Datos'!Q331),MONTH('Base de Datos'!Q331)),""),IF(TRIM('Base de Datos'!Q331)="","",IFERROR(DATE(VALUE(RIGHT(TRIM('Base de Datos'!Q331),4)),VALUE(LEFT(TRIM('Base de Datos'!Q331),2)),VALUE(MID(TRIM('Base de Datos'!Q331),4,2))),""))),"")</f>
        <v/>
      </c>
      <c r="AI335" s="74" t="str">
        <f aca="false">IF(ISNUMBER('Base de Datos'!R331),'Base de Datos'!R331,IF(TRIM('Base de Datos'!R331)="","",IFERROR(IF(IFERROR(FIND("@",SUBSTITUTE(TRIM('Base de Datos'!R331),",","@",LEN(TRIM('Base de Datos'!R331))-LEN(SUBSTITUTE(TRIM('Base de Datos'!R331),",","")))),0)&gt;IFERROR(FIND("@",SUBSTITUTE(TRIM('Base de Datos'!R331),".","@",LEN(TRIM('Base de Datos'!R331))-LEN(SUBSTITUTE(TRIM('Base de Datos'!R331),".","")))),0),_xlfn.NUMBERVALUE(SUBSTITUTE(SUBSTITUTE(TRIM('Base de Datos'!R331),".",""),",","."),".",","),_xlfn.NUMBERVALUE(SUBSTITUTE(TRIM('Base de Datos'!R331),",",""),".",",")),"")))</f>
        <v/>
      </c>
      <c r="AJ335" s="73" t="str">
        <f aca="false">IF(ISNUMBER(AK335),IF(ISNUMBER('Base de Datos'!Y331),IF('Base de Datos'!Y331&gt;20000,INT('Base de Datos'!Y331),""),IF(TRIM('Base de Datos'!Y331)="","",IFERROR(DATE(VALUE(RIGHT(TRIM('Base de Datos'!Y331),4)),VALUE(MID(TRIM('Base de Datos'!Y331),4,2)),VALUE(LEFT(TRIM('Base de Datos'!Y331),2))),IFERROR(DATEVALUE(TRIM('Base de Datos'!Y331)),"")))),"")</f>
        <v/>
      </c>
      <c r="AK335" s="74" t="str">
        <f aca="false">IF(ISNUMBER('Base de Datos'!Z331),'Base de Datos'!Z331,IF(TRIM('Base de Datos'!Z331)="","",IFERROR(IF(IFERROR(FIND("@",SUBSTITUTE(TRIM('Base de Datos'!Z331),",","@",LEN(TRIM('Base de Datos'!Z331))-LEN(SUBSTITUTE(TRIM('Base de Datos'!Z331),",","")))),0)&gt;IFERROR(FIND("@",SUBSTITUTE(TRIM('Base de Datos'!Z331),".","@",LEN(TRIM('Base de Datos'!Z331))-LEN(SUBSTITUTE(TRIM('Base de Datos'!Z331),".","")))),0),_xlfn.NUMBERVALUE(SUBSTITUTE(SUBSTITUTE(TRIM('Base de Datos'!Z331),".",""),",","."),".",","),_xlfn.NUMBERVALUE(SUBSTITUTE(TRIM('Base de Datos'!Z331),",",""),".",",")),"")))</f>
        <v/>
      </c>
    </row>
    <row r="336" customFormat="false" ht="13.5" hidden="false" customHeight="false" outlineLevel="0" collapsed="false">
      <c r="A336" s="75" t="n">
        <f aca="false">ROWS(A$13:A336)</f>
        <v>324</v>
      </c>
      <c r="B336" s="73" t="str">
        <f aca="false">IF(B335="","",IFERROR(SMALL($AH$10:$AH$409,COUNTIF($AH$10:$AH$409,"&lt;="&amp;B335)+1),""))</f>
        <v/>
      </c>
      <c r="C336" s="74" t="str">
        <f aca="false">IF(B336="","",INDEX($AI$10:$AI$409,MATCH(B336,$AH$10:$AH$409,0)))</f>
        <v/>
      </c>
      <c r="D336" s="74" t="str">
        <f aca="false">IF(B336="","",IFERROR(INDEX($AK$10:$AK$409,MATCH(B336,$AJ$10:$AJ$409,0)),""))</f>
        <v/>
      </c>
      <c r="E336" s="76" t="str">
        <f aca="false">IF(AND(ISNUMBER(C336),ISNUMBER(C335)),C336/C335-1,"")</f>
        <v/>
      </c>
      <c r="F336" s="76" t="str">
        <f aca="false">IF(AND(ISNUMBER(D336),ISNUMBER(D335)),D336/D335-1,"")</f>
        <v/>
      </c>
      <c r="G336" s="75" t="str">
        <f aca="false">IF(AND(ISNUMBER(E336),ISNUMBER(F336)),1,"")</f>
        <v/>
      </c>
      <c r="H336" s="75" t="str">
        <f aca="false">IF(G336=1,COUNT(G336:G$412),"")</f>
        <v/>
      </c>
      <c r="I336" s="75" t="str">
        <f aca="false">IF(G336=1,IF(H336&lt;='Beta Regresión'!$B$5,1,""),"")</f>
        <v/>
      </c>
      <c r="J336" s="76" t="str">
        <f aca="false">IF(I336=1,E336,"")</f>
        <v/>
      </c>
      <c r="K336" s="76" t="str">
        <f aca="false">IF(I336=1,F336,"")</f>
        <v/>
      </c>
      <c r="L336" s="75" t="str">
        <f aca="false">IF(I336=1,COUNT(I$13:I336),"")</f>
        <v/>
      </c>
      <c r="M336" s="76" t="str">
        <f aca="false">IFERROR(INDEX($J$13:$J$412,MATCH(A336,$L$13:$L$412,0)),"")</f>
        <v/>
      </c>
      <c r="N336" s="76" t="str">
        <f aca="false">IFERROR(INDEX($K$13:$K$412,MATCH(A336,$L$13:$L$412,0)),"")</f>
        <v/>
      </c>
      <c r="O336" s="76" t="e">
        <f aca="false">IF(I336=1,E336,NA())</f>
        <v>#N/A</v>
      </c>
      <c r="P336" s="76" t="e">
        <f aca="false">IF(I336=1,F336,NA())</f>
        <v>#N/A</v>
      </c>
      <c r="R336" s="75" t="n">
        <f aca="false">ROWS(R$13:R336)</f>
        <v>324</v>
      </c>
      <c r="S336" s="73" t="str">
        <f aca="false">IF(S335="","",IFERROR(SMALL($AD$10:$AD$509,COUNTIF($AD$10:$AD$509,"&lt;="&amp;S335)+1),""))</f>
        <v/>
      </c>
      <c r="T336" s="74" t="str">
        <f aca="false">IF(S336="","",INDEX($AE$10:$AE$509,MATCH(S336,$AD$10:$AD$509,0)))</f>
        <v/>
      </c>
      <c r="U336" s="74" t="str">
        <f aca="false">IF(S336="","",IFERROR(INDEX($AG$10:$AG$509,MATCH(S336,$AF$10:$AF$509,0)),""))</f>
        <v/>
      </c>
      <c r="V336" s="76" t="str">
        <f aca="false">IF(AND(ISNUMBER(T336),ISNUMBER(T335)),T336/T335-1,"")</f>
        <v/>
      </c>
      <c r="W336" s="76" t="str">
        <f aca="false">IF(AND(ISNUMBER(U336),ISNUMBER(U335)),U336/U335-1,"")</f>
        <v/>
      </c>
      <c r="X336" s="75" t="str">
        <f aca="false">IF(AND(ISNUMBER(V336),ISNUMBER(W336)),1,"")</f>
        <v/>
      </c>
      <c r="Y336" s="76" t="str">
        <f aca="false">IF(X336=1,V336,"")</f>
        <v/>
      </c>
      <c r="Z336" s="76" t="str">
        <f aca="false">IF(X336=1,W336,"")</f>
        <v/>
      </c>
      <c r="AA336" s="76" t="e">
        <f aca="false">IF(X336=1,V336,NA())</f>
        <v>#N/A</v>
      </c>
      <c r="AB336" s="76" t="e">
        <f aca="false">IF(X336=1,W336,NA())</f>
        <v>#N/A</v>
      </c>
      <c r="AD336" s="73" t="str">
        <f aca="false">IF(ISNUMBER(AE336),IF(ISNUMBER('Base de Datos'!A332),IF('Base de Datos'!A332&gt;20000,DATE(YEAR('Base de Datos'!A332),DAY('Base de Datos'!A332),MONTH('Base de Datos'!A332)),""),IF(TRIM('Base de Datos'!A332)="","",IFERROR(DATE(VALUE(RIGHT(TRIM('Base de Datos'!A332),4)),VALUE(LEFT(TRIM('Base de Datos'!A332),2)),VALUE(MID(TRIM('Base de Datos'!A332),4,2))),""))),"")</f>
        <v/>
      </c>
      <c r="AE336" s="74" t="str">
        <f aca="false">IF(ISNUMBER('Base de Datos'!B332),'Base de Datos'!B332,IF(TRIM('Base de Datos'!B332)="","",IFERROR(IF(IFERROR(FIND("@",SUBSTITUTE(TRIM('Base de Datos'!B332),",","@",LEN(TRIM('Base de Datos'!B332))-LEN(SUBSTITUTE(TRIM('Base de Datos'!B332),",","")))),0)&gt;IFERROR(FIND("@",SUBSTITUTE(TRIM('Base de Datos'!B332),".","@",LEN(TRIM('Base de Datos'!B332))-LEN(SUBSTITUTE(TRIM('Base de Datos'!B332),".","")))),0),_xlfn.NUMBERVALUE(SUBSTITUTE(SUBSTITUTE(TRIM('Base de Datos'!B332),".",""),",","."),".",","),_xlfn.NUMBERVALUE(SUBSTITUTE(TRIM('Base de Datos'!B332),",",""),".",",")),"")))</f>
        <v/>
      </c>
      <c r="AF336" s="73" t="str">
        <f aca="false">IF(ISNUMBER(AG336),IF(ISNUMBER('Base de Datos'!I332),IF('Base de Datos'!I332&gt;20000,INT('Base de Datos'!I332),""),IF(TRIM('Base de Datos'!I332)="","",IFERROR(DATE(VALUE(RIGHT(TRIM('Base de Datos'!I332),4)),VALUE(MID(TRIM('Base de Datos'!I332),4,2)),VALUE(LEFT(TRIM('Base de Datos'!I332),2))),IFERROR(DATEVALUE(TRIM('Base de Datos'!I332)),"")))),"")</f>
        <v/>
      </c>
      <c r="AG336" s="74" t="str">
        <f aca="false">IF(ISNUMBER('Base de Datos'!J332),'Base de Datos'!J332,IF(TRIM('Base de Datos'!J332)="","",IFERROR(IF(IFERROR(FIND("@",SUBSTITUTE(TRIM('Base de Datos'!J332),",","@",LEN(TRIM('Base de Datos'!J332))-LEN(SUBSTITUTE(TRIM('Base de Datos'!J332),",","")))),0)&gt;IFERROR(FIND("@",SUBSTITUTE(TRIM('Base de Datos'!J332),".","@",LEN(TRIM('Base de Datos'!J332))-LEN(SUBSTITUTE(TRIM('Base de Datos'!J332),".","")))),0),_xlfn.NUMBERVALUE(SUBSTITUTE(SUBSTITUTE(TRIM('Base de Datos'!J332),".",""),",","."),".",","),_xlfn.NUMBERVALUE(SUBSTITUTE(TRIM('Base de Datos'!J332),",",""),".",",")),"")))</f>
        <v/>
      </c>
      <c r="AH336" s="73" t="str">
        <f aca="false">IF(ISNUMBER(AI336),IF(ISNUMBER('Base de Datos'!Q332),IF('Base de Datos'!Q332&gt;20000,DATE(YEAR('Base de Datos'!Q332),DAY('Base de Datos'!Q332),MONTH('Base de Datos'!Q332)),""),IF(TRIM('Base de Datos'!Q332)="","",IFERROR(DATE(VALUE(RIGHT(TRIM('Base de Datos'!Q332),4)),VALUE(LEFT(TRIM('Base de Datos'!Q332),2)),VALUE(MID(TRIM('Base de Datos'!Q332),4,2))),""))),"")</f>
        <v/>
      </c>
      <c r="AI336" s="74" t="str">
        <f aca="false">IF(ISNUMBER('Base de Datos'!R332),'Base de Datos'!R332,IF(TRIM('Base de Datos'!R332)="","",IFERROR(IF(IFERROR(FIND("@",SUBSTITUTE(TRIM('Base de Datos'!R332),",","@",LEN(TRIM('Base de Datos'!R332))-LEN(SUBSTITUTE(TRIM('Base de Datos'!R332),",","")))),0)&gt;IFERROR(FIND("@",SUBSTITUTE(TRIM('Base de Datos'!R332),".","@",LEN(TRIM('Base de Datos'!R332))-LEN(SUBSTITUTE(TRIM('Base de Datos'!R332),".","")))),0),_xlfn.NUMBERVALUE(SUBSTITUTE(SUBSTITUTE(TRIM('Base de Datos'!R332),".",""),",","."),".",","),_xlfn.NUMBERVALUE(SUBSTITUTE(TRIM('Base de Datos'!R332),",",""),".",",")),"")))</f>
        <v/>
      </c>
      <c r="AJ336" s="73" t="str">
        <f aca="false">IF(ISNUMBER(AK336),IF(ISNUMBER('Base de Datos'!Y332),IF('Base de Datos'!Y332&gt;20000,INT('Base de Datos'!Y332),""),IF(TRIM('Base de Datos'!Y332)="","",IFERROR(DATE(VALUE(RIGHT(TRIM('Base de Datos'!Y332),4)),VALUE(MID(TRIM('Base de Datos'!Y332),4,2)),VALUE(LEFT(TRIM('Base de Datos'!Y332),2))),IFERROR(DATEVALUE(TRIM('Base de Datos'!Y332)),"")))),"")</f>
        <v/>
      </c>
      <c r="AK336" s="74" t="str">
        <f aca="false">IF(ISNUMBER('Base de Datos'!Z332),'Base de Datos'!Z332,IF(TRIM('Base de Datos'!Z332)="","",IFERROR(IF(IFERROR(FIND("@",SUBSTITUTE(TRIM('Base de Datos'!Z332),",","@",LEN(TRIM('Base de Datos'!Z332))-LEN(SUBSTITUTE(TRIM('Base de Datos'!Z332),",","")))),0)&gt;IFERROR(FIND("@",SUBSTITUTE(TRIM('Base de Datos'!Z332),".","@",LEN(TRIM('Base de Datos'!Z332))-LEN(SUBSTITUTE(TRIM('Base de Datos'!Z332),".","")))),0),_xlfn.NUMBERVALUE(SUBSTITUTE(SUBSTITUTE(TRIM('Base de Datos'!Z332),".",""),",","."),".",","),_xlfn.NUMBERVALUE(SUBSTITUTE(TRIM('Base de Datos'!Z332),",",""),".",",")),"")))</f>
        <v/>
      </c>
    </row>
    <row r="337" customFormat="false" ht="13.5" hidden="false" customHeight="false" outlineLevel="0" collapsed="false">
      <c r="A337" s="75" t="n">
        <f aca="false">ROWS(A$13:A337)</f>
        <v>325</v>
      </c>
      <c r="B337" s="73" t="str">
        <f aca="false">IF(B336="","",IFERROR(SMALL($AH$10:$AH$409,COUNTIF($AH$10:$AH$409,"&lt;="&amp;B336)+1),""))</f>
        <v/>
      </c>
      <c r="C337" s="74" t="str">
        <f aca="false">IF(B337="","",INDEX($AI$10:$AI$409,MATCH(B337,$AH$10:$AH$409,0)))</f>
        <v/>
      </c>
      <c r="D337" s="74" t="str">
        <f aca="false">IF(B337="","",IFERROR(INDEX($AK$10:$AK$409,MATCH(B337,$AJ$10:$AJ$409,0)),""))</f>
        <v/>
      </c>
      <c r="E337" s="76" t="str">
        <f aca="false">IF(AND(ISNUMBER(C337),ISNUMBER(C336)),C337/C336-1,"")</f>
        <v/>
      </c>
      <c r="F337" s="76" t="str">
        <f aca="false">IF(AND(ISNUMBER(D337),ISNUMBER(D336)),D337/D336-1,"")</f>
        <v/>
      </c>
      <c r="G337" s="75" t="str">
        <f aca="false">IF(AND(ISNUMBER(E337),ISNUMBER(F337)),1,"")</f>
        <v/>
      </c>
      <c r="H337" s="75" t="str">
        <f aca="false">IF(G337=1,COUNT(G337:G$412),"")</f>
        <v/>
      </c>
      <c r="I337" s="75" t="str">
        <f aca="false">IF(G337=1,IF(H337&lt;='Beta Regresión'!$B$5,1,""),"")</f>
        <v/>
      </c>
      <c r="J337" s="76" t="str">
        <f aca="false">IF(I337=1,E337,"")</f>
        <v/>
      </c>
      <c r="K337" s="76" t="str">
        <f aca="false">IF(I337=1,F337,"")</f>
        <v/>
      </c>
      <c r="L337" s="75" t="str">
        <f aca="false">IF(I337=1,COUNT(I$13:I337),"")</f>
        <v/>
      </c>
      <c r="M337" s="76" t="str">
        <f aca="false">IFERROR(INDEX($J$13:$J$412,MATCH(A337,$L$13:$L$412,0)),"")</f>
        <v/>
      </c>
      <c r="N337" s="76" t="str">
        <f aca="false">IFERROR(INDEX($K$13:$K$412,MATCH(A337,$L$13:$L$412,0)),"")</f>
        <v/>
      </c>
      <c r="O337" s="76" t="e">
        <f aca="false">IF(I337=1,E337,NA())</f>
        <v>#N/A</v>
      </c>
      <c r="P337" s="76" t="e">
        <f aca="false">IF(I337=1,F337,NA())</f>
        <v>#N/A</v>
      </c>
      <c r="R337" s="75" t="n">
        <f aca="false">ROWS(R$13:R337)</f>
        <v>325</v>
      </c>
      <c r="S337" s="73" t="str">
        <f aca="false">IF(S336="","",IFERROR(SMALL($AD$10:$AD$509,COUNTIF($AD$10:$AD$509,"&lt;="&amp;S336)+1),""))</f>
        <v/>
      </c>
      <c r="T337" s="74" t="str">
        <f aca="false">IF(S337="","",INDEX($AE$10:$AE$509,MATCH(S337,$AD$10:$AD$509,0)))</f>
        <v/>
      </c>
      <c r="U337" s="74" t="str">
        <f aca="false">IF(S337="","",IFERROR(INDEX($AG$10:$AG$509,MATCH(S337,$AF$10:$AF$509,0)),""))</f>
        <v/>
      </c>
      <c r="V337" s="76" t="str">
        <f aca="false">IF(AND(ISNUMBER(T337),ISNUMBER(T336)),T337/T336-1,"")</f>
        <v/>
      </c>
      <c r="W337" s="76" t="str">
        <f aca="false">IF(AND(ISNUMBER(U337),ISNUMBER(U336)),U337/U336-1,"")</f>
        <v/>
      </c>
      <c r="X337" s="75" t="str">
        <f aca="false">IF(AND(ISNUMBER(V337),ISNUMBER(W337)),1,"")</f>
        <v/>
      </c>
      <c r="Y337" s="76" t="str">
        <f aca="false">IF(X337=1,V337,"")</f>
        <v/>
      </c>
      <c r="Z337" s="76" t="str">
        <f aca="false">IF(X337=1,W337,"")</f>
        <v/>
      </c>
      <c r="AA337" s="76" t="e">
        <f aca="false">IF(X337=1,V337,NA())</f>
        <v>#N/A</v>
      </c>
      <c r="AB337" s="76" t="e">
        <f aca="false">IF(X337=1,W337,NA())</f>
        <v>#N/A</v>
      </c>
      <c r="AD337" s="73" t="str">
        <f aca="false">IF(ISNUMBER(AE337),IF(ISNUMBER('Base de Datos'!A333),IF('Base de Datos'!A333&gt;20000,DATE(YEAR('Base de Datos'!A333),DAY('Base de Datos'!A333),MONTH('Base de Datos'!A333)),""),IF(TRIM('Base de Datos'!A333)="","",IFERROR(DATE(VALUE(RIGHT(TRIM('Base de Datos'!A333),4)),VALUE(LEFT(TRIM('Base de Datos'!A333),2)),VALUE(MID(TRIM('Base de Datos'!A333),4,2))),""))),"")</f>
        <v/>
      </c>
      <c r="AE337" s="74" t="str">
        <f aca="false">IF(ISNUMBER('Base de Datos'!B333),'Base de Datos'!B333,IF(TRIM('Base de Datos'!B333)="","",IFERROR(IF(IFERROR(FIND("@",SUBSTITUTE(TRIM('Base de Datos'!B333),",","@",LEN(TRIM('Base de Datos'!B333))-LEN(SUBSTITUTE(TRIM('Base de Datos'!B333),",","")))),0)&gt;IFERROR(FIND("@",SUBSTITUTE(TRIM('Base de Datos'!B333),".","@",LEN(TRIM('Base de Datos'!B333))-LEN(SUBSTITUTE(TRIM('Base de Datos'!B333),".","")))),0),_xlfn.NUMBERVALUE(SUBSTITUTE(SUBSTITUTE(TRIM('Base de Datos'!B333),".",""),",","."),".",","),_xlfn.NUMBERVALUE(SUBSTITUTE(TRIM('Base de Datos'!B333),",",""),".",",")),"")))</f>
        <v/>
      </c>
      <c r="AF337" s="73" t="str">
        <f aca="false">IF(ISNUMBER(AG337),IF(ISNUMBER('Base de Datos'!I333),IF('Base de Datos'!I333&gt;20000,INT('Base de Datos'!I333),""),IF(TRIM('Base de Datos'!I333)="","",IFERROR(DATE(VALUE(RIGHT(TRIM('Base de Datos'!I333),4)),VALUE(MID(TRIM('Base de Datos'!I333),4,2)),VALUE(LEFT(TRIM('Base de Datos'!I333),2))),IFERROR(DATEVALUE(TRIM('Base de Datos'!I333)),"")))),"")</f>
        <v/>
      </c>
      <c r="AG337" s="74" t="str">
        <f aca="false">IF(ISNUMBER('Base de Datos'!J333),'Base de Datos'!J333,IF(TRIM('Base de Datos'!J333)="","",IFERROR(IF(IFERROR(FIND("@",SUBSTITUTE(TRIM('Base de Datos'!J333),",","@",LEN(TRIM('Base de Datos'!J333))-LEN(SUBSTITUTE(TRIM('Base de Datos'!J333),",","")))),0)&gt;IFERROR(FIND("@",SUBSTITUTE(TRIM('Base de Datos'!J333),".","@",LEN(TRIM('Base de Datos'!J333))-LEN(SUBSTITUTE(TRIM('Base de Datos'!J333),".","")))),0),_xlfn.NUMBERVALUE(SUBSTITUTE(SUBSTITUTE(TRIM('Base de Datos'!J333),".",""),",","."),".",","),_xlfn.NUMBERVALUE(SUBSTITUTE(TRIM('Base de Datos'!J333),",",""),".",",")),"")))</f>
        <v/>
      </c>
      <c r="AH337" s="73" t="str">
        <f aca="false">IF(ISNUMBER(AI337),IF(ISNUMBER('Base de Datos'!Q333),IF('Base de Datos'!Q333&gt;20000,DATE(YEAR('Base de Datos'!Q333),DAY('Base de Datos'!Q333),MONTH('Base de Datos'!Q333)),""),IF(TRIM('Base de Datos'!Q333)="","",IFERROR(DATE(VALUE(RIGHT(TRIM('Base de Datos'!Q333),4)),VALUE(LEFT(TRIM('Base de Datos'!Q333),2)),VALUE(MID(TRIM('Base de Datos'!Q333),4,2))),""))),"")</f>
        <v/>
      </c>
      <c r="AI337" s="74" t="str">
        <f aca="false">IF(ISNUMBER('Base de Datos'!R333),'Base de Datos'!R333,IF(TRIM('Base de Datos'!R333)="","",IFERROR(IF(IFERROR(FIND("@",SUBSTITUTE(TRIM('Base de Datos'!R333),",","@",LEN(TRIM('Base de Datos'!R333))-LEN(SUBSTITUTE(TRIM('Base de Datos'!R333),",","")))),0)&gt;IFERROR(FIND("@",SUBSTITUTE(TRIM('Base de Datos'!R333),".","@",LEN(TRIM('Base de Datos'!R333))-LEN(SUBSTITUTE(TRIM('Base de Datos'!R333),".","")))),0),_xlfn.NUMBERVALUE(SUBSTITUTE(SUBSTITUTE(TRIM('Base de Datos'!R333),".",""),",","."),".",","),_xlfn.NUMBERVALUE(SUBSTITUTE(TRIM('Base de Datos'!R333),",",""),".",",")),"")))</f>
        <v/>
      </c>
      <c r="AJ337" s="73" t="str">
        <f aca="false">IF(ISNUMBER(AK337),IF(ISNUMBER('Base de Datos'!Y333),IF('Base de Datos'!Y333&gt;20000,INT('Base de Datos'!Y333),""),IF(TRIM('Base de Datos'!Y333)="","",IFERROR(DATE(VALUE(RIGHT(TRIM('Base de Datos'!Y333),4)),VALUE(MID(TRIM('Base de Datos'!Y333),4,2)),VALUE(LEFT(TRIM('Base de Datos'!Y333),2))),IFERROR(DATEVALUE(TRIM('Base de Datos'!Y333)),"")))),"")</f>
        <v/>
      </c>
      <c r="AK337" s="74" t="str">
        <f aca="false">IF(ISNUMBER('Base de Datos'!Z333),'Base de Datos'!Z333,IF(TRIM('Base de Datos'!Z333)="","",IFERROR(IF(IFERROR(FIND("@",SUBSTITUTE(TRIM('Base de Datos'!Z333),",","@",LEN(TRIM('Base de Datos'!Z333))-LEN(SUBSTITUTE(TRIM('Base de Datos'!Z333),",","")))),0)&gt;IFERROR(FIND("@",SUBSTITUTE(TRIM('Base de Datos'!Z333),".","@",LEN(TRIM('Base de Datos'!Z333))-LEN(SUBSTITUTE(TRIM('Base de Datos'!Z333),".","")))),0),_xlfn.NUMBERVALUE(SUBSTITUTE(SUBSTITUTE(TRIM('Base de Datos'!Z333),".",""),",","."),".",","),_xlfn.NUMBERVALUE(SUBSTITUTE(TRIM('Base de Datos'!Z333),",",""),".",",")),"")))</f>
        <v/>
      </c>
    </row>
    <row r="338" customFormat="false" ht="13.5" hidden="false" customHeight="false" outlineLevel="0" collapsed="false">
      <c r="A338" s="75" t="n">
        <f aca="false">ROWS(A$13:A338)</f>
        <v>326</v>
      </c>
      <c r="B338" s="73" t="str">
        <f aca="false">IF(B337="","",IFERROR(SMALL($AH$10:$AH$409,COUNTIF($AH$10:$AH$409,"&lt;="&amp;B337)+1),""))</f>
        <v/>
      </c>
      <c r="C338" s="74" t="str">
        <f aca="false">IF(B338="","",INDEX($AI$10:$AI$409,MATCH(B338,$AH$10:$AH$409,0)))</f>
        <v/>
      </c>
      <c r="D338" s="74" t="str">
        <f aca="false">IF(B338="","",IFERROR(INDEX($AK$10:$AK$409,MATCH(B338,$AJ$10:$AJ$409,0)),""))</f>
        <v/>
      </c>
      <c r="E338" s="76" t="str">
        <f aca="false">IF(AND(ISNUMBER(C338),ISNUMBER(C337)),C338/C337-1,"")</f>
        <v/>
      </c>
      <c r="F338" s="76" t="str">
        <f aca="false">IF(AND(ISNUMBER(D338),ISNUMBER(D337)),D338/D337-1,"")</f>
        <v/>
      </c>
      <c r="G338" s="75" t="str">
        <f aca="false">IF(AND(ISNUMBER(E338),ISNUMBER(F338)),1,"")</f>
        <v/>
      </c>
      <c r="H338" s="75" t="str">
        <f aca="false">IF(G338=1,COUNT(G338:G$412),"")</f>
        <v/>
      </c>
      <c r="I338" s="75" t="str">
        <f aca="false">IF(G338=1,IF(H338&lt;='Beta Regresión'!$B$5,1,""),"")</f>
        <v/>
      </c>
      <c r="J338" s="76" t="str">
        <f aca="false">IF(I338=1,E338,"")</f>
        <v/>
      </c>
      <c r="K338" s="76" t="str">
        <f aca="false">IF(I338=1,F338,"")</f>
        <v/>
      </c>
      <c r="L338" s="75" t="str">
        <f aca="false">IF(I338=1,COUNT(I$13:I338),"")</f>
        <v/>
      </c>
      <c r="M338" s="76" t="str">
        <f aca="false">IFERROR(INDEX($J$13:$J$412,MATCH(A338,$L$13:$L$412,0)),"")</f>
        <v/>
      </c>
      <c r="N338" s="76" t="str">
        <f aca="false">IFERROR(INDEX($K$13:$K$412,MATCH(A338,$L$13:$L$412,0)),"")</f>
        <v/>
      </c>
      <c r="O338" s="76" t="e">
        <f aca="false">IF(I338=1,E338,NA())</f>
        <v>#N/A</v>
      </c>
      <c r="P338" s="76" t="e">
        <f aca="false">IF(I338=1,F338,NA())</f>
        <v>#N/A</v>
      </c>
      <c r="R338" s="75" t="n">
        <f aca="false">ROWS(R$13:R338)</f>
        <v>326</v>
      </c>
      <c r="S338" s="73" t="str">
        <f aca="false">IF(S337="","",IFERROR(SMALL($AD$10:$AD$509,COUNTIF($AD$10:$AD$509,"&lt;="&amp;S337)+1),""))</f>
        <v/>
      </c>
      <c r="T338" s="74" t="str">
        <f aca="false">IF(S338="","",INDEX($AE$10:$AE$509,MATCH(S338,$AD$10:$AD$509,0)))</f>
        <v/>
      </c>
      <c r="U338" s="74" t="str">
        <f aca="false">IF(S338="","",IFERROR(INDEX($AG$10:$AG$509,MATCH(S338,$AF$10:$AF$509,0)),""))</f>
        <v/>
      </c>
      <c r="V338" s="76" t="str">
        <f aca="false">IF(AND(ISNUMBER(T338),ISNUMBER(T337)),T338/T337-1,"")</f>
        <v/>
      </c>
      <c r="W338" s="76" t="str">
        <f aca="false">IF(AND(ISNUMBER(U338),ISNUMBER(U337)),U338/U337-1,"")</f>
        <v/>
      </c>
      <c r="X338" s="75" t="str">
        <f aca="false">IF(AND(ISNUMBER(V338),ISNUMBER(W338)),1,"")</f>
        <v/>
      </c>
      <c r="Y338" s="76" t="str">
        <f aca="false">IF(X338=1,V338,"")</f>
        <v/>
      </c>
      <c r="Z338" s="76" t="str">
        <f aca="false">IF(X338=1,W338,"")</f>
        <v/>
      </c>
      <c r="AA338" s="76" t="e">
        <f aca="false">IF(X338=1,V338,NA())</f>
        <v>#N/A</v>
      </c>
      <c r="AB338" s="76" t="e">
        <f aca="false">IF(X338=1,W338,NA())</f>
        <v>#N/A</v>
      </c>
      <c r="AD338" s="73" t="str">
        <f aca="false">IF(ISNUMBER(AE338),IF(ISNUMBER('Base de Datos'!A334),IF('Base de Datos'!A334&gt;20000,DATE(YEAR('Base de Datos'!A334),DAY('Base de Datos'!A334),MONTH('Base de Datos'!A334)),""),IF(TRIM('Base de Datos'!A334)="","",IFERROR(DATE(VALUE(RIGHT(TRIM('Base de Datos'!A334),4)),VALUE(LEFT(TRIM('Base de Datos'!A334),2)),VALUE(MID(TRIM('Base de Datos'!A334),4,2))),""))),"")</f>
        <v/>
      </c>
      <c r="AE338" s="74" t="str">
        <f aca="false">IF(ISNUMBER('Base de Datos'!B334),'Base de Datos'!B334,IF(TRIM('Base de Datos'!B334)="","",IFERROR(IF(IFERROR(FIND("@",SUBSTITUTE(TRIM('Base de Datos'!B334),",","@",LEN(TRIM('Base de Datos'!B334))-LEN(SUBSTITUTE(TRIM('Base de Datos'!B334),",","")))),0)&gt;IFERROR(FIND("@",SUBSTITUTE(TRIM('Base de Datos'!B334),".","@",LEN(TRIM('Base de Datos'!B334))-LEN(SUBSTITUTE(TRIM('Base de Datos'!B334),".","")))),0),_xlfn.NUMBERVALUE(SUBSTITUTE(SUBSTITUTE(TRIM('Base de Datos'!B334),".",""),",","."),".",","),_xlfn.NUMBERVALUE(SUBSTITUTE(TRIM('Base de Datos'!B334),",",""),".",",")),"")))</f>
        <v/>
      </c>
      <c r="AF338" s="73" t="str">
        <f aca="false">IF(ISNUMBER(AG338),IF(ISNUMBER('Base de Datos'!I334),IF('Base de Datos'!I334&gt;20000,INT('Base de Datos'!I334),""),IF(TRIM('Base de Datos'!I334)="","",IFERROR(DATE(VALUE(RIGHT(TRIM('Base de Datos'!I334),4)),VALUE(MID(TRIM('Base de Datos'!I334),4,2)),VALUE(LEFT(TRIM('Base de Datos'!I334),2))),IFERROR(DATEVALUE(TRIM('Base de Datos'!I334)),"")))),"")</f>
        <v/>
      </c>
      <c r="AG338" s="74" t="str">
        <f aca="false">IF(ISNUMBER('Base de Datos'!J334),'Base de Datos'!J334,IF(TRIM('Base de Datos'!J334)="","",IFERROR(IF(IFERROR(FIND("@",SUBSTITUTE(TRIM('Base de Datos'!J334),",","@",LEN(TRIM('Base de Datos'!J334))-LEN(SUBSTITUTE(TRIM('Base de Datos'!J334),",","")))),0)&gt;IFERROR(FIND("@",SUBSTITUTE(TRIM('Base de Datos'!J334),".","@",LEN(TRIM('Base de Datos'!J334))-LEN(SUBSTITUTE(TRIM('Base de Datos'!J334),".","")))),0),_xlfn.NUMBERVALUE(SUBSTITUTE(SUBSTITUTE(TRIM('Base de Datos'!J334),".",""),",","."),".",","),_xlfn.NUMBERVALUE(SUBSTITUTE(TRIM('Base de Datos'!J334),",",""),".",",")),"")))</f>
        <v/>
      </c>
      <c r="AH338" s="73" t="str">
        <f aca="false">IF(ISNUMBER(AI338),IF(ISNUMBER('Base de Datos'!Q334),IF('Base de Datos'!Q334&gt;20000,DATE(YEAR('Base de Datos'!Q334),DAY('Base de Datos'!Q334),MONTH('Base de Datos'!Q334)),""),IF(TRIM('Base de Datos'!Q334)="","",IFERROR(DATE(VALUE(RIGHT(TRIM('Base de Datos'!Q334),4)),VALUE(LEFT(TRIM('Base de Datos'!Q334),2)),VALUE(MID(TRIM('Base de Datos'!Q334),4,2))),""))),"")</f>
        <v/>
      </c>
      <c r="AI338" s="74" t="str">
        <f aca="false">IF(ISNUMBER('Base de Datos'!R334),'Base de Datos'!R334,IF(TRIM('Base de Datos'!R334)="","",IFERROR(IF(IFERROR(FIND("@",SUBSTITUTE(TRIM('Base de Datos'!R334),",","@",LEN(TRIM('Base de Datos'!R334))-LEN(SUBSTITUTE(TRIM('Base de Datos'!R334),",","")))),0)&gt;IFERROR(FIND("@",SUBSTITUTE(TRIM('Base de Datos'!R334),".","@",LEN(TRIM('Base de Datos'!R334))-LEN(SUBSTITUTE(TRIM('Base de Datos'!R334),".","")))),0),_xlfn.NUMBERVALUE(SUBSTITUTE(SUBSTITUTE(TRIM('Base de Datos'!R334),".",""),",","."),".",","),_xlfn.NUMBERVALUE(SUBSTITUTE(TRIM('Base de Datos'!R334),",",""),".",",")),"")))</f>
        <v/>
      </c>
      <c r="AJ338" s="73" t="str">
        <f aca="false">IF(ISNUMBER(AK338),IF(ISNUMBER('Base de Datos'!Y334),IF('Base de Datos'!Y334&gt;20000,INT('Base de Datos'!Y334),""),IF(TRIM('Base de Datos'!Y334)="","",IFERROR(DATE(VALUE(RIGHT(TRIM('Base de Datos'!Y334),4)),VALUE(MID(TRIM('Base de Datos'!Y334),4,2)),VALUE(LEFT(TRIM('Base de Datos'!Y334),2))),IFERROR(DATEVALUE(TRIM('Base de Datos'!Y334)),"")))),"")</f>
        <v/>
      </c>
      <c r="AK338" s="74" t="str">
        <f aca="false">IF(ISNUMBER('Base de Datos'!Z334),'Base de Datos'!Z334,IF(TRIM('Base de Datos'!Z334)="","",IFERROR(IF(IFERROR(FIND("@",SUBSTITUTE(TRIM('Base de Datos'!Z334),",","@",LEN(TRIM('Base de Datos'!Z334))-LEN(SUBSTITUTE(TRIM('Base de Datos'!Z334),",","")))),0)&gt;IFERROR(FIND("@",SUBSTITUTE(TRIM('Base de Datos'!Z334),".","@",LEN(TRIM('Base de Datos'!Z334))-LEN(SUBSTITUTE(TRIM('Base de Datos'!Z334),".","")))),0),_xlfn.NUMBERVALUE(SUBSTITUTE(SUBSTITUTE(TRIM('Base de Datos'!Z334),".",""),",","."),".",","),_xlfn.NUMBERVALUE(SUBSTITUTE(TRIM('Base de Datos'!Z334),",",""),".",",")),"")))</f>
        <v/>
      </c>
    </row>
    <row r="339" customFormat="false" ht="13.5" hidden="false" customHeight="false" outlineLevel="0" collapsed="false">
      <c r="A339" s="75" t="n">
        <f aca="false">ROWS(A$13:A339)</f>
        <v>327</v>
      </c>
      <c r="B339" s="73" t="str">
        <f aca="false">IF(B338="","",IFERROR(SMALL($AH$10:$AH$409,COUNTIF($AH$10:$AH$409,"&lt;="&amp;B338)+1),""))</f>
        <v/>
      </c>
      <c r="C339" s="74" t="str">
        <f aca="false">IF(B339="","",INDEX($AI$10:$AI$409,MATCH(B339,$AH$10:$AH$409,0)))</f>
        <v/>
      </c>
      <c r="D339" s="74" t="str">
        <f aca="false">IF(B339="","",IFERROR(INDEX($AK$10:$AK$409,MATCH(B339,$AJ$10:$AJ$409,0)),""))</f>
        <v/>
      </c>
      <c r="E339" s="76" t="str">
        <f aca="false">IF(AND(ISNUMBER(C339),ISNUMBER(C338)),C339/C338-1,"")</f>
        <v/>
      </c>
      <c r="F339" s="76" t="str">
        <f aca="false">IF(AND(ISNUMBER(D339),ISNUMBER(D338)),D339/D338-1,"")</f>
        <v/>
      </c>
      <c r="G339" s="75" t="str">
        <f aca="false">IF(AND(ISNUMBER(E339),ISNUMBER(F339)),1,"")</f>
        <v/>
      </c>
      <c r="H339" s="75" t="str">
        <f aca="false">IF(G339=1,COUNT(G339:G$412),"")</f>
        <v/>
      </c>
      <c r="I339" s="75" t="str">
        <f aca="false">IF(G339=1,IF(H339&lt;='Beta Regresión'!$B$5,1,""),"")</f>
        <v/>
      </c>
      <c r="J339" s="76" t="str">
        <f aca="false">IF(I339=1,E339,"")</f>
        <v/>
      </c>
      <c r="K339" s="76" t="str">
        <f aca="false">IF(I339=1,F339,"")</f>
        <v/>
      </c>
      <c r="L339" s="75" t="str">
        <f aca="false">IF(I339=1,COUNT(I$13:I339),"")</f>
        <v/>
      </c>
      <c r="M339" s="76" t="str">
        <f aca="false">IFERROR(INDEX($J$13:$J$412,MATCH(A339,$L$13:$L$412,0)),"")</f>
        <v/>
      </c>
      <c r="N339" s="76" t="str">
        <f aca="false">IFERROR(INDEX($K$13:$K$412,MATCH(A339,$L$13:$L$412,0)),"")</f>
        <v/>
      </c>
      <c r="O339" s="76" t="e">
        <f aca="false">IF(I339=1,E339,NA())</f>
        <v>#N/A</v>
      </c>
      <c r="P339" s="76" t="e">
        <f aca="false">IF(I339=1,F339,NA())</f>
        <v>#N/A</v>
      </c>
      <c r="R339" s="75" t="n">
        <f aca="false">ROWS(R$13:R339)</f>
        <v>327</v>
      </c>
      <c r="S339" s="73" t="str">
        <f aca="false">IF(S338="","",IFERROR(SMALL($AD$10:$AD$509,COUNTIF($AD$10:$AD$509,"&lt;="&amp;S338)+1),""))</f>
        <v/>
      </c>
      <c r="T339" s="74" t="str">
        <f aca="false">IF(S339="","",INDEX($AE$10:$AE$509,MATCH(S339,$AD$10:$AD$509,0)))</f>
        <v/>
      </c>
      <c r="U339" s="74" t="str">
        <f aca="false">IF(S339="","",IFERROR(INDEX($AG$10:$AG$509,MATCH(S339,$AF$10:$AF$509,0)),""))</f>
        <v/>
      </c>
      <c r="V339" s="76" t="str">
        <f aca="false">IF(AND(ISNUMBER(T339),ISNUMBER(T338)),T339/T338-1,"")</f>
        <v/>
      </c>
      <c r="W339" s="76" t="str">
        <f aca="false">IF(AND(ISNUMBER(U339),ISNUMBER(U338)),U339/U338-1,"")</f>
        <v/>
      </c>
      <c r="X339" s="75" t="str">
        <f aca="false">IF(AND(ISNUMBER(V339),ISNUMBER(W339)),1,"")</f>
        <v/>
      </c>
      <c r="Y339" s="76" t="str">
        <f aca="false">IF(X339=1,V339,"")</f>
        <v/>
      </c>
      <c r="Z339" s="76" t="str">
        <f aca="false">IF(X339=1,W339,"")</f>
        <v/>
      </c>
      <c r="AA339" s="76" t="e">
        <f aca="false">IF(X339=1,V339,NA())</f>
        <v>#N/A</v>
      </c>
      <c r="AB339" s="76" t="e">
        <f aca="false">IF(X339=1,W339,NA())</f>
        <v>#N/A</v>
      </c>
      <c r="AD339" s="73" t="str">
        <f aca="false">IF(ISNUMBER(AE339),IF(ISNUMBER('Base de Datos'!A335),IF('Base de Datos'!A335&gt;20000,DATE(YEAR('Base de Datos'!A335),DAY('Base de Datos'!A335),MONTH('Base de Datos'!A335)),""),IF(TRIM('Base de Datos'!A335)="","",IFERROR(DATE(VALUE(RIGHT(TRIM('Base de Datos'!A335),4)),VALUE(LEFT(TRIM('Base de Datos'!A335),2)),VALUE(MID(TRIM('Base de Datos'!A335),4,2))),""))),"")</f>
        <v/>
      </c>
      <c r="AE339" s="74" t="str">
        <f aca="false">IF(ISNUMBER('Base de Datos'!B335),'Base de Datos'!B335,IF(TRIM('Base de Datos'!B335)="","",IFERROR(IF(IFERROR(FIND("@",SUBSTITUTE(TRIM('Base de Datos'!B335),",","@",LEN(TRIM('Base de Datos'!B335))-LEN(SUBSTITUTE(TRIM('Base de Datos'!B335),",","")))),0)&gt;IFERROR(FIND("@",SUBSTITUTE(TRIM('Base de Datos'!B335),".","@",LEN(TRIM('Base de Datos'!B335))-LEN(SUBSTITUTE(TRIM('Base de Datos'!B335),".","")))),0),_xlfn.NUMBERVALUE(SUBSTITUTE(SUBSTITUTE(TRIM('Base de Datos'!B335),".",""),",","."),".",","),_xlfn.NUMBERVALUE(SUBSTITUTE(TRIM('Base de Datos'!B335),",",""),".",",")),"")))</f>
        <v/>
      </c>
      <c r="AF339" s="73" t="str">
        <f aca="false">IF(ISNUMBER(AG339),IF(ISNUMBER('Base de Datos'!I335),IF('Base de Datos'!I335&gt;20000,INT('Base de Datos'!I335),""),IF(TRIM('Base de Datos'!I335)="","",IFERROR(DATE(VALUE(RIGHT(TRIM('Base de Datos'!I335),4)),VALUE(MID(TRIM('Base de Datos'!I335),4,2)),VALUE(LEFT(TRIM('Base de Datos'!I335),2))),IFERROR(DATEVALUE(TRIM('Base de Datos'!I335)),"")))),"")</f>
        <v/>
      </c>
      <c r="AG339" s="74" t="str">
        <f aca="false">IF(ISNUMBER('Base de Datos'!J335),'Base de Datos'!J335,IF(TRIM('Base de Datos'!J335)="","",IFERROR(IF(IFERROR(FIND("@",SUBSTITUTE(TRIM('Base de Datos'!J335),",","@",LEN(TRIM('Base de Datos'!J335))-LEN(SUBSTITUTE(TRIM('Base de Datos'!J335),",","")))),0)&gt;IFERROR(FIND("@",SUBSTITUTE(TRIM('Base de Datos'!J335),".","@",LEN(TRIM('Base de Datos'!J335))-LEN(SUBSTITUTE(TRIM('Base de Datos'!J335),".","")))),0),_xlfn.NUMBERVALUE(SUBSTITUTE(SUBSTITUTE(TRIM('Base de Datos'!J335),".",""),",","."),".",","),_xlfn.NUMBERVALUE(SUBSTITUTE(TRIM('Base de Datos'!J335),",",""),".",",")),"")))</f>
        <v/>
      </c>
      <c r="AH339" s="73" t="str">
        <f aca="false">IF(ISNUMBER(AI339),IF(ISNUMBER('Base de Datos'!Q335),IF('Base de Datos'!Q335&gt;20000,DATE(YEAR('Base de Datos'!Q335),DAY('Base de Datos'!Q335),MONTH('Base de Datos'!Q335)),""),IF(TRIM('Base de Datos'!Q335)="","",IFERROR(DATE(VALUE(RIGHT(TRIM('Base de Datos'!Q335),4)),VALUE(LEFT(TRIM('Base de Datos'!Q335),2)),VALUE(MID(TRIM('Base de Datos'!Q335),4,2))),""))),"")</f>
        <v/>
      </c>
      <c r="AI339" s="74" t="str">
        <f aca="false">IF(ISNUMBER('Base de Datos'!R335),'Base de Datos'!R335,IF(TRIM('Base de Datos'!R335)="","",IFERROR(IF(IFERROR(FIND("@",SUBSTITUTE(TRIM('Base de Datos'!R335),",","@",LEN(TRIM('Base de Datos'!R335))-LEN(SUBSTITUTE(TRIM('Base de Datos'!R335),",","")))),0)&gt;IFERROR(FIND("@",SUBSTITUTE(TRIM('Base de Datos'!R335),".","@",LEN(TRIM('Base de Datos'!R335))-LEN(SUBSTITUTE(TRIM('Base de Datos'!R335),".","")))),0),_xlfn.NUMBERVALUE(SUBSTITUTE(SUBSTITUTE(TRIM('Base de Datos'!R335),".",""),",","."),".",","),_xlfn.NUMBERVALUE(SUBSTITUTE(TRIM('Base de Datos'!R335),",",""),".",",")),"")))</f>
        <v/>
      </c>
      <c r="AJ339" s="73" t="str">
        <f aca="false">IF(ISNUMBER(AK339),IF(ISNUMBER('Base de Datos'!Y335),IF('Base de Datos'!Y335&gt;20000,INT('Base de Datos'!Y335),""),IF(TRIM('Base de Datos'!Y335)="","",IFERROR(DATE(VALUE(RIGHT(TRIM('Base de Datos'!Y335),4)),VALUE(MID(TRIM('Base de Datos'!Y335),4,2)),VALUE(LEFT(TRIM('Base de Datos'!Y335),2))),IFERROR(DATEVALUE(TRIM('Base de Datos'!Y335)),"")))),"")</f>
        <v/>
      </c>
      <c r="AK339" s="74" t="str">
        <f aca="false">IF(ISNUMBER('Base de Datos'!Z335),'Base de Datos'!Z335,IF(TRIM('Base de Datos'!Z335)="","",IFERROR(IF(IFERROR(FIND("@",SUBSTITUTE(TRIM('Base de Datos'!Z335),",","@",LEN(TRIM('Base de Datos'!Z335))-LEN(SUBSTITUTE(TRIM('Base de Datos'!Z335),",","")))),0)&gt;IFERROR(FIND("@",SUBSTITUTE(TRIM('Base de Datos'!Z335),".","@",LEN(TRIM('Base de Datos'!Z335))-LEN(SUBSTITUTE(TRIM('Base de Datos'!Z335),".","")))),0),_xlfn.NUMBERVALUE(SUBSTITUTE(SUBSTITUTE(TRIM('Base de Datos'!Z335),".",""),",","."),".",","),_xlfn.NUMBERVALUE(SUBSTITUTE(TRIM('Base de Datos'!Z335),",",""),".",",")),"")))</f>
        <v/>
      </c>
    </row>
    <row r="340" customFormat="false" ht="13.5" hidden="false" customHeight="false" outlineLevel="0" collapsed="false">
      <c r="A340" s="75" t="n">
        <f aca="false">ROWS(A$13:A340)</f>
        <v>328</v>
      </c>
      <c r="B340" s="73" t="str">
        <f aca="false">IF(B339="","",IFERROR(SMALL($AH$10:$AH$409,COUNTIF($AH$10:$AH$409,"&lt;="&amp;B339)+1),""))</f>
        <v/>
      </c>
      <c r="C340" s="74" t="str">
        <f aca="false">IF(B340="","",INDEX($AI$10:$AI$409,MATCH(B340,$AH$10:$AH$409,0)))</f>
        <v/>
      </c>
      <c r="D340" s="74" t="str">
        <f aca="false">IF(B340="","",IFERROR(INDEX($AK$10:$AK$409,MATCH(B340,$AJ$10:$AJ$409,0)),""))</f>
        <v/>
      </c>
      <c r="E340" s="76" t="str">
        <f aca="false">IF(AND(ISNUMBER(C340),ISNUMBER(C339)),C340/C339-1,"")</f>
        <v/>
      </c>
      <c r="F340" s="76" t="str">
        <f aca="false">IF(AND(ISNUMBER(D340),ISNUMBER(D339)),D340/D339-1,"")</f>
        <v/>
      </c>
      <c r="G340" s="75" t="str">
        <f aca="false">IF(AND(ISNUMBER(E340),ISNUMBER(F340)),1,"")</f>
        <v/>
      </c>
      <c r="H340" s="75" t="str">
        <f aca="false">IF(G340=1,COUNT(G340:G$412),"")</f>
        <v/>
      </c>
      <c r="I340" s="75" t="str">
        <f aca="false">IF(G340=1,IF(H340&lt;='Beta Regresión'!$B$5,1,""),"")</f>
        <v/>
      </c>
      <c r="J340" s="76" t="str">
        <f aca="false">IF(I340=1,E340,"")</f>
        <v/>
      </c>
      <c r="K340" s="76" t="str">
        <f aca="false">IF(I340=1,F340,"")</f>
        <v/>
      </c>
      <c r="L340" s="75" t="str">
        <f aca="false">IF(I340=1,COUNT(I$13:I340),"")</f>
        <v/>
      </c>
      <c r="M340" s="76" t="str">
        <f aca="false">IFERROR(INDEX($J$13:$J$412,MATCH(A340,$L$13:$L$412,0)),"")</f>
        <v/>
      </c>
      <c r="N340" s="76" t="str">
        <f aca="false">IFERROR(INDEX($K$13:$K$412,MATCH(A340,$L$13:$L$412,0)),"")</f>
        <v/>
      </c>
      <c r="O340" s="76" t="e">
        <f aca="false">IF(I340=1,E340,NA())</f>
        <v>#N/A</v>
      </c>
      <c r="P340" s="76" t="e">
        <f aca="false">IF(I340=1,F340,NA())</f>
        <v>#N/A</v>
      </c>
      <c r="R340" s="75" t="n">
        <f aca="false">ROWS(R$13:R340)</f>
        <v>328</v>
      </c>
      <c r="S340" s="73" t="str">
        <f aca="false">IF(S339="","",IFERROR(SMALL($AD$10:$AD$509,COUNTIF($AD$10:$AD$509,"&lt;="&amp;S339)+1),""))</f>
        <v/>
      </c>
      <c r="T340" s="74" t="str">
        <f aca="false">IF(S340="","",INDEX($AE$10:$AE$509,MATCH(S340,$AD$10:$AD$509,0)))</f>
        <v/>
      </c>
      <c r="U340" s="74" t="str">
        <f aca="false">IF(S340="","",IFERROR(INDEX($AG$10:$AG$509,MATCH(S340,$AF$10:$AF$509,0)),""))</f>
        <v/>
      </c>
      <c r="V340" s="76" t="str">
        <f aca="false">IF(AND(ISNUMBER(T340),ISNUMBER(T339)),T340/T339-1,"")</f>
        <v/>
      </c>
      <c r="W340" s="76" t="str">
        <f aca="false">IF(AND(ISNUMBER(U340),ISNUMBER(U339)),U340/U339-1,"")</f>
        <v/>
      </c>
      <c r="X340" s="75" t="str">
        <f aca="false">IF(AND(ISNUMBER(V340),ISNUMBER(W340)),1,"")</f>
        <v/>
      </c>
      <c r="Y340" s="76" t="str">
        <f aca="false">IF(X340=1,V340,"")</f>
        <v/>
      </c>
      <c r="Z340" s="76" t="str">
        <f aca="false">IF(X340=1,W340,"")</f>
        <v/>
      </c>
      <c r="AA340" s="76" t="e">
        <f aca="false">IF(X340=1,V340,NA())</f>
        <v>#N/A</v>
      </c>
      <c r="AB340" s="76" t="e">
        <f aca="false">IF(X340=1,W340,NA())</f>
        <v>#N/A</v>
      </c>
      <c r="AD340" s="73" t="str">
        <f aca="false">IF(ISNUMBER(AE340),IF(ISNUMBER('Base de Datos'!A336),IF('Base de Datos'!A336&gt;20000,DATE(YEAR('Base de Datos'!A336),DAY('Base de Datos'!A336),MONTH('Base de Datos'!A336)),""),IF(TRIM('Base de Datos'!A336)="","",IFERROR(DATE(VALUE(RIGHT(TRIM('Base de Datos'!A336),4)),VALUE(LEFT(TRIM('Base de Datos'!A336),2)),VALUE(MID(TRIM('Base de Datos'!A336),4,2))),""))),"")</f>
        <v/>
      </c>
      <c r="AE340" s="74" t="str">
        <f aca="false">IF(ISNUMBER('Base de Datos'!B336),'Base de Datos'!B336,IF(TRIM('Base de Datos'!B336)="","",IFERROR(IF(IFERROR(FIND("@",SUBSTITUTE(TRIM('Base de Datos'!B336),",","@",LEN(TRIM('Base de Datos'!B336))-LEN(SUBSTITUTE(TRIM('Base de Datos'!B336),",","")))),0)&gt;IFERROR(FIND("@",SUBSTITUTE(TRIM('Base de Datos'!B336),".","@",LEN(TRIM('Base de Datos'!B336))-LEN(SUBSTITUTE(TRIM('Base de Datos'!B336),".","")))),0),_xlfn.NUMBERVALUE(SUBSTITUTE(SUBSTITUTE(TRIM('Base de Datos'!B336),".",""),",","."),".",","),_xlfn.NUMBERVALUE(SUBSTITUTE(TRIM('Base de Datos'!B336),",",""),".",",")),"")))</f>
        <v/>
      </c>
      <c r="AF340" s="73" t="str">
        <f aca="false">IF(ISNUMBER(AG340),IF(ISNUMBER('Base de Datos'!I336),IF('Base de Datos'!I336&gt;20000,INT('Base de Datos'!I336),""),IF(TRIM('Base de Datos'!I336)="","",IFERROR(DATE(VALUE(RIGHT(TRIM('Base de Datos'!I336),4)),VALUE(MID(TRIM('Base de Datos'!I336),4,2)),VALUE(LEFT(TRIM('Base de Datos'!I336),2))),IFERROR(DATEVALUE(TRIM('Base de Datos'!I336)),"")))),"")</f>
        <v/>
      </c>
      <c r="AG340" s="74" t="str">
        <f aca="false">IF(ISNUMBER('Base de Datos'!J336),'Base de Datos'!J336,IF(TRIM('Base de Datos'!J336)="","",IFERROR(IF(IFERROR(FIND("@",SUBSTITUTE(TRIM('Base de Datos'!J336),",","@",LEN(TRIM('Base de Datos'!J336))-LEN(SUBSTITUTE(TRIM('Base de Datos'!J336),",","")))),0)&gt;IFERROR(FIND("@",SUBSTITUTE(TRIM('Base de Datos'!J336),".","@",LEN(TRIM('Base de Datos'!J336))-LEN(SUBSTITUTE(TRIM('Base de Datos'!J336),".","")))),0),_xlfn.NUMBERVALUE(SUBSTITUTE(SUBSTITUTE(TRIM('Base de Datos'!J336),".",""),",","."),".",","),_xlfn.NUMBERVALUE(SUBSTITUTE(TRIM('Base de Datos'!J336),",",""),".",",")),"")))</f>
        <v/>
      </c>
      <c r="AH340" s="73" t="str">
        <f aca="false">IF(ISNUMBER(AI340),IF(ISNUMBER('Base de Datos'!Q336),IF('Base de Datos'!Q336&gt;20000,DATE(YEAR('Base de Datos'!Q336),DAY('Base de Datos'!Q336),MONTH('Base de Datos'!Q336)),""),IF(TRIM('Base de Datos'!Q336)="","",IFERROR(DATE(VALUE(RIGHT(TRIM('Base de Datos'!Q336),4)),VALUE(LEFT(TRIM('Base de Datos'!Q336),2)),VALUE(MID(TRIM('Base de Datos'!Q336),4,2))),""))),"")</f>
        <v/>
      </c>
      <c r="AI340" s="74" t="str">
        <f aca="false">IF(ISNUMBER('Base de Datos'!R336),'Base de Datos'!R336,IF(TRIM('Base de Datos'!R336)="","",IFERROR(IF(IFERROR(FIND("@",SUBSTITUTE(TRIM('Base de Datos'!R336),",","@",LEN(TRIM('Base de Datos'!R336))-LEN(SUBSTITUTE(TRIM('Base de Datos'!R336),",","")))),0)&gt;IFERROR(FIND("@",SUBSTITUTE(TRIM('Base de Datos'!R336),".","@",LEN(TRIM('Base de Datos'!R336))-LEN(SUBSTITUTE(TRIM('Base de Datos'!R336),".","")))),0),_xlfn.NUMBERVALUE(SUBSTITUTE(SUBSTITUTE(TRIM('Base de Datos'!R336),".",""),",","."),".",","),_xlfn.NUMBERVALUE(SUBSTITUTE(TRIM('Base de Datos'!R336),",",""),".",",")),"")))</f>
        <v/>
      </c>
      <c r="AJ340" s="73" t="str">
        <f aca="false">IF(ISNUMBER(AK340),IF(ISNUMBER('Base de Datos'!Y336),IF('Base de Datos'!Y336&gt;20000,INT('Base de Datos'!Y336),""),IF(TRIM('Base de Datos'!Y336)="","",IFERROR(DATE(VALUE(RIGHT(TRIM('Base de Datos'!Y336),4)),VALUE(MID(TRIM('Base de Datos'!Y336),4,2)),VALUE(LEFT(TRIM('Base de Datos'!Y336),2))),IFERROR(DATEVALUE(TRIM('Base de Datos'!Y336)),"")))),"")</f>
        <v/>
      </c>
      <c r="AK340" s="74" t="str">
        <f aca="false">IF(ISNUMBER('Base de Datos'!Z336),'Base de Datos'!Z336,IF(TRIM('Base de Datos'!Z336)="","",IFERROR(IF(IFERROR(FIND("@",SUBSTITUTE(TRIM('Base de Datos'!Z336),",","@",LEN(TRIM('Base de Datos'!Z336))-LEN(SUBSTITUTE(TRIM('Base de Datos'!Z336),",","")))),0)&gt;IFERROR(FIND("@",SUBSTITUTE(TRIM('Base de Datos'!Z336),".","@",LEN(TRIM('Base de Datos'!Z336))-LEN(SUBSTITUTE(TRIM('Base de Datos'!Z336),".","")))),0),_xlfn.NUMBERVALUE(SUBSTITUTE(SUBSTITUTE(TRIM('Base de Datos'!Z336),".",""),",","."),".",","),_xlfn.NUMBERVALUE(SUBSTITUTE(TRIM('Base de Datos'!Z336),",",""),".",",")),"")))</f>
        <v/>
      </c>
    </row>
    <row r="341" customFormat="false" ht="13.5" hidden="false" customHeight="false" outlineLevel="0" collapsed="false">
      <c r="A341" s="75" t="n">
        <f aca="false">ROWS(A$13:A341)</f>
        <v>329</v>
      </c>
      <c r="B341" s="73" t="str">
        <f aca="false">IF(B340="","",IFERROR(SMALL($AH$10:$AH$409,COUNTIF($AH$10:$AH$409,"&lt;="&amp;B340)+1),""))</f>
        <v/>
      </c>
      <c r="C341" s="74" t="str">
        <f aca="false">IF(B341="","",INDEX($AI$10:$AI$409,MATCH(B341,$AH$10:$AH$409,0)))</f>
        <v/>
      </c>
      <c r="D341" s="74" t="str">
        <f aca="false">IF(B341="","",IFERROR(INDEX($AK$10:$AK$409,MATCH(B341,$AJ$10:$AJ$409,0)),""))</f>
        <v/>
      </c>
      <c r="E341" s="76" t="str">
        <f aca="false">IF(AND(ISNUMBER(C341),ISNUMBER(C340)),C341/C340-1,"")</f>
        <v/>
      </c>
      <c r="F341" s="76" t="str">
        <f aca="false">IF(AND(ISNUMBER(D341),ISNUMBER(D340)),D341/D340-1,"")</f>
        <v/>
      </c>
      <c r="G341" s="75" t="str">
        <f aca="false">IF(AND(ISNUMBER(E341),ISNUMBER(F341)),1,"")</f>
        <v/>
      </c>
      <c r="H341" s="75" t="str">
        <f aca="false">IF(G341=1,COUNT(G341:G$412),"")</f>
        <v/>
      </c>
      <c r="I341" s="75" t="str">
        <f aca="false">IF(G341=1,IF(H341&lt;='Beta Regresión'!$B$5,1,""),"")</f>
        <v/>
      </c>
      <c r="J341" s="76" t="str">
        <f aca="false">IF(I341=1,E341,"")</f>
        <v/>
      </c>
      <c r="K341" s="76" t="str">
        <f aca="false">IF(I341=1,F341,"")</f>
        <v/>
      </c>
      <c r="L341" s="75" t="str">
        <f aca="false">IF(I341=1,COUNT(I$13:I341),"")</f>
        <v/>
      </c>
      <c r="M341" s="76" t="str">
        <f aca="false">IFERROR(INDEX($J$13:$J$412,MATCH(A341,$L$13:$L$412,0)),"")</f>
        <v/>
      </c>
      <c r="N341" s="76" t="str">
        <f aca="false">IFERROR(INDEX($K$13:$K$412,MATCH(A341,$L$13:$L$412,0)),"")</f>
        <v/>
      </c>
      <c r="O341" s="76" t="e">
        <f aca="false">IF(I341=1,E341,NA())</f>
        <v>#N/A</v>
      </c>
      <c r="P341" s="76" t="e">
        <f aca="false">IF(I341=1,F341,NA())</f>
        <v>#N/A</v>
      </c>
      <c r="R341" s="75" t="n">
        <f aca="false">ROWS(R$13:R341)</f>
        <v>329</v>
      </c>
      <c r="S341" s="73" t="str">
        <f aca="false">IF(S340="","",IFERROR(SMALL($AD$10:$AD$509,COUNTIF($AD$10:$AD$509,"&lt;="&amp;S340)+1),""))</f>
        <v/>
      </c>
      <c r="T341" s="74" t="str">
        <f aca="false">IF(S341="","",INDEX($AE$10:$AE$509,MATCH(S341,$AD$10:$AD$509,0)))</f>
        <v/>
      </c>
      <c r="U341" s="74" t="str">
        <f aca="false">IF(S341="","",IFERROR(INDEX($AG$10:$AG$509,MATCH(S341,$AF$10:$AF$509,0)),""))</f>
        <v/>
      </c>
      <c r="V341" s="76" t="str">
        <f aca="false">IF(AND(ISNUMBER(T341),ISNUMBER(T340)),T341/T340-1,"")</f>
        <v/>
      </c>
      <c r="W341" s="76" t="str">
        <f aca="false">IF(AND(ISNUMBER(U341),ISNUMBER(U340)),U341/U340-1,"")</f>
        <v/>
      </c>
      <c r="X341" s="75" t="str">
        <f aca="false">IF(AND(ISNUMBER(V341),ISNUMBER(W341)),1,"")</f>
        <v/>
      </c>
      <c r="Y341" s="76" t="str">
        <f aca="false">IF(X341=1,V341,"")</f>
        <v/>
      </c>
      <c r="Z341" s="76" t="str">
        <f aca="false">IF(X341=1,W341,"")</f>
        <v/>
      </c>
      <c r="AA341" s="76" t="e">
        <f aca="false">IF(X341=1,V341,NA())</f>
        <v>#N/A</v>
      </c>
      <c r="AB341" s="76" t="e">
        <f aca="false">IF(X341=1,W341,NA())</f>
        <v>#N/A</v>
      </c>
      <c r="AD341" s="73" t="str">
        <f aca="false">IF(ISNUMBER(AE341),IF(ISNUMBER('Base de Datos'!A337),IF('Base de Datos'!A337&gt;20000,DATE(YEAR('Base de Datos'!A337),DAY('Base de Datos'!A337),MONTH('Base de Datos'!A337)),""),IF(TRIM('Base de Datos'!A337)="","",IFERROR(DATE(VALUE(RIGHT(TRIM('Base de Datos'!A337),4)),VALUE(LEFT(TRIM('Base de Datos'!A337),2)),VALUE(MID(TRIM('Base de Datos'!A337),4,2))),""))),"")</f>
        <v/>
      </c>
      <c r="AE341" s="74" t="str">
        <f aca="false">IF(ISNUMBER('Base de Datos'!B337),'Base de Datos'!B337,IF(TRIM('Base de Datos'!B337)="","",IFERROR(IF(IFERROR(FIND("@",SUBSTITUTE(TRIM('Base de Datos'!B337),",","@",LEN(TRIM('Base de Datos'!B337))-LEN(SUBSTITUTE(TRIM('Base de Datos'!B337),",","")))),0)&gt;IFERROR(FIND("@",SUBSTITUTE(TRIM('Base de Datos'!B337),".","@",LEN(TRIM('Base de Datos'!B337))-LEN(SUBSTITUTE(TRIM('Base de Datos'!B337),".","")))),0),_xlfn.NUMBERVALUE(SUBSTITUTE(SUBSTITUTE(TRIM('Base de Datos'!B337),".",""),",","."),".",","),_xlfn.NUMBERVALUE(SUBSTITUTE(TRIM('Base de Datos'!B337),",",""),".",",")),"")))</f>
        <v/>
      </c>
      <c r="AF341" s="73" t="str">
        <f aca="false">IF(ISNUMBER(AG341),IF(ISNUMBER('Base de Datos'!I337),IF('Base de Datos'!I337&gt;20000,INT('Base de Datos'!I337),""),IF(TRIM('Base de Datos'!I337)="","",IFERROR(DATE(VALUE(RIGHT(TRIM('Base de Datos'!I337),4)),VALUE(MID(TRIM('Base de Datos'!I337),4,2)),VALUE(LEFT(TRIM('Base de Datos'!I337),2))),IFERROR(DATEVALUE(TRIM('Base de Datos'!I337)),"")))),"")</f>
        <v/>
      </c>
      <c r="AG341" s="74" t="str">
        <f aca="false">IF(ISNUMBER('Base de Datos'!J337),'Base de Datos'!J337,IF(TRIM('Base de Datos'!J337)="","",IFERROR(IF(IFERROR(FIND("@",SUBSTITUTE(TRIM('Base de Datos'!J337),",","@",LEN(TRIM('Base de Datos'!J337))-LEN(SUBSTITUTE(TRIM('Base de Datos'!J337),",","")))),0)&gt;IFERROR(FIND("@",SUBSTITUTE(TRIM('Base de Datos'!J337),".","@",LEN(TRIM('Base de Datos'!J337))-LEN(SUBSTITUTE(TRIM('Base de Datos'!J337),".","")))),0),_xlfn.NUMBERVALUE(SUBSTITUTE(SUBSTITUTE(TRIM('Base de Datos'!J337),".",""),",","."),".",","),_xlfn.NUMBERVALUE(SUBSTITUTE(TRIM('Base de Datos'!J337),",",""),".",",")),"")))</f>
        <v/>
      </c>
      <c r="AH341" s="73" t="str">
        <f aca="false">IF(ISNUMBER(AI341),IF(ISNUMBER('Base de Datos'!Q337),IF('Base de Datos'!Q337&gt;20000,DATE(YEAR('Base de Datos'!Q337),DAY('Base de Datos'!Q337),MONTH('Base de Datos'!Q337)),""),IF(TRIM('Base de Datos'!Q337)="","",IFERROR(DATE(VALUE(RIGHT(TRIM('Base de Datos'!Q337),4)),VALUE(LEFT(TRIM('Base de Datos'!Q337),2)),VALUE(MID(TRIM('Base de Datos'!Q337),4,2))),""))),"")</f>
        <v/>
      </c>
      <c r="AI341" s="74" t="str">
        <f aca="false">IF(ISNUMBER('Base de Datos'!R337),'Base de Datos'!R337,IF(TRIM('Base de Datos'!R337)="","",IFERROR(IF(IFERROR(FIND("@",SUBSTITUTE(TRIM('Base de Datos'!R337),",","@",LEN(TRIM('Base de Datos'!R337))-LEN(SUBSTITUTE(TRIM('Base de Datos'!R337),",","")))),0)&gt;IFERROR(FIND("@",SUBSTITUTE(TRIM('Base de Datos'!R337),".","@",LEN(TRIM('Base de Datos'!R337))-LEN(SUBSTITUTE(TRIM('Base de Datos'!R337),".","")))),0),_xlfn.NUMBERVALUE(SUBSTITUTE(SUBSTITUTE(TRIM('Base de Datos'!R337),".",""),",","."),".",","),_xlfn.NUMBERVALUE(SUBSTITUTE(TRIM('Base de Datos'!R337),",",""),".",",")),"")))</f>
        <v/>
      </c>
      <c r="AJ341" s="73" t="str">
        <f aca="false">IF(ISNUMBER(AK341),IF(ISNUMBER('Base de Datos'!Y337),IF('Base de Datos'!Y337&gt;20000,INT('Base de Datos'!Y337),""),IF(TRIM('Base de Datos'!Y337)="","",IFERROR(DATE(VALUE(RIGHT(TRIM('Base de Datos'!Y337),4)),VALUE(MID(TRIM('Base de Datos'!Y337),4,2)),VALUE(LEFT(TRIM('Base de Datos'!Y337),2))),IFERROR(DATEVALUE(TRIM('Base de Datos'!Y337)),"")))),"")</f>
        <v/>
      </c>
      <c r="AK341" s="74" t="str">
        <f aca="false">IF(ISNUMBER('Base de Datos'!Z337),'Base de Datos'!Z337,IF(TRIM('Base de Datos'!Z337)="","",IFERROR(IF(IFERROR(FIND("@",SUBSTITUTE(TRIM('Base de Datos'!Z337),",","@",LEN(TRIM('Base de Datos'!Z337))-LEN(SUBSTITUTE(TRIM('Base de Datos'!Z337),",","")))),0)&gt;IFERROR(FIND("@",SUBSTITUTE(TRIM('Base de Datos'!Z337),".","@",LEN(TRIM('Base de Datos'!Z337))-LEN(SUBSTITUTE(TRIM('Base de Datos'!Z337),".","")))),0),_xlfn.NUMBERVALUE(SUBSTITUTE(SUBSTITUTE(TRIM('Base de Datos'!Z337),".",""),",","."),".",","),_xlfn.NUMBERVALUE(SUBSTITUTE(TRIM('Base de Datos'!Z337),",",""),".",",")),"")))</f>
        <v/>
      </c>
    </row>
    <row r="342" customFormat="false" ht="13.5" hidden="false" customHeight="false" outlineLevel="0" collapsed="false">
      <c r="A342" s="75" t="n">
        <f aca="false">ROWS(A$13:A342)</f>
        <v>330</v>
      </c>
      <c r="B342" s="73" t="str">
        <f aca="false">IF(B341="","",IFERROR(SMALL($AH$10:$AH$409,COUNTIF($AH$10:$AH$409,"&lt;="&amp;B341)+1),""))</f>
        <v/>
      </c>
      <c r="C342" s="74" t="str">
        <f aca="false">IF(B342="","",INDEX($AI$10:$AI$409,MATCH(B342,$AH$10:$AH$409,0)))</f>
        <v/>
      </c>
      <c r="D342" s="74" t="str">
        <f aca="false">IF(B342="","",IFERROR(INDEX($AK$10:$AK$409,MATCH(B342,$AJ$10:$AJ$409,0)),""))</f>
        <v/>
      </c>
      <c r="E342" s="76" t="str">
        <f aca="false">IF(AND(ISNUMBER(C342),ISNUMBER(C341)),C342/C341-1,"")</f>
        <v/>
      </c>
      <c r="F342" s="76" t="str">
        <f aca="false">IF(AND(ISNUMBER(D342),ISNUMBER(D341)),D342/D341-1,"")</f>
        <v/>
      </c>
      <c r="G342" s="75" t="str">
        <f aca="false">IF(AND(ISNUMBER(E342),ISNUMBER(F342)),1,"")</f>
        <v/>
      </c>
      <c r="H342" s="75" t="str">
        <f aca="false">IF(G342=1,COUNT(G342:G$412),"")</f>
        <v/>
      </c>
      <c r="I342" s="75" t="str">
        <f aca="false">IF(G342=1,IF(H342&lt;='Beta Regresión'!$B$5,1,""),"")</f>
        <v/>
      </c>
      <c r="J342" s="76" t="str">
        <f aca="false">IF(I342=1,E342,"")</f>
        <v/>
      </c>
      <c r="K342" s="76" t="str">
        <f aca="false">IF(I342=1,F342,"")</f>
        <v/>
      </c>
      <c r="L342" s="75" t="str">
        <f aca="false">IF(I342=1,COUNT(I$13:I342),"")</f>
        <v/>
      </c>
      <c r="M342" s="76" t="str">
        <f aca="false">IFERROR(INDEX($J$13:$J$412,MATCH(A342,$L$13:$L$412,0)),"")</f>
        <v/>
      </c>
      <c r="N342" s="76" t="str">
        <f aca="false">IFERROR(INDEX($K$13:$K$412,MATCH(A342,$L$13:$L$412,0)),"")</f>
        <v/>
      </c>
      <c r="O342" s="76" t="e">
        <f aca="false">IF(I342=1,E342,NA())</f>
        <v>#N/A</v>
      </c>
      <c r="P342" s="76" t="e">
        <f aca="false">IF(I342=1,F342,NA())</f>
        <v>#N/A</v>
      </c>
      <c r="R342" s="75" t="n">
        <f aca="false">ROWS(R$13:R342)</f>
        <v>330</v>
      </c>
      <c r="S342" s="73" t="str">
        <f aca="false">IF(S341="","",IFERROR(SMALL($AD$10:$AD$509,COUNTIF($AD$10:$AD$509,"&lt;="&amp;S341)+1),""))</f>
        <v/>
      </c>
      <c r="T342" s="74" t="str">
        <f aca="false">IF(S342="","",INDEX($AE$10:$AE$509,MATCH(S342,$AD$10:$AD$509,0)))</f>
        <v/>
      </c>
      <c r="U342" s="74" t="str">
        <f aca="false">IF(S342="","",IFERROR(INDEX($AG$10:$AG$509,MATCH(S342,$AF$10:$AF$509,0)),""))</f>
        <v/>
      </c>
      <c r="V342" s="76" t="str">
        <f aca="false">IF(AND(ISNUMBER(T342),ISNUMBER(T341)),T342/T341-1,"")</f>
        <v/>
      </c>
      <c r="W342" s="76" t="str">
        <f aca="false">IF(AND(ISNUMBER(U342),ISNUMBER(U341)),U342/U341-1,"")</f>
        <v/>
      </c>
      <c r="X342" s="75" t="str">
        <f aca="false">IF(AND(ISNUMBER(V342),ISNUMBER(W342)),1,"")</f>
        <v/>
      </c>
      <c r="Y342" s="76" t="str">
        <f aca="false">IF(X342=1,V342,"")</f>
        <v/>
      </c>
      <c r="Z342" s="76" t="str">
        <f aca="false">IF(X342=1,W342,"")</f>
        <v/>
      </c>
      <c r="AA342" s="76" t="e">
        <f aca="false">IF(X342=1,V342,NA())</f>
        <v>#N/A</v>
      </c>
      <c r="AB342" s="76" t="e">
        <f aca="false">IF(X342=1,W342,NA())</f>
        <v>#N/A</v>
      </c>
      <c r="AD342" s="73" t="str">
        <f aca="false">IF(ISNUMBER(AE342),IF(ISNUMBER('Base de Datos'!A338),IF('Base de Datos'!A338&gt;20000,DATE(YEAR('Base de Datos'!A338),DAY('Base de Datos'!A338),MONTH('Base de Datos'!A338)),""),IF(TRIM('Base de Datos'!A338)="","",IFERROR(DATE(VALUE(RIGHT(TRIM('Base de Datos'!A338),4)),VALUE(LEFT(TRIM('Base de Datos'!A338),2)),VALUE(MID(TRIM('Base de Datos'!A338),4,2))),""))),"")</f>
        <v/>
      </c>
      <c r="AE342" s="74" t="str">
        <f aca="false">IF(ISNUMBER('Base de Datos'!B338),'Base de Datos'!B338,IF(TRIM('Base de Datos'!B338)="","",IFERROR(IF(IFERROR(FIND("@",SUBSTITUTE(TRIM('Base de Datos'!B338),",","@",LEN(TRIM('Base de Datos'!B338))-LEN(SUBSTITUTE(TRIM('Base de Datos'!B338),",","")))),0)&gt;IFERROR(FIND("@",SUBSTITUTE(TRIM('Base de Datos'!B338),".","@",LEN(TRIM('Base de Datos'!B338))-LEN(SUBSTITUTE(TRIM('Base de Datos'!B338),".","")))),0),_xlfn.NUMBERVALUE(SUBSTITUTE(SUBSTITUTE(TRIM('Base de Datos'!B338),".",""),",","."),".",","),_xlfn.NUMBERVALUE(SUBSTITUTE(TRIM('Base de Datos'!B338),",",""),".",",")),"")))</f>
        <v/>
      </c>
      <c r="AF342" s="73" t="str">
        <f aca="false">IF(ISNUMBER(AG342),IF(ISNUMBER('Base de Datos'!I338),IF('Base de Datos'!I338&gt;20000,INT('Base de Datos'!I338),""),IF(TRIM('Base de Datos'!I338)="","",IFERROR(DATE(VALUE(RIGHT(TRIM('Base de Datos'!I338),4)),VALUE(MID(TRIM('Base de Datos'!I338),4,2)),VALUE(LEFT(TRIM('Base de Datos'!I338),2))),IFERROR(DATEVALUE(TRIM('Base de Datos'!I338)),"")))),"")</f>
        <v/>
      </c>
      <c r="AG342" s="74" t="str">
        <f aca="false">IF(ISNUMBER('Base de Datos'!J338),'Base de Datos'!J338,IF(TRIM('Base de Datos'!J338)="","",IFERROR(IF(IFERROR(FIND("@",SUBSTITUTE(TRIM('Base de Datos'!J338),",","@",LEN(TRIM('Base de Datos'!J338))-LEN(SUBSTITUTE(TRIM('Base de Datos'!J338),",","")))),0)&gt;IFERROR(FIND("@",SUBSTITUTE(TRIM('Base de Datos'!J338),".","@",LEN(TRIM('Base de Datos'!J338))-LEN(SUBSTITUTE(TRIM('Base de Datos'!J338),".","")))),0),_xlfn.NUMBERVALUE(SUBSTITUTE(SUBSTITUTE(TRIM('Base de Datos'!J338),".",""),",","."),".",","),_xlfn.NUMBERVALUE(SUBSTITUTE(TRIM('Base de Datos'!J338),",",""),".",",")),"")))</f>
        <v/>
      </c>
      <c r="AH342" s="73" t="str">
        <f aca="false">IF(ISNUMBER(AI342),IF(ISNUMBER('Base de Datos'!Q338),IF('Base de Datos'!Q338&gt;20000,DATE(YEAR('Base de Datos'!Q338),DAY('Base de Datos'!Q338),MONTH('Base de Datos'!Q338)),""),IF(TRIM('Base de Datos'!Q338)="","",IFERROR(DATE(VALUE(RIGHT(TRIM('Base de Datos'!Q338),4)),VALUE(LEFT(TRIM('Base de Datos'!Q338),2)),VALUE(MID(TRIM('Base de Datos'!Q338),4,2))),""))),"")</f>
        <v/>
      </c>
      <c r="AI342" s="74" t="str">
        <f aca="false">IF(ISNUMBER('Base de Datos'!R338),'Base de Datos'!R338,IF(TRIM('Base de Datos'!R338)="","",IFERROR(IF(IFERROR(FIND("@",SUBSTITUTE(TRIM('Base de Datos'!R338),",","@",LEN(TRIM('Base de Datos'!R338))-LEN(SUBSTITUTE(TRIM('Base de Datos'!R338),",","")))),0)&gt;IFERROR(FIND("@",SUBSTITUTE(TRIM('Base de Datos'!R338),".","@",LEN(TRIM('Base de Datos'!R338))-LEN(SUBSTITUTE(TRIM('Base de Datos'!R338),".","")))),0),_xlfn.NUMBERVALUE(SUBSTITUTE(SUBSTITUTE(TRIM('Base de Datos'!R338),".",""),",","."),".",","),_xlfn.NUMBERVALUE(SUBSTITUTE(TRIM('Base de Datos'!R338),",",""),".",",")),"")))</f>
        <v/>
      </c>
      <c r="AJ342" s="73" t="str">
        <f aca="false">IF(ISNUMBER(AK342),IF(ISNUMBER('Base de Datos'!Y338),IF('Base de Datos'!Y338&gt;20000,INT('Base de Datos'!Y338),""),IF(TRIM('Base de Datos'!Y338)="","",IFERROR(DATE(VALUE(RIGHT(TRIM('Base de Datos'!Y338),4)),VALUE(MID(TRIM('Base de Datos'!Y338),4,2)),VALUE(LEFT(TRIM('Base de Datos'!Y338),2))),IFERROR(DATEVALUE(TRIM('Base de Datos'!Y338)),"")))),"")</f>
        <v/>
      </c>
      <c r="AK342" s="74" t="str">
        <f aca="false">IF(ISNUMBER('Base de Datos'!Z338),'Base de Datos'!Z338,IF(TRIM('Base de Datos'!Z338)="","",IFERROR(IF(IFERROR(FIND("@",SUBSTITUTE(TRIM('Base de Datos'!Z338),",","@",LEN(TRIM('Base de Datos'!Z338))-LEN(SUBSTITUTE(TRIM('Base de Datos'!Z338),",","")))),0)&gt;IFERROR(FIND("@",SUBSTITUTE(TRIM('Base de Datos'!Z338),".","@",LEN(TRIM('Base de Datos'!Z338))-LEN(SUBSTITUTE(TRIM('Base de Datos'!Z338),".","")))),0),_xlfn.NUMBERVALUE(SUBSTITUTE(SUBSTITUTE(TRIM('Base de Datos'!Z338),".",""),",","."),".",","),_xlfn.NUMBERVALUE(SUBSTITUTE(TRIM('Base de Datos'!Z338),",",""),".",",")),"")))</f>
        <v/>
      </c>
    </row>
    <row r="343" customFormat="false" ht="13.5" hidden="false" customHeight="false" outlineLevel="0" collapsed="false">
      <c r="A343" s="75" t="n">
        <f aca="false">ROWS(A$13:A343)</f>
        <v>331</v>
      </c>
      <c r="B343" s="73" t="str">
        <f aca="false">IF(B342="","",IFERROR(SMALL($AH$10:$AH$409,COUNTIF($AH$10:$AH$409,"&lt;="&amp;B342)+1),""))</f>
        <v/>
      </c>
      <c r="C343" s="74" t="str">
        <f aca="false">IF(B343="","",INDEX($AI$10:$AI$409,MATCH(B343,$AH$10:$AH$409,0)))</f>
        <v/>
      </c>
      <c r="D343" s="74" t="str">
        <f aca="false">IF(B343="","",IFERROR(INDEX($AK$10:$AK$409,MATCH(B343,$AJ$10:$AJ$409,0)),""))</f>
        <v/>
      </c>
      <c r="E343" s="76" t="str">
        <f aca="false">IF(AND(ISNUMBER(C343),ISNUMBER(C342)),C343/C342-1,"")</f>
        <v/>
      </c>
      <c r="F343" s="76" t="str">
        <f aca="false">IF(AND(ISNUMBER(D343),ISNUMBER(D342)),D343/D342-1,"")</f>
        <v/>
      </c>
      <c r="G343" s="75" t="str">
        <f aca="false">IF(AND(ISNUMBER(E343),ISNUMBER(F343)),1,"")</f>
        <v/>
      </c>
      <c r="H343" s="75" t="str">
        <f aca="false">IF(G343=1,COUNT(G343:G$412),"")</f>
        <v/>
      </c>
      <c r="I343" s="75" t="str">
        <f aca="false">IF(G343=1,IF(H343&lt;='Beta Regresión'!$B$5,1,""),"")</f>
        <v/>
      </c>
      <c r="J343" s="76" t="str">
        <f aca="false">IF(I343=1,E343,"")</f>
        <v/>
      </c>
      <c r="K343" s="76" t="str">
        <f aca="false">IF(I343=1,F343,"")</f>
        <v/>
      </c>
      <c r="L343" s="75" t="str">
        <f aca="false">IF(I343=1,COUNT(I$13:I343),"")</f>
        <v/>
      </c>
      <c r="M343" s="76" t="str">
        <f aca="false">IFERROR(INDEX($J$13:$J$412,MATCH(A343,$L$13:$L$412,0)),"")</f>
        <v/>
      </c>
      <c r="N343" s="76" t="str">
        <f aca="false">IFERROR(INDEX($K$13:$K$412,MATCH(A343,$L$13:$L$412,0)),"")</f>
        <v/>
      </c>
      <c r="O343" s="76" t="e">
        <f aca="false">IF(I343=1,E343,NA())</f>
        <v>#N/A</v>
      </c>
      <c r="P343" s="76" t="e">
        <f aca="false">IF(I343=1,F343,NA())</f>
        <v>#N/A</v>
      </c>
      <c r="R343" s="75" t="n">
        <f aca="false">ROWS(R$13:R343)</f>
        <v>331</v>
      </c>
      <c r="S343" s="73" t="str">
        <f aca="false">IF(S342="","",IFERROR(SMALL($AD$10:$AD$509,COUNTIF($AD$10:$AD$509,"&lt;="&amp;S342)+1),""))</f>
        <v/>
      </c>
      <c r="T343" s="74" t="str">
        <f aca="false">IF(S343="","",INDEX($AE$10:$AE$509,MATCH(S343,$AD$10:$AD$509,0)))</f>
        <v/>
      </c>
      <c r="U343" s="74" t="str">
        <f aca="false">IF(S343="","",IFERROR(INDEX($AG$10:$AG$509,MATCH(S343,$AF$10:$AF$509,0)),""))</f>
        <v/>
      </c>
      <c r="V343" s="76" t="str">
        <f aca="false">IF(AND(ISNUMBER(T343),ISNUMBER(T342)),T343/T342-1,"")</f>
        <v/>
      </c>
      <c r="W343" s="76" t="str">
        <f aca="false">IF(AND(ISNUMBER(U343),ISNUMBER(U342)),U343/U342-1,"")</f>
        <v/>
      </c>
      <c r="X343" s="75" t="str">
        <f aca="false">IF(AND(ISNUMBER(V343),ISNUMBER(W343)),1,"")</f>
        <v/>
      </c>
      <c r="Y343" s="76" t="str">
        <f aca="false">IF(X343=1,V343,"")</f>
        <v/>
      </c>
      <c r="Z343" s="76" t="str">
        <f aca="false">IF(X343=1,W343,"")</f>
        <v/>
      </c>
      <c r="AA343" s="76" t="e">
        <f aca="false">IF(X343=1,V343,NA())</f>
        <v>#N/A</v>
      </c>
      <c r="AB343" s="76" t="e">
        <f aca="false">IF(X343=1,W343,NA())</f>
        <v>#N/A</v>
      </c>
      <c r="AD343" s="73" t="str">
        <f aca="false">IF(ISNUMBER(AE343),IF(ISNUMBER('Base de Datos'!A339),IF('Base de Datos'!A339&gt;20000,DATE(YEAR('Base de Datos'!A339),DAY('Base de Datos'!A339),MONTH('Base de Datos'!A339)),""),IF(TRIM('Base de Datos'!A339)="","",IFERROR(DATE(VALUE(RIGHT(TRIM('Base de Datos'!A339),4)),VALUE(LEFT(TRIM('Base de Datos'!A339),2)),VALUE(MID(TRIM('Base de Datos'!A339),4,2))),""))),"")</f>
        <v/>
      </c>
      <c r="AE343" s="74" t="str">
        <f aca="false">IF(ISNUMBER('Base de Datos'!B339),'Base de Datos'!B339,IF(TRIM('Base de Datos'!B339)="","",IFERROR(IF(IFERROR(FIND("@",SUBSTITUTE(TRIM('Base de Datos'!B339),",","@",LEN(TRIM('Base de Datos'!B339))-LEN(SUBSTITUTE(TRIM('Base de Datos'!B339),",","")))),0)&gt;IFERROR(FIND("@",SUBSTITUTE(TRIM('Base de Datos'!B339),".","@",LEN(TRIM('Base de Datos'!B339))-LEN(SUBSTITUTE(TRIM('Base de Datos'!B339),".","")))),0),_xlfn.NUMBERVALUE(SUBSTITUTE(SUBSTITUTE(TRIM('Base de Datos'!B339),".",""),",","."),".",","),_xlfn.NUMBERVALUE(SUBSTITUTE(TRIM('Base de Datos'!B339),",",""),".",",")),"")))</f>
        <v/>
      </c>
      <c r="AF343" s="73" t="str">
        <f aca="false">IF(ISNUMBER(AG343),IF(ISNUMBER('Base de Datos'!I339),IF('Base de Datos'!I339&gt;20000,INT('Base de Datos'!I339),""),IF(TRIM('Base de Datos'!I339)="","",IFERROR(DATE(VALUE(RIGHT(TRIM('Base de Datos'!I339),4)),VALUE(MID(TRIM('Base de Datos'!I339),4,2)),VALUE(LEFT(TRIM('Base de Datos'!I339),2))),IFERROR(DATEVALUE(TRIM('Base de Datos'!I339)),"")))),"")</f>
        <v/>
      </c>
      <c r="AG343" s="74" t="str">
        <f aca="false">IF(ISNUMBER('Base de Datos'!J339),'Base de Datos'!J339,IF(TRIM('Base de Datos'!J339)="","",IFERROR(IF(IFERROR(FIND("@",SUBSTITUTE(TRIM('Base de Datos'!J339),",","@",LEN(TRIM('Base de Datos'!J339))-LEN(SUBSTITUTE(TRIM('Base de Datos'!J339),",","")))),0)&gt;IFERROR(FIND("@",SUBSTITUTE(TRIM('Base de Datos'!J339),".","@",LEN(TRIM('Base de Datos'!J339))-LEN(SUBSTITUTE(TRIM('Base de Datos'!J339),".","")))),0),_xlfn.NUMBERVALUE(SUBSTITUTE(SUBSTITUTE(TRIM('Base de Datos'!J339),".",""),",","."),".",","),_xlfn.NUMBERVALUE(SUBSTITUTE(TRIM('Base de Datos'!J339),",",""),".",",")),"")))</f>
        <v/>
      </c>
      <c r="AH343" s="73" t="str">
        <f aca="false">IF(ISNUMBER(AI343),IF(ISNUMBER('Base de Datos'!Q339),IF('Base de Datos'!Q339&gt;20000,DATE(YEAR('Base de Datos'!Q339),DAY('Base de Datos'!Q339),MONTH('Base de Datos'!Q339)),""),IF(TRIM('Base de Datos'!Q339)="","",IFERROR(DATE(VALUE(RIGHT(TRIM('Base de Datos'!Q339),4)),VALUE(LEFT(TRIM('Base de Datos'!Q339),2)),VALUE(MID(TRIM('Base de Datos'!Q339),4,2))),""))),"")</f>
        <v/>
      </c>
      <c r="AI343" s="74" t="str">
        <f aca="false">IF(ISNUMBER('Base de Datos'!R339),'Base de Datos'!R339,IF(TRIM('Base de Datos'!R339)="","",IFERROR(IF(IFERROR(FIND("@",SUBSTITUTE(TRIM('Base de Datos'!R339),",","@",LEN(TRIM('Base de Datos'!R339))-LEN(SUBSTITUTE(TRIM('Base de Datos'!R339),",","")))),0)&gt;IFERROR(FIND("@",SUBSTITUTE(TRIM('Base de Datos'!R339),".","@",LEN(TRIM('Base de Datos'!R339))-LEN(SUBSTITUTE(TRIM('Base de Datos'!R339),".","")))),0),_xlfn.NUMBERVALUE(SUBSTITUTE(SUBSTITUTE(TRIM('Base de Datos'!R339),".",""),",","."),".",","),_xlfn.NUMBERVALUE(SUBSTITUTE(TRIM('Base de Datos'!R339),",",""),".",",")),"")))</f>
        <v/>
      </c>
      <c r="AJ343" s="73" t="str">
        <f aca="false">IF(ISNUMBER(AK343),IF(ISNUMBER('Base de Datos'!Y339),IF('Base de Datos'!Y339&gt;20000,INT('Base de Datos'!Y339),""),IF(TRIM('Base de Datos'!Y339)="","",IFERROR(DATE(VALUE(RIGHT(TRIM('Base de Datos'!Y339),4)),VALUE(MID(TRIM('Base de Datos'!Y339),4,2)),VALUE(LEFT(TRIM('Base de Datos'!Y339),2))),IFERROR(DATEVALUE(TRIM('Base de Datos'!Y339)),"")))),"")</f>
        <v/>
      </c>
      <c r="AK343" s="74" t="str">
        <f aca="false">IF(ISNUMBER('Base de Datos'!Z339),'Base de Datos'!Z339,IF(TRIM('Base de Datos'!Z339)="","",IFERROR(IF(IFERROR(FIND("@",SUBSTITUTE(TRIM('Base de Datos'!Z339),",","@",LEN(TRIM('Base de Datos'!Z339))-LEN(SUBSTITUTE(TRIM('Base de Datos'!Z339),",","")))),0)&gt;IFERROR(FIND("@",SUBSTITUTE(TRIM('Base de Datos'!Z339),".","@",LEN(TRIM('Base de Datos'!Z339))-LEN(SUBSTITUTE(TRIM('Base de Datos'!Z339),".","")))),0),_xlfn.NUMBERVALUE(SUBSTITUTE(SUBSTITUTE(TRIM('Base de Datos'!Z339),".",""),",","."),".",","),_xlfn.NUMBERVALUE(SUBSTITUTE(TRIM('Base de Datos'!Z339),",",""),".",",")),"")))</f>
        <v/>
      </c>
    </row>
    <row r="344" customFormat="false" ht="13.5" hidden="false" customHeight="false" outlineLevel="0" collapsed="false">
      <c r="A344" s="75" t="n">
        <f aca="false">ROWS(A$13:A344)</f>
        <v>332</v>
      </c>
      <c r="B344" s="73" t="str">
        <f aca="false">IF(B343="","",IFERROR(SMALL($AH$10:$AH$409,COUNTIF($AH$10:$AH$409,"&lt;="&amp;B343)+1),""))</f>
        <v/>
      </c>
      <c r="C344" s="74" t="str">
        <f aca="false">IF(B344="","",INDEX($AI$10:$AI$409,MATCH(B344,$AH$10:$AH$409,0)))</f>
        <v/>
      </c>
      <c r="D344" s="74" t="str">
        <f aca="false">IF(B344="","",IFERROR(INDEX($AK$10:$AK$409,MATCH(B344,$AJ$10:$AJ$409,0)),""))</f>
        <v/>
      </c>
      <c r="E344" s="76" t="str">
        <f aca="false">IF(AND(ISNUMBER(C344),ISNUMBER(C343)),C344/C343-1,"")</f>
        <v/>
      </c>
      <c r="F344" s="76" t="str">
        <f aca="false">IF(AND(ISNUMBER(D344),ISNUMBER(D343)),D344/D343-1,"")</f>
        <v/>
      </c>
      <c r="G344" s="75" t="str">
        <f aca="false">IF(AND(ISNUMBER(E344),ISNUMBER(F344)),1,"")</f>
        <v/>
      </c>
      <c r="H344" s="75" t="str">
        <f aca="false">IF(G344=1,COUNT(G344:G$412),"")</f>
        <v/>
      </c>
      <c r="I344" s="75" t="str">
        <f aca="false">IF(G344=1,IF(H344&lt;='Beta Regresión'!$B$5,1,""),"")</f>
        <v/>
      </c>
      <c r="J344" s="76" t="str">
        <f aca="false">IF(I344=1,E344,"")</f>
        <v/>
      </c>
      <c r="K344" s="76" t="str">
        <f aca="false">IF(I344=1,F344,"")</f>
        <v/>
      </c>
      <c r="L344" s="75" t="str">
        <f aca="false">IF(I344=1,COUNT(I$13:I344),"")</f>
        <v/>
      </c>
      <c r="M344" s="76" t="str">
        <f aca="false">IFERROR(INDEX($J$13:$J$412,MATCH(A344,$L$13:$L$412,0)),"")</f>
        <v/>
      </c>
      <c r="N344" s="76" t="str">
        <f aca="false">IFERROR(INDEX($K$13:$K$412,MATCH(A344,$L$13:$L$412,0)),"")</f>
        <v/>
      </c>
      <c r="O344" s="76" t="e">
        <f aca="false">IF(I344=1,E344,NA())</f>
        <v>#N/A</v>
      </c>
      <c r="P344" s="76" t="e">
        <f aca="false">IF(I344=1,F344,NA())</f>
        <v>#N/A</v>
      </c>
      <c r="R344" s="75" t="n">
        <f aca="false">ROWS(R$13:R344)</f>
        <v>332</v>
      </c>
      <c r="S344" s="73" t="str">
        <f aca="false">IF(S343="","",IFERROR(SMALL($AD$10:$AD$509,COUNTIF($AD$10:$AD$509,"&lt;="&amp;S343)+1),""))</f>
        <v/>
      </c>
      <c r="T344" s="74" t="str">
        <f aca="false">IF(S344="","",INDEX($AE$10:$AE$509,MATCH(S344,$AD$10:$AD$509,0)))</f>
        <v/>
      </c>
      <c r="U344" s="74" t="str">
        <f aca="false">IF(S344="","",IFERROR(INDEX($AG$10:$AG$509,MATCH(S344,$AF$10:$AF$509,0)),""))</f>
        <v/>
      </c>
      <c r="V344" s="76" t="str">
        <f aca="false">IF(AND(ISNUMBER(T344),ISNUMBER(T343)),T344/T343-1,"")</f>
        <v/>
      </c>
      <c r="W344" s="76" t="str">
        <f aca="false">IF(AND(ISNUMBER(U344),ISNUMBER(U343)),U344/U343-1,"")</f>
        <v/>
      </c>
      <c r="X344" s="75" t="str">
        <f aca="false">IF(AND(ISNUMBER(V344),ISNUMBER(W344)),1,"")</f>
        <v/>
      </c>
      <c r="Y344" s="76" t="str">
        <f aca="false">IF(X344=1,V344,"")</f>
        <v/>
      </c>
      <c r="Z344" s="76" t="str">
        <f aca="false">IF(X344=1,W344,"")</f>
        <v/>
      </c>
      <c r="AA344" s="76" t="e">
        <f aca="false">IF(X344=1,V344,NA())</f>
        <v>#N/A</v>
      </c>
      <c r="AB344" s="76" t="e">
        <f aca="false">IF(X344=1,W344,NA())</f>
        <v>#N/A</v>
      </c>
      <c r="AD344" s="73" t="str">
        <f aca="false">IF(ISNUMBER(AE344),IF(ISNUMBER('Base de Datos'!A340),IF('Base de Datos'!A340&gt;20000,DATE(YEAR('Base de Datos'!A340),DAY('Base de Datos'!A340),MONTH('Base de Datos'!A340)),""),IF(TRIM('Base de Datos'!A340)="","",IFERROR(DATE(VALUE(RIGHT(TRIM('Base de Datos'!A340),4)),VALUE(LEFT(TRIM('Base de Datos'!A340),2)),VALUE(MID(TRIM('Base de Datos'!A340),4,2))),""))),"")</f>
        <v/>
      </c>
      <c r="AE344" s="74" t="str">
        <f aca="false">IF(ISNUMBER('Base de Datos'!B340),'Base de Datos'!B340,IF(TRIM('Base de Datos'!B340)="","",IFERROR(IF(IFERROR(FIND("@",SUBSTITUTE(TRIM('Base de Datos'!B340),",","@",LEN(TRIM('Base de Datos'!B340))-LEN(SUBSTITUTE(TRIM('Base de Datos'!B340),",","")))),0)&gt;IFERROR(FIND("@",SUBSTITUTE(TRIM('Base de Datos'!B340),".","@",LEN(TRIM('Base de Datos'!B340))-LEN(SUBSTITUTE(TRIM('Base de Datos'!B340),".","")))),0),_xlfn.NUMBERVALUE(SUBSTITUTE(SUBSTITUTE(TRIM('Base de Datos'!B340),".",""),",","."),".",","),_xlfn.NUMBERVALUE(SUBSTITUTE(TRIM('Base de Datos'!B340),",",""),".",",")),"")))</f>
        <v/>
      </c>
      <c r="AF344" s="73" t="str">
        <f aca="false">IF(ISNUMBER(AG344),IF(ISNUMBER('Base de Datos'!I340),IF('Base de Datos'!I340&gt;20000,INT('Base de Datos'!I340),""),IF(TRIM('Base de Datos'!I340)="","",IFERROR(DATE(VALUE(RIGHT(TRIM('Base de Datos'!I340),4)),VALUE(MID(TRIM('Base de Datos'!I340),4,2)),VALUE(LEFT(TRIM('Base de Datos'!I340),2))),IFERROR(DATEVALUE(TRIM('Base de Datos'!I340)),"")))),"")</f>
        <v/>
      </c>
      <c r="AG344" s="74" t="str">
        <f aca="false">IF(ISNUMBER('Base de Datos'!J340),'Base de Datos'!J340,IF(TRIM('Base de Datos'!J340)="","",IFERROR(IF(IFERROR(FIND("@",SUBSTITUTE(TRIM('Base de Datos'!J340),",","@",LEN(TRIM('Base de Datos'!J340))-LEN(SUBSTITUTE(TRIM('Base de Datos'!J340),",","")))),0)&gt;IFERROR(FIND("@",SUBSTITUTE(TRIM('Base de Datos'!J340),".","@",LEN(TRIM('Base de Datos'!J340))-LEN(SUBSTITUTE(TRIM('Base de Datos'!J340),".","")))),0),_xlfn.NUMBERVALUE(SUBSTITUTE(SUBSTITUTE(TRIM('Base de Datos'!J340),".",""),",","."),".",","),_xlfn.NUMBERVALUE(SUBSTITUTE(TRIM('Base de Datos'!J340),",",""),".",",")),"")))</f>
        <v/>
      </c>
      <c r="AH344" s="73" t="str">
        <f aca="false">IF(ISNUMBER(AI344),IF(ISNUMBER('Base de Datos'!Q340),IF('Base de Datos'!Q340&gt;20000,DATE(YEAR('Base de Datos'!Q340),DAY('Base de Datos'!Q340),MONTH('Base de Datos'!Q340)),""),IF(TRIM('Base de Datos'!Q340)="","",IFERROR(DATE(VALUE(RIGHT(TRIM('Base de Datos'!Q340),4)),VALUE(LEFT(TRIM('Base de Datos'!Q340),2)),VALUE(MID(TRIM('Base de Datos'!Q340),4,2))),""))),"")</f>
        <v/>
      </c>
      <c r="AI344" s="74" t="str">
        <f aca="false">IF(ISNUMBER('Base de Datos'!R340),'Base de Datos'!R340,IF(TRIM('Base de Datos'!R340)="","",IFERROR(IF(IFERROR(FIND("@",SUBSTITUTE(TRIM('Base de Datos'!R340),",","@",LEN(TRIM('Base de Datos'!R340))-LEN(SUBSTITUTE(TRIM('Base de Datos'!R340),",","")))),0)&gt;IFERROR(FIND("@",SUBSTITUTE(TRIM('Base de Datos'!R340),".","@",LEN(TRIM('Base de Datos'!R340))-LEN(SUBSTITUTE(TRIM('Base de Datos'!R340),".","")))),0),_xlfn.NUMBERVALUE(SUBSTITUTE(SUBSTITUTE(TRIM('Base de Datos'!R340),".",""),",","."),".",","),_xlfn.NUMBERVALUE(SUBSTITUTE(TRIM('Base de Datos'!R340),",",""),".",",")),"")))</f>
        <v/>
      </c>
      <c r="AJ344" s="73" t="str">
        <f aca="false">IF(ISNUMBER(AK344),IF(ISNUMBER('Base de Datos'!Y340),IF('Base de Datos'!Y340&gt;20000,INT('Base de Datos'!Y340),""),IF(TRIM('Base de Datos'!Y340)="","",IFERROR(DATE(VALUE(RIGHT(TRIM('Base de Datos'!Y340),4)),VALUE(MID(TRIM('Base de Datos'!Y340),4,2)),VALUE(LEFT(TRIM('Base de Datos'!Y340),2))),IFERROR(DATEVALUE(TRIM('Base de Datos'!Y340)),"")))),"")</f>
        <v/>
      </c>
      <c r="AK344" s="74" t="str">
        <f aca="false">IF(ISNUMBER('Base de Datos'!Z340),'Base de Datos'!Z340,IF(TRIM('Base de Datos'!Z340)="","",IFERROR(IF(IFERROR(FIND("@",SUBSTITUTE(TRIM('Base de Datos'!Z340),",","@",LEN(TRIM('Base de Datos'!Z340))-LEN(SUBSTITUTE(TRIM('Base de Datos'!Z340),",","")))),0)&gt;IFERROR(FIND("@",SUBSTITUTE(TRIM('Base de Datos'!Z340),".","@",LEN(TRIM('Base de Datos'!Z340))-LEN(SUBSTITUTE(TRIM('Base de Datos'!Z340),".","")))),0),_xlfn.NUMBERVALUE(SUBSTITUTE(SUBSTITUTE(TRIM('Base de Datos'!Z340),".",""),",","."),".",","),_xlfn.NUMBERVALUE(SUBSTITUTE(TRIM('Base de Datos'!Z340),",",""),".",",")),"")))</f>
        <v/>
      </c>
    </row>
    <row r="345" customFormat="false" ht="13.5" hidden="false" customHeight="false" outlineLevel="0" collapsed="false">
      <c r="A345" s="75" t="n">
        <f aca="false">ROWS(A$13:A345)</f>
        <v>333</v>
      </c>
      <c r="B345" s="73" t="str">
        <f aca="false">IF(B344="","",IFERROR(SMALL($AH$10:$AH$409,COUNTIF($AH$10:$AH$409,"&lt;="&amp;B344)+1),""))</f>
        <v/>
      </c>
      <c r="C345" s="74" t="str">
        <f aca="false">IF(B345="","",INDEX($AI$10:$AI$409,MATCH(B345,$AH$10:$AH$409,0)))</f>
        <v/>
      </c>
      <c r="D345" s="74" t="str">
        <f aca="false">IF(B345="","",IFERROR(INDEX($AK$10:$AK$409,MATCH(B345,$AJ$10:$AJ$409,0)),""))</f>
        <v/>
      </c>
      <c r="E345" s="76" t="str">
        <f aca="false">IF(AND(ISNUMBER(C345),ISNUMBER(C344)),C345/C344-1,"")</f>
        <v/>
      </c>
      <c r="F345" s="76" t="str">
        <f aca="false">IF(AND(ISNUMBER(D345),ISNUMBER(D344)),D345/D344-1,"")</f>
        <v/>
      </c>
      <c r="G345" s="75" t="str">
        <f aca="false">IF(AND(ISNUMBER(E345),ISNUMBER(F345)),1,"")</f>
        <v/>
      </c>
      <c r="H345" s="75" t="str">
        <f aca="false">IF(G345=1,COUNT(G345:G$412),"")</f>
        <v/>
      </c>
      <c r="I345" s="75" t="str">
        <f aca="false">IF(G345=1,IF(H345&lt;='Beta Regresión'!$B$5,1,""),"")</f>
        <v/>
      </c>
      <c r="J345" s="76" t="str">
        <f aca="false">IF(I345=1,E345,"")</f>
        <v/>
      </c>
      <c r="K345" s="76" t="str">
        <f aca="false">IF(I345=1,F345,"")</f>
        <v/>
      </c>
      <c r="L345" s="75" t="str">
        <f aca="false">IF(I345=1,COUNT(I$13:I345),"")</f>
        <v/>
      </c>
      <c r="M345" s="76" t="str">
        <f aca="false">IFERROR(INDEX($J$13:$J$412,MATCH(A345,$L$13:$L$412,0)),"")</f>
        <v/>
      </c>
      <c r="N345" s="76" t="str">
        <f aca="false">IFERROR(INDEX($K$13:$K$412,MATCH(A345,$L$13:$L$412,0)),"")</f>
        <v/>
      </c>
      <c r="O345" s="76" t="e">
        <f aca="false">IF(I345=1,E345,NA())</f>
        <v>#N/A</v>
      </c>
      <c r="P345" s="76" t="e">
        <f aca="false">IF(I345=1,F345,NA())</f>
        <v>#N/A</v>
      </c>
      <c r="R345" s="75" t="n">
        <f aca="false">ROWS(R$13:R345)</f>
        <v>333</v>
      </c>
      <c r="S345" s="73" t="str">
        <f aca="false">IF(S344="","",IFERROR(SMALL($AD$10:$AD$509,COUNTIF($AD$10:$AD$509,"&lt;="&amp;S344)+1),""))</f>
        <v/>
      </c>
      <c r="T345" s="74" t="str">
        <f aca="false">IF(S345="","",INDEX($AE$10:$AE$509,MATCH(S345,$AD$10:$AD$509,0)))</f>
        <v/>
      </c>
      <c r="U345" s="74" t="str">
        <f aca="false">IF(S345="","",IFERROR(INDEX($AG$10:$AG$509,MATCH(S345,$AF$10:$AF$509,0)),""))</f>
        <v/>
      </c>
      <c r="V345" s="76" t="str">
        <f aca="false">IF(AND(ISNUMBER(T345),ISNUMBER(T344)),T345/T344-1,"")</f>
        <v/>
      </c>
      <c r="W345" s="76" t="str">
        <f aca="false">IF(AND(ISNUMBER(U345),ISNUMBER(U344)),U345/U344-1,"")</f>
        <v/>
      </c>
      <c r="X345" s="75" t="str">
        <f aca="false">IF(AND(ISNUMBER(V345),ISNUMBER(W345)),1,"")</f>
        <v/>
      </c>
      <c r="Y345" s="76" t="str">
        <f aca="false">IF(X345=1,V345,"")</f>
        <v/>
      </c>
      <c r="Z345" s="76" t="str">
        <f aca="false">IF(X345=1,W345,"")</f>
        <v/>
      </c>
      <c r="AA345" s="76" t="e">
        <f aca="false">IF(X345=1,V345,NA())</f>
        <v>#N/A</v>
      </c>
      <c r="AB345" s="76" t="e">
        <f aca="false">IF(X345=1,W345,NA())</f>
        <v>#N/A</v>
      </c>
      <c r="AD345" s="73" t="str">
        <f aca="false">IF(ISNUMBER(AE345),IF(ISNUMBER('Base de Datos'!A341),IF('Base de Datos'!A341&gt;20000,DATE(YEAR('Base de Datos'!A341),DAY('Base de Datos'!A341),MONTH('Base de Datos'!A341)),""),IF(TRIM('Base de Datos'!A341)="","",IFERROR(DATE(VALUE(RIGHT(TRIM('Base de Datos'!A341),4)),VALUE(LEFT(TRIM('Base de Datos'!A341),2)),VALUE(MID(TRIM('Base de Datos'!A341),4,2))),""))),"")</f>
        <v/>
      </c>
      <c r="AE345" s="74" t="str">
        <f aca="false">IF(ISNUMBER('Base de Datos'!B341),'Base de Datos'!B341,IF(TRIM('Base de Datos'!B341)="","",IFERROR(IF(IFERROR(FIND("@",SUBSTITUTE(TRIM('Base de Datos'!B341),",","@",LEN(TRIM('Base de Datos'!B341))-LEN(SUBSTITUTE(TRIM('Base de Datos'!B341),",","")))),0)&gt;IFERROR(FIND("@",SUBSTITUTE(TRIM('Base de Datos'!B341),".","@",LEN(TRIM('Base de Datos'!B341))-LEN(SUBSTITUTE(TRIM('Base de Datos'!B341),".","")))),0),_xlfn.NUMBERVALUE(SUBSTITUTE(SUBSTITUTE(TRIM('Base de Datos'!B341),".",""),",","."),".",","),_xlfn.NUMBERVALUE(SUBSTITUTE(TRIM('Base de Datos'!B341),",",""),".",",")),"")))</f>
        <v/>
      </c>
      <c r="AF345" s="73" t="str">
        <f aca="false">IF(ISNUMBER(AG345),IF(ISNUMBER('Base de Datos'!I341),IF('Base de Datos'!I341&gt;20000,INT('Base de Datos'!I341),""),IF(TRIM('Base de Datos'!I341)="","",IFERROR(DATE(VALUE(RIGHT(TRIM('Base de Datos'!I341),4)),VALUE(MID(TRIM('Base de Datos'!I341),4,2)),VALUE(LEFT(TRIM('Base de Datos'!I341),2))),IFERROR(DATEVALUE(TRIM('Base de Datos'!I341)),"")))),"")</f>
        <v/>
      </c>
      <c r="AG345" s="74" t="str">
        <f aca="false">IF(ISNUMBER('Base de Datos'!J341),'Base de Datos'!J341,IF(TRIM('Base de Datos'!J341)="","",IFERROR(IF(IFERROR(FIND("@",SUBSTITUTE(TRIM('Base de Datos'!J341),",","@",LEN(TRIM('Base de Datos'!J341))-LEN(SUBSTITUTE(TRIM('Base de Datos'!J341),",","")))),0)&gt;IFERROR(FIND("@",SUBSTITUTE(TRIM('Base de Datos'!J341),".","@",LEN(TRIM('Base de Datos'!J341))-LEN(SUBSTITUTE(TRIM('Base de Datos'!J341),".","")))),0),_xlfn.NUMBERVALUE(SUBSTITUTE(SUBSTITUTE(TRIM('Base de Datos'!J341),".",""),",","."),".",","),_xlfn.NUMBERVALUE(SUBSTITUTE(TRIM('Base de Datos'!J341),",",""),".",",")),"")))</f>
        <v/>
      </c>
      <c r="AH345" s="73" t="str">
        <f aca="false">IF(ISNUMBER(AI345),IF(ISNUMBER('Base de Datos'!Q341),IF('Base de Datos'!Q341&gt;20000,DATE(YEAR('Base de Datos'!Q341),DAY('Base de Datos'!Q341),MONTH('Base de Datos'!Q341)),""),IF(TRIM('Base de Datos'!Q341)="","",IFERROR(DATE(VALUE(RIGHT(TRIM('Base de Datos'!Q341),4)),VALUE(LEFT(TRIM('Base de Datos'!Q341),2)),VALUE(MID(TRIM('Base de Datos'!Q341),4,2))),""))),"")</f>
        <v/>
      </c>
      <c r="AI345" s="74" t="str">
        <f aca="false">IF(ISNUMBER('Base de Datos'!R341),'Base de Datos'!R341,IF(TRIM('Base de Datos'!R341)="","",IFERROR(IF(IFERROR(FIND("@",SUBSTITUTE(TRIM('Base de Datos'!R341),",","@",LEN(TRIM('Base de Datos'!R341))-LEN(SUBSTITUTE(TRIM('Base de Datos'!R341),",","")))),0)&gt;IFERROR(FIND("@",SUBSTITUTE(TRIM('Base de Datos'!R341),".","@",LEN(TRIM('Base de Datos'!R341))-LEN(SUBSTITUTE(TRIM('Base de Datos'!R341),".","")))),0),_xlfn.NUMBERVALUE(SUBSTITUTE(SUBSTITUTE(TRIM('Base de Datos'!R341),".",""),",","."),".",","),_xlfn.NUMBERVALUE(SUBSTITUTE(TRIM('Base de Datos'!R341),",",""),".",",")),"")))</f>
        <v/>
      </c>
      <c r="AJ345" s="73" t="str">
        <f aca="false">IF(ISNUMBER(AK345),IF(ISNUMBER('Base de Datos'!Y341),IF('Base de Datos'!Y341&gt;20000,INT('Base de Datos'!Y341),""),IF(TRIM('Base de Datos'!Y341)="","",IFERROR(DATE(VALUE(RIGHT(TRIM('Base de Datos'!Y341),4)),VALUE(MID(TRIM('Base de Datos'!Y341),4,2)),VALUE(LEFT(TRIM('Base de Datos'!Y341),2))),IFERROR(DATEVALUE(TRIM('Base de Datos'!Y341)),"")))),"")</f>
        <v/>
      </c>
      <c r="AK345" s="74" t="str">
        <f aca="false">IF(ISNUMBER('Base de Datos'!Z341),'Base de Datos'!Z341,IF(TRIM('Base de Datos'!Z341)="","",IFERROR(IF(IFERROR(FIND("@",SUBSTITUTE(TRIM('Base de Datos'!Z341),",","@",LEN(TRIM('Base de Datos'!Z341))-LEN(SUBSTITUTE(TRIM('Base de Datos'!Z341),",","")))),0)&gt;IFERROR(FIND("@",SUBSTITUTE(TRIM('Base de Datos'!Z341),".","@",LEN(TRIM('Base de Datos'!Z341))-LEN(SUBSTITUTE(TRIM('Base de Datos'!Z341),".","")))),0),_xlfn.NUMBERVALUE(SUBSTITUTE(SUBSTITUTE(TRIM('Base de Datos'!Z341),".",""),",","."),".",","),_xlfn.NUMBERVALUE(SUBSTITUTE(TRIM('Base de Datos'!Z341),",",""),".",",")),"")))</f>
        <v/>
      </c>
    </row>
    <row r="346" customFormat="false" ht="13.5" hidden="false" customHeight="false" outlineLevel="0" collapsed="false">
      <c r="A346" s="75" t="n">
        <f aca="false">ROWS(A$13:A346)</f>
        <v>334</v>
      </c>
      <c r="B346" s="73" t="str">
        <f aca="false">IF(B345="","",IFERROR(SMALL($AH$10:$AH$409,COUNTIF($AH$10:$AH$409,"&lt;="&amp;B345)+1),""))</f>
        <v/>
      </c>
      <c r="C346" s="74" t="str">
        <f aca="false">IF(B346="","",INDEX($AI$10:$AI$409,MATCH(B346,$AH$10:$AH$409,0)))</f>
        <v/>
      </c>
      <c r="D346" s="74" t="str">
        <f aca="false">IF(B346="","",IFERROR(INDEX($AK$10:$AK$409,MATCH(B346,$AJ$10:$AJ$409,0)),""))</f>
        <v/>
      </c>
      <c r="E346" s="76" t="str">
        <f aca="false">IF(AND(ISNUMBER(C346),ISNUMBER(C345)),C346/C345-1,"")</f>
        <v/>
      </c>
      <c r="F346" s="76" t="str">
        <f aca="false">IF(AND(ISNUMBER(D346),ISNUMBER(D345)),D346/D345-1,"")</f>
        <v/>
      </c>
      <c r="G346" s="75" t="str">
        <f aca="false">IF(AND(ISNUMBER(E346),ISNUMBER(F346)),1,"")</f>
        <v/>
      </c>
      <c r="H346" s="75" t="str">
        <f aca="false">IF(G346=1,COUNT(G346:G$412),"")</f>
        <v/>
      </c>
      <c r="I346" s="75" t="str">
        <f aca="false">IF(G346=1,IF(H346&lt;='Beta Regresión'!$B$5,1,""),"")</f>
        <v/>
      </c>
      <c r="J346" s="76" t="str">
        <f aca="false">IF(I346=1,E346,"")</f>
        <v/>
      </c>
      <c r="K346" s="76" t="str">
        <f aca="false">IF(I346=1,F346,"")</f>
        <v/>
      </c>
      <c r="L346" s="75" t="str">
        <f aca="false">IF(I346=1,COUNT(I$13:I346),"")</f>
        <v/>
      </c>
      <c r="M346" s="76" t="str">
        <f aca="false">IFERROR(INDEX($J$13:$J$412,MATCH(A346,$L$13:$L$412,0)),"")</f>
        <v/>
      </c>
      <c r="N346" s="76" t="str">
        <f aca="false">IFERROR(INDEX($K$13:$K$412,MATCH(A346,$L$13:$L$412,0)),"")</f>
        <v/>
      </c>
      <c r="O346" s="76" t="e">
        <f aca="false">IF(I346=1,E346,NA())</f>
        <v>#N/A</v>
      </c>
      <c r="P346" s="76" t="e">
        <f aca="false">IF(I346=1,F346,NA())</f>
        <v>#N/A</v>
      </c>
      <c r="R346" s="75" t="n">
        <f aca="false">ROWS(R$13:R346)</f>
        <v>334</v>
      </c>
      <c r="S346" s="73" t="str">
        <f aca="false">IF(S345="","",IFERROR(SMALL($AD$10:$AD$509,COUNTIF($AD$10:$AD$509,"&lt;="&amp;S345)+1),""))</f>
        <v/>
      </c>
      <c r="T346" s="74" t="str">
        <f aca="false">IF(S346="","",INDEX($AE$10:$AE$509,MATCH(S346,$AD$10:$AD$509,0)))</f>
        <v/>
      </c>
      <c r="U346" s="74" t="str">
        <f aca="false">IF(S346="","",IFERROR(INDEX($AG$10:$AG$509,MATCH(S346,$AF$10:$AF$509,0)),""))</f>
        <v/>
      </c>
      <c r="V346" s="76" t="str">
        <f aca="false">IF(AND(ISNUMBER(T346),ISNUMBER(T345)),T346/T345-1,"")</f>
        <v/>
      </c>
      <c r="W346" s="76" t="str">
        <f aca="false">IF(AND(ISNUMBER(U346),ISNUMBER(U345)),U346/U345-1,"")</f>
        <v/>
      </c>
      <c r="X346" s="75" t="str">
        <f aca="false">IF(AND(ISNUMBER(V346),ISNUMBER(W346)),1,"")</f>
        <v/>
      </c>
      <c r="Y346" s="76" t="str">
        <f aca="false">IF(X346=1,V346,"")</f>
        <v/>
      </c>
      <c r="Z346" s="76" t="str">
        <f aca="false">IF(X346=1,W346,"")</f>
        <v/>
      </c>
      <c r="AA346" s="76" t="e">
        <f aca="false">IF(X346=1,V346,NA())</f>
        <v>#N/A</v>
      </c>
      <c r="AB346" s="76" t="e">
        <f aca="false">IF(X346=1,W346,NA())</f>
        <v>#N/A</v>
      </c>
      <c r="AD346" s="73" t="str">
        <f aca="false">IF(ISNUMBER(AE346),IF(ISNUMBER('Base de Datos'!A342),IF('Base de Datos'!A342&gt;20000,DATE(YEAR('Base de Datos'!A342),DAY('Base de Datos'!A342),MONTH('Base de Datos'!A342)),""),IF(TRIM('Base de Datos'!A342)="","",IFERROR(DATE(VALUE(RIGHT(TRIM('Base de Datos'!A342),4)),VALUE(LEFT(TRIM('Base de Datos'!A342),2)),VALUE(MID(TRIM('Base de Datos'!A342),4,2))),""))),"")</f>
        <v/>
      </c>
      <c r="AE346" s="74" t="str">
        <f aca="false">IF(ISNUMBER('Base de Datos'!B342),'Base de Datos'!B342,IF(TRIM('Base de Datos'!B342)="","",IFERROR(IF(IFERROR(FIND("@",SUBSTITUTE(TRIM('Base de Datos'!B342),",","@",LEN(TRIM('Base de Datos'!B342))-LEN(SUBSTITUTE(TRIM('Base de Datos'!B342),",","")))),0)&gt;IFERROR(FIND("@",SUBSTITUTE(TRIM('Base de Datos'!B342),".","@",LEN(TRIM('Base de Datos'!B342))-LEN(SUBSTITUTE(TRIM('Base de Datos'!B342),".","")))),0),_xlfn.NUMBERVALUE(SUBSTITUTE(SUBSTITUTE(TRIM('Base de Datos'!B342),".",""),",","."),".",","),_xlfn.NUMBERVALUE(SUBSTITUTE(TRIM('Base de Datos'!B342),",",""),".",",")),"")))</f>
        <v/>
      </c>
      <c r="AF346" s="73" t="str">
        <f aca="false">IF(ISNUMBER(AG346),IF(ISNUMBER('Base de Datos'!I342),IF('Base de Datos'!I342&gt;20000,INT('Base de Datos'!I342),""),IF(TRIM('Base de Datos'!I342)="","",IFERROR(DATE(VALUE(RIGHT(TRIM('Base de Datos'!I342),4)),VALUE(MID(TRIM('Base de Datos'!I342),4,2)),VALUE(LEFT(TRIM('Base de Datos'!I342),2))),IFERROR(DATEVALUE(TRIM('Base de Datos'!I342)),"")))),"")</f>
        <v/>
      </c>
      <c r="AG346" s="74" t="str">
        <f aca="false">IF(ISNUMBER('Base de Datos'!J342),'Base de Datos'!J342,IF(TRIM('Base de Datos'!J342)="","",IFERROR(IF(IFERROR(FIND("@",SUBSTITUTE(TRIM('Base de Datos'!J342),",","@",LEN(TRIM('Base de Datos'!J342))-LEN(SUBSTITUTE(TRIM('Base de Datos'!J342),",","")))),0)&gt;IFERROR(FIND("@",SUBSTITUTE(TRIM('Base de Datos'!J342),".","@",LEN(TRIM('Base de Datos'!J342))-LEN(SUBSTITUTE(TRIM('Base de Datos'!J342),".","")))),0),_xlfn.NUMBERVALUE(SUBSTITUTE(SUBSTITUTE(TRIM('Base de Datos'!J342),".",""),",","."),".",","),_xlfn.NUMBERVALUE(SUBSTITUTE(TRIM('Base de Datos'!J342),",",""),".",",")),"")))</f>
        <v/>
      </c>
      <c r="AH346" s="73" t="str">
        <f aca="false">IF(ISNUMBER(AI346),IF(ISNUMBER('Base de Datos'!Q342),IF('Base de Datos'!Q342&gt;20000,DATE(YEAR('Base de Datos'!Q342),DAY('Base de Datos'!Q342),MONTH('Base de Datos'!Q342)),""),IF(TRIM('Base de Datos'!Q342)="","",IFERROR(DATE(VALUE(RIGHT(TRIM('Base de Datos'!Q342),4)),VALUE(LEFT(TRIM('Base de Datos'!Q342),2)),VALUE(MID(TRIM('Base de Datos'!Q342),4,2))),""))),"")</f>
        <v/>
      </c>
      <c r="AI346" s="74" t="str">
        <f aca="false">IF(ISNUMBER('Base de Datos'!R342),'Base de Datos'!R342,IF(TRIM('Base de Datos'!R342)="","",IFERROR(IF(IFERROR(FIND("@",SUBSTITUTE(TRIM('Base de Datos'!R342),",","@",LEN(TRIM('Base de Datos'!R342))-LEN(SUBSTITUTE(TRIM('Base de Datos'!R342),",","")))),0)&gt;IFERROR(FIND("@",SUBSTITUTE(TRIM('Base de Datos'!R342),".","@",LEN(TRIM('Base de Datos'!R342))-LEN(SUBSTITUTE(TRIM('Base de Datos'!R342),".","")))),0),_xlfn.NUMBERVALUE(SUBSTITUTE(SUBSTITUTE(TRIM('Base de Datos'!R342),".",""),",","."),".",","),_xlfn.NUMBERVALUE(SUBSTITUTE(TRIM('Base de Datos'!R342),",",""),".",",")),"")))</f>
        <v/>
      </c>
      <c r="AJ346" s="73" t="str">
        <f aca="false">IF(ISNUMBER(AK346),IF(ISNUMBER('Base de Datos'!Y342),IF('Base de Datos'!Y342&gt;20000,INT('Base de Datos'!Y342),""),IF(TRIM('Base de Datos'!Y342)="","",IFERROR(DATE(VALUE(RIGHT(TRIM('Base de Datos'!Y342),4)),VALUE(MID(TRIM('Base de Datos'!Y342),4,2)),VALUE(LEFT(TRIM('Base de Datos'!Y342),2))),IFERROR(DATEVALUE(TRIM('Base de Datos'!Y342)),"")))),"")</f>
        <v/>
      </c>
      <c r="AK346" s="74" t="str">
        <f aca="false">IF(ISNUMBER('Base de Datos'!Z342),'Base de Datos'!Z342,IF(TRIM('Base de Datos'!Z342)="","",IFERROR(IF(IFERROR(FIND("@",SUBSTITUTE(TRIM('Base de Datos'!Z342),",","@",LEN(TRIM('Base de Datos'!Z342))-LEN(SUBSTITUTE(TRIM('Base de Datos'!Z342),",","")))),0)&gt;IFERROR(FIND("@",SUBSTITUTE(TRIM('Base de Datos'!Z342),".","@",LEN(TRIM('Base de Datos'!Z342))-LEN(SUBSTITUTE(TRIM('Base de Datos'!Z342),".","")))),0),_xlfn.NUMBERVALUE(SUBSTITUTE(SUBSTITUTE(TRIM('Base de Datos'!Z342),".",""),",","."),".",","),_xlfn.NUMBERVALUE(SUBSTITUTE(TRIM('Base de Datos'!Z342),",",""),".",",")),"")))</f>
        <v/>
      </c>
    </row>
    <row r="347" customFormat="false" ht="13.5" hidden="false" customHeight="false" outlineLevel="0" collapsed="false">
      <c r="A347" s="75" t="n">
        <f aca="false">ROWS(A$13:A347)</f>
        <v>335</v>
      </c>
      <c r="B347" s="73" t="str">
        <f aca="false">IF(B346="","",IFERROR(SMALL($AH$10:$AH$409,COUNTIF($AH$10:$AH$409,"&lt;="&amp;B346)+1),""))</f>
        <v/>
      </c>
      <c r="C347" s="74" t="str">
        <f aca="false">IF(B347="","",INDEX($AI$10:$AI$409,MATCH(B347,$AH$10:$AH$409,0)))</f>
        <v/>
      </c>
      <c r="D347" s="74" t="str">
        <f aca="false">IF(B347="","",IFERROR(INDEX($AK$10:$AK$409,MATCH(B347,$AJ$10:$AJ$409,0)),""))</f>
        <v/>
      </c>
      <c r="E347" s="76" t="str">
        <f aca="false">IF(AND(ISNUMBER(C347),ISNUMBER(C346)),C347/C346-1,"")</f>
        <v/>
      </c>
      <c r="F347" s="76" t="str">
        <f aca="false">IF(AND(ISNUMBER(D347),ISNUMBER(D346)),D347/D346-1,"")</f>
        <v/>
      </c>
      <c r="G347" s="75" t="str">
        <f aca="false">IF(AND(ISNUMBER(E347),ISNUMBER(F347)),1,"")</f>
        <v/>
      </c>
      <c r="H347" s="75" t="str">
        <f aca="false">IF(G347=1,COUNT(G347:G$412),"")</f>
        <v/>
      </c>
      <c r="I347" s="75" t="str">
        <f aca="false">IF(G347=1,IF(H347&lt;='Beta Regresión'!$B$5,1,""),"")</f>
        <v/>
      </c>
      <c r="J347" s="76" t="str">
        <f aca="false">IF(I347=1,E347,"")</f>
        <v/>
      </c>
      <c r="K347" s="76" t="str">
        <f aca="false">IF(I347=1,F347,"")</f>
        <v/>
      </c>
      <c r="L347" s="75" t="str">
        <f aca="false">IF(I347=1,COUNT(I$13:I347),"")</f>
        <v/>
      </c>
      <c r="M347" s="76" t="str">
        <f aca="false">IFERROR(INDEX($J$13:$J$412,MATCH(A347,$L$13:$L$412,0)),"")</f>
        <v/>
      </c>
      <c r="N347" s="76" t="str">
        <f aca="false">IFERROR(INDEX($K$13:$K$412,MATCH(A347,$L$13:$L$412,0)),"")</f>
        <v/>
      </c>
      <c r="O347" s="76" t="e">
        <f aca="false">IF(I347=1,E347,NA())</f>
        <v>#N/A</v>
      </c>
      <c r="P347" s="76" t="e">
        <f aca="false">IF(I347=1,F347,NA())</f>
        <v>#N/A</v>
      </c>
      <c r="R347" s="75" t="n">
        <f aca="false">ROWS(R$13:R347)</f>
        <v>335</v>
      </c>
      <c r="S347" s="73" t="str">
        <f aca="false">IF(S346="","",IFERROR(SMALL($AD$10:$AD$509,COUNTIF($AD$10:$AD$509,"&lt;="&amp;S346)+1),""))</f>
        <v/>
      </c>
      <c r="T347" s="74" t="str">
        <f aca="false">IF(S347="","",INDEX($AE$10:$AE$509,MATCH(S347,$AD$10:$AD$509,0)))</f>
        <v/>
      </c>
      <c r="U347" s="74" t="str">
        <f aca="false">IF(S347="","",IFERROR(INDEX($AG$10:$AG$509,MATCH(S347,$AF$10:$AF$509,0)),""))</f>
        <v/>
      </c>
      <c r="V347" s="76" t="str">
        <f aca="false">IF(AND(ISNUMBER(T347),ISNUMBER(T346)),T347/T346-1,"")</f>
        <v/>
      </c>
      <c r="W347" s="76" t="str">
        <f aca="false">IF(AND(ISNUMBER(U347),ISNUMBER(U346)),U347/U346-1,"")</f>
        <v/>
      </c>
      <c r="X347" s="75" t="str">
        <f aca="false">IF(AND(ISNUMBER(V347),ISNUMBER(W347)),1,"")</f>
        <v/>
      </c>
      <c r="Y347" s="76" t="str">
        <f aca="false">IF(X347=1,V347,"")</f>
        <v/>
      </c>
      <c r="Z347" s="76" t="str">
        <f aca="false">IF(X347=1,W347,"")</f>
        <v/>
      </c>
      <c r="AA347" s="76" t="e">
        <f aca="false">IF(X347=1,V347,NA())</f>
        <v>#N/A</v>
      </c>
      <c r="AB347" s="76" t="e">
        <f aca="false">IF(X347=1,W347,NA())</f>
        <v>#N/A</v>
      </c>
      <c r="AD347" s="73" t="str">
        <f aca="false">IF(ISNUMBER(AE347),IF(ISNUMBER('Base de Datos'!A343),IF('Base de Datos'!A343&gt;20000,DATE(YEAR('Base de Datos'!A343),DAY('Base de Datos'!A343),MONTH('Base de Datos'!A343)),""),IF(TRIM('Base de Datos'!A343)="","",IFERROR(DATE(VALUE(RIGHT(TRIM('Base de Datos'!A343),4)),VALUE(LEFT(TRIM('Base de Datos'!A343),2)),VALUE(MID(TRIM('Base de Datos'!A343),4,2))),""))),"")</f>
        <v/>
      </c>
      <c r="AE347" s="74" t="str">
        <f aca="false">IF(ISNUMBER('Base de Datos'!B343),'Base de Datos'!B343,IF(TRIM('Base de Datos'!B343)="","",IFERROR(IF(IFERROR(FIND("@",SUBSTITUTE(TRIM('Base de Datos'!B343),",","@",LEN(TRIM('Base de Datos'!B343))-LEN(SUBSTITUTE(TRIM('Base de Datos'!B343),",","")))),0)&gt;IFERROR(FIND("@",SUBSTITUTE(TRIM('Base de Datos'!B343),".","@",LEN(TRIM('Base de Datos'!B343))-LEN(SUBSTITUTE(TRIM('Base de Datos'!B343),".","")))),0),_xlfn.NUMBERVALUE(SUBSTITUTE(SUBSTITUTE(TRIM('Base de Datos'!B343),".",""),",","."),".",","),_xlfn.NUMBERVALUE(SUBSTITUTE(TRIM('Base de Datos'!B343),",",""),".",",")),"")))</f>
        <v/>
      </c>
      <c r="AF347" s="73" t="str">
        <f aca="false">IF(ISNUMBER(AG347),IF(ISNUMBER('Base de Datos'!I343),IF('Base de Datos'!I343&gt;20000,INT('Base de Datos'!I343),""),IF(TRIM('Base de Datos'!I343)="","",IFERROR(DATE(VALUE(RIGHT(TRIM('Base de Datos'!I343),4)),VALUE(MID(TRIM('Base de Datos'!I343),4,2)),VALUE(LEFT(TRIM('Base de Datos'!I343),2))),IFERROR(DATEVALUE(TRIM('Base de Datos'!I343)),"")))),"")</f>
        <v/>
      </c>
      <c r="AG347" s="74" t="str">
        <f aca="false">IF(ISNUMBER('Base de Datos'!J343),'Base de Datos'!J343,IF(TRIM('Base de Datos'!J343)="","",IFERROR(IF(IFERROR(FIND("@",SUBSTITUTE(TRIM('Base de Datos'!J343),",","@",LEN(TRIM('Base de Datos'!J343))-LEN(SUBSTITUTE(TRIM('Base de Datos'!J343),",","")))),0)&gt;IFERROR(FIND("@",SUBSTITUTE(TRIM('Base de Datos'!J343),".","@",LEN(TRIM('Base de Datos'!J343))-LEN(SUBSTITUTE(TRIM('Base de Datos'!J343),".","")))),0),_xlfn.NUMBERVALUE(SUBSTITUTE(SUBSTITUTE(TRIM('Base de Datos'!J343),".",""),",","."),".",","),_xlfn.NUMBERVALUE(SUBSTITUTE(TRIM('Base de Datos'!J343),",",""),".",",")),"")))</f>
        <v/>
      </c>
      <c r="AH347" s="73" t="str">
        <f aca="false">IF(ISNUMBER(AI347),IF(ISNUMBER('Base de Datos'!Q343),IF('Base de Datos'!Q343&gt;20000,DATE(YEAR('Base de Datos'!Q343),DAY('Base de Datos'!Q343),MONTH('Base de Datos'!Q343)),""),IF(TRIM('Base de Datos'!Q343)="","",IFERROR(DATE(VALUE(RIGHT(TRIM('Base de Datos'!Q343),4)),VALUE(LEFT(TRIM('Base de Datos'!Q343),2)),VALUE(MID(TRIM('Base de Datos'!Q343),4,2))),""))),"")</f>
        <v/>
      </c>
      <c r="AI347" s="74" t="str">
        <f aca="false">IF(ISNUMBER('Base de Datos'!R343),'Base de Datos'!R343,IF(TRIM('Base de Datos'!R343)="","",IFERROR(IF(IFERROR(FIND("@",SUBSTITUTE(TRIM('Base de Datos'!R343),",","@",LEN(TRIM('Base de Datos'!R343))-LEN(SUBSTITUTE(TRIM('Base de Datos'!R343),",","")))),0)&gt;IFERROR(FIND("@",SUBSTITUTE(TRIM('Base de Datos'!R343),".","@",LEN(TRIM('Base de Datos'!R343))-LEN(SUBSTITUTE(TRIM('Base de Datos'!R343),".","")))),0),_xlfn.NUMBERVALUE(SUBSTITUTE(SUBSTITUTE(TRIM('Base de Datos'!R343),".",""),",","."),".",","),_xlfn.NUMBERVALUE(SUBSTITUTE(TRIM('Base de Datos'!R343),",",""),".",",")),"")))</f>
        <v/>
      </c>
      <c r="AJ347" s="73" t="str">
        <f aca="false">IF(ISNUMBER(AK347),IF(ISNUMBER('Base de Datos'!Y343),IF('Base de Datos'!Y343&gt;20000,INT('Base de Datos'!Y343),""),IF(TRIM('Base de Datos'!Y343)="","",IFERROR(DATE(VALUE(RIGHT(TRIM('Base de Datos'!Y343),4)),VALUE(MID(TRIM('Base de Datos'!Y343),4,2)),VALUE(LEFT(TRIM('Base de Datos'!Y343),2))),IFERROR(DATEVALUE(TRIM('Base de Datos'!Y343)),"")))),"")</f>
        <v/>
      </c>
      <c r="AK347" s="74" t="str">
        <f aca="false">IF(ISNUMBER('Base de Datos'!Z343),'Base de Datos'!Z343,IF(TRIM('Base de Datos'!Z343)="","",IFERROR(IF(IFERROR(FIND("@",SUBSTITUTE(TRIM('Base de Datos'!Z343),",","@",LEN(TRIM('Base de Datos'!Z343))-LEN(SUBSTITUTE(TRIM('Base de Datos'!Z343),",","")))),0)&gt;IFERROR(FIND("@",SUBSTITUTE(TRIM('Base de Datos'!Z343),".","@",LEN(TRIM('Base de Datos'!Z343))-LEN(SUBSTITUTE(TRIM('Base de Datos'!Z343),".","")))),0),_xlfn.NUMBERVALUE(SUBSTITUTE(SUBSTITUTE(TRIM('Base de Datos'!Z343),".",""),",","."),".",","),_xlfn.NUMBERVALUE(SUBSTITUTE(TRIM('Base de Datos'!Z343),",",""),".",",")),"")))</f>
        <v/>
      </c>
    </row>
    <row r="348" customFormat="false" ht="13.5" hidden="false" customHeight="false" outlineLevel="0" collapsed="false">
      <c r="A348" s="75" t="n">
        <f aca="false">ROWS(A$13:A348)</f>
        <v>336</v>
      </c>
      <c r="B348" s="73" t="str">
        <f aca="false">IF(B347="","",IFERROR(SMALL($AH$10:$AH$409,COUNTIF($AH$10:$AH$409,"&lt;="&amp;B347)+1),""))</f>
        <v/>
      </c>
      <c r="C348" s="74" t="str">
        <f aca="false">IF(B348="","",INDEX($AI$10:$AI$409,MATCH(B348,$AH$10:$AH$409,0)))</f>
        <v/>
      </c>
      <c r="D348" s="74" t="str">
        <f aca="false">IF(B348="","",IFERROR(INDEX($AK$10:$AK$409,MATCH(B348,$AJ$10:$AJ$409,0)),""))</f>
        <v/>
      </c>
      <c r="E348" s="76" t="str">
        <f aca="false">IF(AND(ISNUMBER(C348),ISNUMBER(C347)),C348/C347-1,"")</f>
        <v/>
      </c>
      <c r="F348" s="76" t="str">
        <f aca="false">IF(AND(ISNUMBER(D348),ISNUMBER(D347)),D348/D347-1,"")</f>
        <v/>
      </c>
      <c r="G348" s="75" t="str">
        <f aca="false">IF(AND(ISNUMBER(E348),ISNUMBER(F348)),1,"")</f>
        <v/>
      </c>
      <c r="H348" s="75" t="str">
        <f aca="false">IF(G348=1,COUNT(G348:G$412),"")</f>
        <v/>
      </c>
      <c r="I348" s="75" t="str">
        <f aca="false">IF(G348=1,IF(H348&lt;='Beta Regresión'!$B$5,1,""),"")</f>
        <v/>
      </c>
      <c r="J348" s="76" t="str">
        <f aca="false">IF(I348=1,E348,"")</f>
        <v/>
      </c>
      <c r="K348" s="76" t="str">
        <f aca="false">IF(I348=1,F348,"")</f>
        <v/>
      </c>
      <c r="L348" s="75" t="str">
        <f aca="false">IF(I348=1,COUNT(I$13:I348),"")</f>
        <v/>
      </c>
      <c r="M348" s="76" t="str">
        <f aca="false">IFERROR(INDEX($J$13:$J$412,MATCH(A348,$L$13:$L$412,0)),"")</f>
        <v/>
      </c>
      <c r="N348" s="76" t="str">
        <f aca="false">IFERROR(INDEX($K$13:$K$412,MATCH(A348,$L$13:$L$412,0)),"")</f>
        <v/>
      </c>
      <c r="O348" s="76" t="e">
        <f aca="false">IF(I348=1,E348,NA())</f>
        <v>#N/A</v>
      </c>
      <c r="P348" s="76" t="e">
        <f aca="false">IF(I348=1,F348,NA())</f>
        <v>#N/A</v>
      </c>
      <c r="R348" s="75" t="n">
        <f aca="false">ROWS(R$13:R348)</f>
        <v>336</v>
      </c>
      <c r="S348" s="73" t="str">
        <f aca="false">IF(S347="","",IFERROR(SMALL($AD$10:$AD$509,COUNTIF($AD$10:$AD$509,"&lt;="&amp;S347)+1),""))</f>
        <v/>
      </c>
      <c r="T348" s="74" t="str">
        <f aca="false">IF(S348="","",INDEX($AE$10:$AE$509,MATCH(S348,$AD$10:$AD$509,0)))</f>
        <v/>
      </c>
      <c r="U348" s="74" t="str">
        <f aca="false">IF(S348="","",IFERROR(INDEX($AG$10:$AG$509,MATCH(S348,$AF$10:$AF$509,0)),""))</f>
        <v/>
      </c>
      <c r="V348" s="76" t="str">
        <f aca="false">IF(AND(ISNUMBER(T348),ISNUMBER(T347)),T348/T347-1,"")</f>
        <v/>
      </c>
      <c r="W348" s="76" t="str">
        <f aca="false">IF(AND(ISNUMBER(U348),ISNUMBER(U347)),U348/U347-1,"")</f>
        <v/>
      </c>
      <c r="X348" s="75" t="str">
        <f aca="false">IF(AND(ISNUMBER(V348),ISNUMBER(W348)),1,"")</f>
        <v/>
      </c>
      <c r="Y348" s="76" t="str">
        <f aca="false">IF(X348=1,V348,"")</f>
        <v/>
      </c>
      <c r="Z348" s="76" t="str">
        <f aca="false">IF(X348=1,W348,"")</f>
        <v/>
      </c>
      <c r="AA348" s="76" t="e">
        <f aca="false">IF(X348=1,V348,NA())</f>
        <v>#N/A</v>
      </c>
      <c r="AB348" s="76" t="e">
        <f aca="false">IF(X348=1,W348,NA())</f>
        <v>#N/A</v>
      </c>
      <c r="AD348" s="73" t="str">
        <f aca="false">IF(ISNUMBER(AE348),IF(ISNUMBER('Base de Datos'!A344),IF('Base de Datos'!A344&gt;20000,DATE(YEAR('Base de Datos'!A344),DAY('Base de Datos'!A344),MONTH('Base de Datos'!A344)),""),IF(TRIM('Base de Datos'!A344)="","",IFERROR(DATE(VALUE(RIGHT(TRIM('Base de Datos'!A344),4)),VALUE(LEFT(TRIM('Base de Datos'!A344),2)),VALUE(MID(TRIM('Base de Datos'!A344),4,2))),""))),"")</f>
        <v/>
      </c>
      <c r="AE348" s="74" t="str">
        <f aca="false">IF(ISNUMBER('Base de Datos'!B344),'Base de Datos'!B344,IF(TRIM('Base de Datos'!B344)="","",IFERROR(IF(IFERROR(FIND("@",SUBSTITUTE(TRIM('Base de Datos'!B344),",","@",LEN(TRIM('Base de Datos'!B344))-LEN(SUBSTITUTE(TRIM('Base de Datos'!B344),",","")))),0)&gt;IFERROR(FIND("@",SUBSTITUTE(TRIM('Base de Datos'!B344),".","@",LEN(TRIM('Base de Datos'!B344))-LEN(SUBSTITUTE(TRIM('Base de Datos'!B344),".","")))),0),_xlfn.NUMBERVALUE(SUBSTITUTE(SUBSTITUTE(TRIM('Base de Datos'!B344),".",""),",","."),".",","),_xlfn.NUMBERVALUE(SUBSTITUTE(TRIM('Base de Datos'!B344),",",""),".",",")),"")))</f>
        <v/>
      </c>
      <c r="AF348" s="73" t="str">
        <f aca="false">IF(ISNUMBER(AG348),IF(ISNUMBER('Base de Datos'!I344),IF('Base de Datos'!I344&gt;20000,INT('Base de Datos'!I344),""),IF(TRIM('Base de Datos'!I344)="","",IFERROR(DATE(VALUE(RIGHT(TRIM('Base de Datos'!I344),4)),VALUE(MID(TRIM('Base de Datos'!I344),4,2)),VALUE(LEFT(TRIM('Base de Datos'!I344),2))),IFERROR(DATEVALUE(TRIM('Base de Datos'!I344)),"")))),"")</f>
        <v/>
      </c>
      <c r="AG348" s="74" t="str">
        <f aca="false">IF(ISNUMBER('Base de Datos'!J344),'Base de Datos'!J344,IF(TRIM('Base de Datos'!J344)="","",IFERROR(IF(IFERROR(FIND("@",SUBSTITUTE(TRIM('Base de Datos'!J344),",","@",LEN(TRIM('Base de Datos'!J344))-LEN(SUBSTITUTE(TRIM('Base de Datos'!J344),",","")))),0)&gt;IFERROR(FIND("@",SUBSTITUTE(TRIM('Base de Datos'!J344),".","@",LEN(TRIM('Base de Datos'!J344))-LEN(SUBSTITUTE(TRIM('Base de Datos'!J344),".","")))),0),_xlfn.NUMBERVALUE(SUBSTITUTE(SUBSTITUTE(TRIM('Base de Datos'!J344),".",""),",","."),".",","),_xlfn.NUMBERVALUE(SUBSTITUTE(TRIM('Base de Datos'!J344),",",""),".",",")),"")))</f>
        <v/>
      </c>
      <c r="AH348" s="73" t="str">
        <f aca="false">IF(ISNUMBER(AI348),IF(ISNUMBER('Base de Datos'!Q344),IF('Base de Datos'!Q344&gt;20000,DATE(YEAR('Base de Datos'!Q344),DAY('Base de Datos'!Q344),MONTH('Base de Datos'!Q344)),""),IF(TRIM('Base de Datos'!Q344)="","",IFERROR(DATE(VALUE(RIGHT(TRIM('Base de Datos'!Q344),4)),VALUE(LEFT(TRIM('Base de Datos'!Q344),2)),VALUE(MID(TRIM('Base de Datos'!Q344),4,2))),""))),"")</f>
        <v/>
      </c>
      <c r="AI348" s="74" t="str">
        <f aca="false">IF(ISNUMBER('Base de Datos'!R344),'Base de Datos'!R344,IF(TRIM('Base de Datos'!R344)="","",IFERROR(IF(IFERROR(FIND("@",SUBSTITUTE(TRIM('Base de Datos'!R344),",","@",LEN(TRIM('Base de Datos'!R344))-LEN(SUBSTITUTE(TRIM('Base de Datos'!R344),",","")))),0)&gt;IFERROR(FIND("@",SUBSTITUTE(TRIM('Base de Datos'!R344),".","@",LEN(TRIM('Base de Datos'!R344))-LEN(SUBSTITUTE(TRIM('Base de Datos'!R344),".","")))),0),_xlfn.NUMBERVALUE(SUBSTITUTE(SUBSTITUTE(TRIM('Base de Datos'!R344),".",""),",","."),".",","),_xlfn.NUMBERVALUE(SUBSTITUTE(TRIM('Base de Datos'!R344),",",""),".",",")),"")))</f>
        <v/>
      </c>
      <c r="AJ348" s="73" t="str">
        <f aca="false">IF(ISNUMBER(AK348),IF(ISNUMBER('Base de Datos'!Y344),IF('Base de Datos'!Y344&gt;20000,INT('Base de Datos'!Y344),""),IF(TRIM('Base de Datos'!Y344)="","",IFERROR(DATE(VALUE(RIGHT(TRIM('Base de Datos'!Y344),4)),VALUE(MID(TRIM('Base de Datos'!Y344),4,2)),VALUE(LEFT(TRIM('Base de Datos'!Y344),2))),IFERROR(DATEVALUE(TRIM('Base de Datos'!Y344)),"")))),"")</f>
        <v/>
      </c>
      <c r="AK348" s="74" t="str">
        <f aca="false">IF(ISNUMBER('Base de Datos'!Z344),'Base de Datos'!Z344,IF(TRIM('Base de Datos'!Z344)="","",IFERROR(IF(IFERROR(FIND("@",SUBSTITUTE(TRIM('Base de Datos'!Z344),",","@",LEN(TRIM('Base de Datos'!Z344))-LEN(SUBSTITUTE(TRIM('Base de Datos'!Z344),",","")))),0)&gt;IFERROR(FIND("@",SUBSTITUTE(TRIM('Base de Datos'!Z344),".","@",LEN(TRIM('Base de Datos'!Z344))-LEN(SUBSTITUTE(TRIM('Base de Datos'!Z344),".","")))),0),_xlfn.NUMBERVALUE(SUBSTITUTE(SUBSTITUTE(TRIM('Base de Datos'!Z344),".",""),",","."),".",","),_xlfn.NUMBERVALUE(SUBSTITUTE(TRIM('Base de Datos'!Z344),",",""),".",",")),"")))</f>
        <v/>
      </c>
    </row>
    <row r="349" customFormat="false" ht="13.5" hidden="false" customHeight="false" outlineLevel="0" collapsed="false">
      <c r="A349" s="75" t="n">
        <f aca="false">ROWS(A$13:A349)</f>
        <v>337</v>
      </c>
      <c r="B349" s="73" t="str">
        <f aca="false">IF(B348="","",IFERROR(SMALL($AH$10:$AH$409,COUNTIF($AH$10:$AH$409,"&lt;="&amp;B348)+1),""))</f>
        <v/>
      </c>
      <c r="C349" s="74" t="str">
        <f aca="false">IF(B349="","",INDEX($AI$10:$AI$409,MATCH(B349,$AH$10:$AH$409,0)))</f>
        <v/>
      </c>
      <c r="D349" s="74" t="str">
        <f aca="false">IF(B349="","",IFERROR(INDEX($AK$10:$AK$409,MATCH(B349,$AJ$10:$AJ$409,0)),""))</f>
        <v/>
      </c>
      <c r="E349" s="76" t="str">
        <f aca="false">IF(AND(ISNUMBER(C349),ISNUMBER(C348)),C349/C348-1,"")</f>
        <v/>
      </c>
      <c r="F349" s="76" t="str">
        <f aca="false">IF(AND(ISNUMBER(D349),ISNUMBER(D348)),D349/D348-1,"")</f>
        <v/>
      </c>
      <c r="G349" s="75" t="str">
        <f aca="false">IF(AND(ISNUMBER(E349),ISNUMBER(F349)),1,"")</f>
        <v/>
      </c>
      <c r="H349" s="75" t="str">
        <f aca="false">IF(G349=1,COUNT(G349:G$412),"")</f>
        <v/>
      </c>
      <c r="I349" s="75" t="str">
        <f aca="false">IF(G349=1,IF(H349&lt;='Beta Regresión'!$B$5,1,""),"")</f>
        <v/>
      </c>
      <c r="J349" s="76" t="str">
        <f aca="false">IF(I349=1,E349,"")</f>
        <v/>
      </c>
      <c r="K349" s="76" t="str">
        <f aca="false">IF(I349=1,F349,"")</f>
        <v/>
      </c>
      <c r="L349" s="75" t="str">
        <f aca="false">IF(I349=1,COUNT(I$13:I349),"")</f>
        <v/>
      </c>
      <c r="M349" s="76" t="str">
        <f aca="false">IFERROR(INDEX($J$13:$J$412,MATCH(A349,$L$13:$L$412,0)),"")</f>
        <v/>
      </c>
      <c r="N349" s="76" t="str">
        <f aca="false">IFERROR(INDEX($K$13:$K$412,MATCH(A349,$L$13:$L$412,0)),"")</f>
        <v/>
      </c>
      <c r="O349" s="76" t="e">
        <f aca="false">IF(I349=1,E349,NA())</f>
        <v>#N/A</v>
      </c>
      <c r="P349" s="76" t="e">
        <f aca="false">IF(I349=1,F349,NA())</f>
        <v>#N/A</v>
      </c>
      <c r="R349" s="75" t="n">
        <f aca="false">ROWS(R$13:R349)</f>
        <v>337</v>
      </c>
      <c r="S349" s="73" t="str">
        <f aca="false">IF(S348="","",IFERROR(SMALL($AD$10:$AD$509,COUNTIF($AD$10:$AD$509,"&lt;="&amp;S348)+1),""))</f>
        <v/>
      </c>
      <c r="T349" s="74" t="str">
        <f aca="false">IF(S349="","",INDEX($AE$10:$AE$509,MATCH(S349,$AD$10:$AD$509,0)))</f>
        <v/>
      </c>
      <c r="U349" s="74" t="str">
        <f aca="false">IF(S349="","",IFERROR(INDEX($AG$10:$AG$509,MATCH(S349,$AF$10:$AF$509,0)),""))</f>
        <v/>
      </c>
      <c r="V349" s="76" t="str">
        <f aca="false">IF(AND(ISNUMBER(T349),ISNUMBER(T348)),T349/T348-1,"")</f>
        <v/>
      </c>
      <c r="W349" s="76" t="str">
        <f aca="false">IF(AND(ISNUMBER(U349),ISNUMBER(U348)),U349/U348-1,"")</f>
        <v/>
      </c>
      <c r="X349" s="75" t="str">
        <f aca="false">IF(AND(ISNUMBER(V349),ISNUMBER(W349)),1,"")</f>
        <v/>
      </c>
      <c r="Y349" s="76" t="str">
        <f aca="false">IF(X349=1,V349,"")</f>
        <v/>
      </c>
      <c r="Z349" s="76" t="str">
        <f aca="false">IF(X349=1,W349,"")</f>
        <v/>
      </c>
      <c r="AA349" s="76" t="e">
        <f aca="false">IF(X349=1,V349,NA())</f>
        <v>#N/A</v>
      </c>
      <c r="AB349" s="76" t="e">
        <f aca="false">IF(X349=1,W349,NA())</f>
        <v>#N/A</v>
      </c>
      <c r="AD349" s="73" t="str">
        <f aca="false">IF(ISNUMBER(AE349),IF(ISNUMBER('Base de Datos'!A345),IF('Base de Datos'!A345&gt;20000,DATE(YEAR('Base de Datos'!A345),DAY('Base de Datos'!A345),MONTH('Base de Datos'!A345)),""),IF(TRIM('Base de Datos'!A345)="","",IFERROR(DATE(VALUE(RIGHT(TRIM('Base de Datos'!A345),4)),VALUE(LEFT(TRIM('Base de Datos'!A345),2)),VALUE(MID(TRIM('Base de Datos'!A345),4,2))),""))),"")</f>
        <v/>
      </c>
      <c r="AE349" s="74" t="str">
        <f aca="false">IF(ISNUMBER('Base de Datos'!B345),'Base de Datos'!B345,IF(TRIM('Base de Datos'!B345)="","",IFERROR(IF(IFERROR(FIND("@",SUBSTITUTE(TRIM('Base de Datos'!B345),",","@",LEN(TRIM('Base de Datos'!B345))-LEN(SUBSTITUTE(TRIM('Base de Datos'!B345),",","")))),0)&gt;IFERROR(FIND("@",SUBSTITUTE(TRIM('Base de Datos'!B345),".","@",LEN(TRIM('Base de Datos'!B345))-LEN(SUBSTITUTE(TRIM('Base de Datos'!B345),".","")))),0),_xlfn.NUMBERVALUE(SUBSTITUTE(SUBSTITUTE(TRIM('Base de Datos'!B345),".",""),",","."),".",","),_xlfn.NUMBERVALUE(SUBSTITUTE(TRIM('Base de Datos'!B345),",",""),".",",")),"")))</f>
        <v/>
      </c>
      <c r="AF349" s="73" t="str">
        <f aca="false">IF(ISNUMBER(AG349),IF(ISNUMBER('Base de Datos'!I345),IF('Base de Datos'!I345&gt;20000,INT('Base de Datos'!I345),""),IF(TRIM('Base de Datos'!I345)="","",IFERROR(DATE(VALUE(RIGHT(TRIM('Base de Datos'!I345),4)),VALUE(MID(TRIM('Base de Datos'!I345),4,2)),VALUE(LEFT(TRIM('Base de Datos'!I345),2))),IFERROR(DATEVALUE(TRIM('Base de Datos'!I345)),"")))),"")</f>
        <v/>
      </c>
      <c r="AG349" s="74" t="str">
        <f aca="false">IF(ISNUMBER('Base de Datos'!J345),'Base de Datos'!J345,IF(TRIM('Base de Datos'!J345)="","",IFERROR(IF(IFERROR(FIND("@",SUBSTITUTE(TRIM('Base de Datos'!J345),",","@",LEN(TRIM('Base de Datos'!J345))-LEN(SUBSTITUTE(TRIM('Base de Datos'!J345),",","")))),0)&gt;IFERROR(FIND("@",SUBSTITUTE(TRIM('Base de Datos'!J345),".","@",LEN(TRIM('Base de Datos'!J345))-LEN(SUBSTITUTE(TRIM('Base de Datos'!J345),".","")))),0),_xlfn.NUMBERVALUE(SUBSTITUTE(SUBSTITUTE(TRIM('Base de Datos'!J345),".",""),",","."),".",","),_xlfn.NUMBERVALUE(SUBSTITUTE(TRIM('Base de Datos'!J345),",",""),".",",")),"")))</f>
        <v/>
      </c>
      <c r="AH349" s="73" t="str">
        <f aca="false">IF(ISNUMBER(AI349),IF(ISNUMBER('Base de Datos'!Q345),IF('Base de Datos'!Q345&gt;20000,DATE(YEAR('Base de Datos'!Q345),DAY('Base de Datos'!Q345),MONTH('Base de Datos'!Q345)),""),IF(TRIM('Base de Datos'!Q345)="","",IFERROR(DATE(VALUE(RIGHT(TRIM('Base de Datos'!Q345),4)),VALUE(LEFT(TRIM('Base de Datos'!Q345),2)),VALUE(MID(TRIM('Base de Datos'!Q345),4,2))),""))),"")</f>
        <v/>
      </c>
      <c r="AI349" s="74" t="str">
        <f aca="false">IF(ISNUMBER('Base de Datos'!R345),'Base de Datos'!R345,IF(TRIM('Base de Datos'!R345)="","",IFERROR(IF(IFERROR(FIND("@",SUBSTITUTE(TRIM('Base de Datos'!R345),",","@",LEN(TRIM('Base de Datos'!R345))-LEN(SUBSTITUTE(TRIM('Base de Datos'!R345),",","")))),0)&gt;IFERROR(FIND("@",SUBSTITUTE(TRIM('Base de Datos'!R345),".","@",LEN(TRIM('Base de Datos'!R345))-LEN(SUBSTITUTE(TRIM('Base de Datos'!R345),".","")))),0),_xlfn.NUMBERVALUE(SUBSTITUTE(SUBSTITUTE(TRIM('Base de Datos'!R345),".",""),",","."),".",","),_xlfn.NUMBERVALUE(SUBSTITUTE(TRIM('Base de Datos'!R345),",",""),".",",")),"")))</f>
        <v/>
      </c>
      <c r="AJ349" s="73" t="str">
        <f aca="false">IF(ISNUMBER(AK349),IF(ISNUMBER('Base de Datos'!Y345),IF('Base de Datos'!Y345&gt;20000,INT('Base de Datos'!Y345),""),IF(TRIM('Base de Datos'!Y345)="","",IFERROR(DATE(VALUE(RIGHT(TRIM('Base de Datos'!Y345),4)),VALUE(MID(TRIM('Base de Datos'!Y345),4,2)),VALUE(LEFT(TRIM('Base de Datos'!Y345),2))),IFERROR(DATEVALUE(TRIM('Base de Datos'!Y345)),"")))),"")</f>
        <v/>
      </c>
      <c r="AK349" s="74" t="str">
        <f aca="false">IF(ISNUMBER('Base de Datos'!Z345),'Base de Datos'!Z345,IF(TRIM('Base de Datos'!Z345)="","",IFERROR(IF(IFERROR(FIND("@",SUBSTITUTE(TRIM('Base de Datos'!Z345),",","@",LEN(TRIM('Base de Datos'!Z345))-LEN(SUBSTITUTE(TRIM('Base de Datos'!Z345),",","")))),0)&gt;IFERROR(FIND("@",SUBSTITUTE(TRIM('Base de Datos'!Z345),".","@",LEN(TRIM('Base de Datos'!Z345))-LEN(SUBSTITUTE(TRIM('Base de Datos'!Z345),".","")))),0),_xlfn.NUMBERVALUE(SUBSTITUTE(SUBSTITUTE(TRIM('Base de Datos'!Z345),".",""),",","."),".",","),_xlfn.NUMBERVALUE(SUBSTITUTE(TRIM('Base de Datos'!Z345),",",""),".",",")),"")))</f>
        <v/>
      </c>
    </row>
    <row r="350" customFormat="false" ht="13.5" hidden="false" customHeight="false" outlineLevel="0" collapsed="false">
      <c r="A350" s="75" t="n">
        <f aca="false">ROWS(A$13:A350)</f>
        <v>338</v>
      </c>
      <c r="B350" s="73" t="str">
        <f aca="false">IF(B349="","",IFERROR(SMALL($AH$10:$AH$409,COUNTIF($AH$10:$AH$409,"&lt;="&amp;B349)+1),""))</f>
        <v/>
      </c>
      <c r="C350" s="74" t="str">
        <f aca="false">IF(B350="","",INDEX($AI$10:$AI$409,MATCH(B350,$AH$10:$AH$409,0)))</f>
        <v/>
      </c>
      <c r="D350" s="74" t="str">
        <f aca="false">IF(B350="","",IFERROR(INDEX($AK$10:$AK$409,MATCH(B350,$AJ$10:$AJ$409,0)),""))</f>
        <v/>
      </c>
      <c r="E350" s="76" t="str">
        <f aca="false">IF(AND(ISNUMBER(C350),ISNUMBER(C349)),C350/C349-1,"")</f>
        <v/>
      </c>
      <c r="F350" s="76" t="str">
        <f aca="false">IF(AND(ISNUMBER(D350),ISNUMBER(D349)),D350/D349-1,"")</f>
        <v/>
      </c>
      <c r="G350" s="75" t="str">
        <f aca="false">IF(AND(ISNUMBER(E350),ISNUMBER(F350)),1,"")</f>
        <v/>
      </c>
      <c r="H350" s="75" t="str">
        <f aca="false">IF(G350=1,COUNT(G350:G$412),"")</f>
        <v/>
      </c>
      <c r="I350" s="75" t="str">
        <f aca="false">IF(G350=1,IF(H350&lt;='Beta Regresión'!$B$5,1,""),"")</f>
        <v/>
      </c>
      <c r="J350" s="76" t="str">
        <f aca="false">IF(I350=1,E350,"")</f>
        <v/>
      </c>
      <c r="K350" s="76" t="str">
        <f aca="false">IF(I350=1,F350,"")</f>
        <v/>
      </c>
      <c r="L350" s="75" t="str">
        <f aca="false">IF(I350=1,COUNT(I$13:I350),"")</f>
        <v/>
      </c>
      <c r="M350" s="76" t="str">
        <f aca="false">IFERROR(INDEX($J$13:$J$412,MATCH(A350,$L$13:$L$412,0)),"")</f>
        <v/>
      </c>
      <c r="N350" s="76" t="str">
        <f aca="false">IFERROR(INDEX($K$13:$K$412,MATCH(A350,$L$13:$L$412,0)),"")</f>
        <v/>
      </c>
      <c r="O350" s="76" t="e">
        <f aca="false">IF(I350=1,E350,NA())</f>
        <v>#N/A</v>
      </c>
      <c r="P350" s="76" t="e">
        <f aca="false">IF(I350=1,F350,NA())</f>
        <v>#N/A</v>
      </c>
      <c r="R350" s="75" t="n">
        <f aca="false">ROWS(R$13:R350)</f>
        <v>338</v>
      </c>
      <c r="S350" s="73" t="str">
        <f aca="false">IF(S349="","",IFERROR(SMALL($AD$10:$AD$509,COUNTIF($AD$10:$AD$509,"&lt;="&amp;S349)+1),""))</f>
        <v/>
      </c>
      <c r="T350" s="74" t="str">
        <f aca="false">IF(S350="","",INDEX($AE$10:$AE$509,MATCH(S350,$AD$10:$AD$509,0)))</f>
        <v/>
      </c>
      <c r="U350" s="74" t="str">
        <f aca="false">IF(S350="","",IFERROR(INDEX($AG$10:$AG$509,MATCH(S350,$AF$10:$AF$509,0)),""))</f>
        <v/>
      </c>
      <c r="V350" s="76" t="str">
        <f aca="false">IF(AND(ISNUMBER(T350),ISNUMBER(T349)),T350/T349-1,"")</f>
        <v/>
      </c>
      <c r="W350" s="76" t="str">
        <f aca="false">IF(AND(ISNUMBER(U350),ISNUMBER(U349)),U350/U349-1,"")</f>
        <v/>
      </c>
      <c r="X350" s="75" t="str">
        <f aca="false">IF(AND(ISNUMBER(V350),ISNUMBER(W350)),1,"")</f>
        <v/>
      </c>
      <c r="Y350" s="76" t="str">
        <f aca="false">IF(X350=1,V350,"")</f>
        <v/>
      </c>
      <c r="Z350" s="76" t="str">
        <f aca="false">IF(X350=1,W350,"")</f>
        <v/>
      </c>
      <c r="AA350" s="76" t="e">
        <f aca="false">IF(X350=1,V350,NA())</f>
        <v>#N/A</v>
      </c>
      <c r="AB350" s="76" t="e">
        <f aca="false">IF(X350=1,W350,NA())</f>
        <v>#N/A</v>
      </c>
      <c r="AD350" s="73" t="str">
        <f aca="false">IF(ISNUMBER(AE350),IF(ISNUMBER('Base de Datos'!A346),IF('Base de Datos'!A346&gt;20000,DATE(YEAR('Base de Datos'!A346),DAY('Base de Datos'!A346),MONTH('Base de Datos'!A346)),""),IF(TRIM('Base de Datos'!A346)="","",IFERROR(DATE(VALUE(RIGHT(TRIM('Base de Datos'!A346),4)),VALUE(LEFT(TRIM('Base de Datos'!A346),2)),VALUE(MID(TRIM('Base de Datos'!A346),4,2))),""))),"")</f>
        <v/>
      </c>
      <c r="AE350" s="74" t="str">
        <f aca="false">IF(ISNUMBER('Base de Datos'!B346),'Base de Datos'!B346,IF(TRIM('Base de Datos'!B346)="","",IFERROR(IF(IFERROR(FIND("@",SUBSTITUTE(TRIM('Base de Datos'!B346),",","@",LEN(TRIM('Base de Datos'!B346))-LEN(SUBSTITUTE(TRIM('Base de Datos'!B346),",","")))),0)&gt;IFERROR(FIND("@",SUBSTITUTE(TRIM('Base de Datos'!B346),".","@",LEN(TRIM('Base de Datos'!B346))-LEN(SUBSTITUTE(TRIM('Base de Datos'!B346),".","")))),0),_xlfn.NUMBERVALUE(SUBSTITUTE(SUBSTITUTE(TRIM('Base de Datos'!B346),".",""),",","."),".",","),_xlfn.NUMBERVALUE(SUBSTITUTE(TRIM('Base de Datos'!B346),",",""),".",",")),"")))</f>
        <v/>
      </c>
      <c r="AF350" s="73" t="str">
        <f aca="false">IF(ISNUMBER(AG350),IF(ISNUMBER('Base de Datos'!I346),IF('Base de Datos'!I346&gt;20000,INT('Base de Datos'!I346),""),IF(TRIM('Base de Datos'!I346)="","",IFERROR(DATE(VALUE(RIGHT(TRIM('Base de Datos'!I346),4)),VALUE(MID(TRIM('Base de Datos'!I346),4,2)),VALUE(LEFT(TRIM('Base de Datos'!I346),2))),IFERROR(DATEVALUE(TRIM('Base de Datos'!I346)),"")))),"")</f>
        <v/>
      </c>
      <c r="AG350" s="74" t="str">
        <f aca="false">IF(ISNUMBER('Base de Datos'!J346),'Base de Datos'!J346,IF(TRIM('Base de Datos'!J346)="","",IFERROR(IF(IFERROR(FIND("@",SUBSTITUTE(TRIM('Base de Datos'!J346),",","@",LEN(TRIM('Base de Datos'!J346))-LEN(SUBSTITUTE(TRIM('Base de Datos'!J346),",","")))),0)&gt;IFERROR(FIND("@",SUBSTITUTE(TRIM('Base de Datos'!J346),".","@",LEN(TRIM('Base de Datos'!J346))-LEN(SUBSTITUTE(TRIM('Base de Datos'!J346),".","")))),0),_xlfn.NUMBERVALUE(SUBSTITUTE(SUBSTITUTE(TRIM('Base de Datos'!J346),".",""),",","."),".",","),_xlfn.NUMBERVALUE(SUBSTITUTE(TRIM('Base de Datos'!J346),",",""),".",",")),"")))</f>
        <v/>
      </c>
      <c r="AH350" s="73" t="str">
        <f aca="false">IF(ISNUMBER(AI350),IF(ISNUMBER('Base de Datos'!Q346),IF('Base de Datos'!Q346&gt;20000,DATE(YEAR('Base de Datos'!Q346),DAY('Base de Datos'!Q346),MONTH('Base de Datos'!Q346)),""),IF(TRIM('Base de Datos'!Q346)="","",IFERROR(DATE(VALUE(RIGHT(TRIM('Base de Datos'!Q346),4)),VALUE(LEFT(TRIM('Base de Datos'!Q346),2)),VALUE(MID(TRIM('Base de Datos'!Q346),4,2))),""))),"")</f>
        <v/>
      </c>
      <c r="AI350" s="74" t="str">
        <f aca="false">IF(ISNUMBER('Base de Datos'!R346),'Base de Datos'!R346,IF(TRIM('Base de Datos'!R346)="","",IFERROR(IF(IFERROR(FIND("@",SUBSTITUTE(TRIM('Base de Datos'!R346),",","@",LEN(TRIM('Base de Datos'!R346))-LEN(SUBSTITUTE(TRIM('Base de Datos'!R346),",","")))),0)&gt;IFERROR(FIND("@",SUBSTITUTE(TRIM('Base de Datos'!R346),".","@",LEN(TRIM('Base de Datos'!R346))-LEN(SUBSTITUTE(TRIM('Base de Datos'!R346),".","")))),0),_xlfn.NUMBERVALUE(SUBSTITUTE(SUBSTITUTE(TRIM('Base de Datos'!R346),".",""),",","."),".",","),_xlfn.NUMBERVALUE(SUBSTITUTE(TRIM('Base de Datos'!R346),",",""),".",",")),"")))</f>
        <v/>
      </c>
      <c r="AJ350" s="73" t="str">
        <f aca="false">IF(ISNUMBER(AK350),IF(ISNUMBER('Base de Datos'!Y346),IF('Base de Datos'!Y346&gt;20000,INT('Base de Datos'!Y346),""),IF(TRIM('Base de Datos'!Y346)="","",IFERROR(DATE(VALUE(RIGHT(TRIM('Base de Datos'!Y346),4)),VALUE(MID(TRIM('Base de Datos'!Y346),4,2)),VALUE(LEFT(TRIM('Base de Datos'!Y346),2))),IFERROR(DATEVALUE(TRIM('Base de Datos'!Y346)),"")))),"")</f>
        <v/>
      </c>
      <c r="AK350" s="74" t="str">
        <f aca="false">IF(ISNUMBER('Base de Datos'!Z346),'Base de Datos'!Z346,IF(TRIM('Base de Datos'!Z346)="","",IFERROR(IF(IFERROR(FIND("@",SUBSTITUTE(TRIM('Base de Datos'!Z346),",","@",LEN(TRIM('Base de Datos'!Z346))-LEN(SUBSTITUTE(TRIM('Base de Datos'!Z346),",","")))),0)&gt;IFERROR(FIND("@",SUBSTITUTE(TRIM('Base de Datos'!Z346),".","@",LEN(TRIM('Base de Datos'!Z346))-LEN(SUBSTITUTE(TRIM('Base de Datos'!Z346),".","")))),0),_xlfn.NUMBERVALUE(SUBSTITUTE(SUBSTITUTE(TRIM('Base de Datos'!Z346),".",""),",","."),".",","),_xlfn.NUMBERVALUE(SUBSTITUTE(TRIM('Base de Datos'!Z346),",",""),".",",")),"")))</f>
        <v/>
      </c>
    </row>
    <row r="351" customFormat="false" ht="13.5" hidden="false" customHeight="false" outlineLevel="0" collapsed="false">
      <c r="A351" s="75" t="n">
        <f aca="false">ROWS(A$13:A351)</f>
        <v>339</v>
      </c>
      <c r="B351" s="73" t="str">
        <f aca="false">IF(B350="","",IFERROR(SMALL($AH$10:$AH$409,COUNTIF($AH$10:$AH$409,"&lt;="&amp;B350)+1),""))</f>
        <v/>
      </c>
      <c r="C351" s="74" t="str">
        <f aca="false">IF(B351="","",INDEX($AI$10:$AI$409,MATCH(B351,$AH$10:$AH$409,0)))</f>
        <v/>
      </c>
      <c r="D351" s="74" t="str">
        <f aca="false">IF(B351="","",IFERROR(INDEX($AK$10:$AK$409,MATCH(B351,$AJ$10:$AJ$409,0)),""))</f>
        <v/>
      </c>
      <c r="E351" s="76" t="str">
        <f aca="false">IF(AND(ISNUMBER(C351),ISNUMBER(C350)),C351/C350-1,"")</f>
        <v/>
      </c>
      <c r="F351" s="76" t="str">
        <f aca="false">IF(AND(ISNUMBER(D351),ISNUMBER(D350)),D351/D350-1,"")</f>
        <v/>
      </c>
      <c r="G351" s="75" t="str">
        <f aca="false">IF(AND(ISNUMBER(E351),ISNUMBER(F351)),1,"")</f>
        <v/>
      </c>
      <c r="H351" s="75" t="str">
        <f aca="false">IF(G351=1,COUNT(G351:G$412),"")</f>
        <v/>
      </c>
      <c r="I351" s="75" t="str">
        <f aca="false">IF(G351=1,IF(H351&lt;='Beta Regresión'!$B$5,1,""),"")</f>
        <v/>
      </c>
      <c r="J351" s="76" t="str">
        <f aca="false">IF(I351=1,E351,"")</f>
        <v/>
      </c>
      <c r="K351" s="76" t="str">
        <f aca="false">IF(I351=1,F351,"")</f>
        <v/>
      </c>
      <c r="L351" s="75" t="str">
        <f aca="false">IF(I351=1,COUNT(I$13:I351),"")</f>
        <v/>
      </c>
      <c r="M351" s="76" t="str">
        <f aca="false">IFERROR(INDEX($J$13:$J$412,MATCH(A351,$L$13:$L$412,0)),"")</f>
        <v/>
      </c>
      <c r="N351" s="76" t="str">
        <f aca="false">IFERROR(INDEX($K$13:$K$412,MATCH(A351,$L$13:$L$412,0)),"")</f>
        <v/>
      </c>
      <c r="O351" s="76" t="e">
        <f aca="false">IF(I351=1,E351,NA())</f>
        <v>#N/A</v>
      </c>
      <c r="P351" s="76" t="e">
        <f aca="false">IF(I351=1,F351,NA())</f>
        <v>#N/A</v>
      </c>
      <c r="R351" s="75" t="n">
        <f aca="false">ROWS(R$13:R351)</f>
        <v>339</v>
      </c>
      <c r="S351" s="73" t="str">
        <f aca="false">IF(S350="","",IFERROR(SMALL($AD$10:$AD$509,COUNTIF($AD$10:$AD$509,"&lt;="&amp;S350)+1),""))</f>
        <v/>
      </c>
      <c r="T351" s="74" t="str">
        <f aca="false">IF(S351="","",INDEX($AE$10:$AE$509,MATCH(S351,$AD$10:$AD$509,0)))</f>
        <v/>
      </c>
      <c r="U351" s="74" t="str">
        <f aca="false">IF(S351="","",IFERROR(INDEX($AG$10:$AG$509,MATCH(S351,$AF$10:$AF$509,0)),""))</f>
        <v/>
      </c>
      <c r="V351" s="76" t="str">
        <f aca="false">IF(AND(ISNUMBER(T351),ISNUMBER(T350)),T351/T350-1,"")</f>
        <v/>
      </c>
      <c r="W351" s="76" t="str">
        <f aca="false">IF(AND(ISNUMBER(U351),ISNUMBER(U350)),U351/U350-1,"")</f>
        <v/>
      </c>
      <c r="X351" s="75" t="str">
        <f aca="false">IF(AND(ISNUMBER(V351),ISNUMBER(W351)),1,"")</f>
        <v/>
      </c>
      <c r="Y351" s="76" t="str">
        <f aca="false">IF(X351=1,V351,"")</f>
        <v/>
      </c>
      <c r="Z351" s="76" t="str">
        <f aca="false">IF(X351=1,W351,"")</f>
        <v/>
      </c>
      <c r="AA351" s="76" t="e">
        <f aca="false">IF(X351=1,V351,NA())</f>
        <v>#N/A</v>
      </c>
      <c r="AB351" s="76" t="e">
        <f aca="false">IF(X351=1,W351,NA())</f>
        <v>#N/A</v>
      </c>
      <c r="AD351" s="73" t="str">
        <f aca="false">IF(ISNUMBER(AE351),IF(ISNUMBER('Base de Datos'!A347),IF('Base de Datos'!A347&gt;20000,DATE(YEAR('Base de Datos'!A347),DAY('Base de Datos'!A347),MONTH('Base de Datos'!A347)),""),IF(TRIM('Base de Datos'!A347)="","",IFERROR(DATE(VALUE(RIGHT(TRIM('Base de Datos'!A347),4)),VALUE(LEFT(TRIM('Base de Datos'!A347),2)),VALUE(MID(TRIM('Base de Datos'!A347),4,2))),""))),"")</f>
        <v/>
      </c>
      <c r="AE351" s="74" t="str">
        <f aca="false">IF(ISNUMBER('Base de Datos'!B347),'Base de Datos'!B347,IF(TRIM('Base de Datos'!B347)="","",IFERROR(IF(IFERROR(FIND("@",SUBSTITUTE(TRIM('Base de Datos'!B347),",","@",LEN(TRIM('Base de Datos'!B347))-LEN(SUBSTITUTE(TRIM('Base de Datos'!B347),",","")))),0)&gt;IFERROR(FIND("@",SUBSTITUTE(TRIM('Base de Datos'!B347),".","@",LEN(TRIM('Base de Datos'!B347))-LEN(SUBSTITUTE(TRIM('Base de Datos'!B347),".","")))),0),_xlfn.NUMBERVALUE(SUBSTITUTE(SUBSTITUTE(TRIM('Base de Datos'!B347),".",""),",","."),".",","),_xlfn.NUMBERVALUE(SUBSTITUTE(TRIM('Base de Datos'!B347),",",""),".",",")),"")))</f>
        <v/>
      </c>
      <c r="AF351" s="73" t="str">
        <f aca="false">IF(ISNUMBER(AG351),IF(ISNUMBER('Base de Datos'!I347),IF('Base de Datos'!I347&gt;20000,INT('Base de Datos'!I347),""),IF(TRIM('Base de Datos'!I347)="","",IFERROR(DATE(VALUE(RIGHT(TRIM('Base de Datos'!I347),4)),VALUE(MID(TRIM('Base de Datos'!I347),4,2)),VALUE(LEFT(TRIM('Base de Datos'!I347),2))),IFERROR(DATEVALUE(TRIM('Base de Datos'!I347)),"")))),"")</f>
        <v/>
      </c>
      <c r="AG351" s="74" t="str">
        <f aca="false">IF(ISNUMBER('Base de Datos'!J347),'Base de Datos'!J347,IF(TRIM('Base de Datos'!J347)="","",IFERROR(IF(IFERROR(FIND("@",SUBSTITUTE(TRIM('Base de Datos'!J347),",","@",LEN(TRIM('Base de Datos'!J347))-LEN(SUBSTITUTE(TRIM('Base de Datos'!J347),",","")))),0)&gt;IFERROR(FIND("@",SUBSTITUTE(TRIM('Base de Datos'!J347),".","@",LEN(TRIM('Base de Datos'!J347))-LEN(SUBSTITUTE(TRIM('Base de Datos'!J347),".","")))),0),_xlfn.NUMBERVALUE(SUBSTITUTE(SUBSTITUTE(TRIM('Base de Datos'!J347),".",""),",","."),".",","),_xlfn.NUMBERVALUE(SUBSTITUTE(TRIM('Base de Datos'!J347),",",""),".",",")),"")))</f>
        <v/>
      </c>
      <c r="AH351" s="73" t="str">
        <f aca="false">IF(ISNUMBER(AI351),IF(ISNUMBER('Base de Datos'!Q347),IF('Base de Datos'!Q347&gt;20000,DATE(YEAR('Base de Datos'!Q347),DAY('Base de Datos'!Q347),MONTH('Base de Datos'!Q347)),""),IF(TRIM('Base de Datos'!Q347)="","",IFERROR(DATE(VALUE(RIGHT(TRIM('Base de Datos'!Q347),4)),VALUE(LEFT(TRIM('Base de Datos'!Q347),2)),VALUE(MID(TRIM('Base de Datos'!Q347),4,2))),""))),"")</f>
        <v/>
      </c>
      <c r="AI351" s="74" t="str">
        <f aca="false">IF(ISNUMBER('Base de Datos'!R347),'Base de Datos'!R347,IF(TRIM('Base de Datos'!R347)="","",IFERROR(IF(IFERROR(FIND("@",SUBSTITUTE(TRIM('Base de Datos'!R347),",","@",LEN(TRIM('Base de Datos'!R347))-LEN(SUBSTITUTE(TRIM('Base de Datos'!R347),",","")))),0)&gt;IFERROR(FIND("@",SUBSTITUTE(TRIM('Base de Datos'!R347),".","@",LEN(TRIM('Base de Datos'!R347))-LEN(SUBSTITUTE(TRIM('Base de Datos'!R347),".","")))),0),_xlfn.NUMBERVALUE(SUBSTITUTE(SUBSTITUTE(TRIM('Base de Datos'!R347),".",""),",","."),".",","),_xlfn.NUMBERVALUE(SUBSTITUTE(TRIM('Base de Datos'!R347),",",""),".",",")),"")))</f>
        <v/>
      </c>
      <c r="AJ351" s="73" t="str">
        <f aca="false">IF(ISNUMBER(AK351),IF(ISNUMBER('Base de Datos'!Y347),IF('Base de Datos'!Y347&gt;20000,INT('Base de Datos'!Y347),""),IF(TRIM('Base de Datos'!Y347)="","",IFERROR(DATE(VALUE(RIGHT(TRIM('Base de Datos'!Y347),4)),VALUE(MID(TRIM('Base de Datos'!Y347),4,2)),VALUE(LEFT(TRIM('Base de Datos'!Y347),2))),IFERROR(DATEVALUE(TRIM('Base de Datos'!Y347)),"")))),"")</f>
        <v/>
      </c>
      <c r="AK351" s="74" t="str">
        <f aca="false">IF(ISNUMBER('Base de Datos'!Z347),'Base de Datos'!Z347,IF(TRIM('Base de Datos'!Z347)="","",IFERROR(IF(IFERROR(FIND("@",SUBSTITUTE(TRIM('Base de Datos'!Z347),",","@",LEN(TRIM('Base de Datos'!Z347))-LEN(SUBSTITUTE(TRIM('Base de Datos'!Z347),",","")))),0)&gt;IFERROR(FIND("@",SUBSTITUTE(TRIM('Base de Datos'!Z347),".","@",LEN(TRIM('Base de Datos'!Z347))-LEN(SUBSTITUTE(TRIM('Base de Datos'!Z347),".","")))),0),_xlfn.NUMBERVALUE(SUBSTITUTE(SUBSTITUTE(TRIM('Base de Datos'!Z347),".",""),",","."),".",","),_xlfn.NUMBERVALUE(SUBSTITUTE(TRIM('Base de Datos'!Z347),",",""),".",",")),"")))</f>
        <v/>
      </c>
    </row>
    <row r="352" customFormat="false" ht="13.5" hidden="false" customHeight="false" outlineLevel="0" collapsed="false">
      <c r="A352" s="75" t="n">
        <f aca="false">ROWS(A$13:A352)</f>
        <v>340</v>
      </c>
      <c r="B352" s="73" t="str">
        <f aca="false">IF(B351="","",IFERROR(SMALL($AH$10:$AH$409,COUNTIF($AH$10:$AH$409,"&lt;="&amp;B351)+1),""))</f>
        <v/>
      </c>
      <c r="C352" s="74" t="str">
        <f aca="false">IF(B352="","",INDEX($AI$10:$AI$409,MATCH(B352,$AH$10:$AH$409,0)))</f>
        <v/>
      </c>
      <c r="D352" s="74" t="str">
        <f aca="false">IF(B352="","",IFERROR(INDEX($AK$10:$AK$409,MATCH(B352,$AJ$10:$AJ$409,0)),""))</f>
        <v/>
      </c>
      <c r="E352" s="76" t="str">
        <f aca="false">IF(AND(ISNUMBER(C352),ISNUMBER(C351)),C352/C351-1,"")</f>
        <v/>
      </c>
      <c r="F352" s="76" t="str">
        <f aca="false">IF(AND(ISNUMBER(D352),ISNUMBER(D351)),D352/D351-1,"")</f>
        <v/>
      </c>
      <c r="G352" s="75" t="str">
        <f aca="false">IF(AND(ISNUMBER(E352),ISNUMBER(F352)),1,"")</f>
        <v/>
      </c>
      <c r="H352" s="75" t="str">
        <f aca="false">IF(G352=1,COUNT(G352:G$412),"")</f>
        <v/>
      </c>
      <c r="I352" s="75" t="str">
        <f aca="false">IF(G352=1,IF(H352&lt;='Beta Regresión'!$B$5,1,""),"")</f>
        <v/>
      </c>
      <c r="J352" s="76" t="str">
        <f aca="false">IF(I352=1,E352,"")</f>
        <v/>
      </c>
      <c r="K352" s="76" t="str">
        <f aca="false">IF(I352=1,F352,"")</f>
        <v/>
      </c>
      <c r="L352" s="75" t="str">
        <f aca="false">IF(I352=1,COUNT(I$13:I352),"")</f>
        <v/>
      </c>
      <c r="M352" s="76" t="str">
        <f aca="false">IFERROR(INDEX($J$13:$J$412,MATCH(A352,$L$13:$L$412,0)),"")</f>
        <v/>
      </c>
      <c r="N352" s="76" t="str">
        <f aca="false">IFERROR(INDEX($K$13:$K$412,MATCH(A352,$L$13:$L$412,0)),"")</f>
        <v/>
      </c>
      <c r="O352" s="76" t="e">
        <f aca="false">IF(I352=1,E352,NA())</f>
        <v>#N/A</v>
      </c>
      <c r="P352" s="76" t="e">
        <f aca="false">IF(I352=1,F352,NA())</f>
        <v>#N/A</v>
      </c>
      <c r="R352" s="75" t="n">
        <f aca="false">ROWS(R$13:R352)</f>
        <v>340</v>
      </c>
      <c r="S352" s="73" t="str">
        <f aca="false">IF(S351="","",IFERROR(SMALL($AD$10:$AD$509,COUNTIF($AD$10:$AD$509,"&lt;="&amp;S351)+1),""))</f>
        <v/>
      </c>
      <c r="T352" s="74" t="str">
        <f aca="false">IF(S352="","",INDEX($AE$10:$AE$509,MATCH(S352,$AD$10:$AD$509,0)))</f>
        <v/>
      </c>
      <c r="U352" s="74" t="str">
        <f aca="false">IF(S352="","",IFERROR(INDEX($AG$10:$AG$509,MATCH(S352,$AF$10:$AF$509,0)),""))</f>
        <v/>
      </c>
      <c r="V352" s="76" t="str">
        <f aca="false">IF(AND(ISNUMBER(T352),ISNUMBER(T351)),T352/T351-1,"")</f>
        <v/>
      </c>
      <c r="W352" s="76" t="str">
        <f aca="false">IF(AND(ISNUMBER(U352),ISNUMBER(U351)),U352/U351-1,"")</f>
        <v/>
      </c>
      <c r="X352" s="75" t="str">
        <f aca="false">IF(AND(ISNUMBER(V352),ISNUMBER(W352)),1,"")</f>
        <v/>
      </c>
      <c r="Y352" s="76" t="str">
        <f aca="false">IF(X352=1,V352,"")</f>
        <v/>
      </c>
      <c r="Z352" s="76" t="str">
        <f aca="false">IF(X352=1,W352,"")</f>
        <v/>
      </c>
      <c r="AA352" s="76" t="e">
        <f aca="false">IF(X352=1,V352,NA())</f>
        <v>#N/A</v>
      </c>
      <c r="AB352" s="76" t="e">
        <f aca="false">IF(X352=1,W352,NA())</f>
        <v>#N/A</v>
      </c>
      <c r="AD352" s="73" t="str">
        <f aca="false">IF(ISNUMBER(AE352),IF(ISNUMBER('Base de Datos'!A348),IF('Base de Datos'!A348&gt;20000,DATE(YEAR('Base de Datos'!A348),DAY('Base de Datos'!A348),MONTH('Base de Datos'!A348)),""),IF(TRIM('Base de Datos'!A348)="","",IFERROR(DATE(VALUE(RIGHT(TRIM('Base de Datos'!A348),4)),VALUE(LEFT(TRIM('Base de Datos'!A348),2)),VALUE(MID(TRIM('Base de Datos'!A348),4,2))),""))),"")</f>
        <v/>
      </c>
      <c r="AE352" s="74" t="str">
        <f aca="false">IF(ISNUMBER('Base de Datos'!B348),'Base de Datos'!B348,IF(TRIM('Base de Datos'!B348)="","",IFERROR(IF(IFERROR(FIND("@",SUBSTITUTE(TRIM('Base de Datos'!B348),",","@",LEN(TRIM('Base de Datos'!B348))-LEN(SUBSTITUTE(TRIM('Base de Datos'!B348),",","")))),0)&gt;IFERROR(FIND("@",SUBSTITUTE(TRIM('Base de Datos'!B348),".","@",LEN(TRIM('Base de Datos'!B348))-LEN(SUBSTITUTE(TRIM('Base de Datos'!B348),".","")))),0),_xlfn.NUMBERVALUE(SUBSTITUTE(SUBSTITUTE(TRIM('Base de Datos'!B348),".",""),",","."),".",","),_xlfn.NUMBERVALUE(SUBSTITUTE(TRIM('Base de Datos'!B348),",",""),".",",")),"")))</f>
        <v/>
      </c>
      <c r="AF352" s="73" t="str">
        <f aca="false">IF(ISNUMBER(AG352),IF(ISNUMBER('Base de Datos'!I348),IF('Base de Datos'!I348&gt;20000,INT('Base de Datos'!I348),""),IF(TRIM('Base de Datos'!I348)="","",IFERROR(DATE(VALUE(RIGHT(TRIM('Base de Datos'!I348),4)),VALUE(MID(TRIM('Base de Datos'!I348),4,2)),VALUE(LEFT(TRIM('Base de Datos'!I348),2))),IFERROR(DATEVALUE(TRIM('Base de Datos'!I348)),"")))),"")</f>
        <v/>
      </c>
      <c r="AG352" s="74" t="str">
        <f aca="false">IF(ISNUMBER('Base de Datos'!J348),'Base de Datos'!J348,IF(TRIM('Base de Datos'!J348)="","",IFERROR(IF(IFERROR(FIND("@",SUBSTITUTE(TRIM('Base de Datos'!J348),",","@",LEN(TRIM('Base de Datos'!J348))-LEN(SUBSTITUTE(TRIM('Base de Datos'!J348),",","")))),0)&gt;IFERROR(FIND("@",SUBSTITUTE(TRIM('Base de Datos'!J348),".","@",LEN(TRIM('Base de Datos'!J348))-LEN(SUBSTITUTE(TRIM('Base de Datos'!J348),".","")))),0),_xlfn.NUMBERVALUE(SUBSTITUTE(SUBSTITUTE(TRIM('Base de Datos'!J348),".",""),",","."),".",","),_xlfn.NUMBERVALUE(SUBSTITUTE(TRIM('Base de Datos'!J348),",",""),".",",")),"")))</f>
        <v/>
      </c>
      <c r="AH352" s="73" t="str">
        <f aca="false">IF(ISNUMBER(AI352),IF(ISNUMBER('Base de Datos'!Q348),IF('Base de Datos'!Q348&gt;20000,DATE(YEAR('Base de Datos'!Q348),DAY('Base de Datos'!Q348),MONTH('Base de Datos'!Q348)),""),IF(TRIM('Base de Datos'!Q348)="","",IFERROR(DATE(VALUE(RIGHT(TRIM('Base de Datos'!Q348),4)),VALUE(LEFT(TRIM('Base de Datos'!Q348),2)),VALUE(MID(TRIM('Base de Datos'!Q348),4,2))),""))),"")</f>
        <v/>
      </c>
      <c r="AI352" s="74" t="str">
        <f aca="false">IF(ISNUMBER('Base de Datos'!R348),'Base de Datos'!R348,IF(TRIM('Base de Datos'!R348)="","",IFERROR(IF(IFERROR(FIND("@",SUBSTITUTE(TRIM('Base de Datos'!R348),",","@",LEN(TRIM('Base de Datos'!R348))-LEN(SUBSTITUTE(TRIM('Base de Datos'!R348),",","")))),0)&gt;IFERROR(FIND("@",SUBSTITUTE(TRIM('Base de Datos'!R348),".","@",LEN(TRIM('Base de Datos'!R348))-LEN(SUBSTITUTE(TRIM('Base de Datos'!R348),".","")))),0),_xlfn.NUMBERVALUE(SUBSTITUTE(SUBSTITUTE(TRIM('Base de Datos'!R348),".",""),",","."),".",","),_xlfn.NUMBERVALUE(SUBSTITUTE(TRIM('Base de Datos'!R348),",",""),".",",")),"")))</f>
        <v/>
      </c>
      <c r="AJ352" s="73" t="str">
        <f aca="false">IF(ISNUMBER(AK352),IF(ISNUMBER('Base de Datos'!Y348),IF('Base de Datos'!Y348&gt;20000,INT('Base de Datos'!Y348),""),IF(TRIM('Base de Datos'!Y348)="","",IFERROR(DATE(VALUE(RIGHT(TRIM('Base de Datos'!Y348),4)),VALUE(MID(TRIM('Base de Datos'!Y348),4,2)),VALUE(LEFT(TRIM('Base de Datos'!Y348),2))),IFERROR(DATEVALUE(TRIM('Base de Datos'!Y348)),"")))),"")</f>
        <v/>
      </c>
      <c r="AK352" s="74" t="str">
        <f aca="false">IF(ISNUMBER('Base de Datos'!Z348),'Base de Datos'!Z348,IF(TRIM('Base de Datos'!Z348)="","",IFERROR(IF(IFERROR(FIND("@",SUBSTITUTE(TRIM('Base de Datos'!Z348),",","@",LEN(TRIM('Base de Datos'!Z348))-LEN(SUBSTITUTE(TRIM('Base de Datos'!Z348),",","")))),0)&gt;IFERROR(FIND("@",SUBSTITUTE(TRIM('Base de Datos'!Z348),".","@",LEN(TRIM('Base de Datos'!Z348))-LEN(SUBSTITUTE(TRIM('Base de Datos'!Z348),".","")))),0),_xlfn.NUMBERVALUE(SUBSTITUTE(SUBSTITUTE(TRIM('Base de Datos'!Z348),".",""),",","."),".",","),_xlfn.NUMBERVALUE(SUBSTITUTE(TRIM('Base de Datos'!Z348),",",""),".",",")),"")))</f>
        <v/>
      </c>
    </row>
    <row r="353" customFormat="false" ht="13.5" hidden="false" customHeight="false" outlineLevel="0" collapsed="false">
      <c r="A353" s="75" t="n">
        <f aca="false">ROWS(A$13:A353)</f>
        <v>341</v>
      </c>
      <c r="B353" s="73" t="str">
        <f aca="false">IF(B352="","",IFERROR(SMALL($AH$10:$AH$409,COUNTIF($AH$10:$AH$409,"&lt;="&amp;B352)+1),""))</f>
        <v/>
      </c>
      <c r="C353" s="74" t="str">
        <f aca="false">IF(B353="","",INDEX($AI$10:$AI$409,MATCH(B353,$AH$10:$AH$409,0)))</f>
        <v/>
      </c>
      <c r="D353" s="74" t="str">
        <f aca="false">IF(B353="","",IFERROR(INDEX($AK$10:$AK$409,MATCH(B353,$AJ$10:$AJ$409,0)),""))</f>
        <v/>
      </c>
      <c r="E353" s="76" t="str">
        <f aca="false">IF(AND(ISNUMBER(C353),ISNUMBER(C352)),C353/C352-1,"")</f>
        <v/>
      </c>
      <c r="F353" s="76" t="str">
        <f aca="false">IF(AND(ISNUMBER(D353),ISNUMBER(D352)),D353/D352-1,"")</f>
        <v/>
      </c>
      <c r="G353" s="75" t="str">
        <f aca="false">IF(AND(ISNUMBER(E353),ISNUMBER(F353)),1,"")</f>
        <v/>
      </c>
      <c r="H353" s="75" t="str">
        <f aca="false">IF(G353=1,COUNT(G353:G$412),"")</f>
        <v/>
      </c>
      <c r="I353" s="75" t="str">
        <f aca="false">IF(G353=1,IF(H353&lt;='Beta Regresión'!$B$5,1,""),"")</f>
        <v/>
      </c>
      <c r="J353" s="76" t="str">
        <f aca="false">IF(I353=1,E353,"")</f>
        <v/>
      </c>
      <c r="K353" s="76" t="str">
        <f aca="false">IF(I353=1,F353,"")</f>
        <v/>
      </c>
      <c r="L353" s="75" t="str">
        <f aca="false">IF(I353=1,COUNT(I$13:I353),"")</f>
        <v/>
      </c>
      <c r="M353" s="76" t="str">
        <f aca="false">IFERROR(INDEX($J$13:$J$412,MATCH(A353,$L$13:$L$412,0)),"")</f>
        <v/>
      </c>
      <c r="N353" s="76" t="str">
        <f aca="false">IFERROR(INDEX($K$13:$K$412,MATCH(A353,$L$13:$L$412,0)),"")</f>
        <v/>
      </c>
      <c r="O353" s="76" t="e">
        <f aca="false">IF(I353=1,E353,NA())</f>
        <v>#N/A</v>
      </c>
      <c r="P353" s="76" t="e">
        <f aca="false">IF(I353=1,F353,NA())</f>
        <v>#N/A</v>
      </c>
      <c r="R353" s="75" t="n">
        <f aca="false">ROWS(R$13:R353)</f>
        <v>341</v>
      </c>
      <c r="S353" s="73" t="str">
        <f aca="false">IF(S352="","",IFERROR(SMALL($AD$10:$AD$509,COUNTIF($AD$10:$AD$509,"&lt;="&amp;S352)+1),""))</f>
        <v/>
      </c>
      <c r="T353" s="74" t="str">
        <f aca="false">IF(S353="","",INDEX($AE$10:$AE$509,MATCH(S353,$AD$10:$AD$509,0)))</f>
        <v/>
      </c>
      <c r="U353" s="74" t="str">
        <f aca="false">IF(S353="","",IFERROR(INDEX($AG$10:$AG$509,MATCH(S353,$AF$10:$AF$509,0)),""))</f>
        <v/>
      </c>
      <c r="V353" s="76" t="str">
        <f aca="false">IF(AND(ISNUMBER(T353),ISNUMBER(T352)),T353/T352-1,"")</f>
        <v/>
      </c>
      <c r="W353" s="76" t="str">
        <f aca="false">IF(AND(ISNUMBER(U353),ISNUMBER(U352)),U353/U352-1,"")</f>
        <v/>
      </c>
      <c r="X353" s="75" t="str">
        <f aca="false">IF(AND(ISNUMBER(V353),ISNUMBER(W353)),1,"")</f>
        <v/>
      </c>
      <c r="Y353" s="76" t="str">
        <f aca="false">IF(X353=1,V353,"")</f>
        <v/>
      </c>
      <c r="Z353" s="76" t="str">
        <f aca="false">IF(X353=1,W353,"")</f>
        <v/>
      </c>
      <c r="AA353" s="76" t="e">
        <f aca="false">IF(X353=1,V353,NA())</f>
        <v>#N/A</v>
      </c>
      <c r="AB353" s="76" t="e">
        <f aca="false">IF(X353=1,W353,NA())</f>
        <v>#N/A</v>
      </c>
      <c r="AD353" s="73" t="str">
        <f aca="false">IF(ISNUMBER(AE353),IF(ISNUMBER('Base de Datos'!A349),IF('Base de Datos'!A349&gt;20000,DATE(YEAR('Base de Datos'!A349),DAY('Base de Datos'!A349),MONTH('Base de Datos'!A349)),""),IF(TRIM('Base de Datos'!A349)="","",IFERROR(DATE(VALUE(RIGHT(TRIM('Base de Datos'!A349),4)),VALUE(LEFT(TRIM('Base de Datos'!A349),2)),VALUE(MID(TRIM('Base de Datos'!A349),4,2))),""))),"")</f>
        <v/>
      </c>
      <c r="AE353" s="74" t="str">
        <f aca="false">IF(ISNUMBER('Base de Datos'!B349),'Base de Datos'!B349,IF(TRIM('Base de Datos'!B349)="","",IFERROR(IF(IFERROR(FIND("@",SUBSTITUTE(TRIM('Base de Datos'!B349),",","@",LEN(TRIM('Base de Datos'!B349))-LEN(SUBSTITUTE(TRIM('Base de Datos'!B349),",","")))),0)&gt;IFERROR(FIND("@",SUBSTITUTE(TRIM('Base de Datos'!B349),".","@",LEN(TRIM('Base de Datos'!B349))-LEN(SUBSTITUTE(TRIM('Base de Datos'!B349),".","")))),0),_xlfn.NUMBERVALUE(SUBSTITUTE(SUBSTITUTE(TRIM('Base de Datos'!B349),".",""),",","."),".",","),_xlfn.NUMBERVALUE(SUBSTITUTE(TRIM('Base de Datos'!B349),",",""),".",",")),"")))</f>
        <v/>
      </c>
      <c r="AF353" s="73" t="str">
        <f aca="false">IF(ISNUMBER(AG353),IF(ISNUMBER('Base de Datos'!I349),IF('Base de Datos'!I349&gt;20000,INT('Base de Datos'!I349),""),IF(TRIM('Base de Datos'!I349)="","",IFERROR(DATE(VALUE(RIGHT(TRIM('Base de Datos'!I349),4)),VALUE(MID(TRIM('Base de Datos'!I349),4,2)),VALUE(LEFT(TRIM('Base de Datos'!I349),2))),IFERROR(DATEVALUE(TRIM('Base de Datos'!I349)),"")))),"")</f>
        <v/>
      </c>
      <c r="AG353" s="74" t="str">
        <f aca="false">IF(ISNUMBER('Base de Datos'!J349),'Base de Datos'!J349,IF(TRIM('Base de Datos'!J349)="","",IFERROR(IF(IFERROR(FIND("@",SUBSTITUTE(TRIM('Base de Datos'!J349),",","@",LEN(TRIM('Base de Datos'!J349))-LEN(SUBSTITUTE(TRIM('Base de Datos'!J349),",","")))),0)&gt;IFERROR(FIND("@",SUBSTITUTE(TRIM('Base de Datos'!J349),".","@",LEN(TRIM('Base de Datos'!J349))-LEN(SUBSTITUTE(TRIM('Base de Datos'!J349),".","")))),0),_xlfn.NUMBERVALUE(SUBSTITUTE(SUBSTITUTE(TRIM('Base de Datos'!J349),".",""),",","."),".",","),_xlfn.NUMBERVALUE(SUBSTITUTE(TRIM('Base de Datos'!J349),",",""),".",",")),"")))</f>
        <v/>
      </c>
      <c r="AH353" s="73" t="str">
        <f aca="false">IF(ISNUMBER(AI353),IF(ISNUMBER('Base de Datos'!Q349),IF('Base de Datos'!Q349&gt;20000,DATE(YEAR('Base de Datos'!Q349),DAY('Base de Datos'!Q349),MONTH('Base de Datos'!Q349)),""),IF(TRIM('Base de Datos'!Q349)="","",IFERROR(DATE(VALUE(RIGHT(TRIM('Base de Datos'!Q349),4)),VALUE(LEFT(TRIM('Base de Datos'!Q349),2)),VALUE(MID(TRIM('Base de Datos'!Q349),4,2))),""))),"")</f>
        <v/>
      </c>
      <c r="AI353" s="74" t="str">
        <f aca="false">IF(ISNUMBER('Base de Datos'!R349),'Base de Datos'!R349,IF(TRIM('Base de Datos'!R349)="","",IFERROR(IF(IFERROR(FIND("@",SUBSTITUTE(TRIM('Base de Datos'!R349),",","@",LEN(TRIM('Base de Datos'!R349))-LEN(SUBSTITUTE(TRIM('Base de Datos'!R349),",","")))),0)&gt;IFERROR(FIND("@",SUBSTITUTE(TRIM('Base de Datos'!R349),".","@",LEN(TRIM('Base de Datos'!R349))-LEN(SUBSTITUTE(TRIM('Base de Datos'!R349),".","")))),0),_xlfn.NUMBERVALUE(SUBSTITUTE(SUBSTITUTE(TRIM('Base de Datos'!R349),".",""),",","."),".",","),_xlfn.NUMBERVALUE(SUBSTITUTE(TRIM('Base de Datos'!R349),",",""),".",",")),"")))</f>
        <v/>
      </c>
      <c r="AJ353" s="73" t="str">
        <f aca="false">IF(ISNUMBER(AK353),IF(ISNUMBER('Base de Datos'!Y349),IF('Base de Datos'!Y349&gt;20000,INT('Base de Datos'!Y349),""),IF(TRIM('Base de Datos'!Y349)="","",IFERROR(DATE(VALUE(RIGHT(TRIM('Base de Datos'!Y349),4)),VALUE(MID(TRIM('Base de Datos'!Y349),4,2)),VALUE(LEFT(TRIM('Base de Datos'!Y349),2))),IFERROR(DATEVALUE(TRIM('Base de Datos'!Y349)),"")))),"")</f>
        <v/>
      </c>
      <c r="AK353" s="74" t="str">
        <f aca="false">IF(ISNUMBER('Base de Datos'!Z349),'Base de Datos'!Z349,IF(TRIM('Base de Datos'!Z349)="","",IFERROR(IF(IFERROR(FIND("@",SUBSTITUTE(TRIM('Base de Datos'!Z349),",","@",LEN(TRIM('Base de Datos'!Z349))-LEN(SUBSTITUTE(TRIM('Base de Datos'!Z349),",","")))),0)&gt;IFERROR(FIND("@",SUBSTITUTE(TRIM('Base de Datos'!Z349),".","@",LEN(TRIM('Base de Datos'!Z349))-LEN(SUBSTITUTE(TRIM('Base de Datos'!Z349),".","")))),0),_xlfn.NUMBERVALUE(SUBSTITUTE(SUBSTITUTE(TRIM('Base de Datos'!Z349),".",""),",","."),".",","),_xlfn.NUMBERVALUE(SUBSTITUTE(TRIM('Base de Datos'!Z349),",",""),".",",")),"")))</f>
        <v/>
      </c>
    </row>
    <row r="354" customFormat="false" ht="13.5" hidden="false" customHeight="false" outlineLevel="0" collapsed="false">
      <c r="A354" s="75" t="n">
        <f aca="false">ROWS(A$13:A354)</f>
        <v>342</v>
      </c>
      <c r="B354" s="73" t="str">
        <f aca="false">IF(B353="","",IFERROR(SMALL($AH$10:$AH$409,COUNTIF($AH$10:$AH$409,"&lt;="&amp;B353)+1),""))</f>
        <v/>
      </c>
      <c r="C354" s="74" t="str">
        <f aca="false">IF(B354="","",INDEX($AI$10:$AI$409,MATCH(B354,$AH$10:$AH$409,0)))</f>
        <v/>
      </c>
      <c r="D354" s="74" t="str">
        <f aca="false">IF(B354="","",IFERROR(INDEX($AK$10:$AK$409,MATCH(B354,$AJ$10:$AJ$409,0)),""))</f>
        <v/>
      </c>
      <c r="E354" s="76" t="str">
        <f aca="false">IF(AND(ISNUMBER(C354),ISNUMBER(C353)),C354/C353-1,"")</f>
        <v/>
      </c>
      <c r="F354" s="76" t="str">
        <f aca="false">IF(AND(ISNUMBER(D354),ISNUMBER(D353)),D354/D353-1,"")</f>
        <v/>
      </c>
      <c r="G354" s="75" t="str">
        <f aca="false">IF(AND(ISNUMBER(E354),ISNUMBER(F354)),1,"")</f>
        <v/>
      </c>
      <c r="H354" s="75" t="str">
        <f aca="false">IF(G354=1,COUNT(G354:G$412),"")</f>
        <v/>
      </c>
      <c r="I354" s="75" t="str">
        <f aca="false">IF(G354=1,IF(H354&lt;='Beta Regresión'!$B$5,1,""),"")</f>
        <v/>
      </c>
      <c r="J354" s="76" t="str">
        <f aca="false">IF(I354=1,E354,"")</f>
        <v/>
      </c>
      <c r="K354" s="76" t="str">
        <f aca="false">IF(I354=1,F354,"")</f>
        <v/>
      </c>
      <c r="L354" s="75" t="str">
        <f aca="false">IF(I354=1,COUNT(I$13:I354),"")</f>
        <v/>
      </c>
      <c r="M354" s="76" t="str">
        <f aca="false">IFERROR(INDEX($J$13:$J$412,MATCH(A354,$L$13:$L$412,0)),"")</f>
        <v/>
      </c>
      <c r="N354" s="76" t="str">
        <f aca="false">IFERROR(INDEX($K$13:$K$412,MATCH(A354,$L$13:$L$412,0)),"")</f>
        <v/>
      </c>
      <c r="O354" s="76" t="e">
        <f aca="false">IF(I354=1,E354,NA())</f>
        <v>#N/A</v>
      </c>
      <c r="P354" s="76" t="e">
        <f aca="false">IF(I354=1,F354,NA())</f>
        <v>#N/A</v>
      </c>
      <c r="R354" s="75" t="n">
        <f aca="false">ROWS(R$13:R354)</f>
        <v>342</v>
      </c>
      <c r="S354" s="73" t="str">
        <f aca="false">IF(S353="","",IFERROR(SMALL($AD$10:$AD$509,COUNTIF($AD$10:$AD$509,"&lt;="&amp;S353)+1),""))</f>
        <v/>
      </c>
      <c r="T354" s="74" t="str">
        <f aca="false">IF(S354="","",INDEX($AE$10:$AE$509,MATCH(S354,$AD$10:$AD$509,0)))</f>
        <v/>
      </c>
      <c r="U354" s="74" t="str">
        <f aca="false">IF(S354="","",IFERROR(INDEX($AG$10:$AG$509,MATCH(S354,$AF$10:$AF$509,0)),""))</f>
        <v/>
      </c>
      <c r="V354" s="76" t="str">
        <f aca="false">IF(AND(ISNUMBER(T354),ISNUMBER(T353)),T354/T353-1,"")</f>
        <v/>
      </c>
      <c r="W354" s="76" t="str">
        <f aca="false">IF(AND(ISNUMBER(U354),ISNUMBER(U353)),U354/U353-1,"")</f>
        <v/>
      </c>
      <c r="X354" s="75" t="str">
        <f aca="false">IF(AND(ISNUMBER(V354),ISNUMBER(W354)),1,"")</f>
        <v/>
      </c>
      <c r="Y354" s="76" t="str">
        <f aca="false">IF(X354=1,V354,"")</f>
        <v/>
      </c>
      <c r="Z354" s="76" t="str">
        <f aca="false">IF(X354=1,W354,"")</f>
        <v/>
      </c>
      <c r="AA354" s="76" t="e">
        <f aca="false">IF(X354=1,V354,NA())</f>
        <v>#N/A</v>
      </c>
      <c r="AB354" s="76" t="e">
        <f aca="false">IF(X354=1,W354,NA())</f>
        <v>#N/A</v>
      </c>
      <c r="AD354" s="73" t="str">
        <f aca="false">IF(ISNUMBER(AE354),IF(ISNUMBER('Base de Datos'!A350),IF('Base de Datos'!A350&gt;20000,DATE(YEAR('Base de Datos'!A350),DAY('Base de Datos'!A350),MONTH('Base de Datos'!A350)),""),IF(TRIM('Base de Datos'!A350)="","",IFERROR(DATE(VALUE(RIGHT(TRIM('Base de Datos'!A350),4)),VALUE(LEFT(TRIM('Base de Datos'!A350),2)),VALUE(MID(TRIM('Base de Datos'!A350),4,2))),""))),"")</f>
        <v/>
      </c>
      <c r="AE354" s="74" t="str">
        <f aca="false">IF(ISNUMBER('Base de Datos'!B350),'Base de Datos'!B350,IF(TRIM('Base de Datos'!B350)="","",IFERROR(IF(IFERROR(FIND("@",SUBSTITUTE(TRIM('Base de Datos'!B350),",","@",LEN(TRIM('Base de Datos'!B350))-LEN(SUBSTITUTE(TRIM('Base de Datos'!B350),",","")))),0)&gt;IFERROR(FIND("@",SUBSTITUTE(TRIM('Base de Datos'!B350),".","@",LEN(TRIM('Base de Datos'!B350))-LEN(SUBSTITUTE(TRIM('Base de Datos'!B350),".","")))),0),_xlfn.NUMBERVALUE(SUBSTITUTE(SUBSTITUTE(TRIM('Base de Datos'!B350),".",""),",","."),".",","),_xlfn.NUMBERVALUE(SUBSTITUTE(TRIM('Base de Datos'!B350),",",""),".",",")),"")))</f>
        <v/>
      </c>
      <c r="AF354" s="73" t="str">
        <f aca="false">IF(ISNUMBER(AG354),IF(ISNUMBER('Base de Datos'!I350),IF('Base de Datos'!I350&gt;20000,INT('Base de Datos'!I350),""),IF(TRIM('Base de Datos'!I350)="","",IFERROR(DATE(VALUE(RIGHT(TRIM('Base de Datos'!I350),4)),VALUE(MID(TRIM('Base de Datos'!I350),4,2)),VALUE(LEFT(TRIM('Base de Datos'!I350),2))),IFERROR(DATEVALUE(TRIM('Base de Datos'!I350)),"")))),"")</f>
        <v/>
      </c>
      <c r="AG354" s="74" t="str">
        <f aca="false">IF(ISNUMBER('Base de Datos'!J350),'Base de Datos'!J350,IF(TRIM('Base de Datos'!J350)="","",IFERROR(IF(IFERROR(FIND("@",SUBSTITUTE(TRIM('Base de Datos'!J350),",","@",LEN(TRIM('Base de Datos'!J350))-LEN(SUBSTITUTE(TRIM('Base de Datos'!J350),",","")))),0)&gt;IFERROR(FIND("@",SUBSTITUTE(TRIM('Base de Datos'!J350),".","@",LEN(TRIM('Base de Datos'!J350))-LEN(SUBSTITUTE(TRIM('Base de Datos'!J350),".","")))),0),_xlfn.NUMBERVALUE(SUBSTITUTE(SUBSTITUTE(TRIM('Base de Datos'!J350),".",""),",","."),".",","),_xlfn.NUMBERVALUE(SUBSTITUTE(TRIM('Base de Datos'!J350),",",""),".",",")),"")))</f>
        <v/>
      </c>
      <c r="AH354" s="73" t="str">
        <f aca="false">IF(ISNUMBER(AI354),IF(ISNUMBER('Base de Datos'!Q350),IF('Base de Datos'!Q350&gt;20000,DATE(YEAR('Base de Datos'!Q350),DAY('Base de Datos'!Q350),MONTH('Base de Datos'!Q350)),""),IF(TRIM('Base de Datos'!Q350)="","",IFERROR(DATE(VALUE(RIGHT(TRIM('Base de Datos'!Q350),4)),VALUE(LEFT(TRIM('Base de Datos'!Q350),2)),VALUE(MID(TRIM('Base de Datos'!Q350),4,2))),""))),"")</f>
        <v/>
      </c>
      <c r="AI354" s="74" t="str">
        <f aca="false">IF(ISNUMBER('Base de Datos'!R350),'Base de Datos'!R350,IF(TRIM('Base de Datos'!R350)="","",IFERROR(IF(IFERROR(FIND("@",SUBSTITUTE(TRIM('Base de Datos'!R350),",","@",LEN(TRIM('Base de Datos'!R350))-LEN(SUBSTITUTE(TRIM('Base de Datos'!R350),",","")))),0)&gt;IFERROR(FIND("@",SUBSTITUTE(TRIM('Base de Datos'!R350),".","@",LEN(TRIM('Base de Datos'!R350))-LEN(SUBSTITUTE(TRIM('Base de Datos'!R350),".","")))),0),_xlfn.NUMBERVALUE(SUBSTITUTE(SUBSTITUTE(TRIM('Base de Datos'!R350),".",""),",","."),".",","),_xlfn.NUMBERVALUE(SUBSTITUTE(TRIM('Base de Datos'!R350),",",""),".",",")),"")))</f>
        <v/>
      </c>
      <c r="AJ354" s="73" t="str">
        <f aca="false">IF(ISNUMBER(AK354),IF(ISNUMBER('Base de Datos'!Y350),IF('Base de Datos'!Y350&gt;20000,INT('Base de Datos'!Y350),""),IF(TRIM('Base de Datos'!Y350)="","",IFERROR(DATE(VALUE(RIGHT(TRIM('Base de Datos'!Y350),4)),VALUE(MID(TRIM('Base de Datos'!Y350),4,2)),VALUE(LEFT(TRIM('Base de Datos'!Y350),2))),IFERROR(DATEVALUE(TRIM('Base de Datos'!Y350)),"")))),"")</f>
        <v/>
      </c>
      <c r="AK354" s="74" t="str">
        <f aca="false">IF(ISNUMBER('Base de Datos'!Z350),'Base de Datos'!Z350,IF(TRIM('Base de Datos'!Z350)="","",IFERROR(IF(IFERROR(FIND("@",SUBSTITUTE(TRIM('Base de Datos'!Z350),",","@",LEN(TRIM('Base de Datos'!Z350))-LEN(SUBSTITUTE(TRIM('Base de Datos'!Z350),",","")))),0)&gt;IFERROR(FIND("@",SUBSTITUTE(TRIM('Base de Datos'!Z350),".","@",LEN(TRIM('Base de Datos'!Z350))-LEN(SUBSTITUTE(TRIM('Base de Datos'!Z350),".","")))),0),_xlfn.NUMBERVALUE(SUBSTITUTE(SUBSTITUTE(TRIM('Base de Datos'!Z350),".",""),",","."),".",","),_xlfn.NUMBERVALUE(SUBSTITUTE(TRIM('Base de Datos'!Z350),",",""),".",",")),"")))</f>
        <v/>
      </c>
    </row>
    <row r="355" customFormat="false" ht="13.5" hidden="false" customHeight="false" outlineLevel="0" collapsed="false">
      <c r="A355" s="75" t="n">
        <f aca="false">ROWS(A$13:A355)</f>
        <v>343</v>
      </c>
      <c r="B355" s="73" t="str">
        <f aca="false">IF(B354="","",IFERROR(SMALL($AH$10:$AH$409,COUNTIF($AH$10:$AH$409,"&lt;="&amp;B354)+1),""))</f>
        <v/>
      </c>
      <c r="C355" s="74" t="str">
        <f aca="false">IF(B355="","",INDEX($AI$10:$AI$409,MATCH(B355,$AH$10:$AH$409,0)))</f>
        <v/>
      </c>
      <c r="D355" s="74" t="str">
        <f aca="false">IF(B355="","",IFERROR(INDEX($AK$10:$AK$409,MATCH(B355,$AJ$10:$AJ$409,0)),""))</f>
        <v/>
      </c>
      <c r="E355" s="76" t="str">
        <f aca="false">IF(AND(ISNUMBER(C355),ISNUMBER(C354)),C355/C354-1,"")</f>
        <v/>
      </c>
      <c r="F355" s="76" t="str">
        <f aca="false">IF(AND(ISNUMBER(D355),ISNUMBER(D354)),D355/D354-1,"")</f>
        <v/>
      </c>
      <c r="G355" s="75" t="str">
        <f aca="false">IF(AND(ISNUMBER(E355),ISNUMBER(F355)),1,"")</f>
        <v/>
      </c>
      <c r="H355" s="75" t="str">
        <f aca="false">IF(G355=1,COUNT(G355:G$412),"")</f>
        <v/>
      </c>
      <c r="I355" s="75" t="str">
        <f aca="false">IF(G355=1,IF(H355&lt;='Beta Regresión'!$B$5,1,""),"")</f>
        <v/>
      </c>
      <c r="J355" s="76" t="str">
        <f aca="false">IF(I355=1,E355,"")</f>
        <v/>
      </c>
      <c r="K355" s="76" t="str">
        <f aca="false">IF(I355=1,F355,"")</f>
        <v/>
      </c>
      <c r="L355" s="75" t="str">
        <f aca="false">IF(I355=1,COUNT(I$13:I355),"")</f>
        <v/>
      </c>
      <c r="M355" s="76" t="str">
        <f aca="false">IFERROR(INDEX($J$13:$J$412,MATCH(A355,$L$13:$L$412,0)),"")</f>
        <v/>
      </c>
      <c r="N355" s="76" t="str">
        <f aca="false">IFERROR(INDEX($K$13:$K$412,MATCH(A355,$L$13:$L$412,0)),"")</f>
        <v/>
      </c>
      <c r="O355" s="76" t="e">
        <f aca="false">IF(I355=1,E355,NA())</f>
        <v>#N/A</v>
      </c>
      <c r="P355" s="76" t="e">
        <f aca="false">IF(I355=1,F355,NA())</f>
        <v>#N/A</v>
      </c>
      <c r="R355" s="75" t="n">
        <f aca="false">ROWS(R$13:R355)</f>
        <v>343</v>
      </c>
      <c r="S355" s="73" t="str">
        <f aca="false">IF(S354="","",IFERROR(SMALL($AD$10:$AD$509,COUNTIF($AD$10:$AD$509,"&lt;="&amp;S354)+1),""))</f>
        <v/>
      </c>
      <c r="T355" s="74" t="str">
        <f aca="false">IF(S355="","",INDEX($AE$10:$AE$509,MATCH(S355,$AD$10:$AD$509,0)))</f>
        <v/>
      </c>
      <c r="U355" s="74" t="str">
        <f aca="false">IF(S355="","",IFERROR(INDEX($AG$10:$AG$509,MATCH(S355,$AF$10:$AF$509,0)),""))</f>
        <v/>
      </c>
      <c r="V355" s="76" t="str">
        <f aca="false">IF(AND(ISNUMBER(T355),ISNUMBER(T354)),T355/T354-1,"")</f>
        <v/>
      </c>
      <c r="W355" s="76" t="str">
        <f aca="false">IF(AND(ISNUMBER(U355),ISNUMBER(U354)),U355/U354-1,"")</f>
        <v/>
      </c>
      <c r="X355" s="75" t="str">
        <f aca="false">IF(AND(ISNUMBER(V355),ISNUMBER(W355)),1,"")</f>
        <v/>
      </c>
      <c r="Y355" s="76" t="str">
        <f aca="false">IF(X355=1,V355,"")</f>
        <v/>
      </c>
      <c r="Z355" s="76" t="str">
        <f aca="false">IF(X355=1,W355,"")</f>
        <v/>
      </c>
      <c r="AA355" s="76" t="e">
        <f aca="false">IF(X355=1,V355,NA())</f>
        <v>#N/A</v>
      </c>
      <c r="AB355" s="76" t="e">
        <f aca="false">IF(X355=1,W355,NA())</f>
        <v>#N/A</v>
      </c>
      <c r="AD355" s="73" t="str">
        <f aca="false">IF(ISNUMBER(AE355),IF(ISNUMBER('Base de Datos'!A351),IF('Base de Datos'!A351&gt;20000,DATE(YEAR('Base de Datos'!A351),DAY('Base de Datos'!A351),MONTH('Base de Datos'!A351)),""),IF(TRIM('Base de Datos'!A351)="","",IFERROR(DATE(VALUE(RIGHT(TRIM('Base de Datos'!A351),4)),VALUE(LEFT(TRIM('Base de Datos'!A351),2)),VALUE(MID(TRIM('Base de Datos'!A351),4,2))),""))),"")</f>
        <v/>
      </c>
      <c r="AE355" s="74" t="str">
        <f aca="false">IF(ISNUMBER('Base de Datos'!B351),'Base de Datos'!B351,IF(TRIM('Base de Datos'!B351)="","",IFERROR(IF(IFERROR(FIND("@",SUBSTITUTE(TRIM('Base de Datos'!B351),",","@",LEN(TRIM('Base de Datos'!B351))-LEN(SUBSTITUTE(TRIM('Base de Datos'!B351),",","")))),0)&gt;IFERROR(FIND("@",SUBSTITUTE(TRIM('Base de Datos'!B351),".","@",LEN(TRIM('Base de Datos'!B351))-LEN(SUBSTITUTE(TRIM('Base de Datos'!B351),".","")))),0),_xlfn.NUMBERVALUE(SUBSTITUTE(SUBSTITUTE(TRIM('Base de Datos'!B351),".",""),",","."),".",","),_xlfn.NUMBERVALUE(SUBSTITUTE(TRIM('Base de Datos'!B351),",",""),".",",")),"")))</f>
        <v/>
      </c>
      <c r="AF355" s="73" t="str">
        <f aca="false">IF(ISNUMBER(AG355),IF(ISNUMBER('Base de Datos'!I351),IF('Base de Datos'!I351&gt;20000,INT('Base de Datos'!I351),""),IF(TRIM('Base de Datos'!I351)="","",IFERROR(DATE(VALUE(RIGHT(TRIM('Base de Datos'!I351),4)),VALUE(MID(TRIM('Base de Datos'!I351),4,2)),VALUE(LEFT(TRIM('Base de Datos'!I351),2))),IFERROR(DATEVALUE(TRIM('Base de Datos'!I351)),"")))),"")</f>
        <v/>
      </c>
      <c r="AG355" s="74" t="str">
        <f aca="false">IF(ISNUMBER('Base de Datos'!J351),'Base de Datos'!J351,IF(TRIM('Base de Datos'!J351)="","",IFERROR(IF(IFERROR(FIND("@",SUBSTITUTE(TRIM('Base de Datos'!J351),",","@",LEN(TRIM('Base de Datos'!J351))-LEN(SUBSTITUTE(TRIM('Base de Datos'!J351),",","")))),0)&gt;IFERROR(FIND("@",SUBSTITUTE(TRIM('Base de Datos'!J351),".","@",LEN(TRIM('Base de Datos'!J351))-LEN(SUBSTITUTE(TRIM('Base de Datos'!J351),".","")))),0),_xlfn.NUMBERVALUE(SUBSTITUTE(SUBSTITUTE(TRIM('Base de Datos'!J351),".",""),",","."),".",","),_xlfn.NUMBERVALUE(SUBSTITUTE(TRIM('Base de Datos'!J351),",",""),".",",")),"")))</f>
        <v/>
      </c>
      <c r="AH355" s="73" t="str">
        <f aca="false">IF(ISNUMBER(AI355),IF(ISNUMBER('Base de Datos'!Q351),IF('Base de Datos'!Q351&gt;20000,DATE(YEAR('Base de Datos'!Q351),DAY('Base de Datos'!Q351),MONTH('Base de Datos'!Q351)),""),IF(TRIM('Base de Datos'!Q351)="","",IFERROR(DATE(VALUE(RIGHT(TRIM('Base de Datos'!Q351),4)),VALUE(LEFT(TRIM('Base de Datos'!Q351),2)),VALUE(MID(TRIM('Base de Datos'!Q351),4,2))),""))),"")</f>
        <v/>
      </c>
      <c r="AI355" s="74" t="str">
        <f aca="false">IF(ISNUMBER('Base de Datos'!R351),'Base de Datos'!R351,IF(TRIM('Base de Datos'!R351)="","",IFERROR(IF(IFERROR(FIND("@",SUBSTITUTE(TRIM('Base de Datos'!R351),",","@",LEN(TRIM('Base de Datos'!R351))-LEN(SUBSTITUTE(TRIM('Base de Datos'!R351),",","")))),0)&gt;IFERROR(FIND("@",SUBSTITUTE(TRIM('Base de Datos'!R351),".","@",LEN(TRIM('Base de Datos'!R351))-LEN(SUBSTITUTE(TRIM('Base de Datos'!R351),".","")))),0),_xlfn.NUMBERVALUE(SUBSTITUTE(SUBSTITUTE(TRIM('Base de Datos'!R351),".",""),",","."),".",","),_xlfn.NUMBERVALUE(SUBSTITUTE(TRIM('Base de Datos'!R351),",",""),".",",")),"")))</f>
        <v/>
      </c>
      <c r="AJ355" s="73" t="str">
        <f aca="false">IF(ISNUMBER(AK355),IF(ISNUMBER('Base de Datos'!Y351),IF('Base de Datos'!Y351&gt;20000,INT('Base de Datos'!Y351),""),IF(TRIM('Base de Datos'!Y351)="","",IFERROR(DATE(VALUE(RIGHT(TRIM('Base de Datos'!Y351),4)),VALUE(MID(TRIM('Base de Datos'!Y351),4,2)),VALUE(LEFT(TRIM('Base de Datos'!Y351),2))),IFERROR(DATEVALUE(TRIM('Base de Datos'!Y351)),"")))),"")</f>
        <v/>
      </c>
      <c r="AK355" s="74" t="str">
        <f aca="false">IF(ISNUMBER('Base de Datos'!Z351),'Base de Datos'!Z351,IF(TRIM('Base de Datos'!Z351)="","",IFERROR(IF(IFERROR(FIND("@",SUBSTITUTE(TRIM('Base de Datos'!Z351),",","@",LEN(TRIM('Base de Datos'!Z351))-LEN(SUBSTITUTE(TRIM('Base de Datos'!Z351),",","")))),0)&gt;IFERROR(FIND("@",SUBSTITUTE(TRIM('Base de Datos'!Z351),".","@",LEN(TRIM('Base de Datos'!Z351))-LEN(SUBSTITUTE(TRIM('Base de Datos'!Z351),".","")))),0),_xlfn.NUMBERVALUE(SUBSTITUTE(SUBSTITUTE(TRIM('Base de Datos'!Z351),".",""),",","."),".",","),_xlfn.NUMBERVALUE(SUBSTITUTE(TRIM('Base de Datos'!Z351),",",""),".",",")),"")))</f>
        <v/>
      </c>
    </row>
    <row r="356" customFormat="false" ht="13.5" hidden="false" customHeight="false" outlineLevel="0" collapsed="false">
      <c r="A356" s="75" t="n">
        <f aca="false">ROWS(A$13:A356)</f>
        <v>344</v>
      </c>
      <c r="B356" s="73" t="str">
        <f aca="false">IF(B355="","",IFERROR(SMALL($AH$10:$AH$409,COUNTIF($AH$10:$AH$409,"&lt;="&amp;B355)+1),""))</f>
        <v/>
      </c>
      <c r="C356" s="74" t="str">
        <f aca="false">IF(B356="","",INDEX($AI$10:$AI$409,MATCH(B356,$AH$10:$AH$409,0)))</f>
        <v/>
      </c>
      <c r="D356" s="74" t="str">
        <f aca="false">IF(B356="","",IFERROR(INDEX($AK$10:$AK$409,MATCH(B356,$AJ$10:$AJ$409,0)),""))</f>
        <v/>
      </c>
      <c r="E356" s="76" t="str">
        <f aca="false">IF(AND(ISNUMBER(C356),ISNUMBER(C355)),C356/C355-1,"")</f>
        <v/>
      </c>
      <c r="F356" s="76" t="str">
        <f aca="false">IF(AND(ISNUMBER(D356),ISNUMBER(D355)),D356/D355-1,"")</f>
        <v/>
      </c>
      <c r="G356" s="75" t="str">
        <f aca="false">IF(AND(ISNUMBER(E356),ISNUMBER(F356)),1,"")</f>
        <v/>
      </c>
      <c r="H356" s="75" t="str">
        <f aca="false">IF(G356=1,COUNT(G356:G$412),"")</f>
        <v/>
      </c>
      <c r="I356" s="75" t="str">
        <f aca="false">IF(G356=1,IF(H356&lt;='Beta Regresión'!$B$5,1,""),"")</f>
        <v/>
      </c>
      <c r="J356" s="76" t="str">
        <f aca="false">IF(I356=1,E356,"")</f>
        <v/>
      </c>
      <c r="K356" s="76" t="str">
        <f aca="false">IF(I356=1,F356,"")</f>
        <v/>
      </c>
      <c r="L356" s="75" t="str">
        <f aca="false">IF(I356=1,COUNT(I$13:I356),"")</f>
        <v/>
      </c>
      <c r="M356" s="76" t="str">
        <f aca="false">IFERROR(INDEX($J$13:$J$412,MATCH(A356,$L$13:$L$412,0)),"")</f>
        <v/>
      </c>
      <c r="N356" s="76" t="str">
        <f aca="false">IFERROR(INDEX($K$13:$K$412,MATCH(A356,$L$13:$L$412,0)),"")</f>
        <v/>
      </c>
      <c r="O356" s="76" t="e">
        <f aca="false">IF(I356=1,E356,NA())</f>
        <v>#N/A</v>
      </c>
      <c r="P356" s="76" t="e">
        <f aca="false">IF(I356=1,F356,NA())</f>
        <v>#N/A</v>
      </c>
      <c r="R356" s="75" t="n">
        <f aca="false">ROWS(R$13:R356)</f>
        <v>344</v>
      </c>
      <c r="S356" s="73" t="str">
        <f aca="false">IF(S355="","",IFERROR(SMALL($AD$10:$AD$509,COUNTIF($AD$10:$AD$509,"&lt;="&amp;S355)+1),""))</f>
        <v/>
      </c>
      <c r="T356" s="74" t="str">
        <f aca="false">IF(S356="","",INDEX($AE$10:$AE$509,MATCH(S356,$AD$10:$AD$509,0)))</f>
        <v/>
      </c>
      <c r="U356" s="74" t="str">
        <f aca="false">IF(S356="","",IFERROR(INDEX($AG$10:$AG$509,MATCH(S356,$AF$10:$AF$509,0)),""))</f>
        <v/>
      </c>
      <c r="V356" s="76" t="str">
        <f aca="false">IF(AND(ISNUMBER(T356),ISNUMBER(T355)),T356/T355-1,"")</f>
        <v/>
      </c>
      <c r="W356" s="76" t="str">
        <f aca="false">IF(AND(ISNUMBER(U356),ISNUMBER(U355)),U356/U355-1,"")</f>
        <v/>
      </c>
      <c r="X356" s="75" t="str">
        <f aca="false">IF(AND(ISNUMBER(V356),ISNUMBER(W356)),1,"")</f>
        <v/>
      </c>
      <c r="Y356" s="76" t="str">
        <f aca="false">IF(X356=1,V356,"")</f>
        <v/>
      </c>
      <c r="Z356" s="76" t="str">
        <f aca="false">IF(X356=1,W356,"")</f>
        <v/>
      </c>
      <c r="AA356" s="76" t="e">
        <f aca="false">IF(X356=1,V356,NA())</f>
        <v>#N/A</v>
      </c>
      <c r="AB356" s="76" t="e">
        <f aca="false">IF(X356=1,W356,NA())</f>
        <v>#N/A</v>
      </c>
      <c r="AD356" s="73" t="str">
        <f aca="false">IF(ISNUMBER(AE356),IF(ISNUMBER('Base de Datos'!A352),IF('Base de Datos'!A352&gt;20000,DATE(YEAR('Base de Datos'!A352),DAY('Base de Datos'!A352),MONTH('Base de Datos'!A352)),""),IF(TRIM('Base de Datos'!A352)="","",IFERROR(DATE(VALUE(RIGHT(TRIM('Base de Datos'!A352),4)),VALUE(LEFT(TRIM('Base de Datos'!A352),2)),VALUE(MID(TRIM('Base de Datos'!A352),4,2))),""))),"")</f>
        <v/>
      </c>
      <c r="AE356" s="74" t="str">
        <f aca="false">IF(ISNUMBER('Base de Datos'!B352),'Base de Datos'!B352,IF(TRIM('Base de Datos'!B352)="","",IFERROR(IF(IFERROR(FIND("@",SUBSTITUTE(TRIM('Base de Datos'!B352),",","@",LEN(TRIM('Base de Datos'!B352))-LEN(SUBSTITUTE(TRIM('Base de Datos'!B352),",","")))),0)&gt;IFERROR(FIND("@",SUBSTITUTE(TRIM('Base de Datos'!B352),".","@",LEN(TRIM('Base de Datos'!B352))-LEN(SUBSTITUTE(TRIM('Base de Datos'!B352),".","")))),0),_xlfn.NUMBERVALUE(SUBSTITUTE(SUBSTITUTE(TRIM('Base de Datos'!B352),".",""),",","."),".",","),_xlfn.NUMBERVALUE(SUBSTITUTE(TRIM('Base de Datos'!B352),",",""),".",",")),"")))</f>
        <v/>
      </c>
      <c r="AF356" s="73" t="str">
        <f aca="false">IF(ISNUMBER(AG356),IF(ISNUMBER('Base de Datos'!I352),IF('Base de Datos'!I352&gt;20000,INT('Base de Datos'!I352),""),IF(TRIM('Base de Datos'!I352)="","",IFERROR(DATE(VALUE(RIGHT(TRIM('Base de Datos'!I352),4)),VALUE(MID(TRIM('Base de Datos'!I352),4,2)),VALUE(LEFT(TRIM('Base de Datos'!I352),2))),IFERROR(DATEVALUE(TRIM('Base de Datos'!I352)),"")))),"")</f>
        <v/>
      </c>
      <c r="AG356" s="74" t="str">
        <f aca="false">IF(ISNUMBER('Base de Datos'!J352),'Base de Datos'!J352,IF(TRIM('Base de Datos'!J352)="","",IFERROR(IF(IFERROR(FIND("@",SUBSTITUTE(TRIM('Base de Datos'!J352),",","@",LEN(TRIM('Base de Datos'!J352))-LEN(SUBSTITUTE(TRIM('Base de Datos'!J352),",","")))),0)&gt;IFERROR(FIND("@",SUBSTITUTE(TRIM('Base de Datos'!J352),".","@",LEN(TRIM('Base de Datos'!J352))-LEN(SUBSTITUTE(TRIM('Base de Datos'!J352),".","")))),0),_xlfn.NUMBERVALUE(SUBSTITUTE(SUBSTITUTE(TRIM('Base de Datos'!J352),".",""),",","."),".",","),_xlfn.NUMBERVALUE(SUBSTITUTE(TRIM('Base de Datos'!J352),",",""),".",",")),"")))</f>
        <v/>
      </c>
      <c r="AH356" s="73" t="str">
        <f aca="false">IF(ISNUMBER(AI356),IF(ISNUMBER('Base de Datos'!Q352),IF('Base de Datos'!Q352&gt;20000,DATE(YEAR('Base de Datos'!Q352),DAY('Base de Datos'!Q352),MONTH('Base de Datos'!Q352)),""),IF(TRIM('Base de Datos'!Q352)="","",IFERROR(DATE(VALUE(RIGHT(TRIM('Base de Datos'!Q352),4)),VALUE(LEFT(TRIM('Base de Datos'!Q352),2)),VALUE(MID(TRIM('Base de Datos'!Q352),4,2))),""))),"")</f>
        <v/>
      </c>
      <c r="AI356" s="74" t="str">
        <f aca="false">IF(ISNUMBER('Base de Datos'!R352),'Base de Datos'!R352,IF(TRIM('Base de Datos'!R352)="","",IFERROR(IF(IFERROR(FIND("@",SUBSTITUTE(TRIM('Base de Datos'!R352),",","@",LEN(TRIM('Base de Datos'!R352))-LEN(SUBSTITUTE(TRIM('Base de Datos'!R352),",","")))),0)&gt;IFERROR(FIND("@",SUBSTITUTE(TRIM('Base de Datos'!R352),".","@",LEN(TRIM('Base de Datos'!R352))-LEN(SUBSTITUTE(TRIM('Base de Datos'!R352),".","")))),0),_xlfn.NUMBERVALUE(SUBSTITUTE(SUBSTITUTE(TRIM('Base de Datos'!R352),".",""),",","."),".",","),_xlfn.NUMBERVALUE(SUBSTITUTE(TRIM('Base de Datos'!R352),",",""),".",",")),"")))</f>
        <v/>
      </c>
      <c r="AJ356" s="73" t="str">
        <f aca="false">IF(ISNUMBER(AK356),IF(ISNUMBER('Base de Datos'!Y352),IF('Base de Datos'!Y352&gt;20000,INT('Base de Datos'!Y352),""),IF(TRIM('Base de Datos'!Y352)="","",IFERROR(DATE(VALUE(RIGHT(TRIM('Base de Datos'!Y352),4)),VALUE(MID(TRIM('Base de Datos'!Y352),4,2)),VALUE(LEFT(TRIM('Base de Datos'!Y352),2))),IFERROR(DATEVALUE(TRIM('Base de Datos'!Y352)),"")))),"")</f>
        <v/>
      </c>
      <c r="AK356" s="74" t="str">
        <f aca="false">IF(ISNUMBER('Base de Datos'!Z352),'Base de Datos'!Z352,IF(TRIM('Base de Datos'!Z352)="","",IFERROR(IF(IFERROR(FIND("@",SUBSTITUTE(TRIM('Base de Datos'!Z352),",","@",LEN(TRIM('Base de Datos'!Z352))-LEN(SUBSTITUTE(TRIM('Base de Datos'!Z352),",","")))),0)&gt;IFERROR(FIND("@",SUBSTITUTE(TRIM('Base de Datos'!Z352),".","@",LEN(TRIM('Base de Datos'!Z352))-LEN(SUBSTITUTE(TRIM('Base de Datos'!Z352),".","")))),0),_xlfn.NUMBERVALUE(SUBSTITUTE(SUBSTITUTE(TRIM('Base de Datos'!Z352),".",""),",","."),".",","),_xlfn.NUMBERVALUE(SUBSTITUTE(TRIM('Base de Datos'!Z352),",",""),".",",")),"")))</f>
        <v/>
      </c>
    </row>
    <row r="357" customFormat="false" ht="13.5" hidden="false" customHeight="false" outlineLevel="0" collapsed="false">
      <c r="A357" s="75" t="n">
        <f aca="false">ROWS(A$13:A357)</f>
        <v>345</v>
      </c>
      <c r="B357" s="73" t="str">
        <f aca="false">IF(B356="","",IFERROR(SMALL($AH$10:$AH$409,COUNTIF($AH$10:$AH$409,"&lt;="&amp;B356)+1),""))</f>
        <v/>
      </c>
      <c r="C357" s="74" t="str">
        <f aca="false">IF(B357="","",INDEX($AI$10:$AI$409,MATCH(B357,$AH$10:$AH$409,0)))</f>
        <v/>
      </c>
      <c r="D357" s="74" t="str">
        <f aca="false">IF(B357="","",IFERROR(INDEX($AK$10:$AK$409,MATCH(B357,$AJ$10:$AJ$409,0)),""))</f>
        <v/>
      </c>
      <c r="E357" s="76" t="str">
        <f aca="false">IF(AND(ISNUMBER(C357),ISNUMBER(C356)),C357/C356-1,"")</f>
        <v/>
      </c>
      <c r="F357" s="76" t="str">
        <f aca="false">IF(AND(ISNUMBER(D357),ISNUMBER(D356)),D357/D356-1,"")</f>
        <v/>
      </c>
      <c r="G357" s="75" t="str">
        <f aca="false">IF(AND(ISNUMBER(E357),ISNUMBER(F357)),1,"")</f>
        <v/>
      </c>
      <c r="H357" s="75" t="str">
        <f aca="false">IF(G357=1,COUNT(G357:G$412),"")</f>
        <v/>
      </c>
      <c r="I357" s="75" t="str">
        <f aca="false">IF(G357=1,IF(H357&lt;='Beta Regresión'!$B$5,1,""),"")</f>
        <v/>
      </c>
      <c r="J357" s="76" t="str">
        <f aca="false">IF(I357=1,E357,"")</f>
        <v/>
      </c>
      <c r="K357" s="76" t="str">
        <f aca="false">IF(I357=1,F357,"")</f>
        <v/>
      </c>
      <c r="L357" s="75" t="str">
        <f aca="false">IF(I357=1,COUNT(I$13:I357),"")</f>
        <v/>
      </c>
      <c r="M357" s="76" t="str">
        <f aca="false">IFERROR(INDEX($J$13:$J$412,MATCH(A357,$L$13:$L$412,0)),"")</f>
        <v/>
      </c>
      <c r="N357" s="76" t="str">
        <f aca="false">IFERROR(INDEX($K$13:$K$412,MATCH(A357,$L$13:$L$412,0)),"")</f>
        <v/>
      </c>
      <c r="O357" s="76" t="e">
        <f aca="false">IF(I357=1,E357,NA())</f>
        <v>#N/A</v>
      </c>
      <c r="P357" s="76" t="e">
        <f aca="false">IF(I357=1,F357,NA())</f>
        <v>#N/A</v>
      </c>
      <c r="R357" s="75" t="n">
        <f aca="false">ROWS(R$13:R357)</f>
        <v>345</v>
      </c>
      <c r="S357" s="73" t="str">
        <f aca="false">IF(S356="","",IFERROR(SMALL($AD$10:$AD$509,COUNTIF($AD$10:$AD$509,"&lt;="&amp;S356)+1),""))</f>
        <v/>
      </c>
      <c r="T357" s="74" t="str">
        <f aca="false">IF(S357="","",INDEX($AE$10:$AE$509,MATCH(S357,$AD$10:$AD$509,0)))</f>
        <v/>
      </c>
      <c r="U357" s="74" t="str">
        <f aca="false">IF(S357="","",IFERROR(INDEX($AG$10:$AG$509,MATCH(S357,$AF$10:$AF$509,0)),""))</f>
        <v/>
      </c>
      <c r="V357" s="76" t="str">
        <f aca="false">IF(AND(ISNUMBER(T357),ISNUMBER(T356)),T357/T356-1,"")</f>
        <v/>
      </c>
      <c r="W357" s="76" t="str">
        <f aca="false">IF(AND(ISNUMBER(U357),ISNUMBER(U356)),U357/U356-1,"")</f>
        <v/>
      </c>
      <c r="X357" s="75" t="str">
        <f aca="false">IF(AND(ISNUMBER(V357),ISNUMBER(W357)),1,"")</f>
        <v/>
      </c>
      <c r="Y357" s="76" t="str">
        <f aca="false">IF(X357=1,V357,"")</f>
        <v/>
      </c>
      <c r="Z357" s="76" t="str">
        <f aca="false">IF(X357=1,W357,"")</f>
        <v/>
      </c>
      <c r="AA357" s="76" t="e">
        <f aca="false">IF(X357=1,V357,NA())</f>
        <v>#N/A</v>
      </c>
      <c r="AB357" s="76" t="e">
        <f aca="false">IF(X357=1,W357,NA())</f>
        <v>#N/A</v>
      </c>
      <c r="AD357" s="73" t="str">
        <f aca="false">IF(ISNUMBER(AE357),IF(ISNUMBER('Base de Datos'!A353),IF('Base de Datos'!A353&gt;20000,DATE(YEAR('Base de Datos'!A353),DAY('Base de Datos'!A353),MONTH('Base de Datos'!A353)),""),IF(TRIM('Base de Datos'!A353)="","",IFERROR(DATE(VALUE(RIGHT(TRIM('Base de Datos'!A353),4)),VALUE(LEFT(TRIM('Base de Datos'!A353),2)),VALUE(MID(TRIM('Base de Datos'!A353),4,2))),""))),"")</f>
        <v/>
      </c>
      <c r="AE357" s="74" t="str">
        <f aca="false">IF(ISNUMBER('Base de Datos'!B353),'Base de Datos'!B353,IF(TRIM('Base de Datos'!B353)="","",IFERROR(IF(IFERROR(FIND("@",SUBSTITUTE(TRIM('Base de Datos'!B353),",","@",LEN(TRIM('Base de Datos'!B353))-LEN(SUBSTITUTE(TRIM('Base de Datos'!B353),",","")))),0)&gt;IFERROR(FIND("@",SUBSTITUTE(TRIM('Base de Datos'!B353),".","@",LEN(TRIM('Base de Datos'!B353))-LEN(SUBSTITUTE(TRIM('Base de Datos'!B353),".","")))),0),_xlfn.NUMBERVALUE(SUBSTITUTE(SUBSTITUTE(TRIM('Base de Datos'!B353),".",""),",","."),".",","),_xlfn.NUMBERVALUE(SUBSTITUTE(TRIM('Base de Datos'!B353),",",""),".",",")),"")))</f>
        <v/>
      </c>
      <c r="AF357" s="73" t="str">
        <f aca="false">IF(ISNUMBER(AG357),IF(ISNUMBER('Base de Datos'!I353),IF('Base de Datos'!I353&gt;20000,INT('Base de Datos'!I353),""),IF(TRIM('Base de Datos'!I353)="","",IFERROR(DATE(VALUE(RIGHT(TRIM('Base de Datos'!I353),4)),VALUE(MID(TRIM('Base de Datos'!I353),4,2)),VALUE(LEFT(TRIM('Base de Datos'!I353),2))),IFERROR(DATEVALUE(TRIM('Base de Datos'!I353)),"")))),"")</f>
        <v/>
      </c>
      <c r="AG357" s="74" t="str">
        <f aca="false">IF(ISNUMBER('Base de Datos'!J353),'Base de Datos'!J353,IF(TRIM('Base de Datos'!J353)="","",IFERROR(IF(IFERROR(FIND("@",SUBSTITUTE(TRIM('Base de Datos'!J353),",","@",LEN(TRIM('Base de Datos'!J353))-LEN(SUBSTITUTE(TRIM('Base de Datos'!J353),",","")))),0)&gt;IFERROR(FIND("@",SUBSTITUTE(TRIM('Base de Datos'!J353),".","@",LEN(TRIM('Base de Datos'!J353))-LEN(SUBSTITUTE(TRIM('Base de Datos'!J353),".","")))),0),_xlfn.NUMBERVALUE(SUBSTITUTE(SUBSTITUTE(TRIM('Base de Datos'!J353),".",""),",","."),".",","),_xlfn.NUMBERVALUE(SUBSTITUTE(TRIM('Base de Datos'!J353),",",""),".",",")),"")))</f>
        <v/>
      </c>
      <c r="AH357" s="73" t="str">
        <f aca="false">IF(ISNUMBER(AI357),IF(ISNUMBER('Base de Datos'!Q353),IF('Base de Datos'!Q353&gt;20000,DATE(YEAR('Base de Datos'!Q353),DAY('Base de Datos'!Q353),MONTH('Base de Datos'!Q353)),""),IF(TRIM('Base de Datos'!Q353)="","",IFERROR(DATE(VALUE(RIGHT(TRIM('Base de Datos'!Q353),4)),VALUE(LEFT(TRIM('Base de Datos'!Q353),2)),VALUE(MID(TRIM('Base de Datos'!Q353),4,2))),""))),"")</f>
        <v/>
      </c>
      <c r="AI357" s="74" t="str">
        <f aca="false">IF(ISNUMBER('Base de Datos'!R353),'Base de Datos'!R353,IF(TRIM('Base de Datos'!R353)="","",IFERROR(IF(IFERROR(FIND("@",SUBSTITUTE(TRIM('Base de Datos'!R353),",","@",LEN(TRIM('Base de Datos'!R353))-LEN(SUBSTITUTE(TRIM('Base de Datos'!R353),",","")))),0)&gt;IFERROR(FIND("@",SUBSTITUTE(TRIM('Base de Datos'!R353),".","@",LEN(TRIM('Base de Datos'!R353))-LEN(SUBSTITUTE(TRIM('Base de Datos'!R353),".","")))),0),_xlfn.NUMBERVALUE(SUBSTITUTE(SUBSTITUTE(TRIM('Base de Datos'!R353),".",""),",","."),".",","),_xlfn.NUMBERVALUE(SUBSTITUTE(TRIM('Base de Datos'!R353),",",""),".",",")),"")))</f>
        <v/>
      </c>
      <c r="AJ357" s="73" t="str">
        <f aca="false">IF(ISNUMBER(AK357),IF(ISNUMBER('Base de Datos'!Y353),IF('Base de Datos'!Y353&gt;20000,INT('Base de Datos'!Y353),""),IF(TRIM('Base de Datos'!Y353)="","",IFERROR(DATE(VALUE(RIGHT(TRIM('Base de Datos'!Y353),4)),VALUE(MID(TRIM('Base de Datos'!Y353),4,2)),VALUE(LEFT(TRIM('Base de Datos'!Y353),2))),IFERROR(DATEVALUE(TRIM('Base de Datos'!Y353)),"")))),"")</f>
        <v/>
      </c>
      <c r="AK357" s="74" t="str">
        <f aca="false">IF(ISNUMBER('Base de Datos'!Z353),'Base de Datos'!Z353,IF(TRIM('Base de Datos'!Z353)="","",IFERROR(IF(IFERROR(FIND("@",SUBSTITUTE(TRIM('Base de Datos'!Z353),",","@",LEN(TRIM('Base de Datos'!Z353))-LEN(SUBSTITUTE(TRIM('Base de Datos'!Z353),",","")))),0)&gt;IFERROR(FIND("@",SUBSTITUTE(TRIM('Base de Datos'!Z353),".","@",LEN(TRIM('Base de Datos'!Z353))-LEN(SUBSTITUTE(TRIM('Base de Datos'!Z353),".","")))),0),_xlfn.NUMBERVALUE(SUBSTITUTE(SUBSTITUTE(TRIM('Base de Datos'!Z353),".",""),",","."),".",","),_xlfn.NUMBERVALUE(SUBSTITUTE(TRIM('Base de Datos'!Z353),",",""),".",",")),"")))</f>
        <v/>
      </c>
    </row>
    <row r="358" customFormat="false" ht="13.5" hidden="false" customHeight="false" outlineLevel="0" collapsed="false">
      <c r="A358" s="75" t="n">
        <f aca="false">ROWS(A$13:A358)</f>
        <v>346</v>
      </c>
      <c r="B358" s="73" t="str">
        <f aca="false">IF(B357="","",IFERROR(SMALL($AH$10:$AH$409,COUNTIF($AH$10:$AH$409,"&lt;="&amp;B357)+1),""))</f>
        <v/>
      </c>
      <c r="C358" s="74" t="str">
        <f aca="false">IF(B358="","",INDEX($AI$10:$AI$409,MATCH(B358,$AH$10:$AH$409,0)))</f>
        <v/>
      </c>
      <c r="D358" s="74" t="str">
        <f aca="false">IF(B358="","",IFERROR(INDEX($AK$10:$AK$409,MATCH(B358,$AJ$10:$AJ$409,0)),""))</f>
        <v/>
      </c>
      <c r="E358" s="76" t="str">
        <f aca="false">IF(AND(ISNUMBER(C358),ISNUMBER(C357)),C358/C357-1,"")</f>
        <v/>
      </c>
      <c r="F358" s="76" t="str">
        <f aca="false">IF(AND(ISNUMBER(D358),ISNUMBER(D357)),D358/D357-1,"")</f>
        <v/>
      </c>
      <c r="G358" s="75" t="str">
        <f aca="false">IF(AND(ISNUMBER(E358),ISNUMBER(F358)),1,"")</f>
        <v/>
      </c>
      <c r="H358" s="75" t="str">
        <f aca="false">IF(G358=1,COUNT(G358:G$412),"")</f>
        <v/>
      </c>
      <c r="I358" s="75" t="str">
        <f aca="false">IF(G358=1,IF(H358&lt;='Beta Regresión'!$B$5,1,""),"")</f>
        <v/>
      </c>
      <c r="J358" s="76" t="str">
        <f aca="false">IF(I358=1,E358,"")</f>
        <v/>
      </c>
      <c r="K358" s="76" t="str">
        <f aca="false">IF(I358=1,F358,"")</f>
        <v/>
      </c>
      <c r="L358" s="75" t="str">
        <f aca="false">IF(I358=1,COUNT(I$13:I358),"")</f>
        <v/>
      </c>
      <c r="M358" s="76" t="str">
        <f aca="false">IFERROR(INDEX($J$13:$J$412,MATCH(A358,$L$13:$L$412,0)),"")</f>
        <v/>
      </c>
      <c r="N358" s="76" t="str">
        <f aca="false">IFERROR(INDEX($K$13:$K$412,MATCH(A358,$L$13:$L$412,0)),"")</f>
        <v/>
      </c>
      <c r="O358" s="76" t="e">
        <f aca="false">IF(I358=1,E358,NA())</f>
        <v>#N/A</v>
      </c>
      <c r="P358" s="76" t="e">
        <f aca="false">IF(I358=1,F358,NA())</f>
        <v>#N/A</v>
      </c>
      <c r="R358" s="75" t="n">
        <f aca="false">ROWS(R$13:R358)</f>
        <v>346</v>
      </c>
      <c r="S358" s="73" t="str">
        <f aca="false">IF(S357="","",IFERROR(SMALL($AD$10:$AD$509,COUNTIF($AD$10:$AD$509,"&lt;="&amp;S357)+1),""))</f>
        <v/>
      </c>
      <c r="T358" s="74" t="str">
        <f aca="false">IF(S358="","",INDEX($AE$10:$AE$509,MATCH(S358,$AD$10:$AD$509,0)))</f>
        <v/>
      </c>
      <c r="U358" s="74" t="str">
        <f aca="false">IF(S358="","",IFERROR(INDEX($AG$10:$AG$509,MATCH(S358,$AF$10:$AF$509,0)),""))</f>
        <v/>
      </c>
      <c r="V358" s="76" t="str">
        <f aca="false">IF(AND(ISNUMBER(T358),ISNUMBER(T357)),T358/T357-1,"")</f>
        <v/>
      </c>
      <c r="W358" s="76" t="str">
        <f aca="false">IF(AND(ISNUMBER(U358),ISNUMBER(U357)),U358/U357-1,"")</f>
        <v/>
      </c>
      <c r="X358" s="75" t="str">
        <f aca="false">IF(AND(ISNUMBER(V358),ISNUMBER(W358)),1,"")</f>
        <v/>
      </c>
      <c r="Y358" s="76" t="str">
        <f aca="false">IF(X358=1,V358,"")</f>
        <v/>
      </c>
      <c r="Z358" s="76" t="str">
        <f aca="false">IF(X358=1,W358,"")</f>
        <v/>
      </c>
      <c r="AA358" s="76" t="e">
        <f aca="false">IF(X358=1,V358,NA())</f>
        <v>#N/A</v>
      </c>
      <c r="AB358" s="76" t="e">
        <f aca="false">IF(X358=1,W358,NA())</f>
        <v>#N/A</v>
      </c>
      <c r="AD358" s="73" t="str">
        <f aca="false">IF(ISNUMBER(AE358),IF(ISNUMBER('Base de Datos'!A354),IF('Base de Datos'!A354&gt;20000,DATE(YEAR('Base de Datos'!A354),DAY('Base de Datos'!A354),MONTH('Base de Datos'!A354)),""),IF(TRIM('Base de Datos'!A354)="","",IFERROR(DATE(VALUE(RIGHT(TRIM('Base de Datos'!A354),4)),VALUE(LEFT(TRIM('Base de Datos'!A354),2)),VALUE(MID(TRIM('Base de Datos'!A354),4,2))),""))),"")</f>
        <v/>
      </c>
      <c r="AE358" s="74" t="str">
        <f aca="false">IF(ISNUMBER('Base de Datos'!B354),'Base de Datos'!B354,IF(TRIM('Base de Datos'!B354)="","",IFERROR(IF(IFERROR(FIND("@",SUBSTITUTE(TRIM('Base de Datos'!B354),",","@",LEN(TRIM('Base de Datos'!B354))-LEN(SUBSTITUTE(TRIM('Base de Datos'!B354),",","")))),0)&gt;IFERROR(FIND("@",SUBSTITUTE(TRIM('Base de Datos'!B354),".","@",LEN(TRIM('Base de Datos'!B354))-LEN(SUBSTITUTE(TRIM('Base de Datos'!B354),".","")))),0),_xlfn.NUMBERVALUE(SUBSTITUTE(SUBSTITUTE(TRIM('Base de Datos'!B354),".",""),",","."),".",","),_xlfn.NUMBERVALUE(SUBSTITUTE(TRIM('Base de Datos'!B354),",",""),".",",")),"")))</f>
        <v/>
      </c>
      <c r="AF358" s="73" t="str">
        <f aca="false">IF(ISNUMBER(AG358),IF(ISNUMBER('Base de Datos'!I354),IF('Base de Datos'!I354&gt;20000,INT('Base de Datos'!I354),""),IF(TRIM('Base de Datos'!I354)="","",IFERROR(DATE(VALUE(RIGHT(TRIM('Base de Datos'!I354),4)),VALUE(MID(TRIM('Base de Datos'!I354),4,2)),VALUE(LEFT(TRIM('Base de Datos'!I354),2))),IFERROR(DATEVALUE(TRIM('Base de Datos'!I354)),"")))),"")</f>
        <v/>
      </c>
      <c r="AG358" s="74" t="str">
        <f aca="false">IF(ISNUMBER('Base de Datos'!J354),'Base de Datos'!J354,IF(TRIM('Base de Datos'!J354)="","",IFERROR(IF(IFERROR(FIND("@",SUBSTITUTE(TRIM('Base de Datos'!J354),",","@",LEN(TRIM('Base de Datos'!J354))-LEN(SUBSTITUTE(TRIM('Base de Datos'!J354),",","")))),0)&gt;IFERROR(FIND("@",SUBSTITUTE(TRIM('Base de Datos'!J354),".","@",LEN(TRIM('Base de Datos'!J354))-LEN(SUBSTITUTE(TRIM('Base de Datos'!J354),".","")))),0),_xlfn.NUMBERVALUE(SUBSTITUTE(SUBSTITUTE(TRIM('Base de Datos'!J354),".",""),",","."),".",","),_xlfn.NUMBERVALUE(SUBSTITUTE(TRIM('Base de Datos'!J354),",",""),".",",")),"")))</f>
        <v/>
      </c>
      <c r="AH358" s="73" t="str">
        <f aca="false">IF(ISNUMBER(AI358),IF(ISNUMBER('Base de Datos'!Q354),IF('Base de Datos'!Q354&gt;20000,DATE(YEAR('Base de Datos'!Q354),DAY('Base de Datos'!Q354),MONTH('Base de Datos'!Q354)),""),IF(TRIM('Base de Datos'!Q354)="","",IFERROR(DATE(VALUE(RIGHT(TRIM('Base de Datos'!Q354),4)),VALUE(LEFT(TRIM('Base de Datos'!Q354),2)),VALUE(MID(TRIM('Base de Datos'!Q354),4,2))),""))),"")</f>
        <v/>
      </c>
      <c r="AI358" s="74" t="str">
        <f aca="false">IF(ISNUMBER('Base de Datos'!R354),'Base de Datos'!R354,IF(TRIM('Base de Datos'!R354)="","",IFERROR(IF(IFERROR(FIND("@",SUBSTITUTE(TRIM('Base de Datos'!R354),",","@",LEN(TRIM('Base de Datos'!R354))-LEN(SUBSTITUTE(TRIM('Base de Datos'!R354),",","")))),0)&gt;IFERROR(FIND("@",SUBSTITUTE(TRIM('Base de Datos'!R354),".","@",LEN(TRIM('Base de Datos'!R354))-LEN(SUBSTITUTE(TRIM('Base de Datos'!R354),".","")))),0),_xlfn.NUMBERVALUE(SUBSTITUTE(SUBSTITUTE(TRIM('Base de Datos'!R354),".",""),",","."),".",","),_xlfn.NUMBERVALUE(SUBSTITUTE(TRIM('Base de Datos'!R354),",",""),".",",")),"")))</f>
        <v/>
      </c>
      <c r="AJ358" s="73" t="str">
        <f aca="false">IF(ISNUMBER(AK358),IF(ISNUMBER('Base de Datos'!Y354),IF('Base de Datos'!Y354&gt;20000,INT('Base de Datos'!Y354),""),IF(TRIM('Base de Datos'!Y354)="","",IFERROR(DATE(VALUE(RIGHT(TRIM('Base de Datos'!Y354),4)),VALUE(MID(TRIM('Base de Datos'!Y354),4,2)),VALUE(LEFT(TRIM('Base de Datos'!Y354),2))),IFERROR(DATEVALUE(TRIM('Base de Datos'!Y354)),"")))),"")</f>
        <v/>
      </c>
      <c r="AK358" s="74" t="str">
        <f aca="false">IF(ISNUMBER('Base de Datos'!Z354),'Base de Datos'!Z354,IF(TRIM('Base de Datos'!Z354)="","",IFERROR(IF(IFERROR(FIND("@",SUBSTITUTE(TRIM('Base de Datos'!Z354),",","@",LEN(TRIM('Base de Datos'!Z354))-LEN(SUBSTITUTE(TRIM('Base de Datos'!Z354),",","")))),0)&gt;IFERROR(FIND("@",SUBSTITUTE(TRIM('Base de Datos'!Z354),".","@",LEN(TRIM('Base de Datos'!Z354))-LEN(SUBSTITUTE(TRIM('Base de Datos'!Z354),".","")))),0),_xlfn.NUMBERVALUE(SUBSTITUTE(SUBSTITUTE(TRIM('Base de Datos'!Z354),".",""),",","."),".",","),_xlfn.NUMBERVALUE(SUBSTITUTE(TRIM('Base de Datos'!Z354),",",""),".",",")),"")))</f>
        <v/>
      </c>
    </row>
    <row r="359" customFormat="false" ht="13.5" hidden="false" customHeight="false" outlineLevel="0" collapsed="false">
      <c r="A359" s="75" t="n">
        <f aca="false">ROWS(A$13:A359)</f>
        <v>347</v>
      </c>
      <c r="B359" s="73" t="str">
        <f aca="false">IF(B358="","",IFERROR(SMALL($AH$10:$AH$409,COUNTIF($AH$10:$AH$409,"&lt;="&amp;B358)+1),""))</f>
        <v/>
      </c>
      <c r="C359" s="74" t="str">
        <f aca="false">IF(B359="","",INDEX($AI$10:$AI$409,MATCH(B359,$AH$10:$AH$409,0)))</f>
        <v/>
      </c>
      <c r="D359" s="74" t="str">
        <f aca="false">IF(B359="","",IFERROR(INDEX($AK$10:$AK$409,MATCH(B359,$AJ$10:$AJ$409,0)),""))</f>
        <v/>
      </c>
      <c r="E359" s="76" t="str">
        <f aca="false">IF(AND(ISNUMBER(C359),ISNUMBER(C358)),C359/C358-1,"")</f>
        <v/>
      </c>
      <c r="F359" s="76" t="str">
        <f aca="false">IF(AND(ISNUMBER(D359),ISNUMBER(D358)),D359/D358-1,"")</f>
        <v/>
      </c>
      <c r="G359" s="75" t="str">
        <f aca="false">IF(AND(ISNUMBER(E359),ISNUMBER(F359)),1,"")</f>
        <v/>
      </c>
      <c r="H359" s="75" t="str">
        <f aca="false">IF(G359=1,COUNT(G359:G$412),"")</f>
        <v/>
      </c>
      <c r="I359" s="75" t="str">
        <f aca="false">IF(G359=1,IF(H359&lt;='Beta Regresión'!$B$5,1,""),"")</f>
        <v/>
      </c>
      <c r="J359" s="76" t="str">
        <f aca="false">IF(I359=1,E359,"")</f>
        <v/>
      </c>
      <c r="K359" s="76" t="str">
        <f aca="false">IF(I359=1,F359,"")</f>
        <v/>
      </c>
      <c r="L359" s="75" t="str">
        <f aca="false">IF(I359=1,COUNT(I$13:I359),"")</f>
        <v/>
      </c>
      <c r="M359" s="76" t="str">
        <f aca="false">IFERROR(INDEX($J$13:$J$412,MATCH(A359,$L$13:$L$412,0)),"")</f>
        <v/>
      </c>
      <c r="N359" s="76" t="str">
        <f aca="false">IFERROR(INDEX($K$13:$K$412,MATCH(A359,$L$13:$L$412,0)),"")</f>
        <v/>
      </c>
      <c r="O359" s="76" t="e">
        <f aca="false">IF(I359=1,E359,NA())</f>
        <v>#N/A</v>
      </c>
      <c r="P359" s="76" t="e">
        <f aca="false">IF(I359=1,F359,NA())</f>
        <v>#N/A</v>
      </c>
      <c r="R359" s="75" t="n">
        <f aca="false">ROWS(R$13:R359)</f>
        <v>347</v>
      </c>
      <c r="S359" s="73" t="str">
        <f aca="false">IF(S358="","",IFERROR(SMALL($AD$10:$AD$509,COUNTIF($AD$10:$AD$509,"&lt;="&amp;S358)+1),""))</f>
        <v/>
      </c>
      <c r="T359" s="74" t="str">
        <f aca="false">IF(S359="","",INDEX($AE$10:$AE$509,MATCH(S359,$AD$10:$AD$509,0)))</f>
        <v/>
      </c>
      <c r="U359" s="74" t="str">
        <f aca="false">IF(S359="","",IFERROR(INDEX($AG$10:$AG$509,MATCH(S359,$AF$10:$AF$509,0)),""))</f>
        <v/>
      </c>
      <c r="V359" s="76" t="str">
        <f aca="false">IF(AND(ISNUMBER(T359),ISNUMBER(T358)),T359/T358-1,"")</f>
        <v/>
      </c>
      <c r="W359" s="76" t="str">
        <f aca="false">IF(AND(ISNUMBER(U359),ISNUMBER(U358)),U359/U358-1,"")</f>
        <v/>
      </c>
      <c r="X359" s="75" t="str">
        <f aca="false">IF(AND(ISNUMBER(V359),ISNUMBER(W359)),1,"")</f>
        <v/>
      </c>
      <c r="Y359" s="76" t="str">
        <f aca="false">IF(X359=1,V359,"")</f>
        <v/>
      </c>
      <c r="Z359" s="76" t="str">
        <f aca="false">IF(X359=1,W359,"")</f>
        <v/>
      </c>
      <c r="AA359" s="76" t="e">
        <f aca="false">IF(X359=1,V359,NA())</f>
        <v>#N/A</v>
      </c>
      <c r="AB359" s="76" t="e">
        <f aca="false">IF(X359=1,W359,NA())</f>
        <v>#N/A</v>
      </c>
      <c r="AD359" s="73" t="str">
        <f aca="false">IF(ISNUMBER(AE359),IF(ISNUMBER('Base de Datos'!A355),IF('Base de Datos'!A355&gt;20000,DATE(YEAR('Base de Datos'!A355),DAY('Base de Datos'!A355),MONTH('Base de Datos'!A355)),""),IF(TRIM('Base de Datos'!A355)="","",IFERROR(DATE(VALUE(RIGHT(TRIM('Base de Datos'!A355),4)),VALUE(LEFT(TRIM('Base de Datos'!A355),2)),VALUE(MID(TRIM('Base de Datos'!A355),4,2))),""))),"")</f>
        <v/>
      </c>
      <c r="AE359" s="74" t="str">
        <f aca="false">IF(ISNUMBER('Base de Datos'!B355),'Base de Datos'!B355,IF(TRIM('Base de Datos'!B355)="","",IFERROR(IF(IFERROR(FIND("@",SUBSTITUTE(TRIM('Base de Datos'!B355),",","@",LEN(TRIM('Base de Datos'!B355))-LEN(SUBSTITUTE(TRIM('Base de Datos'!B355),",","")))),0)&gt;IFERROR(FIND("@",SUBSTITUTE(TRIM('Base de Datos'!B355),".","@",LEN(TRIM('Base de Datos'!B355))-LEN(SUBSTITUTE(TRIM('Base de Datos'!B355),".","")))),0),_xlfn.NUMBERVALUE(SUBSTITUTE(SUBSTITUTE(TRIM('Base de Datos'!B355),".",""),",","."),".",","),_xlfn.NUMBERVALUE(SUBSTITUTE(TRIM('Base de Datos'!B355),",",""),".",",")),"")))</f>
        <v/>
      </c>
      <c r="AF359" s="73" t="str">
        <f aca="false">IF(ISNUMBER(AG359),IF(ISNUMBER('Base de Datos'!I355),IF('Base de Datos'!I355&gt;20000,INT('Base de Datos'!I355),""),IF(TRIM('Base de Datos'!I355)="","",IFERROR(DATE(VALUE(RIGHT(TRIM('Base de Datos'!I355),4)),VALUE(MID(TRIM('Base de Datos'!I355),4,2)),VALUE(LEFT(TRIM('Base de Datos'!I355),2))),IFERROR(DATEVALUE(TRIM('Base de Datos'!I355)),"")))),"")</f>
        <v/>
      </c>
      <c r="AG359" s="74" t="str">
        <f aca="false">IF(ISNUMBER('Base de Datos'!J355),'Base de Datos'!J355,IF(TRIM('Base de Datos'!J355)="","",IFERROR(IF(IFERROR(FIND("@",SUBSTITUTE(TRIM('Base de Datos'!J355),",","@",LEN(TRIM('Base de Datos'!J355))-LEN(SUBSTITUTE(TRIM('Base de Datos'!J355),",","")))),0)&gt;IFERROR(FIND("@",SUBSTITUTE(TRIM('Base de Datos'!J355),".","@",LEN(TRIM('Base de Datos'!J355))-LEN(SUBSTITUTE(TRIM('Base de Datos'!J355),".","")))),0),_xlfn.NUMBERVALUE(SUBSTITUTE(SUBSTITUTE(TRIM('Base de Datos'!J355),".",""),",","."),".",","),_xlfn.NUMBERVALUE(SUBSTITUTE(TRIM('Base de Datos'!J355),",",""),".",",")),"")))</f>
        <v/>
      </c>
      <c r="AH359" s="73" t="str">
        <f aca="false">IF(ISNUMBER(AI359),IF(ISNUMBER('Base de Datos'!Q355),IF('Base de Datos'!Q355&gt;20000,DATE(YEAR('Base de Datos'!Q355),DAY('Base de Datos'!Q355),MONTH('Base de Datos'!Q355)),""),IF(TRIM('Base de Datos'!Q355)="","",IFERROR(DATE(VALUE(RIGHT(TRIM('Base de Datos'!Q355),4)),VALUE(LEFT(TRIM('Base de Datos'!Q355),2)),VALUE(MID(TRIM('Base de Datos'!Q355),4,2))),""))),"")</f>
        <v/>
      </c>
      <c r="AI359" s="74" t="str">
        <f aca="false">IF(ISNUMBER('Base de Datos'!R355),'Base de Datos'!R355,IF(TRIM('Base de Datos'!R355)="","",IFERROR(IF(IFERROR(FIND("@",SUBSTITUTE(TRIM('Base de Datos'!R355),",","@",LEN(TRIM('Base de Datos'!R355))-LEN(SUBSTITUTE(TRIM('Base de Datos'!R355),",","")))),0)&gt;IFERROR(FIND("@",SUBSTITUTE(TRIM('Base de Datos'!R355),".","@",LEN(TRIM('Base de Datos'!R355))-LEN(SUBSTITUTE(TRIM('Base de Datos'!R355),".","")))),0),_xlfn.NUMBERVALUE(SUBSTITUTE(SUBSTITUTE(TRIM('Base de Datos'!R355),".",""),",","."),".",","),_xlfn.NUMBERVALUE(SUBSTITUTE(TRIM('Base de Datos'!R355),",",""),".",",")),"")))</f>
        <v/>
      </c>
      <c r="AJ359" s="73" t="str">
        <f aca="false">IF(ISNUMBER(AK359),IF(ISNUMBER('Base de Datos'!Y355),IF('Base de Datos'!Y355&gt;20000,INT('Base de Datos'!Y355),""),IF(TRIM('Base de Datos'!Y355)="","",IFERROR(DATE(VALUE(RIGHT(TRIM('Base de Datos'!Y355),4)),VALUE(MID(TRIM('Base de Datos'!Y355),4,2)),VALUE(LEFT(TRIM('Base de Datos'!Y355),2))),IFERROR(DATEVALUE(TRIM('Base de Datos'!Y355)),"")))),"")</f>
        <v/>
      </c>
      <c r="AK359" s="74" t="str">
        <f aca="false">IF(ISNUMBER('Base de Datos'!Z355),'Base de Datos'!Z355,IF(TRIM('Base de Datos'!Z355)="","",IFERROR(IF(IFERROR(FIND("@",SUBSTITUTE(TRIM('Base de Datos'!Z355),",","@",LEN(TRIM('Base de Datos'!Z355))-LEN(SUBSTITUTE(TRIM('Base de Datos'!Z355),",","")))),0)&gt;IFERROR(FIND("@",SUBSTITUTE(TRIM('Base de Datos'!Z355),".","@",LEN(TRIM('Base de Datos'!Z355))-LEN(SUBSTITUTE(TRIM('Base de Datos'!Z355),".","")))),0),_xlfn.NUMBERVALUE(SUBSTITUTE(SUBSTITUTE(TRIM('Base de Datos'!Z355),".",""),",","."),".",","),_xlfn.NUMBERVALUE(SUBSTITUTE(TRIM('Base de Datos'!Z355),",",""),".",",")),"")))</f>
        <v/>
      </c>
    </row>
    <row r="360" customFormat="false" ht="13.5" hidden="false" customHeight="false" outlineLevel="0" collapsed="false">
      <c r="A360" s="75" t="n">
        <f aca="false">ROWS(A$13:A360)</f>
        <v>348</v>
      </c>
      <c r="B360" s="73" t="str">
        <f aca="false">IF(B359="","",IFERROR(SMALL($AH$10:$AH$409,COUNTIF($AH$10:$AH$409,"&lt;="&amp;B359)+1),""))</f>
        <v/>
      </c>
      <c r="C360" s="74" t="str">
        <f aca="false">IF(B360="","",INDEX($AI$10:$AI$409,MATCH(B360,$AH$10:$AH$409,0)))</f>
        <v/>
      </c>
      <c r="D360" s="74" t="str">
        <f aca="false">IF(B360="","",IFERROR(INDEX($AK$10:$AK$409,MATCH(B360,$AJ$10:$AJ$409,0)),""))</f>
        <v/>
      </c>
      <c r="E360" s="76" t="str">
        <f aca="false">IF(AND(ISNUMBER(C360),ISNUMBER(C359)),C360/C359-1,"")</f>
        <v/>
      </c>
      <c r="F360" s="76" t="str">
        <f aca="false">IF(AND(ISNUMBER(D360),ISNUMBER(D359)),D360/D359-1,"")</f>
        <v/>
      </c>
      <c r="G360" s="75" t="str">
        <f aca="false">IF(AND(ISNUMBER(E360),ISNUMBER(F360)),1,"")</f>
        <v/>
      </c>
      <c r="H360" s="75" t="str">
        <f aca="false">IF(G360=1,COUNT(G360:G$412),"")</f>
        <v/>
      </c>
      <c r="I360" s="75" t="str">
        <f aca="false">IF(G360=1,IF(H360&lt;='Beta Regresión'!$B$5,1,""),"")</f>
        <v/>
      </c>
      <c r="J360" s="76" t="str">
        <f aca="false">IF(I360=1,E360,"")</f>
        <v/>
      </c>
      <c r="K360" s="76" t="str">
        <f aca="false">IF(I360=1,F360,"")</f>
        <v/>
      </c>
      <c r="L360" s="75" t="str">
        <f aca="false">IF(I360=1,COUNT(I$13:I360),"")</f>
        <v/>
      </c>
      <c r="M360" s="76" t="str">
        <f aca="false">IFERROR(INDEX($J$13:$J$412,MATCH(A360,$L$13:$L$412,0)),"")</f>
        <v/>
      </c>
      <c r="N360" s="76" t="str">
        <f aca="false">IFERROR(INDEX($K$13:$K$412,MATCH(A360,$L$13:$L$412,0)),"")</f>
        <v/>
      </c>
      <c r="O360" s="76" t="e">
        <f aca="false">IF(I360=1,E360,NA())</f>
        <v>#N/A</v>
      </c>
      <c r="P360" s="76" t="e">
        <f aca="false">IF(I360=1,F360,NA())</f>
        <v>#N/A</v>
      </c>
      <c r="R360" s="75" t="n">
        <f aca="false">ROWS(R$13:R360)</f>
        <v>348</v>
      </c>
      <c r="S360" s="73" t="str">
        <f aca="false">IF(S359="","",IFERROR(SMALL($AD$10:$AD$509,COUNTIF($AD$10:$AD$509,"&lt;="&amp;S359)+1),""))</f>
        <v/>
      </c>
      <c r="T360" s="74" t="str">
        <f aca="false">IF(S360="","",INDEX($AE$10:$AE$509,MATCH(S360,$AD$10:$AD$509,0)))</f>
        <v/>
      </c>
      <c r="U360" s="74" t="str">
        <f aca="false">IF(S360="","",IFERROR(INDEX($AG$10:$AG$509,MATCH(S360,$AF$10:$AF$509,0)),""))</f>
        <v/>
      </c>
      <c r="V360" s="76" t="str">
        <f aca="false">IF(AND(ISNUMBER(T360),ISNUMBER(T359)),T360/T359-1,"")</f>
        <v/>
      </c>
      <c r="W360" s="76" t="str">
        <f aca="false">IF(AND(ISNUMBER(U360),ISNUMBER(U359)),U360/U359-1,"")</f>
        <v/>
      </c>
      <c r="X360" s="75" t="str">
        <f aca="false">IF(AND(ISNUMBER(V360),ISNUMBER(W360)),1,"")</f>
        <v/>
      </c>
      <c r="Y360" s="76" t="str">
        <f aca="false">IF(X360=1,V360,"")</f>
        <v/>
      </c>
      <c r="Z360" s="76" t="str">
        <f aca="false">IF(X360=1,W360,"")</f>
        <v/>
      </c>
      <c r="AA360" s="76" t="e">
        <f aca="false">IF(X360=1,V360,NA())</f>
        <v>#N/A</v>
      </c>
      <c r="AB360" s="76" t="e">
        <f aca="false">IF(X360=1,W360,NA())</f>
        <v>#N/A</v>
      </c>
      <c r="AD360" s="73" t="str">
        <f aca="false">IF(ISNUMBER(AE360),IF(ISNUMBER('Base de Datos'!A356),IF('Base de Datos'!A356&gt;20000,DATE(YEAR('Base de Datos'!A356),DAY('Base de Datos'!A356),MONTH('Base de Datos'!A356)),""),IF(TRIM('Base de Datos'!A356)="","",IFERROR(DATE(VALUE(RIGHT(TRIM('Base de Datos'!A356),4)),VALUE(LEFT(TRIM('Base de Datos'!A356),2)),VALUE(MID(TRIM('Base de Datos'!A356),4,2))),""))),"")</f>
        <v/>
      </c>
      <c r="AE360" s="74" t="str">
        <f aca="false">IF(ISNUMBER('Base de Datos'!B356),'Base de Datos'!B356,IF(TRIM('Base de Datos'!B356)="","",IFERROR(IF(IFERROR(FIND("@",SUBSTITUTE(TRIM('Base de Datos'!B356),",","@",LEN(TRIM('Base de Datos'!B356))-LEN(SUBSTITUTE(TRIM('Base de Datos'!B356),",","")))),0)&gt;IFERROR(FIND("@",SUBSTITUTE(TRIM('Base de Datos'!B356),".","@",LEN(TRIM('Base de Datos'!B356))-LEN(SUBSTITUTE(TRIM('Base de Datos'!B356),".","")))),0),_xlfn.NUMBERVALUE(SUBSTITUTE(SUBSTITUTE(TRIM('Base de Datos'!B356),".",""),",","."),".",","),_xlfn.NUMBERVALUE(SUBSTITUTE(TRIM('Base de Datos'!B356),",",""),".",",")),"")))</f>
        <v/>
      </c>
      <c r="AF360" s="73" t="str">
        <f aca="false">IF(ISNUMBER(AG360),IF(ISNUMBER('Base de Datos'!I356),IF('Base de Datos'!I356&gt;20000,INT('Base de Datos'!I356),""),IF(TRIM('Base de Datos'!I356)="","",IFERROR(DATE(VALUE(RIGHT(TRIM('Base de Datos'!I356),4)),VALUE(MID(TRIM('Base de Datos'!I356),4,2)),VALUE(LEFT(TRIM('Base de Datos'!I356),2))),IFERROR(DATEVALUE(TRIM('Base de Datos'!I356)),"")))),"")</f>
        <v/>
      </c>
      <c r="AG360" s="74" t="str">
        <f aca="false">IF(ISNUMBER('Base de Datos'!J356),'Base de Datos'!J356,IF(TRIM('Base de Datos'!J356)="","",IFERROR(IF(IFERROR(FIND("@",SUBSTITUTE(TRIM('Base de Datos'!J356),",","@",LEN(TRIM('Base de Datos'!J356))-LEN(SUBSTITUTE(TRIM('Base de Datos'!J356),",","")))),0)&gt;IFERROR(FIND("@",SUBSTITUTE(TRIM('Base de Datos'!J356),".","@",LEN(TRIM('Base de Datos'!J356))-LEN(SUBSTITUTE(TRIM('Base de Datos'!J356),".","")))),0),_xlfn.NUMBERVALUE(SUBSTITUTE(SUBSTITUTE(TRIM('Base de Datos'!J356),".",""),",","."),".",","),_xlfn.NUMBERVALUE(SUBSTITUTE(TRIM('Base de Datos'!J356),",",""),".",",")),"")))</f>
        <v/>
      </c>
      <c r="AH360" s="73" t="str">
        <f aca="false">IF(ISNUMBER(AI360),IF(ISNUMBER('Base de Datos'!Q356),IF('Base de Datos'!Q356&gt;20000,DATE(YEAR('Base de Datos'!Q356),DAY('Base de Datos'!Q356),MONTH('Base de Datos'!Q356)),""),IF(TRIM('Base de Datos'!Q356)="","",IFERROR(DATE(VALUE(RIGHT(TRIM('Base de Datos'!Q356),4)),VALUE(LEFT(TRIM('Base de Datos'!Q356),2)),VALUE(MID(TRIM('Base de Datos'!Q356),4,2))),""))),"")</f>
        <v/>
      </c>
      <c r="AI360" s="74" t="str">
        <f aca="false">IF(ISNUMBER('Base de Datos'!R356),'Base de Datos'!R356,IF(TRIM('Base de Datos'!R356)="","",IFERROR(IF(IFERROR(FIND("@",SUBSTITUTE(TRIM('Base de Datos'!R356),",","@",LEN(TRIM('Base de Datos'!R356))-LEN(SUBSTITUTE(TRIM('Base de Datos'!R356),",","")))),0)&gt;IFERROR(FIND("@",SUBSTITUTE(TRIM('Base de Datos'!R356),".","@",LEN(TRIM('Base de Datos'!R356))-LEN(SUBSTITUTE(TRIM('Base de Datos'!R356),".","")))),0),_xlfn.NUMBERVALUE(SUBSTITUTE(SUBSTITUTE(TRIM('Base de Datos'!R356),".",""),",","."),".",","),_xlfn.NUMBERVALUE(SUBSTITUTE(TRIM('Base de Datos'!R356),",",""),".",",")),"")))</f>
        <v/>
      </c>
      <c r="AJ360" s="73" t="str">
        <f aca="false">IF(ISNUMBER(AK360),IF(ISNUMBER('Base de Datos'!Y356),IF('Base de Datos'!Y356&gt;20000,INT('Base de Datos'!Y356),""),IF(TRIM('Base de Datos'!Y356)="","",IFERROR(DATE(VALUE(RIGHT(TRIM('Base de Datos'!Y356),4)),VALUE(MID(TRIM('Base de Datos'!Y356),4,2)),VALUE(LEFT(TRIM('Base de Datos'!Y356),2))),IFERROR(DATEVALUE(TRIM('Base de Datos'!Y356)),"")))),"")</f>
        <v/>
      </c>
      <c r="AK360" s="74" t="str">
        <f aca="false">IF(ISNUMBER('Base de Datos'!Z356),'Base de Datos'!Z356,IF(TRIM('Base de Datos'!Z356)="","",IFERROR(IF(IFERROR(FIND("@",SUBSTITUTE(TRIM('Base de Datos'!Z356),",","@",LEN(TRIM('Base de Datos'!Z356))-LEN(SUBSTITUTE(TRIM('Base de Datos'!Z356),",","")))),0)&gt;IFERROR(FIND("@",SUBSTITUTE(TRIM('Base de Datos'!Z356),".","@",LEN(TRIM('Base de Datos'!Z356))-LEN(SUBSTITUTE(TRIM('Base de Datos'!Z356),".","")))),0),_xlfn.NUMBERVALUE(SUBSTITUTE(SUBSTITUTE(TRIM('Base de Datos'!Z356),".",""),",","."),".",","),_xlfn.NUMBERVALUE(SUBSTITUTE(TRIM('Base de Datos'!Z356),",",""),".",",")),"")))</f>
        <v/>
      </c>
    </row>
    <row r="361" customFormat="false" ht="13.5" hidden="false" customHeight="false" outlineLevel="0" collapsed="false">
      <c r="A361" s="75" t="n">
        <f aca="false">ROWS(A$13:A361)</f>
        <v>349</v>
      </c>
      <c r="B361" s="73" t="str">
        <f aca="false">IF(B360="","",IFERROR(SMALL($AH$10:$AH$409,COUNTIF($AH$10:$AH$409,"&lt;="&amp;B360)+1),""))</f>
        <v/>
      </c>
      <c r="C361" s="74" t="str">
        <f aca="false">IF(B361="","",INDEX($AI$10:$AI$409,MATCH(B361,$AH$10:$AH$409,0)))</f>
        <v/>
      </c>
      <c r="D361" s="74" t="str">
        <f aca="false">IF(B361="","",IFERROR(INDEX($AK$10:$AK$409,MATCH(B361,$AJ$10:$AJ$409,0)),""))</f>
        <v/>
      </c>
      <c r="E361" s="76" t="str">
        <f aca="false">IF(AND(ISNUMBER(C361),ISNUMBER(C360)),C361/C360-1,"")</f>
        <v/>
      </c>
      <c r="F361" s="76" t="str">
        <f aca="false">IF(AND(ISNUMBER(D361),ISNUMBER(D360)),D361/D360-1,"")</f>
        <v/>
      </c>
      <c r="G361" s="75" t="str">
        <f aca="false">IF(AND(ISNUMBER(E361),ISNUMBER(F361)),1,"")</f>
        <v/>
      </c>
      <c r="H361" s="75" t="str">
        <f aca="false">IF(G361=1,COUNT(G361:G$412),"")</f>
        <v/>
      </c>
      <c r="I361" s="75" t="str">
        <f aca="false">IF(G361=1,IF(H361&lt;='Beta Regresión'!$B$5,1,""),"")</f>
        <v/>
      </c>
      <c r="J361" s="76" t="str">
        <f aca="false">IF(I361=1,E361,"")</f>
        <v/>
      </c>
      <c r="K361" s="76" t="str">
        <f aca="false">IF(I361=1,F361,"")</f>
        <v/>
      </c>
      <c r="L361" s="75" t="str">
        <f aca="false">IF(I361=1,COUNT(I$13:I361),"")</f>
        <v/>
      </c>
      <c r="M361" s="76" t="str">
        <f aca="false">IFERROR(INDEX($J$13:$J$412,MATCH(A361,$L$13:$L$412,0)),"")</f>
        <v/>
      </c>
      <c r="N361" s="76" t="str">
        <f aca="false">IFERROR(INDEX($K$13:$K$412,MATCH(A361,$L$13:$L$412,0)),"")</f>
        <v/>
      </c>
      <c r="O361" s="76" t="e">
        <f aca="false">IF(I361=1,E361,NA())</f>
        <v>#N/A</v>
      </c>
      <c r="P361" s="76" t="e">
        <f aca="false">IF(I361=1,F361,NA())</f>
        <v>#N/A</v>
      </c>
      <c r="R361" s="75" t="n">
        <f aca="false">ROWS(R$13:R361)</f>
        <v>349</v>
      </c>
      <c r="S361" s="73" t="str">
        <f aca="false">IF(S360="","",IFERROR(SMALL($AD$10:$AD$509,COUNTIF($AD$10:$AD$509,"&lt;="&amp;S360)+1),""))</f>
        <v/>
      </c>
      <c r="T361" s="74" t="str">
        <f aca="false">IF(S361="","",INDEX($AE$10:$AE$509,MATCH(S361,$AD$10:$AD$509,0)))</f>
        <v/>
      </c>
      <c r="U361" s="74" t="str">
        <f aca="false">IF(S361="","",IFERROR(INDEX($AG$10:$AG$509,MATCH(S361,$AF$10:$AF$509,0)),""))</f>
        <v/>
      </c>
      <c r="V361" s="76" t="str">
        <f aca="false">IF(AND(ISNUMBER(T361),ISNUMBER(T360)),T361/T360-1,"")</f>
        <v/>
      </c>
      <c r="W361" s="76" t="str">
        <f aca="false">IF(AND(ISNUMBER(U361),ISNUMBER(U360)),U361/U360-1,"")</f>
        <v/>
      </c>
      <c r="X361" s="75" t="str">
        <f aca="false">IF(AND(ISNUMBER(V361),ISNUMBER(W361)),1,"")</f>
        <v/>
      </c>
      <c r="Y361" s="76" t="str">
        <f aca="false">IF(X361=1,V361,"")</f>
        <v/>
      </c>
      <c r="Z361" s="76" t="str">
        <f aca="false">IF(X361=1,W361,"")</f>
        <v/>
      </c>
      <c r="AA361" s="76" t="e">
        <f aca="false">IF(X361=1,V361,NA())</f>
        <v>#N/A</v>
      </c>
      <c r="AB361" s="76" t="e">
        <f aca="false">IF(X361=1,W361,NA())</f>
        <v>#N/A</v>
      </c>
      <c r="AD361" s="73" t="str">
        <f aca="false">IF(ISNUMBER(AE361),IF(ISNUMBER('Base de Datos'!A357),IF('Base de Datos'!A357&gt;20000,DATE(YEAR('Base de Datos'!A357),DAY('Base de Datos'!A357),MONTH('Base de Datos'!A357)),""),IF(TRIM('Base de Datos'!A357)="","",IFERROR(DATE(VALUE(RIGHT(TRIM('Base de Datos'!A357),4)),VALUE(LEFT(TRIM('Base de Datos'!A357),2)),VALUE(MID(TRIM('Base de Datos'!A357),4,2))),""))),"")</f>
        <v/>
      </c>
      <c r="AE361" s="74" t="str">
        <f aca="false">IF(ISNUMBER('Base de Datos'!B357),'Base de Datos'!B357,IF(TRIM('Base de Datos'!B357)="","",IFERROR(IF(IFERROR(FIND("@",SUBSTITUTE(TRIM('Base de Datos'!B357),",","@",LEN(TRIM('Base de Datos'!B357))-LEN(SUBSTITUTE(TRIM('Base de Datos'!B357),",","")))),0)&gt;IFERROR(FIND("@",SUBSTITUTE(TRIM('Base de Datos'!B357),".","@",LEN(TRIM('Base de Datos'!B357))-LEN(SUBSTITUTE(TRIM('Base de Datos'!B357),".","")))),0),_xlfn.NUMBERVALUE(SUBSTITUTE(SUBSTITUTE(TRIM('Base de Datos'!B357),".",""),",","."),".",","),_xlfn.NUMBERVALUE(SUBSTITUTE(TRIM('Base de Datos'!B357),",",""),".",",")),"")))</f>
        <v/>
      </c>
      <c r="AF361" s="73" t="str">
        <f aca="false">IF(ISNUMBER(AG361),IF(ISNUMBER('Base de Datos'!I357),IF('Base de Datos'!I357&gt;20000,INT('Base de Datos'!I357),""),IF(TRIM('Base de Datos'!I357)="","",IFERROR(DATE(VALUE(RIGHT(TRIM('Base de Datos'!I357),4)),VALUE(MID(TRIM('Base de Datos'!I357),4,2)),VALUE(LEFT(TRIM('Base de Datos'!I357),2))),IFERROR(DATEVALUE(TRIM('Base de Datos'!I357)),"")))),"")</f>
        <v/>
      </c>
      <c r="AG361" s="74" t="str">
        <f aca="false">IF(ISNUMBER('Base de Datos'!J357),'Base de Datos'!J357,IF(TRIM('Base de Datos'!J357)="","",IFERROR(IF(IFERROR(FIND("@",SUBSTITUTE(TRIM('Base de Datos'!J357),",","@",LEN(TRIM('Base de Datos'!J357))-LEN(SUBSTITUTE(TRIM('Base de Datos'!J357),",","")))),0)&gt;IFERROR(FIND("@",SUBSTITUTE(TRIM('Base de Datos'!J357),".","@",LEN(TRIM('Base de Datos'!J357))-LEN(SUBSTITUTE(TRIM('Base de Datos'!J357),".","")))),0),_xlfn.NUMBERVALUE(SUBSTITUTE(SUBSTITUTE(TRIM('Base de Datos'!J357),".",""),",","."),".",","),_xlfn.NUMBERVALUE(SUBSTITUTE(TRIM('Base de Datos'!J357),",",""),".",",")),"")))</f>
        <v/>
      </c>
      <c r="AH361" s="73" t="str">
        <f aca="false">IF(ISNUMBER(AI361),IF(ISNUMBER('Base de Datos'!Q357),IF('Base de Datos'!Q357&gt;20000,DATE(YEAR('Base de Datos'!Q357),DAY('Base de Datos'!Q357),MONTH('Base de Datos'!Q357)),""),IF(TRIM('Base de Datos'!Q357)="","",IFERROR(DATE(VALUE(RIGHT(TRIM('Base de Datos'!Q357),4)),VALUE(LEFT(TRIM('Base de Datos'!Q357),2)),VALUE(MID(TRIM('Base de Datos'!Q357),4,2))),""))),"")</f>
        <v/>
      </c>
      <c r="AI361" s="74" t="str">
        <f aca="false">IF(ISNUMBER('Base de Datos'!R357),'Base de Datos'!R357,IF(TRIM('Base de Datos'!R357)="","",IFERROR(IF(IFERROR(FIND("@",SUBSTITUTE(TRIM('Base de Datos'!R357),",","@",LEN(TRIM('Base de Datos'!R357))-LEN(SUBSTITUTE(TRIM('Base de Datos'!R357),",","")))),0)&gt;IFERROR(FIND("@",SUBSTITUTE(TRIM('Base de Datos'!R357),".","@",LEN(TRIM('Base de Datos'!R357))-LEN(SUBSTITUTE(TRIM('Base de Datos'!R357),".","")))),0),_xlfn.NUMBERVALUE(SUBSTITUTE(SUBSTITUTE(TRIM('Base de Datos'!R357),".",""),",","."),".",","),_xlfn.NUMBERVALUE(SUBSTITUTE(TRIM('Base de Datos'!R357),",",""),".",",")),"")))</f>
        <v/>
      </c>
      <c r="AJ361" s="73" t="str">
        <f aca="false">IF(ISNUMBER(AK361),IF(ISNUMBER('Base de Datos'!Y357),IF('Base de Datos'!Y357&gt;20000,INT('Base de Datos'!Y357),""),IF(TRIM('Base de Datos'!Y357)="","",IFERROR(DATE(VALUE(RIGHT(TRIM('Base de Datos'!Y357),4)),VALUE(MID(TRIM('Base de Datos'!Y357),4,2)),VALUE(LEFT(TRIM('Base de Datos'!Y357),2))),IFERROR(DATEVALUE(TRIM('Base de Datos'!Y357)),"")))),"")</f>
        <v/>
      </c>
      <c r="AK361" s="74" t="str">
        <f aca="false">IF(ISNUMBER('Base de Datos'!Z357),'Base de Datos'!Z357,IF(TRIM('Base de Datos'!Z357)="","",IFERROR(IF(IFERROR(FIND("@",SUBSTITUTE(TRIM('Base de Datos'!Z357),",","@",LEN(TRIM('Base de Datos'!Z357))-LEN(SUBSTITUTE(TRIM('Base de Datos'!Z357),",","")))),0)&gt;IFERROR(FIND("@",SUBSTITUTE(TRIM('Base de Datos'!Z357),".","@",LEN(TRIM('Base de Datos'!Z357))-LEN(SUBSTITUTE(TRIM('Base de Datos'!Z357),".","")))),0),_xlfn.NUMBERVALUE(SUBSTITUTE(SUBSTITUTE(TRIM('Base de Datos'!Z357),".",""),",","."),".",","),_xlfn.NUMBERVALUE(SUBSTITUTE(TRIM('Base de Datos'!Z357),",",""),".",",")),"")))</f>
        <v/>
      </c>
    </row>
    <row r="362" customFormat="false" ht="13.5" hidden="false" customHeight="false" outlineLevel="0" collapsed="false">
      <c r="A362" s="75" t="n">
        <f aca="false">ROWS(A$13:A362)</f>
        <v>350</v>
      </c>
      <c r="B362" s="73" t="str">
        <f aca="false">IF(B361="","",IFERROR(SMALL($AH$10:$AH$409,COUNTIF($AH$10:$AH$409,"&lt;="&amp;B361)+1),""))</f>
        <v/>
      </c>
      <c r="C362" s="74" t="str">
        <f aca="false">IF(B362="","",INDEX($AI$10:$AI$409,MATCH(B362,$AH$10:$AH$409,0)))</f>
        <v/>
      </c>
      <c r="D362" s="74" t="str">
        <f aca="false">IF(B362="","",IFERROR(INDEX($AK$10:$AK$409,MATCH(B362,$AJ$10:$AJ$409,0)),""))</f>
        <v/>
      </c>
      <c r="E362" s="76" t="str">
        <f aca="false">IF(AND(ISNUMBER(C362),ISNUMBER(C361)),C362/C361-1,"")</f>
        <v/>
      </c>
      <c r="F362" s="76" t="str">
        <f aca="false">IF(AND(ISNUMBER(D362),ISNUMBER(D361)),D362/D361-1,"")</f>
        <v/>
      </c>
      <c r="G362" s="75" t="str">
        <f aca="false">IF(AND(ISNUMBER(E362),ISNUMBER(F362)),1,"")</f>
        <v/>
      </c>
      <c r="H362" s="75" t="str">
        <f aca="false">IF(G362=1,COUNT(G362:G$412),"")</f>
        <v/>
      </c>
      <c r="I362" s="75" t="str">
        <f aca="false">IF(G362=1,IF(H362&lt;='Beta Regresión'!$B$5,1,""),"")</f>
        <v/>
      </c>
      <c r="J362" s="76" t="str">
        <f aca="false">IF(I362=1,E362,"")</f>
        <v/>
      </c>
      <c r="K362" s="76" t="str">
        <f aca="false">IF(I362=1,F362,"")</f>
        <v/>
      </c>
      <c r="L362" s="75" t="str">
        <f aca="false">IF(I362=1,COUNT(I$13:I362),"")</f>
        <v/>
      </c>
      <c r="M362" s="76" t="str">
        <f aca="false">IFERROR(INDEX($J$13:$J$412,MATCH(A362,$L$13:$L$412,0)),"")</f>
        <v/>
      </c>
      <c r="N362" s="76" t="str">
        <f aca="false">IFERROR(INDEX($K$13:$K$412,MATCH(A362,$L$13:$L$412,0)),"")</f>
        <v/>
      </c>
      <c r="O362" s="76" t="e">
        <f aca="false">IF(I362=1,E362,NA())</f>
        <v>#N/A</v>
      </c>
      <c r="P362" s="76" t="e">
        <f aca="false">IF(I362=1,F362,NA())</f>
        <v>#N/A</v>
      </c>
      <c r="R362" s="75" t="n">
        <f aca="false">ROWS(R$13:R362)</f>
        <v>350</v>
      </c>
      <c r="S362" s="73" t="str">
        <f aca="false">IF(S361="","",IFERROR(SMALL($AD$10:$AD$509,COUNTIF($AD$10:$AD$509,"&lt;="&amp;S361)+1),""))</f>
        <v/>
      </c>
      <c r="T362" s="74" t="str">
        <f aca="false">IF(S362="","",INDEX($AE$10:$AE$509,MATCH(S362,$AD$10:$AD$509,0)))</f>
        <v/>
      </c>
      <c r="U362" s="74" t="str">
        <f aca="false">IF(S362="","",IFERROR(INDEX($AG$10:$AG$509,MATCH(S362,$AF$10:$AF$509,0)),""))</f>
        <v/>
      </c>
      <c r="V362" s="76" t="str">
        <f aca="false">IF(AND(ISNUMBER(T362),ISNUMBER(T361)),T362/T361-1,"")</f>
        <v/>
      </c>
      <c r="W362" s="76" t="str">
        <f aca="false">IF(AND(ISNUMBER(U362),ISNUMBER(U361)),U362/U361-1,"")</f>
        <v/>
      </c>
      <c r="X362" s="75" t="str">
        <f aca="false">IF(AND(ISNUMBER(V362),ISNUMBER(W362)),1,"")</f>
        <v/>
      </c>
      <c r="Y362" s="76" t="str">
        <f aca="false">IF(X362=1,V362,"")</f>
        <v/>
      </c>
      <c r="Z362" s="76" t="str">
        <f aca="false">IF(X362=1,W362,"")</f>
        <v/>
      </c>
      <c r="AA362" s="76" t="e">
        <f aca="false">IF(X362=1,V362,NA())</f>
        <v>#N/A</v>
      </c>
      <c r="AB362" s="76" t="e">
        <f aca="false">IF(X362=1,W362,NA())</f>
        <v>#N/A</v>
      </c>
      <c r="AD362" s="73" t="str">
        <f aca="false">IF(ISNUMBER(AE362),IF(ISNUMBER('Base de Datos'!A358),IF('Base de Datos'!A358&gt;20000,DATE(YEAR('Base de Datos'!A358),DAY('Base de Datos'!A358),MONTH('Base de Datos'!A358)),""),IF(TRIM('Base de Datos'!A358)="","",IFERROR(DATE(VALUE(RIGHT(TRIM('Base de Datos'!A358),4)),VALUE(LEFT(TRIM('Base de Datos'!A358),2)),VALUE(MID(TRIM('Base de Datos'!A358),4,2))),""))),"")</f>
        <v/>
      </c>
      <c r="AE362" s="74" t="str">
        <f aca="false">IF(ISNUMBER('Base de Datos'!B358),'Base de Datos'!B358,IF(TRIM('Base de Datos'!B358)="","",IFERROR(IF(IFERROR(FIND("@",SUBSTITUTE(TRIM('Base de Datos'!B358),",","@",LEN(TRIM('Base de Datos'!B358))-LEN(SUBSTITUTE(TRIM('Base de Datos'!B358),",","")))),0)&gt;IFERROR(FIND("@",SUBSTITUTE(TRIM('Base de Datos'!B358),".","@",LEN(TRIM('Base de Datos'!B358))-LEN(SUBSTITUTE(TRIM('Base de Datos'!B358),".","")))),0),_xlfn.NUMBERVALUE(SUBSTITUTE(SUBSTITUTE(TRIM('Base de Datos'!B358),".",""),",","."),".",","),_xlfn.NUMBERVALUE(SUBSTITUTE(TRIM('Base de Datos'!B358),",",""),".",",")),"")))</f>
        <v/>
      </c>
      <c r="AF362" s="73" t="str">
        <f aca="false">IF(ISNUMBER(AG362),IF(ISNUMBER('Base de Datos'!I358),IF('Base de Datos'!I358&gt;20000,INT('Base de Datos'!I358),""),IF(TRIM('Base de Datos'!I358)="","",IFERROR(DATE(VALUE(RIGHT(TRIM('Base de Datos'!I358),4)),VALUE(MID(TRIM('Base de Datos'!I358),4,2)),VALUE(LEFT(TRIM('Base de Datos'!I358),2))),IFERROR(DATEVALUE(TRIM('Base de Datos'!I358)),"")))),"")</f>
        <v/>
      </c>
      <c r="AG362" s="74" t="str">
        <f aca="false">IF(ISNUMBER('Base de Datos'!J358),'Base de Datos'!J358,IF(TRIM('Base de Datos'!J358)="","",IFERROR(IF(IFERROR(FIND("@",SUBSTITUTE(TRIM('Base de Datos'!J358),",","@",LEN(TRIM('Base de Datos'!J358))-LEN(SUBSTITUTE(TRIM('Base de Datos'!J358),",","")))),0)&gt;IFERROR(FIND("@",SUBSTITUTE(TRIM('Base de Datos'!J358),".","@",LEN(TRIM('Base de Datos'!J358))-LEN(SUBSTITUTE(TRIM('Base de Datos'!J358),".","")))),0),_xlfn.NUMBERVALUE(SUBSTITUTE(SUBSTITUTE(TRIM('Base de Datos'!J358),".",""),",","."),".",","),_xlfn.NUMBERVALUE(SUBSTITUTE(TRIM('Base de Datos'!J358),",",""),".",",")),"")))</f>
        <v/>
      </c>
      <c r="AH362" s="73" t="str">
        <f aca="false">IF(ISNUMBER(AI362),IF(ISNUMBER('Base de Datos'!Q358),IF('Base de Datos'!Q358&gt;20000,DATE(YEAR('Base de Datos'!Q358),DAY('Base de Datos'!Q358),MONTH('Base de Datos'!Q358)),""),IF(TRIM('Base de Datos'!Q358)="","",IFERROR(DATE(VALUE(RIGHT(TRIM('Base de Datos'!Q358),4)),VALUE(LEFT(TRIM('Base de Datos'!Q358),2)),VALUE(MID(TRIM('Base de Datos'!Q358),4,2))),""))),"")</f>
        <v/>
      </c>
      <c r="AI362" s="74" t="str">
        <f aca="false">IF(ISNUMBER('Base de Datos'!R358),'Base de Datos'!R358,IF(TRIM('Base de Datos'!R358)="","",IFERROR(IF(IFERROR(FIND("@",SUBSTITUTE(TRIM('Base de Datos'!R358),",","@",LEN(TRIM('Base de Datos'!R358))-LEN(SUBSTITUTE(TRIM('Base de Datos'!R358),",","")))),0)&gt;IFERROR(FIND("@",SUBSTITUTE(TRIM('Base de Datos'!R358),".","@",LEN(TRIM('Base de Datos'!R358))-LEN(SUBSTITUTE(TRIM('Base de Datos'!R358),".","")))),0),_xlfn.NUMBERVALUE(SUBSTITUTE(SUBSTITUTE(TRIM('Base de Datos'!R358),".",""),",","."),".",","),_xlfn.NUMBERVALUE(SUBSTITUTE(TRIM('Base de Datos'!R358),",",""),".",",")),"")))</f>
        <v/>
      </c>
      <c r="AJ362" s="73" t="str">
        <f aca="false">IF(ISNUMBER(AK362),IF(ISNUMBER('Base de Datos'!Y358),IF('Base de Datos'!Y358&gt;20000,INT('Base de Datos'!Y358),""),IF(TRIM('Base de Datos'!Y358)="","",IFERROR(DATE(VALUE(RIGHT(TRIM('Base de Datos'!Y358),4)),VALUE(MID(TRIM('Base de Datos'!Y358),4,2)),VALUE(LEFT(TRIM('Base de Datos'!Y358),2))),IFERROR(DATEVALUE(TRIM('Base de Datos'!Y358)),"")))),"")</f>
        <v/>
      </c>
      <c r="AK362" s="74" t="str">
        <f aca="false">IF(ISNUMBER('Base de Datos'!Z358),'Base de Datos'!Z358,IF(TRIM('Base de Datos'!Z358)="","",IFERROR(IF(IFERROR(FIND("@",SUBSTITUTE(TRIM('Base de Datos'!Z358),",","@",LEN(TRIM('Base de Datos'!Z358))-LEN(SUBSTITUTE(TRIM('Base de Datos'!Z358),",","")))),0)&gt;IFERROR(FIND("@",SUBSTITUTE(TRIM('Base de Datos'!Z358),".","@",LEN(TRIM('Base de Datos'!Z358))-LEN(SUBSTITUTE(TRIM('Base de Datos'!Z358),".","")))),0),_xlfn.NUMBERVALUE(SUBSTITUTE(SUBSTITUTE(TRIM('Base de Datos'!Z358),".",""),",","."),".",","),_xlfn.NUMBERVALUE(SUBSTITUTE(TRIM('Base de Datos'!Z358),",",""),".",",")),"")))</f>
        <v/>
      </c>
    </row>
    <row r="363" customFormat="false" ht="13.5" hidden="false" customHeight="false" outlineLevel="0" collapsed="false">
      <c r="A363" s="75" t="n">
        <f aca="false">ROWS(A$13:A363)</f>
        <v>351</v>
      </c>
      <c r="B363" s="73" t="str">
        <f aca="false">IF(B362="","",IFERROR(SMALL($AH$10:$AH$409,COUNTIF($AH$10:$AH$409,"&lt;="&amp;B362)+1),""))</f>
        <v/>
      </c>
      <c r="C363" s="74" t="str">
        <f aca="false">IF(B363="","",INDEX($AI$10:$AI$409,MATCH(B363,$AH$10:$AH$409,0)))</f>
        <v/>
      </c>
      <c r="D363" s="74" t="str">
        <f aca="false">IF(B363="","",IFERROR(INDEX($AK$10:$AK$409,MATCH(B363,$AJ$10:$AJ$409,0)),""))</f>
        <v/>
      </c>
      <c r="E363" s="76" t="str">
        <f aca="false">IF(AND(ISNUMBER(C363),ISNUMBER(C362)),C363/C362-1,"")</f>
        <v/>
      </c>
      <c r="F363" s="76" t="str">
        <f aca="false">IF(AND(ISNUMBER(D363),ISNUMBER(D362)),D363/D362-1,"")</f>
        <v/>
      </c>
      <c r="G363" s="75" t="str">
        <f aca="false">IF(AND(ISNUMBER(E363),ISNUMBER(F363)),1,"")</f>
        <v/>
      </c>
      <c r="H363" s="75" t="str">
        <f aca="false">IF(G363=1,COUNT(G363:G$412),"")</f>
        <v/>
      </c>
      <c r="I363" s="75" t="str">
        <f aca="false">IF(G363=1,IF(H363&lt;='Beta Regresión'!$B$5,1,""),"")</f>
        <v/>
      </c>
      <c r="J363" s="76" t="str">
        <f aca="false">IF(I363=1,E363,"")</f>
        <v/>
      </c>
      <c r="K363" s="76" t="str">
        <f aca="false">IF(I363=1,F363,"")</f>
        <v/>
      </c>
      <c r="L363" s="75" t="str">
        <f aca="false">IF(I363=1,COUNT(I$13:I363),"")</f>
        <v/>
      </c>
      <c r="M363" s="76" t="str">
        <f aca="false">IFERROR(INDEX($J$13:$J$412,MATCH(A363,$L$13:$L$412,0)),"")</f>
        <v/>
      </c>
      <c r="N363" s="76" t="str">
        <f aca="false">IFERROR(INDEX($K$13:$K$412,MATCH(A363,$L$13:$L$412,0)),"")</f>
        <v/>
      </c>
      <c r="O363" s="76" t="e">
        <f aca="false">IF(I363=1,E363,NA())</f>
        <v>#N/A</v>
      </c>
      <c r="P363" s="76" t="e">
        <f aca="false">IF(I363=1,F363,NA())</f>
        <v>#N/A</v>
      </c>
      <c r="R363" s="75" t="n">
        <f aca="false">ROWS(R$13:R363)</f>
        <v>351</v>
      </c>
      <c r="S363" s="73" t="str">
        <f aca="false">IF(S362="","",IFERROR(SMALL($AD$10:$AD$509,COUNTIF($AD$10:$AD$509,"&lt;="&amp;S362)+1),""))</f>
        <v/>
      </c>
      <c r="T363" s="74" t="str">
        <f aca="false">IF(S363="","",INDEX($AE$10:$AE$509,MATCH(S363,$AD$10:$AD$509,0)))</f>
        <v/>
      </c>
      <c r="U363" s="74" t="str">
        <f aca="false">IF(S363="","",IFERROR(INDEX($AG$10:$AG$509,MATCH(S363,$AF$10:$AF$509,0)),""))</f>
        <v/>
      </c>
      <c r="V363" s="76" t="str">
        <f aca="false">IF(AND(ISNUMBER(T363),ISNUMBER(T362)),T363/T362-1,"")</f>
        <v/>
      </c>
      <c r="W363" s="76" t="str">
        <f aca="false">IF(AND(ISNUMBER(U363),ISNUMBER(U362)),U363/U362-1,"")</f>
        <v/>
      </c>
      <c r="X363" s="75" t="str">
        <f aca="false">IF(AND(ISNUMBER(V363),ISNUMBER(W363)),1,"")</f>
        <v/>
      </c>
      <c r="Y363" s="76" t="str">
        <f aca="false">IF(X363=1,V363,"")</f>
        <v/>
      </c>
      <c r="Z363" s="76" t="str">
        <f aca="false">IF(X363=1,W363,"")</f>
        <v/>
      </c>
      <c r="AA363" s="76" t="e">
        <f aca="false">IF(X363=1,V363,NA())</f>
        <v>#N/A</v>
      </c>
      <c r="AB363" s="76" t="e">
        <f aca="false">IF(X363=1,W363,NA())</f>
        <v>#N/A</v>
      </c>
      <c r="AD363" s="73" t="str">
        <f aca="false">IF(ISNUMBER(AE363),IF(ISNUMBER('Base de Datos'!A359),IF('Base de Datos'!A359&gt;20000,DATE(YEAR('Base de Datos'!A359),DAY('Base de Datos'!A359),MONTH('Base de Datos'!A359)),""),IF(TRIM('Base de Datos'!A359)="","",IFERROR(DATE(VALUE(RIGHT(TRIM('Base de Datos'!A359),4)),VALUE(LEFT(TRIM('Base de Datos'!A359),2)),VALUE(MID(TRIM('Base de Datos'!A359),4,2))),""))),"")</f>
        <v/>
      </c>
      <c r="AE363" s="74" t="str">
        <f aca="false">IF(ISNUMBER('Base de Datos'!B359),'Base de Datos'!B359,IF(TRIM('Base de Datos'!B359)="","",IFERROR(IF(IFERROR(FIND("@",SUBSTITUTE(TRIM('Base de Datos'!B359),",","@",LEN(TRIM('Base de Datos'!B359))-LEN(SUBSTITUTE(TRIM('Base de Datos'!B359),",","")))),0)&gt;IFERROR(FIND("@",SUBSTITUTE(TRIM('Base de Datos'!B359),".","@",LEN(TRIM('Base de Datos'!B359))-LEN(SUBSTITUTE(TRIM('Base de Datos'!B359),".","")))),0),_xlfn.NUMBERVALUE(SUBSTITUTE(SUBSTITUTE(TRIM('Base de Datos'!B359),".",""),",","."),".",","),_xlfn.NUMBERVALUE(SUBSTITUTE(TRIM('Base de Datos'!B359),",",""),".",",")),"")))</f>
        <v/>
      </c>
      <c r="AF363" s="73" t="str">
        <f aca="false">IF(ISNUMBER(AG363),IF(ISNUMBER('Base de Datos'!I359),IF('Base de Datos'!I359&gt;20000,INT('Base de Datos'!I359),""),IF(TRIM('Base de Datos'!I359)="","",IFERROR(DATE(VALUE(RIGHT(TRIM('Base de Datos'!I359),4)),VALUE(MID(TRIM('Base de Datos'!I359),4,2)),VALUE(LEFT(TRIM('Base de Datos'!I359),2))),IFERROR(DATEVALUE(TRIM('Base de Datos'!I359)),"")))),"")</f>
        <v/>
      </c>
      <c r="AG363" s="74" t="str">
        <f aca="false">IF(ISNUMBER('Base de Datos'!J359),'Base de Datos'!J359,IF(TRIM('Base de Datos'!J359)="","",IFERROR(IF(IFERROR(FIND("@",SUBSTITUTE(TRIM('Base de Datos'!J359),",","@",LEN(TRIM('Base de Datos'!J359))-LEN(SUBSTITUTE(TRIM('Base de Datos'!J359),",","")))),0)&gt;IFERROR(FIND("@",SUBSTITUTE(TRIM('Base de Datos'!J359),".","@",LEN(TRIM('Base de Datos'!J359))-LEN(SUBSTITUTE(TRIM('Base de Datos'!J359),".","")))),0),_xlfn.NUMBERVALUE(SUBSTITUTE(SUBSTITUTE(TRIM('Base de Datos'!J359),".",""),",","."),".",","),_xlfn.NUMBERVALUE(SUBSTITUTE(TRIM('Base de Datos'!J359),",",""),".",",")),"")))</f>
        <v/>
      </c>
      <c r="AH363" s="73" t="str">
        <f aca="false">IF(ISNUMBER(AI363),IF(ISNUMBER('Base de Datos'!Q359),IF('Base de Datos'!Q359&gt;20000,DATE(YEAR('Base de Datos'!Q359),DAY('Base de Datos'!Q359),MONTH('Base de Datos'!Q359)),""),IF(TRIM('Base de Datos'!Q359)="","",IFERROR(DATE(VALUE(RIGHT(TRIM('Base de Datos'!Q359),4)),VALUE(LEFT(TRIM('Base de Datos'!Q359),2)),VALUE(MID(TRIM('Base de Datos'!Q359),4,2))),""))),"")</f>
        <v/>
      </c>
      <c r="AI363" s="74" t="str">
        <f aca="false">IF(ISNUMBER('Base de Datos'!R359),'Base de Datos'!R359,IF(TRIM('Base de Datos'!R359)="","",IFERROR(IF(IFERROR(FIND("@",SUBSTITUTE(TRIM('Base de Datos'!R359),",","@",LEN(TRIM('Base de Datos'!R359))-LEN(SUBSTITUTE(TRIM('Base de Datos'!R359),",","")))),0)&gt;IFERROR(FIND("@",SUBSTITUTE(TRIM('Base de Datos'!R359),".","@",LEN(TRIM('Base de Datos'!R359))-LEN(SUBSTITUTE(TRIM('Base de Datos'!R359),".","")))),0),_xlfn.NUMBERVALUE(SUBSTITUTE(SUBSTITUTE(TRIM('Base de Datos'!R359),".",""),",","."),".",","),_xlfn.NUMBERVALUE(SUBSTITUTE(TRIM('Base de Datos'!R359),",",""),".",",")),"")))</f>
        <v/>
      </c>
      <c r="AJ363" s="73" t="str">
        <f aca="false">IF(ISNUMBER(AK363),IF(ISNUMBER('Base de Datos'!Y359),IF('Base de Datos'!Y359&gt;20000,INT('Base de Datos'!Y359),""),IF(TRIM('Base de Datos'!Y359)="","",IFERROR(DATE(VALUE(RIGHT(TRIM('Base de Datos'!Y359),4)),VALUE(MID(TRIM('Base de Datos'!Y359),4,2)),VALUE(LEFT(TRIM('Base de Datos'!Y359),2))),IFERROR(DATEVALUE(TRIM('Base de Datos'!Y359)),"")))),"")</f>
        <v/>
      </c>
      <c r="AK363" s="74" t="str">
        <f aca="false">IF(ISNUMBER('Base de Datos'!Z359),'Base de Datos'!Z359,IF(TRIM('Base de Datos'!Z359)="","",IFERROR(IF(IFERROR(FIND("@",SUBSTITUTE(TRIM('Base de Datos'!Z359),",","@",LEN(TRIM('Base de Datos'!Z359))-LEN(SUBSTITUTE(TRIM('Base de Datos'!Z359),",","")))),0)&gt;IFERROR(FIND("@",SUBSTITUTE(TRIM('Base de Datos'!Z359),".","@",LEN(TRIM('Base de Datos'!Z359))-LEN(SUBSTITUTE(TRIM('Base de Datos'!Z359),".","")))),0),_xlfn.NUMBERVALUE(SUBSTITUTE(SUBSTITUTE(TRIM('Base de Datos'!Z359),".",""),",","."),".",","),_xlfn.NUMBERVALUE(SUBSTITUTE(TRIM('Base de Datos'!Z359),",",""),".",",")),"")))</f>
        <v/>
      </c>
    </row>
    <row r="364" customFormat="false" ht="13.5" hidden="false" customHeight="false" outlineLevel="0" collapsed="false">
      <c r="A364" s="75" t="n">
        <f aca="false">ROWS(A$13:A364)</f>
        <v>352</v>
      </c>
      <c r="B364" s="73" t="str">
        <f aca="false">IF(B363="","",IFERROR(SMALL($AH$10:$AH$409,COUNTIF($AH$10:$AH$409,"&lt;="&amp;B363)+1),""))</f>
        <v/>
      </c>
      <c r="C364" s="74" t="str">
        <f aca="false">IF(B364="","",INDEX($AI$10:$AI$409,MATCH(B364,$AH$10:$AH$409,0)))</f>
        <v/>
      </c>
      <c r="D364" s="74" t="str">
        <f aca="false">IF(B364="","",IFERROR(INDEX($AK$10:$AK$409,MATCH(B364,$AJ$10:$AJ$409,0)),""))</f>
        <v/>
      </c>
      <c r="E364" s="76" t="str">
        <f aca="false">IF(AND(ISNUMBER(C364),ISNUMBER(C363)),C364/C363-1,"")</f>
        <v/>
      </c>
      <c r="F364" s="76" t="str">
        <f aca="false">IF(AND(ISNUMBER(D364),ISNUMBER(D363)),D364/D363-1,"")</f>
        <v/>
      </c>
      <c r="G364" s="75" t="str">
        <f aca="false">IF(AND(ISNUMBER(E364),ISNUMBER(F364)),1,"")</f>
        <v/>
      </c>
      <c r="H364" s="75" t="str">
        <f aca="false">IF(G364=1,COUNT(G364:G$412),"")</f>
        <v/>
      </c>
      <c r="I364" s="75" t="str">
        <f aca="false">IF(G364=1,IF(H364&lt;='Beta Regresión'!$B$5,1,""),"")</f>
        <v/>
      </c>
      <c r="J364" s="76" t="str">
        <f aca="false">IF(I364=1,E364,"")</f>
        <v/>
      </c>
      <c r="K364" s="76" t="str">
        <f aca="false">IF(I364=1,F364,"")</f>
        <v/>
      </c>
      <c r="L364" s="75" t="str">
        <f aca="false">IF(I364=1,COUNT(I$13:I364),"")</f>
        <v/>
      </c>
      <c r="M364" s="76" t="str">
        <f aca="false">IFERROR(INDEX($J$13:$J$412,MATCH(A364,$L$13:$L$412,0)),"")</f>
        <v/>
      </c>
      <c r="N364" s="76" t="str">
        <f aca="false">IFERROR(INDEX($K$13:$K$412,MATCH(A364,$L$13:$L$412,0)),"")</f>
        <v/>
      </c>
      <c r="O364" s="76" t="e">
        <f aca="false">IF(I364=1,E364,NA())</f>
        <v>#N/A</v>
      </c>
      <c r="P364" s="76" t="e">
        <f aca="false">IF(I364=1,F364,NA())</f>
        <v>#N/A</v>
      </c>
      <c r="R364" s="75" t="n">
        <f aca="false">ROWS(R$13:R364)</f>
        <v>352</v>
      </c>
      <c r="S364" s="73" t="str">
        <f aca="false">IF(S363="","",IFERROR(SMALL($AD$10:$AD$509,COUNTIF($AD$10:$AD$509,"&lt;="&amp;S363)+1),""))</f>
        <v/>
      </c>
      <c r="T364" s="74" t="str">
        <f aca="false">IF(S364="","",INDEX($AE$10:$AE$509,MATCH(S364,$AD$10:$AD$509,0)))</f>
        <v/>
      </c>
      <c r="U364" s="74" t="str">
        <f aca="false">IF(S364="","",IFERROR(INDEX($AG$10:$AG$509,MATCH(S364,$AF$10:$AF$509,0)),""))</f>
        <v/>
      </c>
      <c r="V364" s="76" t="str">
        <f aca="false">IF(AND(ISNUMBER(T364),ISNUMBER(T363)),T364/T363-1,"")</f>
        <v/>
      </c>
      <c r="W364" s="76" t="str">
        <f aca="false">IF(AND(ISNUMBER(U364),ISNUMBER(U363)),U364/U363-1,"")</f>
        <v/>
      </c>
      <c r="X364" s="75" t="str">
        <f aca="false">IF(AND(ISNUMBER(V364),ISNUMBER(W364)),1,"")</f>
        <v/>
      </c>
      <c r="Y364" s="76" t="str">
        <f aca="false">IF(X364=1,V364,"")</f>
        <v/>
      </c>
      <c r="Z364" s="76" t="str">
        <f aca="false">IF(X364=1,W364,"")</f>
        <v/>
      </c>
      <c r="AA364" s="76" t="e">
        <f aca="false">IF(X364=1,V364,NA())</f>
        <v>#N/A</v>
      </c>
      <c r="AB364" s="76" t="e">
        <f aca="false">IF(X364=1,W364,NA())</f>
        <v>#N/A</v>
      </c>
      <c r="AD364" s="73" t="str">
        <f aca="false">IF(ISNUMBER(AE364),IF(ISNUMBER('Base de Datos'!A360),IF('Base de Datos'!A360&gt;20000,DATE(YEAR('Base de Datos'!A360),DAY('Base de Datos'!A360),MONTH('Base de Datos'!A360)),""),IF(TRIM('Base de Datos'!A360)="","",IFERROR(DATE(VALUE(RIGHT(TRIM('Base de Datos'!A360),4)),VALUE(LEFT(TRIM('Base de Datos'!A360),2)),VALUE(MID(TRIM('Base de Datos'!A360),4,2))),""))),"")</f>
        <v/>
      </c>
      <c r="AE364" s="74" t="str">
        <f aca="false">IF(ISNUMBER('Base de Datos'!B360),'Base de Datos'!B360,IF(TRIM('Base de Datos'!B360)="","",IFERROR(IF(IFERROR(FIND("@",SUBSTITUTE(TRIM('Base de Datos'!B360),",","@",LEN(TRIM('Base de Datos'!B360))-LEN(SUBSTITUTE(TRIM('Base de Datos'!B360),",","")))),0)&gt;IFERROR(FIND("@",SUBSTITUTE(TRIM('Base de Datos'!B360),".","@",LEN(TRIM('Base de Datos'!B360))-LEN(SUBSTITUTE(TRIM('Base de Datos'!B360),".","")))),0),_xlfn.NUMBERVALUE(SUBSTITUTE(SUBSTITUTE(TRIM('Base de Datos'!B360),".",""),",","."),".",","),_xlfn.NUMBERVALUE(SUBSTITUTE(TRIM('Base de Datos'!B360),",",""),".",",")),"")))</f>
        <v/>
      </c>
      <c r="AF364" s="73" t="str">
        <f aca="false">IF(ISNUMBER(AG364),IF(ISNUMBER('Base de Datos'!I360),IF('Base de Datos'!I360&gt;20000,INT('Base de Datos'!I360),""),IF(TRIM('Base de Datos'!I360)="","",IFERROR(DATE(VALUE(RIGHT(TRIM('Base de Datos'!I360),4)),VALUE(MID(TRIM('Base de Datos'!I360),4,2)),VALUE(LEFT(TRIM('Base de Datos'!I360),2))),IFERROR(DATEVALUE(TRIM('Base de Datos'!I360)),"")))),"")</f>
        <v/>
      </c>
      <c r="AG364" s="74" t="str">
        <f aca="false">IF(ISNUMBER('Base de Datos'!J360),'Base de Datos'!J360,IF(TRIM('Base de Datos'!J360)="","",IFERROR(IF(IFERROR(FIND("@",SUBSTITUTE(TRIM('Base de Datos'!J360),",","@",LEN(TRIM('Base de Datos'!J360))-LEN(SUBSTITUTE(TRIM('Base de Datos'!J360),",","")))),0)&gt;IFERROR(FIND("@",SUBSTITUTE(TRIM('Base de Datos'!J360),".","@",LEN(TRIM('Base de Datos'!J360))-LEN(SUBSTITUTE(TRIM('Base de Datos'!J360),".","")))),0),_xlfn.NUMBERVALUE(SUBSTITUTE(SUBSTITUTE(TRIM('Base de Datos'!J360),".",""),",","."),".",","),_xlfn.NUMBERVALUE(SUBSTITUTE(TRIM('Base de Datos'!J360),",",""),".",",")),"")))</f>
        <v/>
      </c>
      <c r="AH364" s="73" t="str">
        <f aca="false">IF(ISNUMBER(AI364),IF(ISNUMBER('Base de Datos'!Q360),IF('Base de Datos'!Q360&gt;20000,DATE(YEAR('Base de Datos'!Q360),DAY('Base de Datos'!Q360),MONTH('Base de Datos'!Q360)),""),IF(TRIM('Base de Datos'!Q360)="","",IFERROR(DATE(VALUE(RIGHT(TRIM('Base de Datos'!Q360),4)),VALUE(LEFT(TRIM('Base de Datos'!Q360),2)),VALUE(MID(TRIM('Base de Datos'!Q360),4,2))),""))),"")</f>
        <v/>
      </c>
      <c r="AI364" s="74" t="str">
        <f aca="false">IF(ISNUMBER('Base de Datos'!R360),'Base de Datos'!R360,IF(TRIM('Base de Datos'!R360)="","",IFERROR(IF(IFERROR(FIND("@",SUBSTITUTE(TRIM('Base de Datos'!R360),",","@",LEN(TRIM('Base de Datos'!R360))-LEN(SUBSTITUTE(TRIM('Base de Datos'!R360),",","")))),0)&gt;IFERROR(FIND("@",SUBSTITUTE(TRIM('Base de Datos'!R360),".","@",LEN(TRIM('Base de Datos'!R360))-LEN(SUBSTITUTE(TRIM('Base de Datos'!R360),".","")))),0),_xlfn.NUMBERVALUE(SUBSTITUTE(SUBSTITUTE(TRIM('Base de Datos'!R360),".",""),",","."),".",","),_xlfn.NUMBERVALUE(SUBSTITUTE(TRIM('Base de Datos'!R360),",",""),".",",")),"")))</f>
        <v/>
      </c>
      <c r="AJ364" s="73" t="str">
        <f aca="false">IF(ISNUMBER(AK364),IF(ISNUMBER('Base de Datos'!Y360),IF('Base de Datos'!Y360&gt;20000,INT('Base de Datos'!Y360),""),IF(TRIM('Base de Datos'!Y360)="","",IFERROR(DATE(VALUE(RIGHT(TRIM('Base de Datos'!Y360),4)),VALUE(MID(TRIM('Base de Datos'!Y360),4,2)),VALUE(LEFT(TRIM('Base de Datos'!Y360),2))),IFERROR(DATEVALUE(TRIM('Base de Datos'!Y360)),"")))),"")</f>
        <v/>
      </c>
      <c r="AK364" s="74" t="str">
        <f aca="false">IF(ISNUMBER('Base de Datos'!Z360),'Base de Datos'!Z360,IF(TRIM('Base de Datos'!Z360)="","",IFERROR(IF(IFERROR(FIND("@",SUBSTITUTE(TRIM('Base de Datos'!Z360),",","@",LEN(TRIM('Base de Datos'!Z360))-LEN(SUBSTITUTE(TRIM('Base de Datos'!Z360),",","")))),0)&gt;IFERROR(FIND("@",SUBSTITUTE(TRIM('Base de Datos'!Z360),".","@",LEN(TRIM('Base de Datos'!Z360))-LEN(SUBSTITUTE(TRIM('Base de Datos'!Z360),".","")))),0),_xlfn.NUMBERVALUE(SUBSTITUTE(SUBSTITUTE(TRIM('Base de Datos'!Z360),".",""),",","."),".",","),_xlfn.NUMBERVALUE(SUBSTITUTE(TRIM('Base de Datos'!Z360),",",""),".",",")),"")))</f>
        <v/>
      </c>
    </row>
    <row r="365" customFormat="false" ht="13.5" hidden="false" customHeight="false" outlineLevel="0" collapsed="false">
      <c r="A365" s="75" t="n">
        <f aca="false">ROWS(A$13:A365)</f>
        <v>353</v>
      </c>
      <c r="B365" s="73" t="str">
        <f aca="false">IF(B364="","",IFERROR(SMALL($AH$10:$AH$409,COUNTIF($AH$10:$AH$409,"&lt;="&amp;B364)+1),""))</f>
        <v/>
      </c>
      <c r="C365" s="74" t="str">
        <f aca="false">IF(B365="","",INDEX($AI$10:$AI$409,MATCH(B365,$AH$10:$AH$409,0)))</f>
        <v/>
      </c>
      <c r="D365" s="74" t="str">
        <f aca="false">IF(B365="","",IFERROR(INDEX($AK$10:$AK$409,MATCH(B365,$AJ$10:$AJ$409,0)),""))</f>
        <v/>
      </c>
      <c r="E365" s="76" t="str">
        <f aca="false">IF(AND(ISNUMBER(C365),ISNUMBER(C364)),C365/C364-1,"")</f>
        <v/>
      </c>
      <c r="F365" s="76" t="str">
        <f aca="false">IF(AND(ISNUMBER(D365),ISNUMBER(D364)),D365/D364-1,"")</f>
        <v/>
      </c>
      <c r="G365" s="75" t="str">
        <f aca="false">IF(AND(ISNUMBER(E365),ISNUMBER(F365)),1,"")</f>
        <v/>
      </c>
      <c r="H365" s="75" t="str">
        <f aca="false">IF(G365=1,COUNT(G365:G$412),"")</f>
        <v/>
      </c>
      <c r="I365" s="75" t="str">
        <f aca="false">IF(G365=1,IF(H365&lt;='Beta Regresión'!$B$5,1,""),"")</f>
        <v/>
      </c>
      <c r="J365" s="76" t="str">
        <f aca="false">IF(I365=1,E365,"")</f>
        <v/>
      </c>
      <c r="K365" s="76" t="str">
        <f aca="false">IF(I365=1,F365,"")</f>
        <v/>
      </c>
      <c r="L365" s="75" t="str">
        <f aca="false">IF(I365=1,COUNT(I$13:I365),"")</f>
        <v/>
      </c>
      <c r="M365" s="76" t="str">
        <f aca="false">IFERROR(INDEX($J$13:$J$412,MATCH(A365,$L$13:$L$412,0)),"")</f>
        <v/>
      </c>
      <c r="N365" s="76" t="str">
        <f aca="false">IFERROR(INDEX($K$13:$K$412,MATCH(A365,$L$13:$L$412,0)),"")</f>
        <v/>
      </c>
      <c r="O365" s="76" t="e">
        <f aca="false">IF(I365=1,E365,NA())</f>
        <v>#N/A</v>
      </c>
      <c r="P365" s="76" t="e">
        <f aca="false">IF(I365=1,F365,NA())</f>
        <v>#N/A</v>
      </c>
      <c r="R365" s="75" t="n">
        <f aca="false">ROWS(R$13:R365)</f>
        <v>353</v>
      </c>
      <c r="S365" s="73" t="str">
        <f aca="false">IF(S364="","",IFERROR(SMALL($AD$10:$AD$509,COUNTIF($AD$10:$AD$509,"&lt;="&amp;S364)+1),""))</f>
        <v/>
      </c>
      <c r="T365" s="74" t="str">
        <f aca="false">IF(S365="","",INDEX($AE$10:$AE$509,MATCH(S365,$AD$10:$AD$509,0)))</f>
        <v/>
      </c>
      <c r="U365" s="74" t="str">
        <f aca="false">IF(S365="","",IFERROR(INDEX($AG$10:$AG$509,MATCH(S365,$AF$10:$AF$509,0)),""))</f>
        <v/>
      </c>
      <c r="V365" s="76" t="str">
        <f aca="false">IF(AND(ISNUMBER(T365),ISNUMBER(T364)),T365/T364-1,"")</f>
        <v/>
      </c>
      <c r="W365" s="76" t="str">
        <f aca="false">IF(AND(ISNUMBER(U365),ISNUMBER(U364)),U365/U364-1,"")</f>
        <v/>
      </c>
      <c r="X365" s="75" t="str">
        <f aca="false">IF(AND(ISNUMBER(V365),ISNUMBER(W365)),1,"")</f>
        <v/>
      </c>
      <c r="Y365" s="76" t="str">
        <f aca="false">IF(X365=1,V365,"")</f>
        <v/>
      </c>
      <c r="Z365" s="76" t="str">
        <f aca="false">IF(X365=1,W365,"")</f>
        <v/>
      </c>
      <c r="AA365" s="76" t="e">
        <f aca="false">IF(X365=1,V365,NA())</f>
        <v>#N/A</v>
      </c>
      <c r="AB365" s="76" t="e">
        <f aca="false">IF(X365=1,W365,NA())</f>
        <v>#N/A</v>
      </c>
      <c r="AD365" s="73" t="str">
        <f aca="false">IF(ISNUMBER(AE365),IF(ISNUMBER('Base de Datos'!A361),IF('Base de Datos'!A361&gt;20000,DATE(YEAR('Base de Datos'!A361),DAY('Base de Datos'!A361),MONTH('Base de Datos'!A361)),""),IF(TRIM('Base de Datos'!A361)="","",IFERROR(DATE(VALUE(RIGHT(TRIM('Base de Datos'!A361),4)),VALUE(LEFT(TRIM('Base de Datos'!A361),2)),VALUE(MID(TRIM('Base de Datos'!A361),4,2))),""))),"")</f>
        <v/>
      </c>
      <c r="AE365" s="74" t="str">
        <f aca="false">IF(ISNUMBER('Base de Datos'!B361),'Base de Datos'!B361,IF(TRIM('Base de Datos'!B361)="","",IFERROR(IF(IFERROR(FIND("@",SUBSTITUTE(TRIM('Base de Datos'!B361),",","@",LEN(TRIM('Base de Datos'!B361))-LEN(SUBSTITUTE(TRIM('Base de Datos'!B361),",","")))),0)&gt;IFERROR(FIND("@",SUBSTITUTE(TRIM('Base de Datos'!B361),".","@",LEN(TRIM('Base de Datos'!B361))-LEN(SUBSTITUTE(TRIM('Base de Datos'!B361),".","")))),0),_xlfn.NUMBERVALUE(SUBSTITUTE(SUBSTITUTE(TRIM('Base de Datos'!B361),".",""),",","."),".",","),_xlfn.NUMBERVALUE(SUBSTITUTE(TRIM('Base de Datos'!B361),",",""),".",",")),"")))</f>
        <v/>
      </c>
      <c r="AF365" s="73" t="str">
        <f aca="false">IF(ISNUMBER(AG365),IF(ISNUMBER('Base de Datos'!I361),IF('Base de Datos'!I361&gt;20000,INT('Base de Datos'!I361),""),IF(TRIM('Base de Datos'!I361)="","",IFERROR(DATE(VALUE(RIGHT(TRIM('Base de Datos'!I361),4)),VALUE(MID(TRIM('Base de Datos'!I361),4,2)),VALUE(LEFT(TRIM('Base de Datos'!I361),2))),IFERROR(DATEVALUE(TRIM('Base de Datos'!I361)),"")))),"")</f>
        <v/>
      </c>
      <c r="AG365" s="74" t="str">
        <f aca="false">IF(ISNUMBER('Base de Datos'!J361),'Base de Datos'!J361,IF(TRIM('Base de Datos'!J361)="","",IFERROR(IF(IFERROR(FIND("@",SUBSTITUTE(TRIM('Base de Datos'!J361),",","@",LEN(TRIM('Base de Datos'!J361))-LEN(SUBSTITUTE(TRIM('Base de Datos'!J361),",","")))),0)&gt;IFERROR(FIND("@",SUBSTITUTE(TRIM('Base de Datos'!J361),".","@",LEN(TRIM('Base de Datos'!J361))-LEN(SUBSTITUTE(TRIM('Base de Datos'!J361),".","")))),0),_xlfn.NUMBERVALUE(SUBSTITUTE(SUBSTITUTE(TRIM('Base de Datos'!J361),".",""),",","."),".",","),_xlfn.NUMBERVALUE(SUBSTITUTE(TRIM('Base de Datos'!J361),",",""),".",",")),"")))</f>
        <v/>
      </c>
      <c r="AH365" s="73" t="str">
        <f aca="false">IF(ISNUMBER(AI365),IF(ISNUMBER('Base de Datos'!Q361),IF('Base de Datos'!Q361&gt;20000,DATE(YEAR('Base de Datos'!Q361),DAY('Base de Datos'!Q361),MONTH('Base de Datos'!Q361)),""),IF(TRIM('Base de Datos'!Q361)="","",IFERROR(DATE(VALUE(RIGHT(TRIM('Base de Datos'!Q361),4)),VALUE(LEFT(TRIM('Base de Datos'!Q361),2)),VALUE(MID(TRIM('Base de Datos'!Q361),4,2))),""))),"")</f>
        <v/>
      </c>
      <c r="AI365" s="74" t="str">
        <f aca="false">IF(ISNUMBER('Base de Datos'!R361),'Base de Datos'!R361,IF(TRIM('Base de Datos'!R361)="","",IFERROR(IF(IFERROR(FIND("@",SUBSTITUTE(TRIM('Base de Datos'!R361),",","@",LEN(TRIM('Base de Datos'!R361))-LEN(SUBSTITUTE(TRIM('Base de Datos'!R361),",","")))),0)&gt;IFERROR(FIND("@",SUBSTITUTE(TRIM('Base de Datos'!R361),".","@",LEN(TRIM('Base de Datos'!R361))-LEN(SUBSTITUTE(TRIM('Base de Datos'!R361),".","")))),0),_xlfn.NUMBERVALUE(SUBSTITUTE(SUBSTITUTE(TRIM('Base de Datos'!R361),".",""),",","."),".",","),_xlfn.NUMBERVALUE(SUBSTITUTE(TRIM('Base de Datos'!R361),",",""),".",",")),"")))</f>
        <v/>
      </c>
      <c r="AJ365" s="73" t="str">
        <f aca="false">IF(ISNUMBER(AK365),IF(ISNUMBER('Base de Datos'!Y361),IF('Base de Datos'!Y361&gt;20000,INT('Base de Datos'!Y361),""),IF(TRIM('Base de Datos'!Y361)="","",IFERROR(DATE(VALUE(RIGHT(TRIM('Base de Datos'!Y361),4)),VALUE(MID(TRIM('Base de Datos'!Y361),4,2)),VALUE(LEFT(TRIM('Base de Datos'!Y361),2))),IFERROR(DATEVALUE(TRIM('Base de Datos'!Y361)),"")))),"")</f>
        <v/>
      </c>
      <c r="AK365" s="74" t="str">
        <f aca="false">IF(ISNUMBER('Base de Datos'!Z361),'Base de Datos'!Z361,IF(TRIM('Base de Datos'!Z361)="","",IFERROR(IF(IFERROR(FIND("@",SUBSTITUTE(TRIM('Base de Datos'!Z361),",","@",LEN(TRIM('Base de Datos'!Z361))-LEN(SUBSTITUTE(TRIM('Base de Datos'!Z361),",","")))),0)&gt;IFERROR(FIND("@",SUBSTITUTE(TRIM('Base de Datos'!Z361),".","@",LEN(TRIM('Base de Datos'!Z361))-LEN(SUBSTITUTE(TRIM('Base de Datos'!Z361),".","")))),0),_xlfn.NUMBERVALUE(SUBSTITUTE(SUBSTITUTE(TRIM('Base de Datos'!Z361),".",""),",","."),".",","),_xlfn.NUMBERVALUE(SUBSTITUTE(TRIM('Base de Datos'!Z361),",",""),".",",")),"")))</f>
        <v/>
      </c>
    </row>
    <row r="366" customFormat="false" ht="13.5" hidden="false" customHeight="false" outlineLevel="0" collapsed="false">
      <c r="A366" s="75" t="n">
        <f aca="false">ROWS(A$13:A366)</f>
        <v>354</v>
      </c>
      <c r="B366" s="73" t="str">
        <f aca="false">IF(B365="","",IFERROR(SMALL($AH$10:$AH$409,COUNTIF($AH$10:$AH$409,"&lt;="&amp;B365)+1),""))</f>
        <v/>
      </c>
      <c r="C366" s="74" t="str">
        <f aca="false">IF(B366="","",INDEX($AI$10:$AI$409,MATCH(B366,$AH$10:$AH$409,0)))</f>
        <v/>
      </c>
      <c r="D366" s="74" t="str">
        <f aca="false">IF(B366="","",IFERROR(INDEX($AK$10:$AK$409,MATCH(B366,$AJ$10:$AJ$409,0)),""))</f>
        <v/>
      </c>
      <c r="E366" s="76" t="str">
        <f aca="false">IF(AND(ISNUMBER(C366),ISNUMBER(C365)),C366/C365-1,"")</f>
        <v/>
      </c>
      <c r="F366" s="76" t="str">
        <f aca="false">IF(AND(ISNUMBER(D366),ISNUMBER(D365)),D366/D365-1,"")</f>
        <v/>
      </c>
      <c r="G366" s="75" t="str">
        <f aca="false">IF(AND(ISNUMBER(E366),ISNUMBER(F366)),1,"")</f>
        <v/>
      </c>
      <c r="H366" s="75" t="str">
        <f aca="false">IF(G366=1,COUNT(G366:G$412),"")</f>
        <v/>
      </c>
      <c r="I366" s="75" t="str">
        <f aca="false">IF(G366=1,IF(H366&lt;='Beta Regresión'!$B$5,1,""),"")</f>
        <v/>
      </c>
      <c r="J366" s="76" t="str">
        <f aca="false">IF(I366=1,E366,"")</f>
        <v/>
      </c>
      <c r="K366" s="76" t="str">
        <f aca="false">IF(I366=1,F366,"")</f>
        <v/>
      </c>
      <c r="L366" s="75" t="str">
        <f aca="false">IF(I366=1,COUNT(I$13:I366),"")</f>
        <v/>
      </c>
      <c r="M366" s="76" t="str">
        <f aca="false">IFERROR(INDEX($J$13:$J$412,MATCH(A366,$L$13:$L$412,0)),"")</f>
        <v/>
      </c>
      <c r="N366" s="76" t="str">
        <f aca="false">IFERROR(INDEX($K$13:$K$412,MATCH(A366,$L$13:$L$412,0)),"")</f>
        <v/>
      </c>
      <c r="O366" s="76" t="e">
        <f aca="false">IF(I366=1,E366,NA())</f>
        <v>#N/A</v>
      </c>
      <c r="P366" s="76" t="e">
        <f aca="false">IF(I366=1,F366,NA())</f>
        <v>#N/A</v>
      </c>
      <c r="R366" s="75" t="n">
        <f aca="false">ROWS(R$13:R366)</f>
        <v>354</v>
      </c>
      <c r="S366" s="73" t="str">
        <f aca="false">IF(S365="","",IFERROR(SMALL($AD$10:$AD$509,COUNTIF($AD$10:$AD$509,"&lt;="&amp;S365)+1),""))</f>
        <v/>
      </c>
      <c r="T366" s="74" t="str">
        <f aca="false">IF(S366="","",INDEX($AE$10:$AE$509,MATCH(S366,$AD$10:$AD$509,0)))</f>
        <v/>
      </c>
      <c r="U366" s="74" t="str">
        <f aca="false">IF(S366="","",IFERROR(INDEX($AG$10:$AG$509,MATCH(S366,$AF$10:$AF$509,0)),""))</f>
        <v/>
      </c>
      <c r="V366" s="76" t="str">
        <f aca="false">IF(AND(ISNUMBER(T366),ISNUMBER(T365)),T366/T365-1,"")</f>
        <v/>
      </c>
      <c r="W366" s="76" t="str">
        <f aca="false">IF(AND(ISNUMBER(U366),ISNUMBER(U365)),U366/U365-1,"")</f>
        <v/>
      </c>
      <c r="X366" s="75" t="str">
        <f aca="false">IF(AND(ISNUMBER(V366),ISNUMBER(W366)),1,"")</f>
        <v/>
      </c>
      <c r="Y366" s="76" t="str">
        <f aca="false">IF(X366=1,V366,"")</f>
        <v/>
      </c>
      <c r="Z366" s="76" t="str">
        <f aca="false">IF(X366=1,W366,"")</f>
        <v/>
      </c>
      <c r="AA366" s="76" t="e">
        <f aca="false">IF(X366=1,V366,NA())</f>
        <v>#N/A</v>
      </c>
      <c r="AB366" s="76" t="e">
        <f aca="false">IF(X366=1,W366,NA())</f>
        <v>#N/A</v>
      </c>
      <c r="AD366" s="73" t="str">
        <f aca="false">IF(ISNUMBER(AE366),IF(ISNUMBER('Base de Datos'!A362),IF('Base de Datos'!A362&gt;20000,DATE(YEAR('Base de Datos'!A362),DAY('Base de Datos'!A362),MONTH('Base de Datos'!A362)),""),IF(TRIM('Base de Datos'!A362)="","",IFERROR(DATE(VALUE(RIGHT(TRIM('Base de Datos'!A362),4)),VALUE(LEFT(TRIM('Base de Datos'!A362),2)),VALUE(MID(TRIM('Base de Datos'!A362),4,2))),""))),"")</f>
        <v/>
      </c>
      <c r="AE366" s="74" t="str">
        <f aca="false">IF(ISNUMBER('Base de Datos'!B362),'Base de Datos'!B362,IF(TRIM('Base de Datos'!B362)="","",IFERROR(IF(IFERROR(FIND("@",SUBSTITUTE(TRIM('Base de Datos'!B362),",","@",LEN(TRIM('Base de Datos'!B362))-LEN(SUBSTITUTE(TRIM('Base de Datos'!B362),",","")))),0)&gt;IFERROR(FIND("@",SUBSTITUTE(TRIM('Base de Datos'!B362),".","@",LEN(TRIM('Base de Datos'!B362))-LEN(SUBSTITUTE(TRIM('Base de Datos'!B362),".","")))),0),_xlfn.NUMBERVALUE(SUBSTITUTE(SUBSTITUTE(TRIM('Base de Datos'!B362),".",""),",","."),".",","),_xlfn.NUMBERVALUE(SUBSTITUTE(TRIM('Base de Datos'!B362),",",""),".",",")),"")))</f>
        <v/>
      </c>
      <c r="AF366" s="73" t="str">
        <f aca="false">IF(ISNUMBER(AG366),IF(ISNUMBER('Base de Datos'!I362),IF('Base de Datos'!I362&gt;20000,INT('Base de Datos'!I362),""),IF(TRIM('Base de Datos'!I362)="","",IFERROR(DATE(VALUE(RIGHT(TRIM('Base de Datos'!I362),4)),VALUE(MID(TRIM('Base de Datos'!I362),4,2)),VALUE(LEFT(TRIM('Base de Datos'!I362),2))),IFERROR(DATEVALUE(TRIM('Base de Datos'!I362)),"")))),"")</f>
        <v/>
      </c>
      <c r="AG366" s="74" t="str">
        <f aca="false">IF(ISNUMBER('Base de Datos'!J362),'Base de Datos'!J362,IF(TRIM('Base de Datos'!J362)="","",IFERROR(IF(IFERROR(FIND("@",SUBSTITUTE(TRIM('Base de Datos'!J362),",","@",LEN(TRIM('Base de Datos'!J362))-LEN(SUBSTITUTE(TRIM('Base de Datos'!J362),",","")))),0)&gt;IFERROR(FIND("@",SUBSTITUTE(TRIM('Base de Datos'!J362),".","@",LEN(TRIM('Base de Datos'!J362))-LEN(SUBSTITUTE(TRIM('Base de Datos'!J362),".","")))),0),_xlfn.NUMBERVALUE(SUBSTITUTE(SUBSTITUTE(TRIM('Base de Datos'!J362),".",""),",","."),".",","),_xlfn.NUMBERVALUE(SUBSTITUTE(TRIM('Base de Datos'!J362),",",""),".",",")),"")))</f>
        <v/>
      </c>
      <c r="AH366" s="73" t="str">
        <f aca="false">IF(ISNUMBER(AI366),IF(ISNUMBER('Base de Datos'!Q362),IF('Base de Datos'!Q362&gt;20000,DATE(YEAR('Base de Datos'!Q362),DAY('Base de Datos'!Q362),MONTH('Base de Datos'!Q362)),""),IF(TRIM('Base de Datos'!Q362)="","",IFERROR(DATE(VALUE(RIGHT(TRIM('Base de Datos'!Q362),4)),VALUE(LEFT(TRIM('Base de Datos'!Q362),2)),VALUE(MID(TRIM('Base de Datos'!Q362),4,2))),""))),"")</f>
        <v/>
      </c>
      <c r="AI366" s="74" t="str">
        <f aca="false">IF(ISNUMBER('Base de Datos'!R362),'Base de Datos'!R362,IF(TRIM('Base de Datos'!R362)="","",IFERROR(IF(IFERROR(FIND("@",SUBSTITUTE(TRIM('Base de Datos'!R362),",","@",LEN(TRIM('Base de Datos'!R362))-LEN(SUBSTITUTE(TRIM('Base de Datos'!R362),",","")))),0)&gt;IFERROR(FIND("@",SUBSTITUTE(TRIM('Base de Datos'!R362),".","@",LEN(TRIM('Base de Datos'!R362))-LEN(SUBSTITUTE(TRIM('Base de Datos'!R362),".","")))),0),_xlfn.NUMBERVALUE(SUBSTITUTE(SUBSTITUTE(TRIM('Base de Datos'!R362),".",""),",","."),".",","),_xlfn.NUMBERVALUE(SUBSTITUTE(TRIM('Base de Datos'!R362),",",""),".",",")),"")))</f>
        <v/>
      </c>
      <c r="AJ366" s="73" t="str">
        <f aca="false">IF(ISNUMBER(AK366),IF(ISNUMBER('Base de Datos'!Y362),IF('Base de Datos'!Y362&gt;20000,INT('Base de Datos'!Y362),""),IF(TRIM('Base de Datos'!Y362)="","",IFERROR(DATE(VALUE(RIGHT(TRIM('Base de Datos'!Y362),4)),VALUE(MID(TRIM('Base de Datos'!Y362),4,2)),VALUE(LEFT(TRIM('Base de Datos'!Y362),2))),IFERROR(DATEVALUE(TRIM('Base de Datos'!Y362)),"")))),"")</f>
        <v/>
      </c>
      <c r="AK366" s="74" t="str">
        <f aca="false">IF(ISNUMBER('Base de Datos'!Z362),'Base de Datos'!Z362,IF(TRIM('Base de Datos'!Z362)="","",IFERROR(IF(IFERROR(FIND("@",SUBSTITUTE(TRIM('Base de Datos'!Z362),",","@",LEN(TRIM('Base de Datos'!Z362))-LEN(SUBSTITUTE(TRIM('Base de Datos'!Z362),",","")))),0)&gt;IFERROR(FIND("@",SUBSTITUTE(TRIM('Base de Datos'!Z362),".","@",LEN(TRIM('Base de Datos'!Z362))-LEN(SUBSTITUTE(TRIM('Base de Datos'!Z362),".","")))),0),_xlfn.NUMBERVALUE(SUBSTITUTE(SUBSTITUTE(TRIM('Base de Datos'!Z362),".",""),",","."),".",","),_xlfn.NUMBERVALUE(SUBSTITUTE(TRIM('Base de Datos'!Z362),",",""),".",",")),"")))</f>
        <v/>
      </c>
    </row>
    <row r="367" customFormat="false" ht="13.5" hidden="false" customHeight="false" outlineLevel="0" collapsed="false">
      <c r="A367" s="75" t="n">
        <f aca="false">ROWS(A$13:A367)</f>
        <v>355</v>
      </c>
      <c r="B367" s="73" t="str">
        <f aca="false">IF(B366="","",IFERROR(SMALL($AH$10:$AH$409,COUNTIF($AH$10:$AH$409,"&lt;="&amp;B366)+1),""))</f>
        <v/>
      </c>
      <c r="C367" s="74" t="str">
        <f aca="false">IF(B367="","",INDEX($AI$10:$AI$409,MATCH(B367,$AH$10:$AH$409,0)))</f>
        <v/>
      </c>
      <c r="D367" s="74" t="str">
        <f aca="false">IF(B367="","",IFERROR(INDEX($AK$10:$AK$409,MATCH(B367,$AJ$10:$AJ$409,0)),""))</f>
        <v/>
      </c>
      <c r="E367" s="76" t="str">
        <f aca="false">IF(AND(ISNUMBER(C367),ISNUMBER(C366)),C367/C366-1,"")</f>
        <v/>
      </c>
      <c r="F367" s="76" t="str">
        <f aca="false">IF(AND(ISNUMBER(D367),ISNUMBER(D366)),D367/D366-1,"")</f>
        <v/>
      </c>
      <c r="G367" s="75" t="str">
        <f aca="false">IF(AND(ISNUMBER(E367),ISNUMBER(F367)),1,"")</f>
        <v/>
      </c>
      <c r="H367" s="75" t="str">
        <f aca="false">IF(G367=1,COUNT(G367:G$412),"")</f>
        <v/>
      </c>
      <c r="I367" s="75" t="str">
        <f aca="false">IF(G367=1,IF(H367&lt;='Beta Regresión'!$B$5,1,""),"")</f>
        <v/>
      </c>
      <c r="J367" s="76" t="str">
        <f aca="false">IF(I367=1,E367,"")</f>
        <v/>
      </c>
      <c r="K367" s="76" t="str">
        <f aca="false">IF(I367=1,F367,"")</f>
        <v/>
      </c>
      <c r="L367" s="75" t="str">
        <f aca="false">IF(I367=1,COUNT(I$13:I367),"")</f>
        <v/>
      </c>
      <c r="M367" s="76" t="str">
        <f aca="false">IFERROR(INDEX($J$13:$J$412,MATCH(A367,$L$13:$L$412,0)),"")</f>
        <v/>
      </c>
      <c r="N367" s="76" t="str">
        <f aca="false">IFERROR(INDEX($K$13:$K$412,MATCH(A367,$L$13:$L$412,0)),"")</f>
        <v/>
      </c>
      <c r="O367" s="76" t="e">
        <f aca="false">IF(I367=1,E367,NA())</f>
        <v>#N/A</v>
      </c>
      <c r="P367" s="76" t="e">
        <f aca="false">IF(I367=1,F367,NA())</f>
        <v>#N/A</v>
      </c>
      <c r="R367" s="75" t="n">
        <f aca="false">ROWS(R$13:R367)</f>
        <v>355</v>
      </c>
      <c r="S367" s="73" t="str">
        <f aca="false">IF(S366="","",IFERROR(SMALL($AD$10:$AD$509,COUNTIF($AD$10:$AD$509,"&lt;="&amp;S366)+1),""))</f>
        <v/>
      </c>
      <c r="T367" s="74" t="str">
        <f aca="false">IF(S367="","",INDEX($AE$10:$AE$509,MATCH(S367,$AD$10:$AD$509,0)))</f>
        <v/>
      </c>
      <c r="U367" s="74" t="str">
        <f aca="false">IF(S367="","",IFERROR(INDEX($AG$10:$AG$509,MATCH(S367,$AF$10:$AF$509,0)),""))</f>
        <v/>
      </c>
      <c r="V367" s="76" t="str">
        <f aca="false">IF(AND(ISNUMBER(T367),ISNUMBER(T366)),T367/T366-1,"")</f>
        <v/>
      </c>
      <c r="W367" s="76" t="str">
        <f aca="false">IF(AND(ISNUMBER(U367),ISNUMBER(U366)),U367/U366-1,"")</f>
        <v/>
      </c>
      <c r="X367" s="75" t="str">
        <f aca="false">IF(AND(ISNUMBER(V367),ISNUMBER(W367)),1,"")</f>
        <v/>
      </c>
      <c r="Y367" s="76" t="str">
        <f aca="false">IF(X367=1,V367,"")</f>
        <v/>
      </c>
      <c r="Z367" s="76" t="str">
        <f aca="false">IF(X367=1,W367,"")</f>
        <v/>
      </c>
      <c r="AA367" s="76" t="e">
        <f aca="false">IF(X367=1,V367,NA())</f>
        <v>#N/A</v>
      </c>
      <c r="AB367" s="76" t="e">
        <f aca="false">IF(X367=1,W367,NA())</f>
        <v>#N/A</v>
      </c>
      <c r="AD367" s="73" t="str">
        <f aca="false">IF(ISNUMBER(AE367),IF(ISNUMBER('Base de Datos'!A363),IF('Base de Datos'!A363&gt;20000,DATE(YEAR('Base de Datos'!A363),DAY('Base de Datos'!A363),MONTH('Base de Datos'!A363)),""),IF(TRIM('Base de Datos'!A363)="","",IFERROR(DATE(VALUE(RIGHT(TRIM('Base de Datos'!A363),4)),VALUE(LEFT(TRIM('Base de Datos'!A363),2)),VALUE(MID(TRIM('Base de Datos'!A363),4,2))),""))),"")</f>
        <v/>
      </c>
      <c r="AE367" s="74" t="str">
        <f aca="false">IF(ISNUMBER('Base de Datos'!B363),'Base de Datos'!B363,IF(TRIM('Base de Datos'!B363)="","",IFERROR(IF(IFERROR(FIND("@",SUBSTITUTE(TRIM('Base de Datos'!B363),",","@",LEN(TRIM('Base de Datos'!B363))-LEN(SUBSTITUTE(TRIM('Base de Datos'!B363),",","")))),0)&gt;IFERROR(FIND("@",SUBSTITUTE(TRIM('Base de Datos'!B363),".","@",LEN(TRIM('Base de Datos'!B363))-LEN(SUBSTITUTE(TRIM('Base de Datos'!B363),".","")))),0),_xlfn.NUMBERVALUE(SUBSTITUTE(SUBSTITUTE(TRIM('Base de Datos'!B363),".",""),",","."),".",","),_xlfn.NUMBERVALUE(SUBSTITUTE(TRIM('Base de Datos'!B363),",",""),".",",")),"")))</f>
        <v/>
      </c>
      <c r="AF367" s="73" t="str">
        <f aca="false">IF(ISNUMBER(AG367),IF(ISNUMBER('Base de Datos'!I363),IF('Base de Datos'!I363&gt;20000,INT('Base de Datos'!I363),""),IF(TRIM('Base de Datos'!I363)="","",IFERROR(DATE(VALUE(RIGHT(TRIM('Base de Datos'!I363),4)),VALUE(MID(TRIM('Base de Datos'!I363),4,2)),VALUE(LEFT(TRIM('Base de Datos'!I363),2))),IFERROR(DATEVALUE(TRIM('Base de Datos'!I363)),"")))),"")</f>
        <v/>
      </c>
      <c r="AG367" s="74" t="str">
        <f aca="false">IF(ISNUMBER('Base de Datos'!J363),'Base de Datos'!J363,IF(TRIM('Base de Datos'!J363)="","",IFERROR(IF(IFERROR(FIND("@",SUBSTITUTE(TRIM('Base de Datos'!J363),",","@",LEN(TRIM('Base de Datos'!J363))-LEN(SUBSTITUTE(TRIM('Base de Datos'!J363),",","")))),0)&gt;IFERROR(FIND("@",SUBSTITUTE(TRIM('Base de Datos'!J363),".","@",LEN(TRIM('Base de Datos'!J363))-LEN(SUBSTITUTE(TRIM('Base de Datos'!J363),".","")))),0),_xlfn.NUMBERVALUE(SUBSTITUTE(SUBSTITUTE(TRIM('Base de Datos'!J363),".",""),",","."),".",","),_xlfn.NUMBERVALUE(SUBSTITUTE(TRIM('Base de Datos'!J363),",",""),".",",")),"")))</f>
        <v/>
      </c>
      <c r="AH367" s="73" t="str">
        <f aca="false">IF(ISNUMBER(AI367),IF(ISNUMBER('Base de Datos'!Q363),IF('Base de Datos'!Q363&gt;20000,DATE(YEAR('Base de Datos'!Q363),DAY('Base de Datos'!Q363),MONTH('Base de Datos'!Q363)),""),IF(TRIM('Base de Datos'!Q363)="","",IFERROR(DATE(VALUE(RIGHT(TRIM('Base de Datos'!Q363),4)),VALUE(LEFT(TRIM('Base de Datos'!Q363),2)),VALUE(MID(TRIM('Base de Datos'!Q363),4,2))),""))),"")</f>
        <v/>
      </c>
      <c r="AI367" s="74" t="str">
        <f aca="false">IF(ISNUMBER('Base de Datos'!R363),'Base de Datos'!R363,IF(TRIM('Base de Datos'!R363)="","",IFERROR(IF(IFERROR(FIND("@",SUBSTITUTE(TRIM('Base de Datos'!R363),",","@",LEN(TRIM('Base de Datos'!R363))-LEN(SUBSTITUTE(TRIM('Base de Datos'!R363),",","")))),0)&gt;IFERROR(FIND("@",SUBSTITUTE(TRIM('Base de Datos'!R363),".","@",LEN(TRIM('Base de Datos'!R363))-LEN(SUBSTITUTE(TRIM('Base de Datos'!R363),".","")))),0),_xlfn.NUMBERVALUE(SUBSTITUTE(SUBSTITUTE(TRIM('Base de Datos'!R363),".",""),",","."),".",","),_xlfn.NUMBERVALUE(SUBSTITUTE(TRIM('Base de Datos'!R363),",",""),".",",")),"")))</f>
        <v/>
      </c>
      <c r="AJ367" s="73" t="str">
        <f aca="false">IF(ISNUMBER(AK367),IF(ISNUMBER('Base de Datos'!Y363),IF('Base de Datos'!Y363&gt;20000,INT('Base de Datos'!Y363),""),IF(TRIM('Base de Datos'!Y363)="","",IFERROR(DATE(VALUE(RIGHT(TRIM('Base de Datos'!Y363),4)),VALUE(MID(TRIM('Base de Datos'!Y363),4,2)),VALUE(LEFT(TRIM('Base de Datos'!Y363),2))),IFERROR(DATEVALUE(TRIM('Base de Datos'!Y363)),"")))),"")</f>
        <v/>
      </c>
      <c r="AK367" s="74" t="str">
        <f aca="false">IF(ISNUMBER('Base de Datos'!Z363),'Base de Datos'!Z363,IF(TRIM('Base de Datos'!Z363)="","",IFERROR(IF(IFERROR(FIND("@",SUBSTITUTE(TRIM('Base de Datos'!Z363),",","@",LEN(TRIM('Base de Datos'!Z363))-LEN(SUBSTITUTE(TRIM('Base de Datos'!Z363),",","")))),0)&gt;IFERROR(FIND("@",SUBSTITUTE(TRIM('Base de Datos'!Z363),".","@",LEN(TRIM('Base de Datos'!Z363))-LEN(SUBSTITUTE(TRIM('Base de Datos'!Z363),".","")))),0),_xlfn.NUMBERVALUE(SUBSTITUTE(SUBSTITUTE(TRIM('Base de Datos'!Z363),".",""),",","."),".",","),_xlfn.NUMBERVALUE(SUBSTITUTE(TRIM('Base de Datos'!Z363),",",""),".",",")),"")))</f>
        <v/>
      </c>
    </row>
    <row r="368" customFormat="false" ht="13.5" hidden="false" customHeight="false" outlineLevel="0" collapsed="false">
      <c r="A368" s="75" t="n">
        <f aca="false">ROWS(A$13:A368)</f>
        <v>356</v>
      </c>
      <c r="B368" s="73" t="str">
        <f aca="false">IF(B367="","",IFERROR(SMALL($AH$10:$AH$409,COUNTIF($AH$10:$AH$409,"&lt;="&amp;B367)+1),""))</f>
        <v/>
      </c>
      <c r="C368" s="74" t="str">
        <f aca="false">IF(B368="","",INDEX($AI$10:$AI$409,MATCH(B368,$AH$10:$AH$409,0)))</f>
        <v/>
      </c>
      <c r="D368" s="74" t="str">
        <f aca="false">IF(B368="","",IFERROR(INDEX($AK$10:$AK$409,MATCH(B368,$AJ$10:$AJ$409,0)),""))</f>
        <v/>
      </c>
      <c r="E368" s="76" t="str">
        <f aca="false">IF(AND(ISNUMBER(C368),ISNUMBER(C367)),C368/C367-1,"")</f>
        <v/>
      </c>
      <c r="F368" s="76" t="str">
        <f aca="false">IF(AND(ISNUMBER(D368),ISNUMBER(D367)),D368/D367-1,"")</f>
        <v/>
      </c>
      <c r="G368" s="75" t="str">
        <f aca="false">IF(AND(ISNUMBER(E368),ISNUMBER(F368)),1,"")</f>
        <v/>
      </c>
      <c r="H368" s="75" t="str">
        <f aca="false">IF(G368=1,COUNT(G368:G$412),"")</f>
        <v/>
      </c>
      <c r="I368" s="75" t="str">
        <f aca="false">IF(G368=1,IF(H368&lt;='Beta Regresión'!$B$5,1,""),"")</f>
        <v/>
      </c>
      <c r="J368" s="76" t="str">
        <f aca="false">IF(I368=1,E368,"")</f>
        <v/>
      </c>
      <c r="K368" s="76" t="str">
        <f aca="false">IF(I368=1,F368,"")</f>
        <v/>
      </c>
      <c r="L368" s="75" t="str">
        <f aca="false">IF(I368=1,COUNT(I$13:I368),"")</f>
        <v/>
      </c>
      <c r="M368" s="76" t="str">
        <f aca="false">IFERROR(INDEX($J$13:$J$412,MATCH(A368,$L$13:$L$412,0)),"")</f>
        <v/>
      </c>
      <c r="N368" s="76" t="str">
        <f aca="false">IFERROR(INDEX($K$13:$K$412,MATCH(A368,$L$13:$L$412,0)),"")</f>
        <v/>
      </c>
      <c r="O368" s="76" t="e">
        <f aca="false">IF(I368=1,E368,NA())</f>
        <v>#N/A</v>
      </c>
      <c r="P368" s="76" t="e">
        <f aca="false">IF(I368=1,F368,NA())</f>
        <v>#N/A</v>
      </c>
      <c r="R368" s="75" t="n">
        <f aca="false">ROWS(R$13:R368)</f>
        <v>356</v>
      </c>
      <c r="S368" s="73" t="str">
        <f aca="false">IF(S367="","",IFERROR(SMALL($AD$10:$AD$509,COUNTIF($AD$10:$AD$509,"&lt;="&amp;S367)+1),""))</f>
        <v/>
      </c>
      <c r="T368" s="74" t="str">
        <f aca="false">IF(S368="","",INDEX($AE$10:$AE$509,MATCH(S368,$AD$10:$AD$509,0)))</f>
        <v/>
      </c>
      <c r="U368" s="74" t="str">
        <f aca="false">IF(S368="","",IFERROR(INDEX($AG$10:$AG$509,MATCH(S368,$AF$10:$AF$509,0)),""))</f>
        <v/>
      </c>
      <c r="V368" s="76" t="str">
        <f aca="false">IF(AND(ISNUMBER(T368),ISNUMBER(T367)),T368/T367-1,"")</f>
        <v/>
      </c>
      <c r="W368" s="76" t="str">
        <f aca="false">IF(AND(ISNUMBER(U368),ISNUMBER(U367)),U368/U367-1,"")</f>
        <v/>
      </c>
      <c r="X368" s="75" t="str">
        <f aca="false">IF(AND(ISNUMBER(V368),ISNUMBER(W368)),1,"")</f>
        <v/>
      </c>
      <c r="Y368" s="76" t="str">
        <f aca="false">IF(X368=1,V368,"")</f>
        <v/>
      </c>
      <c r="Z368" s="76" t="str">
        <f aca="false">IF(X368=1,W368,"")</f>
        <v/>
      </c>
      <c r="AA368" s="76" t="e">
        <f aca="false">IF(X368=1,V368,NA())</f>
        <v>#N/A</v>
      </c>
      <c r="AB368" s="76" t="e">
        <f aca="false">IF(X368=1,W368,NA())</f>
        <v>#N/A</v>
      </c>
      <c r="AD368" s="73" t="str">
        <f aca="false">IF(ISNUMBER(AE368),IF(ISNUMBER('Base de Datos'!A364),IF('Base de Datos'!A364&gt;20000,DATE(YEAR('Base de Datos'!A364),DAY('Base de Datos'!A364),MONTH('Base de Datos'!A364)),""),IF(TRIM('Base de Datos'!A364)="","",IFERROR(DATE(VALUE(RIGHT(TRIM('Base de Datos'!A364),4)),VALUE(LEFT(TRIM('Base de Datos'!A364),2)),VALUE(MID(TRIM('Base de Datos'!A364),4,2))),""))),"")</f>
        <v/>
      </c>
      <c r="AE368" s="74" t="str">
        <f aca="false">IF(ISNUMBER('Base de Datos'!B364),'Base de Datos'!B364,IF(TRIM('Base de Datos'!B364)="","",IFERROR(IF(IFERROR(FIND("@",SUBSTITUTE(TRIM('Base de Datos'!B364),",","@",LEN(TRIM('Base de Datos'!B364))-LEN(SUBSTITUTE(TRIM('Base de Datos'!B364),",","")))),0)&gt;IFERROR(FIND("@",SUBSTITUTE(TRIM('Base de Datos'!B364),".","@",LEN(TRIM('Base de Datos'!B364))-LEN(SUBSTITUTE(TRIM('Base de Datos'!B364),".","")))),0),_xlfn.NUMBERVALUE(SUBSTITUTE(SUBSTITUTE(TRIM('Base de Datos'!B364),".",""),",","."),".",","),_xlfn.NUMBERVALUE(SUBSTITUTE(TRIM('Base de Datos'!B364),",",""),".",",")),"")))</f>
        <v/>
      </c>
      <c r="AF368" s="73" t="str">
        <f aca="false">IF(ISNUMBER(AG368),IF(ISNUMBER('Base de Datos'!I364),IF('Base de Datos'!I364&gt;20000,INT('Base de Datos'!I364),""),IF(TRIM('Base de Datos'!I364)="","",IFERROR(DATE(VALUE(RIGHT(TRIM('Base de Datos'!I364),4)),VALUE(MID(TRIM('Base de Datos'!I364),4,2)),VALUE(LEFT(TRIM('Base de Datos'!I364),2))),IFERROR(DATEVALUE(TRIM('Base de Datos'!I364)),"")))),"")</f>
        <v/>
      </c>
      <c r="AG368" s="74" t="str">
        <f aca="false">IF(ISNUMBER('Base de Datos'!J364),'Base de Datos'!J364,IF(TRIM('Base de Datos'!J364)="","",IFERROR(IF(IFERROR(FIND("@",SUBSTITUTE(TRIM('Base de Datos'!J364),",","@",LEN(TRIM('Base de Datos'!J364))-LEN(SUBSTITUTE(TRIM('Base de Datos'!J364),",","")))),0)&gt;IFERROR(FIND("@",SUBSTITUTE(TRIM('Base de Datos'!J364),".","@",LEN(TRIM('Base de Datos'!J364))-LEN(SUBSTITUTE(TRIM('Base de Datos'!J364),".","")))),0),_xlfn.NUMBERVALUE(SUBSTITUTE(SUBSTITUTE(TRIM('Base de Datos'!J364),".",""),",","."),".",","),_xlfn.NUMBERVALUE(SUBSTITUTE(TRIM('Base de Datos'!J364),",",""),".",",")),"")))</f>
        <v/>
      </c>
      <c r="AH368" s="73" t="str">
        <f aca="false">IF(ISNUMBER(AI368),IF(ISNUMBER('Base de Datos'!Q364),IF('Base de Datos'!Q364&gt;20000,DATE(YEAR('Base de Datos'!Q364),DAY('Base de Datos'!Q364),MONTH('Base de Datos'!Q364)),""),IF(TRIM('Base de Datos'!Q364)="","",IFERROR(DATE(VALUE(RIGHT(TRIM('Base de Datos'!Q364),4)),VALUE(LEFT(TRIM('Base de Datos'!Q364),2)),VALUE(MID(TRIM('Base de Datos'!Q364),4,2))),""))),"")</f>
        <v/>
      </c>
      <c r="AI368" s="74" t="str">
        <f aca="false">IF(ISNUMBER('Base de Datos'!R364),'Base de Datos'!R364,IF(TRIM('Base de Datos'!R364)="","",IFERROR(IF(IFERROR(FIND("@",SUBSTITUTE(TRIM('Base de Datos'!R364),",","@",LEN(TRIM('Base de Datos'!R364))-LEN(SUBSTITUTE(TRIM('Base de Datos'!R364),",","")))),0)&gt;IFERROR(FIND("@",SUBSTITUTE(TRIM('Base de Datos'!R364),".","@",LEN(TRIM('Base de Datos'!R364))-LEN(SUBSTITUTE(TRIM('Base de Datos'!R364),".","")))),0),_xlfn.NUMBERVALUE(SUBSTITUTE(SUBSTITUTE(TRIM('Base de Datos'!R364),".",""),",","."),".",","),_xlfn.NUMBERVALUE(SUBSTITUTE(TRIM('Base de Datos'!R364),",",""),".",",")),"")))</f>
        <v/>
      </c>
      <c r="AJ368" s="73" t="str">
        <f aca="false">IF(ISNUMBER(AK368),IF(ISNUMBER('Base de Datos'!Y364),IF('Base de Datos'!Y364&gt;20000,INT('Base de Datos'!Y364),""),IF(TRIM('Base de Datos'!Y364)="","",IFERROR(DATE(VALUE(RIGHT(TRIM('Base de Datos'!Y364),4)),VALUE(MID(TRIM('Base de Datos'!Y364),4,2)),VALUE(LEFT(TRIM('Base de Datos'!Y364),2))),IFERROR(DATEVALUE(TRIM('Base de Datos'!Y364)),"")))),"")</f>
        <v/>
      </c>
      <c r="AK368" s="74" t="str">
        <f aca="false">IF(ISNUMBER('Base de Datos'!Z364),'Base de Datos'!Z364,IF(TRIM('Base de Datos'!Z364)="","",IFERROR(IF(IFERROR(FIND("@",SUBSTITUTE(TRIM('Base de Datos'!Z364),",","@",LEN(TRIM('Base de Datos'!Z364))-LEN(SUBSTITUTE(TRIM('Base de Datos'!Z364),",","")))),0)&gt;IFERROR(FIND("@",SUBSTITUTE(TRIM('Base de Datos'!Z364),".","@",LEN(TRIM('Base de Datos'!Z364))-LEN(SUBSTITUTE(TRIM('Base de Datos'!Z364),".","")))),0),_xlfn.NUMBERVALUE(SUBSTITUTE(SUBSTITUTE(TRIM('Base de Datos'!Z364),".",""),",","."),".",","),_xlfn.NUMBERVALUE(SUBSTITUTE(TRIM('Base de Datos'!Z364),",",""),".",",")),"")))</f>
        <v/>
      </c>
    </row>
    <row r="369" customFormat="false" ht="13.5" hidden="false" customHeight="false" outlineLevel="0" collapsed="false">
      <c r="A369" s="75" t="n">
        <f aca="false">ROWS(A$13:A369)</f>
        <v>357</v>
      </c>
      <c r="B369" s="73" t="str">
        <f aca="false">IF(B368="","",IFERROR(SMALL($AH$10:$AH$409,COUNTIF($AH$10:$AH$409,"&lt;="&amp;B368)+1),""))</f>
        <v/>
      </c>
      <c r="C369" s="74" t="str">
        <f aca="false">IF(B369="","",INDEX($AI$10:$AI$409,MATCH(B369,$AH$10:$AH$409,0)))</f>
        <v/>
      </c>
      <c r="D369" s="74" t="str">
        <f aca="false">IF(B369="","",IFERROR(INDEX($AK$10:$AK$409,MATCH(B369,$AJ$10:$AJ$409,0)),""))</f>
        <v/>
      </c>
      <c r="E369" s="76" t="str">
        <f aca="false">IF(AND(ISNUMBER(C369),ISNUMBER(C368)),C369/C368-1,"")</f>
        <v/>
      </c>
      <c r="F369" s="76" t="str">
        <f aca="false">IF(AND(ISNUMBER(D369),ISNUMBER(D368)),D369/D368-1,"")</f>
        <v/>
      </c>
      <c r="G369" s="75" t="str">
        <f aca="false">IF(AND(ISNUMBER(E369),ISNUMBER(F369)),1,"")</f>
        <v/>
      </c>
      <c r="H369" s="75" t="str">
        <f aca="false">IF(G369=1,COUNT(G369:G$412),"")</f>
        <v/>
      </c>
      <c r="I369" s="75" t="str">
        <f aca="false">IF(G369=1,IF(H369&lt;='Beta Regresión'!$B$5,1,""),"")</f>
        <v/>
      </c>
      <c r="J369" s="76" t="str">
        <f aca="false">IF(I369=1,E369,"")</f>
        <v/>
      </c>
      <c r="K369" s="76" t="str">
        <f aca="false">IF(I369=1,F369,"")</f>
        <v/>
      </c>
      <c r="L369" s="75" t="str">
        <f aca="false">IF(I369=1,COUNT(I$13:I369),"")</f>
        <v/>
      </c>
      <c r="M369" s="76" t="str">
        <f aca="false">IFERROR(INDEX($J$13:$J$412,MATCH(A369,$L$13:$L$412,0)),"")</f>
        <v/>
      </c>
      <c r="N369" s="76" t="str">
        <f aca="false">IFERROR(INDEX($K$13:$K$412,MATCH(A369,$L$13:$L$412,0)),"")</f>
        <v/>
      </c>
      <c r="O369" s="76" t="e">
        <f aca="false">IF(I369=1,E369,NA())</f>
        <v>#N/A</v>
      </c>
      <c r="P369" s="76" t="e">
        <f aca="false">IF(I369=1,F369,NA())</f>
        <v>#N/A</v>
      </c>
      <c r="R369" s="75" t="n">
        <f aca="false">ROWS(R$13:R369)</f>
        <v>357</v>
      </c>
      <c r="S369" s="73" t="str">
        <f aca="false">IF(S368="","",IFERROR(SMALL($AD$10:$AD$509,COUNTIF($AD$10:$AD$509,"&lt;="&amp;S368)+1),""))</f>
        <v/>
      </c>
      <c r="T369" s="74" t="str">
        <f aca="false">IF(S369="","",INDEX($AE$10:$AE$509,MATCH(S369,$AD$10:$AD$509,0)))</f>
        <v/>
      </c>
      <c r="U369" s="74" t="str">
        <f aca="false">IF(S369="","",IFERROR(INDEX($AG$10:$AG$509,MATCH(S369,$AF$10:$AF$509,0)),""))</f>
        <v/>
      </c>
      <c r="V369" s="76" t="str">
        <f aca="false">IF(AND(ISNUMBER(T369),ISNUMBER(T368)),T369/T368-1,"")</f>
        <v/>
      </c>
      <c r="W369" s="76" t="str">
        <f aca="false">IF(AND(ISNUMBER(U369),ISNUMBER(U368)),U369/U368-1,"")</f>
        <v/>
      </c>
      <c r="X369" s="75" t="str">
        <f aca="false">IF(AND(ISNUMBER(V369),ISNUMBER(W369)),1,"")</f>
        <v/>
      </c>
      <c r="Y369" s="76" t="str">
        <f aca="false">IF(X369=1,V369,"")</f>
        <v/>
      </c>
      <c r="Z369" s="76" t="str">
        <f aca="false">IF(X369=1,W369,"")</f>
        <v/>
      </c>
      <c r="AA369" s="76" t="e">
        <f aca="false">IF(X369=1,V369,NA())</f>
        <v>#N/A</v>
      </c>
      <c r="AB369" s="76" t="e">
        <f aca="false">IF(X369=1,W369,NA())</f>
        <v>#N/A</v>
      </c>
      <c r="AD369" s="73" t="str">
        <f aca="false">IF(ISNUMBER(AE369),IF(ISNUMBER('Base de Datos'!A365),IF('Base de Datos'!A365&gt;20000,DATE(YEAR('Base de Datos'!A365),DAY('Base de Datos'!A365),MONTH('Base de Datos'!A365)),""),IF(TRIM('Base de Datos'!A365)="","",IFERROR(DATE(VALUE(RIGHT(TRIM('Base de Datos'!A365),4)),VALUE(LEFT(TRIM('Base de Datos'!A365),2)),VALUE(MID(TRIM('Base de Datos'!A365),4,2))),""))),"")</f>
        <v/>
      </c>
      <c r="AE369" s="74" t="str">
        <f aca="false">IF(ISNUMBER('Base de Datos'!B365),'Base de Datos'!B365,IF(TRIM('Base de Datos'!B365)="","",IFERROR(IF(IFERROR(FIND("@",SUBSTITUTE(TRIM('Base de Datos'!B365),",","@",LEN(TRIM('Base de Datos'!B365))-LEN(SUBSTITUTE(TRIM('Base de Datos'!B365),",","")))),0)&gt;IFERROR(FIND("@",SUBSTITUTE(TRIM('Base de Datos'!B365),".","@",LEN(TRIM('Base de Datos'!B365))-LEN(SUBSTITUTE(TRIM('Base de Datos'!B365),".","")))),0),_xlfn.NUMBERVALUE(SUBSTITUTE(SUBSTITUTE(TRIM('Base de Datos'!B365),".",""),",","."),".",","),_xlfn.NUMBERVALUE(SUBSTITUTE(TRIM('Base de Datos'!B365),",",""),".",",")),"")))</f>
        <v/>
      </c>
      <c r="AF369" s="73" t="str">
        <f aca="false">IF(ISNUMBER(AG369),IF(ISNUMBER('Base de Datos'!I365),IF('Base de Datos'!I365&gt;20000,INT('Base de Datos'!I365),""),IF(TRIM('Base de Datos'!I365)="","",IFERROR(DATE(VALUE(RIGHT(TRIM('Base de Datos'!I365),4)),VALUE(MID(TRIM('Base de Datos'!I365),4,2)),VALUE(LEFT(TRIM('Base de Datos'!I365),2))),IFERROR(DATEVALUE(TRIM('Base de Datos'!I365)),"")))),"")</f>
        <v/>
      </c>
      <c r="AG369" s="74" t="str">
        <f aca="false">IF(ISNUMBER('Base de Datos'!J365),'Base de Datos'!J365,IF(TRIM('Base de Datos'!J365)="","",IFERROR(IF(IFERROR(FIND("@",SUBSTITUTE(TRIM('Base de Datos'!J365),",","@",LEN(TRIM('Base de Datos'!J365))-LEN(SUBSTITUTE(TRIM('Base de Datos'!J365),",","")))),0)&gt;IFERROR(FIND("@",SUBSTITUTE(TRIM('Base de Datos'!J365),".","@",LEN(TRIM('Base de Datos'!J365))-LEN(SUBSTITUTE(TRIM('Base de Datos'!J365),".","")))),0),_xlfn.NUMBERVALUE(SUBSTITUTE(SUBSTITUTE(TRIM('Base de Datos'!J365),".",""),",","."),".",","),_xlfn.NUMBERVALUE(SUBSTITUTE(TRIM('Base de Datos'!J365),",",""),".",",")),"")))</f>
        <v/>
      </c>
      <c r="AH369" s="73" t="str">
        <f aca="false">IF(ISNUMBER(AI369),IF(ISNUMBER('Base de Datos'!Q365),IF('Base de Datos'!Q365&gt;20000,DATE(YEAR('Base de Datos'!Q365),DAY('Base de Datos'!Q365),MONTH('Base de Datos'!Q365)),""),IF(TRIM('Base de Datos'!Q365)="","",IFERROR(DATE(VALUE(RIGHT(TRIM('Base de Datos'!Q365),4)),VALUE(LEFT(TRIM('Base de Datos'!Q365),2)),VALUE(MID(TRIM('Base de Datos'!Q365),4,2))),""))),"")</f>
        <v/>
      </c>
      <c r="AI369" s="74" t="str">
        <f aca="false">IF(ISNUMBER('Base de Datos'!R365),'Base de Datos'!R365,IF(TRIM('Base de Datos'!R365)="","",IFERROR(IF(IFERROR(FIND("@",SUBSTITUTE(TRIM('Base de Datos'!R365),",","@",LEN(TRIM('Base de Datos'!R365))-LEN(SUBSTITUTE(TRIM('Base de Datos'!R365),",","")))),0)&gt;IFERROR(FIND("@",SUBSTITUTE(TRIM('Base de Datos'!R365),".","@",LEN(TRIM('Base de Datos'!R365))-LEN(SUBSTITUTE(TRIM('Base de Datos'!R365),".","")))),0),_xlfn.NUMBERVALUE(SUBSTITUTE(SUBSTITUTE(TRIM('Base de Datos'!R365),".",""),",","."),".",","),_xlfn.NUMBERVALUE(SUBSTITUTE(TRIM('Base de Datos'!R365),",",""),".",",")),"")))</f>
        <v/>
      </c>
      <c r="AJ369" s="73" t="str">
        <f aca="false">IF(ISNUMBER(AK369),IF(ISNUMBER('Base de Datos'!Y365),IF('Base de Datos'!Y365&gt;20000,INT('Base de Datos'!Y365),""),IF(TRIM('Base de Datos'!Y365)="","",IFERROR(DATE(VALUE(RIGHT(TRIM('Base de Datos'!Y365),4)),VALUE(MID(TRIM('Base de Datos'!Y365),4,2)),VALUE(LEFT(TRIM('Base de Datos'!Y365),2))),IFERROR(DATEVALUE(TRIM('Base de Datos'!Y365)),"")))),"")</f>
        <v/>
      </c>
      <c r="AK369" s="74" t="str">
        <f aca="false">IF(ISNUMBER('Base de Datos'!Z365),'Base de Datos'!Z365,IF(TRIM('Base de Datos'!Z365)="","",IFERROR(IF(IFERROR(FIND("@",SUBSTITUTE(TRIM('Base de Datos'!Z365),",","@",LEN(TRIM('Base de Datos'!Z365))-LEN(SUBSTITUTE(TRIM('Base de Datos'!Z365),",","")))),0)&gt;IFERROR(FIND("@",SUBSTITUTE(TRIM('Base de Datos'!Z365),".","@",LEN(TRIM('Base de Datos'!Z365))-LEN(SUBSTITUTE(TRIM('Base de Datos'!Z365),".","")))),0),_xlfn.NUMBERVALUE(SUBSTITUTE(SUBSTITUTE(TRIM('Base de Datos'!Z365),".",""),",","."),".",","),_xlfn.NUMBERVALUE(SUBSTITUTE(TRIM('Base de Datos'!Z365),",",""),".",",")),"")))</f>
        <v/>
      </c>
    </row>
    <row r="370" customFormat="false" ht="13.5" hidden="false" customHeight="false" outlineLevel="0" collapsed="false">
      <c r="A370" s="75" t="n">
        <f aca="false">ROWS(A$13:A370)</f>
        <v>358</v>
      </c>
      <c r="B370" s="73" t="str">
        <f aca="false">IF(B369="","",IFERROR(SMALL($AH$10:$AH$409,COUNTIF($AH$10:$AH$409,"&lt;="&amp;B369)+1),""))</f>
        <v/>
      </c>
      <c r="C370" s="74" t="str">
        <f aca="false">IF(B370="","",INDEX($AI$10:$AI$409,MATCH(B370,$AH$10:$AH$409,0)))</f>
        <v/>
      </c>
      <c r="D370" s="74" t="str">
        <f aca="false">IF(B370="","",IFERROR(INDEX($AK$10:$AK$409,MATCH(B370,$AJ$10:$AJ$409,0)),""))</f>
        <v/>
      </c>
      <c r="E370" s="76" t="str">
        <f aca="false">IF(AND(ISNUMBER(C370),ISNUMBER(C369)),C370/C369-1,"")</f>
        <v/>
      </c>
      <c r="F370" s="76" t="str">
        <f aca="false">IF(AND(ISNUMBER(D370),ISNUMBER(D369)),D370/D369-1,"")</f>
        <v/>
      </c>
      <c r="G370" s="75" t="str">
        <f aca="false">IF(AND(ISNUMBER(E370),ISNUMBER(F370)),1,"")</f>
        <v/>
      </c>
      <c r="H370" s="75" t="str">
        <f aca="false">IF(G370=1,COUNT(G370:G$412),"")</f>
        <v/>
      </c>
      <c r="I370" s="75" t="str">
        <f aca="false">IF(G370=1,IF(H370&lt;='Beta Regresión'!$B$5,1,""),"")</f>
        <v/>
      </c>
      <c r="J370" s="76" t="str">
        <f aca="false">IF(I370=1,E370,"")</f>
        <v/>
      </c>
      <c r="K370" s="76" t="str">
        <f aca="false">IF(I370=1,F370,"")</f>
        <v/>
      </c>
      <c r="L370" s="75" t="str">
        <f aca="false">IF(I370=1,COUNT(I$13:I370),"")</f>
        <v/>
      </c>
      <c r="M370" s="76" t="str">
        <f aca="false">IFERROR(INDEX($J$13:$J$412,MATCH(A370,$L$13:$L$412,0)),"")</f>
        <v/>
      </c>
      <c r="N370" s="76" t="str">
        <f aca="false">IFERROR(INDEX($K$13:$K$412,MATCH(A370,$L$13:$L$412,0)),"")</f>
        <v/>
      </c>
      <c r="O370" s="76" t="e">
        <f aca="false">IF(I370=1,E370,NA())</f>
        <v>#N/A</v>
      </c>
      <c r="P370" s="76" t="e">
        <f aca="false">IF(I370=1,F370,NA())</f>
        <v>#N/A</v>
      </c>
      <c r="R370" s="75" t="n">
        <f aca="false">ROWS(R$13:R370)</f>
        <v>358</v>
      </c>
      <c r="S370" s="73" t="str">
        <f aca="false">IF(S369="","",IFERROR(SMALL($AD$10:$AD$509,COUNTIF($AD$10:$AD$509,"&lt;="&amp;S369)+1),""))</f>
        <v/>
      </c>
      <c r="T370" s="74" t="str">
        <f aca="false">IF(S370="","",INDEX($AE$10:$AE$509,MATCH(S370,$AD$10:$AD$509,0)))</f>
        <v/>
      </c>
      <c r="U370" s="74" t="str">
        <f aca="false">IF(S370="","",IFERROR(INDEX($AG$10:$AG$509,MATCH(S370,$AF$10:$AF$509,0)),""))</f>
        <v/>
      </c>
      <c r="V370" s="76" t="str">
        <f aca="false">IF(AND(ISNUMBER(T370),ISNUMBER(T369)),T370/T369-1,"")</f>
        <v/>
      </c>
      <c r="W370" s="76" t="str">
        <f aca="false">IF(AND(ISNUMBER(U370),ISNUMBER(U369)),U370/U369-1,"")</f>
        <v/>
      </c>
      <c r="X370" s="75" t="str">
        <f aca="false">IF(AND(ISNUMBER(V370),ISNUMBER(W370)),1,"")</f>
        <v/>
      </c>
      <c r="Y370" s="76" t="str">
        <f aca="false">IF(X370=1,V370,"")</f>
        <v/>
      </c>
      <c r="Z370" s="76" t="str">
        <f aca="false">IF(X370=1,W370,"")</f>
        <v/>
      </c>
      <c r="AA370" s="76" t="e">
        <f aca="false">IF(X370=1,V370,NA())</f>
        <v>#N/A</v>
      </c>
      <c r="AB370" s="76" t="e">
        <f aca="false">IF(X370=1,W370,NA())</f>
        <v>#N/A</v>
      </c>
      <c r="AD370" s="73" t="str">
        <f aca="false">IF(ISNUMBER(AE370),IF(ISNUMBER('Base de Datos'!A366),IF('Base de Datos'!A366&gt;20000,DATE(YEAR('Base de Datos'!A366),DAY('Base de Datos'!A366),MONTH('Base de Datos'!A366)),""),IF(TRIM('Base de Datos'!A366)="","",IFERROR(DATE(VALUE(RIGHT(TRIM('Base de Datos'!A366),4)),VALUE(LEFT(TRIM('Base de Datos'!A366),2)),VALUE(MID(TRIM('Base de Datos'!A366),4,2))),""))),"")</f>
        <v/>
      </c>
      <c r="AE370" s="74" t="str">
        <f aca="false">IF(ISNUMBER('Base de Datos'!B366),'Base de Datos'!B366,IF(TRIM('Base de Datos'!B366)="","",IFERROR(IF(IFERROR(FIND("@",SUBSTITUTE(TRIM('Base de Datos'!B366),",","@",LEN(TRIM('Base de Datos'!B366))-LEN(SUBSTITUTE(TRIM('Base de Datos'!B366),",","")))),0)&gt;IFERROR(FIND("@",SUBSTITUTE(TRIM('Base de Datos'!B366),".","@",LEN(TRIM('Base de Datos'!B366))-LEN(SUBSTITUTE(TRIM('Base de Datos'!B366),".","")))),0),_xlfn.NUMBERVALUE(SUBSTITUTE(SUBSTITUTE(TRIM('Base de Datos'!B366),".",""),",","."),".",","),_xlfn.NUMBERVALUE(SUBSTITUTE(TRIM('Base de Datos'!B366),",",""),".",",")),"")))</f>
        <v/>
      </c>
      <c r="AF370" s="73" t="str">
        <f aca="false">IF(ISNUMBER(AG370),IF(ISNUMBER('Base de Datos'!I366),IF('Base de Datos'!I366&gt;20000,INT('Base de Datos'!I366),""),IF(TRIM('Base de Datos'!I366)="","",IFERROR(DATE(VALUE(RIGHT(TRIM('Base de Datos'!I366),4)),VALUE(MID(TRIM('Base de Datos'!I366),4,2)),VALUE(LEFT(TRIM('Base de Datos'!I366),2))),IFERROR(DATEVALUE(TRIM('Base de Datos'!I366)),"")))),"")</f>
        <v/>
      </c>
      <c r="AG370" s="74" t="str">
        <f aca="false">IF(ISNUMBER('Base de Datos'!J366),'Base de Datos'!J366,IF(TRIM('Base de Datos'!J366)="","",IFERROR(IF(IFERROR(FIND("@",SUBSTITUTE(TRIM('Base de Datos'!J366),",","@",LEN(TRIM('Base de Datos'!J366))-LEN(SUBSTITUTE(TRIM('Base de Datos'!J366),",","")))),0)&gt;IFERROR(FIND("@",SUBSTITUTE(TRIM('Base de Datos'!J366),".","@",LEN(TRIM('Base de Datos'!J366))-LEN(SUBSTITUTE(TRIM('Base de Datos'!J366),".","")))),0),_xlfn.NUMBERVALUE(SUBSTITUTE(SUBSTITUTE(TRIM('Base de Datos'!J366),".",""),",","."),".",","),_xlfn.NUMBERVALUE(SUBSTITUTE(TRIM('Base de Datos'!J366),",",""),".",",")),"")))</f>
        <v/>
      </c>
      <c r="AH370" s="73" t="str">
        <f aca="false">IF(ISNUMBER(AI370),IF(ISNUMBER('Base de Datos'!Q366),IF('Base de Datos'!Q366&gt;20000,DATE(YEAR('Base de Datos'!Q366),DAY('Base de Datos'!Q366),MONTH('Base de Datos'!Q366)),""),IF(TRIM('Base de Datos'!Q366)="","",IFERROR(DATE(VALUE(RIGHT(TRIM('Base de Datos'!Q366),4)),VALUE(LEFT(TRIM('Base de Datos'!Q366),2)),VALUE(MID(TRIM('Base de Datos'!Q366),4,2))),""))),"")</f>
        <v/>
      </c>
      <c r="AI370" s="74" t="str">
        <f aca="false">IF(ISNUMBER('Base de Datos'!R366),'Base de Datos'!R366,IF(TRIM('Base de Datos'!R366)="","",IFERROR(IF(IFERROR(FIND("@",SUBSTITUTE(TRIM('Base de Datos'!R366),",","@",LEN(TRIM('Base de Datos'!R366))-LEN(SUBSTITUTE(TRIM('Base de Datos'!R366),",","")))),0)&gt;IFERROR(FIND("@",SUBSTITUTE(TRIM('Base de Datos'!R366),".","@",LEN(TRIM('Base de Datos'!R366))-LEN(SUBSTITUTE(TRIM('Base de Datos'!R366),".","")))),0),_xlfn.NUMBERVALUE(SUBSTITUTE(SUBSTITUTE(TRIM('Base de Datos'!R366),".",""),",","."),".",","),_xlfn.NUMBERVALUE(SUBSTITUTE(TRIM('Base de Datos'!R366),",",""),".",",")),"")))</f>
        <v/>
      </c>
      <c r="AJ370" s="73" t="str">
        <f aca="false">IF(ISNUMBER(AK370),IF(ISNUMBER('Base de Datos'!Y366),IF('Base de Datos'!Y366&gt;20000,INT('Base de Datos'!Y366),""),IF(TRIM('Base de Datos'!Y366)="","",IFERROR(DATE(VALUE(RIGHT(TRIM('Base de Datos'!Y366),4)),VALUE(MID(TRIM('Base de Datos'!Y366),4,2)),VALUE(LEFT(TRIM('Base de Datos'!Y366),2))),IFERROR(DATEVALUE(TRIM('Base de Datos'!Y366)),"")))),"")</f>
        <v/>
      </c>
      <c r="AK370" s="74" t="str">
        <f aca="false">IF(ISNUMBER('Base de Datos'!Z366),'Base de Datos'!Z366,IF(TRIM('Base de Datos'!Z366)="","",IFERROR(IF(IFERROR(FIND("@",SUBSTITUTE(TRIM('Base de Datos'!Z366),",","@",LEN(TRIM('Base de Datos'!Z366))-LEN(SUBSTITUTE(TRIM('Base de Datos'!Z366),",","")))),0)&gt;IFERROR(FIND("@",SUBSTITUTE(TRIM('Base de Datos'!Z366),".","@",LEN(TRIM('Base de Datos'!Z366))-LEN(SUBSTITUTE(TRIM('Base de Datos'!Z366),".","")))),0),_xlfn.NUMBERVALUE(SUBSTITUTE(SUBSTITUTE(TRIM('Base de Datos'!Z366),".",""),",","."),".",","),_xlfn.NUMBERVALUE(SUBSTITUTE(TRIM('Base de Datos'!Z366),",",""),".",",")),"")))</f>
        <v/>
      </c>
    </row>
    <row r="371" customFormat="false" ht="13.5" hidden="false" customHeight="false" outlineLevel="0" collapsed="false">
      <c r="A371" s="75" t="n">
        <f aca="false">ROWS(A$13:A371)</f>
        <v>359</v>
      </c>
      <c r="B371" s="73" t="str">
        <f aca="false">IF(B370="","",IFERROR(SMALL($AH$10:$AH$409,COUNTIF($AH$10:$AH$409,"&lt;="&amp;B370)+1),""))</f>
        <v/>
      </c>
      <c r="C371" s="74" t="str">
        <f aca="false">IF(B371="","",INDEX($AI$10:$AI$409,MATCH(B371,$AH$10:$AH$409,0)))</f>
        <v/>
      </c>
      <c r="D371" s="74" t="str">
        <f aca="false">IF(B371="","",IFERROR(INDEX($AK$10:$AK$409,MATCH(B371,$AJ$10:$AJ$409,0)),""))</f>
        <v/>
      </c>
      <c r="E371" s="76" t="str">
        <f aca="false">IF(AND(ISNUMBER(C371),ISNUMBER(C370)),C371/C370-1,"")</f>
        <v/>
      </c>
      <c r="F371" s="76" t="str">
        <f aca="false">IF(AND(ISNUMBER(D371),ISNUMBER(D370)),D371/D370-1,"")</f>
        <v/>
      </c>
      <c r="G371" s="75" t="str">
        <f aca="false">IF(AND(ISNUMBER(E371),ISNUMBER(F371)),1,"")</f>
        <v/>
      </c>
      <c r="H371" s="75" t="str">
        <f aca="false">IF(G371=1,COUNT(G371:G$412),"")</f>
        <v/>
      </c>
      <c r="I371" s="75" t="str">
        <f aca="false">IF(G371=1,IF(H371&lt;='Beta Regresión'!$B$5,1,""),"")</f>
        <v/>
      </c>
      <c r="J371" s="76" t="str">
        <f aca="false">IF(I371=1,E371,"")</f>
        <v/>
      </c>
      <c r="K371" s="76" t="str">
        <f aca="false">IF(I371=1,F371,"")</f>
        <v/>
      </c>
      <c r="L371" s="75" t="str">
        <f aca="false">IF(I371=1,COUNT(I$13:I371),"")</f>
        <v/>
      </c>
      <c r="M371" s="76" t="str">
        <f aca="false">IFERROR(INDEX($J$13:$J$412,MATCH(A371,$L$13:$L$412,0)),"")</f>
        <v/>
      </c>
      <c r="N371" s="76" t="str">
        <f aca="false">IFERROR(INDEX($K$13:$K$412,MATCH(A371,$L$13:$L$412,0)),"")</f>
        <v/>
      </c>
      <c r="O371" s="76" t="e">
        <f aca="false">IF(I371=1,E371,NA())</f>
        <v>#N/A</v>
      </c>
      <c r="P371" s="76" t="e">
        <f aca="false">IF(I371=1,F371,NA())</f>
        <v>#N/A</v>
      </c>
      <c r="R371" s="75" t="n">
        <f aca="false">ROWS(R$13:R371)</f>
        <v>359</v>
      </c>
      <c r="S371" s="73" t="str">
        <f aca="false">IF(S370="","",IFERROR(SMALL($AD$10:$AD$509,COUNTIF($AD$10:$AD$509,"&lt;="&amp;S370)+1),""))</f>
        <v/>
      </c>
      <c r="T371" s="74" t="str">
        <f aca="false">IF(S371="","",INDEX($AE$10:$AE$509,MATCH(S371,$AD$10:$AD$509,0)))</f>
        <v/>
      </c>
      <c r="U371" s="74" t="str">
        <f aca="false">IF(S371="","",IFERROR(INDEX($AG$10:$AG$509,MATCH(S371,$AF$10:$AF$509,0)),""))</f>
        <v/>
      </c>
      <c r="V371" s="76" t="str">
        <f aca="false">IF(AND(ISNUMBER(T371),ISNUMBER(T370)),T371/T370-1,"")</f>
        <v/>
      </c>
      <c r="W371" s="76" t="str">
        <f aca="false">IF(AND(ISNUMBER(U371),ISNUMBER(U370)),U371/U370-1,"")</f>
        <v/>
      </c>
      <c r="X371" s="75" t="str">
        <f aca="false">IF(AND(ISNUMBER(V371),ISNUMBER(W371)),1,"")</f>
        <v/>
      </c>
      <c r="Y371" s="76" t="str">
        <f aca="false">IF(X371=1,V371,"")</f>
        <v/>
      </c>
      <c r="Z371" s="76" t="str">
        <f aca="false">IF(X371=1,W371,"")</f>
        <v/>
      </c>
      <c r="AA371" s="76" t="e">
        <f aca="false">IF(X371=1,V371,NA())</f>
        <v>#N/A</v>
      </c>
      <c r="AB371" s="76" t="e">
        <f aca="false">IF(X371=1,W371,NA())</f>
        <v>#N/A</v>
      </c>
      <c r="AD371" s="73" t="str">
        <f aca="false">IF(ISNUMBER(AE371),IF(ISNUMBER('Base de Datos'!A367),IF('Base de Datos'!A367&gt;20000,DATE(YEAR('Base de Datos'!A367),DAY('Base de Datos'!A367),MONTH('Base de Datos'!A367)),""),IF(TRIM('Base de Datos'!A367)="","",IFERROR(DATE(VALUE(RIGHT(TRIM('Base de Datos'!A367),4)),VALUE(LEFT(TRIM('Base de Datos'!A367),2)),VALUE(MID(TRIM('Base de Datos'!A367),4,2))),""))),"")</f>
        <v/>
      </c>
      <c r="AE371" s="74" t="str">
        <f aca="false">IF(ISNUMBER('Base de Datos'!B367),'Base de Datos'!B367,IF(TRIM('Base de Datos'!B367)="","",IFERROR(IF(IFERROR(FIND("@",SUBSTITUTE(TRIM('Base de Datos'!B367),",","@",LEN(TRIM('Base de Datos'!B367))-LEN(SUBSTITUTE(TRIM('Base de Datos'!B367),",","")))),0)&gt;IFERROR(FIND("@",SUBSTITUTE(TRIM('Base de Datos'!B367),".","@",LEN(TRIM('Base de Datos'!B367))-LEN(SUBSTITUTE(TRIM('Base de Datos'!B367),".","")))),0),_xlfn.NUMBERVALUE(SUBSTITUTE(SUBSTITUTE(TRIM('Base de Datos'!B367),".",""),",","."),".",","),_xlfn.NUMBERVALUE(SUBSTITUTE(TRIM('Base de Datos'!B367),",",""),".",",")),"")))</f>
        <v/>
      </c>
      <c r="AF371" s="73" t="str">
        <f aca="false">IF(ISNUMBER(AG371),IF(ISNUMBER('Base de Datos'!I367),IF('Base de Datos'!I367&gt;20000,INT('Base de Datos'!I367),""),IF(TRIM('Base de Datos'!I367)="","",IFERROR(DATE(VALUE(RIGHT(TRIM('Base de Datos'!I367),4)),VALUE(MID(TRIM('Base de Datos'!I367),4,2)),VALUE(LEFT(TRIM('Base de Datos'!I367),2))),IFERROR(DATEVALUE(TRIM('Base de Datos'!I367)),"")))),"")</f>
        <v/>
      </c>
      <c r="AG371" s="74" t="str">
        <f aca="false">IF(ISNUMBER('Base de Datos'!J367),'Base de Datos'!J367,IF(TRIM('Base de Datos'!J367)="","",IFERROR(IF(IFERROR(FIND("@",SUBSTITUTE(TRIM('Base de Datos'!J367),",","@",LEN(TRIM('Base de Datos'!J367))-LEN(SUBSTITUTE(TRIM('Base de Datos'!J367),",","")))),0)&gt;IFERROR(FIND("@",SUBSTITUTE(TRIM('Base de Datos'!J367),".","@",LEN(TRIM('Base de Datos'!J367))-LEN(SUBSTITUTE(TRIM('Base de Datos'!J367),".","")))),0),_xlfn.NUMBERVALUE(SUBSTITUTE(SUBSTITUTE(TRIM('Base de Datos'!J367),".",""),",","."),".",","),_xlfn.NUMBERVALUE(SUBSTITUTE(TRIM('Base de Datos'!J367),",",""),".",",")),"")))</f>
        <v/>
      </c>
      <c r="AH371" s="73" t="str">
        <f aca="false">IF(ISNUMBER(AI371),IF(ISNUMBER('Base de Datos'!Q367),IF('Base de Datos'!Q367&gt;20000,DATE(YEAR('Base de Datos'!Q367),DAY('Base de Datos'!Q367),MONTH('Base de Datos'!Q367)),""),IF(TRIM('Base de Datos'!Q367)="","",IFERROR(DATE(VALUE(RIGHT(TRIM('Base de Datos'!Q367),4)),VALUE(LEFT(TRIM('Base de Datos'!Q367),2)),VALUE(MID(TRIM('Base de Datos'!Q367),4,2))),""))),"")</f>
        <v/>
      </c>
      <c r="AI371" s="74" t="str">
        <f aca="false">IF(ISNUMBER('Base de Datos'!R367),'Base de Datos'!R367,IF(TRIM('Base de Datos'!R367)="","",IFERROR(IF(IFERROR(FIND("@",SUBSTITUTE(TRIM('Base de Datos'!R367),",","@",LEN(TRIM('Base de Datos'!R367))-LEN(SUBSTITUTE(TRIM('Base de Datos'!R367),",","")))),0)&gt;IFERROR(FIND("@",SUBSTITUTE(TRIM('Base de Datos'!R367),".","@",LEN(TRIM('Base de Datos'!R367))-LEN(SUBSTITUTE(TRIM('Base de Datos'!R367),".","")))),0),_xlfn.NUMBERVALUE(SUBSTITUTE(SUBSTITUTE(TRIM('Base de Datos'!R367),".",""),",","."),".",","),_xlfn.NUMBERVALUE(SUBSTITUTE(TRIM('Base de Datos'!R367),",",""),".",",")),"")))</f>
        <v/>
      </c>
      <c r="AJ371" s="73" t="str">
        <f aca="false">IF(ISNUMBER(AK371),IF(ISNUMBER('Base de Datos'!Y367),IF('Base de Datos'!Y367&gt;20000,INT('Base de Datos'!Y367),""),IF(TRIM('Base de Datos'!Y367)="","",IFERROR(DATE(VALUE(RIGHT(TRIM('Base de Datos'!Y367),4)),VALUE(MID(TRIM('Base de Datos'!Y367),4,2)),VALUE(LEFT(TRIM('Base de Datos'!Y367),2))),IFERROR(DATEVALUE(TRIM('Base de Datos'!Y367)),"")))),"")</f>
        <v/>
      </c>
      <c r="AK371" s="74" t="str">
        <f aca="false">IF(ISNUMBER('Base de Datos'!Z367),'Base de Datos'!Z367,IF(TRIM('Base de Datos'!Z367)="","",IFERROR(IF(IFERROR(FIND("@",SUBSTITUTE(TRIM('Base de Datos'!Z367),",","@",LEN(TRIM('Base de Datos'!Z367))-LEN(SUBSTITUTE(TRIM('Base de Datos'!Z367),",","")))),0)&gt;IFERROR(FIND("@",SUBSTITUTE(TRIM('Base de Datos'!Z367),".","@",LEN(TRIM('Base de Datos'!Z367))-LEN(SUBSTITUTE(TRIM('Base de Datos'!Z367),".","")))),0),_xlfn.NUMBERVALUE(SUBSTITUTE(SUBSTITUTE(TRIM('Base de Datos'!Z367),".",""),",","."),".",","),_xlfn.NUMBERVALUE(SUBSTITUTE(TRIM('Base de Datos'!Z367),",",""),".",",")),"")))</f>
        <v/>
      </c>
    </row>
    <row r="372" customFormat="false" ht="13.5" hidden="false" customHeight="false" outlineLevel="0" collapsed="false">
      <c r="A372" s="75" t="n">
        <f aca="false">ROWS(A$13:A372)</f>
        <v>360</v>
      </c>
      <c r="B372" s="73" t="str">
        <f aca="false">IF(B371="","",IFERROR(SMALL($AH$10:$AH$409,COUNTIF($AH$10:$AH$409,"&lt;="&amp;B371)+1),""))</f>
        <v/>
      </c>
      <c r="C372" s="74" t="str">
        <f aca="false">IF(B372="","",INDEX($AI$10:$AI$409,MATCH(B372,$AH$10:$AH$409,0)))</f>
        <v/>
      </c>
      <c r="D372" s="74" t="str">
        <f aca="false">IF(B372="","",IFERROR(INDEX($AK$10:$AK$409,MATCH(B372,$AJ$10:$AJ$409,0)),""))</f>
        <v/>
      </c>
      <c r="E372" s="76" t="str">
        <f aca="false">IF(AND(ISNUMBER(C372),ISNUMBER(C371)),C372/C371-1,"")</f>
        <v/>
      </c>
      <c r="F372" s="76" t="str">
        <f aca="false">IF(AND(ISNUMBER(D372),ISNUMBER(D371)),D372/D371-1,"")</f>
        <v/>
      </c>
      <c r="G372" s="75" t="str">
        <f aca="false">IF(AND(ISNUMBER(E372),ISNUMBER(F372)),1,"")</f>
        <v/>
      </c>
      <c r="H372" s="75" t="str">
        <f aca="false">IF(G372=1,COUNT(G372:G$412),"")</f>
        <v/>
      </c>
      <c r="I372" s="75" t="str">
        <f aca="false">IF(G372=1,IF(H372&lt;='Beta Regresión'!$B$5,1,""),"")</f>
        <v/>
      </c>
      <c r="J372" s="76" t="str">
        <f aca="false">IF(I372=1,E372,"")</f>
        <v/>
      </c>
      <c r="K372" s="76" t="str">
        <f aca="false">IF(I372=1,F372,"")</f>
        <v/>
      </c>
      <c r="L372" s="75" t="str">
        <f aca="false">IF(I372=1,COUNT(I$13:I372),"")</f>
        <v/>
      </c>
      <c r="M372" s="76" t="str">
        <f aca="false">IFERROR(INDEX($J$13:$J$412,MATCH(A372,$L$13:$L$412,0)),"")</f>
        <v/>
      </c>
      <c r="N372" s="76" t="str">
        <f aca="false">IFERROR(INDEX($K$13:$K$412,MATCH(A372,$L$13:$L$412,0)),"")</f>
        <v/>
      </c>
      <c r="O372" s="76" t="e">
        <f aca="false">IF(I372=1,E372,NA())</f>
        <v>#N/A</v>
      </c>
      <c r="P372" s="76" t="e">
        <f aca="false">IF(I372=1,F372,NA())</f>
        <v>#N/A</v>
      </c>
      <c r="R372" s="75" t="n">
        <f aca="false">ROWS(R$13:R372)</f>
        <v>360</v>
      </c>
      <c r="S372" s="73" t="str">
        <f aca="false">IF(S371="","",IFERROR(SMALL($AD$10:$AD$509,COUNTIF($AD$10:$AD$509,"&lt;="&amp;S371)+1),""))</f>
        <v/>
      </c>
      <c r="T372" s="74" t="str">
        <f aca="false">IF(S372="","",INDEX($AE$10:$AE$509,MATCH(S372,$AD$10:$AD$509,0)))</f>
        <v/>
      </c>
      <c r="U372" s="74" t="str">
        <f aca="false">IF(S372="","",IFERROR(INDEX($AG$10:$AG$509,MATCH(S372,$AF$10:$AF$509,0)),""))</f>
        <v/>
      </c>
      <c r="V372" s="76" t="str">
        <f aca="false">IF(AND(ISNUMBER(T372),ISNUMBER(T371)),T372/T371-1,"")</f>
        <v/>
      </c>
      <c r="W372" s="76" t="str">
        <f aca="false">IF(AND(ISNUMBER(U372),ISNUMBER(U371)),U372/U371-1,"")</f>
        <v/>
      </c>
      <c r="X372" s="75" t="str">
        <f aca="false">IF(AND(ISNUMBER(V372),ISNUMBER(W372)),1,"")</f>
        <v/>
      </c>
      <c r="Y372" s="76" t="str">
        <f aca="false">IF(X372=1,V372,"")</f>
        <v/>
      </c>
      <c r="Z372" s="76" t="str">
        <f aca="false">IF(X372=1,W372,"")</f>
        <v/>
      </c>
      <c r="AA372" s="76" t="e">
        <f aca="false">IF(X372=1,V372,NA())</f>
        <v>#N/A</v>
      </c>
      <c r="AB372" s="76" t="e">
        <f aca="false">IF(X372=1,W372,NA())</f>
        <v>#N/A</v>
      </c>
      <c r="AD372" s="73" t="str">
        <f aca="false">IF(ISNUMBER(AE372),IF(ISNUMBER('Base de Datos'!A368),IF('Base de Datos'!A368&gt;20000,DATE(YEAR('Base de Datos'!A368),DAY('Base de Datos'!A368),MONTH('Base de Datos'!A368)),""),IF(TRIM('Base de Datos'!A368)="","",IFERROR(DATE(VALUE(RIGHT(TRIM('Base de Datos'!A368),4)),VALUE(LEFT(TRIM('Base de Datos'!A368),2)),VALUE(MID(TRIM('Base de Datos'!A368),4,2))),""))),"")</f>
        <v/>
      </c>
      <c r="AE372" s="74" t="str">
        <f aca="false">IF(ISNUMBER('Base de Datos'!B368),'Base de Datos'!B368,IF(TRIM('Base de Datos'!B368)="","",IFERROR(IF(IFERROR(FIND("@",SUBSTITUTE(TRIM('Base de Datos'!B368),",","@",LEN(TRIM('Base de Datos'!B368))-LEN(SUBSTITUTE(TRIM('Base de Datos'!B368),",","")))),0)&gt;IFERROR(FIND("@",SUBSTITUTE(TRIM('Base de Datos'!B368),".","@",LEN(TRIM('Base de Datos'!B368))-LEN(SUBSTITUTE(TRIM('Base de Datos'!B368),".","")))),0),_xlfn.NUMBERVALUE(SUBSTITUTE(SUBSTITUTE(TRIM('Base de Datos'!B368),".",""),",","."),".",","),_xlfn.NUMBERVALUE(SUBSTITUTE(TRIM('Base de Datos'!B368),",",""),".",",")),"")))</f>
        <v/>
      </c>
      <c r="AF372" s="73" t="str">
        <f aca="false">IF(ISNUMBER(AG372),IF(ISNUMBER('Base de Datos'!I368),IF('Base de Datos'!I368&gt;20000,INT('Base de Datos'!I368),""),IF(TRIM('Base de Datos'!I368)="","",IFERROR(DATE(VALUE(RIGHT(TRIM('Base de Datos'!I368),4)),VALUE(MID(TRIM('Base de Datos'!I368),4,2)),VALUE(LEFT(TRIM('Base de Datos'!I368),2))),IFERROR(DATEVALUE(TRIM('Base de Datos'!I368)),"")))),"")</f>
        <v/>
      </c>
      <c r="AG372" s="74" t="str">
        <f aca="false">IF(ISNUMBER('Base de Datos'!J368),'Base de Datos'!J368,IF(TRIM('Base de Datos'!J368)="","",IFERROR(IF(IFERROR(FIND("@",SUBSTITUTE(TRIM('Base de Datos'!J368),",","@",LEN(TRIM('Base de Datos'!J368))-LEN(SUBSTITUTE(TRIM('Base de Datos'!J368),",","")))),0)&gt;IFERROR(FIND("@",SUBSTITUTE(TRIM('Base de Datos'!J368),".","@",LEN(TRIM('Base de Datos'!J368))-LEN(SUBSTITUTE(TRIM('Base de Datos'!J368),".","")))),0),_xlfn.NUMBERVALUE(SUBSTITUTE(SUBSTITUTE(TRIM('Base de Datos'!J368),".",""),",","."),".",","),_xlfn.NUMBERVALUE(SUBSTITUTE(TRIM('Base de Datos'!J368),",",""),".",",")),"")))</f>
        <v/>
      </c>
      <c r="AH372" s="73" t="str">
        <f aca="false">IF(ISNUMBER(AI372),IF(ISNUMBER('Base de Datos'!Q368),IF('Base de Datos'!Q368&gt;20000,DATE(YEAR('Base de Datos'!Q368),DAY('Base de Datos'!Q368),MONTH('Base de Datos'!Q368)),""),IF(TRIM('Base de Datos'!Q368)="","",IFERROR(DATE(VALUE(RIGHT(TRIM('Base de Datos'!Q368),4)),VALUE(LEFT(TRIM('Base de Datos'!Q368),2)),VALUE(MID(TRIM('Base de Datos'!Q368),4,2))),""))),"")</f>
        <v/>
      </c>
      <c r="AI372" s="74" t="str">
        <f aca="false">IF(ISNUMBER('Base de Datos'!R368),'Base de Datos'!R368,IF(TRIM('Base de Datos'!R368)="","",IFERROR(IF(IFERROR(FIND("@",SUBSTITUTE(TRIM('Base de Datos'!R368),",","@",LEN(TRIM('Base de Datos'!R368))-LEN(SUBSTITUTE(TRIM('Base de Datos'!R368),",","")))),0)&gt;IFERROR(FIND("@",SUBSTITUTE(TRIM('Base de Datos'!R368),".","@",LEN(TRIM('Base de Datos'!R368))-LEN(SUBSTITUTE(TRIM('Base de Datos'!R368),".","")))),0),_xlfn.NUMBERVALUE(SUBSTITUTE(SUBSTITUTE(TRIM('Base de Datos'!R368),".",""),",","."),".",","),_xlfn.NUMBERVALUE(SUBSTITUTE(TRIM('Base de Datos'!R368),",",""),".",",")),"")))</f>
        <v/>
      </c>
      <c r="AJ372" s="73" t="str">
        <f aca="false">IF(ISNUMBER(AK372),IF(ISNUMBER('Base de Datos'!Y368),IF('Base de Datos'!Y368&gt;20000,INT('Base de Datos'!Y368),""),IF(TRIM('Base de Datos'!Y368)="","",IFERROR(DATE(VALUE(RIGHT(TRIM('Base de Datos'!Y368),4)),VALUE(MID(TRIM('Base de Datos'!Y368),4,2)),VALUE(LEFT(TRIM('Base de Datos'!Y368),2))),IFERROR(DATEVALUE(TRIM('Base de Datos'!Y368)),"")))),"")</f>
        <v/>
      </c>
      <c r="AK372" s="74" t="str">
        <f aca="false">IF(ISNUMBER('Base de Datos'!Z368),'Base de Datos'!Z368,IF(TRIM('Base de Datos'!Z368)="","",IFERROR(IF(IFERROR(FIND("@",SUBSTITUTE(TRIM('Base de Datos'!Z368),",","@",LEN(TRIM('Base de Datos'!Z368))-LEN(SUBSTITUTE(TRIM('Base de Datos'!Z368),",","")))),0)&gt;IFERROR(FIND("@",SUBSTITUTE(TRIM('Base de Datos'!Z368),".","@",LEN(TRIM('Base de Datos'!Z368))-LEN(SUBSTITUTE(TRIM('Base de Datos'!Z368),".","")))),0),_xlfn.NUMBERVALUE(SUBSTITUTE(SUBSTITUTE(TRIM('Base de Datos'!Z368),".",""),",","."),".",","),_xlfn.NUMBERVALUE(SUBSTITUTE(TRIM('Base de Datos'!Z368),",",""),".",",")),"")))</f>
        <v/>
      </c>
    </row>
    <row r="373" customFormat="false" ht="13.5" hidden="false" customHeight="false" outlineLevel="0" collapsed="false">
      <c r="A373" s="75" t="n">
        <f aca="false">ROWS(A$13:A373)</f>
        <v>361</v>
      </c>
      <c r="B373" s="73" t="str">
        <f aca="false">IF(B372="","",IFERROR(SMALL($AH$10:$AH$409,COUNTIF($AH$10:$AH$409,"&lt;="&amp;B372)+1),""))</f>
        <v/>
      </c>
      <c r="C373" s="74" t="str">
        <f aca="false">IF(B373="","",INDEX($AI$10:$AI$409,MATCH(B373,$AH$10:$AH$409,0)))</f>
        <v/>
      </c>
      <c r="D373" s="74" t="str">
        <f aca="false">IF(B373="","",IFERROR(INDEX($AK$10:$AK$409,MATCH(B373,$AJ$10:$AJ$409,0)),""))</f>
        <v/>
      </c>
      <c r="E373" s="76" t="str">
        <f aca="false">IF(AND(ISNUMBER(C373),ISNUMBER(C372)),C373/C372-1,"")</f>
        <v/>
      </c>
      <c r="F373" s="76" t="str">
        <f aca="false">IF(AND(ISNUMBER(D373),ISNUMBER(D372)),D373/D372-1,"")</f>
        <v/>
      </c>
      <c r="G373" s="75" t="str">
        <f aca="false">IF(AND(ISNUMBER(E373),ISNUMBER(F373)),1,"")</f>
        <v/>
      </c>
      <c r="H373" s="75" t="str">
        <f aca="false">IF(G373=1,COUNT(G373:G$412),"")</f>
        <v/>
      </c>
      <c r="I373" s="75" t="str">
        <f aca="false">IF(G373=1,IF(H373&lt;='Beta Regresión'!$B$5,1,""),"")</f>
        <v/>
      </c>
      <c r="J373" s="76" t="str">
        <f aca="false">IF(I373=1,E373,"")</f>
        <v/>
      </c>
      <c r="K373" s="76" t="str">
        <f aca="false">IF(I373=1,F373,"")</f>
        <v/>
      </c>
      <c r="L373" s="75" t="str">
        <f aca="false">IF(I373=1,COUNT(I$13:I373),"")</f>
        <v/>
      </c>
      <c r="M373" s="76" t="str">
        <f aca="false">IFERROR(INDEX($J$13:$J$412,MATCH(A373,$L$13:$L$412,0)),"")</f>
        <v/>
      </c>
      <c r="N373" s="76" t="str">
        <f aca="false">IFERROR(INDEX($K$13:$K$412,MATCH(A373,$L$13:$L$412,0)),"")</f>
        <v/>
      </c>
      <c r="O373" s="76" t="e">
        <f aca="false">IF(I373=1,E373,NA())</f>
        <v>#N/A</v>
      </c>
      <c r="P373" s="76" t="e">
        <f aca="false">IF(I373=1,F373,NA())</f>
        <v>#N/A</v>
      </c>
      <c r="R373" s="75" t="n">
        <f aca="false">ROWS(R$13:R373)</f>
        <v>361</v>
      </c>
      <c r="S373" s="73" t="str">
        <f aca="false">IF(S372="","",IFERROR(SMALL($AD$10:$AD$509,COUNTIF($AD$10:$AD$509,"&lt;="&amp;S372)+1),""))</f>
        <v/>
      </c>
      <c r="T373" s="74" t="str">
        <f aca="false">IF(S373="","",INDEX($AE$10:$AE$509,MATCH(S373,$AD$10:$AD$509,0)))</f>
        <v/>
      </c>
      <c r="U373" s="74" t="str">
        <f aca="false">IF(S373="","",IFERROR(INDEX($AG$10:$AG$509,MATCH(S373,$AF$10:$AF$509,0)),""))</f>
        <v/>
      </c>
      <c r="V373" s="76" t="str">
        <f aca="false">IF(AND(ISNUMBER(T373),ISNUMBER(T372)),T373/T372-1,"")</f>
        <v/>
      </c>
      <c r="W373" s="76" t="str">
        <f aca="false">IF(AND(ISNUMBER(U373),ISNUMBER(U372)),U373/U372-1,"")</f>
        <v/>
      </c>
      <c r="X373" s="75" t="str">
        <f aca="false">IF(AND(ISNUMBER(V373),ISNUMBER(W373)),1,"")</f>
        <v/>
      </c>
      <c r="Y373" s="76" t="str">
        <f aca="false">IF(X373=1,V373,"")</f>
        <v/>
      </c>
      <c r="Z373" s="76" t="str">
        <f aca="false">IF(X373=1,W373,"")</f>
        <v/>
      </c>
      <c r="AA373" s="76" t="e">
        <f aca="false">IF(X373=1,V373,NA())</f>
        <v>#N/A</v>
      </c>
      <c r="AB373" s="76" t="e">
        <f aca="false">IF(X373=1,W373,NA())</f>
        <v>#N/A</v>
      </c>
      <c r="AD373" s="73" t="str">
        <f aca="false">IF(ISNUMBER(AE373),IF(ISNUMBER('Base de Datos'!A369),IF('Base de Datos'!A369&gt;20000,DATE(YEAR('Base de Datos'!A369),DAY('Base de Datos'!A369),MONTH('Base de Datos'!A369)),""),IF(TRIM('Base de Datos'!A369)="","",IFERROR(DATE(VALUE(RIGHT(TRIM('Base de Datos'!A369),4)),VALUE(LEFT(TRIM('Base de Datos'!A369),2)),VALUE(MID(TRIM('Base de Datos'!A369),4,2))),""))),"")</f>
        <v/>
      </c>
      <c r="AE373" s="74" t="str">
        <f aca="false">IF(ISNUMBER('Base de Datos'!B369),'Base de Datos'!B369,IF(TRIM('Base de Datos'!B369)="","",IFERROR(IF(IFERROR(FIND("@",SUBSTITUTE(TRIM('Base de Datos'!B369),",","@",LEN(TRIM('Base de Datos'!B369))-LEN(SUBSTITUTE(TRIM('Base de Datos'!B369),",","")))),0)&gt;IFERROR(FIND("@",SUBSTITUTE(TRIM('Base de Datos'!B369),".","@",LEN(TRIM('Base de Datos'!B369))-LEN(SUBSTITUTE(TRIM('Base de Datos'!B369),".","")))),0),_xlfn.NUMBERVALUE(SUBSTITUTE(SUBSTITUTE(TRIM('Base de Datos'!B369),".",""),",","."),".",","),_xlfn.NUMBERVALUE(SUBSTITUTE(TRIM('Base de Datos'!B369),",",""),".",",")),"")))</f>
        <v/>
      </c>
      <c r="AF373" s="73" t="str">
        <f aca="false">IF(ISNUMBER(AG373),IF(ISNUMBER('Base de Datos'!I369),IF('Base de Datos'!I369&gt;20000,INT('Base de Datos'!I369),""),IF(TRIM('Base de Datos'!I369)="","",IFERROR(DATE(VALUE(RIGHT(TRIM('Base de Datos'!I369),4)),VALUE(MID(TRIM('Base de Datos'!I369),4,2)),VALUE(LEFT(TRIM('Base de Datos'!I369),2))),IFERROR(DATEVALUE(TRIM('Base de Datos'!I369)),"")))),"")</f>
        <v/>
      </c>
      <c r="AG373" s="74" t="str">
        <f aca="false">IF(ISNUMBER('Base de Datos'!J369),'Base de Datos'!J369,IF(TRIM('Base de Datos'!J369)="","",IFERROR(IF(IFERROR(FIND("@",SUBSTITUTE(TRIM('Base de Datos'!J369),",","@",LEN(TRIM('Base de Datos'!J369))-LEN(SUBSTITUTE(TRIM('Base de Datos'!J369),",","")))),0)&gt;IFERROR(FIND("@",SUBSTITUTE(TRIM('Base de Datos'!J369),".","@",LEN(TRIM('Base de Datos'!J369))-LEN(SUBSTITUTE(TRIM('Base de Datos'!J369),".","")))),0),_xlfn.NUMBERVALUE(SUBSTITUTE(SUBSTITUTE(TRIM('Base de Datos'!J369),".",""),",","."),".",","),_xlfn.NUMBERVALUE(SUBSTITUTE(TRIM('Base de Datos'!J369),",",""),".",",")),"")))</f>
        <v/>
      </c>
      <c r="AH373" s="73" t="str">
        <f aca="false">IF(ISNUMBER(AI373),IF(ISNUMBER('Base de Datos'!Q369),IF('Base de Datos'!Q369&gt;20000,DATE(YEAR('Base de Datos'!Q369),DAY('Base de Datos'!Q369),MONTH('Base de Datos'!Q369)),""),IF(TRIM('Base de Datos'!Q369)="","",IFERROR(DATE(VALUE(RIGHT(TRIM('Base de Datos'!Q369),4)),VALUE(LEFT(TRIM('Base de Datos'!Q369),2)),VALUE(MID(TRIM('Base de Datos'!Q369),4,2))),""))),"")</f>
        <v/>
      </c>
      <c r="AI373" s="74" t="str">
        <f aca="false">IF(ISNUMBER('Base de Datos'!R369),'Base de Datos'!R369,IF(TRIM('Base de Datos'!R369)="","",IFERROR(IF(IFERROR(FIND("@",SUBSTITUTE(TRIM('Base de Datos'!R369),",","@",LEN(TRIM('Base de Datos'!R369))-LEN(SUBSTITUTE(TRIM('Base de Datos'!R369),",","")))),0)&gt;IFERROR(FIND("@",SUBSTITUTE(TRIM('Base de Datos'!R369),".","@",LEN(TRIM('Base de Datos'!R369))-LEN(SUBSTITUTE(TRIM('Base de Datos'!R369),".","")))),0),_xlfn.NUMBERVALUE(SUBSTITUTE(SUBSTITUTE(TRIM('Base de Datos'!R369),".",""),",","."),".",","),_xlfn.NUMBERVALUE(SUBSTITUTE(TRIM('Base de Datos'!R369),",",""),".",",")),"")))</f>
        <v/>
      </c>
      <c r="AJ373" s="73" t="str">
        <f aca="false">IF(ISNUMBER(AK373),IF(ISNUMBER('Base de Datos'!Y369),IF('Base de Datos'!Y369&gt;20000,INT('Base de Datos'!Y369),""),IF(TRIM('Base de Datos'!Y369)="","",IFERROR(DATE(VALUE(RIGHT(TRIM('Base de Datos'!Y369),4)),VALUE(MID(TRIM('Base de Datos'!Y369),4,2)),VALUE(LEFT(TRIM('Base de Datos'!Y369),2))),IFERROR(DATEVALUE(TRIM('Base de Datos'!Y369)),"")))),"")</f>
        <v/>
      </c>
      <c r="AK373" s="74" t="str">
        <f aca="false">IF(ISNUMBER('Base de Datos'!Z369),'Base de Datos'!Z369,IF(TRIM('Base de Datos'!Z369)="","",IFERROR(IF(IFERROR(FIND("@",SUBSTITUTE(TRIM('Base de Datos'!Z369),",","@",LEN(TRIM('Base de Datos'!Z369))-LEN(SUBSTITUTE(TRIM('Base de Datos'!Z369),",","")))),0)&gt;IFERROR(FIND("@",SUBSTITUTE(TRIM('Base de Datos'!Z369),".","@",LEN(TRIM('Base de Datos'!Z369))-LEN(SUBSTITUTE(TRIM('Base de Datos'!Z369),".","")))),0),_xlfn.NUMBERVALUE(SUBSTITUTE(SUBSTITUTE(TRIM('Base de Datos'!Z369),".",""),",","."),".",","),_xlfn.NUMBERVALUE(SUBSTITUTE(TRIM('Base de Datos'!Z369),",",""),".",",")),"")))</f>
        <v/>
      </c>
    </row>
    <row r="374" customFormat="false" ht="13.5" hidden="false" customHeight="false" outlineLevel="0" collapsed="false">
      <c r="A374" s="75" t="n">
        <f aca="false">ROWS(A$13:A374)</f>
        <v>362</v>
      </c>
      <c r="B374" s="73" t="str">
        <f aca="false">IF(B373="","",IFERROR(SMALL($AH$10:$AH$409,COUNTIF($AH$10:$AH$409,"&lt;="&amp;B373)+1),""))</f>
        <v/>
      </c>
      <c r="C374" s="74" t="str">
        <f aca="false">IF(B374="","",INDEX($AI$10:$AI$409,MATCH(B374,$AH$10:$AH$409,0)))</f>
        <v/>
      </c>
      <c r="D374" s="74" t="str">
        <f aca="false">IF(B374="","",IFERROR(INDEX($AK$10:$AK$409,MATCH(B374,$AJ$10:$AJ$409,0)),""))</f>
        <v/>
      </c>
      <c r="E374" s="76" t="str">
        <f aca="false">IF(AND(ISNUMBER(C374),ISNUMBER(C373)),C374/C373-1,"")</f>
        <v/>
      </c>
      <c r="F374" s="76" t="str">
        <f aca="false">IF(AND(ISNUMBER(D374),ISNUMBER(D373)),D374/D373-1,"")</f>
        <v/>
      </c>
      <c r="G374" s="75" t="str">
        <f aca="false">IF(AND(ISNUMBER(E374),ISNUMBER(F374)),1,"")</f>
        <v/>
      </c>
      <c r="H374" s="75" t="str">
        <f aca="false">IF(G374=1,COUNT(G374:G$412),"")</f>
        <v/>
      </c>
      <c r="I374" s="75" t="str">
        <f aca="false">IF(G374=1,IF(H374&lt;='Beta Regresión'!$B$5,1,""),"")</f>
        <v/>
      </c>
      <c r="J374" s="76" t="str">
        <f aca="false">IF(I374=1,E374,"")</f>
        <v/>
      </c>
      <c r="K374" s="76" t="str">
        <f aca="false">IF(I374=1,F374,"")</f>
        <v/>
      </c>
      <c r="L374" s="75" t="str">
        <f aca="false">IF(I374=1,COUNT(I$13:I374),"")</f>
        <v/>
      </c>
      <c r="M374" s="76" t="str">
        <f aca="false">IFERROR(INDEX($J$13:$J$412,MATCH(A374,$L$13:$L$412,0)),"")</f>
        <v/>
      </c>
      <c r="N374" s="76" t="str">
        <f aca="false">IFERROR(INDEX($K$13:$K$412,MATCH(A374,$L$13:$L$412,0)),"")</f>
        <v/>
      </c>
      <c r="O374" s="76" t="e">
        <f aca="false">IF(I374=1,E374,NA())</f>
        <v>#N/A</v>
      </c>
      <c r="P374" s="76" t="e">
        <f aca="false">IF(I374=1,F374,NA())</f>
        <v>#N/A</v>
      </c>
      <c r="R374" s="75" t="n">
        <f aca="false">ROWS(R$13:R374)</f>
        <v>362</v>
      </c>
      <c r="S374" s="73" t="str">
        <f aca="false">IF(S373="","",IFERROR(SMALL($AD$10:$AD$509,COUNTIF($AD$10:$AD$509,"&lt;="&amp;S373)+1),""))</f>
        <v/>
      </c>
      <c r="T374" s="74" t="str">
        <f aca="false">IF(S374="","",INDEX($AE$10:$AE$509,MATCH(S374,$AD$10:$AD$509,0)))</f>
        <v/>
      </c>
      <c r="U374" s="74" t="str">
        <f aca="false">IF(S374="","",IFERROR(INDEX($AG$10:$AG$509,MATCH(S374,$AF$10:$AF$509,0)),""))</f>
        <v/>
      </c>
      <c r="V374" s="76" t="str">
        <f aca="false">IF(AND(ISNUMBER(T374),ISNUMBER(T373)),T374/T373-1,"")</f>
        <v/>
      </c>
      <c r="W374" s="76" t="str">
        <f aca="false">IF(AND(ISNUMBER(U374),ISNUMBER(U373)),U374/U373-1,"")</f>
        <v/>
      </c>
      <c r="X374" s="75" t="str">
        <f aca="false">IF(AND(ISNUMBER(V374),ISNUMBER(W374)),1,"")</f>
        <v/>
      </c>
      <c r="Y374" s="76" t="str">
        <f aca="false">IF(X374=1,V374,"")</f>
        <v/>
      </c>
      <c r="Z374" s="76" t="str">
        <f aca="false">IF(X374=1,W374,"")</f>
        <v/>
      </c>
      <c r="AA374" s="76" t="e">
        <f aca="false">IF(X374=1,V374,NA())</f>
        <v>#N/A</v>
      </c>
      <c r="AB374" s="76" t="e">
        <f aca="false">IF(X374=1,W374,NA())</f>
        <v>#N/A</v>
      </c>
      <c r="AD374" s="73" t="str">
        <f aca="false">IF(ISNUMBER(AE374),IF(ISNUMBER('Base de Datos'!A370),IF('Base de Datos'!A370&gt;20000,DATE(YEAR('Base de Datos'!A370),DAY('Base de Datos'!A370),MONTH('Base de Datos'!A370)),""),IF(TRIM('Base de Datos'!A370)="","",IFERROR(DATE(VALUE(RIGHT(TRIM('Base de Datos'!A370),4)),VALUE(LEFT(TRIM('Base de Datos'!A370),2)),VALUE(MID(TRIM('Base de Datos'!A370),4,2))),""))),"")</f>
        <v/>
      </c>
      <c r="AE374" s="74" t="str">
        <f aca="false">IF(ISNUMBER('Base de Datos'!B370),'Base de Datos'!B370,IF(TRIM('Base de Datos'!B370)="","",IFERROR(IF(IFERROR(FIND("@",SUBSTITUTE(TRIM('Base de Datos'!B370),",","@",LEN(TRIM('Base de Datos'!B370))-LEN(SUBSTITUTE(TRIM('Base de Datos'!B370),",","")))),0)&gt;IFERROR(FIND("@",SUBSTITUTE(TRIM('Base de Datos'!B370),".","@",LEN(TRIM('Base de Datos'!B370))-LEN(SUBSTITUTE(TRIM('Base de Datos'!B370),".","")))),0),_xlfn.NUMBERVALUE(SUBSTITUTE(SUBSTITUTE(TRIM('Base de Datos'!B370),".",""),",","."),".",","),_xlfn.NUMBERVALUE(SUBSTITUTE(TRIM('Base de Datos'!B370),",",""),".",",")),"")))</f>
        <v/>
      </c>
      <c r="AF374" s="73" t="str">
        <f aca="false">IF(ISNUMBER(AG374),IF(ISNUMBER('Base de Datos'!I370),IF('Base de Datos'!I370&gt;20000,INT('Base de Datos'!I370),""),IF(TRIM('Base de Datos'!I370)="","",IFERROR(DATE(VALUE(RIGHT(TRIM('Base de Datos'!I370),4)),VALUE(MID(TRIM('Base de Datos'!I370),4,2)),VALUE(LEFT(TRIM('Base de Datos'!I370),2))),IFERROR(DATEVALUE(TRIM('Base de Datos'!I370)),"")))),"")</f>
        <v/>
      </c>
      <c r="AG374" s="74" t="str">
        <f aca="false">IF(ISNUMBER('Base de Datos'!J370),'Base de Datos'!J370,IF(TRIM('Base de Datos'!J370)="","",IFERROR(IF(IFERROR(FIND("@",SUBSTITUTE(TRIM('Base de Datos'!J370),",","@",LEN(TRIM('Base de Datos'!J370))-LEN(SUBSTITUTE(TRIM('Base de Datos'!J370),",","")))),0)&gt;IFERROR(FIND("@",SUBSTITUTE(TRIM('Base de Datos'!J370),".","@",LEN(TRIM('Base de Datos'!J370))-LEN(SUBSTITUTE(TRIM('Base de Datos'!J370),".","")))),0),_xlfn.NUMBERVALUE(SUBSTITUTE(SUBSTITUTE(TRIM('Base de Datos'!J370),".",""),",","."),".",","),_xlfn.NUMBERVALUE(SUBSTITUTE(TRIM('Base de Datos'!J370),",",""),".",",")),"")))</f>
        <v/>
      </c>
      <c r="AH374" s="73" t="str">
        <f aca="false">IF(ISNUMBER(AI374),IF(ISNUMBER('Base de Datos'!Q370),IF('Base de Datos'!Q370&gt;20000,DATE(YEAR('Base de Datos'!Q370),DAY('Base de Datos'!Q370),MONTH('Base de Datos'!Q370)),""),IF(TRIM('Base de Datos'!Q370)="","",IFERROR(DATE(VALUE(RIGHT(TRIM('Base de Datos'!Q370),4)),VALUE(LEFT(TRIM('Base de Datos'!Q370),2)),VALUE(MID(TRIM('Base de Datos'!Q370),4,2))),""))),"")</f>
        <v/>
      </c>
      <c r="AI374" s="74" t="str">
        <f aca="false">IF(ISNUMBER('Base de Datos'!R370),'Base de Datos'!R370,IF(TRIM('Base de Datos'!R370)="","",IFERROR(IF(IFERROR(FIND("@",SUBSTITUTE(TRIM('Base de Datos'!R370),",","@",LEN(TRIM('Base de Datos'!R370))-LEN(SUBSTITUTE(TRIM('Base de Datos'!R370),",","")))),0)&gt;IFERROR(FIND("@",SUBSTITUTE(TRIM('Base de Datos'!R370),".","@",LEN(TRIM('Base de Datos'!R370))-LEN(SUBSTITUTE(TRIM('Base de Datos'!R370),".","")))),0),_xlfn.NUMBERVALUE(SUBSTITUTE(SUBSTITUTE(TRIM('Base de Datos'!R370),".",""),",","."),".",","),_xlfn.NUMBERVALUE(SUBSTITUTE(TRIM('Base de Datos'!R370),",",""),".",",")),"")))</f>
        <v/>
      </c>
      <c r="AJ374" s="73" t="str">
        <f aca="false">IF(ISNUMBER(AK374),IF(ISNUMBER('Base de Datos'!Y370),IF('Base de Datos'!Y370&gt;20000,INT('Base de Datos'!Y370),""),IF(TRIM('Base de Datos'!Y370)="","",IFERROR(DATE(VALUE(RIGHT(TRIM('Base de Datos'!Y370),4)),VALUE(MID(TRIM('Base de Datos'!Y370),4,2)),VALUE(LEFT(TRIM('Base de Datos'!Y370),2))),IFERROR(DATEVALUE(TRIM('Base de Datos'!Y370)),"")))),"")</f>
        <v/>
      </c>
      <c r="AK374" s="74" t="str">
        <f aca="false">IF(ISNUMBER('Base de Datos'!Z370),'Base de Datos'!Z370,IF(TRIM('Base de Datos'!Z370)="","",IFERROR(IF(IFERROR(FIND("@",SUBSTITUTE(TRIM('Base de Datos'!Z370),",","@",LEN(TRIM('Base de Datos'!Z370))-LEN(SUBSTITUTE(TRIM('Base de Datos'!Z370),",","")))),0)&gt;IFERROR(FIND("@",SUBSTITUTE(TRIM('Base de Datos'!Z370),".","@",LEN(TRIM('Base de Datos'!Z370))-LEN(SUBSTITUTE(TRIM('Base de Datos'!Z370),".","")))),0),_xlfn.NUMBERVALUE(SUBSTITUTE(SUBSTITUTE(TRIM('Base de Datos'!Z370),".",""),",","."),".",","),_xlfn.NUMBERVALUE(SUBSTITUTE(TRIM('Base de Datos'!Z370),",",""),".",",")),"")))</f>
        <v/>
      </c>
    </row>
    <row r="375" customFormat="false" ht="13.5" hidden="false" customHeight="false" outlineLevel="0" collapsed="false">
      <c r="A375" s="75" t="n">
        <f aca="false">ROWS(A$13:A375)</f>
        <v>363</v>
      </c>
      <c r="B375" s="73" t="str">
        <f aca="false">IF(B374="","",IFERROR(SMALL($AH$10:$AH$409,COUNTIF($AH$10:$AH$409,"&lt;="&amp;B374)+1),""))</f>
        <v/>
      </c>
      <c r="C375" s="74" t="str">
        <f aca="false">IF(B375="","",INDEX($AI$10:$AI$409,MATCH(B375,$AH$10:$AH$409,0)))</f>
        <v/>
      </c>
      <c r="D375" s="74" t="str">
        <f aca="false">IF(B375="","",IFERROR(INDEX($AK$10:$AK$409,MATCH(B375,$AJ$10:$AJ$409,0)),""))</f>
        <v/>
      </c>
      <c r="E375" s="76" t="str">
        <f aca="false">IF(AND(ISNUMBER(C375),ISNUMBER(C374)),C375/C374-1,"")</f>
        <v/>
      </c>
      <c r="F375" s="76" t="str">
        <f aca="false">IF(AND(ISNUMBER(D375),ISNUMBER(D374)),D375/D374-1,"")</f>
        <v/>
      </c>
      <c r="G375" s="75" t="str">
        <f aca="false">IF(AND(ISNUMBER(E375),ISNUMBER(F375)),1,"")</f>
        <v/>
      </c>
      <c r="H375" s="75" t="str">
        <f aca="false">IF(G375=1,COUNT(G375:G$412),"")</f>
        <v/>
      </c>
      <c r="I375" s="75" t="str">
        <f aca="false">IF(G375=1,IF(H375&lt;='Beta Regresión'!$B$5,1,""),"")</f>
        <v/>
      </c>
      <c r="J375" s="76" t="str">
        <f aca="false">IF(I375=1,E375,"")</f>
        <v/>
      </c>
      <c r="K375" s="76" t="str">
        <f aca="false">IF(I375=1,F375,"")</f>
        <v/>
      </c>
      <c r="L375" s="75" t="str">
        <f aca="false">IF(I375=1,COUNT(I$13:I375),"")</f>
        <v/>
      </c>
      <c r="M375" s="76" t="str">
        <f aca="false">IFERROR(INDEX($J$13:$J$412,MATCH(A375,$L$13:$L$412,0)),"")</f>
        <v/>
      </c>
      <c r="N375" s="76" t="str">
        <f aca="false">IFERROR(INDEX($K$13:$K$412,MATCH(A375,$L$13:$L$412,0)),"")</f>
        <v/>
      </c>
      <c r="O375" s="76" t="e">
        <f aca="false">IF(I375=1,E375,NA())</f>
        <v>#N/A</v>
      </c>
      <c r="P375" s="76" t="e">
        <f aca="false">IF(I375=1,F375,NA())</f>
        <v>#N/A</v>
      </c>
      <c r="R375" s="75" t="n">
        <f aca="false">ROWS(R$13:R375)</f>
        <v>363</v>
      </c>
      <c r="S375" s="73" t="str">
        <f aca="false">IF(S374="","",IFERROR(SMALL($AD$10:$AD$509,COUNTIF($AD$10:$AD$509,"&lt;="&amp;S374)+1),""))</f>
        <v/>
      </c>
      <c r="T375" s="74" t="str">
        <f aca="false">IF(S375="","",INDEX($AE$10:$AE$509,MATCH(S375,$AD$10:$AD$509,0)))</f>
        <v/>
      </c>
      <c r="U375" s="74" t="str">
        <f aca="false">IF(S375="","",IFERROR(INDEX($AG$10:$AG$509,MATCH(S375,$AF$10:$AF$509,0)),""))</f>
        <v/>
      </c>
      <c r="V375" s="76" t="str">
        <f aca="false">IF(AND(ISNUMBER(T375),ISNUMBER(T374)),T375/T374-1,"")</f>
        <v/>
      </c>
      <c r="W375" s="76" t="str">
        <f aca="false">IF(AND(ISNUMBER(U375),ISNUMBER(U374)),U375/U374-1,"")</f>
        <v/>
      </c>
      <c r="X375" s="75" t="str">
        <f aca="false">IF(AND(ISNUMBER(V375),ISNUMBER(W375)),1,"")</f>
        <v/>
      </c>
      <c r="Y375" s="76" t="str">
        <f aca="false">IF(X375=1,V375,"")</f>
        <v/>
      </c>
      <c r="Z375" s="76" t="str">
        <f aca="false">IF(X375=1,W375,"")</f>
        <v/>
      </c>
      <c r="AA375" s="76" t="e">
        <f aca="false">IF(X375=1,V375,NA())</f>
        <v>#N/A</v>
      </c>
      <c r="AB375" s="76" t="e">
        <f aca="false">IF(X375=1,W375,NA())</f>
        <v>#N/A</v>
      </c>
      <c r="AD375" s="73" t="str">
        <f aca="false">IF(ISNUMBER(AE375),IF(ISNUMBER('Base de Datos'!A371),IF('Base de Datos'!A371&gt;20000,DATE(YEAR('Base de Datos'!A371),DAY('Base de Datos'!A371),MONTH('Base de Datos'!A371)),""),IF(TRIM('Base de Datos'!A371)="","",IFERROR(DATE(VALUE(RIGHT(TRIM('Base de Datos'!A371),4)),VALUE(LEFT(TRIM('Base de Datos'!A371),2)),VALUE(MID(TRIM('Base de Datos'!A371),4,2))),""))),"")</f>
        <v/>
      </c>
      <c r="AE375" s="74" t="str">
        <f aca="false">IF(ISNUMBER('Base de Datos'!B371),'Base de Datos'!B371,IF(TRIM('Base de Datos'!B371)="","",IFERROR(IF(IFERROR(FIND("@",SUBSTITUTE(TRIM('Base de Datos'!B371),",","@",LEN(TRIM('Base de Datos'!B371))-LEN(SUBSTITUTE(TRIM('Base de Datos'!B371),",","")))),0)&gt;IFERROR(FIND("@",SUBSTITUTE(TRIM('Base de Datos'!B371),".","@",LEN(TRIM('Base de Datos'!B371))-LEN(SUBSTITUTE(TRIM('Base de Datos'!B371),".","")))),0),_xlfn.NUMBERVALUE(SUBSTITUTE(SUBSTITUTE(TRIM('Base de Datos'!B371),".",""),",","."),".",","),_xlfn.NUMBERVALUE(SUBSTITUTE(TRIM('Base de Datos'!B371),",",""),".",",")),"")))</f>
        <v/>
      </c>
      <c r="AF375" s="73" t="str">
        <f aca="false">IF(ISNUMBER(AG375),IF(ISNUMBER('Base de Datos'!I371),IF('Base de Datos'!I371&gt;20000,INT('Base de Datos'!I371),""),IF(TRIM('Base de Datos'!I371)="","",IFERROR(DATE(VALUE(RIGHT(TRIM('Base de Datos'!I371),4)),VALUE(MID(TRIM('Base de Datos'!I371),4,2)),VALUE(LEFT(TRIM('Base de Datos'!I371),2))),IFERROR(DATEVALUE(TRIM('Base de Datos'!I371)),"")))),"")</f>
        <v/>
      </c>
      <c r="AG375" s="74" t="str">
        <f aca="false">IF(ISNUMBER('Base de Datos'!J371),'Base de Datos'!J371,IF(TRIM('Base de Datos'!J371)="","",IFERROR(IF(IFERROR(FIND("@",SUBSTITUTE(TRIM('Base de Datos'!J371),",","@",LEN(TRIM('Base de Datos'!J371))-LEN(SUBSTITUTE(TRIM('Base de Datos'!J371),",","")))),0)&gt;IFERROR(FIND("@",SUBSTITUTE(TRIM('Base de Datos'!J371),".","@",LEN(TRIM('Base de Datos'!J371))-LEN(SUBSTITUTE(TRIM('Base de Datos'!J371),".","")))),0),_xlfn.NUMBERVALUE(SUBSTITUTE(SUBSTITUTE(TRIM('Base de Datos'!J371),".",""),",","."),".",","),_xlfn.NUMBERVALUE(SUBSTITUTE(TRIM('Base de Datos'!J371),",",""),".",",")),"")))</f>
        <v/>
      </c>
      <c r="AH375" s="73" t="str">
        <f aca="false">IF(ISNUMBER(AI375),IF(ISNUMBER('Base de Datos'!Q371),IF('Base de Datos'!Q371&gt;20000,DATE(YEAR('Base de Datos'!Q371),DAY('Base de Datos'!Q371),MONTH('Base de Datos'!Q371)),""),IF(TRIM('Base de Datos'!Q371)="","",IFERROR(DATE(VALUE(RIGHT(TRIM('Base de Datos'!Q371),4)),VALUE(LEFT(TRIM('Base de Datos'!Q371),2)),VALUE(MID(TRIM('Base de Datos'!Q371),4,2))),""))),"")</f>
        <v/>
      </c>
      <c r="AI375" s="74" t="str">
        <f aca="false">IF(ISNUMBER('Base de Datos'!R371),'Base de Datos'!R371,IF(TRIM('Base de Datos'!R371)="","",IFERROR(IF(IFERROR(FIND("@",SUBSTITUTE(TRIM('Base de Datos'!R371),",","@",LEN(TRIM('Base de Datos'!R371))-LEN(SUBSTITUTE(TRIM('Base de Datos'!R371),",","")))),0)&gt;IFERROR(FIND("@",SUBSTITUTE(TRIM('Base de Datos'!R371),".","@",LEN(TRIM('Base de Datos'!R371))-LEN(SUBSTITUTE(TRIM('Base de Datos'!R371),".","")))),0),_xlfn.NUMBERVALUE(SUBSTITUTE(SUBSTITUTE(TRIM('Base de Datos'!R371),".",""),",","."),".",","),_xlfn.NUMBERVALUE(SUBSTITUTE(TRIM('Base de Datos'!R371),",",""),".",",")),"")))</f>
        <v/>
      </c>
      <c r="AJ375" s="73" t="str">
        <f aca="false">IF(ISNUMBER(AK375),IF(ISNUMBER('Base de Datos'!Y371),IF('Base de Datos'!Y371&gt;20000,INT('Base de Datos'!Y371),""),IF(TRIM('Base de Datos'!Y371)="","",IFERROR(DATE(VALUE(RIGHT(TRIM('Base de Datos'!Y371),4)),VALUE(MID(TRIM('Base de Datos'!Y371),4,2)),VALUE(LEFT(TRIM('Base de Datos'!Y371),2))),IFERROR(DATEVALUE(TRIM('Base de Datos'!Y371)),"")))),"")</f>
        <v/>
      </c>
      <c r="AK375" s="74" t="str">
        <f aca="false">IF(ISNUMBER('Base de Datos'!Z371),'Base de Datos'!Z371,IF(TRIM('Base de Datos'!Z371)="","",IFERROR(IF(IFERROR(FIND("@",SUBSTITUTE(TRIM('Base de Datos'!Z371),",","@",LEN(TRIM('Base de Datos'!Z371))-LEN(SUBSTITUTE(TRIM('Base de Datos'!Z371),",","")))),0)&gt;IFERROR(FIND("@",SUBSTITUTE(TRIM('Base de Datos'!Z371),".","@",LEN(TRIM('Base de Datos'!Z371))-LEN(SUBSTITUTE(TRIM('Base de Datos'!Z371),".","")))),0),_xlfn.NUMBERVALUE(SUBSTITUTE(SUBSTITUTE(TRIM('Base de Datos'!Z371),".",""),",","."),".",","),_xlfn.NUMBERVALUE(SUBSTITUTE(TRIM('Base de Datos'!Z371),",",""),".",",")),"")))</f>
        <v/>
      </c>
    </row>
    <row r="376" customFormat="false" ht="13.5" hidden="false" customHeight="false" outlineLevel="0" collapsed="false">
      <c r="A376" s="75" t="n">
        <f aca="false">ROWS(A$13:A376)</f>
        <v>364</v>
      </c>
      <c r="B376" s="73" t="str">
        <f aca="false">IF(B375="","",IFERROR(SMALL($AH$10:$AH$409,COUNTIF($AH$10:$AH$409,"&lt;="&amp;B375)+1),""))</f>
        <v/>
      </c>
      <c r="C376" s="74" t="str">
        <f aca="false">IF(B376="","",INDEX($AI$10:$AI$409,MATCH(B376,$AH$10:$AH$409,0)))</f>
        <v/>
      </c>
      <c r="D376" s="74" t="str">
        <f aca="false">IF(B376="","",IFERROR(INDEX($AK$10:$AK$409,MATCH(B376,$AJ$10:$AJ$409,0)),""))</f>
        <v/>
      </c>
      <c r="E376" s="76" t="str">
        <f aca="false">IF(AND(ISNUMBER(C376),ISNUMBER(C375)),C376/C375-1,"")</f>
        <v/>
      </c>
      <c r="F376" s="76" t="str">
        <f aca="false">IF(AND(ISNUMBER(D376),ISNUMBER(D375)),D376/D375-1,"")</f>
        <v/>
      </c>
      <c r="G376" s="75" t="str">
        <f aca="false">IF(AND(ISNUMBER(E376),ISNUMBER(F376)),1,"")</f>
        <v/>
      </c>
      <c r="H376" s="75" t="str">
        <f aca="false">IF(G376=1,COUNT(G376:G$412),"")</f>
        <v/>
      </c>
      <c r="I376" s="75" t="str">
        <f aca="false">IF(G376=1,IF(H376&lt;='Beta Regresión'!$B$5,1,""),"")</f>
        <v/>
      </c>
      <c r="J376" s="76" t="str">
        <f aca="false">IF(I376=1,E376,"")</f>
        <v/>
      </c>
      <c r="K376" s="76" t="str">
        <f aca="false">IF(I376=1,F376,"")</f>
        <v/>
      </c>
      <c r="L376" s="75" t="str">
        <f aca="false">IF(I376=1,COUNT(I$13:I376),"")</f>
        <v/>
      </c>
      <c r="M376" s="76" t="str">
        <f aca="false">IFERROR(INDEX($J$13:$J$412,MATCH(A376,$L$13:$L$412,0)),"")</f>
        <v/>
      </c>
      <c r="N376" s="76" t="str">
        <f aca="false">IFERROR(INDEX($K$13:$K$412,MATCH(A376,$L$13:$L$412,0)),"")</f>
        <v/>
      </c>
      <c r="O376" s="76" t="e">
        <f aca="false">IF(I376=1,E376,NA())</f>
        <v>#N/A</v>
      </c>
      <c r="P376" s="76" t="e">
        <f aca="false">IF(I376=1,F376,NA())</f>
        <v>#N/A</v>
      </c>
      <c r="R376" s="75" t="n">
        <f aca="false">ROWS(R$13:R376)</f>
        <v>364</v>
      </c>
      <c r="S376" s="73" t="str">
        <f aca="false">IF(S375="","",IFERROR(SMALL($AD$10:$AD$509,COUNTIF($AD$10:$AD$509,"&lt;="&amp;S375)+1),""))</f>
        <v/>
      </c>
      <c r="T376" s="74" t="str">
        <f aca="false">IF(S376="","",INDEX($AE$10:$AE$509,MATCH(S376,$AD$10:$AD$509,0)))</f>
        <v/>
      </c>
      <c r="U376" s="74" t="str">
        <f aca="false">IF(S376="","",IFERROR(INDEX($AG$10:$AG$509,MATCH(S376,$AF$10:$AF$509,0)),""))</f>
        <v/>
      </c>
      <c r="V376" s="76" t="str">
        <f aca="false">IF(AND(ISNUMBER(T376),ISNUMBER(T375)),T376/T375-1,"")</f>
        <v/>
      </c>
      <c r="W376" s="76" t="str">
        <f aca="false">IF(AND(ISNUMBER(U376),ISNUMBER(U375)),U376/U375-1,"")</f>
        <v/>
      </c>
      <c r="X376" s="75" t="str">
        <f aca="false">IF(AND(ISNUMBER(V376),ISNUMBER(W376)),1,"")</f>
        <v/>
      </c>
      <c r="Y376" s="76" t="str">
        <f aca="false">IF(X376=1,V376,"")</f>
        <v/>
      </c>
      <c r="Z376" s="76" t="str">
        <f aca="false">IF(X376=1,W376,"")</f>
        <v/>
      </c>
      <c r="AA376" s="76" t="e">
        <f aca="false">IF(X376=1,V376,NA())</f>
        <v>#N/A</v>
      </c>
      <c r="AB376" s="76" t="e">
        <f aca="false">IF(X376=1,W376,NA())</f>
        <v>#N/A</v>
      </c>
      <c r="AD376" s="73" t="str">
        <f aca="false">IF(ISNUMBER(AE376),IF(ISNUMBER('Base de Datos'!A372),IF('Base de Datos'!A372&gt;20000,DATE(YEAR('Base de Datos'!A372),DAY('Base de Datos'!A372),MONTH('Base de Datos'!A372)),""),IF(TRIM('Base de Datos'!A372)="","",IFERROR(DATE(VALUE(RIGHT(TRIM('Base de Datos'!A372),4)),VALUE(LEFT(TRIM('Base de Datos'!A372),2)),VALUE(MID(TRIM('Base de Datos'!A372),4,2))),""))),"")</f>
        <v/>
      </c>
      <c r="AE376" s="74" t="str">
        <f aca="false">IF(ISNUMBER('Base de Datos'!B372),'Base de Datos'!B372,IF(TRIM('Base de Datos'!B372)="","",IFERROR(IF(IFERROR(FIND("@",SUBSTITUTE(TRIM('Base de Datos'!B372),",","@",LEN(TRIM('Base de Datos'!B372))-LEN(SUBSTITUTE(TRIM('Base de Datos'!B372),",","")))),0)&gt;IFERROR(FIND("@",SUBSTITUTE(TRIM('Base de Datos'!B372),".","@",LEN(TRIM('Base de Datos'!B372))-LEN(SUBSTITUTE(TRIM('Base de Datos'!B372),".","")))),0),_xlfn.NUMBERVALUE(SUBSTITUTE(SUBSTITUTE(TRIM('Base de Datos'!B372),".",""),",","."),".",","),_xlfn.NUMBERVALUE(SUBSTITUTE(TRIM('Base de Datos'!B372),",",""),".",",")),"")))</f>
        <v/>
      </c>
      <c r="AF376" s="73" t="str">
        <f aca="false">IF(ISNUMBER(AG376),IF(ISNUMBER('Base de Datos'!I372),IF('Base de Datos'!I372&gt;20000,INT('Base de Datos'!I372),""),IF(TRIM('Base de Datos'!I372)="","",IFERROR(DATE(VALUE(RIGHT(TRIM('Base de Datos'!I372),4)),VALUE(MID(TRIM('Base de Datos'!I372),4,2)),VALUE(LEFT(TRIM('Base de Datos'!I372),2))),IFERROR(DATEVALUE(TRIM('Base de Datos'!I372)),"")))),"")</f>
        <v/>
      </c>
      <c r="AG376" s="74" t="str">
        <f aca="false">IF(ISNUMBER('Base de Datos'!J372),'Base de Datos'!J372,IF(TRIM('Base de Datos'!J372)="","",IFERROR(IF(IFERROR(FIND("@",SUBSTITUTE(TRIM('Base de Datos'!J372),",","@",LEN(TRIM('Base de Datos'!J372))-LEN(SUBSTITUTE(TRIM('Base de Datos'!J372),",","")))),0)&gt;IFERROR(FIND("@",SUBSTITUTE(TRIM('Base de Datos'!J372),".","@",LEN(TRIM('Base de Datos'!J372))-LEN(SUBSTITUTE(TRIM('Base de Datos'!J372),".","")))),0),_xlfn.NUMBERVALUE(SUBSTITUTE(SUBSTITUTE(TRIM('Base de Datos'!J372),".",""),",","."),".",","),_xlfn.NUMBERVALUE(SUBSTITUTE(TRIM('Base de Datos'!J372),",",""),".",",")),"")))</f>
        <v/>
      </c>
      <c r="AH376" s="73" t="str">
        <f aca="false">IF(ISNUMBER(AI376),IF(ISNUMBER('Base de Datos'!Q372),IF('Base de Datos'!Q372&gt;20000,DATE(YEAR('Base de Datos'!Q372),DAY('Base de Datos'!Q372),MONTH('Base de Datos'!Q372)),""),IF(TRIM('Base de Datos'!Q372)="","",IFERROR(DATE(VALUE(RIGHT(TRIM('Base de Datos'!Q372),4)),VALUE(LEFT(TRIM('Base de Datos'!Q372),2)),VALUE(MID(TRIM('Base de Datos'!Q372),4,2))),""))),"")</f>
        <v/>
      </c>
      <c r="AI376" s="74" t="str">
        <f aca="false">IF(ISNUMBER('Base de Datos'!R372),'Base de Datos'!R372,IF(TRIM('Base de Datos'!R372)="","",IFERROR(IF(IFERROR(FIND("@",SUBSTITUTE(TRIM('Base de Datos'!R372),",","@",LEN(TRIM('Base de Datos'!R372))-LEN(SUBSTITUTE(TRIM('Base de Datos'!R372),",","")))),0)&gt;IFERROR(FIND("@",SUBSTITUTE(TRIM('Base de Datos'!R372),".","@",LEN(TRIM('Base de Datos'!R372))-LEN(SUBSTITUTE(TRIM('Base de Datos'!R372),".","")))),0),_xlfn.NUMBERVALUE(SUBSTITUTE(SUBSTITUTE(TRIM('Base de Datos'!R372),".",""),",","."),".",","),_xlfn.NUMBERVALUE(SUBSTITUTE(TRIM('Base de Datos'!R372),",",""),".",",")),"")))</f>
        <v/>
      </c>
      <c r="AJ376" s="73" t="str">
        <f aca="false">IF(ISNUMBER(AK376),IF(ISNUMBER('Base de Datos'!Y372),IF('Base de Datos'!Y372&gt;20000,INT('Base de Datos'!Y372),""),IF(TRIM('Base de Datos'!Y372)="","",IFERROR(DATE(VALUE(RIGHT(TRIM('Base de Datos'!Y372),4)),VALUE(MID(TRIM('Base de Datos'!Y372),4,2)),VALUE(LEFT(TRIM('Base de Datos'!Y372),2))),IFERROR(DATEVALUE(TRIM('Base de Datos'!Y372)),"")))),"")</f>
        <v/>
      </c>
      <c r="AK376" s="74" t="str">
        <f aca="false">IF(ISNUMBER('Base de Datos'!Z372),'Base de Datos'!Z372,IF(TRIM('Base de Datos'!Z372)="","",IFERROR(IF(IFERROR(FIND("@",SUBSTITUTE(TRIM('Base de Datos'!Z372),",","@",LEN(TRIM('Base de Datos'!Z372))-LEN(SUBSTITUTE(TRIM('Base de Datos'!Z372),",","")))),0)&gt;IFERROR(FIND("@",SUBSTITUTE(TRIM('Base de Datos'!Z372),".","@",LEN(TRIM('Base de Datos'!Z372))-LEN(SUBSTITUTE(TRIM('Base de Datos'!Z372),".","")))),0),_xlfn.NUMBERVALUE(SUBSTITUTE(SUBSTITUTE(TRIM('Base de Datos'!Z372),".",""),",","."),".",","),_xlfn.NUMBERVALUE(SUBSTITUTE(TRIM('Base de Datos'!Z372),",",""),".",",")),"")))</f>
        <v/>
      </c>
    </row>
    <row r="377" customFormat="false" ht="13.5" hidden="false" customHeight="false" outlineLevel="0" collapsed="false">
      <c r="A377" s="75" t="n">
        <f aca="false">ROWS(A$13:A377)</f>
        <v>365</v>
      </c>
      <c r="B377" s="73" t="str">
        <f aca="false">IF(B376="","",IFERROR(SMALL($AH$10:$AH$409,COUNTIF($AH$10:$AH$409,"&lt;="&amp;B376)+1),""))</f>
        <v/>
      </c>
      <c r="C377" s="74" t="str">
        <f aca="false">IF(B377="","",INDEX($AI$10:$AI$409,MATCH(B377,$AH$10:$AH$409,0)))</f>
        <v/>
      </c>
      <c r="D377" s="74" t="str">
        <f aca="false">IF(B377="","",IFERROR(INDEX($AK$10:$AK$409,MATCH(B377,$AJ$10:$AJ$409,0)),""))</f>
        <v/>
      </c>
      <c r="E377" s="76" t="str">
        <f aca="false">IF(AND(ISNUMBER(C377),ISNUMBER(C376)),C377/C376-1,"")</f>
        <v/>
      </c>
      <c r="F377" s="76" t="str">
        <f aca="false">IF(AND(ISNUMBER(D377),ISNUMBER(D376)),D377/D376-1,"")</f>
        <v/>
      </c>
      <c r="G377" s="75" t="str">
        <f aca="false">IF(AND(ISNUMBER(E377),ISNUMBER(F377)),1,"")</f>
        <v/>
      </c>
      <c r="H377" s="75" t="str">
        <f aca="false">IF(G377=1,COUNT(G377:G$412),"")</f>
        <v/>
      </c>
      <c r="I377" s="75" t="str">
        <f aca="false">IF(G377=1,IF(H377&lt;='Beta Regresión'!$B$5,1,""),"")</f>
        <v/>
      </c>
      <c r="J377" s="76" t="str">
        <f aca="false">IF(I377=1,E377,"")</f>
        <v/>
      </c>
      <c r="K377" s="76" t="str">
        <f aca="false">IF(I377=1,F377,"")</f>
        <v/>
      </c>
      <c r="L377" s="75" t="str">
        <f aca="false">IF(I377=1,COUNT(I$13:I377),"")</f>
        <v/>
      </c>
      <c r="M377" s="76" t="str">
        <f aca="false">IFERROR(INDEX($J$13:$J$412,MATCH(A377,$L$13:$L$412,0)),"")</f>
        <v/>
      </c>
      <c r="N377" s="76" t="str">
        <f aca="false">IFERROR(INDEX($K$13:$K$412,MATCH(A377,$L$13:$L$412,0)),"")</f>
        <v/>
      </c>
      <c r="O377" s="76" t="e">
        <f aca="false">IF(I377=1,E377,NA())</f>
        <v>#N/A</v>
      </c>
      <c r="P377" s="76" t="e">
        <f aca="false">IF(I377=1,F377,NA())</f>
        <v>#N/A</v>
      </c>
      <c r="R377" s="75" t="n">
        <f aca="false">ROWS(R$13:R377)</f>
        <v>365</v>
      </c>
      <c r="S377" s="73" t="str">
        <f aca="false">IF(S376="","",IFERROR(SMALL($AD$10:$AD$509,COUNTIF($AD$10:$AD$509,"&lt;="&amp;S376)+1),""))</f>
        <v/>
      </c>
      <c r="T377" s="74" t="str">
        <f aca="false">IF(S377="","",INDEX($AE$10:$AE$509,MATCH(S377,$AD$10:$AD$509,0)))</f>
        <v/>
      </c>
      <c r="U377" s="74" t="str">
        <f aca="false">IF(S377="","",IFERROR(INDEX($AG$10:$AG$509,MATCH(S377,$AF$10:$AF$509,0)),""))</f>
        <v/>
      </c>
      <c r="V377" s="76" t="str">
        <f aca="false">IF(AND(ISNUMBER(T377),ISNUMBER(T376)),T377/T376-1,"")</f>
        <v/>
      </c>
      <c r="W377" s="76" t="str">
        <f aca="false">IF(AND(ISNUMBER(U377),ISNUMBER(U376)),U377/U376-1,"")</f>
        <v/>
      </c>
      <c r="X377" s="75" t="str">
        <f aca="false">IF(AND(ISNUMBER(V377),ISNUMBER(W377)),1,"")</f>
        <v/>
      </c>
      <c r="Y377" s="76" t="str">
        <f aca="false">IF(X377=1,V377,"")</f>
        <v/>
      </c>
      <c r="Z377" s="76" t="str">
        <f aca="false">IF(X377=1,W377,"")</f>
        <v/>
      </c>
      <c r="AA377" s="76" t="e">
        <f aca="false">IF(X377=1,V377,NA())</f>
        <v>#N/A</v>
      </c>
      <c r="AB377" s="76" t="e">
        <f aca="false">IF(X377=1,W377,NA())</f>
        <v>#N/A</v>
      </c>
      <c r="AD377" s="73" t="str">
        <f aca="false">IF(ISNUMBER(AE377),IF(ISNUMBER('Base de Datos'!A373),IF('Base de Datos'!A373&gt;20000,DATE(YEAR('Base de Datos'!A373),DAY('Base de Datos'!A373),MONTH('Base de Datos'!A373)),""),IF(TRIM('Base de Datos'!A373)="","",IFERROR(DATE(VALUE(RIGHT(TRIM('Base de Datos'!A373),4)),VALUE(LEFT(TRIM('Base de Datos'!A373),2)),VALUE(MID(TRIM('Base de Datos'!A373),4,2))),""))),"")</f>
        <v/>
      </c>
      <c r="AE377" s="74" t="str">
        <f aca="false">IF(ISNUMBER('Base de Datos'!B373),'Base de Datos'!B373,IF(TRIM('Base de Datos'!B373)="","",IFERROR(IF(IFERROR(FIND("@",SUBSTITUTE(TRIM('Base de Datos'!B373),",","@",LEN(TRIM('Base de Datos'!B373))-LEN(SUBSTITUTE(TRIM('Base de Datos'!B373),",","")))),0)&gt;IFERROR(FIND("@",SUBSTITUTE(TRIM('Base de Datos'!B373),".","@",LEN(TRIM('Base de Datos'!B373))-LEN(SUBSTITUTE(TRIM('Base de Datos'!B373),".","")))),0),_xlfn.NUMBERVALUE(SUBSTITUTE(SUBSTITUTE(TRIM('Base de Datos'!B373),".",""),",","."),".",","),_xlfn.NUMBERVALUE(SUBSTITUTE(TRIM('Base de Datos'!B373),",",""),".",",")),"")))</f>
        <v/>
      </c>
      <c r="AF377" s="73" t="str">
        <f aca="false">IF(ISNUMBER(AG377),IF(ISNUMBER('Base de Datos'!I373),IF('Base de Datos'!I373&gt;20000,INT('Base de Datos'!I373),""),IF(TRIM('Base de Datos'!I373)="","",IFERROR(DATE(VALUE(RIGHT(TRIM('Base de Datos'!I373),4)),VALUE(MID(TRIM('Base de Datos'!I373),4,2)),VALUE(LEFT(TRIM('Base de Datos'!I373),2))),IFERROR(DATEVALUE(TRIM('Base de Datos'!I373)),"")))),"")</f>
        <v/>
      </c>
      <c r="AG377" s="74" t="str">
        <f aca="false">IF(ISNUMBER('Base de Datos'!J373),'Base de Datos'!J373,IF(TRIM('Base de Datos'!J373)="","",IFERROR(IF(IFERROR(FIND("@",SUBSTITUTE(TRIM('Base de Datos'!J373),",","@",LEN(TRIM('Base de Datos'!J373))-LEN(SUBSTITUTE(TRIM('Base de Datos'!J373),",","")))),0)&gt;IFERROR(FIND("@",SUBSTITUTE(TRIM('Base de Datos'!J373),".","@",LEN(TRIM('Base de Datos'!J373))-LEN(SUBSTITUTE(TRIM('Base de Datos'!J373),".","")))),0),_xlfn.NUMBERVALUE(SUBSTITUTE(SUBSTITUTE(TRIM('Base de Datos'!J373),".",""),",","."),".",","),_xlfn.NUMBERVALUE(SUBSTITUTE(TRIM('Base de Datos'!J373),",",""),".",",")),"")))</f>
        <v/>
      </c>
      <c r="AH377" s="73" t="str">
        <f aca="false">IF(ISNUMBER(AI377),IF(ISNUMBER('Base de Datos'!Q373),IF('Base de Datos'!Q373&gt;20000,DATE(YEAR('Base de Datos'!Q373),DAY('Base de Datos'!Q373),MONTH('Base de Datos'!Q373)),""),IF(TRIM('Base de Datos'!Q373)="","",IFERROR(DATE(VALUE(RIGHT(TRIM('Base de Datos'!Q373),4)),VALUE(LEFT(TRIM('Base de Datos'!Q373),2)),VALUE(MID(TRIM('Base de Datos'!Q373),4,2))),""))),"")</f>
        <v/>
      </c>
      <c r="AI377" s="74" t="str">
        <f aca="false">IF(ISNUMBER('Base de Datos'!R373),'Base de Datos'!R373,IF(TRIM('Base de Datos'!R373)="","",IFERROR(IF(IFERROR(FIND("@",SUBSTITUTE(TRIM('Base de Datos'!R373),",","@",LEN(TRIM('Base de Datos'!R373))-LEN(SUBSTITUTE(TRIM('Base de Datos'!R373),",","")))),0)&gt;IFERROR(FIND("@",SUBSTITUTE(TRIM('Base de Datos'!R373),".","@",LEN(TRIM('Base de Datos'!R373))-LEN(SUBSTITUTE(TRIM('Base de Datos'!R373),".","")))),0),_xlfn.NUMBERVALUE(SUBSTITUTE(SUBSTITUTE(TRIM('Base de Datos'!R373),".",""),",","."),".",","),_xlfn.NUMBERVALUE(SUBSTITUTE(TRIM('Base de Datos'!R373),",",""),".",",")),"")))</f>
        <v/>
      </c>
      <c r="AJ377" s="73" t="str">
        <f aca="false">IF(ISNUMBER(AK377),IF(ISNUMBER('Base de Datos'!Y373),IF('Base de Datos'!Y373&gt;20000,INT('Base de Datos'!Y373),""),IF(TRIM('Base de Datos'!Y373)="","",IFERROR(DATE(VALUE(RIGHT(TRIM('Base de Datos'!Y373),4)),VALUE(MID(TRIM('Base de Datos'!Y373),4,2)),VALUE(LEFT(TRIM('Base de Datos'!Y373),2))),IFERROR(DATEVALUE(TRIM('Base de Datos'!Y373)),"")))),"")</f>
        <v/>
      </c>
      <c r="AK377" s="74" t="str">
        <f aca="false">IF(ISNUMBER('Base de Datos'!Z373),'Base de Datos'!Z373,IF(TRIM('Base de Datos'!Z373)="","",IFERROR(IF(IFERROR(FIND("@",SUBSTITUTE(TRIM('Base de Datos'!Z373),",","@",LEN(TRIM('Base de Datos'!Z373))-LEN(SUBSTITUTE(TRIM('Base de Datos'!Z373),",","")))),0)&gt;IFERROR(FIND("@",SUBSTITUTE(TRIM('Base de Datos'!Z373),".","@",LEN(TRIM('Base de Datos'!Z373))-LEN(SUBSTITUTE(TRIM('Base de Datos'!Z373),".","")))),0),_xlfn.NUMBERVALUE(SUBSTITUTE(SUBSTITUTE(TRIM('Base de Datos'!Z373),".",""),",","."),".",","),_xlfn.NUMBERVALUE(SUBSTITUTE(TRIM('Base de Datos'!Z373),",",""),".",",")),"")))</f>
        <v/>
      </c>
    </row>
    <row r="378" customFormat="false" ht="13.5" hidden="false" customHeight="false" outlineLevel="0" collapsed="false">
      <c r="A378" s="75" t="n">
        <f aca="false">ROWS(A$13:A378)</f>
        <v>366</v>
      </c>
      <c r="B378" s="73" t="str">
        <f aca="false">IF(B377="","",IFERROR(SMALL($AH$10:$AH$409,COUNTIF($AH$10:$AH$409,"&lt;="&amp;B377)+1),""))</f>
        <v/>
      </c>
      <c r="C378" s="74" t="str">
        <f aca="false">IF(B378="","",INDEX($AI$10:$AI$409,MATCH(B378,$AH$10:$AH$409,0)))</f>
        <v/>
      </c>
      <c r="D378" s="74" t="str">
        <f aca="false">IF(B378="","",IFERROR(INDEX($AK$10:$AK$409,MATCH(B378,$AJ$10:$AJ$409,0)),""))</f>
        <v/>
      </c>
      <c r="E378" s="76" t="str">
        <f aca="false">IF(AND(ISNUMBER(C378),ISNUMBER(C377)),C378/C377-1,"")</f>
        <v/>
      </c>
      <c r="F378" s="76" t="str">
        <f aca="false">IF(AND(ISNUMBER(D378),ISNUMBER(D377)),D378/D377-1,"")</f>
        <v/>
      </c>
      <c r="G378" s="75" t="str">
        <f aca="false">IF(AND(ISNUMBER(E378),ISNUMBER(F378)),1,"")</f>
        <v/>
      </c>
      <c r="H378" s="75" t="str">
        <f aca="false">IF(G378=1,COUNT(G378:G$412),"")</f>
        <v/>
      </c>
      <c r="I378" s="75" t="str">
        <f aca="false">IF(G378=1,IF(H378&lt;='Beta Regresión'!$B$5,1,""),"")</f>
        <v/>
      </c>
      <c r="J378" s="76" t="str">
        <f aca="false">IF(I378=1,E378,"")</f>
        <v/>
      </c>
      <c r="K378" s="76" t="str">
        <f aca="false">IF(I378=1,F378,"")</f>
        <v/>
      </c>
      <c r="L378" s="75" t="str">
        <f aca="false">IF(I378=1,COUNT(I$13:I378),"")</f>
        <v/>
      </c>
      <c r="M378" s="76" t="str">
        <f aca="false">IFERROR(INDEX($J$13:$J$412,MATCH(A378,$L$13:$L$412,0)),"")</f>
        <v/>
      </c>
      <c r="N378" s="76" t="str">
        <f aca="false">IFERROR(INDEX($K$13:$K$412,MATCH(A378,$L$13:$L$412,0)),"")</f>
        <v/>
      </c>
      <c r="O378" s="76" t="e">
        <f aca="false">IF(I378=1,E378,NA())</f>
        <v>#N/A</v>
      </c>
      <c r="P378" s="76" t="e">
        <f aca="false">IF(I378=1,F378,NA())</f>
        <v>#N/A</v>
      </c>
      <c r="R378" s="75" t="n">
        <f aca="false">ROWS(R$13:R378)</f>
        <v>366</v>
      </c>
      <c r="S378" s="73" t="str">
        <f aca="false">IF(S377="","",IFERROR(SMALL($AD$10:$AD$509,COUNTIF($AD$10:$AD$509,"&lt;="&amp;S377)+1),""))</f>
        <v/>
      </c>
      <c r="T378" s="74" t="str">
        <f aca="false">IF(S378="","",INDEX($AE$10:$AE$509,MATCH(S378,$AD$10:$AD$509,0)))</f>
        <v/>
      </c>
      <c r="U378" s="74" t="str">
        <f aca="false">IF(S378="","",IFERROR(INDEX($AG$10:$AG$509,MATCH(S378,$AF$10:$AF$509,0)),""))</f>
        <v/>
      </c>
      <c r="V378" s="76" t="str">
        <f aca="false">IF(AND(ISNUMBER(T378),ISNUMBER(T377)),T378/T377-1,"")</f>
        <v/>
      </c>
      <c r="W378" s="76" t="str">
        <f aca="false">IF(AND(ISNUMBER(U378),ISNUMBER(U377)),U378/U377-1,"")</f>
        <v/>
      </c>
      <c r="X378" s="75" t="str">
        <f aca="false">IF(AND(ISNUMBER(V378),ISNUMBER(W378)),1,"")</f>
        <v/>
      </c>
      <c r="Y378" s="76" t="str">
        <f aca="false">IF(X378=1,V378,"")</f>
        <v/>
      </c>
      <c r="Z378" s="76" t="str">
        <f aca="false">IF(X378=1,W378,"")</f>
        <v/>
      </c>
      <c r="AA378" s="76" t="e">
        <f aca="false">IF(X378=1,V378,NA())</f>
        <v>#N/A</v>
      </c>
      <c r="AB378" s="76" t="e">
        <f aca="false">IF(X378=1,W378,NA())</f>
        <v>#N/A</v>
      </c>
      <c r="AD378" s="73" t="str">
        <f aca="false">IF(ISNUMBER(AE378),IF(ISNUMBER('Base de Datos'!A374),IF('Base de Datos'!A374&gt;20000,DATE(YEAR('Base de Datos'!A374),DAY('Base de Datos'!A374),MONTH('Base de Datos'!A374)),""),IF(TRIM('Base de Datos'!A374)="","",IFERROR(DATE(VALUE(RIGHT(TRIM('Base de Datos'!A374),4)),VALUE(LEFT(TRIM('Base de Datos'!A374),2)),VALUE(MID(TRIM('Base de Datos'!A374),4,2))),""))),"")</f>
        <v/>
      </c>
      <c r="AE378" s="74" t="str">
        <f aca="false">IF(ISNUMBER('Base de Datos'!B374),'Base de Datos'!B374,IF(TRIM('Base de Datos'!B374)="","",IFERROR(IF(IFERROR(FIND("@",SUBSTITUTE(TRIM('Base de Datos'!B374),",","@",LEN(TRIM('Base de Datos'!B374))-LEN(SUBSTITUTE(TRIM('Base de Datos'!B374),",","")))),0)&gt;IFERROR(FIND("@",SUBSTITUTE(TRIM('Base de Datos'!B374),".","@",LEN(TRIM('Base de Datos'!B374))-LEN(SUBSTITUTE(TRIM('Base de Datos'!B374),".","")))),0),_xlfn.NUMBERVALUE(SUBSTITUTE(SUBSTITUTE(TRIM('Base de Datos'!B374),".",""),",","."),".",","),_xlfn.NUMBERVALUE(SUBSTITUTE(TRIM('Base de Datos'!B374),",",""),".",",")),"")))</f>
        <v/>
      </c>
      <c r="AF378" s="73" t="str">
        <f aca="false">IF(ISNUMBER(AG378),IF(ISNUMBER('Base de Datos'!I374),IF('Base de Datos'!I374&gt;20000,INT('Base de Datos'!I374),""),IF(TRIM('Base de Datos'!I374)="","",IFERROR(DATE(VALUE(RIGHT(TRIM('Base de Datos'!I374),4)),VALUE(MID(TRIM('Base de Datos'!I374),4,2)),VALUE(LEFT(TRIM('Base de Datos'!I374),2))),IFERROR(DATEVALUE(TRIM('Base de Datos'!I374)),"")))),"")</f>
        <v/>
      </c>
      <c r="AG378" s="74" t="str">
        <f aca="false">IF(ISNUMBER('Base de Datos'!J374),'Base de Datos'!J374,IF(TRIM('Base de Datos'!J374)="","",IFERROR(IF(IFERROR(FIND("@",SUBSTITUTE(TRIM('Base de Datos'!J374),",","@",LEN(TRIM('Base de Datos'!J374))-LEN(SUBSTITUTE(TRIM('Base de Datos'!J374),",","")))),0)&gt;IFERROR(FIND("@",SUBSTITUTE(TRIM('Base de Datos'!J374),".","@",LEN(TRIM('Base de Datos'!J374))-LEN(SUBSTITUTE(TRIM('Base de Datos'!J374),".","")))),0),_xlfn.NUMBERVALUE(SUBSTITUTE(SUBSTITUTE(TRIM('Base de Datos'!J374),".",""),",","."),".",","),_xlfn.NUMBERVALUE(SUBSTITUTE(TRIM('Base de Datos'!J374),",",""),".",",")),"")))</f>
        <v/>
      </c>
      <c r="AH378" s="73" t="str">
        <f aca="false">IF(ISNUMBER(AI378),IF(ISNUMBER('Base de Datos'!Q374),IF('Base de Datos'!Q374&gt;20000,DATE(YEAR('Base de Datos'!Q374),DAY('Base de Datos'!Q374),MONTH('Base de Datos'!Q374)),""),IF(TRIM('Base de Datos'!Q374)="","",IFERROR(DATE(VALUE(RIGHT(TRIM('Base de Datos'!Q374),4)),VALUE(LEFT(TRIM('Base de Datos'!Q374),2)),VALUE(MID(TRIM('Base de Datos'!Q374),4,2))),""))),"")</f>
        <v/>
      </c>
      <c r="AI378" s="74" t="str">
        <f aca="false">IF(ISNUMBER('Base de Datos'!R374),'Base de Datos'!R374,IF(TRIM('Base de Datos'!R374)="","",IFERROR(IF(IFERROR(FIND("@",SUBSTITUTE(TRIM('Base de Datos'!R374),",","@",LEN(TRIM('Base de Datos'!R374))-LEN(SUBSTITUTE(TRIM('Base de Datos'!R374),",","")))),0)&gt;IFERROR(FIND("@",SUBSTITUTE(TRIM('Base de Datos'!R374),".","@",LEN(TRIM('Base de Datos'!R374))-LEN(SUBSTITUTE(TRIM('Base de Datos'!R374),".","")))),0),_xlfn.NUMBERVALUE(SUBSTITUTE(SUBSTITUTE(TRIM('Base de Datos'!R374),".",""),",","."),".",","),_xlfn.NUMBERVALUE(SUBSTITUTE(TRIM('Base de Datos'!R374),",",""),".",",")),"")))</f>
        <v/>
      </c>
      <c r="AJ378" s="73" t="str">
        <f aca="false">IF(ISNUMBER(AK378),IF(ISNUMBER('Base de Datos'!Y374),IF('Base de Datos'!Y374&gt;20000,INT('Base de Datos'!Y374),""),IF(TRIM('Base de Datos'!Y374)="","",IFERROR(DATE(VALUE(RIGHT(TRIM('Base de Datos'!Y374),4)),VALUE(MID(TRIM('Base de Datos'!Y374),4,2)),VALUE(LEFT(TRIM('Base de Datos'!Y374),2))),IFERROR(DATEVALUE(TRIM('Base de Datos'!Y374)),"")))),"")</f>
        <v/>
      </c>
      <c r="AK378" s="74" t="str">
        <f aca="false">IF(ISNUMBER('Base de Datos'!Z374),'Base de Datos'!Z374,IF(TRIM('Base de Datos'!Z374)="","",IFERROR(IF(IFERROR(FIND("@",SUBSTITUTE(TRIM('Base de Datos'!Z374),",","@",LEN(TRIM('Base de Datos'!Z374))-LEN(SUBSTITUTE(TRIM('Base de Datos'!Z374),",","")))),0)&gt;IFERROR(FIND("@",SUBSTITUTE(TRIM('Base de Datos'!Z374),".","@",LEN(TRIM('Base de Datos'!Z374))-LEN(SUBSTITUTE(TRIM('Base de Datos'!Z374),".","")))),0),_xlfn.NUMBERVALUE(SUBSTITUTE(SUBSTITUTE(TRIM('Base de Datos'!Z374),".",""),",","."),".",","),_xlfn.NUMBERVALUE(SUBSTITUTE(TRIM('Base de Datos'!Z374),",",""),".",",")),"")))</f>
        <v/>
      </c>
    </row>
    <row r="379" customFormat="false" ht="13.5" hidden="false" customHeight="false" outlineLevel="0" collapsed="false">
      <c r="A379" s="75" t="n">
        <f aca="false">ROWS(A$13:A379)</f>
        <v>367</v>
      </c>
      <c r="B379" s="73" t="str">
        <f aca="false">IF(B378="","",IFERROR(SMALL($AH$10:$AH$409,COUNTIF($AH$10:$AH$409,"&lt;="&amp;B378)+1),""))</f>
        <v/>
      </c>
      <c r="C379" s="74" t="str">
        <f aca="false">IF(B379="","",INDEX($AI$10:$AI$409,MATCH(B379,$AH$10:$AH$409,0)))</f>
        <v/>
      </c>
      <c r="D379" s="74" t="str">
        <f aca="false">IF(B379="","",IFERROR(INDEX($AK$10:$AK$409,MATCH(B379,$AJ$10:$AJ$409,0)),""))</f>
        <v/>
      </c>
      <c r="E379" s="76" t="str">
        <f aca="false">IF(AND(ISNUMBER(C379),ISNUMBER(C378)),C379/C378-1,"")</f>
        <v/>
      </c>
      <c r="F379" s="76" t="str">
        <f aca="false">IF(AND(ISNUMBER(D379),ISNUMBER(D378)),D379/D378-1,"")</f>
        <v/>
      </c>
      <c r="G379" s="75" t="str">
        <f aca="false">IF(AND(ISNUMBER(E379),ISNUMBER(F379)),1,"")</f>
        <v/>
      </c>
      <c r="H379" s="75" t="str">
        <f aca="false">IF(G379=1,COUNT(G379:G$412),"")</f>
        <v/>
      </c>
      <c r="I379" s="75" t="str">
        <f aca="false">IF(G379=1,IF(H379&lt;='Beta Regresión'!$B$5,1,""),"")</f>
        <v/>
      </c>
      <c r="J379" s="76" t="str">
        <f aca="false">IF(I379=1,E379,"")</f>
        <v/>
      </c>
      <c r="K379" s="76" t="str">
        <f aca="false">IF(I379=1,F379,"")</f>
        <v/>
      </c>
      <c r="L379" s="75" t="str">
        <f aca="false">IF(I379=1,COUNT(I$13:I379),"")</f>
        <v/>
      </c>
      <c r="M379" s="76" t="str">
        <f aca="false">IFERROR(INDEX($J$13:$J$412,MATCH(A379,$L$13:$L$412,0)),"")</f>
        <v/>
      </c>
      <c r="N379" s="76" t="str">
        <f aca="false">IFERROR(INDEX($K$13:$K$412,MATCH(A379,$L$13:$L$412,0)),"")</f>
        <v/>
      </c>
      <c r="O379" s="76" t="e">
        <f aca="false">IF(I379=1,E379,NA())</f>
        <v>#N/A</v>
      </c>
      <c r="P379" s="76" t="e">
        <f aca="false">IF(I379=1,F379,NA())</f>
        <v>#N/A</v>
      </c>
      <c r="R379" s="75" t="n">
        <f aca="false">ROWS(R$13:R379)</f>
        <v>367</v>
      </c>
      <c r="S379" s="73" t="str">
        <f aca="false">IF(S378="","",IFERROR(SMALL($AD$10:$AD$509,COUNTIF($AD$10:$AD$509,"&lt;="&amp;S378)+1),""))</f>
        <v/>
      </c>
      <c r="T379" s="74" t="str">
        <f aca="false">IF(S379="","",INDEX($AE$10:$AE$509,MATCH(S379,$AD$10:$AD$509,0)))</f>
        <v/>
      </c>
      <c r="U379" s="74" t="str">
        <f aca="false">IF(S379="","",IFERROR(INDEX($AG$10:$AG$509,MATCH(S379,$AF$10:$AF$509,0)),""))</f>
        <v/>
      </c>
      <c r="V379" s="76" t="str">
        <f aca="false">IF(AND(ISNUMBER(T379),ISNUMBER(T378)),T379/T378-1,"")</f>
        <v/>
      </c>
      <c r="W379" s="76" t="str">
        <f aca="false">IF(AND(ISNUMBER(U379),ISNUMBER(U378)),U379/U378-1,"")</f>
        <v/>
      </c>
      <c r="X379" s="75" t="str">
        <f aca="false">IF(AND(ISNUMBER(V379),ISNUMBER(W379)),1,"")</f>
        <v/>
      </c>
      <c r="Y379" s="76" t="str">
        <f aca="false">IF(X379=1,V379,"")</f>
        <v/>
      </c>
      <c r="Z379" s="76" t="str">
        <f aca="false">IF(X379=1,W379,"")</f>
        <v/>
      </c>
      <c r="AA379" s="76" t="e">
        <f aca="false">IF(X379=1,V379,NA())</f>
        <v>#N/A</v>
      </c>
      <c r="AB379" s="76" t="e">
        <f aca="false">IF(X379=1,W379,NA())</f>
        <v>#N/A</v>
      </c>
      <c r="AD379" s="73" t="str">
        <f aca="false">IF(ISNUMBER(AE379),IF(ISNUMBER('Base de Datos'!A375),IF('Base de Datos'!A375&gt;20000,DATE(YEAR('Base de Datos'!A375),DAY('Base de Datos'!A375),MONTH('Base de Datos'!A375)),""),IF(TRIM('Base de Datos'!A375)="","",IFERROR(DATE(VALUE(RIGHT(TRIM('Base de Datos'!A375),4)),VALUE(LEFT(TRIM('Base de Datos'!A375),2)),VALUE(MID(TRIM('Base de Datos'!A375),4,2))),""))),"")</f>
        <v/>
      </c>
      <c r="AE379" s="74" t="str">
        <f aca="false">IF(ISNUMBER('Base de Datos'!B375),'Base de Datos'!B375,IF(TRIM('Base de Datos'!B375)="","",IFERROR(IF(IFERROR(FIND("@",SUBSTITUTE(TRIM('Base de Datos'!B375),",","@",LEN(TRIM('Base de Datos'!B375))-LEN(SUBSTITUTE(TRIM('Base de Datos'!B375),",","")))),0)&gt;IFERROR(FIND("@",SUBSTITUTE(TRIM('Base de Datos'!B375),".","@",LEN(TRIM('Base de Datos'!B375))-LEN(SUBSTITUTE(TRIM('Base de Datos'!B375),".","")))),0),_xlfn.NUMBERVALUE(SUBSTITUTE(SUBSTITUTE(TRIM('Base de Datos'!B375),".",""),",","."),".",","),_xlfn.NUMBERVALUE(SUBSTITUTE(TRIM('Base de Datos'!B375),",",""),".",",")),"")))</f>
        <v/>
      </c>
      <c r="AF379" s="73" t="str">
        <f aca="false">IF(ISNUMBER(AG379),IF(ISNUMBER('Base de Datos'!I375),IF('Base de Datos'!I375&gt;20000,INT('Base de Datos'!I375),""),IF(TRIM('Base de Datos'!I375)="","",IFERROR(DATE(VALUE(RIGHT(TRIM('Base de Datos'!I375),4)),VALUE(MID(TRIM('Base de Datos'!I375),4,2)),VALUE(LEFT(TRIM('Base de Datos'!I375),2))),IFERROR(DATEVALUE(TRIM('Base de Datos'!I375)),"")))),"")</f>
        <v/>
      </c>
      <c r="AG379" s="74" t="str">
        <f aca="false">IF(ISNUMBER('Base de Datos'!J375),'Base de Datos'!J375,IF(TRIM('Base de Datos'!J375)="","",IFERROR(IF(IFERROR(FIND("@",SUBSTITUTE(TRIM('Base de Datos'!J375),",","@",LEN(TRIM('Base de Datos'!J375))-LEN(SUBSTITUTE(TRIM('Base de Datos'!J375),",","")))),0)&gt;IFERROR(FIND("@",SUBSTITUTE(TRIM('Base de Datos'!J375),".","@",LEN(TRIM('Base de Datos'!J375))-LEN(SUBSTITUTE(TRIM('Base de Datos'!J375),".","")))),0),_xlfn.NUMBERVALUE(SUBSTITUTE(SUBSTITUTE(TRIM('Base de Datos'!J375),".",""),",","."),".",","),_xlfn.NUMBERVALUE(SUBSTITUTE(TRIM('Base de Datos'!J375),",",""),".",",")),"")))</f>
        <v/>
      </c>
      <c r="AH379" s="73" t="str">
        <f aca="false">IF(ISNUMBER(AI379),IF(ISNUMBER('Base de Datos'!Q375),IF('Base de Datos'!Q375&gt;20000,DATE(YEAR('Base de Datos'!Q375),DAY('Base de Datos'!Q375),MONTH('Base de Datos'!Q375)),""),IF(TRIM('Base de Datos'!Q375)="","",IFERROR(DATE(VALUE(RIGHT(TRIM('Base de Datos'!Q375),4)),VALUE(LEFT(TRIM('Base de Datos'!Q375),2)),VALUE(MID(TRIM('Base de Datos'!Q375),4,2))),""))),"")</f>
        <v/>
      </c>
      <c r="AI379" s="74" t="str">
        <f aca="false">IF(ISNUMBER('Base de Datos'!R375),'Base de Datos'!R375,IF(TRIM('Base de Datos'!R375)="","",IFERROR(IF(IFERROR(FIND("@",SUBSTITUTE(TRIM('Base de Datos'!R375),",","@",LEN(TRIM('Base de Datos'!R375))-LEN(SUBSTITUTE(TRIM('Base de Datos'!R375),",","")))),0)&gt;IFERROR(FIND("@",SUBSTITUTE(TRIM('Base de Datos'!R375),".","@",LEN(TRIM('Base de Datos'!R375))-LEN(SUBSTITUTE(TRIM('Base de Datos'!R375),".","")))),0),_xlfn.NUMBERVALUE(SUBSTITUTE(SUBSTITUTE(TRIM('Base de Datos'!R375),".",""),",","."),".",","),_xlfn.NUMBERVALUE(SUBSTITUTE(TRIM('Base de Datos'!R375),",",""),".",",")),"")))</f>
        <v/>
      </c>
      <c r="AJ379" s="73" t="str">
        <f aca="false">IF(ISNUMBER(AK379),IF(ISNUMBER('Base de Datos'!Y375),IF('Base de Datos'!Y375&gt;20000,INT('Base de Datos'!Y375),""),IF(TRIM('Base de Datos'!Y375)="","",IFERROR(DATE(VALUE(RIGHT(TRIM('Base de Datos'!Y375),4)),VALUE(MID(TRIM('Base de Datos'!Y375),4,2)),VALUE(LEFT(TRIM('Base de Datos'!Y375),2))),IFERROR(DATEVALUE(TRIM('Base de Datos'!Y375)),"")))),"")</f>
        <v/>
      </c>
      <c r="AK379" s="74" t="str">
        <f aca="false">IF(ISNUMBER('Base de Datos'!Z375),'Base de Datos'!Z375,IF(TRIM('Base de Datos'!Z375)="","",IFERROR(IF(IFERROR(FIND("@",SUBSTITUTE(TRIM('Base de Datos'!Z375),",","@",LEN(TRIM('Base de Datos'!Z375))-LEN(SUBSTITUTE(TRIM('Base de Datos'!Z375),",","")))),0)&gt;IFERROR(FIND("@",SUBSTITUTE(TRIM('Base de Datos'!Z375),".","@",LEN(TRIM('Base de Datos'!Z375))-LEN(SUBSTITUTE(TRIM('Base de Datos'!Z375),".","")))),0),_xlfn.NUMBERVALUE(SUBSTITUTE(SUBSTITUTE(TRIM('Base de Datos'!Z375),".",""),",","."),".",","),_xlfn.NUMBERVALUE(SUBSTITUTE(TRIM('Base de Datos'!Z375),",",""),".",",")),"")))</f>
        <v/>
      </c>
    </row>
    <row r="380" customFormat="false" ht="13.5" hidden="false" customHeight="false" outlineLevel="0" collapsed="false">
      <c r="A380" s="75" t="n">
        <f aca="false">ROWS(A$13:A380)</f>
        <v>368</v>
      </c>
      <c r="B380" s="73" t="str">
        <f aca="false">IF(B379="","",IFERROR(SMALL($AH$10:$AH$409,COUNTIF($AH$10:$AH$409,"&lt;="&amp;B379)+1),""))</f>
        <v/>
      </c>
      <c r="C380" s="74" t="str">
        <f aca="false">IF(B380="","",INDEX($AI$10:$AI$409,MATCH(B380,$AH$10:$AH$409,0)))</f>
        <v/>
      </c>
      <c r="D380" s="74" t="str">
        <f aca="false">IF(B380="","",IFERROR(INDEX($AK$10:$AK$409,MATCH(B380,$AJ$10:$AJ$409,0)),""))</f>
        <v/>
      </c>
      <c r="E380" s="76" t="str">
        <f aca="false">IF(AND(ISNUMBER(C380),ISNUMBER(C379)),C380/C379-1,"")</f>
        <v/>
      </c>
      <c r="F380" s="76" t="str">
        <f aca="false">IF(AND(ISNUMBER(D380),ISNUMBER(D379)),D380/D379-1,"")</f>
        <v/>
      </c>
      <c r="G380" s="75" t="str">
        <f aca="false">IF(AND(ISNUMBER(E380),ISNUMBER(F380)),1,"")</f>
        <v/>
      </c>
      <c r="H380" s="75" t="str">
        <f aca="false">IF(G380=1,COUNT(G380:G$412),"")</f>
        <v/>
      </c>
      <c r="I380" s="75" t="str">
        <f aca="false">IF(G380=1,IF(H380&lt;='Beta Regresión'!$B$5,1,""),"")</f>
        <v/>
      </c>
      <c r="J380" s="76" t="str">
        <f aca="false">IF(I380=1,E380,"")</f>
        <v/>
      </c>
      <c r="K380" s="76" t="str">
        <f aca="false">IF(I380=1,F380,"")</f>
        <v/>
      </c>
      <c r="L380" s="75" t="str">
        <f aca="false">IF(I380=1,COUNT(I$13:I380),"")</f>
        <v/>
      </c>
      <c r="M380" s="76" t="str">
        <f aca="false">IFERROR(INDEX($J$13:$J$412,MATCH(A380,$L$13:$L$412,0)),"")</f>
        <v/>
      </c>
      <c r="N380" s="76" t="str">
        <f aca="false">IFERROR(INDEX($K$13:$K$412,MATCH(A380,$L$13:$L$412,0)),"")</f>
        <v/>
      </c>
      <c r="O380" s="76" t="e">
        <f aca="false">IF(I380=1,E380,NA())</f>
        <v>#N/A</v>
      </c>
      <c r="P380" s="76" t="e">
        <f aca="false">IF(I380=1,F380,NA())</f>
        <v>#N/A</v>
      </c>
      <c r="R380" s="75" t="n">
        <f aca="false">ROWS(R$13:R380)</f>
        <v>368</v>
      </c>
      <c r="S380" s="73" t="str">
        <f aca="false">IF(S379="","",IFERROR(SMALL($AD$10:$AD$509,COUNTIF($AD$10:$AD$509,"&lt;="&amp;S379)+1),""))</f>
        <v/>
      </c>
      <c r="T380" s="74" t="str">
        <f aca="false">IF(S380="","",INDEX($AE$10:$AE$509,MATCH(S380,$AD$10:$AD$509,0)))</f>
        <v/>
      </c>
      <c r="U380" s="74" t="str">
        <f aca="false">IF(S380="","",IFERROR(INDEX($AG$10:$AG$509,MATCH(S380,$AF$10:$AF$509,0)),""))</f>
        <v/>
      </c>
      <c r="V380" s="76" t="str">
        <f aca="false">IF(AND(ISNUMBER(T380),ISNUMBER(T379)),T380/T379-1,"")</f>
        <v/>
      </c>
      <c r="W380" s="76" t="str">
        <f aca="false">IF(AND(ISNUMBER(U380),ISNUMBER(U379)),U380/U379-1,"")</f>
        <v/>
      </c>
      <c r="X380" s="75" t="str">
        <f aca="false">IF(AND(ISNUMBER(V380),ISNUMBER(W380)),1,"")</f>
        <v/>
      </c>
      <c r="Y380" s="76" t="str">
        <f aca="false">IF(X380=1,V380,"")</f>
        <v/>
      </c>
      <c r="Z380" s="76" t="str">
        <f aca="false">IF(X380=1,W380,"")</f>
        <v/>
      </c>
      <c r="AA380" s="76" t="e">
        <f aca="false">IF(X380=1,V380,NA())</f>
        <v>#N/A</v>
      </c>
      <c r="AB380" s="76" t="e">
        <f aca="false">IF(X380=1,W380,NA())</f>
        <v>#N/A</v>
      </c>
      <c r="AD380" s="73" t="str">
        <f aca="false">IF(ISNUMBER(AE380),IF(ISNUMBER('Base de Datos'!A376),IF('Base de Datos'!A376&gt;20000,DATE(YEAR('Base de Datos'!A376),DAY('Base de Datos'!A376),MONTH('Base de Datos'!A376)),""),IF(TRIM('Base de Datos'!A376)="","",IFERROR(DATE(VALUE(RIGHT(TRIM('Base de Datos'!A376),4)),VALUE(LEFT(TRIM('Base de Datos'!A376),2)),VALUE(MID(TRIM('Base de Datos'!A376),4,2))),""))),"")</f>
        <v/>
      </c>
      <c r="AE380" s="74" t="str">
        <f aca="false">IF(ISNUMBER('Base de Datos'!B376),'Base de Datos'!B376,IF(TRIM('Base de Datos'!B376)="","",IFERROR(IF(IFERROR(FIND("@",SUBSTITUTE(TRIM('Base de Datos'!B376),",","@",LEN(TRIM('Base de Datos'!B376))-LEN(SUBSTITUTE(TRIM('Base de Datos'!B376),",","")))),0)&gt;IFERROR(FIND("@",SUBSTITUTE(TRIM('Base de Datos'!B376),".","@",LEN(TRIM('Base de Datos'!B376))-LEN(SUBSTITUTE(TRIM('Base de Datos'!B376),".","")))),0),_xlfn.NUMBERVALUE(SUBSTITUTE(SUBSTITUTE(TRIM('Base de Datos'!B376),".",""),",","."),".",","),_xlfn.NUMBERVALUE(SUBSTITUTE(TRIM('Base de Datos'!B376),",",""),".",",")),"")))</f>
        <v/>
      </c>
      <c r="AF380" s="73" t="str">
        <f aca="false">IF(ISNUMBER(AG380),IF(ISNUMBER('Base de Datos'!I376),IF('Base de Datos'!I376&gt;20000,INT('Base de Datos'!I376),""),IF(TRIM('Base de Datos'!I376)="","",IFERROR(DATE(VALUE(RIGHT(TRIM('Base de Datos'!I376),4)),VALUE(MID(TRIM('Base de Datos'!I376),4,2)),VALUE(LEFT(TRIM('Base de Datos'!I376),2))),IFERROR(DATEVALUE(TRIM('Base de Datos'!I376)),"")))),"")</f>
        <v/>
      </c>
      <c r="AG380" s="74" t="str">
        <f aca="false">IF(ISNUMBER('Base de Datos'!J376),'Base de Datos'!J376,IF(TRIM('Base de Datos'!J376)="","",IFERROR(IF(IFERROR(FIND("@",SUBSTITUTE(TRIM('Base de Datos'!J376),",","@",LEN(TRIM('Base de Datos'!J376))-LEN(SUBSTITUTE(TRIM('Base de Datos'!J376),",","")))),0)&gt;IFERROR(FIND("@",SUBSTITUTE(TRIM('Base de Datos'!J376),".","@",LEN(TRIM('Base de Datos'!J376))-LEN(SUBSTITUTE(TRIM('Base de Datos'!J376),".","")))),0),_xlfn.NUMBERVALUE(SUBSTITUTE(SUBSTITUTE(TRIM('Base de Datos'!J376),".",""),",","."),".",","),_xlfn.NUMBERVALUE(SUBSTITUTE(TRIM('Base de Datos'!J376),",",""),".",",")),"")))</f>
        <v/>
      </c>
      <c r="AH380" s="73" t="str">
        <f aca="false">IF(ISNUMBER(AI380),IF(ISNUMBER('Base de Datos'!Q376),IF('Base de Datos'!Q376&gt;20000,DATE(YEAR('Base de Datos'!Q376),DAY('Base de Datos'!Q376),MONTH('Base de Datos'!Q376)),""),IF(TRIM('Base de Datos'!Q376)="","",IFERROR(DATE(VALUE(RIGHT(TRIM('Base de Datos'!Q376),4)),VALUE(LEFT(TRIM('Base de Datos'!Q376),2)),VALUE(MID(TRIM('Base de Datos'!Q376),4,2))),""))),"")</f>
        <v/>
      </c>
      <c r="AI380" s="74" t="str">
        <f aca="false">IF(ISNUMBER('Base de Datos'!R376),'Base de Datos'!R376,IF(TRIM('Base de Datos'!R376)="","",IFERROR(IF(IFERROR(FIND("@",SUBSTITUTE(TRIM('Base de Datos'!R376),",","@",LEN(TRIM('Base de Datos'!R376))-LEN(SUBSTITUTE(TRIM('Base de Datos'!R376),",","")))),0)&gt;IFERROR(FIND("@",SUBSTITUTE(TRIM('Base de Datos'!R376),".","@",LEN(TRIM('Base de Datos'!R376))-LEN(SUBSTITUTE(TRIM('Base de Datos'!R376),".","")))),0),_xlfn.NUMBERVALUE(SUBSTITUTE(SUBSTITUTE(TRIM('Base de Datos'!R376),".",""),",","."),".",","),_xlfn.NUMBERVALUE(SUBSTITUTE(TRIM('Base de Datos'!R376),",",""),".",",")),"")))</f>
        <v/>
      </c>
      <c r="AJ380" s="73" t="str">
        <f aca="false">IF(ISNUMBER(AK380),IF(ISNUMBER('Base de Datos'!Y376),IF('Base de Datos'!Y376&gt;20000,INT('Base de Datos'!Y376),""),IF(TRIM('Base de Datos'!Y376)="","",IFERROR(DATE(VALUE(RIGHT(TRIM('Base de Datos'!Y376),4)),VALUE(MID(TRIM('Base de Datos'!Y376),4,2)),VALUE(LEFT(TRIM('Base de Datos'!Y376),2))),IFERROR(DATEVALUE(TRIM('Base de Datos'!Y376)),"")))),"")</f>
        <v/>
      </c>
      <c r="AK380" s="74" t="str">
        <f aca="false">IF(ISNUMBER('Base de Datos'!Z376),'Base de Datos'!Z376,IF(TRIM('Base de Datos'!Z376)="","",IFERROR(IF(IFERROR(FIND("@",SUBSTITUTE(TRIM('Base de Datos'!Z376),",","@",LEN(TRIM('Base de Datos'!Z376))-LEN(SUBSTITUTE(TRIM('Base de Datos'!Z376),",","")))),0)&gt;IFERROR(FIND("@",SUBSTITUTE(TRIM('Base de Datos'!Z376),".","@",LEN(TRIM('Base de Datos'!Z376))-LEN(SUBSTITUTE(TRIM('Base de Datos'!Z376),".","")))),0),_xlfn.NUMBERVALUE(SUBSTITUTE(SUBSTITUTE(TRIM('Base de Datos'!Z376),".",""),",","."),".",","),_xlfn.NUMBERVALUE(SUBSTITUTE(TRIM('Base de Datos'!Z376),",",""),".",",")),"")))</f>
        <v/>
      </c>
    </row>
    <row r="381" customFormat="false" ht="13.5" hidden="false" customHeight="false" outlineLevel="0" collapsed="false">
      <c r="A381" s="75" t="n">
        <f aca="false">ROWS(A$13:A381)</f>
        <v>369</v>
      </c>
      <c r="B381" s="73" t="str">
        <f aca="false">IF(B380="","",IFERROR(SMALL($AH$10:$AH$409,COUNTIF($AH$10:$AH$409,"&lt;="&amp;B380)+1),""))</f>
        <v/>
      </c>
      <c r="C381" s="74" t="str">
        <f aca="false">IF(B381="","",INDEX($AI$10:$AI$409,MATCH(B381,$AH$10:$AH$409,0)))</f>
        <v/>
      </c>
      <c r="D381" s="74" t="str">
        <f aca="false">IF(B381="","",IFERROR(INDEX($AK$10:$AK$409,MATCH(B381,$AJ$10:$AJ$409,0)),""))</f>
        <v/>
      </c>
      <c r="E381" s="76" t="str">
        <f aca="false">IF(AND(ISNUMBER(C381),ISNUMBER(C380)),C381/C380-1,"")</f>
        <v/>
      </c>
      <c r="F381" s="76" t="str">
        <f aca="false">IF(AND(ISNUMBER(D381),ISNUMBER(D380)),D381/D380-1,"")</f>
        <v/>
      </c>
      <c r="G381" s="75" t="str">
        <f aca="false">IF(AND(ISNUMBER(E381),ISNUMBER(F381)),1,"")</f>
        <v/>
      </c>
      <c r="H381" s="75" t="str">
        <f aca="false">IF(G381=1,COUNT(G381:G$412),"")</f>
        <v/>
      </c>
      <c r="I381" s="75" t="str">
        <f aca="false">IF(G381=1,IF(H381&lt;='Beta Regresión'!$B$5,1,""),"")</f>
        <v/>
      </c>
      <c r="J381" s="76" t="str">
        <f aca="false">IF(I381=1,E381,"")</f>
        <v/>
      </c>
      <c r="K381" s="76" t="str">
        <f aca="false">IF(I381=1,F381,"")</f>
        <v/>
      </c>
      <c r="L381" s="75" t="str">
        <f aca="false">IF(I381=1,COUNT(I$13:I381),"")</f>
        <v/>
      </c>
      <c r="M381" s="76" t="str">
        <f aca="false">IFERROR(INDEX($J$13:$J$412,MATCH(A381,$L$13:$L$412,0)),"")</f>
        <v/>
      </c>
      <c r="N381" s="76" t="str">
        <f aca="false">IFERROR(INDEX($K$13:$K$412,MATCH(A381,$L$13:$L$412,0)),"")</f>
        <v/>
      </c>
      <c r="O381" s="76" t="e">
        <f aca="false">IF(I381=1,E381,NA())</f>
        <v>#N/A</v>
      </c>
      <c r="P381" s="76" t="e">
        <f aca="false">IF(I381=1,F381,NA())</f>
        <v>#N/A</v>
      </c>
      <c r="R381" s="75" t="n">
        <f aca="false">ROWS(R$13:R381)</f>
        <v>369</v>
      </c>
      <c r="S381" s="73" t="str">
        <f aca="false">IF(S380="","",IFERROR(SMALL($AD$10:$AD$509,COUNTIF($AD$10:$AD$509,"&lt;="&amp;S380)+1),""))</f>
        <v/>
      </c>
      <c r="T381" s="74" t="str">
        <f aca="false">IF(S381="","",INDEX($AE$10:$AE$509,MATCH(S381,$AD$10:$AD$509,0)))</f>
        <v/>
      </c>
      <c r="U381" s="74" t="str">
        <f aca="false">IF(S381="","",IFERROR(INDEX($AG$10:$AG$509,MATCH(S381,$AF$10:$AF$509,0)),""))</f>
        <v/>
      </c>
      <c r="V381" s="76" t="str">
        <f aca="false">IF(AND(ISNUMBER(T381),ISNUMBER(T380)),T381/T380-1,"")</f>
        <v/>
      </c>
      <c r="W381" s="76" t="str">
        <f aca="false">IF(AND(ISNUMBER(U381),ISNUMBER(U380)),U381/U380-1,"")</f>
        <v/>
      </c>
      <c r="X381" s="75" t="str">
        <f aca="false">IF(AND(ISNUMBER(V381),ISNUMBER(W381)),1,"")</f>
        <v/>
      </c>
      <c r="Y381" s="76" t="str">
        <f aca="false">IF(X381=1,V381,"")</f>
        <v/>
      </c>
      <c r="Z381" s="76" t="str">
        <f aca="false">IF(X381=1,W381,"")</f>
        <v/>
      </c>
      <c r="AA381" s="76" t="e">
        <f aca="false">IF(X381=1,V381,NA())</f>
        <v>#N/A</v>
      </c>
      <c r="AB381" s="76" t="e">
        <f aca="false">IF(X381=1,W381,NA())</f>
        <v>#N/A</v>
      </c>
      <c r="AD381" s="73" t="str">
        <f aca="false">IF(ISNUMBER(AE381),IF(ISNUMBER('Base de Datos'!A377),IF('Base de Datos'!A377&gt;20000,DATE(YEAR('Base de Datos'!A377),DAY('Base de Datos'!A377),MONTH('Base de Datos'!A377)),""),IF(TRIM('Base de Datos'!A377)="","",IFERROR(DATE(VALUE(RIGHT(TRIM('Base de Datos'!A377),4)),VALUE(LEFT(TRIM('Base de Datos'!A377),2)),VALUE(MID(TRIM('Base de Datos'!A377),4,2))),""))),"")</f>
        <v/>
      </c>
      <c r="AE381" s="74" t="str">
        <f aca="false">IF(ISNUMBER('Base de Datos'!B377),'Base de Datos'!B377,IF(TRIM('Base de Datos'!B377)="","",IFERROR(IF(IFERROR(FIND("@",SUBSTITUTE(TRIM('Base de Datos'!B377),",","@",LEN(TRIM('Base de Datos'!B377))-LEN(SUBSTITUTE(TRIM('Base de Datos'!B377),",","")))),0)&gt;IFERROR(FIND("@",SUBSTITUTE(TRIM('Base de Datos'!B377),".","@",LEN(TRIM('Base de Datos'!B377))-LEN(SUBSTITUTE(TRIM('Base de Datos'!B377),".","")))),0),_xlfn.NUMBERVALUE(SUBSTITUTE(SUBSTITUTE(TRIM('Base de Datos'!B377),".",""),",","."),".",","),_xlfn.NUMBERVALUE(SUBSTITUTE(TRIM('Base de Datos'!B377),",",""),".",",")),"")))</f>
        <v/>
      </c>
      <c r="AF381" s="73" t="str">
        <f aca="false">IF(ISNUMBER(AG381),IF(ISNUMBER('Base de Datos'!I377),IF('Base de Datos'!I377&gt;20000,INT('Base de Datos'!I377),""),IF(TRIM('Base de Datos'!I377)="","",IFERROR(DATE(VALUE(RIGHT(TRIM('Base de Datos'!I377),4)),VALUE(MID(TRIM('Base de Datos'!I377),4,2)),VALUE(LEFT(TRIM('Base de Datos'!I377),2))),IFERROR(DATEVALUE(TRIM('Base de Datos'!I377)),"")))),"")</f>
        <v/>
      </c>
      <c r="AG381" s="74" t="str">
        <f aca="false">IF(ISNUMBER('Base de Datos'!J377),'Base de Datos'!J377,IF(TRIM('Base de Datos'!J377)="","",IFERROR(IF(IFERROR(FIND("@",SUBSTITUTE(TRIM('Base de Datos'!J377),",","@",LEN(TRIM('Base de Datos'!J377))-LEN(SUBSTITUTE(TRIM('Base de Datos'!J377),",","")))),0)&gt;IFERROR(FIND("@",SUBSTITUTE(TRIM('Base de Datos'!J377),".","@",LEN(TRIM('Base de Datos'!J377))-LEN(SUBSTITUTE(TRIM('Base de Datos'!J377),".","")))),0),_xlfn.NUMBERVALUE(SUBSTITUTE(SUBSTITUTE(TRIM('Base de Datos'!J377),".",""),",","."),".",","),_xlfn.NUMBERVALUE(SUBSTITUTE(TRIM('Base de Datos'!J377),",",""),".",",")),"")))</f>
        <v/>
      </c>
      <c r="AH381" s="73" t="str">
        <f aca="false">IF(ISNUMBER(AI381),IF(ISNUMBER('Base de Datos'!Q377),IF('Base de Datos'!Q377&gt;20000,DATE(YEAR('Base de Datos'!Q377),DAY('Base de Datos'!Q377),MONTH('Base de Datos'!Q377)),""),IF(TRIM('Base de Datos'!Q377)="","",IFERROR(DATE(VALUE(RIGHT(TRIM('Base de Datos'!Q377),4)),VALUE(LEFT(TRIM('Base de Datos'!Q377),2)),VALUE(MID(TRIM('Base de Datos'!Q377),4,2))),""))),"")</f>
        <v/>
      </c>
      <c r="AI381" s="74" t="str">
        <f aca="false">IF(ISNUMBER('Base de Datos'!R377),'Base de Datos'!R377,IF(TRIM('Base de Datos'!R377)="","",IFERROR(IF(IFERROR(FIND("@",SUBSTITUTE(TRIM('Base de Datos'!R377),",","@",LEN(TRIM('Base de Datos'!R377))-LEN(SUBSTITUTE(TRIM('Base de Datos'!R377),",","")))),0)&gt;IFERROR(FIND("@",SUBSTITUTE(TRIM('Base de Datos'!R377),".","@",LEN(TRIM('Base de Datos'!R377))-LEN(SUBSTITUTE(TRIM('Base de Datos'!R377),".","")))),0),_xlfn.NUMBERVALUE(SUBSTITUTE(SUBSTITUTE(TRIM('Base de Datos'!R377),".",""),",","."),".",","),_xlfn.NUMBERVALUE(SUBSTITUTE(TRIM('Base de Datos'!R377),",",""),".",",")),"")))</f>
        <v/>
      </c>
      <c r="AJ381" s="73" t="str">
        <f aca="false">IF(ISNUMBER(AK381),IF(ISNUMBER('Base de Datos'!Y377),IF('Base de Datos'!Y377&gt;20000,INT('Base de Datos'!Y377),""),IF(TRIM('Base de Datos'!Y377)="","",IFERROR(DATE(VALUE(RIGHT(TRIM('Base de Datos'!Y377),4)),VALUE(MID(TRIM('Base de Datos'!Y377),4,2)),VALUE(LEFT(TRIM('Base de Datos'!Y377),2))),IFERROR(DATEVALUE(TRIM('Base de Datos'!Y377)),"")))),"")</f>
        <v/>
      </c>
      <c r="AK381" s="74" t="str">
        <f aca="false">IF(ISNUMBER('Base de Datos'!Z377),'Base de Datos'!Z377,IF(TRIM('Base de Datos'!Z377)="","",IFERROR(IF(IFERROR(FIND("@",SUBSTITUTE(TRIM('Base de Datos'!Z377),",","@",LEN(TRIM('Base de Datos'!Z377))-LEN(SUBSTITUTE(TRIM('Base de Datos'!Z377),",","")))),0)&gt;IFERROR(FIND("@",SUBSTITUTE(TRIM('Base de Datos'!Z377),".","@",LEN(TRIM('Base de Datos'!Z377))-LEN(SUBSTITUTE(TRIM('Base de Datos'!Z377),".","")))),0),_xlfn.NUMBERVALUE(SUBSTITUTE(SUBSTITUTE(TRIM('Base de Datos'!Z377),".",""),",","."),".",","),_xlfn.NUMBERVALUE(SUBSTITUTE(TRIM('Base de Datos'!Z377),",",""),".",",")),"")))</f>
        <v/>
      </c>
    </row>
    <row r="382" customFormat="false" ht="13.5" hidden="false" customHeight="false" outlineLevel="0" collapsed="false">
      <c r="A382" s="75" t="n">
        <f aca="false">ROWS(A$13:A382)</f>
        <v>370</v>
      </c>
      <c r="B382" s="73" t="str">
        <f aca="false">IF(B381="","",IFERROR(SMALL($AH$10:$AH$409,COUNTIF($AH$10:$AH$409,"&lt;="&amp;B381)+1),""))</f>
        <v/>
      </c>
      <c r="C382" s="74" t="str">
        <f aca="false">IF(B382="","",INDEX($AI$10:$AI$409,MATCH(B382,$AH$10:$AH$409,0)))</f>
        <v/>
      </c>
      <c r="D382" s="74" t="str">
        <f aca="false">IF(B382="","",IFERROR(INDEX($AK$10:$AK$409,MATCH(B382,$AJ$10:$AJ$409,0)),""))</f>
        <v/>
      </c>
      <c r="E382" s="76" t="str">
        <f aca="false">IF(AND(ISNUMBER(C382),ISNUMBER(C381)),C382/C381-1,"")</f>
        <v/>
      </c>
      <c r="F382" s="76" t="str">
        <f aca="false">IF(AND(ISNUMBER(D382),ISNUMBER(D381)),D382/D381-1,"")</f>
        <v/>
      </c>
      <c r="G382" s="75" t="str">
        <f aca="false">IF(AND(ISNUMBER(E382),ISNUMBER(F382)),1,"")</f>
        <v/>
      </c>
      <c r="H382" s="75" t="str">
        <f aca="false">IF(G382=1,COUNT(G382:G$412),"")</f>
        <v/>
      </c>
      <c r="I382" s="75" t="str">
        <f aca="false">IF(G382=1,IF(H382&lt;='Beta Regresión'!$B$5,1,""),"")</f>
        <v/>
      </c>
      <c r="J382" s="76" t="str">
        <f aca="false">IF(I382=1,E382,"")</f>
        <v/>
      </c>
      <c r="K382" s="76" t="str">
        <f aca="false">IF(I382=1,F382,"")</f>
        <v/>
      </c>
      <c r="L382" s="75" t="str">
        <f aca="false">IF(I382=1,COUNT(I$13:I382),"")</f>
        <v/>
      </c>
      <c r="M382" s="76" t="str">
        <f aca="false">IFERROR(INDEX($J$13:$J$412,MATCH(A382,$L$13:$L$412,0)),"")</f>
        <v/>
      </c>
      <c r="N382" s="76" t="str">
        <f aca="false">IFERROR(INDEX($K$13:$K$412,MATCH(A382,$L$13:$L$412,0)),"")</f>
        <v/>
      </c>
      <c r="O382" s="76" t="e">
        <f aca="false">IF(I382=1,E382,NA())</f>
        <v>#N/A</v>
      </c>
      <c r="P382" s="76" t="e">
        <f aca="false">IF(I382=1,F382,NA())</f>
        <v>#N/A</v>
      </c>
      <c r="R382" s="75" t="n">
        <f aca="false">ROWS(R$13:R382)</f>
        <v>370</v>
      </c>
      <c r="S382" s="73" t="str">
        <f aca="false">IF(S381="","",IFERROR(SMALL($AD$10:$AD$509,COUNTIF($AD$10:$AD$509,"&lt;="&amp;S381)+1),""))</f>
        <v/>
      </c>
      <c r="T382" s="74" t="str">
        <f aca="false">IF(S382="","",INDEX($AE$10:$AE$509,MATCH(S382,$AD$10:$AD$509,0)))</f>
        <v/>
      </c>
      <c r="U382" s="74" t="str">
        <f aca="false">IF(S382="","",IFERROR(INDEX($AG$10:$AG$509,MATCH(S382,$AF$10:$AF$509,0)),""))</f>
        <v/>
      </c>
      <c r="V382" s="76" t="str">
        <f aca="false">IF(AND(ISNUMBER(T382),ISNUMBER(T381)),T382/T381-1,"")</f>
        <v/>
      </c>
      <c r="W382" s="76" t="str">
        <f aca="false">IF(AND(ISNUMBER(U382),ISNUMBER(U381)),U382/U381-1,"")</f>
        <v/>
      </c>
      <c r="X382" s="75" t="str">
        <f aca="false">IF(AND(ISNUMBER(V382),ISNUMBER(W382)),1,"")</f>
        <v/>
      </c>
      <c r="Y382" s="76" t="str">
        <f aca="false">IF(X382=1,V382,"")</f>
        <v/>
      </c>
      <c r="Z382" s="76" t="str">
        <f aca="false">IF(X382=1,W382,"")</f>
        <v/>
      </c>
      <c r="AA382" s="76" t="e">
        <f aca="false">IF(X382=1,V382,NA())</f>
        <v>#N/A</v>
      </c>
      <c r="AB382" s="76" t="e">
        <f aca="false">IF(X382=1,W382,NA())</f>
        <v>#N/A</v>
      </c>
      <c r="AD382" s="73" t="str">
        <f aca="false">IF(ISNUMBER(AE382),IF(ISNUMBER('Base de Datos'!A378),IF('Base de Datos'!A378&gt;20000,DATE(YEAR('Base de Datos'!A378),DAY('Base de Datos'!A378),MONTH('Base de Datos'!A378)),""),IF(TRIM('Base de Datos'!A378)="","",IFERROR(DATE(VALUE(RIGHT(TRIM('Base de Datos'!A378),4)),VALUE(LEFT(TRIM('Base de Datos'!A378),2)),VALUE(MID(TRIM('Base de Datos'!A378),4,2))),""))),"")</f>
        <v/>
      </c>
      <c r="AE382" s="74" t="str">
        <f aca="false">IF(ISNUMBER('Base de Datos'!B378),'Base de Datos'!B378,IF(TRIM('Base de Datos'!B378)="","",IFERROR(IF(IFERROR(FIND("@",SUBSTITUTE(TRIM('Base de Datos'!B378),",","@",LEN(TRIM('Base de Datos'!B378))-LEN(SUBSTITUTE(TRIM('Base de Datos'!B378),",","")))),0)&gt;IFERROR(FIND("@",SUBSTITUTE(TRIM('Base de Datos'!B378),".","@",LEN(TRIM('Base de Datos'!B378))-LEN(SUBSTITUTE(TRIM('Base de Datos'!B378),".","")))),0),_xlfn.NUMBERVALUE(SUBSTITUTE(SUBSTITUTE(TRIM('Base de Datos'!B378),".",""),",","."),".",","),_xlfn.NUMBERVALUE(SUBSTITUTE(TRIM('Base de Datos'!B378),",",""),".",",")),"")))</f>
        <v/>
      </c>
      <c r="AF382" s="73" t="str">
        <f aca="false">IF(ISNUMBER(AG382),IF(ISNUMBER('Base de Datos'!I378),IF('Base de Datos'!I378&gt;20000,INT('Base de Datos'!I378),""),IF(TRIM('Base de Datos'!I378)="","",IFERROR(DATE(VALUE(RIGHT(TRIM('Base de Datos'!I378),4)),VALUE(MID(TRIM('Base de Datos'!I378),4,2)),VALUE(LEFT(TRIM('Base de Datos'!I378),2))),IFERROR(DATEVALUE(TRIM('Base de Datos'!I378)),"")))),"")</f>
        <v/>
      </c>
      <c r="AG382" s="74" t="str">
        <f aca="false">IF(ISNUMBER('Base de Datos'!J378),'Base de Datos'!J378,IF(TRIM('Base de Datos'!J378)="","",IFERROR(IF(IFERROR(FIND("@",SUBSTITUTE(TRIM('Base de Datos'!J378),",","@",LEN(TRIM('Base de Datos'!J378))-LEN(SUBSTITUTE(TRIM('Base de Datos'!J378),",","")))),0)&gt;IFERROR(FIND("@",SUBSTITUTE(TRIM('Base de Datos'!J378),".","@",LEN(TRIM('Base de Datos'!J378))-LEN(SUBSTITUTE(TRIM('Base de Datos'!J378),".","")))),0),_xlfn.NUMBERVALUE(SUBSTITUTE(SUBSTITUTE(TRIM('Base de Datos'!J378),".",""),",","."),".",","),_xlfn.NUMBERVALUE(SUBSTITUTE(TRIM('Base de Datos'!J378),",",""),".",",")),"")))</f>
        <v/>
      </c>
      <c r="AH382" s="73" t="str">
        <f aca="false">IF(ISNUMBER(AI382),IF(ISNUMBER('Base de Datos'!Q378),IF('Base de Datos'!Q378&gt;20000,DATE(YEAR('Base de Datos'!Q378),DAY('Base de Datos'!Q378),MONTH('Base de Datos'!Q378)),""),IF(TRIM('Base de Datos'!Q378)="","",IFERROR(DATE(VALUE(RIGHT(TRIM('Base de Datos'!Q378),4)),VALUE(LEFT(TRIM('Base de Datos'!Q378),2)),VALUE(MID(TRIM('Base de Datos'!Q378),4,2))),""))),"")</f>
        <v/>
      </c>
      <c r="AI382" s="74" t="str">
        <f aca="false">IF(ISNUMBER('Base de Datos'!R378),'Base de Datos'!R378,IF(TRIM('Base de Datos'!R378)="","",IFERROR(IF(IFERROR(FIND("@",SUBSTITUTE(TRIM('Base de Datos'!R378),",","@",LEN(TRIM('Base de Datos'!R378))-LEN(SUBSTITUTE(TRIM('Base de Datos'!R378),",","")))),0)&gt;IFERROR(FIND("@",SUBSTITUTE(TRIM('Base de Datos'!R378),".","@",LEN(TRIM('Base de Datos'!R378))-LEN(SUBSTITUTE(TRIM('Base de Datos'!R378),".","")))),0),_xlfn.NUMBERVALUE(SUBSTITUTE(SUBSTITUTE(TRIM('Base de Datos'!R378),".",""),",","."),".",","),_xlfn.NUMBERVALUE(SUBSTITUTE(TRIM('Base de Datos'!R378),",",""),".",",")),"")))</f>
        <v/>
      </c>
      <c r="AJ382" s="73" t="str">
        <f aca="false">IF(ISNUMBER(AK382),IF(ISNUMBER('Base de Datos'!Y378),IF('Base de Datos'!Y378&gt;20000,INT('Base de Datos'!Y378),""),IF(TRIM('Base de Datos'!Y378)="","",IFERROR(DATE(VALUE(RIGHT(TRIM('Base de Datos'!Y378),4)),VALUE(MID(TRIM('Base de Datos'!Y378),4,2)),VALUE(LEFT(TRIM('Base de Datos'!Y378),2))),IFERROR(DATEVALUE(TRIM('Base de Datos'!Y378)),"")))),"")</f>
        <v/>
      </c>
      <c r="AK382" s="74" t="str">
        <f aca="false">IF(ISNUMBER('Base de Datos'!Z378),'Base de Datos'!Z378,IF(TRIM('Base de Datos'!Z378)="","",IFERROR(IF(IFERROR(FIND("@",SUBSTITUTE(TRIM('Base de Datos'!Z378),",","@",LEN(TRIM('Base de Datos'!Z378))-LEN(SUBSTITUTE(TRIM('Base de Datos'!Z378),",","")))),0)&gt;IFERROR(FIND("@",SUBSTITUTE(TRIM('Base de Datos'!Z378),".","@",LEN(TRIM('Base de Datos'!Z378))-LEN(SUBSTITUTE(TRIM('Base de Datos'!Z378),".","")))),0),_xlfn.NUMBERVALUE(SUBSTITUTE(SUBSTITUTE(TRIM('Base de Datos'!Z378),".",""),",","."),".",","),_xlfn.NUMBERVALUE(SUBSTITUTE(TRIM('Base de Datos'!Z378),",",""),".",",")),"")))</f>
        <v/>
      </c>
    </row>
    <row r="383" customFormat="false" ht="13.5" hidden="false" customHeight="false" outlineLevel="0" collapsed="false">
      <c r="A383" s="75" t="n">
        <f aca="false">ROWS(A$13:A383)</f>
        <v>371</v>
      </c>
      <c r="B383" s="73" t="str">
        <f aca="false">IF(B382="","",IFERROR(SMALL($AH$10:$AH$409,COUNTIF($AH$10:$AH$409,"&lt;="&amp;B382)+1),""))</f>
        <v/>
      </c>
      <c r="C383" s="74" t="str">
        <f aca="false">IF(B383="","",INDEX($AI$10:$AI$409,MATCH(B383,$AH$10:$AH$409,0)))</f>
        <v/>
      </c>
      <c r="D383" s="74" t="str">
        <f aca="false">IF(B383="","",IFERROR(INDEX($AK$10:$AK$409,MATCH(B383,$AJ$10:$AJ$409,0)),""))</f>
        <v/>
      </c>
      <c r="E383" s="76" t="str">
        <f aca="false">IF(AND(ISNUMBER(C383),ISNUMBER(C382)),C383/C382-1,"")</f>
        <v/>
      </c>
      <c r="F383" s="76" t="str">
        <f aca="false">IF(AND(ISNUMBER(D383),ISNUMBER(D382)),D383/D382-1,"")</f>
        <v/>
      </c>
      <c r="G383" s="75" t="str">
        <f aca="false">IF(AND(ISNUMBER(E383),ISNUMBER(F383)),1,"")</f>
        <v/>
      </c>
      <c r="H383" s="75" t="str">
        <f aca="false">IF(G383=1,COUNT(G383:G$412),"")</f>
        <v/>
      </c>
      <c r="I383" s="75" t="str">
        <f aca="false">IF(G383=1,IF(H383&lt;='Beta Regresión'!$B$5,1,""),"")</f>
        <v/>
      </c>
      <c r="J383" s="76" t="str">
        <f aca="false">IF(I383=1,E383,"")</f>
        <v/>
      </c>
      <c r="K383" s="76" t="str">
        <f aca="false">IF(I383=1,F383,"")</f>
        <v/>
      </c>
      <c r="L383" s="75" t="str">
        <f aca="false">IF(I383=1,COUNT(I$13:I383),"")</f>
        <v/>
      </c>
      <c r="M383" s="76" t="str">
        <f aca="false">IFERROR(INDEX($J$13:$J$412,MATCH(A383,$L$13:$L$412,0)),"")</f>
        <v/>
      </c>
      <c r="N383" s="76" t="str">
        <f aca="false">IFERROR(INDEX($K$13:$K$412,MATCH(A383,$L$13:$L$412,0)),"")</f>
        <v/>
      </c>
      <c r="O383" s="76" t="e">
        <f aca="false">IF(I383=1,E383,NA())</f>
        <v>#N/A</v>
      </c>
      <c r="P383" s="76" t="e">
        <f aca="false">IF(I383=1,F383,NA())</f>
        <v>#N/A</v>
      </c>
      <c r="R383" s="75" t="n">
        <f aca="false">ROWS(R$13:R383)</f>
        <v>371</v>
      </c>
      <c r="S383" s="73" t="str">
        <f aca="false">IF(S382="","",IFERROR(SMALL($AD$10:$AD$509,COUNTIF($AD$10:$AD$509,"&lt;="&amp;S382)+1),""))</f>
        <v/>
      </c>
      <c r="T383" s="74" t="str">
        <f aca="false">IF(S383="","",INDEX($AE$10:$AE$509,MATCH(S383,$AD$10:$AD$509,0)))</f>
        <v/>
      </c>
      <c r="U383" s="74" t="str">
        <f aca="false">IF(S383="","",IFERROR(INDEX($AG$10:$AG$509,MATCH(S383,$AF$10:$AF$509,0)),""))</f>
        <v/>
      </c>
      <c r="V383" s="76" t="str">
        <f aca="false">IF(AND(ISNUMBER(T383),ISNUMBER(T382)),T383/T382-1,"")</f>
        <v/>
      </c>
      <c r="W383" s="76" t="str">
        <f aca="false">IF(AND(ISNUMBER(U383),ISNUMBER(U382)),U383/U382-1,"")</f>
        <v/>
      </c>
      <c r="X383" s="75" t="str">
        <f aca="false">IF(AND(ISNUMBER(V383),ISNUMBER(W383)),1,"")</f>
        <v/>
      </c>
      <c r="Y383" s="76" t="str">
        <f aca="false">IF(X383=1,V383,"")</f>
        <v/>
      </c>
      <c r="Z383" s="76" t="str">
        <f aca="false">IF(X383=1,W383,"")</f>
        <v/>
      </c>
      <c r="AA383" s="76" t="e">
        <f aca="false">IF(X383=1,V383,NA())</f>
        <v>#N/A</v>
      </c>
      <c r="AB383" s="76" t="e">
        <f aca="false">IF(X383=1,W383,NA())</f>
        <v>#N/A</v>
      </c>
      <c r="AD383" s="73" t="str">
        <f aca="false">IF(ISNUMBER(AE383),IF(ISNUMBER('Base de Datos'!A379),IF('Base de Datos'!A379&gt;20000,DATE(YEAR('Base de Datos'!A379),DAY('Base de Datos'!A379),MONTH('Base de Datos'!A379)),""),IF(TRIM('Base de Datos'!A379)="","",IFERROR(DATE(VALUE(RIGHT(TRIM('Base de Datos'!A379),4)),VALUE(LEFT(TRIM('Base de Datos'!A379),2)),VALUE(MID(TRIM('Base de Datos'!A379),4,2))),""))),"")</f>
        <v/>
      </c>
      <c r="AE383" s="74" t="str">
        <f aca="false">IF(ISNUMBER('Base de Datos'!B379),'Base de Datos'!B379,IF(TRIM('Base de Datos'!B379)="","",IFERROR(IF(IFERROR(FIND("@",SUBSTITUTE(TRIM('Base de Datos'!B379),",","@",LEN(TRIM('Base de Datos'!B379))-LEN(SUBSTITUTE(TRIM('Base de Datos'!B379),",","")))),0)&gt;IFERROR(FIND("@",SUBSTITUTE(TRIM('Base de Datos'!B379),".","@",LEN(TRIM('Base de Datos'!B379))-LEN(SUBSTITUTE(TRIM('Base de Datos'!B379),".","")))),0),_xlfn.NUMBERVALUE(SUBSTITUTE(SUBSTITUTE(TRIM('Base de Datos'!B379),".",""),",","."),".",","),_xlfn.NUMBERVALUE(SUBSTITUTE(TRIM('Base de Datos'!B379),",",""),".",",")),"")))</f>
        <v/>
      </c>
      <c r="AF383" s="73" t="str">
        <f aca="false">IF(ISNUMBER(AG383),IF(ISNUMBER('Base de Datos'!I379),IF('Base de Datos'!I379&gt;20000,INT('Base de Datos'!I379),""),IF(TRIM('Base de Datos'!I379)="","",IFERROR(DATE(VALUE(RIGHT(TRIM('Base de Datos'!I379),4)),VALUE(MID(TRIM('Base de Datos'!I379),4,2)),VALUE(LEFT(TRIM('Base de Datos'!I379),2))),IFERROR(DATEVALUE(TRIM('Base de Datos'!I379)),"")))),"")</f>
        <v/>
      </c>
      <c r="AG383" s="74" t="str">
        <f aca="false">IF(ISNUMBER('Base de Datos'!J379),'Base de Datos'!J379,IF(TRIM('Base de Datos'!J379)="","",IFERROR(IF(IFERROR(FIND("@",SUBSTITUTE(TRIM('Base de Datos'!J379),",","@",LEN(TRIM('Base de Datos'!J379))-LEN(SUBSTITUTE(TRIM('Base de Datos'!J379),",","")))),0)&gt;IFERROR(FIND("@",SUBSTITUTE(TRIM('Base de Datos'!J379),".","@",LEN(TRIM('Base de Datos'!J379))-LEN(SUBSTITUTE(TRIM('Base de Datos'!J379),".","")))),0),_xlfn.NUMBERVALUE(SUBSTITUTE(SUBSTITUTE(TRIM('Base de Datos'!J379),".",""),",","."),".",","),_xlfn.NUMBERVALUE(SUBSTITUTE(TRIM('Base de Datos'!J379),",",""),".",",")),"")))</f>
        <v/>
      </c>
      <c r="AH383" s="73" t="str">
        <f aca="false">IF(ISNUMBER(AI383),IF(ISNUMBER('Base de Datos'!Q379),IF('Base de Datos'!Q379&gt;20000,DATE(YEAR('Base de Datos'!Q379),DAY('Base de Datos'!Q379),MONTH('Base de Datos'!Q379)),""),IF(TRIM('Base de Datos'!Q379)="","",IFERROR(DATE(VALUE(RIGHT(TRIM('Base de Datos'!Q379),4)),VALUE(LEFT(TRIM('Base de Datos'!Q379),2)),VALUE(MID(TRIM('Base de Datos'!Q379),4,2))),""))),"")</f>
        <v/>
      </c>
      <c r="AI383" s="74" t="str">
        <f aca="false">IF(ISNUMBER('Base de Datos'!R379),'Base de Datos'!R379,IF(TRIM('Base de Datos'!R379)="","",IFERROR(IF(IFERROR(FIND("@",SUBSTITUTE(TRIM('Base de Datos'!R379),",","@",LEN(TRIM('Base de Datos'!R379))-LEN(SUBSTITUTE(TRIM('Base de Datos'!R379),",","")))),0)&gt;IFERROR(FIND("@",SUBSTITUTE(TRIM('Base de Datos'!R379),".","@",LEN(TRIM('Base de Datos'!R379))-LEN(SUBSTITUTE(TRIM('Base de Datos'!R379),".","")))),0),_xlfn.NUMBERVALUE(SUBSTITUTE(SUBSTITUTE(TRIM('Base de Datos'!R379),".",""),",","."),".",","),_xlfn.NUMBERVALUE(SUBSTITUTE(TRIM('Base de Datos'!R379),",",""),".",",")),"")))</f>
        <v/>
      </c>
      <c r="AJ383" s="73" t="str">
        <f aca="false">IF(ISNUMBER(AK383),IF(ISNUMBER('Base de Datos'!Y379),IF('Base de Datos'!Y379&gt;20000,INT('Base de Datos'!Y379),""),IF(TRIM('Base de Datos'!Y379)="","",IFERROR(DATE(VALUE(RIGHT(TRIM('Base de Datos'!Y379),4)),VALUE(MID(TRIM('Base de Datos'!Y379),4,2)),VALUE(LEFT(TRIM('Base de Datos'!Y379),2))),IFERROR(DATEVALUE(TRIM('Base de Datos'!Y379)),"")))),"")</f>
        <v/>
      </c>
      <c r="AK383" s="74" t="str">
        <f aca="false">IF(ISNUMBER('Base de Datos'!Z379),'Base de Datos'!Z379,IF(TRIM('Base de Datos'!Z379)="","",IFERROR(IF(IFERROR(FIND("@",SUBSTITUTE(TRIM('Base de Datos'!Z379),",","@",LEN(TRIM('Base de Datos'!Z379))-LEN(SUBSTITUTE(TRIM('Base de Datos'!Z379),",","")))),0)&gt;IFERROR(FIND("@",SUBSTITUTE(TRIM('Base de Datos'!Z379),".","@",LEN(TRIM('Base de Datos'!Z379))-LEN(SUBSTITUTE(TRIM('Base de Datos'!Z379),".","")))),0),_xlfn.NUMBERVALUE(SUBSTITUTE(SUBSTITUTE(TRIM('Base de Datos'!Z379),".",""),",","."),".",","),_xlfn.NUMBERVALUE(SUBSTITUTE(TRIM('Base de Datos'!Z379),",",""),".",",")),"")))</f>
        <v/>
      </c>
    </row>
    <row r="384" customFormat="false" ht="13.5" hidden="false" customHeight="false" outlineLevel="0" collapsed="false">
      <c r="A384" s="75" t="n">
        <f aca="false">ROWS(A$13:A384)</f>
        <v>372</v>
      </c>
      <c r="B384" s="73" t="str">
        <f aca="false">IF(B383="","",IFERROR(SMALL($AH$10:$AH$409,COUNTIF($AH$10:$AH$409,"&lt;="&amp;B383)+1),""))</f>
        <v/>
      </c>
      <c r="C384" s="74" t="str">
        <f aca="false">IF(B384="","",INDEX($AI$10:$AI$409,MATCH(B384,$AH$10:$AH$409,0)))</f>
        <v/>
      </c>
      <c r="D384" s="74" t="str">
        <f aca="false">IF(B384="","",IFERROR(INDEX($AK$10:$AK$409,MATCH(B384,$AJ$10:$AJ$409,0)),""))</f>
        <v/>
      </c>
      <c r="E384" s="76" t="str">
        <f aca="false">IF(AND(ISNUMBER(C384),ISNUMBER(C383)),C384/C383-1,"")</f>
        <v/>
      </c>
      <c r="F384" s="76" t="str">
        <f aca="false">IF(AND(ISNUMBER(D384),ISNUMBER(D383)),D384/D383-1,"")</f>
        <v/>
      </c>
      <c r="G384" s="75" t="str">
        <f aca="false">IF(AND(ISNUMBER(E384),ISNUMBER(F384)),1,"")</f>
        <v/>
      </c>
      <c r="H384" s="75" t="str">
        <f aca="false">IF(G384=1,COUNT(G384:G$412),"")</f>
        <v/>
      </c>
      <c r="I384" s="75" t="str">
        <f aca="false">IF(G384=1,IF(H384&lt;='Beta Regresión'!$B$5,1,""),"")</f>
        <v/>
      </c>
      <c r="J384" s="76" t="str">
        <f aca="false">IF(I384=1,E384,"")</f>
        <v/>
      </c>
      <c r="K384" s="76" t="str">
        <f aca="false">IF(I384=1,F384,"")</f>
        <v/>
      </c>
      <c r="L384" s="75" t="str">
        <f aca="false">IF(I384=1,COUNT(I$13:I384),"")</f>
        <v/>
      </c>
      <c r="M384" s="76" t="str">
        <f aca="false">IFERROR(INDEX($J$13:$J$412,MATCH(A384,$L$13:$L$412,0)),"")</f>
        <v/>
      </c>
      <c r="N384" s="76" t="str">
        <f aca="false">IFERROR(INDEX($K$13:$K$412,MATCH(A384,$L$13:$L$412,0)),"")</f>
        <v/>
      </c>
      <c r="O384" s="76" t="e">
        <f aca="false">IF(I384=1,E384,NA())</f>
        <v>#N/A</v>
      </c>
      <c r="P384" s="76" t="e">
        <f aca="false">IF(I384=1,F384,NA())</f>
        <v>#N/A</v>
      </c>
      <c r="R384" s="75" t="n">
        <f aca="false">ROWS(R$13:R384)</f>
        <v>372</v>
      </c>
      <c r="S384" s="73" t="str">
        <f aca="false">IF(S383="","",IFERROR(SMALL($AD$10:$AD$509,COUNTIF($AD$10:$AD$509,"&lt;="&amp;S383)+1),""))</f>
        <v/>
      </c>
      <c r="T384" s="74" t="str">
        <f aca="false">IF(S384="","",INDEX($AE$10:$AE$509,MATCH(S384,$AD$10:$AD$509,0)))</f>
        <v/>
      </c>
      <c r="U384" s="74" t="str">
        <f aca="false">IF(S384="","",IFERROR(INDEX($AG$10:$AG$509,MATCH(S384,$AF$10:$AF$509,0)),""))</f>
        <v/>
      </c>
      <c r="V384" s="76" t="str">
        <f aca="false">IF(AND(ISNUMBER(T384),ISNUMBER(T383)),T384/T383-1,"")</f>
        <v/>
      </c>
      <c r="W384" s="76" t="str">
        <f aca="false">IF(AND(ISNUMBER(U384),ISNUMBER(U383)),U384/U383-1,"")</f>
        <v/>
      </c>
      <c r="X384" s="75" t="str">
        <f aca="false">IF(AND(ISNUMBER(V384),ISNUMBER(W384)),1,"")</f>
        <v/>
      </c>
      <c r="Y384" s="76" t="str">
        <f aca="false">IF(X384=1,V384,"")</f>
        <v/>
      </c>
      <c r="Z384" s="76" t="str">
        <f aca="false">IF(X384=1,W384,"")</f>
        <v/>
      </c>
      <c r="AA384" s="76" t="e">
        <f aca="false">IF(X384=1,V384,NA())</f>
        <v>#N/A</v>
      </c>
      <c r="AB384" s="76" t="e">
        <f aca="false">IF(X384=1,W384,NA())</f>
        <v>#N/A</v>
      </c>
      <c r="AD384" s="73" t="str">
        <f aca="false">IF(ISNUMBER(AE384),IF(ISNUMBER('Base de Datos'!A380),IF('Base de Datos'!A380&gt;20000,DATE(YEAR('Base de Datos'!A380),DAY('Base de Datos'!A380),MONTH('Base de Datos'!A380)),""),IF(TRIM('Base de Datos'!A380)="","",IFERROR(DATE(VALUE(RIGHT(TRIM('Base de Datos'!A380),4)),VALUE(LEFT(TRIM('Base de Datos'!A380),2)),VALUE(MID(TRIM('Base de Datos'!A380),4,2))),""))),"")</f>
        <v/>
      </c>
      <c r="AE384" s="74" t="str">
        <f aca="false">IF(ISNUMBER('Base de Datos'!B380),'Base de Datos'!B380,IF(TRIM('Base de Datos'!B380)="","",IFERROR(IF(IFERROR(FIND("@",SUBSTITUTE(TRIM('Base de Datos'!B380),",","@",LEN(TRIM('Base de Datos'!B380))-LEN(SUBSTITUTE(TRIM('Base de Datos'!B380),",","")))),0)&gt;IFERROR(FIND("@",SUBSTITUTE(TRIM('Base de Datos'!B380),".","@",LEN(TRIM('Base de Datos'!B380))-LEN(SUBSTITUTE(TRIM('Base de Datos'!B380),".","")))),0),_xlfn.NUMBERVALUE(SUBSTITUTE(SUBSTITUTE(TRIM('Base de Datos'!B380),".",""),",","."),".",","),_xlfn.NUMBERVALUE(SUBSTITUTE(TRIM('Base de Datos'!B380),",",""),".",",")),"")))</f>
        <v/>
      </c>
      <c r="AF384" s="73" t="str">
        <f aca="false">IF(ISNUMBER(AG384),IF(ISNUMBER('Base de Datos'!I380),IF('Base de Datos'!I380&gt;20000,INT('Base de Datos'!I380),""),IF(TRIM('Base de Datos'!I380)="","",IFERROR(DATE(VALUE(RIGHT(TRIM('Base de Datos'!I380),4)),VALUE(MID(TRIM('Base de Datos'!I380),4,2)),VALUE(LEFT(TRIM('Base de Datos'!I380),2))),IFERROR(DATEVALUE(TRIM('Base de Datos'!I380)),"")))),"")</f>
        <v/>
      </c>
      <c r="AG384" s="74" t="str">
        <f aca="false">IF(ISNUMBER('Base de Datos'!J380),'Base de Datos'!J380,IF(TRIM('Base de Datos'!J380)="","",IFERROR(IF(IFERROR(FIND("@",SUBSTITUTE(TRIM('Base de Datos'!J380),",","@",LEN(TRIM('Base de Datos'!J380))-LEN(SUBSTITUTE(TRIM('Base de Datos'!J380),",","")))),0)&gt;IFERROR(FIND("@",SUBSTITUTE(TRIM('Base de Datos'!J380),".","@",LEN(TRIM('Base de Datos'!J380))-LEN(SUBSTITUTE(TRIM('Base de Datos'!J380),".","")))),0),_xlfn.NUMBERVALUE(SUBSTITUTE(SUBSTITUTE(TRIM('Base de Datos'!J380),".",""),",","."),".",","),_xlfn.NUMBERVALUE(SUBSTITUTE(TRIM('Base de Datos'!J380),",",""),".",",")),"")))</f>
        <v/>
      </c>
      <c r="AH384" s="73" t="str">
        <f aca="false">IF(ISNUMBER(AI384),IF(ISNUMBER('Base de Datos'!Q380),IF('Base de Datos'!Q380&gt;20000,DATE(YEAR('Base de Datos'!Q380),DAY('Base de Datos'!Q380),MONTH('Base de Datos'!Q380)),""),IF(TRIM('Base de Datos'!Q380)="","",IFERROR(DATE(VALUE(RIGHT(TRIM('Base de Datos'!Q380),4)),VALUE(LEFT(TRIM('Base de Datos'!Q380),2)),VALUE(MID(TRIM('Base de Datos'!Q380),4,2))),""))),"")</f>
        <v/>
      </c>
      <c r="AI384" s="74" t="str">
        <f aca="false">IF(ISNUMBER('Base de Datos'!R380),'Base de Datos'!R380,IF(TRIM('Base de Datos'!R380)="","",IFERROR(IF(IFERROR(FIND("@",SUBSTITUTE(TRIM('Base de Datos'!R380),",","@",LEN(TRIM('Base de Datos'!R380))-LEN(SUBSTITUTE(TRIM('Base de Datos'!R380),",","")))),0)&gt;IFERROR(FIND("@",SUBSTITUTE(TRIM('Base de Datos'!R380),".","@",LEN(TRIM('Base de Datos'!R380))-LEN(SUBSTITUTE(TRIM('Base de Datos'!R380),".","")))),0),_xlfn.NUMBERVALUE(SUBSTITUTE(SUBSTITUTE(TRIM('Base de Datos'!R380),".",""),",","."),".",","),_xlfn.NUMBERVALUE(SUBSTITUTE(TRIM('Base de Datos'!R380),",",""),".",",")),"")))</f>
        <v/>
      </c>
      <c r="AJ384" s="73" t="str">
        <f aca="false">IF(ISNUMBER(AK384),IF(ISNUMBER('Base de Datos'!Y380),IF('Base de Datos'!Y380&gt;20000,INT('Base de Datos'!Y380),""),IF(TRIM('Base de Datos'!Y380)="","",IFERROR(DATE(VALUE(RIGHT(TRIM('Base de Datos'!Y380),4)),VALUE(MID(TRIM('Base de Datos'!Y380),4,2)),VALUE(LEFT(TRIM('Base de Datos'!Y380),2))),IFERROR(DATEVALUE(TRIM('Base de Datos'!Y380)),"")))),"")</f>
        <v/>
      </c>
      <c r="AK384" s="74" t="str">
        <f aca="false">IF(ISNUMBER('Base de Datos'!Z380),'Base de Datos'!Z380,IF(TRIM('Base de Datos'!Z380)="","",IFERROR(IF(IFERROR(FIND("@",SUBSTITUTE(TRIM('Base de Datos'!Z380),",","@",LEN(TRIM('Base de Datos'!Z380))-LEN(SUBSTITUTE(TRIM('Base de Datos'!Z380),",","")))),0)&gt;IFERROR(FIND("@",SUBSTITUTE(TRIM('Base de Datos'!Z380),".","@",LEN(TRIM('Base de Datos'!Z380))-LEN(SUBSTITUTE(TRIM('Base de Datos'!Z380),".","")))),0),_xlfn.NUMBERVALUE(SUBSTITUTE(SUBSTITUTE(TRIM('Base de Datos'!Z380),".",""),",","."),".",","),_xlfn.NUMBERVALUE(SUBSTITUTE(TRIM('Base de Datos'!Z380),",",""),".",",")),"")))</f>
        <v/>
      </c>
    </row>
    <row r="385" customFormat="false" ht="13.5" hidden="false" customHeight="false" outlineLevel="0" collapsed="false">
      <c r="A385" s="75" t="n">
        <f aca="false">ROWS(A$13:A385)</f>
        <v>373</v>
      </c>
      <c r="B385" s="73" t="str">
        <f aca="false">IF(B384="","",IFERROR(SMALL($AH$10:$AH$409,COUNTIF($AH$10:$AH$409,"&lt;="&amp;B384)+1),""))</f>
        <v/>
      </c>
      <c r="C385" s="74" t="str">
        <f aca="false">IF(B385="","",INDEX($AI$10:$AI$409,MATCH(B385,$AH$10:$AH$409,0)))</f>
        <v/>
      </c>
      <c r="D385" s="74" t="str">
        <f aca="false">IF(B385="","",IFERROR(INDEX($AK$10:$AK$409,MATCH(B385,$AJ$10:$AJ$409,0)),""))</f>
        <v/>
      </c>
      <c r="E385" s="76" t="str">
        <f aca="false">IF(AND(ISNUMBER(C385),ISNUMBER(C384)),C385/C384-1,"")</f>
        <v/>
      </c>
      <c r="F385" s="76" t="str">
        <f aca="false">IF(AND(ISNUMBER(D385),ISNUMBER(D384)),D385/D384-1,"")</f>
        <v/>
      </c>
      <c r="G385" s="75" t="str">
        <f aca="false">IF(AND(ISNUMBER(E385),ISNUMBER(F385)),1,"")</f>
        <v/>
      </c>
      <c r="H385" s="75" t="str">
        <f aca="false">IF(G385=1,COUNT(G385:G$412),"")</f>
        <v/>
      </c>
      <c r="I385" s="75" t="str">
        <f aca="false">IF(G385=1,IF(H385&lt;='Beta Regresión'!$B$5,1,""),"")</f>
        <v/>
      </c>
      <c r="J385" s="76" t="str">
        <f aca="false">IF(I385=1,E385,"")</f>
        <v/>
      </c>
      <c r="K385" s="76" t="str">
        <f aca="false">IF(I385=1,F385,"")</f>
        <v/>
      </c>
      <c r="L385" s="75" t="str">
        <f aca="false">IF(I385=1,COUNT(I$13:I385),"")</f>
        <v/>
      </c>
      <c r="M385" s="76" t="str">
        <f aca="false">IFERROR(INDEX($J$13:$J$412,MATCH(A385,$L$13:$L$412,0)),"")</f>
        <v/>
      </c>
      <c r="N385" s="76" t="str">
        <f aca="false">IFERROR(INDEX($K$13:$K$412,MATCH(A385,$L$13:$L$412,0)),"")</f>
        <v/>
      </c>
      <c r="O385" s="76" t="e">
        <f aca="false">IF(I385=1,E385,NA())</f>
        <v>#N/A</v>
      </c>
      <c r="P385" s="76" t="e">
        <f aca="false">IF(I385=1,F385,NA())</f>
        <v>#N/A</v>
      </c>
      <c r="R385" s="75" t="n">
        <f aca="false">ROWS(R$13:R385)</f>
        <v>373</v>
      </c>
      <c r="S385" s="73" t="str">
        <f aca="false">IF(S384="","",IFERROR(SMALL($AD$10:$AD$509,COUNTIF($AD$10:$AD$509,"&lt;="&amp;S384)+1),""))</f>
        <v/>
      </c>
      <c r="T385" s="74" t="str">
        <f aca="false">IF(S385="","",INDEX($AE$10:$AE$509,MATCH(S385,$AD$10:$AD$509,0)))</f>
        <v/>
      </c>
      <c r="U385" s="74" t="str">
        <f aca="false">IF(S385="","",IFERROR(INDEX($AG$10:$AG$509,MATCH(S385,$AF$10:$AF$509,0)),""))</f>
        <v/>
      </c>
      <c r="V385" s="76" t="str">
        <f aca="false">IF(AND(ISNUMBER(T385),ISNUMBER(T384)),T385/T384-1,"")</f>
        <v/>
      </c>
      <c r="W385" s="76" t="str">
        <f aca="false">IF(AND(ISNUMBER(U385),ISNUMBER(U384)),U385/U384-1,"")</f>
        <v/>
      </c>
      <c r="X385" s="75" t="str">
        <f aca="false">IF(AND(ISNUMBER(V385),ISNUMBER(W385)),1,"")</f>
        <v/>
      </c>
      <c r="Y385" s="76" t="str">
        <f aca="false">IF(X385=1,V385,"")</f>
        <v/>
      </c>
      <c r="Z385" s="76" t="str">
        <f aca="false">IF(X385=1,W385,"")</f>
        <v/>
      </c>
      <c r="AA385" s="76" t="e">
        <f aca="false">IF(X385=1,V385,NA())</f>
        <v>#N/A</v>
      </c>
      <c r="AB385" s="76" t="e">
        <f aca="false">IF(X385=1,W385,NA())</f>
        <v>#N/A</v>
      </c>
      <c r="AD385" s="73" t="str">
        <f aca="false">IF(ISNUMBER(AE385),IF(ISNUMBER('Base de Datos'!A381),IF('Base de Datos'!A381&gt;20000,DATE(YEAR('Base de Datos'!A381),DAY('Base de Datos'!A381),MONTH('Base de Datos'!A381)),""),IF(TRIM('Base de Datos'!A381)="","",IFERROR(DATE(VALUE(RIGHT(TRIM('Base de Datos'!A381),4)),VALUE(LEFT(TRIM('Base de Datos'!A381),2)),VALUE(MID(TRIM('Base de Datos'!A381),4,2))),""))),"")</f>
        <v/>
      </c>
      <c r="AE385" s="74" t="str">
        <f aca="false">IF(ISNUMBER('Base de Datos'!B381),'Base de Datos'!B381,IF(TRIM('Base de Datos'!B381)="","",IFERROR(IF(IFERROR(FIND("@",SUBSTITUTE(TRIM('Base de Datos'!B381),",","@",LEN(TRIM('Base de Datos'!B381))-LEN(SUBSTITUTE(TRIM('Base de Datos'!B381),",","")))),0)&gt;IFERROR(FIND("@",SUBSTITUTE(TRIM('Base de Datos'!B381),".","@",LEN(TRIM('Base de Datos'!B381))-LEN(SUBSTITUTE(TRIM('Base de Datos'!B381),".","")))),0),_xlfn.NUMBERVALUE(SUBSTITUTE(SUBSTITUTE(TRIM('Base de Datos'!B381),".",""),",","."),".",","),_xlfn.NUMBERVALUE(SUBSTITUTE(TRIM('Base de Datos'!B381),",",""),".",",")),"")))</f>
        <v/>
      </c>
      <c r="AF385" s="73" t="str">
        <f aca="false">IF(ISNUMBER(AG385),IF(ISNUMBER('Base de Datos'!I381),IF('Base de Datos'!I381&gt;20000,INT('Base de Datos'!I381),""),IF(TRIM('Base de Datos'!I381)="","",IFERROR(DATE(VALUE(RIGHT(TRIM('Base de Datos'!I381),4)),VALUE(MID(TRIM('Base de Datos'!I381),4,2)),VALUE(LEFT(TRIM('Base de Datos'!I381),2))),IFERROR(DATEVALUE(TRIM('Base de Datos'!I381)),"")))),"")</f>
        <v/>
      </c>
      <c r="AG385" s="74" t="str">
        <f aca="false">IF(ISNUMBER('Base de Datos'!J381),'Base de Datos'!J381,IF(TRIM('Base de Datos'!J381)="","",IFERROR(IF(IFERROR(FIND("@",SUBSTITUTE(TRIM('Base de Datos'!J381),",","@",LEN(TRIM('Base de Datos'!J381))-LEN(SUBSTITUTE(TRIM('Base de Datos'!J381),",","")))),0)&gt;IFERROR(FIND("@",SUBSTITUTE(TRIM('Base de Datos'!J381),".","@",LEN(TRIM('Base de Datos'!J381))-LEN(SUBSTITUTE(TRIM('Base de Datos'!J381),".","")))),0),_xlfn.NUMBERVALUE(SUBSTITUTE(SUBSTITUTE(TRIM('Base de Datos'!J381),".",""),",","."),".",","),_xlfn.NUMBERVALUE(SUBSTITUTE(TRIM('Base de Datos'!J381),",",""),".",",")),"")))</f>
        <v/>
      </c>
      <c r="AH385" s="73" t="str">
        <f aca="false">IF(ISNUMBER(AI385),IF(ISNUMBER('Base de Datos'!Q381),IF('Base de Datos'!Q381&gt;20000,DATE(YEAR('Base de Datos'!Q381),DAY('Base de Datos'!Q381),MONTH('Base de Datos'!Q381)),""),IF(TRIM('Base de Datos'!Q381)="","",IFERROR(DATE(VALUE(RIGHT(TRIM('Base de Datos'!Q381),4)),VALUE(LEFT(TRIM('Base de Datos'!Q381),2)),VALUE(MID(TRIM('Base de Datos'!Q381),4,2))),""))),"")</f>
        <v/>
      </c>
      <c r="AI385" s="74" t="str">
        <f aca="false">IF(ISNUMBER('Base de Datos'!R381),'Base de Datos'!R381,IF(TRIM('Base de Datos'!R381)="","",IFERROR(IF(IFERROR(FIND("@",SUBSTITUTE(TRIM('Base de Datos'!R381),",","@",LEN(TRIM('Base de Datos'!R381))-LEN(SUBSTITUTE(TRIM('Base de Datos'!R381),",","")))),0)&gt;IFERROR(FIND("@",SUBSTITUTE(TRIM('Base de Datos'!R381),".","@",LEN(TRIM('Base de Datos'!R381))-LEN(SUBSTITUTE(TRIM('Base de Datos'!R381),".","")))),0),_xlfn.NUMBERVALUE(SUBSTITUTE(SUBSTITUTE(TRIM('Base de Datos'!R381),".",""),",","."),".",","),_xlfn.NUMBERVALUE(SUBSTITUTE(TRIM('Base de Datos'!R381),",",""),".",",")),"")))</f>
        <v/>
      </c>
      <c r="AJ385" s="73" t="str">
        <f aca="false">IF(ISNUMBER(AK385),IF(ISNUMBER('Base de Datos'!Y381),IF('Base de Datos'!Y381&gt;20000,INT('Base de Datos'!Y381),""),IF(TRIM('Base de Datos'!Y381)="","",IFERROR(DATE(VALUE(RIGHT(TRIM('Base de Datos'!Y381),4)),VALUE(MID(TRIM('Base de Datos'!Y381),4,2)),VALUE(LEFT(TRIM('Base de Datos'!Y381),2))),IFERROR(DATEVALUE(TRIM('Base de Datos'!Y381)),"")))),"")</f>
        <v/>
      </c>
      <c r="AK385" s="74" t="str">
        <f aca="false">IF(ISNUMBER('Base de Datos'!Z381),'Base de Datos'!Z381,IF(TRIM('Base de Datos'!Z381)="","",IFERROR(IF(IFERROR(FIND("@",SUBSTITUTE(TRIM('Base de Datos'!Z381),",","@",LEN(TRIM('Base de Datos'!Z381))-LEN(SUBSTITUTE(TRIM('Base de Datos'!Z381),",","")))),0)&gt;IFERROR(FIND("@",SUBSTITUTE(TRIM('Base de Datos'!Z381),".","@",LEN(TRIM('Base de Datos'!Z381))-LEN(SUBSTITUTE(TRIM('Base de Datos'!Z381),".","")))),0),_xlfn.NUMBERVALUE(SUBSTITUTE(SUBSTITUTE(TRIM('Base de Datos'!Z381),".",""),",","."),".",","),_xlfn.NUMBERVALUE(SUBSTITUTE(TRIM('Base de Datos'!Z381),",",""),".",",")),"")))</f>
        <v/>
      </c>
    </row>
    <row r="386" customFormat="false" ht="13.5" hidden="false" customHeight="false" outlineLevel="0" collapsed="false">
      <c r="A386" s="75" t="n">
        <f aca="false">ROWS(A$13:A386)</f>
        <v>374</v>
      </c>
      <c r="B386" s="73" t="str">
        <f aca="false">IF(B385="","",IFERROR(SMALL($AH$10:$AH$409,COUNTIF($AH$10:$AH$409,"&lt;="&amp;B385)+1),""))</f>
        <v/>
      </c>
      <c r="C386" s="74" t="str">
        <f aca="false">IF(B386="","",INDEX($AI$10:$AI$409,MATCH(B386,$AH$10:$AH$409,0)))</f>
        <v/>
      </c>
      <c r="D386" s="74" t="str">
        <f aca="false">IF(B386="","",IFERROR(INDEX($AK$10:$AK$409,MATCH(B386,$AJ$10:$AJ$409,0)),""))</f>
        <v/>
      </c>
      <c r="E386" s="76" t="str">
        <f aca="false">IF(AND(ISNUMBER(C386),ISNUMBER(C385)),C386/C385-1,"")</f>
        <v/>
      </c>
      <c r="F386" s="76" t="str">
        <f aca="false">IF(AND(ISNUMBER(D386),ISNUMBER(D385)),D386/D385-1,"")</f>
        <v/>
      </c>
      <c r="G386" s="75" t="str">
        <f aca="false">IF(AND(ISNUMBER(E386),ISNUMBER(F386)),1,"")</f>
        <v/>
      </c>
      <c r="H386" s="75" t="str">
        <f aca="false">IF(G386=1,COUNT(G386:G$412),"")</f>
        <v/>
      </c>
      <c r="I386" s="75" t="str">
        <f aca="false">IF(G386=1,IF(H386&lt;='Beta Regresión'!$B$5,1,""),"")</f>
        <v/>
      </c>
      <c r="J386" s="76" t="str">
        <f aca="false">IF(I386=1,E386,"")</f>
        <v/>
      </c>
      <c r="K386" s="76" t="str">
        <f aca="false">IF(I386=1,F386,"")</f>
        <v/>
      </c>
      <c r="L386" s="75" t="str">
        <f aca="false">IF(I386=1,COUNT(I$13:I386),"")</f>
        <v/>
      </c>
      <c r="M386" s="76" t="str">
        <f aca="false">IFERROR(INDEX($J$13:$J$412,MATCH(A386,$L$13:$L$412,0)),"")</f>
        <v/>
      </c>
      <c r="N386" s="76" t="str">
        <f aca="false">IFERROR(INDEX($K$13:$K$412,MATCH(A386,$L$13:$L$412,0)),"")</f>
        <v/>
      </c>
      <c r="O386" s="76" t="e">
        <f aca="false">IF(I386=1,E386,NA())</f>
        <v>#N/A</v>
      </c>
      <c r="P386" s="76" t="e">
        <f aca="false">IF(I386=1,F386,NA())</f>
        <v>#N/A</v>
      </c>
      <c r="R386" s="75" t="n">
        <f aca="false">ROWS(R$13:R386)</f>
        <v>374</v>
      </c>
      <c r="S386" s="73" t="str">
        <f aca="false">IF(S385="","",IFERROR(SMALL($AD$10:$AD$509,COUNTIF($AD$10:$AD$509,"&lt;="&amp;S385)+1),""))</f>
        <v/>
      </c>
      <c r="T386" s="74" t="str">
        <f aca="false">IF(S386="","",INDEX($AE$10:$AE$509,MATCH(S386,$AD$10:$AD$509,0)))</f>
        <v/>
      </c>
      <c r="U386" s="74" t="str">
        <f aca="false">IF(S386="","",IFERROR(INDEX($AG$10:$AG$509,MATCH(S386,$AF$10:$AF$509,0)),""))</f>
        <v/>
      </c>
      <c r="V386" s="76" t="str">
        <f aca="false">IF(AND(ISNUMBER(T386),ISNUMBER(T385)),T386/T385-1,"")</f>
        <v/>
      </c>
      <c r="W386" s="76" t="str">
        <f aca="false">IF(AND(ISNUMBER(U386),ISNUMBER(U385)),U386/U385-1,"")</f>
        <v/>
      </c>
      <c r="X386" s="75" t="str">
        <f aca="false">IF(AND(ISNUMBER(V386),ISNUMBER(W386)),1,"")</f>
        <v/>
      </c>
      <c r="Y386" s="76" t="str">
        <f aca="false">IF(X386=1,V386,"")</f>
        <v/>
      </c>
      <c r="Z386" s="76" t="str">
        <f aca="false">IF(X386=1,W386,"")</f>
        <v/>
      </c>
      <c r="AA386" s="76" t="e">
        <f aca="false">IF(X386=1,V386,NA())</f>
        <v>#N/A</v>
      </c>
      <c r="AB386" s="76" t="e">
        <f aca="false">IF(X386=1,W386,NA())</f>
        <v>#N/A</v>
      </c>
      <c r="AD386" s="73" t="str">
        <f aca="false">IF(ISNUMBER(AE386),IF(ISNUMBER('Base de Datos'!A382),IF('Base de Datos'!A382&gt;20000,DATE(YEAR('Base de Datos'!A382),DAY('Base de Datos'!A382),MONTH('Base de Datos'!A382)),""),IF(TRIM('Base de Datos'!A382)="","",IFERROR(DATE(VALUE(RIGHT(TRIM('Base de Datos'!A382),4)),VALUE(LEFT(TRIM('Base de Datos'!A382),2)),VALUE(MID(TRIM('Base de Datos'!A382),4,2))),""))),"")</f>
        <v/>
      </c>
      <c r="AE386" s="74" t="str">
        <f aca="false">IF(ISNUMBER('Base de Datos'!B382),'Base de Datos'!B382,IF(TRIM('Base de Datos'!B382)="","",IFERROR(IF(IFERROR(FIND("@",SUBSTITUTE(TRIM('Base de Datos'!B382),",","@",LEN(TRIM('Base de Datos'!B382))-LEN(SUBSTITUTE(TRIM('Base de Datos'!B382),",","")))),0)&gt;IFERROR(FIND("@",SUBSTITUTE(TRIM('Base de Datos'!B382),".","@",LEN(TRIM('Base de Datos'!B382))-LEN(SUBSTITUTE(TRIM('Base de Datos'!B382),".","")))),0),_xlfn.NUMBERVALUE(SUBSTITUTE(SUBSTITUTE(TRIM('Base de Datos'!B382),".",""),",","."),".",","),_xlfn.NUMBERVALUE(SUBSTITUTE(TRIM('Base de Datos'!B382),",",""),".",",")),"")))</f>
        <v/>
      </c>
      <c r="AF386" s="73" t="str">
        <f aca="false">IF(ISNUMBER(AG386),IF(ISNUMBER('Base de Datos'!I382),IF('Base de Datos'!I382&gt;20000,INT('Base de Datos'!I382),""),IF(TRIM('Base de Datos'!I382)="","",IFERROR(DATE(VALUE(RIGHT(TRIM('Base de Datos'!I382),4)),VALUE(MID(TRIM('Base de Datos'!I382),4,2)),VALUE(LEFT(TRIM('Base de Datos'!I382),2))),IFERROR(DATEVALUE(TRIM('Base de Datos'!I382)),"")))),"")</f>
        <v/>
      </c>
      <c r="AG386" s="74" t="str">
        <f aca="false">IF(ISNUMBER('Base de Datos'!J382),'Base de Datos'!J382,IF(TRIM('Base de Datos'!J382)="","",IFERROR(IF(IFERROR(FIND("@",SUBSTITUTE(TRIM('Base de Datos'!J382),",","@",LEN(TRIM('Base de Datos'!J382))-LEN(SUBSTITUTE(TRIM('Base de Datos'!J382),",","")))),0)&gt;IFERROR(FIND("@",SUBSTITUTE(TRIM('Base de Datos'!J382),".","@",LEN(TRIM('Base de Datos'!J382))-LEN(SUBSTITUTE(TRIM('Base de Datos'!J382),".","")))),0),_xlfn.NUMBERVALUE(SUBSTITUTE(SUBSTITUTE(TRIM('Base de Datos'!J382),".",""),",","."),".",","),_xlfn.NUMBERVALUE(SUBSTITUTE(TRIM('Base de Datos'!J382),",",""),".",",")),"")))</f>
        <v/>
      </c>
      <c r="AH386" s="73" t="str">
        <f aca="false">IF(ISNUMBER(AI386),IF(ISNUMBER('Base de Datos'!Q382),IF('Base de Datos'!Q382&gt;20000,DATE(YEAR('Base de Datos'!Q382),DAY('Base de Datos'!Q382),MONTH('Base de Datos'!Q382)),""),IF(TRIM('Base de Datos'!Q382)="","",IFERROR(DATE(VALUE(RIGHT(TRIM('Base de Datos'!Q382),4)),VALUE(LEFT(TRIM('Base de Datos'!Q382),2)),VALUE(MID(TRIM('Base de Datos'!Q382),4,2))),""))),"")</f>
        <v/>
      </c>
      <c r="AI386" s="74" t="str">
        <f aca="false">IF(ISNUMBER('Base de Datos'!R382),'Base de Datos'!R382,IF(TRIM('Base de Datos'!R382)="","",IFERROR(IF(IFERROR(FIND("@",SUBSTITUTE(TRIM('Base de Datos'!R382),",","@",LEN(TRIM('Base de Datos'!R382))-LEN(SUBSTITUTE(TRIM('Base de Datos'!R382),",","")))),0)&gt;IFERROR(FIND("@",SUBSTITUTE(TRIM('Base de Datos'!R382),".","@",LEN(TRIM('Base de Datos'!R382))-LEN(SUBSTITUTE(TRIM('Base de Datos'!R382),".","")))),0),_xlfn.NUMBERVALUE(SUBSTITUTE(SUBSTITUTE(TRIM('Base de Datos'!R382),".",""),",","."),".",","),_xlfn.NUMBERVALUE(SUBSTITUTE(TRIM('Base de Datos'!R382),",",""),".",",")),"")))</f>
        <v/>
      </c>
      <c r="AJ386" s="73" t="str">
        <f aca="false">IF(ISNUMBER(AK386),IF(ISNUMBER('Base de Datos'!Y382),IF('Base de Datos'!Y382&gt;20000,INT('Base de Datos'!Y382),""),IF(TRIM('Base de Datos'!Y382)="","",IFERROR(DATE(VALUE(RIGHT(TRIM('Base de Datos'!Y382),4)),VALUE(MID(TRIM('Base de Datos'!Y382),4,2)),VALUE(LEFT(TRIM('Base de Datos'!Y382),2))),IFERROR(DATEVALUE(TRIM('Base de Datos'!Y382)),"")))),"")</f>
        <v/>
      </c>
      <c r="AK386" s="74" t="str">
        <f aca="false">IF(ISNUMBER('Base de Datos'!Z382),'Base de Datos'!Z382,IF(TRIM('Base de Datos'!Z382)="","",IFERROR(IF(IFERROR(FIND("@",SUBSTITUTE(TRIM('Base de Datos'!Z382),",","@",LEN(TRIM('Base de Datos'!Z382))-LEN(SUBSTITUTE(TRIM('Base de Datos'!Z382),",","")))),0)&gt;IFERROR(FIND("@",SUBSTITUTE(TRIM('Base de Datos'!Z382),".","@",LEN(TRIM('Base de Datos'!Z382))-LEN(SUBSTITUTE(TRIM('Base de Datos'!Z382),".","")))),0),_xlfn.NUMBERVALUE(SUBSTITUTE(SUBSTITUTE(TRIM('Base de Datos'!Z382),".",""),",","."),".",","),_xlfn.NUMBERVALUE(SUBSTITUTE(TRIM('Base de Datos'!Z382),",",""),".",",")),"")))</f>
        <v/>
      </c>
    </row>
    <row r="387" customFormat="false" ht="13.5" hidden="false" customHeight="false" outlineLevel="0" collapsed="false">
      <c r="A387" s="75" t="n">
        <f aca="false">ROWS(A$13:A387)</f>
        <v>375</v>
      </c>
      <c r="B387" s="73" t="str">
        <f aca="false">IF(B386="","",IFERROR(SMALL($AH$10:$AH$409,COUNTIF($AH$10:$AH$409,"&lt;="&amp;B386)+1),""))</f>
        <v/>
      </c>
      <c r="C387" s="74" t="str">
        <f aca="false">IF(B387="","",INDEX($AI$10:$AI$409,MATCH(B387,$AH$10:$AH$409,0)))</f>
        <v/>
      </c>
      <c r="D387" s="74" t="str">
        <f aca="false">IF(B387="","",IFERROR(INDEX($AK$10:$AK$409,MATCH(B387,$AJ$10:$AJ$409,0)),""))</f>
        <v/>
      </c>
      <c r="E387" s="76" t="str">
        <f aca="false">IF(AND(ISNUMBER(C387),ISNUMBER(C386)),C387/C386-1,"")</f>
        <v/>
      </c>
      <c r="F387" s="76" t="str">
        <f aca="false">IF(AND(ISNUMBER(D387),ISNUMBER(D386)),D387/D386-1,"")</f>
        <v/>
      </c>
      <c r="G387" s="75" t="str">
        <f aca="false">IF(AND(ISNUMBER(E387),ISNUMBER(F387)),1,"")</f>
        <v/>
      </c>
      <c r="H387" s="75" t="str">
        <f aca="false">IF(G387=1,COUNT(G387:G$412),"")</f>
        <v/>
      </c>
      <c r="I387" s="75" t="str">
        <f aca="false">IF(G387=1,IF(H387&lt;='Beta Regresión'!$B$5,1,""),"")</f>
        <v/>
      </c>
      <c r="J387" s="76" t="str">
        <f aca="false">IF(I387=1,E387,"")</f>
        <v/>
      </c>
      <c r="K387" s="76" t="str">
        <f aca="false">IF(I387=1,F387,"")</f>
        <v/>
      </c>
      <c r="L387" s="75" t="str">
        <f aca="false">IF(I387=1,COUNT(I$13:I387),"")</f>
        <v/>
      </c>
      <c r="M387" s="76" t="str">
        <f aca="false">IFERROR(INDEX($J$13:$J$412,MATCH(A387,$L$13:$L$412,0)),"")</f>
        <v/>
      </c>
      <c r="N387" s="76" t="str">
        <f aca="false">IFERROR(INDEX($K$13:$K$412,MATCH(A387,$L$13:$L$412,0)),"")</f>
        <v/>
      </c>
      <c r="O387" s="76" t="e">
        <f aca="false">IF(I387=1,E387,NA())</f>
        <v>#N/A</v>
      </c>
      <c r="P387" s="76" t="e">
        <f aca="false">IF(I387=1,F387,NA())</f>
        <v>#N/A</v>
      </c>
      <c r="R387" s="75" t="n">
        <f aca="false">ROWS(R$13:R387)</f>
        <v>375</v>
      </c>
      <c r="S387" s="73" t="str">
        <f aca="false">IF(S386="","",IFERROR(SMALL($AD$10:$AD$509,COUNTIF($AD$10:$AD$509,"&lt;="&amp;S386)+1),""))</f>
        <v/>
      </c>
      <c r="T387" s="74" t="str">
        <f aca="false">IF(S387="","",INDEX($AE$10:$AE$509,MATCH(S387,$AD$10:$AD$509,0)))</f>
        <v/>
      </c>
      <c r="U387" s="74" t="str">
        <f aca="false">IF(S387="","",IFERROR(INDEX($AG$10:$AG$509,MATCH(S387,$AF$10:$AF$509,0)),""))</f>
        <v/>
      </c>
      <c r="V387" s="76" t="str">
        <f aca="false">IF(AND(ISNUMBER(T387),ISNUMBER(T386)),T387/T386-1,"")</f>
        <v/>
      </c>
      <c r="W387" s="76" t="str">
        <f aca="false">IF(AND(ISNUMBER(U387),ISNUMBER(U386)),U387/U386-1,"")</f>
        <v/>
      </c>
      <c r="X387" s="75" t="str">
        <f aca="false">IF(AND(ISNUMBER(V387),ISNUMBER(W387)),1,"")</f>
        <v/>
      </c>
      <c r="Y387" s="76" t="str">
        <f aca="false">IF(X387=1,V387,"")</f>
        <v/>
      </c>
      <c r="Z387" s="76" t="str">
        <f aca="false">IF(X387=1,W387,"")</f>
        <v/>
      </c>
      <c r="AA387" s="76" t="e">
        <f aca="false">IF(X387=1,V387,NA())</f>
        <v>#N/A</v>
      </c>
      <c r="AB387" s="76" t="e">
        <f aca="false">IF(X387=1,W387,NA())</f>
        <v>#N/A</v>
      </c>
      <c r="AD387" s="73" t="str">
        <f aca="false">IF(ISNUMBER(AE387),IF(ISNUMBER('Base de Datos'!A383),IF('Base de Datos'!A383&gt;20000,DATE(YEAR('Base de Datos'!A383),DAY('Base de Datos'!A383),MONTH('Base de Datos'!A383)),""),IF(TRIM('Base de Datos'!A383)="","",IFERROR(DATE(VALUE(RIGHT(TRIM('Base de Datos'!A383),4)),VALUE(LEFT(TRIM('Base de Datos'!A383),2)),VALUE(MID(TRIM('Base de Datos'!A383),4,2))),""))),"")</f>
        <v/>
      </c>
      <c r="AE387" s="74" t="str">
        <f aca="false">IF(ISNUMBER('Base de Datos'!B383),'Base de Datos'!B383,IF(TRIM('Base de Datos'!B383)="","",IFERROR(IF(IFERROR(FIND("@",SUBSTITUTE(TRIM('Base de Datos'!B383),",","@",LEN(TRIM('Base de Datos'!B383))-LEN(SUBSTITUTE(TRIM('Base de Datos'!B383),",","")))),0)&gt;IFERROR(FIND("@",SUBSTITUTE(TRIM('Base de Datos'!B383),".","@",LEN(TRIM('Base de Datos'!B383))-LEN(SUBSTITUTE(TRIM('Base de Datos'!B383),".","")))),0),_xlfn.NUMBERVALUE(SUBSTITUTE(SUBSTITUTE(TRIM('Base de Datos'!B383),".",""),",","."),".",","),_xlfn.NUMBERVALUE(SUBSTITUTE(TRIM('Base de Datos'!B383),",",""),".",",")),"")))</f>
        <v/>
      </c>
      <c r="AF387" s="73" t="str">
        <f aca="false">IF(ISNUMBER(AG387),IF(ISNUMBER('Base de Datos'!I383),IF('Base de Datos'!I383&gt;20000,INT('Base de Datos'!I383),""),IF(TRIM('Base de Datos'!I383)="","",IFERROR(DATE(VALUE(RIGHT(TRIM('Base de Datos'!I383),4)),VALUE(MID(TRIM('Base de Datos'!I383),4,2)),VALUE(LEFT(TRIM('Base de Datos'!I383),2))),IFERROR(DATEVALUE(TRIM('Base de Datos'!I383)),"")))),"")</f>
        <v/>
      </c>
      <c r="AG387" s="74" t="str">
        <f aca="false">IF(ISNUMBER('Base de Datos'!J383),'Base de Datos'!J383,IF(TRIM('Base de Datos'!J383)="","",IFERROR(IF(IFERROR(FIND("@",SUBSTITUTE(TRIM('Base de Datos'!J383),",","@",LEN(TRIM('Base de Datos'!J383))-LEN(SUBSTITUTE(TRIM('Base de Datos'!J383),",","")))),0)&gt;IFERROR(FIND("@",SUBSTITUTE(TRIM('Base de Datos'!J383),".","@",LEN(TRIM('Base de Datos'!J383))-LEN(SUBSTITUTE(TRIM('Base de Datos'!J383),".","")))),0),_xlfn.NUMBERVALUE(SUBSTITUTE(SUBSTITUTE(TRIM('Base de Datos'!J383),".",""),",","."),".",","),_xlfn.NUMBERVALUE(SUBSTITUTE(TRIM('Base de Datos'!J383),",",""),".",",")),"")))</f>
        <v/>
      </c>
      <c r="AH387" s="73" t="str">
        <f aca="false">IF(ISNUMBER(AI387),IF(ISNUMBER('Base de Datos'!Q383),IF('Base de Datos'!Q383&gt;20000,DATE(YEAR('Base de Datos'!Q383),DAY('Base de Datos'!Q383),MONTH('Base de Datos'!Q383)),""),IF(TRIM('Base de Datos'!Q383)="","",IFERROR(DATE(VALUE(RIGHT(TRIM('Base de Datos'!Q383),4)),VALUE(LEFT(TRIM('Base de Datos'!Q383),2)),VALUE(MID(TRIM('Base de Datos'!Q383),4,2))),""))),"")</f>
        <v/>
      </c>
      <c r="AI387" s="74" t="str">
        <f aca="false">IF(ISNUMBER('Base de Datos'!R383),'Base de Datos'!R383,IF(TRIM('Base de Datos'!R383)="","",IFERROR(IF(IFERROR(FIND("@",SUBSTITUTE(TRIM('Base de Datos'!R383),",","@",LEN(TRIM('Base de Datos'!R383))-LEN(SUBSTITUTE(TRIM('Base de Datos'!R383),",","")))),0)&gt;IFERROR(FIND("@",SUBSTITUTE(TRIM('Base de Datos'!R383),".","@",LEN(TRIM('Base de Datos'!R383))-LEN(SUBSTITUTE(TRIM('Base de Datos'!R383),".","")))),0),_xlfn.NUMBERVALUE(SUBSTITUTE(SUBSTITUTE(TRIM('Base de Datos'!R383),".",""),",","."),".",","),_xlfn.NUMBERVALUE(SUBSTITUTE(TRIM('Base de Datos'!R383),",",""),".",",")),"")))</f>
        <v/>
      </c>
      <c r="AJ387" s="73" t="str">
        <f aca="false">IF(ISNUMBER(AK387),IF(ISNUMBER('Base de Datos'!Y383),IF('Base de Datos'!Y383&gt;20000,INT('Base de Datos'!Y383),""),IF(TRIM('Base de Datos'!Y383)="","",IFERROR(DATE(VALUE(RIGHT(TRIM('Base de Datos'!Y383),4)),VALUE(MID(TRIM('Base de Datos'!Y383),4,2)),VALUE(LEFT(TRIM('Base de Datos'!Y383),2))),IFERROR(DATEVALUE(TRIM('Base de Datos'!Y383)),"")))),"")</f>
        <v/>
      </c>
      <c r="AK387" s="74" t="str">
        <f aca="false">IF(ISNUMBER('Base de Datos'!Z383),'Base de Datos'!Z383,IF(TRIM('Base de Datos'!Z383)="","",IFERROR(IF(IFERROR(FIND("@",SUBSTITUTE(TRIM('Base de Datos'!Z383),",","@",LEN(TRIM('Base de Datos'!Z383))-LEN(SUBSTITUTE(TRIM('Base de Datos'!Z383),",","")))),0)&gt;IFERROR(FIND("@",SUBSTITUTE(TRIM('Base de Datos'!Z383),".","@",LEN(TRIM('Base de Datos'!Z383))-LEN(SUBSTITUTE(TRIM('Base de Datos'!Z383),".","")))),0),_xlfn.NUMBERVALUE(SUBSTITUTE(SUBSTITUTE(TRIM('Base de Datos'!Z383),".",""),",","."),".",","),_xlfn.NUMBERVALUE(SUBSTITUTE(TRIM('Base de Datos'!Z383),",",""),".",",")),"")))</f>
        <v/>
      </c>
    </row>
    <row r="388" customFormat="false" ht="13.5" hidden="false" customHeight="false" outlineLevel="0" collapsed="false">
      <c r="A388" s="75" t="n">
        <f aca="false">ROWS(A$13:A388)</f>
        <v>376</v>
      </c>
      <c r="B388" s="73" t="str">
        <f aca="false">IF(B387="","",IFERROR(SMALL($AH$10:$AH$409,COUNTIF($AH$10:$AH$409,"&lt;="&amp;B387)+1),""))</f>
        <v/>
      </c>
      <c r="C388" s="74" t="str">
        <f aca="false">IF(B388="","",INDEX($AI$10:$AI$409,MATCH(B388,$AH$10:$AH$409,0)))</f>
        <v/>
      </c>
      <c r="D388" s="74" t="str">
        <f aca="false">IF(B388="","",IFERROR(INDEX($AK$10:$AK$409,MATCH(B388,$AJ$10:$AJ$409,0)),""))</f>
        <v/>
      </c>
      <c r="E388" s="76" t="str">
        <f aca="false">IF(AND(ISNUMBER(C388),ISNUMBER(C387)),C388/C387-1,"")</f>
        <v/>
      </c>
      <c r="F388" s="76" t="str">
        <f aca="false">IF(AND(ISNUMBER(D388),ISNUMBER(D387)),D388/D387-1,"")</f>
        <v/>
      </c>
      <c r="G388" s="75" t="str">
        <f aca="false">IF(AND(ISNUMBER(E388),ISNUMBER(F388)),1,"")</f>
        <v/>
      </c>
      <c r="H388" s="75" t="str">
        <f aca="false">IF(G388=1,COUNT(G388:G$412),"")</f>
        <v/>
      </c>
      <c r="I388" s="75" t="str">
        <f aca="false">IF(G388=1,IF(H388&lt;='Beta Regresión'!$B$5,1,""),"")</f>
        <v/>
      </c>
      <c r="J388" s="76" t="str">
        <f aca="false">IF(I388=1,E388,"")</f>
        <v/>
      </c>
      <c r="K388" s="76" t="str">
        <f aca="false">IF(I388=1,F388,"")</f>
        <v/>
      </c>
      <c r="L388" s="75" t="str">
        <f aca="false">IF(I388=1,COUNT(I$13:I388),"")</f>
        <v/>
      </c>
      <c r="M388" s="76" t="str">
        <f aca="false">IFERROR(INDEX($J$13:$J$412,MATCH(A388,$L$13:$L$412,0)),"")</f>
        <v/>
      </c>
      <c r="N388" s="76" t="str">
        <f aca="false">IFERROR(INDEX($K$13:$K$412,MATCH(A388,$L$13:$L$412,0)),"")</f>
        <v/>
      </c>
      <c r="O388" s="76" t="e">
        <f aca="false">IF(I388=1,E388,NA())</f>
        <v>#N/A</v>
      </c>
      <c r="P388" s="76" t="e">
        <f aca="false">IF(I388=1,F388,NA())</f>
        <v>#N/A</v>
      </c>
      <c r="R388" s="75" t="n">
        <f aca="false">ROWS(R$13:R388)</f>
        <v>376</v>
      </c>
      <c r="S388" s="73" t="str">
        <f aca="false">IF(S387="","",IFERROR(SMALL($AD$10:$AD$509,COUNTIF($AD$10:$AD$509,"&lt;="&amp;S387)+1),""))</f>
        <v/>
      </c>
      <c r="T388" s="74" t="str">
        <f aca="false">IF(S388="","",INDEX($AE$10:$AE$509,MATCH(S388,$AD$10:$AD$509,0)))</f>
        <v/>
      </c>
      <c r="U388" s="74" t="str">
        <f aca="false">IF(S388="","",IFERROR(INDEX($AG$10:$AG$509,MATCH(S388,$AF$10:$AF$509,0)),""))</f>
        <v/>
      </c>
      <c r="V388" s="76" t="str">
        <f aca="false">IF(AND(ISNUMBER(T388),ISNUMBER(T387)),T388/T387-1,"")</f>
        <v/>
      </c>
      <c r="W388" s="76" t="str">
        <f aca="false">IF(AND(ISNUMBER(U388),ISNUMBER(U387)),U388/U387-1,"")</f>
        <v/>
      </c>
      <c r="X388" s="75" t="str">
        <f aca="false">IF(AND(ISNUMBER(V388),ISNUMBER(W388)),1,"")</f>
        <v/>
      </c>
      <c r="Y388" s="76" t="str">
        <f aca="false">IF(X388=1,V388,"")</f>
        <v/>
      </c>
      <c r="Z388" s="76" t="str">
        <f aca="false">IF(X388=1,W388,"")</f>
        <v/>
      </c>
      <c r="AA388" s="76" t="e">
        <f aca="false">IF(X388=1,V388,NA())</f>
        <v>#N/A</v>
      </c>
      <c r="AB388" s="76" t="e">
        <f aca="false">IF(X388=1,W388,NA())</f>
        <v>#N/A</v>
      </c>
      <c r="AD388" s="73" t="str">
        <f aca="false">IF(ISNUMBER(AE388),IF(ISNUMBER('Base de Datos'!A384),IF('Base de Datos'!A384&gt;20000,DATE(YEAR('Base de Datos'!A384),DAY('Base de Datos'!A384),MONTH('Base de Datos'!A384)),""),IF(TRIM('Base de Datos'!A384)="","",IFERROR(DATE(VALUE(RIGHT(TRIM('Base de Datos'!A384),4)),VALUE(LEFT(TRIM('Base de Datos'!A384),2)),VALUE(MID(TRIM('Base de Datos'!A384),4,2))),""))),"")</f>
        <v/>
      </c>
      <c r="AE388" s="74" t="str">
        <f aca="false">IF(ISNUMBER('Base de Datos'!B384),'Base de Datos'!B384,IF(TRIM('Base de Datos'!B384)="","",IFERROR(IF(IFERROR(FIND("@",SUBSTITUTE(TRIM('Base de Datos'!B384),",","@",LEN(TRIM('Base de Datos'!B384))-LEN(SUBSTITUTE(TRIM('Base de Datos'!B384),",","")))),0)&gt;IFERROR(FIND("@",SUBSTITUTE(TRIM('Base de Datos'!B384),".","@",LEN(TRIM('Base de Datos'!B384))-LEN(SUBSTITUTE(TRIM('Base de Datos'!B384),".","")))),0),_xlfn.NUMBERVALUE(SUBSTITUTE(SUBSTITUTE(TRIM('Base de Datos'!B384),".",""),",","."),".",","),_xlfn.NUMBERVALUE(SUBSTITUTE(TRIM('Base de Datos'!B384),",",""),".",",")),"")))</f>
        <v/>
      </c>
      <c r="AF388" s="73" t="str">
        <f aca="false">IF(ISNUMBER(AG388),IF(ISNUMBER('Base de Datos'!I384),IF('Base de Datos'!I384&gt;20000,INT('Base de Datos'!I384),""),IF(TRIM('Base de Datos'!I384)="","",IFERROR(DATE(VALUE(RIGHT(TRIM('Base de Datos'!I384),4)),VALUE(MID(TRIM('Base de Datos'!I384),4,2)),VALUE(LEFT(TRIM('Base de Datos'!I384),2))),IFERROR(DATEVALUE(TRIM('Base de Datos'!I384)),"")))),"")</f>
        <v/>
      </c>
      <c r="AG388" s="74" t="str">
        <f aca="false">IF(ISNUMBER('Base de Datos'!J384),'Base de Datos'!J384,IF(TRIM('Base de Datos'!J384)="","",IFERROR(IF(IFERROR(FIND("@",SUBSTITUTE(TRIM('Base de Datos'!J384),",","@",LEN(TRIM('Base de Datos'!J384))-LEN(SUBSTITUTE(TRIM('Base de Datos'!J384),",","")))),0)&gt;IFERROR(FIND("@",SUBSTITUTE(TRIM('Base de Datos'!J384),".","@",LEN(TRIM('Base de Datos'!J384))-LEN(SUBSTITUTE(TRIM('Base de Datos'!J384),".","")))),0),_xlfn.NUMBERVALUE(SUBSTITUTE(SUBSTITUTE(TRIM('Base de Datos'!J384),".",""),",","."),".",","),_xlfn.NUMBERVALUE(SUBSTITUTE(TRIM('Base de Datos'!J384),",",""),".",",")),"")))</f>
        <v/>
      </c>
      <c r="AH388" s="73" t="str">
        <f aca="false">IF(ISNUMBER(AI388),IF(ISNUMBER('Base de Datos'!Q384),IF('Base de Datos'!Q384&gt;20000,DATE(YEAR('Base de Datos'!Q384),DAY('Base de Datos'!Q384),MONTH('Base de Datos'!Q384)),""),IF(TRIM('Base de Datos'!Q384)="","",IFERROR(DATE(VALUE(RIGHT(TRIM('Base de Datos'!Q384),4)),VALUE(LEFT(TRIM('Base de Datos'!Q384),2)),VALUE(MID(TRIM('Base de Datos'!Q384),4,2))),""))),"")</f>
        <v/>
      </c>
      <c r="AI388" s="74" t="str">
        <f aca="false">IF(ISNUMBER('Base de Datos'!R384),'Base de Datos'!R384,IF(TRIM('Base de Datos'!R384)="","",IFERROR(IF(IFERROR(FIND("@",SUBSTITUTE(TRIM('Base de Datos'!R384),",","@",LEN(TRIM('Base de Datos'!R384))-LEN(SUBSTITUTE(TRIM('Base de Datos'!R384),",","")))),0)&gt;IFERROR(FIND("@",SUBSTITUTE(TRIM('Base de Datos'!R384),".","@",LEN(TRIM('Base de Datos'!R384))-LEN(SUBSTITUTE(TRIM('Base de Datos'!R384),".","")))),0),_xlfn.NUMBERVALUE(SUBSTITUTE(SUBSTITUTE(TRIM('Base de Datos'!R384),".",""),",","."),".",","),_xlfn.NUMBERVALUE(SUBSTITUTE(TRIM('Base de Datos'!R384),",",""),".",",")),"")))</f>
        <v/>
      </c>
      <c r="AJ388" s="73" t="str">
        <f aca="false">IF(ISNUMBER(AK388),IF(ISNUMBER('Base de Datos'!Y384),IF('Base de Datos'!Y384&gt;20000,INT('Base de Datos'!Y384),""),IF(TRIM('Base de Datos'!Y384)="","",IFERROR(DATE(VALUE(RIGHT(TRIM('Base de Datos'!Y384),4)),VALUE(MID(TRIM('Base de Datos'!Y384),4,2)),VALUE(LEFT(TRIM('Base de Datos'!Y384),2))),IFERROR(DATEVALUE(TRIM('Base de Datos'!Y384)),"")))),"")</f>
        <v/>
      </c>
      <c r="AK388" s="74" t="str">
        <f aca="false">IF(ISNUMBER('Base de Datos'!Z384),'Base de Datos'!Z384,IF(TRIM('Base de Datos'!Z384)="","",IFERROR(IF(IFERROR(FIND("@",SUBSTITUTE(TRIM('Base de Datos'!Z384),",","@",LEN(TRIM('Base de Datos'!Z384))-LEN(SUBSTITUTE(TRIM('Base de Datos'!Z384),",","")))),0)&gt;IFERROR(FIND("@",SUBSTITUTE(TRIM('Base de Datos'!Z384),".","@",LEN(TRIM('Base de Datos'!Z384))-LEN(SUBSTITUTE(TRIM('Base de Datos'!Z384),".","")))),0),_xlfn.NUMBERVALUE(SUBSTITUTE(SUBSTITUTE(TRIM('Base de Datos'!Z384),".",""),",","."),".",","),_xlfn.NUMBERVALUE(SUBSTITUTE(TRIM('Base de Datos'!Z384),",",""),".",",")),"")))</f>
        <v/>
      </c>
    </row>
    <row r="389" customFormat="false" ht="13.5" hidden="false" customHeight="false" outlineLevel="0" collapsed="false">
      <c r="A389" s="75" t="n">
        <f aca="false">ROWS(A$13:A389)</f>
        <v>377</v>
      </c>
      <c r="B389" s="73" t="str">
        <f aca="false">IF(B388="","",IFERROR(SMALL($AH$10:$AH$409,COUNTIF($AH$10:$AH$409,"&lt;="&amp;B388)+1),""))</f>
        <v/>
      </c>
      <c r="C389" s="74" t="str">
        <f aca="false">IF(B389="","",INDEX($AI$10:$AI$409,MATCH(B389,$AH$10:$AH$409,0)))</f>
        <v/>
      </c>
      <c r="D389" s="74" t="str">
        <f aca="false">IF(B389="","",IFERROR(INDEX($AK$10:$AK$409,MATCH(B389,$AJ$10:$AJ$409,0)),""))</f>
        <v/>
      </c>
      <c r="E389" s="76" t="str">
        <f aca="false">IF(AND(ISNUMBER(C389),ISNUMBER(C388)),C389/C388-1,"")</f>
        <v/>
      </c>
      <c r="F389" s="76" t="str">
        <f aca="false">IF(AND(ISNUMBER(D389),ISNUMBER(D388)),D389/D388-1,"")</f>
        <v/>
      </c>
      <c r="G389" s="75" t="str">
        <f aca="false">IF(AND(ISNUMBER(E389),ISNUMBER(F389)),1,"")</f>
        <v/>
      </c>
      <c r="H389" s="75" t="str">
        <f aca="false">IF(G389=1,COUNT(G389:G$412),"")</f>
        <v/>
      </c>
      <c r="I389" s="75" t="str">
        <f aca="false">IF(G389=1,IF(H389&lt;='Beta Regresión'!$B$5,1,""),"")</f>
        <v/>
      </c>
      <c r="J389" s="76" t="str">
        <f aca="false">IF(I389=1,E389,"")</f>
        <v/>
      </c>
      <c r="K389" s="76" t="str">
        <f aca="false">IF(I389=1,F389,"")</f>
        <v/>
      </c>
      <c r="L389" s="75" t="str">
        <f aca="false">IF(I389=1,COUNT(I$13:I389),"")</f>
        <v/>
      </c>
      <c r="M389" s="76" t="str">
        <f aca="false">IFERROR(INDEX($J$13:$J$412,MATCH(A389,$L$13:$L$412,0)),"")</f>
        <v/>
      </c>
      <c r="N389" s="76" t="str">
        <f aca="false">IFERROR(INDEX($K$13:$K$412,MATCH(A389,$L$13:$L$412,0)),"")</f>
        <v/>
      </c>
      <c r="O389" s="76" t="e">
        <f aca="false">IF(I389=1,E389,NA())</f>
        <v>#N/A</v>
      </c>
      <c r="P389" s="76" t="e">
        <f aca="false">IF(I389=1,F389,NA())</f>
        <v>#N/A</v>
      </c>
      <c r="R389" s="75" t="n">
        <f aca="false">ROWS(R$13:R389)</f>
        <v>377</v>
      </c>
      <c r="S389" s="73" t="str">
        <f aca="false">IF(S388="","",IFERROR(SMALL($AD$10:$AD$509,COUNTIF($AD$10:$AD$509,"&lt;="&amp;S388)+1),""))</f>
        <v/>
      </c>
      <c r="T389" s="74" t="str">
        <f aca="false">IF(S389="","",INDEX($AE$10:$AE$509,MATCH(S389,$AD$10:$AD$509,0)))</f>
        <v/>
      </c>
      <c r="U389" s="74" t="str">
        <f aca="false">IF(S389="","",IFERROR(INDEX($AG$10:$AG$509,MATCH(S389,$AF$10:$AF$509,0)),""))</f>
        <v/>
      </c>
      <c r="V389" s="76" t="str">
        <f aca="false">IF(AND(ISNUMBER(T389),ISNUMBER(T388)),T389/T388-1,"")</f>
        <v/>
      </c>
      <c r="W389" s="76" t="str">
        <f aca="false">IF(AND(ISNUMBER(U389),ISNUMBER(U388)),U389/U388-1,"")</f>
        <v/>
      </c>
      <c r="X389" s="75" t="str">
        <f aca="false">IF(AND(ISNUMBER(V389),ISNUMBER(W389)),1,"")</f>
        <v/>
      </c>
      <c r="Y389" s="76" t="str">
        <f aca="false">IF(X389=1,V389,"")</f>
        <v/>
      </c>
      <c r="Z389" s="76" t="str">
        <f aca="false">IF(X389=1,W389,"")</f>
        <v/>
      </c>
      <c r="AA389" s="76" t="e">
        <f aca="false">IF(X389=1,V389,NA())</f>
        <v>#N/A</v>
      </c>
      <c r="AB389" s="76" t="e">
        <f aca="false">IF(X389=1,W389,NA())</f>
        <v>#N/A</v>
      </c>
      <c r="AD389" s="73" t="str">
        <f aca="false">IF(ISNUMBER(AE389),IF(ISNUMBER('Base de Datos'!A385),IF('Base de Datos'!A385&gt;20000,DATE(YEAR('Base de Datos'!A385),DAY('Base de Datos'!A385),MONTH('Base de Datos'!A385)),""),IF(TRIM('Base de Datos'!A385)="","",IFERROR(DATE(VALUE(RIGHT(TRIM('Base de Datos'!A385),4)),VALUE(LEFT(TRIM('Base de Datos'!A385),2)),VALUE(MID(TRIM('Base de Datos'!A385),4,2))),""))),"")</f>
        <v/>
      </c>
      <c r="AE389" s="74" t="str">
        <f aca="false">IF(ISNUMBER('Base de Datos'!B385),'Base de Datos'!B385,IF(TRIM('Base de Datos'!B385)="","",IFERROR(IF(IFERROR(FIND("@",SUBSTITUTE(TRIM('Base de Datos'!B385),",","@",LEN(TRIM('Base de Datos'!B385))-LEN(SUBSTITUTE(TRIM('Base de Datos'!B385),",","")))),0)&gt;IFERROR(FIND("@",SUBSTITUTE(TRIM('Base de Datos'!B385),".","@",LEN(TRIM('Base de Datos'!B385))-LEN(SUBSTITUTE(TRIM('Base de Datos'!B385),".","")))),0),_xlfn.NUMBERVALUE(SUBSTITUTE(SUBSTITUTE(TRIM('Base de Datos'!B385),".",""),",","."),".",","),_xlfn.NUMBERVALUE(SUBSTITUTE(TRIM('Base de Datos'!B385),",",""),".",",")),"")))</f>
        <v/>
      </c>
      <c r="AF389" s="73" t="str">
        <f aca="false">IF(ISNUMBER(AG389),IF(ISNUMBER('Base de Datos'!I385),IF('Base de Datos'!I385&gt;20000,INT('Base de Datos'!I385),""),IF(TRIM('Base de Datos'!I385)="","",IFERROR(DATE(VALUE(RIGHT(TRIM('Base de Datos'!I385),4)),VALUE(MID(TRIM('Base de Datos'!I385),4,2)),VALUE(LEFT(TRIM('Base de Datos'!I385),2))),IFERROR(DATEVALUE(TRIM('Base de Datos'!I385)),"")))),"")</f>
        <v/>
      </c>
      <c r="AG389" s="74" t="str">
        <f aca="false">IF(ISNUMBER('Base de Datos'!J385),'Base de Datos'!J385,IF(TRIM('Base de Datos'!J385)="","",IFERROR(IF(IFERROR(FIND("@",SUBSTITUTE(TRIM('Base de Datos'!J385),",","@",LEN(TRIM('Base de Datos'!J385))-LEN(SUBSTITUTE(TRIM('Base de Datos'!J385),",","")))),0)&gt;IFERROR(FIND("@",SUBSTITUTE(TRIM('Base de Datos'!J385),".","@",LEN(TRIM('Base de Datos'!J385))-LEN(SUBSTITUTE(TRIM('Base de Datos'!J385),".","")))),0),_xlfn.NUMBERVALUE(SUBSTITUTE(SUBSTITUTE(TRIM('Base de Datos'!J385),".",""),",","."),".",","),_xlfn.NUMBERVALUE(SUBSTITUTE(TRIM('Base de Datos'!J385),",",""),".",",")),"")))</f>
        <v/>
      </c>
      <c r="AH389" s="73" t="str">
        <f aca="false">IF(ISNUMBER(AI389),IF(ISNUMBER('Base de Datos'!Q385),IF('Base de Datos'!Q385&gt;20000,DATE(YEAR('Base de Datos'!Q385),DAY('Base de Datos'!Q385),MONTH('Base de Datos'!Q385)),""),IF(TRIM('Base de Datos'!Q385)="","",IFERROR(DATE(VALUE(RIGHT(TRIM('Base de Datos'!Q385),4)),VALUE(LEFT(TRIM('Base de Datos'!Q385),2)),VALUE(MID(TRIM('Base de Datos'!Q385),4,2))),""))),"")</f>
        <v/>
      </c>
      <c r="AI389" s="74" t="str">
        <f aca="false">IF(ISNUMBER('Base de Datos'!R385),'Base de Datos'!R385,IF(TRIM('Base de Datos'!R385)="","",IFERROR(IF(IFERROR(FIND("@",SUBSTITUTE(TRIM('Base de Datos'!R385),",","@",LEN(TRIM('Base de Datos'!R385))-LEN(SUBSTITUTE(TRIM('Base de Datos'!R385),",","")))),0)&gt;IFERROR(FIND("@",SUBSTITUTE(TRIM('Base de Datos'!R385),".","@",LEN(TRIM('Base de Datos'!R385))-LEN(SUBSTITUTE(TRIM('Base de Datos'!R385),".","")))),0),_xlfn.NUMBERVALUE(SUBSTITUTE(SUBSTITUTE(TRIM('Base de Datos'!R385),".",""),",","."),".",","),_xlfn.NUMBERVALUE(SUBSTITUTE(TRIM('Base de Datos'!R385),",",""),".",",")),"")))</f>
        <v/>
      </c>
      <c r="AJ389" s="73" t="str">
        <f aca="false">IF(ISNUMBER(AK389),IF(ISNUMBER('Base de Datos'!Y385),IF('Base de Datos'!Y385&gt;20000,INT('Base de Datos'!Y385),""),IF(TRIM('Base de Datos'!Y385)="","",IFERROR(DATE(VALUE(RIGHT(TRIM('Base de Datos'!Y385),4)),VALUE(MID(TRIM('Base de Datos'!Y385),4,2)),VALUE(LEFT(TRIM('Base de Datos'!Y385),2))),IFERROR(DATEVALUE(TRIM('Base de Datos'!Y385)),"")))),"")</f>
        <v/>
      </c>
      <c r="AK389" s="74" t="str">
        <f aca="false">IF(ISNUMBER('Base de Datos'!Z385),'Base de Datos'!Z385,IF(TRIM('Base de Datos'!Z385)="","",IFERROR(IF(IFERROR(FIND("@",SUBSTITUTE(TRIM('Base de Datos'!Z385),",","@",LEN(TRIM('Base de Datos'!Z385))-LEN(SUBSTITUTE(TRIM('Base de Datos'!Z385),",","")))),0)&gt;IFERROR(FIND("@",SUBSTITUTE(TRIM('Base de Datos'!Z385),".","@",LEN(TRIM('Base de Datos'!Z385))-LEN(SUBSTITUTE(TRIM('Base de Datos'!Z385),".","")))),0),_xlfn.NUMBERVALUE(SUBSTITUTE(SUBSTITUTE(TRIM('Base de Datos'!Z385),".",""),",","."),".",","),_xlfn.NUMBERVALUE(SUBSTITUTE(TRIM('Base de Datos'!Z385),",",""),".",",")),"")))</f>
        <v/>
      </c>
    </row>
    <row r="390" customFormat="false" ht="13.5" hidden="false" customHeight="false" outlineLevel="0" collapsed="false">
      <c r="A390" s="75" t="n">
        <f aca="false">ROWS(A$13:A390)</f>
        <v>378</v>
      </c>
      <c r="B390" s="73" t="str">
        <f aca="false">IF(B389="","",IFERROR(SMALL($AH$10:$AH$409,COUNTIF($AH$10:$AH$409,"&lt;="&amp;B389)+1),""))</f>
        <v/>
      </c>
      <c r="C390" s="74" t="str">
        <f aca="false">IF(B390="","",INDEX($AI$10:$AI$409,MATCH(B390,$AH$10:$AH$409,0)))</f>
        <v/>
      </c>
      <c r="D390" s="74" t="str">
        <f aca="false">IF(B390="","",IFERROR(INDEX($AK$10:$AK$409,MATCH(B390,$AJ$10:$AJ$409,0)),""))</f>
        <v/>
      </c>
      <c r="E390" s="76" t="str">
        <f aca="false">IF(AND(ISNUMBER(C390),ISNUMBER(C389)),C390/C389-1,"")</f>
        <v/>
      </c>
      <c r="F390" s="76" t="str">
        <f aca="false">IF(AND(ISNUMBER(D390),ISNUMBER(D389)),D390/D389-1,"")</f>
        <v/>
      </c>
      <c r="G390" s="75" t="str">
        <f aca="false">IF(AND(ISNUMBER(E390),ISNUMBER(F390)),1,"")</f>
        <v/>
      </c>
      <c r="H390" s="75" t="str">
        <f aca="false">IF(G390=1,COUNT(G390:G$412),"")</f>
        <v/>
      </c>
      <c r="I390" s="75" t="str">
        <f aca="false">IF(G390=1,IF(H390&lt;='Beta Regresión'!$B$5,1,""),"")</f>
        <v/>
      </c>
      <c r="J390" s="76" t="str">
        <f aca="false">IF(I390=1,E390,"")</f>
        <v/>
      </c>
      <c r="K390" s="76" t="str">
        <f aca="false">IF(I390=1,F390,"")</f>
        <v/>
      </c>
      <c r="L390" s="75" t="str">
        <f aca="false">IF(I390=1,COUNT(I$13:I390),"")</f>
        <v/>
      </c>
      <c r="M390" s="76" t="str">
        <f aca="false">IFERROR(INDEX($J$13:$J$412,MATCH(A390,$L$13:$L$412,0)),"")</f>
        <v/>
      </c>
      <c r="N390" s="76" t="str">
        <f aca="false">IFERROR(INDEX($K$13:$K$412,MATCH(A390,$L$13:$L$412,0)),"")</f>
        <v/>
      </c>
      <c r="O390" s="76" t="e">
        <f aca="false">IF(I390=1,E390,NA())</f>
        <v>#N/A</v>
      </c>
      <c r="P390" s="76" t="e">
        <f aca="false">IF(I390=1,F390,NA())</f>
        <v>#N/A</v>
      </c>
      <c r="R390" s="75" t="n">
        <f aca="false">ROWS(R$13:R390)</f>
        <v>378</v>
      </c>
      <c r="S390" s="73" t="str">
        <f aca="false">IF(S389="","",IFERROR(SMALL($AD$10:$AD$509,COUNTIF($AD$10:$AD$509,"&lt;="&amp;S389)+1),""))</f>
        <v/>
      </c>
      <c r="T390" s="74" t="str">
        <f aca="false">IF(S390="","",INDEX($AE$10:$AE$509,MATCH(S390,$AD$10:$AD$509,0)))</f>
        <v/>
      </c>
      <c r="U390" s="74" t="str">
        <f aca="false">IF(S390="","",IFERROR(INDEX($AG$10:$AG$509,MATCH(S390,$AF$10:$AF$509,0)),""))</f>
        <v/>
      </c>
      <c r="V390" s="76" t="str">
        <f aca="false">IF(AND(ISNUMBER(T390),ISNUMBER(T389)),T390/T389-1,"")</f>
        <v/>
      </c>
      <c r="W390" s="76" t="str">
        <f aca="false">IF(AND(ISNUMBER(U390),ISNUMBER(U389)),U390/U389-1,"")</f>
        <v/>
      </c>
      <c r="X390" s="75" t="str">
        <f aca="false">IF(AND(ISNUMBER(V390),ISNUMBER(W390)),1,"")</f>
        <v/>
      </c>
      <c r="Y390" s="76" t="str">
        <f aca="false">IF(X390=1,V390,"")</f>
        <v/>
      </c>
      <c r="Z390" s="76" t="str">
        <f aca="false">IF(X390=1,W390,"")</f>
        <v/>
      </c>
      <c r="AA390" s="76" t="e">
        <f aca="false">IF(X390=1,V390,NA())</f>
        <v>#N/A</v>
      </c>
      <c r="AB390" s="76" t="e">
        <f aca="false">IF(X390=1,W390,NA())</f>
        <v>#N/A</v>
      </c>
      <c r="AD390" s="73" t="str">
        <f aca="false">IF(ISNUMBER(AE390),IF(ISNUMBER('Base de Datos'!A386),IF('Base de Datos'!A386&gt;20000,DATE(YEAR('Base de Datos'!A386),DAY('Base de Datos'!A386),MONTH('Base de Datos'!A386)),""),IF(TRIM('Base de Datos'!A386)="","",IFERROR(DATE(VALUE(RIGHT(TRIM('Base de Datos'!A386),4)),VALUE(LEFT(TRIM('Base de Datos'!A386),2)),VALUE(MID(TRIM('Base de Datos'!A386),4,2))),""))),"")</f>
        <v/>
      </c>
      <c r="AE390" s="74" t="str">
        <f aca="false">IF(ISNUMBER('Base de Datos'!B386),'Base de Datos'!B386,IF(TRIM('Base de Datos'!B386)="","",IFERROR(IF(IFERROR(FIND("@",SUBSTITUTE(TRIM('Base de Datos'!B386),",","@",LEN(TRIM('Base de Datos'!B386))-LEN(SUBSTITUTE(TRIM('Base de Datos'!B386),",","")))),0)&gt;IFERROR(FIND("@",SUBSTITUTE(TRIM('Base de Datos'!B386),".","@",LEN(TRIM('Base de Datos'!B386))-LEN(SUBSTITUTE(TRIM('Base de Datos'!B386),".","")))),0),_xlfn.NUMBERVALUE(SUBSTITUTE(SUBSTITUTE(TRIM('Base de Datos'!B386),".",""),",","."),".",","),_xlfn.NUMBERVALUE(SUBSTITUTE(TRIM('Base de Datos'!B386),",",""),".",",")),"")))</f>
        <v/>
      </c>
      <c r="AF390" s="73" t="str">
        <f aca="false">IF(ISNUMBER(AG390),IF(ISNUMBER('Base de Datos'!I386),IF('Base de Datos'!I386&gt;20000,INT('Base de Datos'!I386),""),IF(TRIM('Base de Datos'!I386)="","",IFERROR(DATE(VALUE(RIGHT(TRIM('Base de Datos'!I386),4)),VALUE(MID(TRIM('Base de Datos'!I386),4,2)),VALUE(LEFT(TRIM('Base de Datos'!I386),2))),IFERROR(DATEVALUE(TRIM('Base de Datos'!I386)),"")))),"")</f>
        <v/>
      </c>
      <c r="AG390" s="74" t="str">
        <f aca="false">IF(ISNUMBER('Base de Datos'!J386),'Base de Datos'!J386,IF(TRIM('Base de Datos'!J386)="","",IFERROR(IF(IFERROR(FIND("@",SUBSTITUTE(TRIM('Base de Datos'!J386),",","@",LEN(TRIM('Base de Datos'!J386))-LEN(SUBSTITUTE(TRIM('Base de Datos'!J386),",","")))),0)&gt;IFERROR(FIND("@",SUBSTITUTE(TRIM('Base de Datos'!J386),".","@",LEN(TRIM('Base de Datos'!J386))-LEN(SUBSTITUTE(TRIM('Base de Datos'!J386),".","")))),0),_xlfn.NUMBERVALUE(SUBSTITUTE(SUBSTITUTE(TRIM('Base de Datos'!J386),".",""),",","."),".",","),_xlfn.NUMBERVALUE(SUBSTITUTE(TRIM('Base de Datos'!J386),",",""),".",",")),"")))</f>
        <v/>
      </c>
      <c r="AH390" s="73" t="str">
        <f aca="false">IF(ISNUMBER(AI390),IF(ISNUMBER('Base de Datos'!Q386),IF('Base de Datos'!Q386&gt;20000,DATE(YEAR('Base de Datos'!Q386),DAY('Base de Datos'!Q386),MONTH('Base de Datos'!Q386)),""),IF(TRIM('Base de Datos'!Q386)="","",IFERROR(DATE(VALUE(RIGHT(TRIM('Base de Datos'!Q386),4)),VALUE(LEFT(TRIM('Base de Datos'!Q386),2)),VALUE(MID(TRIM('Base de Datos'!Q386),4,2))),""))),"")</f>
        <v/>
      </c>
      <c r="AI390" s="74" t="str">
        <f aca="false">IF(ISNUMBER('Base de Datos'!R386),'Base de Datos'!R386,IF(TRIM('Base de Datos'!R386)="","",IFERROR(IF(IFERROR(FIND("@",SUBSTITUTE(TRIM('Base de Datos'!R386),",","@",LEN(TRIM('Base de Datos'!R386))-LEN(SUBSTITUTE(TRIM('Base de Datos'!R386),",","")))),0)&gt;IFERROR(FIND("@",SUBSTITUTE(TRIM('Base de Datos'!R386),".","@",LEN(TRIM('Base de Datos'!R386))-LEN(SUBSTITUTE(TRIM('Base de Datos'!R386),".","")))),0),_xlfn.NUMBERVALUE(SUBSTITUTE(SUBSTITUTE(TRIM('Base de Datos'!R386),".",""),",","."),".",","),_xlfn.NUMBERVALUE(SUBSTITUTE(TRIM('Base de Datos'!R386),",",""),".",",")),"")))</f>
        <v/>
      </c>
      <c r="AJ390" s="73" t="str">
        <f aca="false">IF(ISNUMBER(AK390),IF(ISNUMBER('Base de Datos'!Y386),IF('Base de Datos'!Y386&gt;20000,INT('Base de Datos'!Y386),""),IF(TRIM('Base de Datos'!Y386)="","",IFERROR(DATE(VALUE(RIGHT(TRIM('Base de Datos'!Y386),4)),VALUE(MID(TRIM('Base de Datos'!Y386),4,2)),VALUE(LEFT(TRIM('Base de Datos'!Y386),2))),IFERROR(DATEVALUE(TRIM('Base de Datos'!Y386)),"")))),"")</f>
        <v/>
      </c>
      <c r="AK390" s="74" t="str">
        <f aca="false">IF(ISNUMBER('Base de Datos'!Z386),'Base de Datos'!Z386,IF(TRIM('Base de Datos'!Z386)="","",IFERROR(IF(IFERROR(FIND("@",SUBSTITUTE(TRIM('Base de Datos'!Z386),",","@",LEN(TRIM('Base de Datos'!Z386))-LEN(SUBSTITUTE(TRIM('Base de Datos'!Z386),",","")))),0)&gt;IFERROR(FIND("@",SUBSTITUTE(TRIM('Base de Datos'!Z386),".","@",LEN(TRIM('Base de Datos'!Z386))-LEN(SUBSTITUTE(TRIM('Base de Datos'!Z386),".","")))),0),_xlfn.NUMBERVALUE(SUBSTITUTE(SUBSTITUTE(TRIM('Base de Datos'!Z386),".",""),",","."),".",","),_xlfn.NUMBERVALUE(SUBSTITUTE(TRIM('Base de Datos'!Z386),",",""),".",",")),"")))</f>
        <v/>
      </c>
    </row>
    <row r="391" customFormat="false" ht="13.5" hidden="false" customHeight="false" outlineLevel="0" collapsed="false">
      <c r="A391" s="75" t="n">
        <f aca="false">ROWS(A$13:A391)</f>
        <v>379</v>
      </c>
      <c r="B391" s="73" t="str">
        <f aca="false">IF(B390="","",IFERROR(SMALL($AH$10:$AH$409,COUNTIF($AH$10:$AH$409,"&lt;="&amp;B390)+1),""))</f>
        <v/>
      </c>
      <c r="C391" s="74" t="str">
        <f aca="false">IF(B391="","",INDEX($AI$10:$AI$409,MATCH(B391,$AH$10:$AH$409,0)))</f>
        <v/>
      </c>
      <c r="D391" s="74" t="str">
        <f aca="false">IF(B391="","",IFERROR(INDEX($AK$10:$AK$409,MATCH(B391,$AJ$10:$AJ$409,0)),""))</f>
        <v/>
      </c>
      <c r="E391" s="76" t="str">
        <f aca="false">IF(AND(ISNUMBER(C391),ISNUMBER(C390)),C391/C390-1,"")</f>
        <v/>
      </c>
      <c r="F391" s="76" t="str">
        <f aca="false">IF(AND(ISNUMBER(D391),ISNUMBER(D390)),D391/D390-1,"")</f>
        <v/>
      </c>
      <c r="G391" s="75" t="str">
        <f aca="false">IF(AND(ISNUMBER(E391),ISNUMBER(F391)),1,"")</f>
        <v/>
      </c>
      <c r="H391" s="75" t="str">
        <f aca="false">IF(G391=1,COUNT(G391:G$412),"")</f>
        <v/>
      </c>
      <c r="I391" s="75" t="str">
        <f aca="false">IF(G391=1,IF(H391&lt;='Beta Regresión'!$B$5,1,""),"")</f>
        <v/>
      </c>
      <c r="J391" s="76" t="str">
        <f aca="false">IF(I391=1,E391,"")</f>
        <v/>
      </c>
      <c r="K391" s="76" t="str">
        <f aca="false">IF(I391=1,F391,"")</f>
        <v/>
      </c>
      <c r="L391" s="75" t="str">
        <f aca="false">IF(I391=1,COUNT(I$13:I391),"")</f>
        <v/>
      </c>
      <c r="M391" s="76" t="str">
        <f aca="false">IFERROR(INDEX($J$13:$J$412,MATCH(A391,$L$13:$L$412,0)),"")</f>
        <v/>
      </c>
      <c r="N391" s="76" t="str">
        <f aca="false">IFERROR(INDEX($K$13:$K$412,MATCH(A391,$L$13:$L$412,0)),"")</f>
        <v/>
      </c>
      <c r="O391" s="76" t="e">
        <f aca="false">IF(I391=1,E391,NA())</f>
        <v>#N/A</v>
      </c>
      <c r="P391" s="76" t="e">
        <f aca="false">IF(I391=1,F391,NA())</f>
        <v>#N/A</v>
      </c>
      <c r="R391" s="75" t="n">
        <f aca="false">ROWS(R$13:R391)</f>
        <v>379</v>
      </c>
      <c r="S391" s="73" t="str">
        <f aca="false">IF(S390="","",IFERROR(SMALL($AD$10:$AD$509,COUNTIF($AD$10:$AD$509,"&lt;="&amp;S390)+1),""))</f>
        <v/>
      </c>
      <c r="T391" s="74" t="str">
        <f aca="false">IF(S391="","",INDEX($AE$10:$AE$509,MATCH(S391,$AD$10:$AD$509,0)))</f>
        <v/>
      </c>
      <c r="U391" s="74" t="str">
        <f aca="false">IF(S391="","",IFERROR(INDEX($AG$10:$AG$509,MATCH(S391,$AF$10:$AF$509,0)),""))</f>
        <v/>
      </c>
      <c r="V391" s="76" t="str">
        <f aca="false">IF(AND(ISNUMBER(T391),ISNUMBER(T390)),T391/T390-1,"")</f>
        <v/>
      </c>
      <c r="W391" s="76" t="str">
        <f aca="false">IF(AND(ISNUMBER(U391),ISNUMBER(U390)),U391/U390-1,"")</f>
        <v/>
      </c>
      <c r="X391" s="75" t="str">
        <f aca="false">IF(AND(ISNUMBER(V391),ISNUMBER(W391)),1,"")</f>
        <v/>
      </c>
      <c r="Y391" s="76" t="str">
        <f aca="false">IF(X391=1,V391,"")</f>
        <v/>
      </c>
      <c r="Z391" s="76" t="str">
        <f aca="false">IF(X391=1,W391,"")</f>
        <v/>
      </c>
      <c r="AA391" s="76" t="e">
        <f aca="false">IF(X391=1,V391,NA())</f>
        <v>#N/A</v>
      </c>
      <c r="AB391" s="76" t="e">
        <f aca="false">IF(X391=1,W391,NA())</f>
        <v>#N/A</v>
      </c>
      <c r="AD391" s="73" t="str">
        <f aca="false">IF(ISNUMBER(AE391),IF(ISNUMBER('Base de Datos'!A387),IF('Base de Datos'!A387&gt;20000,DATE(YEAR('Base de Datos'!A387),DAY('Base de Datos'!A387),MONTH('Base de Datos'!A387)),""),IF(TRIM('Base de Datos'!A387)="","",IFERROR(DATE(VALUE(RIGHT(TRIM('Base de Datos'!A387),4)),VALUE(LEFT(TRIM('Base de Datos'!A387),2)),VALUE(MID(TRIM('Base de Datos'!A387),4,2))),""))),"")</f>
        <v/>
      </c>
      <c r="AE391" s="74" t="str">
        <f aca="false">IF(ISNUMBER('Base de Datos'!B387),'Base de Datos'!B387,IF(TRIM('Base de Datos'!B387)="","",IFERROR(IF(IFERROR(FIND("@",SUBSTITUTE(TRIM('Base de Datos'!B387),",","@",LEN(TRIM('Base de Datos'!B387))-LEN(SUBSTITUTE(TRIM('Base de Datos'!B387),",","")))),0)&gt;IFERROR(FIND("@",SUBSTITUTE(TRIM('Base de Datos'!B387),".","@",LEN(TRIM('Base de Datos'!B387))-LEN(SUBSTITUTE(TRIM('Base de Datos'!B387),".","")))),0),_xlfn.NUMBERVALUE(SUBSTITUTE(SUBSTITUTE(TRIM('Base de Datos'!B387),".",""),",","."),".",","),_xlfn.NUMBERVALUE(SUBSTITUTE(TRIM('Base de Datos'!B387),",",""),".",",")),"")))</f>
        <v/>
      </c>
      <c r="AF391" s="73" t="str">
        <f aca="false">IF(ISNUMBER(AG391),IF(ISNUMBER('Base de Datos'!I387),IF('Base de Datos'!I387&gt;20000,INT('Base de Datos'!I387),""),IF(TRIM('Base de Datos'!I387)="","",IFERROR(DATE(VALUE(RIGHT(TRIM('Base de Datos'!I387),4)),VALUE(MID(TRIM('Base de Datos'!I387),4,2)),VALUE(LEFT(TRIM('Base de Datos'!I387),2))),IFERROR(DATEVALUE(TRIM('Base de Datos'!I387)),"")))),"")</f>
        <v/>
      </c>
      <c r="AG391" s="74" t="str">
        <f aca="false">IF(ISNUMBER('Base de Datos'!J387),'Base de Datos'!J387,IF(TRIM('Base de Datos'!J387)="","",IFERROR(IF(IFERROR(FIND("@",SUBSTITUTE(TRIM('Base de Datos'!J387),",","@",LEN(TRIM('Base de Datos'!J387))-LEN(SUBSTITUTE(TRIM('Base de Datos'!J387),",","")))),0)&gt;IFERROR(FIND("@",SUBSTITUTE(TRIM('Base de Datos'!J387),".","@",LEN(TRIM('Base de Datos'!J387))-LEN(SUBSTITUTE(TRIM('Base de Datos'!J387),".","")))),0),_xlfn.NUMBERVALUE(SUBSTITUTE(SUBSTITUTE(TRIM('Base de Datos'!J387),".",""),",","."),".",","),_xlfn.NUMBERVALUE(SUBSTITUTE(TRIM('Base de Datos'!J387),",",""),".",",")),"")))</f>
        <v/>
      </c>
      <c r="AH391" s="73" t="str">
        <f aca="false">IF(ISNUMBER(AI391),IF(ISNUMBER('Base de Datos'!Q387),IF('Base de Datos'!Q387&gt;20000,DATE(YEAR('Base de Datos'!Q387),DAY('Base de Datos'!Q387),MONTH('Base de Datos'!Q387)),""),IF(TRIM('Base de Datos'!Q387)="","",IFERROR(DATE(VALUE(RIGHT(TRIM('Base de Datos'!Q387),4)),VALUE(LEFT(TRIM('Base de Datos'!Q387),2)),VALUE(MID(TRIM('Base de Datos'!Q387),4,2))),""))),"")</f>
        <v/>
      </c>
      <c r="AI391" s="74" t="str">
        <f aca="false">IF(ISNUMBER('Base de Datos'!R387),'Base de Datos'!R387,IF(TRIM('Base de Datos'!R387)="","",IFERROR(IF(IFERROR(FIND("@",SUBSTITUTE(TRIM('Base de Datos'!R387),",","@",LEN(TRIM('Base de Datos'!R387))-LEN(SUBSTITUTE(TRIM('Base de Datos'!R387),",","")))),0)&gt;IFERROR(FIND("@",SUBSTITUTE(TRIM('Base de Datos'!R387),".","@",LEN(TRIM('Base de Datos'!R387))-LEN(SUBSTITUTE(TRIM('Base de Datos'!R387),".","")))),0),_xlfn.NUMBERVALUE(SUBSTITUTE(SUBSTITUTE(TRIM('Base de Datos'!R387),".",""),",","."),".",","),_xlfn.NUMBERVALUE(SUBSTITUTE(TRIM('Base de Datos'!R387),",",""),".",",")),"")))</f>
        <v/>
      </c>
      <c r="AJ391" s="73" t="str">
        <f aca="false">IF(ISNUMBER(AK391),IF(ISNUMBER('Base de Datos'!Y387),IF('Base de Datos'!Y387&gt;20000,INT('Base de Datos'!Y387),""),IF(TRIM('Base de Datos'!Y387)="","",IFERROR(DATE(VALUE(RIGHT(TRIM('Base de Datos'!Y387),4)),VALUE(MID(TRIM('Base de Datos'!Y387),4,2)),VALUE(LEFT(TRIM('Base de Datos'!Y387),2))),IFERROR(DATEVALUE(TRIM('Base de Datos'!Y387)),"")))),"")</f>
        <v/>
      </c>
      <c r="AK391" s="74" t="str">
        <f aca="false">IF(ISNUMBER('Base de Datos'!Z387),'Base de Datos'!Z387,IF(TRIM('Base de Datos'!Z387)="","",IFERROR(IF(IFERROR(FIND("@",SUBSTITUTE(TRIM('Base de Datos'!Z387),",","@",LEN(TRIM('Base de Datos'!Z387))-LEN(SUBSTITUTE(TRIM('Base de Datos'!Z387),",","")))),0)&gt;IFERROR(FIND("@",SUBSTITUTE(TRIM('Base de Datos'!Z387),".","@",LEN(TRIM('Base de Datos'!Z387))-LEN(SUBSTITUTE(TRIM('Base de Datos'!Z387),".","")))),0),_xlfn.NUMBERVALUE(SUBSTITUTE(SUBSTITUTE(TRIM('Base de Datos'!Z387),".",""),",","."),".",","),_xlfn.NUMBERVALUE(SUBSTITUTE(TRIM('Base de Datos'!Z387),",",""),".",",")),"")))</f>
        <v/>
      </c>
    </row>
    <row r="392" customFormat="false" ht="13.5" hidden="false" customHeight="false" outlineLevel="0" collapsed="false">
      <c r="A392" s="75" t="n">
        <f aca="false">ROWS(A$13:A392)</f>
        <v>380</v>
      </c>
      <c r="B392" s="73" t="str">
        <f aca="false">IF(B391="","",IFERROR(SMALL($AH$10:$AH$409,COUNTIF($AH$10:$AH$409,"&lt;="&amp;B391)+1),""))</f>
        <v/>
      </c>
      <c r="C392" s="74" t="str">
        <f aca="false">IF(B392="","",INDEX($AI$10:$AI$409,MATCH(B392,$AH$10:$AH$409,0)))</f>
        <v/>
      </c>
      <c r="D392" s="74" t="str">
        <f aca="false">IF(B392="","",IFERROR(INDEX($AK$10:$AK$409,MATCH(B392,$AJ$10:$AJ$409,0)),""))</f>
        <v/>
      </c>
      <c r="E392" s="76" t="str">
        <f aca="false">IF(AND(ISNUMBER(C392),ISNUMBER(C391)),C392/C391-1,"")</f>
        <v/>
      </c>
      <c r="F392" s="76" t="str">
        <f aca="false">IF(AND(ISNUMBER(D392),ISNUMBER(D391)),D392/D391-1,"")</f>
        <v/>
      </c>
      <c r="G392" s="75" t="str">
        <f aca="false">IF(AND(ISNUMBER(E392),ISNUMBER(F392)),1,"")</f>
        <v/>
      </c>
      <c r="H392" s="75" t="str">
        <f aca="false">IF(G392=1,COUNT(G392:G$412),"")</f>
        <v/>
      </c>
      <c r="I392" s="75" t="str">
        <f aca="false">IF(G392=1,IF(H392&lt;='Beta Regresión'!$B$5,1,""),"")</f>
        <v/>
      </c>
      <c r="J392" s="76" t="str">
        <f aca="false">IF(I392=1,E392,"")</f>
        <v/>
      </c>
      <c r="K392" s="76" t="str">
        <f aca="false">IF(I392=1,F392,"")</f>
        <v/>
      </c>
      <c r="L392" s="75" t="str">
        <f aca="false">IF(I392=1,COUNT(I$13:I392),"")</f>
        <v/>
      </c>
      <c r="M392" s="76" t="str">
        <f aca="false">IFERROR(INDEX($J$13:$J$412,MATCH(A392,$L$13:$L$412,0)),"")</f>
        <v/>
      </c>
      <c r="N392" s="76" t="str">
        <f aca="false">IFERROR(INDEX($K$13:$K$412,MATCH(A392,$L$13:$L$412,0)),"")</f>
        <v/>
      </c>
      <c r="O392" s="76" t="e">
        <f aca="false">IF(I392=1,E392,NA())</f>
        <v>#N/A</v>
      </c>
      <c r="P392" s="76" t="e">
        <f aca="false">IF(I392=1,F392,NA())</f>
        <v>#N/A</v>
      </c>
      <c r="R392" s="75" t="n">
        <f aca="false">ROWS(R$13:R392)</f>
        <v>380</v>
      </c>
      <c r="S392" s="73" t="str">
        <f aca="false">IF(S391="","",IFERROR(SMALL($AD$10:$AD$509,COUNTIF($AD$10:$AD$509,"&lt;="&amp;S391)+1),""))</f>
        <v/>
      </c>
      <c r="T392" s="74" t="str">
        <f aca="false">IF(S392="","",INDEX($AE$10:$AE$509,MATCH(S392,$AD$10:$AD$509,0)))</f>
        <v/>
      </c>
      <c r="U392" s="74" t="str">
        <f aca="false">IF(S392="","",IFERROR(INDEX($AG$10:$AG$509,MATCH(S392,$AF$10:$AF$509,0)),""))</f>
        <v/>
      </c>
      <c r="V392" s="76" t="str">
        <f aca="false">IF(AND(ISNUMBER(T392),ISNUMBER(T391)),T392/T391-1,"")</f>
        <v/>
      </c>
      <c r="W392" s="76" t="str">
        <f aca="false">IF(AND(ISNUMBER(U392),ISNUMBER(U391)),U392/U391-1,"")</f>
        <v/>
      </c>
      <c r="X392" s="75" t="str">
        <f aca="false">IF(AND(ISNUMBER(V392),ISNUMBER(W392)),1,"")</f>
        <v/>
      </c>
      <c r="Y392" s="76" t="str">
        <f aca="false">IF(X392=1,V392,"")</f>
        <v/>
      </c>
      <c r="Z392" s="76" t="str">
        <f aca="false">IF(X392=1,W392,"")</f>
        <v/>
      </c>
      <c r="AA392" s="76" t="e">
        <f aca="false">IF(X392=1,V392,NA())</f>
        <v>#N/A</v>
      </c>
      <c r="AB392" s="76" t="e">
        <f aca="false">IF(X392=1,W392,NA())</f>
        <v>#N/A</v>
      </c>
      <c r="AD392" s="73" t="str">
        <f aca="false">IF(ISNUMBER(AE392),IF(ISNUMBER('Base de Datos'!A388),IF('Base de Datos'!A388&gt;20000,DATE(YEAR('Base de Datos'!A388),DAY('Base de Datos'!A388),MONTH('Base de Datos'!A388)),""),IF(TRIM('Base de Datos'!A388)="","",IFERROR(DATE(VALUE(RIGHT(TRIM('Base de Datos'!A388),4)),VALUE(LEFT(TRIM('Base de Datos'!A388),2)),VALUE(MID(TRIM('Base de Datos'!A388),4,2))),""))),"")</f>
        <v/>
      </c>
      <c r="AE392" s="74" t="str">
        <f aca="false">IF(ISNUMBER('Base de Datos'!B388),'Base de Datos'!B388,IF(TRIM('Base de Datos'!B388)="","",IFERROR(IF(IFERROR(FIND("@",SUBSTITUTE(TRIM('Base de Datos'!B388),",","@",LEN(TRIM('Base de Datos'!B388))-LEN(SUBSTITUTE(TRIM('Base de Datos'!B388),",","")))),0)&gt;IFERROR(FIND("@",SUBSTITUTE(TRIM('Base de Datos'!B388),".","@",LEN(TRIM('Base de Datos'!B388))-LEN(SUBSTITUTE(TRIM('Base de Datos'!B388),".","")))),0),_xlfn.NUMBERVALUE(SUBSTITUTE(SUBSTITUTE(TRIM('Base de Datos'!B388),".",""),",","."),".",","),_xlfn.NUMBERVALUE(SUBSTITUTE(TRIM('Base de Datos'!B388),",",""),".",",")),"")))</f>
        <v/>
      </c>
      <c r="AF392" s="73" t="str">
        <f aca="false">IF(ISNUMBER(AG392),IF(ISNUMBER('Base de Datos'!I388),IF('Base de Datos'!I388&gt;20000,INT('Base de Datos'!I388),""),IF(TRIM('Base de Datos'!I388)="","",IFERROR(DATE(VALUE(RIGHT(TRIM('Base de Datos'!I388),4)),VALUE(MID(TRIM('Base de Datos'!I388),4,2)),VALUE(LEFT(TRIM('Base de Datos'!I388),2))),IFERROR(DATEVALUE(TRIM('Base de Datos'!I388)),"")))),"")</f>
        <v/>
      </c>
      <c r="AG392" s="74" t="str">
        <f aca="false">IF(ISNUMBER('Base de Datos'!J388),'Base de Datos'!J388,IF(TRIM('Base de Datos'!J388)="","",IFERROR(IF(IFERROR(FIND("@",SUBSTITUTE(TRIM('Base de Datos'!J388),",","@",LEN(TRIM('Base de Datos'!J388))-LEN(SUBSTITUTE(TRIM('Base de Datos'!J388),",","")))),0)&gt;IFERROR(FIND("@",SUBSTITUTE(TRIM('Base de Datos'!J388),".","@",LEN(TRIM('Base de Datos'!J388))-LEN(SUBSTITUTE(TRIM('Base de Datos'!J388),".","")))),0),_xlfn.NUMBERVALUE(SUBSTITUTE(SUBSTITUTE(TRIM('Base de Datos'!J388),".",""),",","."),".",","),_xlfn.NUMBERVALUE(SUBSTITUTE(TRIM('Base de Datos'!J388),",",""),".",",")),"")))</f>
        <v/>
      </c>
      <c r="AH392" s="73" t="str">
        <f aca="false">IF(ISNUMBER(AI392),IF(ISNUMBER('Base de Datos'!Q388),IF('Base de Datos'!Q388&gt;20000,DATE(YEAR('Base de Datos'!Q388),DAY('Base de Datos'!Q388),MONTH('Base de Datos'!Q388)),""),IF(TRIM('Base de Datos'!Q388)="","",IFERROR(DATE(VALUE(RIGHT(TRIM('Base de Datos'!Q388),4)),VALUE(LEFT(TRIM('Base de Datos'!Q388),2)),VALUE(MID(TRIM('Base de Datos'!Q388),4,2))),""))),"")</f>
        <v/>
      </c>
      <c r="AI392" s="74" t="str">
        <f aca="false">IF(ISNUMBER('Base de Datos'!R388),'Base de Datos'!R388,IF(TRIM('Base de Datos'!R388)="","",IFERROR(IF(IFERROR(FIND("@",SUBSTITUTE(TRIM('Base de Datos'!R388),",","@",LEN(TRIM('Base de Datos'!R388))-LEN(SUBSTITUTE(TRIM('Base de Datos'!R388),",","")))),0)&gt;IFERROR(FIND("@",SUBSTITUTE(TRIM('Base de Datos'!R388),".","@",LEN(TRIM('Base de Datos'!R388))-LEN(SUBSTITUTE(TRIM('Base de Datos'!R388),".","")))),0),_xlfn.NUMBERVALUE(SUBSTITUTE(SUBSTITUTE(TRIM('Base de Datos'!R388),".",""),",","."),".",","),_xlfn.NUMBERVALUE(SUBSTITUTE(TRIM('Base de Datos'!R388),",",""),".",",")),"")))</f>
        <v/>
      </c>
      <c r="AJ392" s="73" t="str">
        <f aca="false">IF(ISNUMBER(AK392),IF(ISNUMBER('Base de Datos'!Y388),IF('Base de Datos'!Y388&gt;20000,INT('Base de Datos'!Y388),""),IF(TRIM('Base de Datos'!Y388)="","",IFERROR(DATE(VALUE(RIGHT(TRIM('Base de Datos'!Y388),4)),VALUE(MID(TRIM('Base de Datos'!Y388),4,2)),VALUE(LEFT(TRIM('Base de Datos'!Y388),2))),IFERROR(DATEVALUE(TRIM('Base de Datos'!Y388)),"")))),"")</f>
        <v/>
      </c>
      <c r="AK392" s="74" t="str">
        <f aca="false">IF(ISNUMBER('Base de Datos'!Z388),'Base de Datos'!Z388,IF(TRIM('Base de Datos'!Z388)="","",IFERROR(IF(IFERROR(FIND("@",SUBSTITUTE(TRIM('Base de Datos'!Z388),",","@",LEN(TRIM('Base de Datos'!Z388))-LEN(SUBSTITUTE(TRIM('Base de Datos'!Z388),",","")))),0)&gt;IFERROR(FIND("@",SUBSTITUTE(TRIM('Base de Datos'!Z388),".","@",LEN(TRIM('Base de Datos'!Z388))-LEN(SUBSTITUTE(TRIM('Base de Datos'!Z388),".","")))),0),_xlfn.NUMBERVALUE(SUBSTITUTE(SUBSTITUTE(TRIM('Base de Datos'!Z388),".",""),",","."),".",","),_xlfn.NUMBERVALUE(SUBSTITUTE(TRIM('Base de Datos'!Z388),",",""),".",",")),"")))</f>
        <v/>
      </c>
    </row>
    <row r="393" customFormat="false" ht="13.5" hidden="false" customHeight="false" outlineLevel="0" collapsed="false">
      <c r="A393" s="75" t="n">
        <f aca="false">ROWS(A$13:A393)</f>
        <v>381</v>
      </c>
      <c r="B393" s="73" t="str">
        <f aca="false">IF(B392="","",IFERROR(SMALL($AH$10:$AH$409,COUNTIF($AH$10:$AH$409,"&lt;="&amp;B392)+1),""))</f>
        <v/>
      </c>
      <c r="C393" s="74" t="str">
        <f aca="false">IF(B393="","",INDEX($AI$10:$AI$409,MATCH(B393,$AH$10:$AH$409,0)))</f>
        <v/>
      </c>
      <c r="D393" s="74" t="str">
        <f aca="false">IF(B393="","",IFERROR(INDEX($AK$10:$AK$409,MATCH(B393,$AJ$10:$AJ$409,0)),""))</f>
        <v/>
      </c>
      <c r="E393" s="76" t="str">
        <f aca="false">IF(AND(ISNUMBER(C393),ISNUMBER(C392)),C393/C392-1,"")</f>
        <v/>
      </c>
      <c r="F393" s="76" t="str">
        <f aca="false">IF(AND(ISNUMBER(D393),ISNUMBER(D392)),D393/D392-1,"")</f>
        <v/>
      </c>
      <c r="G393" s="75" t="str">
        <f aca="false">IF(AND(ISNUMBER(E393),ISNUMBER(F393)),1,"")</f>
        <v/>
      </c>
      <c r="H393" s="75" t="str">
        <f aca="false">IF(G393=1,COUNT(G393:G$412),"")</f>
        <v/>
      </c>
      <c r="I393" s="75" t="str">
        <f aca="false">IF(G393=1,IF(H393&lt;='Beta Regresión'!$B$5,1,""),"")</f>
        <v/>
      </c>
      <c r="J393" s="76" t="str">
        <f aca="false">IF(I393=1,E393,"")</f>
        <v/>
      </c>
      <c r="K393" s="76" t="str">
        <f aca="false">IF(I393=1,F393,"")</f>
        <v/>
      </c>
      <c r="L393" s="75" t="str">
        <f aca="false">IF(I393=1,COUNT(I$13:I393),"")</f>
        <v/>
      </c>
      <c r="M393" s="76" t="str">
        <f aca="false">IFERROR(INDEX($J$13:$J$412,MATCH(A393,$L$13:$L$412,0)),"")</f>
        <v/>
      </c>
      <c r="N393" s="76" t="str">
        <f aca="false">IFERROR(INDEX($K$13:$K$412,MATCH(A393,$L$13:$L$412,0)),"")</f>
        <v/>
      </c>
      <c r="O393" s="76" t="e">
        <f aca="false">IF(I393=1,E393,NA())</f>
        <v>#N/A</v>
      </c>
      <c r="P393" s="76" t="e">
        <f aca="false">IF(I393=1,F393,NA())</f>
        <v>#N/A</v>
      </c>
      <c r="R393" s="75" t="n">
        <f aca="false">ROWS(R$13:R393)</f>
        <v>381</v>
      </c>
      <c r="S393" s="73" t="str">
        <f aca="false">IF(S392="","",IFERROR(SMALL($AD$10:$AD$509,COUNTIF($AD$10:$AD$509,"&lt;="&amp;S392)+1),""))</f>
        <v/>
      </c>
      <c r="T393" s="74" t="str">
        <f aca="false">IF(S393="","",INDEX($AE$10:$AE$509,MATCH(S393,$AD$10:$AD$509,0)))</f>
        <v/>
      </c>
      <c r="U393" s="74" t="str">
        <f aca="false">IF(S393="","",IFERROR(INDEX($AG$10:$AG$509,MATCH(S393,$AF$10:$AF$509,0)),""))</f>
        <v/>
      </c>
      <c r="V393" s="76" t="str">
        <f aca="false">IF(AND(ISNUMBER(T393),ISNUMBER(T392)),T393/T392-1,"")</f>
        <v/>
      </c>
      <c r="W393" s="76" t="str">
        <f aca="false">IF(AND(ISNUMBER(U393),ISNUMBER(U392)),U393/U392-1,"")</f>
        <v/>
      </c>
      <c r="X393" s="75" t="str">
        <f aca="false">IF(AND(ISNUMBER(V393),ISNUMBER(W393)),1,"")</f>
        <v/>
      </c>
      <c r="Y393" s="76" t="str">
        <f aca="false">IF(X393=1,V393,"")</f>
        <v/>
      </c>
      <c r="Z393" s="76" t="str">
        <f aca="false">IF(X393=1,W393,"")</f>
        <v/>
      </c>
      <c r="AA393" s="76" t="e">
        <f aca="false">IF(X393=1,V393,NA())</f>
        <v>#N/A</v>
      </c>
      <c r="AB393" s="76" t="e">
        <f aca="false">IF(X393=1,W393,NA())</f>
        <v>#N/A</v>
      </c>
      <c r="AD393" s="73" t="str">
        <f aca="false">IF(ISNUMBER(AE393),IF(ISNUMBER('Base de Datos'!A389),IF('Base de Datos'!A389&gt;20000,DATE(YEAR('Base de Datos'!A389),DAY('Base de Datos'!A389),MONTH('Base de Datos'!A389)),""),IF(TRIM('Base de Datos'!A389)="","",IFERROR(DATE(VALUE(RIGHT(TRIM('Base de Datos'!A389),4)),VALUE(LEFT(TRIM('Base de Datos'!A389),2)),VALUE(MID(TRIM('Base de Datos'!A389),4,2))),""))),"")</f>
        <v/>
      </c>
      <c r="AE393" s="74" t="str">
        <f aca="false">IF(ISNUMBER('Base de Datos'!B389),'Base de Datos'!B389,IF(TRIM('Base de Datos'!B389)="","",IFERROR(IF(IFERROR(FIND("@",SUBSTITUTE(TRIM('Base de Datos'!B389),",","@",LEN(TRIM('Base de Datos'!B389))-LEN(SUBSTITUTE(TRIM('Base de Datos'!B389),",","")))),0)&gt;IFERROR(FIND("@",SUBSTITUTE(TRIM('Base de Datos'!B389),".","@",LEN(TRIM('Base de Datos'!B389))-LEN(SUBSTITUTE(TRIM('Base de Datos'!B389),".","")))),0),_xlfn.NUMBERVALUE(SUBSTITUTE(SUBSTITUTE(TRIM('Base de Datos'!B389),".",""),",","."),".",","),_xlfn.NUMBERVALUE(SUBSTITUTE(TRIM('Base de Datos'!B389),",",""),".",",")),"")))</f>
        <v/>
      </c>
      <c r="AF393" s="73" t="str">
        <f aca="false">IF(ISNUMBER(AG393),IF(ISNUMBER('Base de Datos'!I389),IF('Base de Datos'!I389&gt;20000,INT('Base de Datos'!I389),""),IF(TRIM('Base de Datos'!I389)="","",IFERROR(DATE(VALUE(RIGHT(TRIM('Base de Datos'!I389),4)),VALUE(MID(TRIM('Base de Datos'!I389),4,2)),VALUE(LEFT(TRIM('Base de Datos'!I389),2))),IFERROR(DATEVALUE(TRIM('Base de Datos'!I389)),"")))),"")</f>
        <v/>
      </c>
      <c r="AG393" s="74" t="str">
        <f aca="false">IF(ISNUMBER('Base de Datos'!J389),'Base de Datos'!J389,IF(TRIM('Base de Datos'!J389)="","",IFERROR(IF(IFERROR(FIND("@",SUBSTITUTE(TRIM('Base de Datos'!J389),",","@",LEN(TRIM('Base de Datos'!J389))-LEN(SUBSTITUTE(TRIM('Base de Datos'!J389),",","")))),0)&gt;IFERROR(FIND("@",SUBSTITUTE(TRIM('Base de Datos'!J389),".","@",LEN(TRIM('Base de Datos'!J389))-LEN(SUBSTITUTE(TRIM('Base de Datos'!J389),".","")))),0),_xlfn.NUMBERVALUE(SUBSTITUTE(SUBSTITUTE(TRIM('Base de Datos'!J389),".",""),",","."),".",","),_xlfn.NUMBERVALUE(SUBSTITUTE(TRIM('Base de Datos'!J389),",",""),".",",")),"")))</f>
        <v/>
      </c>
      <c r="AH393" s="73" t="str">
        <f aca="false">IF(ISNUMBER(AI393),IF(ISNUMBER('Base de Datos'!Q389),IF('Base de Datos'!Q389&gt;20000,DATE(YEAR('Base de Datos'!Q389),DAY('Base de Datos'!Q389),MONTH('Base de Datos'!Q389)),""),IF(TRIM('Base de Datos'!Q389)="","",IFERROR(DATE(VALUE(RIGHT(TRIM('Base de Datos'!Q389),4)),VALUE(LEFT(TRIM('Base de Datos'!Q389),2)),VALUE(MID(TRIM('Base de Datos'!Q389),4,2))),""))),"")</f>
        <v/>
      </c>
      <c r="AI393" s="74" t="str">
        <f aca="false">IF(ISNUMBER('Base de Datos'!R389),'Base de Datos'!R389,IF(TRIM('Base de Datos'!R389)="","",IFERROR(IF(IFERROR(FIND("@",SUBSTITUTE(TRIM('Base de Datos'!R389),",","@",LEN(TRIM('Base de Datos'!R389))-LEN(SUBSTITUTE(TRIM('Base de Datos'!R389),",","")))),0)&gt;IFERROR(FIND("@",SUBSTITUTE(TRIM('Base de Datos'!R389),".","@",LEN(TRIM('Base de Datos'!R389))-LEN(SUBSTITUTE(TRIM('Base de Datos'!R389),".","")))),0),_xlfn.NUMBERVALUE(SUBSTITUTE(SUBSTITUTE(TRIM('Base de Datos'!R389),".",""),",","."),".",","),_xlfn.NUMBERVALUE(SUBSTITUTE(TRIM('Base de Datos'!R389),",",""),".",",")),"")))</f>
        <v/>
      </c>
      <c r="AJ393" s="73" t="str">
        <f aca="false">IF(ISNUMBER(AK393),IF(ISNUMBER('Base de Datos'!Y389),IF('Base de Datos'!Y389&gt;20000,INT('Base de Datos'!Y389),""),IF(TRIM('Base de Datos'!Y389)="","",IFERROR(DATE(VALUE(RIGHT(TRIM('Base de Datos'!Y389),4)),VALUE(MID(TRIM('Base de Datos'!Y389),4,2)),VALUE(LEFT(TRIM('Base de Datos'!Y389),2))),IFERROR(DATEVALUE(TRIM('Base de Datos'!Y389)),"")))),"")</f>
        <v/>
      </c>
      <c r="AK393" s="74" t="str">
        <f aca="false">IF(ISNUMBER('Base de Datos'!Z389),'Base de Datos'!Z389,IF(TRIM('Base de Datos'!Z389)="","",IFERROR(IF(IFERROR(FIND("@",SUBSTITUTE(TRIM('Base de Datos'!Z389),",","@",LEN(TRIM('Base de Datos'!Z389))-LEN(SUBSTITUTE(TRIM('Base de Datos'!Z389),",","")))),0)&gt;IFERROR(FIND("@",SUBSTITUTE(TRIM('Base de Datos'!Z389),".","@",LEN(TRIM('Base de Datos'!Z389))-LEN(SUBSTITUTE(TRIM('Base de Datos'!Z389),".","")))),0),_xlfn.NUMBERVALUE(SUBSTITUTE(SUBSTITUTE(TRIM('Base de Datos'!Z389),".",""),",","."),".",","),_xlfn.NUMBERVALUE(SUBSTITUTE(TRIM('Base de Datos'!Z389),",",""),".",",")),"")))</f>
        <v/>
      </c>
    </row>
    <row r="394" customFormat="false" ht="13.5" hidden="false" customHeight="false" outlineLevel="0" collapsed="false">
      <c r="A394" s="75" t="n">
        <f aca="false">ROWS(A$13:A394)</f>
        <v>382</v>
      </c>
      <c r="B394" s="73" t="str">
        <f aca="false">IF(B393="","",IFERROR(SMALL($AH$10:$AH$409,COUNTIF($AH$10:$AH$409,"&lt;="&amp;B393)+1),""))</f>
        <v/>
      </c>
      <c r="C394" s="74" t="str">
        <f aca="false">IF(B394="","",INDEX($AI$10:$AI$409,MATCH(B394,$AH$10:$AH$409,0)))</f>
        <v/>
      </c>
      <c r="D394" s="74" t="str">
        <f aca="false">IF(B394="","",IFERROR(INDEX($AK$10:$AK$409,MATCH(B394,$AJ$10:$AJ$409,0)),""))</f>
        <v/>
      </c>
      <c r="E394" s="76" t="str">
        <f aca="false">IF(AND(ISNUMBER(C394),ISNUMBER(C393)),C394/C393-1,"")</f>
        <v/>
      </c>
      <c r="F394" s="76" t="str">
        <f aca="false">IF(AND(ISNUMBER(D394),ISNUMBER(D393)),D394/D393-1,"")</f>
        <v/>
      </c>
      <c r="G394" s="75" t="str">
        <f aca="false">IF(AND(ISNUMBER(E394),ISNUMBER(F394)),1,"")</f>
        <v/>
      </c>
      <c r="H394" s="75" t="str">
        <f aca="false">IF(G394=1,COUNT(G394:G$412),"")</f>
        <v/>
      </c>
      <c r="I394" s="75" t="str">
        <f aca="false">IF(G394=1,IF(H394&lt;='Beta Regresión'!$B$5,1,""),"")</f>
        <v/>
      </c>
      <c r="J394" s="76" t="str">
        <f aca="false">IF(I394=1,E394,"")</f>
        <v/>
      </c>
      <c r="K394" s="76" t="str">
        <f aca="false">IF(I394=1,F394,"")</f>
        <v/>
      </c>
      <c r="L394" s="75" t="str">
        <f aca="false">IF(I394=1,COUNT(I$13:I394),"")</f>
        <v/>
      </c>
      <c r="M394" s="76" t="str">
        <f aca="false">IFERROR(INDEX($J$13:$J$412,MATCH(A394,$L$13:$L$412,0)),"")</f>
        <v/>
      </c>
      <c r="N394" s="76" t="str">
        <f aca="false">IFERROR(INDEX($K$13:$K$412,MATCH(A394,$L$13:$L$412,0)),"")</f>
        <v/>
      </c>
      <c r="O394" s="76" t="e">
        <f aca="false">IF(I394=1,E394,NA())</f>
        <v>#N/A</v>
      </c>
      <c r="P394" s="76" t="e">
        <f aca="false">IF(I394=1,F394,NA())</f>
        <v>#N/A</v>
      </c>
      <c r="R394" s="75" t="n">
        <f aca="false">ROWS(R$13:R394)</f>
        <v>382</v>
      </c>
      <c r="S394" s="73" t="str">
        <f aca="false">IF(S393="","",IFERROR(SMALL($AD$10:$AD$509,COUNTIF($AD$10:$AD$509,"&lt;="&amp;S393)+1),""))</f>
        <v/>
      </c>
      <c r="T394" s="74" t="str">
        <f aca="false">IF(S394="","",INDEX($AE$10:$AE$509,MATCH(S394,$AD$10:$AD$509,0)))</f>
        <v/>
      </c>
      <c r="U394" s="74" t="str">
        <f aca="false">IF(S394="","",IFERROR(INDEX($AG$10:$AG$509,MATCH(S394,$AF$10:$AF$509,0)),""))</f>
        <v/>
      </c>
      <c r="V394" s="76" t="str">
        <f aca="false">IF(AND(ISNUMBER(T394),ISNUMBER(T393)),T394/T393-1,"")</f>
        <v/>
      </c>
      <c r="W394" s="76" t="str">
        <f aca="false">IF(AND(ISNUMBER(U394),ISNUMBER(U393)),U394/U393-1,"")</f>
        <v/>
      </c>
      <c r="X394" s="75" t="str">
        <f aca="false">IF(AND(ISNUMBER(V394),ISNUMBER(W394)),1,"")</f>
        <v/>
      </c>
      <c r="Y394" s="76" t="str">
        <f aca="false">IF(X394=1,V394,"")</f>
        <v/>
      </c>
      <c r="Z394" s="76" t="str">
        <f aca="false">IF(X394=1,W394,"")</f>
        <v/>
      </c>
      <c r="AA394" s="76" t="e">
        <f aca="false">IF(X394=1,V394,NA())</f>
        <v>#N/A</v>
      </c>
      <c r="AB394" s="76" t="e">
        <f aca="false">IF(X394=1,W394,NA())</f>
        <v>#N/A</v>
      </c>
      <c r="AD394" s="73" t="str">
        <f aca="false">IF(ISNUMBER(AE394),IF(ISNUMBER('Base de Datos'!A390),IF('Base de Datos'!A390&gt;20000,DATE(YEAR('Base de Datos'!A390),DAY('Base de Datos'!A390),MONTH('Base de Datos'!A390)),""),IF(TRIM('Base de Datos'!A390)="","",IFERROR(DATE(VALUE(RIGHT(TRIM('Base de Datos'!A390),4)),VALUE(LEFT(TRIM('Base de Datos'!A390),2)),VALUE(MID(TRIM('Base de Datos'!A390),4,2))),""))),"")</f>
        <v/>
      </c>
      <c r="AE394" s="74" t="str">
        <f aca="false">IF(ISNUMBER('Base de Datos'!B390),'Base de Datos'!B390,IF(TRIM('Base de Datos'!B390)="","",IFERROR(IF(IFERROR(FIND("@",SUBSTITUTE(TRIM('Base de Datos'!B390),",","@",LEN(TRIM('Base de Datos'!B390))-LEN(SUBSTITUTE(TRIM('Base de Datos'!B390),",","")))),0)&gt;IFERROR(FIND("@",SUBSTITUTE(TRIM('Base de Datos'!B390),".","@",LEN(TRIM('Base de Datos'!B390))-LEN(SUBSTITUTE(TRIM('Base de Datos'!B390),".","")))),0),_xlfn.NUMBERVALUE(SUBSTITUTE(SUBSTITUTE(TRIM('Base de Datos'!B390),".",""),",","."),".",","),_xlfn.NUMBERVALUE(SUBSTITUTE(TRIM('Base de Datos'!B390),",",""),".",",")),"")))</f>
        <v/>
      </c>
      <c r="AF394" s="73" t="str">
        <f aca="false">IF(ISNUMBER(AG394),IF(ISNUMBER('Base de Datos'!I390),IF('Base de Datos'!I390&gt;20000,INT('Base de Datos'!I390),""),IF(TRIM('Base de Datos'!I390)="","",IFERROR(DATE(VALUE(RIGHT(TRIM('Base de Datos'!I390),4)),VALUE(MID(TRIM('Base de Datos'!I390),4,2)),VALUE(LEFT(TRIM('Base de Datos'!I390),2))),IFERROR(DATEVALUE(TRIM('Base de Datos'!I390)),"")))),"")</f>
        <v/>
      </c>
      <c r="AG394" s="74" t="str">
        <f aca="false">IF(ISNUMBER('Base de Datos'!J390),'Base de Datos'!J390,IF(TRIM('Base de Datos'!J390)="","",IFERROR(IF(IFERROR(FIND("@",SUBSTITUTE(TRIM('Base de Datos'!J390),",","@",LEN(TRIM('Base de Datos'!J390))-LEN(SUBSTITUTE(TRIM('Base de Datos'!J390),",","")))),0)&gt;IFERROR(FIND("@",SUBSTITUTE(TRIM('Base de Datos'!J390),".","@",LEN(TRIM('Base de Datos'!J390))-LEN(SUBSTITUTE(TRIM('Base de Datos'!J390),".","")))),0),_xlfn.NUMBERVALUE(SUBSTITUTE(SUBSTITUTE(TRIM('Base de Datos'!J390),".",""),",","."),".",","),_xlfn.NUMBERVALUE(SUBSTITUTE(TRIM('Base de Datos'!J390),",",""),".",",")),"")))</f>
        <v/>
      </c>
      <c r="AH394" s="73" t="str">
        <f aca="false">IF(ISNUMBER(AI394),IF(ISNUMBER('Base de Datos'!Q390),IF('Base de Datos'!Q390&gt;20000,DATE(YEAR('Base de Datos'!Q390),DAY('Base de Datos'!Q390),MONTH('Base de Datos'!Q390)),""),IF(TRIM('Base de Datos'!Q390)="","",IFERROR(DATE(VALUE(RIGHT(TRIM('Base de Datos'!Q390),4)),VALUE(LEFT(TRIM('Base de Datos'!Q390),2)),VALUE(MID(TRIM('Base de Datos'!Q390),4,2))),""))),"")</f>
        <v/>
      </c>
      <c r="AI394" s="74" t="str">
        <f aca="false">IF(ISNUMBER('Base de Datos'!R390),'Base de Datos'!R390,IF(TRIM('Base de Datos'!R390)="","",IFERROR(IF(IFERROR(FIND("@",SUBSTITUTE(TRIM('Base de Datos'!R390),",","@",LEN(TRIM('Base de Datos'!R390))-LEN(SUBSTITUTE(TRIM('Base de Datos'!R390),",","")))),0)&gt;IFERROR(FIND("@",SUBSTITUTE(TRIM('Base de Datos'!R390),".","@",LEN(TRIM('Base de Datos'!R390))-LEN(SUBSTITUTE(TRIM('Base de Datos'!R390),".","")))),0),_xlfn.NUMBERVALUE(SUBSTITUTE(SUBSTITUTE(TRIM('Base de Datos'!R390),".",""),",","."),".",","),_xlfn.NUMBERVALUE(SUBSTITUTE(TRIM('Base de Datos'!R390),",",""),".",",")),"")))</f>
        <v/>
      </c>
      <c r="AJ394" s="73" t="str">
        <f aca="false">IF(ISNUMBER(AK394),IF(ISNUMBER('Base de Datos'!Y390),IF('Base de Datos'!Y390&gt;20000,INT('Base de Datos'!Y390),""),IF(TRIM('Base de Datos'!Y390)="","",IFERROR(DATE(VALUE(RIGHT(TRIM('Base de Datos'!Y390),4)),VALUE(MID(TRIM('Base de Datos'!Y390),4,2)),VALUE(LEFT(TRIM('Base de Datos'!Y390),2))),IFERROR(DATEVALUE(TRIM('Base de Datos'!Y390)),"")))),"")</f>
        <v/>
      </c>
      <c r="AK394" s="74" t="str">
        <f aca="false">IF(ISNUMBER('Base de Datos'!Z390),'Base de Datos'!Z390,IF(TRIM('Base de Datos'!Z390)="","",IFERROR(IF(IFERROR(FIND("@",SUBSTITUTE(TRIM('Base de Datos'!Z390),",","@",LEN(TRIM('Base de Datos'!Z390))-LEN(SUBSTITUTE(TRIM('Base de Datos'!Z390),",","")))),0)&gt;IFERROR(FIND("@",SUBSTITUTE(TRIM('Base de Datos'!Z390),".","@",LEN(TRIM('Base de Datos'!Z390))-LEN(SUBSTITUTE(TRIM('Base de Datos'!Z390),".","")))),0),_xlfn.NUMBERVALUE(SUBSTITUTE(SUBSTITUTE(TRIM('Base de Datos'!Z390),".",""),",","."),".",","),_xlfn.NUMBERVALUE(SUBSTITUTE(TRIM('Base de Datos'!Z390),",",""),".",",")),"")))</f>
        <v/>
      </c>
    </row>
    <row r="395" customFormat="false" ht="13.5" hidden="false" customHeight="false" outlineLevel="0" collapsed="false">
      <c r="A395" s="75" t="n">
        <f aca="false">ROWS(A$13:A395)</f>
        <v>383</v>
      </c>
      <c r="B395" s="73" t="str">
        <f aca="false">IF(B394="","",IFERROR(SMALL($AH$10:$AH$409,COUNTIF($AH$10:$AH$409,"&lt;="&amp;B394)+1),""))</f>
        <v/>
      </c>
      <c r="C395" s="74" t="str">
        <f aca="false">IF(B395="","",INDEX($AI$10:$AI$409,MATCH(B395,$AH$10:$AH$409,0)))</f>
        <v/>
      </c>
      <c r="D395" s="74" t="str">
        <f aca="false">IF(B395="","",IFERROR(INDEX($AK$10:$AK$409,MATCH(B395,$AJ$10:$AJ$409,0)),""))</f>
        <v/>
      </c>
      <c r="E395" s="76" t="str">
        <f aca="false">IF(AND(ISNUMBER(C395),ISNUMBER(C394)),C395/C394-1,"")</f>
        <v/>
      </c>
      <c r="F395" s="76" t="str">
        <f aca="false">IF(AND(ISNUMBER(D395),ISNUMBER(D394)),D395/D394-1,"")</f>
        <v/>
      </c>
      <c r="G395" s="75" t="str">
        <f aca="false">IF(AND(ISNUMBER(E395),ISNUMBER(F395)),1,"")</f>
        <v/>
      </c>
      <c r="H395" s="75" t="str">
        <f aca="false">IF(G395=1,COUNT(G395:G$412),"")</f>
        <v/>
      </c>
      <c r="I395" s="75" t="str">
        <f aca="false">IF(G395=1,IF(H395&lt;='Beta Regresión'!$B$5,1,""),"")</f>
        <v/>
      </c>
      <c r="J395" s="76" t="str">
        <f aca="false">IF(I395=1,E395,"")</f>
        <v/>
      </c>
      <c r="K395" s="76" t="str">
        <f aca="false">IF(I395=1,F395,"")</f>
        <v/>
      </c>
      <c r="L395" s="75" t="str">
        <f aca="false">IF(I395=1,COUNT(I$13:I395),"")</f>
        <v/>
      </c>
      <c r="M395" s="76" t="str">
        <f aca="false">IFERROR(INDEX($J$13:$J$412,MATCH(A395,$L$13:$L$412,0)),"")</f>
        <v/>
      </c>
      <c r="N395" s="76" t="str">
        <f aca="false">IFERROR(INDEX($K$13:$K$412,MATCH(A395,$L$13:$L$412,0)),"")</f>
        <v/>
      </c>
      <c r="O395" s="76" t="e">
        <f aca="false">IF(I395=1,E395,NA())</f>
        <v>#N/A</v>
      </c>
      <c r="P395" s="76" t="e">
        <f aca="false">IF(I395=1,F395,NA())</f>
        <v>#N/A</v>
      </c>
      <c r="R395" s="75" t="n">
        <f aca="false">ROWS(R$13:R395)</f>
        <v>383</v>
      </c>
      <c r="S395" s="73" t="str">
        <f aca="false">IF(S394="","",IFERROR(SMALL($AD$10:$AD$509,COUNTIF($AD$10:$AD$509,"&lt;="&amp;S394)+1),""))</f>
        <v/>
      </c>
      <c r="T395" s="74" t="str">
        <f aca="false">IF(S395="","",INDEX($AE$10:$AE$509,MATCH(S395,$AD$10:$AD$509,0)))</f>
        <v/>
      </c>
      <c r="U395" s="74" t="str">
        <f aca="false">IF(S395="","",IFERROR(INDEX($AG$10:$AG$509,MATCH(S395,$AF$10:$AF$509,0)),""))</f>
        <v/>
      </c>
      <c r="V395" s="76" t="str">
        <f aca="false">IF(AND(ISNUMBER(T395),ISNUMBER(T394)),T395/T394-1,"")</f>
        <v/>
      </c>
      <c r="W395" s="76" t="str">
        <f aca="false">IF(AND(ISNUMBER(U395),ISNUMBER(U394)),U395/U394-1,"")</f>
        <v/>
      </c>
      <c r="X395" s="75" t="str">
        <f aca="false">IF(AND(ISNUMBER(V395),ISNUMBER(W395)),1,"")</f>
        <v/>
      </c>
      <c r="Y395" s="76" t="str">
        <f aca="false">IF(X395=1,V395,"")</f>
        <v/>
      </c>
      <c r="Z395" s="76" t="str">
        <f aca="false">IF(X395=1,W395,"")</f>
        <v/>
      </c>
      <c r="AA395" s="76" t="e">
        <f aca="false">IF(X395=1,V395,NA())</f>
        <v>#N/A</v>
      </c>
      <c r="AB395" s="76" t="e">
        <f aca="false">IF(X395=1,W395,NA())</f>
        <v>#N/A</v>
      </c>
      <c r="AD395" s="73" t="str">
        <f aca="false">IF(ISNUMBER(AE395),IF(ISNUMBER('Base de Datos'!A391),IF('Base de Datos'!A391&gt;20000,DATE(YEAR('Base de Datos'!A391),DAY('Base de Datos'!A391),MONTH('Base de Datos'!A391)),""),IF(TRIM('Base de Datos'!A391)="","",IFERROR(DATE(VALUE(RIGHT(TRIM('Base de Datos'!A391),4)),VALUE(LEFT(TRIM('Base de Datos'!A391),2)),VALUE(MID(TRIM('Base de Datos'!A391),4,2))),""))),"")</f>
        <v/>
      </c>
      <c r="AE395" s="74" t="str">
        <f aca="false">IF(ISNUMBER('Base de Datos'!B391),'Base de Datos'!B391,IF(TRIM('Base de Datos'!B391)="","",IFERROR(IF(IFERROR(FIND("@",SUBSTITUTE(TRIM('Base de Datos'!B391),",","@",LEN(TRIM('Base de Datos'!B391))-LEN(SUBSTITUTE(TRIM('Base de Datos'!B391),",","")))),0)&gt;IFERROR(FIND("@",SUBSTITUTE(TRIM('Base de Datos'!B391),".","@",LEN(TRIM('Base de Datos'!B391))-LEN(SUBSTITUTE(TRIM('Base de Datos'!B391),".","")))),0),_xlfn.NUMBERVALUE(SUBSTITUTE(SUBSTITUTE(TRIM('Base de Datos'!B391),".",""),",","."),".",","),_xlfn.NUMBERVALUE(SUBSTITUTE(TRIM('Base de Datos'!B391),",",""),".",",")),"")))</f>
        <v/>
      </c>
      <c r="AF395" s="73" t="str">
        <f aca="false">IF(ISNUMBER(AG395),IF(ISNUMBER('Base de Datos'!I391),IF('Base de Datos'!I391&gt;20000,INT('Base de Datos'!I391),""),IF(TRIM('Base de Datos'!I391)="","",IFERROR(DATE(VALUE(RIGHT(TRIM('Base de Datos'!I391),4)),VALUE(MID(TRIM('Base de Datos'!I391),4,2)),VALUE(LEFT(TRIM('Base de Datos'!I391),2))),IFERROR(DATEVALUE(TRIM('Base de Datos'!I391)),"")))),"")</f>
        <v/>
      </c>
      <c r="AG395" s="74" t="str">
        <f aca="false">IF(ISNUMBER('Base de Datos'!J391),'Base de Datos'!J391,IF(TRIM('Base de Datos'!J391)="","",IFERROR(IF(IFERROR(FIND("@",SUBSTITUTE(TRIM('Base de Datos'!J391),",","@",LEN(TRIM('Base de Datos'!J391))-LEN(SUBSTITUTE(TRIM('Base de Datos'!J391),",","")))),0)&gt;IFERROR(FIND("@",SUBSTITUTE(TRIM('Base de Datos'!J391),".","@",LEN(TRIM('Base de Datos'!J391))-LEN(SUBSTITUTE(TRIM('Base de Datos'!J391),".","")))),0),_xlfn.NUMBERVALUE(SUBSTITUTE(SUBSTITUTE(TRIM('Base de Datos'!J391),".",""),",","."),".",","),_xlfn.NUMBERVALUE(SUBSTITUTE(TRIM('Base de Datos'!J391),",",""),".",",")),"")))</f>
        <v/>
      </c>
      <c r="AH395" s="73" t="str">
        <f aca="false">IF(ISNUMBER(AI395),IF(ISNUMBER('Base de Datos'!Q391),IF('Base de Datos'!Q391&gt;20000,DATE(YEAR('Base de Datos'!Q391),DAY('Base de Datos'!Q391),MONTH('Base de Datos'!Q391)),""),IF(TRIM('Base de Datos'!Q391)="","",IFERROR(DATE(VALUE(RIGHT(TRIM('Base de Datos'!Q391),4)),VALUE(LEFT(TRIM('Base de Datos'!Q391),2)),VALUE(MID(TRIM('Base de Datos'!Q391),4,2))),""))),"")</f>
        <v/>
      </c>
      <c r="AI395" s="74" t="str">
        <f aca="false">IF(ISNUMBER('Base de Datos'!R391),'Base de Datos'!R391,IF(TRIM('Base de Datos'!R391)="","",IFERROR(IF(IFERROR(FIND("@",SUBSTITUTE(TRIM('Base de Datos'!R391),",","@",LEN(TRIM('Base de Datos'!R391))-LEN(SUBSTITUTE(TRIM('Base de Datos'!R391),",","")))),0)&gt;IFERROR(FIND("@",SUBSTITUTE(TRIM('Base de Datos'!R391),".","@",LEN(TRIM('Base de Datos'!R391))-LEN(SUBSTITUTE(TRIM('Base de Datos'!R391),".","")))),0),_xlfn.NUMBERVALUE(SUBSTITUTE(SUBSTITUTE(TRIM('Base de Datos'!R391),".",""),",","."),".",","),_xlfn.NUMBERVALUE(SUBSTITUTE(TRIM('Base de Datos'!R391),",",""),".",",")),"")))</f>
        <v/>
      </c>
      <c r="AJ395" s="73" t="str">
        <f aca="false">IF(ISNUMBER(AK395),IF(ISNUMBER('Base de Datos'!Y391),IF('Base de Datos'!Y391&gt;20000,INT('Base de Datos'!Y391),""),IF(TRIM('Base de Datos'!Y391)="","",IFERROR(DATE(VALUE(RIGHT(TRIM('Base de Datos'!Y391),4)),VALUE(MID(TRIM('Base de Datos'!Y391),4,2)),VALUE(LEFT(TRIM('Base de Datos'!Y391),2))),IFERROR(DATEVALUE(TRIM('Base de Datos'!Y391)),"")))),"")</f>
        <v/>
      </c>
      <c r="AK395" s="74" t="str">
        <f aca="false">IF(ISNUMBER('Base de Datos'!Z391),'Base de Datos'!Z391,IF(TRIM('Base de Datos'!Z391)="","",IFERROR(IF(IFERROR(FIND("@",SUBSTITUTE(TRIM('Base de Datos'!Z391),",","@",LEN(TRIM('Base de Datos'!Z391))-LEN(SUBSTITUTE(TRIM('Base de Datos'!Z391),",","")))),0)&gt;IFERROR(FIND("@",SUBSTITUTE(TRIM('Base de Datos'!Z391),".","@",LEN(TRIM('Base de Datos'!Z391))-LEN(SUBSTITUTE(TRIM('Base de Datos'!Z391),".","")))),0),_xlfn.NUMBERVALUE(SUBSTITUTE(SUBSTITUTE(TRIM('Base de Datos'!Z391),".",""),",","."),".",","),_xlfn.NUMBERVALUE(SUBSTITUTE(TRIM('Base de Datos'!Z391),",",""),".",",")),"")))</f>
        <v/>
      </c>
    </row>
    <row r="396" customFormat="false" ht="13.5" hidden="false" customHeight="false" outlineLevel="0" collapsed="false">
      <c r="A396" s="75" t="n">
        <f aca="false">ROWS(A$13:A396)</f>
        <v>384</v>
      </c>
      <c r="B396" s="73" t="str">
        <f aca="false">IF(B395="","",IFERROR(SMALL($AH$10:$AH$409,COUNTIF($AH$10:$AH$409,"&lt;="&amp;B395)+1),""))</f>
        <v/>
      </c>
      <c r="C396" s="74" t="str">
        <f aca="false">IF(B396="","",INDEX($AI$10:$AI$409,MATCH(B396,$AH$10:$AH$409,0)))</f>
        <v/>
      </c>
      <c r="D396" s="74" t="str">
        <f aca="false">IF(B396="","",IFERROR(INDEX($AK$10:$AK$409,MATCH(B396,$AJ$10:$AJ$409,0)),""))</f>
        <v/>
      </c>
      <c r="E396" s="76" t="str">
        <f aca="false">IF(AND(ISNUMBER(C396),ISNUMBER(C395)),C396/C395-1,"")</f>
        <v/>
      </c>
      <c r="F396" s="76" t="str">
        <f aca="false">IF(AND(ISNUMBER(D396),ISNUMBER(D395)),D396/D395-1,"")</f>
        <v/>
      </c>
      <c r="G396" s="75" t="str">
        <f aca="false">IF(AND(ISNUMBER(E396),ISNUMBER(F396)),1,"")</f>
        <v/>
      </c>
      <c r="H396" s="75" t="str">
        <f aca="false">IF(G396=1,COUNT(G396:G$412),"")</f>
        <v/>
      </c>
      <c r="I396" s="75" t="str">
        <f aca="false">IF(G396=1,IF(H396&lt;='Beta Regresión'!$B$5,1,""),"")</f>
        <v/>
      </c>
      <c r="J396" s="76" t="str">
        <f aca="false">IF(I396=1,E396,"")</f>
        <v/>
      </c>
      <c r="K396" s="76" t="str">
        <f aca="false">IF(I396=1,F396,"")</f>
        <v/>
      </c>
      <c r="L396" s="75" t="str">
        <f aca="false">IF(I396=1,COUNT(I$13:I396),"")</f>
        <v/>
      </c>
      <c r="M396" s="76" t="str">
        <f aca="false">IFERROR(INDEX($J$13:$J$412,MATCH(A396,$L$13:$L$412,0)),"")</f>
        <v/>
      </c>
      <c r="N396" s="76" t="str">
        <f aca="false">IFERROR(INDEX($K$13:$K$412,MATCH(A396,$L$13:$L$412,0)),"")</f>
        <v/>
      </c>
      <c r="O396" s="76" t="e">
        <f aca="false">IF(I396=1,E396,NA())</f>
        <v>#N/A</v>
      </c>
      <c r="P396" s="76" t="e">
        <f aca="false">IF(I396=1,F396,NA())</f>
        <v>#N/A</v>
      </c>
      <c r="R396" s="75" t="n">
        <f aca="false">ROWS(R$13:R396)</f>
        <v>384</v>
      </c>
      <c r="S396" s="73" t="str">
        <f aca="false">IF(S395="","",IFERROR(SMALL($AD$10:$AD$509,COUNTIF($AD$10:$AD$509,"&lt;="&amp;S395)+1),""))</f>
        <v/>
      </c>
      <c r="T396" s="74" t="str">
        <f aca="false">IF(S396="","",INDEX($AE$10:$AE$509,MATCH(S396,$AD$10:$AD$509,0)))</f>
        <v/>
      </c>
      <c r="U396" s="74" t="str">
        <f aca="false">IF(S396="","",IFERROR(INDEX($AG$10:$AG$509,MATCH(S396,$AF$10:$AF$509,0)),""))</f>
        <v/>
      </c>
      <c r="V396" s="76" t="str">
        <f aca="false">IF(AND(ISNUMBER(T396),ISNUMBER(T395)),T396/T395-1,"")</f>
        <v/>
      </c>
      <c r="W396" s="76" t="str">
        <f aca="false">IF(AND(ISNUMBER(U396),ISNUMBER(U395)),U396/U395-1,"")</f>
        <v/>
      </c>
      <c r="X396" s="75" t="str">
        <f aca="false">IF(AND(ISNUMBER(V396),ISNUMBER(W396)),1,"")</f>
        <v/>
      </c>
      <c r="Y396" s="76" t="str">
        <f aca="false">IF(X396=1,V396,"")</f>
        <v/>
      </c>
      <c r="Z396" s="76" t="str">
        <f aca="false">IF(X396=1,W396,"")</f>
        <v/>
      </c>
      <c r="AA396" s="76" t="e">
        <f aca="false">IF(X396=1,V396,NA())</f>
        <v>#N/A</v>
      </c>
      <c r="AB396" s="76" t="e">
        <f aca="false">IF(X396=1,W396,NA())</f>
        <v>#N/A</v>
      </c>
      <c r="AD396" s="73" t="str">
        <f aca="false">IF(ISNUMBER(AE396),IF(ISNUMBER('Base de Datos'!A392),IF('Base de Datos'!A392&gt;20000,DATE(YEAR('Base de Datos'!A392),DAY('Base de Datos'!A392),MONTH('Base de Datos'!A392)),""),IF(TRIM('Base de Datos'!A392)="","",IFERROR(DATE(VALUE(RIGHT(TRIM('Base de Datos'!A392),4)),VALUE(LEFT(TRIM('Base de Datos'!A392),2)),VALUE(MID(TRIM('Base de Datos'!A392),4,2))),""))),"")</f>
        <v/>
      </c>
      <c r="AE396" s="74" t="str">
        <f aca="false">IF(ISNUMBER('Base de Datos'!B392),'Base de Datos'!B392,IF(TRIM('Base de Datos'!B392)="","",IFERROR(IF(IFERROR(FIND("@",SUBSTITUTE(TRIM('Base de Datos'!B392),",","@",LEN(TRIM('Base de Datos'!B392))-LEN(SUBSTITUTE(TRIM('Base de Datos'!B392),",","")))),0)&gt;IFERROR(FIND("@",SUBSTITUTE(TRIM('Base de Datos'!B392),".","@",LEN(TRIM('Base de Datos'!B392))-LEN(SUBSTITUTE(TRIM('Base de Datos'!B392),".","")))),0),_xlfn.NUMBERVALUE(SUBSTITUTE(SUBSTITUTE(TRIM('Base de Datos'!B392),".",""),",","."),".",","),_xlfn.NUMBERVALUE(SUBSTITUTE(TRIM('Base de Datos'!B392),",",""),".",",")),"")))</f>
        <v/>
      </c>
      <c r="AF396" s="73" t="str">
        <f aca="false">IF(ISNUMBER(AG396),IF(ISNUMBER('Base de Datos'!I392),IF('Base de Datos'!I392&gt;20000,INT('Base de Datos'!I392),""),IF(TRIM('Base de Datos'!I392)="","",IFERROR(DATE(VALUE(RIGHT(TRIM('Base de Datos'!I392),4)),VALUE(MID(TRIM('Base de Datos'!I392),4,2)),VALUE(LEFT(TRIM('Base de Datos'!I392),2))),IFERROR(DATEVALUE(TRIM('Base de Datos'!I392)),"")))),"")</f>
        <v/>
      </c>
      <c r="AG396" s="74" t="str">
        <f aca="false">IF(ISNUMBER('Base de Datos'!J392),'Base de Datos'!J392,IF(TRIM('Base de Datos'!J392)="","",IFERROR(IF(IFERROR(FIND("@",SUBSTITUTE(TRIM('Base de Datos'!J392),",","@",LEN(TRIM('Base de Datos'!J392))-LEN(SUBSTITUTE(TRIM('Base de Datos'!J392),",","")))),0)&gt;IFERROR(FIND("@",SUBSTITUTE(TRIM('Base de Datos'!J392),".","@",LEN(TRIM('Base de Datos'!J392))-LEN(SUBSTITUTE(TRIM('Base de Datos'!J392),".","")))),0),_xlfn.NUMBERVALUE(SUBSTITUTE(SUBSTITUTE(TRIM('Base de Datos'!J392),".",""),",","."),".",","),_xlfn.NUMBERVALUE(SUBSTITUTE(TRIM('Base de Datos'!J392),",",""),".",",")),"")))</f>
        <v/>
      </c>
      <c r="AH396" s="73" t="str">
        <f aca="false">IF(ISNUMBER(AI396),IF(ISNUMBER('Base de Datos'!Q392),IF('Base de Datos'!Q392&gt;20000,DATE(YEAR('Base de Datos'!Q392),DAY('Base de Datos'!Q392),MONTH('Base de Datos'!Q392)),""),IF(TRIM('Base de Datos'!Q392)="","",IFERROR(DATE(VALUE(RIGHT(TRIM('Base de Datos'!Q392),4)),VALUE(LEFT(TRIM('Base de Datos'!Q392),2)),VALUE(MID(TRIM('Base de Datos'!Q392),4,2))),""))),"")</f>
        <v/>
      </c>
      <c r="AI396" s="74" t="str">
        <f aca="false">IF(ISNUMBER('Base de Datos'!R392),'Base de Datos'!R392,IF(TRIM('Base de Datos'!R392)="","",IFERROR(IF(IFERROR(FIND("@",SUBSTITUTE(TRIM('Base de Datos'!R392),",","@",LEN(TRIM('Base de Datos'!R392))-LEN(SUBSTITUTE(TRIM('Base de Datos'!R392),",","")))),0)&gt;IFERROR(FIND("@",SUBSTITUTE(TRIM('Base de Datos'!R392),".","@",LEN(TRIM('Base de Datos'!R392))-LEN(SUBSTITUTE(TRIM('Base de Datos'!R392),".","")))),0),_xlfn.NUMBERVALUE(SUBSTITUTE(SUBSTITUTE(TRIM('Base de Datos'!R392),".",""),",","."),".",","),_xlfn.NUMBERVALUE(SUBSTITUTE(TRIM('Base de Datos'!R392),",",""),".",",")),"")))</f>
        <v/>
      </c>
      <c r="AJ396" s="73" t="str">
        <f aca="false">IF(ISNUMBER(AK396),IF(ISNUMBER('Base de Datos'!Y392),IF('Base de Datos'!Y392&gt;20000,INT('Base de Datos'!Y392),""),IF(TRIM('Base de Datos'!Y392)="","",IFERROR(DATE(VALUE(RIGHT(TRIM('Base de Datos'!Y392),4)),VALUE(MID(TRIM('Base de Datos'!Y392),4,2)),VALUE(LEFT(TRIM('Base de Datos'!Y392),2))),IFERROR(DATEVALUE(TRIM('Base de Datos'!Y392)),"")))),"")</f>
        <v/>
      </c>
      <c r="AK396" s="74" t="str">
        <f aca="false">IF(ISNUMBER('Base de Datos'!Z392),'Base de Datos'!Z392,IF(TRIM('Base de Datos'!Z392)="","",IFERROR(IF(IFERROR(FIND("@",SUBSTITUTE(TRIM('Base de Datos'!Z392),",","@",LEN(TRIM('Base de Datos'!Z392))-LEN(SUBSTITUTE(TRIM('Base de Datos'!Z392),",","")))),0)&gt;IFERROR(FIND("@",SUBSTITUTE(TRIM('Base de Datos'!Z392),".","@",LEN(TRIM('Base de Datos'!Z392))-LEN(SUBSTITUTE(TRIM('Base de Datos'!Z392),".","")))),0),_xlfn.NUMBERVALUE(SUBSTITUTE(SUBSTITUTE(TRIM('Base de Datos'!Z392),".",""),",","."),".",","),_xlfn.NUMBERVALUE(SUBSTITUTE(TRIM('Base de Datos'!Z392),",",""),".",",")),"")))</f>
        <v/>
      </c>
    </row>
    <row r="397" customFormat="false" ht="13.5" hidden="false" customHeight="false" outlineLevel="0" collapsed="false">
      <c r="A397" s="75" t="n">
        <f aca="false">ROWS(A$13:A397)</f>
        <v>385</v>
      </c>
      <c r="B397" s="73" t="str">
        <f aca="false">IF(B396="","",IFERROR(SMALL($AH$10:$AH$409,COUNTIF($AH$10:$AH$409,"&lt;="&amp;B396)+1),""))</f>
        <v/>
      </c>
      <c r="C397" s="74" t="str">
        <f aca="false">IF(B397="","",INDEX($AI$10:$AI$409,MATCH(B397,$AH$10:$AH$409,0)))</f>
        <v/>
      </c>
      <c r="D397" s="74" t="str">
        <f aca="false">IF(B397="","",IFERROR(INDEX($AK$10:$AK$409,MATCH(B397,$AJ$10:$AJ$409,0)),""))</f>
        <v/>
      </c>
      <c r="E397" s="76" t="str">
        <f aca="false">IF(AND(ISNUMBER(C397),ISNUMBER(C396)),C397/C396-1,"")</f>
        <v/>
      </c>
      <c r="F397" s="76" t="str">
        <f aca="false">IF(AND(ISNUMBER(D397),ISNUMBER(D396)),D397/D396-1,"")</f>
        <v/>
      </c>
      <c r="G397" s="75" t="str">
        <f aca="false">IF(AND(ISNUMBER(E397),ISNUMBER(F397)),1,"")</f>
        <v/>
      </c>
      <c r="H397" s="75" t="str">
        <f aca="false">IF(G397=1,COUNT(G397:G$412),"")</f>
        <v/>
      </c>
      <c r="I397" s="75" t="str">
        <f aca="false">IF(G397=1,IF(H397&lt;='Beta Regresión'!$B$5,1,""),"")</f>
        <v/>
      </c>
      <c r="J397" s="76" t="str">
        <f aca="false">IF(I397=1,E397,"")</f>
        <v/>
      </c>
      <c r="K397" s="76" t="str">
        <f aca="false">IF(I397=1,F397,"")</f>
        <v/>
      </c>
      <c r="L397" s="75" t="str">
        <f aca="false">IF(I397=1,COUNT(I$13:I397),"")</f>
        <v/>
      </c>
      <c r="M397" s="76" t="str">
        <f aca="false">IFERROR(INDEX($J$13:$J$412,MATCH(A397,$L$13:$L$412,0)),"")</f>
        <v/>
      </c>
      <c r="N397" s="76" t="str">
        <f aca="false">IFERROR(INDEX($K$13:$K$412,MATCH(A397,$L$13:$L$412,0)),"")</f>
        <v/>
      </c>
      <c r="O397" s="76" t="e">
        <f aca="false">IF(I397=1,E397,NA())</f>
        <v>#N/A</v>
      </c>
      <c r="P397" s="76" t="e">
        <f aca="false">IF(I397=1,F397,NA())</f>
        <v>#N/A</v>
      </c>
      <c r="R397" s="75" t="n">
        <f aca="false">ROWS(R$13:R397)</f>
        <v>385</v>
      </c>
      <c r="S397" s="73" t="str">
        <f aca="false">IF(S396="","",IFERROR(SMALL($AD$10:$AD$509,COUNTIF($AD$10:$AD$509,"&lt;="&amp;S396)+1),""))</f>
        <v/>
      </c>
      <c r="T397" s="74" t="str">
        <f aca="false">IF(S397="","",INDEX($AE$10:$AE$509,MATCH(S397,$AD$10:$AD$509,0)))</f>
        <v/>
      </c>
      <c r="U397" s="74" t="str">
        <f aca="false">IF(S397="","",IFERROR(INDEX($AG$10:$AG$509,MATCH(S397,$AF$10:$AF$509,0)),""))</f>
        <v/>
      </c>
      <c r="V397" s="76" t="str">
        <f aca="false">IF(AND(ISNUMBER(T397),ISNUMBER(T396)),T397/T396-1,"")</f>
        <v/>
      </c>
      <c r="W397" s="76" t="str">
        <f aca="false">IF(AND(ISNUMBER(U397),ISNUMBER(U396)),U397/U396-1,"")</f>
        <v/>
      </c>
      <c r="X397" s="75" t="str">
        <f aca="false">IF(AND(ISNUMBER(V397),ISNUMBER(W397)),1,"")</f>
        <v/>
      </c>
      <c r="Y397" s="76" t="str">
        <f aca="false">IF(X397=1,V397,"")</f>
        <v/>
      </c>
      <c r="Z397" s="76" t="str">
        <f aca="false">IF(X397=1,W397,"")</f>
        <v/>
      </c>
      <c r="AA397" s="76" t="e">
        <f aca="false">IF(X397=1,V397,NA())</f>
        <v>#N/A</v>
      </c>
      <c r="AB397" s="76" t="e">
        <f aca="false">IF(X397=1,W397,NA())</f>
        <v>#N/A</v>
      </c>
      <c r="AD397" s="73" t="str">
        <f aca="false">IF(ISNUMBER(AE397),IF(ISNUMBER('Base de Datos'!A393),IF('Base de Datos'!A393&gt;20000,DATE(YEAR('Base de Datos'!A393),DAY('Base de Datos'!A393),MONTH('Base de Datos'!A393)),""),IF(TRIM('Base de Datos'!A393)="","",IFERROR(DATE(VALUE(RIGHT(TRIM('Base de Datos'!A393),4)),VALUE(LEFT(TRIM('Base de Datos'!A393),2)),VALUE(MID(TRIM('Base de Datos'!A393),4,2))),""))),"")</f>
        <v/>
      </c>
      <c r="AE397" s="74" t="str">
        <f aca="false">IF(ISNUMBER('Base de Datos'!B393),'Base de Datos'!B393,IF(TRIM('Base de Datos'!B393)="","",IFERROR(IF(IFERROR(FIND("@",SUBSTITUTE(TRIM('Base de Datos'!B393),",","@",LEN(TRIM('Base de Datos'!B393))-LEN(SUBSTITUTE(TRIM('Base de Datos'!B393),",","")))),0)&gt;IFERROR(FIND("@",SUBSTITUTE(TRIM('Base de Datos'!B393),".","@",LEN(TRIM('Base de Datos'!B393))-LEN(SUBSTITUTE(TRIM('Base de Datos'!B393),".","")))),0),_xlfn.NUMBERVALUE(SUBSTITUTE(SUBSTITUTE(TRIM('Base de Datos'!B393),".",""),",","."),".",","),_xlfn.NUMBERVALUE(SUBSTITUTE(TRIM('Base de Datos'!B393),",",""),".",",")),"")))</f>
        <v/>
      </c>
      <c r="AF397" s="73" t="str">
        <f aca="false">IF(ISNUMBER(AG397),IF(ISNUMBER('Base de Datos'!I393),IF('Base de Datos'!I393&gt;20000,INT('Base de Datos'!I393),""),IF(TRIM('Base de Datos'!I393)="","",IFERROR(DATE(VALUE(RIGHT(TRIM('Base de Datos'!I393),4)),VALUE(MID(TRIM('Base de Datos'!I393),4,2)),VALUE(LEFT(TRIM('Base de Datos'!I393),2))),IFERROR(DATEVALUE(TRIM('Base de Datos'!I393)),"")))),"")</f>
        <v/>
      </c>
      <c r="AG397" s="74" t="str">
        <f aca="false">IF(ISNUMBER('Base de Datos'!J393),'Base de Datos'!J393,IF(TRIM('Base de Datos'!J393)="","",IFERROR(IF(IFERROR(FIND("@",SUBSTITUTE(TRIM('Base de Datos'!J393),",","@",LEN(TRIM('Base de Datos'!J393))-LEN(SUBSTITUTE(TRIM('Base de Datos'!J393),",","")))),0)&gt;IFERROR(FIND("@",SUBSTITUTE(TRIM('Base de Datos'!J393),".","@",LEN(TRIM('Base de Datos'!J393))-LEN(SUBSTITUTE(TRIM('Base de Datos'!J393),".","")))),0),_xlfn.NUMBERVALUE(SUBSTITUTE(SUBSTITUTE(TRIM('Base de Datos'!J393),".",""),",","."),".",","),_xlfn.NUMBERVALUE(SUBSTITUTE(TRIM('Base de Datos'!J393),",",""),".",",")),"")))</f>
        <v/>
      </c>
      <c r="AH397" s="73" t="str">
        <f aca="false">IF(ISNUMBER(AI397),IF(ISNUMBER('Base de Datos'!Q393),IF('Base de Datos'!Q393&gt;20000,DATE(YEAR('Base de Datos'!Q393),DAY('Base de Datos'!Q393),MONTH('Base de Datos'!Q393)),""),IF(TRIM('Base de Datos'!Q393)="","",IFERROR(DATE(VALUE(RIGHT(TRIM('Base de Datos'!Q393),4)),VALUE(LEFT(TRIM('Base de Datos'!Q393),2)),VALUE(MID(TRIM('Base de Datos'!Q393),4,2))),""))),"")</f>
        <v/>
      </c>
      <c r="AI397" s="74" t="str">
        <f aca="false">IF(ISNUMBER('Base de Datos'!R393),'Base de Datos'!R393,IF(TRIM('Base de Datos'!R393)="","",IFERROR(IF(IFERROR(FIND("@",SUBSTITUTE(TRIM('Base de Datos'!R393),",","@",LEN(TRIM('Base de Datos'!R393))-LEN(SUBSTITUTE(TRIM('Base de Datos'!R393),",","")))),0)&gt;IFERROR(FIND("@",SUBSTITUTE(TRIM('Base de Datos'!R393),".","@",LEN(TRIM('Base de Datos'!R393))-LEN(SUBSTITUTE(TRIM('Base de Datos'!R393),".","")))),0),_xlfn.NUMBERVALUE(SUBSTITUTE(SUBSTITUTE(TRIM('Base de Datos'!R393),".",""),",","."),".",","),_xlfn.NUMBERVALUE(SUBSTITUTE(TRIM('Base de Datos'!R393),",",""),".",",")),"")))</f>
        <v/>
      </c>
      <c r="AJ397" s="73" t="str">
        <f aca="false">IF(ISNUMBER(AK397),IF(ISNUMBER('Base de Datos'!Y393),IF('Base de Datos'!Y393&gt;20000,INT('Base de Datos'!Y393),""),IF(TRIM('Base de Datos'!Y393)="","",IFERROR(DATE(VALUE(RIGHT(TRIM('Base de Datos'!Y393),4)),VALUE(MID(TRIM('Base de Datos'!Y393),4,2)),VALUE(LEFT(TRIM('Base de Datos'!Y393),2))),IFERROR(DATEVALUE(TRIM('Base de Datos'!Y393)),"")))),"")</f>
        <v/>
      </c>
      <c r="AK397" s="74" t="str">
        <f aca="false">IF(ISNUMBER('Base de Datos'!Z393),'Base de Datos'!Z393,IF(TRIM('Base de Datos'!Z393)="","",IFERROR(IF(IFERROR(FIND("@",SUBSTITUTE(TRIM('Base de Datos'!Z393),",","@",LEN(TRIM('Base de Datos'!Z393))-LEN(SUBSTITUTE(TRIM('Base de Datos'!Z393),",","")))),0)&gt;IFERROR(FIND("@",SUBSTITUTE(TRIM('Base de Datos'!Z393),".","@",LEN(TRIM('Base de Datos'!Z393))-LEN(SUBSTITUTE(TRIM('Base de Datos'!Z393),".","")))),0),_xlfn.NUMBERVALUE(SUBSTITUTE(SUBSTITUTE(TRIM('Base de Datos'!Z393),".",""),",","."),".",","),_xlfn.NUMBERVALUE(SUBSTITUTE(TRIM('Base de Datos'!Z393),",",""),".",",")),"")))</f>
        <v/>
      </c>
    </row>
    <row r="398" customFormat="false" ht="13.5" hidden="false" customHeight="false" outlineLevel="0" collapsed="false">
      <c r="A398" s="75" t="n">
        <f aca="false">ROWS(A$13:A398)</f>
        <v>386</v>
      </c>
      <c r="B398" s="73" t="str">
        <f aca="false">IF(B397="","",IFERROR(SMALL($AH$10:$AH$409,COUNTIF($AH$10:$AH$409,"&lt;="&amp;B397)+1),""))</f>
        <v/>
      </c>
      <c r="C398" s="74" t="str">
        <f aca="false">IF(B398="","",INDEX($AI$10:$AI$409,MATCH(B398,$AH$10:$AH$409,0)))</f>
        <v/>
      </c>
      <c r="D398" s="74" t="str">
        <f aca="false">IF(B398="","",IFERROR(INDEX($AK$10:$AK$409,MATCH(B398,$AJ$10:$AJ$409,0)),""))</f>
        <v/>
      </c>
      <c r="E398" s="76" t="str">
        <f aca="false">IF(AND(ISNUMBER(C398),ISNUMBER(C397)),C398/C397-1,"")</f>
        <v/>
      </c>
      <c r="F398" s="76" t="str">
        <f aca="false">IF(AND(ISNUMBER(D398),ISNUMBER(D397)),D398/D397-1,"")</f>
        <v/>
      </c>
      <c r="G398" s="75" t="str">
        <f aca="false">IF(AND(ISNUMBER(E398),ISNUMBER(F398)),1,"")</f>
        <v/>
      </c>
      <c r="H398" s="75" t="str">
        <f aca="false">IF(G398=1,COUNT(G398:G$412),"")</f>
        <v/>
      </c>
      <c r="I398" s="75" t="str">
        <f aca="false">IF(G398=1,IF(H398&lt;='Beta Regresión'!$B$5,1,""),"")</f>
        <v/>
      </c>
      <c r="J398" s="76" t="str">
        <f aca="false">IF(I398=1,E398,"")</f>
        <v/>
      </c>
      <c r="K398" s="76" t="str">
        <f aca="false">IF(I398=1,F398,"")</f>
        <v/>
      </c>
      <c r="L398" s="75" t="str">
        <f aca="false">IF(I398=1,COUNT(I$13:I398),"")</f>
        <v/>
      </c>
      <c r="M398" s="76" t="str">
        <f aca="false">IFERROR(INDEX($J$13:$J$412,MATCH(A398,$L$13:$L$412,0)),"")</f>
        <v/>
      </c>
      <c r="N398" s="76" t="str">
        <f aca="false">IFERROR(INDEX($K$13:$K$412,MATCH(A398,$L$13:$L$412,0)),"")</f>
        <v/>
      </c>
      <c r="O398" s="76" t="e">
        <f aca="false">IF(I398=1,E398,NA())</f>
        <v>#N/A</v>
      </c>
      <c r="P398" s="76" t="e">
        <f aca="false">IF(I398=1,F398,NA())</f>
        <v>#N/A</v>
      </c>
      <c r="R398" s="75" t="n">
        <f aca="false">ROWS(R$13:R398)</f>
        <v>386</v>
      </c>
      <c r="S398" s="73" t="str">
        <f aca="false">IF(S397="","",IFERROR(SMALL($AD$10:$AD$509,COUNTIF($AD$10:$AD$509,"&lt;="&amp;S397)+1),""))</f>
        <v/>
      </c>
      <c r="T398" s="74" t="str">
        <f aca="false">IF(S398="","",INDEX($AE$10:$AE$509,MATCH(S398,$AD$10:$AD$509,0)))</f>
        <v/>
      </c>
      <c r="U398" s="74" t="str">
        <f aca="false">IF(S398="","",IFERROR(INDEX($AG$10:$AG$509,MATCH(S398,$AF$10:$AF$509,0)),""))</f>
        <v/>
      </c>
      <c r="V398" s="76" t="str">
        <f aca="false">IF(AND(ISNUMBER(T398),ISNUMBER(T397)),T398/T397-1,"")</f>
        <v/>
      </c>
      <c r="W398" s="76" t="str">
        <f aca="false">IF(AND(ISNUMBER(U398),ISNUMBER(U397)),U398/U397-1,"")</f>
        <v/>
      </c>
      <c r="X398" s="75" t="str">
        <f aca="false">IF(AND(ISNUMBER(V398),ISNUMBER(W398)),1,"")</f>
        <v/>
      </c>
      <c r="Y398" s="76" t="str">
        <f aca="false">IF(X398=1,V398,"")</f>
        <v/>
      </c>
      <c r="Z398" s="76" t="str">
        <f aca="false">IF(X398=1,W398,"")</f>
        <v/>
      </c>
      <c r="AA398" s="76" t="e">
        <f aca="false">IF(X398=1,V398,NA())</f>
        <v>#N/A</v>
      </c>
      <c r="AB398" s="76" t="e">
        <f aca="false">IF(X398=1,W398,NA())</f>
        <v>#N/A</v>
      </c>
      <c r="AD398" s="73" t="str">
        <f aca="false">IF(ISNUMBER(AE398),IF(ISNUMBER('Base de Datos'!A394),IF('Base de Datos'!A394&gt;20000,DATE(YEAR('Base de Datos'!A394),DAY('Base de Datos'!A394),MONTH('Base de Datos'!A394)),""),IF(TRIM('Base de Datos'!A394)="","",IFERROR(DATE(VALUE(RIGHT(TRIM('Base de Datos'!A394),4)),VALUE(LEFT(TRIM('Base de Datos'!A394),2)),VALUE(MID(TRIM('Base de Datos'!A394),4,2))),""))),"")</f>
        <v/>
      </c>
      <c r="AE398" s="74" t="str">
        <f aca="false">IF(ISNUMBER('Base de Datos'!B394),'Base de Datos'!B394,IF(TRIM('Base de Datos'!B394)="","",IFERROR(IF(IFERROR(FIND("@",SUBSTITUTE(TRIM('Base de Datos'!B394),",","@",LEN(TRIM('Base de Datos'!B394))-LEN(SUBSTITUTE(TRIM('Base de Datos'!B394),",","")))),0)&gt;IFERROR(FIND("@",SUBSTITUTE(TRIM('Base de Datos'!B394),".","@",LEN(TRIM('Base de Datos'!B394))-LEN(SUBSTITUTE(TRIM('Base de Datos'!B394),".","")))),0),_xlfn.NUMBERVALUE(SUBSTITUTE(SUBSTITUTE(TRIM('Base de Datos'!B394),".",""),",","."),".",","),_xlfn.NUMBERVALUE(SUBSTITUTE(TRIM('Base de Datos'!B394),",",""),".",",")),"")))</f>
        <v/>
      </c>
      <c r="AF398" s="73" t="str">
        <f aca="false">IF(ISNUMBER(AG398),IF(ISNUMBER('Base de Datos'!I394),IF('Base de Datos'!I394&gt;20000,INT('Base de Datos'!I394),""),IF(TRIM('Base de Datos'!I394)="","",IFERROR(DATE(VALUE(RIGHT(TRIM('Base de Datos'!I394),4)),VALUE(MID(TRIM('Base de Datos'!I394),4,2)),VALUE(LEFT(TRIM('Base de Datos'!I394),2))),IFERROR(DATEVALUE(TRIM('Base de Datos'!I394)),"")))),"")</f>
        <v/>
      </c>
      <c r="AG398" s="74" t="str">
        <f aca="false">IF(ISNUMBER('Base de Datos'!J394),'Base de Datos'!J394,IF(TRIM('Base de Datos'!J394)="","",IFERROR(IF(IFERROR(FIND("@",SUBSTITUTE(TRIM('Base de Datos'!J394),",","@",LEN(TRIM('Base de Datos'!J394))-LEN(SUBSTITUTE(TRIM('Base de Datos'!J394),",","")))),0)&gt;IFERROR(FIND("@",SUBSTITUTE(TRIM('Base de Datos'!J394),".","@",LEN(TRIM('Base de Datos'!J394))-LEN(SUBSTITUTE(TRIM('Base de Datos'!J394),".","")))),0),_xlfn.NUMBERVALUE(SUBSTITUTE(SUBSTITUTE(TRIM('Base de Datos'!J394),".",""),",","."),".",","),_xlfn.NUMBERVALUE(SUBSTITUTE(TRIM('Base de Datos'!J394),",",""),".",",")),"")))</f>
        <v/>
      </c>
      <c r="AH398" s="73" t="str">
        <f aca="false">IF(ISNUMBER(AI398),IF(ISNUMBER('Base de Datos'!Q394),IF('Base de Datos'!Q394&gt;20000,DATE(YEAR('Base de Datos'!Q394),DAY('Base de Datos'!Q394),MONTH('Base de Datos'!Q394)),""),IF(TRIM('Base de Datos'!Q394)="","",IFERROR(DATE(VALUE(RIGHT(TRIM('Base de Datos'!Q394),4)),VALUE(LEFT(TRIM('Base de Datos'!Q394),2)),VALUE(MID(TRIM('Base de Datos'!Q394),4,2))),""))),"")</f>
        <v/>
      </c>
      <c r="AI398" s="74" t="str">
        <f aca="false">IF(ISNUMBER('Base de Datos'!R394),'Base de Datos'!R394,IF(TRIM('Base de Datos'!R394)="","",IFERROR(IF(IFERROR(FIND("@",SUBSTITUTE(TRIM('Base de Datos'!R394),",","@",LEN(TRIM('Base de Datos'!R394))-LEN(SUBSTITUTE(TRIM('Base de Datos'!R394),",","")))),0)&gt;IFERROR(FIND("@",SUBSTITUTE(TRIM('Base de Datos'!R394),".","@",LEN(TRIM('Base de Datos'!R394))-LEN(SUBSTITUTE(TRIM('Base de Datos'!R394),".","")))),0),_xlfn.NUMBERVALUE(SUBSTITUTE(SUBSTITUTE(TRIM('Base de Datos'!R394),".",""),",","."),".",","),_xlfn.NUMBERVALUE(SUBSTITUTE(TRIM('Base de Datos'!R394),",",""),".",",")),"")))</f>
        <v/>
      </c>
      <c r="AJ398" s="73" t="str">
        <f aca="false">IF(ISNUMBER(AK398),IF(ISNUMBER('Base de Datos'!Y394),IF('Base de Datos'!Y394&gt;20000,INT('Base de Datos'!Y394),""),IF(TRIM('Base de Datos'!Y394)="","",IFERROR(DATE(VALUE(RIGHT(TRIM('Base de Datos'!Y394),4)),VALUE(MID(TRIM('Base de Datos'!Y394),4,2)),VALUE(LEFT(TRIM('Base de Datos'!Y394),2))),IFERROR(DATEVALUE(TRIM('Base de Datos'!Y394)),"")))),"")</f>
        <v/>
      </c>
      <c r="AK398" s="74" t="str">
        <f aca="false">IF(ISNUMBER('Base de Datos'!Z394),'Base de Datos'!Z394,IF(TRIM('Base de Datos'!Z394)="","",IFERROR(IF(IFERROR(FIND("@",SUBSTITUTE(TRIM('Base de Datos'!Z394),",","@",LEN(TRIM('Base de Datos'!Z394))-LEN(SUBSTITUTE(TRIM('Base de Datos'!Z394),",","")))),0)&gt;IFERROR(FIND("@",SUBSTITUTE(TRIM('Base de Datos'!Z394),".","@",LEN(TRIM('Base de Datos'!Z394))-LEN(SUBSTITUTE(TRIM('Base de Datos'!Z394),".","")))),0),_xlfn.NUMBERVALUE(SUBSTITUTE(SUBSTITUTE(TRIM('Base de Datos'!Z394),".",""),",","."),".",","),_xlfn.NUMBERVALUE(SUBSTITUTE(TRIM('Base de Datos'!Z394),",",""),".",",")),"")))</f>
        <v/>
      </c>
    </row>
    <row r="399" customFormat="false" ht="13.5" hidden="false" customHeight="false" outlineLevel="0" collapsed="false">
      <c r="A399" s="75" t="n">
        <f aca="false">ROWS(A$13:A399)</f>
        <v>387</v>
      </c>
      <c r="B399" s="73" t="str">
        <f aca="false">IF(B398="","",IFERROR(SMALL($AH$10:$AH$409,COUNTIF($AH$10:$AH$409,"&lt;="&amp;B398)+1),""))</f>
        <v/>
      </c>
      <c r="C399" s="74" t="str">
        <f aca="false">IF(B399="","",INDEX($AI$10:$AI$409,MATCH(B399,$AH$10:$AH$409,0)))</f>
        <v/>
      </c>
      <c r="D399" s="74" t="str">
        <f aca="false">IF(B399="","",IFERROR(INDEX($AK$10:$AK$409,MATCH(B399,$AJ$10:$AJ$409,0)),""))</f>
        <v/>
      </c>
      <c r="E399" s="76" t="str">
        <f aca="false">IF(AND(ISNUMBER(C399),ISNUMBER(C398)),C399/C398-1,"")</f>
        <v/>
      </c>
      <c r="F399" s="76" t="str">
        <f aca="false">IF(AND(ISNUMBER(D399),ISNUMBER(D398)),D399/D398-1,"")</f>
        <v/>
      </c>
      <c r="G399" s="75" t="str">
        <f aca="false">IF(AND(ISNUMBER(E399),ISNUMBER(F399)),1,"")</f>
        <v/>
      </c>
      <c r="H399" s="75" t="str">
        <f aca="false">IF(G399=1,COUNT(G399:G$412),"")</f>
        <v/>
      </c>
      <c r="I399" s="75" t="str">
        <f aca="false">IF(G399=1,IF(H399&lt;='Beta Regresión'!$B$5,1,""),"")</f>
        <v/>
      </c>
      <c r="J399" s="76" t="str">
        <f aca="false">IF(I399=1,E399,"")</f>
        <v/>
      </c>
      <c r="K399" s="76" t="str">
        <f aca="false">IF(I399=1,F399,"")</f>
        <v/>
      </c>
      <c r="L399" s="75" t="str">
        <f aca="false">IF(I399=1,COUNT(I$13:I399),"")</f>
        <v/>
      </c>
      <c r="M399" s="76" t="str">
        <f aca="false">IFERROR(INDEX($J$13:$J$412,MATCH(A399,$L$13:$L$412,0)),"")</f>
        <v/>
      </c>
      <c r="N399" s="76" t="str">
        <f aca="false">IFERROR(INDEX($K$13:$K$412,MATCH(A399,$L$13:$L$412,0)),"")</f>
        <v/>
      </c>
      <c r="O399" s="76" t="e">
        <f aca="false">IF(I399=1,E399,NA())</f>
        <v>#N/A</v>
      </c>
      <c r="P399" s="76" t="e">
        <f aca="false">IF(I399=1,F399,NA())</f>
        <v>#N/A</v>
      </c>
      <c r="R399" s="75" t="n">
        <f aca="false">ROWS(R$13:R399)</f>
        <v>387</v>
      </c>
      <c r="S399" s="73" t="str">
        <f aca="false">IF(S398="","",IFERROR(SMALL($AD$10:$AD$509,COUNTIF($AD$10:$AD$509,"&lt;="&amp;S398)+1),""))</f>
        <v/>
      </c>
      <c r="T399" s="74" t="str">
        <f aca="false">IF(S399="","",INDEX($AE$10:$AE$509,MATCH(S399,$AD$10:$AD$509,0)))</f>
        <v/>
      </c>
      <c r="U399" s="74" t="str">
        <f aca="false">IF(S399="","",IFERROR(INDEX($AG$10:$AG$509,MATCH(S399,$AF$10:$AF$509,0)),""))</f>
        <v/>
      </c>
      <c r="V399" s="76" t="str">
        <f aca="false">IF(AND(ISNUMBER(T399),ISNUMBER(T398)),T399/T398-1,"")</f>
        <v/>
      </c>
      <c r="W399" s="76" t="str">
        <f aca="false">IF(AND(ISNUMBER(U399),ISNUMBER(U398)),U399/U398-1,"")</f>
        <v/>
      </c>
      <c r="X399" s="75" t="str">
        <f aca="false">IF(AND(ISNUMBER(V399),ISNUMBER(W399)),1,"")</f>
        <v/>
      </c>
      <c r="Y399" s="76" t="str">
        <f aca="false">IF(X399=1,V399,"")</f>
        <v/>
      </c>
      <c r="Z399" s="76" t="str">
        <f aca="false">IF(X399=1,W399,"")</f>
        <v/>
      </c>
      <c r="AA399" s="76" t="e">
        <f aca="false">IF(X399=1,V399,NA())</f>
        <v>#N/A</v>
      </c>
      <c r="AB399" s="76" t="e">
        <f aca="false">IF(X399=1,W399,NA())</f>
        <v>#N/A</v>
      </c>
      <c r="AD399" s="73" t="str">
        <f aca="false">IF(ISNUMBER(AE399),IF(ISNUMBER('Base de Datos'!A395),IF('Base de Datos'!A395&gt;20000,DATE(YEAR('Base de Datos'!A395),DAY('Base de Datos'!A395),MONTH('Base de Datos'!A395)),""),IF(TRIM('Base de Datos'!A395)="","",IFERROR(DATE(VALUE(RIGHT(TRIM('Base de Datos'!A395),4)),VALUE(LEFT(TRIM('Base de Datos'!A395),2)),VALUE(MID(TRIM('Base de Datos'!A395),4,2))),""))),"")</f>
        <v/>
      </c>
      <c r="AE399" s="74" t="str">
        <f aca="false">IF(ISNUMBER('Base de Datos'!B395),'Base de Datos'!B395,IF(TRIM('Base de Datos'!B395)="","",IFERROR(IF(IFERROR(FIND("@",SUBSTITUTE(TRIM('Base de Datos'!B395),",","@",LEN(TRIM('Base de Datos'!B395))-LEN(SUBSTITUTE(TRIM('Base de Datos'!B395),",","")))),0)&gt;IFERROR(FIND("@",SUBSTITUTE(TRIM('Base de Datos'!B395),".","@",LEN(TRIM('Base de Datos'!B395))-LEN(SUBSTITUTE(TRIM('Base de Datos'!B395),".","")))),0),_xlfn.NUMBERVALUE(SUBSTITUTE(SUBSTITUTE(TRIM('Base de Datos'!B395),".",""),",","."),".",","),_xlfn.NUMBERVALUE(SUBSTITUTE(TRIM('Base de Datos'!B395),",",""),".",",")),"")))</f>
        <v/>
      </c>
      <c r="AF399" s="73" t="str">
        <f aca="false">IF(ISNUMBER(AG399),IF(ISNUMBER('Base de Datos'!I395),IF('Base de Datos'!I395&gt;20000,INT('Base de Datos'!I395),""),IF(TRIM('Base de Datos'!I395)="","",IFERROR(DATE(VALUE(RIGHT(TRIM('Base de Datos'!I395),4)),VALUE(MID(TRIM('Base de Datos'!I395),4,2)),VALUE(LEFT(TRIM('Base de Datos'!I395),2))),IFERROR(DATEVALUE(TRIM('Base de Datos'!I395)),"")))),"")</f>
        <v/>
      </c>
      <c r="AG399" s="74" t="str">
        <f aca="false">IF(ISNUMBER('Base de Datos'!J395),'Base de Datos'!J395,IF(TRIM('Base de Datos'!J395)="","",IFERROR(IF(IFERROR(FIND("@",SUBSTITUTE(TRIM('Base de Datos'!J395),",","@",LEN(TRIM('Base de Datos'!J395))-LEN(SUBSTITUTE(TRIM('Base de Datos'!J395),",","")))),0)&gt;IFERROR(FIND("@",SUBSTITUTE(TRIM('Base de Datos'!J395),".","@",LEN(TRIM('Base de Datos'!J395))-LEN(SUBSTITUTE(TRIM('Base de Datos'!J395),".","")))),0),_xlfn.NUMBERVALUE(SUBSTITUTE(SUBSTITUTE(TRIM('Base de Datos'!J395),".",""),",","."),".",","),_xlfn.NUMBERVALUE(SUBSTITUTE(TRIM('Base de Datos'!J395),",",""),".",",")),"")))</f>
        <v/>
      </c>
      <c r="AH399" s="73" t="str">
        <f aca="false">IF(ISNUMBER(AI399),IF(ISNUMBER('Base de Datos'!Q395),IF('Base de Datos'!Q395&gt;20000,DATE(YEAR('Base de Datos'!Q395),DAY('Base de Datos'!Q395),MONTH('Base de Datos'!Q395)),""),IF(TRIM('Base de Datos'!Q395)="","",IFERROR(DATE(VALUE(RIGHT(TRIM('Base de Datos'!Q395),4)),VALUE(LEFT(TRIM('Base de Datos'!Q395),2)),VALUE(MID(TRIM('Base de Datos'!Q395),4,2))),""))),"")</f>
        <v/>
      </c>
      <c r="AI399" s="74" t="str">
        <f aca="false">IF(ISNUMBER('Base de Datos'!R395),'Base de Datos'!R395,IF(TRIM('Base de Datos'!R395)="","",IFERROR(IF(IFERROR(FIND("@",SUBSTITUTE(TRIM('Base de Datos'!R395),",","@",LEN(TRIM('Base de Datos'!R395))-LEN(SUBSTITUTE(TRIM('Base de Datos'!R395),",","")))),0)&gt;IFERROR(FIND("@",SUBSTITUTE(TRIM('Base de Datos'!R395),".","@",LEN(TRIM('Base de Datos'!R395))-LEN(SUBSTITUTE(TRIM('Base de Datos'!R395),".","")))),0),_xlfn.NUMBERVALUE(SUBSTITUTE(SUBSTITUTE(TRIM('Base de Datos'!R395),".",""),",","."),".",","),_xlfn.NUMBERVALUE(SUBSTITUTE(TRIM('Base de Datos'!R395),",",""),".",",")),"")))</f>
        <v/>
      </c>
      <c r="AJ399" s="73" t="str">
        <f aca="false">IF(ISNUMBER(AK399),IF(ISNUMBER('Base de Datos'!Y395),IF('Base de Datos'!Y395&gt;20000,INT('Base de Datos'!Y395),""),IF(TRIM('Base de Datos'!Y395)="","",IFERROR(DATE(VALUE(RIGHT(TRIM('Base de Datos'!Y395),4)),VALUE(MID(TRIM('Base de Datos'!Y395),4,2)),VALUE(LEFT(TRIM('Base de Datos'!Y395),2))),IFERROR(DATEVALUE(TRIM('Base de Datos'!Y395)),"")))),"")</f>
        <v/>
      </c>
      <c r="AK399" s="74" t="str">
        <f aca="false">IF(ISNUMBER('Base de Datos'!Z395),'Base de Datos'!Z395,IF(TRIM('Base de Datos'!Z395)="","",IFERROR(IF(IFERROR(FIND("@",SUBSTITUTE(TRIM('Base de Datos'!Z395),",","@",LEN(TRIM('Base de Datos'!Z395))-LEN(SUBSTITUTE(TRIM('Base de Datos'!Z395),",","")))),0)&gt;IFERROR(FIND("@",SUBSTITUTE(TRIM('Base de Datos'!Z395),".","@",LEN(TRIM('Base de Datos'!Z395))-LEN(SUBSTITUTE(TRIM('Base de Datos'!Z395),".","")))),0),_xlfn.NUMBERVALUE(SUBSTITUTE(SUBSTITUTE(TRIM('Base de Datos'!Z395),".",""),",","."),".",","),_xlfn.NUMBERVALUE(SUBSTITUTE(TRIM('Base de Datos'!Z395),",",""),".",",")),"")))</f>
        <v/>
      </c>
    </row>
    <row r="400" customFormat="false" ht="13.5" hidden="false" customHeight="false" outlineLevel="0" collapsed="false">
      <c r="A400" s="75" t="n">
        <f aca="false">ROWS(A$13:A400)</f>
        <v>388</v>
      </c>
      <c r="B400" s="73" t="str">
        <f aca="false">IF(B399="","",IFERROR(SMALL($AH$10:$AH$409,COUNTIF($AH$10:$AH$409,"&lt;="&amp;B399)+1),""))</f>
        <v/>
      </c>
      <c r="C400" s="74" t="str">
        <f aca="false">IF(B400="","",INDEX($AI$10:$AI$409,MATCH(B400,$AH$10:$AH$409,0)))</f>
        <v/>
      </c>
      <c r="D400" s="74" t="str">
        <f aca="false">IF(B400="","",IFERROR(INDEX($AK$10:$AK$409,MATCH(B400,$AJ$10:$AJ$409,0)),""))</f>
        <v/>
      </c>
      <c r="E400" s="76" t="str">
        <f aca="false">IF(AND(ISNUMBER(C400),ISNUMBER(C399)),C400/C399-1,"")</f>
        <v/>
      </c>
      <c r="F400" s="76" t="str">
        <f aca="false">IF(AND(ISNUMBER(D400),ISNUMBER(D399)),D400/D399-1,"")</f>
        <v/>
      </c>
      <c r="G400" s="75" t="str">
        <f aca="false">IF(AND(ISNUMBER(E400),ISNUMBER(F400)),1,"")</f>
        <v/>
      </c>
      <c r="H400" s="75" t="str">
        <f aca="false">IF(G400=1,COUNT(G400:G$412),"")</f>
        <v/>
      </c>
      <c r="I400" s="75" t="str">
        <f aca="false">IF(G400=1,IF(H400&lt;='Beta Regresión'!$B$5,1,""),"")</f>
        <v/>
      </c>
      <c r="J400" s="76" t="str">
        <f aca="false">IF(I400=1,E400,"")</f>
        <v/>
      </c>
      <c r="K400" s="76" t="str">
        <f aca="false">IF(I400=1,F400,"")</f>
        <v/>
      </c>
      <c r="L400" s="75" t="str">
        <f aca="false">IF(I400=1,COUNT(I$13:I400),"")</f>
        <v/>
      </c>
      <c r="M400" s="76" t="str">
        <f aca="false">IFERROR(INDEX($J$13:$J$412,MATCH(A400,$L$13:$L$412,0)),"")</f>
        <v/>
      </c>
      <c r="N400" s="76" t="str">
        <f aca="false">IFERROR(INDEX($K$13:$K$412,MATCH(A400,$L$13:$L$412,0)),"")</f>
        <v/>
      </c>
      <c r="O400" s="76" t="e">
        <f aca="false">IF(I400=1,E400,NA())</f>
        <v>#N/A</v>
      </c>
      <c r="P400" s="76" t="e">
        <f aca="false">IF(I400=1,F400,NA())</f>
        <v>#N/A</v>
      </c>
      <c r="R400" s="75" t="n">
        <f aca="false">ROWS(R$13:R400)</f>
        <v>388</v>
      </c>
      <c r="S400" s="73" t="str">
        <f aca="false">IF(S399="","",IFERROR(SMALL($AD$10:$AD$509,COUNTIF($AD$10:$AD$509,"&lt;="&amp;S399)+1),""))</f>
        <v/>
      </c>
      <c r="T400" s="74" t="str">
        <f aca="false">IF(S400="","",INDEX($AE$10:$AE$509,MATCH(S400,$AD$10:$AD$509,0)))</f>
        <v/>
      </c>
      <c r="U400" s="74" t="str">
        <f aca="false">IF(S400="","",IFERROR(INDEX($AG$10:$AG$509,MATCH(S400,$AF$10:$AF$509,0)),""))</f>
        <v/>
      </c>
      <c r="V400" s="76" t="str">
        <f aca="false">IF(AND(ISNUMBER(T400),ISNUMBER(T399)),T400/T399-1,"")</f>
        <v/>
      </c>
      <c r="W400" s="76" t="str">
        <f aca="false">IF(AND(ISNUMBER(U400),ISNUMBER(U399)),U400/U399-1,"")</f>
        <v/>
      </c>
      <c r="X400" s="75" t="str">
        <f aca="false">IF(AND(ISNUMBER(V400),ISNUMBER(W400)),1,"")</f>
        <v/>
      </c>
      <c r="Y400" s="76" t="str">
        <f aca="false">IF(X400=1,V400,"")</f>
        <v/>
      </c>
      <c r="Z400" s="76" t="str">
        <f aca="false">IF(X400=1,W400,"")</f>
        <v/>
      </c>
      <c r="AA400" s="76" t="e">
        <f aca="false">IF(X400=1,V400,NA())</f>
        <v>#N/A</v>
      </c>
      <c r="AB400" s="76" t="e">
        <f aca="false">IF(X400=1,W400,NA())</f>
        <v>#N/A</v>
      </c>
      <c r="AD400" s="73" t="str">
        <f aca="false">IF(ISNUMBER(AE400),IF(ISNUMBER('Base de Datos'!A396),IF('Base de Datos'!A396&gt;20000,DATE(YEAR('Base de Datos'!A396),DAY('Base de Datos'!A396),MONTH('Base de Datos'!A396)),""),IF(TRIM('Base de Datos'!A396)="","",IFERROR(DATE(VALUE(RIGHT(TRIM('Base de Datos'!A396),4)),VALUE(LEFT(TRIM('Base de Datos'!A396),2)),VALUE(MID(TRIM('Base de Datos'!A396),4,2))),""))),"")</f>
        <v/>
      </c>
      <c r="AE400" s="74" t="str">
        <f aca="false">IF(ISNUMBER('Base de Datos'!B396),'Base de Datos'!B396,IF(TRIM('Base de Datos'!B396)="","",IFERROR(IF(IFERROR(FIND("@",SUBSTITUTE(TRIM('Base de Datos'!B396),",","@",LEN(TRIM('Base de Datos'!B396))-LEN(SUBSTITUTE(TRIM('Base de Datos'!B396),",","")))),0)&gt;IFERROR(FIND("@",SUBSTITUTE(TRIM('Base de Datos'!B396),".","@",LEN(TRIM('Base de Datos'!B396))-LEN(SUBSTITUTE(TRIM('Base de Datos'!B396),".","")))),0),_xlfn.NUMBERVALUE(SUBSTITUTE(SUBSTITUTE(TRIM('Base de Datos'!B396),".",""),",","."),".",","),_xlfn.NUMBERVALUE(SUBSTITUTE(TRIM('Base de Datos'!B396),",",""),".",",")),"")))</f>
        <v/>
      </c>
      <c r="AF400" s="73" t="str">
        <f aca="false">IF(ISNUMBER(AG400),IF(ISNUMBER('Base de Datos'!I396),IF('Base de Datos'!I396&gt;20000,INT('Base de Datos'!I396),""),IF(TRIM('Base de Datos'!I396)="","",IFERROR(DATE(VALUE(RIGHT(TRIM('Base de Datos'!I396),4)),VALUE(MID(TRIM('Base de Datos'!I396),4,2)),VALUE(LEFT(TRIM('Base de Datos'!I396),2))),IFERROR(DATEVALUE(TRIM('Base de Datos'!I396)),"")))),"")</f>
        <v/>
      </c>
      <c r="AG400" s="74" t="str">
        <f aca="false">IF(ISNUMBER('Base de Datos'!J396),'Base de Datos'!J396,IF(TRIM('Base de Datos'!J396)="","",IFERROR(IF(IFERROR(FIND("@",SUBSTITUTE(TRIM('Base de Datos'!J396),",","@",LEN(TRIM('Base de Datos'!J396))-LEN(SUBSTITUTE(TRIM('Base de Datos'!J396),",","")))),0)&gt;IFERROR(FIND("@",SUBSTITUTE(TRIM('Base de Datos'!J396),".","@",LEN(TRIM('Base de Datos'!J396))-LEN(SUBSTITUTE(TRIM('Base de Datos'!J396),".","")))),0),_xlfn.NUMBERVALUE(SUBSTITUTE(SUBSTITUTE(TRIM('Base de Datos'!J396),".",""),",","."),".",","),_xlfn.NUMBERVALUE(SUBSTITUTE(TRIM('Base de Datos'!J396),",",""),".",",")),"")))</f>
        <v/>
      </c>
      <c r="AH400" s="73" t="str">
        <f aca="false">IF(ISNUMBER(AI400),IF(ISNUMBER('Base de Datos'!Q396),IF('Base de Datos'!Q396&gt;20000,DATE(YEAR('Base de Datos'!Q396),DAY('Base de Datos'!Q396),MONTH('Base de Datos'!Q396)),""),IF(TRIM('Base de Datos'!Q396)="","",IFERROR(DATE(VALUE(RIGHT(TRIM('Base de Datos'!Q396),4)),VALUE(LEFT(TRIM('Base de Datos'!Q396),2)),VALUE(MID(TRIM('Base de Datos'!Q396),4,2))),""))),"")</f>
        <v/>
      </c>
      <c r="AI400" s="74" t="str">
        <f aca="false">IF(ISNUMBER('Base de Datos'!R396),'Base de Datos'!R396,IF(TRIM('Base de Datos'!R396)="","",IFERROR(IF(IFERROR(FIND("@",SUBSTITUTE(TRIM('Base de Datos'!R396),",","@",LEN(TRIM('Base de Datos'!R396))-LEN(SUBSTITUTE(TRIM('Base de Datos'!R396),",","")))),0)&gt;IFERROR(FIND("@",SUBSTITUTE(TRIM('Base de Datos'!R396),".","@",LEN(TRIM('Base de Datos'!R396))-LEN(SUBSTITUTE(TRIM('Base de Datos'!R396),".","")))),0),_xlfn.NUMBERVALUE(SUBSTITUTE(SUBSTITUTE(TRIM('Base de Datos'!R396),".",""),",","."),".",","),_xlfn.NUMBERVALUE(SUBSTITUTE(TRIM('Base de Datos'!R396),",",""),".",",")),"")))</f>
        <v/>
      </c>
      <c r="AJ400" s="73" t="str">
        <f aca="false">IF(ISNUMBER(AK400),IF(ISNUMBER('Base de Datos'!Y396),IF('Base de Datos'!Y396&gt;20000,INT('Base de Datos'!Y396),""),IF(TRIM('Base de Datos'!Y396)="","",IFERROR(DATE(VALUE(RIGHT(TRIM('Base de Datos'!Y396),4)),VALUE(MID(TRIM('Base de Datos'!Y396),4,2)),VALUE(LEFT(TRIM('Base de Datos'!Y396),2))),IFERROR(DATEVALUE(TRIM('Base de Datos'!Y396)),"")))),"")</f>
        <v/>
      </c>
      <c r="AK400" s="74" t="str">
        <f aca="false">IF(ISNUMBER('Base de Datos'!Z396),'Base de Datos'!Z396,IF(TRIM('Base de Datos'!Z396)="","",IFERROR(IF(IFERROR(FIND("@",SUBSTITUTE(TRIM('Base de Datos'!Z396),",","@",LEN(TRIM('Base de Datos'!Z396))-LEN(SUBSTITUTE(TRIM('Base de Datos'!Z396),",","")))),0)&gt;IFERROR(FIND("@",SUBSTITUTE(TRIM('Base de Datos'!Z396),".","@",LEN(TRIM('Base de Datos'!Z396))-LEN(SUBSTITUTE(TRIM('Base de Datos'!Z396),".","")))),0),_xlfn.NUMBERVALUE(SUBSTITUTE(SUBSTITUTE(TRIM('Base de Datos'!Z396),".",""),",","."),".",","),_xlfn.NUMBERVALUE(SUBSTITUTE(TRIM('Base de Datos'!Z396),",",""),".",",")),"")))</f>
        <v/>
      </c>
    </row>
    <row r="401" customFormat="false" ht="13.5" hidden="false" customHeight="false" outlineLevel="0" collapsed="false">
      <c r="A401" s="75" t="n">
        <f aca="false">ROWS(A$13:A401)</f>
        <v>389</v>
      </c>
      <c r="B401" s="73" t="str">
        <f aca="false">IF(B400="","",IFERROR(SMALL($AH$10:$AH$409,COUNTIF($AH$10:$AH$409,"&lt;="&amp;B400)+1),""))</f>
        <v/>
      </c>
      <c r="C401" s="74" t="str">
        <f aca="false">IF(B401="","",INDEX($AI$10:$AI$409,MATCH(B401,$AH$10:$AH$409,0)))</f>
        <v/>
      </c>
      <c r="D401" s="74" t="str">
        <f aca="false">IF(B401="","",IFERROR(INDEX($AK$10:$AK$409,MATCH(B401,$AJ$10:$AJ$409,0)),""))</f>
        <v/>
      </c>
      <c r="E401" s="76" t="str">
        <f aca="false">IF(AND(ISNUMBER(C401),ISNUMBER(C400)),C401/C400-1,"")</f>
        <v/>
      </c>
      <c r="F401" s="76" t="str">
        <f aca="false">IF(AND(ISNUMBER(D401),ISNUMBER(D400)),D401/D400-1,"")</f>
        <v/>
      </c>
      <c r="G401" s="75" t="str">
        <f aca="false">IF(AND(ISNUMBER(E401),ISNUMBER(F401)),1,"")</f>
        <v/>
      </c>
      <c r="H401" s="75" t="str">
        <f aca="false">IF(G401=1,COUNT(G401:G$412),"")</f>
        <v/>
      </c>
      <c r="I401" s="75" t="str">
        <f aca="false">IF(G401=1,IF(H401&lt;='Beta Regresión'!$B$5,1,""),"")</f>
        <v/>
      </c>
      <c r="J401" s="76" t="str">
        <f aca="false">IF(I401=1,E401,"")</f>
        <v/>
      </c>
      <c r="K401" s="76" t="str">
        <f aca="false">IF(I401=1,F401,"")</f>
        <v/>
      </c>
      <c r="L401" s="75" t="str">
        <f aca="false">IF(I401=1,COUNT(I$13:I401),"")</f>
        <v/>
      </c>
      <c r="M401" s="76" t="str">
        <f aca="false">IFERROR(INDEX($J$13:$J$412,MATCH(A401,$L$13:$L$412,0)),"")</f>
        <v/>
      </c>
      <c r="N401" s="76" t="str">
        <f aca="false">IFERROR(INDEX($K$13:$K$412,MATCH(A401,$L$13:$L$412,0)),"")</f>
        <v/>
      </c>
      <c r="O401" s="76" t="e">
        <f aca="false">IF(I401=1,E401,NA())</f>
        <v>#N/A</v>
      </c>
      <c r="P401" s="76" t="e">
        <f aca="false">IF(I401=1,F401,NA())</f>
        <v>#N/A</v>
      </c>
      <c r="R401" s="75" t="n">
        <f aca="false">ROWS(R$13:R401)</f>
        <v>389</v>
      </c>
      <c r="S401" s="73" t="str">
        <f aca="false">IF(S400="","",IFERROR(SMALL($AD$10:$AD$509,COUNTIF($AD$10:$AD$509,"&lt;="&amp;S400)+1),""))</f>
        <v/>
      </c>
      <c r="T401" s="74" t="str">
        <f aca="false">IF(S401="","",INDEX($AE$10:$AE$509,MATCH(S401,$AD$10:$AD$509,0)))</f>
        <v/>
      </c>
      <c r="U401" s="74" t="str">
        <f aca="false">IF(S401="","",IFERROR(INDEX($AG$10:$AG$509,MATCH(S401,$AF$10:$AF$509,0)),""))</f>
        <v/>
      </c>
      <c r="V401" s="76" t="str">
        <f aca="false">IF(AND(ISNUMBER(T401),ISNUMBER(T400)),T401/T400-1,"")</f>
        <v/>
      </c>
      <c r="W401" s="76" t="str">
        <f aca="false">IF(AND(ISNUMBER(U401),ISNUMBER(U400)),U401/U400-1,"")</f>
        <v/>
      </c>
      <c r="X401" s="75" t="str">
        <f aca="false">IF(AND(ISNUMBER(V401),ISNUMBER(W401)),1,"")</f>
        <v/>
      </c>
      <c r="Y401" s="76" t="str">
        <f aca="false">IF(X401=1,V401,"")</f>
        <v/>
      </c>
      <c r="Z401" s="76" t="str">
        <f aca="false">IF(X401=1,W401,"")</f>
        <v/>
      </c>
      <c r="AA401" s="76" t="e">
        <f aca="false">IF(X401=1,V401,NA())</f>
        <v>#N/A</v>
      </c>
      <c r="AB401" s="76" t="e">
        <f aca="false">IF(X401=1,W401,NA())</f>
        <v>#N/A</v>
      </c>
      <c r="AD401" s="73" t="str">
        <f aca="false">IF(ISNUMBER(AE401),IF(ISNUMBER('Base de Datos'!A397),IF('Base de Datos'!A397&gt;20000,DATE(YEAR('Base de Datos'!A397),DAY('Base de Datos'!A397),MONTH('Base de Datos'!A397)),""),IF(TRIM('Base de Datos'!A397)="","",IFERROR(DATE(VALUE(RIGHT(TRIM('Base de Datos'!A397),4)),VALUE(LEFT(TRIM('Base de Datos'!A397),2)),VALUE(MID(TRIM('Base de Datos'!A397),4,2))),""))),"")</f>
        <v/>
      </c>
      <c r="AE401" s="74" t="str">
        <f aca="false">IF(ISNUMBER('Base de Datos'!B397),'Base de Datos'!B397,IF(TRIM('Base de Datos'!B397)="","",IFERROR(IF(IFERROR(FIND("@",SUBSTITUTE(TRIM('Base de Datos'!B397),",","@",LEN(TRIM('Base de Datos'!B397))-LEN(SUBSTITUTE(TRIM('Base de Datos'!B397),",","")))),0)&gt;IFERROR(FIND("@",SUBSTITUTE(TRIM('Base de Datos'!B397),".","@",LEN(TRIM('Base de Datos'!B397))-LEN(SUBSTITUTE(TRIM('Base de Datos'!B397),".","")))),0),_xlfn.NUMBERVALUE(SUBSTITUTE(SUBSTITUTE(TRIM('Base de Datos'!B397),".",""),",","."),".",","),_xlfn.NUMBERVALUE(SUBSTITUTE(TRIM('Base de Datos'!B397),",",""),".",",")),"")))</f>
        <v/>
      </c>
      <c r="AF401" s="73" t="str">
        <f aca="false">IF(ISNUMBER(AG401),IF(ISNUMBER('Base de Datos'!I397),IF('Base de Datos'!I397&gt;20000,INT('Base de Datos'!I397),""),IF(TRIM('Base de Datos'!I397)="","",IFERROR(DATE(VALUE(RIGHT(TRIM('Base de Datos'!I397),4)),VALUE(MID(TRIM('Base de Datos'!I397),4,2)),VALUE(LEFT(TRIM('Base de Datos'!I397),2))),IFERROR(DATEVALUE(TRIM('Base de Datos'!I397)),"")))),"")</f>
        <v/>
      </c>
      <c r="AG401" s="74" t="str">
        <f aca="false">IF(ISNUMBER('Base de Datos'!J397),'Base de Datos'!J397,IF(TRIM('Base de Datos'!J397)="","",IFERROR(IF(IFERROR(FIND("@",SUBSTITUTE(TRIM('Base de Datos'!J397),",","@",LEN(TRIM('Base de Datos'!J397))-LEN(SUBSTITUTE(TRIM('Base de Datos'!J397),",","")))),0)&gt;IFERROR(FIND("@",SUBSTITUTE(TRIM('Base de Datos'!J397),".","@",LEN(TRIM('Base de Datos'!J397))-LEN(SUBSTITUTE(TRIM('Base de Datos'!J397),".","")))),0),_xlfn.NUMBERVALUE(SUBSTITUTE(SUBSTITUTE(TRIM('Base de Datos'!J397),".",""),",","."),".",","),_xlfn.NUMBERVALUE(SUBSTITUTE(TRIM('Base de Datos'!J397),",",""),".",",")),"")))</f>
        <v/>
      </c>
      <c r="AH401" s="73" t="str">
        <f aca="false">IF(ISNUMBER(AI401),IF(ISNUMBER('Base de Datos'!Q397),IF('Base de Datos'!Q397&gt;20000,DATE(YEAR('Base de Datos'!Q397),DAY('Base de Datos'!Q397),MONTH('Base de Datos'!Q397)),""),IF(TRIM('Base de Datos'!Q397)="","",IFERROR(DATE(VALUE(RIGHT(TRIM('Base de Datos'!Q397),4)),VALUE(LEFT(TRIM('Base de Datos'!Q397),2)),VALUE(MID(TRIM('Base de Datos'!Q397),4,2))),""))),"")</f>
        <v/>
      </c>
      <c r="AI401" s="74" t="str">
        <f aca="false">IF(ISNUMBER('Base de Datos'!R397),'Base de Datos'!R397,IF(TRIM('Base de Datos'!R397)="","",IFERROR(IF(IFERROR(FIND("@",SUBSTITUTE(TRIM('Base de Datos'!R397),",","@",LEN(TRIM('Base de Datos'!R397))-LEN(SUBSTITUTE(TRIM('Base de Datos'!R397),",","")))),0)&gt;IFERROR(FIND("@",SUBSTITUTE(TRIM('Base de Datos'!R397),".","@",LEN(TRIM('Base de Datos'!R397))-LEN(SUBSTITUTE(TRIM('Base de Datos'!R397),".","")))),0),_xlfn.NUMBERVALUE(SUBSTITUTE(SUBSTITUTE(TRIM('Base de Datos'!R397),".",""),",","."),".",","),_xlfn.NUMBERVALUE(SUBSTITUTE(TRIM('Base de Datos'!R397),",",""),".",",")),"")))</f>
        <v/>
      </c>
      <c r="AJ401" s="73" t="str">
        <f aca="false">IF(ISNUMBER(AK401),IF(ISNUMBER('Base de Datos'!Y397),IF('Base de Datos'!Y397&gt;20000,INT('Base de Datos'!Y397),""),IF(TRIM('Base de Datos'!Y397)="","",IFERROR(DATE(VALUE(RIGHT(TRIM('Base de Datos'!Y397),4)),VALUE(MID(TRIM('Base de Datos'!Y397),4,2)),VALUE(LEFT(TRIM('Base de Datos'!Y397),2))),IFERROR(DATEVALUE(TRIM('Base de Datos'!Y397)),"")))),"")</f>
        <v/>
      </c>
      <c r="AK401" s="74" t="str">
        <f aca="false">IF(ISNUMBER('Base de Datos'!Z397),'Base de Datos'!Z397,IF(TRIM('Base de Datos'!Z397)="","",IFERROR(IF(IFERROR(FIND("@",SUBSTITUTE(TRIM('Base de Datos'!Z397),",","@",LEN(TRIM('Base de Datos'!Z397))-LEN(SUBSTITUTE(TRIM('Base de Datos'!Z397),",","")))),0)&gt;IFERROR(FIND("@",SUBSTITUTE(TRIM('Base de Datos'!Z397),".","@",LEN(TRIM('Base de Datos'!Z397))-LEN(SUBSTITUTE(TRIM('Base de Datos'!Z397),".","")))),0),_xlfn.NUMBERVALUE(SUBSTITUTE(SUBSTITUTE(TRIM('Base de Datos'!Z397),".",""),",","."),".",","),_xlfn.NUMBERVALUE(SUBSTITUTE(TRIM('Base de Datos'!Z397),",",""),".",",")),"")))</f>
        <v/>
      </c>
    </row>
    <row r="402" customFormat="false" ht="13.5" hidden="false" customHeight="false" outlineLevel="0" collapsed="false">
      <c r="A402" s="75" t="n">
        <f aca="false">ROWS(A$13:A402)</f>
        <v>390</v>
      </c>
      <c r="B402" s="73" t="str">
        <f aca="false">IF(B401="","",IFERROR(SMALL($AH$10:$AH$409,COUNTIF($AH$10:$AH$409,"&lt;="&amp;B401)+1),""))</f>
        <v/>
      </c>
      <c r="C402" s="74" t="str">
        <f aca="false">IF(B402="","",INDEX($AI$10:$AI$409,MATCH(B402,$AH$10:$AH$409,0)))</f>
        <v/>
      </c>
      <c r="D402" s="74" t="str">
        <f aca="false">IF(B402="","",IFERROR(INDEX($AK$10:$AK$409,MATCH(B402,$AJ$10:$AJ$409,0)),""))</f>
        <v/>
      </c>
      <c r="E402" s="76" t="str">
        <f aca="false">IF(AND(ISNUMBER(C402),ISNUMBER(C401)),C402/C401-1,"")</f>
        <v/>
      </c>
      <c r="F402" s="76" t="str">
        <f aca="false">IF(AND(ISNUMBER(D402),ISNUMBER(D401)),D402/D401-1,"")</f>
        <v/>
      </c>
      <c r="G402" s="75" t="str">
        <f aca="false">IF(AND(ISNUMBER(E402),ISNUMBER(F402)),1,"")</f>
        <v/>
      </c>
      <c r="H402" s="75" t="str">
        <f aca="false">IF(G402=1,COUNT(G402:G$412),"")</f>
        <v/>
      </c>
      <c r="I402" s="75" t="str">
        <f aca="false">IF(G402=1,IF(H402&lt;='Beta Regresión'!$B$5,1,""),"")</f>
        <v/>
      </c>
      <c r="J402" s="76" t="str">
        <f aca="false">IF(I402=1,E402,"")</f>
        <v/>
      </c>
      <c r="K402" s="76" t="str">
        <f aca="false">IF(I402=1,F402,"")</f>
        <v/>
      </c>
      <c r="L402" s="75" t="str">
        <f aca="false">IF(I402=1,COUNT(I$13:I402),"")</f>
        <v/>
      </c>
      <c r="M402" s="76" t="str">
        <f aca="false">IFERROR(INDEX($J$13:$J$412,MATCH(A402,$L$13:$L$412,0)),"")</f>
        <v/>
      </c>
      <c r="N402" s="76" t="str">
        <f aca="false">IFERROR(INDEX($K$13:$K$412,MATCH(A402,$L$13:$L$412,0)),"")</f>
        <v/>
      </c>
      <c r="O402" s="76" t="e">
        <f aca="false">IF(I402=1,E402,NA())</f>
        <v>#N/A</v>
      </c>
      <c r="P402" s="76" t="e">
        <f aca="false">IF(I402=1,F402,NA())</f>
        <v>#N/A</v>
      </c>
      <c r="R402" s="75" t="n">
        <f aca="false">ROWS(R$13:R402)</f>
        <v>390</v>
      </c>
      <c r="S402" s="73" t="str">
        <f aca="false">IF(S401="","",IFERROR(SMALL($AD$10:$AD$509,COUNTIF($AD$10:$AD$509,"&lt;="&amp;S401)+1),""))</f>
        <v/>
      </c>
      <c r="T402" s="74" t="str">
        <f aca="false">IF(S402="","",INDEX($AE$10:$AE$509,MATCH(S402,$AD$10:$AD$509,0)))</f>
        <v/>
      </c>
      <c r="U402" s="74" t="str">
        <f aca="false">IF(S402="","",IFERROR(INDEX($AG$10:$AG$509,MATCH(S402,$AF$10:$AF$509,0)),""))</f>
        <v/>
      </c>
      <c r="V402" s="76" t="str">
        <f aca="false">IF(AND(ISNUMBER(T402),ISNUMBER(T401)),T402/T401-1,"")</f>
        <v/>
      </c>
      <c r="W402" s="76" t="str">
        <f aca="false">IF(AND(ISNUMBER(U402),ISNUMBER(U401)),U402/U401-1,"")</f>
        <v/>
      </c>
      <c r="X402" s="75" t="str">
        <f aca="false">IF(AND(ISNUMBER(V402),ISNUMBER(W402)),1,"")</f>
        <v/>
      </c>
      <c r="Y402" s="76" t="str">
        <f aca="false">IF(X402=1,V402,"")</f>
        <v/>
      </c>
      <c r="Z402" s="76" t="str">
        <f aca="false">IF(X402=1,W402,"")</f>
        <v/>
      </c>
      <c r="AA402" s="76" t="e">
        <f aca="false">IF(X402=1,V402,NA())</f>
        <v>#N/A</v>
      </c>
      <c r="AB402" s="76" t="e">
        <f aca="false">IF(X402=1,W402,NA())</f>
        <v>#N/A</v>
      </c>
      <c r="AD402" s="73" t="str">
        <f aca="false">IF(ISNUMBER(AE402),IF(ISNUMBER('Base de Datos'!A398),IF('Base de Datos'!A398&gt;20000,DATE(YEAR('Base de Datos'!A398),DAY('Base de Datos'!A398),MONTH('Base de Datos'!A398)),""),IF(TRIM('Base de Datos'!A398)="","",IFERROR(DATE(VALUE(RIGHT(TRIM('Base de Datos'!A398),4)),VALUE(LEFT(TRIM('Base de Datos'!A398),2)),VALUE(MID(TRIM('Base de Datos'!A398),4,2))),""))),"")</f>
        <v/>
      </c>
      <c r="AE402" s="74" t="str">
        <f aca="false">IF(ISNUMBER('Base de Datos'!B398),'Base de Datos'!B398,IF(TRIM('Base de Datos'!B398)="","",IFERROR(IF(IFERROR(FIND("@",SUBSTITUTE(TRIM('Base de Datos'!B398),",","@",LEN(TRIM('Base de Datos'!B398))-LEN(SUBSTITUTE(TRIM('Base de Datos'!B398),",","")))),0)&gt;IFERROR(FIND("@",SUBSTITUTE(TRIM('Base de Datos'!B398),".","@",LEN(TRIM('Base de Datos'!B398))-LEN(SUBSTITUTE(TRIM('Base de Datos'!B398),".","")))),0),_xlfn.NUMBERVALUE(SUBSTITUTE(SUBSTITUTE(TRIM('Base de Datos'!B398),".",""),",","."),".",","),_xlfn.NUMBERVALUE(SUBSTITUTE(TRIM('Base de Datos'!B398),",",""),".",",")),"")))</f>
        <v/>
      </c>
      <c r="AF402" s="73" t="str">
        <f aca="false">IF(ISNUMBER(AG402),IF(ISNUMBER('Base de Datos'!I398),IF('Base de Datos'!I398&gt;20000,INT('Base de Datos'!I398),""),IF(TRIM('Base de Datos'!I398)="","",IFERROR(DATE(VALUE(RIGHT(TRIM('Base de Datos'!I398),4)),VALUE(MID(TRIM('Base de Datos'!I398),4,2)),VALUE(LEFT(TRIM('Base de Datos'!I398),2))),IFERROR(DATEVALUE(TRIM('Base de Datos'!I398)),"")))),"")</f>
        <v/>
      </c>
      <c r="AG402" s="74" t="str">
        <f aca="false">IF(ISNUMBER('Base de Datos'!J398),'Base de Datos'!J398,IF(TRIM('Base de Datos'!J398)="","",IFERROR(IF(IFERROR(FIND("@",SUBSTITUTE(TRIM('Base de Datos'!J398),",","@",LEN(TRIM('Base de Datos'!J398))-LEN(SUBSTITUTE(TRIM('Base de Datos'!J398),",","")))),0)&gt;IFERROR(FIND("@",SUBSTITUTE(TRIM('Base de Datos'!J398),".","@",LEN(TRIM('Base de Datos'!J398))-LEN(SUBSTITUTE(TRIM('Base de Datos'!J398),".","")))),0),_xlfn.NUMBERVALUE(SUBSTITUTE(SUBSTITUTE(TRIM('Base de Datos'!J398),".",""),",","."),".",","),_xlfn.NUMBERVALUE(SUBSTITUTE(TRIM('Base de Datos'!J398),",",""),".",",")),"")))</f>
        <v/>
      </c>
      <c r="AH402" s="73" t="str">
        <f aca="false">IF(ISNUMBER(AI402),IF(ISNUMBER('Base de Datos'!Q398),IF('Base de Datos'!Q398&gt;20000,DATE(YEAR('Base de Datos'!Q398),DAY('Base de Datos'!Q398),MONTH('Base de Datos'!Q398)),""),IF(TRIM('Base de Datos'!Q398)="","",IFERROR(DATE(VALUE(RIGHT(TRIM('Base de Datos'!Q398),4)),VALUE(LEFT(TRIM('Base de Datos'!Q398),2)),VALUE(MID(TRIM('Base de Datos'!Q398),4,2))),""))),"")</f>
        <v/>
      </c>
      <c r="AI402" s="74" t="str">
        <f aca="false">IF(ISNUMBER('Base de Datos'!R398),'Base de Datos'!R398,IF(TRIM('Base de Datos'!R398)="","",IFERROR(IF(IFERROR(FIND("@",SUBSTITUTE(TRIM('Base de Datos'!R398),",","@",LEN(TRIM('Base de Datos'!R398))-LEN(SUBSTITUTE(TRIM('Base de Datos'!R398),",","")))),0)&gt;IFERROR(FIND("@",SUBSTITUTE(TRIM('Base de Datos'!R398),".","@",LEN(TRIM('Base de Datos'!R398))-LEN(SUBSTITUTE(TRIM('Base de Datos'!R398),".","")))),0),_xlfn.NUMBERVALUE(SUBSTITUTE(SUBSTITUTE(TRIM('Base de Datos'!R398),".",""),",","."),".",","),_xlfn.NUMBERVALUE(SUBSTITUTE(TRIM('Base de Datos'!R398),",",""),".",",")),"")))</f>
        <v/>
      </c>
      <c r="AJ402" s="73" t="str">
        <f aca="false">IF(ISNUMBER(AK402),IF(ISNUMBER('Base de Datos'!Y398),IF('Base de Datos'!Y398&gt;20000,INT('Base de Datos'!Y398),""),IF(TRIM('Base de Datos'!Y398)="","",IFERROR(DATE(VALUE(RIGHT(TRIM('Base de Datos'!Y398),4)),VALUE(MID(TRIM('Base de Datos'!Y398),4,2)),VALUE(LEFT(TRIM('Base de Datos'!Y398),2))),IFERROR(DATEVALUE(TRIM('Base de Datos'!Y398)),"")))),"")</f>
        <v/>
      </c>
      <c r="AK402" s="74" t="str">
        <f aca="false">IF(ISNUMBER('Base de Datos'!Z398),'Base de Datos'!Z398,IF(TRIM('Base de Datos'!Z398)="","",IFERROR(IF(IFERROR(FIND("@",SUBSTITUTE(TRIM('Base de Datos'!Z398),",","@",LEN(TRIM('Base de Datos'!Z398))-LEN(SUBSTITUTE(TRIM('Base de Datos'!Z398),",","")))),0)&gt;IFERROR(FIND("@",SUBSTITUTE(TRIM('Base de Datos'!Z398),".","@",LEN(TRIM('Base de Datos'!Z398))-LEN(SUBSTITUTE(TRIM('Base de Datos'!Z398),".","")))),0),_xlfn.NUMBERVALUE(SUBSTITUTE(SUBSTITUTE(TRIM('Base de Datos'!Z398),".",""),",","."),".",","),_xlfn.NUMBERVALUE(SUBSTITUTE(TRIM('Base de Datos'!Z398),",",""),".",",")),"")))</f>
        <v/>
      </c>
    </row>
    <row r="403" customFormat="false" ht="13.5" hidden="false" customHeight="false" outlineLevel="0" collapsed="false">
      <c r="A403" s="75" t="n">
        <f aca="false">ROWS(A$13:A403)</f>
        <v>391</v>
      </c>
      <c r="B403" s="73" t="str">
        <f aca="false">IF(B402="","",IFERROR(SMALL($AH$10:$AH$409,COUNTIF($AH$10:$AH$409,"&lt;="&amp;B402)+1),""))</f>
        <v/>
      </c>
      <c r="C403" s="74" t="str">
        <f aca="false">IF(B403="","",INDEX($AI$10:$AI$409,MATCH(B403,$AH$10:$AH$409,0)))</f>
        <v/>
      </c>
      <c r="D403" s="74" t="str">
        <f aca="false">IF(B403="","",IFERROR(INDEX($AK$10:$AK$409,MATCH(B403,$AJ$10:$AJ$409,0)),""))</f>
        <v/>
      </c>
      <c r="E403" s="76" t="str">
        <f aca="false">IF(AND(ISNUMBER(C403),ISNUMBER(C402)),C403/C402-1,"")</f>
        <v/>
      </c>
      <c r="F403" s="76" t="str">
        <f aca="false">IF(AND(ISNUMBER(D403),ISNUMBER(D402)),D403/D402-1,"")</f>
        <v/>
      </c>
      <c r="G403" s="75" t="str">
        <f aca="false">IF(AND(ISNUMBER(E403),ISNUMBER(F403)),1,"")</f>
        <v/>
      </c>
      <c r="H403" s="75" t="str">
        <f aca="false">IF(G403=1,COUNT(G403:G$412),"")</f>
        <v/>
      </c>
      <c r="I403" s="75" t="str">
        <f aca="false">IF(G403=1,IF(H403&lt;='Beta Regresión'!$B$5,1,""),"")</f>
        <v/>
      </c>
      <c r="J403" s="76" t="str">
        <f aca="false">IF(I403=1,E403,"")</f>
        <v/>
      </c>
      <c r="K403" s="76" t="str">
        <f aca="false">IF(I403=1,F403,"")</f>
        <v/>
      </c>
      <c r="L403" s="75" t="str">
        <f aca="false">IF(I403=1,COUNT(I$13:I403),"")</f>
        <v/>
      </c>
      <c r="M403" s="76" t="str">
        <f aca="false">IFERROR(INDEX($J$13:$J$412,MATCH(A403,$L$13:$L$412,0)),"")</f>
        <v/>
      </c>
      <c r="N403" s="76" t="str">
        <f aca="false">IFERROR(INDEX($K$13:$K$412,MATCH(A403,$L$13:$L$412,0)),"")</f>
        <v/>
      </c>
      <c r="O403" s="76" t="e">
        <f aca="false">IF(I403=1,E403,NA())</f>
        <v>#N/A</v>
      </c>
      <c r="P403" s="76" t="e">
        <f aca="false">IF(I403=1,F403,NA())</f>
        <v>#N/A</v>
      </c>
      <c r="R403" s="75" t="n">
        <f aca="false">ROWS(R$13:R403)</f>
        <v>391</v>
      </c>
      <c r="S403" s="73" t="str">
        <f aca="false">IF(S402="","",IFERROR(SMALL($AD$10:$AD$509,COUNTIF($AD$10:$AD$509,"&lt;="&amp;S402)+1),""))</f>
        <v/>
      </c>
      <c r="T403" s="74" t="str">
        <f aca="false">IF(S403="","",INDEX($AE$10:$AE$509,MATCH(S403,$AD$10:$AD$509,0)))</f>
        <v/>
      </c>
      <c r="U403" s="74" t="str">
        <f aca="false">IF(S403="","",IFERROR(INDEX($AG$10:$AG$509,MATCH(S403,$AF$10:$AF$509,0)),""))</f>
        <v/>
      </c>
      <c r="V403" s="76" t="str">
        <f aca="false">IF(AND(ISNUMBER(T403),ISNUMBER(T402)),T403/T402-1,"")</f>
        <v/>
      </c>
      <c r="W403" s="76" t="str">
        <f aca="false">IF(AND(ISNUMBER(U403),ISNUMBER(U402)),U403/U402-1,"")</f>
        <v/>
      </c>
      <c r="X403" s="75" t="str">
        <f aca="false">IF(AND(ISNUMBER(V403),ISNUMBER(W403)),1,"")</f>
        <v/>
      </c>
      <c r="Y403" s="76" t="str">
        <f aca="false">IF(X403=1,V403,"")</f>
        <v/>
      </c>
      <c r="Z403" s="76" t="str">
        <f aca="false">IF(X403=1,W403,"")</f>
        <v/>
      </c>
      <c r="AA403" s="76" t="e">
        <f aca="false">IF(X403=1,V403,NA())</f>
        <v>#N/A</v>
      </c>
      <c r="AB403" s="76" t="e">
        <f aca="false">IF(X403=1,W403,NA())</f>
        <v>#N/A</v>
      </c>
      <c r="AD403" s="73" t="str">
        <f aca="false">IF(ISNUMBER(AE403),IF(ISNUMBER('Base de Datos'!A399),IF('Base de Datos'!A399&gt;20000,DATE(YEAR('Base de Datos'!A399),DAY('Base de Datos'!A399),MONTH('Base de Datos'!A399)),""),IF(TRIM('Base de Datos'!A399)="","",IFERROR(DATE(VALUE(RIGHT(TRIM('Base de Datos'!A399),4)),VALUE(LEFT(TRIM('Base de Datos'!A399),2)),VALUE(MID(TRIM('Base de Datos'!A399),4,2))),""))),"")</f>
        <v/>
      </c>
      <c r="AE403" s="74" t="str">
        <f aca="false">IF(ISNUMBER('Base de Datos'!B399),'Base de Datos'!B399,IF(TRIM('Base de Datos'!B399)="","",IFERROR(IF(IFERROR(FIND("@",SUBSTITUTE(TRIM('Base de Datos'!B399),",","@",LEN(TRIM('Base de Datos'!B399))-LEN(SUBSTITUTE(TRIM('Base de Datos'!B399),",","")))),0)&gt;IFERROR(FIND("@",SUBSTITUTE(TRIM('Base de Datos'!B399),".","@",LEN(TRIM('Base de Datos'!B399))-LEN(SUBSTITUTE(TRIM('Base de Datos'!B399),".","")))),0),_xlfn.NUMBERVALUE(SUBSTITUTE(SUBSTITUTE(TRIM('Base de Datos'!B399),".",""),",","."),".",","),_xlfn.NUMBERVALUE(SUBSTITUTE(TRIM('Base de Datos'!B399),",",""),".",",")),"")))</f>
        <v/>
      </c>
      <c r="AF403" s="73" t="str">
        <f aca="false">IF(ISNUMBER(AG403),IF(ISNUMBER('Base de Datos'!I399),IF('Base de Datos'!I399&gt;20000,INT('Base de Datos'!I399),""),IF(TRIM('Base de Datos'!I399)="","",IFERROR(DATE(VALUE(RIGHT(TRIM('Base de Datos'!I399),4)),VALUE(MID(TRIM('Base de Datos'!I399),4,2)),VALUE(LEFT(TRIM('Base de Datos'!I399),2))),IFERROR(DATEVALUE(TRIM('Base de Datos'!I399)),"")))),"")</f>
        <v/>
      </c>
      <c r="AG403" s="74" t="str">
        <f aca="false">IF(ISNUMBER('Base de Datos'!J399),'Base de Datos'!J399,IF(TRIM('Base de Datos'!J399)="","",IFERROR(IF(IFERROR(FIND("@",SUBSTITUTE(TRIM('Base de Datos'!J399),",","@",LEN(TRIM('Base de Datos'!J399))-LEN(SUBSTITUTE(TRIM('Base de Datos'!J399),",","")))),0)&gt;IFERROR(FIND("@",SUBSTITUTE(TRIM('Base de Datos'!J399),".","@",LEN(TRIM('Base de Datos'!J399))-LEN(SUBSTITUTE(TRIM('Base de Datos'!J399),".","")))),0),_xlfn.NUMBERVALUE(SUBSTITUTE(SUBSTITUTE(TRIM('Base de Datos'!J399),".",""),",","."),".",","),_xlfn.NUMBERVALUE(SUBSTITUTE(TRIM('Base de Datos'!J399),",",""),".",",")),"")))</f>
        <v/>
      </c>
      <c r="AH403" s="73" t="str">
        <f aca="false">IF(ISNUMBER(AI403),IF(ISNUMBER('Base de Datos'!Q399),IF('Base de Datos'!Q399&gt;20000,DATE(YEAR('Base de Datos'!Q399),DAY('Base de Datos'!Q399),MONTH('Base de Datos'!Q399)),""),IF(TRIM('Base de Datos'!Q399)="","",IFERROR(DATE(VALUE(RIGHT(TRIM('Base de Datos'!Q399),4)),VALUE(LEFT(TRIM('Base de Datos'!Q399),2)),VALUE(MID(TRIM('Base de Datos'!Q399),4,2))),""))),"")</f>
        <v/>
      </c>
      <c r="AI403" s="74" t="str">
        <f aca="false">IF(ISNUMBER('Base de Datos'!R399),'Base de Datos'!R399,IF(TRIM('Base de Datos'!R399)="","",IFERROR(IF(IFERROR(FIND("@",SUBSTITUTE(TRIM('Base de Datos'!R399),",","@",LEN(TRIM('Base de Datos'!R399))-LEN(SUBSTITUTE(TRIM('Base de Datos'!R399),",","")))),0)&gt;IFERROR(FIND("@",SUBSTITUTE(TRIM('Base de Datos'!R399),".","@",LEN(TRIM('Base de Datos'!R399))-LEN(SUBSTITUTE(TRIM('Base de Datos'!R399),".","")))),0),_xlfn.NUMBERVALUE(SUBSTITUTE(SUBSTITUTE(TRIM('Base de Datos'!R399),".",""),",","."),".",","),_xlfn.NUMBERVALUE(SUBSTITUTE(TRIM('Base de Datos'!R399),",",""),".",",")),"")))</f>
        <v/>
      </c>
      <c r="AJ403" s="73" t="str">
        <f aca="false">IF(ISNUMBER(AK403),IF(ISNUMBER('Base de Datos'!Y399),IF('Base de Datos'!Y399&gt;20000,INT('Base de Datos'!Y399),""),IF(TRIM('Base de Datos'!Y399)="","",IFERROR(DATE(VALUE(RIGHT(TRIM('Base de Datos'!Y399),4)),VALUE(MID(TRIM('Base de Datos'!Y399),4,2)),VALUE(LEFT(TRIM('Base de Datos'!Y399),2))),IFERROR(DATEVALUE(TRIM('Base de Datos'!Y399)),"")))),"")</f>
        <v/>
      </c>
      <c r="AK403" s="74" t="str">
        <f aca="false">IF(ISNUMBER('Base de Datos'!Z399),'Base de Datos'!Z399,IF(TRIM('Base de Datos'!Z399)="","",IFERROR(IF(IFERROR(FIND("@",SUBSTITUTE(TRIM('Base de Datos'!Z399),",","@",LEN(TRIM('Base de Datos'!Z399))-LEN(SUBSTITUTE(TRIM('Base de Datos'!Z399),",","")))),0)&gt;IFERROR(FIND("@",SUBSTITUTE(TRIM('Base de Datos'!Z399),".","@",LEN(TRIM('Base de Datos'!Z399))-LEN(SUBSTITUTE(TRIM('Base de Datos'!Z399),".","")))),0),_xlfn.NUMBERVALUE(SUBSTITUTE(SUBSTITUTE(TRIM('Base de Datos'!Z399),".",""),",","."),".",","),_xlfn.NUMBERVALUE(SUBSTITUTE(TRIM('Base de Datos'!Z399),",",""),".",",")),"")))</f>
        <v/>
      </c>
    </row>
    <row r="404" customFormat="false" ht="13.5" hidden="false" customHeight="false" outlineLevel="0" collapsed="false">
      <c r="A404" s="75" t="n">
        <f aca="false">ROWS(A$13:A404)</f>
        <v>392</v>
      </c>
      <c r="B404" s="73" t="str">
        <f aca="false">IF(B403="","",IFERROR(SMALL($AH$10:$AH$409,COUNTIF($AH$10:$AH$409,"&lt;="&amp;B403)+1),""))</f>
        <v/>
      </c>
      <c r="C404" s="74" t="str">
        <f aca="false">IF(B404="","",INDEX($AI$10:$AI$409,MATCH(B404,$AH$10:$AH$409,0)))</f>
        <v/>
      </c>
      <c r="D404" s="74" t="str">
        <f aca="false">IF(B404="","",IFERROR(INDEX($AK$10:$AK$409,MATCH(B404,$AJ$10:$AJ$409,0)),""))</f>
        <v/>
      </c>
      <c r="E404" s="76" t="str">
        <f aca="false">IF(AND(ISNUMBER(C404),ISNUMBER(C403)),C404/C403-1,"")</f>
        <v/>
      </c>
      <c r="F404" s="76" t="str">
        <f aca="false">IF(AND(ISNUMBER(D404),ISNUMBER(D403)),D404/D403-1,"")</f>
        <v/>
      </c>
      <c r="G404" s="75" t="str">
        <f aca="false">IF(AND(ISNUMBER(E404),ISNUMBER(F404)),1,"")</f>
        <v/>
      </c>
      <c r="H404" s="75" t="str">
        <f aca="false">IF(G404=1,COUNT(G404:G$412),"")</f>
        <v/>
      </c>
      <c r="I404" s="75" t="str">
        <f aca="false">IF(G404=1,IF(H404&lt;='Beta Regresión'!$B$5,1,""),"")</f>
        <v/>
      </c>
      <c r="J404" s="76" t="str">
        <f aca="false">IF(I404=1,E404,"")</f>
        <v/>
      </c>
      <c r="K404" s="76" t="str">
        <f aca="false">IF(I404=1,F404,"")</f>
        <v/>
      </c>
      <c r="L404" s="75" t="str">
        <f aca="false">IF(I404=1,COUNT(I$13:I404),"")</f>
        <v/>
      </c>
      <c r="M404" s="76" t="str">
        <f aca="false">IFERROR(INDEX($J$13:$J$412,MATCH(A404,$L$13:$L$412,0)),"")</f>
        <v/>
      </c>
      <c r="N404" s="76" t="str">
        <f aca="false">IFERROR(INDEX($K$13:$K$412,MATCH(A404,$L$13:$L$412,0)),"")</f>
        <v/>
      </c>
      <c r="O404" s="76" t="e">
        <f aca="false">IF(I404=1,E404,NA())</f>
        <v>#N/A</v>
      </c>
      <c r="P404" s="76" t="e">
        <f aca="false">IF(I404=1,F404,NA())</f>
        <v>#N/A</v>
      </c>
      <c r="R404" s="75" t="n">
        <f aca="false">ROWS(R$13:R404)</f>
        <v>392</v>
      </c>
      <c r="S404" s="73" t="str">
        <f aca="false">IF(S403="","",IFERROR(SMALL($AD$10:$AD$509,COUNTIF($AD$10:$AD$509,"&lt;="&amp;S403)+1),""))</f>
        <v/>
      </c>
      <c r="T404" s="74" t="str">
        <f aca="false">IF(S404="","",INDEX($AE$10:$AE$509,MATCH(S404,$AD$10:$AD$509,0)))</f>
        <v/>
      </c>
      <c r="U404" s="74" t="str">
        <f aca="false">IF(S404="","",IFERROR(INDEX($AG$10:$AG$509,MATCH(S404,$AF$10:$AF$509,0)),""))</f>
        <v/>
      </c>
      <c r="V404" s="76" t="str">
        <f aca="false">IF(AND(ISNUMBER(T404),ISNUMBER(T403)),T404/T403-1,"")</f>
        <v/>
      </c>
      <c r="W404" s="76" t="str">
        <f aca="false">IF(AND(ISNUMBER(U404),ISNUMBER(U403)),U404/U403-1,"")</f>
        <v/>
      </c>
      <c r="X404" s="75" t="str">
        <f aca="false">IF(AND(ISNUMBER(V404),ISNUMBER(W404)),1,"")</f>
        <v/>
      </c>
      <c r="Y404" s="76" t="str">
        <f aca="false">IF(X404=1,V404,"")</f>
        <v/>
      </c>
      <c r="Z404" s="76" t="str">
        <f aca="false">IF(X404=1,W404,"")</f>
        <v/>
      </c>
      <c r="AA404" s="76" t="e">
        <f aca="false">IF(X404=1,V404,NA())</f>
        <v>#N/A</v>
      </c>
      <c r="AB404" s="76" t="e">
        <f aca="false">IF(X404=1,W404,NA())</f>
        <v>#N/A</v>
      </c>
      <c r="AD404" s="73" t="str">
        <f aca="false">IF(ISNUMBER(AE404),IF(ISNUMBER('Base de Datos'!A400),IF('Base de Datos'!A400&gt;20000,DATE(YEAR('Base de Datos'!A400),DAY('Base de Datos'!A400),MONTH('Base de Datos'!A400)),""),IF(TRIM('Base de Datos'!A400)="","",IFERROR(DATE(VALUE(RIGHT(TRIM('Base de Datos'!A400),4)),VALUE(LEFT(TRIM('Base de Datos'!A400),2)),VALUE(MID(TRIM('Base de Datos'!A400),4,2))),""))),"")</f>
        <v/>
      </c>
      <c r="AE404" s="74" t="str">
        <f aca="false">IF(ISNUMBER('Base de Datos'!B400),'Base de Datos'!B400,IF(TRIM('Base de Datos'!B400)="","",IFERROR(IF(IFERROR(FIND("@",SUBSTITUTE(TRIM('Base de Datos'!B400),",","@",LEN(TRIM('Base de Datos'!B400))-LEN(SUBSTITUTE(TRIM('Base de Datos'!B400),",","")))),0)&gt;IFERROR(FIND("@",SUBSTITUTE(TRIM('Base de Datos'!B400),".","@",LEN(TRIM('Base de Datos'!B400))-LEN(SUBSTITUTE(TRIM('Base de Datos'!B400),".","")))),0),_xlfn.NUMBERVALUE(SUBSTITUTE(SUBSTITUTE(TRIM('Base de Datos'!B400),".",""),",","."),".",","),_xlfn.NUMBERVALUE(SUBSTITUTE(TRIM('Base de Datos'!B400),",",""),".",",")),"")))</f>
        <v/>
      </c>
      <c r="AF404" s="73" t="str">
        <f aca="false">IF(ISNUMBER(AG404),IF(ISNUMBER('Base de Datos'!I400),IF('Base de Datos'!I400&gt;20000,INT('Base de Datos'!I400),""),IF(TRIM('Base de Datos'!I400)="","",IFERROR(DATE(VALUE(RIGHT(TRIM('Base de Datos'!I400),4)),VALUE(MID(TRIM('Base de Datos'!I400),4,2)),VALUE(LEFT(TRIM('Base de Datos'!I400),2))),IFERROR(DATEVALUE(TRIM('Base de Datos'!I400)),"")))),"")</f>
        <v/>
      </c>
      <c r="AG404" s="74" t="str">
        <f aca="false">IF(ISNUMBER('Base de Datos'!J400),'Base de Datos'!J400,IF(TRIM('Base de Datos'!J400)="","",IFERROR(IF(IFERROR(FIND("@",SUBSTITUTE(TRIM('Base de Datos'!J400),",","@",LEN(TRIM('Base de Datos'!J400))-LEN(SUBSTITUTE(TRIM('Base de Datos'!J400),",","")))),0)&gt;IFERROR(FIND("@",SUBSTITUTE(TRIM('Base de Datos'!J400),".","@",LEN(TRIM('Base de Datos'!J400))-LEN(SUBSTITUTE(TRIM('Base de Datos'!J400),".","")))),0),_xlfn.NUMBERVALUE(SUBSTITUTE(SUBSTITUTE(TRIM('Base de Datos'!J400),".",""),",","."),".",","),_xlfn.NUMBERVALUE(SUBSTITUTE(TRIM('Base de Datos'!J400),",",""),".",",")),"")))</f>
        <v/>
      </c>
      <c r="AH404" s="73" t="str">
        <f aca="false">IF(ISNUMBER(AI404),IF(ISNUMBER('Base de Datos'!Q400),IF('Base de Datos'!Q400&gt;20000,DATE(YEAR('Base de Datos'!Q400),DAY('Base de Datos'!Q400),MONTH('Base de Datos'!Q400)),""),IF(TRIM('Base de Datos'!Q400)="","",IFERROR(DATE(VALUE(RIGHT(TRIM('Base de Datos'!Q400),4)),VALUE(LEFT(TRIM('Base de Datos'!Q400),2)),VALUE(MID(TRIM('Base de Datos'!Q400),4,2))),""))),"")</f>
        <v/>
      </c>
      <c r="AI404" s="74" t="str">
        <f aca="false">IF(ISNUMBER('Base de Datos'!R400),'Base de Datos'!R400,IF(TRIM('Base de Datos'!R400)="","",IFERROR(IF(IFERROR(FIND("@",SUBSTITUTE(TRIM('Base de Datos'!R400),",","@",LEN(TRIM('Base de Datos'!R400))-LEN(SUBSTITUTE(TRIM('Base de Datos'!R400),",","")))),0)&gt;IFERROR(FIND("@",SUBSTITUTE(TRIM('Base de Datos'!R400),".","@",LEN(TRIM('Base de Datos'!R400))-LEN(SUBSTITUTE(TRIM('Base de Datos'!R400),".","")))),0),_xlfn.NUMBERVALUE(SUBSTITUTE(SUBSTITUTE(TRIM('Base de Datos'!R400),".",""),",","."),".",","),_xlfn.NUMBERVALUE(SUBSTITUTE(TRIM('Base de Datos'!R400),",",""),".",",")),"")))</f>
        <v/>
      </c>
      <c r="AJ404" s="73" t="str">
        <f aca="false">IF(ISNUMBER(AK404),IF(ISNUMBER('Base de Datos'!Y400),IF('Base de Datos'!Y400&gt;20000,INT('Base de Datos'!Y400),""),IF(TRIM('Base de Datos'!Y400)="","",IFERROR(DATE(VALUE(RIGHT(TRIM('Base de Datos'!Y400),4)),VALUE(MID(TRIM('Base de Datos'!Y400),4,2)),VALUE(LEFT(TRIM('Base de Datos'!Y400),2))),IFERROR(DATEVALUE(TRIM('Base de Datos'!Y400)),"")))),"")</f>
        <v/>
      </c>
      <c r="AK404" s="74" t="str">
        <f aca="false">IF(ISNUMBER('Base de Datos'!Z400),'Base de Datos'!Z400,IF(TRIM('Base de Datos'!Z400)="","",IFERROR(IF(IFERROR(FIND("@",SUBSTITUTE(TRIM('Base de Datos'!Z400),",","@",LEN(TRIM('Base de Datos'!Z400))-LEN(SUBSTITUTE(TRIM('Base de Datos'!Z400),",","")))),0)&gt;IFERROR(FIND("@",SUBSTITUTE(TRIM('Base de Datos'!Z400),".","@",LEN(TRIM('Base de Datos'!Z400))-LEN(SUBSTITUTE(TRIM('Base de Datos'!Z400),".","")))),0),_xlfn.NUMBERVALUE(SUBSTITUTE(SUBSTITUTE(TRIM('Base de Datos'!Z400),".",""),",","."),".",","),_xlfn.NUMBERVALUE(SUBSTITUTE(TRIM('Base de Datos'!Z400),",",""),".",",")),"")))</f>
        <v/>
      </c>
    </row>
    <row r="405" customFormat="false" ht="13.5" hidden="false" customHeight="false" outlineLevel="0" collapsed="false">
      <c r="A405" s="75" t="n">
        <f aca="false">ROWS(A$13:A405)</f>
        <v>393</v>
      </c>
      <c r="B405" s="73" t="str">
        <f aca="false">IF(B404="","",IFERROR(SMALL($AH$10:$AH$409,COUNTIF($AH$10:$AH$409,"&lt;="&amp;B404)+1),""))</f>
        <v/>
      </c>
      <c r="C405" s="74" t="str">
        <f aca="false">IF(B405="","",INDEX($AI$10:$AI$409,MATCH(B405,$AH$10:$AH$409,0)))</f>
        <v/>
      </c>
      <c r="D405" s="74" t="str">
        <f aca="false">IF(B405="","",IFERROR(INDEX($AK$10:$AK$409,MATCH(B405,$AJ$10:$AJ$409,0)),""))</f>
        <v/>
      </c>
      <c r="E405" s="76" t="str">
        <f aca="false">IF(AND(ISNUMBER(C405),ISNUMBER(C404)),C405/C404-1,"")</f>
        <v/>
      </c>
      <c r="F405" s="76" t="str">
        <f aca="false">IF(AND(ISNUMBER(D405),ISNUMBER(D404)),D405/D404-1,"")</f>
        <v/>
      </c>
      <c r="G405" s="75" t="str">
        <f aca="false">IF(AND(ISNUMBER(E405),ISNUMBER(F405)),1,"")</f>
        <v/>
      </c>
      <c r="H405" s="75" t="str">
        <f aca="false">IF(G405=1,COUNT(G405:G$412),"")</f>
        <v/>
      </c>
      <c r="I405" s="75" t="str">
        <f aca="false">IF(G405=1,IF(H405&lt;='Beta Regresión'!$B$5,1,""),"")</f>
        <v/>
      </c>
      <c r="J405" s="76" t="str">
        <f aca="false">IF(I405=1,E405,"")</f>
        <v/>
      </c>
      <c r="K405" s="76" t="str">
        <f aca="false">IF(I405=1,F405,"")</f>
        <v/>
      </c>
      <c r="L405" s="75" t="str">
        <f aca="false">IF(I405=1,COUNT(I$13:I405),"")</f>
        <v/>
      </c>
      <c r="M405" s="76" t="str">
        <f aca="false">IFERROR(INDEX($J$13:$J$412,MATCH(A405,$L$13:$L$412,0)),"")</f>
        <v/>
      </c>
      <c r="N405" s="76" t="str">
        <f aca="false">IFERROR(INDEX($K$13:$K$412,MATCH(A405,$L$13:$L$412,0)),"")</f>
        <v/>
      </c>
      <c r="O405" s="76" t="e">
        <f aca="false">IF(I405=1,E405,NA())</f>
        <v>#N/A</v>
      </c>
      <c r="P405" s="76" t="e">
        <f aca="false">IF(I405=1,F405,NA())</f>
        <v>#N/A</v>
      </c>
      <c r="R405" s="75" t="n">
        <f aca="false">ROWS(R$13:R405)</f>
        <v>393</v>
      </c>
      <c r="S405" s="73" t="str">
        <f aca="false">IF(S404="","",IFERROR(SMALL($AD$10:$AD$509,COUNTIF($AD$10:$AD$509,"&lt;="&amp;S404)+1),""))</f>
        <v/>
      </c>
      <c r="T405" s="74" t="str">
        <f aca="false">IF(S405="","",INDEX($AE$10:$AE$509,MATCH(S405,$AD$10:$AD$509,0)))</f>
        <v/>
      </c>
      <c r="U405" s="74" t="str">
        <f aca="false">IF(S405="","",IFERROR(INDEX($AG$10:$AG$509,MATCH(S405,$AF$10:$AF$509,0)),""))</f>
        <v/>
      </c>
      <c r="V405" s="76" t="str">
        <f aca="false">IF(AND(ISNUMBER(T405),ISNUMBER(T404)),T405/T404-1,"")</f>
        <v/>
      </c>
      <c r="W405" s="76" t="str">
        <f aca="false">IF(AND(ISNUMBER(U405),ISNUMBER(U404)),U405/U404-1,"")</f>
        <v/>
      </c>
      <c r="X405" s="75" t="str">
        <f aca="false">IF(AND(ISNUMBER(V405),ISNUMBER(W405)),1,"")</f>
        <v/>
      </c>
      <c r="Y405" s="76" t="str">
        <f aca="false">IF(X405=1,V405,"")</f>
        <v/>
      </c>
      <c r="Z405" s="76" t="str">
        <f aca="false">IF(X405=1,W405,"")</f>
        <v/>
      </c>
      <c r="AA405" s="76" t="e">
        <f aca="false">IF(X405=1,V405,NA())</f>
        <v>#N/A</v>
      </c>
      <c r="AB405" s="76" t="e">
        <f aca="false">IF(X405=1,W405,NA())</f>
        <v>#N/A</v>
      </c>
      <c r="AD405" s="73" t="str">
        <f aca="false">IF(ISNUMBER(AE405),IF(ISNUMBER('Base de Datos'!A401),IF('Base de Datos'!A401&gt;20000,DATE(YEAR('Base de Datos'!A401),DAY('Base de Datos'!A401),MONTH('Base de Datos'!A401)),""),IF(TRIM('Base de Datos'!A401)="","",IFERROR(DATE(VALUE(RIGHT(TRIM('Base de Datos'!A401),4)),VALUE(LEFT(TRIM('Base de Datos'!A401),2)),VALUE(MID(TRIM('Base de Datos'!A401),4,2))),""))),"")</f>
        <v/>
      </c>
      <c r="AE405" s="74" t="str">
        <f aca="false">IF(ISNUMBER('Base de Datos'!B401),'Base de Datos'!B401,IF(TRIM('Base de Datos'!B401)="","",IFERROR(IF(IFERROR(FIND("@",SUBSTITUTE(TRIM('Base de Datos'!B401),",","@",LEN(TRIM('Base de Datos'!B401))-LEN(SUBSTITUTE(TRIM('Base de Datos'!B401),",","")))),0)&gt;IFERROR(FIND("@",SUBSTITUTE(TRIM('Base de Datos'!B401),".","@",LEN(TRIM('Base de Datos'!B401))-LEN(SUBSTITUTE(TRIM('Base de Datos'!B401),".","")))),0),_xlfn.NUMBERVALUE(SUBSTITUTE(SUBSTITUTE(TRIM('Base de Datos'!B401),".",""),",","."),".",","),_xlfn.NUMBERVALUE(SUBSTITUTE(TRIM('Base de Datos'!B401),",",""),".",",")),"")))</f>
        <v/>
      </c>
      <c r="AF405" s="73" t="str">
        <f aca="false">IF(ISNUMBER(AG405),IF(ISNUMBER('Base de Datos'!I401),IF('Base de Datos'!I401&gt;20000,INT('Base de Datos'!I401),""),IF(TRIM('Base de Datos'!I401)="","",IFERROR(DATE(VALUE(RIGHT(TRIM('Base de Datos'!I401),4)),VALUE(MID(TRIM('Base de Datos'!I401),4,2)),VALUE(LEFT(TRIM('Base de Datos'!I401),2))),IFERROR(DATEVALUE(TRIM('Base de Datos'!I401)),"")))),"")</f>
        <v/>
      </c>
      <c r="AG405" s="74" t="str">
        <f aca="false">IF(ISNUMBER('Base de Datos'!J401),'Base de Datos'!J401,IF(TRIM('Base de Datos'!J401)="","",IFERROR(IF(IFERROR(FIND("@",SUBSTITUTE(TRIM('Base de Datos'!J401),",","@",LEN(TRIM('Base de Datos'!J401))-LEN(SUBSTITUTE(TRIM('Base de Datos'!J401),",","")))),0)&gt;IFERROR(FIND("@",SUBSTITUTE(TRIM('Base de Datos'!J401),".","@",LEN(TRIM('Base de Datos'!J401))-LEN(SUBSTITUTE(TRIM('Base de Datos'!J401),".","")))),0),_xlfn.NUMBERVALUE(SUBSTITUTE(SUBSTITUTE(TRIM('Base de Datos'!J401),".",""),",","."),".",","),_xlfn.NUMBERVALUE(SUBSTITUTE(TRIM('Base de Datos'!J401),",",""),".",",")),"")))</f>
        <v/>
      </c>
      <c r="AH405" s="73" t="str">
        <f aca="false">IF(ISNUMBER(AI405),IF(ISNUMBER('Base de Datos'!Q401),IF('Base de Datos'!Q401&gt;20000,DATE(YEAR('Base de Datos'!Q401),DAY('Base de Datos'!Q401),MONTH('Base de Datos'!Q401)),""),IF(TRIM('Base de Datos'!Q401)="","",IFERROR(DATE(VALUE(RIGHT(TRIM('Base de Datos'!Q401),4)),VALUE(LEFT(TRIM('Base de Datos'!Q401),2)),VALUE(MID(TRIM('Base de Datos'!Q401),4,2))),""))),"")</f>
        <v/>
      </c>
      <c r="AI405" s="74" t="str">
        <f aca="false">IF(ISNUMBER('Base de Datos'!R401),'Base de Datos'!R401,IF(TRIM('Base de Datos'!R401)="","",IFERROR(IF(IFERROR(FIND("@",SUBSTITUTE(TRIM('Base de Datos'!R401),",","@",LEN(TRIM('Base de Datos'!R401))-LEN(SUBSTITUTE(TRIM('Base de Datos'!R401),",","")))),0)&gt;IFERROR(FIND("@",SUBSTITUTE(TRIM('Base de Datos'!R401),".","@",LEN(TRIM('Base de Datos'!R401))-LEN(SUBSTITUTE(TRIM('Base de Datos'!R401),".","")))),0),_xlfn.NUMBERVALUE(SUBSTITUTE(SUBSTITUTE(TRIM('Base de Datos'!R401),".",""),",","."),".",","),_xlfn.NUMBERVALUE(SUBSTITUTE(TRIM('Base de Datos'!R401),",",""),".",",")),"")))</f>
        <v/>
      </c>
      <c r="AJ405" s="73" t="str">
        <f aca="false">IF(ISNUMBER(AK405),IF(ISNUMBER('Base de Datos'!Y401),IF('Base de Datos'!Y401&gt;20000,INT('Base de Datos'!Y401),""),IF(TRIM('Base de Datos'!Y401)="","",IFERROR(DATE(VALUE(RIGHT(TRIM('Base de Datos'!Y401),4)),VALUE(MID(TRIM('Base de Datos'!Y401),4,2)),VALUE(LEFT(TRIM('Base de Datos'!Y401),2))),IFERROR(DATEVALUE(TRIM('Base de Datos'!Y401)),"")))),"")</f>
        <v/>
      </c>
      <c r="AK405" s="74" t="str">
        <f aca="false">IF(ISNUMBER('Base de Datos'!Z401),'Base de Datos'!Z401,IF(TRIM('Base de Datos'!Z401)="","",IFERROR(IF(IFERROR(FIND("@",SUBSTITUTE(TRIM('Base de Datos'!Z401),",","@",LEN(TRIM('Base de Datos'!Z401))-LEN(SUBSTITUTE(TRIM('Base de Datos'!Z401),",","")))),0)&gt;IFERROR(FIND("@",SUBSTITUTE(TRIM('Base de Datos'!Z401),".","@",LEN(TRIM('Base de Datos'!Z401))-LEN(SUBSTITUTE(TRIM('Base de Datos'!Z401),".","")))),0),_xlfn.NUMBERVALUE(SUBSTITUTE(SUBSTITUTE(TRIM('Base de Datos'!Z401),".",""),",","."),".",","),_xlfn.NUMBERVALUE(SUBSTITUTE(TRIM('Base de Datos'!Z401),",",""),".",",")),"")))</f>
        <v/>
      </c>
    </row>
    <row r="406" customFormat="false" ht="13.5" hidden="false" customHeight="false" outlineLevel="0" collapsed="false">
      <c r="A406" s="75" t="n">
        <f aca="false">ROWS(A$13:A406)</f>
        <v>394</v>
      </c>
      <c r="B406" s="73" t="str">
        <f aca="false">IF(B405="","",IFERROR(SMALL($AH$10:$AH$409,COUNTIF($AH$10:$AH$409,"&lt;="&amp;B405)+1),""))</f>
        <v/>
      </c>
      <c r="C406" s="74" t="str">
        <f aca="false">IF(B406="","",INDEX($AI$10:$AI$409,MATCH(B406,$AH$10:$AH$409,0)))</f>
        <v/>
      </c>
      <c r="D406" s="74" t="str">
        <f aca="false">IF(B406="","",IFERROR(INDEX($AK$10:$AK$409,MATCH(B406,$AJ$10:$AJ$409,0)),""))</f>
        <v/>
      </c>
      <c r="E406" s="76" t="str">
        <f aca="false">IF(AND(ISNUMBER(C406),ISNUMBER(C405)),C406/C405-1,"")</f>
        <v/>
      </c>
      <c r="F406" s="76" t="str">
        <f aca="false">IF(AND(ISNUMBER(D406),ISNUMBER(D405)),D406/D405-1,"")</f>
        <v/>
      </c>
      <c r="G406" s="75" t="str">
        <f aca="false">IF(AND(ISNUMBER(E406),ISNUMBER(F406)),1,"")</f>
        <v/>
      </c>
      <c r="H406" s="75" t="str">
        <f aca="false">IF(G406=1,COUNT(G406:G$412),"")</f>
        <v/>
      </c>
      <c r="I406" s="75" t="str">
        <f aca="false">IF(G406=1,IF(H406&lt;='Beta Regresión'!$B$5,1,""),"")</f>
        <v/>
      </c>
      <c r="J406" s="76" t="str">
        <f aca="false">IF(I406=1,E406,"")</f>
        <v/>
      </c>
      <c r="K406" s="76" t="str">
        <f aca="false">IF(I406=1,F406,"")</f>
        <v/>
      </c>
      <c r="L406" s="75" t="str">
        <f aca="false">IF(I406=1,COUNT(I$13:I406),"")</f>
        <v/>
      </c>
      <c r="M406" s="76" t="str">
        <f aca="false">IFERROR(INDEX($J$13:$J$412,MATCH(A406,$L$13:$L$412,0)),"")</f>
        <v/>
      </c>
      <c r="N406" s="76" t="str">
        <f aca="false">IFERROR(INDEX($K$13:$K$412,MATCH(A406,$L$13:$L$412,0)),"")</f>
        <v/>
      </c>
      <c r="O406" s="76" t="e">
        <f aca="false">IF(I406=1,E406,NA())</f>
        <v>#N/A</v>
      </c>
      <c r="P406" s="76" t="e">
        <f aca="false">IF(I406=1,F406,NA())</f>
        <v>#N/A</v>
      </c>
      <c r="R406" s="75" t="n">
        <f aca="false">ROWS(R$13:R406)</f>
        <v>394</v>
      </c>
      <c r="S406" s="73" t="str">
        <f aca="false">IF(S405="","",IFERROR(SMALL($AD$10:$AD$509,COUNTIF($AD$10:$AD$509,"&lt;="&amp;S405)+1),""))</f>
        <v/>
      </c>
      <c r="T406" s="74" t="str">
        <f aca="false">IF(S406="","",INDEX($AE$10:$AE$509,MATCH(S406,$AD$10:$AD$509,0)))</f>
        <v/>
      </c>
      <c r="U406" s="74" t="str">
        <f aca="false">IF(S406="","",IFERROR(INDEX($AG$10:$AG$509,MATCH(S406,$AF$10:$AF$509,0)),""))</f>
        <v/>
      </c>
      <c r="V406" s="76" t="str">
        <f aca="false">IF(AND(ISNUMBER(T406),ISNUMBER(T405)),T406/T405-1,"")</f>
        <v/>
      </c>
      <c r="W406" s="76" t="str">
        <f aca="false">IF(AND(ISNUMBER(U406),ISNUMBER(U405)),U406/U405-1,"")</f>
        <v/>
      </c>
      <c r="X406" s="75" t="str">
        <f aca="false">IF(AND(ISNUMBER(V406),ISNUMBER(W406)),1,"")</f>
        <v/>
      </c>
      <c r="Y406" s="76" t="str">
        <f aca="false">IF(X406=1,V406,"")</f>
        <v/>
      </c>
      <c r="Z406" s="76" t="str">
        <f aca="false">IF(X406=1,W406,"")</f>
        <v/>
      </c>
      <c r="AA406" s="76" t="e">
        <f aca="false">IF(X406=1,V406,NA())</f>
        <v>#N/A</v>
      </c>
      <c r="AB406" s="76" t="e">
        <f aca="false">IF(X406=1,W406,NA())</f>
        <v>#N/A</v>
      </c>
      <c r="AD406" s="73" t="str">
        <f aca="false">IF(ISNUMBER(AE406),IF(ISNUMBER('Base de Datos'!A402),IF('Base de Datos'!A402&gt;20000,DATE(YEAR('Base de Datos'!A402),DAY('Base de Datos'!A402),MONTH('Base de Datos'!A402)),""),IF(TRIM('Base de Datos'!A402)="","",IFERROR(DATE(VALUE(RIGHT(TRIM('Base de Datos'!A402),4)),VALUE(LEFT(TRIM('Base de Datos'!A402),2)),VALUE(MID(TRIM('Base de Datos'!A402),4,2))),""))),"")</f>
        <v/>
      </c>
      <c r="AE406" s="74" t="str">
        <f aca="false">IF(ISNUMBER('Base de Datos'!B402),'Base de Datos'!B402,IF(TRIM('Base de Datos'!B402)="","",IFERROR(IF(IFERROR(FIND("@",SUBSTITUTE(TRIM('Base de Datos'!B402),",","@",LEN(TRIM('Base de Datos'!B402))-LEN(SUBSTITUTE(TRIM('Base de Datos'!B402),",","")))),0)&gt;IFERROR(FIND("@",SUBSTITUTE(TRIM('Base de Datos'!B402),".","@",LEN(TRIM('Base de Datos'!B402))-LEN(SUBSTITUTE(TRIM('Base de Datos'!B402),".","")))),0),_xlfn.NUMBERVALUE(SUBSTITUTE(SUBSTITUTE(TRIM('Base de Datos'!B402),".",""),",","."),".",","),_xlfn.NUMBERVALUE(SUBSTITUTE(TRIM('Base de Datos'!B402),",",""),".",",")),"")))</f>
        <v/>
      </c>
      <c r="AF406" s="73" t="str">
        <f aca="false">IF(ISNUMBER(AG406),IF(ISNUMBER('Base de Datos'!I402),IF('Base de Datos'!I402&gt;20000,INT('Base de Datos'!I402),""),IF(TRIM('Base de Datos'!I402)="","",IFERROR(DATE(VALUE(RIGHT(TRIM('Base de Datos'!I402),4)),VALUE(MID(TRIM('Base de Datos'!I402),4,2)),VALUE(LEFT(TRIM('Base de Datos'!I402),2))),IFERROR(DATEVALUE(TRIM('Base de Datos'!I402)),"")))),"")</f>
        <v/>
      </c>
      <c r="AG406" s="74" t="str">
        <f aca="false">IF(ISNUMBER('Base de Datos'!J402),'Base de Datos'!J402,IF(TRIM('Base de Datos'!J402)="","",IFERROR(IF(IFERROR(FIND("@",SUBSTITUTE(TRIM('Base de Datos'!J402),",","@",LEN(TRIM('Base de Datos'!J402))-LEN(SUBSTITUTE(TRIM('Base de Datos'!J402),",","")))),0)&gt;IFERROR(FIND("@",SUBSTITUTE(TRIM('Base de Datos'!J402),".","@",LEN(TRIM('Base de Datos'!J402))-LEN(SUBSTITUTE(TRIM('Base de Datos'!J402),".","")))),0),_xlfn.NUMBERVALUE(SUBSTITUTE(SUBSTITUTE(TRIM('Base de Datos'!J402),".",""),",","."),".",","),_xlfn.NUMBERVALUE(SUBSTITUTE(TRIM('Base de Datos'!J402),",",""),".",",")),"")))</f>
        <v/>
      </c>
      <c r="AH406" s="73" t="str">
        <f aca="false">IF(ISNUMBER(AI406),IF(ISNUMBER('Base de Datos'!Q402),IF('Base de Datos'!Q402&gt;20000,DATE(YEAR('Base de Datos'!Q402),DAY('Base de Datos'!Q402),MONTH('Base de Datos'!Q402)),""),IF(TRIM('Base de Datos'!Q402)="","",IFERROR(DATE(VALUE(RIGHT(TRIM('Base de Datos'!Q402),4)),VALUE(LEFT(TRIM('Base de Datos'!Q402),2)),VALUE(MID(TRIM('Base de Datos'!Q402),4,2))),""))),"")</f>
        <v/>
      </c>
      <c r="AI406" s="74" t="str">
        <f aca="false">IF(ISNUMBER('Base de Datos'!R402),'Base de Datos'!R402,IF(TRIM('Base de Datos'!R402)="","",IFERROR(IF(IFERROR(FIND("@",SUBSTITUTE(TRIM('Base de Datos'!R402),",","@",LEN(TRIM('Base de Datos'!R402))-LEN(SUBSTITUTE(TRIM('Base de Datos'!R402),",","")))),0)&gt;IFERROR(FIND("@",SUBSTITUTE(TRIM('Base de Datos'!R402),".","@",LEN(TRIM('Base de Datos'!R402))-LEN(SUBSTITUTE(TRIM('Base de Datos'!R402),".","")))),0),_xlfn.NUMBERVALUE(SUBSTITUTE(SUBSTITUTE(TRIM('Base de Datos'!R402),".",""),",","."),".",","),_xlfn.NUMBERVALUE(SUBSTITUTE(TRIM('Base de Datos'!R402),",",""),".",",")),"")))</f>
        <v/>
      </c>
      <c r="AJ406" s="73" t="str">
        <f aca="false">IF(ISNUMBER(AK406),IF(ISNUMBER('Base de Datos'!Y402),IF('Base de Datos'!Y402&gt;20000,INT('Base de Datos'!Y402),""),IF(TRIM('Base de Datos'!Y402)="","",IFERROR(DATE(VALUE(RIGHT(TRIM('Base de Datos'!Y402),4)),VALUE(MID(TRIM('Base de Datos'!Y402),4,2)),VALUE(LEFT(TRIM('Base de Datos'!Y402),2))),IFERROR(DATEVALUE(TRIM('Base de Datos'!Y402)),"")))),"")</f>
        <v/>
      </c>
      <c r="AK406" s="74" t="str">
        <f aca="false">IF(ISNUMBER('Base de Datos'!Z402),'Base de Datos'!Z402,IF(TRIM('Base de Datos'!Z402)="","",IFERROR(IF(IFERROR(FIND("@",SUBSTITUTE(TRIM('Base de Datos'!Z402),",","@",LEN(TRIM('Base de Datos'!Z402))-LEN(SUBSTITUTE(TRIM('Base de Datos'!Z402),",","")))),0)&gt;IFERROR(FIND("@",SUBSTITUTE(TRIM('Base de Datos'!Z402),".","@",LEN(TRIM('Base de Datos'!Z402))-LEN(SUBSTITUTE(TRIM('Base de Datos'!Z402),".","")))),0),_xlfn.NUMBERVALUE(SUBSTITUTE(SUBSTITUTE(TRIM('Base de Datos'!Z402),".",""),",","."),".",","),_xlfn.NUMBERVALUE(SUBSTITUTE(TRIM('Base de Datos'!Z402),",",""),".",",")),"")))</f>
        <v/>
      </c>
    </row>
    <row r="407" customFormat="false" ht="13.5" hidden="false" customHeight="false" outlineLevel="0" collapsed="false">
      <c r="A407" s="75" t="n">
        <f aca="false">ROWS(A$13:A407)</f>
        <v>395</v>
      </c>
      <c r="B407" s="73" t="str">
        <f aca="false">IF(B406="","",IFERROR(SMALL($AH$10:$AH$409,COUNTIF($AH$10:$AH$409,"&lt;="&amp;B406)+1),""))</f>
        <v/>
      </c>
      <c r="C407" s="74" t="str">
        <f aca="false">IF(B407="","",INDEX($AI$10:$AI$409,MATCH(B407,$AH$10:$AH$409,0)))</f>
        <v/>
      </c>
      <c r="D407" s="74" t="str">
        <f aca="false">IF(B407="","",IFERROR(INDEX($AK$10:$AK$409,MATCH(B407,$AJ$10:$AJ$409,0)),""))</f>
        <v/>
      </c>
      <c r="E407" s="76" t="str">
        <f aca="false">IF(AND(ISNUMBER(C407),ISNUMBER(C406)),C407/C406-1,"")</f>
        <v/>
      </c>
      <c r="F407" s="76" t="str">
        <f aca="false">IF(AND(ISNUMBER(D407),ISNUMBER(D406)),D407/D406-1,"")</f>
        <v/>
      </c>
      <c r="G407" s="75" t="str">
        <f aca="false">IF(AND(ISNUMBER(E407),ISNUMBER(F407)),1,"")</f>
        <v/>
      </c>
      <c r="H407" s="75" t="str">
        <f aca="false">IF(G407=1,COUNT(G407:G$412),"")</f>
        <v/>
      </c>
      <c r="I407" s="75" t="str">
        <f aca="false">IF(G407=1,IF(H407&lt;='Beta Regresión'!$B$5,1,""),"")</f>
        <v/>
      </c>
      <c r="J407" s="76" t="str">
        <f aca="false">IF(I407=1,E407,"")</f>
        <v/>
      </c>
      <c r="K407" s="76" t="str">
        <f aca="false">IF(I407=1,F407,"")</f>
        <v/>
      </c>
      <c r="L407" s="75" t="str">
        <f aca="false">IF(I407=1,COUNT(I$13:I407),"")</f>
        <v/>
      </c>
      <c r="M407" s="76" t="str">
        <f aca="false">IFERROR(INDEX($J$13:$J$412,MATCH(A407,$L$13:$L$412,0)),"")</f>
        <v/>
      </c>
      <c r="N407" s="76" t="str">
        <f aca="false">IFERROR(INDEX($K$13:$K$412,MATCH(A407,$L$13:$L$412,0)),"")</f>
        <v/>
      </c>
      <c r="O407" s="76" t="e">
        <f aca="false">IF(I407=1,E407,NA())</f>
        <v>#N/A</v>
      </c>
      <c r="P407" s="76" t="e">
        <f aca="false">IF(I407=1,F407,NA())</f>
        <v>#N/A</v>
      </c>
      <c r="R407" s="75" t="n">
        <f aca="false">ROWS(R$13:R407)</f>
        <v>395</v>
      </c>
      <c r="S407" s="73" t="str">
        <f aca="false">IF(S406="","",IFERROR(SMALL($AD$10:$AD$509,COUNTIF($AD$10:$AD$509,"&lt;="&amp;S406)+1),""))</f>
        <v/>
      </c>
      <c r="T407" s="74" t="str">
        <f aca="false">IF(S407="","",INDEX($AE$10:$AE$509,MATCH(S407,$AD$10:$AD$509,0)))</f>
        <v/>
      </c>
      <c r="U407" s="74" t="str">
        <f aca="false">IF(S407="","",IFERROR(INDEX($AG$10:$AG$509,MATCH(S407,$AF$10:$AF$509,0)),""))</f>
        <v/>
      </c>
      <c r="V407" s="76" t="str">
        <f aca="false">IF(AND(ISNUMBER(T407),ISNUMBER(T406)),T407/T406-1,"")</f>
        <v/>
      </c>
      <c r="W407" s="76" t="str">
        <f aca="false">IF(AND(ISNUMBER(U407),ISNUMBER(U406)),U407/U406-1,"")</f>
        <v/>
      </c>
      <c r="X407" s="75" t="str">
        <f aca="false">IF(AND(ISNUMBER(V407),ISNUMBER(W407)),1,"")</f>
        <v/>
      </c>
      <c r="Y407" s="76" t="str">
        <f aca="false">IF(X407=1,V407,"")</f>
        <v/>
      </c>
      <c r="Z407" s="76" t="str">
        <f aca="false">IF(X407=1,W407,"")</f>
        <v/>
      </c>
      <c r="AA407" s="76" t="e">
        <f aca="false">IF(X407=1,V407,NA())</f>
        <v>#N/A</v>
      </c>
      <c r="AB407" s="76" t="e">
        <f aca="false">IF(X407=1,W407,NA())</f>
        <v>#N/A</v>
      </c>
      <c r="AD407" s="73" t="str">
        <f aca="false">IF(ISNUMBER(AE407),IF(ISNUMBER('Base de Datos'!A403),IF('Base de Datos'!A403&gt;20000,DATE(YEAR('Base de Datos'!A403),DAY('Base de Datos'!A403),MONTH('Base de Datos'!A403)),""),IF(TRIM('Base de Datos'!A403)="","",IFERROR(DATE(VALUE(RIGHT(TRIM('Base de Datos'!A403),4)),VALUE(LEFT(TRIM('Base de Datos'!A403),2)),VALUE(MID(TRIM('Base de Datos'!A403),4,2))),""))),"")</f>
        <v/>
      </c>
      <c r="AE407" s="74" t="str">
        <f aca="false">IF(ISNUMBER('Base de Datos'!B403),'Base de Datos'!B403,IF(TRIM('Base de Datos'!B403)="","",IFERROR(IF(IFERROR(FIND("@",SUBSTITUTE(TRIM('Base de Datos'!B403),",","@",LEN(TRIM('Base de Datos'!B403))-LEN(SUBSTITUTE(TRIM('Base de Datos'!B403),",","")))),0)&gt;IFERROR(FIND("@",SUBSTITUTE(TRIM('Base de Datos'!B403),".","@",LEN(TRIM('Base de Datos'!B403))-LEN(SUBSTITUTE(TRIM('Base de Datos'!B403),".","")))),0),_xlfn.NUMBERVALUE(SUBSTITUTE(SUBSTITUTE(TRIM('Base de Datos'!B403),".",""),",","."),".",","),_xlfn.NUMBERVALUE(SUBSTITUTE(TRIM('Base de Datos'!B403),",",""),".",",")),"")))</f>
        <v/>
      </c>
      <c r="AF407" s="73" t="str">
        <f aca="false">IF(ISNUMBER(AG407),IF(ISNUMBER('Base de Datos'!I403),IF('Base de Datos'!I403&gt;20000,INT('Base de Datos'!I403),""),IF(TRIM('Base de Datos'!I403)="","",IFERROR(DATE(VALUE(RIGHT(TRIM('Base de Datos'!I403),4)),VALUE(MID(TRIM('Base de Datos'!I403),4,2)),VALUE(LEFT(TRIM('Base de Datos'!I403),2))),IFERROR(DATEVALUE(TRIM('Base de Datos'!I403)),"")))),"")</f>
        <v/>
      </c>
      <c r="AG407" s="74" t="str">
        <f aca="false">IF(ISNUMBER('Base de Datos'!J403),'Base de Datos'!J403,IF(TRIM('Base de Datos'!J403)="","",IFERROR(IF(IFERROR(FIND("@",SUBSTITUTE(TRIM('Base de Datos'!J403),",","@",LEN(TRIM('Base de Datos'!J403))-LEN(SUBSTITUTE(TRIM('Base de Datos'!J403),",","")))),0)&gt;IFERROR(FIND("@",SUBSTITUTE(TRIM('Base de Datos'!J403),".","@",LEN(TRIM('Base de Datos'!J403))-LEN(SUBSTITUTE(TRIM('Base de Datos'!J403),".","")))),0),_xlfn.NUMBERVALUE(SUBSTITUTE(SUBSTITUTE(TRIM('Base de Datos'!J403),".",""),",","."),".",","),_xlfn.NUMBERVALUE(SUBSTITUTE(TRIM('Base de Datos'!J403),",",""),".",",")),"")))</f>
        <v/>
      </c>
      <c r="AH407" s="73" t="str">
        <f aca="false">IF(ISNUMBER(AI407),IF(ISNUMBER('Base de Datos'!Q403),IF('Base de Datos'!Q403&gt;20000,DATE(YEAR('Base de Datos'!Q403),DAY('Base de Datos'!Q403),MONTH('Base de Datos'!Q403)),""),IF(TRIM('Base de Datos'!Q403)="","",IFERROR(DATE(VALUE(RIGHT(TRIM('Base de Datos'!Q403),4)),VALUE(LEFT(TRIM('Base de Datos'!Q403),2)),VALUE(MID(TRIM('Base de Datos'!Q403),4,2))),""))),"")</f>
        <v/>
      </c>
      <c r="AI407" s="74" t="str">
        <f aca="false">IF(ISNUMBER('Base de Datos'!R403),'Base de Datos'!R403,IF(TRIM('Base de Datos'!R403)="","",IFERROR(IF(IFERROR(FIND("@",SUBSTITUTE(TRIM('Base de Datos'!R403),",","@",LEN(TRIM('Base de Datos'!R403))-LEN(SUBSTITUTE(TRIM('Base de Datos'!R403),",","")))),0)&gt;IFERROR(FIND("@",SUBSTITUTE(TRIM('Base de Datos'!R403),".","@",LEN(TRIM('Base de Datos'!R403))-LEN(SUBSTITUTE(TRIM('Base de Datos'!R403),".","")))),0),_xlfn.NUMBERVALUE(SUBSTITUTE(SUBSTITUTE(TRIM('Base de Datos'!R403),".",""),",","."),".",","),_xlfn.NUMBERVALUE(SUBSTITUTE(TRIM('Base de Datos'!R403),",",""),".",",")),"")))</f>
        <v/>
      </c>
      <c r="AJ407" s="73" t="str">
        <f aca="false">IF(ISNUMBER(AK407),IF(ISNUMBER('Base de Datos'!Y403),IF('Base de Datos'!Y403&gt;20000,INT('Base de Datos'!Y403),""),IF(TRIM('Base de Datos'!Y403)="","",IFERROR(DATE(VALUE(RIGHT(TRIM('Base de Datos'!Y403),4)),VALUE(MID(TRIM('Base de Datos'!Y403),4,2)),VALUE(LEFT(TRIM('Base de Datos'!Y403),2))),IFERROR(DATEVALUE(TRIM('Base de Datos'!Y403)),"")))),"")</f>
        <v/>
      </c>
      <c r="AK407" s="74" t="str">
        <f aca="false">IF(ISNUMBER('Base de Datos'!Z403),'Base de Datos'!Z403,IF(TRIM('Base de Datos'!Z403)="","",IFERROR(IF(IFERROR(FIND("@",SUBSTITUTE(TRIM('Base de Datos'!Z403),",","@",LEN(TRIM('Base de Datos'!Z403))-LEN(SUBSTITUTE(TRIM('Base de Datos'!Z403),",","")))),0)&gt;IFERROR(FIND("@",SUBSTITUTE(TRIM('Base de Datos'!Z403),".","@",LEN(TRIM('Base de Datos'!Z403))-LEN(SUBSTITUTE(TRIM('Base de Datos'!Z403),".","")))),0),_xlfn.NUMBERVALUE(SUBSTITUTE(SUBSTITUTE(TRIM('Base de Datos'!Z403),".",""),",","."),".",","),_xlfn.NUMBERVALUE(SUBSTITUTE(TRIM('Base de Datos'!Z403),",",""),".",",")),"")))</f>
        <v/>
      </c>
    </row>
    <row r="408" customFormat="false" ht="13.5" hidden="false" customHeight="false" outlineLevel="0" collapsed="false">
      <c r="A408" s="75" t="n">
        <f aca="false">ROWS(A$13:A408)</f>
        <v>396</v>
      </c>
      <c r="B408" s="73" t="str">
        <f aca="false">IF(B407="","",IFERROR(SMALL($AH$10:$AH$409,COUNTIF($AH$10:$AH$409,"&lt;="&amp;B407)+1),""))</f>
        <v/>
      </c>
      <c r="C408" s="74" t="str">
        <f aca="false">IF(B408="","",INDEX($AI$10:$AI$409,MATCH(B408,$AH$10:$AH$409,0)))</f>
        <v/>
      </c>
      <c r="D408" s="74" t="str">
        <f aca="false">IF(B408="","",IFERROR(INDEX($AK$10:$AK$409,MATCH(B408,$AJ$10:$AJ$409,0)),""))</f>
        <v/>
      </c>
      <c r="E408" s="76" t="str">
        <f aca="false">IF(AND(ISNUMBER(C408),ISNUMBER(C407)),C408/C407-1,"")</f>
        <v/>
      </c>
      <c r="F408" s="76" t="str">
        <f aca="false">IF(AND(ISNUMBER(D408),ISNUMBER(D407)),D408/D407-1,"")</f>
        <v/>
      </c>
      <c r="G408" s="75" t="str">
        <f aca="false">IF(AND(ISNUMBER(E408),ISNUMBER(F408)),1,"")</f>
        <v/>
      </c>
      <c r="H408" s="75" t="str">
        <f aca="false">IF(G408=1,COUNT(G408:G$412),"")</f>
        <v/>
      </c>
      <c r="I408" s="75" t="str">
        <f aca="false">IF(G408=1,IF(H408&lt;='Beta Regresión'!$B$5,1,""),"")</f>
        <v/>
      </c>
      <c r="J408" s="76" t="str">
        <f aca="false">IF(I408=1,E408,"")</f>
        <v/>
      </c>
      <c r="K408" s="76" t="str">
        <f aca="false">IF(I408=1,F408,"")</f>
        <v/>
      </c>
      <c r="L408" s="75" t="str">
        <f aca="false">IF(I408=1,COUNT(I$13:I408),"")</f>
        <v/>
      </c>
      <c r="M408" s="76" t="str">
        <f aca="false">IFERROR(INDEX($J$13:$J$412,MATCH(A408,$L$13:$L$412,0)),"")</f>
        <v/>
      </c>
      <c r="N408" s="76" t="str">
        <f aca="false">IFERROR(INDEX($K$13:$K$412,MATCH(A408,$L$13:$L$412,0)),"")</f>
        <v/>
      </c>
      <c r="O408" s="76" t="e">
        <f aca="false">IF(I408=1,E408,NA())</f>
        <v>#N/A</v>
      </c>
      <c r="P408" s="76" t="e">
        <f aca="false">IF(I408=1,F408,NA())</f>
        <v>#N/A</v>
      </c>
      <c r="R408" s="75" t="n">
        <f aca="false">ROWS(R$13:R408)</f>
        <v>396</v>
      </c>
      <c r="S408" s="73" t="str">
        <f aca="false">IF(S407="","",IFERROR(SMALL($AD$10:$AD$509,COUNTIF($AD$10:$AD$509,"&lt;="&amp;S407)+1),""))</f>
        <v/>
      </c>
      <c r="T408" s="74" t="str">
        <f aca="false">IF(S408="","",INDEX($AE$10:$AE$509,MATCH(S408,$AD$10:$AD$509,0)))</f>
        <v/>
      </c>
      <c r="U408" s="74" t="str">
        <f aca="false">IF(S408="","",IFERROR(INDEX($AG$10:$AG$509,MATCH(S408,$AF$10:$AF$509,0)),""))</f>
        <v/>
      </c>
      <c r="V408" s="76" t="str">
        <f aca="false">IF(AND(ISNUMBER(T408),ISNUMBER(T407)),T408/T407-1,"")</f>
        <v/>
      </c>
      <c r="W408" s="76" t="str">
        <f aca="false">IF(AND(ISNUMBER(U408),ISNUMBER(U407)),U408/U407-1,"")</f>
        <v/>
      </c>
      <c r="X408" s="75" t="str">
        <f aca="false">IF(AND(ISNUMBER(V408),ISNUMBER(W408)),1,"")</f>
        <v/>
      </c>
      <c r="Y408" s="76" t="str">
        <f aca="false">IF(X408=1,V408,"")</f>
        <v/>
      </c>
      <c r="Z408" s="76" t="str">
        <f aca="false">IF(X408=1,W408,"")</f>
        <v/>
      </c>
      <c r="AA408" s="76" t="e">
        <f aca="false">IF(X408=1,V408,NA())</f>
        <v>#N/A</v>
      </c>
      <c r="AB408" s="76" t="e">
        <f aca="false">IF(X408=1,W408,NA())</f>
        <v>#N/A</v>
      </c>
      <c r="AD408" s="73" t="str">
        <f aca="false">IF(ISNUMBER(AE408),IF(ISNUMBER('Base de Datos'!A404),IF('Base de Datos'!A404&gt;20000,DATE(YEAR('Base de Datos'!A404),DAY('Base de Datos'!A404),MONTH('Base de Datos'!A404)),""),IF(TRIM('Base de Datos'!A404)="","",IFERROR(DATE(VALUE(RIGHT(TRIM('Base de Datos'!A404),4)),VALUE(LEFT(TRIM('Base de Datos'!A404),2)),VALUE(MID(TRIM('Base de Datos'!A404),4,2))),""))),"")</f>
        <v/>
      </c>
      <c r="AE408" s="74" t="str">
        <f aca="false">IF(ISNUMBER('Base de Datos'!B404),'Base de Datos'!B404,IF(TRIM('Base de Datos'!B404)="","",IFERROR(IF(IFERROR(FIND("@",SUBSTITUTE(TRIM('Base de Datos'!B404),",","@",LEN(TRIM('Base de Datos'!B404))-LEN(SUBSTITUTE(TRIM('Base de Datos'!B404),",","")))),0)&gt;IFERROR(FIND("@",SUBSTITUTE(TRIM('Base de Datos'!B404),".","@",LEN(TRIM('Base de Datos'!B404))-LEN(SUBSTITUTE(TRIM('Base de Datos'!B404),".","")))),0),_xlfn.NUMBERVALUE(SUBSTITUTE(SUBSTITUTE(TRIM('Base de Datos'!B404),".",""),",","."),".",","),_xlfn.NUMBERVALUE(SUBSTITUTE(TRIM('Base de Datos'!B404),",",""),".",",")),"")))</f>
        <v/>
      </c>
      <c r="AF408" s="73" t="str">
        <f aca="false">IF(ISNUMBER(AG408),IF(ISNUMBER('Base de Datos'!I404),IF('Base de Datos'!I404&gt;20000,INT('Base de Datos'!I404),""),IF(TRIM('Base de Datos'!I404)="","",IFERROR(DATE(VALUE(RIGHT(TRIM('Base de Datos'!I404),4)),VALUE(MID(TRIM('Base de Datos'!I404),4,2)),VALUE(LEFT(TRIM('Base de Datos'!I404),2))),IFERROR(DATEVALUE(TRIM('Base de Datos'!I404)),"")))),"")</f>
        <v/>
      </c>
      <c r="AG408" s="74" t="str">
        <f aca="false">IF(ISNUMBER('Base de Datos'!J404),'Base de Datos'!J404,IF(TRIM('Base de Datos'!J404)="","",IFERROR(IF(IFERROR(FIND("@",SUBSTITUTE(TRIM('Base de Datos'!J404),",","@",LEN(TRIM('Base de Datos'!J404))-LEN(SUBSTITUTE(TRIM('Base de Datos'!J404),",","")))),0)&gt;IFERROR(FIND("@",SUBSTITUTE(TRIM('Base de Datos'!J404),".","@",LEN(TRIM('Base de Datos'!J404))-LEN(SUBSTITUTE(TRIM('Base de Datos'!J404),".","")))),0),_xlfn.NUMBERVALUE(SUBSTITUTE(SUBSTITUTE(TRIM('Base de Datos'!J404),".",""),",","."),".",","),_xlfn.NUMBERVALUE(SUBSTITUTE(TRIM('Base de Datos'!J404),",",""),".",",")),"")))</f>
        <v/>
      </c>
      <c r="AH408" s="73" t="str">
        <f aca="false">IF(ISNUMBER(AI408),IF(ISNUMBER('Base de Datos'!Q404),IF('Base de Datos'!Q404&gt;20000,DATE(YEAR('Base de Datos'!Q404),DAY('Base de Datos'!Q404),MONTH('Base de Datos'!Q404)),""),IF(TRIM('Base de Datos'!Q404)="","",IFERROR(DATE(VALUE(RIGHT(TRIM('Base de Datos'!Q404),4)),VALUE(LEFT(TRIM('Base de Datos'!Q404),2)),VALUE(MID(TRIM('Base de Datos'!Q404),4,2))),""))),"")</f>
        <v/>
      </c>
      <c r="AI408" s="74" t="str">
        <f aca="false">IF(ISNUMBER('Base de Datos'!R404),'Base de Datos'!R404,IF(TRIM('Base de Datos'!R404)="","",IFERROR(IF(IFERROR(FIND("@",SUBSTITUTE(TRIM('Base de Datos'!R404),",","@",LEN(TRIM('Base de Datos'!R404))-LEN(SUBSTITUTE(TRIM('Base de Datos'!R404),",","")))),0)&gt;IFERROR(FIND("@",SUBSTITUTE(TRIM('Base de Datos'!R404),".","@",LEN(TRIM('Base de Datos'!R404))-LEN(SUBSTITUTE(TRIM('Base de Datos'!R404),".","")))),0),_xlfn.NUMBERVALUE(SUBSTITUTE(SUBSTITUTE(TRIM('Base de Datos'!R404),".",""),",","."),".",","),_xlfn.NUMBERVALUE(SUBSTITUTE(TRIM('Base de Datos'!R404),",",""),".",",")),"")))</f>
        <v/>
      </c>
      <c r="AJ408" s="73" t="str">
        <f aca="false">IF(ISNUMBER(AK408),IF(ISNUMBER('Base de Datos'!Y404),IF('Base de Datos'!Y404&gt;20000,INT('Base de Datos'!Y404),""),IF(TRIM('Base de Datos'!Y404)="","",IFERROR(DATE(VALUE(RIGHT(TRIM('Base de Datos'!Y404),4)),VALUE(MID(TRIM('Base de Datos'!Y404),4,2)),VALUE(LEFT(TRIM('Base de Datos'!Y404),2))),IFERROR(DATEVALUE(TRIM('Base de Datos'!Y404)),"")))),"")</f>
        <v/>
      </c>
      <c r="AK408" s="74" t="str">
        <f aca="false">IF(ISNUMBER('Base de Datos'!Z404),'Base de Datos'!Z404,IF(TRIM('Base de Datos'!Z404)="","",IFERROR(IF(IFERROR(FIND("@",SUBSTITUTE(TRIM('Base de Datos'!Z404),",","@",LEN(TRIM('Base de Datos'!Z404))-LEN(SUBSTITUTE(TRIM('Base de Datos'!Z404),",","")))),0)&gt;IFERROR(FIND("@",SUBSTITUTE(TRIM('Base de Datos'!Z404),".","@",LEN(TRIM('Base de Datos'!Z404))-LEN(SUBSTITUTE(TRIM('Base de Datos'!Z404),".","")))),0),_xlfn.NUMBERVALUE(SUBSTITUTE(SUBSTITUTE(TRIM('Base de Datos'!Z404),".",""),",","."),".",","),_xlfn.NUMBERVALUE(SUBSTITUTE(TRIM('Base de Datos'!Z404),",",""),".",",")),"")))</f>
        <v/>
      </c>
    </row>
    <row r="409" customFormat="false" ht="13.5" hidden="false" customHeight="false" outlineLevel="0" collapsed="false">
      <c r="A409" s="75" t="n">
        <f aca="false">ROWS(A$13:A409)</f>
        <v>397</v>
      </c>
      <c r="B409" s="73" t="str">
        <f aca="false">IF(B408="","",IFERROR(SMALL($AH$10:$AH$409,COUNTIF($AH$10:$AH$409,"&lt;="&amp;B408)+1),""))</f>
        <v/>
      </c>
      <c r="C409" s="74" t="str">
        <f aca="false">IF(B409="","",INDEX($AI$10:$AI$409,MATCH(B409,$AH$10:$AH$409,0)))</f>
        <v/>
      </c>
      <c r="D409" s="74" t="str">
        <f aca="false">IF(B409="","",IFERROR(INDEX($AK$10:$AK$409,MATCH(B409,$AJ$10:$AJ$409,0)),""))</f>
        <v/>
      </c>
      <c r="E409" s="76" t="str">
        <f aca="false">IF(AND(ISNUMBER(C409),ISNUMBER(C408)),C409/C408-1,"")</f>
        <v/>
      </c>
      <c r="F409" s="76" t="str">
        <f aca="false">IF(AND(ISNUMBER(D409),ISNUMBER(D408)),D409/D408-1,"")</f>
        <v/>
      </c>
      <c r="G409" s="75" t="str">
        <f aca="false">IF(AND(ISNUMBER(E409),ISNUMBER(F409)),1,"")</f>
        <v/>
      </c>
      <c r="H409" s="75" t="str">
        <f aca="false">IF(G409=1,COUNT(G409:G$412),"")</f>
        <v/>
      </c>
      <c r="I409" s="75" t="str">
        <f aca="false">IF(G409=1,IF(H409&lt;='Beta Regresión'!$B$5,1,""),"")</f>
        <v/>
      </c>
      <c r="J409" s="76" t="str">
        <f aca="false">IF(I409=1,E409,"")</f>
        <v/>
      </c>
      <c r="K409" s="76" t="str">
        <f aca="false">IF(I409=1,F409,"")</f>
        <v/>
      </c>
      <c r="L409" s="75" t="str">
        <f aca="false">IF(I409=1,COUNT(I$13:I409),"")</f>
        <v/>
      </c>
      <c r="M409" s="76" t="str">
        <f aca="false">IFERROR(INDEX($J$13:$J$412,MATCH(A409,$L$13:$L$412,0)),"")</f>
        <v/>
      </c>
      <c r="N409" s="76" t="str">
        <f aca="false">IFERROR(INDEX($K$13:$K$412,MATCH(A409,$L$13:$L$412,0)),"")</f>
        <v/>
      </c>
      <c r="O409" s="76" t="e">
        <f aca="false">IF(I409=1,E409,NA())</f>
        <v>#N/A</v>
      </c>
      <c r="P409" s="76" t="e">
        <f aca="false">IF(I409=1,F409,NA())</f>
        <v>#N/A</v>
      </c>
      <c r="R409" s="75" t="n">
        <f aca="false">ROWS(R$13:R409)</f>
        <v>397</v>
      </c>
      <c r="S409" s="73" t="str">
        <f aca="false">IF(S408="","",IFERROR(SMALL($AD$10:$AD$509,COUNTIF($AD$10:$AD$509,"&lt;="&amp;S408)+1),""))</f>
        <v/>
      </c>
      <c r="T409" s="74" t="str">
        <f aca="false">IF(S409="","",INDEX($AE$10:$AE$509,MATCH(S409,$AD$10:$AD$509,0)))</f>
        <v/>
      </c>
      <c r="U409" s="74" t="str">
        <f aca="false">IF(S409="","",IFERROR(INDEX($AG$10:$AG$509,MATCH(S409,$AF$10:$AF$509,0)),""))</f>
        <v/>
      </c>
      <c r="V409" s="76" t="str">
        <f aca="false">IF(AND(ISNUMBER(T409),ISNUMBER(T408)),T409/T408-1,"")</f>
        <v/>
      </c>
      <c r="W409" s="76" t="str">
        <f aca="false">IF(AND(ISNUMBER(U409),ISNUMBER(U408)),U409/U408-1,"")</f>
        <v/>
      </c>
      <c r="X409" s="75" t="str">
        <f aca="false">IF(AND(ISNUMBER(V409),ISNUMBER(W409)),1,"")</f>
        <v/>
      </c>
      <c r="Y409" s="76" t="str">
        <f aca="false">IF(X409=1,V409,"")</f>
        <v/>
      </c>
      <c r="Z409" s="76" t="str">
        <f aca="false">IF(X409=1,W409,"")</f>
        <v/>
      </c>
      <c r="AA409" s="76" t="e">
        <f aca="false">IF(X409=1,V409,NA())</f>
        <v>#N/A</v>
      </c>
      <c r="AB409" s="76" t="e">
        <f aca="false">IF(X409=1,W409,NA())</f>
        <v>#N/A</v>
      </c>
      <c r="AD409" s="73" t="str">
        <f aca="false">IF(ISNUMBER(AE409),IF(ISNUMBER('Base de Datos'!A405),IF('Base de Datos'!A405&gt;20000,DATE(YEAR('Base de Datos'!A405),DAY('Base de Datos'!A405),MONTH('Base de Datos'!A405)),""),IF(TRIM('Base de Datos'!A405)="","",IFERROR(DATE(VALUE(RIGHT(TRIM('Base de Datos'!A405),4)),VALUE(LEFT(TRIM('Base de Datos'!A405),2)),VALUE(MID(TRIM('Base de Datos'!A405),4,2))),""))),"")</f>
        <v/>
      </c>
      <c r="AE409" s="74" t="str">
        <f aca="false">IF(ISNUMBER('Base de Datos'!B405),'Base de Datos'!B405,IF(TRIM('Base de Datos'!B405)="","",IFERROR(IF(IFERROR(FIND("@",SUBSTITUTE(TRIM('Base de Datos'!B405),",","@",LEN(TRIM('Base de Datos'!B405))-LEN(SUBSTITUTE(TRIM('Base de Datos'!B405),",","")))),0)&gt;IFERROR(FIND("@",SUBSTITUTE(TRIM('Base de Datos'!B405),".","@",LEN(TRIM('Base de Datos'!B405))-LEN(SUBSTITUTE(TRIM('Base de Datos'!B405),".","")))),0),_xlfn.NUMBERVALUE(SUBSTITUTE(SUBSTITUTE(TRIM('Base de Datos'!B405),".",""),",","."),".",","),_xlfn.NUMBERVALUE(SUBSTITUTE(TRIM('Base de Datos'!B405),",",""),".",",")),"")))</f>
        <v/>
      </c>
      <c r="AF409" s="73" t="str">
        <f aca="false">IF(ISNUMBER(AG409),IF(ISNUMBER('Base de Datos'!I405),IF('Base de Datos'!I405&gt;20000,INT('Base de Datos'!I405),""),IF(TRIM('Base de Datos'!I405)="","",IFERROR(DATE(VALUE(RIGHT(TRIM('Base de Datos'!I405),4)),VALUE(MID(TRIM('Base de Datos'!I405),4,2)),VALUE(LEFT(TRIM('Base de Datos'!I405),2))),IFERROR(DATEVALUE(TRIM('Base de Datos'!I405)),"")))),"")</f>
        <v/>
      </c>
      <c r="AG409" s="74" t="str">
        <f aca="false">IF(ISNUMBER('Base de Datos'!J405),'Base de Datos'!J405,IF(TRIM('Base de Datos'!J405)="","",IFERROR(IF(IFERROR(FIND("@",SUBSTITUTE(TRIM('Base de Datos'!J405),",","@",LEN(TRIM('Base de Datos'!J405))-LEN(SUBSTITUTE(TRIM('Base de Datos'!J405),",","")))),0)&gt;IFERROR(FIND("@",SUBSTITUTE(TRIM('Base de Datos'!J405),".","@",LEN(TRIM('Base de Datos'!J405))-LEN(SUBSTITUTE(TRIM('Base de Datos'!J405),".","")))),0),_xlfn.NUMBERVALUE(SUBSTITUTE(SUBSTITUTE(TRIM('Base de Datos'!J405),".",""),",","."),".",","),_xlfn.NUMBERVALUE(SUBSTITUTE(TRIM('Base de Datos'!J405),",",""),".",",")),"")))</f>
        <v/>
      </c>
      <c r="AH409" s="73" t="str">
        <f aca="false">IF(ISNUMBER(AI409),IF(ISNUMBER('Base de Datos'!Q405),IF('Base de Datos'!Q405&gt;20000,DATE(YEAR('Base de Datos'!Q405),DAY('Base de Datos'!Q405),MONTH('Base de Datos'!Q405)),""),IF(TRIM('Base de Datos'!Q405)="","",IFERROR(DATE(VALUE(RIGHT(TRIM('Base de Datos'!Q405),4)),VALUE(LEFT(TRIM('Base de Datos'!Q405),2)),VALUE(MID(TRIM('Base de Datos'!Q405),4,2))),""))),"")</f>
        <v/>
      </c>
      <c r="AI409" s="74" t="str">
        <f aca="false">IF(ISNUMBER('Base de Datos'!R405),'Base de Datos'!R405,IF(TRIM('Base de Datos'!R405)="","",IFERROR(IF(IFERROR(FIND("@",SUBSTITUTE(TRIM('Base de Datos'!R405),",","@",LEN(TRIM('Base de Datos'!R405))-LEN(SUBSTITUTE(TRIM('Base de Datos'!R405),",","")))),0)&gt;IFERROR(FIND("@",SUBSTITUTE(TRIM('Base de Datos'!R405),".","@",LEN(TRIM('Base de Datos'!R405))-LEN(SUBSTITUTE(TRIM('Base de Datos'!R405),".","")))),0),_xlfn.NUMBERVALUE(SUBSTITUTE(SUBSTITUTE(TRIM('Base de Datos'!R405),".",""),",","."),".",","),_xlfn.NUMBERVALUE(SUBSTITUTE(TRIM('Base de Datos'!R405),",",""),".",",")),"")))</f>
        <v/>
      </c>
      <c r="AJ409" s="73" t="str">
        <f aca="false">IF(ISNUMBER(AK409),IF(ISNUMBER('Base de Datos'!Y405),IF('Base de Datos'!Y405&gt;20000,INT('Base de Datos'!Y405),""),IF(TRIM('Base de Datos'!Y405)="","",IFERROR(DATE(VALUE(RIGHT(TRIM('Base de Datos'!Y405),4)),VALUE(MID(TRIM('Base de Datos'!Y405),4,2)),VALUE(LEFT(TRIM('Base de Datos'!Y405),2))),IFERROR(DATEVALUE(TRIM('Base de Datos'!Y405)),"")))),"")</f>
        <v/>
      </c>
      <c r="AK409" s="74" t="str">
        <f aca="false">IF(ISNUMBER('Base de Datos'!Z405),'Base de Datos'!Z405,IF(TRIM('Base de Datos'!Z405)="","",IFERROR(IF(IFERROR(FIND("@",SUBSTITUTE(TRIM('Base de Datos'!Z405),",","@",LEN(TRIM('Base de Datos'!Z405))-LEN(SUBSTITUTE(TRIM('Base de Datos'!Z405),",","")))),0)&gt;IFERROR(FIND("@",SUBSTITUTE(TRIM('Base de Datos'!Z405),".","@",LEN(TRIM('Base de Datos'!Z405))-LEN(SUBSTITUTE(TRIM('Base de Datos'!Z405),".","")))),0),_xlfn.NUMBERVALUE(SUBSTITUTE(SUBSTITUTE(TRIM('Base de Datos'!Z405),".",""),",","."),".",","),_xlfn.NUMBERVALUE(SUBSTITUTE(TRIM('Base de Datos'!Z405),",",""),".",",")),"")))</f>
        <v/>
      </c>
    </row>
    <row r="410" customFormat="false" ht="13.5" hidden="false" customHeight="false" outlineLevel="0" collapsed="false">
      <c r="A410" s="75" t="n">
        <f aca="false">ROWS(A$13:A410)</f>
        <v>398</v>
      </c>
      <c r="B410" s="73" t="str">
        <f aca="false">IF(B409="","",IFERROR(SMALL($AH$10:$AH$409,COUNTIF($AH$10:$AH$409,"&lt;="&amp;B409)+1),""))</f>
        <v/>
      </c>
      <c r="C410" s="74" t="str">
        <f aca="false">IF(B410="","",INDEX($AI$10:$AI$409,MATCH(B410,$AH$10:$AH$409,0)))</f>
        <v/>
      </c>
      <c r="D410" s="74" t="str">
        <f aca="false">IF(B410="","",IFERROR(INDEX($AK$10:$AK$409,MATCH(B410,$AJ$10:$AJ$409,0)),""))</f>
        <v/>
      </c>
      <c r="E410" s="76" t="str">
        <f aca="false">IF(AND(ISNUMBER(C410),ISNUMBER(C409)),C410/C409-1,"")</f>
        <v/>
      </c>
      <c r="F410" s="76" t="str">
        <f aca="false">IF(AND(ISNUMBER(D410),ISNUMBER(D409)),D410/D409-1,"")</f>
        <v/>
      </c>
      <c r="G410" s="75" t="str">
        <f aca="false">IF(AND(ISNUMBER(E410),ISNUMBER(F410)),1,"")</f>
        <v/>
      </c>
      <c r="H410" s="75" t="str">
        <f aca="false">IF(G410=1,COUNT(G410:G$412),"")</f>
        <v/>
      </c>
      <c r="I410" s="75" t="str">
        <f aca="false">IF(G410=1,IF(H410&lt;='Beta Regresión'!$B$5,1,""),"")</f>
        <v/>
      </c>
      <c r="J410" s="76" t="str">
        <f aca="false">IF(I410=1,E410,"")</f>
        <v/>
      </c>
      <c r="K410" s="76" t="str">
        <f aca="false">IF(I410=1,F410,"")</f>
        <v/>
      </c>
      <c r="L410" s="75" t="str">
        <f aca="false">IF(I410=1,COUNT(I$13:I410),"")</f>
        <v/>
      </c>
      <c r="M410" s="76" t="str">
        <f aca="false">IFERROR(INDEX($J$13:$J$412,MATCH(A410,$L$13:$L$412,0)),"")</f>
        <v/>
      </c>
      <c r="N410" s="76" t="str">
        <f aca="false">IFERROR(INDEX($K$13:$K$412,MATCH(A410,$L$13:$L$412,0)),"")</f>
        <v/>
      </c>
      <c r="O410" s="76" t="e">
        <f aca="false">IF(I410=1,E410,NA())</f>
        <v>#N/A</v>
      </c>
      <c r="P410" s="76" t="e">
        <f aca="false">IF(I410=1,F410,NA())</f>
        <v>#N/A</v>
      </c>
      <c r="R410" s="75" t="n">
        <f aca="false">ROWS(R$13:R410)</f>
        <v>398</v>
      </c>
      <c r="S410" s="73" t="str">
        <f aca="false">IF(S409="","",IFERROR(SMALL($AD$10:$AD$509,COUNTIF($AD$10:$AD$509,"&lt;="&amp;S409)+1),""))</f>
        <v/>
      </c>
      <c r="T410" s="74" t="str">
        <f aca="false">IF(S410="","",INDEX($AE$10:$AE$509,MATCH(S410,$AD$10:$AD$509,0)))</f>
        <v/>
      </c>
      <c r="U410" s="74" t="str">
        <f aca="false">IF(S410="","",IFERROR(INDEX($AG$10:$AG$509,MATCH(S410,$AF$10:$AF$509,0)),""))</f>
        <v/>
      </c>
      <c r="V410" s="76" t="str">
        <f aca="false">IF(AND(ISNUMBER(T410),ISNUMBER(T409)),T410/T409-1,"")</f>
        <v/>
      </c>
      <c r="W410" s="76" t="str">
        <f aca="false">IF(AND(ISNUMBER(U410),ISNUMBER(U409)),U410/U409-1,"")</f>
        <v/>
      </c>
      <c r="X410" s="75" t="str">
        <f aca="false">IF(AND(ISNUMBER(V410),ISNUMBER(W410)),1,"")</f>
        <v/>
      </c>
      <c r="Y410" s="76" t="str">
        <f aca="false">IF(X410=1,V410,"")</f>
        <v/>
      </c>
      <c r="Z410" s="76" t="str">
        <f aca="false">IF(X410=1,W410,"")</f>
        <v/>
      </c>
      <c r="AA410" s="76" t="e">
        <f aca="false">IF(X410=1,V410,NA())</f>
        <v>#N/A</v>
      </c>
      <c r="AB410" s="76" t="e">
        <f aca="false">IF(X410=1,W410,NA())</f>
        <v>#N/A</v>
      </c>
      <c r="AD410" s="73" t="str">
        <f aca="false">IF(ISNUMBER(AE410),IF(ISNUMBER('Base de Datos'!A406),IF('Base de Datos'!A406&gt;20000,DATE(YEAR('Base de Datos'!A406),DAY('Base de Datos'!A406),MONTH('Base de Datos'!A406)),""),IF(TRIM('Base de Datos'!A406)="","",IFERROR(DATE(VALUE(RIGHT(TRIM('Base de Datos'!A406),4)),VALUE(LEFT(TRIM('Base de Datos'!A406),2)),VALUE(MID(TRIM('Base de Datos'!A406),4,2))),""))),"")</f>
        <v/>
      </c>
      <c r="AE410" s="74" t="str">
        <f aca="false">IF(ISNUMBER('Base de Datos'!B406),'Base de Datos'!B406,IF(TRIM('Base de Datos'!B406)="","",IFERROR(IF(IFERROR(FIND("@",SUBSTITUTE(TRIM('Base de Datos'!B406),",","@",LEN(TRIM('Base de Datos'!B406))-LEN(SUBSTITUTE(TRIM('Base de Datos'!B406),",","")))),0)&gt;IFERROR(FIND("@",SUBSTITUTE(TRIM('Base de Datos'!B406),".","@",LEN(TRIM('Base de Datos'!B406))-LEN(SUBSTITUTE(TRIM('Base de Datos'!B406),".","")))),0),_xlfn.NUMBERVALUE(SUBSTITUTE(SUBSTITUTE(TRIM('Base de Datos'!B406),".",""),",","."),".",","),_xlfn.NUMBERVALUE(SUBSTITUTE(TRIM('Base de Datos'!B406),",",""),".",",")),"")))</f>
        <v/>
      </c>
      <c r="AF410" s="73" t="str">
        <f aca="false">IF(ISNUMBER(AG410),IF(ISNUMBER('Base de Datos'!I406),IF('Base de Datos'!I406&gt;20000,INT('Base de Datos'!I406),""),IF(TRIM('Base de Datos'!I406)="","",IFERROR(DATE(VALUE(RIGHT(TRIM('Base de Datos'!I406),4)),VALUE(MID(TRIM('Base de Datos'!I406),4,2)),VALUE(LEFT(TRIM('Base de Datos'!I406),2))),IFERROR(DATEVALUE(TRIM('Base de Datos'!I406)),"")))),"")</f>
        <v/>
      </c>
      <c r="AG410" s="74" t="str">
        <f aca="false">IF(ISNUMBER('Base de Datos'!J406),'Base de Datos'!J406,IF(TRIM('Base de Datos'!J406)="","",IFERROR(IF(IFERROR(FIND("@",SUBSTITUTE(TRIM('Base de Datos'!J406),",","@",LEN(TRIM('Base de Datos'!J406))-LEN(SUBSTITUTE(TRIM('Base de Datos'!J406),",","")))),0)&gt;IFERROR(FIND("@",SUBSTITUTE(TRIM('Base de Datos'!J406),".","@",LEN(TRIM('Base de Datos'!J406))-LEN(SUBSTITUTE(TRIM('Base de Datos'!J406),".","")))),0),_xlfn.NUMBERVALUE(SUBSTITUTE(SUBSTITUTE(TRIM('Base de Datos'!J406),".",""),",","."),".",","),_xlfn.NUMBERVALUE(SUBSTITUTE(TRIM('Base de Datos'!J406),",",""),".",",")),"")))</f>
        <v/>
      </c>
    </row>
    <row r="411" customFormat="false" ht="13.5" hidden="false" customHeight="false" outlineLevel="0" collapsed="false">
      <c r="A411" s="75" t="n">
        <f aca="false">ROWS(A$13:A411)</f>
        <v>399</v>
      </c>
      <c r="B411" s="73" t="str">
        <f aca="false">IF(B410="","",IFERROR(SMALL($AH$10:$AH$409,COUNTIF($AH$10:$AH$409,"&lt;="&amp;B410)+1),""))</f>
        <v/>
      </c>
      <c r="C411" s="74" t="str">
        <f aca="false">IF(B411="","",INDEX($AI$10:$AI$409,MATCH(B411,$AH$10:$AH$409,0)))</f>
        <v/>
      </c>
      <c r="D411" s="74" t="str">
        <f aca="false">IF(B411="","",IFERROR(INDEX($AK$10:$AK$409,MATCH(B411,$AJ$10:$AJ$409,0)),""))</f>
        <v/>
      </c>
      <c r="E411" s="76" t="str">
        <f aca="false">IF(AND(ISNUMBER(C411),ISNUMBER(C410)),C411/C410-1,"")</f>
        <v/>
      </c>
      <c r="F411" s="76" t="str">
        <f aca="false">IF(AND(ISNUMBER(D411),ISNUMBER(D410)),D411/D410-1,"")</f>
        <v/>
      </c>
      <c r="G411" s="75" t="str">
        <f aca="false">IF(AND(ISNUMBER(E411),ISNUMBER(F411)),1,"")</f>
        <v/>
      </c>
      <c r="H411" s="75" t="str">
        <f aca="false">IF(G411=1,COUNT(G411:G$412),"")</f>
        <v/>
      </c>
      <c r="I411" s="75" t="str">
        <f aca="false">IF(G411=1,IF(H411&lt;='Beta Regresión'!$B$5,1,""),"")</f>
        <v/>
      </c>
      <c r="J411" s="76" t="str">
        <f aca="false">IF(I411=1,E411,"")</f>
        <v/>
      </c>
      <c r="K411" s="76" t="str">
        <f aca="false">IF(I411=1,F411,"")</f>
        <v/>
      </c>
      <c r="L411" s="75" t="str">
        <f aca="false">IF(I411=1,COUNT(I$13:I411),"")</f>
        <v/>
      </c>
      <c r="M411" s="76" t="str">
        <f aca="false">IFERROR(INDEX($J$13:$J$412,MATCH(A411,$L$13:$L$412,0)),"")</f>
        <v/>
      </c>
      <c r="N411" s="76" t="str">
        <f aca="false">IFERROR(INDEX($K$13:$K$412,MATCH(A411,$L$13:$L$412,0)),"")</f>
        <v/>
      </c>
      <c r="O411" s="76" t="e">
        <f aca="false">IF(I411=1,E411,NA())</f>
        <v>#N/A</v>
      </c>
      <c r="P411" s="76" t="e">
        <f aca="false">IF(I411=1,F411,NA())</f>
        <v>#N/A</v>
      </c>
      <c r="R411" s="75" t="n">
        <f aca="false">ROWS(R$13:R411)</f>
        <v>399</v>
      </c>
      <c r="S411" s="73" t="str">
        <f aca="false">IF(S410="","",IFERROR(SMALL($AD$10:$AD$509,COUNTIF($AD$10:$AD$509,"&lt;="&amp;S410)+1),""))</f>
        <v/>
      </c>
      <c r="T411" s="74" t="str">
        <f aca="false">IF(S411="","",INDEX($AE$10:$AE$509,MATCH(S411,$AD$10:$AD$509,0)))</f>
        <v/>
      </c>
      <c r="U411" s="74" t="str">
        <f aca="false">IF(S411="","",IFERROR(INDEX($AG$10:$AG$509,MATCH(S411,$AF$10:$AF$509,0)),""))</f>
        <v/>
      </c>
      <c r="V411" s="76" t="str">
        <f aca="false">IF(AND(ISNUMBER(T411),ISNUMBER(T410)),T411/T410-1,"")</f>
        <v/>
      </c>
      <c r="W411" s="76" t="str">
        <f aca="false">IF(AND(ISNUMBER(U411),ISNUMBER(U410)),U411/U410-1,"")</f>
        <v/>
      </c>
      <c r="X411" s="75" t="str">
        <f aca="false">IF(AND(ISNUMBER(V411),ISNUMBER(W411)),1,"")</f>
        <v/>
      </c>
      <c r="Y411" s="76" t="str">
        <f aca="false">IF(X411=1,V411,"")</f>
        <v/>
      </c>
      <c r="Z411" s="76" t="str">
        <f aca="false">IF(X411=1,W411,"")</f>
        <v/>
      </c>
      <c r="AA411" s="76" t="e">
        <f aca="false">IF(X411=1,V411,NA())</f>
        <v>#N/A</v>
      </c>
      <c r="AB411" s="76" t="e">
        <f aca="false">IF(X411=1,W411,NA())</f>
        <v>#N/A</v>
      </c>
      <c r="AD411" s="73" t="str">
        <f aca="false">IF(ISNUMBER(AE411),IF(ISNUMBER('Base de Datos'!A407),IF('Base de Datos'!A407&gt;20000,DATE(YEAR('Base de Datos'!A407),DAY('Base de Datos'!A407),MONTH('Base de Datos'!A407)),""),IF(TRIM('Base de Datos'!A407)="","",IFERROR(DATE(VALUE(RIGHT(TRIM('Base de Datos'!A407),4)),VALUE(LEFT(TRIM('Base de Datos'!A407),2)),VALUE(MID(TRIM('Base de Datos'!A407),4,2))),""))),"")</f>
        <v/>
      </c>
      <c r="AE411" s="74" t="str">
        <f aca="false">IF(ISNUMBER('Base de Datos'!B407),'Base de Datos'!B407,IF(TRIM('Base de Datos'!B407)="","",IFERROR(IF(IFERROR(FIND("@",SUBSTITUTE(TRIM('Base de Datos'!B407),",","@",LEN(TRIM('Base de Datos'!B407))-LEN(SUBSTITUTE(TRIM('Base de Datos'!B407),",","")))),0)&gt;IFERROR(FIND("@",SUBSTITUTE(TRIM('Base de Datos'!B407),".","@",LEN(TRIM('Base de Datos'!B407))-LEN(SUBSTITUTE(TRIM('Base de Datos'!B407),".","")))),0),_xlfn.NUMBERVALUE(SUBSTITUTE(SUBSTITUTE(TRIM('Base de Datos'!B407),".",""),",","."),".",","),_xlfn.NUMBERVALUE(SUBSTITUTE(TRIM('Base de Datos'!B407),",",""),".",",")),"")))</f>
        <v/>
      </c>
      <c r="AF411" s="73" t="str">
        <f aca="false">IF(ISNUMBER(AG411),IF(ISNUMBER('Base de Datos'!I407),IF('Base de Datos'!I407&gt;20000,INT('Base de Datos'!I407),""),IF(TRIM('Base de Datos'!I407)="","",IFERROR(DATE(VALUE(RIGHT(TRIM('Base de Datos'!I407),4)),VALUE(MID(TRIM('Base de Datos'!I407),4,2)),VALUE(LEFT(TRIM('Base de Datos'!I407),2))),IFERROR(DATEVALUE(TRIM('Base de Datos'!I407)),"")))),"")</f>
        <v/>
      </c>
      <c r="AG411" s="74" t="str">
        <f aca="false">IF(ISNUMBER('Base de Datos'!J407),'Base de Datos'!J407,IF(TRIM('Base de Datos'!J407)="","",IFERROR(IF(IFERROR(FIND("@",SUBSTITUTE(TRIM('Base de Datos'!J407),",","@",LEN(TRIM('Base de Datos'!J407))-LEN(SUBSTITUTE(TRIM('Base de Datos'!J407),",","")))),0)&gt;IFERROR(FIND("@",SUBSTITUTE(TRIM('Base de Datos'!J407),".","@",LEN(TRIM('Base de Datos'!J407))-LEN(SUBSTITUTE(TRIM('Base de Datos'!J407),".","")))),0),_xlfn.NUMBERVALUE(SUBSTITUTE(SUBSTITUTE(TRIM('Base de Datos'!J407),".",""),",","."),".",","),_xlfn.NUMBERVALUE(SUBSTITUTE(TRIM('Base de Datos'!J407),",",""),".",",")),"")))</f>
        <v/>
      </c>
    </row>
    <row r="412" customFormat="false" ht="13.5" hidden="false" customHeight="false" outlineLevel="0" collapsed="false">
      <c r="A412" s="75" t="n">
        <f aca="false">ROWS(A$13:A412)</f>
        <v>400</v>
      </c>
      <c r="B412" s="73" t="str">
        <f aca="false">IF(B411="","",IFERROR(SMALL($AH$10:$AH$409,COUNTIF($AH$10:$AH$409,"&lt;="&amp;B411)+1),""))</f>
        <v/>
      </c>
      <c r="C412" s="74" t="str">
        <f aca="false">IF(B412="","",INDEX($AI$10:$AI$409,MATCH(B412,$AH$10:$AH$409,0)))</f>
        <v/>
      </c>
      <c r="D412" s="74" t="str">
        <f aca="false">IF(B412="","",IFERROR(INDEX($AK$10:$AK$409,MATCH(B412,$AJ$10:$AJ$409,0)),""))</f>
        <v/>
      </c>
      <c r="E412" s="76" t="str">
        <f aca="false">IF(AND(ISNUMBER(C412),ISNUMBER(C411)),C412/C411-1,"")</f>
        <v/>
      </c>
      <c r="F412" s="76" t="str">
        <f aca="false">IF(AND(ISNUMBER(D412),ISNUMBER(D411)),D412/D411-1,"")</f>
        <v/>
      </c>
      <c r="G412" s="75" t="str">
        <f aca="false">IF(AND(ISNUMBER(E412),ISNUMBER(F412)),1,"")</f>
        <v/>
      </c>
      <c r="H412" s="75" t="str">
        <f aca="false">IF(G412=1,COUNT(G412:G$412),"")</f>
        <v/>
      </c>
      <c r="I412" s="75" t="str">
        <f aca="false">IF(G412=1,IF(H412&lt;='Beta Regresión'!$B$5,1,""),"")</f>
        <v/>
      </c>
      <c r="J412" s="76" t="str">
        <f aca="false">IF(I412=1,E412,"")</f>
        <v/>
      </c>
      <c r="K412" s="76" t="str">
        <f aca="false">IF(I412=1,F412,"")</f>
        <v/>
      </c>
      <c r="L412" s="75" t="str">
        <f aca="false">IF(I412=1,COUNT(I$13:I412),"")</f>
        <v/>
      </c>
      <c r="M412" s="76" t="str">
        <f aca="false">IFERROR(INDEX($J$13:$J$412,MATCH(A412,$L$13:$L$412,0)),"")</f>
        <v/>
      </c>
      <c r="N412" s="76" t="str">
        <f aca="false">IFERROR(INDEX($K$13:$K$412,MATCH(A412,$L$13:$L$412,0)),"")</f>
        <v/>
      </c>
      <c r="O412" s="76" t="e">
        <f aca="false">IF(I412=1,E412,NA())</f>
        <v>#N/A</v>
      </c>
      <c r="P412" s="76" t="e">
        <f aca="false">IF(I412=1,F412,NA())</f>
        <v>#N/A</v>
      </c>
      <c r="R412" s="75" t="n">
        <f aca="false">ROWS(R$13:R412)</f>
        <v>400</v>
      </c>
      <c r="S412" s="73" t="str">
        <f aca="false">IF(S411="","",IFERROR(SMALL($AD$10:$AD$509,COUNTIF($AD$10:$AD$509,"&lt;="&amp;S411)+1),""))</f>
        <v/>
      </c>
      <c r="T412" s="74" t="str">
        <f aca="false">IF(S412="","",INDEX($AE$10:$AE$509,MATCH(S412,$AD$10:$AD$509,0)))</f>
        <v/>
      </c>
      <c r="U412" s="74" t="str">
        <f aca="false">IF(S412="","",IFERROR(INDEX($AG$10:$AG$509,MATCH(S412,$AF$10:$AF$509,0)),""))</f>
        <v/>
      </c>
      <c r="V412" s="76" t="str">
        <f aca="false">IF(AND(ISNUMBER(T412),ISNUMBER(T411)),T412/T411-1,"")</f>
        <v/>
      </c>
      <c r="W412" s="76" t="str">
        <f aca="false">IF(AND(ISNUMBER(U412),ISNUMBER(U411)),U412/U411-1,"")</f>
        <v/>
      </c>
      <c r="X412" s="75" t="str">
        <f aca="false">IF(AND(ISNUMBER(V412),ISNUMBER(W412)),1,"")</f>
        <v/>
      </c>
      <c r="Y412" s="76" t="str">
        <f aca="false">IF(X412=1,V412,"")</f>
        <v/>
      </c>
      <c r="Z412" s="76" t="str">
        <f aca="false">IF(X412=1,W412,"")</f>
        <v/>
      </c>
      <c r="AA412" s="76" t="e">
        <f aca="false">IF(X412=1,V412,NA())</f>
        <v>#N/A</v>
      </c>
      <c r="AB412" s="76" t="e">
        <f aca="false">IF(X412=1,W412,NA())</f>
        <v>#N/A</v>
      </c>
      <c r="AD412" s="73" t="str">
        <f aca="false">IF(ISNUMBER(AE412),IF(ISNUMBER('Base de Datos'!A408),IF('Base de Datos'!A408&gt;20000,DATE(YEAR('Base de Datos'!A408),DAY('Base de Datos'!A408),MONTH('Base de Datos'!A408)),""),IF(TRIM('Base de Datos'!A408)="","",IFERROR(DATE(VALUE(RIGHT(TRIM('Base de Datos'!A408),4)),VALUE(LEFT(TRIM('Base de Datos'!A408),2)),VALUE(MID(TRIM('Base de Datos'!A408),4,2))),""))),"")</f>
        <v/>
      </c>
      <c r="AE412" s="74" t="str">
        <f aca="false">IF(ISNUMBER('Base de Datos'!B408),'Base de Datos'!B408,IF(TRIM('Base de Datos'!B408)="","",IFERROR(IF(IFERROR(FIND("@",SUBSTITUTE(TRIM('Base de Datos'!B408),",","@",LEN(TRIM('Base de Datos'!B408))-LEN(SUBSTITUTE(TRIM('Base de Datos'!B408),",","")))),0)&gt;IFERROR(FIND("@",SUBSTITUTE(TRIM('Base de Datos'!B408),".","@",LEN(TRIM('Base de Datos'!B408))-LEN(SUBSTITUTE(TRIM('Base de Datos'!B408),".","")))),0),_xlfn.NUMBERVALUE(SUBSTITUTE(SUBSTITUTE(TRIM('Base de Datos'!B408),".",""),",","."),".",","),_xlfn.NUMBERVALUE(SUBSTITUTE(TRIM('Base de Datos'!B408),",",""),".",",")),"")))</f>
        <v/>
      </c>
      <c r="AF412" s="73" t="str">
        <f aca="false">IF(ISNUMBER(AG412),IF(ISNUMBER('Base de Datos'!I408),IF('Base de Datos'!I408&gt;20000,INT('Base de Datos'!I408),""),IF(TRIM('Base de Datos'!I408)="","",IFERROR(DATE(VALUE(RIGHT(TRIM('Base de Datos'!I408),4)),VALUE(MID(TRIM('Base de Datos'!I408),4,2)),VALUE(LEFT(TRIM('Base de Datos'!I408),2))),IFERROR(DATEVALUE(TRIM('Base de Datos'!I408)),"")))),"")</f>
        <v/>
      </c>
      <c r="AG412" s="74" t="str">
        <f aca="false">IF(ISNUMBER('Base de Datos'!J408),'Base de Datos'!J408,IF(TRIM('Base de Datos'!J408)="","",IFERROR(IF(IFERROR(FIND("@",SUBSTITUTE(TRIM('Base de Datos'!J408),",","@",LEN(TRIM('Base de Datos'!J408))-LEN(SUBSTITUTE(TRIM('Base de Datos'!J408),",","")))),0)&gt;IFERROR(FIND("@",SUBSTITUTE(TRIM('Base de Datos'!J408),".","@",LEN(TRIM('Base de Datos'!J408))-LEN(SUBSTITUTE(TRIM('Base de Datos'!J408),".","")))),0),_xlfn.NUMBERVALUE(SUBSTITUTE(SUBSTITUTE(TRIM('Base de Datos'!J408),".",""),",","."),".",","),_xlfn.NUMBERVALUE(SUBSTITUTE(TRIM('Base de Datos'!J408),",",""),".",",")),"")))</f>
        <v/>
      </c>
    </row>
    <row r="413" customFormat="false" ht="13.5" hidden="false" customHeight="false" outlineLevel="0" collapsed="false">
      <c r="R413" s="75" t="n">
        <f aca="false">ROWS(R$13:R413)</f>
        <v>401</v>
      </c>
      <c r="S413" s="73" t="str">
        <f aca="false">IF(S412="","",IFERROR(SMALL($AD$10:$AD$509,COUNTIF($AD$10:$AD$509,"&lt;="&amp;S412)+1),""))</f>
        <v/>
      </c>
      <c r="T413" s="74" t="str">
        <f aca="false">IF(S413="","",INDEX($AE$10:$AE$509,MATCH(S413,$AD$10:$AD$509,0)))</f>
        <v/>
      </c>
      <c r="U413" s="74" t="str">
        <f aca="false">IF(S413="","",IFERROR(INDEX($AG$10:$AG$509,MATCH(S413,$AF$10:$AF$509,0)),""))</f>
        <v/>
      </c>
      <c r="V413" s="76" t="str">
        <f aca="false">IF(AND(ISNUMBER(T413),ISNUMBER(T412)),T413/T412-1,"")</f>
        <v/>
      </c>
      <c r="W413" s="76" t="str">
        <f aca="false">IF(AND(ISNUMBER(U413),ISNUMBER(U412)),U413/U412-1,"")</f>
        <v/>
      </c>
      <c r="X413" s="75" t="str">
        <f aca="false">IF(AND(ISNUMBER(V413),ISNUMBER(W413)),1,"")</f>
        <v/>
      </c>
      <c r="Y413" s="76" t="str">
        <f aca="false">IF(X413=1,V413,"")</f>
        <v/>
      </c>
      <c r="Z413" s="76" t="str">
        <f aca="false">IF(X413=1,W413,"")</f>
        <v/>
      </c>
      <c r="AA413" s="76" t="e">
        <f aca="false">IF(X413=1,V413,NA())</f>
        <v>#N/A</v>
      </c>
      <c r="AB413" s="76" t="e">
        <f aca="false">IF(X413=1,W413,NA())</f>
        <v>#N/A</v>
      </c>
      <c r="AD413" s="73" t="str">
        <f aca="false">IF(ISNUMBER(AE413),IF(ISNUMBER('Base de Datos'!A409),IF('Base de Datos'!A409&gt;20000,DATE(YEAR('Base de Datos'!A409),DAY('Base de Datos'!A409),MONTH('Base de Datos'!A409)),""),IF(TRIM('Base de Datos'!A409)="","",IFERROR(DATE(VALUE(RIGHT(TRIM('Base de Datos'!A409),4)),VALUE(LEFT(TRIM('Base de Datos'!A409),2)),VALUE(MID(TRIM('Base de Datos'!A409),4,2))),""))),"")</f>
        <v/>
      </c>
      <c r="AE413" s="74" t="str">
        <f aca="false">IF(ISNUMBER('Base de Datos'!B409),'Base de Datos'!B409,IF(TRIM('Base de Datos'!B409)="","",IFERROR(IF(IFERROR(FIND("@",SUBSTITUTE(TRIM('Base de Datos'!B409),",","@",LEN(TRIM('Base de Datos'!B409))-LEN(SUBSTITUTE(TRIM('Base de Datos'!B409),",","")))),0)&gt;IFERROR(FIND("@",SUBSTITUTE(TRIM('Base de Datos'!B409),".","@",LEN(TRIM('Base de Datos'!B409))-LEN(SUBSTITUTE(TRIM('Base de Datos'!B409),".","")))),0),_xlfn.NUMBERVALUE(SUBSTITUTE(SUBSTITUTE(TRIM('Base de Datos'!B409),".",""),",","."),".",","),_xlfn.NUMBERVALUE(SUBSTITUTE(TRIM('Base de Datos'!B409),",",""),".",",")),"")))</f>
        <v/>
      </c>
      <c r="AF413" s="73" t="str">
        <f aca="false">IF(ISNUMBER(AG413),IF(ISNUMBER('Base de Datos'!I409),IF('Base de Datos'!I409&gt;20000,INT('Base de Datos'!I409),""),IF(TRIM('Base de Datos'!I409)="","",IFERROR(DATE(VALUE(RIGHT(TRIM('Base de Datos'!I409),4)),VALUE(MID(TRIM('Base de Datos'!I409),4,2)),VALUE(LEFT(TRIM('Base de Datos'!I409),2))),IFERROR(DATEVALUE(TRIM('Base de Datos'!I409)),"")))),"")</f>
        <v/>
      </c>
      <c r="AG413" s="74" t="str">
        <f aca="false">IF(ISNUMBER('Base de Datos'!J409),'Base de Datos'!J409,IF(TRIM('Base de Datos'!J409)="","",IFERROR(IF(IFERROR(FIND("@",SUBSTITUTE(TRIM('Base de Datos'!J409),",","@",LEN(TRIM('Base de Datos'!J409))-LEN(SUBSTITUTE(TRIM('Base de Datos'!J409),",","")))),0)&gt;IFERROR(FIND("@",SUBSTITUTE(TRIM('Base de Datos'!J409),".","@",LEN(TRIM('Base de Datos'!J409))-LEN(SUBSTITUTE(TRIM('Base de Datos'!J409),".","")))),0),_xlfn.NUMBERVALUE(SUBSTITUTE(SUBSTITUTE(TRIM('Base de Datos'!J409),".",""),",","."),".",","),_xlfn.NUMBERVALUE(SUBSTITUTE(TRIM('Base de Datos'!J409),",",""),".",",")),"")))</f>
        <v/>
      </c>
    </row>
    <row r="414" customFormat="false" ht="13.5" hidden="false" customHeight="false" outlineLevel="0" collapsed="false">
      <c r="R414" s="75" t="n">
        <f aca="false">ROWS(R$13:R414)</f>
        <v>402</v>
      </c>
      <c r="S414" s="73" t="str">
        <f aca="false">IF(S413="","",IFERROR(SMALL($AD$10:$AD$509,COUNTIF($AD$10:$AD$509,"&lt;="&amp;S413)+1),""))</f>
        <v/>
      </c>
      <c r="T414" s="74" t="str">
        <f aca="false">IF(S414="","",INDEX($AE$10:$AE$509,MATCH(S414,$AD$10:$AD$509,0)))</f>
        <v/>
      </c>
      <c r="U414" s="74" t="str">
        <f aca="false">IF(S414="","",IFERROR(INDEX($AG$10:$AG$509,MATCH(S414,$AF$10:$AF$509,0)),""))</f>
        <v/>
      </c>
      <c r="V414" s="76" t="str">
        <f aca="false">IF(AND(ISNUMBER(T414),ISNUMBER(T413)),T414/T413-1,"")</f>
        <v/>
      </c>
      <c r="W414" s="76" t="str">
        <f aca="false">IF(AND(ISNUMBER(U414),ISNUMBER(U413)),U414/U413-1,"")</f>
        <v/>
      </c>
      <c r="X414" s="75" t="str">
        <f aca="false">IF(AND(ISNUMBER(V414),ISNUMBER(W414)),1,"")</f>
        <v/>
      </c>
      <c r="Y414" s="76" t="str">
        <f aca="false">IF(X414=1,V414,"")</f>
        <v/>
      </c>
      <c r="Z414" s="76" t="str">
        <f aca="false">IF(X414=1,W414,"")</f>
        <v/>
      </c>
      <c r="AA414" s="76" t="e">
        <f aca="false">IF(X414=1,V414,NA())</f>
        <v>#N/A</v>
      </c>
      <c r="AB414" s="76" t="e">
        <f aca="false">IF(X414=1,W414,NA())</f>
        <v>#N/A</v>
      </c>
      <c r="AD414" s="73" t="str">
        <f aca="false">IF(ISNUMBER(AE414),IF(ISNUMBER('Base de Datos'!A410),IF('Base de Datos'!A410&gt;20000,DATE(YEAR('Base de Datos'!A410),DAY('Base de Datos'!A410),MONTH('Base de Datos'!A410)),""),IF(TRIM('Base de Datos'!A410)="","",IFERROR(DATE(VALUE(RIGHT(TRIM('Base de Datos'!A410),4)),VALUE(LEFT(TRIM('Base de Datos'!A410),2)),VALUE(MID(TRIM('Base de Datos'!A410),4,2))),""))),"")</f>
        <v/>
      </c>
      <c r="AE414" s="74" t="str">
        <f aca="false">IF(ISNUMBER('Base de Datos'!B410),'Base de Datos'!B410,IF(TRIM('Base de Datos'!B410)="","",IFERROR(IF(IFERROR(FIND("@",SUBSTITUTE(TRIM('Base de Datos'!B410),",","@",LEN(TRIM('Base de Datos'!B410))-LEN(SUBSTITUTE(TRIM('Base de Datos'!B410),",","")))),0)&gt;IFERROR(FIND("@",SUBSTITUTE(TRIM('Base de Datos'!B410),".","@",LEN(TRIM('Base de Datos'!B410))-LEN(SUBSTITUTE(TRIM('Base de Datos'!B410),".","")))),0),_xlfn.NUMBERVALUE(SUBSTITUTE(SUBSTITUTE(TRIM('Base de Datos'!B410),".",""),",","."),".",","),_xlfn.NUMBERVALUE(SUBSTITUTE(TRIM('Base de Datos'!B410),",",""),".",",")),"")))</f>
        <v/>
      </c>
      <c r="AF414" s="73" t="str">
        <f aca="false">IF(ISNUMBER(AG414),IF(ISNUMBER('Base de Datos'!I410),IF('Base de Datos'!I410&gt;20000,INT('Base de Datos'!I410),""),IF(TRIM('Base de Datos'!I410)="","",IFERROR(DATE(VALUE(RIGHT(TRIM('Base de Datos'!I410),4)),VALUE(MID(TRIM('Base de Datos'!I410),4,2)),VALUE(LEFT(TRIM('Base de Datos'!I410),2))),IFERROR(DATEVALUE(TRIM('Base de Datos'!I410)),"")))),"")</f>
        <v/>
      </c>
      <c r="AG414" s="74" t="str">
        <f aca="false">IF(ISNUMBER('Base de Datos'!J410),'Base de Datos'!J410,IF(TRIM('Base de Datos'!J410)="","",IFERROR(IF(IFERROR(FIND("@",SUBSTITUTE(TRIM('Base de Datos'!J410),",","@",LEN(TRIM('Base de Datos'!J410))-LEN(SUBSTITUTE(TRIM('Base de Datos'!J410),",","")))),0)&gt;IFERROR(FIND("@",SUBSTITUTE(TRIM('Base de Datos'!J410),".","@",LEN(TRIM('Base de Datos'!J410))-LEN(SUBSTITUTE(TRIM('Base de Datos'!J410),".","")))),0),_xlfn.NUMBERVALUE(SUBSTITUTE(SUBSTITUTE(TRIM('Base de Datos'!J410),".",""),",","."),".",","),_xlfn.NUMBERVALUE(SUBSTITUTE(TRIM('Base de Datos'!J410),",",""),".",",")),"")))</f>
        <v/>
      </c>
    </row>
    <row r="415" customFormat="false" ht="13.5" hidden="false" customHeight="false" outlineLevel="0" collapsed="false">
      <c r="R415" s="75" t="n">
        <f aca="false">ROWS(R$13:R415)</f>
        <v>403</v>
      </c>
      <c r="S415" s="73" t="str">
        <f aca="false">IF(S414="","",IFERROR(SMALL($AD$10:$AD$509,COUNTIF($AD$10:$AD$509,"&lt;="&amp;S414)+1),""))</f>
        <v/>
      </c>
      <c r="T415" s="74" t="str">
        <f aca="false">IF(S415="","",INDEX($AE$10:$AE$509,MATCH(S415,$AD$10:$AD$509,0)))</f>
        <v/>
      </c>
      <c r="U415" s="74" t="str">
        <f aca="false">IF(S415="","",IFERROR(INDEX($AG$10:$AG$509,MATCH(S415,$AF$10:$AF$509,0)),""))</f>
        <v/>
      </c>
      <c r="V415" s="76" t="str">
        <f aca="false">IF(AND(ISNUMBER(T415),ISNUMBER(T414)),T415/T414-1,"")</f>
        <v/>
      </c>
      <c r="W415" s="76" t="str">
        <f aca="false">IF(AND(ISNUMBER(U415),ISNUMBER(U414)),U415/U414-1,"")</f>
        <v/>
      </c>
      <c r="X415" s="75" t="str">
        <f aca="false">IF(AND(ISNUMBER(V415),ISNUMBER(W415)),1,"")</f>
        <v/>
      </c>
      <c r="Y415" s="76" t="str">
        <f aca="false">IF(X415=1,V415,"")</f>
        <v/>
      </c>
      <c r="Z415" s="76" t="str">
        <f aca="false">IF(X415=1,W415,"")</f>
        <v/>
      </c>
      <c r="AA415" s="76" t="e">
        <f aca="false">IF(X415=1,V415,NA())</f>
        <v>#N/A</v>
      </c>
      <c r="AB415" s="76" t="e">
        <f aca="false">IF(X415=1,W415,NA())</f>
        <v>#N/A</v>
      </c>
      <c r="AD415" s="73" t="str">
        <f aca="false">IF(ISNUMBER(AE415),IF(ISNUMBER('Base de Datos'!A411),IF('Base de Datos'!A411&gt;20000,DATE(YEAR('Base de Datos'!A411),DAY('Base de Datos'!A411),MONTH('Base de Datos'!A411)),""),IF(TRIM('Base de Datos'!A411)="","",IFERROR(DATE(VALUE(RIGHT(TRIM('Base de Datos'!A411),4)),VALUE(LEFT(TRIM('Base de Datos'!A411),2)),VALUE(MID(TRIM('Base de Datos'!A411),4,2))),""))),"")</f>
        <v/>
      </c>
      <c r="AE415" s="74" t="str">
        <f aca="false">IF(ISNUMBER('Base de Datos'!B411),'Base de Datos'!B411,IF(TRIM('Base de Datos'!B411)="","",IFERROR(IF(IFERROR(FIND("@",SUBSTITUTE(TRIM('Base de Datos'!B411),",","@",LEN(TRIM('Base de Datos'!B411))-LEN(SUBSTITUTE(TRIM('Base de Datos'!B411),",","")))),0)&gt;IFERROR(FIND("@",SUBSTITUTE(TRIM('Base de Datos'!B411),".","@",LEN(TRIM('Base de Datos'!B411))-LEN(SUBSTITUTE(TRIM('Base de Datos'!B411),".","")))),0),_xlfn.NUMBERVALUE(SUBSTITUTE(SUBSTITUTE(TRIM('Base de Datos'!B411),".",""),",","."),".",","),_xlfn.NUMBERVALUE(SUBSTITUTE(TRIM('Base de Datos'!B411),",",""),".",",")),"")))</f>
        <v/>
      </c>
      <c r="AF415" s="73" t="str">
        <f aca="false">IF(ISNUMBER(AG415),IF(ISNUMBER('Base de Datos'!I411),IF('Base de Datos'!I411&gt;20000,INT('Base de Datos'!I411),""),IF(TRIM('Base de Datos'!I411)="","",IFERROR(DATE(VALUE(RIGHT(TRIM('Base de Datos'!I411),4)),VALUE(MID(TRIM('Base de Datos'!I411),4,2)),VALUE(LEFT(TRIM('Base de Datos'!I411),2))),IFERROR(DATEVALUE(TRIM('Base de Datos'!I411)),"")))),"")</f>
        <v/>
      </c>
      <c r="AG415" s="74" t="str">
        <f aca="false">IF(ISNUMBER('Base de Datos'!J411),'Base de Datos'!J411,IF(TRIM('Base de Datos'!J411)="","",IFERROR(IF(IFERROR(FIND("@",SUBSTITUTE(TRIM('Base de Datos'!J411),",","@",LEN(TRIM('Base de Datos'!J411))-LEN(SUBSTITUTE(TRIM('Base de Datos'!J411),",","")))),0)&gt;IFERROR(FIND("@",SUBSTITUTE(TRIM('Base de Datos'!J411),".","@",LEN(TRIM('Base de Datos'!J411))-LEN(SUBSTITUTE(TRIM('Base de Datos'!J411),".","")))),0),_xlfn.NUMBERVALUE(SUBSTITUTE(SUBSTITUTE(TRIM('Base de Datos'!J411),".",""),",","."),".",","),_xlfn.NUMBERVALUE(SUBSTITUTE(TRIM('Base de Datos'!J411),",",""),".",",")),"")))</f>
        <v/>
      </c>
    </row>
    <row r="416" customFormat="false" ht="13.5" hidden="false" customHeight="false" outlineLevel="0" collapsed="false">
      <c r="R416" s="75" t="n">
        <f aca="false">ROWS(R$13:R416)</f>
        <v>404</v>
      </c>
      <c r="S416" s="73" t="str">
        <f aca="false">IF(S415="","",IFERROR(SMALL($AD$10:$AD$509,COUNTIF($AD$10:$AD$509,"&lt;="&amp;S415)+1),""))</f>
        <v/>
      </c>
      <c r="T416" s="74" t="str">
        <f aca="false">IF(S416="","",INDEX($AE$10:$AE$509,MATCH(S416,$AD$10:$AD$509,0)))</f>
        <v/>
      </c>
      <c r="U416" s="74" t="str">
        <f aca="false">IF(S416="","",IFERROR(INDEX($AG$10:$AG$509,MATCH(S416,$AF$10:$AF$509,0)),""))</f>
        <v/>
      </c>
      <c r="V416" s="76" t="str">
        <f aca="false">IF(AND(ISNUMBER(T416),ISNUMBER(T415)),T416/T415-1,"")</f>
        <v/>
      </c>
      <c r="W416" s="76" t="str">
        <f aca="false">IF(AND(ISNUMBER(U416),ISNUMBER(U415)),U416/U415-1,"")</f>
        <v/>
      </c>
      <c r="X416" s="75" t="str">
        <f aca="false">IF(AND(ISNUMBER(V416),ISNUMBER(W416)),1,"")</f>
        <v/>
      </c>
      <c r="Y416" s="76" t="str">
        <f aca="false">IF(X416=1,V416,"")</f>
        <v/>
      </c>
      <c r="Z416" s="76" t="str">
        <f aca="false">IF(X416=1,W416,"")</f>
        <v/>
      </c>
      <c r="AA416" s="76" t="e">
        <f aca="false">IF(X416=1,V416,NA())</f>
        <v>#N/A</v>
      </c>
      <c r="AB416" s="76" t="e">
        <f aca="false">IF(X416=1,W416,NA())</f>
        <v>#N/A</v>
      </c>
      <c r="AD416" s="73" t="str">
        <f aca="false">IF(ISNUMBER(AE416),IF(ISNUMBER('Base de Datos'!A412),IF('Base de Datos'!A412&gt;20000,DATE(YEAR('Base de Datos'!A412),DAY('Base de Datos'!A412),MONTH('Base de Datos'!A412)),""),IF(TRIM('Base de Datos'!A412)="","",IFERROR(DATE(VALUE(RIGHT(TRIM('Base de Datos'!A412),4)),VALUE(LEFT(TRIM('Base de Datos'!A412),2)),VALUE(MID(TRIM('Base de Datos'!A412),4,2))),""))),"")</f>
        <v/>
      </c>
      <c r="AE416" s="74" t="str">
        <f aca="false">IF(ISNUMBER('Base de Datos'!B412),'Base de Datos'!B412,IF(TRIM('Base de Datos'!B412)="","",IFERROR(IF(IFERROR(FIND("@",SUBSTITUTE(TRIM('Base de Datos'!B412),",","@",LEN(TRIM('Base de Datos'!B412))-LEN(SUBSTITUTE(TRIM('Base de Datos'!B412),",","")))),0)&gt;IFERROR(FIND("@",SUBSTITUTE(TRIM('Base de Datos'!B412),".","@",LEN(TRIM('Base de Datos'!B412))-LEN(SUBSTITUTE(TRIM('Base de Datos'!B412),".","")))),0),_xlfn.NUMBERVALUE(SUBSTITUTE(SUBSTITUTE(TRIM('Base de Datos'!B412),".",""),",","."),".",","),_xlfn.NUMBERVALUE(SUBSTITUTE(TRIM('Base de Datos'!B412),",",""),".",",")),"")))</f>
        <v/>
      </c>
      <c r="AF416" s="73" t="str">
        <f aca="false">IF(ISNUMBER(AG416),IF(ISNUMBER('Base de Datos'!I412),IF('Base de Datos'!I412&gt;20000,INT('Base de Datos'!I412),""),IF(TRIM('Base de Datos'!I412)="","",IFERROR(DATE(VALUE(RIGHT(TRIM('Base de Datos'!I412),4)),VALUE(MID(TRIM('Base de Datos'!I412),4,2)),VALUE(LEFT(TRIM('Base de Datos'!I412),2))),IFERROR(DATEVALUE(TRIM('Base de Datos'!I412)),"")))),"")</f>
        <v/>
      </c>
      <c r="AG416" s="74" t="str">
        <f aca="false">IF(ISNUMBER('Base de Datos'!J412),'Base de Datos'!J412,IF(TRIM('Base de Datos'!J412)="","",IFERROR(IF(IFERROR(FIND("@",SUBSTITUTE(TRIM('Base de Datos'!J412),",","@",LEN(TRIM('Base de Datos'!J412))-LEN(SUBSTITUTE(TRIM('Base de Datos'!J412),",","")))),0)&gt;IFERROR(FIND("@",SUBSTITUTE(TRIM('Base de Datos'!J412),".","@",LEN(TRIM('Base de Datos'!J412))-LEN(SUBSTITUTE(TRIM('Base de Datos'!J412),".","")))),0),_xlfn.NUMBERVALUE(SUBSTITUTE(SUBSTITUTE(TRIM('Base de Datos'!J412),".",""),",","."),".",","),_xlfn.NUMBERVALUE(SUBSTITUTE(TRIM('Base de Datos'!J412),",",""),".",",")),"")))</f>
        <v/>
      </c>
    </row>
    <row r="417" customFormat="false" ht="13.5" hidden="false" customHeight="false" outlineLevel="0" collapsed="false">
      <c r="R417" s="75" t="n">
        <f aca="false">ROWS(R$13:R417)</f>
        <v>405</v>
      </c>
      <c r="S417" s="73" t="str">
        <f aca="false">IF(S416="","",IFERROR(SMALL($AD$10:$AD$509,COUNTIF($AD$10:$AD$509,"&lt;="&amp;S416)+1),""))</f>
        <v/>
      </c>
      <c r="T417" s="74" t="str">
        <f aca="false">IF(S417="","",INDEX($AE$10:$AE$509,MATCH(S417,$AD$10:$AD$509,0)))</f>
        <v/>
      </c>
      <c r="U417" s="74" t="str">
        <f aca="false">IF(S417="","",IFERROR(INDEX($AG$10:$AG$509,MATCH(S417,$AF$10:$AF$509,0)),""))</f>
        <v/>
      </c>
      <c r="V417" s="76" t="str">
        <f aca="false">IF(AND(ISNUMBER(T417),ISNUMBER(T416)),T417/T416-1,"")</f>
        <v/>
      </c>
      <c r="W417" s="76" t="str">
        <f aca="false">IF(AND(ISNUMBER(U417),ISNUMBER(U416)),U417/U416-1,"")</f>
        <v/>
      </c>
      <c r="X417" s="75" t="str">
        <f aca="false">IF(AND(ISNUMBER(V417),ISNUMBER(W417)),1,"")</f>
        <v/>
      </c>
      <c r="Y417" s="76" t="str">
        <f aca="false">IF(X417=1,V417,"")</f>
        <v/>
      </c>
      <c r="Z417" s="76" t="str">
        <f aca="false">IF(X417=1,W417,"")</f>
        <v/>
      </c>
      <c r="AA417" s="76" t="e">
        <f aca="false">IF(X417=1,V417,NA())</f>
        <v>#N/A</v>
      </c>
      <c r="AB417" s="76" t="e">
        <f aca="false">IF(X417=1,W417,NA())</f>
        <v>#N/A</v>
      </c>
      <c r="AD417" s="73" t="str">
        <f aca="false">IF(ISNUMBER(AE417),IF(ISNUMBER('Base de Datos'!A413),IF('Base de Datos'!A413&gt;20000,DATE(YEAR('Base de Datos'!A413),DAY('Base de Datos'!A413),MONTH('Base de Datos'!A413)),""),IF(TRIM('Base de Datos'!A413)="","",IFERROR(DATE(VALUE(RIGHT(TRIM('Base de Datos'!A413),4)),VALUE(LEFT(TRIM('Base de Datos'!A413),2)),VALUE(MID(TRIM('Base de Datos'!A413),4,2))),""))),"")</f>
        <v/>
      </c>
      <c r="AE417" s="74" t="str">
        <f aca="false">IF(ISNUMBER('Base de Datos'!B413),'Base de Datos'!B413,IF(TRIM('Base de Datos'!B413)="","",IFERROR(IF(IFERROR(FIND("@",SUBSTITUTE(TRIM('Base de Datos'!B413),",","@",LEN(TRIM('Base de Datos'!B413))-LEN(SUBSTITUTE(TRIM('Base de Datos'!B413),",","")))),0)&gt;IFERROR(FIND("@",SUBSTITUTE(TRIM('Base de Datos'!B413),".","@",LEN(TRIM('Base de Datos'!B413))-LEN(SUBSTITUTE(TRIM('Base de Datos'!B413),".","")))),0),_xlfn.NUMBERVALUE(SUBSTITUTE(SUBSTITUTE(TRIM('Base de Datos'!B413),".",""),",","."),".",","),_xlfn.NUMBERVALUE(SUBSTITUTE(TRIM('Base de Datos'!B413),",",""),".",",")),"")))</f>
        <v/>
      </c>
      <c r="AF417" s="73" t="str">
        <f aca="false">IF(ISNUMBER(AG417),IF(ISNUMBER('Base de Datos'!I413),IF('Base de Datos'!I413&gt;20000,INT('Base de Datos'!I413),""),IF(TRIM('Base de Datos'!I413)="","",IFERROR(DATE(VALUE(RIGHT(TRIM('Base de Datos'!I413),4)),VALUE(MID(TRIM('Base de Datos'!I413),4,2)),VALUE(LEFT(TRIM('Base de Datos'!I413),2))),IFERROR(DATEVALUE(TRIM('Base de Datos'!I413)),"")))),"")</f>
        <v/>
      </c>
      <c r="AG417" s="74" t="str">
        <f aca="false">IF(ISNUMBER('Base de Datos'!J413),'Base de Datos'!J413,IF(TRIM('Base de Datos'!J413)="","",IFERROR(IF(IFERROR(FIND("@",SUBSTITUTE(TRIM('Base de Datos'!J413),",","@",LEN(TRIM('Base de Datos'!J413))-LEN(SUBSTITUTE(TRIM('Base de Datos'!J413),",","")))),0)&gt;IFERROR(FIND("@",SUBSTITUTE(TRIM('Base de Datos'!J413),".","@",LEN(TRIM('Base de Datos'!J413))-LEN(SUBSTITUTE(TRIM('Base de Datos'!J413),".","")))),0),_xlfn.NUMBERVALUE(SUBSTITUTE(SUBSTITUTE(TRIM('Base de Datos'!J413),".",""),",","."),".",","),_xlfn.NUMBERVALUE(SUBSTITUTE(TRIM('Base de Datos'!J413),",",""),".",",")),"")))</f>
        <v/>
      </c>
    </row>
    <row r="418" customFormat="false" ht="13.5" hidden="false" customHeight="false" outlineLevel="0" collapsed="false">
      <c r="R418" s="75" t="n">
        <f aca="false">ROWS(R$13:R418)</f>
        <v>406</v>
      </c>
      <c r="S418" s="73" t="str">
        <f aca="false">IF(S417="","",IFERROR(SMALL($AD$10:$AD$509,COUNTIF($AD$10:$AD$509,"&lt;="&amp;S417)+1),""))</f>
        <v/>
      </c>
      <c r="T418" s="74" t="str">
        <f aca="false">IF(S418="","",INDEX($AE$10:$AE$509,MATCH(S418,$AD$10:$AD$509,0)))</f>
        <v/>
      </c>
      <c r="U418" s="74" t="str">
        <f aca="false">IF(S418="","",IFERROR(INDEX($AG$10:$AG$509,MATCH(S418,$AF$10:$AF$509,0)),""))</f>
        <v/>
      </c>
      <c r="V418" s="76" t="str">
        <f aca="false">IF(AND(ISNUMBER(T418),ISNUMBER(T417)),T418/T417-1,"")</f>
        <v/>
      </c>
      <c r="W418" s="76" t="str">
        <f aca="false">IF(AND(ISNUMBER(U418),ISNUMBER(U417)),U418/U417-1,"")</f>
        <v/>
      </c>
      <c r="X418" s="75" t="str">
        <f aca="false">IF(AND(ISNUMBER(V418),ISNUMBER(W418)),1,"")</f>
        <v/>
      </c>
      <c r="Y418" s="76" t="str">
        <f aca="false">IF(X418=1,V418,"")</f>
        <v/>
      </c>
      <c r="Z418" s="76" t="str">
        <f aca="false">IF(X418=1,W418,"")</f>
        <v/>
      </c>
      <c r="AA418" s="76" t="e">
        <f aca="false">IF(X418=1,V418,NA())</f>
        <v>#N/A</v>
      </c>
      <c r="AB418" s="76" t="e">
        <f aca="false">IF(X418=1,W418,NA())</f>
        <v>#N/A</v>
      </c>
      <c r="AD418" s="73" t="str">
        <f aca="false">IF(ISNUMBER(AE418),IF(ISNUMBER('Base de Datos'!A414),IF('Base de Datos'!A414&gt;20000,DATE(YEAR('Base de Datos'!A414),DAY('Base de Datos'!A414),MONTH('Base de Datos'!A414)),""),IF(TRIM('Base de Datos'!A414)="","",IFERROR(DATE(VALUE(RIGHT(TRIM('Base de Datos'!A414),4)),VALUE(LEFT(TRIM('Base de Datos'!A414),2)),VALUE(MID(TRIM('Base de Datos'!A414),4,2))),""))),"")</f>
        <v/>
      </c>
      <c r="AE418" s="74" t="str">
        <f aca="false">IF(ISNUMBER('Base de Datos'!B414),'Base de Datos'!B414,IF(TRIM('Base de Datos'!B414)="","",IFERROR(IF(IFERROR(FIND("@",SUBSTITUTE(TRIM('Base de Datos'!B414),",","@",LEN(TRIM('Base de Datos'!B414))-LEN(SUBSTITUTE(TRIM('Base de Datos'!B414),",","")))),0)&gt;IFERROR(FIND("@",SUBSTITUTE(TRIM('Base de Datos'!B414),".","@",LEN(TRIM('Base de Datos'!B414))-LEN(SUBSTITUTE(TRIM('Base de Datos'!B414),".","")))),0),_xlfn.NUMBERVALUE(SUBSTITUTE(SUBSTITUTE(TRIM('Base de Datos'!B414),".",""),",","."),".",","),_xlfn.NUMBERVALUE(SUBSTITUTE(TRIM('Base de Datos'!B414),",",""),".",",")),"")))</f>
        <v/>
      </c>
      <c r="AF418" s="73" t="str">
        <f aca="false">IF(ISNUMBER(AG418),IF(ISNUMBER('Base de Datos'!I414),IF('Base de Datos'!I414&gt;20000,INT('Base de Datos'!I414),""),IF(TRIM('Base de Datos'!I414)="","",IFERROR(DATE(VALUE(RIGHT(TRIM('Base de Datos'!I414),4)),VALUE(MID(TRIM('Base de Datos'!I414),4,2)),VALUE(LEFT(TRIM('Base de Datos'!I414),2))),IFERROR(DATEVALUE(TRIM('Base de Datos'!I414)),"")))),"")</f>
        <v/>
      </c>
      <c r="AG418" s="74" t="str">
        <f aca="false">IF(ISNUMBER('Base de Datos'!J414),'Base de Datos'!J414,IF(TRIM('Base de Datos'!J414)="","",IFERROR(IF(IFERROR(FIND("@",SUBSTITUTE(TRIM('Base de Datos'!J414),",","@",LEN(TRIM('Base de Datos'!J414))-LEN(SUBSTITUTE(TRIM('Base de Datos'!J414),",","")))),0)&gt;IFERROR(FIND("@",SUBSTITUTE(TRIM('Base de Datos'!J414),".","@",LEN(TRIM('Base de Datos'!J414))-LEN(SUBSTITUTE(TRIM('Base de Datos'!J414),".","")))),0),_xlfn.NUMBERVALUE(SUBSTITUTE(SUBSTITUTE(TRIM('Base de Datos'!J414),".",""),",","."),".",","),_xlfn.NUMBERVALUE(SUBSTITUTE(TRIM('Base de Datos'!J414),",",""),".",",")),"")))</f>
        <v/>
      </c>
    </row>
    <row r="419" customFormat="false" ht="13.5" hidden="false" customHeight="false" outlineLevel="0" collapsed="false">
      <c r="R419" s="75" t="n">
        <f aca="false">ROWS(R$13:R419)</f>
        <v>407</v>
      </c>
      <c r="S419" s="73" t="str">
        <f aca="false">IF(S418="","",IFERROR(SMALL($AD$10:$AD$509,COUNTIF($AD$10:$AD$509,"&lt;="&amp;S418)+1),""))</f>
        <v/>
      </c>
      <c r="T419" s="74" t="str">
        <f aca="false">IF(S419="","",INDEX($AE$10:$AE$509,MATCH(S419,$AD$10:$AD$509,0)))</f>
        <v/>
      </c>
      <c r="U419" s="74" t="str">
        <f aca="false">IF(S419="","",IFERROR(INDEX($AG$10:$AG$509,MATCH(S419,$AF$10:$AF$509,0)),""))</f>
        <v/>
      </c>
      <c r="V419" s="76" t="str">
        <f aca="false">IF(AND(ISNUMBER(T419),ISNUMBER(T418)),T419/T418-1,"")</f>
        <v/>
      </c>
      <c r="W419" s="76" t="str">
        <f aca="false">IF(AND(ISNUMBER(U419),ISNUMBER(U418)),U419/U418-1,"")</f>
        <v/>
      </c>
      <c r="X419" s="75" t="str">
        <f aca="false">IF(AND(ISNUMBER(V419),ISNUMBER(W419)),1,"")</f>
        <v/>
      </c>
      <c r="Y419" s="76" t="str">
        <f aca="false">IF(X419=1,V419,"")</f>
        <v/>
      </c>
      <c r="Z419" s="76" t="str">
        <f aca="false">IF(X419=1,W419,"")</f>
        <v/>
      </c>
      <c r="AA419" s="76" t="e">
        <f aca="false">IF(X419=1,V419,NA())</f>
        <v>#N/A</v>
      </c>
      <c r="AB419" s="76" t="e">
        <f aca="false">IF(X419=1,W419,NA())</f>
        <v>#N/A</v>
      </c>
      <c r="AD419" s="73" t="str">
        <f aca="false">IF(ISNUMBER(AE419),IF(ISNUMBER('Base de Datos'!A415),IF('Base de Datos'!A415&gt;20000,DATE(YEAR('Base de Datos'!A415),DAY('Base de Datos'!A415),MONTH('Base de Datos'!A415)),""),IF(TRIM('Base de Datos'!A415)="","",IFERROR(DATE(VALUE(RIGHT(TRIM('Base de Datos'!A415),4)),VALUE(LEFT(TRIM('Base de Datos'!A415),2)),VALUE(MID(TRIM('Base de Datos'!A415),4,2))),""))),"")</f>
        <v/>
      </c>
      <c r="AE419" s="74" t="str">
        <f aca="false">IF(ISNUMBER('Base de Datos'!B415),'Base de Datos'!B415,IF(TRIM('Base de Datos'!B415)="","",IFERROR(IF(IFERROR(FIND("@",SUBSTITUTE(TRIM('Base de Datos'!B415),",","@",LEN(TRIM('Base de Datos'!B415))-LEN(SUBSTITUTE(TRIM('Base de Datos'!B415),",","")))),0)&gt;IFERROR(FIND("@",SUBSTITUTE(TRIM('Base de Datos'!B415),".","@",LEN(TRIM('Base de Datos'!B415))-LEN(SUBSTITUTE(TRIM('Base de Datos'!B415),".","")))),0),_xlfn.NUMBERVALUE(SUBSTITUTE(SUBSTITUTE(TRIM('Base de Datos'!B415),".",""),",","."),".",","),_xlfn.NUMBERVALUE(SUBSTITUTE(TRIM('Base de Datos'!B415),",",""),".",",")),"")))</f>
        <v/>
      </c>
      <c r="AF419" s="73" t="str">
        <f aca="false">IF(ISNUMBER(AG419),IF(ISNUMBER('Base de Datos'!I415),IF('Base de Datos'!I415&gt;20000,INT('Base de Datos'!I415),""),IF(TRIM('Base de Datos'!I415)="","",IFERROR(DATE(VALUE(RIGHT(TRIM('Base de Datos'!I415),4)),VALUE(MID(TRIM('Base de Datos'!I415),4,2)),VALUE(LEFT(TRIM('Base de Datos'!I415),2))),IFERROR(DATEVALUE(TRIM('Base de Datos'!I415)),"")))),"")</f>
        <v/>
      </c>
      <c r="AG419" s="74" t="str">
        <f aca="false">IF(ISNUMBER('Base de Datos'!J415),'Base de Datos'!J415,IF(TRIM('Base de Datos'!J415)="","",IFERROR(IF(IFERROR(FIND("@",SUBSTITUTE(TRIM('Base de Datos'!J415),",","@",LEN(TRIM('Base de Datos'!J415))-LEN(SUBSTITUTE(TRIM('Base de Datos'!J415),",","")))),0)&gt;IFERROR(FIND("@",SUBSTITUTE(TRIM('Base de Datos'!J415),".","@",LEN(TRIM('Base de Datos'!J415))-LEN(SUBSTITUTE(TRIM('Base de Datos'!J415),".","")))),0),_xlfn.NUMBERVALUE(SUBSTITUTE(SUBSTITUTE(TRIM('Base de Datos'!J415),".",""),",","."),".",","),_xlfn.NUMBERVALUE(SUBSTITUTE(TRIM('Base de Datos'!J415),",",""),".",",")),"")))</f>
        <v/>
      </c>
    </row>
    <row r="420" customFormat="false" ht="13.5" hidden="false" customHeight="false" outlineLevel="0" collapsed="false">
      <c r="R420" s="75" t="n">
        <f aca="false">ROWS(R$13:R420)</f>
        <v>408</v>
      </c>
      <c r="S420" s="73" t="str">
        <f aca="false">IF(S419="","",IFERROR(SMALL($AD$10:$AD$509,COUNTIF($AD$10:$AD$509,"&lt;="&amp;S419)+1),""))</f>
        <v/>
      </c>
      <c r="T420" s="74" t="str">
        <f aca="false">IF(S420="","",INDEX($AE$10:$AE$509,MATCH(S420,$AD$10:$AD$509,0)))</f>
        <v/>
      </c>
      <c r="U420" s="74" t="str">
        <f aca="false">IF(S420="","",IFERROR(INDEX($AG$10:$AG$509,MATCH(S420,$AF$10:$AF$509,0)),""))</f>
        <v/>
      </c>
      <c r="V420" s="76" t="str">
        <f aca="false">IF(AND(ISNUMBER(T420),ISNUMBER(T419)),T420/T419-1,"")</f>
        <v/>
      </c>
      <c r="W420" s="76" t="str">
        <f aca="false">IF(AND(ISNUMBER(U420),ISNUMBER(U419)),U420/U419-1,"")</f>
        <v/>
      </c>
      <c r="X420" s="75" t="str">
        <f aca="false">IF(AND(ISNUMBER(V420),ISNUMBER(W420)),1,"")</f>
        <v/>
      </c>
      <c r="Y420" s="76" t="str">
        <f aca="false">IF(X420=1,V420,"")</f>
        <v/>
      </c>
      <c r="Z420" s="76" t="str">
        <f aca="false">IF(X420=1,W420,"")</f>
        <v/>
      </c>
      <c r="AA420" s="76" t="e">
        <f aca="false">IF(X420=1,V420,NA())</f>
        <v>#N/A</v>
      </c>
      <c r="AB420" s="76" t="e">
        <f aca="false">IF(X420=1,W420,NA())</f>
        <v>#N/A</v>
      </c>
      <c r="AD420" s="73" t="str">
        <f aca="false">IF(ISNUMBER(AE420),IF(ISNUMBER('Base de Datos'!A416),IF('Base de Datos'!A416&gt;20000,DATE(YEAR('Base de Datos'!A416),DAY('Base de Datos'!A416),MONTH('Base de Datos'!A416)),""),IF(TRIM('Base de Datos'!A416)="","",IFERROR(DATE(VALUE(RIGHT(TRIM('Base de Datos'!A416),4)),VALUE(LEFT(TRIM('Base de Datos'!A416),2)),VALUE(MID(TRIM('Base de Datos'!A416),4,2))),""))),"")</f>
        <v/>
      </c>
      <c r="AE420" s="74" t="str">
        <f aca="false">IF(ISNUMBER('Base de Datos'!B416),'Base de Datos'!B416,IF(TRIM('Base de Datos'!B416)="","",IFERROR(IF(IFERROR(FIND("@",SUBSTITUTE(TRIM('Base de Datos'!B416),",","@",LEN(TRIM('Base de Datos'!B416))-LEN(SUBSTITUTE(TRIM('Base de Datos'!B416),",","")))),0)&gt;IFERROR(FIND("@",SUBSTITUTE(TRIM('Base de Datos'!B416),".","@",LEN(TRIM('Base de Datos'!B416))-LEN(SUBSTITUTE(TRIM('Base de Datos'!B416),".","")))),0),_xlfn.NUMBERVALUE(SUBSTITUTE(SUBSTITUTE(TRIM('Base de Datos'!B416),".",""),",","."),".",","),_xlfn.NUMBERVALUE(SUBSTITUTE(TRIM('Base de Datos'!B416),",",""),".",",")),"")))</f>
        <v/>
      </c>
      <c r="AF420" s="73" t="str">
        <f aca="false">IF(ISNUMBER(AG420),IF(ISNUMBER('Base de Datos'!I416),IF('Base de Datos'!I416&gt;20000,INT('Base de Datos'!I416),""),IF(TRIM('Base de Datos'!I416)="","",IFERROR(DATE(VALUE(RIGHT(TRIM('Base de Datos'!I416),4)),VALUE(MID(TRIM('Base de Datos'!I416),4,2)),VALUE(LEFT(TRIM('Base de Datos'!I416),2))),IFERROR(DATEVALUE(TRIM('Base de Datos'!I416)),"")))),"")</f>
        <v/>
      </c>
      <c r="AG420" s="74" t="str">
        <f aca="false">IF(ISNUMBER('Base de Datos'!J416),'Base de Datos'!J416,IF(TRIM('Base de Datos'!J416)="","",IFERROR(IF(IFERROR(FIND("@",SUBSTITUTE(TRIM('Base de Datos'!J416),",","@",LEN(TRIM('Base de Datos'!J416))-LEN(SUBSTITUTE(TRIM('Base de Datos'!J416),",","")))),0)&gt;IFERROR(FIND("@",SUBSTITUTE(TRIM('Base de Datos'!J416),".","@",LEN(TRIM('Base de Datos'!J416))-LEN(SUBSTITUTE(TRIM('Base de Datos'!J416),".","")))),0),_xlfn.NUMBERVALUE(SUBSTITUTE(SUBSTITUTE(TRIM('Base de Datos'!J416),".",""),",","."),".",","),_xlfn.NUMBERVALUE(SUBSTITUTE(TRIM('Base de Datos'!J416),",",""),".",",")),"")))</f>
        <v/>
      </c>
    </row>
    <row r="421" customFormat="false" ht="13.5" hidden="false" customHeight="false" outlineLevel="0" collapsed="false">
      <c r="R421" s="75" t="n">
        <f aca="false">ROWS(R$13:R421)</f>
        <v>409</v>
      </c>
      <c r="S421" s="73" t="str">
        <f aca="false">IF(S420="","",IFERROR(SMALL($AD$10:$AD$509,COUNTIF($AD$10:$AD$509,"&lt;="&amp;S420)+1),""))</f>
        <v/>
      </c>
      <c r="T421" s="74" t="str">
        <f aca="false">IF(S421="","",INDEX($AE$10:$AE$509,MATCH(S421,$AD$10:$AD$509,0)))</f>
        <v/>
      </c>
      <c r="U421" s="74" t="str">
        <f aca="false">IF(S421="","",IFERROR(INDEX($AG$10:$AG$509,MATCH(S421,$AF$10:$AF$509,0)),""))</f>
        <v/>
      </c>
      <c r="V421" s="76" t="str">
        <f aca="false">IF(AND(ISNUMBER(T421),ISNUMBER(T420)),T421/T420-1,"")</f>
        <v/>
      </c>
      <c r="W421" s="76" t="str">
        <f aca="false">IF(AND(ISNUMBER(U421),ISNUMBER(U420)),U421/U420-1,"")</f>
        <v/>
      </c>
      <c r="X421" s="75" t="str">
        <f aca="false">IF(AND(ISNUMBER(V421),ISNUMBER(W421)),1,"")</f>
        <v/>
      </c>
      <c r="Y421" s="76" t="str">
        <f aca="false">IF(X421=1,V421,"")</f>
        <v/>
      </c>
      <c r="Z421" s="76" t="str">
        <f aca="false">IF(X421=1,W421,"")</f>
        <v/>
      </c>
      <c r="AA421" s="76" t="e">
        <f aca="false">IF(X421=1,V421,NA())</f>
        <v>#N/A</v>
      </c>
      <c r="AB421" s="76" t="e">
        <f aca="false">IF(X421=1,W421,NA())</f>
        <v>#N/A</v>
      </c>
      <c r="AD421" s="73" t="str">
        <f aca="false">IF(ISNUMBER(AE421),IF(ISNUMBER('Base de Datos'!A417),IF('Base de Datos'!A417&gt;20000,DATE(YEAR('Base de Datos'!A417),DAY('Base de Datos'!A417),MONTH('Base de Datos'!A417)),""),IF(TRIM('Base de Datos'!A417)="","",IFERROR(DATE(VALUE(RIGHT(TRIM('Base de Datos'!A417),4)),VALUE(LEFT(TRIM('Base de Datos'!A417),2)),VALUE(MID(TRIM('Base de Datos'!A417),4,2))),""))),"")</f>
        <v/>
      </c>
      <c r="AE421" s="74" t="str">
        <f aca="false">IF(ISNUMBER('Base de Datos'!B417),'Base de Datos'!B417,IF(TRIM('Base de Datos'!B417)="","",IFERROR(IF(IFERROR(FIND("@",SUBSTITUTE(TRIM('Base de Datos'!B417),",","@",LEN(TRIM('Base de Datos'!B417))-LEN(SUBSTITUTE(TRIM('Base de Datos'!B417),",","")))),0)&gt;IFERROR(FIND("@",SUBSTITUTE(TRIM('Base de Datos'!B417),".","@",LEN(TRIM('Base de Datos'!B417))-LEN(SUBSTITUTE(TRIM('Base de Datos'!B417),".","")))),0),_xlfn.NUMBERVALUE(SUBSTITUTE(SUBSTITUTE(TRIM('Base de Datos'!B417),".",""),",","."),".",","),_xlfn.NUMBERVALUE(SUBSTITUTE(TRIM('Base de Datos'!B417),",",""),".",",")),"")))</f>
        <v/>
      </c>
      <c r="AF421" s="73" t="str">
        <f aca="false">IF(ISNUMBER(AG421),IF(ISNUMBER('Base de Datos'!I417),IF('Base de Datos'!I417&gt;20000,INT('Base de Datos'!I417),""),IF(TRIM('Base de Datos'!I417)="","",IFERROR(DATE(VALUE(RIGHT(TRIM('Base de Datos'!I417),4)),VALUE(MID(TRIM('Base de Datos'!I417),4,2)),VALUE(LEFT(TRIM('Base de Datos'!I417),2))),IFERROR(DATEVALUE(TRIM('Base de Datos'!I417)),"")))),"")</f>
        <v/>
      </c>
      <c r="AG421" s="74" t="str">
        <f aca="false">IF(ISNUMBER('Base de Datos'!J417),'Base de Datos'!J417,IF(TRIM('Base de Datos'!J417)="","",IFERROR(IF(IFERROR(FIND("@",SUBSTITUTE(TRIM('Base de Datos'!J417),",","@",LEN(TRIM('Base de Datos'!J417))-LEN(SUBSTITUTE(TRIM('Base de Datos'!J417),",","")))),0)&gt;IFERROR(FIND("@",SUBSTITUTE(TRIM('Base de Datos'!J417),".","@",LEN(TRIM('Base de Datos'!J417))-LEN(SUBSTITUTE(TRIM('Base de Datos'!J417),".","")))),0),_xlfn.NUMBERVALUE(SUBSTITUTE(SUBSTITUTE(TRIM('Base de Datos'!J417),".",""),",","."),".",","),_xlfn.NUMBERVALUE(SUBSTITUTE(TRIM('Base de Datos'!J417),",",""),".",",")),"")))</f>
        <v/>
      </c>
    </row>
    <row r="422" customFormat="false" ht="13.5" hidden="false" customHeight="false" outlineLevel="0" collapsed="false">
      <c r="R422" s="75" t="n">
        <f aca="false">ROWS(R$13:R422)</f>
        <v>410</v>
      </c>
      <c r="S422" s="73" t="str">
        <f aca="false">IF(S421="","",IFERROR(SMALL($AD$10:$AD$509,COUNTIF($AD$10:$AD$509,"&lt;="&amp;S421)+1),""))</f>
        <v/>
      </c>
      <c r="T422" s="74" t="str">
        <f aca="false">IF(S422="","",INDEX($AE$10:$AE$509,MATCH(S422,$AD$10:$AD$509,0)))</f>
        <v/>
      </c>
      <c r="U422" s="74" t="str">
        <f aca="false">IF(S422="","",IFERROR(INDEX($AG$10:$AG$509,MATCH(S422,$AF$10:$AF$509,0)),""))</f>
        <v/>
      </c>
      <c r="V422" s="76" t="str">
        <f aca="false">IF(AND(ISNUMBER(T422),ISNUMBER(T421)),T422/T421-1,"")</f>
        <v/>
      </c>
      <c r="W422" s="76" t="str">
        <f aca="false">IF(AND(ISNUMBER(U422),ISNUMBER(U421)),U422/U421-1,"")</f>
        <v/>
      </c>
      <c r="X422" s="75" t="str">
        <f aca="false">IF(AND(ISNUMBER(V422),ISNUMBER(W422)),1,"")</f>
        <v/>
      </c>
      <c r="Y422" s="76" t="str">
        <f aca="false">IF(X422=1,V422,"")</f>
        <v/>
      </c>
      <c r="Z422" s="76" t="str">
        <f aca="false">IF(X422=1,W422,"")</f>
        <v/>
      </c>
      <c r="AA422" s="76" t="e">
        <f aca="false">IF(X422=1,V422,NA())</f>
        <v>#N/A</v>
      </c>
      <c r="AB422" s="76" t="e">
        <f aca="false">IF(X422=1,W422,NA())</f>
        <v>#N/A</v>
      </c>
      <c r="AD422" s="73" t="str">
        <f aca="false">IF(ISNUMBER(AE422),IF(ISNUMBER('Base de Datos'!A418),IF('Base de Datos'!A418&gt;20000,DATE(YEAR('Base de Datos'!A418),DAY('Base de Datos'!A418),MONTH('Base de Datos'!A418)),""),IF(TRIM('Base de Datos'!A418)="","",IFERROR(DATE(VALUE(RIGHT(TRIM('Base de Datos'!A418),4)),VALUE(LEFT(TRIM('Base de Datos'!A418),2)),VALUE(MID(TRIM('Base de Datos'!A418),4,2))),""))),"")</f>
        <v/>
      </c>
      <c r="AE422" s="74" t="str">
        <f aca="false">IF(ISNUMBER('Base de Datos'!B418),'Base de Datos'!B418,IF(TRIM('Base de Datos'!B418)="","",IFERROR(IF(IFERROR(FIND("@",SUBSTITUTE(TRIM('Base de Datos'!B418),",","@",LEN(TRIM('Base de Datos'!B418))-LEN(SUBSTITUTE(TRIM('Base de Datos'!B418),",","")))),0)&gt;IFERROR(FIND("@",SUBSTITUTE(TRIM('Base de Datos'!B418),".","@",LEN(TRIM('Base de Datos'!B418))-LEN(SUBSTITUTE(TRIM('Base de Datos'!B418),".","")))),0),_xlfn.NUMBERVALUE(SUBSTITUTE(SUBSTITUTE(TRIM('Base de Datos'!B418),".",""),",","."),".",","),_xlfn.NUMBERVALUE(SUBSTITUTE(TRIM('Base de Datos'!B418),",",""),".",",")),"")))</f>
        <v/>
      </c>
      <c r="AF422" s="73" t="str">
        <f aca="false">IF(ISNUMBER(AG422),IF(ISNUMBER('Base de Datos'!I418),IF('Base de Datos'!I418&gt;20000,INT('Base de Datos'!I418),""),IF(TRIM('Base de Datos'!I418)="","",IFERROR(DATE(VALUE(RIGHT(TRIM('Base de Datos'!I418),4)),VALUE(MID(TRIM('Base de Datos'!I418),4,2)),VALUE(LEFT(TRIM('Base de Datos'!I418),2))),IFERROR(DATEVALUE(TRIM('Base de Datos'!I418)),"")))),"")</f>
        <v/>
      </c>
      <c r="AG422" s="74" t="str">
        <f aca="false">IF(ISNUMBER('Base de Datos'!J418),'Base de Datos'!J418,IF(TRIM('Base de Datos'!J418)="","",IFERROR(IF(IFERROR(FIND("@",SUBSTITUTE(TRIM('Base de Datos'!J418),",","@",LEN(TRIM('Base de Datos'!J418))-LEN(SUBSTITUTE(TRIM('Base de Datos'!J418),",","")))),0)&gt;IFERROR(FIND("@",SUBSTITUTE(TRIM('Base de Datos'!J418),".","@",LEN(TRIM('Base de Datos'!J418))-LEN(SUBSTITUTE(TRIM('Base de Datos'!J418),".","")))),0),_xlfn.NUMBERVALUE(SUBSTITUTE(SUBSTITUTE(TRIM('Base de Datos'!J418),".",""),",","."),".",","),_xlfn.NUMBERVALUE(SUBSTITUTE(TRIM('Base de Datos'!J418),",",""),".",",")),"")))</f>
        <v/>
      </c>
    </row>
    <row r="423" customFormat="false" ht="13.5" hidden="false" customHeight="false" outlineLevel="0" collapsed="false">
      <c r="R423" s="75" t="n">
        <f aca="false">ROWS(R$13:R423)</f>
        <v>411</v>
      </c>
      <c r="S423" s="73" t="str">
        <f aca="false">IF(S422="","",IFERROR(SMALL($AD$10:$AD$509,COUNTIF($AD$10:$AD$509,"&lt;="&amp;S422)+1),""))</f>
        <v/>
      </c>
      <c r="T423" s="74" t="str">
        <f aca="false">IF(S423="","",INDEX($AE$10:$AE$509,MATCH(S423,$AD$10:$AD$509,0)))</f>
        <v/>
      </c>
      <c r="U423" s="74" t="str">
        <f aca="false">IF(S423="","",IFERROR(INDEX($AG$10:$AG$509,MATCH(S423,$AF$10:$AF$509,0)),""))</f>
        <v/>
      </c>
      <c r="V423" s="76" t="str">
        <f aca="false">IF(AND(ISNUMBER(T423),ISNUMBER(T422)),T423/T422-1,"")</f>
        <v/>
      </c>
      <c r="W423" s="76" t="str">
        <f aca="false">IF(AND(ISNUMBER(U423),ISNUMBER(U422)),U423/U422-1,"")</f>
        <v/>
      </c>
      <c r="X423" s="75" t="str">
        <f aca="false">IF(AND(ISNUMBER(V423),ISNUMBER(W423)),1,"")</f>
        <v/>
      </c>
      <c r="Y423" s="76" t="str">
        <f aca="false">IF(X423=1,V423,"")</f>
        <v/>
      </c>
      <c r="Z423" s="76" t="str">
        <f aca="false">IF(X423=1,W423,"")</f>
        <v/>
      </c>
      <c r="AA423" s="76" t="e">
        <f aca="false">IF(X423=1,V423,NA())</f>
        <v>#N/A</v>
      </c>
      <c r="AB423" s="76" t="e">
        <f aca="false">IF(X423=1,W423,NA())</f>
        <v>#N/A</v>
      </c>
      <c r="AD423" s="73" t="str">
        <f aca="false">IF(ISNUMBER(AE423),IF(ISNUMBER('Base de Datos'!A419),IF('Base de Datos'!A419&gt;20000,DATE(YEAR('Base de Datos'!A419),DAY('Base de Datos'!A419),MONTH('Base de Datos'!A419)),""),IF(TRIM('Base de Datos'!A419)="","",IFERROR(DATE(VALUE(RIGHT(TRIM('Base de Datos'!A419),4)),VALUE(LEFT(TRIM('Base de Datos'!A419),2)),VALUE(MID(TRIM('Base de Datos'!A419),4,2))),""))),"")</f>
        <v/>
      </c>
      <c r="AE423" s="74" t="str">
        <f aca="false">IF(ISNUMBER('Base de Datos'!B419),'Base de Datos'!B419,IF(TRIM('Base de Datos'!B419)="","",IFERROR(IF(IFERROR(FIND("@",SUBSTITUTE(TRIM('Base de Datos'!B419),",","@",LEN(TRIM('Base de Datos'!B419))-LEN(SUBSTITUTE(TRIM('Base de Datos'!B419),",","")))),0)&gt;IFERROR(FIND("@",SUBSTITUTE(TRIM('Base de Datos'!B419),".","@",LEN(TRIM('Base de Datos'!B419))-LEN(SUBSTITUTE(TRIM('Base de Datos'!B419),".","")))),0),_xlfn.NUMBERVALUE(SUBSTITUTE(SUBSTITUTE(TRIM('Base de Datos'!B419),".",""),",","."),".",","),_xlfn.NUMBERVALUE(SUBSTITUTE(TRIM('Base de Datos'!B419),",",""),".",",")),"")))</f>
        <v/>
      </c>
      <c r="AF423" s="73" t="str">
        <f aca="false">IF(ISNUMBER(AG423),IF(ISNUMBER('Base de Datos'!I419),IF('Base de Datos'!I419&gt;20000,INT('Base de Datos'!I419),""),IF(TRIM('Base de Datos'!I419)="","",IFERROR(DATE(VALUE(RIGHT(TRIM('Base de Datos'!I419),4)),VALUE(MID(TRIM('Base de Datos'!I419),4,2)),VALUE(LEFT(TRIM('Base de Datos'!I419),2))),IFERROR(DATEVALUE(TRIM('Base de Datos'!I419)),"")))),"")</f>
        <v/>
      </c>
      <c r="AG423" s="74" t="str">
        <f aca="false">IF(ISNUMBER('Base de Datos'!J419),'Base de Datos'!J419,IF(TRIM('Base de Datos'!J419)="","",IFERROR(IF(IFERROR(FIND("@",SUBSTITUTE(TRIM('Base de Datos'!J419),",","@",LEN(TRIM('Base de Datos'!J419))-LEN(SUBSTITUTE(TRIM('Base de Datos'!J419),",","")))),0)&gt;IFERROR(FIND("@",SUBSTITUTE(TRIM('Base de Datos'!J419),".","@",LEN(TRIM('Base de Datos'!J419))-LEN(SUBSTITUTE(TRIM('Base de Datos'!J419),".","")))),0),_xlfn.NUMBERVALUE(SUBSTITUTE(SUBSTITUTE(TRIM('Base de Datos'!J419),".",""),",","."),".",","),_xlfn.NUMBERVALUE(SUBSTITUTE(TRIM('Base de Datos'!J419),",",""),".",",")),"")))</f>
        <v/>
      </c>
    </row>
    <row r="424" customFormat="false" ht="13.5" hidden="false" customHeight="false" outlineLevel="0" collapsed="false">
      <c r="R424" s="75" t="n">
        <f aca="false">ROWS(R$13:R424)</f>
        <v>412</v>
      </c>
      <c r="S424" s="73" t="str">
        <f aca="false">IF(S423="","",IFERROR(SMALL($AD$10:$AD$509,COUNTIF($AD$10:$AD$509,"&lt;="&amp;S423)+1),""))</f>
        <v/>
      </c>
      <c r="T424" s="74" t="str">
        <f aca="false">IF(S424="","",INDEX($AE$10:$AE$509,MATCH(S424,$AD$10:$AD$509,0)))</f>
        <v/>
      </c>
      <c r="U424" s="74" t="str">
        <f aca="false">IF(S424="","",IFERROR(INDEX($AG$10:$AG$509,MATCH(S424,$AF$10:$AF$509,0)),""))</f>
        <v/>
      </c>
      <c r="V424" s="76" t="str">
        <f aca="false">IF(AND(ISNUMBER(T424),ISNUMBER(T423)),T424/T423-1,"")</f>
        <v/>
      </c>
      <c r="W424" s="76" t="str">
        <f aca="false">IF(AND(ISNUMBER(U424),ISNUMBER(U423)),U424/U423-1,"")</f>
        <v/>
      </c>
      <c r="X424" s="75" t="str">
        <f aca="false">IF(AND(ISNUMBER(V424),ISNUMBER(W424)),1,"")</f>
        <v/>
      </c>
      <c r="Y424" s="76" t="str">
        <f aca="false">IF(X424=1,V424,"")</f>
        <v/>
      </c>
      <c r="Z424" s="76" t="str">
        <f aca="false">IF(X424=1,W424,"")</f>
        <v/>
      </c>
      <c r="AA424" s="76" t="e">
        <f aca="false">IF(X424=1,V424,NA())</f>
        <v>#N/A</v>
      </c>
      <c r="AB424" s="76" t="e">
        <f aca="false">IF(X424=1,W424,NA())</f>
        <v>#N/A</v>
      </c>
      <c r="AD424" s="73" t="str">
        <f aca="false">IF(ISNUMBER(AE424),IF(ISNUMBER('Base de Datos'!A420),IF('Base de Datos'!A420&gt;20000,DATE(YEAR('Base de Datos'!A420),DAY('Base de Datos'!A420),MONTH('Base de Datos'!A420)),""),IF(TRIM('Base de Datos'!A420)="","",IFERROR(DATE(VALUE(RIGHT(TRIM('Base de Datos'!A420),4)),VALUE(LEFT(TRIM('Base de Datos'!A420),2)),VALUE(MID(TRIM('Base de Datos'!A420),4,2))),""))),"")</f>
        <v/>
      </c>
      <c r="AE424" s="74" t="str">
        <f aca="false">IF(ISNUMBER('Base de Datos'!B420),'Base de Datos'!B420,IF(TRIM('Base de Datos'!B420)="","",IFERROR(IF(IFERROR(FIND("@",SUBSTITUTE(TRIM('Base de Datos'!B420),",","@",LEN(TRIM('Base de Datos'!B420))-LEN(SUBSTITUTE(TRIM('Base de Datos'!B420),",","")))),0)&gt;IFERROR(FIND("@",SUBSTITUTE(TRIM('Base de Datos'!B420),".","@",LEN(TRIM('Base de Datos'!B420))-LEN(SUBSTITUTE(TRIM('Base de Datos'!B420),".","")))),0),_xlfn.NUMBERVALUE(SUBSTITUTE(SUBSTITUTE(TRIM('Base de Datos'!B420),".",""),",","."),".",","),_xlfn.NUMBERVALUE(SUBSTITUTE(TRIM('Base de Datos'!B420),",",""),".",",")),"")))</f>
        <v/>
      </c>
      <c r="AF424" s="73" t="str">
        <f aca="false">IF(ISNUMBER(AG424),IF(ISNUMBER('Base de Datos'!I420),IF('Base de Datos'!I420&gt;20000,INT('Base de Datos'!I420),""),IF(TRIM('Base de Datos'!I420)="","",IFERROR(DATE(VALUE(RIGHT(TRIM('Base de Datos'!I420),4)),VALUE(MID(TRIM('Base de Datos'!I420),4,2)),VALUE(LEFT(TRIM('Base de Datos'!I420),2))),IFERROR(DATEVALUE(TRIM('Base de Datos'!I420)),"")))),"")</f>
        <v/>
      </c>
      <c r="AG424" s="74" t="str">
        <f aca="false">IF(ISNUMBER('Base de Datos'!J420),'Base de Datos'!J420,IF(TRIM('Base de Datos'!J420)="","",IFERROR(IF(IFERROR(FIND("@",SUBSTITUTE(TRIM('Base de Datos'!J420),",","@",LEN(TRIM('Base de Datos'!J420))-LEN(SUBSTITUTE(TRIM('Base de Datos'!J420),",","")))),0)&gt;IFERROR(FIND("@",SUBSTITUTE(TRIM('Base de Datos'!J420),".","@",LEN(TRIM('Base de Datos'!J420))-LEN(SUBSTITUTE(TRIM('Base de Datos'!J420),".","")))),0),_xlfn.NUMBERVALUE(SUBSTITUTE(SUBSTITUTE(TRIM('Base de Datos'!J420),".",""),",","."),".",","),_xlfn.NUMBERVALUE(SUBSTITUTE(TRIM('Base de Datos'!J420),",",""),".",",")),"")))</f>
        <v/>
      </c>
    </row>
    <row r="425" customFormat="false" ht="13.5" hidden="false" customHeight="false" outlineLevel="0" collapsed="false">
      <c r="R425" s="75" t="n">
        <f aca="false">ROWS(R$13:R425)</f>
        <v>413</v>
      </c>
      <c r="S425" s="73" t="str">
        <f aca="false">IF(S424="","",IFERROR(SMALL($AD$10:$AD$509,COUNTIF($AD$10:$AD$509,"&lt;="&amp;S424)+1),""))</f>
        <v/>
      </c>
      <c r="T425" s="74" t="str">
        <f aca="false">IF(S425="","",INDEX($AE$10:$AE$509,MATCH(S425,$AD$10:$AD$509,0)))</f>
        <v/>
      </c>
      <c r="U425" s="74" t="str">
        <f aca="false">IF(S425="","",IFERROR(INDEX($AG$10:$AG$509,MATCH(S425,$AF$10:$AF$509,0)),""))</f>
        <v/>
      </c>
      <c r="V425" s="76" t="str">
        <f aca="false">IF(AND(ISNUMBER(T425),ISNUMBER(T424)),T425/T424-1,"")</f>
        <v/>
      </c>
      <c r="W425" s="76" t="str">
        <f aca="false">IF(AND(ISNUMBER(U425),ISNUMBER(U424)),U425/U424-1,"")</f>
        <v/>
      </c>
      <c r="X425" s="75" t="str">
        <f aca="false">IF(AND(ISNUMBER(V425),ISNUMBER(W425)),1,"")</f>
        <v/>
      </c>
      <c r="Y425" s="76" t="str">
        <f aca="false">IF(X425=1,V425,"")</f>
        <v/>
      </c>
      <c r="Z425" s="76" t="str">
        <f aca="false">IF(X425=1,W425,"")</f>
        <v/>
      </c>
      <c r="AA425" s="76" t="e">
        <f aca="false">IF(X425=1,V425,NA())</f>
        <v>#N/A</v>
      </c>
      <c r="AB425" s="76" t="e">
        <f aca="false">IF(X425=1,W425,NA())</f>
        <v>#N/A</v>
      </c>
      <c r="AD425" s="73" t="str">
        <f aca="false">IF(ISNUMBER(AE425),IF(ISNUMBER('Base de Datos'!A421),IF('Base de Datos'!A421&gt;20000,DATE(YEAR('Base de Datos'!A421),DAY('Base de Datos'!A421),MONTH('Base de Datos'!A421)),""),IF(TRIM('Base de Datos'!A421)="","",IFERROR(DATE(VALUE(RIGHT(TRIM('Base de Datos'!A421),4)),VALUE(LEFT(TRIM('Base de Datos'!A421),2)),VALUE(MID(TRIM('Base de Datos'!A421),4,2))),""))),"")</f>
        <v/>
      </c>
      <c r="AE425" s="74" t="str">
        <f aca="false">IF(ISNUMBER('Base de Datos'!B421),'Base de Datos'!B421,IF(TRIM('Base de Datos'!B421)="","",IFERROR(IF(IFERROR(FIND("@",SUBSTITUTE(TRIM('Base de Datos'!B421),",","@",LEN(TRIM('Base de Datos'!B421))-LEN(SUBSTITUTE(TRIM('Base de Datos'!B421),",","")))),0)&gt;IFERROR(FIND("@",SUBSTITUTE(TRIM('Base de Datos'!B421),".","@",LEN(TRIM('Base de Datos'!B421))-LEN(SUBSTITUTE(TRIM('Base de Datos'!B421),".","")))),0),_xlfn.NUMBERVALUE(SUBSTITUTE(SUBSTITUTE(TRIM('Base de Datos'!B421),".",""),",","."),".",","),_xlfn.NUMBERVALUE(SUBSTITUTE(TRIM('Base de Datos'!B421),",",""),".",",")),"")))</f>
        <v/>
      </c>
      <c r="AF425" s="73" t="str">
        <f aca="false">IF(ISNUMBER(AG425),IF(ISNUMBER('Base de Datos'!I421),IF('Base de Datos'!I421&gt;20000,INT('Base de Datos'!I421),""),IF(TRIM('Base de Datos'!I421)="","",IFERROR(DATE(VALUE(RIGHT(TRIM('Base de Datos'!I421),4)),VALUE(MID(TRIM('Base de Datos'!I421),4,2)),VALUE(LEFT(TRIM('Base de Datos'!I421),2))),IFERROR(DATEVALUE(TRIM('Base de Datos'!I421)),"")))),"")</f>
        <v/>
      </c>
      <c r="AG425" s="74" t="str">
        <f aca="false">IF(ISNUMBER('Base de Datos'!J421),'Base de Datos'!J421,IF(TRIM('Base de Datos'!J421)="","",IFERROR(IF(IFERROR(FIND("@",SUBSTITUTE(TRIM('Base de Datos'!J421),",","@",LEN(TRIM('Base de Datos'!J421))-LEN(SUBSTITUTE(TRIM('Base de Datos'!J421),",","")))),0)&gt;IFERROR(FIND("@",SUBSTITUTE(TRIM('Base de Datos'!J421),".","@",LEN(TRIM('Base de Datos'!J421))-LEN(SUBSTITUTE(TRIM('Base de Datos'!J421),".","")))),0),_xlfn.NUMBERVALUE(SUBSTITUTE(SUBSTITUTE(TRIM('Base de Datos'!J421),".",""),",","."),".",","),_xlfn.NUMBERVALUE(SUBSTITUTE(TRIM('Base de Datos'!J421),",",""),".",",")),"")))</f>
        <v/>
      </c>
    </row>
    <row r="426" customFormat="false" ht="13.5" hidden="false" customHeight="false" outlineLevel="0" collapsed="false">
      <c r="R426" s="75" t="n">
        <f aca="false">ROWS(R$13:R426)</f>
        <v>414</v>
      </c>
      <c r="S426" s="73" t="str">
        <f aca="false">IF(S425="","",IFERROR(SMALL($AD$10:$AD$509,COUNTIF($AD$10:$AD$509,"&lt;="&amp;S425)+1),""))</f>
        <v/>
      </c>
      <c r="T426" s="74" t="str">
        <f aca="false">IF(S426="","",INDEX($AE$10:$AE$509,MATCH(S426,$AD$10:$AD$509,0)))</f>
        <v/>
      </c>
      <c r="U426" s="74" t="str">
        <f aca="false">IF(S426="","",IFERROR(INDEX($AG$10:$AG$509,MATCH(S426,$AF$10:$AF$509,0)),""))</f>
        <v/>
      </c>
      <c r="V426" s="76" t="str">
        <f aca="false">IF(AND(ISNUMBER(T426),ISNUMBER(T425)),T426/T425-1,"")</f>
        <v/>
      </c>
      <c r="W426" s="76" t="str">
        <f aca="false">IF(AND(ISNUMBER(U426),ISNUMBER(U425)),U426/U425-1,"")</f>
        <v/>
      </c>
      <c r="X426" s="75" t="str">
        <f aca="false">IF(AND(ISNUMBER(V426),ISNUMBER(W426)),1,"")</f>
        <v/>
      </c>
      <c r="Y426" s="76" t="str">
        <f aca="false">IF(X426=1,V426,"")</f>
        <v/>
      </c>
      <c r="Z426" s="76" t="str">
        <f aca="false">IF(X426=1,W426,"")</f>
        <v/>
      </c>
      <c r="AA426" s="76" t="e">
        <f aca="false">IF(X426=1,V426,NA())</f>
        <v>#N/A</v>
      </c>
      <c r="AB426" s="76" t="e">
        <f aca="false">IF(X426=1,W426,NA())</f>
        <v>#N/A</v>
      </c>
      <c r="AD426" s="73" t="str">
        <f aca="false">IF(ISNUMBER(AE426),IF(ISNUMBER('Base de Datos'!A422),IF('Base de Datos'!A422&gt;20000,DATE(YEAR('Base de Datos'!A422),DAY('Base de Datos'!A422),MONTH('Base de Datos'!A422)),""),IF(TRIM('Base de Datos'!A422)="","",IFERROR(DATE(VALUE(RIGHT(TRIM('Base de Datos'!A422),4)),VALUE(LEFT(TRIM('Base de Datos'!A422),2)),VALUE(MID(TRIM('Base de Datos'!A422),4,2))),""))),"")</f>
        <v/>
      </c>
      <c r="AE426" s="74" t="str">
        <f aca="false">IF(ISNUMBER('Base de Datos'!B422),'Base de Datos'!B422,IF(TRIM('Base de Datos'!B422)="","",IFERROR(IF(IFERROR(FIND("@",SUBSTITUTE(TRIM('Base de Datos'!B422),",","@",LEN(TRIM('Base de Datos'!B422))-LEN(SUBSTITUTE(TRIM('Base de Datos'!B422),",","")))),0)&gt;IFERROR(FIND("@",SUBSTITUTE(TRIM('Base de Datos'!B422),".","@",LEN(TRIM('Base de Datos'!B422))-LEN(SUBSTITUTE(TRIM('Base de Datos'!B422),".","")))),0),_xlfn.NUMBERVALUE(SUBSTITUTE(SUBSTITUTE(TRIM('Base de Datos'!B422),".",""),",","."),".",","),_xlfn.NUMBERVALUE(SUBSTITUTE(TRIM('Base de Datos'!B422),",",""),".",",")),"")))</f>
        <v/>
      </c>
      <c r="AF426" s="73" t="str">
        <f aca="false">IF(ISNUMBER(AG426),IF(ISNUMBER('Base de Datos'!I422),IF('Base de Datos'!I422&gt;20000,INT('Base de Datos'!I422),""),IF(TRIM('Base de Datos'!I422)="","",IFERROR(DATE(VALUE(RIGHT(TRIM('Base de Datos'!I422),4)),VALUE(MID(TRIM('Base de Datos'!I422),4,2)),VALUE(LEFT(TRIM('Base de Datos'!I422),2))),IFERROR(DATEVALUE(TRIM('Base de Datos'!I422)),"")))),"")</f>
        <v/>
      </c>
      <c r="AG426" s="74" t="str">
        <f aca="false">IF(ISNUMBER('Base de Datos'!J422),'Base de Datos'!J422,IF(TRIM('Base de Datos'!J422)="","",IFERROR(IF(IFERROR(FIND("@",SUBSTITUTE(TRIM('Base de Datos'!J422),",","@",LEN(TRIM('Base de Datos'!J422))-LEN(SUBSTITUTE(TRIM('Base de Datos'!J422),",","")))),0)&gt;IFERROR(FIND("@",SUBSTITUTE(TRIM('Base de Datos'!J422),".","@",LEN(TRIM('Base de Datos'!J422))-LEN(SUBSTITUTE(TRIM('Base de Datos'!J422),".","")))),0),_xlfn.NUMBERVALUE(SUBSTITUTE(SUBSTITUTE(TRIM('Base de Datos'!J422),".",""),",","."),".",","),_xlfn.NUMBERVALUE(SUBSTITUTE(TRIM('Base de Datos'!J422),",",""),".",",")),"")))</f>
        <v/>
      </c>
    </row>
    <row r="427" customFormat="false" ht="13.5" hidden="false" customHeight="false" outlineLevel="0" collapsed="false">
      <c r="R427" s="75" t="n">
        <f aca="false">ROWS(R$13:R427)</f>
        <v>415</v>
      </c>
      <c r="S427" s="73" t="str">
        <f aca="false">IF(S426="","",IFERROR(SMALL($AD$10:$AD$509,COUNTIF($AD$10:$AD$509,"&lt;="&amp;S426)+1),""))</f>
        <v/>
      </c>
      <c r="T427" s="74" t="str">
        <f aca="false">IF(S427="","",INDEX($AE$10:$AE$509,MATCH(S427,$AD$10:$AD$509,0)))</f>
        <v/>
      </c>
      <c r="U427" s="74" t="str">
        <f aca="false">IF(S427="","",IFERROR(INDEX($AG$10:$AG$509,MATCH(S427,$AF$10:$AF$509,0)),""))</f>
        <v/>
      </c>
      <c r="V427" s="76" t="str">
        <f aca="false">IF(AND(ISNUMBER(T427),ISNUMBER(T426)),T427/T426-1,"")</f>
        <v/>
      </c>
      <c r="W427" s="76" t="str">
        <f aca="false">IF(AND(ISNUMBER(U427),ISNUMBER(U426)),U427/U426-1,"")</f>
        <v/>
      </c>
      <c r="X427" s="75" t="str">
        <f aca="false">IF(AND(ISNUMBER(V427),ISNUMBER(W427)),1,"")</f>
        <v/>
      </c>
      <c r="Y427" s="76" t="str">
        <f aca="false">IF(X427=1,V427,"")</f>
        <v/>
      </c>
      <c r="Z427" s="76" t="str">
        <f aca="false">IF(X427=1,W427,"")</f>
        <v/>
      </c>
      <c r="AA427" s="76" t="e">
        <f aca="false">IF(X427=1,V427,NA())</f>
        <v>#N/A</v>
      </c>
      <c r="AB427" s="76" t="e">
        <f aca="false">IF(X427=1,W427,NA())</f>
        <v>#N/A</v>
      </c>
      <c r="AD427" s="73" t="str">
        <f aca="false">IF(ISNUMBER(AE427),IF(ISNUMBER('Base de Datos'!A423),IF('Base de Datos'!A423&gt;20000,DATE(YEAR('Base de Datos'!A423),DAY('Base de Datos'!A423),MONTH('Base de Datos'!A423)),""),IF(TRIM('Base de Datos'!A423)="","",IFERROR(DATE(VALUE(RIGHT(TRIM('Base de Datos'!A423),4)),VALUE(LEFT(TRIM('Base de Datos'!A423),2)),VALUE(MID(TRIM('Base de Datos'!A423),4,2))),""))),"")</f>
        <v/>
      </c>
      <c r="AE427" s="74" t="str">
        <f aca="false">IF(ISNUMBER('Base de Datos'!B423),'Base de Datos'!B423,IF(TRIM('Base de Datos'!B423)="","",IFERROR(IF(IFERROR(FIND("@",SUBSTITUTE(TRIM('Base de Datos'!B423),",","@",LEN(TRIM('Base de Datos'!B423))-LEN(SUBSTITUTE(TRIM('Base de Datos'!B423),",","")))),0)&gt;IFERROR(FIND("@",SUBSTITUTE(TRIM('Base de Datos'!B423),".","@",LEN(TRIM('Base de Datos'!B423))-LEN(SUBSTITUTE(TRIM('Base de Datos'!B423),".","")))),0),_xlfn.NUMBERVALUE(SUBSTITUTE(SUBSTITUTE(TRIM('Base de Datos'!B423),".",""),",","."),".",","),_xlfn.NUMBERVALUE(SUBSTITUTE(TRIM('Base de Datos'!B423),",",""),".",",")),"")))</f>
        <v/>
      </c>
      <c r="AF427" s="73" t="str">
        <f aca="false">IF(ISNUMBER(AG427),IF(ISNUMBER('Base de Datos'!I423),IF('Base de Datos'!I423&gt;20000,INT('Base de Datos'!I423),""),IF(TRIM('Base de Datos'!I423)="","",IFERROR(DATE(VALUE(RIGHT(TRIM('Base de Datos'!I423),4)),VALUE(MID(TRIM('Base de Datos'!I423),4,2)),VALUE(LEFT(TRIM('Base de Datos'!I423),2))),IFERROR(DATEVALUE(TRIM('Base de Datos'!I423)),"")))),"")</f>
        <v/>
      </c>
      <c r="AG427" s="74" t="str">
        <f aca="false">IF(ISNUMBER('Base de Datos'!J423),'Base de Datos'!J423,IF(TRIM('Base de Datos'!J423)="","",IFERROR(IF(IFERROR(FIND("@",SUBSTITUTE(TRIM('Base de Datos'!J423),",","@",LEN(TRIM('Base de Datos'!J423))-LEN(SUBSTITUTE(TRIM('Base de Datos'!J423),",","")))),0)&gt;IFERROR(FIND("@",SUBSTITUTE(TRIM('Base de Datos'!J423),".","@",LEN(TRIM('Base de Datos'!J423))-LEN(SUBSTITUTE(TRIM('Base de Datos'!J423),".","")))),0),_xlfn.NUMBERVALUE(SUBSTITUTE(SUBSTITUTE(TRIM('Base de Datos'!J423),".",""),",","."),".",","),_xlfn.NUMBERVALUE(SUBSTITUTE(TRIM('Base de Datos'!J423),",",""),".",",")),"")))</f>
        <v/>
      </c>
    </row>
    <row r="428" customFormat="false" ht="13.5" hidden="false" customHeight="false" outlineLevel="0" collapsed="false">
      <c r="R428" s="75" t="n">
        <f aca="false">ROWS(R$13:R428)</f>
        <v>416</v>
      </c>
      <c r="S428" s="73" t="str">
        <f aca="false">IF(S427="","",IFERROR(SMALL($AD$10:$AD$509,COUNTIF($AD$10:$AD$509,"&lt;="&amp;S427)+1),""))</f>
        <v/>
      </c>
      <c r="T428" s="74" t="str">
        <f aca="false">IF(S428="","",INDEX($AE$10:$AE$509,MATCH(S428,$AD$10:$AD$509,0)))</f>
        <v/>
      </c>
      <c r="U428" s="74" t="str">
        <f aca="false">IF(S428="","",IFERROR(INDEX($AG$10:$AG$509,MATCH(S428,$AF$10:$AF$509,0)),""))</f>
        <v/>
      </c>
      <c r="V428" s="76" t="str">
        <f aca="false">IF(AND(ISNUMBER(T428),ISNUMBER(T427)),T428/T427-1,"")</f>
        <v/>
      </c>
      <c r="W428" s="76" t="str">
        <f aca="false">IF(AND(ISNUMBER(U428),ISNUMBER(U427)),U428/U427-1,"")</f>
        <v/>
      </c>
      <c r="X428" s="75" t="str">
        <f aca="false">IF(AND(ISNUMBER(V428),ISNUMBER(W428)),1,"")</f>
        <v/>
      </c>
      <c r="Y428" s="76" t="str">
        <f aca="false">IF(X428=1,V428,"")</f>
        <v/>
      </c>
      <c r="Z428" s="76" t="str">
        <f aca="false">IF(X428=1,W428,"")</f>
        <v/>
      </c>
      <c r="AA428" s="76" t="e">
        <f aca="false">IF(X428=1,V428,NA())</f>
        <v>#N/A</v>
      </c>
      <c r="AB428" s="76" t="e">
        <f aca="false">IF(X428=1,W428,NA())</f>
        <v>#N/A</v>
      </c>
      <c r="AD428" s="73" t="str">
        <f aca="false">IF(ISNUMBER(AE428),IF(ISNUMBER('Base de Datos'!A424),IF('Base de Datos'!A424&gt;20000,DATE(YEAR('Base de Datos'!A424),DAY('Base de Datos'!A424),MONTH('Base de Datos'!A424)),""),IF(TRIM('Base de Datos'!A424)="","",IFERROR(DATE(VALUE(RIGHT(TRIM('Base de Datos'!A424),4)),VALUE(LEFT(TRIM('Base de Datos'!A424),2)),VALUE(MID(TRIM('Base de Datos'!A424),4,2))),""))),"")</f>
        <v/>
      </c>
      <c r="AE428" s="74" t="str">
        <f aca="false">IF(ISNUMBER('Base de Datos'!B424),'Base de Datos'!B424,IF(TRIM('Base de Datos'!B424)="","",IFERROR(IF(IFERROR(FIND("@",SUBSTITUTE(TRIM('Base de Datos'!B424),",","@",LEN(TRIM('Base de Datos'!B424))-LEN(SUBSTITUTE(TRIM('Base de Datos'!B424),",","")))),0)&gt;IFERROR(FIND("@",SUBSTITUTE(TRIM('Base de Datos'!B424),".","@",LEN(TRIM('Base de Datos'!B424))-LEN(SUBSTITUTE(TRIM('Base de Datos'!B424),".","")))),0),_xlfn.NUMBERVALUE(SUBSTITUTE(SUBSTITUTE(TRIM('Base de Datos'!B424),".",""),",","."),".",","),_xlfn.NUMBERVALUE(SUBSTITUTE(TRIM('Base de Datos'!B424),",",""),".",",")),"")))</f>
        <v/>
      </c>
      <c r="AF428" s="73" t="str">
        <f aca="false">IF(ISNUMBER(AG428),IF(ISNUMBER('Base de Datos'!I424),IF('Base de Datos'!I424&gt;20000,INT('Base de Datos'!I424),""),IF(TRIM('Base de Datos'!I424)="","",IFERROR(DATE(VALUE(RIGHT(TRIM('Base de Datos'!I424),4)),VALUE(MID(TRIM('Base de Datos'!I424),4,2)),VALUE(LEFT(TRIM('Base de Datos'!I424),2))),IFERROR(DATEVALUE(TRIM('Base de Datos'!I424)),"")))),"")</f>
        <v/>
      </c>
      <c r="AG428" s="74" t="str">
        <f aca="false">IF(ISNUMBER('Base de Datos'!J424),'Base de Datos'!J424,IF(TRIM('Base de Datos'!J424)="","",IFERROR(IF(IFERROR(FIND("@",SUBSTITUTE(TRIM('Base de Datos'!J424),",","@",LEN(TRIM('Base de Datos'!J424))-LEN(SUBSTITUTE(TRIM('Base de Datos'!J424),",","")))),0)&gt;IFERROR(FIND("@",SUBSTITUTE(TRIM('Base de Datos'!J424),".","@",LEN(TRIM('Base de Datos'!J424))-LEN(SUBSTITUTE(TRIM('Base de Datos'!J424),".","")))),0),_xlfn.NUMBERVALUE(SUBSTITUTE(SUBSTITUTE(TRIM('Base de Datos'!J424),".",""),",","."),".",","),_xlfn.NUMBERVALUE(SUBSTITUTE(TRIM('Base de Datos'!J424),",",""),".",",")),"")))</f>
        <v/>
      </c>
    </row>
    <row r="429" customFormat="false" ht="13.5" hidden="false" customHeight="false" outlineLevel="0" collapsed="false">
      <c r="R429" s="75" t="n">
        <f aca="false">ROWS(R$13:R429)</f>
        <v>417</v>
      </c>
      <c r="S429" s="73" t="str">
        <f aca="false">IF(S428="","",IFERROR(SMALL($AD$10:$AD$509,COUNTIF($AD$10:$AD$509,"&lt;="&amp;S428)+1),""))</f>
        <v/>
      </c>
      <c r="T429" s="74" t="str">
        <f aca="false">IF(S429="","",INDEX($AE$10:$AE$509,MATCH(S429,$AD$10:$AD$509,0)))</f>
        <v/>
      </c>
      <c r="U429" s="74" t="str">
        <f aca="false">IF(S429="","",IFERROR(INDEX($AG$10:$AG$509,MATCH(S429,$AF$10:$AF$509,0)),""))</f>
        <v/>
      </c>
      <c r="V429" s="76" t="str">
        <f aca="false">IF(AND(ISNUMBER(T429),ISNUMBER(T428)),T429/T428-1,"")</f>
        <v/>
      </c>
      <c r="W429" s="76" t="str">
        <f aca="false">IF(AND(ISNUMBER(U429),ISNUMBER(U428)),U429/U428-1,"")</f>
        <v/>
      </c>
      <c r="X429" s="75" t="str">
        <f aca="false">IF(AND(ISNUMBER(V429),ISNUMBER(W429)),1,"")</f>
        <v/>
      </c>
      <c r="Y429" s="76" t="str">
        <f aca="false">IF(X429=1,V429,"")</f>
        <v/>
      </c>
      <c r="Z429" s="76" t="str">
        <f aca="false">IF(X429=1,W429,"")</f>
        <v/>
      </c>
      <c r="AA429" s="76" t="e">
        <f aca="false">IF(X429=1,V429,NA())</f>
        <v>#N/A</v>
      </c>
      <c r="AB429" s="76" t="e">
        <f aca="false">IF(X429=1,W429,NA())</f>
        <v>#N/A</v>
      </c>
      <c r="AD429" s="73" t="str">
        <f aca="false">IF(ISNUMBER(AE429),IF(ISNUMBER('Base de Datos'!A425),IF('Base de Datos'!A425&gt;20000,DATE(YEAR('Base de Datos'!A425),DAY('Base de Datos'!A425),MONTH('Base de Datos'!A425)),""),IF(TRIM('Base de Datos'!A425)="","",IFERROR(DATE(VALUE(RIGHT(TRIM('Base de Datos'!A425),4)),VALUE(LEFT(TRIM('Base de Datos'!A425),2)),VALUE(MID(TRIM('Base de Datos'!A425),4,2))),""))),"")</f>
        <v/>
      </c>
      <c r="AE429" s="74" t="str">
        <f aca="false">IF(ISNUMBER('Base de Datos'!B425),'Base de Datos'!B425,IF(TRIM('Base de Datos'!B425)="","",IFERROR(IF(IFERROR(FIND("@",SUBSTITUTE(TRIM('Base de Datos'!B425),",","@",LEN(TRIM('Base de Datos'!B425))-LEN(SUBSTITUTE(TRIM('Base de Datos'!B425),",","")))),0)&gt;IFERROR(FIND("@",SUBSTITUTE(TRIM('Base de Datos'!B425),".","@",LEN(TRIM('Base de Datos'!B425))-LEN(SUBSTITUTE(TRIM('Base de Datos'!B425),".","")))),0),_xlfn.NUMBERVALUE(SUBSTITUTE(SUBSTITUTE(TRIM('Base de Datos'!B425),".",""),",","."),".",","),_xlfn.NUMBERVALUE(SUBSTITUTE(TRIM('Base de Datos'!B425),",",""),".",",")),"")))</f>
        <v/>
      </c>
      <c r="AF429" s="73" t="str">
        <f aca="false">IF(ISNUMBER(AG429),IF(ISNUMBER('Base de Datos'!I425),IF('Base de Datos'!I425&gt;20000,INT('Base de Datos'!I425),""),IF(TRIM('Base de Datos'!I425)="","",IFERROR(DATE(VALUE(RIGHT(TRIM('Base de Datos'!I425),4)),VALUE(MID(TRIM('Base de Datos'!I425),4,2)),VALUE(LEFT(TRIM('Base de Datos'!I425),2))),IFERROR(DATEVALUE(TRIM('Base de Datos'!I425)),"")))),"")</f>
        <v/>
      </c>
      <c r="AG429" s="74" t="str">
        <f aca="false">IF(ISNUMBER('Base de Datos'!J425),'Base de Datos'!J425,IF(TRIM('Base de Datos'!J425)="","",IFERROR(IF(IFERROR(FIND("@",SUBSTITUTE(TRIM('Base de Datos'!J425),",","@",LEN(TRIM('Base de Datos'!J425))-LEN(SUBSTITUTE(TRIM('Base de Datos'!J425),",","")))),0)&gt;IFERROR(FIND("@",SUBSTITUTE(TRIM('Base de Datos'!J425),".","@",LEN(TRIM('Base de Datos'!J425))-LEN(SUBSTITUTE(TRIM('Base de Datos'!J425),".","")))),0),_xlfn.NUMBERVALUE(SUBSTITUTE(SUBSTITUTE(TRIM('Base de Datos'!J425),".",""),",","."),".",","),_xlfn.NUMBERVALUE(SUBSTITUTE(TRIM('Base de Datos'!J425),",",""),".",",")),"")))</f>
        <v/>
      </c>
    </row>
    <row r="430" customFormat="false" ht="13.5" hidden="false" customHeight="false" outlineLevel="0" collapsed="false">
      <c r="R430" s="75" t="n">
        <f aca="false">ROWS(R$13:R430)</f>
        <v>418</v>
      </c>
      <c r="S430" s="73" t="str">
        <f aca="false">IF(S429="","",IFERROR(SMALL($AD$10:$AD$509,COUNTIF($AD$10:$AD$509,"&lt;="&amp;S429)+1),""))</f>
        <v/>
      </c>
      <c r="T430" s="74" t="str">
        <f aca="false">IF(S430="","",INDEX($AE$10:$AE$509,MATCH(S430,$AD$10:$AD$509,0)))</f>
        <v/>
      </c>
      <c r="U430" s="74" t="str">
        <f aca="false">IF(S430="","",IFERROR(INDEX($AG$10:$AG$509,MATCH(S430,$AF$10:$AF$509,0)),""))</f>
        <v/>
      </c>
      <c r="V430" s="76" t="str">
        <f aca="false">IF(AND(ISNUMBER(T430),ISNUMBER(T429)),T430/T429-1,"")</f>
        <v/>
      </c>
      <c r="W430" s="76" t="str">
        <f aca="false">IF(AND(ISNUMBER(U430),ISNUMBER(U429)),U430/U429-1,"")</f>
        <v/>
      </c>
      <c r="X430" s="75" t="str">
        <f aca="false">IF(AND(ISNUMBER(V430),ISNUMBER(W430)),1,"")</f>
        <v/>
      </c>
      <c r="Y430" s="76" t="str">
        <f aca="false">IF(X430=1,V430,"")</f>
        <v/>
      </c>
      <c r="Z430" s="76" t="str">
        <f aca="false">IF(X430=1,W430,"")</f>
        <v/>
      </c>
      <c r="AA430" s="76" t="e">
        <f aca="false">IF(X430=1,V430,NA())</f>
        <v>#N/A</v>
      </c>
      <c r="AB430" s="76" t="e">
        <f aca="false">IF(X430=1,W430,NA())</f>
        <v>#N/A</v>
      </c>
      <c r="AD430" s="73" t="str">
        <f aca="false">IF(ISNUMBER(AE430),IF(ISNUMBER('Base de Datos'!A426),IF('Base de Datos'!A426&gt;20000,DATE(YEAR('Base de Datos'!A426),DAY('Base de Datos'!A426),MONTH('Base de Datos'!A426)),""),IF(TRIM('Base de Datos'!A426)="","",IFERROR(DATE(VALUE(RIGHT(TRIM('Base de Datos'!A426),4)),VALUE(LEFT(TRIM('Base de Datos'!A426),2)),VALUE(MID(TRIM('Base de Datos'!A426),4,2))),""))),"")</f>
        <v/>
      </c>
      <c r="AE430" s="74" t="str">
        <f aca="false">IF(ISNUMBER('Base de Datos'!B426),'Base de Datos'!B426,IF(TRIM('Base de Datos'!B426)="","",IFERROR(IF(IFERROR(FIND("@",SUBSTITUTE(TRIM('Base de Datos'!B426),",","@",LEN(TRIM('Base de Datos'!B426))-LEN(SUBSTITUTE(TRIM('Base de Datos'!B426),",","")))),0)&gt;IFERROR(FIND("@",SUBSTITUTE(TRIM('Base de Datos'!B426),".","@",LEN(TRIM('Base de Datos'!B426))-LEN(SUBSTITUTE(TRIM('Base de Datos'!B426),".","")))),0),_xlfn.NUMBERVALUE(SUBSTITUTE(SUBSTITUTE(TRIM('Base de Datos'!B426),".",""),",","."),".",","),_xlfn.NUMBERVALUE(SUBSTITUTE(TRIM('Base de Datos'!B426),",",""),".",",")),"")))</f>
        <v/>
      </c>
      <c r="AF430" s="73" t="str">
        <f aca="false">IF(ISNUMBER(AG430),IF(ISNUMBER('Base de Datos'!I426),IF('Base de Datos'!I426&gt;20000,INT('Base de Datos'!I426),""),IF(TRIM('Base de Datos'!I426)="","",IFERROR(DATE(VALUE(RIGHT(TRIM('Base de Datos'!I426),4)),VALUE(MID(TRIM('Base de Datos'!I426),4,2)),VALUE(LEFT(TRIM('Base de Datos'!I426),2))),IFERROR(DATEVALUE(TRIM('Base de Datos'!I426)),"")))),"")</f>
        <v/>
      </c>
      <c r="AG430" s="74" t="str">
        <f aca="false">IF(ISNUMBER('Base de Datos'!J426),'Base de Datos'!J426,IF(TRIM('Base de Datos'!J426)="","",IFERROR(IF(IFERROR(FIND("@",SUBSTITUTE(TRIM('Base de Datos'!J426),",","@",LEN(TRIM('Base de Datos'!J426))-LEN(SUBSTITUTE(TRIM('Base de Datos'!J426),",","")))),0)&gt;IFERROR(FIND("@",SUBSTITUTE(TRIM('Base de Datos'!J426),".","@",LEN(TRIM('Base de Datos'!J426))-LEN(SUBSTITUTE(TRIM('Base de Datos'!J426),".","")))),0),_xlfn.NUMBERVALUE(SUBSTITUTE(SUBSTITUTE(TRIM('Base de Datos'!J426),".",""),",","."),".",","),_xlfn.NUMBERVALUE(SUBSTITUTE(TRIM('Base de Datos'!J426),",",""),".",",")),"")))</f>
        <v/>
      </c>
    </row>
    <row r="431" customFormat="false" ht="13.5" hidden="false" customHeight="false" outlineLevel="0" collapsed="false">
      <c r="R431" s="75" t="n">
        <f aca="false">ROWS(R$13:R431)</f>
        <v>419</v>
      </c>
      <c r="S431" s="73" t="str">
        <f aca="false">IF(S430="","",IFERROR(SMALL($AD$10:$AD$509,COUNTIF($AD$10:$AD$509,"&lt;="&amp;S430)+1),""))</f>
        <v/>
      </c>
      <c r="T431" s="74" t="str">
        <f aca="false">IF(S431="","",INDEX($AE$10:$AE$509,MATCH(S431,$AD$10:$AD$509,0)))</f>
        <v/>
      </c>
      <c r="U431" s="74" t="str">
        <f aca="false">IF(S431="","",IFERROR(INDEX($AG$10:$AG$509,MATCH(S431,$AF$10:$AF$509,0)),""))</f>
        <v/>
      </c>
      <c r="V431" s="76" t="str">
        <f aca="false">IF(AND(ISNUMBER(T431),ISNUMBER(T430)),T431/T430-1,"")</f>
        <v/>
      </c>
      <c r="W431" s="76" t="str">
        <f aca="false">IF(AND(ISNUMBER(U431),ISNUMBER(U430)),U431/U430-1,"")</f>
        <v/>
      </c>
      <c r="X431" s="75" t="str">
        <f aca="false">IF(AND(ISNUMBER(V431),ISNUMBER(W431)),1,"")</f>
        <v/>
      </c>
      <c r="Y431" s="76" t="str">
        <f aca="false">IF(X431=1,V431,"")</f>
        <v/>
      </c>
      <c r="Z431" s="76" t="str">
        <f aca="false">IF(X431=1,W431,"")</f>
        <v/>
      </c>
      <c r="AA431" s="76" t="e">
        <f aca="false">IF(X431=1,V431,NA())</f>
        <v>#N/A</v>
      </c>
      <c r="AB431" s="76" t="e">
        <f aca="false">IF(X431=1,W431,NA())</f>
        <v>#N/A</v>
      </c>
      <c r="AD431" s="73" t="str">
        <f aca="false">IF(ISNUMBER(AE431),IF(ISNUMBER('Base de Datos'!A427),IF('Base de Datos'!A427&gt;20000,DATE(YEAR('Base de Datos'!A427),DAY('Base de Datos'!A427),MONTH('Base de Datos'!A427)),""),IF(TRIM('Base de Datos'!A427)="","",IFERROR(DATE(VALUE(RIGHT(TRIM('Base de Datos'!A427),4)),VALUE(LEFT(TRIM('Base de Datos'!A427),2)),VALUE(MID(TRIM('Base de Datos'!A427),4,2))),""))),"")</f>
        <v/>
      </c>
      <c r="AE431" s="74" t="str">
        <f aca="false">IF(ISNUMBER('Base de Datos'!B427),'Base de Datos'!B427,IF(TRIM('Base de Datos'!B427)="","",IFERROR(IF(IFERROR(FIND("@",SUBSTITUTE(TRIM('Base de Datos'!B427),",","@",LEN(TRIM('Base de Datos'!B427))-LEN(SUBSTITUTE(TRIM('Base de Datos'!B427),",","")))),0)&gt;IFERROR(FIND("@",SUBSTITUTE(TRIM('Base de Datos'!B427),".","@",LEN(TRIM('Base de Datos'!B427))-LEN(SUBSTITUTE(TRIM('Base de Datos'!B427),".","")))),0),_xlfn.NUMBERVALUE(SUBSTITUTE(SUBSTITUTE(TRIM('Base de Datos'!B427),".",""),",","."),".",","),_xlfn.NUMBERVALUE(SUBSTITUTE(TRIM('Base de Datos'!B427),",",""),".",",")),"")))</f>
        <v/>
      </c>
      <c r="AF431" s="73" t="str">
        <f aca="false">IF(ISNUMBER(AG431),IF(ISNUMBER('Base de Datos'!I427),IF('Base de Datos'!I427&gt;20000,INT('Base de Datos'!I427),""),IF(TRIM('Base de Datos'!I427)="","",IFERROR(DATE(VALUE(RIGHT(TRIM('Base de Datos'!I427),4)),VALUE(MID(TRIM('Base de Datos'!I427),4,2)),VALUE(LEFT(TRIM('Base de Datos'!I427),2))),IFERROR(DATEVALUE(TRIM('Base de Datos'!I427)),"")))),"")</f>
        <v/>
      </c>
      <c r="AG431" s="74" t="str">
        <f aca="false">IF(ISNUMBER('Base de Datos'!J427),'Base de Datos'!J427,IF(TRIM('Base de Datos'!J427)="","",IFERROR(IF(IFERROR(FIND("@",SUBSTITUTE(TRIM('Base de Datos'!J427),",","@",LEN(TRIM('Base de Datos'!J427))-LEN(SUBSTITUTE(TRIM('Base de Datos'!J427),",","")))),0)&gt;IFERROR(FIND("@",SUBSTITUTE(TRIM('Base de Datos'!J427),".","@",LEN(TRIM('Base de Datos'!J427))-LEN(SUBSTITUTE(TRIM('Base de Datos'!J427),".","")))),0),_xlfn.NUMBERVALUE(SUBSTITUTE(SUBSTITUTE(TRIM('Base de Datos'!J427),".",""),",","."),".",","),_xlfn.NUMBERVALUE(SUBSTITUTE(TRIM('Base de Datos'!J427),",",""),".",",")),"")))</f>
        <v/>
      </c>
    </row>
    <row r="432" customFormat="false" ht="13.5" hidden="false" customHeight="false" outlineLevel="0" collapsed="false">
      <c r="R432" s="75" t="n">
        <f aca="false">ROWS(R$13:R432)</f>
        <v>420</v>
      </c>
      <c r="S432" s="73" t="str">
        <f aca="false">IF(S431="","",IFERROR(SMALL($AD$10:$AD$509,COUNTIF($AD$10:$AD$509,"&lt;="&amp;S431)+1),""))</f>
        <v/>
      </c>
      <c r="T432" s="74" t="str">
        <f aca="false">IF(S432="","",INDEX($AE$10:$AE$509,MATCH(S432,$AD$10:$AD$509,0)))</f>
        <v/>
      </c>
      <c r="U432" s="74" t="str">
        <f aca="false">IF(S432="","",IFERROR(INDEX($AG$10:$AG$509,MATCH(S432,$AF$10:$AF$509,0)),""))</f>
        <v/>
      </c>
      <c r="V432" s="76" t="str">
        <f aca="false">IF(AND(ISNUMBER(T432),ISNUMBER(T431)),T432/T431-1,"")</f>
        <v/>
      </c>
      <c r="W432" s="76" t="str">
        <f aca="false">IF(AND(ISNUMBER(U432),ISNUMBER(U431)),U432/U431-1,"")</f>
        <v/>
      </c>
      <c r="X432" s="75" t="str">
        <f aca="false">IF(AND(ISNUMBER(V432),ISNUMBER(W432)),1,"")</f>
        <v/>
      </c>
      <c r="Y432" s="76" t="str">
        <f aca="false">IF(X432=1,V432,"")</f>
        <v/>
      </c>
      <c r="Z432" s="76" t="str">
        <f aca="false">IF(X432=1,W432,"")</f>
        <v/>
      </c>
      <c r="AA432" s="76" t="e">
        <f aca="false">IF(X432=1,V432,NA())</f>
        <v>#N/A</v>
      </c>
      <c r="AB432" s="76" t="e">
        <f aca="false">IF(X432=1,W432,NA())</f>
        <v>#N/A</v>
      </c>
      <c r="AD432" s="73" t="str">
        <f aca="false">IF(ISNUMBER(AE432),IF(ISNUMBER('Base de Datos'!A428),IF('Base de Datos'!A428&gt;20000,DATE(YEAR('Base de Datos'!A428),DAY('Base de Datos'!A428),MONTH('Base de Datos'!A428)),""),IF(TRIM('Base de Datos'!A428)="","",IFERROR(DATE(VALUE(RIGHT(TRIM('Base de Datos'!A428),4)),VALUE(LEFT(TRIM('Base de Datos'!A428),2)),VALUE(MID(TRIM('Base de Datos'!A428),4,2))),""))),"")</f>
        <v/>
      </c>
      <c r="AE432" s="74" t="str">
        <f aca="false">IF(ISNUMBER('Base de Datos'!B428),'Base de Datos'!B428,IF(TRIM('Base de Datos'!B428)="","",IFERROR(IF(IFERROR(FIND("@",SUBSTITUTE(TRIM('Base de Datos'!B428),",","@",LEN(TRIM('Base de Datos'!B428))-LEN(SUBSTITUTE(TRIM('Base de Datos'!B428),",","")))),0)&gt;IFERROR(FIND("@",SUBSTITUTE(TRIM('Base de Datos'!B428),".","@",LEN(TRIM('Base de Datos'!B428))-LEN(SUBSTITUTE(TRIM('Base de Datos'!B428),".","")))),0),_xlfn.NUMBERVALUE(SUBSTITUTE(SUBSTITUTE(TRIM('Base de Datos'!B428),".",""),",","."),".",","),_xlfn.NUMBERVALUE(SUBSTITUTE(TRIM('Base de Datos'!B428),",",""),".",",")),"")))</f>
        <v/>
      </c>
      <c r="AF432" s="73" t="str">
        <f aca="false">IF(ISNUMBER(AG432),IF(ISNUMBER('Base de Datos'!I428),IF('Base de Datos'!I428&gt;20000,INT('Base de Datos'!I428),""),IF(TRIM('Base de Datos'!I428)="","",IFERROR(DATE(VALUE(RIGHT(TRIM('Base de Datos'!I428),4)),VALUE(MID(TRIM('Base de Datos'!I428),4,2)),VALUE(LEFT(TRIM('Base de Datos'!I428),2))),IFERROR(DATEVALUE(TRIM('Base de Datos'!I428)),"")))),"")</f>
        <v/>
      </c>
      <c r="AG432" s="74" t="str">
        <f aca="false">IF(ISNUMBER('Base de Datos'!J428),'Base de Datos'!J428,IF(TRIM('Base de Datos'!J428)="","",IFERROR(IF(IFERROR(FIND("@",SUBSTITUTE(TRIM('Base de Datos'!J428),",","@",LEN(TRIM('Base de Datos'!J428))-LEN(SUBSTITUTE(TRIM('Base de Datos'!J428),",","")))),0)&gt;IFERROR(FIND("@",SUBSTITUTE(TRIM('Base de Datos'!J428),".","@",LEN(TRIM('Base de Datos'!J428))-LEN(SUBSTITUTE(TRIM('Base de Datos'!J428),".","")))),0),_xlfn.NUMBERVALUE(SUBSTITUTE(SUBSTITUTE(TRIM('Base de Datos'!J428),".",""),",","."),".",","),_xlfn.NUMBERVALUE(SUBSTITUTE(TRIM('Base de Datos'!J428),",",""),".",",")),"")))</f>
        <v/>
      </c>
    </row>
    <row r="433" customFormat="false" ht="13.5" hidden="false" customHeight="false" outlineLevel="0" collapsed="false">
      <c r="R433" s="75" t="n">
        <f aca="false">ROWS(R$13:R433)</f>
        <v>421</v>
      </c>
      <c r="S433" s="73" t="str">
        <f aca="false">IF(S432="","",IFERROR(SMALL($AD$10:$AD$509,COUNTIF($AD$10:$AD$509,"&lt;="&amp;S432)+1),""))</f>
        <v/>
      </c>
      <c r="T433" s="74" t="str">
        <f aca="false">IF(S433="","",INDEX($AE$10:$AE$509,MATCH(S433,$AD$10:$AD$509,0)))</f>
        <v/>
      </c>
      <c r="U433" s="74" t="str">
        <f aca="false">IF(S433="","",IFERROR(INDEX($AG$10:$AG$509,MATCH(S433,$AF$10:$AF$509,0)),""))</f>
        <v/>
      </c>
      <c r="V433" s="76" t="str">
        <f aca="false">IF(AND(ISNUMBER(T433),ISNUMBER(T432)),T433/T432-1,"")</f>
        <v/>
      </c>
      <c r="W433" s="76" t="str">
        <f aca="false">IF(AND(ISNUMBER(U433),ISNUMBER(U432)),U433/U432-1,"")</f>
        <v/>
      </c>
      <c r="X433" s="75" t="str">
        <f aca="false">IF(AND(ISNUMBER(V433),ISNUMBER(W433)),1,"")</f>
        <v/>
      </c>
      <c r="Y433" s="76" t="str">
        <f aca="false">IF(X433=1,V433,"")</f>
        <v/>
      </c>
      <c r="Z433" s="76" t="str">
        <f aca="false">IF(X433=1,W433,"")</f>
        <v/>
      </c>
      <c r="AA433" s="76" t="e">
        <f aca="false">IF(X433=1,V433,NA())</f>
        <v>#N/A</v>
      </c>
      <c r="AB433" s="76" t="e">
        <f aca="false">IF(X433=1,W433,NA())</f>
        <v>#N/A</v>
      </c>
      <c r="AD433" s="73" t="str">
        <f aca="false">IF(ISNUMBER(AE433),IF(ISNUMBER('Base de Datos'!A429),IF('Base de Datos'!A429&gt;20000,DATE(YEAR('Base de Datos'!A429),DAY('Base de Datos'!A429),MONTH('Base de Datos'!A429)),""),IF(TRIM('Base de Datos'!A429)="","",IFERROR(DATE(VALUE(RIGHT(TRIM('Base de Datos'!A429),4)),VALUE(LEFT(TRIM('Base de Datos'!A429),2)),VALUE(MID(TRIM('Base de Datos'!A429),4,2))),""))),"")</f>
        <v/>
      </c>
      <c r="AE433" s="74" t="str">
        <f aca="false">IF(ISNUMBER('Base de Datos'!B429),'Base de Datos'!B429,IF(TRIM('Base de Datos'!B429)="","",IFERROR(IF(IFERROR(FIND("@",SUBSTITUTE(TRIM('Base de Datos'!B429),",","@",LEN(TRIM('Base de Datos'!B429))-LEN(SUBSTITUTE(TRIM('Base de Datos'!B429),",","")))),0)&gt;IFERROR(FIND("@",SUBSTITUTE(TRIM('Base de Datos'!B429),".","@",LEN(TRIM('Base de Datos'!B429))-LEN(SUBSTITUTE(TRIM('Base de Datos'!B429),".","")))),0),_xlfn.NUMBERVALUE(SUBSTITUTE(SUBSTITUTE(TRIM('Base de Datos'!B429),".",""),",","."),".",","),_xlfn.NUMBERVALUE(SUBSTITUTE(TRIM('Base de Datos'!B429),",",""),".",",")),"")))</f>
        <v/>
      </c>
      <c r="AF433" s="73" t="str">
        <f aca="false">IF(ISNUMBER(AG433),IF(ISNUMBER('Base de Datos'!I429),IF('Base de Datos'!I429&gt;20000,INT('Base de Datos'!I429),""),IF(TRIM('Base de Datos'!I429)="","",IFERROR(DATE(VALUE(RIGHT(TRIM('Base de Datos'!I429),4)),VALUE(MID(TRIM('Base de Datos'!I429),4,2)),VALUE(LEFT(TRIM('Base de Datos'!I429),2))),IFERROR(DATEVALUE(TRIM('Base de Datos'!I429)),"")))),"")</f>
        <v/>
      </c>
      <c r="AG433" s="74" t="str">
        <f aca="false">IF(ISNUMBER('Base de Datos'!J429),'Base de Datos'!J429,IF(TRIM('Base de Datos'!J429)="","",IFERROR(IF(IFERROR(FIND("@",SUBSTITUTE(TRIM('Base de Datos'!J429),",","@",LEN(TRIM('Base de Datos'!J429))-LEN(SUBSTITUTE(TRIM('Base de Datos'!J429),",","")))),0)&gt;IFERROR(FIND("@",SUBSTITUTE(TRIM('Base de Datos'!J429),".","@",LEN(TRIM('Base de Datos'!J429))-LEN(SUBSTITUTE(TRIM('Base de Datos'!J429),".","")))),0),_xlfn.NUMBERVALUE(SUBSTITUTE(SUBSTITUTE(TRIM('Base de Datos'!J429),".",""),",","."),".",","),_xlfn.NUMBERVALUE(SUBSTITUTE(TRIM('Base de Datos'!J429),",",""),".",",")),"")))</f>
        <v/>
      </c>
    </row>
    <row r="434" customFormat="false" ht="13.5" hidden="false" customHeight="false" outlineLevel="0" collapsed="false">
      <c r="R434" s="75" t="n">
        <f aca="false">ROWS(R$13:R434)</f>
        <v>422</v>
      </c>
      <c r="S434" s="73" t="str">
        <f aca="false">IF(S433="","",IFERROR(SMALL($AD$10:$AD$509,COUNTIF($AD$10:$AD$509,"&lt;="&amp;S433)+1),""))</f>
        <v/>
      </c>
      <c r="T434" s="74" t="str">
        <f aca="false">IF(S434="","",INDEX($AE$10:$AE$509,MATCH(S434,$AD$10:$AD$509,0)))</f>
        <v/>
      </c>
      <c r="U434" s="74" t="str">
        <f aca="false">IF(S434="","",IFERROR(INDEX($AG$10:$AG$509,MATCH(S434,$AF$10:$AF$509,0)),""))</f>
        <v/>
      </c>
      <c r="V434" s="76" t="str">
        <f aca="false">IF(AND(ISNUMBER(T434),ISNUMBER(T433)),T434/T433-1,"")</f>
        <v/>
      </c>
      <c r="W434" s="76" t="str">
        <f aca="false">IF(AND(ISNUMBER(U434),ISNUMBER(U433)),U434/U433-1,"")</f>
        <v/>
      </c>
      <c r="X434" s="75" t="str">
        <f aca="false">IF(AND(ISNUMBER(V434),ISNUMBER(W434)),1,"")</f>
        <v/>
      </c>
      <c r="Y434" s="76" t="str">
        <f aca="false">IF(X434=1,V434,"")</f>
        <v/>
      </c>
      <c r="Z434" s="76" t="str">
        <f aca="false">IF(X434=1,W434,"")</f>
        <v/>
      </c>
      <c r="AA434" s="76" t="e">
        <f aca="false">IF(X434=1,V434,NA())</f>
        <v>#N/A</v>
      </c>
      <c r="AB434" s="76" t="e">
        <f aca="false">IF(X434=1,W434,NA())</f>
        <v>#N/A</v>
      </c>
      <c r="AD434" s="73" t="str">
        <f aca="false">IF(ISNUMBER(AE434),IF(ISNUMBER('Base de Datos'!A430),IF('Base de Datos'!A430&gt;20000,DATE(YEAR('Base de Datos'!A430),DAY('Base de Datos'!A430),MONTH('Base de Datos'!A430)),""),IF(TRIM('Base de Datos'!A430)="","",IFERROR(DATE(VALUE(RIGHT(TRIM('Base de Datos'!A430),4)),VALUE(LEFT(TRIM('Base de Datos'!A430),2)),VALUE(MID(TRIM('Base de Datos'!A430),4,2))),""))),"")</f>
        <v/>
      </c>
      <c r="AE434" s="74" t="str">
        <f aca="false">IF(ISNUMBER('Base de Datos'!B430),'Base de Datos'!B430,IF(TRIM('Base de Datos'!B430)="","",IFERROR(IF(IFERROR(FIND("@",SUBSTITUTE(TRIM('Base de Datos'!B430),",","@",LEN(TRIM('Base de Datos'!B430))-LEN(SUBSTITUTE(TRIM('Base de Datos'!B430),",","")))),0)&gt;IFERROR(FIND("@",SUBSTITUTE(TRIM('Base de Datos'!B430),".","@",LEN(TRIM('Base de Datos'!B430))-LEN(SUBSTITUTE(TRIM('Base de Datos'!B430),".","")))),0),_xlfn.NUMBERVALUE(SUBSTITUTE(SUBSTITUTE(TRIM('Base de Datos'!B430),".",""),",","."),".",","),_xlfn.NUMBERVALUE(SUBSTITUTE(TRIM('Base de Datos'!B430),",",""),".",",")),"")))</f>
        <v/>
      </c>
      <c r="AF434" s="73" t="str">
        <f aca="false">IF(ISNUMBER(AG434),IF(ISNUMBER('Base de Datos'!I430),IF('Base de Datos'!I430&gt;20000,INT('Base de Datos'!I430),""),IF(TRIM('Base de Datos'!I430)="","",IFERROR(DATE(VALUE(RIGHT(TRIM('Base de Datos'!I430),4)),VALUE(MID(TRIM('Base de Datos'!I430),4,2)),VALUE(LEFT(TRIM('Base de Datos'!I430),2))),IFERROR(DATEVALUE(TRIM('Base de Datos'!I430)),"")))),"")</f>
        <v/>
      </c>
      <c r="AG434" s="74" t="str">
        <f aca="false">IF(ISNUMBER('Base de Datos'!J430),'Base de Datos'!J430,IF(TRIM('Base de Datos'!J430)="","",IFERROR(IF(IFERROR(FIND("@",SUBSTITUTE(TRIM('Base de Datos'!J430),",","@",LEN(TRIM('Base de Datos'!J430))-LEN(SUBSTITUTE(TRIM('Base de Datos'!J430),",","")))),0)&gt;IFERROR(FIND("@",SUBSTITUTE(TRIM('Base de Datos'!J430),".","@",LEN(TRIM('Base de Datos'!J430))-LEN(SUBSTITUTE(TRIM('Base de Datos'!J430),".","")))),0),_xlfn.NUMBERVALUE(SUBSTITUTE(SUBSTITUTE(TRIM('Base de Datos'!J430),".",""),",","."),".",","),_xlfn.NUMBERVALUE(SUBSTITUTE(TRIM('Base de Datos'!J430),",",""),".",",")),"")))</f>
        <v/>
      </c>
    </row>
    <row r="435" customFormat="false" ht="13.5" hidden="false" customHeight="false" outlineLevel="0" collapsed="false">
      <c r="R435" s="75" t="n">
        <f aca="false">ROWS(R$13:R435)</f>
        <v>423</v>
      </c>
      <c r="S435" s="73" t="str">
        <f aca="false">IF(S434="","",IFERROR(SMALL($AD$10:$AD$509,COUNTIF($AD$10:$AD$509,"&lt;="&amp;S434)+1),""))</f>
        <v/>
      </c>
      <c r="T435" s="74" t="str">
        <f aca="false">IF(S435="","",INDEX($AE$10:$AE$509,MATCH(S435,$AD$10:$AD$509,0)))</f>
        <v/>
      </c>
      <c r="U435" s="74" t="str">
        <f aca="false">IF(S435="","",IFERROR(INDEX($AG$10:$AG$509,MATCH(S435,$AF$10:$AF$509,0)),""))</f>
        <v/>
      </c>
      <c r="V435" s="76" t="str">
        <f aca="false">IF(AND(ISNUMBER(T435),ISNUMBER(T434)),T435/T434-1,"")</f>
        <v/>
      </c>
      <c r="W435" s="76" t="str">
        <f aca="false">IF(AND(ISNUMBER(U435),ISNUMBER(U434)),U435/U434-1,"")</f>
        <v/>
      </c>
      <c r="X435" s="75" t="str">
        <f aca="false">IF(AND(ISNUMBER(V435),ISNUMBER(W435)),1,"")</f>
        <v/>
      </c>
      <c r="Y435" s="76" t="str">
        <f aca="false">IF(X435=1,V435,"")</f>
        <v/>
      </c>
      <c r="Z435" s="76" t="str">
        <f aca="false">IF(X435=1,W435,"")</f>
        <v/>
      </c>
      <c r="AA435" s="76" t="e">
        <f aca="false">IF(X435=1,V435,NA())</f>
        <v>#N/A</v>
      </c>
      <c r="AB435" s="76" t="e">
        <f aca="false">IF(X435=1,W435,NA())</f>
        <v>#N/A</v>
      </c>
      <c r="AD435" s="73" t="str">
        <f aca="false">IF(ISNUMBER(AE435),IF(ISNUMBER('Base de Datos'!A431),IF('Base de Datos'!A431&gt;20000,DATE(YEAR('Base de Datos'!A431),DAY('Base de Datos'!A431),MONTH('Base de Datos'!A431)),""),IF(TRIM('Base de Datos'!A431)="","",IFERROR(DATE(VALUE(RIGHT(TRIM('Base de Datos'!A431),4)),VALUE(LEFT(TRIM('Base de Datos'!A431),2)),VALUE(MID(TRIM('Base de Datos'!A431),4,2))),""))),"")</f>
        <v/>
      </c>
      <c r="AE435" s="74" t="str">
        <f aca="false">IF(ISNUMBER('Base de Datos'!B431),'Base de Datos'!B431,IF(TRIM('Base de Datos'!B431)="","",IFERROR(IF(IFERROR(FIND("@",SUBSTITUTE(TRIM('Base de Datos'!B431),",","@",LEN(TRIM('Base de Datos'!B431))-LEN(SUBSTITUTE(TRIM('Base de Datos'!B431),",","")))),0)&gt;IFERROR(FIND("@",SUBSTITUTE(TRIM('Base de Datos'!B431),".","@",LEN(TRIM('Base de Datos'!B431))-LEN(SUBSTITUTE(TRIM('Base de Datos'!B431),".","")))),0),_xlfn.NUMBERVALUE(SUBSTITUTE(SUBSTITUTE(TRIM('Base de Datos'!B431),".",""),",","."),".",","),_xlfn.NUMBERVALUE(SUBSTITUTE(TRIM('Base de Datos'!B431),",",""),".",",")),"")))</f>
        <v/>
      </c>
      <c r="AF435" s="73" t="str">
        <f aca="false">IF(ISNUMBER(AG435),IF(ISNUMBER('Base de Datos'!I431),IF('Base de Datos'!I431&gt;20000,INT('Base de Datos'!I431),""),IF(TRIM('Base de Datos'!I431)="","",IFERROR(DATE(VALUE(RIGHT(TRIM('Base de Datos'!I431),4)),VALUE(MID(TRIM('Base de Datos'!I431),4,2)),VALUE(LEFT(TRIM('Base de Datos'!I431),2))),IFERROR(DATEVALUE(TRIM('Base de Datos'!I431)),"")))),"")</f>
        <v/>
      </c>
      <c r="AG435" s="74" t="str">
        <f aca="false">IF(ISNUMBER('Base de Datos'!J431),'Base de Datos'!J431,IF(TRIM('Base de Datos'!J431)="","",IFERROR(IF(IFERROR(FIND("@",SUBSTITUTE(TRIM('Base de Datos'!J431),",","@",LEN(TRIM('Base de Datos'!J431))-LEN(SUBSTITUTE(TRIM('Base de Datos'!J431),",","")))),0)&gt;IFERROR(FIND("@",SUBSTITUTE(TRIM('Base de Datos'!J431),".","@",LEN(TRIM('Base de Datos'!J431))-LEN(SUBSTITUTE(TRIM('Base de Datos'!J431),".","")))),0),_xlfn.NUMBERVALUE(SUBSTITUTE(SUBSTITUTE(TRIM('Base de Datos'!J431),".",""),",","."),".",","),_xlfn.NUMBERVALUE(SUBSTITUTE(TRIM('Base de Datos'!J431),",",""),".",",")),"")))</f>
        <v/>
      </c>
    </row>
    <row r="436" customFormat="false" ht="13.5" hidden="false" customHeight="false" outlineLevel="0" collapsed="false">
      <c r="R436" s="75" t="n">
        <f aca="false">ROWS(R$13:R436)</f>
        <v>424</v>
      </c>
      <c r="S436" s="73" t="str">
        <f aca="false">IF(S435="","",IFERROR(SMALL($AD$10:$AD$509,COUNTIF($AD$10:$AD$509,"&lt;="&amp;S435)+1),""))</f>
        <v/>
      </c>
      <c r="T436" s="74" t="str">
        <f aca="false">IF(S436="","",INDEX($AE$10:$AE$509,MATCH(S436,$AD$10:$AD$509,0)))</f>
        <v/>
      </c>
      <c r="U436" s="74" t="str">
        <f aca="false">IF(S436="","",IFERROR(INDEX($AG$10:$AG$509,MATCH(S436,$AF$10:$AF$509,0)),""))</f>
        <v/>
      </c>
      <c r="V436" s="76" t="str">
        <f aca="false">IF(AND(ISNUMBER(T436),ISNUMBER(T435)),T436/T435-1,"")</f>
        <v/>
      </c>
      <c r="W436" s="76" t="str">
        <f aca="false">IF(AND(ISNUMBER(U436),ISNUMBER(U435)),U436/U435-1,"")</f>
        <v/>
      </c>
      <c r="X436" s="75" t="str">
        <f aca="false">IF(AND(ISNUMBER(V436),ISNUMBER(W436)),1,"")</f>
        <v/>
      </c>
      <c r="Y436" s="76" t="str">
        <f aca="false">IF(X436=1,V436,"")</f>
        <v/>
      </c>
      <c r="Z436" s="76" t="str">
        <f aca="false">IF(X436=1,W436,"")</f>
        <v/>
      </c>
      <c r="AA436" s="76" t="e">
        <f aca="false">IF(X436=1,V436,NA())</f>
        <v>#N/A</v>
      </c>
      <c r="AB436" s="76" t="e">
        <f aca="false">IF(X436=1,W436,NA())</f>
        <v>#N/A</v>
      </c>
      <c r="AD436" s="73" t="str">
        <f aca="false">IF(ISNUMBER(AE436),IF(ISNUMBER('Base de Datos'!A432),IF('Base de Datos'!A432&gt;20000,DATE(YEAR('Base de Datos'!A432),DAY('Base de Datos'!A432),MONTH('Base de Datos'!A432)),""),IF(TRIM('Base de Datos'!A432)="","",IFERROR(DATE(VALUE(RIGHT(TRIM('Base de Datos'!A432),4)),VALUE(LEFT(TRIM('Base de Datos'!A432),2)),VALUE(MID(TRIM('Base de Datos'!A432),4,2))),""))),"")</f>
        <v/>
      </c>
      <c r="AE436" s="74" t="str">
        <f aca="false">IF(ISNUMBER('Base de Datos'!B432),'Base de Datos'!B432,IF(TRIM('Base de Datos'!B432)="","",IFERROR(IF(IFERROR(FIND("@",SUBSTITUTE(TRIM('Base de Datos'!B432),",","@",LEN(TRIM('Base de Datos'!B432))-LEN(SUBSTITUTE(TRIM('Base de Datos'!B432),",","")))),0)&gt;IFERROR(FIND("@",SUBSTITUTE(TRIM('Base de Datos'!B432),".","@",LEN(TRIM('Base de Datos'!B432))-LEN(SUBSTITUTE(TRIM('Base de Datos'!B432),".","")))),0),_xlfn.NUMBERVALUE(SUBSTITUTE(SUBSTITUTE(TRIM('Base de Datos'!B432),".",""),",","."),".",","),_xlfn.NUMBERVALUE(SUBSTITUTE(TRIM('Base de Datos'!B432),",",""),".",",")),"")))</f>
        <v/>
      </c>
      <c r="AF436" s="73" t="str">
        <f aca="false">IF(ISNUMBER(AG436),IF(ISNUMBER('Base de Datos'!I432),IF('Base de Datos'!I432&gt;20000,INT('Base de Datos'!I432),""),IF(TRIM('Base de Datos'!I432)="","",IFERROR(DATE(VALUE(RIGHT(TRIM('Base de Datos'!I432),4)),VALUE(MID(TRIM('Base de Datos'!I432),4,2)),VALUE(LEFT(TRIM('Base de Datos'!I432),2))),IFERROR(DATEVALUE(TRIM('Base de Datos'!I432)),"")))),"")</f>
        <v/>
      </c>
      <c r="AG436" s="74" t="str">
        <f aca="false">IF(ISNUMBER('Base de Datos'!J432),'Base de Datos'!J432,IF(TRIM('Base de Datos'!J432)="","",IFERROR(IF(IFERROR(FIND("@",SUBSTITUTE(TRIM('Base de Datos'!J432),",","@",LEN(TRIM('Base de Datos'!J432))-LEN(SUBSTITUTE(TRIM('Base de Datos'!J432),",","")))),0)&gt;IFERROR(FIND("@",SUBSTITUTE(TRIM('Base de Datos'!J432),".","@",LEN(TRIM('Base de Datos'!J432))-LEN(SUBSTITUTE(TRIM('Base de Datos'!J432),".","")))),0),_xlfn.NUMBERVALUE(SUBSTITUTE(SUBSTITUTE(TRIM('Base de Datos'!J432),".",""),",","."),".",","),_xlfn.NUMBERVALUE(SUBSTITUTE(TRIM('Base de Datos'!J432),",",""),".",",")),"")))</f>
        <v/>
      </c>
    </row>
    <row r="437" customFormat="false" ht="13.5" hidden="false" customHeight="false" outlineLevel="0" collapsed="false">
      <c r="R437" s="75" t="n">
        <f aca="false">ROWS(R$13:R437)</f>
        <v>425</v>
      </c>
      <c r="S437" s="73" t="str">
        <f aca="false">IF(S436="","",IFERROR(SMALL($AD$10:$AD$509,COUNTIF($AD$10:$AD$509,"&lt;="&amp;S436)+1),""))</f>
        <v/>
      </c>
      <c r="T437" s="74" t="str">
        <f aca="false">IF(S437="","",INDEX($AE$10:$AE$509,MATCH(S437,$AD$10:$AD$509,0)))</f>
        <v/>
      </c>
      <c r="U437" s="74" t="str">
        <f aca="false">IF(S437="","",IFERROR(INDEX($AG$10:$AG$509,MATCH(S437,$AF$10:$AF$509,0)),""))</f>
        <v/>
      </c>
      <c r="V437" s="76" t="str">
        <f aca="false">IF(AND(ISNUMBER(T437),ISNUMBER(T436)),T437/T436-1,"")</f>
        <v/>
      </c>
      <c r="W437" s="76" t="str">
        <f aca="false">IF(AND(ISNUMBER(U437),ISNUMBER(U436)),U437/U436-1,"")</f>
        <v/>
      </c>
      <c r="X437" s="75" t="str">
        <f aca="false">IF(AND(ISNUMBER(V437),ISNUMBER(W437)),1,"")</f>
        <v/>
      </c>
      <c r="Y437" s="76" t="str">
        <f aca="false">IF(X437=1,V437,"")</f>
        <v/>
      </c>
      <c r="Z437" s="76" t="str">
        <f aca="false">IF(X437=1,W437,"")</f>
        <v/>
      </c>
      <c r="AA437" s="76" t="e">
        <f aca="false">IF(X437=1,V437,NA())</f>
        <v>#N/A</v>
      </c>
      <c r="AB437" s="76" t="e">
        <f aca="false">IF(X437=1,W437,NA())</f>
        <v>#N/A</v>
      </c>
      <c r="AD437" s="73" t="str">
        <f aca="false">IF(ISNUMBER(AE437),IF(ISNUMBER('Base de Datos'!A433),IF('Base de Datos'!A433&gt;20000,DATE(YEAR('Base de Datos'!A433),DAY('Base de Datos'!A433),MONTH('Base de Datos'!A433)),""),IF(TRIM('Base de Datos'!A433)="","",IFERROR(DATE(VALUE(RIGHT(TRIM('Base de Datos'!A433),4)),VALUE(LEFT(TRIM('Base de Datos'!A433),2)),VALUE(MID(TRIM('Base de Datos'!A433),4,2))),""))),"")</f>
        <v/>
      </c>
      <c r="AE437" s="74" t="str">
        <f aca="false">IF(ISNUMBER('Base de Datos'!B433),'Base de Datos'!B433,IF(TRIM('Base de Datos'!B433)="","",IFERROR(IF(IFERROR(FIND("@",SUBSTITUTE(TRIM('Base de Datos'!B433),",","@",LEN(TRIM('Base de Datos'!B433))-LEN(SUBSTITUTE(TRIM('Base de Datos'!B433),",","")))),0)&gt;IFERROR(FIND("@",SUBSTITUTE(TRIM('Base de Datos'!B433),".","@",LEN(TRIM('Base de Datos'!B433))-LEN(SUBSTITUTE(TRIM('Base de Datos'!B433),".","")))),0),_xlfn.NUMBERVALUE(SUBSTITUTE(SUBSTITUTE(TRIM('Base de Datos'!B433),".",""),",","."),".",","),_xlfn.NUMBERVALUE(SUBSTITUTE(TRIM('Base de Datos'!B433),",",""),".",",")),"")))</f>
        <v/>
      </c>
      <c r="AF437" s="73" t="str">
        <f aca="false">IF(ISNUMBER(AG437),IF(ISNUMBER('Base de Datos'!I433),IF('Base de Datos'!I433&gt;20000,INT('Base de Datos'!I433),""),IF(TRIM('Base de Datos'!I433)="","",IFERROR(DATE(VALUE(RIGHT(TRIM('Base de Datos'!I433),4)),VALUE(MID(TRIM('Base de Datos'!I433),4,2)),VALUE(LEFT(TRIM('Base de Datos'!I433),2))),IFERROR(DATEVALUE(TRIM('Base de Datos'!I433)),"")))),"")</f>
        <v/>
      </c>
      <c r="AG437" s="74" t="str">
        <f aca="false">IF(ISNUMBER('Base de Datos'!J433),'Base de Datos'!J433,IF(TRIM('Base de Datos'!J433)="","",IFERROR(IF(IFERROR(FIND("@",SUBSTITUTE(TRIM('Base de Datos'!J433),",","@",LEN(TRIM('Base de Datos'!J433))-LEN(SUBSTITUTE(TRIM('Base de Datos'!J433),",","")))),0)&gt;IFERROR(FIND("@",SUBSTITUTE(TRIM('Base de Datos'!J433),".","@",LEN(TRIM('Base de Datos'!J433))-LEN(SUBSTITUTE(TRIM('Base de Datos'!J433),".","")))),0),_xlfn.NUMBERVALUE(SUBSTITUTE(SUBSTITUTE(TRIM('Base de Datos'!J433),".",""),",","."),".",","),_xlfn.NUMBERVALUE(SUBSTITUTE(TRIM('Base de Datos'!J433),",",""),".",",")),"")))</f>
        <v/>
      </c>
    </row>
    <row r="438" customFormat="false" ht="13.5" hidden="false" customHeight="false" outlineLevel="0" collapsed="false">
      <c r="R438" s="75" t="n">
        <f aca="false">ROWS(R$13:R438)</f>
        <v>426</v>
      </c>
      <c r="S438" s="73" t="str">
        <f aca="false">IF(S437="","",IFERROR(SMALL($AD$10:$AD$509,COUNTIF($AD$10:$AD$509,"&lt;="&amp;S437)+1),""))</f>
        <v/>
      </c>
      <c r="T438" s="74" t="str">
        <f aca="false">IF(S438="","",INDEX($AE$10:$AE$509,MATCH(S438,$AD$10:$AD$509,0)))</f>
        <v/>
      </c>
      <c r="U438" s="74" t="str">
        <f aca="false">IF(S438="","",IFERROR(INDEX($AG$10:$AG$509,MATCH(S438,$AF$10:$AF$509,0)),""))</f>
        <v/>
      </c>
      <c r="V438" s="76" t="str">
        <f aca="false">IF(AND(ISNUMBER(T438),ISNUMBER(T437)),T438/T437-1,"")</f>
        <v/>
      </c>
      <c r="W438" s="76" t="str">
        <f aca="false">IF(AND(ISNUMBER(U438),ISNUMBER(U437)),U438/U437-1,"")</f>
        <v/>
      </c>
      <c r="X438" s="75" t="str">
        <f aca="false">IF(AND(ISNUMBER(V438),ISNUMBER(W438)),1,"")</f>
        <v/>
      </c>
      <c r="Y438" s="76" t="str">
        <f aca="false">IF(X438=1,V438,"")</f>
        <v/>
      </c>
      <c r="Z438" s="76" t="str">
        <f aca="false">IF(X438=1,W438,"")</f>
        <v/>
      </c>
      <c r="AA438" s="76" t="e">
        <f aca="false">IF(X438=1,V438,NA())</f>
        <v>#N/A</v>
      </c>
      <c r="AB438" s="76" t="e">
        <f aca="false">IF(X438=1,W438,NA())</f>
        <v>#N/A</v>
      </c>
      <c r="AD438" s="73" t="str">
        <f aca="false">IF(ISNUMBER(AE438),IF(ISNUMBER('Base de Datos'!A434),IF('Base de Datos'!A434&gt;20000,DATE(YEAR('Base de Datos'!A434),DAY('Base de Datos'!A434),MONTH('Base de Datos'!A434)),""),IF(TRIM('Base de Datos'!A434)="","",IFERROR(DATE(VALUE(RIGHT(TRIM('Base de Datos'!A434),4)),VALUE(LEFT(TRIM('Base de Datos'!A434),2)),VALUE(MID(TRIM('Base de Datos'!A434),4,2))),""))),"")</f>
        <v/>
      </c>
      <c r="AE438" s="74" t="str">
        <f aca="false">IF(ISNUMBER('Base de Datos'!B434),'Base de Datos'!B434,IF(TRIM('Base de Datos'!B434)="","",IFERROR(IF(IFERROR(FIND("@",SUBSTITUTE(TRIM('Base de Datos'!B434),",","@",LEN(TRIM('Base de Datos'!B434))-LEN(SUBSTITUTE(TRIM('Base de Datos'!B434),",","")))),0)&gt;IFERROR(FIND("@",SUBSTITUTE(TRIM('Base de Datos'!B434),".","@",LEN(TRIM('Base de Datos'!B434))-LEN(SUBSTITUTE(TRIM('Base de Datos'!B434),".","")))),0),_xlfn.NUMBERVALUE(SUBSTITUTE(SUBSTITUTE(TRIM('Base de Datos'!B434),".",""),",","."),".",","),_xlfn.NUMBERVALUE(SUBSTITUTE(TRIM('Base de Datos'!B434),",",""),".",",")),"")))</f>
        <v/>
      </c>
      <c r="AF438" s="73" t="str">
        <f aca="false">IF(ISNUMBER(AG438),IF(ISNUMBER('Base de Datos'!I434),IF('Base de Datos'!I434&gt;20000,INT('Base de Datos'!I434),""),IF(TRIM('Base de Datos'!I434)="","",IFERROR(DATE(VALUE(RIGHT(TRIM('Base de Datos'!I434),4)),VALUE(MID(TRIM('Base de Datos'!I434),4,2)),VALUE(LEFT(TRIM('Base de Datos'!I434),2))),IFERROR(DATEVALUE(TRIM('Base de Datos'!I434)),"")))),"")</f>
        <v/>
      </c>
      <c r="AG438" s="74" t="str">
        <f aca="false">IF(ISNUMBER('Base de Datos'!J434),'Base de Datos'!J434,IF(TRIM('Base de Datos'!J434)="","",IFERROR(IF(IFERROR(FIND("@",SUBSTITUTE(TRIM('Base de Datos'!J434),",","@",LEN(TRIM('Base de Datos'!J434))-LEN(SUBSTITUTE(TRIM('Base de Datos'!J434),",","")))),0)&gt;IFERROR(FIND("@",SUBSTITUTE(TRIM('Base de Datos'!J434),".","@",LEN(TRIM('Base de Datos'!J434))-LEN(SUBSTITUTE(TRIM('Base de Datos'!J434),".","")))),0),_xlfn.NUMBERVALUE(SUBSTITUTE(SUBSTITUTE(TRIM('Base de Datos'!J434),".",""),",","."),".",","),_xlfn.NUMBERVALUE(SUBSTITUTE(TRIM('Base de Datos'!J434),",",""),".",",")),"")))</f>
        <v/>
      </c>
    </row>
    <row r="439" customFormat="false" ht="13.5" hidden="false" customHeight="false" outlineLevel="0" collapsed="false">
      <c r="R439" s="75" t="n">
        <f aca="false">ROWS(R$13:R439)</f>
        <v>427</v>
      </c>
      <c r="S439" s="73" t="str">
        <f aca="false">IF(S438="","",IFERROR(SMALL($AD$10:$AD$509,COUNTIF($AD$10:$AD$509,"&lt;="&amp;S438)+1),""))</f>
        <v/>
      </c>
      <c r="T439" s="74" t="str">
        <f aca="false">IF(S439="","",INDEX($AE$10:$AE$509,MATCH(S439,$AD$10:$AD$509,0)))</f>
        <v/>
      </c>
      <c r="U439" s="74" t="str">
        <f aca="false">IF(S439="","",IFERROR(INDEX($AG$10:$AG$509,MATCH(S439,$AF$10:$AF$509,0)),""))</f>
        <v/>
      </c>
      <c r="V439" s="76" t="str">
        <f aca="false">IF(AND(ISNUMBER(T439),ISNUMBER(T438)),T439/T438-1,"")</f>
        <v/>
      </c>
      <c r="W439" s="76" t="str">
        <f aca="false">IF(AND(ISNUMBER(U439),ISNUMBER(U438)),U439/U438-1,"")</f>
        <v/>
      </c>
      <c r="X439" s="75" t="str">
        <f aca="false">IF(AND(ISNUMBER(V439),ISNUMBER(W439)),1,"")</f>
        <v/>
      </c>
      <c r="Y439" s="76" t="str">
        <f aca="false">IF(X439=1,V439,"")</f>
        <v/>
      </c>
      <c r="Z439" s="76" t="str">
        <f aca="false">IF(X439=1,W439,"")</f>
        <v/>
      </c>
      <c r="AA439" s="76" t="e">
        <f aca="false">IF(X439=1,V439,NA())</f>
        <v>#N/A</v>
      </c>
      <c r="AB439" s="76" t="e">
        <f aca="false">IF(X439=1,W439,NA())</f>
        <v>#N/A</v>
      </c>
      <c r="AD439" s="73" t="str">
        <f aca="false">IF(ISNUMBER(AE439),IF(ISNUMBER('Base de Datos'!A435),IF('Base de Datos'!A435&gt;20000,DATE(YEAR('Base de Datos'!A435),DAY('Base de Datos'!A435),MONTH('Base de Datos'!A435)),""),IF(TRIM('Base de Datos'!A435)="","",IFERROR(DATE(VALUE(RIGHT(TRIM('Base de Datos'!A435),4)),VALUE(LEFT(TRIM('Base de Datos'!A435),2)),VALUE(MID(TRIM('Base de Datos'!A435),4,2))),""))),"")</f>
        <v/>
      </c>
      <c r="AE439" s="74" t="str">
        <f aca="false">IF(ISNUMBER('Base de Datos'!B435),'Base de Datos'!B435,IF(TRIM('Base de Datos'!B435)="","",IFERROR(IF(IFERROR(FIND("@",SUBSTITUTE(TRIM('Base de Datos'!B435),",","@",LEN(TRIM('Base de Datos'!B435))-LEN(SUBSTITUTE(TRIM('Base de Datos'!B435),",","")))),0)&gt;IFERROR(FIND("@",SUBSTITUTE(TRIM('Base de Datos'!B435),".","@",LEN(TRIM('Base de Datos'!B435))-LEN(SUBSTITUTE(TRIM('Base de Datos'!B435),".","")))),0),_xlfn.NUMBERVALUE(SUBSTITUTE(SUBSTITUTE(TRIM('Base de Datos'!B435),".",""),",","."),".",","),_xlfn.NUMBERVALUE(SUBSTITUTE(TRIM('Base de Datos'!B435),",",""),".",",")),"")))</f>
        <v/>
      </c>
      <c r="AF439" s="73" t="str">
        <f aca="false">IF(ISNUMBER(AG439),IF(ISNUMBER('Base de Datos'!I435),IF('Base de Datos'!I435&gt;20000,INT('Base de Datos'!I435),""),IF(TRIM('Base de Datos'!I435)="","",IFERROR(DATE(VALUE(RIGHT(TRIM('Base de Datos'!I435),4)),VALUE(MID(TRIM('Base de Datos'!I435),4,2)),VALUE(LEFT(TRIM('Base de Datos'!I435),2))),IFERROR(DATEVALUE(TRIM('Base de Datos'!I435)),"")))),"")</f>
        <v/>
      </c>
      <c r="AG439" s="74" t="str">
        <f aca="false">IF(ISNUMBER('Base de Datos'!J435),'Base de Datos'!J435,IF(TRIM('Base de Datos'!J435)="","",IFERROR(IF(IFERROR(FIND("@",SUBSTITUTE(TRIM('Base de Datos'!J435),",","@",LEN(TRIM('Base de Datos'!J435))-LEN(SUBSTITUTE(TRIM('Base de Datos'!J435),",","")))),0)&gt;IFERROR(FIND("@",SUBSTITUTE(TRIM('Base de Datos'!J435),".","@",LEN(TRIM('Base de Datos'!J435))-LEN(SUBSTITUTE(TRIM('Base de Datos'!J435),".","")))),0),_xlfn.NUMBERVALUE(SUBSTITUTE(SUBSTITUTE(TRIM('Base de Datos'!J435),".",""),",","."),".",","),_xlfn.NUMBERVALUE(SUBSTITUTE(TRIM('Base de Datos'!J435),",",""),".",",")),"")))</f>
        <v/>
      </c>
    </row>
    <row r="440" customFormat="false" ht="13.5" hidden="false" customHeight="false" outlineLevel="0" collapsed="false">
      <c r="R440" s="75" t="n">
        <f aca="false">ROWS(R$13:R440)</f>
        <v>428</v>
      </c>
      <c r="S440" s="73" t="str">
        <f aca="false">IF(S439="","",IFERROR(SMALL($AD$10:$AD$509,COUNTIF($AD$10:$AD$509,"&lt;="&amp;S439)+1),""))</f>
        <v/>
      </c>
      <c r="T440" s="74" t="str">
        <f aca="false">IF(S440="","",INDEX($AE$10:$AE$509,MATCH(S440,$AD$10:$AD$509,0)))</f>
        <v/>
      </c>
      <c r="U440" s="74" t="str">
        <f aca="false">IF(S440="","",IFERROR(INDEX($AG$10:$AG$509,MATCH(S440,$AF$10:$AF$509,0)),""))</f>
        <v/>
      </c>
      <c r="V440" s="76" t="str">
        <f aca="false">IF(AND(ISNUMBER(T440),ISNUMBER(T439)),T440/T439-1,"")</f>
        <v/>
      </c>
      <c r="W440" s="76" t="str">
        <f aca="false">IF(AND(ISNUMBER(U440),ISNUMBER(U439)),U440/U439-1,"")</f>
        <v/>
      </c>
      <c r="X440" s="75" t="str">
        <f aca="false">IF(AND(ISNUMBER(V440),ISNUMBER(W440)),1,"")</f>
        <v/>
      </c>
      <c r="Y440" s="76" t="str">
        <f aca="false">IF(X440=1,V440,"")</f>
        <v/>
      </c>
      <c r="Z440" s="76" t="str">
        <f aca="false">IF(X440=1,W440,"")</f>
        <v/>
      </c>
      <c r="AA440" s="76" t="e">
        <f aca="false">IF(X440=1,V440,NA())</f>
        <v>#N/A</v>
      </c>
      <c r="AB440" s="76" t="e">
        <f aca="false">IF(X440=1,W440,NA())</f>
        <v>#N/A</v>
      </c>
      <c r="AD440" s="73" t="str">
        <f aca="false">IF(ISNUMBER(AE440),IF(ISNUMBER('Base de Datos'!A436),IF('Base de Datos'!A436&gt;20000,DATE(YEAR('Base de Datos'!A436),DAY('Base de Datos'!A436),MONTH('Base de Datos'!A436)),""),IF(TRIM('Base de Datos'!A436)="","",IFERROR(DATE(VALUE(RIGHT(TRIM('Base de Datos'!A436),4)),VALUE(LEFT(TRIM('Base de Datos'!A436),2)),VALUE(MID(TRIM('Base de Datos'!A436),4,2))),""))),"")</f>
        <v/>
      </c>
      <c r="AE440" s="74" t="str">
        <f aca="false">IF(ISNUMBER('Base de Datos'!B436),'Base de Datos'!B436,IF(TRIM('Base de Datos'!B436)="","",IFERROR(IF(IFERROR(FIND("@",SUBSTITUTE(TRIM('Base de Datos'!B436),",","@",LEN(TRIM('Base de Datos'!B436))-LEN(SUBSTITUTE(TRIM('Base de Datos'!B436),",","")))),0)&gt;IFERROR(FIND("@",SUBSTITUTE(TRIM('Base de Datos'!B436),".","@",LEN(TRIM('Base de Datos'!B436))-LEN(SUBSTITUTE(TRIM('Base de Datos'!B436),".","")))),0),_xlfn.NUMBERVALUE(SUBSTITUTE(SUBSTITUTE(TRIM('Base de Datos'!B436),".",""),",","."),".",","),_xlfn.NUMBERVALUE(SUBSTITUTE(TRIM('Base de Datos'!B436),",",""),".",",")),"")))</f>
        <v/>
      </c>
      <c r="AF440" s="73" t="str">
        <f aca="false">IF(ISNUMBER(AG440),IF(ISNUMBER('Base de Datos'!I436),IF('Base de Datos'!I436&gt;20000,INT('Base de Datos'!I436),""),IF(TRIM('Base de Datos'!I436)="","",IFERROR(DATE(VALUE(RIGHT(TRIM('Base de Datos'!I436),4)),VALUE(MID(TRIM('Base de Datos'!I436),4,2)),VALUE(LEFT(TRIM('Base de Datos'!I436),2))),IFERROR(DATEVALUE(TRIM('Base de Datos'!I436)),"")))),"")</f>
        <v/>
      </c>
      <c r="AG440" s="74" t="str">
        <f aca="false">IF(ISNUMBER('Base de Datos'!J436),'Base de Datos'!J436,IF(TRIM('Base de Datos'!J436)="","",IFERROR(IF(IFERROR(FIND("@",SUBSTITUTE(TRIM('Base de Datos'!J436),",","@",LEN(TRIM('Base de Datos'!J436))-LEN(SUBSTITUTE(TRIM('Base de Datos'!J436),",","")))),0)&gt;IFERROR(FIND("@",SUBSTITUTE(TRIM('Base de Datos'!J436),".","@",LEN(TRIM('Base de Datos'!J436))-LEN(SUBSTITUTE(TRIM('Base de Datos'!J436),".","")))),0),_xlfn.NUMBERVALUE(SUBSTITUTE(SUBSTITUTE(TRIM('Base de Datos'!J436),".",""),",","."),".",","),_xlfn.NUMBERVALUE(SUBSTITUTE(TRIM('Base de Datos'!J436),",",""),".",",")),"")))</f>
        <v/>
      </c>
    </row>
    <row r="441" customFormat="false" ht="13.5" hidden="false" customHeight="false" outlineLevel="0" collapsed="false">
      <c r="R441" s="75" t="n">
        <f aca="false">ROWS(R$13:R441)</f>
        <v>429</v>
      </c>
      <c r="S441" s="73" t="str">
        <f aca="false">IF(S440="","",IFERROR(SMALL($AD$10:$AD$509,COUNTIF($AD$10:$AD$509,"&lt;="&amp;S440)+1),""))</f>
        <v/>
      </c>
      <c r="T441" s="74" t="str">
        <f aca="false">IF(S441="","",INDEX($AE$10:$AE$509,MATCH(S441,$AD$10:$AD$509,0)))</f>
        <v/>
      </c>
      <c r="U441" s="74" t="str">
        <f aca="false">IF(S441="","",IFERROR(INDEX($AG$10:$AG$509,MATCH(S441,$AF$10:$AF$509,0)),""))</f>
        <v/>
      </c>
      <c r="V441" s="76" t="str">
        <f aca="false">IF(AND(ISNUMBER(T441),ISNUMBER(T440)),T441/T440-1,"")</f>
        <v/>
      </c>
      <c r="W441" s="76" t="str">
        <f aca="false">IF(AND(ISNUMBER(U441),ISNUMBER(U440)),U441/U440-1,"")</f>
        <v/>
      </c>
      <c r="X441" s="75" t="str">
        <f aca="false">IF(AND(ISNUMBER(V441),ISNUMBER(W441)),1,"")</f>
        <v/>
      </c>
      <c r="Y441" s="76" t="str">
        <f aca="false">IF(X441=1,V441,"")</f>
        <v/>
      </c>
      <c r="Z441" s="76" t="str">
        <f aca="false">IF(X441=1,W441,"")</f>
        <v/>
      </c>
      <c r="AA441" s="76" t="e">
        <f aca="false">IF(X441=1,V441,NA())</f>
        <v>#N/A</v>
      </c>
      <c r="AB441" s="76" t="e">
        <f aca="false">IF(X441=1,W441,NA())</f>
        <v>#N/A</v>
      </c>
      <c r="AD441" s="73" t="str">
        <f aca="false">IF(ISNUMBER(AE441),IF(ISNUMBER('Base de Datos'!A437),IF('Base de Datos'!A437&gt;20000,DATE(YEAR('Base de Datos'!A437),DAY('Base de Datos'!A437),MONTH('Base de Datos'!A437)),""),IF(TRIM('Base de Datos'!A437)="","",IFERROR(DATE(VALUE(RIGHT(TRIM('Base de Datos'!A437),4)),VALUE(LEFT(TRIM('Base de Datos'!A437),2)),VALUE(MID(TRIM('Base de Datos'!A437),4,2))),""))),"")</f>
        <v/>
      </c>
      <c r="AE441" s="74" t="str">
        <f aca="false">IF(ISNUMBER('Base de Datos'!B437),'Base de Datos'!B437,IF(TRIM('Base de Datos'!B437)="","",IFERROR(IF(IFERROR(FIND("@",SUBSTITUTE(TRIM('Base de Datos'!B437),",","@",LEN(TRIM('Base de Datos'!B437))-LEN(SUBSTITUTE(TRIM('Base de Datos'!B437),",","")))),0)&gt;IFERROR(FIND("@",SUBSTITUTE(TRIM('Base de Datos'!B437),".","@",LEN(TRIM('Base de Datos'!B437))-LEN(SUBSTITUTE(TRIM('Base de Datos'!B437),".","")))),0),_xlfn.NUMBERVALUE(SUBSTITUTE(SUBSTITUTE(TRIM('Base de Datos'!B437),".",""),",","."),".",","),_xlfn.NUMBERVALUE(SUBSTITUTE(TRIM('Base de Datos'!B437),",",""),".",",")),"")))</f>
        <v/>
      </c>
      <c r="AF441" s="73" t="str">
        <f aca="false">IF(ISNUMBER(AG441),IF(ISNUMBER('Base de Datos'!I437),IF('Base de Datos'!I437&gt;20000,INT('Base de Datos'!I437),""),IF(TRIM('Base de Datos'!I437)="","",IFERROR(DATE(VALUE(RIGHT(TRIM('Base de Datos'!I437),4)),VALUE(MID(TRIM('Base de Datos'!I437),4,2)),VALUE(LEFT(TRIM('Base de Datos'!I437),2))),IFERROR(DATEVALUE(TRIM('Base de Datos'!I437)),"")))),"")</f>
        <v/>
      </c>
      <c r="AG441" s="74" t="str">
        <f aca="false">IF(ISNUMBER('Base de Datos'!J437),'Base de Datos'!J437,IF(TRIM('Base de Datos'!J437)="","",IFERROR(IF(IFERROR(FIND("@",SUBSTITUTE(TRIM('Base de Datos'!J437),",","@",LEN(TRIM('Base de Datos'!J437))-LEN(SUBSTITUTE(TRIM('Base de Datos'!J437),",","")))),0)&gt;IFERROR(FIND("@",SUBSTITUTE(TRIM('Base de Datos'!J437),".","@",LEN(TRIM('Base de Datos'!J437))-LEN(SUBSTITUTE(TRIM('Base de Datos'!J437),".","")))),0),_xlfn.NUMBERVALUE(SUBSTITUTE(SUBSTITUTE(TRIM('Base de Datos'!J437),".",""),",","."),".",","),_xlfn.NUMBERVALUE(SUBSTITUTE(TRIM('Base de Datos'!J437),",",""),".",",")),"")))</f>
        <v/>
      </c>
    </row>
    <row r="442" customFormat="false" ht="13.5" hidden="false" customHeight="false" outlineLevel="0" collapsed="false">
      <c r="R442" s="75" t="n">
        <f aca="false">ROWS(R$13:R442)</f>
        <v>430</v>
      </c>
      <c r="S442" s="73" t="str">
        <f aca="false">IF(S441="","",IFERROR(SMALL($AD$10:$AD$509,COUNTIF($AD$10:$AD$509,"&lt;="&amp;S441)+1),""))</f>
        <v/>
      </c>
      <c r="T442" s="74" t="str">
        <f aca="false">IF(S442="","",INDEX($AE$10:$AE$509,MATCH(S442,$AD$10:$AD$509,0)))</f>
        <v/>
      </c>
      <c r="U442" s="74" t="str">
        <f aca="false">IF(S442="","",IFERROR(INDEX($AG$10:$AG$509,MATCH(S442,$AF$10:$AF$509,0)),""))</f>
        <v/>
      </c>
      <c r="V442" s="76" t="str">
        <f aca="false">IF(AND(ISNUMBER(T442),ISNUMBER(T441)),T442/T441-1,"")</f>
        <v/>
      </c>
      <c r="W442" s="76" t="str">
        <f aca="false">IF(AND(ISNUMBER(U442),ISNUMBER(U441)),U442/U441-1,"")</f>
        <v/>
      </c>
      <c r="X442" s="75" t="str">
        <f aca="false">IF(AND(ISNUMBER(V442),ISNUMBER(W442)),1,"")</f>
        <v/>
      </c>
      <c r="Y442" s="76" t="str">
        <f aca="false">IF(X442=1,V442,"")</f>
        <v/>
      </c>
      <c r="Z442" s="76" t="str">
        <f aca="false">IF(X442=1,W442,"")</f>
        <v/>
      </c>
      <c r="AA442" s="76" t="e">
        <f aca="false">IF(X442=1,V442,NA())</f>
        <v>#N/A</v>
      </c>
      <c r="AB442" s="76" t="e">
        <f aca="false">IF(X442=1,W442,NA())</f>
        <v>#N/A</v>
      </c>
      <c r="AD442" s="73" t="str">
        <f aca="false">IF(ISNUMBER(AE442),IF(ISNUMBER('Base de Datos'!A438),IF('Base de Datos'!A438&gt;20000,DATE(YEAR('Base de Datos'!A438),DAY('Base de Datos'!A438),MONTH('Base de Datos'!A438)),""),IF(TRIM('Base de Datos'!A438)="","",IFERROR(DATE(VALUE(RIGHT(TRIM('Base de Datos'!A438),4)),VALUE(LEFT(TRIM('Base de Datos'!A438),2)),VALUE(MID(TRIM('Base de Datos'!A438),4,2))),""))),"")</f>
        <v/>
      </c>
      <c r="AE442" s="74" t="str">
        <f aca="false">IF(ISNUMBER('Base de Datos'!B438),'Base de Datos'!B438,IF(TRIM('Base de Datos'!B438)="","",IFERROR(IF(IFERROR(FIND("@",SUBSTITUTE(TRIM('Base de Datos'!B438),",","@",LEN(TRIM('Base de Datos'!B438))-LEN(SUBSTITUTE(TRIM('Base de Datos'!B438),",","")))),0)&gt;IFERROR(FIND("@",SUBSTITUTE(TRIM('Base de Datos'!B438),".","@",LEN(TRIM('Base de Datos'!B438))-LEN(SUBSTITUTE(TRIM('Base de Datos'!B438),".","")))),0),_xlfn.NUMBERVALUE(SUBSTITUTE(SUBSTITUTE(TRIM('Base de Datos'!B438),".",""),",","."),".",","),_xlfn.NUMBERVALUE(SUBSTITUTE(TRIM('Base de Datos'!B438),",",""),".",",")),"")))</f>
        <v/>
      </c>
      <c r="AF442" s="73" t="str">
        <f aca="false">IF(ISNUMBER(AG442),IF(ISNUMBER('Base de Datos'!I438),IF('Base de Datos'!I438&gt;20000,INT('Base de Datos'!I438),""),IF(TRIM('Base de Datos'!I438)="","",IFERROR(DATE(VALUE(RIGHT(TRIM('Base de Datos'!I438),4)),VALUE(MID(TRIM('Base de Datos'!I438),4,2)),VALUE(LEFT(TRIM('Base de Datos'!I438),2))),IFERROR(DATEVALUE(TRIM('Base de Datos'!I438)),"")))),"")</f>
        <v/>
      </c>
      <c r="AG442" s="74" t="str">
        <f aca="false">IF(ISNUMBER('Base de Datos'!J438),'Base de Datos'!J438,IF(TRIM('Base de Datos'!J438)="","",IFERROR(IF(IFERROR(FIND("@",SUBSTITUTE(TRIM('Base de Datos'!J438),",","@",LEN(TRIM('Base de Datos'!J438))-LEN(SUBSTITUTE(TRIM('Base de Datos'!J438),",","")))),0)&gt;IFERROR(FIND("@",SUBSTITUTE(TRIM('Base de Datos'!J438),".","@",LEN(TRIM('Base de Datos'!J438))-LEN(SUBSTITUTE(TRIM('Base de Datos'!J438),".","")))),0),_xlfn.NUMBERVALUE(SUBSTITUTE(SUBSTITUTE(TRIM('Base de Datos'!J438),".",""),",","."),".",","),_xlfn.NUMBERVALUE(SUBSTITUTE(TRIM('Base de Datos'!J438),",",""),".",",")),"")))</f>
        <v/>
      </c>
    </row>
    <row r="443" customFormat="false" ht="13.5" hidden="false" customHeight="false" outlineLevel="0" collapsed="false">
      <c r="R443" s="75" t="n">
        <f aca="false">ROWS(R$13:R443)</f>
        <v>431</v>
      </c>
      <c r="S443" s="73" t="str">
        <f aca="false">IF(S442="","",IFERROR(SMALL($AD$10:$AD$509,COUNTIF($AD$10:$AD$509,"&lt;="&amp;S442)+1),""))</f>
        <v/>
      </c>
      <c r="T443" s="74" t="str">
        <f aca="false">IF(S443="","",INDEX($AE$10:$AE$509,MATCH(S443,$AD$10:$AD$509,0)))</f>
        <v/>
      </c>
      <c r="U443" s="74" t="str">
        <f aca="false">IF(S443="","",IFERROR(INDEX($AG$10:$AG$509,MATCH(S443,$AF$10:$AF$509,0)),""))</f>
        <v/>
      </c>
      <c r="V443" s="76" t="str">
        <f aca="false">IF(AND(ISNUMBER(T443),ISNUMBER(T442)),T443/T442-1,"")</f>
        <v/>
      </c>
      <c r="W443" s="76" t="str">
        <f aca="false">IF(AND(ISNUMBER(U443),ISNUMBER(U442)),U443/U442-1,"")</f>
        <v/>
      </c>
      <c r="X443" s="75" t="str">
        <f aca="false">IF(AND(ISNUMBER(V443),ISNUMBER(W443)),1,"")</f>
        <v/>
      </c>
      <c r="Y443" s="76" t="str">
        <f aca="false">IF(X443=1,V443,"")</f>
        <v/>
      </c>
      <c r="Z443" s="76" t="str">
        <f aca="false">IF(X443=1,W443,"")</f>
        <v/>
      </c>
      <c r="AA443" s="76" t="e">
        <f aca="false">IF(X443=1,V443,NA())</f>
        <v>#N/A</v>
      </c>
      <c r="AB443" s="76" t="e">
        <f aca="false">IF(X443=1,W443,NA())</f>
        <v>#N/A</v>
      </c>
      <c r="AD443" s="73" t="str">
        <f aca="false">IF(ISNUMBER(AE443),IF(ISNUMBER('Base de Datos'!A439),IF('Base de Datos'!A439&gt;20000,DATE(YEAR('Base de Datos'!A439),DAY('Base de Datos'!A439),MONTH('Base de Datos'!A439)),""),IF(TRIM('Base de Datos'!A439)="","",IFERROR(DATE(VALUE(RIGHT(TRIM('Base de Datos'!A439),4)),VALUE(LEFT(TRIM('Base de Datos'!A439),2)),VALUE(MID(TRIM('Base de Datos'!A439),4,2))),""))),"")</f>
        <v/>
      </c>
      <c r="AE443" s="74" t="str">
        <f aca="false">IF(ISNUMBER('Base de Datos'!B439),'Base de Datos'!B439,IF(TRIM('Base de Datos'!B439)="","",IFERROR(IF(IFERROR(FIND("@",SUBSTITUTE(TRIM('Base de Datos'!B439),",","@",LEN(TRIM('Base de Datos'!B439))-LEN(SUBSTITUTE(TRIM('Base de Datos'!B439),",","")))),0)&gt;IFERROR(FIND("@",SUBSTITUTE(TRIM('Base de Datos'!B439),".","@",LEN(TRIM('Base de Datos'!B439))-LEN(SUBSTITUTE(TRIM('Base de Datos'!B439),".","")))),0),_xlfn.NUMBERVALUE(SUBSTITUTE(SUBSTITUTE(TRIM('Base de Datos'!B439),".",""),",","."),".",","),_xlfn.NUMBERVALUE(SUBSTITUTE(TRIM('Base de Datos'!B439),",",""),".",",")),"")))</f>
        <v/>
      </c>
      <c r="AF443" s="73" t="str">
        <f aca="false">IF(ISNUMBER(AG443),IF(ISNUMBER('Base de Datos'!I439),IF('Base de Datos'!I439&gt;20000,INT('Base de Datos'!I439),""),IF(TRIM('Base de Datos'!I439)="","",IFERROR(DATE(VALUE(RIGHT(TRIM('Base de Datos'!I439),4)),VALUE(MID(TRIM('Base de Datos'!I439),4,2)),VALUE(LEFT(TRIM('Base de Datos'!I439),2))),IFERROR(DATEVALUE(TRIM('Base de Datos'!I439)),"")))),"")</f>
        <v/>
      </c>
      <c r="AG443" s="74" t="str">
        <f aca="false">IF(ISNUMBER('Base de Datos'!J439),'Base de Datos'!J439,IF(TRIM('Base de Datos'!J439)="","",IFERROR(IF(IFERROR(FIND("@",SUBSTITUTE(TRIM('Base de Datos'!J439),",","@",LEN(TRIM('Base de Datos'!J439))-LEN(SUBSTITUTE(TRIM('Base de Datos'!J439),",","")))),0)&gt;IFERROR(FIND("@",SUBSTITUTE(TRIM('Base de Datos'!J439),".","@",LEN(TRIM('Base de Datos'!J439))-LEN(SUBSTITUTE(TRIM('Base de Datos'!J439),".","")))),0),_xlfn.NUMBERVALUE(SUBSTITUTE(SUBSTITUTE(TRIM('Base de Datos'!J439),".",""),",","."),".",","),_xlfn.NUMBERVALUE(SUBSTITUTE(TRIM('Base de Datos'!J439),",",""),".",",")),"")))</f>
        <v/>
      </c>
    </row>
    <row r="444" customFormat="false" ht="13.5" hidden="false" customHeight="false" outlineLevel="0" collapsed="false">
      <c r="R444" s="75" t="n">
        <f aca="false">ROWS(R$13:R444)</f>
        <v>432</v>
      </c>
      <c r="S444" s="73" t="str">
        <f aca="false">IF(S443="","",IFERROR(SMALL($AD$10:$AD$509,COUNTIF($AD$10:$AD$509,"&lt;="&amp;S443)+1),""))</f>
        <v/>
      </c>
      <c r="T444" s="74" t="str">
        <f aca="false">IF(S444="","",INDEX($AE$10:$AE$509,MATCH(S444,$AD$10:$AD$509,0)))</f>
        <v/>
      </c>
      <c r="U444" s="74" t="str">
        <f aca="false">IF(S444="","",IFERROR(INDEX($AG$10:$AG$509,MATCH(S444,$AF$10:$AF$509,0)),""))</f>
        <v/>
      </c>
      <c r="V444" s="76" t="str">
        <f aca="false">IF(AND(ISNUMBER(T444),ISNUMBER(T443)),T444/T443-1,"")</f>
        <v/>
      </c>
      <c r="W444" s="76" t="str">
        <f aca="false">IF(AND(ISNUMBER(U444),ISNUMBER(U443)),U444/U443-1,"")</f>
        <v/>
      </c>
      <c r="X444" s="75" t="str">
        <f aca="false">IF(AND(ISNUMBER(V444),ISNUMBER(W444)),1,"")</f>
        <v/>
      </c>
      <c r="Y444" s="76" t="str">
        <f aca="false">IF(X444=1,V444,"")</f>
        <v/>
      </c>
      <c r="Z444" s="76" t="str">
        <f aca="false">IF(X444=1,W444,"")</f>
        <v/>
      </c>
      <c r="AA444" s="76" t="e">
        <f aca="false">IF(X444=1,V444,NA())</f>
        <v>#N/A</v>
      </c>
      <c r="AB444" s="76" t="e">
        <f aca="false">IF(X444=1,W444,NA())</f>
        <v>#N/A</v>
      </c>
      <c r="AD444" s="73" t="str">
        <f aca="false">IF(ISNUMBER(AE444),IF(ISNUMBER('Base de Datos'!A440),IF('Base de Datos'!A440&gt;20000,DATE(YEAR('Base de Datos'!A440),DAY('Base de Datos'!A440),MONTH('Base de Datos'!A440)),""),IF(TRIM('Base de Datos'!A440)="","",IFERROR(DATE(VALUE(RIGHT(TRIM('Base de Datos'!A440),4)),VALUE(LEFT(TRIM('Base de Datos'!A440),2)),VALUE(MID(TRIM('Base de Datos'!A440),4,2))),""))),"")</f>
        <v/>
      </c>
      <c r="AE444" s="74" t="str">
        <f aca="false">IF(ISNUMBER('Base de Datos'!B440),'Base de Datos'!B440,IF(TRIM('Base de Datos'!B440)="","",IFERROR(IF(IFERROR(FIND("@",SUBSTITUTE(TRIM('Base de Datos'!B440),",","@",LEN(TRIM('Base de Datos'!B440))-LEN(SUBSTITUTE(TRIM('Base de Datos'!B440),",","")))),0)&gt;IFERROR(FIND("@",SUBSTITUTE(TRIM('Base de Datos'!B440),".","@",LEN(TRIM('Base de Datos'!B440))-LEN(SUBSTITUTE(TRIM('Base de Datos'!B440),".","")))),0),_xlfn.NUMBERVALUE(SUBSTITUTE(SUBSTITUTE(TRIM('Base de Datos'!B440),".",""),",","."),".",","),_xlfn.NUMBERVALUE(SUBSTITUTE(TRIM('Base de Datos'!B440),",",""),".",",")),"")))</f>
        <v/>
      </c>
      <c r="AF444" s="73" t="str">
        <f aca="false">IF(ISNUMBER(AG444),IF(ISNUMBER('Base de Datos'!I440),IF('Base de Datos'!I440&gt;20000,INT('Base de Datos'!I440),""),IF(TRIM('Base de Datos'!I440)="","",IFERROR(DATE(VALUE(RIGHT(TRIM('Base de Datos'!I440),4)),VALUE(MID(TRIM('Base de Datos'!I440),4,2)),VALUE(LEFT(TRIM('Base de Datos'!I440),2))),IFERROR(DATEVALUE(TRIM('Base de Datos'!I440)),"")))),"")</f>
        <v/>
      </c>
      <c r="AG444" s="74" t="str">
        <f aca="false">IF(ISNUMBER('Base de Datos'!J440),'Base de Datos'!J440,IF(TRIM('Base de Datos'!J440)="","",IFERROR(IF(IFERROR(FIND("@",SUBSTITUTE(TRIM('Base de Datos'!J440),",","@",LEN(TRIM('Base de Datos'!J440))-LEN(SUBSTITUTE(TRIM('Base de Datos'!J440),",","")))),0)&gt;IFERROR(FIND("@",SUBSTITUTE(TRIM('Base de Datos'!J440),".","@",LEN(TRIM('Base de Datos'!J440))-LEN(SUBSTITUTE(TRIM('Base de Datos'!J440),".","")))),0),_xlfn.NUMBERVALUE(SUBSTITUTE(SUBSTITUTE(TRIM('Base de Datos'!J440),".",""),",","."),".",","),_xlfn.NUMBERVALUE(SUBSTITUTE(TRIM('Base de Datos'!J440),",",""),".",",")),"")))</f>
        <v/>
      </c>
    </row>
    <row r="445" customFormat="false" ht="13.5" hidden="false" customHeight="false" outlineLevel="0" collapsed="false">
      <c r="R445" s="75" t="n">
        <f aca="false">ROWS(R$13:R445)</f>
        <v>433</v>
      </c>
      <c r="S445" s="73" t="str">
        <f aca="false">IF(S444="","",IFERROR(SMALL($AD$10:$AD$509,COUNTIF($AD$10:$AD$509,"&lt;="&amp;S444)+1),""))</f>
        <v/>
      </c>
      <c r="T445" s="74" t="str">
        <f aca="false">IF(S445="","",INDEX($AE$10:$AE$509,MATCH(S445,$AD$10:$AD$509,0)))</f>
        <v/>
      </c>
      <c r="U445" s="74" t="str">
        <f aca="false">IF(S445="","",IFERROR(INDEX($AG$10:$AG$509,MATCH(S445,$AF$10:$AF$509,0)),""))</f>
        <v/>
      </c>
      <c r="V445" s="76" t="str">
        <f aca="false">IF(AND(ISNUMBER(T445),ISNUMBER(T444)),T445/T444-1,"")</f>
        <v/>
      </c>
      <c r="W445" s="76" t="str">
        <f aca="false">IF(AND(ISNUMBER(U445),ISNUMBER(U444)),U445/U444-1,"")</f>
        <v/>
      </c>
      <c r="X445" s="75" t="str">
        <f aca="false">IF(AND(ISNUMBER(V445),ISNUMBER(W445)),1,"")</f>
        <v/>
      </c>
      <c r="Y445" s="76" t="str">
        <f aca="false">IF(X445=1,V445,"")</f>
        <v/>
      </c>
      <c r="Z445" s="76" t="str">
        <f aca="false">IF(X445=1,W445,"")</f>
        <v/>
      </c>
      <c r="AA445" s="76" t="e">
        <f aca="false">IF(X445=1,V445,NA())</f>
        <v>#N/A</v>
      </c>
      <c r="AB445" s="76" t="e">
        <f aca="false">IF(X445=1,W445,NA())</f>
        <v>#N/A</v>
      </c>
      <c r="AD445" s="73" t="str">
        <f aca="false">IF(ISNUMBER(AE445),IF(ISNUMBER('Base de Datos'!A441),IF('Base de Datos'!A441&gt;20000,DATE(YEAR('Base de Datos'!A441),DAY('Base de Datos'!A441),MONTH('Base de Datos'!A441)),""),IF(TRIM('Base de Datos'!A441)="","",IFERROR(DATE(VALUE(RIGHT(TRIM('Base de Datos'!A441),4)),VALUE(LEFT(TRIM('Base de Datos'!A441),2)),VALUE(MID(TRIM('Base de Datos'!A441),4,2))),""))),"")</f>
        <v/>
      </c>
      <c r="AE445" s="74" t="str">
        <f aca="false">IF(ISNUMBER('Base de Datos'!B441),'Base de Datos'!B441,IF(TRIM('Base de Datos'!B441)="","",IFERROR(IF(IFERROR(FIND("@",SUBSTITUTE(TRIM('Base de Datos'!B441),",","@",LEN(TRIM('Base de Datos'!B441))-LEN(SUBSTITUTE(TRIM('Base de Datos'!B441),",","")))),0)&gt;IFERROR(FIND("@",SUBSTITUTE(TRIM('Base de Datos'!B441),".","@",LEN(TRIM('Base de Datos'!B441))-LEN(SUBSTITUTE(TRIM('Base de Datos'!B441),".","")))),0),_xlfn.NUMBERVALUE(SUBSTITUTE(SUBSTITUTE(TRIM('Base de Datos'!B441),".",""),",","."),".",","),_xlfn.NUMBERVALUE(SUBSTITUTE(TRIM('Base de Datos'!B441),",",""),".",",")),"")))</f>
        <v/>
      </c>
      <c r="AF445" s="73" t="str">
        <f aca="false">IF(ISNUMBER(AG445),IF(ISNUMBER('Base de Datos'!I441),IF('Base de Datos'!I441&gt;20000,INT('Base de Datos'!I441),""),IF(TRIM('Base de Datos'!I441)="","",IFERROR(DATE(VALUE(RIGHT(TRIM('Base de Datos'!I441),4)),VALUE(MID(TRIM('Base de Datos'!I441),4,2)),VALUE(LEFT(TRIM('Base de Datos'!I441),2))),IFERROR(DATEVALUE(TRIM('Base de Datos'!I441)),"")))),"")</f>
        <v/>
      </c>
      <c r="AG445" s="74" t="str">
        <f aca="false">IF(ISNUMBER('Base de Datos'!J441),'Base de Datos'!J441,IF(TRIM('Base de Datos'!J441)="","",IFERROR(IF(IFERROR(FIND("@",SUBSTITUTE(TRIM('Base de Datos'!J441),",","@",LEN(TRIM('Base de Datos'!J441))-LEN(SUBSTITUTE(TRIM('Base de Datos'!J441),",","")))),0)&gt;IFERROR(FIND("@",SUBSTITUTE(TRIM('Base de Datos'!J441),".","@",LEN(TRIM('Base de Datos'!J441))-LEN(SUBSTITUTE(TRIM('Base de Datos'!J441),".","")))),0),_xlfn.NUMBERVALUE(SUBSTITUTE(SUBSTITUTE(TRIM('Base de Datos'!J441),".",""),",","."),".",","),_xlfn.NUMBERVALUE(SUBSTITUTE(TRIM('Base de Datos'!J441),",",""),".",",")),"")))</f>
        <v/>
      </c>
    </row>
    <row r="446" customFormat="false" ht="13.5" hidden="false" customHeight="false" outlineLevel="0" collapsed="false">
      <c r="R446" s="75" t="n">
        <f aca="false">ROWS(R$13:R446)</f>
        <v>434</v>
      </c>
      <c r="S446" s="73" t="str">
        <f aca="false">IF(S445="","",IFERROR(SMALL($AD$10:$AD$509,COUNTIF($AD$10:$AD$509,"&lt;="&amp;S445)+1),""))</f>
        <v/>
      </c>
      <c r="T446" s="74" t="str">
        <f aca="false">IF(S446="","",INDEX($AE$10:$AE$509,MATCH(S446,$AD$10:$AD$509,0)))</f>
        <v/>
      </c>
      <c r="U446" s="74" t="str">
        <f aca="false">IF(S446="","",IFERROR(INDEX($AG$10:$AG$509,MATCH(S446,$AF$10:$AF$509,0)),""))</f>
        <v/>
      </c>
      <c r="V446" s="76" t="str">
        <f aca="false">IF(AND(ISNUMBER(T446),ISNUMBER(T445)),T446/T445-1,"")</f>
        <v/>
      </c>
      <c r="W446" s="76" t="str">
        <f aca="false">IF(AND(ISNUMBER(U446),ISNUMBER(U445)),U446/U445-1,"")</f>
        <v/>
      </c>
      <c r="X446" s="75" t="str">
        <f aca="false">IF(AND(ISNUMBER(V446),ISNUMBER(W446)),1,"")</f>
        <v/>
      </c>
      <c r="Y446" s="76" t="str">
        <f aca="false">IF(X446=1,V446,"")</f>
        <v/>
      </c>
      <c r="Z446" s="76" t="str">
        <f aca="false">IF(X446=1,W446,"")</f>
        <v/>
      </c>
      <c r="AA446" s="76" t="e">
        <f aca="false">IF(X446=1,V446,NA())</f>
        <v>#N/A</v>
      </c>
      <c r="AB446" s="76" t="e">
        <f aca="false">IF(X446=1,W446,NA())</f>
        <v>#N/A</v>
      </c>
      <c r="AD446" s="73" t="str">
        <f aca="false">IF(ISNUMBER(AE446),IF(ISNUMBER('Base de Datos'!A442),IF('Base de Datos'!A442&gt;20000,DATE(YEAR('Base de Datos'!A442),DAY('Base de Datos'!A442),MONTH('Base de Datos'!A442)),""),IF(TRIM('Base de Datos'!A442)="","",IFERROR(DATE(VALUE(RIGHT(TRIM('Base de Datos'!A442),4)),VALUE(LEFT(TRIM('Base de Datos'!A442),2)),VALUE(MID(TRIM('Base de Datos'!A442),4,2))),""))),"")</f>
        <v/>
      </c>
      <c r="AE446" s="74" t="str">
        <f aca="false">IF(ISNUMBER('Base de Datos'!B442),'Base de Datos'!B442,IF(TRIM('Base de Datos'!B442)="","",IFERROR(IF(IFERROR(FIND("@",SUBSTITUTE(TRIM('Base de Datos'!B442),",","@",LEN(TRIM('Base de Datos'!B442))-LEN(SUBSTITUTE(TRIM('Base de Datos'!B442),",","")))),0)&gt;IFERROR(FIND("@",SUBSTITUTE(TRIM('Base de Datos'!B442),".","@",LEN(TRIM('Base de Datos'!B442))-LEN(SUBSTITUTE(TRIM('Base de Datos'!B442),".","")))),0),_xlfn.NUMBERVALUE(SUBSTITUTE(SUBSTITUTE(TRIM('Base de Datos'!B442),".",""),",","."),".",","),_xlfn.NUMBERVALUE(SUBSTITUTE(TRIM('Base de Datos'!B442),",",""),".",",")),"")))</f>
        <v/>
      </c>
      <c r="AF446" s="73" t="str">
        <f aca="false">IF(ISNUMBER(AG446),IF(ISNUMBER('Base de Datos'!I442),IF('Base de Datos'!I442&gt;20000,INT('Base de Datos'!I442),""),IF(TRIM('Base de Datos'!I442)="","",IFERROR(DATE(VALUE(RIGHT(TRIM('Base de Datos'!I442),4)),VALUE(MID(TRIM('Base de Datos'!I442),4,2)),VALUE(LEFT(TRIM('Base de Datos'!I442),2))),IFERROR(DATEVALUE(TRIM('Base de Datos'!I442)),"")))),"")</f>
        <v/>
      </c>
      <c r="AG446" s="74" t="str">
        <f aca="false">IF(ISNUMBER('Base de Datos'!J442),'Base de Datos'!J442,IF(TRIM('Base de Datos'!J442)="","",IFERROR(IF(IFERROR(FIND("@",SUBSTITUTE(TRIM('Base de Datos'!J442),",","@",LEN(TRIM('Base de Datos'!J442))-LEN(SUBSTITUTE(TRIM('Base de Datos'!J442),",","")))),0)&gt;IFERROR(FIND("@",SUBSTITUTE(TRIM('Base de Datos'!J442),".","@",LEN(TRIM('Base de Datos'!J442))-LEN(SUBSTITUTE(TRIM('Base de Datos'!J442),".","")))),0),_xlfn.NUMBERVALUE(SUBSTITUTE(SUBSTITUTE(TRIM('Base de Datos'!J442),".",""),",","."),".",","),_xlfn.NUMBERVALUE(SUBSTITUTE(TRIM('Base de Datos'!J442),",",""),".",",")),"")))</f>
        <v/>
      </c>
    </row>
    <row r="447" customFormat="false" ht="13.5" hidden="false" customHeight="false" outlineLevel="0" collapsed="false">
      <c r="R447" s="75" t="n">
        <f aca="false">ROWS(R$13:R447)</f>
        <v>435</v>
      </c>
      <c r="S447" s="73" t="str">
        <f aca="false">IF(S446="","",IFERROR(SMALL($AD$10:$AD$509,COUNTIF($AD$10:$AD$509,"&lt;="&amp;S446)+1),""))</f>
        <v/>
      </c>
      <c r="T447" s="74" t="str">
        <f aca="false">IF(S447="","",INDEX($AE$10:$AE$509,MATCH(S447,$AD$10:$AD$509,0)))</f>
        <v/>
      </c>
      <c r="U447" s="74" t="str">
        <f aca="false">IF(S447="","",IFERROR(INDEX($AG$10:$AG$509,MATCH(S447,$AF$10:$AF$509,0)),""))</f>
        <v/>
      </c>
      <c r="V447" s="76" t="str">
        <f aca="false">IF(AND(ISNUMBER(T447),ISNUMBER(T446)),T447/T446-1,"")</f>
        <v/>
      </c>
      <c r="W447" s="76" t="str">
        <f aca="false">IF(AND(ISNUMBER(U447),ISNUMBER(U446)),U447/U446-1,"")</f>
        <v/>
      </c>
      <c r="X447" s="75" t="str">
        <f aca="false">IF(AND(ISNUMBER(V447),ISNUMBER(W447)),1,"")</f>
        <v/>
      </c>
      <c r="Y447" s="76" t="str">
        <f aca="false">IF(X447=1,V447,"")</f>
        <v/>
      </c>
      <c r="Z447" s="76" t="str">
        <f aca="false">IF(X447=1,W447,"")</f>
        <v/>
      </c>
      <c r="AA447" s="76" t="e">
        <f aca="false">IF(X447=1,V447,NA())</f>
        <v>#N/A</v>
      </c>
      <c r="AB447" s="76" t="e">
        <f aca="false">IF(X447=1,W447,NA())</f>
        <v>#N/A</v>
      </c>
      <c r="AD447" s="73" t="str">
        <f aca="false">IF(ISNUMBER(AE447),IF(ISNUMBER('Base de Datos'!A443),IF('Base de Datos'!A443&gt;20000,DATE(YEAR('Base de Datos'!A443),DAY('Base de Datos'!A443),MONTH('Base de Datos'!A443)),""),IF(TRIM('Base de Datos'!A443)="","",IFERROR(DATE(VALUE(RIGHT(TRIM('Base de Datos'!A443),4)),VALUE(LEFT(TRIM('Base de Datos'!A443),2)),VALUE(MID(TRIM('Base de Datos'!A443),4,2))),""))),"")</f>
        <v/>
      </c>
      <c r="AE447" s="74" t="str">
        <f aca="false">IF(ISNUMBER('Base de Datos'!B443),'Base de Datos'!B443,IF(TRIM('Base de Datos'!B443)="","",IFERROR(IF(IFERROR(FIND("@",SUBSTITUTE(TRIM('Base de Datos'!B443),",","@",LEN(TRIM('Base de Datos'!B443))-LEN(SUBSTITUTE(TRIM('Base de Datos'!B443),",","")))),0)&gt;IFERROR(FIND("@",SUBSTITUTE(TRIM('Base de Datos'!B443),".","@",LEN(TRIM('Base de Datos'!B443))-LEN(SUBSTITUTE(TRIM('Base de Datos'!B443),".","")))),0),_xlfn.NUMBERVALUE(SUBSTITUTE(SUBSTITUTE(TRIM('Base de Datos'!B443),".",""),",","."),".",","),_xlfn.NUMBERVALUE(SUBSTITUTE(TRIM('Base de Datos'!B443),",",""),".",",")),"")))</f>
        <v/>
      </c>
      <c r="AF447" s="73" t="str">
        <f aca="false">IF(ISNUMBER(AG447),IF(ISNUMBER('Base de Datos'!I443),IF('Base de Datos'!I443&gt;20000,INT('Base de Datos'!I443),""),IF(TRIM('Base de Datos'!I443)="","",IFERROR(DATE(VALUE(RIGHT(TRIM('Base de Datos'!I443),4)),VALUE(MID(TRIM('Base de Datos'!I443),4,2)),VALUE(LEFT(TRIM('Base de Datos'!I443),2))),IFERROR(DATEVALUE(TRIM('Base de Datos'!I443)),"")))),"")</f>
        <v/>
      </c>
      <c r="AG447" s="74" t="str">
        <f aca="false">IF(ISNUMBER('Base de Datos'!J443),'Base de Datos'!J443,IF(TRIM('Base de Datos'!J443)="","",IFERROR(IF(IFERROR(FIND("@",SUBSTITUTE(TRIM('Base de Datos'!J443),",","@",LEN(TRIM('Base de Datos'!J443))-LEN(SUBSTITUTE(TRIM('Base de Datos'!J443),",","")))),0)&gt;IFERROR(FIND("@",SUBSTITUTE(TRIM('Base de Datos'!J443),".","@",LEN(TRIM('Base de Datos'!J443))-LEN(SUBSTITUTE(TRIM('Base de Datos'!J443),".","")))),0),_xlfn.NUMBERVALUE(SUBSTITUTE(SUBSTITUTE(TRIM('Base de Datos'!J443),".",""),",","."),".",","),_xlfn.NUMBERVALUE(SUBSTITUTE(TRIM('Base de Datos'!J443),",",""),".",",")),"")))</f>
        <v/>
      </c>
    </row>
    <row r="448" customFormat="false" ht="13.5" hidden="false" customHeight="false" outlineLevel="0" collapsed="false">
      <c r="R448" s="75" t="n">
        <f aca="false">ROWS(R$13:R448)</f>
        <v>436</v>
      </c>
      <c r="S448" s="73" t="str">
        <f aca="false">IF(S447="","",IFERROR(SMALL($AD$10:$AD$509,COUNTIF($AD$10:$AD$509,"&lt;="&amp;S447)+1),""))</f>
        <v/>
      </c>
      <c r="T448" s="74" t="str">
        <f aca="false">IF(S448="","",INDEX($AE$10:$AE$509,MATCH(S448,$AD$10:$AD$509,0)))</f>
        <v/>
      </c>
      <c r="U448" s="74" t="str">
        <f aca="false">IF(S448="","",IFERROR(INDEX($AG$10:$AG$509,MATCH(S448,$AF$10:$AF$509,0)),""))</f>
        <v/>
      </c>
      <c r="V448" s="76" t="str">
        <f aca="false">IF(AND(ISNUMBER(T448),ISNUMBER(T447)),T448/T447-1,"")</f>
        <v/>
      </c>
      <c r="W448" s="76" t="str">
        <f aca="false">IF(AND(ISNUMBER(U448),ISNUMBER(U447)),U448/U447-1,"")</f>
        <v/>
      </c>
      <c r="X448" s="75" t="str">
        <f aca="false">IF(AND(ISNUMBER(V448),ISNUMBER(W448)),1,"")</f>
        <v/>
      </c>
      <c r="Y448" s="76" t="str">
        <f aca="false">IF(X448=1,V448,"")</f>
        <v/>
      </c>
      <c r="Z448" s="76" t="str">
        <f aca="false">IF(X448=1,W448,"")</f>
        <v/>
      </c>
      <c r="AA448" s="76" t="e">
        <f aca="false">IF(X448=1,V448,NA())</f>
        <v>#N/A</v>
      </c>
      <c r="AB448" s="76" t="e">
        <f aca="false">IF(X448=1,W448,NA())</f>
        <v>#N/A</v>
      </c>
      <c r="AD448" s="73" t="str">
        <f aca="false">IF(ISNUMBER(AE448),IF(ISNUMBER('Base de Datos'!A444),IF('Base de Datos'!A444&gt;20000,DATE(YEAR('Base de Datos'!A444),DAY('Base de Datos'!A444),MONTH('Base de Datos'!A444)),""),IF(TRIM('Base de Datos'!A444)="","",IFERROR(DATE(VALUE(RIGHT(TRIM('Base de Datos'!A444),4)),VALUE(LEFT(TRIM('Base de Datos'!A444),2)),VALUE(MID(TRIM('Base de Datos'!A444),4,2))),""))),"")</f>
        <v/>
      </c>
      <c r="AE448" s="74" t="str">
        <f aca="false">IF(ISNUMBER('Base de Datos'!B444),'Base de Datos'!B444,IF(TRIM('Base de Datos'!B444)="","",IFERROR(IF(IFERROR(FIND("@",SUBSTITUTE(TRIM('Base de Datos'!B444),",","@",LEN(TRIM('Base de Datos'!B444))-LEN(SUBSTITUTE(TRIM('Base de Datos'!B444),",","")))),0)&gt;IFERROR(FIND("@",SUBSTITUTE(TRIM('Base de Datos'!B444),".","@",LEN(TRIM('Base de Datos'!B444))-LEN(SUBSTITUTE(TRIM('Base de Datos'!B444),".","")))),0),_xlfn.NUMBERVALUE(SUBSTITUTE(SUBSTITUTE(TRIM('Base de Datos'!B444),".",""),",","."),".",","),_xlfn.NUMBERVALUE(SUBSTITUTE(TRIM('Base de Datos'!B444),",",""),".",",")),"")))</f>
        <v/>
      </c>
      <c r="AF448" s="73" t="str">
        <f aca="false">IF(ISNUMBER(AG448),IF(ISNUMBER('Base de Datos'!I444),IF('Base de Datos'!I444&gt;20000,INT('Base de Datos'!I444),""),IF(TRIM('Base de Datos'!I444)="","",IFERROR(DATE(VALUE(RIGHT(TRIM('Base de Datos'!I444),4)),VALUE(MID(TRIM('Base de Datos'!I444),4,2)),VALUE(LEFT(TRIM('Base de Datos'!I444),2))),IFERROR(DATEVALUE(TRIM('Base de Datos'!I444)),"")))),"")</f>
        <v/>
      </c>
      <c r="AG448" s="74" t="str">
        <f aca="false">IF(ISNUMBER('Base de Datos'!J444),'Base de Datos'!J444,IF(TRIM('Base de Datos'!J444)="","",IFERROR(IF(IFERROR(FIND("@",SUBSTITUTE(TRIM('Base de Datos'!J444),",","@",LEN(TRIM('Base de Datos'!J444))-LEN(SUBSTITUTE(TRIM('Base de Datos'!J444),",","")))),0)&gt;IFERROR(FIND("@",SUBSTITUTE(TRIM('Base de Datos'!J444),".","@",LEN(TRIM('Base de Datos'!J444))-LEN(SUBSTITUTE(TRIM('Base de Datos'!J444),".","")))),0),_xlfn.NUMBERVALUE(SUBSTITUTE(SUBSTITUTE(TRIM('Base de Datos'!J444),".",""),",","."),".",","),_xlfn.NUMBERVALUE(SUBSTITUTE(TRIM('Base de Datos'!J444),",",""),".",",")),"")))</f>
        <v/>
      </c>
    </row>
    <row r="449" customFormat="false" ht="13.5" hidden="false" customHeight="false" outlineLevel="0" collapsed="false">
      <c r="R449" s="75" t="n">
        <f aca="false">ROWS(R$13:R449)</f>
        <v>437</v>
      </c>
      <c r="S449" s="73" t="str">
        <f aca="false">IF(S448="","",IFERROR(SMALL($AD$10:$AD$509,COUNTIF($AD$10:$AD$509,"&lt;="&amp;S448)+1),""))</f>
        <v/>
      </c>
      <c r="T449" s="74" t="str">
        <f aca="false">IF(S449="","",INDEX($AE$10:$AE$509,MATCH(S449,$AD$10:$AD$509,0)))</f>
        <v/>
      </c>
      <c r="U449" s="74" t="str">
        <f aca="false">IF(S449="","",IFERROR(INDEX($AG$10:$AG$509,MATCH(S449,$AF$10:$AF$509,0)),""))</f>
        <v/>
      </c>
      <c r="V449" s="76" t="str">
        <f aca="false">IF(AND(ISNUMBER(T449),ISNUMBER(T448)),T449/T448-1,"")</f>
        <v/>
      </c>
      <c r="W449" s="76" t="str">
        <f aca="false">IF(AND(ISNUMBER(U449),ISNUMBER(U448)),U449/U448-1,"")</f>
        <v/>
      </c>
      <c r="X449" s="75" t="str">
        <f aca="false">IF(AND(ISNUMBER(V449),ISNUMBER(W449)),1,"")</f>
        <v/>
      </c>
      <c r="Y449" s="76" t="str">
        <f aca="false">IF(X449=1,V449,"")</f>
        <v/>
      </c>
      <c r="Z449" s="76" t="str">
        <f aca="false">IF(X449=1,W449,"")</f>
        <v/>
      </c>
      <c r="AA449" s="76" t="e">
        <f aca="false">IF(X449=1,V449,NA())</f>
        <v>#N/A</v>
      </c>
      <c r="AB449" s="76" t="e">
        <f aca="false">IF(X449=1,W449,NA())</f>
        <v>#N/A</v>
      </c>
      <c r="AD449" s="73" t="str">
        <f aca="false">IF(ISNUMBER(AE449),IF(ISNUMBER('Base de Datos'!A445),IF('Base de Datos'!A445&gt;20000,DATE(YEAR('Base de Datos'!A445),DAY('Base de Datos'!A445),MONTH('Base de Datos'!A445)),""),IF(TRIM('Base de Datos'!A445)="","",IFERROR(DATE(VALUE(RIGHT(TRIM('Base de Datos'!A445),4)),VALUE(LEFT(TRIM('Base de Datos'!A445),2)),VALUE(MID(TRIM('Base de Datos'!A445),4,2))),""))),"")</f>
        <v/>
      </c>
      <c r="AE449" s="74" t="str">
        <f aca="false">IF(ISNUMBER('Base de Datos'!B445),'Base de Datos'!B445,IF(TRIM('Base de Datos'!B445)="","",IFERROR(IF(IFERROR(FIND("@",SUBSTITUTE(TRIM('Base de Datos'!B445),",","@",LEN(TRIM('Base de Datos'!B445))-LEN(SUBSTITUTE(TRIM('Base de Datos'!B445),",","")))),0)&gt;IFERROR(FIND("@",SUBSTITUTE(TRIM('Base de Datos'!B445),".","@",LEN(TRIM('Base de Datos'!B445))-LEN(SUBSTITUTE(TRIM('Base de Datos'!B445),".","")))),0),_xlfn.NUMBERVALUE(SUBSTITUTE(SUBSTITUTE(TRIM('Base de Datos'!B445),".",""),",","."),".",","),_xlfn.NUMBERVALUE(SUBSTITUTE(TRIM('Base de Datos'!B445),",",""),".",",")),"")))</f>
        <v/>
      </c>
      <c r="AF449" s="73" t="str">
        <f aca="false">IF(ISNUMBER(AG449),IF(ISNUMBER('Base de Datos'!I445),IF('Base de Datos'!I445&gt;20000,INT('Base de Datos'!I445),""),IF(TRIM('Base de Datos'!I445)="","",IFERROR(DATE(VALUE(RIGHT(TRIM('Base de Datos'!I445),4)),VALUE(MID(TRIM('Base de Datos'!I445),4,2)),VALUE(LEFT(TRIM('Base de Datos'!I445),2))),IFERROR(DATEVALUE(TRIM('Base de Datos'!I445)),"")))),"")</f>
        <v/>
      </c>
      <c r="AG449" s="74" t="str">
        <f aca="false">IF(ISNUMBER('Base de Datos'!J445),'Base de Datos'!J445,IF(TRIM('Base de Datos'!J445)="","",IFERROR(IF(IFERROR(FIND("@",SUBSTITUTE(TRIM('Base de Datos'!J445),",","@",LEN(TRIM('Base de Datos'!J445))-LEN(SUBSTITUTE(TRIM('Base de Datos'!J445),",","")))),0)&gt;IFERROR(FIND("@",SUBSTITUTE(TRIM('Base de Datos'!J445),".","@",LEN(TRIM('Base de Datos'!J445))-LEN(SUBSTITUTE(TRIM('Base de Datos'!J445),".","")))),0),_xlfn.NUMBERVALUE(SUBSTITUTE(SUBSTITUTE(TRIM('Base de Datos'!J445),".",""),",","."),".",","),_xlfn.NUMBERVALUE(SUBSTITUTE(TRIM('Base de Datos'!J445),",",""),".",",")),"")))</f>
        <v/>
      </c>
    </row>
    <row r="450" customFormat="false" ht="13.5" hidden="false" customHeight="false" outlineLevel="0" collapsed="false">
      <c r="R450" s="75" t="n">
        <f aca="false">ROWS(R$13:R450)</f>
        <v>438</v>
      </c>
      <c r="S450" s="73" t="str">
        <f aca="false">IF(S449="","",IFERROR(SMALL($AD$10:$AD$509,COUNTIF($AD$10:$AD$509,"&lt;="&amp;S449)+1),""))</f>
        <v/>
      </c>
      <c r="T450" s="74" t="str">
        <f aca="false">IF(S450="","",INDEX($AE$10:$AE$509,MATCH(S450,$AD$10:$AD$509,0)))</f>
        <v/>
      </c>
      <c r="U450" s="74" t="str">
        <f aca="false">IF(S450="","",IFERROR(INDEX($AG$10:$AG$509,MATCH(S450,$AF$10:$AF$509,0)),""))</f>
        <v/>
      </c>
      <c r="V450" s="76" t="str">
        <f aca="false">IF(AND(ISNUMBER(T450),ISNUMBER(T449)),T450/T449-1,"")</f>
        <v/>
      </c>
      <c r="W450" s="76" t="str">
        <f aca="false">IF(AND(ISNUMBER(U450),ISNUMBER(U449)),U450/U449-1,"")</f>
        <v/>
      </c>
      <c r="X450" s="75" t="str">
        <f aca="false">IF(AND(ISNUMBER(V450),ISNUMBER(W450)),1,"")</f>
        <v/>
      </c>
      <c r="Y450" s="76" t="str">
        <f aca="false">IF(X450=1,V450,"")</f>
        <v/>
      </c>
      <c r="Z450" s="76" t="str">
        <f aca="false">IF(X450=1,W450,"")</f>
        <v/>
      </c>
      <c r="AA450" s="76" t="e">
        <f aca="false">IF(X450=1,V450,NA())</f>
        <v>#N/A</v>
      </c>
      <c r="AB450" s="76" t="e">
        <f aca="false">IF(X450=1,W450,NA())</f>
        <v>#N/A</v>
      </c>
      <c r="AD450" s="73" t="str">
        <f aca="false">IF(ISNUMBER(AE450),IF(ISNUMBER('Base de Datos'!A446),IF('Base de Datos'!A446&gt;20000,DATE(YEAR('Base de Datos'!A446),DAY('Base de Datos'!A446),MONTH('Base de Datos'!A446)),""),IF(TRIM('Base de Datos'!A446)="","",IFERROR(DATE(VALUE(RIGHT(TRIM('Base de Datos'!A446),4)),VALUE(LEFT(TRIM('Base de Datos'!A446),2)),VALUE(MID(TRIM('Base de Datos'!A446),4,2))),""))),"")</f>
        <v/>
      </c>
      <c r="AE450" s="74" t="str">
        <f aca="false">IF(ISNUMBER('Base de Datos'!B446),'Base de Datos'!B446,IF(TRIM('Base de Datos'!B446)="","",IFERROR(IF(IFERROR(FIND("@",SUBSTITUTE(TRIM('Base de Datos'!B446),",","@",LEN(TRIM('Base de Datos'!B446))-LEN(SUBSTITUTE(TRIM('Base de Datos'!B446),",","")))),0)&gt;IFERROR(FIND("@",SUBSTITUTE(TRIM('Base de Datos'!B446),".","@",LEN(TRIM('Base de Datos'!B446))-LEN(SUBSTITUTE(TRIM('Base de Datos'!B446),".","")))),0),_xlfn.NUMBERVALUE(SUBSTITUTE(SUBSTITUTE(TRIM('Base de Datos'!B446),".",""),",","."),".",","),_xlfn.NUMBERVALUE(SUBSTITUTE(TRIM('Base de Datos'!B446),",",""),".",",")),"")))</f>
        <v/>
      </c>
      <c r="AF450" s="73" t="str">
        <f aca="false">IF(ISNUMBER(AG450),IF(ISNUMBER('Base de Datos'!I446),IF('Base de Datos'!I446&gt;20000,INT('Base de Datos'!I446),""),IF(TRIM('Base de Datos'!I446)="","",IFERROR(DATE(VALUE(RIGHT(TRIM('Base de Datos'!I446),4)),VALUE(MID(TRIM('Base de Datos'!I446),4,2)),VALUE(LEFT(TRIM('Base de Datos'!I446),2))),IFERROR(DATEVALUE(TRIM('Base de Datos'!I446)),"")))),"")</f>
        <v/>
      </c>
      <c r="AG450" s="74" t="str">
        <f aca="false">IF(ISNUMBER('Base de Datos'!J446),'Base de Datos'!J446,IF(TRIM('Base de Datos'!J446)="","",IFERROR(IF(IFERROR(FIND("@",SUBSTITUTE(TRIM('Base de Datos'!J446),",","@",LEN(TRIM('Base de Datos'!J446))-LEN(SUBSTITUTE(TRIM('Base de Datos'!J446),",","")))),0)&gt;IFERROR(FIND("@",SUBSTITUTE(TRIM('Base de Datos'!J446),".","@",LEN(TRIM('Base de Datos'!J446))-LEN(SUBSTITUTE(TRIM('Base de Datos'!J446),".","")))),0),_xlfn.NUMBERVALUE(SUBSTITUTE(SUBSTITUTE(TRIM('Base de Datos'!J446),".",""),",","."),".",","),_xlfn.NUMBERVALUE(SUBSTITUTE(TRIM('Base de Datos'!J446),",",""),".",",")),"")))</f>
        <v/>
      </c>
    </row>
    <row r="451" customFormat="false" ht="13.5" hidden="false" customHeight="false" outlineLevel="0" collapsed="false">
      <c r="R451" s="75" t="n">
        <f aca="false">ROWS(R$13:R451)</f>
        <v>439</v>
      </c>
      <c r="S451" s="73" t="str">
        <f aca="false">IF(S450="","",IFERROR(SMALL($AD$10:$AD$509,COUNTIF($AD$10:$AD$509,"&lt;="&amp;S450)+1),""))</f>
        <v/>
      </c>
      <c r="T451" s="74" t="str">
        <f aca="false">IF(S451="","",INDEX($AE$10:$AE$509,MATCH(S451,$AD$10:$AD$509,0)))</f>
        <v/>
      </c>
      <c r="U451" s="74" t="str">
        <f aca="false">IF(S451="","",IFERROR(INDEX($AG$10:$AG$509,MATCH(S451,$AF$10:$AF$509,0)),""))</f>
        <v/>
      </c>
      <c r="V451" s="76" t="str">
        <f aca="false">IF(AND(ISNUMBER(T451),ISNUMBER(T450)),T451/T450-1,"")</f>
        <v/>
      </c>
      <c r="W451" s="76" t="str">
        <f aca="false">IF(AND(ISNUMBER(U451),ISNUMBER(U450)),U451/U450-1,"")</f>
        <v/>
      </c>
      <c r="X451" s="75" t="str">
        <f aca="false">IF(AND(ISNUMBER(V451),ISNUMBER(W451)),1,"")</f>
        <v/>
      </c>
      <c r="Y451" s="76" t="str">
        <f aca="false">IF(X451=1,V451,"")</f>
        <v/>
      </c>
      <c r="Z451" s="76" t="str">
        <f aca="false">IF(X451=1,W451,"")</f>
        <v/>
      </c>
      <c r="AA451" s="76" t="e">
        <f aca="false">IF(X451=1,V451,NA())</f>
        <v>#N/A</v>
      </c>
      <c r="AB451" s="76" t="e">
        <f aca="false">IF(X451=1,W451,NA())</f>
        <v>#N/A</v>
      </c>
      <c r="AD451" s="73" t="str">
        <f aca="false">IF(ISNUMBER(AE451),IF(ISNUMBER('Base de Datos'!A447),IF('Base de Datos'!A447&gt;20000,DATE(YEAR('Base de Datos'!A447),DAY('Base de Datos'!A447),MONTH('Base de Datos'!A447)),""),IF(TRIM('Base de Datos'!A447)="","",IFERROR(DATE(VALUE(RIGHT(TRIM('Base de Datos'!A447),4)),VALUE(LEFT(TRIM('Base de Datos'!A447),2)),VALUE(MID(TRIM('Base de Datos'!A447),4,2))),""))),"")</f>
        <v/>
      </c>
      <c r="AE451" s="74" t="str">
        <f aca="false">IF(ISNUMBER('Base de Datos'!B447),'Base de Datos'!B447,IF(TRIM('Base de Datos'!B447)="","",IFERROR(IF(IFERROR(FIND("@",SUBSTITUTE(TRIM('Base de Datos'!B447),",","@",LEN(TRIM('Base de Datos'!B447))-LEN(SUBSTITUTE(TRIM('Base de Datos'!B447),",","")))),0)&gt;IFERROR(FIND("@",SUBSTITUTE(TRIM('Base de Datos'!B447),".","@",LEN(TRIM('Base de Datos'!B447))-LEN(SUBSTITUTE(TRIM('Base de Datos'!B447),".","")))),0),_xlfn.NUMBERVALUE(SUBSTITUTE(SUBSTITUTE(TRIM('Base de Datos'!B447),".",""),",","."),".",","),_xlfn.NUMBERVALUE(SUBSTITUTE(TRIM('Base de Datos'!B447),",",""),".",",")),"")))</f>
        <v/>
      </c>
      <c r="AF451" s="73" t="str">
        <f aca="false">IF(ISNUMBER(AG451),IF(ISNUMBER('Base de Datos'!I447),IF('Base de Datos'!I447&gt;20000,INT('Base de Datos'!I447),""),IF(TRIM('Base de Datos'!I447)="","",IFERROR(DATE(VALUE(RIGHT(TRIM('Base de Datos'!I447),4)),VALUE(MID(TRIM('Base de Datos'!I447),4,2)),VALUE(LEFT(TRIM('Base de Datos'!I447),2))),IFERROR(DATEVALUE(TRIM('Base de Datos'!I447)),"")))),"")</f>
        <v/>
      </c>
      <c r="AG451" s="74" t="str">
        <f aca="false">IF(ISNUMBER('Base de Datos'!J447),'Base de Datos'!J447,IF(TRIM('Base de Datos'!J447)="","",IFERROR(IF(IFERROR(FIND("@",SUBSTITUTE(TRIM('Base de Datos'!J447),",","@",LEN(TRIM('Base de Datos'!J447))-LEN(SUBSTITUTE(TRIM('Base de Datos'!J447),",","")))),0)&gt;IFERROR(FIND("@",SUBSTITUTE(TRIM('Base de Datos'!J447),".","@",LEN(TRIM('Base de Datos'!J447))-LEN(SUBSTITUTE(TRIM('Base de Datos'!J447),".","")))),0),_xlfn.NUMBERVALUE(SUBSTITUTE(SUBSTITUTE(TRIM('Base de Datos'!J447),".",""),",","."),".",","),_xlfn.NUMBERVALUE(SUBSTITUTE(TRIM('Base de Datos'!J447),",",""),".",",")),"")))</f>
        <v/>
      </c>
    </row>
    <row r="452" customFormat="false" ht="13.5" hidden="false" customHeight="false" outlineLevel="0" collapsed="false">
      <c r="R452" s="75" t="n">
        <f aca="false">ROWS(R$13:R452)</f>
        <v>440</v>
      </c>
      <c r="S452" s="73" t="str">
        <f aca="false">IF(S451="","",IFERROR(SMALL($AD$10:$AD$509,COUNTIF($AD$10:$AD$509,"&lt;="&amp;S451)+1),""))</f>
        <v/>
      </c>
      <c r="T452" s="74" t="str">
        <f aca="false">IF(S452="","",INDEX($AE$10:$AE$509,MATCH(S452,$AD$10:$AD$509,0)))</f>
        <v/>
      </c>
      <c r="U452" s="74" t="str">
        <f aca="false">IF(S452="","",IFERROR(INDEX($AG$10:$AG$509,MATCH(S452,$AF$10:$AF$509,0)),""))</f>
        <v/>
      </c>
      <c r="V452" s="76" t="str">
        <f aca="false">IF(AND(ISNUMBER(T452),ISNUMBER(T451)),T452/T451-1,"")</f>
        <v/>
      </c>
      <c r="W452" s="76" t="str">
        <f aca="false">IF(AND(ISNUMBER(U452),ISNUMBER(U451)),U452/U451-1,"")</f>
        <v/>
      </c>
      <c r="X452" s="75" t="str">
        <f aca="false">IF(AND(ISNUMBER(V452),ISNUMBER(W452)),1,"")</f>
        <v/>
      </c>
      <c r="Y452" s="76" t="str">
        <f aca="false">IF(X452=1,V452,"")</f>
        <v/>
      </c>
      <c r="Z452" s="76" t="str">
        <f aca="false">IF(X452=1,W452,"")</f>
        <v/>
      </c>
      <c r="AA452" s="76" t="e">
        <f aca="false">IF(X452=1,V452,NA())</f>
        <v>#N/A</v>
      </c>
      <c r="AB452" s="76" t="e">
        <f aca="false">IF(X452=1,W452,NA())</f>
        <v>#N/A</v>
      </c>
      <c r="AD452" s="73" t="str">
        <f aca="false">IF(ISNUMBER(AE452),IF(ISNUMBER('Base de Datos'!A448),IF('Base de Datos'!A448&gt;20000,DATE(YEAR('Base de Datos'!A448),DAY('Base de Datos'!A448),MONTH('Base de Datos'!A448)),""),IF(TRIM('Base de Datos'!A448)="","",IFERROR(DATE(VALUE(RIGHT(TRIM('Base de Datos'!A448),4)),VALUE(LEFT(TRIM('Base de Datos'!A448),2)),VALUE(MID(TRIM('Base de Datos'!A448),4,2))),""))),"")</f>
        <v/>
      </c>
      <c r="AE452" s="74" t="str">
        <f aca="false">IF(ISNUMBER('Base de Datos'!B448),'Base de Datos'!B448,IF(TRIM('Base de Datos'!B448)="","",IFERROR(IF(IFERROR(FIND("@",SUBSTITUTE(TRIM('Base de Datos'!B448),",","@",LEN(TRIM('Base de Datos'!B448))-LEN(SUBSTITUTE(TRIM('Base de Datos'!B448),",","")))),0)&gt;IFERROR(FIND("@",SUBSTITUTE(TRIM('Base de Datos'!B448),".","@",LEN(TRIM('Base de Datos'!B448))-LEN(SUBSTITUTE(TRIM('Base de Datos'!B448),".","")))),0),_xlfn.NUMBERVALUE(SUBSTITUTE(SUBSTITUTE(TRIM('Base de Datos'!B448),".",""),",","."),".",","),_xlfn.NUMBERVALUE(SUBSTITUTE(TRIM('Base de Datos'!B448),",",""),".",",")),"")))</f>
        <v/>
      </c>
      <c r="AF452" s="73" t="str">
        <f aca="false">IF(ISNUMBER(AG452),IF(ISNUMBER('Base de Datos'!I448),IF('Base de Datos'!I448&gt;20000,INT('Base de Datos'!I448),""),IF(TRIM('Base de Datos'!I448)="","",IFERROR(DATE(VALUE(RIGHT(TRIM('Base de Datos'!I448),4)),VALUE(MID(TRIM('Base de Datos'!I448),4,2)),VALUE(LEFT(TRIM('Base de Datos'!I448),2))),IFERROR(DATEVALUE(TRIM('Base de Datos'!I448)),"")))),"")</f>
        <v/>
      </c>
      <c r="AG452" s="74" t="str">
        <f aca="false">IF(ISNUMBER('Base de Datos'!J448),'Base de Datos'!J448,IF(TRIM('Base de Datos'!J448)="","",IFERROR(IF(IFERROR(FIND("@",SUBSTITUTE(TRIM('Base de Datos'!J448),",","@",LEN(TRIM('Base de Datos'!J448))-LEN(SUBSTITUTE(TRIM('Base de Datos'!J448),",","")))),0)&gt;IFERROR(FIND("@",SUBSTITUTE(TRIM('Base de Datos'!J448),".","@",LEN(TRIM('Base de Datos'!J448))-LEN(SUBSTITUTE(TRIM('Base de Datos'!J448),".","")))),0),_xlfn.NUMBERVALUE(SUBSTITUTE(SUBSTITUTE(TRIM('Base de Datos'!J448),".",""),",","."),".",","),_xlfn.NUMBERVALUE(SUBSTITUTE(TRIM('Base de Datos'!J448),",",""),".",",")),"")))</f>
        <v/>
      </c>
    </row>
    <row r="453" customFormat="false" ht="13.5" hidden="false" customHeight="false" outlineLevel="0" collapsed="false">
      <c r="R453" s="75" t="n">
        <f aca="false">ROWS(R$13:R453)</f>
        <v>441</v>
      </c>
      <c r="S453" s="73" t="str">
        <f aca="false">IF(S452="","",IFERROR(SMALL($AD$10:$AD$509,COUNTIF($AD$10:$AD$509,"&lt;="&amp;S452)+1),""))</f>
        <v/>
      </c>
      <c r="T453" s="74" t="str">
        <f aca="false">IF(S453="","",INDEX($AE$10:$AE$509,MATCH(S453,$AD$10:$AD$509,0)))</f>
        <v/>
      </c>
      <c r="U453" s="74" t="str">
        <f aca="false">IF(S453="","",IFERROR(INDEX($AG$10:$AG$509,MATCH(S453,$AF$10:$AF$509,0)),""))</f>
        <v/>
      </c>
      <c r="V453" s="76" t="str">
        <f aca="false">IF(AND(ISNUMBER(T453),ISNUMBER(T452)),T453/T452-1,"")</f>
        <v/>
      </c>
      <c r="W453" s="76" t="str">
        <f aca="false">IF(AND(ISNUMBER(U453),ISNUMBER(U452)),U453/U452-1,"")</f>
        <v/>
      </c>
      <c r="X453" s="75" t="str">
        <f aca="false">IF(AND(ISNUMBER(V453),ISNUMBER(W453)),1,"")</f>
        <v/>
      </c>
      <c r="Y453" s="76" t="str">
        <f aca="false">IF(X453=1,V453,"")</f>
        <v/>
      </c>
      <c r="Z453" s="76" t="str">
        <f aca="false">IF(X453=1,W453,"")</f>
        <v/>
      </c>
      <c r="AA453" s="76" t="e">
        <f aca="false">IF(X453=1,V453,NA())</f>
        <v>#N/A</v>
      </c>
      <c r="AB453" s="76" t="e">
        <f aca="false">IF(X453=1,W453,NA())</f>
        <v>#N/A</v>
      </c>
      <c r="AD453" s="73" t="str">
        <f aca="false">IF(ISNUMBER(AE453),IF(ISNUMBER('Base de Datos'!A449),IF('Base de Datos'!A449&gt;20000,DATE(YEAR('Base de Datos'!A449),DAY('Base de Datos'!A449),MONTH('Base de Datos'!A449)),""),IF(TRIM('Base de Datos'!A449)="","",IFERROR(DATE(VALUE(RIGHT(TRIM('Base de Datos'!A449),4)),VALUE(LEFT(TRIM('Base de Datos'!A449),2)),VALUE(MID(TRIM('Base de Datos'!A449),4,2))),""))),"")</f>
        <v/>
      </c>
      <c r="AE453" s="74" t="str">
        <f aca="false">IF(ISNUMBER('Base de Datos'!B449),'Base de Datos'!B449,IF(TRIM('Base de Datos'!B449)="","",IFERROR(IF(IFERROR(FIND("@",SUBSTITUTE(TRIM('Base de Datos'!B449),",","@",LEN(TRIM('Base de Datos'!B449))-LEN(SUBSTITUTE(TRIM('Base de Datos'!B449),",","")))),0)&gt;IFERROR(FIND("@",SUBSTITUTE(TRIM('Base de Datos'!B449),".","@",LEN(TRIM('Base de Datos'!B449))-LEN(SUBSTITUTE(TRIM('Base de Datos'!B449),".","")))),0),_xlfn.NUMBERVALUE(SUBSTITUTE(SUBSTITUTE(TRIM('Base de Datos'!B449),".",""),",","."),".",","),_xlfn.NUMBERVALUE(SUBSTITUTE(TRIM('Base de Datos'!B449),",",""),".",",")),"")))</f>
        <v/>
      </c>
      <c r="AF453" s="73" t="str">
        <f aca="false">IF(ISNUMBER(AG453),IF(ISNUMBER('Base de Datos'!I449),IF('Base de Datos'!I449&gt;20000,INT('Base de Datos'!I449),""),IF(TRIM('Base de Datos'!I449)="","",IFERROR(DATE(VALUE(RIGHT(TRIM('Base de Datos'!I449),4)),VALUE(MID(TRIM('Base de Datos'!I449),4,2)),VALUE(LEFT(TRIM('Base de Datos'!I449),2))),IFERROR(DATEVALUE(TRIM('Base de Datos'!I449)),"")))),"")</f>
        <v/>
      </c>
      <c r="AG453" s="74" t="str">
        <f aca="false">IF(ISNUMBER('Base de Datos'!J449),'Base de Datos'!J449,IF(TRIM('Base de Datos'!J449)="","",IFERROR(IF(IFERROR(FIND("@",SUBSTITUTE(TRIM('Base de Datos'!J449),",","@",LEN(TRIM('Base de Datos'!J449))-LEN(SUBSTITUTE(TRIM('Base de Datos'!J449),",","")))),0)&gt;IFERROR(FIND("@",SUBSTITUTE(TRIM('Base de Datos'!J449),".","@",LEN(TRIM('Base de Datos'!J449))-LEN(SUBSTITUTE(TRIM('Base de Datos'!J449),".","")))),0),_xlfn.NUMBERVALUE(SUBSTITUTE(SUBSTITUTE(TRIM('Base de Datos'!J449),".",""),",","."),".",","),_xlfn.NUMBERVALUE(SUBSTITUTE(TRIM('Base de Datos'!J449),",",""),".",",")),"")))</f>
        <v/>
      </c>
    </row>
    <row r="454" customFormat="false" ht="13.5" hidden="false" customHeight="false" outlineLevel="0" collapsed="false">
      <c r="R454" s="75" t="n">
        <f aca="false">ROWS(R$13:R454)</f>
        <v>442</v>
      </c>
      <c r="S454" s="73" t="str">
        <f aca="false">IF(S453="","",IFERROR(SMALL($AD$10:$AD$509,COUNTIF($AD$10:$AD$509,"&lt;="&amp;S453)+1),""))</f>
        <v/>
      </c>
      <c r="T454" s="74" t="str">
        <f aca="false">IF(S454="","",INDEX($AE$10:$AE$509,MATCH(S454,$AD$10:$AD$509,0)))</f>
        <v/>
      </c>
      <c r="U454" s="74" t="str">
        <f aca="false">IF(S454="","",IFERROR(INDEX($AG$10:$AG$509,MATCH(S454,$AF$10:$AF$509,0)),""))</f>
        <v/>
      </c>
      <c r="V454" s="76" t="str">
        <f aca="false">IF(AND(ISNUMBER(T454),ISNUMBER(T453)),T454/T453-1,"")</f>
        <v/>
      </c>
      <c r="W454" s="76" t="str">
        <f aca="false">IF(AND(ISNUMBER(U454),ISNUMBER(U453)),U454/U453-1,"")</f>
        <v/>
      </c>
      <c r="X454" s="75" t="str">
        <f aca="false">IF(AND(ISNUMBER(V454),ISNUMBER(W454)),1,"")</f>
        <v/>
      </c>
      <c r="Y454" s="76" t="str">
        <f aca="false">IF(X454=1,V454,"")</f>
        <v/>
      </c>
      <c r="Z454" s="76" t="str">
        <f aca="false">IF(X454=1,W454,"")</f>
        <v/>
      </c>
      <c r="AA454" s="76" t="e">
        <f aca="false">IF(X454=1,V454,NA())</f>
        <v>#N/A</v>
      </c>
      <c r="AB454" s="76" t="e">
        <f aca="false">IF(X454=1,W454,NA())</f>
        <v>#N/A</v>
      </c>
      <c r="AD454" s="73" t="str">
        <f aca="false">IF(ISNUMBER(AE454),IF(ISNUMBER('Base de Datos'!A450),IF('Base de Datos'!A450&gt;20000,DATE(YEAR('Base de Datos'!A450),DAY('Base de Datos'!A450),MONTH('Base de Datos'!A450)),""),IF(TRIM('Base de Datos'!A450)="","",IFERROR(DATE(VALUE(RIGHT(TRIM('Base de Datos'!A450),4)),VALUE(LEFT(TRIM('Base de Datos'!A450),2)),VALUE(MID(TRIM('Base de Datos'!A450),4,2))),""))),"")</f>
        <v/>
      </c>
      <c r="AE454" s="74" t="str">
        <f aca="false">IF(ISNUMBER('Base de Datos'!B450),'Base de Datos'!B450,IF(TRIM('Base de Datos'!B450)="","",IFERROR(IF(IFERROR(FIND("@",SUBSTITUTE(TRIM('Base de Datos'!B450),",","@",LEN(TRIM('Base de Datos'!B450))-LEN(SUBSTITUTE(TRIM('Base de Datos'!B450),",","")))),0)&gt;IFERROR(FIND("@",SUBSTITUTE(TRIM('Base de Datos'!B450),".","@",LEN(TRIM('Base de Datos'!B450))-LEN(SUBSTITUTE(TRIM('Base de Datos'!B450),".","")))),0),_xlfn.NUMBERVALUE(SUBSTITUTE(SUBSTITUTE(TRIM('Base de Datos'!B450),".",""),",","."),".",","),_xlfn.NUMBERVALUE(SUBSTITUTE(TRIM('Base de Datos'!B450),",",""),".",",")),"")))</f>
        <v/>
      </c>
      <c r="AF454" s="73" t="str">
        <f aca="false">IF(ISNUMBER(AG454),IF(ISNUMBER('Base de Datos'!I450),IF('Base de Datos'!I450&gt;20000,INT('Base de Datos'!I450),""),IF(TRIM('Base de Datos'!I450)="","",IFERROR(DATE(VALUE(RIGHT(TRIM('Base de Datos'!I450),4)),VALUE(MID(TRIM('Base de Datos'!I450),4,2)),VALUE(LEFT(TRIM('Base de Datos'!I450),2))),IFERROR(DATEVALUE(TRIM('Base de Datos'!I450)),"")))),"")</f>
        <v/>
      </c>
      <c r="AG454" s="74" t="str">
        <f aca="false">IF(ISNUMBER('Base de Datos'!J450),'Base de Datos'!J450,IF(TRIM('Base de Datos'!J450)="","",IFERROR(IF(IFERROR(FIND("@",SUBSTITUTE(TRIM('Base de Datos'!J450),",","@",LEN(TRIM('Base de Datos'!J450))-LEN(SUBSTITUTE(TRIM('Base de Datos'!J450),",","")))),0)&gt;IFERROR(FIND("@",SUBSTITUTE(TRIM('Base de Datos'!J450),".","@",LEN(TRIM('Base de Datos'!J450))-LEN(SUBSTITUTE(TRIM('Base de Datos'!J450),".","")))),0),_xlfn.NUMBERVALUE(SUBSTITUTE(SUBSTITUTE(TRIM('Base de Datos'!J450),".",""),",","."),".",","),_xlfn.NUMBERVALUE(SUBSTITUTE(TRIM('Base de Datos'!J450),",",""),".",",")),"")))</f>
        <v/>
      </c>
    </row>
    <row r="455" customFormat="false" ht="13.5" hidden="false" customHeight="false" outlineLevel="0" collapsed="false">
      <c r="R455" s="75" t="n">
        <f aca="false">ROWS(R$13:R455)</f>
        <v>443</v>
      </c>
      <c r="S455" s="73" t="str">
        <f aca="false">IF(S454="","",IFERROR(SMALL($AD$10:$AD$509,COUNTIF($AD$10:$AD$509,"&lt;="&amp;S454)+1),""))</f>
        <v/>
      </c>
      <c r="T455" s="74" t="str">
        <f aca="false">IF(S455="","",INDEX($AE$10:$AE$509,MATCH(S455,$AD$10:$AD$509,0)))</f>
        <v/>
      </c>
      <c r="U455" s="74" t="str">
        <f aca="false">IF(S455="","",IFERROR(INDEX($AG$10:$AG$509,MATCH(S455,$AF$10:$AF$509,0)),""))</f>
        <v/>
      </c>
      <c r="V455" s="76" t="str">
        <f aca="false">IF(AND(ISNUMBER(T455),ISNUMBER(T454)),T455/T454-1,"")</f>
        <v/>
      </c>
      <c r="W455" s="76" t="str">
        <f aca="false">IF(AND(ISNUMBER(U455),ISNUMBER(U454)),U455/U454-1,"")</f>
        <v/>
      </c>
      <c r="X455" s="75" t="str">
        <f aca="false">IF(AND(ISNUMBER(V455),ISNUMBER(W455)),1,"")</f>
        <v/>
      </c>
      <c r="Y455" s="76" t="str">
        <f aca="false">IF(X455=1,V455,"")</f>
        <v/>
      </c>
      <c r="Z455" s="76" t="str">
        <f aca="false">IF(X455=1,W455,"")</f>
        <v/>
      </c>
      <c r="AA455" s="76" t="e">
        <f aca="false">IF(X455=1,V455,NA())</f>
        <v>#N/A</v>
      </c>
      <c r="AB455" s="76" t="e">
        <f aca="false">IF(X455=1,W455,NA())</f>
        <v>#N/A</v>
      </c>
      <c r="AD455" s="73" t="str">
        <f aca="false">IF(ISNUMBER(AE455),IF(ISNUMBER('Base de Datos'!A451),IF('Base de Datos'!A451&gt;20000,DATE(YEAR('Base de Datos'!A451),DAY('Base de Datos'!A451),MONTH('Base de Datos'!A451)),""),IF(TRIM('Base de Datos'!A451)="","",IFERROR(DATE(VALUE(RIGHT(TRIM('Base de Datos'!A451),4)),VALUE(LEFT(TRIM('Base de Datos'!A451),2)),VALUE(MID(TRIM('Base de Datos'!A451),4,2))),""))),"")</f>
        <v/>
      </c>
      <c r="AE455" s="74" t="str">
        <f aca="false">IF(ISNUMBER('Base de Datos'!B451),'Base de Datos'!B451,IF(TRIM('Base de Datos'!B451)="","",IFERROR(IF(IFERROR(FIND("@",SUBSTITUTE(TRIM('Base de Datos'!B451),",","@",LEN(TRIM('Base de Datos'!B451))-LEN(SUBSTITUTE(TRIM('Base de Datos'!B451),",","")))),0)&gt;IFERROR(FIND("@",SUBSTITUTE(TRIM('Base de Datos'!B451),".","@",LEN(TRIM('Base de Datos'!B451))-LEN(SUBSTITUTE(TRIM('Base de Datos'!B451),".","")))),0),_xlfn.NUMBERVALUE(SUBSTITUTE(SUBSTITUTE(TRIM('Base de Datos'!B451),".",""),",","."),".",","),_xlfn.NUMBERVALUE(SUBSTITUTE(TRIM('Base de Datos'!B451),",",""),".",",")),"")))</f>
        <v/>
      </c>
      <c r="AF455" s="73" t="str">
        <f aca="false">IF(ISNUMBER(AG455),IF(ISNUMBER('Base de Datos'!I451),IF('Base de Datos'!I451&gt;20000,INT('Base de Datos'!I451),""),IF(TRIM('Base de Datos'!I451)="","",IFERROR(DATE(VALUE(RIGHT(TRIM('Base de Datos'!I451),4)),VALUE(MID(TRIM('Base de Datos'!I451),4,2)),VALUE(LEFT(TRIM('Base de Datos'!I451),2))),IFERROR(DATEVALUE(TRIM('Base de Datos'!I451)),"")))),"")</f>
        <v/>
      </c>
      <c r="AG455" s="74" t="str">
        <f aca="false">IF(ISNUMBER('Base de Datos'!J451),'Base de Datos'!J451,IF(TRIM('Base de Datos'!J451)="","",IFERROR(IF(IFERROR(FIND("@",SUBSTITUTE(TRIM('Base de Datos'!J451),",","@",LEN(TRIM('Base de Datos'!J451))-LEN(SUBSTITUTE(TRIM('Base de Datos'!J451),",","")))),0)&gt;IFERROR(FIND("@",SUBSTITUTE(TRIM('Base de Datos'!J451),".","@",LEN(TRIM('Base de Datos'!J451))-LEN(SUBSTITUTE(TRIM('Base de Datos'!J451),".","")))),0),_xlfn.NUMBERVALUE(SUBSTITUTE(SUBSTITUTE(TRIM('Base de Datos'!J451),".",""),",","."),".",","),_xlfn.NUMBERVALUE(SUBSTITUTE(TRIM('Base de Datos'!J451),",",""),".",",")),"")))</f>
        <v/>
      </c>
    </row>
    <row r="456" customFormat="false" ht="13.5" hidden="false" customHeight="false" outlineLevel="0" collapsed="false">
      <c r="R456" s="75" t="n">
        <f aca="false">ROWS(R$13:R456)</f>
        <v>444</v>
      </c>
      <c r="S456" s="73" t="str">
        <f aca="false">IF(S455="","",IFERROR(SMALL($AD$10:$AD$509,COUNTIF($AD$10:$AD$509,"&lt;="&amp;S455)+1),""))</f>
        <v/>
      </c>
      <c r="T456" s="74" t="str">
        <f aca="false">IF(S456="","",INDEX($AE$10:$AE$509,MATCH(S456,$AD$10:$AD$509,0)))</f>
        <v/>
      </c>
      <c r="U456" s="74" t="str">
        <f aca="false">IF(S456="","",IFERROR(INDEX($AG$10:$AG$509,MATCH(S456,$AF$10:$AF$509,0)),""))</f>
        <v/>
      </c>
      <c r="V456" s="76" t="str">
        <f aca="false">IF(AND(ISNUMBER(T456),ISNUMBER(T455)),T456/T455-1,"")</f>
        <v/>
      </c>
      <c r="W456" s="76" t="str">
        <f aca="false">IF(AND(ISNUMBER(U456),ISNUMBER(U455)),U456/U455-1,"")</f>
        <v/>
      </c>
      <c r="X456" s="75" t="str">
        <f aca="false">IF(AND(ISNUMBER(V456),ISNUMBER(W456)),1,"")</f>
        <v/>
      </c>
      <c r="Y456" s="76" t="str">
        <f aca="false">IF(X456=1,V456,"")</f>
        <v/>
      </c>
      <c r="Z456" s="76" t="str">
        <f aca="false">IF(X456=1,W456,"")</f>
        <v/>
      </c>
      <c r="AA456" s="76" t="e">
        <f aca="false">IF(X456=1,V456,NA())</f>
        <v>#N/A</v>
      </c>
      <c r="AB456" s="76" t="e">
        <f aca="false">IF(X456=1,W456,NA())</f>
        <v>#N/A</v>
      </c>
      <c r="AD456" s="73" t="str">
        <f aca="false">IF(ISNUMBER(AE456),IF(ISNUMBER('Base de Datos'!A452),IF('Base de Datos'!A452&gt;20000,DATE(YEAR('Base de Datos'!A452),DAY('Base de Datos'!A452),MONTH('Base de Datos'!A452)),""),IF(TRIM('Base de Datos'!A452)="","",IFERROR(DATE(VALUE(RIGHT(TRIM('Base de Datos'!A452),4)),VALUE(LEFT(TRIM('Base de Datos'!A452),2)),VALUE(MID(TRIM('Base de Datos'!A452),4,2))),""))),"")</f>
        <v/>
      </c>
      <c r="AE456" s="74" t="str">
        <f aca="false">IF(ISNUMBER('Base de Datos'!B452),'Base de Datos'!B452,IF(TRIM('Base de Datos'!B452)="","",IFERROR(IF(IFERROR(FIND("@",SUBSTITUTE(TRIM('Base de Datos'!B452),",","@",LEN(TRIM('Base de Datos'!B452))-LEN(SUBSTITUTE(TRIM('Base de Datos'!B452),",","")))),0)&gt;IFERROR(FIND("@",SUBSTITUTE(TRIM('Base de Datos'!B452),".","@",LEN(TRIM('Base de Datos'!B452))-LEN(SUBSTITUTE(TRIM('Base de Datos'!B452),".","")))),0),_xlfn.NUMBERVALUE(SUBSTITUTE(SUBSTITUTE(TRIM('Base de Datos'!B452),".",""),",","."),".",","),_xlfn.NUMBERVALUE(SUBSTITUTE(TRIM('Base de Datos'!B452),",",""),".",",")),"")))</f>
        <v/>
      </c>
      <c r="AF456" s="73" t="str">
        <f aca="false">IF(ISNUMBER(AG456),IF(ISNUMBER('Base de Datos'!I452),IF('Base de Datos'!I452&gt;20000,INT('Base de Datos'!I452),""),IF(TRIM('Base de Datos'!I452)="","",IFERROR(DATE(VALUE(RIGHT(TRIM('Base de Datos'!I452),4)),VALUE(MID(TRIM('Base de Datos'!I452),4,2)),VALUE(LEFT(TRIM('Base de Datos'!I452),2))),IFERROR(DATEVALUE(TRIM('Base de Datos'!I452)),"")))),"")</f>
        <v/>
      </c>
      <c r="AG456" s="74" t="str">
        <f aca="false">IF(ISNUMBER('Base de Datos'!J452),'Base de Datos'!J452,IF(TRIM('Base de Datos'!J452)="","",IFERROR(IF(IFERROR(FIND("@",SUBSTITUTE(TRIM('Base de Datos'!J452),",","@",LEN(TRIM('Base de Datos'!J452))-LEN(SUBSTITUTE(TRIM('Base de Datos'!J452),",","")))),0)&gt;IFERROR(FIND("@",SUBSTITUTE(TRIM('Base de Datos'!J452),".","@",LEN(TRIM('Base de Datos'!J452))-LEN(SUBSTITUTE(TRIM('Base de Datos'!J452),".","")))),0),_xlfn.NUMBERVALUE(SUBSTITUTE(SUBSTITUTE(TRIM('Base de Datos'!J452),".",""),",","."),".",","),_xlfn.NUMBERVALUE(SUBSTITUTE(TRIM('Base de Datos'!J452),",",""),".",",")),"")))</f>
        <v/>
      </c>
    </row>
    <row r="457" customFormat="false" ht="13.5" hidden="false" customHeight="false" outlineLevel="0" collapsed="false">
      <c r="R457" s="75" t="n">
        <f aca="false">ROWS(R$13:R457)</f>
        <v>445</v>
      </c>
      <c r="S457" s="73" t="str">
        <f aca="false">IF(S456="","",IFERROR(SMALL($AD$10:$AD$509,COUNTIF($AD$10:$AD$509,"&lt;="&amp;S456)+1),""))</f>
        <v/>
      </c>
      <c r="T457" s="74" t="str">
        <f aca="false">IF(S457="","",INDEX($AE$10:$AE$509,MATCH(S457,$AD$10:$AD$509,0)))</f>
        <v/>
      </c>
      <c r="U457" s="74" t="str">
        <f aca="false">IF(S457="","",IFERROR(INDEX($AG$10:$AG$509,MATCH(S457,$AF$10:$AF$509,0)),""))</f>
        <v/>
      </c>
      <c r="V457" s="76" t="str">
        <f aca="false">IF(AND(ISNUMBER(T457),ISNUMBER(T456)),T457/T456-1,"")</f>
        <v/>
      </c>
      <c r="W457" s="76" t="str">
        <f aca="false">IF(AND(ISNUMBER(U457),ISNUMBER(U456)),U457/U456-1,"")</f>
        <v/>
      </c>
      <c r="X457" s="75" t="str">
        <f aca="false">IF(AND(ISNUMBER(V457),ISNUMBER(W457)),1,"")</f>
        <v/>
      </c>
      <c r="Y457" s="76" t="str">
        <f aca="false">IF(X457=1,V457,"")</f>
        <v/>
      </c>
      <c r="Z457" s="76" t="str">
        <f aca="false">IF(X457=1,W457,"")</f>
        <v/>
      </c>
      <c r="AA457" s="76" t="e">
        <f aca="false">IF(X457=1,V457,NA())</f>
        <v>#N/A</v>
      </c>
      <c r="AB457" s="76" t="e">
        <f aca="false">IF(X457=1,W457,NA())</f>
        <v>#N/A</v>
      </c>
      <c r="AD457" s="73" t="str">
        <f aca="false">IF(ISNUMBER(AE457),IF(ISNUMBER('Base de Datos'!A453),IF('Base de Datos'!A453&gt;20000,DATE(YEAR('Base de Datos'!A453),DAY('Base de Datos'!A453),MONTH('Base de Datos'!A453)),""),IF(TRIM('Base de Datos'!A453)="","",IFERROR(DATE(VALUE(RIGHT(TRIM('Base de Datos'!A453),4)),VALUE(LEFT(TRIM('Base de Datos'!A453),2)),VALUE(MID(TRIM('Base de Datos'!A453),4,2))),""))),"")</f>
        <v/>
      </c>
      <c r="AE457" s="74" t="str">
        <f aca="false">IF(ISNUMBER('Base de Datos'!B453),'Base de Datos'!B453,IF(TRIM('Base de Datos'!B453)="","",IFERROR(IF(IFERROR(FIND("@",SUBSTITUTE(TRIM('Base de Datos'!B453),",","@",LEN(TRIM('Base de Datos'!B453))-LEN(SUBSTITUTE(TRIM('Base de Datos'!B453),",","")))),0)&gt;IFERROR(FIND("@",SUBSTITUTE(TRIM('Base de Datos'!B453),".","@",LEN(TRIM('Base de Datos'!B453))-LEN(SUBSTITUTE(TRIM('Base de Datos'!B453),".","")))),0),_xlfn.NUMBERVALUE(SUBSTITUTE(SUBSTITUTE(TRIM('Base de Datos'!B453),".",""),",","."),".",","),_xlfn.NUMBERVALUE(SUBSTITUTE(TRIM('Base de Datos'!B453),",",""),".",",")),"")))</f>
        <v/>
      </c>
      <c r="AF457" s="73" t="str">
        <f aca="false">IF(ISNUMBER(AG457),IF(ISNUMBER('Base de Datos'!I453),IF('Base de Datos'!I453&gt;20000,INT('Base de Datos'!I453),""),IF(TRIM('Base de Datos'!I453)="","",IFERROR(DATE(VALUE(RIGHT(TRIM('Base de Datos'!I453),4)),VALUE(MID(TRIM('Base de Datos'!I453),4,2)),VALUE(LEFT(TRIM('Base de Datos'!I453),2))),IFERROR(DATEVALUE(TRIM('Base de Datos'!I453)),"")))),"")</f>
        <v/>
      </c>
      <c r="AG457" s="74" t="str">
        <f aca="false">IF(ISNUMBER('Base de Datos'!J453),'Base de Datos'!J453,IF(TRIM('Base de Datos'!J453)="","",IFERROR(IF(IFERROR(FIND("@",SUBSTITUTE(TRIM('Base de Datos'!J453),",","@",LEN(TRIM('Base de Datos'!J453))-LEN(SUBSTITUTE(TRIM('Base de Datos'!J453),",","")))),0)&gt;IFERROR(FIND("@",SUBSTITUTE(TRIM('Base de Datos'!J453),".","@",LEN(TRIM('Base de Datos'!J453))-LEN(SUBSTITUTE(TRIM('Base de Datos'!J453),".","")))),0),_xlfn.NUMBERVALUE(SUBSTITUTE(SUBSTITUTE(TRIM('Base de Datos'!J453),".",""),",","."),".",","),_xlfn.NUMBERVALUE(SUBSTITUTE(TRIM('Base de Datos'!J453),",",""),".",",")),"")))</f>
        <v/>
      </c>
    </row>
    <row r="458" customFormat="false" ht="13.5" hidden="false" customHeight="false" outlineLevel="0" collapsed="false">
      <c r="R458" s="75" t="n">
        <f aca="false">ROWS(R$13:R458)</f>
        <v>446</v>
      </c>
      <c r="S458" s="73" t="str">
        <f aca="false">IF(S457="","",IFERROR(SMALL($AD$10:$AD$509,COUNTIF($AD$10:$AD$509,"&lt;="&amp;S457)+1),""))</f>
        <v/>
      </c>
      <c r="T458" s="74" t="str">
        <f aca="false">IF(S458="","",INDEX($AE$10:$AE$509,MATCH(S458,$AD$10:$AD$509,0)))</f>
        <v/>
      </c>
      <c r="U458" s="74" t="str">
        <f aca="false">IF(S458="","",IFERROR(INDEX($AG$10:$AG$509,MATCH(S458,$AF$10:$AF$509,0)),""))</f>
        <v/>
      </c>
      <c r="V458" s="76" t="str">
        <f aca="false">IF(AND(ISNUMBER(T458),ISNUMBER(T457)),T458/T457-1,"")</f>
        <v/>
      </c>
      <c r="W458" s="76" t="str">
        <f aca="false">IF(AND(ISNUMBER(U458),ISNUMBER(U457)),U458/U457-1,"")</f>
        <v/>
      </c>
      <c r="X458" s="75" t="str">
        <f aca="false">IF(AND(ISNUMBER(V458),ISNUMBER(W458)),1,"")</f>
        <v/>
      </c>
      <c r="Y458" s="76" t="str">
        <f aca="false">IF(X458=1,V458,"")</f>
        <v/>
      </c>
      <c r="Z458" s="76" t="str">
        <f aca="false">IF(X458=1,W458,"")</f>
        <v/>
      </c>
      <c r="AA458" s="76" t="e">
        <f aca="false">IF(X458=1,V458,NA())</f>
        <v>#N/A</v>
      </c>
      <c r="AB458" s="76" t="e">
        <f aca="false">IF(X458=1,W458,NA())</f>
        <v>#N/A</v>
      </c>
      <c r="AD458" s="73" t="str">
        <f aca="false">IF(ISNUMBER(AE458),IF(ISNUMBER('Base de Datos'!A454),IF('Base de Datos'!A454&gt;20000,DATE(YEAR('Base de Datos'!A454),DAY('Base de Datos'!A454),MONTH('Base de Datos'!A454)),""),IF(TRIM('Base de Datos'!A454)="","",IFERROR(DATE(VALUE(RIGHT(TRIM('Base de Datos'!A454),4)),VALUE(LEFT(TRIM('Base de Datos'!A454),2)),VALUE(MID(TRIM('Base de Datos'!A454),4,2))),""))),"")</f>
        <v/>
      </c>
      <c r="AE458" s="74" t="str">
        <f aca="false">IF(ISNUMBER('Base de Datos'!B454),'Base de Datos'!B454,IF(TRIM('Base de Datos'!B454)="","",IFERROR(IF(IFERROR(FIND("@",SUBSTITUTE(TRIM('Base de Datos'!B454),",","@",LEN(TRIM('Base de Datos'!B454))-LEN(SUBSTITUTE(TRIM('Base de Datos'!B454),",","")))),0)&gt;IFERROR(FIND("@",SUBSTITUTE(TRIM('Base de Datos'!B454),".","@",LEN(TRIM('Base de Datos'!B454))-LEN(SUBSTITUTE(TRIM('Base de Datos'!B454),".","")))),0),_xlfn.NUMBERVALUE(SUBSTITUTE(SUBSTITUTE(TRIM('Base de Datos'!B454),".",""),",","."),".",","),_xlfn.NUMBERVALUE(SUBSTITUTE(TRIM('Base de Datos'!B454),",",""),".",",")),"")))</f>
        <v/>
      </c>
      <c r="AF458" s="73" t="str">
        <f aca="false">IF(ISNUMBER(AG458),IF(ISNUMBER('Base de Datos'!I454),IF('Base de Datos'!I454&gt;20000,INT('Base de Datos'!I454),""),IF(TRIM('Base de Datos'!I454)="","",IFERROR(DATE(VALUE(RIGHT(TRIM('Base de Datos'!I454),4)),VALUE(MID(TRIM('Base de Datos'!I454),4,2)),VALUE(LEFT(TRIM('Base de Datos'!I454),2))),IFERROR(DATEVALUE(TRIM('Base de Datos'!I454)),"")))),"")</f>
        <v/>
      </c>
      <c r="AG458" s="74" t="str">
        <f aca="false">IF(ISNUMBER('Base de Datos'!J454),'Base de Datos'!J454,IF(TRIM('Base de Datos'!J454)="","",IFERROR(IF(IFERROR(FIND("@",SUBSTITUTE(TRIM('Base de Datos'!J454),",","@",LEN(TRIM('Base de Datos'!J454))-LEN(SUBSTITUTE(TRIM('Base de Datos'!J454),",","")))),0)&gt;IFERROR(FIND("@",SUBSTITUTE(TRIM('Base de Datos'!J454),".","@",LEN(TRIM('Base de Datos'!J454))-LEN(SUBSTITUTE(TRIM('Base de Datos'!J454),".","")))),0),_xlfn.NUMBERVALUE(SUBSTITUTE(SUBSTITUTE(TRIM('Base de Datos'!J454),".",""),",","."),".",","),_xlfn.NUMBERVALUE(SUBSTITUTE(TRIM('Base de Datos'!J454),",",""),".",",")),"")))</f>
        <v/>
      </c>
    </row>
    <row r="459" customFormat="false" ht="13.5" hidden="false" customHeight="false" outlineLevel="0" collapsed="false">
      <c r="R459" s="75" t="n">
        <f aca="false">ROWS(R$13:R459)</f>
        <v>447</v>
      </c>
      <c r="S459" s="73" t="str">
        <f aca="false">IF(S458="","",IFERROR(SMALL($AD$10:$AD$509,COUNTIF($AD$10:$AD$509,"&lt;="&amp;S458)+1),""))</f>
        <v/>
      </c>
      <c r="T459" s="74" t="str">
        <f aca="false">IF(S459="","",INDEX($AE$10:$AE$509,MATCH(S459,$AD$10:$AD$509,0)))</f>
        <v/>
      </c>
      <c r="U459" s="74" t="str">
        <f aca="false">IF(S459="","",IFERROR(INDEX($AG$10:$AG$509,MATCH(S459,$AF$10:$AF$509,0)),""))</f>
        <v/>
      </c>
      <c r="V459" s="76" t="str">
        <f aca="false">IF(AND(ISNUMBER(T459),ISNUMBER(T458)),T459/T458-1,"")</f>
        <v/>
      </c>
      <c r="W459" s="76" t="str">
        <f aca="false">IF(AND(ISNUMBER(U459),ISNUMBER(U458)),U459/U458-1,"")</f>
        <v/>
      </c>
      <c r="X459" s="75" t="str">
        <f aca="false">IF(AND(ISNUMBER(V459),ISNUMBER(W459)),1,"")</f>
        <v/>
      </c>
      <c r="Y459" s="76" t="str">
        <f aca="false">IF(X459=1,V459,"")</f>
        <v/>
      </c>
      <c r="Z459" s="76" t="str">
        <f aca="false">IF(X459=1,W459,"")</f>
        <v/>
      </c>
      <c r="AA459" s="76" t="e">
        <f aca="false">IF(X459=1,V459,NA())</f>
        <v>#N/A</v>
      </c>
      <c r="AB459" s="76" t="e">
        <f aca="false">IF(X459=1,W459,NA())</f>
        <v>#N/A</v>
      </c>
      <c r="AD459" s="73" t="str">
        <f aca="false">IF(ISNUMBER(AE459),IF(ISNUMBER('Base de Datos'!A455),IF('Base de Datos'!A455&gt;20000,DATE(YEAR('Base de Datos'!A455),DAY('Base de Datos'!A455),MONTH('Base de Datos'!A455)),""),IF(TRIM('Base de Datos'!A455)="","",IFERROR(DATE(VALUE(RIGHT(TRIM('Base de Datos'!A455),4)),VALUE(LEFT(TRIM('Base de Datos'!A455),2)),VALUE(MID(TRIM('Base de Datos'!A455),4,2))),""))),"")</f>
        <v/>
      </c>
      <c r="AE459" s="74" t="str">
        <f aca="false">IF(ISNUMBER('Base de Datos'!B455),'Base de Datos'!B455,IF(TRIM('Base de Datos'!B455)="","",IFERROR(IF(IFERROR(FIND("@",SUBSTITUTE(TRIM('Base de Datos'!B455),",","@",LEN(TRIM('Base de Datos'!B455))-LEN(SUBSTITUTE(TRIM('Base de Datos'!B455),",","")))),0)&gt;IFERROR(FIND("@",SUBSTITUTE(TRIM('Base de Datos'!B455),".","@",LEN(TRIM('Base de Datos'!B455))-LEN(SUBSTITUTE(TRIM('Base de Datos'!B455),".","")))),0),_xlfn.NUMBERVALUE(SUBSTITUTE(SUBSTITUTE(TRIM('Base de Datos'!B455),".",""),",","."),".",","),_xlfn.NUMBERVALUE(SUBSTITUTE(TRIM('Base de Datos'!B455),",",""),".",",")),"")))</f>
        <v/>
      </c>
      <c r="AF459" s="73" t="str">
        <f aca="false">IF(ISNUMBER(AG459),IF(ISNUMBER('Base de Datos'!I455),IF('Base de Datos'!I455&gt;20000,INT('Base de Datos'!I455),""),IF(TRIM('Base de Datos'!I455)="","",IFERROR(DATE(VALUE(RIGHT(TRIM('Base de Datos'!I455),4)),VALUE(MID(TRIM('Base de Datos'!I455),4,2)),VALUE(LEFT(TRIM('Base de Datos'!I455),2))),IFERROR(DATEVALUE(TRIM('Base de Datos'!I455)),"")))),"")</f>
        <v/>
      </c>
      <c r="AG459" s="74" t="str">
        <f aca="false">IF(ISNUMBER('Base de Datos'!J455),'Base de Datos'!J455,IF(TRIM('Base de Datos'!J455)="","",IFERROR(IF(IFERROR(FIND("@",SUBSTITUTE(TRIM('Base de Datos'!J455),",","@",LEN(TRIM('Base de Datos'!J455))-LEN(SUBSTITUTE(TRIM('Base de Datos'!J455),",","")))),0)&gt;IFERROR(FIND("@",SUBSTITUTE(TRIM('Base de Datos'!J455),".","@",LEN(TRIM('Base de Datos'!J455))-LEN(SUBSTITUTE(TRIM('Base de Datos'!J455),".","")))),0),_xlfn.NUMBERVALUE(SUBSTITUTE(SUBSTITUTE(TRIM('Base de Datos'!J455),".",""),",","."),".",","),_xlfn.NUMBERVALUE(SUBSTITUTE(TRIM('Base de Datos'!J455),",",""),".",",")),"")))</f>
        <v/>
      </c>
    </row>
    <row r="460" customFormat="false" ht="13.5" hidden="false" customHeight="false" outlineLevel="0" collapsed="false">
      <c r="R460" s="75" t="n">
        <f aca="false">ROWS(R$13:R460)</f>
        <v>448</v>
      </c>
      <c r="S460" s="73" t="str">
        <f aca="false">IF(S459="","",IFERROR(SMALL($AD$10:$AD$509,COUNTIF($AD$10:$AD$509,"&lt;="&amp;S459)+1),""))</f>
        <v/>
      </c>
      <c r="T460" s="74" t="str">
        <f aca="false">IF(S460="","",INDEX($AE$10:$AE$509,MATCH(S460,$AD$10:$AD$509,0)))</f>
        <v/>
      </c>
      <c r="U460" s="74" t="str">
        <f aca="false">IF(S460="","",IFERROR(INDEX($AG$10:$AG$509,MATCH(S460,$AF$10:$AF$509,0)),""))</f>
        <v/>
      </c>
      <c r="V460" s="76" t="str">
        <f aca="false">IF(AND(ISNUMBER(T460),ISNUMBER(T459)),T460/T459-1,"")</f>
        <v/>
      </c>
      <c r="W460" s="76" t="str">
        <f aca="false">IF(AND(ISNUMBER(U460),ISNUMBER(U459)),U460/U459-1,"")</f>
        <v/>
      </c>
      <c r="X460" s="75" t="str">
        <f aca="false">IF(AND(ISNUMBER(V460),ISNUMBER(W460)),1,"")</f>
        <v/>
      </c>
      <c r="Y460" s="76" t="str">
        <f aca="false">IF(X460=1,V460,"")</f>
        <v/>
      </c>
      <c r="Z460" s="76" t="str">
        <f aca="false">IF(X460=1,W460,"")</f>
        <v/>
      </c>
      <c r="AA460" s="76" t="e">
        <f aca="false">IF(X460=1,V460,NA())</f>
        <v>#N/A</v>
      </c>
      <c r="AB460" s="76" t="e">
        <f aca="false">IF(X460=1,W460,NA())</f>
        <v>#N/A</v>
      </c>
      <c r="AD460" s="73" t="str">
        <f aca="false">IF(ISNUMBER(AE460),IF(ISNUMBER('Base de Datos'!A456),IF('Base de Datos'!A456&gt;20000,DATE(YEAR('Base de Datos'!A456),DAY('Base de Datos'!A456),MONTH('Base de Datos'!A456)),""),IF(TRIM('Base de Datos'!A456)="","",IFERROR(DATE(VALUE(RIGHT(TRIM('Base de Datos'!A456),4)),VALUE(LEFT(TRIM('Base de Datos'!A456),2)),VALUE(MID(TRIM('Base de Datos'!A456),4,2))),""))),"")</f>
        <v/>
      </c>
      <c r="AE460" s="74" t="str">
        <f aca="false">IF(ISNUMBER('Base de Datos'!B456),'Base de Datos'!B456,IF(TRIM('Base de Datos'!B456)="","",IFERROR(IF(IFERROR(FIND("@",SUBSTITUTE(TRIM('Base de Datos'!B456),",","@",LEN(TRIM('Base de Datos'!B456))-LEN(SUBSTITUTE(TRIM('Base de Datos'!B456),",","")))),0)&gt;IFERROR(FIND("@",SUBSTITUTE(TRIM('Base de Datos'!B456),".","@",LEN(TRIM('Base de Datos'!B456))-LEN(SUBSTITUTE(TRIM('Base de Datos'!B456),".","")))),0),_xlfn.NUMBERVALUE(SUBSTITUTE(SUBSTITUTE(TRIM('Base de Datos'!B456),".",""),",","."),".",","),_xlfn.NUMBERVALUE(SUBSTITUTE(TRIM('Base de Datos'!B456),",",""),".",",")),"")))</f>
        <v/>
      </c>
      <c r="AF460" s="73" t="str">
        <f aca="false">IF(ISNUMBER(AG460),IF(ISNUMBER('Base de Datos'!I456),IF('Base de Datos'!I456&gt;20000,INT('Base de Datos'!I456),""),IF(TRIM('Base de Datos'!I456)="","",IFERROR(DATE(VALUE(RIGHT(TRIM('Base de Datos'!I456),4)),VALUE(MID(TRIM('Base de Datos'!I456),4,2)),VALUE(LEFT(TRIM('Base de Datos'!I456),2))),IFERROR(DATEVALUE(TRIM('Base de Datos'!I456)),"")))),"")</f>
        <v/>
      </c>
      <c r="AG460" s="74" t="str">
        <f aca="false">IF(ISNUMBER('Base de Datos'!J456),'Base de Datos'!J456,IF(TRIM('Base de Datos'!J456)="","",IFERROR(IF(IFERROR(FIND("@",SUBSTITUTE(TRIM('Base de Datos'!J456),",","@",LEN(TRIM('Base de Datos'!J456))-LEN(SUBSTITUTE(TRIM('Base de Datos'!J456),",","")))),0)&gt;IFERROR(FIND("@",SUBSTITUTE(TRIM('Base de Datos'!J456),".","@",LEN(TRIM('Base de Datos'!J456))-LEN(SUBSTITUTE(TRIM('Base de Datos'!J456),".","")))),0),_xlfn.NUMBERVALUE(SUBSTITUTE(SUBSTITUTE(TRIM('Base de Datos'!J456),".",""),",","."),".",","),_xlfn.NUMBERVALUE(SUBSTITUTE(TRIM('Base de Datos'!J456),",",""),".",",")),"")))</f>
        <v/>
      </c>
    </row>
    <row r="461" customFormat="false" ht="13.5" hidden="false" customHeight="false" outlineLevel="0" collapsed="false">
      <c r="R461" s="75" t="n">
        <f aca="false">ROWS(R$13:R461)</f>
        <v>449</v>
      </c>
      <c r="S461" s="73" t="str">
        <f aca="false">IF(S460="","",IFERROR(SMALL($AD$10:$AD$509,COUNTIF($AD$10:$AD$509,"&lt;="&amp;S460)+1),""))</f>
        <v/>
      </c>
      <c r="T461" s="74" t="str">
        <f aca="false">IF(S461="","",INDEX($AE$10:$AE$509,MATCH(S461,$AD$10:$AD$509,0)))</f>
        <v/>
      </c>
      <c r="U461" s="74" t="str">
        <f aca="false">IF(S461="","",IFERROR(INDEX($AG$10:$AG$509,MATCH(S461,$AF$10:$AF$509,0)),""))</f>
        <v/>
      </c>
      <c r="V461" s="76" t="str">
        <f aca="false">IF(AND(ISNUMBER(T461),ISNUMBER(T460)),T461/T460-1,"")</f>
        <v/>
      </c>
      <c r="W461" s="76" t="str">
        <f aca="false">IF(AND(ISNUMBER(U461),ISNUMBER(U460)),U461/U460-1,"")</f>
        <v/>
      </c>
      <c r="X461" s="75" t="str">
        <f aca="false">IF(AND(ISNUMBER(V461),ISNUMBER(W461)),1,"")</f>
        <v/>
      </c>
      <c r="Y461" s="76" t="str">
        <f aca="false">IF(X461=1,V461,"")</f>
        <v/>
      </c>
      <c r="Z461" s="76" t="str">
        <f aca="false">IF(X461=1,W461,"")</f>
        <v/>
      </c>
      <c r="AA461" s="76" t="e">
        <f aca="false">IF(X461=1,V461,NA())</f>
        <v>#N/A</v>
      </c>
      <c r="AB461" s="76" t="e">
        <f aca="false">IF(X461=1,W461,NA())</f>
        <v>#N/A</v>
      </c>
      <c r="AD461" s="73" t="str">
        <f aca="false">IF(ISNUMBER(AE461),IF(ISNUMBER('Base de Datos'!A457),IF('Base de Datos'!A457&gt;20000,DATE(YEAR('Base de Datos'!A457),DAY('Base de Datos'!A457),MONTH('Base de Datos'!A457)),""),IF(TRIM('Base de Datos'!A457)="","",IFERROR(DATE(VALUE(RIGHT(TRIM('Base de Datos'!A457),4)),VALUE(LEFT(TRIM('Base de Datos'!A457),2)),VALUE(MID(TRIM('Base de Datos'!A457),4,2))),""))),"")</f>
        <v/>
      </c>
      <c r="AE461" s="74" t="str">
        <f aca="false">IF(ISNUMBER('Base de Datos'!B457),'Base de Datos'!B457,IF(TRIM('Base de Datos'!B457)="","",IFERROR(IF(IFERROR(FIND("@",SUBSTITUTE(TRIM('Base de Datos'!B457),",","@",LEN(TRIM('Base de Datos'!B457))-LEN(SUBSTITUTE(TRIM('Base de Datos'!B457),",","")))),0)&gt;IFERROR(FIND("@",SUBSTITUTE(TRIM('Base de Datos'!B457),".","@",LEN(TRIM('Base de Datos'!B457))-LEN(SUBSTITUTE(TRIM('Base de Datos'!B457),".","")))),0),_xlfn.NUMBERVALUE(SUBSTITUTE(SUBSTITUTE(TRIM('Base de Datos'!B457),".",""),",","."),".",","),_xlfn.NUMBERVALUE(SUBSTITUTE(TRIM('Base de Datos'!B457),",",""),".",",")),"")))</f>
        <v/>
      </c>
      <c r="AF461" s="73" t="str">
        <f aca="false">IF(ISNUMBER(AG461),IF(ISNUMBER('Base de Datos'!I457),IF('Base de Datos'!I457&gt;20000,INT('Base de Datos'!I457),""),IF(TRIM('Base de Datos'!I457)="","",IFERROR(DATE(VALUE(RIGHT(TRIM('Base de Datos'!I457),4)),VALUE(MID(TRIM('Base de Datos'!I457),4,2)),VALUE(LEFT(TRIM('Base de Datos'!I457),2))),IFERROR(DATEVALUE(TRIM('Base de Datos'!I457)),"")))),"")</f>
        <v/>
      </c>
      <c r="AG461" s="74" t="str">
        <f aca="false">IF(ISNUMBER('Base de Datos'!J457),'Base de Datos'!J457,IF(TRIM('Base de Datos'!J457)="","",IFERROR(IF(IFERROR(FIND("@",SUBSTITUTE(TRIM('Base de Datos'!J457),",","@",LEN(TRIM('Base de Datos'!J457))-LEN(SUBSTITUTE(TRIM('Base de Datos'!J457),",","")))),0)&gt;IFERROR(FIND("@",SUBSTITUTE(TRIM('Base de Datos'!J457),".","@",LEN(TRIM('Base de Datos'!J457))-LEN(SUBSTITUTE(TRIM('Base de Datos'!J457),".","")))),0),_xlfn.NUMBERVALUE(SUBSTITUTE(SUBSTITUTE(TRIM('Base de Datos'!J457),".",""),",","."),".",","),_xlfn.NUMBERVALUE(SUBSTITUTE(TRIM('Base de Datos'!J457),",",""),".",",")),"")))</f>
        <v/>
      </c>
    </row>
    <row r="462" customFormat="false" ht="13.5" hidden="false" customHeight="false" outlineLevel="0" collapsed="false">
      <c r="R462" s="75" t="n">
        <f aca="false">ROWS(R$13:R462)</f>
        <v>450</v>
      </c>
      <c r="S462" s="73" t="str">
        <f aca="false">IF(S461="","",IFERROR(SMALL($AD$10:$AD$509,COUNTIF($AD$10:$AD$509,"&lt;="&amp;S461)+1),""))</f>
        <v/>
      </c>
      <c r="T462" s="74" t="str">
        <f aca="false">IF(S462="","",INDEX($AE$10:$AE$509,MATCH(S462,$AD$10:$AD$509,0)))</f>
        <v/>
      </c>
      <c r="U462" s="74" t="str">
        <f aca="false">IF(S462="","",IFERROR(INDEX($AG$10:$AG$509,MATCH(S462,$AF$10:$AF$509,0)),""))</f>
        <v/>
      </c>
      <c r="V462" s="76" t="str">
        <f aca="false">IF(AND(ISNUMBER(T462),ISNUMBER(T461)),T462/T461-1,"")</f>
        <v/>
      </c>
      <c r="W462" s="76" t="str">
        <f aca="false">IF(AND(ISNUMBER(U462),ISNUMBER(U461)),U462/U461-1,"")</f>
        <v/>
      </c>
      <c r="X462" s="75" t="str">
        <f aca="false">IF(AND(ISNUMBER(V462),ISNUMBER(W462)),1,"")</f>
        <v/>
      </c>
      <c r="Y462" s="76" t="str">
        <f aca="false">IF(X462=1,V462,"")</f>
        <v/>
      </c>
      <c r="Z462" s="76" t="str">
        <f aca="false">IF(X462=1,W462,"")</f>
        <v/>
      </c>
      <c r="AA462" s="76" t="e">
        <f aca="false">IF(X462=1,V462,NA())</f>
        <v>#N/A</v>
      </c>
      <c r="AB462" s="76" t="e">
        <f aca="false">IF(X462=1,W462,NA())</f>
        <v>#N/A</v>
      </c>
      <c r="AD462" s="73" t="str">
        <f aca="false">IF(ISNUMBER(AE462),IF(ISNUMBER('Base de Datos'!A458),IF('Base de Datos'!A458&gt;20000,DATE(YEAR('Base de Datos'!A458),DAY('Base de Datos'!A458),MONTH('Base de Datos'!A458)),""),IF(TRIM('Base de Datos'!A458)="","",IFERROR(DATE(VALUE(RIGHT(TRIM('Base de Datos'!A458),4)),VALUE(LEFT(TRIM('Base de Datos'!A458),2)),VALUE(MID(TRIM('Base de Datos'!A458),4,2))),""))),"")</f>
        <v/>
      </c>
      <c r="AE462" s="74" t="str">
        <f aca="false">IF(ISNUMBER('Base de Datos'!B458),'Base de Datos'!B458,IF(TRIM('Base de Datos'!B458)="","",IFERROR(IF(IFERROR(FIND("@",SUBSTITUTE(TRIM('Base de Datos'!B458),",","@",LEN(TRIM('Base de Datos'!B458))-LEN(SUBSTITUTE(TRIM('Base de Datos'!B458),",","")))),0)&gt;IFERROR(FIND("@",SUBSTITUTE(TRIM('Base de Datos'!B458),".","@",LEN(TRIM('Base de Datos'!B458))-LEN(SUBSTITUTE(TRIM('Base de Datos'!B458),".","")))),0),_xlfn.NUMBERVALUE(SUBSTITUTE(SUBSTITUTE(TRIM('Base de Datos'!B458),".",""),",","."),".",","),_xlfn.NUMBERVALUE(SUBSTITUTE(TRIM('Base de Datos'!B458),",",""),".",",")),"")))</f>
        <v/>
      </c>
      <c r="AF462" s="73" t="str">
        <f aca="false">IF(ISNUMBER(AG462),IF(ISNUMBER('Base de Datos'!I458),IF('Base de Datos'!I458&gt;20000,INT('Base de Datos'!I458),""),IF(TRIM('Base de Datos'!I458)="","",IFERROR(DATE(VALUE(RIGHT(TRIM('Base de Datos'!I458),4)),VALUE(MID(TRIM('Base de Datos'!I458),4,2)),VALUE(LEFT(TRIM('Base de Datos'!I458),2))),IFERROR(DATEVALUE(TRIM('Base de Datos'!I458)),"")))),"")</f>
        <v/>
      </c>
      <c r="AG462" s="74" t="str">
        <f aca="false">IF(ISNUMBER('Base de Datos'!J458),'Base de Datos'!J458,IF(TRIM('Base de Datos'!J458)="","",IFERROR(IF(IFERROR(FIND("@",SUBSTITUTE(TRIM('Base de Datos'!J458),",","@",LEN(TRIM('Base de Datos'!J458))-LEN(SUBSTITUTE(TRIM('Base de Datos'!J458),",","")))),0)&gt;IFERROR(FIND("@",SUBSTITUTE(TRIM('Base de Datos'!J458),".","@",LEN(TRIM('Base de Datos'!J458))-LEN(SUBSTITUTE(TRIM('Base de Datos'!J458),".","")))),0),_xlfn.NUMBERVALUE(SUBSTITUTE(SUBSTITUTE(TRIM('Base de Datos'!J458),".",""),",","."),".",","),_xlfn.NUMBERVALUE(SUBSTITUTE(TRIM('Base de Datos'!J458),",",""),".",",")),"")))</f>
        <v/>
      </c>
    </row>
    <row r="463" customFormat="false" ht="13.5" hidden="false" customHeight="false" outlineLevel="0" collapsed="false">
      <c r="R463" s="75" t="n">
        <f aca="false">ROWS(R$13:R463)</f>
        <v>451</v>
      </c>
      <c r="S463" s="73" t="str">
        <f aca="false">IF(S462="","",IFERROR(SMALL($AD$10:$AD$509,COUNTIF($AD$10:$AD$509,"&lt;="&amp;S462)+1),""))</f>
        <v/>
      </c>
      <c r="T463" s="74" t="str">
        <f aca="false">IF(S463="","",INDEX($AE$10:$AE$509,MATCH(S463,$AD$10:$AD$509,0)))</f>
        <v/>
      </c>
      <c r="U463" s="74" t="str">
        <f aca="false">IF(S463="","",IFERROR(INDEX($AG$10:$AG$509,MATCH(S463,$AF$10:$AF$509,0)),""))</f>
        <v/>
      </c>
      <c r="V463" s="76" t="str">
        <f aca="false">IF(AND(ISNUMBER(T463),ISNUMBER(T462)),T463/T462-1,"")</f>
        <v/>
      </c>
      <c r="W463" s="76" t="str">
        <f aca="false">IF(AND(ISNUMBER(U463),ISNUMBER(U462)),U463/U462-1,"")</f>
        <v/>
      </c>
      <c r="X463" s="75" t="str">
        <f aca="false">IF(AND(ISNUMBER(V463),ISNUMBER(W463)),1,"")</f>
        <v/>
      </c>
      <c r="Y463" s="76" t="str">
        <f aca="false">IF(X463=1,V463,"")</f>
        <v/>
      </c>
      <c r="Z463" s="76" t="str">
        <f aca="false">IF(X463=1,W463,"")</f>
        <v/>
      </c>
      <c r="AA463" s="76" t="e">
        <f aca="false">IF(X463=1,V463,NA())</f>
        <v>#N/A</v>
      </c>
      <c r="AB463" s="76" t="e">
        <f aca="false">IF(X463=1,W463,NA())</f>
        <v>#N/A</v>
      </c>
      <c r="AD463" s="73" t="str">
        <f aca="false">IF(ISNUMBER(AE463),IF(ISNUMBER('Base de Datos'!A459),IF('Base de Datos'!A459&gt;20000,DATE(YEAR('Base de Datos'!A459),DAY('Base de Datos'!A459),MONTH('Base de Datos'!A459)),""),IF(TRIM('Base de Datos'!A459)="","",IFERROR(DATE(VALUE(RIGHT(TRIM('Base de Datos'!A459),4)),VALUE(LEFT(TRIM('Base de Datos'!A459),2)),VALUE(MID(TRIM('Base de Datos'!A459),4,2))),""))),"")</f>
        <v/>
      </c>
      <c r="AE463" s="74" t="str">
        <f aca="false">IF(ISNUMBER('Base de Datos'!B459),'Base de Datos'!B459,IF(TRIM('Base de Datos'!B459)="","",IFERROR(IF(IFERROR(FIND("@",SUBSTITUTE(TRIM('Base de Datos'!B459),",","@",LEN(TRIM('Base de Datos'!B459))-LEN(SUBSTITUTE(TRIM('Base de Datos'!B459),",","")))),0)&gt;IFERROR(FIND("@",SUBSTITUTE(TRIM('Base de Datos'!B459),".","@",LEN(TRIM('Base de Datos'!B459))-LEN(SUBSTITUTE(TRIM('Base de Datos'!B459),".","")))),0),_xlfn.NUMBERVALUE(SUBSTITUTE(SUBSTITUTE(TRIM('Base de Datos'!B459),".",""),",","."),".",","),_xlfn.NUMBERVALUE(SUBSTITUTE(TRIM('Base de Datos'!B459),",",""),".",",")),"")))</f>
        <v/>
      </c>
      <c r="AF463" s="73" t="str">
        <f aca="false">IF(ISNUMBER(AG463),IF(ISNUMBER('Base de Datos'!I459),IF('Base de Datos'!I459&gt;20000,INT('Base de Datos'!I459),""),IF(TRIM('Base de Datos'!I459)="","",IFERROR(DATE(VALUE(RIGHT(TRIM('Base de Datos'!I459),4)),VALUE(MID(TRIM('Base de Datos'!I459),4,2)),VALUE(LEFT(TRIM('Base de Datos'!I459),2))),IFERROR(DATEVALUE(TRIM('Base de Datos'!I459)),"")))),"")</f>
        <v/>
      </c>
      <c r="AG463" s="74" t="str">
        <f aca="false">IF(ISNUMBER('Base de Datos'!J459),'Base de Datos'!J459,IF(TRIM('Base de Datos'!J459)="","",IFERROR(IF(IFERROR(FIND("@",SUBSTITUTE(TRIM('Base de Datos'!J459),",","@",LEN(TRIM('Base de Datos'!J459))-LEN(SUBSTITUTE(TRIM('Base de Datos'!J459),",","")))),0)&gt;IFERROR(FIND("@",SUBSTITUTE(TRIM('Base de Datos'!J459),".","@",LEN(TRIM('Base de Datos'!J459))-LEN(SUBSTITUTE(TRIM('Base de Datos'!J459),".","")))),0),_xlfn.NUMBERVALUE(SUBSTITUTE(SUBSTITUTE(TRIM('Base de Datos'!J459),".",""),",","."),".",","),_xlfn.NUMBERVALUE(SUBSTITUTE(TRIM('Base de Datos'!J459),",",""),".",",")),"")))</f>
        <v/>
      </c>
    </row>
    <row r="464" customFormat="false" ht="13.5" hidden="false" customHeight="false" outlineLevel="0" collapsed="false">
      <c r="R464" s="75" t="n">
        <f aca="false">ROWS(R$13:R464)</f>
        <v>452</v>
      </c>
      <c r="S464" s="73" t="str">
        <f aca="false">IF(S463="","",IFERROR(SMALL($AD$10:$AD$509,COUNTIF($AD$10:$AD$509,"&lt;="&amp;S463)+1),""))</f>
        <v/>
      </c>
      <c r="T464" s="74" t="str">
        <f aca="false">IF(S464="","",INDEX($AE$10:$AE$509,MATCH(S464,$AD$10:$AD$509,0)))</f>
        <v/>
      </c>
      <c r="U464" s="74" t="str">
        <f aca="false">IF(S464="","",IFERROR(INDEX($AG$10:$AG$509,MATCH(S464,$AF$10:$AF$509,0)),""))</f>
        <v/>
      </c>
      <c r="V464" s="76" t="str">
        <f aca="false">IF(AND(ISNUMBER(T464),ISNUMBER(T463)),T464/T463-1,"")</f>
        <v/>
      </c>
      <c r="W464" s="76" t="str">
        <f aca="false">IF(AND(ISNUMBER(U464),ISNUMBER(U463)),U464/U463-1,"")</f>
        <v/>
      </c>
      <c r="X464" s="75" t="str">
        <f aca="false">IF(AND(ISNUMBER(V464),ISNUMBER(W464)),1,"")</f>
        <v/>
      </c>
      <c r="Y464" s="76" t="str">
        <f aca="false">IF(X464=1,V464,"")</f>
        <v/>
      </c>
      <c r="Z464" s="76" t="str">
        <f aca="false">IF(X464=1,W464,"")</f>
        <v/>
      </c>
      <c r="AA464" s="76" t="e">
        <f aca="false">IF(X464=1,V464,NA())</f>
        <v>#N/A</v>
      </c>
      <c r="AB464" s="76" t="e">
        <f aca="false">IF(X464=1,W464,NA())</f>
        <v>#N/A</v>
      </c>
      <c r="AD464" s="73" t="str">
        <f aca="false">IF(ISNUMBER(AE464),IF(ISNUMBER('Base de Datos'!A460),IF('Base de Datos'!A460&gt;20000,DATE(YEAR('Base de Datos'!A460),DAY('Base de Datos'!A460),MONTH('Base de Datos'!A460)),""),IF(TRIM('Base de Datos'!A460)="","",IFERROR(DATE(VALUE(RIGHT(TRIM('Base de Datos'!A460),4)),VALUE(LEFT(TRIM('Base de Datos'!A460),2)),VALUE(MID(TRIM('Base de Datos'!A460),4,2))),""))),"")</f>
        <v/>
      </c>
      <c r="AE464" s="74" t="str">
        <f aca="false">IF(ISNUMBER('Base de Datos'!B460),'Base de Datos'!B460,IF(TRIM('Base de Datos'!B460)="","",IFERROR(IF(IFERROR(FIND("@",SUBSTITUTE(TRIM('Base de Datos'!B460),",","@",LEN(TRIM('Base de Datos'!B460))-LEN(SUBSTITUTE(TRIM('Base de Datos'!B460),",","")))),0)&gt;IFERROR(FIND("@",SUBSTITUTE(TRIM('Base de Datos'!B460),".","@",LEN(TRIM('Base de Datos'!B460))-LEN(SUBSTITUTE(TRIM('Base de Datos'!B460),".","")))),0),_xlfn.NUMBERVALUE(SUBSTITUTE(SUBSTITUTE(TRIM('Base de Datos'!B460),".",""),",","."),".",","),_xlfn.NUMBERVALUE(SUBSTITUTE(TRIM('Base de Datos'!B460),",",""),".",",")),"")))</f>
        <v/>
      </c>
      <c r="AF464" s="73" t="str">
        <f aca="false">IF(ISNUMBER(AG464),IF(ISNUMBER('Base de Datos'!I460),IF('Base de Datos'!I460&gt;20000,INT('Base de Datos'!I460),""),IF(TRIM('Base de Datos'!I460)="","",IFERROR(DATE(VALUE(RIGHT(TRIM('Base de Datos'!I460),4)),VALUE(MID(TRIM('Base de Datos'!I460),4,2)),VALUE(LEFT(TRIM('Base de Datos'!I460),2))),IFERROR(DATEVALUE(TRIM('Base de Datos'!I460)),"")))),"")</f>
        <v/>
      </c>
      <c r="AG464" s="74" t="str">
        <f aca="false">IF(ISNUMBER('Base de Datos'!J460),'Base de Datos'!J460,IF(TRIM('Base de Datos'!J460)="","",IFERROR(IF(IFERROR(FIND("@",SUBSTITUTE(TRIM('Base de Datos'!J460),",","@",LEN(TRIM('Base de Datos'!J460))-LEN(SUBSTITUTE(TRIM('Base de Datos'!J460),",","")))),0)&gt;IFERROR(FIND("@",SUBSTITUTE(TRIM('Base de Datos'!J460),".","@",LEN(TRIM('Base de Datos'!J460))-LEN(SUBSTITUTE(TRIM('Base de Datos'!J460),".","")))),0),_xlfn.NUMBERVALUE(SUBSTITUTE(SUBSTITUTE(TRIM('Base de Datos'!J460),".",""),",","."),".",","),_xlfn.NUMBERVALUE(SUBSTITUTE(TRIM('Base de Datos'!J460),",",""),".",",")),"")))</f>
        <v/>
      </c>
    </row>
    <row r="465" customFormat="false" ht="13.5" hidden="false" customHeight="false" outlineLevel="0" collapsed="false">
      <c r="R465" s="75" t="n">
        <f aca="false">ROWS(R$13:R465)</f>
        <v>453</v>
      </c>
      <c r="S465" s="73" t="str">
        <f aca="false">IF(S464="","",IFERROR(SMALL($AD$10:$AD$509,COUNTIF($AD$10:$AD$509,"&lt;="&amp;S464)+1),""))</f>
        <v/>
      </c>
      <c r="T465" s="74" t="str">
        <f aca="false">IF(S465="","",INDEX($AE$10:$AE$509,MATCH(S465,$AD$10:$AD$509,0)))</f>
        <v/>
      </c>
      <c r="U465" s="74" t="str">
        <f aca="false">IF(S465="","",IFERROR(INDEX($AG$10:$AG$509,MATCH(S465,$AF$10:$AF$509,0)),""))</f>
        <v/>
      </c>
      <c r="V465" s="76" t="str">
        <f aca="false">IF(AND(ISNUMBER(T465),ISNUMBER(T464)),T465/T464-1,"")</f>
        <v/>
      </c>
      <c r="W465" s="76" t="str">
        <f aca="false">IF(AND(ISNUMBER(U465),ISNUMBER(U464)),U465/U464-1,"")</f>
        <v/>
      </c>
      <c r="X465" s="75" t="str">
        <f aca="false">IF(AND(ISNUMBER(V465),ISNUMBER(W465)),1,"")</f>
        <v/>
      </c>
      <c r="Y465" s="76" t="str">
        <f aca="false">IF(X465=1,V465,"")</f>
        <v/>
      </c>
      <c r="Z465" s="76" t="str">
        <f aca="false">IF(X465=1,W465,"")</f>
        <v/>
      </c>
      <c r="AA465" s="76" t="e">
        <f aca="false">IF(X465=1,V465,NA())</f>
        <v>#N/A</v>
      </c>
      <c r="AB465" s="76" t="e">
        <f aca="false">IF(X465=1,W465,NA())</f>
        <v>#N/A</v>
      </c>
      <c r="AD465" s="73" t="str">
        <f aca="false">IF(ISNUMBER(AE465),IF(ISNUMBER('Base de Datos'!A461),IF('Base de Datos'!A461&gt;20000,DATE(YEAR('Base de Datos'!A461),DAY('Base de Datos'!A461),MONTH('Base de Datos'!A461)),""),IF(TRIM('Base de Datos'!A461)="","",IFERROR(DATE(VALUE(RIGHT(TRIM('Base de Datos'!A461),4)),VALUE(LEFT(TRIM('Base de Datos'!A461),2)),VALUE(MID(TRIM('Base de Datos'!A461),4,2))),""))),"")</f>
        <v/>
      </c>
      <c r="AE465" s="74" t="str">
        <f aca="false">IF(ISNUMBER('Base de Datos'!B461),'Base de Datos'!B461,IF(TRIM('Base de Datos'!B461)="","",IFERROR(IF(IFERROR(FIND("@",SUBSTITUTE(TRIM('Base de Datos'!B461),",","@",LEN(TRIM('Base de Datos'!B461))-LEN(SUBSTITUTE(TRIM('Base de Datos'!B461),",","")))),0)&gt;IFERROR(FIND("@",SUBSTITUTE(TRIM('Base de Datos'!B461),".","@",LEN(TRIM('Base de Datos'!B461))-LEN(SUBSTITUTE(TRIM('Base de Datos'!B461),".","")))),0),_xlfn.NUMBERVALUE(SUBSTITUTE(SUBSTITUTE(TRIM('Base de Datos'!B461),".",""),",","."),".",","),_xlfn.NUMBERVALUE(SUBSTITUTE(TRIM('Base de Datos'!B461),",",""),".",",")),"")))</f>
        <v/>
      </c>
      <c r="AF465" s="73" t="str">
        <f aca="false">IF(ISNUMBER(AG465),IF(ISNUMBER('Base de Datos'!I461),IF('Base de Datos'!I461&gt;20000,INT('Base de Datos'!I461),""),IF(TRIM('Base de Datos'!I461)="","",IFERROR(DATE(VALUE(RIGHT(TRIM('Base de Datos'!I461),4)),VALUE(MID(TRIM('Base de Datos'!I461),4,2)),VALUE(LEFT(TRIM('Base de Datos'!I461),2))),IFERROR(DATEVALUE(TRIM('Base de Datos'!I461)),"")))),"")</f>
        <v/>
      </c>
      <c r="AG465" s="74" t="str">
        <f aca="false">IF(ISNUMBER('Base de Datos'!J461),'Base de Datos'!J461,IF(TRIM('Base de Datos'!J461)="","",IFERROR(IF(IFERROR(FIND("@",SUBSTITUTE(TRIM('Base de Datos'!J461),",","@",LEN(TRIM('Base de Datos'!J461))-LEN(SUBSTITUTE(TRIM('Base de Datos'!J461),",","")))),0)&gt;IFERROR(FIND("@",SUBSTITUTE(TRIM('Base de Datos'!J461),".","@",LEN(TRIM('Base de Datos'!J461))-LEN(SUBSTITUTE(TRIM('Base de Datos'!J461),".","")))),0),_xlfn.NUMBERVALUE(SUBSTITUTE(SUBSTITUTE(TRIM('Base de Datos'!J461),".",""),",","."),".",","),_xlfn.NUMBERVALUE(SUBSTITUTE(TRIM('Base de Datos'!J461),",",""),".",",")),"")))</f>
        <v/>
      </c>
    </row>
    <row r="466" customFormat="false" ht="13.5" hidden="false" customHeight="false" outlineLevel="0" collapsed="false">
      <c r="R466" s="75" t="n">
        <f aca="false">ROWS(R$13:R466)</f>
        <v>454</v>
      </c>
      <c r="S466" s="73" t="str">
        <f aca="false">IF(S465="","",IFERROR(SMALL($AD$10:$AD$509,COUNTIF($AD$10:$AD$509,"&lt;="&amp;S465)+1),""))</f>
        <v/>
      </c>
      <c r="T466" s="74" t="str">
        <f aca="false">IF(S466="","",INDEX($AE$10:$AE$509,MATCH(S466,$AD$10:$AD$509,0)))</f>
        <v/>
      </c>
      <c r="U466" s="74" t="str">
        <f aca="false">IF(S466="","",IFERROR(INDEX($AG$10:$AG$509,MATCH(S466,$AF$10:$AF$509,0)),""))</f>
        <v/>
      </c>
      <c r="V466" s="76" t="str">
        <f aca="false">IF(AND(ISNUMBER(T466),ISNUMBER(T465)),T466/T465-1,"")</f>
        <v/>
      </c>
      <c r="W466" s="76" t="str">
        <f aca="false">IF(AND(ISNUMBER(U466),ISNUMBER(U465)),U466/U465-1,"")</f>
        <v/>
      </c>
      <c r="X466" s="75" t="str">
        <f aca="false">IF(AND(ISNUMBER(V466),ISNUMBER(W466)),1,"")</f>
        <v/>
      </c>
      <c r="Y466" s="76" t="str">
        <f aca="false">IF(X466=1,V466,"")</f>
        <v/>
      </c>
      <c r="Z466" s="76" t="str">
        <f aca="false">IF(X466=1,W466,"")</f>
        <v/>
      </c>
      <c r="AA466" s="76" t="e">
        <f aca="false">IF(X466=1,V466,NA())</f>
        <v>#N/A</v>
      </c>
      <c r="AB466" s="76" t="e">
        <f aca="false">IF(X466=1,W466,NA())</f>
        <v>#N/A</v>
      </c>
      <c r="AD466" s="73" t="str">
        <f aca="false">IF(ISNUMBER(AE466),IF(ISNUMBER('Base de Datos'!A462),IF('Base de Datos'!A462&gt;20000,DATE(YEAR('Base de Datos'!A462),DAY('Base de Datos'!A462),MONTH('Base de Datos'!A462)),""),IF(TRIM('Base de Datos'!A462)="","",IFERROR(DATE(VALUE(RIGHT(TRIM('Base de Datos'!A462),4)),VALUE(LEFT(TRIM('Base de Datos'!A462),2)),VALUE(MID(TRIM('Base de Datos'!A462),4,2))),""))),"")</f>
        <v/>
      </c>
      <c r="AE466" s="74" t="str">
        <f aca="false">IF(ISNUMBER('Base de Datos'!B462),'Base de Datos'!B462,IF(TRIM('Base de Datos'!B462)="","",IFERROR(IF(IFERROR(FIND("@",SUBSTITUTE(TRIM('Base de Datos'!B462),",","@",LEN(TRIM('Base de Datos'!B462))-LEN(SUBSTITUTE(TRIM('Base de Datos'!B462),",","")))),0)&gt;IFERROR(FIND("@",SUBSTITUTE(TRIM('Base de Datos'!B462),".","@",LEN(TRIM('Base de Datos'!B462))-LEN(SUBSTITUTE(TRIM('Base de Datos'!B462),".","")))),0),_xlfn.NUMBERVALUE(SUBSTITUTE(SUBSTITUTE(TRIM('Base de Datos'!B462),".",""),",","."),".",","),_xlfn.NUMBERVALUE(SUBSTITUTE(TRIM('Base de Datos'!B462),",",""),".",",")),"")))</f>
        <v/>
      </c>
      <c r="AF466" s="73" t="str">
        <f aca="false">IF(ISNUMBER(AG466),IF(ISNUMBER('Base de Datos'!I462),IF('Base de Datos'!I462&gt;20000,INT('Base de Datos'!I462),""),IF(TRIM('Base de Datos'!I462)="","",IFERROR(DATE(VALUE(RIGHT(TRIM('Base de Datos'!I462),4)),VALUE(MID(TRIM('Base de Datos'!I462),4,2)),VALUE(LEFT(TRIM('Base de Datos'!I462),2))),IFERROR(DATEVALUE(TRIM('Base de Datos'!I462)),"")))),"")</f>
        <v/>
      </c>
      <c r="AG466" s="74" t="str">
        <f aca="false">IF(ISNUMBER('Base de Datos'!J462),'Base de Datos'!J462,IF(TRIM('Base de Datos'!J462)="","",IFERROR(IF(IFERROR(FIND("@",SUBSTITUTE(TRIM('Base de Datos'!J462),",","@",LEN(TRIM('Base de Datos'!J462))-LEN(SUBSTITUTE(TRIM('Base de Datos'!J462),",","")))),0)&gt;IFERROR(FIND("@",SUBSTITUTE(TRIM('Base de Datos'!J462),".","@",LEN(TRIM('Base de Datos'!J462))-LEN(SUBSTITUTE(TRIM('Base de Datos'!J462),".","")))),0),_xlfn.NUMBERVALUE(SUBSTITUTE(SUBSTITUTE(TRIM('Base de Datos'!J462),".",""),",","."),".",","),_xlfn.NUMBERVALUE(SUBSTITUTE(TRIM('Base de Datos'!J462),",",""),".",",")),"")))</f>
        <v/>
      </c>
    </row>
    <row r="467" customFormat="false" ht="13.5" hidden="false" customHeight="false" outlineLevel="0" collapsed="false">
      <c r="R467" s="75" t="n">
        <f aca="false">ROWS(R$13:R467)</f>
        <v>455</v>
      </c>
      <c r="S467" s="73" t="str">
        <f aca="false">IF(S466="","",IFERROR(SMALL($AD$10:$AD$509,COUNTIF($AD$10:$AD$509,"&lt;="&amp;S466)+1),""))</f>
        <v/>
      </c>
      <c r="T467" s="74" t="str">
        <f aca="false">IF(S467="","",INDEX($AE$10:$AE$509,MATCH(S467,$AD$10:$AD$509,0)))</f>
        <v/>
      </c>
      <c r="U467" s="74" t="str">
        <f aca="false">IF(S467="","",IFERROR(INDEX($AG$10:$AG$509,MATCH(S467,$AF$10:$AF$509,0)),""))</f>
        <v/>
      </c>
      <c r="V467" s="76" t="str">
        <f aca="false">IF(AND(ISNUMBER(T467),ISNUMBER(T466)),T467/T466-1,"")</f>
        <v/>
      </c>
      <c r="W467" s="76" t="str">
        <f aca="false">IF(AND(ISNUMBER(U467),ISNUMBER(U466)),U467/U466-1,"")</f>
        <v/>
      </c>
      <c r="X467" s="75" t="str">
        <f aca="false">IF(AND(ISNUMBER(V467),ISNUMBER(W467)),1,"")</f>
        <v/>
      </c>
      <c r="Y467" s="76" t="str">
        <f aca="false">IF(X467=1,V467,"")</f>
        <v/>
      </c>
      <c r="Z467" s="76" t="str">
        <f aca="false">IF(X467=1,W467,"")</f>
        <v/>
      </c>
      <c r="AA467" s="76" t="e">
        <f aca="false">IF(X467=1,V467,NA())</f>
        <v>#N/A</v>
      </c>
      <c r="AB467" s="76" t="e">
        <f aca="false">IF(X467=1,W467,NA())</f>
        <v>#N/A</v>
      </c>
      <c r="AD467" s="73" t="str">
        <f aca="false">IF(ISNUMBER(AE467),IF(ISNUMBER('Base de Datos'!A463),IF('Base de Datos'!A463&gt;20000,DATE(YEAR('Base de Datos'!A463),DAY('Base de Datos'!A463),MONTH('Base de Datos'!A463)),""),IF(TRIM('Base de Datos'!A463)="","",IFERROR(DATE(VALUE(RIGHT(TRIM('Base de Datos'!A463),4)),VALUE(LEFT(TRIM('Base de Datos'!A463),2)),VALUE(MID(TRIM('Base de Datos'!A463),4,2))),""))),"")</f>
        <v/>
      </c>
      <c r="AE467" s="74" t="str">
        <f aca="false">IF(ISNUMBER('Base de Datos'!B463),'Base de Datos'!B463,IF(TRIM('Base de Datos'!B463)="","",IFERROR(IF(IFERROR(FIND("@",SUBSTITUTE(TRIM('Base de Datos'!B463),",","@",LEN(TRIM('Base de Datos'!B463))-LEN(SUBSTITUTE(TRIM('Base de Datos'!B463),",","")))),0)&gt;IFERROR(FIND("@",SUBSTITUTE(TRIM('Base de Datos'!B463),".","@",LEN(TRIM('Base de Datos'!B463))-LEN(SUBSTITUTE(TRIM('Base de Datos'!B463),".","")))),0),_xlfn.NUMBERVALUE(SUBSTITUTE(SUBSTITUTE(TRIM('Base de Datos'!B463),".",""),",","."),".",","),_xlfn.NUMBERVALUE(SUBSTITUTE(TRIM('Base de Datos'!B463),",",""),".",",")),"")))</f>
        <v/>
      </c>
      <c r="AF467" s="73" t="str">
        <f aca="false">IF(ISNUMBER(AG467),IF(ISNUMBER('Base de Datos'!I463),IF('Base de Datos'!I463&gt;20000,INT('Base de Datos'!I463),""),IF(TRIM('Base de Datos'!I463)="","",IFERROR(DATE(VALUE(RIGHT(TRIM('Base de Datos'!I463),4)),VALUE(MID(TRIM('Base de Datos'!I463),4,2)),VALUE(LEFT(TRIM('Base de Datos'!I463),2))),IFERROR(DATEVALUE(TRIM('Base de Datos'!I463)),"")))),"")</f>
        <v/>
      </c>
      <c r="AG467" s="74" t="str">
        <f aca="false">IF(ISNUMBER('Base de Datos'!J463),'Base de Datos'!J463,IF(TRIM('Base de Datos'!J463)="","",IFERROR(IF(IFERROR(FIND("@",SUBSTITUTE(TRIM('Base de Datos'!J463),",","@",LEN(TRIM('Base de Datos'!J463))-LEN(SUBSTITUTE(TRIM('Base de Datos'!J463),",","")))),0)&gt;IFERROR(FIND("@",SUBSTITUTE(TRIM('Base de Datos'!J463),".","@",LEN(TRIM('Base de Datos'!J463))-LEN(SUBSTITUTE(TRIM('Base de Datos'!J463),".","")))),0),_xlfn.NUMBERVALUE(SUBSTITUTE(SUBSTITUTE(TRIM('Base de Datos'!J463),".",""),",","."),".",","),_xlfn.NUMBERVALUE(SUBSTITUTE(TRIM('Base de Datos'!J463),",",""),".",",")),"")))</f>
        <v/>
      </c>
    </row>
    <row r="468" customFormat="false" ht="13.5" hidden="false" customHeight="false" outlineLevel="0" collapsed="false">
      <c r="R468" s="75" t="n">
        <f aca="false">ROWS(R$13:R468)</f>
        <v>456</v>
      </c>
      <c r="S468" s="73" t="str">
        <f aca="false">IF(S467="","",IFERROR(SMALL($AD$10:$AD$509,COUNTIF($AD$10:$AD$509,"&lt;="&amp;S467)+1),""))</f>
        <v/>
      </c>
      <c r="T468" s="74" t="str">
        <f aca="false">IF(S468="","",INDEX($AE$10:$AE$509,MATCH(S468,$AD$10:$AD$509,0)))</f>
        <v/>
      </c>
      <c r="U468" s="74" t="str">
        <f aca="false">IF(S468="","",IFERROR(INDEX($AG$10:$AG$509,MATCH(S468,$AF$10:$AF$509,0)),""))</f>
        <v/>
      </c>
      <c r="V468" s="76" t="str">
        <f aca="false">IF(AND(ISNUMBER(T468),ISNUMBER(T467)),T468/T467-1,"")</f>
        <v/>
      </c>
      <c r="W468" s="76" t="str">
        <f aca="false">IF(AND(ISNUMBER(U468),ISNUMBER(U467)),U468/U467-1,"")</f>
        <v/>
      </c>
      <c r="X468" s="75" t="str">
        <f aca="false">IF(AND(ISNUMBER(V468),ISNUMBER(W468)),1,"")</f>
        <v/>
      </c>
      <c r="Y468" s="76" t="str">
        <f aca="false">IF(X468=1,V468,"")</f>
        <v/>
      </c>
      <c r="Z468" s="76" t="str">
        <f aca="false">IF(X468=1,W468,"")</f>
        <v/>
      </c>
      <c r="AA468" s="76" t="e">
        <f aca="false">IF(X468=1,V468,NA())</f>
        <v>#N/A</v>
      </c>
      <c r="AB468" s="76" t="e">
        <f aca="false">IF(X468=1,W468,NA())</f>
        <v>#N/A</v>
      </c>
      <c r="AD468" s="73" t="str">
        <f aca="false">IF(ISNUMBER(AE468),IF(ISNUMBER('Base de Datos'!A464),IF('Base de Datos'!A464&gt;20000,DATE(YEAR('Base de Datos'!A464),DAY('Base de Datos'!A464),MONTH('Base de Datos'!A464)),""),IF(TRIM('Base de Datos'!A464)="","",IFERROR(DATE(VALUE(RIGHT(TRIM('Base de Datos'!A464),4)),VALUE(LEFT(TRIM('Base de Datos'!A464),2)),VALUE(MID(TRIM('Base de Datos'!A464),4,2))),""))),"")</f>
        <v/>
      </c>
      <c r="AE468" s="74" t="str">
        <f aca="false">IF(ISNUMBER('Base de Datos'!B464),'Base de Datos'!B464,IF(TRIM('Base de Datos'!B464)="","",IFERROR(IF(IFERROR(FIND("@",SUBSTITUTE(TRIM('Base de Datos'!B464),",","@",LEN(TRIM('Base de Datos'!B464))-LEN(SUBSTITUTE(TRIM('Base de Datos'!B464),",","")))),0)&gt;IFERROR(FIND("@",SUBSTITUTE(TRIM('Base de Datos'!B464),".","@",LEN(TRIM('Base de Datos'!B464))-LEN(SUBSTITUTE(TRIM('Base de Datos'!B464),".","")))),0),_xlfn.NUMBERVALUE(SUBSTITUTE(SUBSTITUTE(TRIM('Base de Datos'!B464),".",""),",","."),".",","),_xlfn.NUMBERVALUE(SUBSTITUTE(TRIM('Base de Datos'!B464),",",""),".",",")),"")))</f>
        <v/>
      </c>
      <c r="AF468" s="73" t="str">
        <f aca="false">IF(ISNUMBER(AG468),IF(ISNUMBER('Base de Datos'!I464),IF('Base de Datos'!I464&gt;20000,INT('Base de Datos'!I464),""),IF(TRIM('Base de Datos'!I464)="","",IFERROR(DATE(VALUE(RIGHT(TRIM('Base de Datos'!I464),4)),VALUE(MID(TRIM('Base de Datos'!I464),4,2)),VALUE(LEFT(TRIM('Base de Datos'!I464),2))),IFERROR(DATEVALUE(TRIM('Base de Datos'!I464)),"")))),"")</f>
        <v/>
      </c>
      <c r="AG468" s="74" t="str">
        <f aca="false">IF(ISNUMBER('Base de Datos'!J464),'Base de Datos'!J464,IF(TRIM('Base de Datos'!J464)="","",IFERROR(IF(IFERROR(FIND("@",SUBSTITUTE(TRIM('Base de Datos'!J464),",","@",LEN(TRIM('Base de Datos'!J464))-LEN(SUBSTITUTE(TRIM('Base de Datos'!J464),",","")))),0)&gt;IFERROR(FIND("@",SUBSTITUTE(TRIM('Base de Datos'!J464),".","@",LEN(TRIM('Base de Datos'!J464))-LEN(SUBSTITUTE(TRIM('Base de Datos'!J464),".","")))),0),_xlfn.NUMBERVALUE(SUBSTITUTE(SUBSTITUTE(TRIM('Base de Datos'!J464),".",""),",","."),".",","),_xlfn.NUMBERVALUE(SUBSTITUTE(TRIM('Base de Datos'!J464),",",""),".",",")),"")))</f>
        <v/>
      </c>
    </row>
    <row r="469" customFormat="false" ht="13.5" hidden="false" customHeight="false" outlineLevel="0" collapsed="false">
      <c r="R469" s="75" t="n">
        <f aca="false">ROWS(R$13:R469)</f>
        <v>457</v>
      </c>
      <c r="S469" s="73" t="str">
        <f aca="false">IF(S468="","",IFERROR(SMALL($AD$10:$AD$509,COUNTIF($AD$10:$AD$509,"&lt;="&amp;S468)+1),""))</f>
        <v/>
      </c>
      <c r="T469" s="74" t="str">
        <f aca="false">IF(S469="","",INDEX($AE$10:$AE$509,MATCH(S469,$AD$10:$AD$509,0)))</f>
        <v/>
      </c>
      <c r="U469" s="74" t="str">
        <f aca="false">IF(S469="","",IFERROR(INDEX($AG$10:$AG$509,MATCH(S469,$AF$10:$AF$509,0)),""))</f>
        <v/>
      </c>
      <c r="V469" s="76" t="str">
        <f aca="false">IF(AND(ISNUMBER(T469),ISNUMBER(T468)),T469/T468-1,"")</f>
        <v/>
      </c>
      <c r="W469" s="76" t="str">
        <f aca="false">IF(AND(ISNUMBER(U469),ISNUMBER(U468)),U469/U468-1,"")</f>
        <v/>
      </c>
      <c r="X469" s="75" t="str">
        <f aca="false">IF(AND(ISNUMBER(V469),ISNUMBER(W469)),1,"")</f>
        <v/>
      </c>
      <c r="Y469" s="76" t="str">
        <f aca="false">IF(X469=1,V469,"")</f>
        <v/>
      </c>
      <c r="Z469" s="76" t="str">
        <f aca="false">IF(X469=1,W469,"")</f>
        <v/>
      </c>
      <c r="AA469" s="76" t="e">
        <f aca="false">IF(X469=1,V469,NA())</f>
        <v>#N/A</v>
      </c>
      <c r="AB469" s="76" t="e">
        <f aca="false">IF(X469=1,W469,NA())</f>
        <v>#N/A</v>
      </c>
      <c r="AD469" s="73" t="str">
        <f aca="false">IF(ISNUMBER(AE469),IF(ISNUMBER('Base de Datos'!A465),IF('Base de Datos'!A465&gt;20000,DATE(YEAR('Base de Datos'!A465),DAY('Base de Datos'!A465),MONTH('Base de Datos'!A465)),""),IF(TRIM('Base de Datos'!A465)="","",IFERROR(DATE(VALUE(RIGHT(TRIM('Base de Datos'!A465),4)),VALUE(LEFT(TRIM('Base de Datos'!A465),2)),VALUE(MID(TRIM('Base de Datos'!A465),4,2))),""))),"")</f>
        <v/>
      </c>
      <c r="AE469" s="74" t="str">
        <f aca="false">IF(ISNUMBER('Base de Datos'!B465),'Base de Datos'!B465,IF(TRIM('Base de Datos'!B465)="","",IFERROR(IF(IFERROR(FIND("@",SUBSTITUTE(TRIM('Base de Datos'!B465),",","@",LEN(TRIM('Base de Datos'!B465))-LEN(SUBSTITUTE(TRIM('Base de Datos'!B465),",","")))),0)&gt;IFERROR(FIND("@",SUBSTITUTE(TRIM('Base de Datos'!B465),".","@",LEN(TRIM('Base de Datos'!B465))-LEN(SUBSTITUTE(TRIM('Base de Datos'!B465),".","")))),0),_xlfn.NUMBERVALUE(SUBSTITUTE(SUBSTITUTE(TRIM('Base de Datos'!B465),".",""),",","."),".",","),_xlfn.NUMBERVALUE(SUBSTITUTE(TRIM('Base de Datos'!B465),",",""),".",",")),"")))</f>
        <v/>
      </c>
      <c r="AF469" s="73" t="str">
        <f aca="false">IF(ISNUMBER(AG469),IF(ISNUMBER('Base de Datos'!I465),IF('Base de Datos'!I465&gt;20000,INT('Base de Datos'!I465),""),IF(TRIM('Base de Datos'!I465)="","",IFERROR(DATE(VALUE(RIGHT(TRIM('Base de Datos'!I465),4)),VALUE(MID(TRIM('Base de Datos'!I465),4,2)),VALUE(LEFT(TRIM('Base de Datos'!I465),2))),IFERROR(DATEVALUE(TRIM('Base de Datos'!I465)),"")))),"")</f>
        <v/>
      </c>
      <c r="AG469" s="74" t="str">
        <f aca="false">IF(ISNUMBER('Base de Datos'!J465),'Base de Datos'!J465,IF(TRIM('Base de Datos'!J465)="","",IFERROR(IF(IFERROR(FIND("@",SUBSTITUTE(TRIM('Base de Datos'!J465),",","@",LEN(TRIM('Base de Datos'!J465))-LEN(SUBSTITUTE(TRIM('Base de Datos'!J465),",","")))),0)&gt;IFERROR(FIND("@",SUBSTITUTE(TRIM('Base de Datos'!J465),".","@",LEN(TRIM('Base de Datos'!J465))-LEN(SUBSTITUTE(TRIM('Base de Datos'!J465),".","")))),0),_xlfn.NUMBERVALUE(SUBSTITUTE(SUBSTITUTE(TRIM('Base de Datos'!J465),".",""),",","."),".",","),_xlfn.NUMBERVALUE(SUBSTITUTE(TRIM('Base de Datos'!J465),",",""),".",",")),"")))</f>
        <v/>
      </c>
    </row>
    <row r="470" customFormat="false" ht="13.5" hidden="false" customHeight="false" outlineLevel="0" collapsed="false">
      <c r="R470" s="75" t="n">
        <f aca="false">ROWS(R$13:R470)</f>
        <v>458</v>
      </c>
      <c r="S470" s="73" t="str">
        <f aca="false">IF(S469="","",IFERROR(SMALL($AD$10:$AD$509,COUNTIF($AD$10:$AD$509,"&lt;="&amp;S469)+1),""))</f>
        <v/>
      </c>
      <c r="T470" s="74" t="str">
        <f aca="false">IF(S470="","",INDEX($AE$10:$AE$509,MATCH(S470,$AD$10:$AD$509,0)))</f>
        <v/>
      </c>
      <c r="U470" s="74" t="str">
        <f aca="false">IF(S470="","",IFERROR(INDEX($AG$10:$AG$509,MATCH(S470,$AF$10:$AF$509,0)),""))</f>
        <v/>
      </c>
      <c r="V470" s="76" t="str">
        <f aca="false">IF(AND(ISNUMBER(T470),ISNUMBER(T469)),T470/T469-1,"")</f>
        <v/>
      </c>
      <c r="W470" s="76" t="str">
        <f aca="false">IF(AND(ISNUMBER(U470),ISNUMBER(U469)),U470/U469-1,"")</f>
        <v/>
      </c>
      <c r="X470" s="75" t="str">
        <f aca="false">IF(AND(ISNUMBER(V470),ISNUMBER(W470)),1,"")</f>
        <v/>
      </c>
      <c r="Y470" s="76" t="str">
        <f aca="false">IF(X470=1,V470,"")</f>
        <v/>
      </c>
      <c r="Z470" s="76" t="str">
        <f aca="false">IF(X470=1,W470,"")</f>
        <v/>
      </c>
      <c r="AA470" s="76" t="e">
        <f aca="false">IF(X470=1,V470,NA())</f>
        <v>#N/A</v>
      </c>
      <c r="AB470" s="76" t="e">
        <f aca="false">IF(X470=1,W470,NA())</f>
        <v>#N/A</v>
      </c>
      <c r="AD470" s="73" t="str">
        <f aca="false">IF(ISNUMBER(AE470),IF(ISNUMBER('Base de Datos'!A466),IF('Base de Datos'!A466&gt;20000,DATE(YEAR('Base de Datos'!A466),DAY('Base de Datos'!A466),MONTH('Base de Datos'!A466)),""),IF(TRIM('Base de Datos'!A466)="","",IFERROR(DATE(VALUE(RIGHT(TRIM('Base de Datos'!A466),4)),VALUE(LEFT(TRIM('Base de Datos'!A466),2)),VALUE(MID(TRIM('Base de Datos'!A466),4,2))),""))),"")</f>
        <v/>
      </c>
      <c r="AE470" s="74" t="str">
        <f aca="false">IF(ISNUMBER('Base de Datos'!B466),'Base de Datos'!B466,IF(TRIM('Base de Datos'!B466)="","",IFERROR(IF(IFERROR(FIND("@",SUBSTITUTE(TRIM('Base de Datos'!B466),",","@",LEN(TRIM('Base de Datos'!B466))-LEN(SUBSTITUTE(TRIM('Base de Datos'!B466),",","")))),0)&gt;IFERROR(FIND("@",SUBSTITUTE(TRIM('Base de Datos'!B466),".","@",LEN(TRIM('Base de Datos'!B466))-LEN(SUBSTITUTE(TRIM('Base de Datos'!B466),".","")))),0),_xlfn.NUMBERVALUE(SUBSTITUTE(SUBSTITUTE(TRIM('Base de Datos'!B466),".",""),",","."),".",","),_xlfn.NUMBERVALUE(SUBSTITUTE(TRIM('Base de Datos'!B466),",",""),".",",")),"")))</f>
        <v/>
      </c>
      <c r="AF470" s="73" t="str">
        <f aca="false">IF(ISNUMBER(AG470),IF(ISNUMBER('Base de Datos'!I466),IF('Base de Datos'!I466&gt;20000,INT('Base de Datos'!I466),""),IF(TRIM('Base de Datos'!I466)="","",IFERROR(DATE(VALUE(RIGHT(TRIM('Base de Datos'!I466),4)),VALUE(MID(TRIM('Base de Datos'!I466),4,2)),VALUE(LEFT(TRIM('Base de Datos'!I466),2))),IFERROR(DATEVALUE(TRIM('Base de Datos'!I466)),"")))),"")</f>
        <v/>
      </c>
      <c r="AG470" s="74" t="str">
        <f aca="false">IF(ISNUMBER('Base de Datos'!J466),'Base de Datos'!J466,IF(TRIM('Base de Datos'!J466)="","",IFERROR(IF(IFERROR(FIND("@",SUBSTITUTE(TRIM('Base de Datos'!J466),",","@",LEN(TRIM('Base de Datos'!J466))-LEN(SUBSTITUTE(TRIM('Base de Datos'!J466),",","")))),0)&gt;IFERROR(FIND("@",SUBSTITUTE(TRIM('Base de Datos'!J466),".","@",LEN(TRIM('Base de Datos'!J466))-LEN(SUBSTITUTE(TRIM('Base de Datos'!J466),".","")))),0),_xlfn.NUMBERVALUE(SUBSTITUTE(SUBSTITUTE(TRIM('Base de Datos'!J466),".",""),",","."),".",","),_xlfn.NUMBERVALUE(SUBSTITUTE(TRIM('Base de Datos'!J466),",",""),".",",")),"")))</f>
        <v/>
      </c>
    </row>
    <row r="471" customFormat="false" ht="13.5" hidden="false" customHeight="false" outlineLevel="0" collapsed="false">
      <c r="R471" s="75" t="n">
        <f aca="false">ROWS(R$13:R471)</f>
        <v>459</v>
      </c>
      <c r="S471" s="73" t="str">
        <f aca="false">IF(S470="","",IFERROR(SMALL($AD$10:$AD$509,COUNTIF($AD$10:$AD$509,"&lt;="&amp;S470)+1),""))</f>
        <v/>
      </c>
      <c r="T471" s="74" t="str">
        <f aca="false">IF(S471="","",INDEX($AE$10:$AE$509,MATCH(S471,$AD$10:$AD$509,0)))</f>
        <v/>
      </c>
      <c r="U471" s="74" t="str">
        <f aca="false">IF(S471="","",IFERROR(INDEX($AG$10:$AG$509,MATCH(S471,$AF$10:$AF$509,0)),""))</f>
        <v/>
      </c>
      <c r="V471" s="76" t="str">
        <f aca="false">IF(AND(ISNUMBER(T471),ISNUMBER(T470)),T471/T470-1,"")</f>
        <v/>
      </c>
      <c r="W471" s="76" t="str">
        <f aca="false">IF(AND(ISNUMBER(U471),ISNUMBER(U470)),U471/U470-1,"")</f>
        <v/>
      </c>
      <c r="X471" s="75" t="str">
        <f aca="false">IF(AND(ISNUMBER(V471),ISNUMBER(W471)),1,"")</f>
        <v/>
      </c>
      <c r="Y471" s="76" t="str">
        <f aca="false">IF(X471=1,V471,"")</f>
        <v/>
      </c>
      <c r="Z471" s="76" t="str">
        <f aca="false">IF(X471=1,W471,"")</f>
        <v/>
      </c>
      <c r="AA471" s="76" t="e">
        <f aca="false">IF(X471=1,V471,NA())</f>
        <v>#N/A</v>
      </c>
      <c r="AB471" s="76" t="e">
        <f aca="false">IF(X471=1,W471,NA())</f>
        <v>#N/A</v>
      </c>
      <c r="AD471" s="73" t="str">
        <f aca="false">IF(ISNUMBER(AE471),IF(ISNUMBER('Base de Datos'!A467),IF('Base de Datos'!A467&gt;20000,DATE(YEAR('Base de Datos'!A467),DAY('Base de Datos'!A467),MONTH('Base de Datos'!A467)),""),IF(TRIM('Base de Datos'!A467)="","",IFERROR(DATE(VALUE(RIGHT(TRIM('Base de Datos'!A467),4)),VALUE(LEFT(TRIM('Base de Datos'!A467),2)),VALUE(MID(TRIM('Base de Datos'!A467),4,2))),""))),"")</f>
        <v/>
      </c>
      <c r="AE471" s="74" t="str">
        <f aca="false">IF(ISNUMBER('Base de Datos'!B467),'Base de Datos'!B467,IF(TRIM('Base de Datos'!B467)="","",IFERROR(IF(IFERROR(FIND("@",SUBSTITUTE(TRIM('Base de Datos'!B467),",","@",LEN(TRIM('Base de Datos'!B467))-LEN(SUBSTITUTE(TRIM('Base de Datos'!B467),",","")))),0)&gt;IFERROR(FIND("@",SUBSTITUTE(TRIM('Base de Datos'!B467),".","@",LEN(TRIM('Base de Datos'!B467))-LEN(SUBSTITUTE(TRIM('Base de Datos'!B467),".","")))),0),_xlfn.NUMBERVALUE(SUBSTITUTE(SUBSTITUTE(TRIM('Base de Datos'!B467),".",""),",","."),".",","),_xlfn.NUMBERVALUE(SUBSTITUTE(TRIM('Base de Datos'!B467),",",""),".",",")),"")))</f>
        <v/>
      </c>
      <c r="AF471" s="73" t="str">
        <f aca="false">IF(ISNUMBER(AG471),IF(ISNUMBER('Base de Datos'!I467),IF('Base de Datos'!I467&gt;20000,INT('Base de Datos'!I467),""),IF(TRIM('Base de Datos'!I467)="","",IFERROR(DATE(VALUE(RIGHT(TRIM('Base de Datos'!I467),4)),VALUE(MID(TRIM('Base de Datos'!I467),4,2)),VALUE(LEFT(TRIM('Base de Datos'!I467),2))),IFERROR(DATEVALUE(TRIM('Base de Datos'!I467)),"")))),"")</f>
        <v/>
      </c>
      <c r="AG471" s="74" t="str">
        <f aca="false">IF(ISNUMBER('Base de Datos'!J467),'Base de Datos'!J467,IF(TRIM('Base de Datos'!J467)="","",IFERROR(IF(IFERROR(FIND("@",SUBSTITUTE(TRIM('Base de Datos'!J467),",","@",LEN(TRIM('Base de Datos'!J467))-LEN(SUBSTITUTE(TRIM('Base de Datos'!J467),",","")))),0)&gt;IFERROR(FIND("@",SUBSTITUTE(TRIM('Base de Datos'!J467),".","@",LEN(TRIM('Base de Datos'!J467))-LEN(SUBSTITUTE(TRIM('Base de Datos'!J467),".","")))),0),_xlfn.NUMBERVALUE(SUBSTITUTE(SUBSTITUTE(TRIM('Base de Datos'!J467),".",""),",","."),".",","),_xlfn.NUMBERVALUE(SUBSTITUTE(TRIM('Base de Datos'!J467),",",""),".",",")),"")))</f>
        <v/>
      </c>
    </row>
    <row r="472" customFormat="false" ht="13.5" hidden="false" customHeight="false" outlineLevel="0" collapsed="false">
      <c r="R472" s="75" t="n">
        <f aca="false">ROWS(R$13:R472)</f>
        <v>460</v>
      </c>
      <c r="S472" s="73" t="str">
        <f aca="false">IF(S471="","",IFERROR(SMALL($AD$10:$AD$509,COUNTIF($AD$10:$AD$509,"&lt;="&amp;S471)+1),""))</f>
        <v/>
      </c>
      <c r="T472" s="74" t="str">
        <f aca="false">IF(S472="","",INDEX($AE$10:$AE$509,MATCH(S472,$AD$10:$AD$509,0)))</f>
        <v/>
      </c>
      <c r="U472" s="74" t="str">
        <f aca="false">IF(S472="","",IFERROR(INDEX($AG$10:$AG$509,MATCH(S472,$AF$10:$AF$509,0)),""))</f>
        <v/>
      </c>
      <c r="V472" s="76" t="str">
        <f aca="false">IF(AND(ISNUMBER(T472),ISNUMBER(T471)),T472/T471-1,"")</f>
        <v/>
      </c>
      <c r="W472" s="76" t="str">
        <f aca="false">IF(AND(ISNUMBER(U472),ISNUMBER(U471)),U472/U471-1,"")</f>
        <v/>
      </c>
      <c r="X472" s="75" t="str">
        <f aca="false">IF(AND(ISNUMBER(V472),ISNUMBER(W472)),1,"")</f>
        <v/>
      </c>
      <c r="Y472" s="76" t="str">
        <f aca="false">IF(X472=1,V472,"")</f>
        <v/>
      </c>
      <c r="Z472" s="76" t="str">
        <f aca="false">IF(X472=1,W472,"")</f>
        <v/>
      </c>
      <c r="AA472" s="76" t="e">
        <f aca="false">IF(X472=1,V472,NA())</f>
        <v>#N/A</v>
      </c>
      <c r="AB472" s="76" t="e">
        <f aca="false">IF(X472=1,W472,NA())</f>
        <v>#N/A</v>
      </c>
      <c r="AD472" s="73" t="str">
        <f aca="false">IF(ISNUMBER(AE472),IF(ISNUMBER('Base de Datos'!A468),IF('Base de Datos'!A468&gt;20000,DATE(YEAR('Base de Datos'!A468),DAY('Base de Datos'!A468),MONTH('Base de Datos'!A468)),""),IF(TRIM('Base de Datos'!A468)="","",IFERROR(DATE(VALUE(RIGHT(TRIM('Base de Datos'!A468),4)),VALUE(LEFT(TRIM('Base de Datos'!A468),2)),VALUE(MID(TRIM('Base de Datos'!A468),4,2))),""))),"")</f>
        <v/>
      </c>
      <c r="AE472" s="74" t="str">
        <f aca="false">IF(ISNUMBER('Base de Datos'!B468),'Base de Datos'!B468,IF(TRIM('Base de Datos'!B468)="","",IFERROR(IF(IFERROR(FIND("@",SUBSTITUTE(TRIM('Base de Datos'!B468),",","@",LEN(TRIM('Base de Datos'!B468))-LEN(SUBSTITUTE(TRIM('Base de Datos'!B468),",","")))),0)&gt;IFERROR(FIND("@",SUBSTITUTE(TRIM('Base de Datos'!B468),".","@",LEN(TRIM('Base de Datos'!B468))-LEN(SUBSTITUTE(TRIM('Base de Datos'!B468),".","")))),0),_xlfn.NUMBERVALUE(SUBSTITUTE(SUBSTITUTE(TRIM('Base de Datos'!B468),".",""),",","."),".",","),_xlfn.NUMBERVALUE(SUBSTITUTE(TRIM('Base de Datos'!B468),",",""),".",",")),"")))</f>
        <v/>
      </c>
      <c r="AF472" s="73" t="str">
        <f aca="false">IF(ISNUMBER(AG472),IF(ISNUMBER('Base de Datos'!I468),IF('Base de Datos'!I468&gt;20000,INT('Base de Datos'!I468),""),IF(TRIM('Base de Datos'!I468)="","",IFERROR(DATE(VALUE(RIGHT(TRIM('Base de Datos'!I468),4)),VALUE(MID(TRIM('Base de Datos'!I468),4,2)),VALUE(LEFT(TRIM('Base de Datos'!I468),2))),IFERROR(DATEVALUE(TRIM('Base de Datos'!I468)),"")))),"")</f>
        <v/>
      </c>
      <c r="AG472" s="74" t="str">
        <f aca="false">IF(ISNUMBER('Base de Datos'!J468),'Base de Datos'!J468,IF(TRIM('Base de Datos'!J468)="","",IFERROR(IF(IFERROR(FIND("@",SUBSTITUTE(TRIM('Base de Datos'!J468),",","@",LEN(TRIM('Base de Datos'!J468))-LEN(SUBSTITUTE(TRIM('Base de Datos'!J468),",","")))),0)&gt;IFERROR(FIND("@",SUBSTITUTE(TRIM('Base de Datos'!J468),".","@",LEN(TRIM('Base de Datos'!J468))-LEN(SUBSTITUTE(TRIM('Base de Datos'!J468),".","")))),0),_xlfn.NUMBERVALUE(SUBSTITUTE(SUBSTITUTE(TRIM('Base de Datos'!J468),".",""),",","."),".",","),_xlfn.NUMBERVALUE(SUBSTITUTE(TRIM('Base de Datos'!J468),",",""),".",",")),"")))</f>
        <v/>
      </c>
    </row>
    <row r="473" customFormat="false" ht="13.5" hidden="false" customHeight="false" outlineLevel="0" collapsed="false">
      <c r="R473" s="75" t="n">
        <f aca="false">ROWS(R$13:R473)</f>
        <v>461</v>
      </c>
      <c r="S473" s="73" t="str">
        <f aca="false">IF(S472="","",IFERROR(SMALL($AD$10:$AD$509,COUNTIF($AD$10:$AD$509,"&lt;="&amp;S472)+1),""))</f>
        <v/>
      </c>
      <c r="T473" s="74" t="str">
        <f aca="false">IF(S473="","",INDEX($AE$10:$AE$509,MATCH(S473,$AD$10:$AD$509,0)))</f>
        <v/>
      </c>
      <c r="U473" s="74" t="str">
        <f aca="false">IF(S473="","",IFERROR(INDEX($AG$10:$AG$509,MATCH(S473,$AF$10:$AF$509,0)),""))</f>
        <v/>
      </c>
      <c r="V473" s="76" t="str">
        <f aca="false">IF(AND(ISNUMBER(T473),ISNUMBER(T472)),T473/T472-1,"")</f>
        <v/>
      </c>
      <c r="W473" s="76" t="str">
        <f aca="false">IF(AND(ISNUMBER(U473),ISNUMBER(U472)),U473/U472-1,"")</f>
        <v/>
      </c>
      <c r="X473" s="75" t="str">
        <f aca="false">IF(AND(ISNUMBER(V473),ISNUMBER(W473)),1,"")</f>
        <v/>
      </c>
      <c r="Y473" s="76" t="str">
        <f aca="false">IF(X473=1,V473,"")</f>
        <v/>
      </c>
      <c r="Z473" s="76" t="str">
        <f aca="false">IF(X473=1,W473,"")</f>
        <v/>
      </c>
      <c r="AA473" s="76" t="e">
        <f aca="false">IF(X473=1,V473,NA())</f>
        <v>#N/A</v>
      </c>
      <c r="AB473" s="76" t="e">
        <f aca="false">IF(X473=1,W473,NA())</f>
        <v>#N/A</v>
      </c>
      <c r="AD473" s="73" t="str">
        <f aca="false">IF(ISNUMBER(AE473),IF(ISNUMBER('Base de Datos'!A469),IF('Base de Datos'!A469&gt;20000,DATE(YEAR('Base de Datos'!A469),DAY('Base de Datos'!A469),MONTH('Base de Datos'!A469)),""),IF(TRIM('Base de Datos'!A469)="","",IFERROR(DATE(VALUE(RIGHT(TRIM('Base de Datos'!A469),4)),VALUE(LEFT(TRIM('Base de Datos'!A469),2)),VALUE(MID(TRIM('Base de Datos'!A469),4,2))),""))),"")</f>
        <v/>
      </c>
      <c r="AE473" s="74" t="str">
        <f aca="false">IF(ISNUMBER('Base de Datos'!B469),'Base de Datos'!B469,IF(TRIM('Base de Datos'!B469)="","",IFERROR(IF(IFERROR(FIND("@",SUBSTITUTE(TRIM('Base de Datos'!B469),",","@",LEN(TRIM('Base de Datos'!B469))-LEN(SUBSTITUTE(TRIM('Base de Datos'!B469),",","")))),0)&gt;IFERROR(FIND("@",SUBSTITUTE(TRIM('Base de Datos'!B469),".","@",LEN(TRIM('Base de Datos'!B469))-LEN(SUBSTITUTE(TRIM('Base de Datos'!B469),".","")))),0),_xlfn.NUMBERVALUE(SUBSTITUTE(SUBSTITUTE(TRIM('Base de Datos'!B469),".",""),",","."),".",","),_xlfn.NUMBERVALUE(SUBSTITUTE(TRIM('Base de Datos'!B469),",",""),".",",")),"")))</f>
        <v/>
      </c>
      <c r="AF473" s="73" t="str">
        <f aca="false">IF(ISNUMBER(AG473),IF(ISNUMBER('Base de Datos'!I469),IF('Base de Datos'!I469&gt;20000,INT('Base de Datos'!I469),""),IF(TRIM('Base de Datos'!I469)="","",IFERROR(DATE(VALUE(RIGHT(TRIM('Base de Datos'!I469),4)),VALUE(MID(TRIM('Base de Datos'!I469),4,2)),VALUE(LEFT(TRIM('Base de Datos'!I469),2))),IFERROR(DATEVALUE(TRIM('Base de Datos'!I469)),"")))),"")</f>
        <v/>
      </c>
      <c r="AG473" s="74" t="str">
        <f aca="false">IF(ISNUMBER('Base de Datos'!J469),'Base de Datos'!J469,IF(TRIM('Base de Datos'!J469)="","",IFERROR(IF(IFERROR(FIND("@",SUBSTITUTE(TRIM('Base de Datos'!J469),",","@",LEN(TRIM('Base de Datos'!J469))-LEN(SUBSTITUTE(TRIM('Base de Datos'!J469),",","")))),0)&gt;IFERROR(FIND("@",SUBSTITUTE(TRIM('Base de Datos'!J469),".","@",LEN(TRIM('Base de Datos'!J469))-LEN(SUBSTITUTE(TRIM('Base de Datos'!J469),".","")))),0),_xlfn.NUMBERVALUE(SUBSTITUTE(SUBSTITUTE(TRIM('Base de Datos'!J469),".",""),",","."),".",","),_xlfn.NUMBERVALUE(SUBSTITUTE(TRIM('Base de Datos'!J469),",",""),".",",")),"")))</f>
        <v/>
      </c>
    </row>
    <row r="474" customFormat="false" ht="13.5" hidden="false" customHeight="false" outlineLevel="0" collapsed="false">
      <c r="R474" s="75" t="n">
        <f aca="false">ROWS(R$13:R474)</f>
        <v>462</v>
      </c>
      <c r="S474" s="73" t="str">
        <f aca="false">IF(S473="","",IFERROR(SMALL($AD$10:$AD$509,COUNTIF($AD$10:$AD$509,"&lt;="&amp;S473)+1),""))</f>
        <v/>
      </c>
      <c r="T474" s="74" t="str">
        <f aca="false">IF(S474="","",INDEX($AE$10:$AE$509,MATCH(S474,$AD$10:$AD$509,0)))</f>
        <v/>
      </c>
      <c r="U474" s="74" t="str">
        <f aca="false">IF(S474="","",IFERROR(INDEX($AG$10:$AG$509,MATCH(S474,$AF$10:$AF$509,0)),""))</f>
        <v/>
      </c>
      <c r="V474" s="76" t="str">
        <f aca="false">IF(AND(ISNUMBER(T474),ISNUMBER(T473)),T474/T473-1,"")</f>
        <v/>
      </c>
      <c r="W474" s="76" t="str">
        <f aca="false">IF(AND(ISNUMBER(U474),ISNUMBER(U473)),U474/U473-1,"")</f>
        <v/>
      </c>
      <c r="X474" s="75" t="str">
        <f aca="false">IF(AND(ISNUMBER(V474),ISNUMBER(W474)),1,"")</f>
        <v/>
      </c>
      <c r="Y474" s="76" t="str">
        <f aca="false">IF(X474=1,V474,"")</f>
        <v/>
      </c>
      <c r="Z474" s="76" t="str">
        <f aca="false">IF(X474=1,W474,"")</f>
        <v/>
      </c>
      <c r="AA474" s="76" t="e">
        <f aca="false">IF(X474=1,V474,NA())</f>
        <v>#N/A</v>
      </c>
      <c r="AB474" s="76" t="e">
        <f aca="false">IF(X474=1,W474,NA())</f>
        <v>#N/A</v>
      </c>
      <c r="AD474" s="73" t="str">
        <f aca="false">IF(ISNUMBER(AE474),IF(ISNUMBER('Base de Datos'!A470),IF('Base de Datos'!A470&gt;20000,DATE(YEAR('Base de Datos'!A470),DAY('Base de Datos'!A470),MONTH('Base de Datos'!A470)),""),IF(TRIM('Base de Datos'!A470)="","",IFERROR(DATE(VALUE(RIGHT(TRIM('Base de Datos'!A470),4)),VALUE(LEFT(TRIM('Base de Datos'!A470),2)),VALUE(MID(TRIM('Base de Datos'!A470),4,2))),""))),"")</f>
        <v/>
      </c>
      <c r="AE474" s="74" t="str">
        <f aca="false">IF(ISNUMBER('Base de Datos'!B470),'Base de Datos'!B470,IF(TRIM('Base de Datos'!B470)="","",IFERROR(IF(IFERROR(FIND("@",SUBSTITUTE(TRIM('Base de Datos'!B470),",","@",LEN(TRIM('Base de Datos'!B470))-LEN(SUBSTITUTE(TRIM('Base de Datos'!B470),",","")))),0)&gt;IFERROR(FIND("@",SUBSTITUTE(TRIM('Base de Datos'!B470),".","@",LEN(TRIM('Base de Datos'!B470))-LEN(SUBSTITUTE(TRIM('Base de Datos'!B470),".","")))),0),_xlfn.NUMBERVALUE(SUBSTITUTE(SUBSTITUTE(TRIM('Base de Datos'!B470),".",""),",","."),".",","),_xlfn.NUMBERVALUE(SUBSTITUTE(TRIM('Base de Datos'!B470),",",""),".",",")),"")))</f>
        <v/>
      </c>
      <c r="AF474" s="73" t="str">
        <f aca="false">IF(ISNUMBER(AG474),IF(ISNUMBER('Base de Datos'!I470),IF('Base de Datos'!I470&gt;20000,INT('Base de Datos'!I470),""),IF(TRIM('Base de Datos'!I470)="","",IFERROR(DATE(VALUE(RIGHT(TRIM('Base de Datos'!I470),4)),VALUE(MID(TRIM('Base de Datos'!I470),4,2)),VALUE(LEFT(TRIM('Base de Datos'!I470),2))),IFERROR(DATEVALUE(TRIM('Base de Datos'!I470)),"")))),"")</f>
        <v/>
      </c>
      <c r="AG474" s="74" t="str">
        <f aca="false">IF(ISNUMBER('Base de Datos'!J470),'Base de Datos'!J470,IF(TRIM('Base de Datos'!J470)="","",IFERROR(IF(IFERROR(FIND("@",SUBSTITUTE(TRIM('Base de Datos'!J470),",","@",LEN(TRIM('Base de Datos'!J470))-LEN(SUBSTITUTE(TRIM('Base de Datos'!J470),",","")))),0)&gt;IFERROR(FIND("@",SUBSTITUTE(TRIM('Base de Datos'!J470),".","@",LEN(TRIM('Base de Datos'!J470))-LEN(SUBSTITUTE(TRIM('Base de Datos'!J470),".","")))),0),_xlfn.NUMBERVALUE(SUBSTITUTE(SUBSTITUTE(TRIM('Base de Datos'!J470),".",""),",","."),".",","),_xlfn.NUMBERVALUE(SUBSTITUTE(TRIM('Base de Datos'!J470),",",""),".",",")),"")))</f>
        <v/>
      </c>
    </row>
    <row r="475" customFormat="false" ht="13.5" hidden="false" customHeight="false" outlineLevel="0" collapsed="false">
      <c r="R475" s="75" t="n">
        <f aca="false">ROWS(R$13:R475)</f>
        <v>463</v>
      </c>
      <c r="S475" s="73" t="str">
        <f aca="false">IF(S474="","",IFERROR(SMALL($AD$10:$AD$509,COUNTIF($AD$10:$AD$509,"&lt;="&amp;S474)+1),""))</f>
        <v/>
      </c>
      <c r="T475" s="74" t="str">
        <f aca="false">IF(S475="","",INDEX($AE$10:$AE$509,MATCH(S475,$AD$10:$AD$509,0)))</f>
        <v/>
      </c>
      <c r="U475" s="74" t="str">
        <f aca="false">IF(S475="","",IFERROR(INDEX($AG$10:$AG$509,MATCH(S475,$AF$10:$AF$509,0)),""))</f>
        <v/>
      </c>
      <c r="V475" s="76" t="str">
        <f aca="false">IF(AND(ISNUMBER(T475),ISNUMBER(T474)),T475/T474-1,"")</f>
        <v/>
      </c>
      <c r="W475" s="76" t="str">
        <f aca="false">IF(AND(ISNUMBER(U475),ISNUMBER(U474)),U475/U474-1,"")</f>
        <v/>
      </c>
      <c r="X475" s="75" t="str">
        <f aca="false">IF(AND(ISNUMBER(V475),ISNUMBER(W475)),1,"")</f>
        <v/>
      </c>
      <c r="Y475" s="76" t="str">
        <f aca="false">IF(X475=1,V475,"")</f>
        <v/>
      </c>
      <c r="Z475" s="76" t="str">
        <f aca="false">IF(X475=1,W475,"")</f>
        <v/>
      </c>
      <c r="AA475" s="76" t="e">
        <f aca="false">IF(X475=1,V475,NA())</f>
        <v>#N/A</v>
      </c>
      <c r="AB475" s="76" t="e">
        <f aca="false">IF(X475=1,W475,NA())</f>
        <v>#N/A</v>
      </c>
      <c r="AD475" s="73" t="str">
        <f aca="false">IF(ISNUMBER(AE475),IF(ISNUMBER('Base de Datos'!A471),IF('Base de Datos'!A471&gt;20000,DATE(YEAR('Base de Datos'!A471),DAY('Base de Datos'!A471),MONTH('Base de Datos'!A471)),""),IF(TRIM('Base de Datos'!A471)="","",IFERROR(DATE(VALUE(RIGHT(TRIM('Base de Datos'!A471),4)),VALUE(LEFT(TRIM('Base de Datos'!A471),2)),VALUE(MID(TRIM('Base de Datos'!A471),4,2))),""))),"")</f>
        <v/>
      </c>
      <c r="AE475" s="74" t="str">
        <f aca="false">IF(ISNUMBER('Base de Datos'!B471),'Base de Datos'!B471,IF(TRIM('Base de Datos'!B471)="","",IFERROR(IF(IFERROR(FIND("@",SUBSTITUTE(TRIM('Base de Datos'!B471),",","@",LEN(TRIM('Base de Datos'!B471))-LEN(SUBSTITUTE(TRIM('Base de Datos'!B471),",","")))),0)&gt;IFERROR(FIND("@",SUBSTITUTE(TRIM('Base de Datos'!B471),".","@",LEN(TRIM('Base de Datos'!B471))-LEN(SUBSTITUTE(TRIM('Base de Datos'!B471),".","")))),0),_xlfn.NUMBERVALUE(SUBSTITUTE(SUBSTITUTE(TRIM('Base de Datos'!B471),".",""),",","."),".",","),_xlfn.NUMBERVALUE(SUBSTITUTE(TRIM('Base de Datos'!B471),",",""),".",",")),"")))</f>
        <v/>
      </c>
      <c r="AF475" s="73" t="str">
        <f aca="false">IF(ISNUMBER(AG475),IF(ISNUMBER('Base de Datos'!I471),IF('Base de Datos'!I471&gt;20000,INT('Base de Datos'!I471),""),IF(TRIM('Base de Datos'!I471)="","",IFERROR(DATE(VALUE(RIGHT(TRIM('Base de Datos'!I471),4)),VALUE(MID(TRIM('Base de Datos'!I471),4,2)),VALUE(LEFT(TRIM('Base de Datos'!I471),2))),IFERROR(DATEVALUE(TRIM('Base de Datos'!I471)),"")))),"")</f>
        <v/>
      </c>
      <c r="AG475" s="74" t="str">
        <f aca="false">IF(ISNUMBER('Base de Datos'!J471),'Base de Datos'!J471,IF(TRIM('Base de Datos'!J471)="","",IFERROR(IF(IFERROR(FIND("@",SUBSTITUTE(TRIM('Base de Datos'!J471),",","@",LEN(TRIM('Base de Datos'!J471))-LEN(SUBSTITUTE(TRIM('Base de Datos'!J471),",","")))),0)&gt;IFERROR(FIND("@",SUBSTITUTE(TRIM('Base de Datos'!J471),".","@",LEN(TRIM('Base de Datos'!J471))-LEN(SUBSTITUTE(TRIM('Base de Datos'!J471),".","")))),0),_xlfn.NUMBERVALUE(SUBSTITUTE(SUBSTITUTE(TRIM('Base de Datos'!J471),".",""),",","."),".",","),_xlfn.NUMBERVALUE(SUBSTITUTE(TRIM('Base de Datos'!J471),",",""),".",",")),"")))</f>
        <v/>
      </c>
    </row>
    <row r="476" customFormat="false" ht="13.5" hidden="false" customHeight="false" outlineLevel="0" collapsed="false">
      <c r="R476" s="75" t="n">
        <f aca="false">ROWS(R$13:R476)</f>
        <v>464</v>
      </c>
      <c r="S476" s="73" t="str">
        <f aca="false">IF(S475="","",IFERROR(SMALL($AD$10:$AD$509,COUNTIF($AD$10:$AD$509,"&lt;="&amp;S475)+1),""))</f>
        <v/>
      </c>
      <c r="T476" s="74" t="str">
        <f aca="false">IF(S476="","",INDEX($AE$10:$AE$509,MATCH(S476,$AD$10:$AD$509,0)))</f>
        <v/>
      </c>
      <c r="U476" s="74" t="str">
        <f aca="false">IF(S476="","",IFERROR(INDEX($AG$10:$AG$509,MATCH(S476,$AF$10:$AF$509,0)),""))</f>
        <v/>
      </c>
      <c r="V476" s="76" t="str">
        <f aca="false">IF(AND(ISNUMBER(T476),ISNUMBER(T475)),T476/T475-1,"")</f>
        <v/>
      </c>
      <c r="W476" s="76" t="str">
        <f aca="false">IF(AND(ISNUMBER(U476),ISNUMBER(U475)),U476/U475-1,"")</f>
        <v/>
      </c>
      <c r="X476" s="75" t="str">
        <f aca="false">IF(AND(ISNUMBER(V476),ISNUMBER(W476)),1,"")</f>
        <v/>
      </c>
      <c r="Y476" s="76" t="str">
        <f aca="false">IF(X476=1,V476,"")</f>
        <v/>
      </c>
      <c r="Z476" s="76" t="str">
        <f aca="false">IF(X476=1,W476,"")</f>
        <v/>
      </c>
      <c r="AA476" s="76" t="e">
        <f aca="false">IF(X476=1,V476,NA())</f>
        <v>#N/A</v>
      </c>
      <c r="AB476" s="76" t="e">
        <f aca="false">IF(X476=1,W476,NA())</f>
        <v>#N/A</v>
      </c>
      <c r="AD476" s="73" t="str">
        <f aca="false">IF(ISNUMBER(AE476),IF(ISNUMBER('Base de Datos'!A472),IF('Base de Datos'!A472&gt;20000,DATE(YEAR('Base de Datos'!A472),DAY('Base de Datos'!A472),MONTH('Base de Datos'!A472)),""),IF(TRIM('Base de Datos'!A472)="","",IFERROR(DATE(VALUE(RIGHT(TRIM('Base de Datos'!A472),4)),VALUE(LEFT(TRIM('Base de Datos'!A472),2)),VALUE(MID(TRIM('Base de Datos'!A472),4,2))),""))),"")</f>
        <v/>
      </c>
      <c r="AE476" s="74" t="str">
        <f aca="false">IF(ISNUMBER('Base de Datos'!B472),'Base de Datos'!B472,IF(TRIM('Base de Datos'!B472)="","",IFERROR(IF(IFERROR(FIND("@",SUBSTITUTE(TRIM('Base de Datos'!B472),",","@",LEN(TRIM('Base de Datos'!B472))-LEN(SUBSTITUTE(TRIM('Base de Datos'!B472),",","")))),0)&gt;IFERROR(FIND("@",SUBSTITUTE(TRIM('Base de Datos'!B472),".","@",LEN(TRIM('Base de Datos'!B472))-LEN(SUBSTITUTE(TRIM('Base de Datos'!B472),".","")))),0),_xlfn.NUMBERVALUE(SUBSTITUTE(SUBSTITUTE(TRIM('Base de Datos'!B472),".",""),",","."),".",","),_xlfn.NUMBERVALUE(SUBSTITUTE(TRIM('Base de Datos'!B472),",",""),".",",")),"")))</f>
        <v/>
      </c>
      <c r="AF476" s="73" t="str">
        <f aca="false">IF(ISNUMBER(AG476),IF(ISNUMBER('Base de Datos'!I472),IF('Base de Datos'!I472&gt;20000,INT('Base de Datos'!I472),""),IF(TRIM('Base de Datos'!I472)="","",IFERROR(DATE(VALUE(RIGHT(TRIM('Base de Datos'!I472),4)),VALUE(MID(TRIM('Base de Datos'!I472),4,2)),VALUE(LEFT(TRIM('Base de Datos'!I472),2))),IFERROR(DATEVALUE(TRIM('Base de Datos'!I472)),"")))),"")</f>
        <v/>
      </c>
      <c r="AG476" s="74" t="str">
        <f aca="false">IF(ISNUMBER('Base de Datos'!J472),'Base de Datos'!J472,IF(TRIM('Base de Datos'!J472)="","",IFERROR(IF(IFERROR(FIND("@",SUBSTITUTE(TRIM('Base de Datos'!J472),",","@",LEN(TRIM('Base de Datos'!J472))-LEN(SUBSTITUTE(TRIM('Base de Datos'!J472),",","")))),0)&gt;IFERROR(FIND("@",SUBSTITUTE(TRIM('Base de Datos'!J472),".","@",LEN(TRIM('Base de Datos'!J472))-LEN(SUBSTITUTE(TRIM('Base de Datos'!J472),".","")))),0),_xlfn.NUMBERVALUE(SUBSTITUTE(SUBSTITUTE(TRIM('Base de Datos'!J472),".",""),",","."),".",","),_xlfn.NUMBERVALUE(SUBSTITUTE(TRIM('Base de Datos'!J472),",",""),".",",")),"")))</f>
        <v/>
      </c>
    </row>
    <row r="477" customFormat="false" ht="13.5" hidden="false" customHeight="false" outlineLevel="0" collapsed="false">
      <c r="R477" s="75" t="n">
        <f aca="false">ROWS(R$13:R477)</f>
        <v>465</v>
      </c>
      <c r="S477" s="73" t="str">
        <f aca="false">IF(S476="","",IFERROR(SMALL($AD$10:$AD$509,COUNTIF($AD$10:$AD$509,"&lt;="&amp;S476)+1),""))</f>
        <v/>
      </c>
      <c r="T477" s="74" t="str">
        <f aca="false">IF(S477="","",INDEX($AE$10:$AE$509,MATCH(S477,$AD$10:$AD$509,0)))</f>
        <v/>
      </c>
      <c r="U477" s="74" t="str">
        <f aca="false">IF(S477="","",IFERROR(INDEX($AG$10:$AG$509,MATCH(S477,$AF$10:$AF$509,0)),""))</f>
        <v/>
      </c>
      <c r="V477" s="76" t="str">
        <f aca="false">IF(AND(ISNUMBER(T477),ISNUMBER(T476)),T477/T476-1,"")</f>
        <v/>
      </c>
      <c r="W477" s="76" t="str">
        <f aca="false">IF(AND(ISNUMBER(U477),ISNUMBER(U476)),U477/U476-1,"")</f>
        <v/>
      </c>
      <c r="X477" s="75" t="str">
        <f aca="false">IF(AND(ISNUMBER(V477),ISNUMBER(W477)),1,"")</f>
        <v/>
      </c>
      <c r="Y477" s="76" t="str">
        <f aca="false">IF(X477=1,V477,"")</f>
        <v/>
      </c>
      <c r="Z477" s="76" t="str">
        <f aca="false">IF(X477=1,W477,"")</f>
        <v/>
      </c>
      <c r="AA477" s="76" t="e">
        <f aca="false">IF(X477=1,V477,NA())</f>
        <v>#N/A</v>
      </c>
      <c r="AB477" s="76" t="e">
        <f aca="false">IF(X477=1,W477,NA())</f>
        <v>#N/A</v>
      </c>
      <c r="AD477" s="73" t="str">
        <f aca="false">IF(ISNUMBER(AE477),IF(ISNUMBER('Base de Datos'!A473),IF('Base de Datos'!A473&gt;20000,DATE(YEAR('Base de Datos'!A473),DAY('Base de Datos'!A473),MONTH('Base de Datos'!A473)),""),IF(TRIM('Base de Datos'!A473)="","",IFERROR(DATE(VALUE(RIGHT(TRIM('Base de Datos'!A473),4)),VALUE(LEFT(TRIM('Base de Datos'!A473),2)),VALUE(MID(TRIM('Base de Datos'!A473),4,2))),""))),"")</f>
        <v/>
      </c>
      <c r="AE477" s="74" t="str">
        <f aca="false">IF(ISNUMBER('Base de Datos'!B473),'Base de Datos'!B473,IF(TRIM('Base de Datos'!B473)="","",IFERROR(IF(IFERROR(FIND("@",SUBSTITUTE(TRIM('Base de Datos'!B473),",","@",LEN(TRIM('Base de Datos'!B473))-LEN(SUBSTITUTE(TRIM('Base de Datos'!B473),",","")))),0)&gt;IFERROR(FIND("@",SUBSTITUTE(TRIM('Base de Datos'!B473),".","@",LEN(TRIM('Base de Datos'!B473))-LEN(SUBSTITUTE(TRIM('Base de Datos'!B473),".","")))),0),_xlfn.NUMBERVALUE(SUBSTITUTE(SUBSTITUTE(TRIM('Base de Datos'!B473),".",""),",","."),".",","),_xlfn.NUMBERVALUE(SUBSTITUTE(TRIM('Base de Datos'!B473),",",""),".",",")),"")))</f>
        <v/>
      </c>
      <c r="AF477" s="73" t="str">
        <f aca="false">IF(ISNUMBER(AG477),IF(ISNUMBER('Base de Datos'!I473),IF('Base de Datos'!I473&gt;20000,INT('Base de Datos'!I473),""),IF(TRIM('Base de Datos'!I473)="","",IFERROR(DATE(VALUE(RIGHT(TRIM('Base de Datos'!I473),4)),VALUE(MID(TRIM('Base de Datos'!I473),4,2)),VALUE(LEFT(TRIM('Base de Datos'!I473),2))),IFERROR(DATEVALUE(TRIM('Base de Datos'!I473)),"")))),"")</f>
        <v/>
      </c>
      <c r="AG477" s="74" t="str">
        <f aca="false">IF(ISNUMBER('Base de Datos'!J473),'Base de Datos'!J473,IF(TRIM('Base de Datos'!J473)="","",IFERROR(IF(IFERROR(FIND("@",SUBSTITUTE(TRIM('Base de Datos'!J473),",","@",LEN(TRIM('Base de Datos'!J473))-LEN(SUBSTITUTE(TRIM('Base de Datos'!J473),",","")))),0)&gt;IFERROR(FIND("@",SUBSTITUTE(TRIM('Base de Datos'!J473),".","@",LEN(TRIM('Base de Datos'!J473))-LEN(SUBSTITUTE(TRIM('Base de Datos'!J473),".","")))),0),_xlfn.NUMBERVALUE(SUBSTITUTE(SUBSTITUTE(TRIM('Base de Datos'!J473),".",""),",","."),".",","),_xlfn.NUMBERVALUE(SUBSTITUTE(TRIM('Base de Datos'!J473),",",""),".",",")),"")))</f>
        <v/>
      </c>
    </row>
    <row r="478" customFormat="false" ht="13.5" hidden="false" customHeight="false" outlineLevel="0" collapsed="false">
      <c r="R478" s="75" t="n">
        <f aca="false">ROWS(R$13:R478)</f>
        <v>466</v>
      </c>
      <c r="S478" s="73" t="str">
        <f aca="false">IF(S477="","",IFERROR(SMALL($AD$10:$AD$509,COUNTIF($AD$10:$AD$509,"&lt;="&amp;S477)+1),""))</f>
        <v/>
      </c>
      <c r="T478" s="74" t="str">
        <f aca="false">IF(S478="","",INDEX($AE$10:$AE$509,MATCH(S478,$AD$10:$AD$509,0)))</f>
        <v/>
      </c>
      <c r="U478" s="74" t="str">
        <f aca="false">IF(S478="","",IFERROR(INDEX($AG$10:$AG$509,MATCH(S478,$AF$10:$AF$509,0)),""))</f>
        <v/>
      </c>
      <c r="V478" s="76" t="str">
        <f aca="false">IF(AND(ISNUMBER(T478),ISNUMBER(T477)),T478/T477-1,"")</f>
        <v/>
      </c>
      <c r="W478" s="76" t="str">
        <f aca="false">IF(AND(ISNUMBER(U478),ISNUMBER(U477)),U478/U477-1,"")</f>
        <v/>
      </c>
      <c r="X478" s="75" t="str">
        <f aca="false">IF(AND(ISNUMBER(V478),ISNUMBER(W478)),1,"")</f>
        <v/>
      </c>
      <c r="Y478" s="76" t="str">
        <f aca="false">IF(X478=1,V478,"")</f>
        <v/>
      </c>
      <c r="Z478" s="76" t="str">
        <f aca="false">IF(X478=1,W478,"")</f>
        <v/>
      </c>
      <c r="AA478" s="76" t="e">
        <f aca="false">IF(X478=1,V478,NA())</f>
        <v>#N/A</v>
      </c>
      <c r="AB478" s="76" t="e">
        <f aca="false">IF(X478=1,W478,NA())</f>
        <v>#N/A</v>
      </c>
      <c r="AD478" s="73" t="str">
        <f aca="false">IF(ISNUMBER(AE478),IF(ISNUMBER('Base de Datos'!A474),IF('Base de Datos'!A474&gt;20000,DATE(YEAR('Base de Datos'!A474),DAY('Base de Datos'!A474),MONTH('Base de Datos'!A474)),""),IF(TRIM('Base de Datos'!A474)="","",IFERROR(DATE(VALUE(RIGHT(TRIM('Base de Datos'!A474),4)),VALUE(LEFT(TRIM('Base de Datos'!A474),2)),VALUE(MID(TRIM('Base de Datos'!A474),4,2))),""))),"")</f>
        <v/>
      </c>
      <c r="AE478" s="74" t="str">
        <f aca="false">IF(ISNUMBER('Base de Datos'!B474),'Base de Datos'!B474,IF(TRIM('Base de Datos'!B474)="","",IFERROR(IF(IFERROR(FIND("@",SUBSTITUTE(TRIM('Base de Datos'!B474),",","@",LEN(TRIM('Base de Datos'!B474))-LEN(SUBSTITUTE(TRIM('Base de Datos'!B474),",","")))),0)&gt;IFERROR(FIND("@",SUBSTITUTE(TRIM('Base de Datos'!B474),".","@",LEN(TRIM('Base de Datos'!B474))-LEN(SUBSTITUTE(TRIM('Base de Datos'!B474),".","")))),0),_xlfn.NUMBERVALUE(SUBSTITUTE(SUBSTITUTE(TRIM('Base de Datos'!B474),".",""),",","."),".",","),_xlfn.NUMBERVALUE(SUBSTITUTE(TRIM('Base de Datos'!B474),",",""),".",",")),"")))</f>
        <v/>
      </c>
      <c r="AF478" s="73" t="str">
        <f aca="false">IF(ISNUMBER(AG478),IF(ISNUMBER('Base de Datos'!I474),IF('Base de Datos'!I474&gt;20000,INT('Base de Datos'!I474),""),IF(TRIM('Base de Datos'!I474)="","",IFERROR(DATE(VALUE(RIGHT(TRIM('Base de Datos'!I474),4)),VALUE(MID(TRIM('Base de Datos'!I474),4,2)),VALUE(LEFT(TRIM('Base de Datos'!I474),2))),IFERROR(DATEVALUE(TRIM('Base de Datos'!I474)),"")))),"")</f>
        <v/>
      </c>
      <c r="AG478" s="74" t="str">
        <f aca="false">IF(ISNUMBER('Base de Datos'!J474),'Base de Datos'!J474,IF(TRIM('Base de Datos'!J474)="","",IFERROR(IF(IFERROR(FIND("@",SUBSTITUTE(TRIM('Base de Datos'!J474),",","@",LEN(TRIM('Base de Datos'!J474))-LEN(SUBSTITUTE(TRIM('Base de Datos'!J474),",","")))),0)&gt;IFERROR(FIND("@",SUBSTITUTE(TRIM('Base de Datos'!J474),".","@",LEN(TRIM('Base de Datos'!J474))-LEN(SUBSTITUTE(TRIM('Base de Datos'!J474),".","")))),0),_xlfn.NUMBERVALUE(SUBSTITUTE(SUBSTITUTE(TRIM('Base de Datos'!J474),".",""),",","."),".",","),_xlfn.NUMBERVALUE(SUBSTITUTE(TRIM('Base de Datos'!J474),",",""),".",",")),"")))</f>
        <v/>
      </c>
    </row>
    <row r="479" customFormat="false" ht="13.5" hidden="false" customHeight="false" outlineLevel="0" collapsed="false">
      <c r="R479" s="75" t="n">
        <f aca="false">ROWS(R$13:R479)</f>
        <v>467</v>
      </c>
      <c r="S479" s="73" t="str">
        <f aca="false">IF(S478="","",IFERROR(SMALL($AD$10:$AD$509,COUNTIF($AD$10:$AD$509,"&lt;="&amp;S478)+1),""))</f>
        <v/>
      </c>
      <c r="T479" s="74" t="str">
        <f aca="false">IF(S479="","",INDEX($AE$10:$AE$509,MATCH(S479,$AD$10:$AD$509,0)))</f>
        <v/>
      </c>
      <c r="U479" s="74" t="str">
        <f aca="false">IF(S479="","",IFERROR(INDEX($AG$10:$AG$509,MATCH(S479,$AF$10:$AF$509,0)),""))</f>
        <v/>
      </c>
      <c r="V479" s="76" t="str">
        <f aca="false">IF(AND(ISNUMBER(T479),ISNUMBER(T478)),T479/T478-1,"")</f>
        <v/>
      </c>
      <c r="W479" s="76" t="str">
        <f aca="false">IF(AND(ISNUMBER(U479),ISNUMBER(U478)),U479/U478-1,"")</f>
        <v/>
      </c>
      <c r="X479" s="75" t="str">
        <f aca="false">IF(AND(ISNUMBER(V479),ISNUMBER(W479)),1,"")</f>
        <v/>
      </c>
      <c r="Y479" s="76" t="str">
        <f aca="false">IF(X479=1,V479,"")</f>
        <v/>
      </c>
      <c r="Z479" s="76" t="str">
        <f aca="false">IF(X479=1,W479,"")</f>
        <v/>
      </c>
      <c r="AA479" s="76" t="e">
        <f aca="false">IF(X479=1,V479,NA())</f>
        <v>#N/A</v>
      </c>
      <c r="AB479" s="76" t="e">
        <f aca="false">IF(X479=1,W479,NA())</f>
        <v>#N/A</v>
      </c>
      <c r="AD479" s="73" t="str">
        <f aca="false">IF(ISNUMBER(AE479),IF(ISNUMBER('Base de Datos'!A475),IF('Base de Datos'!A475&gt;20000,DATE(YEAR('Base de Datos'!A475),DAY('Base de Datos'!A475),MONTH('Base de Datos'!A475)),""),IF(TRIM('Base de Datos'!A475)="","",IFERROR(DATE(VALUE(RIGHT(TRIM('Base de Datos'!A475),4)),VALUE(LEFT(TRIM('Base de Datos'!A475),2)),VALUE(MID(TRIM('Base de Datos'!A475),4,2))),""))),"")</f>
        <v/>
      </c>
      <c r="AE479" s="74" t="str">
        <f aca="false">IF(ISNUMBER('Base de Datos'!B475),'Base de Datos'!B475,IF(TRIM('Base de Datos'!B475)="","",IFERROR(IF(IFERROR(FIND("@",SUBSTITUTE(TRIM('Base de Datos'!B475),",","@",LEN(TRIM('Base de Datos'!B475))-LEN(SUBSTITUTE(TRIM('Base de Datos'!B475),",","")))),0)&gt;IFERROR(FIND("@",SUBSTITUTE(TRIM('Base de Datos'!B475),".","@",LEN(TRIM('Base de Datos'!B475))-LEN(SUBSTITUTE(TRIM('Base de Datos'!B475),".","")))),0),_xlfn.NUMBERVALUE(SUBSTITUTE(SUBSTITUTE(TRIM('Base de Datos'!B475),".",""),",","."),".",","),_xlfn.NUMBERVALUE(SUBSTITUTE(TRIM('Base de Datos'!B475),",",""),".",",")),"")))</f>
        <v/>
      </c>
      <c r="AF479" s="73" t="str">
        <f aca="false">IF(ISNUMBER(AG479),IF(ISNUMBER('Base de Datos'!I475),IF('Base de Datos'!I475&gt;20000,INT('Base de Datos'!I475),""),IF(TRIM('Base de Datos'!I475)="","",IFERROR(DATE(VALUE(RIGHT(TRIM('Base de Datos'!I475),4)),VALUE(MID(TRIM('Base de Datos'!I475),4,2)),VALUE(LEFT(TRIM('Base de Datos'!I475),2))),IFERROR(DATEVALUE(TRIM('Base de Datos'!I475)),"")))),"")</f>
        <v/>
      </c>
      <c r="AG479" s="74" t="str">
        <f aca="false">IF(ISNUMBER('Base de Datos'!J475),'Base de Datos'!J475,IF(TRIM('Base de Datos'!J475)="","",IFERROR(IF(IFERROR(FIND("@",SUBSTITUTE(TRIM('Base de Datos'!J475),",","@",LEN(TRIM('Base de Datos'!J475))-LEN(SUBSTITUTE(TRIM('Base de Datos'!J475),",","")))),0)&gt;IFERROR(FIND("@",SUBSTITUTE(TRIM('Base de Datos'!J475),".","@",LEN(TRIM('Base de Datos'!J475))-LEN(SUBSTITUTE(TRIM('Base de Datos'!J475),".","")))),0),_xlfn.NUMBERVALUE(SUBSTITUTE(SUBSTITUTE(TRIM('Base de Datos'!J475),".",""),",","."),".",","),_xlfn.NUMBERVALUE(SUBSTITUTE(TRIM('Base de Datos'!J475),",",""),".",",")),"")))</f>
        <v/>
      </c>
    </row>
    <row r="480" customFormat="false" ht="13.5" hidden="false" customHeight="false" outlineLevel="0" collapsed="false">
      <c r="R480" s="75" t="n">
        <f aca="false">ROWS(R$13:R480)</f>
        <v>468</v>
      </c>
      <c r="S480" s="73" t="str">
        <f aca="false">IF(S479="","",IFERROR(SMALL($AD$10:$AD$509,COUNTIF($AD$10:$AD$509,"&lt;="&amp;S479)+1),""))</f>
        <v/>
      </c>
      <c r="T480" s="74" t="str">
        <f aca="false">IF(S480="","",INDEX($AE$10:$AE$509,MATCH(S480,$AD$10:$AD$509,0)))</f>
        <v/>
      </c>
      <c r="U480" s="74" t="str">
        <f aca="false">IF(S480="","",IFERROR(INDEX($AG$10:$AG$509,MATCH(S480,$AF$10:$AF$509,0)),""))</f>
        <v/>
      </c>
      <c r="V480" s="76" t="str">
        <f aca="false">IF(AND(ISNUMBER(T480),ISNUMBER(T479)),T480/T479-1,"")</f>
        <v/>
      </c>
      <c r="W480" s="76" t="str">
        <f aca="false">IF(AND(ISNUMBER(U480),ISNUMBER(U479)),U480/U479-1,"")</f>
        <v/>
      </c>
      <c r="X480" s="75" t="str">
        <f aca="false">IF(AND(ISNUMBER(V480),ISNUMBER(W480)),1,"")</f>
        <v/>
      </c>
      <c r="Y480" s="76" t="str">
        <f aca="false">IF(X480=1,V480,"")</f>
        <v/>
      </c>
      <c r="Z480" s="76" t="str">
        <f aca="false">IF(X480=1,W480,"")</f>
        <v/>
      </c>
      <c r="AA480" s="76" t="e">
        <f aca="false">IF(X480=1,V480,NA())</f>
        <v>#N/A</v>
      </c>
      <c r="AB480" s="76" t="e">
        <f aca="false">IF(X480=1,W480,NA())</f>
        <v>#N/A</v>
      </c>
      <c r="AD480" s="73" t="str">
        <f aca="false">IF(ISNUMBER(AE480),IF(ISNUMBER('Base de Datos'!A476),IF('Base de Datos'!A476&gt;20000,DATE(YEAR('Base de Datos'!A476),DAY('Base de Datos'!A476),MONTH('Base de Datos'!A476)),""),IF(TRIM('Base de Datos'!A476)="","",IFERROR(DATE(VALUE(RIGHT(TRIM('Base de Datos'!A476),4)),VALUE(LEFT(TRIM('Base de Datos'!A476),2)),VALUE(MID(TRIM('Base de Datos'!A476),4,2))),""))),"")</f>
        <v/>
      </c>
      <c r="AE480" s="74" t="str">
        <f aca="false">IF(ISNUMBER('Base de Datos'!B476),'Base de Datos'!B476,IF(TRIM('Base de Datos'!B476)="","",IFERROR(IF(IFERROR(FIND("@",SUBSTITUTE(TRIM('Base de Datos'!B476),",","@",LEN(TRIM('Base de Datos'!B476))-LEN(SUBSTITUTE(TRIM('Base de Datos'!B476),",","")))),0)&gt;IFERROR(FIND("@",SUBSTITUTE(TRIM('Base de Datos'!B476),".","@",LEN(TRIM('Base de Datos'!B476))-LEN(SUBSTITUTE(TRIM('Base de Datos'!B476),".","")))),0),_xlfn.NUMBERVALUE(SUBSTITUTE(SUBSTITUTE(TRIM('Base de Datos'!B476),".",""),",","."),".",","),_xlfn.NUMBERVALUE(SUBSTITUTE(TRIM('Base de Datos'!B476),",",""),".",",")),"")))</f>
        <v/>
      </c>
      <c r="AF480" s="73" t="str">
        <f aca="false">IF(ISNUMBER(AG480),IF(ISNUMBER('Base de Datos'!I476),IF('Base de Datos'!I476&gt;20000,INT('Base de Datos'!I476),""),IF(TRIM('Base de Datos'!I476)="","",IFERROR(DATE(VALUE(RIGHT(TRIM('Base de Datos'!I476),4)),VALUE(MID(TRIM('Base de Datos'!I476),4,2)),VALUE(LEFT(TRIM('Base de Datos'!I476),2))),IFERROR(DATEVALUE(TRIM('Base de Datos'!I476)),"")))),"")</f>
        <v/>
      </c>
      <c r="AG480" s="74" t="str">
        <f aca="false">IF(ISNUMBER('Base de Datos'!J476),'Base de Datos'!J476,IF(TRIM('Base de Datos'!J476)="","",IFERROR(IF(IFERROR(FIND("@",SUBSTITUTE(TRIM('Base de Datos'!J476),",","@",LEN(TRIM('Base de Datos'!J476))-LEN(SUBSTITUTE(TRIM('Base de Datos'!J476),",","")))),0)&gt;IFERROR(FIND("@",SUBSTITUTE(TRIM('Base de Datos'!J476),".","@",LEN(TRIM('Base de Datos'!J476))-LEN(SUBSTITUTE(TRIM('Base de Datos'!J476),".","")))),0),_xlfn.NUMBERVALUE(SUBSTITUTE(SUBSTITUTE(TRIM('Base de Datos'!J476),".",""),",","."),".",","),_xlfn.NUMBERVALUE(SUBSTITUTE(TRIM('Base de Datos'!J476),",",""),".",",")),"")))</f>
        <v/>
      </c>
    </row>
    <row r="481" customFormat="false" ht="13.5" hidden="false" customHeight="false" outlineLevel="0" collapsed="false">
      <c r="R481" s="75" t="n">
        <f aca="false">ROWS(R$13:R481)</f>
        <v>469</v>
      </c>
      <c r="S481" s="73" t="str">
        <f aca="false">IF(S480="","",IFERROR(SMALL($AD$10:$AD$509,COUNTIF($AD$10:$AD$509,"&lt;="&amp;S480)+1),""))</f>
        <v/>
      </c>
      <c r="T481" s="74" t="str">
        <f aca="false">IF(S481="","",INDEX($AE$10:$AE$509,MATCH(S481,$AD$10:$AD$509,0)))</f>
        <v/>
      </c>
      <c r="U481" s="74" t="str">
        <f aca="false">IF(S481="","",IFERROR(INDEX($AG$10:$AG$509,MATCH(S481,$AF$10:$AF$509,0)),""))</f>
        <v/>
      </c>
      <c r="V481" s="76" t="str">
        <f aca="false">IF(AND(ISNUMBER(T481),ISNUMBER(T480)),T481/T480-1,"")</f>
        <v/>
      </c>
      <c r="W481" s="76" t="str">
        <f aca="false">IF(AND(ISNUMBER(U481),ISNUMBER(U480)),U481/U480-1,"")</f>
        <v/>
      </c>
      <c r="X481" s="75" t="str">
        <f aca="false">IF(AND(ISNUMBER(V481),ISNUMBER(W481)),1,"")</f>
        <v/>
      </c>
      <c r="Y481" s="76" t="str">
        <f aca="false">IF(X481=1,V481,"")</f>
        <v/>
      </c>
      <c r="Z481" s="76" t="str">
        <f aca="false">IF(X481=1,W481,"")</f>
        <v/>
      </c>
      <c r="AA481" s="76" t="e">
        <f aca="false">IF(X481=1,V481,NA())</f>
        <v>#N/A</v>
      </c>
      <c r="AB481" s="76" t="e">
        <f aca="false">IF(X481=1,W481,NA())</f>
        <v>#N/A</v>
      </c>
      <c r="AD481" s="73" t="str">
        <f aca="false">IF(ISNUMBER(AE481),IF(ISNUMBER('Base de Datos'!A477),IF('Base de Datos'!A477&gt;20000,DATE(YEAR('Base de Datos'!A477),DAY('Base de Datos'!A477),MONTH('Base de Datos'!A477)),""),IF(TRIM('Base de Datos'!A477)="","",IFERROR(DATE(VALUE(RIGHT(TRIM('Base de Datos'!A477),4)),VALUE(LEFT(TRIM('Base de Datos'!A477),2)),VALUE(MID(TRIM('Base de Datos'!A477),4,2))),""))),"")</f>
        <v/>
      </c>
      <c r="AE481" s="74" t="str">
        <f aca="false">IF(ISNUMBER('Base de Datos'!B477),'Base de Datos'!B477,IF(TRIM('Base de Datos'!B477)="","",IFERROR(IF(IFERROR(FIND("@",SUBSTITUTE(TRIM('Base de Datos'!B477),",","@",LEN(TRIM('Base de Datos'!B477))-LEN(SUBSTITUTE(TRIM('Base de Datos'!B477),",","")))),0)&gt;IFERROR(FIND("@",SUBSTITUTE(TRIM('Base de Datos'!B477),".","@",LEN(TRIM('Base de Datos'!B477))-LEN(SUBSTITUTE(TRIM('Base de Datos'!B477),".","")))),0),_xlfn.NUMBERVALUE(SUBSTITUTE(SUBSTITUTE(TRIM('Base de Datos'!B477),".",""),",","."),".",","),_xlfn.NUMBERVALUE(SUBSTITUTE(TRIM('Base de Datos'!B477),",",""),".",",")),"")))</f>
        <v/>
      </c>
      <c r="AF481" s="73" t="str">
        <f aca="false">IF(ISNUMBER(AG481),IF(ISNUMBER('Base de Datos'!I477),IF('Base de Datos'!I477&gt;20000,INT('Base de Datos'!I477),""),IF(TRIM('Base de Datos'!I477)="","",IFERROR(DATE(VALUE(RIGHT(TRIM('Base de Datos'!I477),4)),VALUE(MID(TRIM('Base de Datos'!I477),4,2)),VALUE(LEFT(TRIM('Base de Datos'!I477),2))),IFERROR(DATEVALUE(TRIM('Base de Datos'!I477)),"")))),"")</f>
        <v/>
      </c>
      <c r="AG481" s="74" t="str">
        <f aca="false">IF(ISNUMBER('Base de Datos'!J477),'Base de Datos'!J477,IF(TRIM('Base de Datos'!J477)="","",IFERROR(IF(IFERROR(FIND("@",SUBSTITUTE(TRIM('Base de Datos'!J477),",","@",LEN(TRIM('Base de Datos'!J477))-LEN(SUBSTITUTE(TRIM('Base de Datos'!J477),",","")))),0)&gt;IFERROR(FIND("@",SUBSTITUTE(TRIM('Base de Datos'!J477),".","@",LEN(TRIM('Base de Datos'!J477))-LEN(SUBSTITUTE(TRIM('Base de Datos'!J477),".","")))),0),_xlfn.NUMBERVALUE(SUBSTITUTE(SUBSTITUTE(TRIM('Base de Datos'!J477),".",""),",","."),".",","),_xlfn.NUMBERVALUE(SUBSTITUTE(TRIM('Base de Datos'!J477),",",""),".",",")),"")))</f>
        <v/>
      </c>
    </row>
    <row r="482" customFormat="false" ht="13.5" hidden="false" customHeight="false" outlineLevel="0" collapsed="false">
      <c r="R482" s="75" t="n">
        <f aca="false">ROWS(R$13:R482)</f>
        <v>470</v>
      </c>
      <c r="S482" s="73" t="str">
        <f aca="false">IF(S481="","",IFERROR(SMALL($AD$10:$AD$509,COUNTIF($AD$10:$AD$509,"&lt;="&amp;S481)+1),""))</f>
        <v/>
      </c>
      <c r="T482" s="74" t="str">
        <f aca="false">IF(S482="","",INDEX($AE$10:$AE$509,MATCH(S482,$AD$10:$AD$509,0)))</f>
        <v/>
      </c>
      <c r="U482" s="74" t="str">
        <f aca="false">IF(S482="","",IFERROR(INDEX($AG$10:$AG$509,MATCH(S482,$AF$10:$AF$509,0)),""))</f>
        <v/>
      </c>
      <c r="V482" s="76" t="str">
        <f aca="false">IF(AND(ISNUMBER(T482),ISNUMBER(T481)),T482/T481-1,"")</f>
        <v/>
      </c>
      <c r="W482" s="76" t="str">
        <f aca="false">IF(AND(ISNUMBER(U482),ISNUMBER(U481)),U482/U481-1,"")</f>
        <v/>
      </c>
      <c r="X482" s="75" t="str">
        <f aca="false">IF(AND(ISNUMBER(V482),ISNUMBER(W482)),1,"")</f>
        <v/>
      </c>
      <c r="Y482" s="76" t="str">
        <f aca="false">IF(X482=1,V482,"")</f>
        <v/>
      </c>
      <c r="Z482" s="76" t="str">
        <f aca="false">IF(X482=1,W482,"")</f>
        <v/>
      </c>
      <c r="AA482" s="76" t="e">
        <f aca="false">IF(X482=1,V482,NA())</f>
        <v>#N/A</v>
      </c>
      <c r="AB482" s="76" t="e">
        <f aca="false">IF(X482=1,W482,NA())</f>
        <v>#N/A</v>
      </c>
      <c r="AD482" s="73" t="str">
        <f aca="false">IF(ISNUMBER(AE482),IF(ISNUMBER('Base de Datos'!A478),IF('Base de Datos'!A478&gt;20000,DATE(YEAR('Base de Datos'!A478),DAY('Base de Datos'!A478),MONTH('Base de Datos'!A478)),""),IF(TRIM('Base de Datos'!A478)="","",IFERROR(DATE(VALUE(RIGHT(TRIM('Base de Datos'!A478),4)),VALUE(LEFT(TRIM('Base de Datos'!A478),2)),VALUE(MID(TRIM('Base de Datos'!A478),4,2))),""))),"")</f>
        <v/>
      </c>
      <c r="AE482" s="74" t="str">
        <f aca="false">IF(ISNUMBER('Base de Datos'!B478),'Base de Datos'!B478,IF(TRIM('Base de Datos'!B478)="","",IFERROR(IF(IFERROR(FIND("@",SUBSTITUTE(TRIM('Base de Datos'!B478),",","@",LEN(TRIM('Base de Datos'!B478))-LEN(SUBSTITUTE(TRIM('Base de Datos'!B478),",","")))),0)&gt;IFERROR(FIND("@",SUBSTITUTE(TRIM('Base de Datos'!B478),".","@",LEN(TRIM('Base de Datos'!B478))-LEN(SUBSTITUTE(TRIM('Base de Datos'!B478),".","")))),0),_xlfn.NUMBERVALUE(SUBSTITUTE(SUBSTITUTE(TRIM('Base de Datos'!B478),".",""),",","."),".",","),_xlfn.NUMBERVALUE(SUBSTITUTE(TRIM('Base de Datos'!B478),",",""),".",",")),"")))</f>
        <v/>
      </c>
      <c r="AF482" s="73" t="str">
        <f aca="false">IF(ISNUMBER(AG482),IF(ISNUMBER('Base de Datos'!I478),IF('Base de Datos'!I478&gt;20000,INT('Base de Datos'!I478),""),IF(TRIM('Base de Datos'!I478)="","",IFERROR(DATE(VALUE(RIGHT(TRIM('Base de Datos'!I478),4)),VALUE(MID(TRIM('Base de Datos'!I478),4,2)),VALUE(LEFT(TRIM('Base de Datos'!I478),2))),IFERROR(DATEVALUE(TRIM('Base de Datos'!I478)),"")))),"")</f>
        <v/>
      </c>
      <c r="AG482" s="74" t="str">
        <f aca="false">IF(ISNUMBER('Base de Datos'!J478),'Base de Datos'!J478,IF(TRIM('Base de Datos'!J478)="","",IFERROR(IF(IFERROR(FIND("@",SUBSTITUTE(TRIM('Base de Datos'!J478),",","@",LEN(TRIM('Base de Datos'!J478))-LEN(SUBSTITUTE(TRIM('Base de Datos'!J478),",","")))),0)&gt;IFERROR(FIND("@",SUBSTITUTE(TRIM('Base de Datos'!J478),".","@",LEN(TRIM('Base de Datos'!J478))-LEN(SUBSTITUTE(TRIM('Base de Datos'!J478),".","")))),0),_xlfn.NUMBERVALUE(SUBSTITUTE(SUBSTITUTE(TRIM('Base de Datos'!J478),".",""),",","."),".",","),_xlfn.NUMBERVALUE(SUBSTITUTE(TRIM('Base de Datos'!J478),",",""),".",",")),"")))</f>
        <v/>
      </c>
    </row>
    <row r="483" customFormat="false" ht="13.5" hidden="false" customHeight="false" outlineLevel="0" collapsed="false">
      <c r="R483" s="75" t="n">
        <f aca="false">ROWS(R$13:R483)</f>
        <v>471</v>
      </c>
      <c r="S483" s="73" t="str">
        <f aca="false">IF(S482="","",IFERROR(SMALL($AD$10:$AD$509,COUNTIF($AD$10:$AD$509,"&lt;="&amp;S482)+1),""))</f>
        <v/>
      </c>
      <c r="T483" s="74" t="str">
        <f aca="false">IF(S483="","",INDEX($AE$10:$AE$509,MATCH(S483,$AD$10:$AD$509,0)))</f>
        <v/>
      </c>
      <c r="U483" s="74" t="str">
        <f aca="false">IF(S483="","",IFERROR(INDEX($AG$10:$AG$509,MATCH(S483,$AF$10:$AF$509,0)),""))</f>
        <v/>
      </c>
      <c r="V483" s="76" t="str">
        <f aca="false">IF(AND(ISNUMBER(T483),ISNUMBER(T482)),T483/T482-1,"")</f>
        <v/>
      </c>
      <c r="W483" s="76" t="str">
        <f aca="false">IF(AND(ISNUMBER(U483),ISNUMBER(U482)),U483/U482-1,"")</f>
        <v/>
      </c>
      <c r="X483" s="75" t="str">
        <f aca="false">IF(AND(ISNUMBER(V483),ISNUMBER(W483)),1,"")</f>
        <v/>
      </c>
      <c r="Y483" s="76" t="str">
        <f aca="false">IF(X483=1,V483,"")</f>
        <v/>
      </c>
      <c r="Z483" s="76" t="str">
        <f aca="false">IF(X483=1,W483,"")</f>
        <v/>
      </c>
      <c r="AA483" s="76" t="e">
        <f aca="false">IF(X483=1,V483,NA())</f>
        <v>#N/A</v>
      </c>
      <c r="AB483" s="76" t="e">
        <f aca="false">IF(X483=1,W483,NA())</f>
        <v>#N/A</v>
      </c>
      <c r="AD483" s="73" t="str">
        <f aca="false">IF(ISNUMBER(AE483),IF(ISNUMBER('Base de Datos'!A479),IF('Base de Datos'!A479&gt;20000,DATE(YEAR('Base de Datos'!A479),DAY('Base de Datos'!A479),MONTH('Base de Datos'!A479)),""),IF(TRIM('Base de Datos'!A479)="","",IFERROR(DATE(VALUE(RIGHT(TRIM('Base de Datos'!A479),4)),VALUE(LEFT(TRIM('Base de Datos'!A479),2)),VALUE(MID(TRIM('Base de Datos'!A479),4,2))),""))),"")</f>
        <v/>
      </c>
      <c r="AE483" s="74" t="str">
        <f aca="false">IF(ISNUMBER('Base de Datos'!B479),'Base de Datos'!B479,IF(TRIM('Base de Datos'!B479)="","",IFERROR(IF(IFERROR(FIND("@",SUBSTITUTE(TRIM('Base de Datos'!B479),",","@",LEN(TRIM('Base de Datos'!B479))-LEN(SUBSTITUTE(TRIM('Base de Datos'!B479),",","")))),0)&gt;IFERROR(FIND("@",SUBSTITUTE(TRIM('Base de Datos'!B479),".","@",LEN(TRIM('Base de Datos'!B479))-LEN(SUBSTITUTE(TRIM('Base de Datos'!B479),".","")))),0),_xlfn.NUMBERVALUE(SUBSTITUTE(SUBSTITUTE(TRIM('Base de Datos'!B479),".",""),",","."),".",","),_xlfn.NUMBERVALUE(SUBSTITUTE(TRIM('Base de Datos'!B479),",",""),".",",")),"")))</f>
        <v/>
      </c>
      <c r="AF483" s="73" t="str">
        <f aca="false">IF(ISNUMBER(AG483),IF(ISNUMBER('Base de Datos'!I479),IF('Base de Datos'!I479&gt;20000,INT('Base de Datos'!I479),""),IF(TRIM('Base de Datos'!I479)="","",IFERROR(DATE(VALUE(RIGHT(TRIM('Base de Datos'!I479),4)),VALUE(MID(TRIM('Base de Datos'!I479),4,2)),VALUE(LEFT(TRIM('Base de Datos'!I479),2))),IFERROR(DATEVALUE(TRIM('Base de Datos'!I479)),"")))),"")</f>
        <v/>
      </c>
      <c r="AG483" s="74" t="str">
        <f aca="false">IF(ISNUMBER('Base de Datos'!J479),'Base de Datos'!J479,IF(TRIM('Base de Datos'!J479)="","",IFERROR(IF(IFERROR(FIND("@",SUBSTITUTE(TRIM('Base de Datos'!J479),",","@",LEN(TRIM('Base de Datos'!J479))-LEN(SUBSTITUTE(TRIM('Base de Datos'!J479),",","")))),0)&gt;IFERROR(FIND("@",SUBSTITUTE(TRIM('Base de Datos'!J479),".","@",LEN(TRIM('Base de Datos'!J479))-LEN(SUBSTITUTE(TRIM('Base de Datos'!J479),".","")))),0),_xlfn.NUMBERVALUE(SUBSTITUTE(SUBSTITUTE(TRIM('Base de Datos'!J479),".",""),",","."),".",","),_xlfn.NUMBERVALUE(SUBSTITUTE(TRIM('Base de Datos'!J479),",",""),".",",")),"")))</f>
        <v/>
      </c>
    </row>
    <row r="484" customFormat="false" ht="13.5" hidden="false" customHeight="false" outlineLevel="0" collapsed="false">
      <c r="R484" s="75" t="n">
        <f aca="false">ROWS(R$13:R484)</f>
        <v>472</v>
      </c>
      <c r="S484" s="73" t="str">
        <f aca="false">IF(S483="","",IFERROR(SMALL($AD$10:$AD$509,COUNTIF($AD$10:$AD$509,"&lt;="&amp;S483)+1),""))</f>
        <v/>
      </c>
      <c r="T484" s="74" t="str">
        <f aca="false">IF(S484="","",INDEX($AE$10:$AE$509,MATCH(S484,$AD$10:$AD$509,0)))</f>
        <v/>
      </c>
      <c r="U484" s="74" t="str">
        <f aca="false">IF(S484="","",IFERROR(INDEX($AG$10:$AG$509,MATCH(S484,$AF$10:$AF$509,0)),""))</f>
        <v/>
      </c>
      <c r="V484" s="76" t="str">
        <f aca="false">IF(AND(ISNUMBER(T484),ISNUMBER(T483)),T484/T483-1,"")</f>
        <v/>
      </c>
      <c r="W484" s="76" t="str">
        <f aca="false">IF(AND(ISNUMBER(U484),ISNUMBER(U483)),U484/U483-1,"")</f>
        <v/>
      </c>
      <c r="X484" s="75" t="str">
        <f aca="false">IF(AND(ISNUMBER(V484),ISNUMBER(W484)),1,"")</f>
        <v/>
      </c>
      <c r="Y484" s="76" t="str">
        <f aca="false">IF(X484=1,V484,"")</f>
        <v/>
      </c>
      <c r="Z484" s="76" t="str">
        <f aca="false">IF(X484=1,W484,"")</f>
        <v/>
      </c>
      <c r="AA484" s="76" t="e">
        <f aca="false">IF(X484=1,V484,NA())</f>
        <v>#N/A</v>
      </c>
      <c r="AB484" s="76" t="e">
        <f aca="false">IF(X484=1,W484,NA())</f>
        <v>#N/A</v>
      </c>
      <c r="AD484" s="73" t="str">
        <f aca="false">IF(ISNUMBER(AE484),IF(ISNUMBER('Base de Datos'!A480),IF('Base de Datos'!A480&gt;20000,DATE(YEAR('Base de Datos'!A480),DAY('Base de Datos'!A480),MONTH('Base de Datos'!A480)),""),IF(TRIM('Base de Datos'!A480)="","",IFERROR(DATE(VALUE(RIGHT(TRIM('Base de Datos'!A480),4)),VALUE(LEFT(TRIM('Base de Datos'!A480),2)),VALUE(MID(TRIM('Base de Datos'!A480),4,2))),""))),"")</f>
        <v/>
      </c>
      <c r="AE484" s="74" t="str">
        <f aca="false">IF(ISNUMBER('Base de Datos'!B480),'Base de Datos'!B480,IF(TRIM('Base de Datos'!B480)="","",IFERROR(IF(IFERROR(FIND("@",SUBSTITUTE(TRIM('Base de Datos'!B480),",","@",LEN(TRIM('Base de Datos'!B480))-LEN(SUBSTITUTE(TRIM('Base de Datos'!B480),",","")))),0)&gt;IFERROR(FIND("@",SUBSTITUTE(TRIM('Base de Datos'!B480),".","@",LEN(TRIM('Base de Datos'!B480))-LEN(SUBSTITUTE(TRIM('Base de Datos'!B480),".","")))),0),_xlfn.NUMBERVALUE(SUBSTITUTE(SUBSTITUTE(TRIM('Base de Datos'!B480),".",""),",","."),".",","),_xlfn.NUMBERVALUE(SUBSTITUTE(TRIM('Base de Datos'!B480),",",""),".",",")),"")))</f>
        <v/>
      </c>
      <c r="AF484" s="73" t="str">
        <f aca="false">IF(ISNUMBER(AG484),IF(ISNUMBER('Base de Datos'!I480),IF('Base de Datos'!I480&gt;20000,INT('Base de Datos'!I480),""),IF(TRIM('Base de Datos'!I480)="","",IFERROR(DATE(VALUE(RIGHT(TRIM('Base de Datos'!I480),4)),VALUE(MID(TRIM('Base de Datos'!I480),4,2)),VALUE(LEFT(TRIM('Base de Datos'!I480),2))),IFERROR(DATEVALUE(TRIM('Base de Datos'!I480)),"")))),"")</f>
        <v/>
      </c>
      <c r="AG484" s="74" t="str">
        <f aca="false">IF(ISNUMBER('Base de Datos'!J480),'Base de Datos'!J480,IF(TRIM('Base de Datos'!J480)="","",IFERROR(IF(IFERROR(FIND("@",SUBSTITUTE(TRIM('Base de Datos'!J480),",","@",LEN(TRIM('Base de Datos'!J480))-LEN(SUBSTITUTE(TRIM('Base de Datos'!J480),",","")))),0)&gt;IFERROR(FIND("@",SUBSTITUTE(TRIM('Base de Datos'!J480),".","@",LEN(TRIM('Base de Datos'!J480))-LEN(SUBSTITUTE(TRIM('Base de Datos'!J480),".","")))),0),_xlfn.NUMBERVALUE(SUBSTITUTE(SUBSTITUTE(TRIM('Base de Datos'!J480),".",""),",","."),".",","),_xlfn.NUMBERVALUE(SUBSTITUTE(TRIM('Base de Datos'!J480),",",""),".",",")),"")))</f>
        <v/>
      </c>
    </row>
    <row r="485" customFormat="false" ht="13.5" hidden="false" customHeight="false" outlineLevel="0" collapsed="false">
      <c r="R485" s="75" t="n">
        <f aca="false">ROWS(R$13:R485)</f>
        <v>473</v>
      </c>
      <c r="S485" s="73" t="str">
        <f aca="false">IF(S484="","",IFERROR(SMALL($AD$10:$AD$509,COUNTIF($AD$10:$AD$509,"&lt;="&amp;S484)+1),""))</f>
        <v/>
      </c>
      <c r="T485" s="74" t="str">
        <f aca="false">IF(S485="","",INDEX($AE$10:$AE$509,MATCH(S485,$AD$10:$AD$509,0)))</f>
        <v/>
      </c>
      <c r="U485" s="74" t="str">
        <f aca="false">IF(S485="","",IFERROR(INDEX($AG$10:$AG$509,MATCH(S485,$AF$10:$AF$509,0)),""))</f>
        <v/>
      </c>
      <c r="V485" s="76" t="str">
        <f aca="false">IF(AND(ISNUMBER(T485),ISNUMBER(T484)),T485/T484-1,"")</f>
        <v/>
      </c>
      <c r="W485" s="76" t="str">
        <f aca="false">IF(AND(ISNUMBER(U485),ISNUMBER(U484)),U485/U484-1,"")</f>
        <v/>
      </c>
      <c r="X485" s="75" t="str">
        <f aca="false">IF(AND(ISNUMBER(V485),ISNUMBER(W485)),1,"")</f>
        <v/>
      </c>
      <c r="Y485" s="76" t="str">
        <f aca="false">IF(X485=1,V485,"")</f>
        <v/>
      </c>
      <c r="Z485" s="76" t="str">
        <f aca="false">IF(X485=1,W485,"")</f>
        <v/>
      </c>
      <c r="AA485" s="76" t="e">
        <f aca="false">IF(X485=1,V485,NA())</f>
        <v>#N/A</v>
      </c>
      <c r="AB485" s="76" t="e">
        <f aca="false">IF(X485=1,W485,NA())</f>
        <v>#N/A</v>
      </c>
      <c r="AD485" s="73" t="str">
        <f aca="false">IF(ISNUMBER(AE485),IF(ISNUMBER('Base de Datos'!A481),IF('Base de Datos'!A481&gt;20000,DATE(YEAR('Base de Datos'!A481),DAY('Base de Datos'!A481),MONTH('Base de Datos'!A481)),""),IF(TRIM('Base de Datos'!A481)="","",IFERROR(DATE(VALUE(RIGHT(TRIM('Base de Datos'!A481),4)),VALUE(LEFT(TRIM('Base de Datos'!A481),2)),VALUE(MID(TRIM('Base de Datos'!A481),4,2))),""))),"")</f>
        <v/>
      </c>
      <c r="AE485" s="74" t="str">
        <f aca="false">IF(ISNUMBER('Base de Datos'!B481),'Base de Datos'!B481,IF(TRIM('Base de Datos'!B481)="","",IFERROR(IF(IFERROR(FIND("@",SUBSTITUTE(TRIM('Base de Datos'!B481),",","@",LEN(TRIM('Base de Datos'!B481))-LEN(SUBSTITUTE(TRIM('Base de Datos'!B481),",","")))),0)&gt;IFERROR(FIND("@",SUBSTITUTE(TRIM('Base de Datos'!B481),".","@",LEN(TRIM('Base de Datos'!B481))-LEN(SUBSTITUTE(TRIM('Base de Datos'!B481),".","")))),0),_xlfn.NUMBERVALUE(SUBSTITUTE(SUBSTITUTE(TRIM('Base de Datos'!B481),".",""),",","."),".",","),_xlfn.NUMBERVALUE(SUBSTITUTE(TRIM('Base de Datos'!B481),",",""),".",",")),"")))</f>
        <v/>
      </c>
      <c r="AF485" s="73" t="str">
        <f aca="false">IF(ISNUMBER(AG485),IF(ISNUMBER('Base de Datos'!I481),IF('Base de Datos'!I481&gt;20000,INT('Base de Datos'!I481),""),IF(TRIM('Base de Datos'!I481)="","",IFERROR(DATE(VALUE(RIGHT(TRIM('Base de Datos'!I481),4)),VALUE(MID(TRIM('Base de Datos'!I481),4,2)),VALUE(LEFT(TRIM('Base de Datos'!I481),2))),IFERROR(DATEVALUE(TRIM('Base de Datos'!I481)),"")))),"")</f>
        <v/>
      </c>
      <c r="AG485" s="74" t="str">
        <f aca="false">IF(ISNUMBER('Base de Datos'!J481),'Base de Datos'!J481,IF(TRIM('Base de Datos'!J481)="","",IFERROR(IF(IFERROR(FIND("@",SUBSTITUTE(TRIM('Base de Datos'!J481),",","@",LEN(TRIM('Base de Datos'!J481))-LEN(SUBSTITUTE(TRIM('Base de Datos'!J481),",","")))),0)&gt;IFERROR(FIND("@",SUBSTITUTE(TRIM('Base de Datos'!J481),".","@",LEN(TRIM('Base de Datos'!J481))-LEN(SUBSTITUTE(TRIM('Base de Datos'!J481),".","")))),0),_xlfn.NUMBERVALUE(SUBSTITUTE(SUBSTITUTE(TRIM('Base de Datos'!J481),".",""),",","."),".",","),_xlfn.NUMBERVALUE(SUBSTITUTE(TRIM('Base de Datos'!J481),",",""),".",",")),"")))</f>
        <v/>
      </c>
    </row>
    <row r="486" customFormat="false" ht="13.5" hidden="false" customHeight="false" outlineLevel="0" collapsed="false">
      <c r="R486" s="75" t="n">
        <f aca="false">ROWS(R$13:R486)</f>
        <v>474</v>
      </c>
      <c r="S486" s="73" t="str">
        <f aca="false">IF(S485="","",IFERROR(SMALL($AD$10:$AD$509,COUNTIF($AD$10:$AD$509,"&lt;="&amp;S485)+1),""))</f>
        <v/>
      </c>
      <c r="T486" s="74" t="str">
        <f aca="false">IF(S486="","",INDEX($AE$10:$AE$509,MATCH(S486,$AD$10:$AD$509,0)))</f>
        <v/>
      </c>
      <c r="U486" s="74" t="str">
        <f aca="false">IF(S486="","",IFERROR(INDEX($AG$10:$AG$509,MATCH(S486,$AF$10:$AF$509,0)),""))</f>
        <v/>
      </c>
      <c r="V486" s="76" t="str">
        <f aca="false">IF(AND(ISNUMBER(T486),ISNUMBER(T485)),T486/T485-1,"")</f>
        <v/>
      </c>
      <c r="W486" s="76" t="str">
        <f aca="false">IF(AND(ISNUMBER(U486),ISNUMBER(U485)),U486/U485-1,"")</f>
        <v/>
      </c>
      <c r="X486" s="75" t="str">
        <f aca="false">IF(AND(ISNUMBER(V486),ISNUMBER(W486)),1,"")</f>
        <v/>
      </c>
      <c r="Y486" s="76" t="str">
        <f aca="false">IF(X486=1,V486,"")</f>
        <v/>
      </c>
      <c r="Z486" s="76" t="str">
        <f aca="false">IF(X486=1,W486,"")</f>
        <v/>
      </c>
      <c r="AA486" s="76" t="e">
        <f aca="false">IF(X486=1,V486,NA())</f>
        <v>#N/A</v>
      </c>
      <c r="AB486" s="76" t="e">
        <f aca="false">IF(X486=1,W486,NA())</f>
        <v>#N/A</v>
      </c>
      <c r="AD486" s="73" t="str">
        <f aca="false">IF(ISNUMBER(AE486),IF(ISNUMBER('Base de Datos'!A482),IF('Base de Datos'!A482&gt;20000,DATE(YEAR('Base de Datos'!A482),DAY('Base de Datos'!A482),MONTH('Base de Datos'!A482)),""),IF(TRIM('Base de Datos'!A482)="","",IFERROR(DATE(VALUE(RIGHT(TRIM('Base de Datos'!A482),4)),VALUE(LEFT(TRIM('Base de Datos'!A482),2)),VALUE(MID(TRIM('Base de Datos'!A482),4,2))),""))),"")</f>
        <v/>
      </c>
      <c r="AE486" s="74" t="str">
        <f aca="false">IF(ISNUMBER('Base de Datos'!B482),'Base de Datos'!B482,IF(TRIM('Base de Datos'!B482)="","",IFERROR(IF(IFERROR(FIND("@",SUBSTITUTE(TRIM('Base de Datos'!B482),",","@",LEN(TRIM('Base de Datos'!B482))-LEN(SUBSTITUTE(TRIM('Base de Datos'!B482),",","")))),0)&gt;IFERROR(FIND("@",SUBSTITUTE(TRIM('Base de Datos'!B482),".","@",LEN(TRIM('Base de Datos'!B482))-LEN(SUBSTITUTE(TRIM('Base de Datos'!B482),".","")))),0),_xlfn.NUMBERVALUE(SUBSTITUTE(SUBSTITUTE(TRIM('Base de Datos'!B482),".",""),",","."),".",","),_xlfn.NUMBERVALUE(SUBSTITUTE(TRIM('Base de Datos'!B482),",",""),".",",")),"")))</f>
        <v/>
      </c>
      <c r="AF486" s="73" t="str">
        <f aca="false">IF(ISNUMBER(AG486),IF(ISNUMBER('Base de Datos'!I482),IF('Base de Datos'!I482&gt;20000,INT('Base de Datos'!I482),""),IF(TRIM('Base de Datos'!I482)="","",IFERROR(DATE(VALUE(RIGHT(TRIM('Base de Datos'!I482),4)),VALUE(MID(TRIM('Base de Datos'!I482),4,2)),VALUE(LEFT(TRIM('Base de Datos'!I482),2))),IFERROR(DATEVALUE(TRIM('Base de Datos'!I482)),"")))),"")</f>
        <v/>
      </c>
      <c r="AG486" s="74" t="str">
        <f aca="false">IF(ISNUMBER('Base de Datos'!J482),'Base de Datos'!J482,IF(TRIM('Base de Datos'!J482)="","",IFERROR(IF(IFERROR(FIND("@",SUBSTITUTE(TRIM('Base de Datos'!J482),",","@",LEN(TRIM('Base de Datos'!J482))-LEN(SUBSTITUTE(TRIM('Base de Datos'!J482),",","")))),0)&gt;IFERROR(FIND("@",SUBSTITUTE(TRIM('Base de Datos'!J482),".","@",LEN(TRIM('Base de Datos'!J482))-LEN(SUBSTITUTE(TRIM('Base de Datos'!J482),".","")))),0),_xlfn.NUMBERVALUE(SUBSTITUTE(SUBSTITUTE(TRIM('Base de Datos'!J482),".",""),",","."),".",","),_xlfn.NUMBERVALUE(SUBSTITUTE(TRIM('Base de Datos'!J482),",",""),".",",")),"")))</f>
        <v/>
      </c>
    </row>
    <row r="487" customFormat="false" ht="13.5" hidden="false" customHeight="false" outlineLevel="0" collapsed="false">
      <c r="R487" s="75" t="n">
        <f aca="false">ROWS(R$13:R487)</f>
        <v>475</v>
      </c>
      <c r="S487" s="73" t="str">
        <f aca="false">IF(S486="","",IFERROR(SMALL($AD$10:$AD$509,COUNTIF($AD$10:$AD$509,"&lt;="&amp;S486)+1),""))</f>
        <v/>
      </c>
      <c r="T487" s="74" t="str">
        <f aca="false">IF(S487="","",INDEX($AE$10:$AE$509,MATCH(S487,$AD$10:$AD$509,0)))</f>
        <v/>
      </c>
      <c r="U487" s="74" t="str">
        <f aca="false">IF(S487="","",IFERROR(INDEX($AG$10:$AG$509,MATCH(S487,$AF$10:$AF$509,0)),""))</f>
        <v/>
      </c>
      <c r="V487" s="76" t="str">
        <f aca="false">IF(AND(ISNUMBER(T487),ISNUMBER(T486)),T487/T486-1,"")</f>
        <v/>
      </c>
      <c r="W487" s="76" t="str">
        <f aca="false">IF(AND(ISNUMBER(U487),ISNUMBER(U486)),U487/U486-1,"")</f>
        <v/>
      </c>
      <c r="X487" s="75" t="str">
        <f aca="false">IF(AND(ISNUMBER(V487),ISNUMBER(W487)),1,"")</f>
        <v/>
      </c>
      <c r="Y487" s="76" t="str">
        <f aca="false">IF(X487=1,V487,"")</f>
        <v/>
      </c>
      <c r="Z487" s="76" t="str">
        <f aca="false">IF(X487=1,W487,"")</f>
        <v/>
      </c>
      <c r="AA487" s="76" t="e">
        <f aca="false">IF(X487=1,V487,NA())</f>
        <v>#N/A</v>
      </c>
      <c r="AB487" s="76" t="e">
        <f aca="false">IF(X487=1,W487,NA())</f>
        <v>#N/A</v>
      </c>
      <c r="AD487" s="73" t="str">
        <f aca="false">IF(ISNUMBER(AE487),IF(ISNUMBER('Base de Datos'!A483),IF('Base de Datos'!A483&gt;20000,DATE(YEAR('Base de Datos'!A483),DAY('Base de Datos'!A483),MONTH('Base de Datos'!A483)),""),IF(TRIM('Base de Datos'!A483)="","",IFERROR(DATE(VALUE(RIGHT(TRIM('Base de Datos'!A483),4)),VALUE(LEFT(TRIM('Base de Datos'!A483),2)),VALUE(MID(TRIM('Base de Datos'!A483),4,2))),""))),"")</f>
        <v/>
      </c>
      <c r="AE487" s="74" t="str">
        <f aca="false">IF(ISNUMBER('Base de Datos'!B483),'Base de Datos'!B483,IF(TRIM('Base de Datos'!B483)="","",IFERROR(IF(IFERROR(FIND("@",SUBSTITUTE(TRIM('Base de Datos'!B483),",","@",LEN(TRIM('Base de Datos'!B483))-LEN(SUBSTITUTE(TRIM('Base de Datos'!B483),",","")))),0)&gt;IFERROR(FIND("@",SUBSTITUTE(TRIM('Base de Datos'!B483),".","@",LEN(TRIM('Base de Datos'!B483))-LEN(SUBSTITUTE(TRIM('Base de Datos'!B483),".","")))),0),_xlfn.NUMBERVALUE(SUBSTITUTE(SUBSTITUTE(TRIM('Base de Datos'!B483),".",""),",","."),".",","),_xlfn.NUMBERVALUE(SUBSTITUTE(TRIM('Base de Datos'!B483),",",""),".",",")),"")))</f>
        <v/>
      </c>
      <c r="AF487" s="73" t="str">
        <f aca="false">IF(ISNUMBER(AG487),IF(ISNUMBER('Base de Datos'!I483),IF('Base de Datos'!I483&gt;20000,INT('Base de Datos'!I483),""),IF(TRIM('Base de Datos'!I483)="","",IFERROR(DATE(VALUE(RIGHT(TRIM('Base de Datos'!I483),4)),VALUE(MID(TRIM('Base de Datos'!I483),4,2)),VALUE(LEFT(TRIM('Base de Datos'!I483),2))),IFERROR(DATEVALUE(TRIM('Base de Datos'!I483)),"")))),"")</f>
        <v/>
      </c>
      <c r="AG487" s="74" t="str">
        <f aca="false">IF(ISNUMBER('Base de Datos'!J483),'Base de Datos'!J483,IF(TRIM('Base de Datos'!J483)="","",IFERROR(IF(IFERROR(FIND("@",SUBSTITUTE(TRIM('Base de Datos'!J483),",","@",LEN(TRIM('Base de Datos'!J483))-LEN(SUBSTITUTE(TRIM('Base de Datos'!J483),",","")))),0)&gt;IFERROR(FIND("@",SUBSTITUTE(TRIM('Base de Datos'!J483),".","@",LEN(TRIM('Base de Datos'!J483))-LEN(SUBSTITUTE(TRIM('Base de Datos'!J483),".","")))),0),_xlfn.NUMBERVALUE(SUBSTITUTE(SUBSTITUTE(TRIM('Base de Datos'!J483),".",""),",","."),".",","),_xlfn.NUMBERVALUE(SUBSTITUTE(TRIM('Base de Datos'!J483),",",""),".",",")),"")))</f>
        <v/>
      </c>
    </row>
    <row r="488" customFormat="false" ht="13.5" hidden="false" customHeight="false" outlineLevel="0" collapsed="false">
      <c r="R488" s="75" t="n">
        <f aca="false">ROWS(R$13:R488)</f>
        <v>476</v>
      </c>
      <c r="S488" s="73" t="str">
        <f aca="false">IF(S487="","",IFERROR(SMALL($AD$10:$AD$509,COUNTIF($AD$10:$AD$509,"&lt;="&amp;S487)+1),""))</f>
        <v/>
      </c>
      <c r="T488" s="74" t="str">
        <f aca="false">IF(S488="","",INDEX($AE$10:$AE$509,MATCH(S488,$AD$10:$AD$509,0)))</f>
        <v/>
      </c>
      <c r="U488" s="74" t="str">
        <f aca="false">IF(S488="","",IFERROR(INDEX($AG$10:$AG$509,MATCH(S488,$AF$10:$AF$509,0)),""))</f>
        <v/>
      </c>
      <c r="V488" s="76" t="str">
        <f aca="false">IF(AND(ISNUMBER(T488),ISNUMBER(T487)),T488/T487-1,"")</f>
        <v/>
      </c>
      <c r="W488" s="76" t="str">
        <f aca="false">IF(AND(ISNUMBER(U488),ISNUMBER(U487)),U488/U487-1,"")</f>
        <v/>
      </c>
      <c r="X488" s="75" t="str">
        <f aca="false">IF(AND(ISNUMBER(V488),ISNUMBER(W488)),1,"")</f>
        <v/>
      </c>
      <c r="Y488" s="76" t="str">
        <f aca="false">IF(X488=1,V488,"")</f>
        <v/>
      </c>
      <c r="Z488" s="76" t="str">
        <f aca="false">IF(X488=1,W488,"")</f>
        <v/>
      </c>
      <c r="AA488" s="76" t="e">
        <f aca="false">IF(X488=1,V488,NA())</f>
        <v>#N/A</v>
      </c>
      <c r="AB488" s="76" t="e">
        <f aca="false">IF(X488=1,W488,NA())</f>
        <v>#N/A</v>
      </c>
      <c r="AD488" s="73" t="str">
        <f aca="false">IF(ISNUMBER(AE488),IF(ISNUMBER('Base de Datos'!A484),IF('Base de Datos'!A484&gt;20000,DATE(YEAR('Base de Datos'!A484),DAY('Base de Datos'!A484),MONTH('Base de Datos'!A484)),""),IF(TRIM('Base de Datos'!A484)="","",IFERROR(DATE(VALUE(RIGHT(TRIM('Base de Datos'!A484),4)),VALUE(LEFT(TRIM('Base de Datos'!A484),2)),VALUE(MID(TRIM('Base de Datos'!A484),4,2))),""))),"")</f>
        <v/>
      </c>
      <c r="AE488" s="74" t="str">
        <f aca="false">IF(ISNUMBER('Base de Datos'!B484),'Base de Datos'!B484,IF(TRIM('Base de Datos'!B484)="","",IFERROR(IF(IFERROR(FIND("@",SUBSTITUTE(TRIM('Base de Datos'!B484),",","@",LEN(TRIM('Base de Datos'!B484))-LEN(SUBSTITUTE(TRIM('Base de Datos'!B484),",","")))),0)&gt;IFERROR(FIND("@",SUBSTITUTE(TRIM('Base de Datos'!B484),".","@",LEN(TRIM('Base de Datos'!B484))-LEN(SUBSTITUTE(TRIM('Base de Datos'!B484),".","")))),0),_xlfn.NUMBERVALUE(SUBSTITUTE(SUBSTITUTE(TRIM('Base de Datos'!B484),".",""),",","."),".",","),_xlfn.NUMBERVALUE(SUBSTITUTE(TRIM('Base de Datos'!B484),",",""),".",",")),"")))</f>
        <v/>
      </c>
      <c r="AF488" s="73" t="str">
        <f aca="false">IF(ISNUMBER(AG488),IF(ISNUMBER('Base de Datos'!I484),IF('Base de Datos'!I484&gt;20000,INT('Base de Datos'!I484),""),IF(TRIM('Base de Datos'!I484)="","",IFERROR(DATE(VALUE(RIGHT(TRIM('Base de Datos'!I484),4)),VALUE(MID(TRIM('Base de Datos'!I484),4,2)),VALUE(LEFT(TRIM('Base de Datos'!I484),2))),IFERROR(DATEVALUE(TRIM('Base de Datos'!I484)),"")))),"")</f>
        <v/>
      </c>
      <c r="AG488" s="74" t="str">
        <f aca="false">IF(ISNUMBER('Base de Datos'!J484),'Base de Datos'!J484,IF(TRIM('Base de Datos'!J484)="","",IFERROR(IF(IFERROR(FIND("@",SUBSTITUTE(TRIM('Base de Datos'!J484),",","@",LEN(TRIM('Base de Datos'!J484))-LEN(SUBSTITUTE(TRIM('Base de Datos'!J484),",","")))),0)&gt;IFERROR(FIND("@",SUBSTITUTE(TRIM('Base de Datos'!J484),".","@",LEN(TRIM('Base de Datos'!J484))-LEN(SUBSTITUTE(TRIM('Base de Datos'!J484),".","")))),0),_xlfn.NUMBERVALUE(SUBSTITUTE(SUBSTITUTE(TRIM('Base de Datos'!J484),".",""),",","."),".",","),_xlfn.NUMBERVALUE(SUBSTITUTE(TRIM('Base de Datos'!J484),",",""),".",",")),"")))</f>
        <v/>
      </c>
    </row>
    <row r="489" customFormat="false" ht="13.5" hidden="false" customHeight="false" outlineLevel="0" collapsed="false">
      <c r="R489" s="75" t="n">
        <f aca="false">ROWS(R$13:R489)</f>
        <v>477</v>
      </c>
      <c r="S489" s="73" t="str">
        <f aca="false">IF(S488="","",IFERROR(SMALL($AD$10:$AD$509,COUNTIF($AD$10:$AD$509,"&lt;="&amp;S488)+1),""))</f>
        <v/>
      </c>
      <c r="T489" s="74" t="str">
        <f aca="false">IF(S489="","",INDEX($AE$10:$AE$509,MATCH(S489,$AD$10:$AD$509,0)))</f>
        <v/>
      </c>
      <c r="U489" s="74" t="str">
        <f aca="false">IF(S489="","",IFERROR(INDEX($AG$10:$AG$509,MATCH(S489,$AF$10:$AF$509,0)),""))</f>
        <v/>
      </c>
      <c r="V489" s="76" t="str">
        <f aca="false">IF(AND(ISNUMBER(T489),ISNUMBER(T488)),T489/T488-1,"")</f>
        <v/>
      </c>
      <c r="W489" s="76" t="str">
        <f aca="false">IF(AND(ISNUMBER(U489),ISNUMBER(U488)),U489/U488-1,"")</f>
        <v/>
      </c>
      <c r="X489" s="75" t="str">
        <f aca="false">IF(AND(ISNUMBER(V489),ISNUMBER(W489)),1,"")</f>
        <v/>
      </c>
      <c r="Y489" s="76" t="str">
        <f aca="false">IF(X489=1,V489,"")</f>
        <v/>
      </c>
      <c r="Z489" s="76" t="str">
        <f aca="false">IF(X489=1,W489,"")</f>
        <v/>
      </c>
      <c r="AA489" s="76" t="e">
        <f aca="false">IF(X489=1,V489,NA())</f>
        <v>#N/A</v>
      </c>
      <c r="AB489" s="76" t="e">
        <f aca="false">IF(X489=1,W489,NA())</f>
        <v>#N/A</v>
      </c>
      <c r="AD489" s="73" t="str">
        <f aca="false">IF(ISNUMBER(AE489),IF(ISNUMBER('Base de Datos'!A485),IF('Base de Datos'!A485&gt;20000,DATE(YEAR('Base de Datos'!A485),DAY('Base de Datos'!A485),MONTH('Base de Datos'!A485)),""),IF(TRIM('Base de Datos'!A485)="","",IFERROR(DATE(VALUE(RIGHT(TRIM('Base de Datos'!A485),4)),VALUE(LEFT(TRIM('Base de Datos'!A485),2)),VALUE(MID(TRIM('Base de Datos'!A485),4,2))),""))),"")</f>
        <v/>
      </c>
      <c r="AE489" s="74" t="str">
        <f aca="false">IF(ISNUMBER('Base de Datos'!B485),'Base de Datos'!B485,IF(TRIM('Base de Datos'!B485)="","",IFERROR(IF(IFERROR(FIND("@",SUBSTITUTE(TRIM('Base de Datos'!B485),",","@",LEN(TRIM('Base de Datos'!B485))-LEN(SUBSTITUTE(TRIM('Base de Datos'!B485),",","")))),0)&gt;IFERROR(FIND("@",SUBSTITUTE(TRIM('Base de Datos'!B485),".","@",LEN(TRIM('Base de Datos'!B485))-LEN(SUBSTITUTE(TRIM('Base de Datos'!B485),".","")))),0),_xlfn.NUMBERVALUE(SUBSTITUTE(SUBSTITUTE(TRIM('Base de Datos'!B485),".",""),",","."),".",","),_xlfn.NUMBERVALUE(SUBSTITUTE(TRIM('Base de Datos'!B485),",",""),".",",")),"")))</f>
        <v/>
      </c>
      <c r="AF489" s="73" t="str">
        <f aca="false">IF(ISNUMBER(AG489),IF(ISNUMBER('Base de Datos'!I485),IF('Base de Datos'!I485&gt;20000,INT('Base de Datos'!I485),""),IF(TRIM('Base de Datos'!I485)="","",IFERROR(DATE(VALUE(RIGHT(TRIM('Base de Datos'!I485),4)),VALUE(MID(TRIM('Base de Datos'!I485),4,2)),VALUE(LEFT(TRIM('Base de Datos'!I485),2))),IFERROR(DATEVALUE(TRIM('Base de Datos'!I485)),"")))),"")</f>
        <v/>
      </c>
      <c r="AG489" s="74" t="str">
        <f aca="false">IF(ISNUMBER('Base de Datos'!J485),'Base de Datos'!J485,IF(TRIM('Base de Datos'!J485)="","",IFERROR(IF(IFERROR(FIND("@",SUBSTITUTE(TRIM('Base de Datos'!J485),",","@",LEN(TRIM('Base de Datos'!J485))-LEN(SUBSTITUTE(TRIM('Base de Datos'!J485),",","")))),0)&gt;IFERROR(FIND("@",SUBSTITUTE(TRIM('Base de Datos'!J485),".","@",LEN(TRIM('Base de Datos'!J485))-LEN(SUBSTITUTE(TRIM('Base de Datos'!J485),".","")))),0),_xlfn.NUMBERVALUE(SUBSTITUTE(SUBSTITUTE(TRIM('Base de Datos'!J485),".",""),",","."),".",","),_xlfn.NUMBERVALUE(SUBSTITUTE(TRIM('Base de Datos'!J485),",",""),".",",")),"")))</f>
        <v/>
      </c>
    </row>
    <row r="490" customFormat="false" ht="13.5" hidden="false" customHeight="false" outlineLevel="0" collapsed="false">
      <c r="R490" s="75" t="n">
        <f aca="false">ROWS(R$13:R490)</f>
        <v>478</v>
      </c>
      <c r="S490" s="73" t="str">
        <f aca="false">IF(S489="","",IFERROR(SMALL($AD$10:$AD$509,COUNTIF($AD$10:$AD$509,"&lt;="&amp;S489)+1),""))</f>
        <v/>
      </c>
      <c r="T490" s="74" t="str">
        <f aca="false">IF(S490="","",INDEX($AE$10:$AE$509,MATCH(S490,$AD$10:$AD$509,0)))</f>
        <v/>
      </c>
      <c r="U490" s="74" t="str">
        <f aca="false">IF(S490="","",IFERROR(INDEX($AG$10:$AG$509,MATCH(S490,$AF$10:$AF$509,0)),""))</f>
        <v/>
      </c>
      <c r="V490" s="76" t="str">
        <f aca="false">IF(AND(ISNUMBER(T490),ISNUMBER(T489)),T490/T489-1,"")</f>
        <v/>
      </c>
      <c r="W490" s="76" t="str">
        <f aca="false">IF(AND(ISNUMBER(U490),ISNUMBER(U489)),U490/U489-1,"")</f>
        <v/>
      </c>
      <c r="X490" s="75" t="str">
        <f aca="false">IF(AND(ISNUMBER(V490),ISNUMBER(W490)),1,"")</f>
        <v/>
      </c>
      <c r="Y490" s="76" t="str">
        <f aca="false">IF(X490=1,V490,"")</f>
        <v/>
      </c>
      <c r="Z490" s="76" t="str">
        <f aca="false">IF(X490=1,W490,"")</f>
        <v/>
      </c>
      <c r="AA490" s="76" t="e">
        <f aca="false">IF(X490=1,V490,NA())</f>
        <v>#N/A</v>
      </c>
      <c r="AB490" s="76" t="e">
        <f aca="false">IF(X490=1,W490,NA())</f>
        <v>#N/A</v>
      </c>
      <c r="AD490" s="73" t="str">
        <f aca="false">IF(ISNUMBER(AE490),IF(ISNUMBER('Base de Datos'!A486),IF('Base de Datos'!A486&gt;20000,DATE(YEAR('Base de Datos'!A486),DAY('Base de Datos'!A486),MONTH('Base de Datos'!A486)),""),IF(TRIM('Base de Datos'!A486)="","",IFERROR(DATE(VALUE(RIGHT(TRIM('Base de Datos'!A486),4)),VALUE(LEFT(TRIM('Base de Datos'!A486),2)),VALUE(MID(TRIM('Base de Datos'!A486),4,2))),""))),"")</f>
        <v/>
      </c>
      <c r="AE490" s="74" t="str">
        <f aca="false">IF(ISNUMBER('Base de Datos'!B486),'Base de Datos'!B486,IF(TRIM('Base de Datos'!B486)="","",IFERROR(IF(IFERROR(FIND("@",SUBSTITUTE(TRIM('Base de Datos'!B486),",","@",LEN(TRIM('Base de Datos'!B486))-LEN(SUBSTITUTE(TRIM('Base de Datos'!B486),",","")))),0)&gt;IFERROR(FIND("@",SUBSTITUTE(TRIM('Base de Datos'!B486),".","@",LEN(TRIM('Base de Datos'!B486))-LEN(SUBSTITUTE(TRIM('Base de Datos'!B486),".","")))),0),_xlfn.NUMBERVALUE(SUBSTITUTE(SUBSTITUTE(TRIM('Base de Datos'!B486),".",""),",","."),".",","),_xlfn.NUMBERVALUE(SUBSTITUTE(TRIM('Base de Datos'!B486),",",""),".",",")),"")))</f>
        <v/>
      </c>
      <c r="AF490" s="73" t="str">
        <f aca="false">IF(ISNUMBER(AG490),IF(ISNUMBER('Base de Datos'!I486),IF('Base de Datos'!I486&gt;20000,INT('Base de Datos'!I486),""),IF(TRIM('Base de Datos'!I486)="","",IFERROR(DATE(VALUE(RIGHT(TRIM('Base de Datos'!I486),4)),VALUE(MID(TRIM('Base de Datos'!I486),4,2)),VALUE(LEFT(TRIM('Base de Datos'!I486),2))),IFERROR(DATEVALUE(TRIM('Base de Datos'!I486)),"")))),"")</f>
        <v/>
      </c>
      <c r="AG490" s="74" t="str">
        <f aca="false">IF(ISNUMBER('Base de Datos'!J486),'Base de Datos'!J486,IF(TRIM('Base de Datos'!J486)="","",IFERROR(IF(IFERROR(FIND("@",SUBSTITUTE(TRIM('Base de Datos'!J486),",","@",LEN(TRIM('Base de Datos'!J486))-LEN(SUBSTITUTE(TRIM('Base de Datos'!J486),",","")))),0)&gt;IFERROR(FIND("@",SUBSTITUTE(TRIM('Base de Datos'!J486),".","@",LEN(TRIM('Base de Datos'!J486))-LEN(SUBSTITUTE(TRIM('Base de Datos'!J486),".","")))),0),_xlfn.NUMBERVALUE(SUBSTITUTE(SUBSTITUTE(TRIM('Base de Datos'!J486),".",""),",","."),".",","),_xlfn.NUMBERVALUE(SUBSTITUTE(TRIM('Base de Datos'!J486),",",""),".",",")),"")))</f>
        <v/>
      </c>
    </row>
    <row r="491" customFormat="false" ht="13.5" hidden="false" customHeight="false" outlineLevel="0" collapsed="false">
      <c r="R491" s="75" t="n">
        <f aca="false">ROWS(R$13:R491)</f>
        <v>479</v>
      </c>
      <c r="S491" s="73" t="str">
        <f aca="false">IF(S490="","",IFERROR(SMALL($AD$10:$AD$509,COUNTIF($AD$10:$AD$509,"&lt;="&amp;S490)+1),""))</f>
        <v/>
      </c>
      <c r="T491" s="74" t="str">
        <f aca="false">IF(S491="","",INDEX($AE$10:$AE$509,MATCH(S491,$AD$10:$AD$509,0)))</f>
        <v/>
      </c>
      <c r="U491" s="74" t="str">
        <f aca="false">IF(S491="","",IFERROR(INDEX($AG$10:$AG$509,MATCH(S491,$AF$10:$AF$509,0)),""))</f>
        <v/>
      </c>
      <c r="V491" s="76" t="str">
        <f aca="false">IF(AND(ISNUMBER(T491),ISNUMBER(T490)),T491/T490-1,"")</f>
        <v/>
      </c>
      <c r="W491" s="76" t="str">
        <f aca="false">IF(AND(ISNUMBER(U491),ISNUMBER(U490)),U491/U490-1,"")</f>
        <v/>
      </c>
      <c r="X491" s="75" t="str">
        <f aca="false">IF(AND(ISNUMBER(V491),ISNUMBER(W491)),1,"")</f>
        <v/>
      </c>
      <c r="Y491" s="76" t="str">
        <f aca="false">IF(X491=1,V491,"")</f>
        <v/>
      </c>
      <c r="Z491" s="76" t="str">
        <f aca="false">IF(X491=1,W491,"")</f>
        <v/>
      </c>
      <c r="AA491" s="76" t="e">
        <f aca="false">IF(X491=1,V491,NA())</f>
        <v>#N/A</v>
      </c>
      <c r="AB491" s="76" t="e">
        <f aca="false">IF(X491=1,W491,NA())</f>
        <v>#N/A</v>
      </c>
      <c r="AD491" s="73" t="str">
        <f aca="false">IF(ISNUMBER(AE491),IF(ISNUMBER('Base de Datos'!A487),IF('Base de Datos'!A487&gt;20000,DATE(YEAR('Base de Datos'!A487),DAY('Base de Datos'!A487),MONTH('Base de Datos'!A487)),""),IF(TRIM('Base de Datos'!A487)="","",IFERROR(DATE(VALUE(RIGHT(TRIM('Base de Datos'!A487),4)),VALUE(LEFT(TRIM('Base de Datos'!A487),2)),VALUE(MID(TRIM('Base de Datos'!A487),4,2))),""))),"")</f>
        <v/>
      </c>
      <c r="AE491" s="74" t="str">
        <f aca="false">IF(ISNUMBER('Base de Datos'!B487),'Base de Datos'!B487,IF(TRIM('Base de Datos'!B487)="","",IFERROR(IF(IFERROR(FIND("@",SUBSTITUTE(TRIM('Base de Datos'!B487),",","@",LEN(TRIM('Base de Datos'!B487))-LEN(SUBSTITUTE(TRIM('Base de Datos'!B487),",","")))),0)&gt;IFERROR(FIND("@",SUBSTITUTE(TRIM('Base de Datos'!B487),".","@",LEN(TRIM('Base de Datos'!B487))-LEN(SUBSTITUTE(TRIM('Base de Datos'!B487),".","")))),0),_xlfn.NUMBERVALUE(SUBSTITUTE(SUBSTITUTE(TRIM('Base de Datos'!B487),".",""),",","."),".",","),_xlfn.NUMBERVALUE(SUBSTITUTE(TRIM('Base de Datos'!B487),",",""),".",",")),"")))</f>
        <v/>
      </c>
      <c r="AF491" s="73" t="str">
        <f aca="false">IF(ISNUMBER(AG491),IF(ISNUMBER('Base de Datos'!I487),IF('Base de Datos'!I487&gt;20000,INT('Base de Datos'!I487),""),IF(TRIM('Base de Datos'!I487)="","",IFERROR(DATE(VALUE(RIGHT(TRIM('Base de Datos'!I487),4)),VALUE(MID(TRIM('Base de Datos'!I487),4,2)),VALUE(LEFT(TRIM('Base de Datos'!I487),2))),IFERROR(DATEVALUE(TRIM('Base de Datos'!I487)),"")))),"")</f>
        <v/>
      </c>
      <c r="AG491" s="74" t="str">
        <f aca="false">IF(ISNUMBER('Base de Datos'!J487),'Base de Datos'!J487,IF(TRIM('Base de Datos'!J487)="","",IFERROR(IF(IFERROR(FIND("@",SUBSTITUTE(TRIM('Base de Datos'!J487),",","@",LEN(TRIM('Base de Datos'!J487))-LEN(SUBSTITUTE(TRIM('Base de Datos'!J487),",","")))),0)&gt;IFERROR(FIND("@",SUBSTITUTE(TRIM('Base de Datos'!J487),".","@",LEN(TRIM('Base de Datos'!J487))-LEN(SUBSTITUTE(TRIM('Base de Datos'!J487),".","")))),0),_xlfn.NUMBERVALUE(SUBSTITUTE(SUBSTITUTE(TRIM('Base de Datos'!J487),".",""),",","."),".",","),_xlfn.NUMBERVALUE(SUBSTITUTE(TRIM('Base de Datos'!J487),",",""),".",",")),"")))</f>
        <v/>
      </c>
    </row>
    <row r="492" customFormat="false" ht="13.5" hidden="false" customHeight="false" outlineLevel="0" collapsed="false">
      <c r="R492" s="75" t="n">
        <f aca="false">ROWS(R$13:R492)</f>
        <v>480</v>
      </c>
      <c r="S492" s="73" t="str">
        <f aca="false">IF(S491="","",IFERROR(SMALL($AD$10:$AD$509,COUNTIF($AD$10:$AD$509,"&lt;="&amp;S491)+1),""))</f>
        <v/>
      </c>
      <c r="T492" s="74" t="str">
        <f aca="false">IF(S492="","",INDEX($AE$10:$AE$509,MATCH(S492,$AD$10:$AD$509,0)))</f>
        <v/>
      </c>
      <c r="U492" s="74" t="str">
        <f aca="false">IF(S492="","",IFERROR(INDEX($AG$10:$AG$509,MATCH(S492,$AF$10:$AF$509,0)),""))</f>
        <v/>
      </c>
      <c r="V492" s="76" t="str">
        <f aca="false">IF(AND(ISNUMBER(T492),ISNUMBER(T491)),T492/T491-1,"")</f>
        <v/>
      </c>
      <c r="W492" s="76" t="str">
        <f aca="false">IF(AND(ISNUMBER(U492),ISNUMBER(U491)),U492/U491-1,"")</f>
        <v/>
      </c>
      <c r="X492" s="75" t="str">
        <f aca="false">IF(AND(ISNUMBER(V492),ISNUMBER(W492)),1,"")</f>
        <v/>
      </c>
      <c r="Y492" s="76" t="str">
        <f aca="false">IF(X492=1,V492,"")</f>
        <v/>
      </c>
      <c r="Z492" s="76" t="str">
        <f aca="false">IF(X492=1,W492,"")</f>
        <v/>
      </c>
      <c r="AA492" s="76" t="e">
        <f aca="false">IF(X492=1,V492,NA())</f>
        <v>#N/A</v>
      </c>
      <c r="AB492" s="76" t="e">
        <f aca="false">IF(X492=1,W492,NA())</f>
        <v>#N/A</v>
      </c>
      <c r="AD492" s="73" t="str">
        <f aca="false">IF(ISNUMBER(AE492),IF(ISNUMBER('Base de Datos'!A488),IF('Base de Datos'!A488&gt;20000,DATE(YEAR('Base de Datos'!A488),DAY('Base de Datos'!A488),MONTH('Base de Datos'!A488)),""),IF(TRIM('Base de Datos'!A488)="","",IFERROR(DATE(VALUE(RIGHT(TRIM('Base de Datos'!A488),4)),VALUE(LEFT(TRIM('Base de Datos'!A488),2)),VALUE(MID(TRIM('Base de Datos'!A488),4,2))),""))),"")</f>
        <v/>
      </c>
      <c r="AE492" s="74" t="str">
        <f aca="false">IF(ISNUMBER('Base de Datos'!B488),'Base de Datos'!B488,IF(TRIM('Base de Datos'!B488)="","",IFERROR(IF(IFERROR(FIND("@",SUBSTITUTE(TRIM('Base de Datos'!B488),",","@",LEN(TRIM('Base de Datos'!B488))-LEN(SUBSTITUTE(TRIM('Base de Datos'!B488),",","")))),0)&gt;IFERROR(FIND("@",SUBSTITUTE(TRIM('Base de Datos'!B488),".","@",LEN(TRIM('Base de Datos'!B488))-LEN(SUBSTITUTE(TRIM('Base de Datos'!B488),".","")))),0),_xlfn.NUMBERVALUE(SUBSTITUTE(SUBSTITUTE(TRIM('Base de Datos'!B488),".",""),",","."),".",","),_xlfn.NUMBERVALUE(SUBSTITUTE(TRIM('Base de Datos'!B488),",",""),".",",")),"")))</f>
        <v/>
      </c>
      <c r="AF492" s="73" t="str">
        <f aca="false">IF(ISNUMBER(AG492),IF(ISNUMBER('Base de Datos'!I488),IF('Base de Datos'!I488&gt;20000,INT('Base de Datos'!I488),""),IF(TRIM('Base de Datos'!I488)="","",IFERROR(DATE(VALUE(RIGHT(TRIM('Base de Datos'!I488),4)),VALUE(MID(TRIM('Base de Datos'!I488),4,2)),VALUE(LEFT(TRIM('Base de Datos'!I488),2))),IFERROR(DATEVALUE(TRIM('Base de Datos'!I488)),"")))),"")</f>
        <v/>
      </c>
      <c r="AG492" s="74" t="str">
        <f aca="false">IF(ISNUMBER('Base de Datos'!J488),'Base de Datos'!J488,IF(TRIM('Base de Datos'!J488)="","",IFERROR(IF(IFERROR(FIND("@",SUBSTITUTE(TRIM('Base de Datos'!J488),",","@",LEN(TRIM('Base de Datos'!J488))-LEN(SUBSTITUTE(TRIM('Base de Datos'!J488),",","")))),0)&gt;IFERROR(FIND("@",SUBSTITUTE(TRIM('Base de Datos'!J488),".","@",LEN(TRIM('Base de Datos'!J488))-LEN(SUBSTITUTE(TRIM('Base de Datos'!J488),".","")))),0),_xlfn.NUMBERVALUE(SUBSTITUTE(SUBSTITUTE(TRIM('Base de Datos'!J488),".",""),",","."),".",","),_xlfn.NUMBERVALUE(SUBSTITUTE(TRIM('Base de Datos'!J488),",",""),".",",")),"")))</f>
        <v/>
      </c>
    </row>
    <row r="493" customFormat="false" ht="13.5" hidden="false" customHeight="false" outlineLevel="0" collapsed="false">
      <c r="R493" s="75" t="n">
        <f aca="false">ROWS(R$13:R493)</f>
        <v>481</v>
      </c>
      <c r="S493" s="73" t="str">
        <f aca="false">IF(S492="","",IFERROR(SMALL($AD$10:$AD$509,COUNTIF($AD$10:$AD$509,"&lt;="&amp;S492)+1),""))</f>
        <v/>
      </c>
      <c r="T493" s="74" t="str">
        <f aca="false">IF(S493="","",INDEX($AE$10:$AE$509,MATCH(S493,$AD$10:$AD$509,0)))</f>
        <v/>
      </c>
      <c r="U493" s="74" t="str">
        <f aca="false">IF(S493="","",IFERROR(INDEX($AG$10:$AG$509,MATCH(S493,$AF$10:$AF$509,0)),""))</f>
        <v/>
      </c>
      <c r="V493" s="76" t="str">
        <f aca="false">IF(AND(ISNUMBER(T493),ISNUMBER(T492)),T493/T492-1,"")</f>
        <v/>
      </c>
      <c r="W493" s="76" t="str">
        <f aca="false">IF(AND(ISNUMBER(U493),ISNUMBER(U492)),U493/U492-1,"")</f>
        <v/>
      </c>
      <c r="X493" s="75" t="str">
        <f aca="false">IF(AND(ISNUMBER(V493),ISNUMBER(W493)),1,"")</f>
        <v/>
      </c>
      <c r="Y493" s="76" t="str">
        <f aca="false">IF(X493=1,V493,"")</f>
        <v/>
      </c>
      <c r="Z493" s="76" t="str">
        <f aca="false">IF(X493=1,W493,"")</f>
        <v/>
      </c>
      <c r="AA493" s="76" t="e">
        <f aca="false">IF(X493=1,V493,NA())</f>
        <v>#N/A</v>
      </c>
      <c r="AB493" s="76" t="e">
        <f aca="false">IF(X493=1,W493,NA())</f>
        <v>#N/A</v>
      </c>
      <c r="AD493" s="73" t="str">
        <f aca="false">IF(ISNUMBER(AE493),IF(ISNUMBER('Base de Datos'!A489),IF('Base de Datos'!A489&gt;20000,DATE(YEAR('Base de Datos'!A489),DAY('Base de Datos'!A489),MONTH('Base de Datos'!A489)),""),IF(TRIM('Base de Datos'!A489)="","",IFERROR(DATE(VALUE(RIGHT(TRIM('Base de Datos'!A489),4)),VALUE(LEFT(TRIM('Base de Datos'!A489),2)),VALUE(MID(TRIM('Base de Datos'!A489),4,2))),""))),"")</f>
        <v/>
      </c>
      <c r="AE493" s="74" t="str">
        <f aca="false">IF(ISNUMBER('Base de Datos'!B489),'Base de Datos'!B489,IF(TRIM('Base de Datos'!B489)="","",IFERROR(IF(IFERROR(FIND("@",SUBSTITUTE(TRIM('Base de Datos'!B489),",","@",LEN(TRIM('Base de Datos'!B489))-LEN(SUBSTITUTE(TRIM('Base de Datos'!B489),",","")))),0)&gt;IFERROR(FIND("@",SUBSTITUTE(TRIM('Base de Datos'!B489),".","@",LEN(TRIM('Base de Datos'!B489))-LEN(SUBSTITUTE(TRIM('Base de Datos'!B489),".","")))),0),_xlfn.NUMBERVALUE(SUBSTITUTE(SUBSTITUTE(TRIM('Base de Datos'!B489),".",""),",","."),".",","),_xlfn.NUMBERVALUE(SUBSTITUTE(TRIM('Base de Datos'!B489),",",""),".",",")),"")))</f>
        <v/>
      </c>
      <c r="AF493" s="73" t="str">
        <f aca="false">IF(ISNUMBER(AG493),IF(ISNUMBER('Base de Datos'!I489),IF('Base de Datos'!I489&gt;20000,INT('Base de Datos'!I489),""),IF(TRIM('Base de Datos'!I489)="","",IFERROR(DATE(VALUE(RIGHT(TRIM('Base de Datos'!I489),4)),VALUE(MID(TRIM('Base de Datos'!I489),4,2)),VALUE(LEFT(TRIM('Base de Datos'!I489),2))),IFERROR(DATEVALUE(TRIM('Base de Datos'!I489)),"")))),"")</f>
        <v/>
      </c>
      <c r="AG493" s="74" t="str">
        <f aca="false">IF(ISNUMBER('Base de Datos'!J489),'Base de Datos'!J489,IF(TRIM('Base de Datos'!J489)="","",IFERROR(IF(IFERROR(FIND("@",SUBSTITUTE(TRIM('Base de Datos'!J489),",","@",LEN(TRIM('Base de Datos'!J489))-LEN(SUBSTITUTE(TRIM('Base de Datos'!J489),",","")))),0)&gt;IFERROR(FIND("@",SUBSTITUTE(TRIM('Base de Datos'!J489),".","@",LEN(TRIM('Base de Datos'!J489))-LEN(SUBSTITUTE(TRIM('Base de Datos'!J489),".","")))),0),_xlfn.NUMBERVALUE(SUBSTITUTE(SUBSTITUTE(TRIM('Base de Datos'!J489),".",""),",","."),".",","),_xlfn.NUMBERVALUE(SUBSTITUTE(TRIM('Base de Datos'!J489),",",""),".",",")),"")))</f>
        <v/>
      </c>
    </row>
    <row r="494" customFormat="false" ht="13.5" hidden="false" customHeight="false" outlineLevel="0" collapsed="false">
      <c r="R494" s="75" t="n">
        <f aca="false">ROWS(R$13:R494)</f>
        <v>482</v>
      </c>
      <c r="S494" s="73" t="str">
        <f aca="false">IF(S493="","",IFERROR(SMALL($AD$10:$AD$509,COUNTIF($AD$10:$AD$509,"&lt;="&amp;S493)+1),""))</f>
        <v/>
      </c>
      <c r="T494" s="74" t="str">
        <f aca="false">IF(S494="","",INDEX($AE$10:$AE$509,MATCH(S494,$AD$10:$AD$509,0)))</f>
        <v/>
      </c>
      <c r="U494" s="74" t="str">
        <f aca="false">IF(S494="","",IFERROR(INDEX($AG$10:$AG$509,MATCH(S494,$AF$10:$AF$509,0)),""))</f>
        <v/>
      </c>
      <c r="V494" s="76" t="str">
        <f aca="false">IF(AND(ISNUMBER(T494),ISNUMBER(T493)),T494/T493-1,"")</f>
        <v/>
      </c>
      <c r="W494" s="76" t="str">
        <f aca="false">IF(AND(ISNUMBER(U494),ISNUMBER(U493)),U494/U493-1,"")</f>
        <v/>
      </c>
      <c r="X494" s="75" t="str">
        <f aca="false">IF(AND(ISNUMBER(V494),ISNUMBER(W494)),1,"")</f>
        <v/>
      </c>
      <c r="Y494" s="76" t="str">
        <f aca="false">IF(X494=1,V494,"")</f>
        <v/>
      </c>
      <c r="Z494" s="76" t="str">
        <f aca="false">IF(X494=1,W494,"")</f>
        <v/>
      </c>
      <c r="AA494" s="76" t="e">
        <f aca="false">IF(X494=1,V494,NA())</f>
        <v>#N/A</v>
      </c>
      <c r="AB494" s="76" t="e">
        <f aca="false">IF(X494=1,W494,NA())</f>
        <v>#N/A</v>
      </c>
      <c r="AD494" s="73" t="str">
        <f aca="false">IF(ISNUMBER(AE494),IF(ISNUMBER('Base de Datos'!A490),IF('Base de Datos'!A490&gt;20000,DATE(YEAR('Base de Datos'!A490),DAY('Base de Datos'!A490),MONTH('Base de Datos'!A490)),""),IF(TRIM('Base de Datos'!A490)="","",IFERROR(DATE(VALUE(RIGHT(TRIM('Base de Datos'!A490),4)),VALUE(LEFT(TRIM('Base de Datos'!A490),2)),VALUE(MID(TRIM('Base de Datos'!A490),4,2))),""))),"")</f>
        <v/>
      </c>
      <c r="AE494" s="74" t="str">
        <f aca="false">IF(ISNUMBER('Base de Datos'!B490),'Base de Datos'!B490,IF(TRIM('Base de Datos'!B490)="","",IFERROR(IF(IFERROR(FIND("@",SUBSTITUTE(TRIM('Base de Datos'!B490),",","@",LEN(TRIM('Base de Datos'!B490))-LEN(SUBSTITUTE(TRIM('Base de Datos'!B490),",","")))),0)&gt;IFERROR(FIND("@",SUBSTITUTE(TRIM('Base de Datos'!B490),".","@",LEN(TRIM('Base de Datos'!B490))-LEN(SUBSTITUTE(TRIM('Base de Datos'!B490),".","")))),0),_xlfn.NUMBERVALUE(SUBSTITUTE(SUBSTITUTE(TRIM('Base de Datos'!B490),".",""),",","."),".",","),_xlfn.NUMBERVALUE(SUBSTITUTE(TRIM('Base de Datos'!B490),",",""),".",",")),"")))</f>
        <v/>
      </c>
      <c r="AF494" s="73" t="str">
        <f aca="false">IF(ISNUMBER(AG494),IF(ISNUMBER('Base de Datos'!I490),IF('Base de Datos'!I490&gt;20000,INT('Base de Datos'!I490),""),IF(TRIM('Base de Datos'!I490)="","",IFERROR(DATE(VALUE(RIGHT(TRIM('Base de Datos'!I490),4)),VALUE(MID(TRIM('Base de Datos'!I490),4,2)),VALUE(LEFT(TRIM('Base de Datos'!I490),2))),IFERROR(DATEVALUE(TRIM('Base de Datos'!I490)),"")))),"")</f>
        <v/>
      </c>
      <c r="AG494" s="74" t="str">
        <f aca="false">IF(ISNUMBER('Base de Datos'!J490),'Base de Datos'!J490,IF(TRIM('Base de Datos'!J490)="","",IFERROR(IF(IFERROR(FIND("@",SUBSTITUTE(TRIM('Base de Datos'!J490),",","@",LEN(TRIM('Base de Datos'!J490))-LEN(SUBSTITUTE(TRIM('Base de Datos'!J490),",","")))),0)&gt;IFERROR(FIND("@",SUBSTITUTE(TRIM('Base de Datos'!J490),".","@",LEN(TRIM('Base de Datos'!J490))-LEN(SUBSTITUTE(TRIM('Base de Datos'!J490),".","")))),0),_xlfn.NUMBERVALUE(SUBSTITUTE(SUBSTITUTE(TRIM('Base de Datos'!J490),".",""),",","."),".",","),_xlfn.NUMBERVALUE(SUBSTITUTE(TRIM('Base de Datos'!J490),",",""),".",",")),"")))</f>
        <v/>
      </c>
    </row>
    <row r="495" customFormat="false" ht="13.5" hidden="false" customHeight="false" outlineLevel="0" collapsed="false">
      <c r="R495" s="75" t="n">
        <f aca="false">ROWS(R$13:R495)</f>
        <v>483</v>
      </c>
      <c r="S495" s="73" t="str">
        <f aca="false">IF(S494="","",IFERROR(SMALL($AD$10:$AD$509,COUNTIF($AD$10:$AD$509,"&lt;="&amp;S494)+1),""))</f>
        <v/>
      </c>
      <c r="T495" s="74" t="str">
        <f aca="false">IF(S495="","",INDEX($AE$10:$AE$509,MATCH(S495,$AD$10:$AD$509,0)))</f>
        <v/>
      </c>
      <c r="U495" s="74" t="str">
        <f aca="false">IF(S495="","",IFERROR(INDEX($AG$10:$AG$509,MATCH(S495,$AF$10:$AF$509,0)),""))</f>
        <v/>
      </c>
      <c r="V495" s="76" t="str">
        <f aca="false">IF(AND(ISNUMBER(T495),ISNUMBER(T494)),T495/T494-1,"")</f>
        <v/>
      </c>
      <c r="W495" s="76" t="str">
        <f aca="false">IF(AND(ISNUMBER(U495),ISNUMBER(U494)),U495/U494-1,"")</f>
        <v/>
      </c>
      <c r="X495" s="75" t="str">
        <f aca="false">IF(AND(ISNUMBER(V495),ISNUMBER(W495)),1,"")</f>
        <v/>
      </c>
      <c r="Y495" s="76" t="str">
        <f aca="false">IF(X495=1,V495,"")</f>
        <v/>
      </c>
      <c r="Z495" s="76" t="str">
        <f aca="false">IF(X495=1,W495,"")</f>
        <v/>
      </c>
      <c r="AA495" s="76" t="e">
        <f aca="false">IF(X495=1,V495,NA())</f>
        <v>#N/A</v>
      </c>
      <c r="AB495" s="76" t="e">
        <f aca="false">IF(X495=1,W495,NA())</f>
        <v>#N/A</v>
      </c>
      <c r="AD495" s="73" t="str">
        <f aca="false">IF(ISNUMBER(AE495),IF(ISNUMBER('Base de Datos'!A491),IF('Base de Datos'!A491&gt;20000,DATE(YEAR('Base de Datos'!A491),DAY('Base de Datos'!A491),MONTH('Base de Datos'!A491)),""),IF(TRIM('Base de Datos'!A491)="","",IFERROR(DATE(VALUE(RIGHT(TRIM('Base de Datos'!A491),4)),VALUE(LEFT(TRIM('Base de Datos'!A491),2)),VALUE(MID(TRIM('Base de Datos'!A491),4,2))),""))),"")</f>
        <v/>
      </c>
      <c r="AE495" s="74" t="str">
        <f aca="false">IF(ISNUMBER('Base de Datos'!B491),'Base de Datos'!B491,IF(TRIM('Base de Datos'!B491)="","",IFERROR(IF(IFERROR(FIND("@",SUBSTITUTE(TRIM('Base de Datos'!B491),",","@",LEN(TRIM('Base de Datos'!B491))-LEN(SUBSTITUTE(TRIM('Base de Datos'!B491),",","")))),0)&gt;IFERROR(FIND("@",SUBSTITUTE(TRIM('Base de Datos'!B491),".","@",LEN(TRIM('Base de Datos'!B491))-LEN(SUBSTITUTE(TRIM('Base de Datos'!B491),".","")))),0),_xlfn.NUMBERVALUE(SUBSTITUTE(SUBSTITUTE(TRIM('Base de Datos'!B491),".",""),",","."),".",","),_xlfn.NUMBERVALUE(SUBSTITUTE(TRIM('Base de Datos'!B491),",",""),".",",")),"")))</f>
        <v/>
      </c>
      <c r="AF495" s="73" t="str">
        <f aca="false">IF(ISNUMBER(AG495),IF(ISNUMBER('Base de Datos'!I491),IF('Base de Datos'!I491&gt;20000,INT('Base de Datos'!I491),""),IF(TRIM('Base de Datos'!I491)="","",IFERROR(DATE(VALUE(RIGHT(TRIM('Base de Datos'!I491),4)),VALUE(MID(TRIM('Base de Datos'!I491),4,2)),VALUE(LEFT(TRIM('Base de Datos'!I491),2))),IFERROR(DATEVALUE(TRIM('Base de Datos'!I491)),"")))),"")</f>
        <v/>
      </c>
      <c r="AG495" s="74" t="str">
        <f aca="false">IF(ISNUMBER('Base de Datos'!J491),'Base de Datos'!J491,IF(TRIM('Base de Datos'!J491)="","",IFERROR(IF(IFERROR(FIND("@",SUBSTITUTE(TRIM('Base de Datos'!J491),",","@",LEN(TRIM('Base de Datos'!J491))-LEN(SUBSTITUTE(TRIM('Base de Datos'!J491),",","")))),0)&gt;IFERROR(FIND("@",SUBSTITUTE(TRIM('Base de Datos'!J491),".","@",LEN(TRIM('Base de Datos'!J491))-LEN(SUBSTITUTE(TRIM('Base de Datos'!J491),".","")))),0),_xlfn.NUMBERVALUE(SUBSTITUTE(SUBSTITUTE(TRIM('Base de Datos'!J491),".",""),",","."),".",","),_xlfn.NUMBERVALUE(SUBSTITUTE(TRIM('Base de Datos'!J491),",",""),".",",")),"")))</f>
        <v/>
      </c>
    </row>
    <row r="496" customFormat="false" ht="13.5" hidden="false" customHeight="false" outlineLevel="0" collapsed="false">
      <c r="R496" s="75" t="n">
        <f aca="false">ROWS(R$13:R496)</f>
        <v>484</v>
      </c>
      <c r="S496" s="73" t="str">
        <f aca="false">IF(S495="","",IFERROR(SMALL($AD$10:$AD$509,COUNTIF($AD$10:$AD$509,"&lt;="&amp;S495)+1),""))</f>
        <v/>
      </c>
      <c r="T496" s="74" t="str">
        <f aca="false">IF(S496="","",INDEX($AE$10:$AE$509,MATCH(S496,$AD$10:$AD$509,0)))</f>
        <v/>
      </c>
      <c r="U496" s="74" t="str">
        <f aca="false">IF(S496="","",IFERROR(INDEX($AG$10:$AG$509,MATCH(S496,$AF$10:$AF$509,0)),""))</f>
        <v/>
      </c>
      <c r="V496" s="76" t="str">
        <f aca="false">IF(AND(ISNUMBER(T496),ISNUMBER(T495)),T496/T495-1,"")</f>
        <v/>
      </c>
      <c r="W496" s="76" t="str">
        <f aca="false">IF(AND(ISNUMBER(U496),ISNUMBER(U495)),U496/U495-1,"")</f>
        <v/>
      </c>
      <c r="X496" s="75" t="str">
        <f aca="false">IF(AND(ISNUMBER(V496),ISNUMBER(W496)),1,"")</f>
        <v/>
      </c>
      <c r="Y496" s="76" t="str">
        <f aca="false">IF(X496=1,V496,"")</f>
        <v/>
      </c>
      <c r="Z496" s="76" t="str">
        <f aca="false">IF(X496=1,W496,"")</f>
        <v/>
      </c>
      <c r="AA496" s="76" t="e">
        <f aca="false">IF(X496=1,V496,NA())</f>
        <v>#N/A</v>
      </c>
      <c r="AB496" s="76" t="e">
        <f aca="false">IF(X496=1,W496,NA())</f>
        <v>#N/A</v>
      </c>
      <c r="AD496" s="73" t="str">
        <f aca="false">IF(ISNUMBER(AE496),IF(ISNUMBER('Base de Datos'!A492),IF('Base de Datos'!A492&gt;20000,DATE(YEAR('Base de Datos'!A492),DAY('Base de Datos'!A492),MONTH('Base de Datos'!A492)),""),IF(TRIM('Base de Datos'!A492)="","",IFERROR(DATE(VALUE(RIGHT(TRIM('Base de Datos'!A492),4)),VALUE(LEFT(TRIM('Base de Datos'!A492),2)),VALUE(MID(TRIM('Base de Datos'!A492),4,2))),""))),"")</f>
        <v/>
      </c>
      <c r="AE496" s="74" t="str">
        <f aca="false">IF(ISNUMBER('Base de Datos'!B492),'Base de Datos'!B492,IF(TRIM('Base de Datos'!B492)="","",IFERROR(IF(IFERROR(FIND("@",SUBSTITUTE(TRIM('Base de Datos'!B492),",","@",LEN(TRIM('Base de Datos'!B492))-LEN(SUBSTITUTE(TRIM('Base de Datos'!B492),",","")))),0)&gt;IFERROR(FIND("@",SUBSTITUTE(TRIM('Base de Datos'!B492),".","@",LEN(TRIM('Base de Datos'!B492))-LEN(SUBSTITUTE(TRIM('Base de Datos'!B492),".","")))),0),_xlfn.NUMBERVALUE(SUBSTITUTE(SUBSTITUTE(TRIM('Base de Datos'!B492),".",""),",","."),".",","),_xlfn.NUMBERVALUE(SUBSTITUTE(TRIM('Base de Datos'!B492),",",""),".",",")),"")))</f>
        <v/>
      </c>
      <c r="AF496" s="73" t="str">
        <f aca="false">IF(ISNUMBER(AG496),IF(ISNUMBER('Base de Datos'!I492),IF('Base de Datos'!I492&gt;20000,INT('Base de Datos'!I492),""),IF(TRIM('Base de Datos'!I492)="","",IFERROR(DATE(VALUE(RIGHT(TRIM('Base de Datos'!I492),4)),VALUE(MID(TRIM('Base de Datos'!I492),4,2)),VALUE(LEFT(TRIM('Base de Datos'!I492),2))),IFERROR(DATEVALUE(TRIM('Base de Datos'!I492)),"")))),"")</f>
        <v/>
      </c>
      <c r="AG496" s="74" t="str">
        <f aca="false">IF(ISNUMBER('Base de Datos'!J492),'Base de Datos'!J492,IF(TRIM('Base de Datos'!J492)="","",IFERROR(IF(IFERROR(FIND("@",SUBSTITUTE(TRIM('Base de Datos'!J492),",","@",LEN(TRIM('Base de Datos'!J492))-LEN(SUBSTITUTE(TRIM('Base de Datos'!J492),",","")))),0)&gt;IFERROR(FIND("@",SUBSTITUTE(TRIM('Base de Datos'!J492),".","@",LEN(TRIM('Base de Datos'!J492))-LEN(SUBSTITUTE(TRIM('Base de Datos'!J492),".","")))),0),_xlfn.NUMBERVALUE(SUBSTITUTE(SUBSTITUTE(TRIM('Base de Datos'!J492),".",""),",","."),".",","),_xlfn.NUMBERVALUE(SUBSTITUTE(TRIM('Base de Datos'!J492),",",""),".",",")),"")))</f>
        <v/>
      </c>
    </row>
    <row r="497" customFormat="false" ht="13.5" hidden="false" customHeight="false" outlineLevel="0" collapsed="false">
      <c r="R497" s="75" t="n">
        <f aca="false">ROWS(R$13:R497)</f>
        <v>485</v>
      </c>
      <c r="S497" s="73" t="str">
        <f aca="false">IF(S496="","",IFERROR(SMALL($AD$10:$AD$509,COUNTIF($AD$10:$AD$509,"&lt;="&amp;S496)+1),""))</f>
        <v/>
      </c>
      <c r="T497" s="74" t="str">
        <f aca="false">IF(S497="","",INDEX($AE$10:$AE$509,MATCH(S497,$AD$10:$AD$509,0)))</f>
        <v/>
      </c>
      <c r="U497" s="74" t="str">
        <f aca="false">IF(S497="","",IFERROR(INDEX($AG$10:$AG$509,MATCH(S497,$AF$10:$AF$509,0)),""))</f>
        <v/>
      </c>
      <c r="V497" s="76" t="str">
        <f aca="false">IF(AND(ISNUMBER(T497),ISNUMBER(T496)),T497/T496-1,"")</f>
        <v/>
      </c>
      <c r="W497" s="76" t="str">
        <f aca="false">IF(AND(ISNUMBER(U497),ISNUMBER(U496)),U497/U496-1,"")</f>
        <v/>
      </c>
      <c r="X497" s="75" t="str">
        <f aca="false">IF(AND(ISNUMBER(V497),ISNUMBER(W497)),1,"")</f>
        <v/>
      </c>
      <c r="Y497" s="76" t="str">
        <f aca="false">IF(X497=1,V497,"")</f>
        <v/>
      </c>
      <c r="Z497" s="76" t="str">
        <f aca="false">IF(X497=1,W497,"")</f>
        <v/>
      </c>
      <c r="AA497" s="76" t="e">
        <f aca="false">IF(X497=1,V497,NA())</f>
        <v>#N/A</v>
      </c>
      <c r="AB497" s="76" t="e">
        <f aca="false">IF(X497=1,W497,NA())</f>
        <v>#N/A</v>
      </c>
      <c r="AD497" s="73" t="str">
        <f aca="false">IF(ISNUMBER(AE497),IF(ISNUMBER('Base de Datos'!A493),IF('Base de Datos'!A493&gt;20000,DATE(YEAR('Base de Datos'!A493),DAY('Base de Datos'!A493),MONTH('Base de Datos'!A493)),""),IF(TRIM('Base de Datos'!A493)="","",IFERROR(DATE(VALUE(RIGHT(TRIM('Base de Datos'!A493),4)),VALUE(LEFT(TRIM('Base de Datos'!A493),2)),VALUE(MID(TRIM('Base de Datos'!A493),4,2))),""))),"")</f>
        <v/>
      </c>
      <c r="AE497" s="74" t="str">
        <f aca="false">IF(ISNUMBER('Base de Datos'!B493),'Base de Datos'!B493,IF(TRIM('Base de Datos'!B493)="","",IFERROR(IF(IFERROR(FIND("@",SUBSTITUTE(TRIM('Base de Datos'!B493),",","@",LEN(TRIM('Base de Datos'!B493))-LEN(SUBSTITUTE(TRIM('Base de Datos'!B493),",","")))),0)&gt;IFERROR(FIND("@",SUBSTITUTE(TRIM('Base de Datos'!B493),".","@",LEN(TRIM('Base de Datos'!B493))-LEN(SUBSTITUTE(TRIM('Base de Datos'!B493),".","")))),0),_xlfn.NUMBERVALUE(SUBSTITUTE(SUBSTITUTE(TRIM('Base de Datos'!B493),".",""),",","."),".",","),_xlfn.NUMBERVALUE(SUBSTITUTE(TRIM('Base de Datos'!B493),",",""),".",",")),"")))</f>
        <v/>
      </c>
      <c r="AF497" s="73" t="str">
        <f aca="false">IF(ISNUMBER(AG497),IF(ISNUMBER('Base de Datos'!I493),IF('Base de Datos'!I493&gt;20000,INT('Base de Datos'!I493),""),IF(TRIM('Base de Datos'!I493)="","",IFERROR(DATE(VALUE(RIGHT(TRIM('Base de Datos'!I493),4)),VALUE(MID(TRIM('Base de Datos'!I493),4,2)),VALUE(LEFT(TRIM('Base de Datos'!I493),2))),IFERROR(DATEVALUE(TRIM('Base de Datos'!I493)),"")))),"")</f>
        <v/>
      </c>
      <c r="AG497" s="74" t="str">
        <f aca="false">IF(ISNUMBER('Base de Datos'!J493),'Base de Datos'!J493,IF(TRIM('Base de Datos'!J493)="","",IFERROR(IF(IFERROR(FIND("@",SUBSTITUTE(TRIM('Base de Datos'!J493),",","@",LEN(TRIM('Base de Datos'!J493))-LEN(SUBSTITUTE(TRIM('Base de Datos'!J493),",","")))),0)&gt;IFERROR(FIND("@",SUBSTITUTE(TRIM('Base de Datos'!J493),".","@",LEN(TRIM('Base de Datos'!J493))-LEN(SUBSTITUTE(TRIM('Base de Datos'!J493),".","")))),0),_xlfn.NUMBERVALUE(SUBSTITUTE(SUBSTITUTE(TRIM('Base de Datos'!J493),".",""),",","."),".",","),_xlfn.NUMBERVALUE(SUBSTITUTE(TRIM('Base de Datos'!J493),",",""),".",",")),"")))</f>
        <v/>
      </c>
    </row>
    <row r="498" customFormat="false" ht="13.5" hidden="false" customHeight="false" outlineLevel="0" collapsed="false">
      <c r="R498" s="75" t="n">
        <f aca="false">ROWS(R$13:R498)</f>
        <v>486</v>
      </c>
      <c r="S498" s="73" t="str">
        <f aca="false">IF(S497="","",IFERROR(SMALL($AD$10:$AD$509,COUNTIF($AD$10:$AD$509,"&lt;="&amp;S497)+1),""))</f>
        <v/>
      </c>
      <c r="T498" s="74" t="str">
        <f aca="false">IF(S498="","",INDEX($AE$10:$AE$509,MATCH(S498,$AD$10:$AD$509,0)))</f>
        <v/>
      </c>
      <c r="U498" s="74" t="str">
        <f aca="false">IF(S498="","",IFERROR(INDEX($AG$10:$AG$509,MATCH(S498,$AF$10:$AF$509,0)),""))</f>
        <v/>
      </c>
      <c r="V498" s="76" t="str">
        <f aca="false">IF(AND(ISNUMBER(T498),ISNUMBER(T497)),T498/T497-1,"")</f>
        <v/>
      </c>
      <c r="W498" s="76" t="str">
        <f aca="false">IF(AND(ISNUMBER(U498),ISNUMBER(U497)),U498/U497-1,"")</f>
        <v/>
      </c>
      <c r="X498" s="75" t="str">
        <f aca="false">IF(AND(ISNUMBER(V498),ISNUMBER(W498)),1,"")</f>
        <v/>
      </c>
      <c r="Y498" s="76" t="str">
        <f aca="false">IF(X498=1,V498,"")</f>
        <v/>
      </c>
      <c r="Z498" s="76" t="str">
        <f aca="false">IF(X498=1,W498,"")</f>
        <v/>
      </c>
      <c r="AA498" s="76" t="e">
        <f aca="false">IF(X498=1,V498,NA())</f>
        <v>#N/A</v>
      </c>
      <c r="AB498" s="76" t="e">
        <f aca="false">IF(X498=1,W498,NA())</f>
        <v>#N/A</v>
      </c>
      <c r="AD498" s="73" t="str">
        <f aca="false">IF(ISNUMBER(AE498),IF(ISNUMBER('Base de Datos'!A494),IF('Base de Datos'!A494&gt;20000,DATE(YEAR('Base de Datos'!A494),DAY('Base de Datos'!A494),MONTH('Base de Datos'!A494)),""),IF(TRIM('Base de Datos'!A494)="","",IFERROR(DATE(VALUE(RIGHT(TRIM('Base de Datos'!A494),4)),VALUE(LEFT(TRIM('Base de Datos'!A494),2)),VALUE(MID(TRIM('Base de Datos'!A494),4,2))),""))),"")</f>
        <v/>
      </c>
      <c r="AE498" s="74" t="str">
        <f aca="false">IF(ISNUMBER('Base de Datos'!B494),'Base de Datos'!B494,IF(TRIM('Base de Datos'!B494)="","",IFERROR(IF(IFERROR(FIND("@",SUBSTITUTE(TRIM('Base de Datos'!B494),",","@",LEN(TRIM('Base de Datos'!B494))-LEN(SUBSTITUTE(TRIM('Base de Datos'!B494),",","")))),0)&gt;IFERROR(FIND("@",SUBSTITUTE(TRIM('Base de Datos'!B494),".","@",LEN(TRIM('Base de Datos'!B494))-LEN(SUBSTITUTE(TRIM('Base de Datos'!B494),".","")))),0),_xlfn.NUMBERVALUE(SUBSTITUTE(SUBSTITUTE(TRIM('Base de Datos'!B494),".",""),",","."),".",","),_xlfn.NUMBERVALUE(SUBSTITUTE(TRIM('Base de Datos'!B494),",",""),".",",")),"")))</f>
        <v/>
      </c>
      <c r="AF498" s="73" t="str">
        <f aca="false">IF(ISNUMBER(AG498),IF(ISNUMBER('Base de Datos'!I494),IF('Base de Datos'!I494&gt;20000,INT('Base de Datos'!I494),""),IF(TRIM('Base de Datos'!I494)="","",IFERROR(DATE(VALUE(RIGHT(TRIM('Base de Datos'!I494),4)),VALUE(MID(TRIM('Base de Datos'!I494),4,2)),VALUE(LEFT(TRIM('Base de Datos'!I494),2))),IFERROR(DATEVALUE(TRIM('Base de Datos'!I494)),"")))),"")</f>
        <v/>
      </c>
      <c r="AG498" s="74" t="str">
        <f aca="false">IF(ISNUMBER('Base de Datos'!J494),'Base de Datos'!J494,IF(TRIM('Base de Datos'!J494)="","",IFERROR(IF(IFERROR(FIND("@",SUBSTITUTE(TRIM('Base de Datos'!J494),",","@",LEN(TRIM('Base de Datos'!J494))-LEN(SUBSTITUTE(TRIM('Base de Datos'!J494),",","")))),0)&gt;IFERROR(FIND("@",SUBSTITUTE(TRIM('Base de Datos'!J494),".","@",LEN(TRIM('Base de Datos'!J494))-LEN(SUBSTITUTE(TRIM('Base de Datos'!J494),".","")))),0),_xlfn.NUMBERVALUE(SUBSTITUTE(SUBSTITUTE(TRIM('Base de Datos'!J494),".",""),",","."),".",","),_xlfn.NUMBERVALUE(SUBSTITUTE(TRIM('Base de Datos'!J494),",",""),".",",")),"")))</f>
        <v/>
      </c>
    </row>
    <row r="499" customFormat="false" ht="13.5" hidden="false" customHeight="false" outlineLevel="0" collapsed="false">
      <c r="R499" s="75" t="n">
        <f aca="false">ROWS(R$13:R499)</f>
        <v>487</v>
      </c>
      <c r="S499" s="73" t="str">
        <f aca="false">IF(S498="","",IFERROR(SMALL($AD$10:$AD$509,COUNTIF($AD$10:$AD$509,"&lt;="&amp;S498)+1),""))</f>
        <v/>
      </c>
      <c r="T499" s="74" t="str">
        <f aca="false">IF(S499="","",INDEX($AE$10:$AE$509,MATCH(S499,$AD$10:$AD$509,0)))</f>
        <v/>
      </c>
      <c r="U499" s="74" t="str">
        <f aca="false">IF(S499="","",IFERROR(INDEX($AG$10:$AG$509,MATCH(S499,$AF$10:$AF$509,0)),""))</f>
        <v/>
      </c>
      <c r="V499" s="76" t="str">
        <f aca="false">IF(AND(ISNUMBER(T499),ISNUMBER(T498)),T499/T498-1,"")</f>
        <v/>
      </c>
      <c r="W499" s="76" t="str">
        <f aca="false">IF(AND(ISNUMBER(U499),ISNUMBER(U498)),U499/U498-1,"")</f>
        <v/>
      </c>
      <c r="X499" s="75" t="str">
        <f aca="false">IF(AND(ISNUMBER(V499),ISNUMBER(W499)),1,"")</f>
        <v/>
      </c>
      <c r="Y499" s="76" t="str">
        <f aca="false">IF(X499=1,V499,"")</f>
        <v/>
      </c>
      <c r="Z499" s="76" t="str">
        <f aca="false">IF(X499=1,W499,"")</f>
        <v/>
      </c>
      <c r="AA499" s="76" t="e">
        <f aca="false">IF(X499=1,V499,NA())</f>
        <v>#N/A</v>
      </c>
      <c r="AB499" s="76" t="e">
        <f aca="false">IF(X499=1,W499,NA())</f>
        <v>#N/A</v>
      </c>
      <c r="AD499" s="73" t="str">
        <f aca="false">IF(ISNUMBER(AE499),IF(ISNUMBER('Base de Datos'!A495),IF('Base de Datos'!A495&gt;20000,DATE(YEAR('Base de Datos'!A495),DAY('Base de Datos'!A495),MONTH('Base de Datos'!A495)),""),IF(TRIM('Base de Datos'!A495)="","",IFERROR(DATE(VALUE(RIGHT(TRIM('Base de Datos'!A495),4)),VALUE(LEFT(TRIM('Base de Datos'!A495),2)),VALUE(MID(TRIM('Base de Datos'!A495),4,2))),""))),"")</f>
        <v/>
      </c>
      <c r="AE499" s="74" t="str">
        <f aca="false">IF(ISNUMBER('Base de Datos'!B495),'Base de Datos'!B495,IF(TRIM('Base de Datos'!B495)="","",IFERROR(IF(IFERROR(FIND("@",SUBSTITUTE(TRIM('Base de Datos'!B495),",","@",LEN(TRIM('Base de Datos'!B495))-LEN(SUBSTITUTE(TRIM('Base de Datos'!B495),",","")))),0)&gt;IFERROR(FIND("@",SUBSTITUTE(TRIM('Base de Datos'!B495),".","@",LEN(TRIM('Base de Datos'!B495))-LEN(SUBSTITUTE(TRIM('Base de Datos'!B495),".","")))),0),_xlfn.NUMBERVALUE(SUBSTITUTE(SUBSTITUTE(TRIM('Base de Datos'!B495),".",""),",","."),".",","),_xlfn.NUMBERVALUE(SUBSTITUTE(TRIM('Base de Datos'!B495),",",""),".",",")),"")))</f>
        <v/>
      </c>
      <c r="AF499" s="73" t="str">
        <f aca="false">IF(ISNUMBER(AG499),IF(ISNUMBER('Base de Datos'!I495),IF('Base de Datos'!I495&gt;20000,INT('Base de Datos'!I495),""),IF(TRIM('Base de Datos'!I495)="","",IFERROR(DATE(VALUE(RIGHT(TRIM('Base de Datos'!I495),4)),VALUE(MID(TRIM('Base de Datos'!I495),4,2)),VALUE(LEFT(TRIM('Base de Datos'!I495),2))),IFERROR(DATEVALUE(TRIM('Base de Datos'!I495)),"")))),"")</f>
        <v/>
      </c>
      <c r="AG499" s="74" t="str">
        <f aca="false">IF(ISNUMBER('Base de Datos'!J495),'Base de Datos'!J495,IF(TRIM('Base de Datos'!J495)="","",IFERROR(IF(IFERROR(FIND("@",SUBSTITUTE(TRIM('Base de Datos'!J495),",","@",LEN(TRIM('Base de Datos'!J495))-LEN(SUBSTITUTE(TRIM('Base de Datos'!J495),",","")))),0)&gt;IFERROR(FIND("@",SUBSTITUTE(TRIM('Base de Datos'!J495),".","@",LEN(TRIM('Base de Datos'!J495))-LEN(SUBSTITUTE(TRIM('Base de Datos'!J495),".","")))),0),_xlfn.NUMBERVALUE(SUBSTITUTE(SUBSTITUTE(TRIM('Base de Datos'!J495),".",""),",","."),".",","),_xlfn.NUMBERVALUE(SUBSTITUTE(TRIM('Base de Datos'!J495),",",""),".",",")),"")))</f>
        <v/>
      </c>
    </row>
    <row r="500" customFormat="false" ht="13.5" hidden="false" customHeight="false" outlineLevel="0" collapsed="false">
      <c r="R500" s="75" t="n">
        <f aca="false">ROWS(R$13:R500)</f>
        <v>488</v>
      </c>
      <c r="S500" s="73" t="str">
        <f aca="false">IF(S499="","",IFERROR(SMALL($AD$10:$AD$509,COUNTIF($AD$10:$AD$509,"&lt;="&amp;S499)+1),""))</f>
        <v/>
      </c>
      <c r="T500" s="74" t="str">
        <f aca="false">IF(S500="","",INDEX($AE$10:$AE$509,MATCH(S500,$AD$10:$AD$509,0)))</f>
        <v/>
      </c>
      <c r="U500" s="74" t="str">
        <f aca="false">IF(S500="","",IFERROR(INDEX($AG$10:$AG$509,MATCH(S500,$AF$10:$AF$509,0)),""))</f>
        <v/>
      </c>
      <c r="V500" s="76" t="str">
        <f aca="false">IF(AND(ISNUMBER(T500),ISNUMBER(T499)),T500/T499-1,"")</f>
        <v/>
      </c>
      <c r="W500" s="76" t="str">
        <f aca="false">IF(AND(ISNUMBER(U500),ISNUMBER(U499)),U500/U499-1,"")</f>
        <v/>
      </c>
      <c r="X500" s="75" t="str">
        <f aca="false">IF(AND(ISNUMBER(V500),ISNUMBER(W500)),1,"")</f>
        <v/>
      </c>
      <c r="Y500" s="76" t="str">
        <f aca="false">IF(X500=1,V500,"")</f>
        <v/>
      </c>
      <c r="Z500" s="76" t="str">
        <f aca="false">IF(X500=1,W500,"")</f>
        <v/>
      </c>
      <c r="AA500" s="76" t="e">
        <f aca="false">IF(X500=1,V500,NA())</f>
        <v>#N/A</v>
      </c>
      <c r="AB500" s="76" t="e">
        <f aca="false">IF(X500=1,W500,NA())</f>
        <v>#N/A</v>
      </c>
      <c r="AD500" s="73" t="str">
        <f aca="false">IF(ISNUMBER(AE500),IF(ISNUMBER('Base de Datos'!A496),IF('Base de Datos'!A496&gt;20000,DATE(YEAR('Base de Datos'!A496),DAY('Base de Datos'!A496),MONTH('Base de Datos'!A496)),""),IF(TRIM('Base de Datos'!A496)="","",IFERROR(DATE(VALUE(RIGHT(TRIM('Base de Datos'!A496),4)),VALUE(LEFT(TRIM('Base de Datos'!A496),2)),VALUE(MID(TRIM('Base de Datos'!A496),4,2))),""))),"")</f>
        <v/>
      </c>
      <c r="AE500" s="74" t="str">
        <f aca="false">IF(ISNUMBER('Base de Datos'!B496),'Base de Datos'!B496,IF(TRIM('Base de Datos'!B496)="","",IFERROR(IF(IFERROR(FIND("@",SUBSTITUTE(TRIM('Base de Datos'!B496),",","@",LEN(TRIM('Base de Datos'!B496))-LEN(SUBSTITUTE(TRIM('Base de Datos'!B496),",","")))),0)&gt;IFERROR(FIND("@",SUBSTITUTE(TRIM('Base de Datos'!B496),".","@",LEN(TRIM('Base de Datos'!B496))-LEN(SUBSTITUTE(TRIM('Base de Datos'!B496),".","")))),0),_xlfn.NUMBERVALUE(SUBSTITUTE(SUBSTITUTE(TRIM('Base de Datos'!B496),".",""),",","."),".",","),_xlfn.NUMBERVALUE(SUBSTITUTE(TRIM('Base de Datos'!B496),",",""),".",",")),"")))</f>
        <v/>
      </c>
      <c r="AF500" s="73" t="str">
        <f aca="false">IF(ISNUMBER(AG500),IF(ISNUMBER('Base de Datos'!I496),IF('Base de Datos'!I496&gt;20000,INT('Base de Datos'!I496),""),IF(TRIM('Base de Datos'!I496)="","",IFERROR(DATE(VALUE(RIGHT(TRIM('Base de Datos'!I496),4)),VALUE(MID(TRIM('Base de Datos'!I496),4,2)),VALUE(LEFT(TRIM('Base de Datos'!I496),2))),IFERROR(DATEVALUE(TRIM('Base de Datos'!I496)),"")))),"")</f>
        <v/>
      </c>
      <c r="AG500" s="74" t="str">
        <f aca="false">IF(ISNUMBER('Base de Datos'!J496),'Base de Datos'!J496,IF(TRIM('Base de Datos'!J496)="","",IFERROR(IF(IFERROR(FIND("@",SUBSTITUTE(TRIM('Base de Datos'!J496),",","@",LEN(TRIM('Base de Datos'!J496))-LEN(SUBSTITUTE(TRIM('Base de Datos'!J496),",","")))),0)&gt;IFERROR(FIND("@",SUBSTITUTE(TRIM('Base de Datos'!J496),".","@",LEN(TRIM('Base de Datos'!J496))-LEN(SUBSTITUTE(TRIM('Base de Datos'!J496),".","")))),0),_xlfn.NUMBERVALUE(SUBSTITUTE(SUBSTITUTE(TRIM('Base de Datos'!J496),".",""),",","."),".",","),_xlfn.NUMBERVALUE(SUBSTITUTE(TRIM('Base de Datos'!J496),",",""),".",",")),"")))</f>
        <v/>
      </c>
    </row>
    <row r="501" customFormat="false" ht="13.5" hidden="false" customHeight="false" outlineLevel="0" collapsed="false">
      <c r="R501" s="75" t="n">
        <f aca="false">ROWS(R$13:R501)</f>
        <v>489</v>
      </c>
      <c r="S501" s="73" t="str">
        <f aca="false">IF(S500="","",IFERROR(SMALL($AD$10:$AD$509,COUNTIF($AD$10:$AD$509,"&lt;="&amp;S500)+1),""))</f>
        <v/>
      </c>
      <c r="T501" s="74" t="str">
        <f aca="false">IF(S501="","",INDEX($AE$10:$AE$509,MATCH(S501,$AD$10:$AD$509,0)))</f>
        <v/>
      </c>
      <c r="U501" s="74" t="str">
        <f aca="false">IF(S501="","",IFERROR(INDEX($AG$10:$AG$509,MATCH(S501,$AF$10:$AF$509,0)),""))</f>
        <v/>
      </c>
      <c r="V501" s="76" t="str">
        <f aca="false">IF(AND(ISNUMBER(T501),ISNUMBER(T500)),T501/T500-1,"")</f>
        <v/>
      </c>
      <c r="W501" s="76" t="str">
        <f aca="false">IF(AND(ISNUMBER(U501),ISNUMBER(U500)),U501/U500-1,"")</f>
        <v/>
      </c>
      <c r="X501" s="75" t="str">
        <f aca="false">IF(AND(ISNUMBER(V501),ISNUMBER(W501)),1,"")</f>
        <v/>
      </c>
      <c r="Y501" s="76" t="str">
        <f aca="false">IF(X501=1,V501,"")</f>
        <v/>
      </c>
      <c r="Z501" s="76" t="str">
        <f aca="false">IF(X501=1,W501,"")</f>
        <v/>
      </c>
      <c r="AA501" s="76" t="e">
        <f aca="false">IF(X501=1,V501,NA())</f>
        <v>#N/A</v>
      </c>
      <c r="AB501" s="76" t="e">
        <f aca="false">IF(X501=1,W501,NA())</f>
        <v>#N/A</v>
      </c>
      <c r="AD501" s="73" t="str">
        <f aca="false">IF(ISNUMBER(AE501),IF(ISNUMBER('Base de Datos'!A497),IF('Base de Datos'!A497&gt;20000,DATE(YEAR('Base de Datos'!A497),DAY('Base de Datos'!A497),MONTH('Base de Datos'!A497)),""),IF(TRIM('Base de Datos'!A497)="","",IFERROR(DATE(VALUE(RIGHT(TRIM('Base de Datos'!A497),4)),VALUE(LEFT(TRIM('Base de Datos'!A497),2)),VALUE(MID(TRIM('Base de Datos'!A497),4,2))),""))),"")</f>
        <v/>
      </c>
      <c r="AE501" s="74" t="str">
        <f aca="false">IF(ISNUMBER('Base de Datos'!B497),'Base de Datos'!B497,IF(TRIM('Base de Datos'!B497)="","",IFERROR(IF(IFERROR(FIND("@",SUBSTITUTE(TRIM('Base de Datos'!B497),",","@",LEN(TRIM('Base de Datos'!B497))-LEN(SUBSTITUTE(TRIM('Base de Datos'!B497),",","")))),0)&gt;IFERROR(FIND("@",SUBSTITUTE(TRIM('Base de Datos'!B497),".","@",LEN(TRIM('Base de Datos'!B497))-LEN(SUBSTITUTE(TRIM('Base de Datos'!B497),".","")))),0),_xlfn.NUMBERVALUE(SUBSTITUTE(SUBSTITUTE(TRIM('Base de Datos'!B497),".",""),",","."),".",","),_xlfn.NUMBERVALUE(SUBSTITUTE(TRIM('Base de Datos'!B497),",",""),".",",")),"")))</f>
        <v/>
      </c>
      <c r="AF501" s="73" t="str">
        <f aca="false">IF(ISNUMBER(AG501),IF(ISNUMBER('Base de Datos'!I497),IF('Base de Datos'!I497&gt;20000,INT('Base de Datos'!I497),""),IF(TRIM('Base de Datos'!I497)="","",IFERROR(DATE(VALUE(RIGHT(TRIM('Base de Datos'!I497),4)),VALUE(MID(TRIM('Base de Datos'!I497),4,2)),VALUE(LEFT(TRIM('Base de Datos'!I497),2))),IFERROR(DATEVALUE(TRIM('Base de Datos'!I497)),"")))),"")</f>
        <v/>
      </c>
      <c r="AG501" s="74" t="str">
        <f aca="false">IF(ISNUMBER('Base de Datos'!J497),'Base de Datos'!J497,IF(TRIM('Base de Datos'!J497)="","",IFERROR(IF(IFERROR(FIND("@",SUBSTITUTE(TRIM('Base de Datos'!J497),",","@",LEN(TRIM('Base de Datos'!J497))-LEN(SUBSTITUTE(TRIM('Base de Datos'!J497),",","")))),0)&gt;IFERROR(FIND("@",SUBSTITUTE(TRIM('Base de Datos'!J497),".","@",LEN(TRIM('Base de Datos'!J497))-LEN(SUBSTITUTE(TRIM('Base de Datos'!J497),".","")))),0),_xlfn.NUMBERVALUE(SUBSTITUTE(SUBSTITUTE(TRIM('Base de Datos'!J497),".",""),",","."),".",","),_xlfn.NUMBERVALUE(SUBSTITUTE(TRIM('Base de Datos'!J497),",",""),".",",")),"")))</f>
        <v/>
      </c>
    </row>
    <row r="502" customFormat="false" ht="13.5" hidden="false" customHeight="false" outlineLevel="0" collapsed="false">
      <c r="R502" s="75" t="n">
        <f aca="false">ROWS(R$13:R502)</f>
        <v>490</v>
      </c>
      <c r="S502" s="73" t="str">
        <f aca="false">IF(S501="","",IFERROR(SMALL($AD$10:$AD$509,COUNTIF($AD$10:$AD$509,"&lt;="&amp;S501)+1),""))</f>
        <v/>
      </c>
      <c r="T502" s="74" t="str">
        <f aca="false">IF(S502="","",INDEX($AE$10:$AE$509,MATCH(S502,$AD$10:$AD$509,0)))</f>
        <v/>
      </c>
      <c r="U502" s="74" t="str">
        <f aca="false">IF(S502="","",IFERROR(INDEX($AG$10:$AG$509,MATCH(S502,$AF$10:$AF$509,0)),""))</f>
        <v/>
      </c>
      <c r="V502" s="76" t="str">
        <f aca="false">IF(AND(ISNUMBER(T502),ISNUMBER(T501)),T502/T501-1,"")</f>
        <v/>
      </c>
      <c r="W502" s="76" t="str">
        <f aca="false">IF(AND(ISNUMBER(U502),ISNUMBER(U501)),U502/U501-1,"")</f>
        <v/>
      </c>
      <c r="X502" s="75" t="str">
        <f aca="false">IF(AND(ISNUMBER(V502),ISNUMBER(W502)),1,"")</f>
        <v/>
      </c>
      <c r="Y502" s="76" t="str">
        <f aca="false">IF(X502=1,V502,"")</f>
        <v/>
      </c>
      <c r="Z502" s="76" t="str">
        <f aca="false">IF(X502=1,W502,"")</f>
        <v/>
      </c>
      <c r="AA502" s="76" t="e">
        <f aca="false">IF(X502=1,V502,NA())</f>
        <v>#N/A</v>
      </c>
      <c r="AB502" s="76" t="e">
        <f aca="false">IF(X502=1,W502,NA())</f>
        <v>#N/A</v>
      </c>
      <c r="AD502" s="73" t="str">
        <f aca="false">IF(ISNUMBER(AE502),IF(ISNUMBER('Base de Datos'!A498),IF('Base de Datos'!A498&gt;20000,DATE(YEAR('Base de Datos'!A498),DAY('Base de Datos'!A498),MONTH('Base de Datos'!A498)),""),IF(TRIM('Base de Datos'!A498)="","",IFERROR(DATE(VALUE(RIGHT(TRIM('Base de Datos'!A498),4)),VALUE(LEFT(TRIM('Base de Datos'!A498),2)),VALUE(MID(TRIM('Base de Datos'!A498),4,2))),""))),"")</f>
        <v/>
      </c>
      <c r="AE502" s="74" t="str">
        <f aca="false">IF(ISNUMBER('Base de Datos'!B498),'Base de Datos'!B498,IF(TRIM('Base de Datos'!B498)="","",IFERROR(IF(IFERROR(FIND("@",SUBSTITUTE(TRIM('Base de Datos'!B498),",","@",LEN(TRIM('Base de Datos'!B498))-LEN(SUBSTITUTE(TRIM('Base de Datos'!B498),",","")))),0)&gt;IFERROR(FIND("@",SUBSTITUTE(TRIM('Base de Datos'!B498),".","@",LEN(TRIM('Base de Datos'!B498))-LEN(SUBSTITUTE(TRIM('Base de Datos'!B498),".","")))),0),_xlfn.NUMBERVALUE(SUBSTITUTE(SUBSTITUTE(TRIM('Base de Datos'!B498),".",""),",","."),".",","),_xlfn.NUMBERVALUE(SUBSTITUTE(TRIM('Base de Datos'!B498),",",""),".",",")),"")))</f>
        <v/>
      </c>
      <c r="AF502" s="73" t="str">
        <f aca="false">IF(ISNUMBER(AG502),IF(ISNUMBER('Base de Datos'!I498),IF('Base de Datos'!I498&gt;20000,INT('Base de Datos'!I498),""),IF(TRIM('Base de Datos'!I498)="","",IFERROR(DATE(VALUE(RIGHT(TRIM('Base de Datos'!I498),4)),VALUE(MID(TRIM('Base de Datos'!I498),4,2)),VALUE(LEFT(TRIM('Base de Datos'!I498),2))),IFERROR(DATEVALUE(TRIM('Base de Datos'!I498)),"")))),"")</f>
        <v/>
      </c>
      <c r="AG502" s="74" t="str">
        <f aca="false">IF(ISNUMBER('Base de Datos'!J498),'Base de Datos'!J498,IF(TRIM('Base de Datos'!J498)="","",IFERROR(IF(IFERROR(FIND("@",SUBSTITUTE(TRIM('Base de Datos'!J498),",","@",LEN(TRIM('Base de Datos'!J498))-LEN(SUBSTITUTE(TRIM('Base de Datos'!J498),",","")))),0)&gt;IFERROR(FIND("@",SUBSTITUTE(TRIM('Base de Datos'!J498),".","@",LEN(TRIM('Base de Datos'!J498))-LEN(SUBSTITUTE(TRIM('Base de Datos'!J498),".","")))),0),_xlfn.NUMBERVALUE(SUBSTITUTE(SUBSTITUTE(TRIM('Base de Datos'!J498),".",""),",","."),".",","),_xlfn.NUMBERVALUE(SUBSTITUTE(TRIM('Base de Datos'!J498),",",""),".",",")),"")))</f>
        <v/>
      </c>
    </row>
    <row r="503" customFormat="false" ht="13.5" hidden="false" customHeight="false" outlineLevel="0" collapsed="false">
      <c r="R503" s="75" t="n">
        <f aca="false">ROWS(R$13:R503)</f>
        <v>491</v>
      </c>
      <c r="S503" s="73" t="str">
        <f aca="false">IF(S502="","",IFERROR(SMALL($AD$10:$AD$509,COUNTIF($AD$10:$AD$509,"&lt;="&amp;S502)+1),""))</f>
        <v/>
      </c>
      <c r="T503" s="74" t="str">
        <f aca="false">IF(S503="","",INDEX($AE$10:$AE$509,MATCH(S503,$AD$10:$AD$509,0)))</f>
        <v/>
      </c>
      <c r="U503" s="74" t="str">
        <f aca="false">IF(S503="","",IFERROR(INDEX($AG$10:$AG$509,MATCH(S503,$AF$10:$AF$509,0)),""))</f>
        <v/>
      </c>
      <c r="V503" s="76" t="str">
        <f aca="false">IF(AND(ISNUMBER(T503),ISNUMBER(T502)),T503/T502-1,"")</f>
        <v/>
      </c>
      <c r="W503" s="76" t="str">
        <f aca="false">IF(AND(ISNUMBER(U503),ISNUMBER(U502)),U503/U502-1,"")</f>
        <v/>
      </c>
      <c r="X503" s="75" t="str">
        <f aca="false">IF(AND(ISNUMBER(V503),ISNUMBER(W503)),1,"")</f>
        <v/>
      </c>
      <c r="Y503" s="76" t="str">
        <f aca="false">IF(X503=1,V503,"")</f>
        <v/>
      </c>
      <c r="Z503" s="76" t="str">
        <f aca="false">IF(X503=1,W503,"")</f>
        <v/>
      </c>
      <c r="AA503" s="76" t="e">
        <f aca="false">IF(X503=1,V503,NA())</f>
        <v>#N/A</v>
      </c>
      <c r="AB503" s="76" t="e">
        <f aca="false">IF(X503=1,W503,NA())</f>
        <v>#N/A</v>
      </c>
      <c r="AD503" s="73" t="str">
        <f aca="false">IF(ISNUMBER(AE503),IF(ISNUMBER('Base de Datos'!A499),IF('Base de Datos'!A499&gt;20000,DATE(YEAR('Base de Datos'!A499),DAY('Base de Datos'!A499),MONTH('Base de Datos'!A499)),""),IF(TRIM('Base de Datos'!A499)="","",IFERROR(DATE(VALUE(RIGHT(TRIM('Base de Datos'!A499),4)),VALUE(LEFT(TRIM('Base de Datos'!A499),2)),VALUE(MID(TRIM('Base de Datos'!A499),4,2))),""))),"")</f>
        <v/>
      </c>
      <c r="AE503" s="74" t="str">
        <f aca="false">IF(ISNUMBER('Base de Datos'!B499),'Base de Datos'!B499,IF(TRIM('Base de Datos'!B499)="","",IFERROR(IF(IFERROR(FIND("@",SUBSTITUTE(TRIM('Base de Datos'!B499),",","@",LEN(TRIM('Base de Datos'!B499))-LEN(SUBSTITUTE(TRIM('Base de Datos'!B499),",","")))),0)&gt;IFERROR(FIND("@",SUBSTITUTE(TRIM('Base de Datos'!B499),".","@",LEN(TRIM('Base de Datos'!B499))-LEN(SUBSTITUTE(TRIM('Base de Datos'!B499),".","")))),0),_xlfn.NUMBERVALUE(SUBSTITUTE(SUBSTITUTE(TRIM('Base de Datos'!B499),".",""),",","."),".",","),_xlfn.NUMBERVALUE(SUBSTITUTE(TRIM('Base de Datos'!B499),",",""),".",",")),"")))</f>
        <v/>
      </c>
      <c r="AF503" s="73" t="str">
        <f aca="false">IF(ISNUMBER(AG503),IF(ISNUMBER('Base de Datos'!I499),IF('Base de Datos'!I499&gt;20000,INT('Base de Datos'!I499),""),IF(TRIM('Base de Datos'!I499)="","",IFERROR(DATE(VALUE(RIGHT(TRIM('Base de Datos'!I499),4)),VALUE(MID(TRIM('Base de Datos'!I499),4,2)),VALUE(LEFT(TRIM('Base de Datos'!I499),2))),IFERROR(DATEVALUE(TRIM('Base de Datos'!I499)),"")))),"")</f>
        <v/>
      </c>
      <c r="AG503" s="74" t="str">
        <f aca="false">IF(ISNUMBER('Base de Datos'!J499),'Base de Datos'!J499,IF(TRIM('Base de Datos'!J499)="","",IFERROR(IF(IFERROR(FIND("@",SUBSTITUTE(TRIM('Base de Datos'!J499),",","@",LEN(TRIM('Base de Datos'!J499))-LEN(SUBSTITUTE(TRIM('Base de Datos'!J499),",","")))),0)&gt;IFERROR(FIND("@",SUBSTITUTE(TRIM('Base de Datos'!J499),".","@",LEN(TRIM('Base de Datos'!J499))-LEN(SUBSTITUTE(TRIM('Base de Datos'!J499),".","")))),0),_xlfn.NUMBERVALUE(SUBSTITUTE(SUBSTITUTE(TRIM('Base de Datos'!J499),".",""),",","."),".",","),_xlfn.NUMBERVALUE(SUBSTITUTE(TRIM('Base de Datos'!J499),",",""),".",",")),"")))</f>
        <v/>
      </c>
    </row>
    <row r="504" customFormat="false" ht="13.5" hidden="false" customHeight="false" outlineLevel="0" collapsed="false">
      <c r="R504" s="75" t="n">
        <f aca="false">ROWS(R$13:R504)</f>
        <v>492</v>
      </c>
      <c r="S504" s="73" t="str">
        <f aca="false">IF(S503="","",IFERROR(SMALL($AD$10:$AD$509,COUNTIF($AD$10:$AD$509,"&lt;="&amp;S503)+1),""))</f>
        <v/>
      </c>
      <c r="T504" s="74" t="str">
        <f aca="false">IF(S504="","",INDEX($AE$10:$AE$509,MATCH(S504,$AD$10:$AD$509,0)))</f>
        <v/>
      </c>
      <c r="U504" s="74" t="str">
        <f aca="false">IF(S504="","",IFERROR(INDEX($AG$10:$AG$509,MATCH(S504,$AF$10:$AF$509,0)),""))</f>
        <v/>
      </c>
      <c r="V504" s="76" t="str">
        <f aca="false">IF(AND(ISNUMBER(T504),ISNUMBER(T503)),T504/T503-1,"")</f>
        <v/>
      </c>
      <c r="W504" s="76" t="str">
        <f aca="false">IF(AND(ISNUMBER(U504),ISNUMBER(U503)),U504/U503-1,"")</f>
        <v/>
      </c>
      <c r="X504" s="75" t="str">
        <f aca="false">IF(AND(ISNUMBER(V504),ISNUMBER(W504)),1,"")</f>
        <v/>
      </c>
      <c r="Y504" s="76" t="str">
        <f aca="false">IF(X504=1,V504,"")</f>
        <v/>
      </c>
      <c r="Z504" s="76" t="str">
        <f aca="false">IF(X504=1,W504,"")</f>
        <v/>
      </c>
      <c r="AA504" s="76" t="e">
        <f aca="false">IF(X504=1,V504,NA())</f>
        <v>#N/A</v>
      </c>
      <c r="AB504" s="76" t="e">
        <f aca="false">IF(X504=1,W504,NA())</f>
        <v>#N/A</v>
      </c>
      <c r="AD504" s="73" t="str">
        <f aca="false">IF(ISNUMBER(AE504),IF(ISNUMBER('Base de Datos'!A500),IF('Base de Datos'!A500&gt;20000,DATE(YEAR('Base de Datos'!A500),DAY('Base de Datos'!A500),MONTH('Base de Datos'!A500)),""),IF(TRIM('Base de Datos'!A500)="","",IFERROR(DATE(VALUE(RIGHT(TRIM('Base de Datos'!A500),4)),VALUE(LEFT(TRIM('Base de Datos'!A500),2)),VALUE(MID(TRIM('Base de Datos'!A500),4,2))),""))),"")</f>
        <v/>
      </c>
      <c r="AE504" s="74" t="str">
        <f aca="false">IF(ISNUMBER('Base de Datos'!B500),'Base de Datos'!B500,IF(TRIM('Base de Datos'!B500)="","",IFERROR(IF(IFERROR(FIND("@",SUBSTITUTE(TRIM('Base de Datos'!B500),",","@",LEN(TRIM('Base de Datos'!B500))-LEN(SUBSTITUTE(TRIM('Base de Datos'!B500),",","")))),0)&gt;IFERROR(FIND("@",SUBSTITUTE(TRIM('Base de Datos'!B500),".","@",LEN(TRIM('Base de Datos'!B500))-LEN(SUBSTITUTE(TRIM('Base de Datos'!B500),".","")))),0),_xlfn.NUMBERVALUE(SUBSTITUTE(SUBSTITUTE(TRIM('Base de Datos'!B500),".",""),",","."),".",","),_xlfn.NUMBERVALUE(SUBSTITUTE(TRIM('Base de Datos'!B500),",",""),".",",")),"")))</f>
        <v/>
      </c>
      <c r="AF504" s="73" t="str">
        <f aca="false">IF(ISNUMBER(AG504),IF(ISNUMBER('Base de Datos'!I500),IF('Base de Datos'!I500&gt;20000,INT('Base de Datos'!I500),""),IF(TRIM('Base de Datos'!I500)="","",IFERROR(DATE(VALUE(RIGHT(TRIM('Base de Datos'!I500),4)),VALUE(MID(TRIM('Base de Datos'!I500),4,2)),VALUE(LEFT(TRIM('Base de Datos'!I500),2))),IFERROR(DATEVALUE(TRIM('Base de Datos'!I500)),"")))),"")</f>
        <v/>
      </c>
      <c r="AG504" s="74" t="str">
        <f aca="false">IF(ISNUMBER('Base de Datos'!J500),'Base de Datos'!J500,IF(TRIM('Base de Datos'!J500)="","",IFERROR(IF(IFERROR(FIND("@",SUBSTITUTE(TRIM('Base de Datos'!J500),",","@",LEN(TRIM('Base de Datos'!J500))-LEN(SUBSTITUTE(TRIM('Base de Datos'!J500),",","")))),0)&gt;IFERROR(FIND("@",SUBSTITUTE(TRIM('Base de Datos'!J500),".","@",LEN(TRIM('Base de Datos'!J500))-LEN(SUBSTITUTE(TRIM('Base de Datos'!J500),".","")))),0),_xlfn.NUMBERVALUE(SUBSTITUTE(SUBSTITUTE(TRIM('Base de Datos'!J500),".",""),",","."),".",","),_xlfn.NUMBERVALUE(SUBSTITUTE(TRIM('Base de Datos'!J500),",",""),".",",")),"")))</f>
        <v/>
      </c>
    </row>
    <row r="505" customFormat="false" ht="13.5" hidden="false" customHeight="false" outlineLevel="0" collapsed="false">
      <c r="R505" s="75" t="n">
        <f aca="false">ROWS(R$13:R505)</f>
        <v>493</v>
      </c>
      <c r="S505" s="73" t="str">
        <f aca="false">IF(S504="","",IFERROR(SMALL($AD$10:$AD$509,COUNTIF($AD$10:$AD$509,"&lt;="&amp;S504)+1),""))</f>
        <v/>
      </c>
      <c r="T505" s="74" t="str">
        <f aca="false">IF(S505="","",INDEX($AE$10:$AE$509,MATCH(S505,$AD$10:$AD$509,0)))</f>
        <v/>
      </c>
      <c r="U505" s="74" t="str">
        <f aca="false">IF(S505="","",IFERROR(INDEX($AG$10:$AG$509,MATCH(S505,$AF$10:$AF$509,0)),""))</f>
        <v/>
      </c>
      <c r="V505" s="76" t="str">
        <f aca="false">IF(AND(ISNUMBER(T505),ISNUMBER(T504)),T505/T504-1,"")</f>
        <v/>
      </c>
      <c r="W505" s="76" t="str">
        <f aca="false">IF(AND(ISNUMBER(U505),ISNUMBER(U504)),U505/U504-1,"")</f>
        <v/>
      </c>
      <c r="X505" s="75" t="str">
        <f aca="false">IF(AND(ISNUMBER(V505),ISNUMBER(W505)),1,"")</f>
        <v/>
      </c>
      <c r="Y505" s="76" t="str">
        <f aca="false">IF(X505=1,V505,"")</f>
        <v/>
      </c>
      <c r="Z505" s="76" t="str">
        <f aca="false">IF(X505=1,W505,"")</f>
        <v/>
      </c>
      <c r="AA505" s="76" t="e">
        <f aca="false">IF(X505=1,V505,NA())</f>
        <v>#N/A</v>
      </c>
      <c r="AB505" s="76" t="e">
        <f aca="false">IF(X505=1,W505,NA())</f>
        <v>#N/A</v>
      </c>
      <c r="AD505" s="73" t="str">
        <f aca="false">IF(ISNUMBER(AE505),IF(ISNUMBER('Base de Datos'!A501),IF('Base de Datos'!A501&gt;20000,DATE(YEAR('Base de Datos'!A501),DAY('Base de Datos'!A501),MONTH('Base de Datos'!A501)),""),IF(TRIM('Base de Datos'!A501)="","",IFERROR(DATE(VALUE(RIGHT(TRIM('Base de Datos'!A501),4)),VALUE(LEFT(TRIM('Base de Datos'!A501),2)),VALUE(MID(TRIM('Base de Datos'!A501),4,2))),""))),"")</f>
        <v/>
      </c>
      <c r="AE505" s="74" t="str">
        <f aca="false">IF(ISNUMBER('Base de Datos'!B501),'Base de Datos'!B501,IF(TRIM('Base de Datos'!B501)="","",IFERROR(IF(IFERROR(FIND("@",SUBSTITUTE(TRIM('Base de Datos'!B501),",","@",LEN(TRIM('Base de Datos'!B501))-LEN(SUBSTITUTE(TRIM('Base de Datos'!B501),",","")))),0)&gt;IFERROR(FIND("@",SUBSTITUTE(TRIM('Base de Datos'!B501),".","@",LEN(TRIM('Base de Datos'!B501))-LEN(SUBSTITUTE(TRIM('Base de Datos'!B501),".","")))),0),_xlfn.NUMBERVALUE(SUBSTITUTE(SUBSTITUTE(TRIM('Base de Datos'!B501),".",""),",","."),".",","),_xlfn.NUMBERVALUE(SUBSTITUTE(TRIM('Base de Datos'!B501),",",""),".",",")),"")))</f>
        <v/>
      </c>
      <c r="AF505" s="73" t="str">
        <f aca="false">IF(ISNUMBER(AG505),IF(ISNUMBER('Base de Datos'!I501),IF('Base de Datos'!I501&gt;20000,INT('Base de Datos'!I501),""),IF(TRIM('Base de Datos'!I501)="","",IFERROR(DATE(VALUE(RIGHT(TRIM('Base de Datos'!I501),4)),VALUE(MID(TRIM('Base de Datos'!I501),4,2)),VALUE(LEFT(TRIM('Base de Datos'!I501),2))),IFERROR(DATEVALUE(TRIM('Base de Datos'!I501)),"")))),"")</f>
        <v/>
      </c>
      <c r="AG505" s="74" t="str">
        <f aca="false">IF(ISNUMBER('Base de Datos'!J501),'Base de Datos'!J501,IF(TRIM('Base de Datos'!J501)="","",IFERROR(IF(IFERROR(FIND("@",SUBSTITUTE(TRIM('Base de Datos'!J501),",","@",LEN(TRIM('Base de Datos'!J501))-LEN(SUBSTITUTE(TRIM('Base de Datos'!J501),",","")))),0)&gt;IFERROR(FIND("@",SUBSTITUTE(TRIM('Base de Datos'!J501),".","@",LEN(TRIM('Base de Datos'!J501))-LEN(SUBSTITUTE(TRIM('Base de Datos'!J501),".","")))),0),_xlfn.NUMBERVALUE(SUBSTITUTE(SUBSTITUTE(TRIM('Base de Datos'!J501),".",""),",","."),".",","),_xlfn.NUMBERVALUE(SUBSTITUTE(TRIM('Base de Datos'!J501),",",""),".",",")),"")))</f>
        <v/>
      </c>
    </row>
    <row r="506" customFormat="false" ht="13.5" hidden="false" customHeight="false" outlineLevel="0" collapsed="false">
      <c r="R506" s="75" t="n">
        <f aca="false">ROWS(R$13:R506)</f>
        <v>494</v>
      </c>
      <c r="S506" s="73" t="str">
        <f aca="false">IF(S505="","",IFERROR(SMALL($AD$10:$AD$509,COUNTIF($AD$10:$AD$509,"&lt;="&amp;S505)+1),""))</f>
        <v/>
      </c>
      <c r="T506" s="74" t="str">
        <f aca="false">IF(S506="","",INDEX($AE$10:$AE$509,MATCH(S506,$AD$10:$AD$509,0)))</f>
        <v/>
      </c>
      <c r="U506" s="74" t="str">
        <f aca="false">IF(S506="","",IFERROR(INDEX($AG$10:$AG$509,MATCH(S506,$AF$10:$AF$509,0)),""))</f>
        <v/>
      </c>
      <c r="V506" s="76" t="str">
        <f aca="false">IF(AND(ISNUMBER(T506),ISNUMBER(T505)),T506/T505-1,"")</f>
        <v/>
      </c>
      <c r="W506" s="76" t="str">
        <f aca="false">IF(AND(ISNUMBER(U506),ISNUMBER(U505)),U506/U505-1,"")</f>
        <v/>
      </c>
      <c r="X506" s="75" t="str">
        <f aca="false">IF(AND(ISNUMBER(V506),ISNUMBER(W506)),1,"")</f>
        <v/>
      </c>
      <c r="Y506" s="76" t="str">
        <f aca="false">IF(X506=1,V506,"")</f>
        <v/>
      </c>
      <c r="Z506" s="76" t="str">
        <f aca="false">IF(X506=1,W506,"")</f>
        <v/>
      </c>
      <c r="AA506" s="76" t="e">
        <f aca="false">IF(X506=1,V506,NA())</f>
        <v>#N/A</v>
      </c>
      <c r="AB506" s="76" t="e">
        <f aca="false">IF(X506=1,W506,NA())</f>
        <v>#N/A</v>
      </c>
      <c r="AD506" s="73" t="str">
        <f aca="false">IF(ISNUMBER(AE506),IF(ISNUMBER('Base de Datos'!A502),IF('Base de Datos'!A502&gt;20000,DATE(YEAR('Base de Datos'!A502),DAY('Base de Datos'!A502),MONTH('Base de Datos'!A502)),""),IF(TRIM('Base de Datos'!A502)="","",IFERROR(DATE(VALUE(RIGHT(TRIM('Base de Datos'!A502),4)),VALUE(LEFT(TRIM('Base de Datos'!A502),2)),VALUE(MID(TRIM('Base de Datos'!A502),4,2))),""))),"")</f>
        <v/>
      </c>
      <c r="AE506" s="74" t="str">
        <f aca="false">IF(ISNUMBER('Base de Datos'!B502),'Base de Datos'!B502,IF(TRIM('Base de Datos'!B502)="","",IFERROR(IF(IFERROR(FIND("@",SUBSTITUTE(TRIM('Base de Datos'!B502),",","@",LEN(TRIM('Base de Datos'!B502))-LEN(SUBSTITUTE(TRIM('Base de Datos'!B502),",","")))),0)&gt;IFERROR(FIND("@",SUBSTITUTE(TRIM('Base de Datos'!B502),".","@",LEN(TRIM('Base de Datos'!B502))-LEN(SUBSTITUTE(TRIM('Base de Datos'!B502),".","")))),0),_xlfn.NUMBERVALUE(SUBSTITUTE(SUBSTITUTE(TRIM('Base de Datos'!B502),".",""),",","."),".",","),_xlfn.NUMBERVALUE(SUBSTITUTE(TRIM('Base de Datos'!B502),",",""),".",",")),"")))</f>
        <v/>
      </c>
      <c r="AF506" s="73" t="str">
        <f aca="false">IF(ISNUMBER(AG506),IF(ISNUMBER('Base de Datos'!I502),IF('Base de Datos'!I502&gt;20000,INT('Base de Datos'!I502),""),IF(TRIM('Base de Datos'!I502)="","",IFERROR(DATE(VALUE(RIGHT(TRIM('Base de Datos'!I502),4)),VALUE(MID(TRIM('Base de Datos'!I502),4,2)),VALUE(LEFT(TRIM('Base de Datos'!I502),2))),IFERROR(DATEVALUE(TRIM('Base de Datos'!I502)),"")))),"")</f>
        <v/>
      </c>
      <c r="AG506" s="74" t="str">
        <f aca="false">IF(ISNUMBER('Base de Datos'!J502),'Base de Datos'!J502,IF(TRIM('Base de Datos'!J502)="","",IFERROR(IF(IFERROR(FIND("@",SUBSTITUTE(TRIM('Base de Datos'!J502),",","@",LEN(TRIM('Base de Datos'!J502))-LEN(SUBSTITUTE(TRIM('Base de Datos'!J502),",","")))),0)&gt;IFERROR(FIND("@",SUBSTITUTE(TRIM('Base de Datos'!J502),".","@",LEN(TRIM('Base de Datos'!J502))-LEN(SUBSTITUTE(TRIM('Base de Datos'!J502),".","")))),0),_xlfn.NUMBERVALUE(SUBSTITUTE(SUBSTITUTE(TRIM('Base de Datos'!J502),".",""),",","."),".",","),_xlfn.NUMBERVALUE(SUBSTITUTE(TRIM('Base de Datos'!J502),",",""),".",",")),"")))</f>
        <v/>
      </c>
    </row>
    <row r="507" customFormat="false" ht="13.5" hidden="false" customHeight="false" outlineLevel="0" collapsed="false">
      <c r="R507" s="75" t="n">
        <f aca="false">ROWS(R$13:R507)</f>
        <v>495</v>
      </c>
      <c r="S507" s="73" t="str">
        <f aca="false">IF(S506="","",IFERROR(SMALL($AD$10:$AD$509,COUNTIF($AD$10:$AD$509,"&lt;="&amp;S506)+1),""))</f>
        <v/>
      </c>
      <c r="T507" s="74" t="str">
        <f aca="false">IF(S507="","",INDEX($AE$10:$AE$509,MATCH(S507,$AD$10:$AD$509,0)))</f>
        <v/>
      </c>
      <c r="U507" s="74" t="str">
        <f aca="false">IF(S507="","",IFERROR(INDEX($AG$10:$AG$509,MATCH(S507,$AF$10:$AF$509,0)),""))</f>
        <v/>
      </c>
      <c r="V507" s="76" t="str">
        <f aca="false">IF(AND(ISNUMBER(T507),ISNUMBER(T506)),T507/T506-1,"")</f>
        <v/>
      </c>
      <c r="W507" s="76" t="str">
        <f aca="false">IF(AND(ISNUMBER(U507),ISNUMBER(U506)),U507/U506-1,"")</f>
        <v/>
      </c>
      <c r="X507" s="75" t="str">
        <f aca="false">IF(AND(ISNUMBER(V507),ISNUMBER(W507)),1,"")</f>
        <v/>
      </c>
      <c r="Y507" s="76" t="str">
        <f aca="false">IF(X507=1,V507,"")</f>
        <v/>
      </c>
      <c r="Z507" s="76" t="str">
        <f aca="false">IF(X507=1,W507,"")</f>
        <v/>
      </c>
      <c r="AA507" s="76" t="e">
        <f aca="false">IF(X507=1,V507,NA())</f>
        <v>#N/A</v>
      </c>
      <c r="AB507" s="76" t="e">
        <f aca="false">IF(X507=1,W507,NA())</f>
        <v>#N/A</v>
      </c>
      <c r="AD507" s="73" t="str">
        <f aca="false">IF(ISNUMBER(AE507),IF(ISNUMBER('Base de Datos'!A503),IF('Base de Datos'!A503&gt;20000,DATE(YEAR('Base de Datos'!A503),DAY('Base de Datos'!A503),MONTH('Base de Datos'!A503)),""),IF(TRIM('Base de Datos'!A503)="","",IFERROR(DATE(VALUE(RIGHT(TRIM('Base de Datos'!A503),4)),VALUE(LEFT(TRIM('Base de Datos'!A503),2)),VALUE(MID(TRIM('Base de Datos'!A503),4,2))),""))),"")</f>
        <v/>
      </c>
      <c r="AE507" s="74" t="str">
        <f aca="false">IF(ISNUMBER('Base de Datos'!B503),'Base de Datos'!B503,IF(TRIM('Base de Datos'!B503)="","",IFERROR(IF(IFERROR(FIND("@",SUBSTITUTE(TRIM('Base de Datos'!B503),",","@",LEN(TRIM('Base de Datos'!B503))-LEN(SUBSTITUTE(TRIM('Base de Datos'!B503),",","")))),0)&gt;IFERROR(FIND("@",SUBSTITUTE(TRIM('Base de Datos'!B503),".","@",LEN(TRIM('Base de Datos'!B503))-LEN(SUBSTITUTE(TRIM('Base de Datos'!B503),".","")))),0),_xlfn.NUMBERVALUE(SUBSTITUTE(SUBSTITUTE(TRIM('Base de Datos'!B503),".",""),",","."),".",","),_xlfn.NUMBERVALUE(SUBSTITUTE(TRIM('Base de Datos'!B503),",",""),".",",")),"")))</f>
        <v/>
      </c>
      <c r="AF507" s="73" t="str">
        <f aca="false">IF(ISNUMBER(AG507),IF(ISNUMBER('Base de Datos'!I503),IF('Base de Datos'!I503&gt;20000,INT('Base de Datos'!I503),""),IF(TRIM('Base de Datos'!I503)="","",IFERROR(DATE(VALUE(RIGHT(TRIM('Base de Datos'!I503),4)),VALUE(MID(TRIM('Base de Datos'!I503),4,2)),VALUE(LEFT(TRIM('Base de Datos'!I503),2))),IFERROR(DATEVALUE(TRIM('Base de Datos'!I503)),"")))),"")</f>
        <v/>
      </c>
      <c r="AG507" s="74" t="str">
        <f aca="false">IF(ISNUMBER('Base de Datos'!J503),'Base de Datos'!J503,IF(TRIM('Base de Datos'!J503)="","",IFERROR(IF(IFERROR(FIND("@",SUBSTITUTE(TRIM('Base de Datos'!J503),",","@",LEN(TRIM('Base de Datos'!J503))-LEN(SUBSTITUTE(TRIM('Base de Datos'!J503),",","")))),0)&gt;IFERROR(FIND("@",SUBSTITUTE(TRIM('Base de Datos'!J503),".","@",LEN(TRIM('Base de Datos'!J503))-LEN(SUBSTITUTE(TRIM('Base de Datos'!J503),".","")))),0),_xlfn.NUMBERVALUE(SUBSTITUTE(SUBSTITUTE(TRIM('Base de Datos'!J503),".",""),",","."),".",","),_xlfn.NUMBERVALUE(SUBSTITUTE(TRIM('Base de Datos'!J503),",",""),".",",")),"")))</f>
        <v/>
      </c>
    </row>
    <row r="508" customFormat="false" ht="13.5" hidden="false" customHeight="false" outlineLevel="0" collapsed="false">
      <c r="R508" s="75" t="n">
        <f aca="false">ROWS(R$13:R508)</f>
        <v>496</v>
      </c>
      <c r="S508" s="73" t="str">
        <f aca="false">IF(S507="","",IFERROR(SMALL($AD$10:$AD$509,COUNTIF($AD$10:$AD$509,"&lt;="&amp;S507)+1),""))</f>
        <v/>
      </c>
      <c r="T508" s="74" t="str">
        <f aca="false">IF(S508="","",INDEX($AE$10:$AE$509,MATCH(S508,$AD$10:$AD$509,0)))</f>
        <v/>
      </c>
      <c r="U508" s="74" t="str">
        <f aca="false">IF(S508="","",IFERROR(INDEX($AG$10:$AG$509,MATCH(S508,$AF$10:$AF$509,0)),""))</f>
        <v/>
      </c>
      <c r="V508" s="76" t="str">
        <f aca="false">IF(AND(ISNUMBER(T508),ISNUMBER(T507)),T508/T507-1,"")</f>
        <v/>
      </c>
      <c r="W508" s="76" t="str">
        <f aca="false">IF(AND(ISNUMBER(U508),ISNUMBER(U507)),U508/U507-1,"")</f>
        <v/>
      </c>
      <c r="X508" s="75" t="str">
        <f aca="false">IF(AND(ISNUMBER(V508),ISNUMBER(W508)),1,"")</f>
        <v/>
      </c>
      <c r="Y508" s="76" t="str">
        <f aca="false">IF(X508=1,V508,"")</f>
        <v/>
      </c>
      <c r="Z508" s="76" t="str">
        <f aca="false">IF(X508=1,W508,"")</f>
        <v/>
      </c>
      <c r="AA508" s="76" t="e">
        <f aca="false">IF(X508=1,V508,NA())</f>
        <v>#N/A</v>
      </c>
      <c r="AB508" s="76" t="e">
        <f aca="false">IF(X508=1,W508,NA())</f>
        <v>#N/A</v>
      </c>
      <c r="AD508" s="73" t="str">
        <f aca="false">IF(ISNUMBER(AE508),IF(ISNUMBER('Base de Datos'!A504),IF('Base de Datos'!A504&gt;20000,DATE(YEAR('Base de Datos'!A504),DAY('Base de Datos'!A504),MONTH('Base de Datos'!A504)),""),IF(TRIM('Base de Datos'!A504)="","",IFERROR(DATE(VALUE(RIGHT(TRIM('Base de Datos'!A504),4)),VALUE(LEFT(TRIM('Base de Datos'!A504),2)),VALUE(MID(TRIM('Base de Datos'!A504),4,2))),""))),"")</f>
        <v/>
      </c>
      <c r="AE508" s="74" t="str">
        <f aca="false">IF(ISNUMBER('Base de Datos'!B504),'Base de Datos'!B504,IF(TRIM('Base de Datos'!B504)="","",IFERROR(IF(IFERROR(FIND("@",SUBSTITUTE(TRIM('Base de Datos'!B504),",","@",LEN(TRIM('Base de Datos'!B504))-LEN(SUBSTITUTE(TRIM('Base de Datos'!B504),",","")))),0)&gt;IFERROR(FIND("@",SUBSTITUTE(TRIM('Base de Datos'!B504),".","@",LEN(TRIM('Base de Datos'!B504))-LEN(SUBSTITUTE(TRIM('Base de Datos'!B504),".","")))),0),_xlfn.NUMBERVALUE(SUBSTITUTE(SUBSTITUTE(TRIM('Base de Datos'!B504),".",""),",","."),".",","),_xlfn.NUMBERVALUE(SUBSTITUTE(TRIM('Base de Datos'!B504),",",""),".",",")),"")))</f>
        <v/>
      </c>
      <c r="AF508" s="73" t="str">
        <f aca="false">IF(ISNUMBER(AG508),IF(ISNUMBER('Base de Datos'!I504),IF('Base de Datos'!I504&gt;20000,INT('Base de Datos'!I504),""),IF(TRIM('Base de Datos'!I504)="","",IFERROR(DATE(VALUE(RIGHT(TRIM('Base de Datos'!I504),4)),VALUE(MID(TRIM('Base de Datos'!I504),4,2)),VALUE(LEFT(TRIM('Base de Datos'!I504),2))),IFERROR(DATEVALUE(TRIM('Base de Datos'!I504)),"")))),"")</f>
        <v/>
      </c>
      <c r="AG508" s="74" t="str">
        <f aca="false">IF(ISNUMBER('Base de Datos'!J504),'Base de Datos'!J504,IF(TRIM('Base de Datos'!J504)="","",IFERROR(IF(IFERROR(FIND("@",SUBSTITUTE(TRIM('Base de Datos'!J504),",","@",LEN(TRIM('Base de Datos'!J504))-LEN(SUBSTITUTE(TRIM('Base de Datos'!J504),",","")))),0)&gt;IFERROR(FIND("@",SUBSTITUTE(TRIM('Base de Datos'!J504),".","@",LEN(TRIM('Base de Datos'!J504))-LEN(SUBSTITUTE(TRIM('Base de Datos'!J504),".","")))),0),_xlfn.NUMBERVALUE(SUBSTITUTE(SUBSTITUTE(TRIM('Base de Datos'!J504),".",""),",","."),".",","),_xlfn.NUMBERVALUE(SUBSTITUTE(TRIM('Base de Datos'!J504),",",""),".",",")),"")))</f>
        <v/>
      </c>
    </row>
    <row r="509" customFormat="false" ht="13.5" hidden="false" customHeight="false" outlineLevel="0" collapsed="false">
      <c r="R509" s="75" t="n">
        <f aca="false">ROWS(R$13:R509)</f>
        <v>497</v>
      </c>
      <c r="S509" s="73" t="str">
        <f aca="false">IF(S508="","",IFERROR(SMALL($AD$10:$AD$509,COUNTIF($AD$10:$AD$509,"&lt;="&amp;S508)+1),""))</f>
        <v/>
      </c>
      <c r="T509" s="74" t="str">
        <f aca="false">IF(S509="","",INDEX($AE$10:$AE$509,MATCH(S509,$AD$10:$AD$509,0)))</f>
        <v/>
      </c>
      <c r="U509" s="74" t="str">
        <f aca="false">IF(S509="","",IFERROR(INDEX($AG$10:$AG$509,MATCH(S509,$AF$10:$AF$509,0)),""))</f>
        <v/>
      </c>
      <c r="V509" s="76" t="str">
        <f aca="false">IF(AND(ISNUMBER(T509),ISNUMBER(T508)),T509/T508-1,"")</f>
        <v/>
      </c>
      <c r="W509" s="76" t="str">
        <f aca="false">IF(AND(ISNUMBER(U509),ISNUMBER(U508)),U509/U508-1,"")</f>
        <v/>
      </c>
      <c r="X509" s="75" t="str">
        <f aca="false">IF(AND(ISNUMBER(V509),ISNUMBER(W509)),1,"")</f>
        <v/>
      </c>
      <c r="Y509" s="76" t="str">
        <f aca="false">IF(X509=1,V509,"")</f>
        <v/>
      </c>
      <c r="Z509" s="76" t="str">
        <f aca="false">IF(X509=1,W509,"")</f>
        <v/>
      </c>
      <c r="AA509" s="76" t="e">
        <f aca="false">IF(X509=1,V509,NA())</f>
        <v>#N/A</v>
      </c>
      <c r="AB509" s="76" t="e">
        <f aca="false">IF(X509=1,W509,NA())</f>
        <v>#N/A</v>
      </c>
      <c r="AD509" s="73" t="str">
        <f aca="false">IF(ISNUMBER(AE509),IF(ISNUMBER('Base de Datos'!A505),IF('Base de Datos'!A505&gt;20000,DATE(YEAR('Base de Datos'!A505),DAY('Base de Datos'!A505),MONTH('Base de Datos'!A505)),""),IF(TRIM('Base de Datos'!A505)="","",IFERROR(DATE(VALUE(RIGHT(TRIM('Base de Datos'!A505),4)),VALUE(LEFT(TRIM('Base de Datos'!A505),2)),VALUE(MID(TRIM('Base de Datos'!A505),4,2))),""))),"")</f>
        <v/>
      </c>
      <c r="AE509" s="74" t="str">
        <f aca="false">IF(ISNUMBER('Base de Datos'!B505),'Base de Datos'!B505,IF(TRIM('Base de Datos'!B505)="","",IFERROR(IF(IFERROR(FIND("@",SUBSTITUTE(TRIM('Base de Datos'!B505),",","@",LEN(TRIM('Base de Datos'!B505))-LEN(SUBSTITUTE(TRIM('Base de Datos'!B505),",","")))),0)&gt;IFERROR(FIND("@",SUBSTITUTE(TRIM('Base de Datos'!B505),".","@",LEN(TRIM('Base de Datos'!B505))-LEN(SUBSTITUTE(TRIM('Base de Datos'!B505),".","")))),0),_xlfn.NUMBERVALUE(SUBSTITUTE(SUBSTITUTE(TRIM('Base de Datos'!B505),".",""),",","."),".",","),_xlfn.NUMBERVALUE(SUBSTITUTE(TRIM('Base de Datos'!B505),",",""),".",",")),"")))</f>
        <v/>
      </c>
      <c r="AF509" s="73" t="str">
        <f aca="false">IF(ISNUMBER(AG509),IF(ISNUMBER('Base de Datos'!I505),IF('Base de Datos'!I505&gt;20000,INT('Base de Datos'!I505),""),IF(TRIM('Base de Datos'!I505)="","",IFERROR(DATE(VALUE(RIGHT(TRIM('Base de Datos'!I505),4)),VALUE(MID(TRIM('Base de Datos'!I505),4,2)),VALUE(LEFT(TRIM('Base de Datos'!I505),2))),IFERROR(DATEVALUE(TRIM('Base de Datos'!I505)),"")))),"")</f>
        <v/>
      </c>
      <c r="AG509" s="74" t="str">
        <f aca="false">IF(ISNUMBER('Base de Datos'!J505),'Base de Datos'!J505,IF(TRIM('Base de Datos'!J505)="","",IFERROR(IF(IFERROR(FIND("@",SUBSTITUTE(TRIM('Base de Datos'!J505),",","@",LEN(TRIM('Base de Datos'!J505))-LEN(SUBSTITUTE(TRIM('Base de Datos'!J505),",","")))),0)&gt;IFERROR(FIND("@",SUBSTITUTE(TRIM('Base de Datos'!J505),".","@",LEN(TRIM('Base de Datos'!J505))-LEN(SUBSTITUTE(TRIM('Base de Datos'!J505),".","")))),0),_xlfn.NUMBERVALUE(SUBSTITUTE(SUBSTITUTE(TRIM('Base de Datos'!J505),".",""),",","."),".",","),_xlfn.NUMBERVALUE(SUBSTITUTE(TRIM('Base de Datos'!J505),",",""),".",",")),"")))</f>
        <v/>
      </c>
    </row>
    <row r="510" customFormat="false" ht="13.5" hidden="false" customHeight="false" outlineLevel="0" collapsed="false">
      <c r="R510" s="75" t="n">
        <f aca="false">ROWS(R$13:R510)</f>
        <v>498</v>
      </c>
      <c r="S510" s="73" t="str">
        <f aca="false">IF(S509="","",IFERROR(SMALL($AD$10:$AD$509,COUNTIF($AD$10:$AD$509,"&lt;="&amp;S509)+1),""))</f>
        <v/>
      </c>
      <c r="T510" s="74" t="str">
        <f aca="false">IF(S510="","",INDEX($AE$10:$AE$509,MATCH(S510,$AD$10:$AD$509,0)))</f>
        <v/>
      </c>
      <c r="U510" s="74" t="str">
        <f aca="false">IF(S510="","",IFERROR(INDEX($AG$10:$AG$509,MATCH(S510,$AF$10:$AF$509,0)),""))</f>
        <v/>
      </c>
      <c r="V510" s="76" t="str">
        <f aca="false">IF(AND(ISNUMBER(T510),ISNUMBER(T509)),T510/T509-1,"")</f>
        <v/>
      </c>
      <c r="W510" s="76" t="str">
        <f aca="false">IF(AND(ISNUMBER(U510),ISNUMBER(U509)),U510/U509-1,"")</f>
        <v/>
      </c>
      <c r="X510" s="75" t="str">
        <f aca="false">IF(AND(ISNUMBER(V510),ISNUMBER(W510)),1,"")</f>
        <v/>
      </c>
      <c r="Y510" s="76" t="str">
        <f aca="false">IF(X510=1,V510,"")</f>
        <v/>
      </c>
      <c r="Z510" s="76" t="str">
        <f aca="false">IF(X510=1,W510,"")</f>
        <v/>
      </c>
      <c r="AA510" s="76" t="e">
        <f aca="false">IF(X510=1,V510,NA())</f>
        <v>#N/A</v>
      </c>
      <c r="AB510" s="76" t="e">
        <f aca="false">IF(X510=1,W510,NA())</f>
        <v>#N/A</v>
      </c>
    </row>
    <row r="511" customFormat="false" ht="13.5" hidden="false" customHeight="false" outlineLevel="0" collapsed="false">
      <c r="R511" s="75" t="n">
        <f aca="false">ROWS(R$13:R511)</f>
        <v>499</v>
      </c>
      <c r="S511" s="73" t="str">
        <f aca="false">IF(S510="","",IFERROR(SMALL($AD$10:$AD$509,COUNTIF($AD$10:$AD$509,"&lt;="&amp;S510)+1),""))</f>
        <v/>
      </c>
      <c r="T511" s="74" t="str">
        <f aca="false">IF(S511="","",INDEX($AE$10:$AE$509,MATCH(S511,$AD$10:$AD$509,0)))</f>
        <v/>
      </c>
      <c r="U511" s="74" t="str">
        <f aca="false">IF(S511="","",IFERROR(INDEX($AG$10:$AG$509,MATCH(S511,$AF$10:$AF$509,0)),""))</f>
        <v/>
      </c>
      <c r="V511" s="76" t="str">
        <f aca="false">IF(AND(ISNUMBER(T511),ISNUMBER(T510)),T511/T510-1,"")</f>
        <v/>
      </c>
      <c r="W511" s="76" t="str">
        <f aca="false">IF(AND(ISNUMBER(U511),ISNUMBER(U510)),U511/U510-1,"")</f>
        <v/>
      </c>
      <c r="X511" s="75" t="str">
        <f aca="false">IF(AND(ISNUMBER(V511),ISNUMBER(W511)),1,"")</f>
        <v/>
      </c>
      <c r="Y511" s="76" t="str">
        <f aca="false">IF(X511=1,V511,"")</f>
        <v/>
      </c>
      <c r="Z511" s="76" t="str">
        <f aca="false">IF(X511=1,W511,"")</f>
        <v/>
      </c>
      <c r="AA511" s="76" t="e">
        <f aca="false">IF(X511=1,V511,NA())</f>
        <v>#N/A</v>
      </c>
      <c r="AB511" s="76" t="e">
        <f aca="false">IF(X511=1,W511,NA())</f>
        <v>#N/A</v>
      </c>
    </row>
    <row r="512" customFormat="false" ht="13.5" hidden="false" customHeight="false" outlineLevel="0" collapsed="false">
      <c r="R512" s="75" t="n">
        <f aca="false">ROWS(R$13:R512)</f>
        <v>500</v>
      </c>
      <c r="S512" s="73" t="str">
        <f aca="false">IF(S511="","",IFERROR(SMALL($AD$10:$AD$509,COUNTIF($AD$10:$AD$509,"&lt;="&amp;S511)+1),""))</f>
        <v/>
      </c>
      <c r="T512" s="74" t="str">
        <f aca="false">IF(S512="","",INDEX($AE$10:$AE$509,MATCH(S512,$AD$10:$AD$509,0)))</f>
        <v/>
      </c>
      <c r="U512" s="74" t="str">
        <f aca="false">IF(S512="","",IFERROR(INDEX($AG$10:$AG$509,MATCH(S512,$AF$10:$AF$509,0)),""))</f>
        <v/>
      </c>
      <c r="V512" s="76" t="str">
        <f aca="false">IF(AND(ISNUMBER(T512),ISNUMBER(T511)),T512/T511-1,"")</f>
        <v/>
      </c>
      <c r="W512" s="76" t="str">
        <f aca="false">IF(AND(ISNUMBER(U512),ISNUMBER(U511)),U512/U511-1,"")</f>
        <v/>
      </c>
      <c r="X512" s="75" t="str">
        <f aca="false">IF(AND(ISNUMBER(V512),ISNUMBER(W512)),1,"")</f>
        <v/>
      </c>
      <c r="Y512" s="76" t="str">
        <f aca="false">IF(X512=1,V512,"")</f>
        <v/>
      </c>
      <c r="Z512" s="76" t="str">
        <f aca="false">IF(X512=1,W512,"")</f>
        <v/>
      </c>
      <c r="AA512" s="76" t="e">
        <f aca="false">IF(X512=1,V512,NA())</f>
        <v>#N/A</v>
      </c>
      <c r="AB512" s="76" t="e">
        <f aca="false">IF(X512=1,W512,NA())</f>
        <v>#N/A</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9"/>
  <sheetViews>
    <sheetView showFormulas="false" showGridLines="true" showRowColHeaders="true" showZeros="true" rightToLeft="false" tabSelected="false" showOutlineSymbols="true" defaultGridColor="true" view="normal" topLeftCell="A1" colorId="64" zoomScale="89" zoomScaleNormal="89" zoomScalePageLayoutView="100" workbookViewId="0">
      <selection pane="topLeft" activeCell="H43" activeCellId="0" sqref="H43"/>
    </sheetView>
  </sheetViews>
  <sheetFormatPr defaultColWidth="11.5078125" defaultRowHeight="15" zeroHeight="false" outlineLevelRow="0" outlineLevelCol="0"/>
  <cols>
    <col collapsed="false" customWidth="true" hidden="false" outlineLevel="0" max="1" min="1" style="0" width="38.83"/>
    <col collapsed="false" customWidth="true" hidden="false" outlineLevel="0" max="7" min="2" style="0" width="12.5"/>
    <col collapsed="false" customWidth="true" hidden="false" outlineLevel="0" max="8" min="8" style="0" width="96.33"/>
  </cols>
  <sheetData>
    <row r="1" customFormat="false" ht="18.75" hidden="false" customHeight="true" outlineLevel="0" collapsed="false">
      <c r="A1" s="35"/>
    </row>
    <row r="2" customFormat="false" ht="15" hidden="false" customHeight="false" outlineLevel="0" collapsed="false">
      <c r="A2" s="36"/>
    </row>
    <row r="3" customFormat="false" ht="15" hidden="false" customHeight="false" outlineLevel="0" collapsed="false">
      <c r="A3" s="1" t="s">
        <v>1384</v>
      </c>
      <c r="B3" s="77" t="n">
        <v>91.25</v>
      </c>
      <c r="C3" s="2"/>
      <c r="D3" s="2"/>
      <c r="E3" s="2"/>
      <c r="F3" s="2"/>
      <c r="G3" s="2"/>
      <c r="H3" s="2"/>
      <c r="I3" s="2"/>
    </row>
    <row r="5" customFormat="false" ht="15" hidden="false" customHeight="false" outlineLevel="0" collapsed="false">
      <c r="B5" s="9"/>
      <c r="C5" s="9"/>
      <c r="D5" s="9"/>
      <c r="E5" s="9"/>
      <c r="F5" s="9"/>
      <c r="G5" s="9"/>
      <c r="H5" s="78"/>
    </row>
    <row r="6" customFormat="false" ht="15" hidden="false" customHeight="false" outlineLevel="0" collapsed="false">
      <c r="A6" s="1" t="s">
        <v>1385</v>
      </c>
      <c r="B6" s="1" t="s">
        <v>146</v>
      </c>
      <c r="C6" s="1" t="s">
        <v>147</v>
      </c>
      <c r="D6" s="1" t="s">
        <v>148</v>
      </c>
      <c r="E6" s="1" t="s">
        <v>149</v>
      </c>
      <c r="F6" s="1" t="s">
        <v>85</v>
      </c>
      <c r="G6" s="1" t="s">
        <v>1386</v>
      </c>
      <c r="H6" s="2"/>
      <c r="I6" s="2"/>
    </row>
    <row r="7" customFormat="false" ht="15" hidden="false" customHeight="false" outlineLevel="0" collapsed="false">
      <c r="A7" s="3" t="s">
        <v>25</v>
      </c>
      <c r="B7" s="10" t="n">
        <f aca="false">Datos!B19/Datos!B21</f>
        <v>1.26947522220869</v>
      </c>
      <c r="C7" s="10" t="n">
        <f aca="false">Datos!C19/Datos!C21</f>
        <v>1.30314218381775</v>
      </c>
      <c r="D7" s="10" t="n">
        <f aca="false">Datos!D19/Datos!D21</f>
        <v>1.23738494097249</v>
      </c>
      <c r="E7" s="10" t="n">
        <f aca="false">Datos!E19/Datos!E21</f>
        <v>1.28691285081241</v>
      </c>
      <c r="F7" s="10" t="n">
        <f aca="false">Datos!F19/Datos!F21</f>
        <v>1.17402940225869</v>
      </c>
      <c r="G7" s="10" t="n">
        <f aca="false">AVERAGE(B7:F7)</f>
        <v>1.25418892001401</v>
      </c>
    </row>
    <row r="8" customFormat="false" ht="15" hidden="false" customHeight="false" outlineLevel="0" collapsed="false">
      <c r="A8" s="3" t="s">
        <v>26</v>
      </c>
      <c r="B8" s="10" t="n">
        <f aca="false">(Datos!B19-Datos!B18)/Datos!B21</f>
        <v>0.358212589796664</v>
      </c>
      <c r="C8" s="10" t="n">
        <f aca="false">(Datos!C19-Datos!C18)/Datos!C21</f>
        <v>0.350170201623462</v>
      </c>
      <c r="D8" s="10" t="n">
        <f aca="false">(Datos!D19-Datos!D18)/Datos!D21</f>
        <v>0.414237996889263</v>
      </c>
      <c r="E8" s="10" t="n">
        <f aca="false">(Datos!E19-Datos!E18)/Datos!E21</f>
        <v>0.322806499261448</v>
      </c>
      <c r="F8" s="10" t="n">
        <f aca="false">(Datos!F19-Datos!F18)/Datos!F21</f>
        <v>0.328261785441147</v>
      </c>
      <c r="G8" s="10" t="n">
        <f aca="false">AVERAGE(B8:F8)</f>
        <v>0.354737814602396</v>
      </c>
    </row>
    <row r="9" customFormat="false" ht="15" hidden="false" customHeight="false" outlineLevel="0" collapsed="false">
      <c r="A9" s="3" t="s">
        <v>27</v>
      </c>
      <c r="B9" s="11" t="n">
        <f aca="false">Datos!B23/Datos!B20</f>
        <v>0.474631198308329</v>
      </c>
      <c r="C9" s="11" t="n">
        <f aca="false">Datos!C23/Datos!C20</f>
        <v>0.463124277786949</v>
      </c>
      <c r="D9" s="11" t="n">
        <f aca="false">Datos!D23/Datos!D20</f>
        <v>0.45697842833156</v>
      </c>
      <c r="E9" s="11" t="n">
        <f aca="false">Datos!E23/Datos!E20</f>
        <v>0.433129500930827</v>
      </c>
      <c r="F9" s="11" t="n">
        <f aca="false">Datos!F23/Datos!F20</f>
        <v>0.447405508471874</v>
      </c>
      <c r="G9" s="11" t="n">
        <f aca="false">AVERAGE(B9:F9)</f>
        <v>0.455053782765908</v>
      </c>
    </row>
    <row r="10" customFormat="false" ht="15" hidden="false" customHeight="false" outlineLevel="0" collapsed="false">
      <c r="A10" s="3" t="s">
        <v>28</v>
      </c>
      <c r="B10" s="11" t="n">
        <f aca="false">Datos!B22/Datos!B20</f>
        <v>0.217721249734112</v>
      </c>
      <c r="C10" s="11" t="n">
        <f aca="false">Datos!C22/Datos!C20</f>
        <v>0.220651166334396</v>
      </c>
      <c r="D10" s="11" t="n">
        <f aca="false">Datos!D22/Datos!D20</f>
        <v>0.205629397967162</v>
      </c>
      <c r="E10" s="11" t="n">
        <f aca="false">Datos!E22/Datos!E20</f>
        <v>0.208869690806342</v>
      </c>
      <c r="F10" s="11" t="n">
        <f aca="false">Datos!F22/Datos!F20</f>
        <v>0.179838833515078</v>
      </c>
      <c r="G10" s="11" t="n">
        <f aca="false">AVERAGE(B10:F10)</f>
        <v>0.206542067671418</v>
      </c>
    </row>
    <row r="11" customFormat="false" ht="15" hidden="false" customHeight="false" outlineLevel="0" collapsed="false">
      <c r="A11" s="3" t="s">
        <v>29</v>
      </c>
      <c r="B11" s="10" t="n">
        <f aca="false">Datos!B9/Datos!B10</f>
        <v>2.30277442702051</v>
      </c>
      <c r="C11" s="10" t="n">
        <f aca="false">Datos!C9/Datos!C10</f>
        <v>1.8676844783715</v>
      </c>
      <c r="D11" s="10" t="n">
        <f aca="false">Datos!D9/Datos!D10</f>
        <v>4.03571428571429</v>
      </c>
      <c r="E11" s="10" t="n">
        <f aca="false">Datos!E9/Datos!E10</f>
        <v>3.09863945578231</v>
      </c>
      <c r="F11" s="10" t="n">
        <f aca="false">Datos!F9/Datos!F10</f>
        <v>3.1872852233677</v>
      </c>
      <c r="G11" s="10" t="n">
        <f aca="false">AVERAGE(B11:F11)</f>
        <v>2.89841957405126</v>
      </c>
    </row>
    <row r="12" customFormat="false" ht="15" hidden="false" customHeight="false" outlineLevel="0" collapsed="false">
      <c r="A12" s="3" t="s">
        <v>1387</v>
      </c>
      <c r="B12" s="10" t="n">
        <f aca="false">Datos!B7/Datos!B18</f>
        <v>0.931455599796906</v>
      </c>
      <c r="C12" s="10" t="n">
        <f aca="false">Datos!C7/Datos!C18</f>
        <v>0.879210858932791</v>
      </c>
      <c r="D12" s="10" t="n">
        <f aca="false">Datos!D7/Datos!D18</f>
        <v>1.10878790694793</v>
      </c>
      <c r="E12" s="10" t="n">
        <f aca="false">Datos!E7/Datos!E18</f>
        <v>0.933537612992186</v>
      </c>
      <c r="F12" s="10" t="n">
        <f aca="false">Datos!F7/Datos!F18</f>
        <v>0.927644333739937</v>
      </c>
      <c r="G12" s="10" t="n">
        <f aca="false">AVERAGE(B12:F12)</f>
        <v>0.95612726248195</v>
      </c>
    </row>
    <row r="13" customFormat="false" ht="15" hidden="false" customHeight="false" outlineLevel="0" collapsed="false">
      <c r="A13" s="3" t="s">
        <v>31</v>
      </c>
      <c r="B13" s="12" t="n">
        <f aca="false">$B$3*Datos!B18/Datos!B7</f>
        <v>97.9649486458573</v>
      </c>
      <c r="C13" s="12" t="n">
        <f aca="false">$B$3*Datos!C18/Datos!C7</f>
        <v>103.786252265767</v>
      </c>
      <c r="D13" s="12" t="n">
        <f aca="false">$B$3*Datos!D18/Datos!D7</f>
        <v>82.2970736136332</v>
      </c>
      <c r="E13" s="12" t="n">
        <f aca="false">$B$3*Datos!E18/Datos!E7</f>
        <v>97.7464632705311</v>
      </c>
      <c r="F13" s="12" t="n">
        <f aca="false">$B$3*Datos!F18/Datos!F7</f>
        <v>98.3674417889365</v>
      </c>
      <c r="G13" s="12" t="n">
        <f aca="false">AVERAGE(B13:F13)</f>
        <v>96.0324359169449</v>
      </c>
    </row>
    <row r="14" customFormat="false" ht="15" hidden="false" customHeight="false" outlineLevel="0" collapsed="false">
      <c r="A14" s="3" t="s">
        <v>1388</v>
      </c>
      <c r="B14" s="10" t="n">
        <f aca="false">Datos!B6/Datos!B20</f>
        <v>0.286595513069156</v>
      </c>
      <c r="C14" s="10" t="n">
        <f aca="false">Datos!C6/Datos!C20</f>
        <v>0.27099973333672</v>
      </c>
      <c r="D14" s="10" t="n">
        <f aca="false">Datos!D6/Datos!D20</f>
        <v>0.30500262756508</v>
      </c>
      <c r="E14" s="10" t="n">
        <f aca="false">Datos!E6/Datos!E20</f>
        <v>0.267945753638839</v>
      </c>
      <c r="F14" s="10" t="n">
        <f aca="false">Datos!F6/Datos!F20</f>
        <v>0.277776714940726</v>
      </c>
      <c r="G14" s="10" t="n">
        <f aca="false">AVERAGE(B14:F14)</f>
        <v>0.281664068510104</v>
      </c>
    </row>
    <row r="15" customFormat="false" ht="15" hidden="false" customHeight="false" outlineLevel="0" collapsed="false">
      <c r="A15" s="3" t="s">
        <v>33</v>
      </c>
      <c r="B15" s="11" t="n">
        <f aca="false">Datos!B8/Datos!B6</f>
        <v>0.239118096485484</v>
      </c>
      <c r="C15" s="11" t="n">
        <f aca="false">Datos!C8/Datos!C6</f>
        <v>0.250333856570532</v>
      </c>
      <c r="D15" s="11" t="n">
        <f aca="false">Datos!D8/Datos!D6</f>
        <v>0.247877794587326</v>
      </c>
      <c r="E15" s="11" t="n">
        <f aca="false">Datos!E8/Datos!E6</f>
        <v>0.246711502324201</v>
      </c>
      <c r="F15" s="11" t="n">
        <f aca="false">Datos!F8/Datos!F6</f>
        <v>0.244266397300214</v>
      </c>
      <c r="G15" s="11" t="n">
        <f aca="false">AVERAGE(B15:F15)</f>
        <v>0.245661529453551</v>
      </c>
    </row>
    <row r="16" customFormat="false" ht="15" hidden="false" customHeight="false" outlineLevel="0" collapsed="false">
      <c r="A16" s="3" t="s">
        <v>34</v>
      </c>
      <c r="B16" s="11" t="n">
        <f aca="false">Datos!B13/Datos!B6</f>
        <v>0.0162191661209343</v>
      </c>
      <c r="C16" s="11" t="n">
        <f aca="false">Datos!C13/Datos!C6</f>
        <v>0.013682262258979</v>
      </c>
      <c r="D16" s="11" t="n">
        <f aca="false">Datos!D13/Datos!D6</f>
        <v>0.0274836106908724</v>
      </c>
      <c r="E16" s="11" t="n">
        <f aca="false">Datos!E13/Datos!E6</f>
        <v>0.0206211057264366</v>
      </c>
      <c r="F16" s="11" t="n">
        <f aca="false">Datos!F13/Datos!F6</f>
        <v>0.0250235313023715</v>
      </c>
      <c r="G16" s="11" t="n">
        <f aca="false">AVERAGE(B16:F16)</f>
        <v>0.0206059352199188</v>
      </c>
    </row>
    <row r="17" customFormat="false" ht="15" hidden="false" customHeight="false" outlineLevel="0" collapsed="false">
      <c r="A17" s="3" t="s">
        <v>1389</v>
      </c>
      <c r="B17" s="4" t="n">
        <f aca="false">Datos!B13/Datos!B20</f>
        <v>0.00464834023598303</v>
      </c>
      <c r="C17" s="4" t="n">
        <f aca="false">Datos!C13/Datos!C20</f>
        <v>0.00370788942362637</v>
      </c>
      <c r="D17" s="4" t="n">
        <f aca="false">Datos!D13/Datos!D20</f>
        <v>0.00838257347569182</v>
      </c>
      <c r="E17" s="4" t="n">
        <f aca="false">Datos!E13/Datos!E20</f>
        <v>0.00552533771473622</v>
      </c>
      <c r="F17" s="4" t="n">
        <f aca="false">Datos!F13/Datos!F20</f>
        <v>0.00695095432138917</v>
      </c>
      <c r="G17" s="4" t="n">
        <f aca="false">AVERAGE(B17:F17)</f>
        <v>0.00584301903428532</v>
      </c>
    </row>
    <row r="18" customFormat="false" ht="15" hidden="false" customHeight="false" outlineLevel="0" collapsed="false">
      <c r="A18" s="3" t="s">
        <v>1390</v>
      </c>
      <c r="B18" s="4" t="n">
        <f aca="false">Datos!B13/Datos!B24</f>
        <v>0.00884776602838906</v>
      </c>
      <c r="C18" s="4" t="n">
        <f aca="false">Datos!C13/Datos!C24</f>
        <v>0.00690642036920966</v>
      </c>
      <c r="D18" s="4" t="n">
        <f aca="false">Datos!D13/Datos!D24</f>
        <v>0.0154369069536893</v>
      </c>
      <c r="E18" s="4" t="n">
        <f aca="false">Datos!E13/Datos!E24</f>
        <v>0.00974708989762049</v>
      </c>
      <c r="F18" s="4" t="n">
        <f aca="false">Datos!F13/Datos!F24</f>
        <v>0.0125787615112978</v>
      </c>
      <c r="G18" s="4" t="n">
        <f aca="false">AVERAGE(B18:F18)</f>
        <v>0.0107033889520413</v>
      </c>
    </row>
    <row r="19" customFormat="false" ht="15" hidden="false" customHeight="false" outlineLevel="0" collapsed="false">
      <c r="A19" s="3" t="s">
        <v>1391</v>
      </c>
      <c r="B19" s="4" t="n">
        <f aca="false">Datos!B9*(1-WACC!$B$10)/(Datos!B24+Datos!B29)</f>
        <v>0.0117085779374398</v>
      </c>
      <c r="C19" s="4" t="n">
        <f aca="false">Datos!C9*(1-WACC!$B$10)/(Datos!C24+Datos!C29)</f>
        <v>0.0089530132343588</v>
      </c>
      <c r="D19" s="4" t="n">
        <f aca="false">Datos!D9*(1-WACC!$B$10)/(Datos!D24+Datos!D29)</f>
        <v>0.0160609137055838</v>
      </c>
      <c r="E19" s="4" t="n">
        <f aca="false">Datos!E9*(1-WACC!$B$10)/(Datos!E24+Datos!E29)</f>
        <v>0.0116701895010385</v>
      </c>
      <c r="F19" s="4" t="n">
        <f aca="false">Datos!F9*(1-WACC!$B$10)/(Datos!F24+Datos!F29)</f>
        <v>0.0117644833247305</v>
      </c>
      <c r="G19" s="4" t="n">
        <f aca="false">AVERAGE(B19:F19)</f>
        <v>0.0120314355406303</v>
      </c>
    </row>
    <row r="20" customFormat="false" ht="15" hidden="false" customHeight="false" outlineLevel="0" collapsed="false">
      <c r="B20" s="9"/>
      <c r="C20" s="9"/>
      <c r="D20" s="9"/>
      <c r="E20" s="9"/>
      <c r="F20" s="9"/>
      <c r="G20" s="79"/>
    </row>
    <row r="21" customFormat="false" ht="15" hidden="false" customHeight="false" outlineLevel="0" collapsed="false">
      <c r="B21" s="9"/>
      <c r="C21" s="9"/>
      <c r="D21" s="9"/>
      <c r="E21" s="9"/>
      <c r="F21" s="9"/>
      <c r="G21" s="79"/>
    </row>
    <row r="22" customFormat="false" ht="15" hidden="false" customHeight="false" outlineLevel="0" collapsed="false">
      <c r="A22" s="1" t="s">
        <v>1392</v>
      </c>
      <c r="B22" s="1" t="s">
        <v>146</v>
      </c>
      <c r="C22" s="1" t="s">
        <v>147</v>
      </c>
      <c r="D22" s="1" t="s">
        <v>148</v>
      </c>
      <c r="E22" s="1" t="s">
        <v>149</v>
      </c>
      <c r="F22" s="1" t="s">
        <v>85</v>
      </c>
      <c r="G22" s="1" t="s">
        <v>1386</v>
      </c>
      <c r="H22" s="2"/>
      <c r="I22" s="2"/>
    </row>
    <row r="23" customFormat="false" ht="15" hidden="false" customHeight="false" outlineLevel="0" collapsed="false">
      <c r="A23" s="3" t="s">
        <v>25</v>
      </c>
      <c r="B23" s="10" t="n">
        <f aca="false">Datos!B45/Datos!B47</f>
        <v>0.940746121897885</v>
      </c>
      <c r="C23" s="10" t="n">
        <f aca="false">Datos!C45/Datos!C47</f>
        <v>0.949653486731077</v>
      </c>
      <c r="D23" s="10" t="n">
        <f aca="false">Datos!D45/Datos!D47</f>
        <v>0.966960823537106</v>
      </c>
      <c r="E23" s="10" t="n">
        <f aca="false">Datos!E45/Datos!E47</f>
        <v>1.06285170971514</v>
      </c>
      <c r="F23" s="10" t="n">
        <f aca="false">Datos!F45/Datos!F47</f>
        <v>0.964167334585705</v>
      </c>
      <c r="G23" s="10" t="n">
        <f aca="false">AVERAGE(B23:F23)</f>
        <v>0.976875895293384</v>
      </c>
    </row>
    <row r="24" customFormat="false" ht="15" hidden="false" customHeight="false" outlineLevel="0" collapsed="false">
      <c r="A24" s="3" t="s">
        <v>26</v>
      </c>
      <c r="B24" s="10" t="n">
        <f aca="false">(Datos!B45-Datos!B44)/Datos!B47</f>
        <v>0.338231127096535</v>
      </c>
      <c r="C24" s="10" t="n">
        <f aca="false">(Datos!C45-Datos!C44)/Datos!C47</f>
        <v>0.342009535487091</v>
      </c>
      <c r="D24" s="10" t="n">
        <f aca="false">(Datos!D45-Datos!D44)/Datos!D47</f>
        <v>0.333841631377466</v>
      </c>
      <c r="E24" s="10" t="n">
        <f aca="false">(Datos!E45-Datos!E44)/Datos!E47</f>
        <v>0.371702868864461</v>
      </c>
      <c r="F24" s="10" t="n">
        <f aca="false">(Datos!F45-Datos!F44)/Datos!F47</f>
        <v>0.349440377220855</v>
      </c>
      <c r="G24" s="10" t="n">
        <f aca="false">AVERAGE(B24:F24)</f>
        <v>0.347045108009281</v>
      </c>
    </row>
    <row r="25" customFormat="false" ht="15" hidden="false" customHeight="false" outlineLevel="0" collapsed="false">
      <c r="A25" s="3" t="s">
        <v>27</v>
      </c>
      <c r="B25" s="11" t="n">
        <f aca="false">Datos!B49/Datos!B46</f>
        <v>0.547687269665199</v>
      </c>
      <c r="C25" s="11" t="n">
        <f aca="false">Datos!C49/Datos!C46</f>
        <v>0.550726724166532</v>
      </c>
      <c r="D25" s="11" t="n">
        <f aca="false">Datos!D49/Datos!D46</f>
        <v>0.52434322625508</v>
      </c>
      <c r="E25" s="11" t="n">
        <f aca="false">Datos!E49/Datos!E46</f>
        <v>0.491650140578258</v>
      </c>
      <c r="F25" s="11" t="n">
        <f aca="false">Datos!F49/Datos!F46</f>
        <v>0.528381453694916</v>
      </c>
      <c r="G25" s="11" t="n">
        <f aca="false">AVERAGE(B25:F25)</f>
        <v>0.528557762871997</v>
      </c>
    </row>
    <row r="26" customFormat="false" ht="15" hidden="false" customHeight="false" outlineLevel="0" collapsed="false">
      <c r="A26" s="3" t="s">
        <v>28</v>
      </c>
      <c r="B26" s="11" t="n">
        <f aca="false">Datos!B48/Datos!B46</f>
        <v>0.179335804099115</v>
      </c>
      <c r="C26" s="11" t="n">
        <f aca="false">Datos!C48/Datos!C46</f>
        <v>0.176016142053286</v>
      </c>
      <c r="D26" s="11" t="n">
        <f aca="false">Datos!D48/Datos!D46</f>
        <v>0.181670402987603</v>
      </c>
      <c r="E26" s="11" t="n">
        <f aca="false">Datos!E48/Datos!E46</f>
        <v>0.182375759473811</v>
      </c>
      <c r="F26" s="11" t="n">
        <f aca="false">Datos!F48/Datos!F46</f>
        <v>0.182650501060784</v>
      </c>
      <c r="G26" s="11" t="n">
        <f aca="false">AVERAGE(B26:F26)</f>
        <v>0.18040972193492</v>
      </c>
    </row>
    <row r="27" customFormat="false" ht="15" hidden="false" customHeight="false" outlineLevel="0" collapsed="false">
      <c r="A27" s="3" t="s">
        <v>29</v>
      </c>
      <c r="B27" s="10" t="n">
        <f aca="false">Datos!B35/Datos!B36</f>
        <v>6.52499716585421</v>
      </c>
      <c r="C27" s="10" t="n">
        <f aca="false">Datos!C35/Datos!C36</f>
        <v>5.90103310272081</v>
      </c>
      <c r="D27" s="10" t="n">
        <f aca="false">Datos!D35/Datos!D36</f>
        <v>8.34209867267719</v>
      </c>
      <c r="E27" s="10" t="n">
        <f aca="false">Datos!E35/Datos!E36</f>
        <v>6.37919602154994</v>
      </c>
      <c r="F27" s="10" t="n">
        <f aca="false">Datos!F35/Datos!F36</f>
        <v>6.07933276182312</v>
      </c>
      <c r="G27" s="10" t="n">
        <f aca="false">AVERAGE(B27:F27)</f>
        <v>6.64533154492505</v>
      </c>
    </row>
    <row r="28" customFormat="false" ht="15" hidden="false" customHeight="false" outlineLevel="0" collapsed="false">
      <c r="A28" s="3" t="s">
        <v>1387</v>
      </c>
      <c r="B28" s="10" t="n">
        <f aca="false">Datos!B33/Datos!B44</f>
        <v>1.75045811224031</v>
      </c>
      <c r="C28" s="10" t="n">
        <f aca="false">Datos!C33/Datos!C44</f>
        <v>1.60498823720575</v>
      </c>
      <c r="D28" s="10" t="n">
        <f aca="false">Datos!D33/Datos!D44</f>
        <v>2.0000335036747</v>
      </c>
      <c r="E28" s="10" t="n">
        <f aca="false">Datos!E33/Datos!E44</f>
        <v>1.74596806086514</v>
      </c>
      <c r="F28" s="10" t="n">
        <f aca="false">Datos!F33/Datos!F44</f>
        <v>1.77461873040643</v>
      </c>
      <c r="G28" s="10" t="n">
        <f aca="false">AVERAGE(B28:F28)</f>
        <v>1.77521332887847</v>
      </c>
    </row>
    <row r="29" customFormat="false" ht="15" hidden="false" customHeight="false" outlineLevel="0" collapsed="false">
      <c r="A29" s="3" t="s">
        <v>31</v>
      </c>
      <c r="B29" s="12" t="n">
        <f aca="false">$B$3*Datos!B44/Datos!B33</f>
        <v>52.1292108402494</v>
      </c>
      <c r="C29" s="12" t="n">
        <f aca="false">$B$3*Datos!C44/Datos!C33</f>
        <v>56.853999228595</v>
      </c>
      <c r="D29" s="12" t="n">
        <f aca="false">$B$3*Datos!D44/Datos!D33</f>
        <v>45.6242357102241</v>
      </c>
      <c r="E29" s="12" t="n">
        <f aca="false">$B$3*Datos!E44/Datos!E33</f>
        <v>52.2632698989836</v>
      </c>
      <c r="F29" s="12" t="n">
        <f aca="false">$B$3*Datos!F44/Datos!F33</f>
        <v>51.4194956001065</v>
      </c>
      <c r="G29" s="12" t="n">
        <f aca="false">AVERAGE(B29:F29)</f>
        <v>51.6580422556317</v>
      </c>
    </row>
    <row r="30" customFormat="false" ht="15" hidden="false" customHeight="false" outlineLevel="0" collapsed="false">
      <c r="A30" s="3" t="s">
        <v>1388</v>
      </c>
      <c r="B30" s="10" t="n">
        <f aca="false">Datos!B32/Datos!B46</f>
        <v>0.512007401901415</v>
      </c>
      <c r="C30" s="10" t="n">
        <f aca="false">Datos!C32/Datos!C46</f>
        <v>0.485629289743623</v>
      </c>
      <c r="D30" s="10" t="n">
        <f aca="false">Datos!D32/Datos!D46</f>
        <v>0.571097412277221</v>
      </c>
      <c r="E30" s="10" t="n">
        <f aca="false">Datos!E32/Datos!E46</f>
        <v>0.493153036778187</v>
      </c>
      <c r="F30" s="10" t="n">
        <f aca="false">Datos!F32/Datos!F46</f>
        <v>0.495996613081301</v>
      </c>
      <c r="G30" s="10" t="n">
        <f aca="false">AVERAGE(B30:F30)</f>
        <v>0.51157675075635</v>
      </c>
    </row>
    <row r="31" customFormat="false" ht="15" hidden="false" customHeight="false" outlineLevel="0" collapsed="false">
      <c r="A31" s="3" t="s">
        <v>33</v>
      </c>
      <c r="B31" s="11" t="n">
        <f aca="false">Datos!B34/Datos!B32</f>
        <v>0.241237698666985</v>
      </c>
      <c r="C31" s="11" t="n">
        <f aca="false">Datos!C34/Datos!C32</f>
        <v>0.247489857991174</v>
      </c>
      <c r="D31" s="11" t="n">
        <f aca="false">Datos!D34/Datos!D32</f>
        <v>0.240212367504533</v>
      </c>
      <c r="E31" s="11" t="n">
        <f aca="false">Datos!E34/Datos!E32</f>
        <v>0.243219185490075</v>
      </c>
      <c r="F31" s="11" t="n">
        <f aca="false">Datos!F34/Datos!F32</f>
        <v>0.239591660098236</v>
      </c>
      <c r="G31" s="11" t="n">
        <f aca="false">AVERAGE(B31:F31)</f>
        <v>0.242350153950201</v>
      </c>
    </row>
    <row r="32" customFormat="false" ht="15" hidden="false" customHeight="false" outlineLevel="0" collapsed="false">
      <c r="A32" s="3" t="s">
        <v>34</v>
      </c>
      <c r="B32" s="11" t="n">
        <f aca="false">Datos!B39/Datos!B32</f>
        <v>0.0455907685485463</v>
      </c>
      <c r="C32" s="11" t="n">
        <f aca="false">Datos!C39/Datos!C32</f>
        <v>0.0486389958272641</v>
      </c>
      <c r="D32" s="11" t="n">
        <f aca="false">Datos!D39/Datos!D32</f>
        <v>0.0516168857409228</v>
      </c>
      <c r="E32" s="11" t="n">
        <f aca="false">Datos!E39/Datos!E32</f>
        <v>0.0510149233629297</v>
      </c>
      <c r="F32" s="11" t="n">
        <f aca="false">Datos!F39/Datos!F32</f>
        <v>0.0444411148453981</v>
      </c>
      <c r="G32" s="11" t="n">
        <f aca="false">AVERAGE(B32:F32)</f>
        <v>0.0482605376650122</v>
      </c>
    </row>
    <row r="33" customFormat="false" ht="15" hidden="false" customHeight="false" outlineLevel="0" collapsed="false">
      <c r="A33" s="3" t="s">
        <v>1389</v>
      </c>
      <c r="B33" s="4" t="n">
        <f aca="false">Datos!B39/Datos!B46</f>
        <v>0.0233428109552299</v>
      </c>
      <c r="C33" s="4" t="n">
        <f aca="false">Datos!C39/Datos!C46</f>
        <v>0.0236205209974373</v>
      </c>
      <c r="D33" s="4" t="n">
        <f aca="false">Datos!D39/Datos!D46</f>
        <v>0.02947826987645</v>
      </c>
      <c r="E33" s="4" t="n">
        <f aca="false">Datos!E39/Datos!E46</f>
        <v>0.0251581643774353</v>
      </c>
      <c r="F33" s="4" t="n">
        <f aca="false">Datos!F39/Datos!F46</f>
        <v>0.0220426424448746</v>
      </c>
      <c r="G33" s="4" t="n">
        <f aca="false">AVERAGE(B33:F33)</f>
        <v>0.0247284817302854</v>
      </c>
    </row>
    <row r="34" customFormat="false" ht="15" hidden="false" customHeight="false" outlineLevel="0" collapsed="false">
      <c r="A34" s="3" t="s">
        <v>1390</v>
      </c>
      <c r="B34" s="4" t="n">
        <f aca="false">Datos!B39/Datos!B50</f>
        <v>0.0516076806813543</v>
      </c>
      <c r="C34" s="4" t="n">
        <f aca="false">Datos!C39/Datos!C50</f>
        <v>0.0525749521905521</v>
      </c>
      <c r="D34" s="4" t="n">
        <f aca="false">Datos!D39/Datos!D50</f>
        <v>0.0619738254631864</v>
      </c>
      <c r="E34" s="4" t="n">
        <f aca="false">Datos!E39/Datos!E50</f>
        <v>0.0494898619742969</v>
      </c>
      <c r="F34" s="4" t="n">
        <f aca="false">Datos!F39/Datos!F50</f>
        <v>0.0467382858828785</v>
      </c>
      <c r="G34" s="4" t="n">
        <f aca="false">AVERAGE(B34:F34)</f>
        <v>0.0524769212384537</v>
      </c>
    </row>
    <row r="35" customFormat="false" ht="15" hidden="false" customHeight="false" outlineLevel="0" collapsed="false">
      <c r="A35" s="3" t="s">
        <v>1391</v>
      </c>
      <c r="B35" s="4" t="n">
        <f aca="false">Datos!B35*(1-WACC!$B$10)/(Datos!B50+Datos!B55)</f>
        <v>0.0407897512078852</v>
      </c>
      <c r="C35" s="4" t="n">
        <f aca="false">Datos!C35*(1-WACC!$B$10)/(Datos!C50+Datos!C55)</f>
        <v>0.0440246360945171</v>
      </c>
      <c r="D35" s="4" t="n">
        <f aca="false">Datos!D35*(1-WACC!$B$10)/(Datos!D50+Datos!D55)</f>
        <v>0.0515816858295184</v>
      </c>
      <c r="E35" s="4" t="n">
        <f aca="false">Datos!E35*(1-WACC!$B$10)/(Datos!E50+Datos!E55)</f>
        <v>0.0387315577490254</v>
      </c>
      <c r="F35" s="4" t="n">
        <f aca="false">Datos!F35*(1-WACC!$B$10)/(Datos!F50+Datos!F55)</f>
        <v>0.0370324815463774</v>
      </c>
      <c r="G35" s="4" t="n">
        <f aca="false">AVERAGE(B35:F35)</f>
        <v>0.0424320224854647</v>
      </c>
    </row>
    <row r="36" customFormat="false" ht="15" hidden="false" customHeight="false" outlineLevel="0" collapsed="false">
      <c r="B36" s="9"/>
      <c r="C36" s="9"/>
      <c r="D36" s="9"/>
      <c r="E36" s="9"/>
      <c r="F36" s="9"/>
      <c r="G36" s="79"/>
    </row>
    <row r="37" customFormat="false" ht="15" hidden="false" customHeight="false" outlineLevel="0" collapsed="false">
      <c r="B37" s="9"/>
      <c r="C37" s="9"/>
      <c r="D37" s="9"/>
      <c r="E37" s="9"/>
      <c r="F37" s="9"/>
      <c r="G37" s="79"/>
    </row>
    <row r="38" customFormat="false" ht="15" hidden="false" customHeight="false" outlineLevel="0" collapsed="false">
      <c r="A38" s="1" t="s">
        <v>1393</v>
      </c>
      <c r="B38" s="1" t="s">
        <v>146</v>
      </c>
      <c r="C38" s="1" t="s">
        <v>147</v>
      </c>
      <c r="D38" s="1" t="s">
        <v>148</v>
      </c>
      <c r="E38" s="1" t="s">
        <v>149</v>
      </c>
      <c r="F38" s="1" t="s">
        <v>85</v>
      </c>
      <c r="G38" s="1" t="s">
        <v>1386</v>
      </c>
      <c r="H38" s="2"/>
      <c r="I38" s="2"/>
    </row>
    <row r="39" customFormat="false" ht="15" hidden="false" customHeight="false" outlineLevel="0" collapsed="false">
      <c r="A39" s="3" t="s">
        <v>25</v>
      </c>
      <c r="B39" s="10" t="n">
        <f aca="false">Datos!B71/Datos!B73</f>
        <v>0.937522937640838</v>
      </c>
      <c r="C39" s="10" t="n">
        <f aca="false">Datos!C71/Datos!C73</f>
        <v>0.957139379565771</v>
      </c>
      <c r="D39" s="10" t="n">
        <f aca="false">Datos!D71/Datos!D73</f>
        <v>0.920796664711795</v>
      </c>
      <c r="E39" s="10" t="n">
        <f aca="false">Datos!E71/Datos!E73</f>
        <v>0.954451800175297</v>
      </c>
      <c r="F39" s="10" t="n">
        <f aca="false">Datos!F71/Datos!F73</f>
        <v>0.898749241923742</v>
      </c>
      <c r="G39" s="10" t="n">
        <f aca="false">AVERAGE(B39:F39)</f>
        <v>0.933732004803489</v>
      </c>
    </row>
    <row r="40" customFormat="false" ht="15" hidden="false" customHeight="false" outlineLevel="0" collapsed="false">
      <c r="A40" s="3" t="s">
        <v>26</v>
      </c>
      <c r="B40" s="10" t="n">
        <f aca="false">(Datos!B71-Datos!B70)/Datos!B73</f>
        <v>0.39513349094508</v>
      </c>
      <c r="C40" s="10" t="n">
        <f aca="false">(Datos!C71-Datos!C70)/Datos!C73</f>
        <v>0.416365247921711</v>
      </c>
      <c r="D40" s="10" t="n">
        <f aca="false">(Datos!D71-Datos!D70)/Datos!D73</f>
        <v>0.43735519652769</v>
      </c>
      <c r="E40" s="10" t="n">
        <f aca="false">(Datos!E71-Datos!E70)/Datos!E73</f>
        <v>0.407568559893739</v>
      </c>
      <c r="F40" s="10" t="n">
        <f aca="false">(Datos!F71-Datos!F70)/Datos!F73</f>
        <v>0.377359573256257</v>
      </c>
      <c r="G40" s="10" t="n">
        <f aca="false">AVERAGE(B40:F40)</f>
        <v>0.406756413708896</v>
      </c>
    </row>
    <row r="41" customFormat="false" ht="15" hidden="false" customHeight="false" outlineLevel="0" collapsed="false">
      <c r="A41" s="3" t="s">
        <v>27</v>
      </c>
      <c r="B41" s="11" t="n">
        <f aca="false">Datos!B75/Datos!B72</f>
        <v>0.66825911314506</v>
      </c>
      <c r="C41" s="11" t="n">
        <f aca="false">Datos!C75/Datos!C72</f>
        <v>0.667796060114136</v>
      </c>
      <c r="D41" s="11" t="n">
        <f aca="false">Datos!D75/Datos!D72</f>
        <v>0.673566363220098</v>
      </c>
      <c r="E41" s="11" t="n">
        <f aca="false">Datos!E75/Datos!E72</f>
        <v>0.654436750497438</v>
      </c>
      <c r="F41" s="11" t="n">
        <f aca="false">Datos!F75/Datos!F72</f>
        <v>0.651455148447524</v>
      </c>
      <c r="G41" s="11" t="n">
        <f aca="false">AVERAGE(B41:F41)</f>
        <v>0.663102687084851</v>
      </c>
    </row>
    <row r="42" customFormat="false" ht="15" hidden="false" customHeight="false" outlineLevel="0" collapsed="false">
      <c r="A42" s="3" t="s">
        <v>28</v>
      </c>
      <c r="B42" s="11" t="n">
        <f aca="false">Datos!B74/Datos!B72</f>
        <v>0.395510036909384</v>
      </c>
      <c r="C42" s="11" t="n">
        <f aca="false">Datos!C74/Datos!C72</f>
        <v>0.388223337973526</v>
      </c>
      <c r="D42" s="11" t="n">
        <f aca="false">Datos!D74/Datos!D72</f>
        <v>0.371348715411883</v>
      </c>
      <c r="E42" s="11" t="n">
        <f aca="false">Datos!E74/Datos!E72</f>
        <v>0.377511105913753</v>
      </c>
      <c r="F42" s="11" t="n">
        <f aca="false">Datos!F74/Datos!F72</f>
        <v>0.368056223522841</v>
      </c>
      <c r="G42" s="11" t="n">
        <f aca="false">AVERAGE(B42:F42)</f>
        <v>0.380129883946277</v>
      </c>
    </row>
    <row r="43" customFormat="false" ht="15" hidden="false" customHeight="false" outlineLevel="0" collapsed="false">
      <c r="A43" s="3" t="s">
        <v>29</v>
      </c>
      <c r="B43" s="10" t="n">
        <f aca="false">Datos!B61/Datos!B62</f>
        <v>4.82398024074495</v>
      </c>
      <c r="C43" s="10" t="n">
        <f aca="false">Datos!C61/Datos!C62</f>
        <v>3.96659606015675</v>
      </c>
      <c r="D43" s="10" t="n">
        <f aca="false">Datos!D61/Datos!D62</f>
        <v>3.39246735121125</v>
      </c>
      <c r="E43" s="10" t="n">
        <f aca="false">Datos!E61/Datos!E62</f>
        <v>4.06832762241627</v>
      </c>
      <c r="F43" s="10" t="n">
        <f aca="false">Datos!F61/Datos!F62</f>
        <v>4.50072156862745</v>
      </c>
      <c r="G43" s="10" t="n">
        <f aca="false">AVERAGE(B43:F43)</f>
        <v>4.15041856863133</v>
      </c>
    </row>
    <row r="44" customFormat="false" ht="15" hidden="false" customHeight="false" outlineLevel="0" collapsed="false">
      <c r="A44" s="3" t="s">
        <v>1387</v>
      </c>
      <c r="B44" s="10" t="n">
        <f aca="false">Datos!B59/Datos!B70</f>
        <v>2.4460256416131</v>
      </c>
      <c r="C44" s="10" t="n">
        <f aca="false">Datos!C59/Datos!C70</f>
        <v>2.30036649684643</v>
      </c>
      <c r="D44" s="10" t="n">
        <f aca="false">Datos!D59/Datos!D70</f>
        <v>2.57511224336714</v>
      </c>
      <c r="E44" s="10" t="n">
        <f aca="false">Datos!E59/Datos!E70</f>
        <v>2.23335509779787</v>
      </c>
      <c r="F44" s="10" t="n">
        <f aca="false">Datos!F59/Datos!F70</f>
        <v>2.36189240176749</v>
      </c>
      <c r="G44" s="10" t="n">
        <f aca="false">AVERAGE(B44:F44)</f>
        <v>2.38335037627841</v>
      </c>
    </row>
    <row r="45" customFormat="false" ht="15" hidden="false" customHeight="false" outlineLevel="0" collapsed="false">
      <c r="A45" s="3" t="s">
        <v>31</v>
      </c>
      <c r="B45" s="12" t="n">
        <f aca="false">$B$3*Datos!B70/Datos!B59</f>
        <v>37.3054143209319</v>
      </c>
      <c r="C45" s="12" t="n">
        <f aca="false">$B$3*Datos!C70/Datos!C59</f>
        <v>39.6675921532914</v>
      </c>
      <c r="D45" s="12" t="n">
        <f aca="false">$B$3*Datos!D70/Datos!D59</f>
        <v>35.4353485891878</v>
      </c>
      <c r="E45" s="12" t="n">
        <f aca="false">$B$3*Datos!E70/Datos!E59</f>
        <v>40.8578107843102</v>
      </c>
      <c r="F45" s="12" t="n">
        <f aca="false">$B$3*Datos!F70/Datos!F59</f>
        <v>38.6342747585428</v>
      </c>
      <c r="G45" s="12" t="n">
        <f aca="false">AVERAGE(B45:F45)</f>
        <v>38.3800881212528</v>
      </c>
    </row>
    <row r="46" customFormat="false" ht="15" hidden="false" customHeight="false" outlineLevel="0" collapsed="false">
      <c r="A46" s="3" t="s">
        <v>1388</v>
      </c>
      <c r="B46" s="10" t="n">
        <f aca="false">Datos!B58/Datos!B72</f>
        <v>0.476990534264771</v>
      </c>
      <c r="C46" s="10" t="n">
        <f aca="false">Datos!C58/Datos!C72</f>
        <v>0.461173047922461</v>
      </c>
      <c r="D46" s="10" t="n">
        <f aca="false">Datos!D58/Datos!D72</f>
        <v>0.469060859196506</v>
      </c>
      <c r="E46" s="10" t="n">
        <f aca="false">Datos!E58/Datos!E72</f>
        <v>0.446741190517086</v>
      </c>
      <c r="F46" s="10" t="n">
        <f aca="false">Datos!F58/Datos!F72</f>
        <v>0.464301175291543</v>
      </c>
      <c r="G46" s="10" t="n">
        <f aca="false">AVERAGE(B46:F46)</f>
        <v>0.463653361438474</v>
      </c>
    </row>
    <row r="47" customFormat="false" ht="15" hidden="false" customHeight="false" outlineLevel="0" collapsed="false">
      <c r="A47" s="3" t="s">
        <v>33</v>
      </c>
      <c r="B47" s="11" t="n">
        <f aca="false">Datos!B60/Datos!B58</f>
        <v>0.24137742201276</v>
      </c>
      <c r="C47" s="11" t="n">
        <f aca="false">Datos!C60/Datos!C58</f>
        <v>0.245874164686016</v>
      </c>
      <c r="D47" s="11" t="n">
        <f aca="false">Datos!D60/Datos!D58</f>
        <v>0.197895985007512</v>
      </c>
      <c r="E47" s="11" t="n">
        <f aca="false">Datos!E60/Datos!E58</f>
        <v>0.242888971211566</v>
      </c>
      <c r="F47" s="11" t="n">
        <f aca="false">Datos!F60/Datos!F58</f>
        <v>0.248340854681367</v>
      </c>
      <c r="G47" s="11" t="n">
        <f aca="false">AVERAGE(B47:F47)</f>
        <v>0.235275479519844</v>
      </c>
    </row>
    <row r="48" customFormat="false" ht="15" hidden="false" customHeight="false" outlineLevel="0" collapsed="false">
      <c r="A48" s="3" t="s">
        <v>34</v>
      </c>
      <c r="B48" s="11" t="n">
        <f aca="false">Datos!B65/Datos!B58</f>
        <v>0.0279130287324365</v>
      </c>
      <c r="C48" s="11" t="n">
        <f aca="false">Datos!C65/Datos!C58</f>
        <v>0.0229400474497901</v>
      </c>
      <c r="D48" s="11" t="n">
        <f aca="false">Datos!D65/Datos!D58</f>
        <v>0.0178694852751295</v>
      </c>
      <c r="E48" s="11" t="n">
        <f aca="false">Datos!E65/Datos!E58</f>
        <v>0.0226841703730975</v>
      </c>
      <c r="F48" s="11" t="n">
        <f aca="false">Datos!F65/Datos!F58</f>
        <v>0.0256871983112193</v>
      </c>
      <c r="G48" s="11" t="n">
        <f aca="false">AVERAGE(B48:F48)</f>
        <v>0.0234187860283346</v>
      </c>
    </row>
    <row r="49" customFormat="false" ht="15" hidden="false" customHeight="false" outlineLevel="0" collapsed="false">
      <c r="A49" s="3" t="s">
        <v>1389</v>
      </c>
      <c r="B49" s="4" t="n">
        <f aca="false">Datos!B65/Datos!B72</f>
        <v>0.0133142504880328</v>
      </c>
      <c r="C49" s="4" t="n">
        <f aca="false">Datos!C65/Datos!C72</f>
        <v>0.0105793316019056</v>
      </c>
      <c r="D49" s="4" t="n">
        <f aca="false">Datos!D65/Datos!D72</f>
        <v>0.00838187611655157</v>
      </c>
      <c r="E49" s="4" t="n">
        <f aca="false">Datos!E65/Datos!E72</f>
        <v>0.01013395327837</v>
      </c>
      <c r="F49" s="4" t="n">
        <f aca="false">Datos!F65/Datos!F72</f>
        <v>0.011926596365846</v>
      </c>
      <c r="G49" s="4" t="n">
        <f aca="false">AVERAGE(B49:F49)</f>
        <v>0.0108672015701412</v>
      </c>
    </row>
    <row r="50" customFormat="false" ht="15" hidden="false" customHeight="false" outlineLevel="0" collapsed="false">
      <c r="A50" s="3" t="s">
        <v>1390</v>
      </c>
      <c r="B50" s="4" t="n">
        <f aca="false">Datos!B65/Datos!B76</f>
        <v>0.0401344875341058</v>
      </c>
      <c r="C50" s="4" t="n">
        <f aca="false">Datos!C65/Datos!C76</f>
        <v>0.0318458944392422</v>
      </c>
      <c r="D50" s="4" t="n">
        <f aca="false">Datos!D65/Datos!D76</f>
        <v>0.0256771213874723</v>
      </c>
      <c r="E50" s="4" t="n">
        <f aca="false">Datos!E65/Datos!E76</f>
        <v>0.0293258999414949</v>
      </c>
      <c r="F50" s="4" t="n">
        <f aca="false">Datos!F65/Datos!F76</f>
        <v>0.0342182543013418</v>
      </c>
      <c r="G50" s="4" t="n">
        <f aca="false">AVERAGE(B50:F50)</f>
        <v>0.0322403315207314</v>
      </c>
    </row>
    <row r="51" customFormat="false" ht="15" hidden="false" customHeight="false" outlineLevel="0" collapsed="false">
      <c r="A51" s="3" t="s">
        <v>1391</v>
      </c>
      <c r="B51" s="4" t="n">
        <f aca="false">Datos!B61*(1-WACC!$B$10)/(Datos!B76+Datos!B81)</f>
        <v>0.0267542463376298</v>
      </c>
      <c r="C51" s="4" t="n">
        <f aca="false">Datos!C61*(1-WACC!$B$10)/(Datos!C76+Datos!C81)</f>
        <v>0.0237788082734459</v>
      </c>
      <c r="D51" s="4" t="n">
        <f aca="false">Datos!D61*(1-WACC!$B$10)/(Datos!D76+Datos!D81)</f>
        <v>0.0217298230036887</v>
      </c>
      <c r="E51" s="4" t="n">
        <f aca="false">Datos!E61*(1-WACC!$B$10)/(Datos!E76+Datos!E81)</f>
        <v>0.0231400062097526</v>
      </c>
      <c r="F51" s="4" t="n">
        <f aca="false">Datos!F61*(1-WACC!$B$10)/(Datos!F76+Datos!F81)</f>
        <v>0.0260485843977693</v>
      </c>
      <c r="G51" s="4" t="n">
        <f aca="false">AVERAGE(B51:F51)</f>
        <v>0.0242902936444572</v>
      </c>
    </row>
    <row r="52" customFormat="false" ht="15" hidden="false" customHeight="false" outlineLevel="0" collapsed="false">
      <c r="B52" s="9"/>
      <c r="C52" s="9"/>
      <c r="D52" s="9"/>
      <c r="E52" s="9"/>
      <c r="F52" s="9"/>
      <c r="G52" s="79"/>
    </row>
    <row r="53" customFormat="false" ht="15" hidden="false" customHeight="false" outlineLevel="0" collapsed="false">
      <c r="B53" s="9"/>
      <c r="C53" s="9"/>
      <c r="D53" s="9"/>
      <c r="E53" s="9"/>
      <c r="F53" s="9"/>
      <c r="G53" s="79"/>
    </row>
    <row r="54" customFormat="false" ht="15" hidden="false" customHeight="false" outlineLevel="0" collapsed="false">
      <c r="A54" s="1" t="s">
        <v>1394</v>
      </c>
      <c r="B54" s="1" t="s">
        <v>146</v>
      </c>
      <c r="C54" s="1" t="s">
        <v>147</v>
      </c>
      <c r="D54" s="1" t="s">
        <v>148</v>
      </c>
      <c r="E54" s="1" t="s">
        <v>149</v>
      </c>
      <c r="F54" s="1" t="s">
        <v>85</v>
      </c>
      <c r="G54" s="1" t="s">
        <v>1386</v>
      </c>
      <c r="H54" s="2"/>
      <c r="I54" s="2"/>
    </row>
    <row r="55" customFormat="false" ht="15" hidden="false" customHeight="false" outlineLevel="0" collapsed="false">
      <c r="A55" s="3" t="s">
        <v>25</v>
      </c>
      <c r="B55" s="10" t="n">
        <f aca="false">Datos!B97/Datos!B99</f>
        <v>1.24046331844539</v>
      </c>
      <c r="C55" s="10" t="n">
        <f aca="false">Datos!C97/Datos!C99</f>
        <v>1.31777617138726</v>
      </c>
      <c r="D55" s="10" t="n">
        <f aca="false">Datos!D97/Datos!D99</f>
        <v>1.20703724410292</v>
      </c>
      <c r="E55" s="10" t="n">
        <f aca="false">Datos!E97/Datos!E99</f>
        <v>1.25660718591753</v>
      </c>
      <c r="F55" s="10" t="n">
        <f aca="false">Datos!F97/Datos!F99</f>
        <v>1.12334774295453</v>
      </c>
      <c r="G55" s="10" t="n">
        <f aca="false">AVERAGE(B55:F55)</f>
        <v>1.22904633256153</v>
      </c>
    </row>
    <row r="56" customFormat="false" ht="15" hidden="false" customHeight="false" outlineLevel="0" collapsed="false">
      <c r="A56" s="3" t="s">
        <v>26</v>
      </c>
      <c r="B56" s="10" t="n">
        <f aca="false">(Datos!B97-Datos!B96)/Datos!B99</f>
        <v>0.506280572391348</v>
      </c>
      <c r="C56" s="10" t="n">
        <f aca="false">(Datos!C97-Datos!C96)/Datos!C99</f>
        <v>0.526529539331011</v>
      </c>
      <c r="D56" s="10" t="n">
        <f aca="false">(Datos!D97-Datos!D96)/Datos!D99</f>
        <v>0.500089214555057</v>
      </c>
      <c r="E56" s="10" t="n">
        <f aca="false">(Datos!E97-Datos!E96)/Datos!E99</f>
        <v>0.51120086809742</v>
      </c>
      <c r="F56" s="10" t="n">
        <f aca="false">(Datos!F97-Datos!F96)/Datos!F99</f>
        <v>0.3579786349655</v>
      </c>
      <c r="G56" s="10" t="n">
        <f aca="false">AVERAGE(B56:F56)</f>
        <v>0.480415765868067</v>
      </c>
    </row>
    <row r="57" customFormat="false" ht="15" hidden="false" customHeight="false" outlineLevel="0" collapsed="false">
      <c r="A57" s="3" t="s">
        <v>27</v>
      </c>
      <c r="B57" s="11" t="n">
        <f aca="false">Datos!B101/Datos!B98</f>
        <v>0.270215897333912</v>
      </c>
      <c r="C57" s="11" t="n">
        <f aca="false">Datos!C101/Datos!C98</f>
        <v>0.243457093520626</v>
      </c>
      <c r="D57" s="11" t="n">
        <f aca="false">Datos!D101/Datos!D98</f>
        <v>0.254482501103228</v>
      </c>
      <c r="E57" s="11" t="n">
        <f aca="false">Datos!E101/Datos!E98</f>
        <v>0.249069369405603</v>
      </c>
      <c r="F57" s="11" t="n">
        <f aca="false">Datos!F101/Datos!F98</f>
        <v>0.271964126870899</v>
      </c>
      <c r="G57" s="11" t="n">
        <f aca="false">AVERAGE(B57:F57)</f>
        <v>0.257837797646854</v>
      </c>
    </row>
    <row r="58" customFormat="false" ht="15" hidden="false" customHeight="false" outlineLevel="0" collapsed="false">
      <c r="A58" s="3" t="s">
        <v>28</v>
      </c>
      <c r="B58" s="11" t="n">
        <f aca="false">Datos!B100/Datos!B98</f>
        <v>0.0631592247595011</v>
      </c>
      <c r="C58" s="11" t="n">
        <f aca="false">Datos!C100/Datos!C98</f>
        <v>0.0663925231904902</v>
      </c>
      <c r="D58" s="11" t="n">
        <f aca="false">Datos!D100/Datos!D98</f>
        <v>0.0642361700442423</v>
      </c>
      <c r="E58" s="11" t="n">
        <f aca="false">Datos!E100/Datos!E98</f>
        <v>0.0637476371143972</v>
      </c>
      <c r="F58" s="11" t="n">
        <f aca="false">Datos!F100/Datos!F98</f>
        <v>0.0651994551134679</v>
      </c>
      <c r="G58" s="11" t="n">
        <f aca="false">AVERAGE(B58:F58)</f>
        <v>0.0645470020444197</v>
      </c>
    </row>
    <row r="59" customFormat="false" ht="15" hidden="false" customHeight="false" outlineLevel="0" collapsed="false">
      <c r="A59" s="3" t="s">
        <v>29</v>
      </c>
      <c r="B59" s="10" t="n">
        <f aca="false">Datos!B87/Datos!B88</f>
        <v>11.3780487804878</v>
      </c>
      <c r="C59" s="10" t="n">
        <f aca="false">Datos!C87/Datos!C88</f>
        <v>10.9387222946545</v>
      </c>
      <c r="D59" s="10" t="n">
        <f aca="false">Datos!D87/Datos!D88</f>
        <v>10.9795069337442</v>
      </c>
      <c r="E59" s="10" t="n">
        <f aca="false">Datos!E87/Datos!E88</f>
        <v>13.6616643929059</v>
      </c>
      <c r="F59" s="10" t="n">
        <f aca="false">Datos!F87/Datos!F88</f>
        <v>12.2657894736842</v>
      </c>
      <c r="G59" s="10" t="n">
        <f aca="false">AVERAGE(B59:F59)</f>
        <v>11.8447463750953</v>
      </c>
    </row>
    <row r="60" customFormat="false" ht="15" hidden="false" customHeight="false" outlineLevel="0" collapsed="false">
      <c r="A60" s="3" t="s">
        <v>1387</v>
      </c>
      <c r="B60" s="10" t="n">
        <f aca="false">Datos!B85/Datos!B96</f>
        <v>1.31486351849098</v>
      </c>
      <c r="C60" s="10" t="n">
        <f aca="false">Datos!C85/Datos!C96</f>
        <v>1.37980465765257</v>
      </c>
      <c r="D60" s="10" t="n">
        <f aca="false">Datos!D85/Datos!D96</f>
        <v>1.46292170752638</v>
      </c>
      <c r="E60" s="10" t="n">
        <f aca="false">Datos!E85/Datos!E96</f>
        <v>1.34706586438923</v>
      </c>
      <c r="F60" s="10" t="n">
        <f aca="false">Datos!F85/Datos!F96</f>
        <v>1.23969152648229</v>
      </c>
      <c r="G60" s="10" t="n">
        <f aca="false">AVERAGE(B60:F60)</f>
        <v>1.34886945490829</v>
      </c>
    </row>
    <row r="61" customFormat="false" ht="15" hidden="false" customHeight="false" outlineLevel="0" collapsed="false">
      <c r="A61" s="3" t="s">
        <v>31</v>
      </c>
      <c r="B61" s="12" t="n">
        <f aca="false">$B$3*Datos!B96/Datos!B85</f>
        <v>69.3988377628153</v>
      </c>
      <c r="C61" s="12" t="n">
        <f aca="false">$B$3*Datos!C96/Datos!C85</f>
        <v>66.132549628613</v>
      </c>
      <c r="D61" s="12" t="n">
        <f aca="false">$B$3*Datos!D96/Datos!D85</f>
        <v>62.3751766964295</v>
      </c>
      <c r="E61" s="12" t="n">
        <f aca="false">$B$3*Datos!E96/Datos!E85</f>
        <v>67.7398206073414</v>
      </c>
      <c r="F61" s="12" t="n">
        <f aca="false">$B$3*Datos!F96/Datos!F85</f>
        <v>73.6070208198714</v>
      </c>
      <c r="G61" s="12" t="n">
        <f aca="false">AVERAGE(B61:F61)</f>
        <v>67.8506811030141</v>
      </c>
    </row>
    <row r="62" customFormat="false" ht="15" hidden="false" customHeight="false" outlineLevel="0" collapsed="false">
      <c r="A62" s="3" t="s">
        <v>1388</v>
      </c>
      <c r="B62" s="10" t="n">
        <f aca="false">Datos!B84/Datos!B98</f>
        <v>0.280460051145224</v>
      </c>
      <c r="C62" s="10" t="n">
        <f aca="false">Datos!C84/Datos!C98</f>
        <v>0.274916104649269</v>
      </c>
      <c r="D62" s="10" t="n">
        <f aca="false">Datos!D84/Datos!D98</f>
        <v>0.280715344490082</v>
      </c>
      <c r="E62" s="10" t="n">
        <f aca="false">Datos!E84/Datos!E98</f>
        <v>0.268274099198742</v>
      </c>
      <c r="F62" s="10" t="n">
        <f aca="false">Datos!F84/Datos!F98</f>
        <v>0.277881388343382</v>
      </c>
      <c r="G62" s="10" t="n">
        <f aca="false">AVERAGE(B62:F62)</f>
        <v>0.27644939756534</v>
      </c>
    </row>
    <row r="63" customFormat="false" ht="15" hidden="false" customHeight="false" outlineLevel="0" collapsed="false">
      <c r="A63" s="3" t="s">
        <v>33</v>
      </c>
      <c r="B63" s="11" t="n">
        <f aca="false">Datos!B86/Datos!B84</f>
        <v>0.287306051043932</v>
      </c>
      <c r="C63" s="11" t="n">
        <f aca="false">Datos!C86/Datos!C84</f>
        <v>0.296828970981614</v>
      </c>
      <c r="D63" s="11" t="n">
        <f aca="false">Datos!D86/Datos!D84</f>
        <v>0.299095723368904</v>
      </c>
      <c r="E63" s="11" t="n">
        <f aca="false">Datos!E86/Datos!E84</f>
        <v>0.306367384333486</v>
      </c>
      <c r="F63" s="11" t="n">
        <f aca="false">Datos!F86/Datos!F84</f>
        <v>0.294005304219406</v>
      </c>
      <c r="G63" s="11" t="n">
        <f aca="false">AVERAGE(B63:F63)</f>
        <v>0.296720686789468</v>
      </c>
    </row>
    <row r="64" customFormat="false" ht="15" hidden="false" customHeight="false" outlineLevel="0" collapsed="false">
      <c r="A64" s="3" t="s">
        <v>34</v>
      </c>
      <c r="B64" s="11" t="n">
        <f aca="false">Datos!B91/Datos!B84</f>
        <v>0.0656442620538561</v>
      </c>
      <c r="C64" s="11" t="n">
        <f aca="false">Datos!C91/Datos!C84</f>
        <v>0.0542528696712152</v>
      </c>
      <c r="D64" s="11" t="n">
        <f aca="false">Datos!D91/Datos!D84</f>
        <v>0.0408089394158036</v>
      </c>
      <c r="E64" s="11" t="n">
        <f aca="false">Datos!E91/Datos!E84</f>
        <v>0.0618165160538042</v>
      </c>
      <c r="F64" s="11" t="n">
        <f aca="false">Datos!F91/Datos!F84</f>
        <v>0.0518901114195359</v>
      </c>
      <c r="G64" s="11" t="n">
        <f aca="false">AVERAGE(B64:F64)</f>
        <v>0.054882539722843</v>
      </c>
    </row>
    <row r="65" customFormat="false" ht="15" hidden="false" customHeight="false" outlineLevel="0" collapsed="false">
      <c r="A65" s="3" t="s">
        <v>1389</v>
      </c>
      <c r="B65" s="4" t="n">
        <f aca="false">Datos!B91/Datos!B98</f>
        <v>0.0184105930930149</v>
      </c>
      <c r="C65" s="4" t="n">
        <f aca="false">Datos!C91/Datos!C98</f>
        <v>0.0149149875960549</v>
      </c>
      <c r="D65" s="4" t="n">
        <f aca="false">Datos!D91/Datos!D98</f>
        <v>0.0114556954863822</v>
      </c>
      <c r="E65" s="4" t="n">
        <f aca="false">Datos!E91/Datos!E98</f>
        <v>0.0165837701599389</v>
      </c>
      <c r="F65" s="4" t="n">
        <f aca="false">Datos!F91/Datos!F98</f>
        <v>0.0144192962025534</v>
      </c>
      <c r="G65" s="4" t="n">
        <f aca="false">AVERAGE(B65:F65)</f>
        <v>0.0151568685075889</v>
      </c>
    </row>
    <row r="66" customFormat="false" ht="15" hidden="false" customHeight="false" outlineLevel="0" collapsed="false">
      <c r="A66" s="3" t="s">
        <v>1390</v>
      </c>
      <c r="B66" s="4" t="n">
        <f aca="false">Datos!B91/Datos!B102</f>
        <v>0.0252274515514333</v>
      </c>
      <c r="C66" s="4" t="n">
        <f aca="false">Datos!C91/Datos!C102</f>
        <v>0.0197146618761689</v>
      </c>
      <c r="D66" s="4" t="n">
        <f aca="false">Datos!D91/Datos!D102</f>
        <v>0.015366098721136</v>
      </c>
      <c r="E66" s="4" t="n">
        <f aca="false">Datos!E91/Datos!E102</f>
        <v>0.0220842904581107</v>
      </c>
      <c r="F66" s="4" t="n">
        <f aca="false">Datos!F91/Datos!F102</f>
        <v>0.0198057495993696</v>
      </c>
      <c r="G66" s="4" t="n">
        <f aca="false">AVERAGE(B66:F66)</f>
        <v>0.0204396504412437</v>
      </c>
    </row>
    <row r="67" customFormat="false" ht="15" hidden="false" customHeight="false" outlineLevel="0" collapsed="false">
      <c r="A67" s="3" t="s">
        <v>1391</v>
      </c>
      <c r="B67" s="4" t="n">
        <f aca="false">Datos!B87*(1-WACC!$B$10)/(Datos!B102+Datos!B107)</f>
        <v>0.021015885699746</v>
      </c>
      <c r="C67" s="4" t="n">
        <f aca="false">Datos!C87*(1-WACC!$B$10)/(Datos!C102+Datos!C107)</f>
        <v>0.0168408194164067</v>
      </c>
      <c r="D67" s="4" t="n">
        <f aca="false">Datos!D87*(1-WACC!$B$10)/(Datos!D102+Datos!D107)</f>
        <v>0.0140963004202334</v>
      </c>
      <c r="E67" s="4" t="n">
        <f aca="false">Datos!E87*(1-WACC!$B$10)/(Datos!E102+Datos!E107)</f>
        <v>0.0194435814933984</v>
      </c>
      <c r="F67" s="4" t="n">
        <f aca="false">Datos!F87*(1-WACC!$B$10)/(Datos!F102+Datos!F107)</f>
        <v>0.0179104887273765</v>
      </c>
      <c r="G67" s="4" t="n">
        <f aca="false">AVERAGE(B67:F67)</f>
        <v>0.0178614151514322</v>
      </c>
    </row>
    <row r="69" customFormat="false" ht="15" hidden="false" customHeight="false" outlineLevel="0" collapsed="false">
      <c r="A69"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3" activeCellId="0" sqref="A33"/>
    </sheetView>
  </sheetViews>
  <sheetFormatPr defaultColWidth="11.5078125" defaultRowHeight="15" zeroHeight="false" outlineLevelRow="0" outlineLevelCol="0"/>
  <cols>
    <col collapsed="false" customWidth="true" hidden="false" outlineLevel="0" max="1" min="1" style="0" width="55.5"/>
    <col collapsed="false" customWidth="true" hidden="false" outlineLevel="0" max="2" min="2" style="0" width="37"/>
    <col collapsed="false" customWidth="true" hidden="false" outlineLevel="0" max="6" min="3" style="0" width="16.67"/>
  </cols>
  <sheetData>
    <row r="1" customFormat="false" ht="18.75" hidden="false" customHeight="true" outlineLevel="0" collapsed="false">
      <c r="A1" s="35"/>
      <c r="C1" s="80"/>
      <c r="D1" s="80"/>
      <c r="E1" s="80"/>
      <c r="F1" s="80"/>
    </row>
    <row r="2" customFormat="false" ht="15" hidden="false" customHeight="false" outlineLevel="0" collapsed="false">
      <c r="A2" s="36"/>
      <c r="C2" s="80"/>
      <c r="D2" s="80"/>
      <c r="E2" s="80"/>
      <c r="F2" s="80"/>
    </row>
    <row r="3" customFormat="false" ht="15" hidden="false" customHeight="false" outlineLevel="0" collapsed="false">
      <c r="A3" s="1" t="s">
        <v>1395</v>
      </c>
      <c r="B3" s="1" t="s">
        <v>1</v>
      </c>
      <c r="C3" s="1" t="s">
        <v>2</v>
      </c>
      <c r="D3" s="1" t="s">
        <v>3</v>
      </c>
      <c r="E3" s="1" t="s">
        <v>4</v>
      </c>
      <c r="F3" s="2"/>
      <c r="G3" s="2"/>
      <c r="H3" s="2"/>
      <c r="I3" s="2"/>
      <c r="J3" s="2"/>
    </row>
    <row r="4" customFormat="false" ht="15" hidden="false" customHeight="false" outlineLevel="0" collapsed="false">
      <c r="A4" s="1" t="s">
        <v>1396</v>
      </c>
      <c r="B4" s="1"/>
      <c r="C4" s="1"/>
      <c r="D4" s="1"/>
      <c r="E4" s="1"/>
      <c r="F4" s="2"/>
      <c r="G4" s="2"/>
      <c r="H4" s="2"/>
      <c r="I4" s="2"/>
      <c r="J4" s="2"/>
    </row>
    <row r="5" customFormat="false" ht="15" hidden="false" customHeight="false" outlineLevel="0" collapsed="false">
      <c r="A5" s="3" t="s">
        <v>1397</v>
      </c>
      <c r="B5" s="4" t="n">
        <v>0.09517</v>
      </c>
      <c r="C5" s="4" t="n">
        <f aca="false">$B$5</f>
        <v>0.09517</v>
      </c>
      <c r="D5" s="4" t="n">
        <f aca="false">$B$5</f>
        <v>0.09517</v>
      </c>
      <c r="E5" s="4" t="n">
        <f aca="false">$B$5</f>
        <v>0.09517</v>
      </c>
    </row>
    <row r="6" customFormat="false" ht="15" hidden="false" customHeight="false" outlineLevel="0" collapsed="false">
      <c r="A6" s="3" t="s">
        <v>1398</v>
      </c>
      <c r="B6" s="4" t="n">
        <v>0.0423</v>
      </c>
      <c r="C6" s="4" t="n">
        <f aca="false">$B$6</f>
        <v>0.0423</v>
      </c>
      <c r="D6" s="4" t="n">
        <f aca="false">$B$6</f>
        <v>0.0423</v>
      </c>
      <c r="E6" s="4" t="n">
        <f aca="false">$B$6</f>
        <v>0.0423</v>
      </c>
    </row>
    <row r="7" customFormat="false" ht="15" hidden="false" customHeight="false" outlineLevel="0" collapsed="false">
      <c r="A7" s="3" t="s">
        <v>1399</v>
      </c>
      <c r="B7" s="4" t="n">
        <v>0.0246</v>
      </c>
      <c r="C7" s="4" t="n">
        <f aca="false">$B$7</f>
        <v>0.0246</v>
      </c>
      <c r="D7" s="4" t="n">
        <f aca="false">$B$7</f>
        <v>0.0246</v>
      </c>
      <c r="E7" s="4" t="n">
        <f aca="false">$B$7</f>
        <v>0.0246</v>
      </c>
    </row>
    <row r="8" customFormat="false" ht="15" hidden="false" customHeight="false" outlineLevel="0" collapsed="false">
      <c r="A8" s="3" t="s">
        <v>1400</v>
      </c>
      <c r="B8" s="4" t="n">
        <f aca="false">B6</f>
        <v>0.0423</v>
      </c>
      <c r="C8" s="4" t="n">
        <f aca="false">C6</f>
        <v>0.0423</v>
      </c>
      <c r="D8" s="4" t="n">
        <f aca="false">D6</f>
        <v>0.0423</v>
      </c>
      <c r="E8" s="4" t="n">
        <f aca="false">E6</f>
        <v>0.0423</v>
      </c>
    </row>
    <row r="9" customFormat="false" ht="15" hidden="false" customHeight="false" outlineLevel="0" collapsed="false">
      <c r="A9" s="3" t="s">
        <v>1401</v>
      </c>
      <c r="B9" s="81" t="n">
        <f aca="false">'Beta y Kd'!B19</f>
        <v>0.170520815748403</v>
      </c>
      <c r="C9" s="81" t="n">
        <f aca="false">'Beta y Kd'!$B$11</f>
        <v>0.65</v>
      </c>
      <c r="D9" s="81" t="n">
        <f aca="false">'Beta y Kd'!$B$11</f>
        <v>0.65</v>
      </c>
      <c r="E9" s="81" t="n">
        <f aca="false">'Beta y Kd'!$B$11</f>
        <v>0.65</v>
      </c>
      <c r="F9" s="82" t="s">
        <v>1402</v>
      </c>
    </row>
    <row r="10" customFormat="false" ht="15" hidden="false" customHeight="false" outlineLevel="0" collapsed="false">
      <c r="A10" s="3" t="s">
        <v>1403</v>
      </c>
      <c r="B10" s="4" t="n">
        <v>0.3</v>
      </c>
      <c r="C10" s="4" t="n">
        <f aca="false">$B$10</f>
        <v>0.3</v>
      </c>
      <c r="D10" s="4" t="n">
        <f aca="false">$B$10</f>
        <v>0.3</v>
      </c>
      <c r="E10" s="4" t="n">
        <f aca="false">$B$10</f>
        <v>0.3</v>
      </c>
    </row>
    <row r="11" customFormat="false" ht="15" hidden="false" customHeight="false" outlineLevel="0" collapsed="false">
      <c r="B11" s="83"/>
      <c r="C11" s="83"/>
      <c r="D11" s="83"/>
      <c r="E11" s="83"/>
    </row>
    <row r="12" customFormat="false" ht="15" hidden="false" customHeight="false" outlineLevel="0" collapsed="false">
      <c r="A12" s="1" t="s">
        <v>1404</v>
      </c>
      <c r="B12" s="1"/>
      <c r="C12" s="1"/>
      <c r="D12" s="1"/>
      <c r="E12" s="1"/>
      <c r="F12" s="2"/>
      <c r="G12" s="2"/>
      <c r="H12" s="2"/>
      <c r="I12" s="2"/>
      <c r="J12" s="2"/>
    </row>
    <row r="13" customFormat="false" ht="15" hidden="false" customHeight="false" outlineLevel="0" collapsed="false">
      <c r="A13" s="3" t="s">
        <v>1405</v>
      </c>
      <c r="B13" s="84" t="n">
        <f aca="false">Rendimientos!H5</f>
        <v>33.1</v>
      </c>
      <c r="C13" s="84" t="n">
        <v>46.6</v>
      </c>
      <c r="D13" s="84" t="n">
        <v>92.94</v>
      </c>
      <c r="E13" s="84" t="n">
        <v>32.08</v>
      </c>
    </row>
    <row r="14" customFormat="false" ht="15" hidden="false" customHeight="false" outlineLevel="0" collapsed="false">
      <c r="A14" s="3" t="s">
        <v>1350</v>
      </c>
      <c r="B14" s="85" t="n">
        <f aca="false">Rendimientos!H6</f>
        <v>46302</v>
      </c>
      <c r="C14" s="86" t="n">
        <v>46266</v>
      </c>
      <c r="D14" s="3" t="s">
        <v>1406</v>
      </c>
      <c r="E14" s="86" t="n">
        <v>46266</v>
      </c>
    </row>
    <row r="15" customFormat="false" ht="15" hidden="false" customHeight="false" outlineLevel="0" collapsed="false">
      <c r="A15" s="3" t="s">
        <v>1407</v>
      </c>
      <c r="B15" s="5" t="n">
        <v>54180</v>
      </c>
      <c r="C15" s="5" t="n">
        <v>801750</v>
      </c>
      <c r="D15" s="5" t="n">
        <v>89150</v>
      </c>
      <c r="E15" s="5" t="n">
        <v>34190</v>
      </c>
    </row>
    <row r="16" customFormat="false" ht="15" hidden="false" customHeight="false" outlineLevel="0" collapsed="false">
      <c r="A16" s="3" t="s">
        <v>1408</v>
      </c>
      <c r="B16" s="84" t="n">
        <v>30.1</v>
      </c>
      <c r="C16" s="84" t="n">
        <v>45.92</v>
      </c>
      <c r="D16" s="84" t="n">
        <v>92.84</v>
      </c>
      <c r="E16" s="84" t="n">
        <v>32.08</v>
      </c>
    </row>
    <row r="17" customFormat="false" ht="15" hidden="false" customHeight="false" outlineLevel="0" collapsed="false">
      <c r="A17" s="3" t="s">
        <v>57</v>
      </c>
      <c r="B17" s="5" t="n">
        <f aca="false">B15/B16</f>
        <v>1800</v>
      </c>
      <c r="C17" s="5" t="n">
        <f aca="false">C15/C16</f>
        <v>17459.712543554</v>
      </c>
      <c r="D17" s="5" t="n">
        <f aca="false">D15/D16</f>
        <v>960.254200775528</v>
      </c>
      <c r="E17" s="5" t="n">
        <f aca="false">E15/E16</f>
        <v>1065.77306733167</v>
      </c>
    </row>
    <row r="18" customFormat="false" ht="15" hidden="false" customHeight="false" outlineLevel="0" collapsed="false">
      <c r="A18" s="3" t="s">
        <v>1409</v>
      </c>
      <c r="B18" s="5" t="n">
        <f aca="false">B17*B13</f>
        <v>59580</v>
      </c>
      <c r="C18" s="5" t="n">
        <f aca="false">C17*C13</f>
        <v>813622.604529617</v>
      </c>
      <c r="D18" s="5" t="n">
        <f aca="false">D17*D13</f>
        <v>89246.0254200776</v>
      </c>
      <c r="E18" s="5" t="n">
        <f aca="false">E17*E13</f>
        <v>34190</v>
      </c>
    </row>
    <row r="19" customFormat="false" ht="15" hidden="false" customHeight="false" outlineLevel="0" collapsed="false">
      <c r="B19" s="83"/>
      <c r="C19" s="83"/>
      <c r="D19" s="83"/>
      <c r="E19" s="83"/>
    </row>
    <row r="20" customFormat="false" ht="15" hidden="false" customHeight="false" outlineLevel="0" collapsed="false">
      <c r="A20" s="1" t="s">
        <v>1410</v>
      </c>
      <c r="B20" s="1"/>
      <c r="C20" s="1"/>
      <c r="D20" s="1"/>
      <c r="E20" s="1"/>
      <c r="F20" s="2"/>
      <c r="G20" s="2"/>
      <c r="H20" s="2"/>
      <c r="I20" s="2"/>
      <c r="J20" s="2"/>
    </row>
    <row r="21" customFormat="false" ht="15" hidden="false" customHeight="false" outlineLevel="0" collapsed="false">
      <c r="A21" s="3" t="s">
        <v>1411</v>
      </c>
      <c r="B21" s="5" t="n">
        <f aca="false">Datos!G29</f>
        <v>23618</v>
      </c>
      <c r="C21" s="5" t="n">
        <f aca="false">Datos!G55</f>
        <v>80848.1</v>
      </c>
      <c r="D21" s="5" t="n">
        <f aca="false">Datos!G81</f>
        <v>56744.34</v>
      </c>
      <c r="E21" s="5" t="n">
        <f aca="false">Datos!G107</f>
        <v>2441.8</v>
      </c>
    </row>
    <row r="22" customFormat="false" ht="15" hidden="false" customHeight="false" outlineLevel="0" collapsed="false">
      <c r="A22" s="3" t="s">
        <v>13</v>
      </c>
      <c r="B22" s="5" t="n">
        <f aca="false">Datos!G17</f>
        <v>9295</v>
      </c>
      <c r="C22" s="5" t="n">
        <f aca="false">Datos!G43</f>
        <v>28591.2</v>
      </c>
      <c r="D22" s="5" t="n">
        <f aca="false">Datos!G69</f>
        <v>14640.16</v>
      </c>
      <c r="E22" s="5" t="n">
        <f aca="false">Datos!G95</f>
        <v>2962.8</v>
      </c>
    </row>
    <row r="23" customFormat="false" ht="15" hidden="false" customHeight="false" outlineLevel="0" collapsed="false">
      <c r="A23" s="3" t="s">
        <v>1412</v>
      </c>
      <c r="B23" s="87" t="n">
        <f aca="false">B21/B18</f>
        <v>0.396408190668009</v>
      </c>
      <c r="C23" s="10" t="n">
        <f aca="false">C21/C18</f>
        <v>0.0993680602651657</v>
      </c>
      <c r="D23" s="10" t="n">
        <f aca="false">D21/D18</f>
        <v>0.635819239376842</v>
      </c>
      <c r="E23" s="10" t="n">
        <f aca="false">E21/E18</f>
        <v>0.0714185434337526</v>
      </c>
    </row>
    <row r="24" customFormat="false" ht="15" hidden="false" customHeight="false" outlineLevel="0" collapsed="false">
      <c r="A24" s="3" t="s">
        <v>1413</v>
      </c>
      <c r="B24" s="4" t="n">
        <f aca="false">B21/(B21+B18)</f>
        <v>0.28387701627443</v>
      </c>
      <c r="C24" s="4" t="n">
        <f aca="false">C21/(C21+C18)</f>
        <v>0.090386526457025</v>
      </c>
      <c r="D24" s="4" t="n">
        <f aca="false">D21/(D21+D18)</f>
        <v>0.38868551247695</v>
      </c>
      <c r="E24" s="4" t="n">
        <f aca="false">E21/(E21+E18)</f>
        <v>0.0666579310871975</v>
      </c>
    </row>
    <row r="25" customFormat="false" ht="15" hidden="false" customHeight="false" outlineLevel="0" collapsed="false">
      <c r="A25" s="3" t="s">
        <v>1414</v>
      </c>
      <c r="B25" s="4" t="n">
        <f aca="false">B18/(B21+B18)</f>
        <v>0.71612298372557</v>
      </c>
      <c r="C25" s="4" t="n">
        <f aca="false">C18/(C21+C18)</f>
        <v>0.909613473542975</v>
      </c>
      <c r="D25" s="4" t="n">
        <f aca="false">D18/(D21+D18)</f>
        <v>0.61131448752305</v>
      </c>
      <c r="E25" s="4" t="n">
        <f aca="false">E18/(E21+E18)</f>
        <v>0.933342068912803</v>
      </c>
    </row>
    <row r="26" customFormat="false" ht="15" hidden="false" customHeight="false" outlineLevel="0" collapsed="false">
      <c r="B26" s="83"/>
      <c r="C26" s="83"/>
      <c r="D26" s="83"/>
      <c r="E26" s="83"/>
    </row>
    <row r="27" customFormat="false" ht="15" hidden="false" customHeight="false" outlineLevel="0" collapsed="false">
      <c r="A27" s="1" t="s">
        <v>1415</v>
      </c>
      <c r="B27" s="1"/>
      <c r="C27" s="1"/>
      <c r="D27" s="1"/>
      <c r="E27" s="1"/>
      <c r="F27" s="2"/>
      <c r="G27" s="2"/>
      <c r="H27" s="2"/>
      <c r="I27" s="2"/>
      <c r="J27" s="2"/>
    </row>
    <row r="28" customFormat="false" ht="15" hidden="false" customHeight="false" outlineLevel="0" collapsed="false">
      <c r="A28" s="3" t="s">
        <v>1416</v>
      </c>
      <c r="B28" s="81" t="n">
        <f aca="false">B9*(1+(1-B10)*B23)</f>
        <v>0.217837909377843</v>
      </c>
      <c r="C28" s="81" t="n">
        <f aca="false">C9*(1+(1-C10)*C23)</f>
        <v>0.69521246742065</v>
      </c>
      <c r="D28" s="81" t="n">
        <f aca="false">D9*(1+(1-D10)*D23)</f>
        <v>0.939297753916463</v>
      </c>
      <c r="E28" s="81" t="n">
        <f aca="false">E9*(1+(1-E10)*E23)</f>
        <v>0.682495437262357</v>
      </c>
    </row>
    <row r="29" customFormat="false" ht="15" hidden="false" customHeight="false" outlineLevel="0" collapsed="false">
      <c r="A29" s="3" t="s">
        <v>1417</v>
      </c>
      <c r="B29" s="4" t="n">
        <f aca="false">B5+B28*B8</f>
        <v>0.104384543566683</v>
      </c>
      <c r="C29" s="4" t="n">
        <f aca="false">C5+C28*C8</f>
        <v>0.124577487371894</v>
      </c>
      <c r="D29" s="4" t="n">
        <f aca="false">D5+D28*D8</f>
        <v>0.134902294990666</v>
      </c>
      <c r="E29" s="4" t="n">
        <f aca="false">E5+E28*E8</f>
        <v>0.124039556996198</v>
      </c>
    </row>
    <row r="30" customFormat="false" ht="15" hidden="false" customHeight="false" outlineLevel="0" collapsed="false">
      <c r="A30" s="3" t="s">
        <v>1418</v>
      </c>
      <c r="B30" s="5" t="n">
        <f aca="false">Datos!G10</f>
        <v>3074</v>
      </c>
      <c r="C30" s="5" t="n">
        <f aca="false">Datos!G36</f>
        <v>11464.7</v>
      </c>
      <c r="D30" s="5" t="n">
        <f aca="false">Datos!G62</f>
        <v>3846.89</v>
      </c>
      <c r="E30" s="5" t="n">
        <f aca="false">Datos!G88</f>
        <v>265.96</v>
      </c>
    </row>
    <row r="31" customFormat="false" ht="15" hidden="false" customHeight="false" outlineLevel="0" collapsed="false">
      <c r="A31" s="3" t="s">
        <v>1419</v>
      </c>
      <c r="B31" s="4" t="n">
        <f aca="false">B30/B21</f>
        <v>0.130154966550936</v>
      </c>
      <c r="C31" s="4" t="n">
        <f aca="false">C30/C21</f>
        <v>0.141805435130819</v>
      </c>
      <c r="D31" s="4" t="n">
        <f aca="false">D30/D21</f>
        <v>0.0677933693474979</v>
      </c>
      <c r="E31" s="4" t="n">
        <f aca="false">E30/E21</f>
        <v>0.108919649438938</v>
      </c>
    </row>
    <row r="32" customFormat="false" ht="15" hidden="false" customHeight="false" outlineLevel="0" collapsed="false">
      <c r="A32" s="3" t="s">
        <v>1420</v>
      </c>
      <c r="B32" s="4" t="n">
        <f aca="false">B31*(1-B10)</f>
        <v>0.091108476585655</v>
      </c>
      <c r="C32" s="4" t="n">
        <f aca="false">C31*(1-C10)</f>
        <v>0.0992638045915736</v>
      </c>
      <c r="D32" s="4" t="n">
        <f aca="false">D31*(1-D10)</f>
        <v>0.0474553585432485</v>
      </c>
      <c r="E32" s="4" t="n">
        <f aca="false">E31*(1-E10)</f>
        <v>0.0762437546072569</v>
      </c>
    </row>
    <row r="33" customFormat="false" ht="15" hidden="false" customHeight="false" outlineLevel="0" collapsed="false">
      <c r="A33" s="3" t="s">
        <v>1421</v>
      </c>
      <c r="B33" s="4" t="n">
        <f aca="false">B25*B29+B24*B32</f>
        <v>0.100615773284249</v>
      </c>
      <c r="C33" s="4" t="n">
        <f aca="false">C25*C29+C24*C32</f>
        <v>0.122289471513545</v>
      </c>
      <c r="D33" s="4" t="n">
        <f aca="false">D25*D29+D24*D32</f>
        <v>0.100912937683063</v>
      </c>
      <c r="E33" s="4" t="n">
        <f aca="false">E25*E29+E24*E32</f>
        <v>0.120853587694298</v>
      </c>
    </row>
    <row r="36" customFormat="false" ht="15" hidden="false" customHeight="false" outlineLevel="0" collapsed="false">
      <c r="A36" s="71" t="s">
        <v>1422</v>
      </c>
    </row>
    <row r="37" customFormat="false" ht="15" hidden="false" customHeight="false" outlineLevel="0" collapsed="false">
      <c r="A37" s="75" t="s">
        <v>1423</v>
      </c>
    </row>
    <row r="38" customFormat="false" ht="15" hidden="false" customHeight="false" outlineLevel="0" collapsed="false">
      <c r="A38" s="75" t="s">
        <v>1424</v>
      </c>
    </row>
    <row r="39" customFormat="false" ht="15" hidden="false" customHeight="false" outlineLevel="0" collapsed="false">
      <c r="A39" s="75" t="str">
        <f aca="false">"Tasa libre de riesgo = "&amp;FIXED(B5*100,2)&amp;"%: lo que paga el bono del gobierno a 10 años (Bono M). Es lo mínimo que se gana sin riesgo."</f>
        <v>Tasa libre de riesgo = 9.52%: lo que paga el bono del gobierno a 10 años (Bono M). Es lo mínimo que se gana sin riesgo.</v>
      </c>
    </row>
    <row r="40" customFormat="false" ht="15" hidden="false" customHeight="false" outlineLevel="0" collapsed="false">
      <c r="A40" s="75" t="str">
        <f aca="false">"Prima de riesgo de mercado = "&amp;FIXED(B8*100,2)&amp;"%: el rendimiento extra que se pide por invertir en acciones en lugar de bonos."</f>
        <v>Prima de riesgo de mercado = 4.23%: el rendimiento extra que se pide por invertir en acciones en lugar de bonos.</v>
      </c>
    </row>
    <row r="41" customFormat="false" ht="15" hidden="false" customHeight="false" outlineLevel="0" collapsed="false">
      <c r="A41" s="75" t="str">
        <f aca="false">"Beta = "&amp;FIXED(B28,2)&amp;": qué tanto se mueve Soriana con el mercado (sale de la regresión semanal, ajustada a la deuda de Soriana)."</f>
        <v>Beta = 0.22: qué tanto se mueve Soriana con el mercado (sale de la regresión semanal, ajustada a la deuda de Soriana).</v>
      </c>
    </row>
    <row r="42" customFormat="false" ht="15" hidden="false" customHeight="false" outlineLevel="0" collapsed="false">
      <c r="A42" s="75" t="str">
        <f aca="false">"Costo del capital = "&amp;FIXED(B29*100,2)&amp;"%: el rendimiento que exigen los accionistas."</f>
        <v>Costo del capital = 10.44%: el rendimiento que exigen los accionistas.</v>
      </c>
    </row>
    <row r="43" customFormat="false" ht="15" hidden="false" customHeight="false" outlineLevel="0" collapsed="false">
      <c r="A43" s="75" t="str">
        <f aca="false">"Costo de la deuda antes de impuestos = "&amp;FIXED(B31*100,2)&amp;"%: intereses de 2025 entre la deuda. En el DCF se usa "&amp;FIXED('Proyección Final Soriana'!B206*100,2)&amp;"%, la tasa que se espera pagar."</f>
        <v>Costo de la deuda antes de impuestos = 13.02%: intereses de 2025 entre la deuda. En el DCF se usa 10.00%, la tasa que se espera pagar.</v>
      </c>
    </row>
    <row r="44" customFormat="false" ht="15" hidden="false" customHeight="false" outlineLevel="0" collapsed="false">
      <c r="A44" s="75" t="str">
        <f aca="false">"Tasa de impuestos = "&amp;FIXED(B10*100,0)&amp;"%: los intereses se deducen de impuestos, por eso la deuda cuesta menos después de impuestos."</f>
        <v>Tasa de impuestos = 30%: los intereses se deducen de impuestos, por eso la deuda cuesta menos después de impuestos.</v>
      </c>
    </row>
    <row r="45" customFormat="false" ht="15" hidden="false" customHeight="false" outlineLevel="0" collapsed="false">
      <c r="A45" s="75" t="str">
        <f aca="false">"Deuda = "&amp;FIXED(B21,0)&amp;" mdp (bancos, bolsa y arrendamientos) y capital a valor de mercado = "&amp;FIXED(B18,0)&amp;" mdp (precio por número de acciones)."</f>
        <v>Deuda = 23,618 mdp (bancos, bolsa y arrendamientos) y capital a valor de mercado = 59,580 mdp (precio por número de acciones).</v>
      </c>
    </row>
    <row r="46" customFormat="false" ht="15" hidden="false" customHeight="false" outlineLevel="0" collapsed="false">
      <c r="A46" s="75" t="str">
        <f aca="false">"Estructura financiera: "&amp;FIXED(B24*100,1)&amp;"% deuda y "&amp;FIXED(B25*100,1)&amp;"% capital."</f>
        <v>Estructura financiera: 28.4% deuda y 71.6% capital.</v>
      </c>
    </row>
    <row r="47" customFormat="false" ht="15" hidden="false" customHeight="false" outlineLevel="0" collapsed="false">
      <c r="A47" s="75" t="str">
        <f aca="false">"WACC a valor de mercado = "&amp;FIXED(B33*100,2)&amp;"%."</f>
        <v>WACC a valor de mercado = 10.06%.</v>
      </c>
    </row>
    <row r="48" customFormat="false" ht="15" hidden="false" customHeight="false" outlineLevel="0" collapsed="false">
      <c r="A48" s="75" t="str">
        <f aca="false">"WACC que usa el DCF = "&amp;FIXED('Proyección Final Soriana'!B126*100,2)&amp;"%. Es el WACC iterado: los pesos de deuda y capital se calculan con el valor del capital que sale del propio DCF (hoja Proyección Final, filas 205 a 222), hasta que el resultado ya no cambia."</f>
        <v>WACC que usa el DCF = 9.63%. Es el WACC iterado: los pesos de deuda y capital se calculan con el valor del capital que sale del propio DCF (hoja Proyección Final, filas 205 a 222), hasta que el resultado ya no cambia.</v>
      </c>
    </row>
    <row r="49" customFormat="false" ht="15" hidden="false" customHeight="false" outlineLevel="0" collapsed="false">
      <c r="A49" s="75" t="s">
        <v>1425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0"/>
  <sheetViews>
    <sheetView showFormulas="false" showGridLines="true" showRowColHeaders="true" showZeros="true" rightToLeft="false" tabSelected="false" showOutlineSymbols="true" defaultGridColor="true" view="normal" topLeftCell="A1" colorId="64" zoomScale="87" zoomScaleNormal="87" zoomScalePageLayoutView="100" workbookViewId="0">
      <selection pane="topLeft" activeCell="B40" activeCellId="0" sqref="B40"/>
    </sheetView>
  </sheetViews>
  <sheetFormatPr defaultColWidth="11.5078125" defaultRowHeight="15" zeroHeight="false" outlineLevelRow="0" outlineLevelCol="0"/>
  <cols>
    <col collapsed="false" customWidth="true" hidden="false" outlineLevel="0" max="1" min="1" style="0" width="61.16"/>
    <col collapsed="false" customWidth="true" hidden="false" outlineLevel="0" max="2" min="2" style="0" width="35.16"/>
    <col collapsed="false" customWidth="true" hidden="false" outlineLevel="0" max="8" min="3" style="0" width="15.83"/>
  </cols>
  <sheetData>
    <row r="1" customFormat="false" ht="18.75" hidden="false" customHeight="true" outlineLevel="0" collapsed="false">
      <c r="A1" s="35"/>
    </row>
    <row r="2" customFormat="false" ht="15" hidden="false" customHeight="false" outlineLevel="0" collapsed="false">
      <c r="A2" s="36"/>
    </row>
    <row r="3" customFormat="false" ht="15" hidden="false" customHeight="false" outlineLevel="0" collapsed="false">
      <c r="B3" s="88"/>
    </row>
    <row r="4" customFormat="false" ht="15" hidden="false" customHeight="false" outlineLevel="0" collapsed="false">
      <c r="A4" s="3" t="s">
        <v>1426</v>
      </c>
      <c r="B4" s="11" t="n">
        <v>0.035</v>
      </c>
    </row>
    <row r="5" customFormat="false" ht="15" hidden="false" customHeight="false" outlineLevel="0" collapsed="false">
      <c r="A5" s="3" t="s">
        <v>1427</v>
      </c>
      <c r="B5" s="11" t="n">
        <v>0.035</v>
      </c>
    </row>
    <row r="6" customFormat="false" ht="15" hidden="false" customHeight="false" outlineLevel="0" collapsed="false">
      <c r="B6" s="88"/>
    </row>
    <row r="7" customFormat="false" ht="15" hidden="false" customHeight="false" outlineLevel="0" collapsed="false">
      <c r="B7" s="88"/>
    </row>
    <row r="8" customFormat="false" ht="15" hidden="false" customHeight="false" outlineLevel="0" collapsed="false">
      <c r="A8" s="89" t="s">
        <v>1385</v>
      </c>
      <c r="B8" s="90" t="s">
        <v>1428</v>
      </c>
      <c r="C8" s="1" t="s">
        <v>1429</v>
      </c>
      <c r="D8" s="1" t="s">
        <v>1430</v>
      </c>
      <c r="E8" s="1" t="s">
        <v>1431</v>
      </c>
      <c r="F8" s="1" t="s">
        <v>1432</v>
      </c>
      <c r="G8" s="1" t="s">
        <v>1433</v>
      </c>
      <c r="H8" s="2"/>
      <c r="I8" s="2"/>
      <c r="J8" s="2"/>
    </row>
    <row r="9" customFormat="false" ht="15" hidden="false" customHeight="false" outlineLevel="0" collapsed="false">
      <c r="A9" s="3" t="s">
        <v>1434</v>
      </c>
      <c r="B9" s="4" t="n">
        <f aca="false">$B$5</f>
        <v>0.035</v>
      </c>
      <c r="C9" s="39"/>
      <c r="D9" s="39"/>
      <c r="E9" s="39"/>
      <c r="F9" s="39"/>
      <c r="G9" s="39"/>
    </row>
    <row r="10" customFormat="false" ht="15" hidden="false" customHeight="false" outlineLevel="0" collapsed="false">
      <c r="A10" s="3" t="s">
        <v>1435</v>
      </c>
      <c r="B10" s="4" t="n">
        <f aca="false">Datos!G9/Datos!G6</f>
        <v>0.042542883699969</v>
      </c>
      <c r="C10" s="39"/>
      <c r="D10" s="39"/>
      <c r="E10" s="39"/>
      <c r="F10" s="39"/>
      <c r="G10" s="39"/>
    </row>
    <row r="11" customFormat="false" ht="15" hidden="false" customHeight="false" outlineLevel="0" collapsed="false">
      <c r="A11" s="3" t="s">
        <v>1436</v>
      </c>
      <c r="B11" s="4" t="n">
        <f aca="false">Datos!G14/Datos!G6</f>
        <v>0.0244599047967777</v>
      </c>
      <c r="C11" s="39"/>
      <c r="D11" s="39"/>
      <c r="E11" s="39"/>
      <c r="F11" s="39"/>
      <c r="G11" s="39"/>
    </row>
    <row r="12" customFormat="false" ht="15" hidden="false" customHeight="false" outlineLevel="0" collapsed="false">
      <c r="A12" s="3" t="s">
        <v>1437</v>
      </c>
      <c r="B12" s="4" t="n">
        <f aca="false">Datos!G16/Datos!G6</f>
        <v>0.0161507478241275</v>
      </c>
      <c r="C12" s="39"/>
      <c r="D12" s="39"/>
      <c r="E12" s="39"/>
      <c r="F12" s="39"/>
      <c r="G12" s="39"/>
    </row>
    <row r="13" customFormat="false" ht="15" hidden="false" customHeight="false" outlineLevel="0" collapsed="false">
      <c r="A13" s="3" t="s">
        <v>1438</v>
      </c>
      <c r="B13" s="4" t="n">
        <f aca="false">-SUM('Proyección Soriana'!C64:G64)/('Proyección Soriana'!G19-'Proyección Soriana'!B19)</f>
        <v>0.0207926090752896</v>
      </c>
      <c r="C13" s="39"/>
      <c r="D13" s="39"/>
      <c r="E13" s="39"/>
      <c r="F13" s="39"/>
      <c r="G13" s="39"/>
    </row>
    <row r="14" customFormat="false" ht="15" hidden="false" customHeight="false" outlineLevel="0" collapsed="false">
      <c r="A14" s="3" t="s">
        <v>1439</v>
      </c>
      <c r="B14" s="4" t="n">
        <f aca="false">WACC!B10</f>
        <v>0.3</v>
      </c>
      <c r="C14" s="39"/>
      <c r="D14" s="39"/>
      <c r="E14" s="39"/>
      <c r="F14" s="39"/>
      <c r="G14" s="39"/>
    </row>
    <row r="15" customFormat="false" ht="15" hidden="false" customHeight="false" outlineLevel="0" collapsed="false">
      <c r="A15" s="3" t="s">
        <v>5</v>
      </c>
      <c r="B15" s="4" t="n">
        <f aca="false">WACC!B33</f>
        <v>0.100615773284249</v>
      </c>
      <c r="C15" s="39"/>
      <c r="D15" s="39"/>
      <c r="E15" s="39"/>
      <c r="F15" s="39"/>
      <c r="G15" s="39"/>
    </row>
    <row r="16" customFormat="false" ht="15" hidden="false" customHeight="false" outlineLevel="0" collapsed="false">
      <c r="A16" s="3" t="s">
        <v>6</v>
      </c>
      <c r="B16" s="4" t="n">
        <f aca="false">$B$4</f>
        <v>0.035</v>
      </c>
      <c r="C16" s="39"/>
      <c r="D16" s="39"/>
      <c r="E16" s="39"/>
      <c r="F16" s="39"/>
      <c r="G16" s="39"/>
    </row>
    <row r="18" customFormat="false" ht="15" hidden="false" customHeight="false" outlineLevel="0" collapsed="false">
      <c r="A18" s="1" t="s">
        <v>1440</v>
      </c>
      <c r="B18" s="1" t="s">
        <v>1428</v>
      </c>
      <c r="C18" s="1" t="s">
        <v>1429</v>
      </c>
      <c r="D18" s="1" t="s">
        <v>1430</v>
      </c>
      <c r="E18" s="1" t="s">
        <v>1431</v>
      </c>
      <c r="F18" s="1" t="s">
        <v>1432</v>
      </c>
      <c r="G18" s="1" t="s">
        <v>1433</v>
      </c>
      <c r="H18" s="2"/>
      <c r="I18" s="2"/>
      <c r="J18" s="2"/>
    </row>
    <row r="19" customFormat="false" ht="15" hidden="false" customHeight="false" outlineLevel="0" collapsed="false">
      <c r="A19" s="3" t="s">
        <v>1441</v>
      </c>
      <c r="B19" s="91" t="n">
        <v>0</v>
      </c>
      <c r="C19" s="91" t="n">
        <v>1</v>
      </c>
      <c r="D19" s="91" t="n">
        <v>2</v>
      </c>
      <c r="E19" s="91" t="n">
        <v>3</v>
      </c>
      <c r="F19" s="91" t="n">
        <v>4</v>
      </c>
      <c r="G19" s="91" t="n">
        <v>5</v>
      </c>
    </row>
    <row r="20" customFormat="false" ht="15" hidden="false" customHeight="false" outlineLevel="0" collapsed="false">
      <c r="A20" s="3" t="s">
        <v>1442</v>
      </c>
      <c r="B20" s="5" t="n">
        <f aca="false">Datos!G6</f>
        <v>177515</v>
      </c>
      <c r="C20" s="5" t="n">
        <f aca="false">B20*(1+$B$9)</f>
        <v>183728.025</v>
      </c>
      <c r="D20" s="5" t="n">
        <f aca="false">C20*(1+$B$9)</f>
        <v>190158.505875</v>
      </c>
      <c r="E20" s="5" t="n">
        <f aca="false">D20*(1+$B$9)</f>
        <v>196814.053580625</v>
      </c>
      <c r="F20" s="5" t="n">
        <f aca="false">E20*(1+$B$9)</f>
        <v>203702.545455947</v>
      </c>
      <c r="G20" s="5" t="n">
        <f aca="false">F20*(1+$B$9)</f>
        <v>210832.134546905</v>
      </c>
    </row>
    <row r="21" customFormat="false" ht="15" hidden="false" customHeight="false" outlineLevel="0" collapsed="false">
      <c r="A21" s="3" t="s">
        <v>81</v>
      </c>
      <c r="B21" s="5" t="n">
        <f aca="false">Datos!G9</f>
        <v>7552</v>
      </c>
      <c r="C21" s="5" t="n">
        <f aca="false">C20*$B$10</f>
        <v>7816.32</v>
      </c>
      <c r="D21" s="5" t="n">
        <f aca="false">D20*$B$10</f>
        <v>8089.8912</v>
      </c>
      <c r="E21" s="5" t="n">
        <f aca="false">E20*$B$10</f>
        <v>8373.037392</v>
      </c>
      <c r="F21" s="5" t="n">
        <f aca="false">F20*$B$10</f>
        <v>8666.09370072</v>
      </c>
      <c r="G21" s="5" t="n">
        <f aca="false">G20*$B$10</f>
        <v>8969.4069802452</v>
      </c>
    </row>
    <row r="22" customFormat="false" ht="15" hidden="false" customHeight="false" outlineLevel="0" collapsed="false">
      <c r="A22" s="3" t="s">
        <v>1443</v>
      </c>
      <c r="B22" s="5" t="n">
        <f aca="false">-B21*$B$14</f>
        <v>-2265.6</v>
      </c>
      <c r="C22" s="5" t="n">
        <f aca="false">-C21*$B$14</f>
        <v>-2344.896</v>
      </c>
      <c r="D22" s="5" t="n">
        <f aca="false">-D21*$B$14</f>
        <v>-2426.96736</v>
      </c>
      <c r="E22" s="5" t="n">
        <f aca="false">-E21*$B$14</f>
        <v>-2511.9112176</v>
      </c>
      <c r="F22" s="5" t="n">
        <f aca="false">-F21*$B$14</f>
        <v>-2599.828110216</v>
      </c>
      <c r="G22" s="5" t="n">
        <f aca="false">-G21*$B$14</f>
        <v>-2690.82209407356</v>
      </c>
    </row>
    <row r="23" customFormat="false" ht="15" hidden="false" customHeight="false" outlineLevel="0" collapsed="false">
      <c r="A23" s="3" t="s">
        <v>1444</v>
      </c>
      <c r="B23" s="5" t="n">
        <f aca="false">B21+B22</f>
        <v>5286.4</v>
      </c>
      <c r="C23" s="5" t="n">
        <f aca="false">C21+C22</f>
        <v>5471.424</v>
      </c>
      <c r="D23" s="5" t="n">
        <f aca="false">D21+D22</f>
        <v>5662.92384</v>
      </c>
      <c r="E23" s="5" t="n">
        <f aca="false">E21+E22</f>
        <v>5861.1261744</v>
      </c>
      <c r="F23" s="5" t="n">
        <f aca="false">F21+F22</f>
        <v>6066.265590504</v>
      </c>
      <c r="G23" s="5" t="n">
        <f aca="false">G21+G22</f>
        <v>6278.58488617164</v>
      </c>
    </row>
    <row r="24" customFormat="false" ht="15" hidden="false" customHeight="false" outlineLevel="0" collapsed="false">
      <c r="A24" s="3" t="s">
        <v>1445</v>
      </c>
      <c r="B24" s="5" t="n">
        <f aca="false">Datos!G14</f>
        <v>4342</v>
      </c>
      <c r="C24" s="5" t="n">
        <f aca="false">C20*$B$11</f>
        <v>4493.97</v>
      </c>
      <c r="D24" s="5" t="n">
        <f aca="false">D20*$B$11</f>
        <v>4651.25895</v>
      </c>
      <c r="E24" s="5" t="n">
        <f aca="false">E20*$B$11</f>
        <v>4814.05301325</v>
      </c>
      <c r="F24" s="5" t="n">
        <f aca="false">F20*$B$11</f>
        <v>4982.54486871375</v>
      </c>
      <c r="G24" s="5" t="n">
        <f aca="false">G20*$B$11</f>
        <v>5156.93393911873</v>
      </c>
    </row>
    <row r="25" customFormat="false" ht="15" hidden="false" customHeight="false" outlineLevel="0" collapsed="false">
      <c r="A25" s="3" t="s">
        <v>1446</v>
      </c>
      <c r="B25" s="5" t="n">
        <f aca="false">-Datos!G16</f>
        <v>-2867</v>
      </c>
      <c r="C25" s="5" t="n">
        <f aca="false">-C20*$B$12</f>
        <v>-2967.345</v>
      </c>
      <c r="D25" s="5" t="n">
        <f aca="false">-D20*$B$12</f>
        <v>-3071.202075</v>
      </c>
      <c r="E25" s="5" t="n">
        <f aca="false">-E20*$B$12</f>
        <v>-3178.694147625</v>
      </c>
      <c r="F25" s="5" t="n">
        <f aca="false">-F20*$B$12</f>
        <v>-3289.94844279187</v>
      </c>
      <c r="G25" s="5" t="n">
        <f aca="false">-G20*$B$12</f>
        <v>-3405.09663828959</v>
      </c>
    </row>
    <row r="26" customFormat="false" ht="15" hidden="false" customHeight="false" outlineLevel="0" collapsed="false">
      <c r="A26" s="3" t="s">
        <v>1447</v>
      </c>
      <c r="B26" s="5" t="n">
        <v>0</v>
      </c>
      <c r="C26" s="5" t="n">
        <f aca="false">-(C20-B20)*$B$13</f>
        <v>-129.185000000001</v>
      </c>
      <c r="D26" s="5" t="n">
        <f aca="false">-(D20-C20)*$B$13</f>
        <v>-133.706475000001</v>
      </c>
      <c r="E26" s="5" t="n">
        <f aca="false">-(E20-D20)*$B$13</f>
        <v>-138.386201625001</v>
      </c>
      <c r="F26" s="5" t="n">
        <f aca="false">-(F20-E20)*$B$13</f>
        <v>-143.229718681876</v>
      </c>
      <c r="G26" s="5" t="n">
        <f aca="false">-(G20-F20)*$B$13</f>
        <v>-148.242758835741</v>
      </c>
    </row>
    <row r="27" customFormat="false" ht="15" hidden="false" customHeight="false" outlineLevel="0" collapsed="false">
      <c r="A27" s="3" t="s">
        <v>1448</v>
      </c>
      <c r="B27" s="5" t="n">
        <f aca="false">B23+B24+B25+B26</f>
        <v>6761.4</v>
      </c>
      <c r="C27" s="5" t="n">
        <f aca="false">C23+C24+C25+C26</f>
        <v>6868.864</v>
      </c>
      <c r="D27" s="5" t="n">
        <f aca="false">D23+D24+D25+D26</f>
        <v>7109.27424</v>
      </c>
      <c r="E27" s="5" t="n">
        <f aca="false">E23+E24+E25+E26</f>
        <v>7358.0988384</v>
      </c>
      <c r="F27" s="5" t="n">
        <f aca="false">F23+F24+F25+F26</f>
        <v>7615.632297744</v>
      </c>
      <c r="G27" s="5" t="n">
        <f aca="false">G23+G24+G25+G26</f>
        <v>7882.17942816504</v>
      </c>
    </row>
    <row r="28" customFormat="false" ht="15" hidden="false" customHeight="false" outlineLevel="0" collapsed="false">
      <c r="A28" s="3" t="s">
        <v>1449</v>
      </c>
      <c r="B28" s="92"/>
      <c r="C28" s="92" t="n">
        <f aca="false">1/(1+$B$15)^C19</f>
        <v>0.908582290271917</v>
      </c>
      <c r="D28" s="92" t="n">
        <f aca="false">1/(1+$B$15)^D19</f>
        <v>0.825521778195762</v>
      </c>
      <c r="E28" s="92" t="n">
        <f aca="false">1/(1+$B$15)^E19</f>
        <v>0.750054467902451</v>
      </c>
      <c r="F28" s="92" t="n">
        <f aca="false">1/(1+$B$15)^F19</f>
        <v>0.681486206275493</v>
      </c>
      <c r="G28" s="92" t="n">
        <f aca="false">1/(1+$B$15)^G19</f>
        <v>0.619186298086507</v>
      </c>
    </row>
    <row r="29" customFormat="false" ht="15" hidden="false" customHeight="false" outlineLevel="0" collapsed="false">
      <c r="A29" s="3" t="s">
        <v>1450</v>
      </c>
      <c r="B29" s="5"/>
      <c r="C29" s="5" t="n">
        <f aca="false">C27*C28</f>
        <v>6240.92818468632</v>
      </c>
      <c r="D29" s="5" t="n">
        <f aca="false">D27*D28</f>
        <v>5868.86071228612</v>
      </c>
      <c r="E29" s="5" t="n">
        <f aca="false">E27*E28</f>
        <v>5518.97490900975</v>
      </c>
      <c r="F29" s="5" t="n">
        <f aca="false">F27*F28</f>
        <v>5189.94836297867</v>
      </c>
      <c r="G29" s="5" t="n">
        <f aca="false">G27*G28</f>
        <v>4880.53750097913</v>
      </c>
    </row>
    <row r="30" customFormat="false" ht="15" hidden="false" customHeight="false" outlineLevel="0" collapsed="false">
      <c r="B30" s="80"/>
      <c r="C30" s="80"/>
      <c r="D30" s="80"/>
      <c r="E30" s="80"/>
      <c r="F30" s="80"/>
      <c r="G30" s="80"/>
    </row>
    <row r="31" customFormat="false" ht="15" hidden="false" customHeight="false" outlineLevel="0" collapsed="false">
      <c r="A31" s="3" t="s">
        <v>8</v>
      </c>
      <c r="B31" s="5" t="n">
        <f aca="false">SUM(C29:G29)</f>
        <v>27699.24966994</v>
      </c>
      <c r="C31" s="93"/>
      <c r="D31" s="93"/>
      <c r="E31" s="93"/>
      <c r="F31" s="93"/>
      <c r="G31" s="93"/>
    </row>
    <row r="32" customFormat="false" ht="15" hidden="false" customHeight="false" outlineLevel="0" collapsed="false">
      <c r="A32" s="3" t="s">
        <v>1451</v>
      </c>
      <c r="B32" s="5" t="n">
        <f aca="false">G27*(1+B16)</f>
        <v>8158.05570815081</v>
      </c>
    </row>
    <row r="33" customFormat="false" ht="15" hidden="false" customHeight="false" outlineLevel="0" collapsed="false">
      <c r="A33" s="3" t="s">
        <v>1452</v>
      </c>
      <c r="B33" s="5" t="n">
        <f aca="false">B32/(B15-B16)</f>
        <v>124330.710434668</v>
      </c>
      <c r="C33" s="2"/>
      <c r="D33" s="2"/>
      <c r="E33" s="2"/>
      <c r="F33" s="2"/>
      <c r="G33" s="2"/>
    </row>
    <row r="34" customFormat="false" ht="15" hidden="false" customHeight="false" outlineLevel="0" collapsed="false">
      <c r="A34" s="3" t="s">
        <v>10</v>
      </c>
      <c r="B34" s="5" t="n">
        <f aca="false">B33*G28</f>
        <v>76983.8723325077</v>
      </c>
    </row>
    <row r="35" customFormat="false" ht="15" hidden="false" customHeight="false" outlineLevel="0" collapsed="false">
      <c r="A35" s="3" t="s">
        <v>1453</v>
      </c>
      <c r="B35" s="5" t="n">
        <f aca="false">B31+B34</f>
        <v>104683.122002448</v>
      </c>
      <c r="C35" s="2"/>
      <c r="D35" s="2"/>
      <c r="E35" s="2"/>
      <c r="F35" s="2"/>
      <c r="G35" s="2"/>
    </row>
    <row r="36" customFormat="false" ht="15" hidden="false" customHeight="false" outlineLevel="0" collapsed="false">
      <c r="A36" s="3" t="s">
        <v>1454</v>
      </c>
      <c r="B36" s="5" t="n">
        <f aca="false">-WACC!B21</f>
        <v>-23618</v>
      </c>
    </row>
    <row r="37" customFormat="false" ht="15" hidden="false" customHeight="false" outlineLevel="0" collapsed="false">
      <c r="A37" s="3" t="s">
        <v>1455</v>
      </c>
      <c r="B37" s="5" t="n">
        <f aca="false">WACC!B22</f>
        <v>9295</v>
      </c>
    </row>
    <row r="38" customFormat="false" ht="15" hidden="false" customHeight="false" outlineLevel="0" collapsed="false">
      <c r="A38" s="3" t="s">
        <v>1456</v>
      </c>
      <c r="B38" s="5" t="n">
        <f aca="false">-(B36+B37)</f>
        <v>14323</v>
      </c>
    </row>
    <row r="39" customFormat="false" ht="15" hidden="false" customHeight="false" outlineLevel="0" collapsed="false">
      <c r="A39" s="3" t="s">
        <v>1457</v>
      </c>
      <c r="B39" s="5" t="n">
        <f aca="false">B35+B36+B37</f>
        <v>90360.1220024477</v>
      </c>
      <c r="C39" s="2"/>
      <c r="D39" s="2"/>
      <c r="E39" s="2"/>
      <c r="F39" s="2"/>
      <c r="G39" s="2"/>
    </row>
    <row r="40" customFormat="false" ht="15" hidden="false" customHeight="false" outlineLevel="0" collapsed="false">
      <c r="A40" s="3" t="s">
        <v>57</v>
      </c>
      <c r="B40" s="5" t="n">
        <f aca="false">WACC!B17</f>
        <v>1800</v>
      </c>
    </row>
    <row r="41" customFormat="false" ht="31.5" hidden="false" customHeight="true" outlineLevel="0" collapsed="false">
      <c r="A41" s="18" t="s">
        <v>15</v>
      </c>
      <c r="B41" s="27" t="n">
        <f aca="false">B39/B40</f>
        <v>50.2000677791376</v>
      </c>
      <c r="C41" s="94"/>
      <c r="D41" s="95" t="s">
        <v>1458</v>
      </c>
      <c r="E41" s="96" t="n">
        <f aca="false">'Proyección Soriana'!B85</f>
        <v>50.1939335833512</v>
      </c>
      <c r="F41" s="2"/>
      <c r="G41" s="2"/>
    </row>
    <row r="42" customFormat="false" ht="31.5" hidden="false" customHeight="true" outlineLevel="0" collapsed="false">
      <c r="A42" s="18" t="s">
        <v>16</v>
      </c>
      <c r="B42" s="27" t="n">
        <f aca="false">WACC!B13</f>
        <v>33.1</v>
      </c>
      <c r="C42" s="97"/>
      <c r="D42" s="95" t="s">
        <v>1459</v>
      </c>
      <c r="E42" s="98" t="n">
        <f aca="false">B41-E41</f>
        <v>0.00613419578640873</v>
      </c>
    </row>
    <row r="43" customFormat="false" ht="15.75" hidden="false" customHeight="true" outlineLevel="0" collapsed="false">
      <c r="A43" s="18" t="s">
        <v>17</v>
      </c>
      <c r="B43" s="99" t="n">
        <f aca="false">B41/B42-1</f>
        <v>0.51661836190748</v>
      </c>
      <c r="C43" s="97"/>
      <c r="D43" s="95" t="s">
        <v>1460</v>
      </c>
      <c r="E43" s="100" t="n">
        <f aca="false">B41/E41-1</f>
        <v>0.000122209903637538</v>
      </c>
    </row>
    <row r="44" customFormat="false" ht="15" hidden="false" customHeight="false" outlineLevel="0" collapsed="false">
      <c r="A44" s="3" t="s">
        <v>1461</v>
      </c>
      <c r="B44" s="7" t="n">
        <f aca="false">B34/B35</f>
        <v>0.735399086881529</v>
      </c>
    </row>
    <row r="46" customFormat="false" ht="15" hidden="false" customHeight="false" outlineLevel="0" collapsed="false">
      <c r="A46" s="89" t="s">
        <v>1392</v>
      </c>
      <c r="B46" s="90" t="s">
        <v>1428</v>
      </c>
      <c r="C46" s="1" t="s">
        <v>1429</v>
      </c>
      <c r="D46" s="1" t="s">
        <v>1430</v>
      </c>
      <c r="E46" s="1" t="s">
        <v>1431</v>
      </c>
      <c r="F46" s="1" t="s">
        <v>1432</v>
      </c>
      <c r="G46" s="1" t="s">
        <v>1433</v>
      </c>
      <c r="H46" s="2"/>
      <c r="I46" s="2"/>
      <c r="J46" s="2"/>
    </row>
    <row r="47" customFormat="false" ht="15" hidden="false" customHeight="false" outlineLevel="0" collapsed="false">
      <c r="A47" s="3" t="s">
        <v>1434</v>
      </c>
      <c r="B47" s="4" t="n">
        <f aca="false">$B$5</f>
        <v>0.035</v>
      </c>
      <c r="C47" s="39"/>
      <c r="D47" s="39"/>
      <c r="E47" s="39"/>
      <c r="F47" s="39"/>
      <c r="G47" s="39"/>
    </row>
    <row r="48" customFormat="false" ht="15" hidden="false" customHeight="false" outlineLevel="0" collapsed="false">
      <c r="A48" s="3" t="s">
        <v>1435</v>
      </c>
      <c r="B48" s="4" t="n">
        <f aca="false">Datos!G35/Datos!G32</f>
        <v>0.0775938740086353</v>
      </c>
      <c r="C48" s="39"/>
      <c r="D48" s="39"/>
      <c r="E48" s="39"/>
      <c r="F48" s="39"/>
      <c r="G48" s="39"/>
    </row>
    <row r="49" customFormat="false" ht="15" hidden="false" customHeight="false" outlineLevel="0" collapsed="false">
      <c r="A49" s="3" t="s">
        <v>1436</v>
      </c>
      <c r="B49" s="4" t="n">
        <f aca="false">Datos!G40/Datos!G32</f>
        <v>0.024667014433304</v>
      </c>
      <c r="C49" s="39"/>
      <c r="D49" s="39"/>
      <c r="E49" s="39"/>
      <c r="F49" s="39"/>
      <c r="G49" s="39"/>
    </row>
    <row r="50" customFormat="false" ht="15" hidden="false" customHeight="false" outlineLevel="0" collapsed="false">
      <c r="A50" s="3" t="s">
        <v>1437</v>
      </c>
      <c r="B50" s="4" t="n">
        <f aca="false">Datos!G42/Datos!G32</f>
        <v>0.0385350740645073</v>
      </c>
      <c r="C50" s="39"/>
      <c r="D50" s="39"/>
      <c r="E50" s="39"/>
      <c r="F50" s="39"/>
      <c r="G50" s="39"/>
    </row>
    <row r="51" customFormat="false" ht="15" hidden="false" customHeight="false" outlineLevel="0" collapsed="false">
      <c r="A51" s="3" t="s">
        <v>1438</v>
      </c>
      <c r="B51" s="4" t="n">
        <v>0</v>
      </c>
      <c r="C51" s="39"/>
      <c r="D51" s="39"/>
      <c r="E51" s="39"/>
      <c r="F51" s="39"/>
      <c r="G51" s="39"/>
    </row>
    <row r="52" customFormat="false" ht="15" hidden="false" customHeight="false" outlineLevel="0" collapsed="false">
      <c r="A52" s="3" t="s">
        <v>1439</v>
      </c>
      <c r="B52" s="4" t="n">
        <f aca="false">WACC!C10</f>
        <v>0.3</v>
      </c>
      <c r="C52" s="39"/>
      <c r="D52" s="39"/>
      <c r="E52" s="39"/>
      <c r="F52" s="39"/>
      <c r="G52" s="39"/>
    </row>
    <row r="53" customFormat="false" ht="15" hidden="false" customHeight="false" outlineLevel="0" collapsed="false">
      <c r="A53" s="3" t="s">
        <v>5</v>
      </c>
      <c r="B53" s="4" t="n">
        <f aca="false">WACC!C33</f>
        <v>0.122289471513545</v>
      </c>
      <c r="C53" s="39"/>
      <c r="D53" s="39"/>
      <c r="E53" s="39"/>
      <c r="F53" s="39"/>
      <c r="G53" s="39"/>
    </row>
    <row r="54" customFormat="false" ht="15" hidden="false" customHeight="false" outlineLevel="0" collapsed="false">
      <c r="A54" s="3" t="s">
        <v>6</v>
      </c>
      <c r="B54" s="4" t="n">
        <f aca="false">$B$4</f>
        <v>0.035</v>
      </c>
      <c r="C54" s="39"/>
      <c r="D54" s="39"/>
      <c r="E54" s="39"/>
      <c r="F54" s="39"/>
      <c r="G54" s="39"/>
    </row>
    <row r="55" customFormat="false" ht="15" hidden="false" customHeight="false" outlineLevel="0" collapsed="false">
      <c r="B55" s="80"/>
    </row>
    <row r="56" customFormat="false" ht="15" hidden="false" customHeight="false" outlineLevel="0" collapsed="false">
      <c r="A56" s="1" t="s">
        <v>1440</v>
      </c>
      <c r="B56" s="1" t="s">
        <v>1428</v>
      </c>
      <c r="C56" s="1" t="s">
        <v>1429</v>
      </c>
      <c r="D56" s="1" t="s">
        <v>1430</v>
      </c>
      <c r="E56" s="1" t="s">
        <v>1431</v>
      </c>
      <c r="F56" s="1" t="s">
        <v>1432</v>
      </c>
      <c r="G56" s="1" t="s">
        <v>1433</v>
      </c>
      <c r="H56" s="2"/>
      <c r="I56" s="2"/>
      <c r="J56" s="2"/>
    </row>
    <row r="57" customFormat="false" ht="15" hidden="false" customHeight="false" outlineLevel="0" collapsed="false">
      <c r="A57" s="3" t="s">
        <v>1441</v>
      </c>
      <c r="B57" s="91" t="n">
        <v>0</v>
      </c>
      <c r="C57" s="91" t="n">
        <v>1</v>
      </c>
      <c r="D57" s="91" t="n">
        <v>2</v>
      </c>
      <c r="E57" s="91" t="n">
        <v>3</v>
      </c>
      <c r="F57" s="91" t="n">
        <v>4</v>
      </c>
      <c r="G57" s="91" t="n">
        <v>5</v>
      </c>
    </row>
    <row r="58" customFormat="false" ht="15" hidden="false" customHeight="false" outlineLevel="0" collapsed="false">
      <c r="A58" s="3" t="s">
        <v>1442</v>
      </c>
      <c r="B58" s="5" t="n">
        <f aca="false">Datos!G32</f>
        <v>1011597.9</v>
      </c>
      <c r="C58" s="5" t="n">
        <f aca="false">B58*(1+$B$47)</f>
        <v>1047003.8265</v>
      </c>
      <c r="D58" s="5" t="n">
        <f aca="false">C58*(1+$B$47)</f>
        <v>1083648.9604275</v>
      </c>
      <c r="E58" s="5" t="n">
        <f aca="false">D58*(1+$B$47)</f>
        <v>1121576.67404246</v>
      </c>
      <c r="F58" s="5" t="n">
        <f aca="false">E58*(1+$B$47)</f>
        <v>1160831.85763395</v>
      </c>
      <c r="G58" s="5" t="n">
        <f aca="false">F58*(1+$B$47)</f>
        <v>1201460.97265114</v>
      </c>
    </row>
    <row r="59" customFormat="false" ht="15" hidden="false" customHeight="false" outlineLevel="0" collapsed="false">
      <c r="A59" s="3" t="s">
        <v>81</v>
      </c>
      <c r="B59" s="5" t="n">
        <f aca="false">Datos!G35</f>
        <v>78493.8</v>
      </c>
      <c r="C59" s="5" t="n">
        <f aca="false">C58*$B$48</f>
        <v>81241.083</v>
      </c>
      <c r="D59" s="5" t="n">
        <f aca="false">D58*$B$48</f>
        <v>84084.520905</v>
      </c>
      <c r="E59" s="5" t="n">
        <f aca="false">E58*$B$48</f>
        <v>87027.479136675</v>
      </c>
      <c r="F59" s="5" t="n">
        <f aca="false">F58*$B$48</f>
        <v>90073.4409064586</v>
      </c>
      <c r="G59" s="5" t="n">
        <f aca="false">G58*$B$48</f>
        <v>93226.0113381846</v>
      </c>
    </row>
    <row r="60" customFormat="false" ht="15" hidden="false" customHeight="false" outlineLevel="0" collapsed="false">
      <c r="A60" s="3" t="s">
        <v>1443</v>
      </c>
      <c r="B60" s="5" t="n">
        <f aca="false">-B59*$B$52</f>
        <v>-23548.14</v>
      </c>
      <c r="C60" s="5" t="n">
        <f aca="false">-C59*$B$52</f>
        <v>-24372.3249</v>
      </c>
      <c r="D60" s="5" t="n">
        <f aca="false">-D59*$B$52</f>
        <v>-25225.3562715</v>
      </c>
      <c r="E60" s="5" t="n">
        <f aca="false">-E59*$B$52</f>
        <v>-26108.2437410025</v>
      </c>
      <c r="F60" s="5" t="n">
        <f aca="false">-F59*$B$52</f>
        <v>-27022.0322719376</v>
      </c>
      <c r="G60" s="5" t="n">
        <f aca="false">-G59*$B$52</f>
        <v>-27967.8034014554</v>
      </c>
    </row>
    <row r="61" customFormat="false" ht="15" hidden="false" customHeight="false" outlineLevel="0" collapsed="false">
      <c r="A61" s="3" t="s">
        <v>1444</v>
      </c>
      <c r="B61" s="5" t="n">
        <f aca="false">B59+B60</f>
        <v>54945.66</v>
      </c>
      <c r="C61" s="5" t="n">
        <f aca="false">C59+C60</f>
        <v>56868.7581</v>
      </c>
      <c r="D61" s="5" t="n">
        <f aca="false">D59+D60</f>
        <v>58859.1646335</v>
      </c>
      <c r="E61" s="5" t="n">
        <f aca="false">E59+E60</f>
        <v>60919.2353956725</v>
      </c>
      <c r="F61" s="5" t="n">
        <f aca="false">F59+F60</f>
        <v>63051.408634521</v>
      </c>
      <c r="G61" s="5" t="n">
        <f aca="false">G59+G60</f>
        <v>65258.2079367292</v>
      </c>
    </row>
    <row r="62" customFormat="false" ht="15" hidden="false" customHeight="false" outlineLevel="0" collapsed="false">
      <c r="A62" s="3" t="s">
        <v>1445</v>
      </c>
      <c r="B62" s="5" t="n">
        <f aca="false">Datos!G40</f>
        <v>24953.1</v>
      </c>
      <c r="C62" s="5" t="n">
        <f aca="false">C58*$B$49</f>
        <v>25826.4585</v>
      </c>
      <c r="D62" s="5" t="n">
        <f aca="false">D58*$B$49</f>
        <v>26730.3845475</v>
      </c>
      <c r="E62" s="5" t="n">
        <f aca="false">E58*$B$49</f>
        <v>27665.9480066625</v>
      </c>
      <c r="F62" s="5" t="n">
        <f aca="false">F58*$B$49</f>
        <v>28634.2561868957</v>
      </c>
      <c r="G62" s="5" t="n">
        <f aca="false">G58*$B$49</f>
        <v>29636.455153437</v>
      </c>
    </row>
    <row r="63" customFormat="false" ht="15" hidden="false" customHeight="false" outlineLevel="0" collapsed="false">
      <c r="A63" s="3" t="s">
        <v>1446</v>
      </c>
      <c r="B63" s="5" t="n">
        <f aca="false">-Datos!G42</f>
        <v>-38982</v>
      </c>
      <c r="C63" s="5" t="n">
        <f aca="false">-C58*$B$50</f>
        <v>-40346.37</v>
      </c>
      <c r="D63" s="5" t="n">
        <f aca="false">-D58*$B$50</f>
        <v>-41758.49295</v>
      </c>
      <c r="E63" s="5" t="n">
        <f aca="false">-E58*$B$50</f>
        <v>-43220.04020325</v>
      </c>
      <c r="F63" s="5" t="n">
        <f aca="false">-F58*$B$50</f>
        <v>-44732.7416103637</v>
      </c>
      <c r="G63" s="5" t="n">
        <f aca="false">-G58*$B$50</f>
        <v>-46298.3875667265</v>
      </c>
    </row>
    <row r="64" customFormat="false" ht="15" hidden="false" customHeight="false" outlineLevel="0" collapsed="false">
      <c r="A64" s="3" t="s">
        <v>1447</v>
      </c>
      <c r="B64" s="5" t="n">
        <v>0</v>
      </c>
      <c r="C64" s="5" t="n">
        <f aca="false">-(C58-B58)*$B$51</f>
        <v>-0</v>
      </c>
      <c r="D64" s="5" t="n">
        <f aca="false">-(D58-C58)*$B$51</f>
        <v>-0</v>
      </c>
      <c r="E64" s="5" t="n">
        <f aca="false">-(E58-D58)*$B$51</f>
        <v>-0</v>
      </c>
      <c r="F64" s="5" t="n">
        <f aca="false">-(F58-E58)*$B$51</f>
        <v>-0</v>
      </c>
      <c r="G64" s="5" t="n">
        <f aca="false">-(G58-F58)*$B$51</f>
        <v>-0</v>
      </c>
    </row>
    <row r="65" customFormat="false" ht="15" hidden="false" customHeight="false" outlineLevel="0" collapsed="false">
      <c r="A65" s="3" t="s">
        <v>1448</v>
      </c>
      <c r="B65" s="5" t="n">
        <f aca="false">B61+B62+B63+B64</f>
        <v>40916.76</v>
      </c>
      <c r="C65" s="5" t="n">
        <f aca="false">C61+C62+C63+C64</f>
        <v>42348.8466</v>
      </c>
      <c r="D65" s="5" t="n">
        <f aca="false">D61+D62+D63+D64</f>
        <v>43831.056231</v>
      </c>
      <c r="E65" s="5" t="n">
        <f aca="false">E61+E62+E63+E64</f>
        <v>45365.143199085</v>
      </c>
      <c r="F65" s="5" t="n">
        <f aca="false">F61+F62+F63+F64</f>
        <v>46952.923211053</v>
      </c>
      <c r="G65" s="5" t="n">
        <f aca="false">G61+G62+G63+G64</f>
        <v>48596.2755234398</v>
      </c>
    </row>
    <row r="66" customFormat="false" ht="15" hidden="false" customHeight="false" outlineLevel="0" collapsed="false">
      <c r="A66" s="3" t="s">
        <v>1449</v>
      </c>
      <c r="B66" s="92"/>
      <c r="C66" s="92" t="n">
        <f aca="false">1/(1+$B$53)^C57</f>
        <v>0.891035713496784</v>
      </c>
      <c r="D66" s="92" t="n">
        <f aca="false">1/(1+$B$53)^D57</f>
        <v>0.793944642726722</v>
      </c>
      <c r="E66" s="92" t="n">
        <f aca="false">1/(1+$B$53)^E57</f>
        <v>0.707433031208954</v>
      </c>
      <c r="F66" s="92" t="n">
        <f aca="false">1/(1+$B$53)^F57</f>
        <v>0.630348095714462</v>
      </c>
      <c r="G66" s="92" t="n">
        <f aca="false">1/(1+$B$53)^G57</f>
        <v>0.561662665216275</v>
      </c>
    </row>
    <row r="67" customFormat="false" ht="15" hidden="false" customHeight="false" outlineLevel="0" collapsed="false">
      <c r="A67" s="3" t="s">
        <v>1450</v>
      </c>
      <c r="B67" s="5"/>
      <c r="C67" s="5" t="n">
        <f aca="false">C65*C66</f>
        <v>37734.3347459968</v>
      </c>
      <c r="D67" s="5" t="n">
        <f aca="false">D65*D66</f>
        <v>34799.4322796562</v>
      </c>
      <c r="E67" s="5" t="n">
        <f aca="false">E65*E66</f>
        <v>32092.8007645569</v>
      </c>
      <c r="F67" s="5" t="n">
        <f aca="false">F65*F66</f>
        <v>29596.6857343146</v>
      </c>
      <c r="G67" s="5" t="n">
        <f aca="false">G65*G66</f>
        <v>27294.7136300796</v>
      </c>
    </row>
    <row r="69" customFormat="false" ht="15" hidden="false" customHeight="false" outlineLevel="0" collapsed="false">
      <c r="A69" s="3" t="s">
        <v>8</v>
      </c>
      <c r="B69" s="5" t="n">
        <f aca="false">SUM(C67:G67)</f>
        <v>161517.967154604</v>
      </c>
      <c r="C69" s="2"/>
      <c r="D69" s="2"/>
      <c r="E69" s="2"/>
      <c r="F69" s="2"/>
      <c r="G69" s="2"/>
    </row>
    <row r="70" customFormat="false" ht="15" hidden="false" customHeight="false" outlineLevel="0" collapsed="false">
      <c r="A70" s="3" t="s">
        <v>1451</v>
      </c>
      <c r="B70" s="5" t="n">
        <f aca="false">G65*(1+B54)</f>
        <v>50297.1451667602</v>
      </c>
    </row>
    <row r="71" customFormat="false" ht="15" hidden="false" customHeight="false" outlineLevel="0" collapsed="false">
      <c r="A71" s="3" t="s">
        <v>1452</v>
      </c>
      <c r="B71" s="5" t="n">
        <f aca="false">B70/(B53-B54)</f>
        <v>576210.902582394</v>
      </c>
      <c r="C71" s="2"/>
      <c r="D71" s="2"/>
      <c r="E71" s="2"/>
      <c r="F71" s="2"/>
      <c r="G71" s="2"/>
    </row>
    <row r="72" customFormat="false" ht="15" hidden="false" customHeight="false" outlineLevel="0" collapsed="false">
      <c r="A72" s="3" t="s">
        <v>10</v>
      </c>
      <c r="B72" s="5" t="n">
        <f aca="false">B71*G66</f>
        <v>323636.151271103</v>
      </c>
    </row>
    <row r="73" customFormat="false" ht="15" hidden="false" customHeight="false" outlineLevel="0" collapsed="false">
      <c r="A73" s="3" t="s">
        <v>1453</v>
      </c>
      <c r="B73" s="5" t="n">
        <f aca="false">B69+B72</f>
        <v>485154.118425707</v>
      </c>
      <c r="C73" s="2"/>
      <c r="D73" s="2"/>
      <c r="E73" s="2"/>
      <c r="F73" s="2"/>
      <c r="G73" s="2"/>
    </row>
    <row r="74" customFormat="false" ht="15" hidden="false" customHeight="false" outlineLevel="0" collapsed="false">
      <c r="A74" s="3" t="s">
        <v>1454</v>
      </c>
      <c r="B74" s="5" t="n">
        <f aca="false">-WACC!C21</f>
        <v>-80848.1</v>
      </c>
    </row>
    <row r="75" customFormat="false" ht="15" hidden="false" customHeight="false" outlineLevel="0" collapsed="false">
      <c r="A75" s="3" t="s">
        <v>1455</v>
      </c>
      <c r="B75" s="5" t="n">
        <f aca="false">WACC!C22</f>
        <v>28591.2</v>
      </c>
    </row>
    <row r="76" customFormat="false" ht="15" hidden="false" customHeight="false" outlineLevel="0" collapsed="false">
      <c r="A76" s="3" t="s">
        <v>1456</v>
      </c>
      <c r="B76" s="5" t="n">
        <f aca="false">-(B74+B75)</f>
        <v>52256.9</v>
      </c>
    </row>
    <row r="77" customFormat="false" ht="15" hidden="false" customHeight="false" outlineLevel="0" collapsed="false">
      <c r="A77" s="3" t="s">
        <v>1457</v>
      </c>
      <c r="B77" s="5" t="n">
        <f aca="false">B73+B74+B75</f>
        <v>432897.218425707</v>
      </c>
      <c r="C77" s="2"/>
      <c r="D77" s="2"/>
      <c r="E77" s="2"/>
      <c r="F77" s="2"/>
      <c r="G77" s="2"/>
    </row>
    <row r="78" customFormat="false" ht="15" hidden="false" customHeight="false" outlineLevel="0" collapsed="false">
      <c r="A78" s="3" t="s">
        <v>57</v>
      </c>
      <c r="B78" s="5" t="n">
        <f aca="false">WACC!C17</f>
        <v>17459.712543554</v>
      </c>
    </row>
    <row r="79" customFormat="false" ht="15" hidden="false" customHeight="false" outlineLevel="0" collapsed="false">
      <c r="A79" s="3" t="s">
        <v>15</v>
      </c>
      <c r="B79" s="6" t="n">
        <f aca="false">B77/B78</f>
        <v>24.7940633241141</v>
      </c>
      <c r="C79" s="2"/>
      <c r="D79" s="2"/>
      <c r="E79" s="2"/>
      <c r="F79" s="2"/>
      <c r="G79" s="2"/>
    </row>
    <row r="80" customFormat="false" ht="15" hidden="false" customHeight="false" outlineLevel="0" collapsed="false">
      <c r="A80" s="3" t="s">
        <v>16</v>
      </c>
      <c r="B80" s="6" t="n">
        <f aca="false">WACC!C13</f>
        <v>46.6</v>
      </c>
    </row>
    <row r="81" customFormat="false" ht="15" hidden="false" customHeight="false" outlineLevel="0" collapsed="false">
      <c r="A81" s="3" t="s">
        <v>17</v>
      </c>
      <c r="B81" s="7" t="n">
        <f aca="false">B79/B80-1</f>
        <v>-0.467938555276522</v>
      </c>
    </row>
    <row r="82" customFormat="false" ht="15" hidden="false" customHeight="false" outlineLevel="0" collapsed="false">
      <c r="A82" s="3" t="s">
        <v>1461</v>
      </c>
      <c r="B82" s="7" t="n">
        <f aca="false">B72/B73</f>
        <v>0.667079055870495</v>
      </c>
    </row>
    <row r="84" customFormat="false" ht="15" hidden="false" customHeight="false" outlineLevel="0" collapsed="false">
      <c r="A84" s="89" t="s">
        <v>1393</v>
      </c>
      <c r="B84" s="90" t="s">
        <v>1428</v>
      </c>
      <c r="C84" s="1" t="s">
        <v>1429</v>
      </c>
      <c r="D84" s="1" t="s">
        <v>1430</v>
      </c>
      <c r="E84" s="1" t="s">
        <v>1431</v>
      </c>
      <c r="F84" s="1" t="s">
        <v>1432</v>
      </c>
      <c r="G84" s="1" t="s">
        <v>1433</v>
      </c>
      <c r="H84" s="2"/>
      <c r="I84" s="2"/>
      <c r="J84" s="2"/>
    </row>
    <row r="85" customFormat="false" ht="15" hidden="false" customHeight="false" outlineLevel="0" collapsed="false">
      <c r="A85" s="3" t="s">
        <v>1434</v>
      </c>
      <c r="B85" s="4" t="n">
        <f aca="false">$B$5</f>
        <v>0.035</v>
      </c>
      <c r="C85" s="39"/>
      <c r="D85" s="39"/>
      <c r="E85" s="39"/>
      <c r="F85" s="39"/>
      <c r="G85" s="39"/>
    </row>
    <row r="86" customFormat="false" ht="15" hidden="false" customHeight="false" outlineLevel="0" collapsed="false">
      <c r="A86" s="3" t="s">
        <v>1435</v>
      </c>
      <c r="B86" s="4" t="n">
        <f aca="false">Datos!G61/Datos!G58</f>
        <v>0.0511249649313535</v>
      </c>
      <c r="C86" s="39"/>
      <c r="D86" s="39"/>
      <c r="E86" s="39"/>
      <c r="F86" s="39"/>
      <c r="G86" s="39"/>
    </row>
    <row r="87" customFormat="false" ht="15" hidden="false" customHeight="false" outlineLevel="0" collapsed="false">
      <c r="A87" s="3" t="s">
        <v>1436</v>
      </c>
      <c r="B87" s="4" t="n">
        <f aca="false">Datos!G66/Datos!G58</f>
        <v>0.0314690838029329</v>
      </c>
      <c r="C87" s="39"/>
      <c r="D87" s="39"/>
      <c r="E87" s="39"/>
      <c r="F87" s="39"/>
      <c r="G87" s="39"/>
    </row>
    <row r="88" customFormat="false" ht="15" hidden="false" customHeight="false" outlineLevel="0" collapsed="false">
      <c r="A88" s="3" t="s">
        <v>1437</v>
      </c>
      <c r="B88" s="4" t="n">
        <f aca="false">Datos!G68/Datos!G58</f>
        <v>0.0262361052392939</v>
      </c>
      <c r="C88" s="39"/>
      <c r="D88" s="39"/>
      <c r="E88" s="39"/>
      <c r="F88" s="39"/>
      <c r="G88" s="39"/>
    </row>
    <row r="89" customFormat="false" ht="15" hidden="false" customHeight="false" outlineLevel="0" collapsed="false">
      <c r="A89" s="3" t="s">
        <v>1438</v>
      </c>
      <c r="B89" s="4" t="n">
        <v>0</v>
      </c>
      <c r="C89" s="39"/>
      <c r="D89" s="39"/>
      <c r="E89" s="39"/>
      <c r="F89" s="39"/>
      <c r="G89" s="39"/>
    </row>
    <row r="90" customFormat="false" ht="15" hidden="false" customHeight="false" outlineLevel="0" collapsed="false">
      <c r="A90" s="3" t="s">
        <v>1439</v>
      </c>
      <c r="B90" s="4" t="n">
        <f aca="false">WACC!D10</f>
        <v>0.3</v>
      </c>
      <c r="C90" s="39"/>
      <c r="D90" s="39"/>
      <c r="E90" s="39"/>
      <c r="F90" s="39"/>
      <c r="G90" s="39"/>
    </row>
    <row r="91" customFormat="false" ht="15" hidden="false" customHeight="false" outlineLevel="0" collapsed="false">
      <c r="A91" s="3" t="s">
        <v>5</v>
      </c>
      <c r="B91" s="4" t="n">
        <f aca="false">WACC!D33</f>
        <v>0.100912937683063</v>
      </c>
      <c r="C91" s="39"/>
      <c r="D91" s="39"/>
      <c r="E91" s="39"/>
      <c r="F91" s="39"/>
      <c r="G91" s="39"/>
    </row>
    <row r="92" customFormat="false" ht="15" hidden="false" customHeight="false" outlineLevel="0" collapsed="false">
      <c r="A92" s="3" t="s">
        <v>6</v>
      </c>
      <c r="B92" s="4" t="n">
        <f aca="false">$B$4</f>
        <v>0.035</v>
      </c>
      <c r="C92" s="39"/>
      <c r="D92" s="39"/>
      <c r="E92" s="39"/>
      <c r="F92" s="39"/>
      <c r="G92" s="39"/>
    </row>
    <row r="94" customFormat="false" ht="15" hidden="false" customHeight="false" outlineLevel="0" collapsed="false">
      <c r="A94" s="1" t="s">
        <v>1440</v>
      </c>
      <c r="B94" s="1" t="s">
        <v>1428</v>
      </c>
      <c r="C94" s="1" t="s">
        <v>1429</v>
      </c>
      <c r="D94" s="1" t="s">
        <v>1430</v>
      </c>
      <c r="E94" s="1" t="s">
        <v>1431</v>
      </c>
      <c r="F94" s="1" t="s">
        <v>1432</v>
      </c>
      <c r="G94" s="1" t="s">
        <v>1433</v>
      </c>
      <c r="H94" s="2"/>
      <c r="I94" s="2"/>
      <c r="J94" s="2"/>
    </row>
    <row r="95" customFormat="false" ht="15" hidden="false" customHeight="false" outlineLevel="0" collapsed="false">
      <c r="A95" s="3" t="s">
        <v>1441</v>
      </c>
      <c r="B95" s="91" t="n">
        <v>0</v>
      </c>
      <c r="C95" s="91" t="n">
        <v>1</v>
      </c>
      <c r="D95" s="91" t="n">
        <v>2</v>
      </c>
      <c r="E95" s="91" t="n">
        <v>3</v>
      </c>
      <c r="F95" s="91" t="n">
        <v>4</v>
      </c>
      <c r="G95" s="91" t="n">
        <v>5</v>
      </c>
      <c r="H95" s="80"/>
      <c r="I95" s="80"/>
      <c r="J95" s="80"/>
      <c r="K95" s="80"/>
      <c r="L95" s="80"/>
    </row>
    <row r="96" customFormat="false" ht="15" hidden="false" customHeight="false" outlineLevel="0" collapsed="false">
      <c r="A96" s="3" t="s">
        <v>1442</v>
      </c>
      <c r="B96" s="5" t="n">
        <f aca="false">Datos!G58</f>
        <v>295313.65</v>
      </c>
      <c r="C96" s="5" t="n">
        <f aca="false">B96*(1+$B$85)</f>
        <v>305649.62775</v>
      </c>
      <c r="D96" s="5" t="n">
        <f aca="false">C96*(1+$B$85)</f>
        <v>316347.36472125</v>
      </c>
      <c r="E96" s="5" t="n">
        <f aca="false">D96*(1+$B$85)</f>
        <v>327419.522486494</v>
      </c>
      <c r="F96" s="5" t="n">
        <f aca="false">E96*(1+$B$85)</f>
        <v>338879.205773521</v>
      </c>
      <c r="G96" s="5" t="n">
        <f aca="false">F96*(1+$B$85)</f>
        <v>350739.977975594</v>
      </c>
      <c r="H96" s="80"/>
      <c r="I96" s="80"/>
      <c r="J96" s="80"/>
      <c r="K96" s="80"/>
      <c r="L96" s="80"/>
    </row>
    <row r="97" customFormat="false" ht="15" hidden="false" customHeight="false" outlineLevel="0" collapsed="false">
      <c r="A97" s="3" t="s">
        <v>81</v>
      </c>
      <c r="B97" s="5" t="n">
        <f aca="false">Datos!G61</f>
        <v>15097.9</v>
      </c>
      <c r="C97" s="5" t="n">
        <f aca="false">C96*$B$86</f>
        <v>15626.3265</v>
      </c>
      <c r="D97" s="5" t="n">
        <f aca="false">D96*$B$86</f>
        <v>16173.2479275</v>
      </c>
      <c r="E97" s="5" t="n">
        <f aca="false">E96*$B$86</f>
        <v>16739.3116049625</v>
      </c>
      <c r="F97" s="5" t="n">
        <f aca="false">F96*$B$86</f>
        <v>17325.1875111362</v>
      </c>
      <c r="G97" s="5" t="n">
        <f aca="false">G96*$B$86</f>
        <v>17931.5690740259</v>
      </c>
      <c r="H97" s="80"/>
      <c r="I97" s="80"/>
      <c r="J97" s="80"/>
      <c r="K97" s="80"/>
      <c r="L97" s="80"/>
    </row>
    <row r="98" customFormat="false" ht="15" hidden="false" customHeight="false" outlineLevel="0" collapsed="false">
      <c r="A98" s="3" t="s">
        <v>1443</v>
      </c>
      <c r="B98" s="5" t="n">
        <f aca="false">-B97*$B$90</f>
        <v>-4529.37</v>
      </c>
      <c r="C98" s="5" t="n">
        <f aca="false">-C97*$B$90</f>
        <v>-4687.89795</v>
      </c>
      <c r="D98" s="5" t="n">
        <f aca="false">-D97*$B$90</f>
        <v>-4851.97437825</v>
      </c>
      <c r="E98" s="5" t="n">
        <f aca="false">-E97*$B$90</f>
        <v>-5021.79348148875</v>
      </c>
      <c r="F98" s="5" t="n">
        <f aca="false">-F97*$B$90</f>
        <v>-5197.55625334085</v>
      </c>
      <c r="G98" s="5" t="n">
        <f aca="false">-G97*$B$90</f>
        <v>-5379.47072220778</v>
      </c>
      <c r="H98" s="80"/>
      <c r="I98" s="80"/>
      <c r="J98" s="80"/>
      <c r="K98" s="80"/>
      <c r="L98" s="80"/>
    </row>
    <row r="99" customFormat="false" ht="15" hidden="false" customHeight="false" outlineLevel="0" collapsed="false">
      <c r="A99" s="3" t="s">
        <v>1444</v>
      </c>
      <c r="B99" s="5" t="n">
        <f aca="false">B97+B98</f>
        <v>10568.53</v>
      </c>
      <c r="C99" s="5" t="n">
        <f aca="false">C97+C98</f>
        <v>10938.42855</v>
      </c>
      <c r="D99" s="5" t="n">
        <f aca="false">D97+D98</f>
        <v>11321.27354925</v>
      </c>
      <c r="E99" s="5" t="n">
        <f aca="false">E97+E98</f>
        <v>11717.5181234737</v>
      </c>
      <c r="F99" s="5" t="n">
        <f aca="false">F97+F98</f>
        <v>12127.6312577953</v>
      </c>
      <c r="G99" s="5" t="n">
        <f aca="false">G97+G98</f>
        <v>12552.0983518182</v>
      </c>
      <c r="H99" s="80"/>
      <c r="I99" s="80"/>
      <c r="J99" s="80"/>
      <c r="K99" s="80"/>
      <c r="L99" s="80"/>
    </row>
    <row r="100" customFormat="false" ht="15" hidden="false" customHeight="false" outlineLevel="0" collapsed="false">
      <c r="A100" s="3" t="s">
        <v>1445</v>
      </c>
      <c r="B100" s="5" t="n">
        <f aca="false">Datos!G66</f>
        <v>9293.25</v>
      </c>
      <c r="C100" s="5" t="n">
        <f aca="false">C96*$B$87</f>
        <v>9618.51375</v>
      </c>
      <c r="D100" s="5" t="n">
        <f aca="false">D96*$B$87</f>
        <v>9955.16173125</v>
      </c>
      <c r="E100" s="5" t="n">
        <f aca="false">E96*$B$87</f>
        <v>10303.5923918438</v>
      </c>
      <c r="F100" s="5" t="n">
        <f aca="false">F96*$B$87</f>
        <v>10664.2181255583</v>
      </c>
      <c r="G100" s="5" t="n">
        <f aca="false">G96*$B$87</f>
        <v>11037.4657599528</v>
      </c>
      <c r="H100" s="80"/>
      <c r="I100" s="80"/>
      <c r="J100" s="80"/>
      <c r="K100" s="80"/>
      <c r="L100" s="80"/>
    </row>
    <row r="101" customFormat="false" ht="15" hidden="false" customHeight="false" outlineLevel="0" collapsed="false">
      <c r="A101" s="3" t="s">
        <v>1446</v>
      </c>
      <c r="B101" s="5" t="n">
        <f aca="false">-Datos!G68</f>
        <v>-7747.88</v>
      </c>
      <c r="C101" s="5" t="n">
        <f aca="false">-C96*$B$88</f>
        <v>-8019.0558</v>
      </c>
      <c r="D101" s="5" t="n">
        <f aca="false">-D96*$B$88</f>
        <v>-8299.722753</v>
      </c>
      <c r="E101" s="5" t="n">
        <f aca="false">-E96*$B$88</f>
        <v>-8590.213049355</v>
      </c>
      <c r="F101" s="5" t="n">
        <f aca="false">-F96*$B$88</f>
        <v>-8890.87050608242</v>
      </c>
      <c r="G101" s="5" t="n">
        <f aca="false">-G96*$B$88</f>
        <v>-9202.05097379531</v>
      </c>
      <c r="H101" s="80"/>
      <c r="I101" s="80"/>
      <c r="J101" s="80"/>
      <c r="K101" s="80"/>
      <c r="L101" s="80"/>
    </row>
    <row r="102" customFormat="false" ht="15" hidden="false" customHeight="false" outlineLevel="0" collapsed="false">
      <c r="A102" s="3" t="s">
        <v>1447</v>
      </c>
      <c r="B102" s="5" t="n">
        <v>0</v>
      </c>
      <c r="C102" s="5" t="n">
        <f aca="false">-(C96-B96)*$B$89</f>
        <v>-0</v>
      </c>
      <c r="D102" s="5" t="n">
        <f aca="false">-(D96-C96)*$B$89</f>
        <v>-0</v>
      </c>
      <c r="E102" s="5" t="n">
        <f aca="false">-(E96-D96)*$B$89</f>
        <v>-0</v>
      </c>
      <c r="F102" s="5" t="n">
        <f aca="false">-(F96-E96)*$B$89</f>
        <v>-0</v>
      </c>
      <c r="G102" s="5" t="n">
        <f aca="false">-(G96-F96)*$B$89</f>
        <v>-0</v>
      </c>
      <c r="H102" s="80"/>
      <c r="I102" s="80"/>
      <c r="J102" s="80"/>
      <c r="K102" s="80"/>
      <c r="L102" s="80"/>
    </row>
    <row r="103" customFormat="false" ht="15" hidden="false" customHeight="false" outlineLevel="0" collapsed="false">
      <c r="A103" s="3" t="s">
        <v>1448</v>
      </c>
      <c r="B103" s="5" t="n">
        <f aca="false">B99+B100+B101+B102</f>
        <v>12113.9</v>
      </c>
      <c r="C103" s="5" t="n">
        <f aca="false">C99+C100+C101+C102</f>
        <v>12537.8865</v>
      </c>
      <c r="D103" s="5" t="n">
        <f aca="false">D99+D100+D101+D102</f>
        <v>12976.7125275</v>
      </c>
      <c r="E103" s="5" t="n">
        <f aca="false">E99+E100+E101+E102</f>
        <v>13430.8974659625</v>
      </c>
      <c r="F103" s="5" t="n">
        <f aca="false">F99+F100+F101+F102</f>
        <v>13900.9788772712</v>
      </c>
      <c r="G103" s="5" t="n">
        <f aca="false">G99+G100+G101+G102</f>
        <v>14387.5131379757</v>
      </c>
      <c r="H103" s="80"/>
      <c r="I103" s="80"/>
      <c r="J103" s="80"/>
      <c r="K103" s="80"/>
      <c r="L103" s="80"/>
    </row>
    <row r="104" customFormat="false" ht="15" hidden="false" customHeight="false" outlineLevel="0" collapsed="false">
      <c r="A104" s="3" t="s">
        <v>1449</v>
      </c>
      <c r="B104" s="92"/>
      <c r="C104" s="92" t="n">
        <f aca="false">1/(1+$B$91)^C95</f>
        <v>0.908337040805934</v>
      </c>
      <c r="D104" s="92" t="n">
        <f aca="false">1/(1+$B$91)^D95</f>
        <v>0.82507617970008</v>
      </c>
      <c r="E104" s="92" t="n">
        <f aca="false">1/(1+$B$91)^E95</f>
        <v>0.749447255508235</v>
      </c>
      <c r="F104" s="92" t="n">
        <f aca="false">1/(1+$B$91)^F95</f>
        <v>0.680750702308479</v>
      </c>
      <c r="G104" s="92" t="n">
        <f aca="false">1/(1+$B$91)^G95</f>
        <v>0.618351078461445</v>
      </c>
      <c r="H104" s="80"/>
      <c r="I104" s="80"/>
      <c r="J104" s="80"/>
      <c r="K104" s="80"/>
      <c r="L104" s="80"/>
    </row>
    <row r="105" customFormat="false" ht="15" hidden="false" customHeight="false" outlineLevel="0" collapsed="false">
      <c r="A105" s="3" t="s">
        <v>1450</v>
      </c>
      <c r="B105" s="5"/>
      <c r="C105" s="5" t="n">
        <f aca="false">C103*C104</f>
        <v>11388.6267213707</v>
      </c>
      <c r="D105" s="5" t="n">
        <f aca="false">D103*D104</f>
        <v>10706.7763972559</v>
      </c>
      <c r="E105" s="5" t="n">
        <f aca="false">E103*E104</f>
        <v>10065.7492448781</v>
      </c>
      <c r="F105" s="5" t="n">
        <f aca="false">F103*F104</f>
        <v>9463.10113347769</v>
      </c>
      <c r="G105" s="5" t="n">
        <f aca="false">G103*G104</f>
        <v>8896.53426524546</v>
      </c>
      <c r="H105" s="80"/>
      <c r="I105" s="80"/>
      <c r="J105" s="80"/>
      <c r="K105" s="80"/>
      <c r="L105" s="80"/>
    </row>
    <row r="106" customFormat="false" ht="15" hidden="false" customHeight="false" outlineLevel="0" collapsed="false">
      <c r="B106" s="80"/>
      <c r="C106" s="80"/>
      <c r="D106" s="80"/>
      <c r="E106" s="80"/>
      <c r="F106" s="80"/>
      <c r="G106" s="80"/>
      <c r="H106" s="80"/>
      <c r="I106" s="80"/>
      <c r="J106" s="80"/>
      <c r="K106" s="80"/>
      <c r="L106" s="80"/>
    </row>
    <row r="107" customFormat="false" ht="15" hidden="false" customHeight="false" outlineLevel="0" collapsed="false">
      <c r="A107" s="3" t="s">
        <v>8</v>
      </c>
      <c r="B107" s="5" t="n">
        <f aca="false">SUM(C105:G105)</f>
        <v>50520.7877622278</v>
      </c>
      <c r="C107" s="93"/>
      <c r="D107" s="93"/>
      <c r="E107" s="93"/>
      <c r="F107" s="93"/>
      <c r="G107" s="93"/>
      <c r="H107" s="80"/>
      <c r="I107" s="80"/>
      <c r="J107" s="80"/>
      <c r="K107" s="80"/>
      <c r="L107" s="80"/>
    </row>
    <row r="108" customFormat="false" ht="15" hidden="false" customHeight="false" outlineLevel="0" collapsed="false">
      <c r="A108" s="3" t="s">
        <v>1451</v>
      </c>
      <c r="B108" s="5" t="n">
        <f aca="false">G103*(1+B92)</f>
        <v>14891.0760978048</v>
      </c>
    </row>
    <row r="109" customFormat="false" ht="15" hidden="false" customHeight="false" outlineLevel="0" collapsed="false">
      <c r="A109" s="3" t="s">
        <v>1452</v>
      </c>
      <c r="B109" s="5" t="n">
        <f aca="false">B108/(B91-B92)</f>
        <v>225920.382572045</v>
      </c>
      <c r="C109" s="2"/>
      <c r="D109" s="2"/>
      <c r="E109" s="2"/>
      <c r="F109" s="2"/>
      <c r="G109" s="2"/>
    </row>
    <row r="110" customFormat="false" ht="15" hidden="false" customHeight="false" outlineLevel="0" collapsed="false">
      <c r="A110" s="3" t="s">
        <v>10</v>
      </c>
      <c r="B110" s="5" t="n">
        <f aca="false">B109*G104</f>
        <v>139698.112209846</v>
      </c>
    </row>
    <row r="111" customFormat="false" ht="15" hidden="false" customHeight="false" outlineLevel="0" collapsed="false">
      <c r="A111" s="3" t="s">
        <v>1453</v>
      </c>
      <c r="B111" s="5" t="n">
        <f aca="false">B107+B110</f>
        <v>190218.899972074</v>
      </c>
      <c r="C111" s="2"/>
      <c r="D111" s="2"/>
      <c r="E111" s="2"/>
      <c r="F111" s="2"/>
      <c r="G111" s="2"/>
    </row>
    <row r="112" customFormat="false" ht="15" hidden="false" customHeight="false" outlineLevel="0" collapsed="false">
      <c r="A112" s="3" t="s">
        <v>1454</v>
      </c>
      <c r="B112" s="5" t="n">
        <f aca="false">-WACC!D21</f>
        <v>-56744.34</v>
      </c>
    </row>
    <row r="113" customFormat="false" ht="15" hidden="false" customHeight="false" outlineLevel="0" collapsed="false">
      <c r="A113" s="3" t="s">
        <v>1455</v>
      </c>
      <c r="B113" s="5" t="n">
        <f aca="false">WACC!D22</f>
        <v>14640.16</v>
      </c>
    </row>
    <row r="114" customFormat="false" ht="15" hidden="false" customHeight="false" outlineLevel="0" collapsed="false">
      <c r="A114" s="3" t="s">
        <v>1456</v>
      </c>
      <c r="B114" s="5" t="n">
        <f aca="false">-(B112+B113)</f>
        <v>42104.18</v>
      </c>
    </row>
    <row r="115" customFormat="false" ht="15" hidden="false" customHeight="false" outlineLevel="0" collapsed="false">
      <c r="A115" s="3" t="s">
        <v>1457</v>
      </c>
      <c r="B115" s="5" t="n">
        <f aca="false">B111+B112+B113</f>
        <v>148114.719972074</v>
      </c>
      <c r="C115" s="2"/>
      <c r="D115" s="2"/>
      <c r="E115" s="2"/>
      <c r="F115" s="2"/>
      <c r="G115" s="2"/>
    </row>
    <row r="116" customFormat="false" ht="15" hidden="false" customHeight="false" outlineLevel="0" collapsed="false">
      <c r="A116" s="3" t="s">
        <v>57</v>
      </c>
      <c r="B116" s="5" t="n">
        <f aca="false">WACC!D17</f>
        <v>960.254200775528</v>
      </c>
    </row>
    <row r="117" customFormat="false" ht="15" hidden="false" customHeight="false" outlineLevel="0" collapsed="false">
      <c r="A117" s="3" t="s">
        <v>15</v>
      </c>
      <c r="B117" s="6" t="n">
        <f aca="false">B115/B116</f>
        <v>154.24532363665</v>
      </c>
      <c r="C117" s="2"/>
      <c r="D117" s="2"/>
      <c r="E117" s="2"/>
      <c r="F117" s="2"/>
      <c r="G117" s="2"/>
    </row>
    <row r="118" customFormat="false" ht="15" hidden="false" customHeight="false" outlineLevel="0" collapsed="false">
      <c r="A118" s="3" t="s">
        <v>16</v>
      </c>
      <c r="B118" s="6" t="n">
        <f aca="false">WACC!D13</f>
        <v>92.94</v>
      </c>
    </row>
    <row r="119" customFormat="false" ht="15" hidden="false" customHeight="false" outlineLevel="0" collapsed="false">
      <c r="A119" s="3" t="s">
        <v>17</v>
      </c>
      <c r="B119" s="7" t="n">
        <f aca="false">B117/B118-1</f>
        <v>0.65962259131321</v>
      </c>
    </row>
    <row r="120" customFormat="false" ht="15" hidden="false" customHeight="false" outlineLevel="0" collapsed="false">
      <c r="A120" s="3" t="s">
        <v>1461</v>
      </c>
      <c r="B120" s="7" t="n">
        <f aca="false">B110/B111</f>
        <v>0.734407107970634</v>
      </c>
    </row>
    <row r="122" customFormat="false" ht="15" hidden="false" customHeight="false" outlineLevel="0" collapsed="false">
      <c r="A122" s="89" t="s">
        <v>1394</v>
      </c>
      <c r="B122" s="90" t="s">
        <v>1428</v>
      </c>
      <c r="C122" s="1" t="s">
        <v>1429</v>
      </c>
      <c r="D122" s="1" t="s">
        <v>1430</v>
      </c>
      <c r="E122" s="1" t="s">
        <v>1431</v>
      </c>
      <c r="F122" s="1" t="s">
        <v>1432</v>
      </c>
      <c r="G122" s="1" t="s">
        <v>1433</v>
      </c>
      <c r="H122" s="2"/>
      <c r="I122" s="2"/>
      <c r="J122" s="2"/>
    </row>
    <row r="123" customFormat="false" ht="15" hidden="false" customHeight="false" outlineLevel="0" collapsed="false">
      <c r="A123" s="3" t="s">
        <v>1434</v>
      </c>
      <c r="B123" s="4" t="n">
        <f aca="false">$B$5</f>
        <v>0.035</v>
      </c>
      <c r="C123" s="39"/>
      <c r="D123" s="39"/>
      <c r="E123" s="39"/>
      <c r="F123" s="39"/>
      <c r="G123" s="39"/>
    </row>
    <row r="124" customFormat="false" ht="15" hidden="false" customHeight="false" outlineLevel="0" collapsed="false">
      <c r="A124" s="3" t="s">
        <v>1435</v>
      </c>
      <c r="B124" s="4" t="n">
        <f aca="false">Datos!G87/Datos!G84</f>
        <v>0.0749907841160242</v>
      </c>
      <c r="C124" s="39"/>
      <c r="D124" s="39"/>
      <c r="E124" s="39"/>
      <c r="F124" s="39"/>
      <c r="G124" s="39"/>
    </row>
    <row r="125" customFormat="false" ht="15" hidden="false" customHeight="false" outlineLevel="0" collapsed="false">
      <c r="A125" s="3" t="s">
        <v>1436</v>
      </c>
      <c r="B125" s="4" t="n">
        <f aca="false">Datos!G92/Datos!G84</f>
        <v>0.0347332531372563</v>
      </c>
      <c r="C125" s="39"/>
      <c r="D125" s="39"/>
      <c r="E125" s="39"/>
      <c r="F125" s="39"/>
      <c r="G125" s="39"/>
    </row>
    <row r="126" customFormat="false" ht="15" hidden="false" customHeight="false" outlineLevel="0" collapsed="false">
      <c r="A126" s="3" t="s">
        <v>1437</v>
      </c>
      <c r="B126" s="4" t="n">
        <f aca="false">Datos!G94/Datos!G84</f>
        <v>0.0808530205211796</v>
      </c>
      <c r="C126" s="39"/>
      <c r="D126" s="39"/>
      <c r="E126" s="39"/>
      <c r="F126" s="39"/>
      <c r="G126" s="39"/>
    </row>
    <row r="127" customFormat="false" ht="15" hidden="false" customHeight="false" outlineLevel="0" collapsed="false">
      <c r="A127" s="3" t="s">
        <v>1438</v>
      </c>
      <c r="B127" s="4" t="n">
        <v>0</v>
      </c>
      <c r="C127" s="39"/>
      <c r="D127" s="39"/>
      <c r="E127" s="39"/>
      <c r="F127" s="39"/>
      <c r="G127" s="39"/>
    </row>
    <row r="128" customFormat="false" ht="15" hidden="false" customHeight="false" outlineLevel="0" collapsed="false">
      <c r="A128" s="3" t="s">
        <v>1439</v>
      </c>
      <c r="B128" s="4" t="n">
        <f aca="false">WACC!E10</f>
        <v>0.3</v>
      </c>
      <c r="C128" s="39"/>
      <c r="D128" s="39"/>
      <c r="E128" s="39"/>
      <c r="F128" s="39"/>
      <c r="G128" s="39"/>
    </row>
    <row r="129" customFormat="false" ht="15" hidden="false" customHeight="false" outlineLevel="0" collapsed="false">
      <c r="A129" s="3" t="s">
        <v>5</v>
      </c>
      <c r="B129" s="4" t="n">
        <f aca="false">WACC!E33</f>
        <v>0.120853587694298</v>
      </c>
      <c r="C129" s="39"/>
      <c r="D129" s="39"/>
      <c r="E129" s="39"/>
      <c r="F129" s="39"/>
      <c r="G129" s="39"/>
    </row>
    <row r="130" customFormat="false" ht="15" hidden="false" customHeight="false" outlineLevel="0" collapsed="false">
      <c r="A130" s="3" t="s">
        <v>6</v>
      </c>
      <c r="B130" s="4" t="n">
        <f aca="false">$B$4</f>
        <v>0.035</v>
      </c>
      <c r="C130" s="39"/>
      <c r="D130" s="39"/>
      <c r="E130" s="39"/>
      <c r="F130" s="39"/>
      <c r="G130" s="39"/>
    </row>
    <row r="132" customFormat="false" ht="15" hidden="false" customHeight="false" outlineLevel="0" collapsed="false">
      <c r="A132" s="1" t="s">
        <v>1440</v>
      </c>
      <c r="B132" s="1" t="s">
        <v>1428</v>
      </c>
      <c r="C132" s="1" t="s">
        <v>1429</v>
      </c>
      <c r="D132" s="1" t="s">
        <v>1430</v>
      </c>
      <c r="E132" s="1" t="s">
        <v>1431</v>
      </c>
      <c r="F132" s="1" t="s">
        <v>1432</v>
      </c>
      <c r="G132" s="1" t="s">
        <v>1433</v>
      </c>
      <c r="H132" s="2"/>
      <c r="I132" s="2"/>
      <c r="J132" s="2"/>
    </row>
    <row r="133" customFormat="false" ht="15" hidden="false" customHeight="false" outlineLevel="0" collapsed="false">
      <c r="A133" s="3" t="s">
        <v>1441</v>
      </c>
      <c r="B133" s="91" t="n">
        <v>0</v>
      </c>
      <c r="C133" s="91" t="n">
        <v>1</v>
      </c>
      <c r="D133" s="91" t="n">
        <v>2</v>
      </c>
      <c r="E133" s="91" t="n">
        <v>3</v>
      </c>
      <c r="F133" s="91" t="n">
        <v>4</v>
      </c>
      <c r="G133" s="91" t="n">
        <v>5</v>
      </c>
    </row>
    <row r="134" customFormat="false" ht="15" hidden="false" customHeight="false" outlineLevel="0" collapsed="false">
      <c r="A134" s="3" t="s">
        <v>1442</v>
      </c>
      <c r="B134" s="5" t="n">
        <f aca="false">Datos!G84</f>
        <v>47526.64</v>
      </c>
      <c r="C134" s="5" t="n">
        <f aca="false">B134*(1+$B$123)</f>
        <v>49190.0724</v>
      </c>
      <c r="D134" s="5" t="n">
        <f aca="false">C134*(1+$B$123)</f>
        <v>50911.724934</v>
      </c>
      <c r="E134" s="5" t="n">
        <f aca="false">D134*(1+$B$123)</f>
        <v>52693.63530669</v>
      </c>
      <c r="F134" s="5" t="n">
        <f aca="false">E134*(1+$B$123)</f>
        <v>54537.9125424241</v>
      </c>
      <c r="G134" s="5" t="n">
        <f aca="false">F134*(1+$B$123)</f>
        <v>56446.739481409</v>
      </c>
    </row>
    <row r="135" customFormat="false" ht="15" hidden="false" customHeight="false" outlineLevel="0" collapsed="false">
      <c r="A135" s="3" t="s">
        <v>81</v>
      </c>
      <c r="B135" s="5" t="n">
        <f aca="false">Datos!G87</f>
        <v>3564.06</v>
      </c>
      <c r="C135" s="5" t="n">
        <f aca="false">C134*$B$124</f>
        <v>3688.8021</v>
      </c>
      <c r="D135" s="5" t="n">
        <f aca="false">D134*$B$124</f>
        <v>3817.9101735</v>
      </c>
      <c r="E135" s="5" t="n">
        <f aca="false">E134*$B$124</f>
        <v>3951.5370295725</v>
      </c>
      <c r="F135" s="5" t="n">
        <f aca="false">F134*$B$124</f>
        <v>4089.84082560754</v>
      </c>
      <c r="G135" s="5" t="n">
        <f aca="false">G134*$B$124</f>
        <v>4232.9852545038</v>
      </c>
    </row>
    <row r="136" customFormat="false" ht="15" hidden="false" customHeight="false" outlineLevel="0" collapsed="false">
      <c r="A136" s="3" t="s">
        <v>1443</v>
      </c>
      <c r="B136" s="5" t="n">
        <f aca="false">-B135*$B$128</f>
        <v>-1069.218</v>
      </c>
      <c r="C136" s="5" t="n">
        <f aca="false">-C135*$B$128</f>
        <v>-1106.64063</v>
      </c>
      <c r="D136" s="5" t="n">
        <f aca="false">-D135*$B$128</f>
        <v>-1145.37305205</v>
      </c>
      <c r="E136" s="5" t="n">
        <f aca="false">-E135*$B$128</f>
        <v>-1185.46110887175</v>
      </c>
      <c r="F136" s="5" t="n">
        <f aca="false">-F135*$B$128</f>
        <v>-1226.95224768226</v>
      </c>
      <c r="G136" s="5" t="n">
        <f aca="false">-G135*$B$128</f>
        <v>-1269.89557635114</v>
      </c>
    </row>
    <row r="137" customFormat="false" ht="15" hidden="false" customHeight="false" outlineLevel="0" collapsed="false">
      <c r="A137" s="3" t="s">
        <v>1444</v>
      </c>
      <c r="B137" s="5" t="n">
        <f aca="false">B135+B136</f>
        <v>2494.842</v>
      </c>
      <c r="C137" s="5" t="n">
        <f aca="false">C135+C136</f>
        <v>2582.16147</v>
      </c>
      <c r="D137" s="5" t="n">
        <f aca="false">D135+D136</f>
        <v>2672.53712145</v>
      </c>
      <c r="E137" s="5" t="n">
        <f aca="false">E135+E136</f>
        <v>2766.07592070075</v>
      </c>
      <c r="F137" s="5" t="n">
        <f aca="false">F135+F136</f>
        <v>2862.88857792528</v>
      </c>
      <c r="G137" s="5" t="n">
        <f aca="false">G135+G136</f>
        <v>2963.08967815266</v>
      </c>
    </row>
    <row r="138" customFormat="false" ht="15" hidden="false" customHeight="false" outlineLevel="0" collapsed="false">
      <c r="A138" s="3" t="s">
        <v>1445</v>
      </c>
      <c r="B138" s="5" t="n">
        <f aca="false">Datos!G92</f>
        <v>1650.75481788325</v>
      </c>
      <c r="C138" s="5" t="n">
        <f aca="false">C134*$B$125</f>
        <v>1708.53123650916</v>
      </c>
      <c r="D138" s="5" t="n">
        <f aca="false">D134*$B$125</f>
        <v>1768.32982978699</v>
      </c>
      <c r="E138" s="5" t="n">
        <f aca="false">E134*$B$125</f>
        <v>1830.22137382953</v>
      </c>
      <c r="F138" s="5" t="n">
        <f aca="false">F134*$B$125</f>
        <v>1894.27912191356</v>
      </c>
      <c r="G138" s="5" t="n">
        <f aca="false">G134*$B$125</f>
        <v>1960.57889118054</v>
      </c>
    </row>
    <row r="139" customFormat="false" ht="15" hidden="false" customHeight="false" outlineLevel="0" collapsed="false">
      <c r="A139" s="3" t="s">
        <v>1446</v>
      </c>
      <c r="B139" s="5" t="n">
        <f aca="false">-Datos!G94</f>
        <v>-3842.67239922271</v>
      </c>
      <c r="C139" s="5" t="n">
        <f aca="false">-C134*$B$126</f>
        <v>-3977.16593319551</v>
      </c>
      <c r="D139" s="5" t="n">
        <f aca="false">-D134*$B$126</f>
        <v>-4116.36674085735</v>
      </c>
      <c r="E139" s="5" t="n">
        <f aca="false">-E134*$B$126</f>
        <v>-4260.43957678736</v>
      </c>
      <c r="F139" s="5" t="n">
        <f aca="false">-F134*$B$126</f>
        <v>-4409.55496197492</v>
      </c>
      <c r="G139" s="5" t="n">
        <f aca="false">-G134*$B$126</f>
        <v>-4563.88938564404</v>
      </c>
    </row>
    <row r="140" customFormat="false" ht="15" hidden="false" customHeight="false" outlineLevel="0" collapsed="false">
      <c r="A140" s="3" t="s">
        <v>1447</v>
      </c>
      <c r="B140" s="5" t="n">
        <v>0</v>
      </c>
      <c r="C140" s="5" t="n">
        <f aca="false">-(C134-B134)*$B$127</f>
        <v>-0</v>
      </c>
      <c r="D140" s="5" t="n">
        <f aca="false">-(D134-C134)*$B$127</f>
        <v>-0</v>
      </c>
      <c r="E140" s="5" t="n">
        <f aca="false">-(E134-D134)*$B$127</f>
        <v>-0</v>
      </c>
      <c r="F140" s="5" t="n">
        <f aca="false">-(F134-E134)*$B$127</f>
        <v>-0</v>
      </c>
      <c r="G140" s="5" t="n">
        <f aca="false">-(G134-F134)*$B$127</f>
        <v>-0</v>
      </c>
    </row>
    <row r="141" customFormat="false" ht="15" hidden="false" customHeight="false" outlineLevel="0" collapsed="false">
      <c r="A141" s="3" t="s">
        <v>1448</v>
      </c>
      <c r="B141" s="5" t="n">
        <f aca="false">B137+B138+B139+B140</f>
        <v>302.924418660537</v>
      </c>
      <c r="C141" s="5" t="n">
        <f aca="false">C137+C138+C139+C140</f>
        <v>313.526773313655</v>
      </c>
      <c r="D141" s="5" t="n">
        <f aca="false">D137+D138+D139+D140</f>
        <v>324.500210379633</v>
      </c>
      <c r="E141" s="5" t="n">
        <f aca="false">E137+E138+E139+E140</f>
        <v>335.857717742921</v>
      </c>
      <c r="F141" s="5" t="n">
        <f aca="false">F137+F138+F139+F140</f>
        <v>347.612737863922</v>
      </c>
      <c r="G141" s="5" t="n">
        <f aca="false">G137+G138+G139+G140</f>
        <v>359.77918368916</v>
      </c>
    </row>
    <row r="142" customFormat="false" ht="15" hidden="false" customHeight="false" outlineLevel="0" collapsed="false">
      <c r="A142" s="3" t="s">
        <v>1449</v>
      </c>
      <c r="B142" s="92"/>
      <c r="C142" s="92" t="n">
        <f aca="false">1/(1+$B$129)^C133</f>
        <v>0.892177186189942</v>
      </c>
      <c r="D142" s="92" t="n">
        <f aca="false">1/(1+$B$129)^D133</f>
        <v>0.795980131557802</v>
      </c>
      <c r="E142" s="92" t="n">
        <f aca="false">1/(1+$B$129)^E133</f>
        <v>0.710155314036339</v>
      </c>
      <c r="F142" s="92" t="n">
        <f aca="false">1/(1+$B$129)^F133</f>
        <v>0.633584369834775</v>
      </c>
      <c r="G142" s="92" t="n">
        <f aca="false">1/(1+$B$129)^G133</f>
        <v>0.565269520293117</v>
      </c>
    </row>
    <row r="143" customFormat="false" ht="15" hidden="false" customHeight="false" outlineLevel="0" collapsed="false">
      <c r="A143" s="3" t="s">
        <v>1450</v>
      </c>
      <c r="B143" s="5"/>
      <c r="C143" s="5" t="n">
        <f aca="false">C141*C142</f>
        <v>279.721434410188</v>
      </c>
      <c r="D143" s="5" t="n">
        <f aca="false">D141*D142</f>
        <v>258.295720148515</v>
      </c>
      <c r="E143" s="5" t="n">
        <f aca="false">E141*E142</f>
        <v>238.511143015252</v>
      </c>
      <c r="F143" s="5" t="n">
        <f aca="false">F141*F142</f>
        <v>220.241997466054</v>
      </c>
      <c r="G143" s="5" t="n">
        <f aca="false">G141*G142</f>
        <v>203.372206575421</v>
      </c>
    </row>
    <row r="145" customFormat="false" ht="15" hidden="false" customHeight="false" outlineLevel="0" collapsed="false">
      <c r="A145" s="3" t="s">
        <v>8</v>
      </c>
      <c r="B145" s="5" t="n">
        <f aca="false">SUM(C143:G143)</f>
        <v>1200.14250161543</v>
      </c>
      <c r="C145" s="2"/>
      <c r="D145" s="2"/>
      <c r="E145" s="2"/>
      <c r="F145" s="2"/>
      <c r="G145" s="2"/>
    </row>
    <row r="146" customFormat="false" ht="15" hidden="false" customHeight="false" outlineLevel="0" collapsed="false">
      <c r="A146" s="3" t="s">
        <v>1451</v>
      </c>
      <c r="B146" s="5" t="n">
        <f aca="false">G141*(1+B130)</f>
        <v>372.371455118281</v>
      </c>
    </row>
    <row r="147" customFormat="false" ht="15" hidden="false" customHeight="false" outlineLevel="0" collapsed="false">
      <c r="A147" s="3" t="s">
        <v>1452</v>
      </c>
      <c r="B147" s="5" t="n">
        <f aca="false">B146/(B129-B130)</f>
        <v>4337.28473228394</v>
      </c>
      <c r="C147" s="2"/>
      <c r="D147" s="2"/>
      <c r="E147" s="2"/>
      <c r="F147" s="2"/>
      <c r="G147" s="2"/>
    </row>
    <row r="148" customFormat="false" ht="15" hidden="false" customHeight="false" outlineLevel="0" collapsed="false">
      <c r="A148" s="3" t="s">
        <v>10</v>
      </c>
      <c r="B148" s="5" t="n">
        <f aca="false">B147*G142</f>
        <v>2451.7348599928</v>
      </c>
    </row>
    <row r="149" customFormat="false" ht="15" hidden="false" customHeight="false" outlineLevel="0" collapsed="false">
      <c r="A149" s="3" t="s">
        <v>1453</v>
      </c>
      <c r="B149" s="5" t="n">
        <f aca="false">B145+B148</f>
        <v>3651.87736160823</v>
      </c>
      <c r="C149" s="2"/>
      <c r="D149" s="2"/>
      <c r="E149" s="2"/>
      <c r="F149" s="2"/>
      <c r="G149" s="2"/>
    </row>
    <row r="150" customFormat="false" ht="15" hidden="false" customHeight="false" outlineLevel="0" collapsed="false">
      <c r="A150" s="3" t="s">
        <v>1454</v>
      </c>
      <c r="B150" s="5" t="n">
        <f aca="false">-WACC!E21</f>
        <v>-2441.8</v>
      </c>
    </row>
    <row r="151" customFormat="false" ht="15" hidden="false" customHeight="false" outlineLevel="0" collapsed="false">
      <c r="A151" s="3" t="s">
        <v>1455</v>
      </c>
      <c r="B151" s="5" t="n">
        <f aca="false">WACC!E22</f>
        <v>2962.8</v>
      </c>
    </row>
    <row r="152" customFormat="false" ht="15" hidden="false" customHeight="false" outlineLevel="0" collapsed="false">
      <c r="A152" s="3" t="s">
        <v>1456</v>
      </c>
      <c r="B152" s="5" t="n">
        <f aca="false">-(B150+B151)</f>
        <v>-521</v>
      </c>
    </row>
    <row r="153" customFormat="false" ht="15" hidden="false" customHeight="false" outlineLevel="0" collapsed="false">
      <c r="A153" s="3" t="s">
        <v>1457</v>
      </c>
      <c r="B153" s="5" t="n">
        <f aca="false">B149+B150+B151</f>
        <v>4172.87736160823</v>
      </c>
      <c r="C153" s="2"/>
      <c r="D153" s="2"/>
      <c r="E153" s="2"/>
      <c r="F153" s="2"/>
      <c r="G153" s="2"/>
    </row>
    <row r="154" customFormat="false" ht="15" hidden="false" customHeight="false" outlineLevel="0" collapsed="false">
      <c r="A154" s="3" t="s">
        <v>57</v>
      </c>
      <c r="B154" s="5" t="n">
        <f aca="false">WACC!E17</f>
        <v>1065.77306733167</v>
      </c>
    </row>
    <row r="155" customFormat="false" ht="15" hidden="false" customHeight="false" outlineLevel="0" collapsed="false">
      <c r="A155" s="3" t="s">
        <v>15</v>
      </c>
      <c r="B155" s="6" t="n">
        <f aca="false">B153/B154</f>
        <v>3.91535261071635</v>
      </c>
      <c r="C155" s="2"/>
      <c r="D155" s="2"/>
      <c r="E155" s="2"/>
      <c r="F155" s="2"/>
      <c r="G155" s="2"/>
    </row>
    <row r="156" customFormat="false" ht="15" hidden="false" customHeight="false" outlineLevel="0" collapsed="false">
      <c r="A156" s="3" t="s">
        <v>16</v>
      </c>
      <c r="B156" s="6" t="n">
        <f aca="false">WACC!E13</f>
        <v>32.08</v>
      </c>
    </row>
    <row r="157" customFormat="false" ht="15" hidden="false" customHeight="false" outlineLevel="0" collapsed="false">
      <c r="A157" s="3" t="s">
        <v>17</v>
      </c>
      <c r="B157" s="7" t="n">
        <f aca="false">B155/B156-1</f>
        <v>-0.877950355027545</v>
      </c>
    </row>
    <row r="158" customFormat="false" ht="15" hidden="false" customHeight="false" outlineLevel="0" collapsed="false">
      <c r="A158" s="3" t="s">
        <v>1461</v>
      </c>
      <c r="B158" s="7" t="n">
        <f aca="false">B148/B149</f>
        <v>0.671362868251714</v>
      </c>
    </row>
    <row r="159" customFormat="false" ht="15" hidden="false" customHeight="false" outlineLevel="0" collapsed="false">
      <c r="B159" s="88"/>
    </row>
    <row r="160" customFormat="false" ht="15" hidden="false" customHeight="false" outlineLevel="0" collapsed="false">
      <c r="B160" s="8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2" activeCellId="0" sqref="B72"/>
    </sheetView>
  </sheetViews>
  <sheetFormatPr defaultColWidth="10.66796875" defaultRowHeight="15" zeroHeight="false" outlineLevelRow="0" outlineLevelCol="0"/>
  <cols>
    <col collapsed="false" customWidth="true" hidden="false" outlineLevel="0" max="1" min="1" style="0" width="55.5"/>
    <col collapsed="false" customWidth="true" hidden="false" outlineLevel="0" max="7" min="2" style="0" width="15.66"/>
  </cols>
  <sheetData>
    <row r="1" customFormat="false" ht="18.75" hidden="false" customHeight="true" outlineLevel="0" collapsed="false">
      <c r="A1" s="101"/>
      <c r="B1" s="80"/>
      <c r="C1" s="80"/>
      <c r="D1" s="80"/>
      <c r="E1" s="80"/>
      <c r="F1" s="80"/>
      <c r="G1" s="80"/>
    </row>
    <row r="2" customFormat="false" ht="15" hidden="false" customHeight="false" outlineLevel="0" collapsed="false">
      <c r="A2" s="80"/>
      <c r="B2" s="80"/>
      <c r="C2" s="80"/>
      <c r="D2" s="80"/>
      <c r="E2" s="80"/>
      <c r="F2" s="80"/>
      <c r="G2" s="80"/>
    </row>
    <row r="3" customFormat="false" ht="15" hidden="false" customHeight="false" outlineLevel="0" collapsed="false">
      <c r="A3" s="1" t="s">
        <v>1462</v>
      </c>
      <c r="B3" s="1" t="s">
        <v>1428</v>
      </c>
      <c r="C3" s="1" t="s">
        <v>1429</v>
      </c>
      <c r="D3" s="1" t="s">
        <v>1430</v>
      </c>
      <c r="E3" s="1" t="s">
        <v>1431</v>
      </c>
      <c r="F3" s="1" t="s">
        <v>1432</v>
      </c>
      <c r="G3" s="1" t="s">
        <v>1433</v>
      </c>
    </row>
    <row r="4" customFormat="false" ht="15" hidden="false" customHeight="false" outlineLevel="0" collapsed="false">
      <c r="A4" s="3" t="s">
        <v>1463</v>
      </c>
      <c r="B4" s="7"/>
      <c r="C4" s="7" t="n">
        <f aca="false">Valuación!$B$9</f>
        <v>0.035</v>
      </c>
      <c r="D4" s="7" t="n">
        <f aca="false">Valuación!$B$9</f>
        <v>0.035</v>
      </c>
      <c r="E4" s="7" t="n">
        <f aca="false">Valuación!$B$9</f>
        <v>0.035</v>
      </c>
      <c r="F4" s="7" t="n">
        <f aca="false">Valuación!$B$9</f>
        <v>0.035</v>
      </c>
      <c r="G4" s="7" t="n">
        <f aca="false">Valuación!$B$9</f>
        <v>0.035</v>
      </c>
    </row>
    <row r="5" customFormat="false" ht="15" hidden="false" customHeight="false" outlineLevel="0" collapsed="false">
      <c r="A5" s="3" t="s">
        <v>1464</v>
      </c>
      <c r="B5" s="7" t="n">
        <f aca="false">-B20/B19</f>
        <v>0.759102047714278</v>
      </c>
      <c r="C5" s="7" t="n">
        <f aca="false">$B5</f>
        <v>0.759102047714278</v>
      </c>
      <c r="D5" s="7" t="n">
        <f aca="false">$B5</f>
        <v>0.759102047714278</v>
      </c>
      <c r="E5" s="7" t="n">
        <f aca="false">$B5</f>
        <v>0.759102047714278</v>
      </c>
      <c r="F5" s="7" t="n">
        <f aca="false">$B5</f>
        <v>0.759102047714278</v>
      </c>
      <c r="G5" s="7" t="n">
        <f aca="false">$B5</f>
        <v>0.759102047714278</v>
      </c>
    </row>
    <row r="6" customFormat="false" ht="15" hidden="false" customHeight="false" outlineLevel="0" collapsed="false">
      <c r="A6" s="3" t="s">
        <v>1465</v>
      </c>
      <c r="B6" s="7" t="n">
        <f aca="false">-B22/B19</f>
        <v>0.173900797115737</v>
      </c>
      <c r="C6" s="7" t="n">
        <f aca="false">$B6</f>
        <v>0.173900797115737</v>
      </c>
      <c r="D6" s="7" t="n">
        <f aca="false">$B6</f>
        <v>0.173900797115737</v>
      </c>
      <c r="E6" s="7" t="n">
        <f aca="false">$B6</f>
        <v>0.173900797115737</v>
      </c>
      <c r="F6" s="7" t="n">
        <f aca="false">$B6</f>
        <v>0.173900797115737</v>
      </c>
      <c r="G6" s="7" t="n">
        <f aca="false">$B6</f>
        <v>0.173900797115737</v>
      </c>
    </row>
    <row r="7" customFormat="false" ht="15" hidden="false" customHeight="false" outlineLevel="0" collapsed="false">
      <c r="A7" s="3" t="s">
        <v>1436</v>
      </c>
      <c r="B7" s="7" t="n">
        <f aca="false">-B24/B19</f>
        <v>0.0244599047967777</v>
      </c>
      <c r="C7" s="7" t="n">
        <f aca="false">$B7</f>
        <v>0.0244599047967777</v>
      </c>
      <c r="D7" s="7" t="n">
        <f aca="false">$B7</f>
        <v>0.0244599047967777</v>
      </c>
      <c r="E7" s="7" t="n">
        <f aca="false">$B7</f>
        <v>0.0244599047967777</v>
      </c>
      <c r="F7" s="7" t="n">
        <f aca="false">$B7</f>
        <v>0.0244599047967777</v>
      </c>
      <c r="G7" s="7" t="n">
        <f aca="false">$B7</f>
        <v>0.0244599047967777</v>
      </c>
    </row>
    <row r="8" customFormat="false" ht="15" hidden="false" customHeight="false" outlineLevel="0" collapsed="false">
      <c r="A8" s="3" t="s">
        <v>1437</v>
      </c>
      <c r="B8" s="7" t="n">
        <f aca="false">Datos!G16/Datos!G6</f>
        <v>0.0161507478241275</v>
      </c>
      <c r="C8" s="7" t="n">
        <f aca="false">$B8</f>
        <v>0.0161507478241275</v>
      </c>
      <c r="D8" s="7" t="n">
        <f aca="false">$B8</f>
        <v>0.0161507478241275</v>
      </c>
      <c r="E8" s="7" t="n">
        <f aca="false">$B8</f>
        <v>0.0161507478241275</v>
      </c>
      <c r="F8" s="7" t="n">
        <f aca="false">$B8</f>
        <v>0.0161507478241275</v>
      </c>
      <c r="G8" s="7" t="n">
        <f aca="false">$B8</f>
        <v>0.0161507478241275</v>
      </c>
    </row>
    <row r="9" customFormat="false" ht="15" hidden="false" customHeight="false" outlineLevel="0" collapsed="false">
      <c r="A9" s="3" t="s">
        <v>1466</v>
      </c>
      <c r="B9" s="7" t="n">
        <f aca="false">-B26/(B41+B42)</f>
        <v>0.130154966550936</v>
      </c>
      <c r="C9" s="7" t="n">
        <f aca="false">$B9</f>
        <v>0.130154966550936</v>
      </c>
      <c r="D9" s="7" t="n">
        <f aca="false">$B9</f>
        <v>0.130154966550936</v>
      </c>
      <c r="E9" s="7" t="n">
        <f aca="false">$B9</f>
        <v>0.130154966550936</v>
      </c>
      <c r="F9" s="7" t="n">
        <f aca="false">$B9</f>
        <v>0.130154966550936</v>
      </c>
      <c r="G9" s="7" t="n">
        <f aca="false">$B9</f>
        <v>0.130154966550936</v>
      </c>
    </row>
    <row r="10" customFormat="false" ht="15" hidden="false" customHeight="false" outlineLevel="0" collapsed="false">
      <c r="A10" s="3" t="s">
        <v>1439</v>
      </c>
      <c r="B10" s="7" t="n">
        <f aca="false">Valuación!$B$14</f>
        <v>0.3</v>
      </c>
      <c r="C10" s="7" t="n">
        <f aca="false">$B10</f>
        <v>0.3</v>
      </c>
      <c r="D10" s="7" t="n">
        <f aca="false">$B10</f>
        <v>0.3</v>
      </c>
      <c r="E10" s="7" t="n">
        <f aca="false">$B10</f>
        <v>0.3</v>
      </c>
      <c r="F10" s="7" t="n">
        <f aca="false">$B10</f>
        <v>0.3</v>
      </c>
      <c r="G10" s="7" t="n">
        <f aca="false">$B10</f>
        <v>0.3</v>
      </c>
    </row>
    <row r="11" customFormat="false" ht="15" hidden="false" customHeight="false" outlineLevel="0" collapsed="false">
      <c r="A11" s="3" t="s">
        <v>1467</v>
      </c>
      <c r="B11" s="12" t="n">
        <f aca="false">-B35/B20*365</f>
        <v>87.4443050938019</v>
      </c>
      <c r="C11" s="12" t="n">
        <f aca="false">$B11</f>
        <v>87.4443050938019</v>
      </c>
      <c r="D11" s="12" t="n">
        <f aca="false">$B11</f>
        <v>87.4443050938019</v>
      </c>
      <c r="E11" s="12" t="n">
        <f aca="false">$B11</f>
        <v>87.4443050938019</v>
      </c>
      <c r="F11" s="12" t="n">
        <f aca="false">$B11</f>
        <v>87.4443050938019</v>
      </c>
      <c r="G11" s="12" t="n">
        <f aca="false">$B11</f>
        <v>87.4443050938019</v>
      </c>
    </row>
    <row r="12" customFormat="false" ht="15" hidden="false" customHeight="false" outlineLevel="0" collapsed="false">
      <c r="A12" s="3" t="s">
        <v>1468</v>
      </c>
      <c r="B12" s="7" t="n">
        <f aca="false">B36/B19</f>
        <v>0.0391572543165366</v>
      </c>
      <c r="C12" s="7" t="n">
        <f aca="false">$B12</f>
        <v>0.0391572543165366</v>
      </c>
      <c r="D12" s="7" t="n">
        <f aca="false">$B12</f>
        <v>0.0391572543165366</v>
      </c>
      <c r="E12" s="7" t="n">
        <f aca="false">$B12</f>
        <v>0.0391572543165366</v>
      </c>
      <c r="F12" s="7" t="n">
        <f aca="false">$B12</f>
        <v>0.0391572543165366</v>
      </c>
      <c r="G12" s="7" t="n">
        <f aca="false">$B12</f>
        <v>0.0391572543165366</v>
      </c>
    </row>
    <row r="13" customFormat="false" ht="15" hidden="false" customHeight="false" outlineLevel="0" collapsed="false">
      <c r="A13" s="3" t="s">
        <v>1469</v>
      </c>
      <c r="B13" s="7" t="n">
        <f aca="false">B40/B19</f>
        <v>0.200225333070445</v>
      </c>
      <c r="C13" s="7" t="n">
        <f aca="false">$B13</f>
        <v>0.200225333070445</v>
      </c>
      <c r="D13" s="7" t="n">
        <f aca="false">$B13</f>
        <v>0.200225333070445</v>
      </c>
      <c r="E13" s="7" t="n">
        <f aca="false">$B13</f>
        <v>0.200225333070445</v>
      </c>
      <c r="F13" s="7" t="n">
        <f aca="false">$B13</f>
        <v>0.200225333070445</v>
      </c>
      <c r="G13" s="7" t="n">
        <f aca="false">$B13</f>
        <v>0.200225333070445</v>
      </c>
    </row>
    <row r="14" customFormat="false" ht="15" hidden="false" customHeight="false" outlineLevel="0" collapsed="false">
      <c r="A14" s="3" t="s">
        <v>1470</v>
      </c>
      <c r="B14" s="7" t="n">
        <f aca="false">Generales!B62*Valuación!B40/B30</f>
        <v>0.300144057623049</v>
      </c>
      <c r="C14" s="7" t="n">
        <f aca="false">$B14</f>
        <v>0.300144057623049</v>
      </c>
      <c r="D14" s="7" t="n">
        <f aca="false">$B14</f>
        <v>0.300144057623049</v>
      </c>
      <c r="E14" s="7" t="n">
        <f aca="false">$B14</f>
        <v>0.300144057623049</v>
      </c>
      <c r="F14" s="7" t="n">
        <f aca="false">$B14</f>
        <v>0.300144057623049</v>
      </c>
      <c r="G14" s="7" t="n">
        <f aca="false">$B14</f>
        <v>0.300144057623049</v>
      </c>
    </row>
    <row r="15" customFormat="false" ht="15" hidden="false" customHeight="false" outlineLevel="0" collapsed="false">
      <c r="A15" s="3" t="s">
        <v>5</v>
      </c>
      <c r="B15" s="7"/>
      <c r="C15" s="7" t="n">
        <f aca="false">Valuación!$B$15</f>
        <v>0.100615773284249</v>
      </c>
      <c r="D15" s="7" t="n">
        <f aca="false">Valuación!$B$15</f>
        <v>0.100615773284249</v>
      </c>
      <c r="E15" s="7" t="n">
        <f aca="false">Valuación!$B$15</f>
        <v>0.100615773284249</v>
      </c>
      <c r="F15" s="7" t="n">
        <f aca="false">Valuación!$B$15</f>
        <v>0.100615773284249</v>
      </c>
      <c r="G15" s="7" t="n">
        <f aca="false">Valuación!$B$15</f>
        <v>0.100615773284249</v>
      </c>
    </row>
    <row r="16" customFormat="false" ht="15" hidden="false" customHeight="false" outlineLevel="0" collapsed="false">
      <c r="A16" s="3" t="s">
        <v>6</v>
      </c>
      <c r="B16" s="7"/>
      <c r="C16" s="7" t="n">
        <f aca="false">Valuación!$B$16</f>
        <v>0.035</v>
      </c>
      <c r="D16" s="7" t="n">
        <f aca="false">Valuación!$B$16</f>
        <v>0.035</v>
      </c>
      <c r="E16" s="7" t="n">
        <f aca="false">Valuación!$B$16</f>
        <v>0.035</v>
      </c>
      <c r="F16" s="7" t="n">
        <f aca="false">Valuación!$B$16</f>
        <v>0.035</v>
      </c>
      <c r="G16" s="7" t="n">
        <f aca="false">Valuación!$B$16</f>
        <v>0.035</v>
      </c>
    </row>
    <row r="17" customFormat="false" ht="15" hidden="false" customHeight="false" outlineLevel="0" collapsed="false">
      <c r="A17" s="80"/>
      <c r="B17" s="80"/>
      <c r="C17" s="80"/>
      <c r="D17" s="80"/>
      <c r="E17" s="80"/>
      <c r="F17" s="80"/>
      <c r="G17" s="80"/>
    </row>
    <row r="18" customFormat="false" ht="15" hidden="false" customHeight="false" outlineLevel="0" collapsed="false">
      <c r="A18" s="1" t="s">
        <v>1471</v>
      </c>
      <c r="B18" s="1" t="s">
        <v>1428</v>
      </c>
      <c r="C18" s="1" t="s">
        <v>1429</v>
      </c>
      <c r="D18" s="1" t="s">
        <v>1430</v>
      </c>
      <c r="E18" s="1" t="s">
        <v>1431</v>
      </c>
      <c r="F18" s="1" t="s">
        <v>1432</v>
      </c>
      <c r="G18" s="1" t="s">
        <v>1433</v>
      </c>
    </row>
    <row r="19" customFormat="false" ht="15" hidden="false" customHeight="false" outlineLevel="0" collapsed="false">
      <c r="A19" s="3" t="s">
        <v>1442</v>
      </c>
      <c r="B19" s="5" t="n">
        <f aca="false">Datos!G6</f>
        <v>177515</v>
      </c>
      <c r="C19" s="5" t="n">
        <f aca="false">B19*(1+C4)</f>
        <v>183728.025</v>
      </c>
      <c r="D19" s="5" t="n">
        <f aca="false">C19*(1+D4)</f>
        <v>190158.505875</v>
      </c>
      <c r="E19" s="5" t="n">
        <f aca="false">D19*(1+E4)</f>
        <v>196814.053580625</v>
      </c>
      <c r="F19" s="5" t="n">
        <f aca="false">E19*(1+F4)</f>
        <v>203702.545455947</v>
      </c>
      <c r="G19" s="5" t="n">
        <f aca="false">F19*(1+G4)</f>
        <v>210832.134546905</v>
      </c>
    </row>
    <row r="20" customFormat="false" ht="15" hidden="false" customHeight="false" outlineLevel="0" collapsed="false">
      <c r="A20" s="3" t="s">
        <v>86</v>
      </c>
      <c r="B20" s="5" t="n">
        <f aca="false">-Datos!G7</f>
        <v>-134752</v>
      </c>
      <c r="C20" s="5" t="n">
        <f aca="false">-C19*C5</f>
        <v>-139468.32</v>
      </c>
      <c r="D20" s="5" t="n">
        <f aca="false">-D19*D5</f>
        <v>-144349.7112</v>
      </c>
      <c r="E20" s="5" t="n">
        <f aca="false">-E19*E5</f>
        <v>-149401.951092</v>
      </c>
      <c r="F20" s="5" t="n">
        <f aca="false">-F19*F5</f>
        <v>-154631.01938022</v>
      </c>
      <c r="G20" s="5" t="n">
        <f aca="false">-G19*G5</f>
        <v>-160043.105058528</v>
      </c>
    </row>
    <row r="21" customFormat="false" ht="15" hidden="false" customHeight="false" outlineLevel="0" collapsed="false">
      <c r="A21" s="3" t="s">
        <v>80</v>
      </c>
      <c r="B21" s="5" t="n">
        <f aca="false">B19+B20</f>
        <v>42763</v>
      </c>
      <c r="C21" s="5" t="n">
        <f aca="false">C19+C20</f>
        <v>44259.705</v>
      </c>
      <c r="D21" s="5" t="n">
        <f aca="false">D19+D20</f>
        <v>45808.794675</v>
      </c>
      <c r="E21" s="5" t="n">
        <f aca="false">E19+E20</f>
        <v>47412.102488625</v>
      </c>
      <c r="F21" s="5" t="n">
        <f aca="false">F19+F20</f>
        <v>49071.5260757269</v>
      </c>
      <c r="G21" s="5" t="n">
        <f aca="false">G19+G20</f>
        <v>50789.0294883773</v>
      </c>
    </row>
    <row r="22" customFormat="false" ht="15" hidden="false" customHeight="false" outlineLevel="0" collapsed="false">
      <c r="A22" s="3" t="s">
        <v>1472</v>
      </c>
      <c r="B22" s="5" t="n">
        <f aca="false">-(Datos!G8-Datos!G9-Datos!G14)</f>
        <v>-30870</v>
      </c>
      <c r="C22" s="5" t="n">
        <f aca="false">-C19*C6</f>
        <v>-31950.45</v>
      </c>
      <c r="D22" s="5" t="n">
        <f aca="false">-D19*D6</f>
        <v>-33068.71575</v>
      </c>
      <c r="E22" s="5" t="n">
        <f aca="false">-E19*E6</f>
        <v>-34226.12080125</v>
      </c>
      <c r="F22" s="5" t="n">
        <f aca="false">-F19*F6</f>
        <v>-35424.0350292937</v>
      </c>
      <c r="G22" s="5" t="n">
        <f aca="false">-G19*G6</f>
        <v>-36663.876255319</v>
      </c>
    </row>
    <row r="23" customFormat="false" ht="15" hidden="false" customHeight="false" outlineLevel="0" collapsed="false">
      <c r="A23" s="3" t="s">
        <v>1473</v>
      </c>
      <c r="B23" s="5" t="n">
        <f aca="false">B21+B22</f>
        <v>11893</v>
      </c>
      <c r="C23" s="5" t="n">
        <f aca="false">C21+C22</f>
        <v>12309.255</v>
      </c>
      <c r="D23" s="5" t="n">
        <f aca="false">D21+D22</f>
        <v>12740.078925</v>
      </c>
      <c r="E23" s="5" t="n">
        <f aca="false">E21+E22</f>
        <v>13185.981687375</v>
      </c>
      <c r="F23" s="5" t="n">
        <f aca="false">F21+F22</f>
        <v>13647.4910464331</v>
      </c>
      <c r="G23" s="5" t="n">
        <f aca="false">G21+G22</f>
        <v>14125.1532330583</v>
      </c>
    </row>
    <row r="24" customFormat="false" ht="15" hidden="false" customHeight="false" outlineLevel="0" collapsed="false">
      <c r="A24" s="3" t="s">
        <v>154</v>
      </c>
      <c r="B24" s="5" t="n">
        <f aca="false">-Datos!G14</f>
        <v>-4342</v>
      </c>
      <c r="C24" s="5" t="n">
        <f aca="false">-C19*C7</f>
        <v>-4493.97</v>
      </c>
      <c r="D24" s="5" t="n">
        <f aca="false">-D19*D7</f>
        <v>-4651.25895</v>
      </c>
      <c r="E24" s="5" t="n">
        <f aca="false">-E19*E7</f>
        <v>-4814.05301325</v>
      </c>
      <c r="F24" s="5" t="n">
        <f aca="false">-F19*F7</f>
        <v>-4982.54486871375</v>
      </c>
      <c r="G24" s="5" t="n">
        <f aca="false">-G19*G7</f>
        <v>-5156.93393911873</v>
      </c>
    </row>
    <row r="25" customFormat="false" ht="15" hidden="false" customHeight="false" outlineLevel="0" collapsed="false">
      <c r="A25" s="3" t="s">
        <v>81</v>
      </c>
      <c r="B25" s="5" t="n">
        <f aca="false">B23+B24</f>
        <v>7551</v>
      </c>
      <c r="C25" s="5" t="n">
        <f aca="false">C23+C24</f>
        <v>7815.28499999999</v>
      </c>
      <c r="D25" s="5" t="n">
        <f aca="false">D23+D24</f>
        <v>8088.81997499999</v>
      </c>
      <c r="E25" s="5" t="n">
        <f aca="false">E23+E24</f>
        <v>8371.92867412499</v>
      </c>
      <c r="F25" s="5" t="n">
        <f aca="false">F23+F24</f>
        <v>8664.94617771939</v>
      </c>
      <c r="G25" s="5" t="n">
        <f aca="false">G23+G24</f>
        <v>8968.21929393956</v>
      </c>
    </row>
    <row r="26" customFormat="false" ht="15" hidden="false" customHeight="false" outlineLevel="0" collapsed="false">
      <c r="A26" s="3" t="s">
        <v>88</v>
      </c>
      <c r="B26" s="5" t="n">
        <f aca="false">-Datos!G10</f>
        <v>-3074</v>
      </c>
      <c r="C26" s="5" t="n">
        <f aca="false">-C9*(B41+B42)</f>
        <v>-3074</v>
      </c>
      <c r="D26" s="5" t="n">
        <f aca="false">-D9*(C41+C42)</f>
        <v>-3074</v>
      </c>
      <c r="E26" s="5" t="n">
        <f aca="false">-E9*(D41+D42)</f>
        <v>-3074</v>
      </c>
      <c r="F26" s="5" t="n">
        <f aca="false">-F9*(E41+E42)</f>
        <v>-3074</v>
      </c>
      <c r="G26" s="5" t="n">
        <f aca="false">-G9*(F41+F42)</f>
        <v>-3074</v>
      </c>
    </row>
    <row r="27" customFormat="false" ht="15" hidden="false" customHeight="false" outlineLevel="0" collapsed="false">
      <c r="A27" s="3" t="s">
        <v>1474</v>
      </c>
      <c r="B27" s="5" t="n">
        <f aca="false">Datos!G11-Datos!G9+Datos!G10</f>
        <v>288</v>
      </c>
      <c r="C27" s="5" t="n">
        <v>0</v>
      </c>
      <c r="D27" s="5" t="n">
        <v>0</v>
      </c>
      <c r="E27" s="5" t="n">
        <v>0</v>
      </c>
      <c r="F27" s="5" t="n">
        <v>0</v>
      </c>
      <c r="G27" s="5" t="n">
        <v>0</v>
      </c>
    </row>
    <row r="28" customFormat="false" ht="15" hidden="false" customHeight="false" outlineLevel="0" collapsed="false">
      <c r="A28" s="3" t="s">
        <v>152</v>
      </c>
      <c r="B28" s="5" t="n">
        <f aca="false">B25+B26+B27</f>
        <v>4765</v>
      </c>
      <c r="C28" s="5" t="n">
        <f aca="false">C25+C26+C27</f>
        <v>4741.28499999999</v>
      </c>
      <c r="D28" s="5" t="n">
        <f aca="false">D25+D26+D27</f>
        <v>5014.81997499999</v>
      </c>
      <c r="E28" s="5" t="n">
        <f aca="false">E25+E26+E27</f>
        <v>5297.92867412499</v>
      </c>
      <c r="F28" s="5" t="n">
        <f aca="false">F25+F26+F27</f>
        <v>5590.94617771939</v>
      </c>
      <c r="G28" s="5" t="n">
        <f aca="false">G25+G26+G27</f>
        <v>5894.21929393956</v>
      </c>
    </row>
    <row r="29" customFormat="false" ht="15" hidden="false" customHeight="false" outlineLevel="0" collapsed="false">
      <c r="A29" s="3" t="s">
        <v>153</v>
      </c>
      <c r="B29" s="5" t="n">
        <f aca="false">-Datos!G12</f>
        <v>-1433</v>
      </c>
      <c r="C29" s="5" t="n">
        <f aca="false">-C28*C10</f>
        <v>-1422.3855</v>
      </c>
      <c r="D29" s="5" t="n">
        <f aca="false">-D28*D10</f>
        <v>-1504.4459925</v>
      </c>
      <c r="E29" s="5" t="n">
        <f aca="false">-E28*E10</f>
        <v>-1589.3786022375</v>
      </c>
      <c r="F29" s="5" t="n">
        <f aca="false">-F28*F10</f>
        <v>-1677.28385331582</v>
      </c>
      <c r="G29" s="5" t="n">
        <f aca="false">-G28*G10</f>
        <v>-1768.26578818187</v>
      </c>
    </row>
    <row r="30" customFormat="false" ht="15" hidden="false" customHeight="false" outlineLevel="0" collapsed="false">
      <c r="A30" s="3" t="s">
        <v>89</v>
      </c>
      <c r="B30" s="5" t="n">
        <f aca="false">B28+B29</f>
        <v>3332</v>
      </c>
      <c r="C30" s="5" t="n">
        <f aca="false">C28+C29</f>
        <v>3318.89949999999</v>
      </c>
      <c r="D30" s="5" t="n">
        <f aca="false">D28+D29</f>
        <v>3510.37398249999</v>
      </c>
      <c r="E30" s="5" t="n">
        <f aca="false">E28+E29</f>
        <v>3708.55007188749</v>
      </c>
      <c r="F30" s="5" t="n">
        <f aca="false">F28+F29</f>
        <v>3913.66232440357</v>
      </c>
      <c r="G30" s="5" t="n">
        <f aca="false">G28+G29</f>
        <v>4125.95350575769</v>
      </c>
    </row>
    <row r="31" customFormat="false" ht="15" hidden="false" customHeight="false" outlineLevel="0" collapsed="false">
      <c r="A31" s="3" t="s">
        <v>1475</v>
      </c>
      <c r="B31" s="5"/>
      <c r="C31" s="5" t="n">
        <f aca="false">-C30*C14</f>
        <v>-996.147962773107</v>
      </c>
      <c r="D31" s="5" t="n">
        <f aca="false">-D30*D14</f>
        <v>-1053.61789088193</v>
      </c>
      <c r="E31" s="5" t="n">
        <f aca="false">-E30*E14</f>
        <v>-1113.09926647456</v>
      </c>
      <c r="F31" s="5" t="n">
        <f aca="false">-F30*F14</f>
        <v>-1174.66249021294</v>
      </c>
      <c r="G31" s="5" t="n">
        <f aca="false">-G30*G14</f>
        <v>-1238.38042678216</v>
      </c>
    </row>
    <row r="32" customFormat="false" ht="15" hidden="false" customHeight="false" outlineLevel="0" collapsed="false">
      <c r="A32" s="80"/>
      <c r="B32" s="80"/>
      <c r="C32" s="80"/>
      <c r="D32" s="80"/>
      <c r="E32" s="80"/>
      <c r="F32" s="80"/>
      <c r="G32" s="80"/>
    </row>
    <row r="33" customFormat="false" ht="15" hidden="false" customHeight="false" outlineLevel="0" collapsed="false">
      <c r="A33" s="1" t="s">
        <v>1476</v>
      </c>
      <c r="B33" s="1" t="s">
        <v>1428</v>
      </c>
      <c r="C33" s="1" t="s">
        <v>1429</v>
      </c>
      <c r="D33" s="1" t="s">
        <v>1430</v>
      </c>
      <c r="E33" s="1" t="s">
        <v>1431</v>
      </c>
      <c r="F33" s="1" t="s">
        <v>1432</v>
      </c>
      <c r="G33" s="1" t="s">
        <v>1433</v>
      </c>
    </row>
    <row r="34" customFormat="false" ht="15" hidden="false" customHeight="false" outlineLevel="0" collapsed="false">
      <c r="A34" s="3" t="s">
        <v>13</v>
      </c>
      <c r="B34" s="5" t="n">
        <f aca="false">Datos!G17</f>
        <v>9295</v>
      </c>
      <c r="C34" s="5" t="n">
        <f aca="false">B34+C56</f>
        <v>13015.1915372269</v>
      </c>
      <c r="D34" s="5" t="n">
        <f aca="false">C34+D56</f>
        <v>16918.2980288449</v>
      </c>
      <c r="E34" s="5" t="n">
        <f aca="false">D34+E56</f>
        <v>21010.7214982579</v>
      </c>
      <c r="F34" s="5" t="n">
        <f aca="false">E34+F56</f>
        <v>25299.0880396885</v>
      </c>
      <c r="G34" s="5" t="n">
        <f aca="false">F34+G56</f>
        <v>29790.2556606574</v>
      </c>
    </row>
    <row r="35" customFormat="false" ht="15" hidden="false" customHeight="false" outlineLevel="0" collapsed="false">
      <c r="A35" s="3" t="s">
        <v>156</v>
      </c>
      <c r="B35" s="5" t="n">
        <f aca="false">Datos!G18</f>
        <v>32283</v>
      </c>
      <c r="C35" s="5" t="n">
        <f aca="false">-C20*C11/365</f>
        <v>33412.905</v>
      </c>
      <c r="D35" s="5" t="n">
        <f aca="false">-D20*D11/365</f>
        <v>34582.356675</v>
      </c>
      <c r="E35" s="5" t="n">
        <f aca="false">-E20*E11/365</f>
        <v>35792.739158625</v>
      </c>
      <c r="F35" s="5" t="n">
        <f aca="false">-F20*F11/365</f>
        <v>37045.4850291769</v>
      </c>
      <c r="G35" s="5" t="n">
        <f aca="false">-G20*G11/365</f>
        <v>38342.0770051981</v>
      </c>
    </row>
    <row r="36" customFormat="false" ht="15" hidden="false" customHeight="false" outlineLevel="0" collapsed="false">
      <c r="A36" s="3" t="s">
        <v>1477</v>
      </c>
      <c r="B36" s="5" t="n">
        <f aca="false">Datos!G19-Datos!G17-Datos!G18</f>
        <v>6951</v>
      </c>
      <c r="C36" s="5" t="n">
        <f aca="false">C19*C12</f>
        <v>7194.285</v>
      </c>
      <c r="D36" s="5" t="n">
        <f aca="false">D19*D12</f>
        <v>7446.084975</v>
      </c>
      <c r="E36" s="5" t="n">
        <f aca="false">E19*E12</f>
        <v>7706.697949125</v>
      </c>
      <c r="F36" s="5" t="n">
        <f aca="false">F19*F12</f>
        <v>7976.43237734437</v>
      </c>
      <c r="G36" s="5" t="n">
        <f aca="false">G19*G12</f>
        <v>8255.60751055143</v>
      </c>
    </row>
    <row r="37" customFormat="false" ht="15" hidden="false" customHeight="false" outlineLevel="0" collapsed="false">
      <c r="A37" s="3" t="s">
        <v>157</v>
      </c>
      <c r="B37" s="5" t="n">
        <f aca="false">SUM(B34:B36)</f>
        <v>48529</v>
      </c>
      <c r="C37" s="5" t="n">
        <f aca="false">SUM(C34:C36)</f>
        <v>53622.3815372269</v>
      </c>
      <c r="D37" s="5" t="n">
        <f aca="false">SUM(D34:D36)</f>
        <v>58946.7396788449</v>
      </c>
      <c r="E37" s="5" t="n">
        <f aca="false">SUM(E34:E36)</f>
        <v>64510.1586060079</v>
      </c>
      <c r="F37" s="5" t="n">
        <f aca="false">SUM(F34:F36)</f>
        <v>70321.0054462098</v>
      </c>
      <c r="G37" s="5" t="n">
        <f aca="false">SUM(G34:G36)</f>
        <v>76387.9401764069</v>
      </c>
    </row>
    <row r="38" customFormat="false" ht="15" hidden="false" customHeight="false" outlineLevel="0" collapsed="false">
      <c r="A38" s="3" t="s">
        <v>1478</v>
      </c>
      <c r="B38" s="5" t="n">
        <f aca="false">Datos!G20-Datos!G19</f>
        <v>107509</v>
      </c>
      <c r="C38" s="5" t="n">
        <f aca="false">B38-C54+C24</f>
        <v>105982.375</v>
      </c>
      <c r="D38" s="5" t="n">
        <f aca="false">C38-D54+D24</f>
        <v>104402.318125</v>
      </c>
      <c r="E38" s="5" t="n">
        <f aca="false">D38-E54+E24</f>
        <v>102766.959259375</v>
      </c>
      <c r="F38" s="5" t="n">
        <f aca="false">E38-F54+F24</f>
        <v>101074.362833453</v>
      </c>
      <c r="G38" s="5" t="n">
        <f aca="false">F38-G54+G24</f>
        <v>99322.525532624</v>
      </c>
    </row>
    <row r="39" customFormat="false" ht="15" hidden="false" customHeight="false" outlineLevel="0" collapsed="false">
      <c r="A39" s="3" t="s">
        <v>92</v>
      </c>
      <c r="B39" s="5" t="n">
        <f aca="false">B37+B38</f>
        <v>156038</v>
      </c>
      <c r="C39" s="5" t="n">
        <f aca="false">C37+C38</f>
        <v>159604.756537227</v>
      </c>
      <c r="D39" s="5" t="n">
        <f aca="false">D37+D38</f>
        <v>163349.057803845</v>
      </c>
      <c r="E39" s="5" t="n">
        <f aca="false">E37+E38</f>
        <v>167277.117865383</v>
      </c>
      <c r="F39" s="5" t="n">
        <f aca="false">F37+F38</f>
        <v>171395.368279663</v>
      </c>
      <c r="G39" s="5" t="n">
        <f aca="false">G37+G38</f>
        <v>175710.465709031</v>
      </c>
    </row>
    <row r="40" customFormat="false" ht="15" hidden="false" customHeight="false" outlineLevel="0" collapsed="false">
      <c r="A40" s="3" t="s">
        <v>1479</v>
      </c>
      <c r="B40" s="5" t="n">
        <f aca="false">Datos!G21-Datos!G25-Datos!G27</f>
        <v>35543</v>
      </c>
      <c r="C40" s="5" t="n">
        <f aca="false">C19*C13</f>
        <v>36787.005</v>
      </c>
      <c r="D40" s="5" t="n">
        <f aca="false">D19*D13</f>
        <v>38074.550175</v>
      </c>
      <c r="E40" s="5" t="n">
        <f aca="false">E19*E13</f>
        <v>39407.159431125</v>
      </c>
      <c r="F40" s="5" t="n">
        <f aca="false">F19*F13</f>
        <v>40786.4100112144</v>
      </c>
      <c r="G40" s="5" t="n">
        <f aca="false">G19*G13</f>
        <v>42213.9343616069</v>
      </c>
    </row>
    <row r="41" customFormat="false" ht="15" hidden="false" customHeight="false" outlineLevel="0" collapsed="false">
      <c r="A41" s="3" t="s">
        <v>1480</v>
      </c>
      <c r="B41" s="5" t="n">
        <f aca="false">Datos!G25+Datos!G26</f>
        <v>11500</v>
      </c>
      <c r="C41" s="5" t="n">
        <f aca="false">B41</f>
        <v>11500</v>
      </c>
      <c r="D41" s="5" t="n">
        <f aca="false">C41</f>
        <v>11500</v>
      </c>
      <c r="E41" s="5" t="n">
        <f aca="false">D41</f>
        <v>11500</v>
      </c>
      <c r="F41" s="5" t="n">
        <f aca="false">E41</f>
        <v>11500</v>
      </c>
      <c r="G41" s="5" t="n">
        <f aca="false">F41</f>
        <v>11500</v>
      </c>
    </row>
    <row r="42" customFormat="false" ht="15" hidden="false" customHeight="false" outlineLevel="0" collapsed="false">
      <c r="A42" s="3" t="s">
        <v>1481</v>
      </c>
      <c r="B42" s="5" t="n">
        <f aca="false">Datos!G27+Datos!G28</f>
        <v>12118</v>
      </c>
      <c r="C42" s="5" t="n">
        <f aca="false">B42</f>
        <v>12118</v>
      </c>
      <c r="D42" s="5" t="n">
        <f aca="false">C42</f>
        <v>12118</v>
      </c>
      <c r="E42" s="5" t="n">
        <f aca="false">D42</f>
        <v>12118</v>
      </c>
      <c r="F42" s="5" t="n">
        <f aca="false">E42</f>
        <v>12118</v>
      </c>
      <c r="G42" s="5" t="n">
        <f aca="false">F42</f>
        <v>12118</v>
      </c>
    </row>
    <row r="43" customFormat="false" ht="15" hidden="false" customHeight="false" outlineLevel="0" collapsed="false">
      <c r="A43" s="3" t="s">
        <v>1482</v>
      </c>
      <c r="B43" s="5" t="n">
        <f aca="false">Datos!G23-Datos!G21-Datos!G26-Datos!G28</f>
        <v>12145</v>
      </c>
      <c r="C43" s="5" t="n">
        <f aca="false">B43</f>
        <v>12145</v>
      </c>
      <c r="D43" s="5" t="n">
        <f aca="false">C43</f>
        <v>12145</v>
      </c>
      <c r="E43" s="5" t="n">
        <f aca="false">D43</f>
        <v>12145</v>
      </c>
      <c r="F43" s="5" t="n">
        <f aca="false">E43</f>
        <v>12145</v>
      </c>
      <c r="G43" s="5" t="n">
        <f aca="false">F43</f>
        <v>12145</v>
      </c>
    </row>
    <row r="44" customFormat="false" ht="15" hidden="false" customHeight="false" outlineLevel="0" collapsed="false">
      <c r="A44" s="3" t="s">
        <v>93</v>
      </c>
      <c r="B44" s="5" t="n">
        <f aca="false">SUM(B40:B43)</f>
        <v>71306</v>
      </c>
      <c r="C44" s="5" t="n">
        <f aca="false">SUM(C40:C43)</f>
        <v>72550.005</v>
      </c>
      <c r="D44" s="5" t="n">
        <f aca="false">SUM(D40:D43)</f>
        <v>73837.550175</v>
      </c>
      <c r="E44" s="5" t="n">
        <f aca="false">SUM(E40:E43)</f>
        <v>75170.159431125</v>
      </c>
      <c r="F44" s="5" t="n">
        <f aca="false">SUM(F40:F43)</f>
        <v>76549.4100112144</v>
      </c>
      <c r="G44" s="5" t="n">
        <f aca="false">SUM(G40:G43)</f>
        <v>77976.9343616069</v>
      </c>
    </row>
    <row r="45" customFormat="false" ht="15" hidden="false" customHeight="false" outlineLevel="0" collapsed="false">
      <c r="A45" s="3" t="s">
        <v>94</v>
      </c>
      <c r="B45" s="5" t="n">
        <f aca="false">Datos!G24</f>
        <v>84732</v>
      </c>
      <c r="C45" s="5" t="n">
        <f aca="false">B45+C30+C31</f>
        <v>87054.7515372269</v>
      </c>
      <c r="D45" s="5" t="n">
        <f aca="false">C45+D30+D31</f>
        <v>89511.507628845</v>
      </c>
      <c r="E45" s="5" t="n">
        <f aca="false">D45+E30+E31</f>
        <v>92106.9584342579</v>
      </c>
      <c r="F45" s="5" t="n">
        <f aca="false">E45+F30+F31</f>
        <v>94845.9582684485</v>
      </c>
      <c r="G45" s="5" t="n">
        <f aca="false">F45+G30+G31</f>
        <v>97733.5313474241</v>
      </c>
    </row>
    <row r="46" customFormat="false" ht="15" hidden="false" customHeight="false" outlineLevel="0" collapsed="false">
      <c r="A46" s="3" t="s">
        <v>1483</v>
      </c>
      <c r="B46" s="5" t="n">
        <f aca="false">B44+B45</f>
        <v>156038</v>
      </c>
      <c r="C46" s="5" t="n">
        <f aca="false">C44+C45</f>
        <v>159604.756537227</v>
      </c>
      <c r="D46" s="5" t="n">
        <f aca="false">D44+D45</f>
        <v>163349.057803845</v>
      </c>
      <c r="E46" s="5" t="n">
        <f aca="false">E44+E45</f>
        <v>167277.117865383</v>
      </c>
      <c r="F46" s="5" t="n">
        <f aca="false">F44+F45</f>
        <v>171395.368279663</v>
      </c>
      <c r="G46" s="5" t="n">
        <f aca="false">G44+G45</f>
        <v>175710.465709031</v>
      </c>
    </row>
    <row r="47" customFormat="false" ht="15" hidden="false" customHeight="false" outlineLevel="0" collapsed="false">
      <c r="A47" s="102" t="s">
        <v>1484</v>
      </c>
      <c r="B47" s="103" t="n">
        <f aca="false">B39-B46</f>
        <v>0</v>
      </c>
      <c r="C47" s="103" t="n">
        <f aca="false">C39-C46</f>
        <v>0</v>
      </c>
      <c r="D47" s="103" t="n">
        <f aca="false">D39-D46</f>
        <v>0</v>
      </c>
      <c r="E47" s="103" t="n">
        <f aca="false">E39-E46</f>
        <v>0</v>
      </c>
      <c r="F47" s="103" t="n">
        <f aca="false">F39-F46</f>
        <v>0</v>
      </c>
      <c r="G47" s="103" t="n">
        <f aca="false">G39-G46</f>
        <v>0</v>
      </c>
    </row>
    <row r="48" customFormat="false" ht="15" hidden="false" customHeight="false" outlineLevel="0" collapsed="false">
      <c r="A48" s="80"/>
      <c r="B48" s="80"/>
      <c r="C48" s="80"/>
      <c r="D48" s="80"/>
      <c r="E48" s="80"/>
      <c r="F48" s="80"/>
      <c r="G48" s="80"/>
    </row>
    <row r="49" customFormat="false" ht="15" hidden="false" customHeight="false" outlineLevel="0" collapsed="false">
      <c r="A49" s="1" t="s">
        <v>1485</v>
      </c>
      <c r="B49" s="1" t="s">
        <v>1428</v>
      </c>
      <c r="C49" s="1" t="s">
        <v>1429</v>
      </c>
      <c r="D49" s="1" t="s">
        <v>1430</v>
      </c>
      <c r="E49" s="1" t="s">
        <v>1431</v>
      </c>
      <c r="F49" s="1" t="s">
        <v>1432</v>
      </c>
      <c r="G49" s="1" t="s">
        <v>1433</v>
      </c>
    </row>
    <row r="50" customFormat="false" ht="15" hidden="false" customHeight="false" outlineLevel="0" collapsed="false">
      <c r="A50" s="3" t="s">
        <v>89</v>
      </c>
      <c r="B50" s="3"/>
      <c r="C50" s="5" t="n">
        <f aca="false">C30</f>
        <v>3318.89949999999</v>
      </c>
      <c r="D50" s="5" t="n">
        <f aca="false">D30</f>
        <v>3510.37398249999</v>
      </c>
      <c r="E50" s="5" t="n">
        <f aca="false">E30</f>
        <v>3708.55007188749</v>
      </c>
      <c r="F50" s="5" t="n">
        <f aca="false">F30</f>
        <v>3913.66232440357</v>
      </c>
      <c r="G50" s="5" t="n">
        <f aca="false">G30</f>
        <v>4125.95350575769</v>
      </c>
    </row>
    <row r="51" customFormat="false" ht="15" hidden="false" customHeight="false" outlineLevel="0" collapsed="false">
      <c r="A51" s="3" t="s">
        <v>1445</v>
      </c>
      <c r="B51" s="3"/>
      <c r="C51" s="5" t="n">
        <f aca="false">-C24</f>
        <v>4493.97</v>
      </c>
      <c r="D51" s="5" t="n">
        <f aca="false">-D24</f>
        <v>4651.25895</v>
      </c>
      <c r="E51" s="5" t="n">
        <f aca="false">-E24</f>
        <v>4814.05301325</v>
      </c>
      <c r="F51" s="5" t="n">
        <f aca="false">-F24</f>
        <v>4982.54486871375</v>
      </c>
      <c r="G51" s="5" t="n">
        <f aca="false">-G24</f>
        <v>5156.93393911873</v>
      </c>
    </row>
    <row r="52" customFormat="false" ht="15" hidden="false" customHeight="false" outlineLevel="0" collapsed="false">
      <c r="A52" s="3" t="s">
        <v>1486</v>
      </c>
      <c r="B52" s="3"/>
      <c r="C52" s="5" t="n">
        <f aca="false">-(C35-B35)</f>
        <v>-1129.905</v>
      </c>
      <c r="D52" s="5" t="n">
        <f aca="false">-(D35-C35)</f>
        <v>-1169.451675</v>
      </c>
      <c r="E52" s="5" t="n">
        <f aca="false">-(E35-D35)</f>
        <v>-1210.382483625</v>
      </c>
      <c r="F52" s="5" t="n">
        <f aca="false">-(F35-E35)</f>
        <v>-1252.74587055187</v>
      </c>
      <c r="G52" s="5" t="n">
        <f aca="false">-(G35-F35)</f>
        <v>-1296.59197602119</v>
      </c>
    </row>
    <row r="53" customFormat="false" ht="15" hidden="false" customHeight="false" outlineLevel="0" collapsed="false">
      <c r="A53" s="3" t="s">
        <v>1487</v>
      </c>
      <c r="B53" s="3"/>
      <c r="C53" s="5" t="n">
        <f aca="false">-(C36-B36)</f>
        <v>-243.285</v>
      </c>
      <c r="D53" s="5" t="n">
        <f aca="false">-(D36-C36)</f>
        <v>-251.799975</v>
      </c>
      <c r="E53" s="5" t="n">
        <f aca="false">-(E36-D36)</f>
        <v>-260.612974124999</v>
      </c>
      <c r="F53" s="5" t="n">
        <f aca="false">-(F36-E36)</f>
        <v>-269.734428219374</v>
      </c>
      <c r="G53" s="5" t="n">
        <f aca="false">-(G36-F36)</f>
        <v>-279.175133207054</v>
      </c>
    </row>
    <row r="54" customFormat="false" ht="15" hidden="false" customHeight="false" outlineLevel="0" collapsed="false">
      <c r="A54" s="3" t="s">
        <v>1446</v>
      </c>
      <c r="B54" s="3"/>
      <c r="C54" s="5" t="n">
        <f aca="false">-C19*C8</f>
        <v>-2967.345</v>
      </c>
      <c r="D54" s="5" t="n">
        <f aca="false">-D19*D8</f>
        <v>-3071.202075</v>
      </c>
      <c r="E54" s="5" t="n">
        <f aca="false">-E19*E8</f>
        <v>-3178.694147625</v>
      </c>
      <c r="F54" s="5" t="n">
        <f aca="false">-F19*F8</f>
        <v>-3289.94844279187</v>
      </c>
      <c r="G54" s="5" t="n">
        <f aca="false">-G19*G8</f>
        <v>-3405.09663828959</v>
      </c>
    </row>
    <row r="55" customFormat="false" ht="15" hidden="false" customHeight="false" outlineLevel="0" collapsed="false">
      <c r="A55" s="3" t="s">
        <v>1488</v>
      </c>
      <c r="B55" s="3"/>
      <c r="C55" s="5" t="n">
        <f aca="false">C40-B40</f>
        <v>1244.005</v>
      </c>
      <c r="D55" s="5" t="n">
        <f aca="false">D40-C40</f>
        <v>1287.54517499999</v>
      </c>
      <c r="E55" s="5" t="n">
        <f aca="false">E40-D40</f>
        <v>1332.609256125</v>
      </c>
      <c r="F55" s="5" t="n">
        <f aca="false">F40-E40</f>
        <v>1379.25058008938</v>
      </c>
      <c r="G55" s="5" t="n">
        <f aca="false">G40-F40</f>
        <v>1427.52435039249</v>
      </c>
    </row>
    <row r="56" customFormat="false" ht="15" hidden="false" customHeight="false" outlineLevel="0" collapsed="false">
      <c r="A56" s="3" t="s">
        <v>1489</v>
      </c>
      <c r="B56" s="3"/>
      <c r="C56" s="5" t="n">
        <f aca="false">SUM(C50:C55)+C31</f>
        <v>3720.19153722689</v>
      </c>
      <c r="D56" s="5" t="n">
        <f aca="false">SUM(D50:D55)+D31</f>
        <v>3903.10649161806</v>
      </c>
      <c r="E56" s="5" t="n">
        <f aca="false">SUM(E50:E55)+E31</f>
        <v>4092.42346941293</v>
      </c>
      <c r="F56" s="5" t="n">
        <f aca="false">SUM(F50:F55)+F31</f>
        <v>4288.36654143064</v>
      </c>
      <c r="G56" s="5" t="n">
        <f aca="false">SUM(G50:G55)+G31</f>
        <v>4491.16762096892</v>
      </c>
    </row>
    <row r="57" customFormat="false" ht="15" hidden="false" customHeight="false" outlineLevel="0" collapsed="false">
      <c r="A57" s="80"/>
      <c r="B57" s="80"/>
      <c r="C57" s="80"/>
      <c r="D57" s="80"/>
      <c r="E57" s="80"/>
      <c r="F57" s="80"/>
      <c r="G57" s="80"/>
    </row>
    <row r="58" customFormat="false" ht="15" hidden="false" customHeight="false" outlineLevel="0" collapsed="false">
      <c r="A58" s="1" t="s">
        <v>1490</v>
      </c>
      <c r="B58" s="1" t="s">
        <v>1428</v>
      </c>
      <c r="C58" s="1" t="s">
        <v>1429</v>
      </c>
      <c r="D58" s="1" t="s">
        <v>1430</v>
      </c>
      <c r="E58" s="1" t="s">
        <v>1431</v>
      </c>
      <c r="F58" s="1" t="s">
        <v>1432</v>
      </c>
      <c r="G58" s="1" t="s">
        <v>1433</v>
      </c>
    </row>
    <row r="59" customFormat="false" ht="15" hidden="false" customHeight="false" outlineLevel="0" collapsed="false">
      <c r="A59" s="3" t="s">
        <v>81</v>
      </c>
      <c r="B59" s="3"/>
      <c r="C59" s="5" t="n">
        <f aca="false">C25</f>
        <v>7815.28499999999</v>
      </c>
      <c r="D59" s="5" t="n">
        <f aca="false">D25</f>
        <v>8088.81997499999</v>
      </c>
      <c r="E59" s="5" t="n">
        <f aca="false">E25</f>
        <v>8371.92867412499</v>
      </c>
      <c r="F59" s="5" t="n">
        <f aca="false">F25</f>
        <v>8664.94617771939</v>
      </c>
      <c r="G59" s="5" t="n">
        <f aca="false">G25</f>
        <v>8968.21929393956</v>
      </c>
    </row>
    <row r="60" customFormat="false" ht="15" hidden="false" customHeight="false" outlineLevel="0" collapsed="false">
      <c r="A60" s="3" t="s">
        <v>1443</v>
      </c>
      <c r="B60" s="3"/>
      <c r="C60" s="5" t="n">
        <f aca="false">-C59*C10</f>
        <v>-2344.5855</v>
      </c>
      <c r="D60" s="5" t="n">
        <f aca="false">-D59*D10</f>
        <v>-2426.6459925</v>
      </c>
      <c r="E60" s="5" t="n">
        <f aca="false">-E59*E10</f>
        <v>-2511.5786022375</v>
      </c>
      <c r="F60" s="5" t="n">
        <f aca="false">-F59*F10</f>
        <v>-2599.48385331582</v>
      </c>
      <c r="G60" s="5" t="n">
        <f aca="false">-G59*G10</f>
        <v>-2690.46578818187</v>
      </c>
    </row>
    <row r="61" customFormat="false" ht="15" hidden="false" customHeight="false" outlineLevel="0" collapsed="false">
      <c r="A61" s="3" t="s">
        <v>1491</v>
      </c>
      <c r="B61" s="3"/>
      <c r="C61" s="5" t="n">
        <f aca="false">C59+C60</f>
        <v>5470.69949999999</v>
      </c>
      <c r="D61" s="5" t="n">
        <f aca="false">D59+D60</f>
        <v>5662.17398249999</v>
      </c>
      <c r="E61" s="5" t="n">
        <f aca="false">E59+E60</f>
        <v>5860.35007188749</v>
      </c>
      <c r="F61" s="5" t="n">
        <f aca="false">F59+F60</f>
        <v>6065.46232440357</v>
      </c>
      <c r="G61" s="5" t="n">
        <f aca="false">G59+G60</f>
        <v>6277.75350575769</v>
      </c>
    </row>
    <row r="62" customFormat="false" ht="15" hidden="false" customHeight="false" outlineLevel="0" collapsed="false">
      <c r="A62" s="3" t="s">
        <v>1445</v>
      </c>
      <c r="B62" s="3"/>
      <c r="C62" s="5" t="n">
        <f aca="false">C51</f>
        <v>4493.97</v>
      </c>
      <c r="D62" s="5" t="n">
        <f aca="false">D51</f>
        <v>4651.25895</v>
      </c>
      <c r="E62" s="5" t="n">
        <f aca="false">E51</f>
        <v>4814.05301325</v>
      </c>
      <c r="F62" s="5" t="n">
        <f aca="false">F51</f>
        <v>4982.54486871375</v>
      </c>
      <c r="G62" s="5" t="n">
        <f aca="false">G51</f>
        <v>5156.93393911873</v>
      </c>
    </row>
    <row r="63" customFormat="false" ht="15" hidden="false" customHeight="false" outlineLevel="0" collapsed="false">
      <c r="A63" s="3" t="s">
        <v>1446</v>
      </c>
      <c r="B63" s="3"/>
      <c r="C63" s="5" t="n">
        <f aca="false">C54</f>
        <v>-2967.345</v>
      </c>
      <c r="D63" s="5" t="n">
        <f aca="false">D54</f>
        <v>-3071.202075</v>
      </c>
      <c r="E63" s="5" t="n">
        <f aca="false">E54</f>
        <v>-3178.694147625</v>
      </c>
      <c r="F63" s="5" t="n">
        <f aca="false">F54</f>
        <v>-3289.94844279187</v>
      </c>
      <c r="G63" s="5" t="n">
        <f aca="false">G54</f>
        <v>-3405.09663828959</v>
      </c>
    </row>
    <row r="64" customFormat="false" ht="15" hidden="false" customHeight="false" outlineLevel="0" collapsed="false">
      <c r="A64" s="3" t="s">
        <v>1447</v>
      </c>
      <c r="B64" s="3"/>
      <c r="C64" s="5" t="n">
        <f aca="false">C52+C53+C55</f>
        <v>-129.185000000001</v>
      </c>
      <c r="D64" s="5" t="n">
        <f aca="false">D52+D53+D55</f>
        <v>-133.706475000005</v>
      </c>
      <c r="E64" s="5" t="n">
        <f aca="false">E52+E53+E55</f>
        <v>-138.386201625</v>
      </c>
      <c r="F64" s="5" t="n">
        <f aca="false">F52+F53+F55</f>
        <v>-143.229718681862</v>
      </c>
      <c r="G64" s="5" t="n">
        <f aca="false">G52+G53+G55</f>
        <v>-148.24275883575</v>
      </c>
    </row>
    <row r="65" customFormat="false" ht="15" hidden="false" customHeight="false" outlineLevel="0" collapsed="false">
      <c r="A65" s="3" t="s">
        <v>1492</v>
      </c>
      <c r="B65" s="3"/>
      <c r="C65" s="5" t="n">
        <f aca="false">SUM(C61:C64)</f>
        <v>6868.13949999999</v>
      </c>
      <c r="D65" s="5" t="n">
        <f aca="false">SUM(D61:D64)</f>
        <v>7108.52438249999</v>
      </c>
      <c r="E65" s="5" t="n">
        <f aca="false">SUM(E61:E64)</f>
        <v>7357.32273588749</v>
      </c>
      <c r="F65" s="5" t="n">
        <f aca="false">SUM(F61:F64)</f>
        <v>7614.82903164358</v>
      </c>
      <c r="G65" s="5" t="n">
        <f aca="false">SUM(G61:G64)</f>
        <v>7881.34804775108</v>
      </c>
    </row>
    <row r="66" customFormat="false" ht="15" hidden="false" customHeight="false" outlineLevel="0" collapsed="false">
      <c r="A66" s="3" t="s">
        <v>1441</v>
      </c>
      <c r="B66" s="3"/>
      <c r="C66" s="91" t="n">
        <v>1</v>
      </c>
      <c r="D66" s="91" t="n">
        <f aca="false">C66+1</f>
        <v>2</v>
      </c>
      <c r="E66" s="91" t="n">
        <f aca="false">D66+1</f>
        <v>3</v>
      </c>
      <c r="F66" s="91" t="n">
        <f aca="false">E66+1</f>
        <v>4</v>
      </c>
      <c r="G66" s="91" t="n">
        <f aca="false">F66+1</f>
        <v>5</v>
      </c>
    </row>
    <row r="67" customFormat="false" ht="15" hidden="false" customHeight="false" outlineLevel="0" collapsed="false">
      <c r="A67" s="3" t="s">
        <v>1449</v>
      </c>
      <c r="B67" s="3"/>
      <c r="C67" s="92" t="n">
        <f aca="false">1/(1+C15)^C66</f>
        <v>0.908582290271917</v>
      </c>
      <c r="D67" s="92" t="n">
        <f aca="false">1/(1+D15)^D66</f>
        <v>0.825521778195762</v>
      </c>
      <c r="E67" s="92" t="n">
        <f aca="false">1/(1+E15)^E66</f>
        <v>0.750054467902451</v>
      </c>
      <c r="F67" s="92" t="n">
        <f aca="false">1/(1+F15)^F66</f>
        <v>0.681486206275493</v>
      </c>
      <c r="G67" s="92" t="n">
        <f aca="false">1/(1+G15)^G66</f>
        <v>0.619186298086507</v>
      </c>
    </row>
    <row r="68" customFormat="false" ht="15" hidden="false" customHeight="false" outlineLevel="0" collapsed="false">
      <c r="A68" s="3" t="s">
        <v>1493</v>
      </c>
      <c r="B68" s="3"/>
      <c r="C68" s="5" t="n">
        <f aca="false">C65*C67</f>
        <v>6240.26991681701</v>
      </c>
      <c r="D68" s="5" t="n">
        <f aca="false">D65*D67</f>
        <v>5868.24168858932</v>
      </c>
      <c r="E68" s="5" t="n">
        <f aca="false">E65*E67</f>
        <v>5518.3927898527</v>
      </c>
      <c r="F68" s="5" t="n">
        <f aca="false">F65*F67</f>
        <v>5189.40094821127</v>
      </c>
      <c r="G68" s="5" t="n">
        <f aca="false">G65*G67</f>
        <v>4880.02272161831</v>
      </c>
    </row>
    <row r="69" customFormat="false" ht="15" hidden="false" customHeight="false" outlineLevel="0" collapsed="false">
      <c r="A69" s="80"/>
      <c r="B69" s="80"/>
      <c r="C69" s="80"/>
      <c r="D69" s="80"/>
      <c r="E69" s="80"/>
      <c r="F69" s="80"/>
      <c r="G69" s="80"/>
    </row>
    <row r="70" customFormat="false" ht="15" hidden="false" customHeight="false" outlineLevel="0" collapsed="false">
      <c r="A70" s="1" t="s">
        <v>1494</v>
      </c>
      <c r="B70" s="1" t="s">
        <v>78</v>
      </c>
      <c r="C70" s="80"/>
      <c r="D70" s="80"/>
      <c r="E70" s="80"/>
      <c r="F70" s="80"/>
      <c r="G70" s="80"/>
    </row>
    <row r="71" customFormat="false" ht="15" hidden="false" customHeight="false" outlineLevel="0" collapsed="false">
      <c r="A71" s="3" t="s">
        <v>1495</v>
      </c>
      <c r="B71" s="5" t="n">
        <f aca="false">SUM(C68:G68)</f>
        <v>27696.3280650886</v>
      </c>
      <c r="C71" s="80"/>
      <c r="D71" s="80"/>
      <c r="E71" s="80"/>
      <c r="F71" s="80"/>
      <c r="G71" s="80"/>
    </row>
    <row r="72" customFormat="false" ht="15" hidden="false" customHeight="false" outlineLevel="0" collapsed="false">
      <c r="A72" s="3" t="s">
        <v>1496</v>
      </c>
      <c r="B72" s="5" t="n">
        <f aca="false">G65*(1+G16)</f>
        <v>8157.19522942237</v>
      </c>
      <c r="C72" s="80"/>
      <c r="D72" s="80"/>
      <c r="E72" s="80"/>
      <c r="F72" s="80"/>
      <c r="G72" s="80"/>
    </row>
    <row r="73" customFormat="false" ht="15" hidden="false" customHeight="false" outlineLevel="0" collapsed="false">
      <c r="A73" s="3" t="s">
        <v>1497</v>
      </c>
      <c r="B73" s="5" t="n">
        <f aca="false">B72/(G15-G16)</f>
        <v>124317.596534071</v>
      </c>
      <c r="C73" s="80"/>
      <c r="D73" s="80"/>
      <c r="E73" s="80"/>
      <c r="F73" s="80"/>
      <c r="G73" s="80"/>
    </row>
    <row r="74" customFormat="false" ht="15" hidden="false" customHeight="false" outlineLevel="0" collapsed="false">
      <c r="A74" s="3" t="s">
        <v>1498</v>
      </c>
      <c r="B74" s="5" t="n">
        <f aca="false">B73*G67</f>
        <v>76975.7523849435</v>
      </c>
      <c r="C74" s="80"/>
      <c r="D74" s="80"/>
      <c r="E74" s="80"/>
      <c r="F74" s="80"/>
      <c r="G74" s="80"/>
    </row>
    <row r="75" customFormat="false" ht="15" hidden="false" customHeight="false" outlineLevel="0" collapsed="false">
      <c r="A75" s="3" t="s">
        <v>1499</v>
      </c>
      <c r="B75" s="5" t="n">
        <f aca="false">B71+B74</f>
        <v>104672.080450032</v>
      </c>
      <c r="C75" s="80"/>
      <c r="D75" s="80"/>
      <c r="E75" s="80"/>
      <c r="F75" s="80"/>
      <c r="G75" s="80"/>
    </row>
    <row r="76" customFormat="false" ht="15" hidden="false" customHeight="false" outlineLevel="0" collapsed="false">
      <c r="A76" s="3" t="s">
        <v>1500</v>
      </c>
      <c r="B76" s="7" t="n">
        <f aca="false">B74/B75</f>
        <v>0.735399086881529</v>
      </c>
      <c r="C76" s="80"/>
      <c r="D76" s="80"/>
      <c r="E76" s="80"/>
      <c r="F76" s="80"/>
      <c r="G76" s="80"/>
    </row>
    <row r="77" customFormat="false" ht="15" hidden="false" customHeight="false" outlineLevel="0" collapsed="false">
      <c r="A77" s="80"/>
      <c r="B77" s="80"/>
      <c r="C77" s="80"/>
      <c r="D77" s="80"/>
      <c r="E77" s="80"/>
      <c r="F77" s="80"/>
      <c r="G77" s="80"/>
    </row>
    <row r="78" customFormat="false" ht="15" hidden="false" customHeight="false" outlineLevel="0" collapsed="false">
      <c r="A78" s="1" t="s">
        <v>1501</v>
      </c>
      <c r="B78" s="1" t="s">
        <v>78</v>
      </c>
      <c r="C78" s="80"/>
      <c r="D78" s="80"/>
      <c r="E78" s="80"/>
      <c r="F78" s="80"/>
      <c r="G78" s="80"/>
    </row>
    <row r="79" customFormat="false" ht="15" hidden="false" customHeight="false" outlineLevel="0" collapsed="false">
      <c r="A79" s="3" t="s">
        <v>1499</v>
      </c>
      <c r="B79" s="5" t="n">
        <f aca="false">B75</f>
        <v>104672.080450032</v>
      </c>
      <c r="C79" s="80"/>
      <c r="D79" s="80"/>
      <c r="E79" s="80"/>
      <c r="F79" s="80"/>
      <c r="G79" s="80"/>
    </row>
    <row r="80" customFormat="false" ht="15" hidden="false" customHeight="false" outlineLevel="0" collapsed="false">
      <c r="A80" s="3" t="s">
        <v>1502</v>
      </c>
      <c r="B80" s="5" t="n">
        <f aca="false">-B41</f>
        <v>-11500</v>
      </c>
      <c r="C80" s="80"/>
      <c r="D80" s="80"/>
      <c r="E80" s="80"/>
      <c r="F80" s="80"/>
      <c r="G80" s="80"/>
    </row>
    <row r="81" customFormat="false" ht="15" hidden="false" customHeight="false" outlineLevel="0" collapsed="false">
      <c r="A81" s="3" t="s">
        <v>1503</v>
      </c>
      <c r="B81" s="5" t="n">
        <f aca="false">-B42</f>
        <v>-12118</v>
      </c>
      <c r="C81" s="80"/>
      <c r="D81" s="80"/>
      <c r="E81" s="80"/>
      <c r="F81" s="80"/>
      <c r="G81" s="80"/>
    </row>
    <row r="82" customFormat="false" ht="15" hidden="false" customHeight="false" outlineLevel="0" collapsed="false">
      <c r="A82" s="3" t="s">
        <v>1504</v>
      </c>
      <c r="B82" s="5" t="n">
        <f aca="false">B34</f>
        <v>9295</v>
      </c>
      <c r="C82" s="80"/>
      <c r="D82" s="80"/>
      <c r="E82" s="80"/>
      <c r="F82" s="80"/>
      <c r="G82" s="80"/>
    </row>
    <row r="83" customFormat="false" ht="15" hidden="false" customHeight="false" outlineLevel="0" collapsed="false">
      <c r="A83" s="3" t="s">
        <v>1505</v>
      </c>
      <c r="B83" s="5" t="n">
        <f aca="false">SUM(B79:B82)</f>
        <v>90349.0804500321</v>
      </c>
      <c r="C83" s="80"/>
      <c r="D83" s="80"/>
      <c r="E83" s="80"/>
      <c r="F83" s="80"/>
      <c r="G83" s="80"/>
    </row>
    <row r="84" customFormat="false" ht="15" hidden="false" customHeight="false" outlineLevel="0" collapsed="false">
      <c r="A84" s="3" t="s">
        <v>57</v>
      </c>
      <c r="B84" s="104" t="n">
        <f aca="false">Valuación!B40</f>
        <v>1800</v>
      </c>
      <c r="C84" s="80"/>
      <c r="D84" s="80"/>
      <c r="E84" s="80"/>
      <c r="F84" s="80"/>
      <c r="G84" s="80"/>
    </row>
    <row r="85" customFormat="false" ht="15" hidden="false" customHeight="false" outlineLevel="0" collapsed="false">
      <c r="A85" s="3" t="s">
        <v>1506</v>
      </c>
      <c r="B85" s="81" t="n">
        <f aca="false">B83/B84</f>
        <v>50.1939335833512</v>
      </c>
      <c r="C85" s="80"/>
      <c r="D85" s="80"/>
      <c r="E85" s="80"/>
      <c r="F85" s="80"/>
      <c r="G85" s="80"/>
    </row>
    <row r="86" customFormat="false" ht="15" hidden="false" customHeight="false" outlineLevel="0" collapsed="false">
      <c r="A86" s="3" t="s">
        <v>16</v>
      </c>
      <c r="B86" s="81" t="n">
        <f aca="false">Valuación!B42</f>
        <v>33.1</v>
      </c>
      <c r="C86" s="80"/>
      <c r="D86" s="80"/>
      <c r="E86" s="80"/>
      <c r="F86" s="80"/>
      <c r="G86" s="80"/>
    </row>
    <row r="87" customFormat="false" ht="15" hidden="false" customHeight="false" outlineLevel="0" collapsed="false">
      <c r="A87" s="3" t="s">
        <v>17</v>
      </c>
      <c r="B87" s="7" t="n">
        <f aca="false">B85/B86-1</f>
        <v>0.516433038771939</v>
      </c>
      <c r="C87" s="80"/>
      <c r="D87" s="80"/>
      <c r="E87" s="80"/>
      <c r="F87" s="80"/>
      <c r="G87" s="8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30" activeCellId="0" sqref="H30"/>
    </sheetView>
  </sheetViews>
  <sheetFormatPr defaultColWidth="10.66796875" defaultRowHeight="15" zeroHeight="false" outlineLevelRow="0" outlineLevelCol="0"/>
  <cols>
    <col collapsed="false" customWidth="true" hidden="false" outlineLevel="0" max="1" min="1" style="0" width="61.16"/>
    <col collapsed="false" customWidth="true" hidden="false" outlineLevel="0" max="5" min="2" style="0" width="20"/>
    <col collapsed="false" customWidth="true" hidden="false" outlineLevel="0" max="8" min="6" style="0" width="26.83"/>
    <col collapsed="false" customWidth="true" hidden="false" outlineLevel="0" max="10" min="9" style="0" width="20"/>
  </cols>
  <sheetData>
    <row r="1" customFormat="false" ht="15" hidden="false" customHeight="true" outlineLevel="0" collapsed="false">
      <c r="A1" s="105"/>
      <c r="B1" s="105"/>
      <c r="C1" s="105"/>
      <c r="D1" s="105"/>
      <c r="E1" s="105"/>
      <c r="F1" s="105"/>
      <c r="G1" s="105"/>
      <c r="H1" s="105"/>
      <c r="I1" s="105"/>
    </row>
    <row r="2" customFormat="false" ht="15" hidden="false" customHeight="true" outlineLevel="0" collapsed="false">
      <c r="A2" s="105"/>
      <c r="B2" s="105"/>
      <c r="C2" s="105"/>
      <c r="D2" s="105"/>
      <c r="E2" s="105"/>
      <c r="F2" s="105"/>
      <c r="G2" s="105"/>
      <c r="H2" s="105"/>
      <c r="I2" s="105"/>
      <c r="J2" s="105"/>
    </row>
    <row r="3" customFormat="false" ht="15" hidden="false" customHeight="true" outlineLevel="0" collapsed="false">
      <c r="A3" s="106" t="s">
        <v>1507</v>
      </c>
      <c r="B3" s="105"/>
      <c r="C3" s="105"/>
      <c r="D3" s="105"/>
      <c r="E3" s="105"/>
      <c r="F3" s="105"/>
      <c r="G3" s="105"/>
      <c r="H3" s="105"/>
      <c r="I3" s="105"/>
      <c r="J3" s="105"/>
    </row>
    <row r="4" customFormat="false" ht="15" hidden="false" customHeight="true" outlineLevel="0" collapsed="false">
      <c r="A4" s="18" t="s">
        <v>1395</v>
      </c>
      <c r="B4" s="18" t="s">
        <v>1508</v>
      </c>
      <c r="C4" s="18" t="s">
        <v>1509</v>
      </c>
      <c r="D4" s="18" t="s">
        <v>1510</v>
      </c>
      <c r="E4" s="18" t="s">
        <v>1511</v>
      </c>
      <c r="F4" s="18" t="s">
        <v>1512</v>
      </c>
      <c r="G4" s="18" t="s">
        <v>1513</v>
      </c>
      <c r="H4" s="18" t="s">
        <v>1514</v>
      </c>
      <c r="I4" s="105"/>
      <c r="J4" s="105"/>
    </row>
    <row r="5" customFormat="false" ht="15" hidden="false" customHeight="true" outlineLevel="0" collapsed="false">
      <c r="A5" s="18" t="s">
        <v>1515</v>
      </c>
      <c r="B5" s="107" t="n">
        <f aca="false">I39</f>
        <v>3</v>
      </c>
      <c r="C5" s="107" t="n">
        <f aca="false">I40</f>
        <v>4</v>
      </c>
      <c r="D5" s="107" t="n">
        <f aca="false">I41</f>
        <v>5</v>
      </c>
      <c r="E5" s="107" t="n">
        <f aca="false">I42</f>
        <v>6</v>
      </c>
      <c r="F5" s="24"/>
      <c r="G5" s="24"/>
      <c r="H5" s="99"/>
      <c r="I5" s="105"/>
      <c r="J5" s="105"/>
    </row>
    <row r="6" customFormat="false" ht="15" hidden="false" customHeight="true" outlineLevel="0" collapsed="false">
      <c r="A6" s="18" t="s">
        <v>1442</v>
      </c>
      <c r="B6" s="24" t="n">
        <f aca="false">J39</f>
        <v>41995.3</v>
      </c>
      <c r="C6" s="24" t="n">
        <f aca="false">J40</f>
        <v>41321.2</v>
      </c>
      <c r="D6" s="24" t="n">
        <f aca="false">J41</f>
        <v>40647.1</v>
      </c>
      <c r="E6" s="24" t="n">
        <f aca="false">J42</f>
        <v>39973</v>
      </c>
      <c r="F6" s="24" t="n">
        <f aca="false">SUM(B6:E6)</f>
        <v>163936.6</v>
      </c>
      <c r="G6" s="24" t="n">
        <f aca="false">SUM(Datos!C6:F6)</f>
        <v>174278</v>
      </c>
      <c r="H6" s="99" t="n">
        <f aca="false">IFERROR((F6-G6)/ABS(G6),"")</f>
        <v>-0.0593385280987848</v>
      </c>
      <c r="I6" s="105"/>
      <c r="J6" s="105"/>
    </row>
    <row r="7" customFormat="false" ht="15" hidden="false" customHeight="true" outlineLevel="0" collapsed="false">
      <c r="A7" s="18" t="s">
        <v>1516</v>
      </c>
      <c r="B7" s="24" t="n">
        <f aca="false">J56</f>
        <v>40013.5</v>
      </c>
      <c r="C7" s="24" t="n">
        <f aca="false">J57</f>
        <v>39314.8</v>
      </c>
      <c r="D7" s="24" t="n">
        <f aca="false">J58</f>
        <v>38616.1</v>
      </c>
      <c r="E7" s="24" t="n">
        <f aca="false">J59</f>
        <v>37917.4</v>
      </c>
      <c r="F7" s="24" t="n">
        <f aca="false">SUM(B7:E7)</f>
        <v>155861.8</v>
      </c>
      <c r="G7" s="24" t="n">
        <f aca="false">SUM(Datos!C6:F6)-SUM(Datos!C9:F9)</f>
        <v>166647</v>
      </c>
      <c r="H7" s="99" t="n">
        <f aca="false">IFERROR((F7-G7)/ABS(G7),"")</f>
        <v>-0.0647188368227452</v>
      </c>
      <c r="I7" s="105"/>
      <c r="J7" s="105"/>
    </row>
    <row r="8" customFormat="false" ht="15" hidden="false" customHeight="true" outlineLevel="0" collapsed="false">
      <c r="A8" s="18" t="s">
        <v>1517</v>
      </c>
      <c r="B8" s="24" t="n">
        <f aca="false">B6-B7</f>
        <v>1981.8</v>
      </c>
      <c r="C8" s="24" t="n">
        <f aca="false">C6-C7</f>
        <v>2006.4</v>
      </c>
      <c r="D8" s="24" t="n">
        <f aca="false">D6-D7</f>
        <v>2031</v>
      </c>
      <c r="E8" s="24" t="n">
        <f aca="false">E6-E7</f>
        <v>2055.60000000001</v>
      </c>
      <c r="F8" s="24" t="n">
        <f aca="false">SUM(B8:E8)</f>
        <v>8074.8</v>
      </c>
      <c r="G8" s="24" t="n">
        <f aca="false">G6-G7</f>
        <v>7631</v>
      </c>
      <c r="H8" s="99" t="n">
        <f aca="false">IFERROR((F8-G8)/ABS(G8),"")</f>
        <v>0.0581575153977202</v>
      </c>
      <c r="I8" s="105"/>
      <c r="J8" s="105"/>
    </row>
    <row r="9" customFormat="false" ht="15" hidden="false" customHeight="true" outlineLevel="0" collapsed="false">
      <c r="A9" s="18" t="s">
        <v>1435</v>
      </c>
      <c r="B9" s="99" t="n">
        <f aca="false">B8/B6</f>
        <v>0.0471909951827942</v>
      </c>
      <c r="C9" s="99" t="n">
        <f aca="false">C8/C6</f>
        <v>0.0485561890748575</v>
      </c>
      <c r="D9" s="99" t="n">
        <f aca="false">D8/D6</f>
        <v>0.0499666642884732</v>
      </c>
      <c r="E9" s="99" t="n">
        <f aca="false">E8/E6</f>
        <v>0.0514247116803844</v>
      </c>
      <c r="F9" s="99" t="n">
        <f aca="false">F8/F6</f>
        <v>0.0492556268703877</v>
      </c>
      <c r="G9" s="99" t="n">
        <f aca="false">G8/G6</f>
        <v>0.0437863643144861</v>
      </c>
      <c r="H9" s="99"/>
      <c r="I9" s="105"/>
      <c r="J9" s="105"/>
    </row>
    <row r="10" customFormat="false" ht="15" hidden="false" customHeight="true" outlineLevel="0" collapsed="false">
      <c r="A10" s="18" t="s">
        <v>1518</v>
      </c>
      <c r="B10" s="99" t="n">
        <f aca="false">J73</f>
        <v>0.224855634155331</v>
      </c>
      <c r="C10" s="99" t="n">
        <f aca="false">J74</f>
        <v>0.202996529891104</v>
      </c>
      <c r="D10" s="99" t="n">
        <f aca="false">J75</f>
        <v>0.181137425626876</v>
      </c>
      <c r="E10" s="99" t="n">
        <f aca="false">J76</f>
        <v>0.159278321362649</v>
      </c>
      <c r="F10" s="99" t="n">
        <f aca="false">1-F11/F8</f>
        <v>0.191734007304675</v>
      </c>
      <c r="G10" s="99" t="n">
        <f aca="false">SUM(Datos!C12:F12)/SUM(Datos!C11:F11)</f>
        <v>0.269473684210526</v>
      </c>
      <c r="H10" s="99"/>
      <c r="I10" s="105"/>
      <c r="J10" s="105"/>
    </row>
    <row r="11" customFormat="false" ht="15" hidden="false" customHeight="true" outlineLevel="0" collapsed="false">
      <c r="A11" s="18" t="s">
        <v>1519</v>
      </c>
      <c r="B11" s="24" t="n">
        <f aca="false">B8*(1-B10)</f>
        <v>1536.18110423096</v>
      </c>
      <c r="C11" s="24" t="n">
        <f aca="false">C8*(1-C10)</f>
        <v>1599.10776242649</v>
      </c>
      <c r="D11" s="24" t="n">
        <f aca="false">D8*(1-D10)</f>
        <v>1663.10988855181</v>
      </c>
      <c r="E11" s="24" t="n">
        <f aca="false">E8*(1-E10)</f>
        <v>1728.18748260694</v>
      </c>
      <c r="F11" s="24" t="n">
        <f aca="false">SUM(B11:E11)</f>
        <v>6526.58623781621</v>
      </c>
      <c r="G11" s="24" t="n">
        <f aca="false">G8*(1-G10)</f>
        <v>5574.64631578947</v>
      </c>
      <c r="H11" s="99" t="n">
        <f aca="false">IFERROR((F11-G11)/ABS(G11),"")</f>
        <v>0.17076238887667</v>
      </c>
      <c r="I11" s="105"/>
      <c r="J11" s="105"/>
    </row>
    <row r="12" customFormat="false" ht="15" hidden="false" customHeight="true" outlineLevel="0" collapsed="false">
      <c r="A12" s="18" t="s">
        <v>1445</v>
      </c>
      <c r="B12" s="24" t="n">
        <f aca="false">J90</f>
        <v>1011.854</v>
      </c>
      <c r="C12" s="24" t="n">
        <f aca="false">J91</f>
        <v>996.7536</v>
      </c>
      <c r="D12" s="24" t="n">
        <f aca="false">J92</f>
        <v>981.6532</v>
      </c>
      <c r="E12" s="24" t="n">
        <f aca="false">J93</f>
        <v>966.5528</v>
      </c>
      <c r="F12" s="24" t="n">
        <f aca="false">SUM(B12:E12)</f>
        <v>3956.8136</v>
      </c>
      <c r="G12" s="24" t="n">
        <f aca="false">SUM(Datos!C14:F14)</f>
        <v>4179.871</v>
      </c>
      <c r="H12" s="99" t="n">
        <f aca="false">IFERROR((F12-G12)/ABS(G12),"")</f>
        <v>-0.0533646612539</v>
      </c>
      <c r="I12" s="105"/>
      <c r="J12" s="105"/>
    </row>
    <row r="13" customFormat="false" ht="15" hidden="false" customHeight="true" outlineLevel="0" collapsed="false">
      <c r="A13" s="18" t="s">
        <v>1446</v>
      </c>
      <c r="B13" s="24" t="n">
        <f aca="false">J107</f>
        <v>798.82</v>
      </c>
      <c r="C13" s="24" t="n">
        <f aca="false">J108</f>
        <v>820.74</v>
      </c>
      <c r="D13" s="24" t="n">
        <f aca="false">J109</f>
        <v>842.66</v>
      </c>
      <c r="E13" s="24" t="n">
        <f aca="false">J110</f>
        <v>864.58</v>
      </c>
      <c r="F13" s="24" t="n">
        <f aca="false">SUM(B13:E13)</f>
        <v>3326.8</v>
      </c>
      <c r="G13" s="24" t="n">
        <f aca="false">SUM(Datos!C16:F16)</f>
        <v>3002.1</v>
      </c>
      <c r="H13" s="99" t="n">
        <f aca="false">IFERROR((F13-G13)/ABS(G13),"")</f>
        <v>0.108157622997235</v>
      </c>
      <c r="I13" s="105"/>
      <c r="J13" s="105"/>
    </row>
    <row r="14" customFormat="false" ht="15" hidden="false" customHeight="true" outlineLevel="0" collapsed="false">
      <c r="A14" s="18" t="s">
        <v>1520</v>
      </c>
      <c r="B14" s="24" t="n">
        <f aca="false">J124</f>
        <v>6975.4312</v>
      </c>
      <c r="C14" s="24" t="n">
        <f aca="false">J125</f>
        <v>6036.11400000001</v>
      </c>
      <c r="D14" s="24" t="n">
        <f aca="false">J126</f>
        <v>5096.79680000001</v>
      </c>
      <c r="E14" s="24" t="n">
        <f aca="false">J127</f>
        <v>4157.47960000001</v>
      </c>
      <c r="F14" s="24" t="n">
        <f aca="false">E14</f>
        <v>4157.47960000001</v>
      </c>
      <c r="G14" s="24" t="n">
        <f aca="false">Datos!F19-Datos!F21</f>
        <v>7301.914</v>
      </c>
      <c r="H14" s="99"/>
      <c r="I14" s="105"/>
      <c r="J14" s="105"/>
    </row>
    <row r="15" customFormat="false" ht="15" hidden="false" customHeight="true" outlineLevel="0" collapsed="false">
      <c r="A15" s="18" t="s">
        <v>1521</v>
      </c>
      <c r="B15" s="24" t="n">
        <f aca="false">B14-(Datos!$F$19-Datos!$F$21)</f>
        <v>-326.482800000001</v>
      </c>
      <c r="C15" s="24" t="n">
        <f aca="false">C14-B14</f>
        <v>-939.317199999999</v>
      </c>
      <c r="D15" s="24" t="n">
        <f aca="false">D14-C14</f>
        <v>-939.3172</v>
      </c>
      <c r="E15" s="24" t="n">
        <f aca="false">E14-D14</f>
        <v>-939.3172</v>
      </c>
      <c r="F15" s="24" t="n">
        <f aca="false">SUM(B15:E15)</f>
        <v>-3144.4344</v>
      </c>
      <c r="G15" s="24" t="n">
        <f aca="false">(Datos!F19-Datos!F21)-(Datos!B19-Datos!B21)</f>
        <v>-3764.086</v>
      </c>
      <c r="H15" s="99"/>
      <c r="I15" s="105"/>
      <c r="J15" s="105"/>
    </row>
    <row r="16" customFormat="false" ht="15" hidden="false" customHeight="true" outlineLevel="0" collapsed="false">
      <c r="A16" s="18" t="s">
        <v>1522</v>
      </c>
      <c r="B16" s="24" t="n">
        <f aca="false">B11+B12-B13-B15</f>
        <v>2075.69790423096</v>
      </c>
      <c r="C16" s="24" t="n">
        <f aca="false">C11+C12-C13-C15</f>
        <v>2714.43856242649</v>
      </c>
      <c r="D16" s="24" t="n">
        <f aca="false">D11+D12-D13-D15</f>
        <v>2741.42028855181</v>
      </c>
      <c r="E16" s="24" t="n">
        <f aca="false">E11+E12-E13-E15</f>
        <v>2769.47748260694</v>
      </c>
      <c r="F16" s="24" t="n">
        <f aca="false">F11+F12-F13-F15</f>
        <v>10301.0342378162</v>
      </c>
      <c r="G16" s="24" t="n">
        <f aca="false">G11+G12-G13-G15</f>
        <v>10516.5033157895</v>
      </c>
      <c r="H16" s="99" t="n">
        <f aca="false">IFERROR((F16-G16)/ABS(G16),"")</f>
        <v>-0.0204886616305018</v>
      </c>
      <c r="I16" s="105"/>
      <c r="J16" s="105"/>
    </row>
    <row r="17" customFormat="false" ht="15" hidden="false" customHeight="true" outlineLevel="0" collapsed="false">
      <c r="A17" s="105"/>
      <c r="B17" s="105"/>
      <c r="C17" s="105"/>
      <c r="D17" s="105"/>
      <c r="E17" s="105"/>
      <c r="F17" s="105"/>
      <c r="G17" s="105"/>
      <c r="H17" s="105"/>
      <c r="I17" s="105"/>
      <c r="J17" s="105"/>
    </row>
    <row r="18" customFormat="false" ht="15" hidden="false" customHeight="true" outlineLevel="0" collapsed="false">
      <c r="A18" s="16" t="s">
        <v>1523</v>
      </c>
      <c r="B18" s="18"/>
      <c r="C18" s="105"/>
      <c r="D18" s="105"/>
      <c r="E18" s="105"/>
      <c r="F18" s="105"/>
      <c r="G18" s="105"/>
      <c r="H18" s="105"/>
      <c r="I18" s="105"/>
      <c r="J18" s="105"/>
    </row>
    <row r="19" customFormat="false" ht="15" hidden="false" customHeight="true" outlineLevel="0" collapsed="false">
      <c r="A19" s="18" t="s">
        <v>1524</v>
      </c>
      <c r="B19" s="108" t="n">
        <f aca="false">'Variables Externas'!H22</f>
        <v>-0.009</v>
      </c>
      <c r="C19" s="105"/>
      <c r="D19" s="105"/>
      <c r="E19" s="105"/>
      <c r="F19" s="105"/>
      <c r="G19" s="105"/>
      <c r="H19" s="105"/>
      <c r="I19" s="105"/>
      <c r="J19" s="105"/>
    </row>
    <row r="20" customFormat="false" ht="15" hidden="false" customHeight="true" outlineLevel="0" collapsed="false">
      <c r="A20" s="18" t="s">
        <v>1525</v>
      </c>
      <c r="B20" s="108" t="n">
        <f aca="false">'Variables Externas'!I22</f>
        <v>0.0052</v>
      </c>
      <c r="C20" s="105"/>
      <c r="D20" s="105"/>
      <c r="E20" s="105"/>
      <c r="F20" s="105"/>
      <c r="G20" s="105"/>
      <c r="H20" s="105"/>
      <c r="I20" s="105"/>
      <c r="J20" s="105"/>
    </row>
    <row r="21" customFormat="false" ht="15" hidden="false" customHeight="true" outlineLevel="0" collapsed="false">
      <c r="A21" s="18" t="s">
        <v>1526</v>
      </c>
      <c r="B21" s="108" t="n">
        <f aca="false">'Variables Externas'!J22</f>
        <v>0.025</v>
      </c>
      <c r="C21" s="105"/>
      <c r="D21" s="105"/>
      <c r="E21" s="105"/>
      <c r="F21" s="105"/>
      <c r="G21" s="105"/>
      <c r="H21" s="105"/>
      <c r="I21" s="105"/>
      <c r="J21" s="105"/>
    </row>
    <row r="22" customFormat="false" ht="15" hidden="false" customHeight="true" outlineLevel="0" collapsed="false">
      <c r="A22" s="105"/>
      <c r="B22" s="105"/>
      <c r="C22" s="105"/>
      <c r="D22" s="105"/>
      <c r="E22" s="105"/>
      <c r="F22" s="105"/>
      <c r="G22" s="105"/>
      <c r="H22" s="105"/>
      <c r="I22" s="105"/>
      <c r="J22" s="105"/>
    </row>
    <row r="23" customFormat="false" ht="15" hidden="false" customHeight="true" outlineLevel="0" collapsed="false">
      <c r="A23" s="18" t="s">
        <v>1395</v>
      </c>
      <c r="B23" s="18" t="s">
        <v>1508</v>
      </c>
      <c r="C23" s="18" t="s">
        <v>1509</v>
      </c>
      <c r="D23" s="18" t="s">
        <v>1510</v>
      </c>
      <c r="E23" s="18" t="s">
        <v>1511</v>
      </c>
      <c r="F23" s="18" t="s">
        <v>1527</v>
      </c>
      <c r="G23" s="18" t="s">
        <v>1528</v>
      </c>
      <c r="H23" s="18" t="s">
        <v>1529</v>
      </c>
      <c r="I23" s="105"/>
      <c r="J23" s="105"/>
    </row>
    <row r="24" customFormat="false" ht="15" hidden="false" customHeight="true" outlineLevel="0" collapsed="false">
      <c r="A24" s="18" t="s">
        <v>1442</v>
      </c>
      <c r="B24" s="24" t="n">
        <f aca="false">B6*(1+$B$19)</f>
        <v>41617.3423</v>
      </c>
      <c r="C24" s="24" t="n">
        <f aca="false">C6*(1+$B$19)</f>
        <v>40949.3092</v>
      </c>
      <c r="D24" s="24" t="n">
        <f aca="false">D6*(1+$B$19)</f>
        <v>40281.2761</v>
      </c>
      <c r="E24" s="24" t="n">
        <f aca="false">E6*(1+$B$19)</f>
        <v>39613.243</v>
      </c>
      <c r="F24" s="24" t="n">
        <f aca="false">SUM(B24:E24)</f>
        <v>162461.1706</v>
      </c>
      <c r="G24" s="24" t="n">
        <f aca="false">F6</f>
        <v>163936.6</v>
      </c>
      <c r="H24" s="99" t="n">
        <f aca="false">IFERROR((F24-G24)/ABS(G24),"")</f>
        <v>-0.00899999999999978</v>
      </c>
      <c r="I24" s="105"/>
      <c r="J24" s="105"/>
    </row>
    <row r="25" customFormat="false" ht="15" hidden="false" customHeight="true" outlineLevel="0" collapsed="false">
      <c r="A25" s="18" t="s">
        <v>1516</v>
      </c>
      <c r="B25" s="24" t="n">
        <f aca="false">B7*(1+$B$19)*(1+$B$20)</f>
        <v>39859.5760682</v>
      </c>
      <c r="C25" s="24" t="n">
        <f aca="false">C7*(1+$B$19)*(1+$B$20)</f>
        <v>39163.56382736</v>
      </c>
      <c r="D25" s="24" t="n">
        <f aca="false">D7*(1+$B$19)*(1+$B$20)</f>
        <v>38467.55158652</v>
      </c>
      <c r="E25" s="24" t="n">
        <f aca="false">E7*(1+$B$19)*(1+$B$20)</f>
        <v>37771.53934568</v>
      </c>
      <c r="F25" s="24" t="n">
        <f aca="false">SUM(B25:E25)</f>
        <v>155262.23082776</v>
      </c>
      <c r="G25" s="24" t="n">
        <f aca="false">F7</f>
        <v>155861.8</v>
      </c>
      <c r="H25" s="99" t="n">
        <f aca="false">IFERROR((F25-G25)/ABS(G25),"")</f>
        <v>-0.00384679999999986</v>
      </c>
      <c r="I25" s="105"/>
      <c r="J25" s="105"/>
    </row>
    <row r="26" customFormat="false" ht="15" hidden="false" customHeight="true" outlineLevel="0" collapsed="false">
      <c r="A26" s="18" t="s">
        <v>1517</v>
      </c>
      <c r="B26" s="24" t="n">
        <f aca="false">B24-B25</f>
        <v>1757.76623179999</v>
      </c>
      <c r="C26" s="24" t="n">
        <f aca="false">C24-C25</f>
        <v>1785.74537264</v>
      </c>
      <c r="D26" s="24" t="n">
        <f aca="false">D24-D25</f>
        <v>1813.72451348</v>
      </c>
      <c r="E26" s="24" t="n">
        <f aca="false">E24-E25</f>
        <v>1841.70365432001</v>
      </c>
      <c r="F26" s="24" t="n">
        <f aca="false">SUM(B26:E26)</f>
        <v>7198.93977224</v>
      </c>
      <c r="G26" s="24" t="n">
        <f aca="false">F8</f>
        <v>8074.8</v>
      </c>
      <c r="H26" s="99" t="n">
        <f aca="false">IFERROR((F26-G26)/ABS(G26),"")</f>
        <v>-0.108468349403082</v>
      </c>
      <c r="I26" s="105"/>
      <c r="J26" s="105"/>
    </row>
    <row r="27" customFormat="false" ht="15" hidden="false" customHeight="true" outlineLevel="0" collapsed="false">
      <c r="A27" s="18" t="s">
        <v>1435</v>
      </c>
      <c r="B27" s="99" t="n">
        <f aca="false">B26/B24</f>
        <v>0.0422363883577446</v>
      </c>
      <c r="C27" s="99" t="n">
        <f aca="false">C26/C24</f>
        <v>0.0436086812580467</v>
      </c>
      <c r="D27" s="99" t="n">
        <f aca="false">D26/D24</f>
        <v>0.0450264909427732</v>
      </c>
      <c r="E27" s="99" t="n">
        <f aca="false">E26/E24</f>
        <v>0.0464921201811225</v>
      </c>
      <c r="F27" s="99" t="n">
        <f aca="false">F26/F24</f>
        <v>0.0443117561301137</v>
      </c>
      <c r="G27" s="99" t="n">
        <f aca="false">F9</f>
        <v>0.0492556268703877</v>
      </c>
      <c r="H27" s="99"/>
      <c r="I27" s="105"/>
      <c r="J27" s="105"/>
    </row>
    <row r="28" customFormat="false" ht="15" hidden="false" customHeight="true" outlineLevel="0" collapsed="false">
      <c r="A28" s="18" t="s">
        <v>1518</v>
      </c>
      <c r="B28" s="99" t="n">
        <f aca="false">B10</f>
        <v>0.224855634155331</v>
      </c>
      <c r="C28" s="99" t="n">
        <f aca="false">C10</f>
        <v>0.202996529891104</v>
      </c>
      <c r="D28" s="99" t="n">
        <f aca="false">D10</f>
        <v>0.181137425626876</v>
      </c>
      <c r="E28" s="99" t="n">
        <f aca="false">E10</f>
        <v>0.159278321362649</v>
      </c>
      <c r="F28" s="99" t="n">
        <f aca="false">1-F29/F26</f>
        <v>0.191642193710092</v>
      </c>
      <c r="G28" s="99" t="n">
        <f aca="false">F10</f>
        <v>0.191734007304675</v>
      </c>
      <c r="H28" s="99"/>
      <c r="I28" s="105"/>
      <c r="J28" s="105"/>
    </row>
    <row r="29" customFormat="false" ht="15" hidden="false" customHeight="true" outlineLevel="0" collapsed="false">
      <c r="A29" s="18" t="s">
        <v>1519</v>
      </c>
      <c r="B29" s="24" t="n">
        <f aca="false">B26*(1-B28)</f>
        <v>1362.52259105178</v>
      </c>
      <c r="C29" s="24" t="n">
        <f aca="false">C26*(1-C28)</f>
        <v>1423.24525872498</v>
      </c>
      <c r="D29" s="24" t="n">
        <f aca="false">D26*(1-D28)</f>
        <v>1485.19112431187</v>
      </c>
      <c r="E29" s="24" t="n">
        <f aca="false">E26*(1-E28)</f>
        <v>1548.36018781246</v>
      </c>
      <c r="F29" s="24" t="n">
        <f aca="false">SUM(B29:E29)</f>
        <v>5819.31916190109</v>
      </c>
      <c r="G29" s="24" t="n">
        <f aca="false">F11</f>
        <v>6526.58623781621</v>
      </c>
      <c r="H29" s="99" t="n">
        <f aca="false">IFERROR((F29-G29)/ABS(G29),"")</f>
        <v>-0.108367077388342</v>
      </c>
      <c r="I29" s="105"/>
      <c r="J29" s="105"/>
    </row>
    <row r="30" customFormat="false" ht="15" hidden="false" customHeight="true" outlineLevel="0" collapsed="false">
      <c r="A30" s="18" t="s">
        <v>1445</v>
      </c>
      <c r="B30" s="24" t="n">
        <f aca="false">B12</f>
        <v>1011.854</v>
      </c>
      <c r="C30" s="24" t="n">
        <f aca="false">C12</f>
        <v>996.7536</v>
      </c>
      <c r="D30" s="24" t="n">
        <f aca="false">D12</f>
        <v>981.6532</v>
      </c>
      <c r="E30" s="24" t="n">
        <f aca="false">E12</f>
        <v>966.5528</v>
      </c>
      <c r="F30" s="24" t="n">
        <f aca="false">SUM(B30:E30)</f>
        <v>3956.8136</v>
      </c>
      <c r="G30" s="24" t="n">
        <f aca="false">F12</f>
        <v>3956.8136</v>
      </c>
      <c r="H30" s="99" t="n">
        <f aca="false">IFERROR((F30-G30)/ABS(G30),"")</f>
        <v>0</v>
      </c>
      <c r="I30" s="105"/>
      <c r="J30" s="105"/>
    </row>
    <row r="31" customFormat="false" ht="15" hidden="false" customHeight="true" outlineLevel="0" collapsed="false">
      <c r="A31" s="18" t="s">
        <v>1446</v>
      </c>
      <c r="B31" s="24" t="n">
        <f aca="false">B13*(1+$B$21)</f>
        <v>818.7905</v>
      </c>
      <c r="C31" s="24" t="n">
        <f aca="false">C13*(1+$B$21)</f>
        <v>841.2585</v>
      </c>
      <c r="D31" s="24" t="n">
        <f aca="false">D13*(1+$B$21)</f>
        <v>863.7265</v>
      </c>
      <c r="E31" s="24" t="n">
        <f aca="false">E13*(1+$B$21)</f>
        <v>886.1945</v>
      </c>
      <c r="F31" s="24" t="n">
        <f aca="false">SUM(B31:E31)</f>
        <v>3409.97</v>
      </c>
      <c r="G31" s="24" t="n">
        <f aca="false">F13</f>
        <v>3326.8</v>
      </c>
      <c r="H31" s="99" t="n">
        <f aca="false">IFERROR((F31-G31)/ABS(G31),"")</f>
        <v>0.0249999999999999</v>
      </c>
      <c r="I31" s="105"/>
      <c r="J31" s="105"/>
    </row>
    <row r="32" customFormat="false" ht="15" hidden="false" customHeight="true" outlineLevel="0" collapsed="false">
      <c r="A32" s="18" t="s">
        <v>1530</v>
      </c>
      <c r="B32" s="24" t="n">
        <f aca="false">B15</f>
        <v>-326.482800000001</v>
      </c>
      <c r="C32" s="24" t="n">
        <f aca="false">C15</f>
        <v>-939.317199999999</v>
      </c>
      <c r="D32" s="24" t="n">
        <f aca="false">D15</f>
        <v>-939.3172</v>
      </c>
      <c r="E32" s="24" t="n">
        <f aca="false">E15</f>
        <v>-939.3172</v>
      </c>
      <c r="F32" s="24" t="n">
        <f aca="false">SUM(B32:E32)</f>
        <v>-3144.4344</v>
      </c>
      <c r="G32" s="24" t="n">
        <f aca="false">F15</f>
        <v>-3144.4344</v>
      </c>
      <c r="H32" s="99"/>
      <c r="I32" s="105"/>
      <c r="J32" s="105"/>
    </row>
    <row r="33" customFormat="false" ht="15" hidden="false" customHeight="true" outlineLevel="0" collapsed="false">
      <c r="A33" s="18" t="s">
        <v>1531</v>
      </c>
      <c r="B33" s="24" t="n">
        <f aca="false">B29+B30-B31-B32</f>
        <v>1882.06889105178</v>
      </c>
      <c r="C33" s="24" t="n">
        <f aca="false">C29+C30-C31-C32</f>
        <v>2518.05755872498</v>
      </c>
      <c r="D33" s="24" t="n">
        <f aca="false">D29+D30-D31-D32</f>
        <v>2542.43502431187</v>
      </c>
      <c r="E33" s="24" t="n">
        <f aca="false">E29+E30-E31-E32</f>
        <v>2568.03568781246</v>
      </c>
      <c r="F33" s="24" t="n">
        <f aca="false">SUM(B33:E33)</f>
        <v>9510.59716190109</v>
      </c>
      <c r="G33" s="24" t="n">
        <f aca="false">F16</f>
        <v>10301.0342378162</v>
      </c>
      <c r="H33" s="99" t="n">
        <f aca="false">IFERROR((F33-G33)/ABS(G33),"")</f>
        <v>-0.0767337587339859</v>
      </c>
      <c r="I33" s="105"/>
      <c r="J33" s="105"/>
    </row>
    <row r="34" customFormat="false" ht="15" hidden="false" customHeight="true" outlineLevel="0" collapsed="false">
      <c r="A34" s="105"/>
      <c r="B34" s="105"/>
      <c r="C34" s="105"/>
      <c r="D34" s="105"/>
      <c r="E34" s="105"/>
      <c r="F34" s="105"/>
      <c r="G34" s="105"/>
      <c r="H34" s="105"/>
      <c r="I34" s="105"/>
      <c r="J34" s="105"/>
    </row>
    <row r="35" customFormat="false" ht="15" hidden="false" customHeight="true" outlineLevel="0" collapsed="false">
      <c r="A35" s="106" t="s">
        <v>1532</v>
      </c>
      <c r="B35" s="105"/>
      <c r="C35" s="105"/>
      <c r="D35" s="105"/>
      <c r="E35" s="105"/>
      <c r="F35" s="105"/>
      <c r="G35" s="105"/>
      <c r="H35" s="105"/>
      <c r="I35" s="105"/>
      <c r="J35" s="105"/>
    </row>
    <row r="36" customFormat="false" ht="15" hidden="false" customHeight="true" outlineLevel="0" collapsed="false">
      <c r="A36" s="105"/>
      <c r="B36" s="105"/>
      <c r="C36" s="105"/>
      <c r="D36" s="105"/>
      <c r="E36" s="105"/>
      <c r="F36" s="105"/>
      <c r="G36" s="105"/>
      <c r="H36" s="105"/>
      <c r="I36" s="105"/>
      <c r="J36" s="105"/>
    </row>
    <row r="37" customFormat="false" ht="15" hidden="false" customHeight="true" outlineLevel="0" collapsed="false">
      <c r="A37" s="106" t="s">
        <v>1533</v>
      </c>
      <c r="B37" s="105"/>
      <c r="C37" s="105"/>
      <c r="D37" s="105"/>
      <c r="E37" s="105"/>
      <c r="F37" s="105"/>
      <c r="G37" s="105"/>
      <c r="H37" s="105"/>
      <c r="I37" s="105"/>
      <c r="J37" s="105"/>
    </row>
    <row r="38" customFormat="false" ht="15" hidden="false" customHeight="true" outlineLevel="0" collapsed="false">
      <c r="A38" s="16" t="s">
        <v>1534</v>
      </c>
      <c r="B38" s="16" t="s">
        <v>1535</v>
      </c>
      <c r="C38" s="16" t="s">
        <v>1536</v>
      </c>
      <c r="D38" s="16" t="s">
        <v>1537</v>
      </c>
      <c r="E38" s="16" t="s">
        <v>1538</v>
      </c>
      <c r="F38" s="16" t="s">
        <v>1539</v>
      </c>
      <c r="G38" s="105"/>
      <c r="H38" s="16" t="s">
        <v>1540</v>
      </c>
      <c r="I38" s="16" t="s">
        <v>1515</v>
      </c>
      <c r="J38" s="16" t="s">
        <v>1541</v>
      </c>
    </row>
    <row r="39" customFormat="false" ht="15" hidden="false" customHeight="true" outlineLevel="0" collapsed="false">
      <c r="A39" s="18" t="str">
        <f aca="false">Datos!B$5</f>
        <v>2T25</v>
      </c>
      <c r="B39" s="18" t="n">
        <v>1</v>
      </c>
      <c r="C39" s="109" t="n">
        <f aca="false">B39-(COUNT($B$39:$B$43)+1)/2</f>
        <v>-2</v>
      </c>
      <c r="D39" s="24" t="n">
        <f aca="false">Datos!B6</f>
        <v>45810</v>
      </c>
      <c r="E39" s="24" t="n">
        <f aca="false">C39*D39</f>
        <v>-91620</v>
      </c>
      <c r="F39" s="32" t="n">
        <f aca="false">C39^2</f>
        <v>4</v>
      </c>
      <c r="G39" s="105"/>
      <c r="H39" s="18" t="s">
        <v>1508</v>
      </c>
      <c r="I39" s="107" t="n">
        <f aca="false">MAX($C$39:$C$43)+1</f>
        <v>3</v>
      </c>
      <c r="J39" s="110" t="n">
        <f aca="false">$B$48+$B$47*I39</f>
        <v>41995.3</v>
      </c>
    </row>
    <row r="40" customFormat="false" ht="15" hidden="false" customHeight="true" outlineLevel="0" collapsed="false">
      <c r="A40" s="18" t="str">
        <f aca="false">Datos!C$5</f>
        <v>3T25</v>
      </c>
      <c r="B40" s="18" t="n">
        <v>2</v>
      </c>
      <c r="C40" s="109" t="n">
        <f aca="false">B40-(COUNT($B$39:$B$43)+1)/2</f>
        <v>-1</v>
      </c>
      <c r="D40" s="24" t="n">
        <f aca="false">Datos!C6</f>
        <v>42683</v>
      </c>
      <c r="E40" s="24" t="n">
        <f aca="false">C40*D40</f>
        <v>-42683</v>
      </c>
      <c r="F40" s="32" t="n">
        <f aca="false">C40^2</f>
        <v>1</v>
      </c>
      <c r="G40" s="105"/>
      <c r="H40" s="18" t="s">
        <v>1509</v>
      </c>
      <c r="I40" s="107" t="n">
        <f aca="false">I39+1</f>
        <v>4</v>
      </c>
      <c r="J40" s="110" t="n">
        <f aca="false">$B$48+$B$47*I40</f>
        <v>41321.2</v>
      </c>
    </row>
    <row r="41" customFormat="false" ht="15" hidden="false" customHeight="true" outlineLevel="0" collapsed="false">
      <c r="A41" s="18" t="str">
        <f aca="false">Datos!D$5</f>
        <v>4T25</v>
      </c>
      <c r="B41" s="18" t="n">
        <v>3</v>
      </c>
      <c r="C41" s="109" t="n">
        <f aca="false">B41-(COUNT($B$39:$B$43)+1)/2</f>
        <v>0</v>
      </c>
      <c r="D41" s="24" t="n">
        <f aca="false">Datos!D6</f>
        <v>47592</v>
      </c>
      <c r="E41" s="24" t="n">
        <f aca="false">C41*D41</f>
        <v>0</v>
      </c>
      <c r="F41" s="32" t="n">
        <f aca="false">C41^2</f>
        <v>0</v>
      </c>
      <c r="G41" s="105"/>
      <c r="H41" s="18" t="s">
        <v>1510</v>
      </c>
      <c r="I41" s="107" t="n">
        <f aca="false">I40+1</f>
        <v>5</v>
      </c>
      <c r="J41" s="110" t="n">
        <f aca="false">$B$48+$B$47*I41</f>
        <v>40647.1</v>
      </c>
    </row>
    <row r="42" customFormat="false" ht="15" hidden="false" customHeight="true" outlineLevel="0" collapsed="false">
      <c r="A42" s="18" t="str">
        <f aca="false">Datos!E$5</f>
        <v>1T26</v>
      </c>
      <c r="B42" s="18" t="n">
        <v>4</v>
      </c>
      <c r="C42" s="109" t="n">
        <f aca="false">B42-(COUNT($B$39:$B$43)+1)/2</f>
        <v>1</v>
      </c>
      <c r="D42" s="24" t="n">
        <f aca="false">Datos!E6</f>
        <v>40444</v>
      </c>
      <c r="E42" s="24" t="n">
        <f aca="false">C42*D42</f>
        <v>40444</v>
      </c>
      <c r="F42" s="32" t="n">
        <f aca="false">C42^2</f>
        <v>1</v>
      </c>
      <c r="G42" s="105"/>
      <c r="H42" s="18" t="s">
        <v>1511</v>
      </c>
      <c r="I42" s="107" t="n">
        <f aca="false">I41+1</f>
        <v>6</v>
      </c>
      <c r="J42" s="110" t="n">
        <f aca="false">$B$48+$B$47*I42</f>
        <v>39973</v>
      </c>
    </row>
    <row r="43" customFormat="false" ht="15" hidden="false" customHeight="true" outlineLevel="0" collapsed="false">
      <c r="A43" s="18" t="str">
        <f aca="false">Datos!F$5</f>
        <v>2T26</v>
      </c>
      <c r="B43" s="18" t="n">
        <v>5</v>
      </c>
      <c r="C43" s="109" t="n">
        <f aca="false">B43-(COUNT($B$39:$B$43)+1)/2</f>
        <v>2</v>
      </c>
      <c r="D43" s="24" t="n">
        <f aca="false">Datos!F6</f>
        <v>43559</v>
      </c>
      <c r="E43" s="24" t="n">
        <f aca="false">C43*D43</f>
        <v>87118</v>
      </c>
      <c r="F43" s="32" t="n">
        <f aca="false">C43^2</f>
        <v>4</v>
      </c>
      <c r="G43" s="105"/>
      <c r="H43" s="105"/>
      <c r="I43" s="105"/>
      <c r="J43" s="105"/>
    </row>
    <row r="44" customFormat="false" ht="15" hidden="false" customHeight="true" outlineLevel="0" collapsed="false">
      <c r="A44" s="111" t="s">
        <v>1542</v>
      </c>
      <c r="B44" s="111"/>
      <c r="C44" s="112" t="n">
        <f aca="false">SUM(C39:C43)</f>
        <v>0</v>
      </c>
      <c r="D44" s="110" t="n">
        <f aca="false">SUM(D39:D43)</f>
        <v>220088</v>
      </c>
      <c r="E44" s="110" t="n">
        <f aca="false">SUM(E39:E43)</f>
        <v>-6741</v>
      </c>
      <c r="F44" s="113" t="n">
        <f aca="false">SUM(F39:F43)</f>
        <v>10</v>
      </c>
      <c r="G44" s="105"/>
      <c r="H44" s="105" t="str">
        <f aca="false">"Ecuación: Y = "&amp;TEXT(B48,"#,##0.0000")&amp;" + ("&amp;TEXT(B47,"#,##0.0000")&amp;")·X"</f>
        <v>Ecuación: Y = 44,017.6000 + (-674.1000)·X</v>
      </c>
      <c r="I44" s="105"/>
      <c r="J44" s="105"/>
    </row>
    <row r="45" customFormat="false" ht="15" hidden="false" customHeight="true" outlineLevel="0" collapsed="false">
      <c r="A45" s="18" t="s">
        <v>1543</v>
      </c>
      <c r="B45" s="18" t="n">
        <f aca="false">COUNT(B39:B43)</f>
        <v>5</v>
      </c>
      <c r="C45" s="105"/>
      <c r="D45" s="105"/>
      <c r="E45" s="105"/>
      <c r="F45" s="105"/>
      <c r="G45" s="105"/>
      <c r="H45" s="105"/>
      <c r="I45" s="105"/>
      <c r="J45" s="105"/>
    </row>
    <row r="46" customFormat="false" ht="15" hidden="false" customHeight="true" outlineLevel="0" collapsed="false">
      <c r="A46" s="18" t="s">
        <v>1544</v>
      </c>
      <c r="B46" s="109" t="n">
        <f aca="false">C44/B45</f>
        <v>0</v>
      </c>
      <c r="C46" s="105"/>
      <c r="D46" s="105"/>
      <c r="E46" s="105"/>
      <c r="F46" s="105"/>
      <c r="G46" s="105"/>
      <c r="H46" s="105"/>
      <c r="I46" s="105"/>
      <c r="J46" s="105"/>
    </row>
    <row r="47" customFormat="false" ht="15" hidden="false" customHeight="true" outlineLevel="0" collapsed="false">
      <c r="A47" s="18" t="s">
        <v>1545</v>
      </c>
      <c r="B47" s="24" t="n">
        <f aca="false">E44/F44</f>
        <v>-674.1</v>
      </c>
      <c r="C47" s="105"/>
      <c r="D47" s="105"/>
      <c r="E47" s="105"/>
      <c r="F47" s="105"/>
      <c r="G47" s="105"/>
      <c r="H47" s="105"/>
      <c r="I47" s="105"/>
      <c r="J47" s="105"/>
    </row>
    <row r="48" customFormat="false" ht="15" hidden="false" customHeight="true" outlineLevel="0" collapsed="false">
      <c r="A48" s="18" t="s">
        <v>1546</v>
      </c>
      <c r="B48" s="24" t="n">
        <f aca="false">D44/B45</f>
        <v>44017.6</v>
      </c>
      <c r="C48" s="105"/>
      <c r="D48" s="105"/>
      <c r="E48" s="105"/>
      <c r="F48" s="105"/>
      <c r="G48" s="105"/>
      <c r="H48" s="105"/>
      <c r="I48" s="105"/>
      <c r="J48" s="105"/>
    </row>
    <row r="49" customFormat="false" ht="15" hidden="false" customHeight="true" outlineLevel="0" collapsed="false">
      <c r="A49" s="18" t="s">
        <v>1547</v>
      </c>
      <c r="B49" s="33" t="n">
        <f aca="false">RSQ(D39:D43,C39:C43)</f>
        <v>0.147770485194537</v>
      </c>
      <c r="C49" s="105"/>
      <c r="D49" s="105"/>
      <c r="E49" s="105"/>
      <c r="F49" s="105"/>
      <c r="G49" s="105"/>
      <c r="H49" s="105"/>
      <c r="I49" s="105"/>
      <c r="J49" s="105"/>
    </row>
    <row r="50" customFormat="false" ht="15" hidden="false" customHeight="true" outlineLevel="0" collapsed="false">
      <c r="A50" s="105"/>
      <c r="B50" s="105"/>
      <c r="C50" s="105"/>
      <c r="D50" s="105"/>
      <c r="E50" s="105"/>
      <c r="F50" s="105"/>
      <c r="G50" s="105"/>
      <c r="H50" s="105"/>
      <c r="I50" s="105"/>
      <c r="J50" s="105"/>
    </row>
    <row r="51" customFormat="false" ht="15" hidden="false" customHeight="true" outlineLevel="0" collapsed="false">
      <c r="A51" s="105"/>
      <c r="B51" s="105"/>
      <c r="C51" s="105"/>
      <c r="D51" s="105"/>
      <c r="E51" s="105"/>
      <c r="F51" s="105"/>
      <c r="G51" s="105"/>
      <c r="H51" s="105"/>
      <c r="I51" s="105"/>
      <c r="J51" s="105"/>
    </row>
    <row r="52" customFormat="false" ht="15" hidden="false" customHeight="true" outlineLevel="0" collapsed="false">
      <c r="A52" s="105"/>
      <c r="B52" s="105"/>
      <c r="C52" s="105"/>
      <c r="D52" s="105"/>
      <c r="E52" s="105"/>
      <c r="F52" s="105"/>
      <c r="G52" s="105"/>
      <c r="H52" s="105"/>
      <c r="I52" s="105"/>
      <c r="J52" s="105"/>
    </row>
    <row r="53" customFormat="false" ht="15" hidden="false" customHeight="true" outlineLevel="0" collapsed="false">
      <c r="A53" s="105"/>
      <c r="B53" s="105"/>
      <c r="C53" s="105"/>
      <c r="D53" s="105"/>
      <c r="E53" s="105"/>
      <c r="F53" s="105"/>
      <c r="G53" s="105"/>
      <c r="H53" s="105"/>
      <c r="I53" s="105"/>
      <c r="J53" s="105"/>
    </row>
    <row r="54" customFormat="false" ht="15" hidden="false" customHeight="true" outlineLevel="0" collapsed="false">
      <c r="A54" s="106" t="s">
        <v>1548</v>
      </c>
      <c r="B54" s="105"/>
      <c r="C54" s="105"/>
      <c r="D54" s="105"/>
      <c r="E54" s="105"/>
      <c r="F54" s="105"/>
      <c r="G54" s="105"/>
      <c r="H54" s="105"/>
      <c r="I54" s="105"/>
      <c r="J54" s="105"/>
    </row>
    <row r="55" customFormat="false" ht="15" hidden="false" customHeight="true" outlineLevel="0" collapsed="false">
      <c r="A55" s="16" t="s">
        <v>1534</v>
      </c>
      <c r="B55" s="16" t="s">
        <v>1535</v>
      </c>
      <c r="C55" s="16" t="s">
        <v>1536</v>
      </c>
      <c r="D55" s="16" t="s">
        <v>1537</v>
      </c>
      <c r="E55" s="16" t="s">
        <v>1538</v>
      </c>
      <c r="F55" s="16" t="s">
        <v>1539</v>
      </c>
      <c r="G55" s="105"/>
      <c r="H55" s="16" t="s">
        <v>1540</v>
      </c>
      <c r="I55" s="16" t="s">
        <v>1515</v>
      </c>
      <c r="J55" s="16" t="s">
        <v>1541</v>
      </c>
    </row>
    <row r="56" customFormat="false" ht="15" hidden="false" customHeight="true" outlineLevel="0" collapsed="false">
      <c r="A56" s="18" t="str">
        <f aca="false">Datos!B$5</f>
        <v>2T25</v>
      </c>
      <c r="B56" s="18" t="n">
        <v>1</v>
      </c>
      <c r="C56" s="109" t="n">
        <f aca="false">B56-(COUNT($B$56:$B$60)+1)/2</f>
        <v>-2</v>
      </c>
      <c r="D56" s="24" t="n">
        <f aca="false">Datos!B6-Datos!B9</f>
        <v>43901</v>
      </c>
      <c r="E56" s="24" t="n">
        <f aca="false">C56*D56</f>
        <v>-87802</v>
      </c>
      <c r="F56" s="32" t="n">
        <f aca="false">C56^2</f>
        <v>4</v>
      </c>
      <c r="G56" s="105"/>
      <c r="H56" s="18" t="s">
        <v>1508</v>
      </c>
      <c r="I56" s="107" t="n">
        <f aca="false">MAX($C$56:$C$60)+1</f>
        <v>3</v>
      </c>
      <c r="J56" s="110" t="n">
        <f aca="false">$B$65+$B$64*I56</f>
        <v>40013.5</v>
      </c>
    </row>
    <row r="57" customFormat="false" ht="15" hidden="false" customHeight="true" outlineLevel="0" collapsed="false">
      <c r="A57" s="18" t="str">
        <f aca="false">Datos!C$5</f>
        <v>3T25</v>
      </c>
      <c r="B57" s="18" t="n">
        <v>2</v>
      </c>
      <c r="C57" s="109" t="n">
        <f aca="false">B57-(COUNT($B$56:$B$60)+1)/2</f>
        <v>-1</v>
      </c>
      <c r="D57" s="24" t="n">
        <f aca="false">Datos!C6-Datos!C9</f>
        <v>41215</v>
      </c>
      <c r="E57" s="24" t="n">
        <f aca="false">C57*D57</f>
        <v>-41215</v>
      </c>
      <c r="F57" s="32" t="n">
        <f aca="false">C57^2</f>
        <v>1</v>
      </c>
      <c r="G57" s="105"/>
      <c r="H57" s="18" t="s">
        <v>1509</v>
      </c>
      <c r="I57" s="107" t="n">
        <f aca="false">I56+1</f>
        <v>4</v>
      </c>
      <c r="J57" s="110" t="n">
        <f aca="false">$B$65+$B$64*I57</f>
        <v>39314.8</v>
      </c>
    </row>
    <row r="58" customFormat="false" ht="15" hidden="false" customHeight="true" outlineLevel="0" collapsed="false">
      <c r="A58" s="18" t="str">
        <f aca="false">Datos!D$5</f>
        <v>4T25</v>
      </c>
      <c r="B58" s="18" t="n">
        <v>3</v>
      </c>
      <c r="C58" s="109" t="n">
        <f aca="false">B58-(COUNT($B$56:$B$60)+1)/2</f>
        <v>0</v>
      </c>
      <c r="D58" s="24" t="n">
        <f aca="false">Datos!D6-Datos!D9</f>
        <v>45106</v>
      </c>
      <c r="E58" s="24" t="n">
        <f aca="false">C58*D58</f>
        <v>0</v>
      </c>
      <c r="F58" s="32" t="n">
        <f aca="false">C58^2</f>
        <v>0</v>
      </c>
      <c r="G58" s="105"/>
      <c r="H58" s="18" t="s">
        <v>1510</v>
      </c>
      <c r="I58" s="107" t="n">
        <f aca="false">I57+1</f>
        <v>5</v>
      </c>
      <c r="J58" s="110" t="n">
        <f aca="false">$B$65+$B$64*I58</f>
        <v>38616.1</v>
      </c>
    </row>
    <row r="59" customFormat="false" ht="15" hidden="false" customHeight="true" outlineLevel="0" collapsed="false">
      <c r="A59" s="18" t="str">
        <f aca="false">Datos!E$5</f>
        <v>1T26</v>
      </c>
      <c r="B59" s="18" t="n">
        <v>4</v>
      </c>
      <c r="C59" s="109" t="n">
        <f aca="false">B59-(COUNT($B$56:$B$60)+1)/2</f>
        <v>1</v>
      </c>
      <c r="D59" s="24" t="n">
        <f aca="false">Datos!E6-Datos!E9</f>
        <v>38622</v>
      </c>
      <c r="E59" s="24" t="n">
        <f aca="false">C59*D59</f>
        <v>38622</v>
      </c>
      <c r="F59" s="32" t="n">
        <f aca="false">C59^2</f>
        <v>1</v>
      </c>
      <c r="G59" s="105"/>
      <c r="H59" s="18" t="s">
        <v>1511</v>
      </c>
      <c r="I59" s="107" t="n">
        <f aca="false">I58+1</f>
        <v>6</v>
      </c>
      <c r="J59" s="110" t="n">
        <f aca="false">$B$65+$B$64*I59</f>
        <v>37917.4</v>
      </c>
    </row>
    <row r="60" customFormat="false" ht="15" hidden="false" customHeight="true" outlineLevel="0" collapsed="false">
      <c r="A60" s="18" t="str">
        <f aca="false">Datos!F$5</f>
        <v>2T26</v>
      </c>
      <c r="B60" s="18" t="n">
        <v>5</v>
      </c>
      <c r="C60" s="109" t="n">
        <f aca="false">B60-(COUNT($B$56:$B$60)+1)/2</f>
        <v>2</v>
      </c>
      <c r="D60" s="24" t="n">
        <f aca="false">Datos!F6-Datos!F9</f>
        <v>41704</v>
      </c>
      <c r="E60" s="24" t="n">
        <f aca="false">C60*D60</f>
        <v>83408</v>
      </c>
      <c r="F60" s="32" t="n">
        <f aca="false">C60^2</f>
        <v>4</v>
      </c>
      <c r="G60" s="105"/>
      <c r="H60" s="105"/>
      <c r="I60" s="105"/>
      <c r="J60" s="105"/>
    </row>
    <row r="61" customFormat="false" ht="15" hidden="false" customHeight="true" outlineLevel="0" collapsed="false">
      <c r="A61" s="111" t="s">
        <v>1542</v>
      </c>
      <c r="B61" s="111"/>
      <c r="C61" s="112" t="n">
        <f aca="false">SUM(C56:C60)</f>
        <v>0</v>
      </c>
      <c r="D61" s="110" t="n">
        <f aca="false">SUM(D56:D60)</f>
        <v>210548</v>
      </c>
      <c r="E61" s="110" t="n">
        <f aca="false">SUM(E56:E60)</f>
        <v>-6987</v>
      </c>
      <c r="F61" s="113" t="n">
        <f aca="false">SUM(F56:F60)</f>
        <v>10</v>
      </c>
      <c r="G61" s="105"/>
      <c r="H61" s="105" t="str">
        <f aca="false">"Ecuación: Y = "&amp;TEXT(B65,"#,##0.0000")&amp;" + ("&amp;TEXT(B64,"#,##0.0000")&amp;")·X"</f>
        <v>Ecuación: Y = 42,109.6000 + (-698.7000)·X</v>
      </c>
      <c r="I61" s="105"/>
      <c r="J61" s="105"/>
    </row>
    <row r="62" customFormat="false" ht="15" hidden="false" customHeight="true" outlineLevel="0" collapsed="false">
      <c r="A62" s="18" t="s">
        <v>1543</v>
      </c>
      <c r="B62" s="18" t="n">
        <f aca="false">COUNT(B56:B60)</f>
        <v>5</v>
      </c>
      <c r="C62" s="105"/>
      <c r="D62" s="105"/>
      <c r="E62" s="105"/>
      <c r="F62" s="105"/>
      <c r="G62" s="105"/>
      <c r="H62" s="105"/>
      <c r="I62" s="105"/>
      <c r="J62" s="105"/>
    </row>
    <row r="63" customFormat="false" ht="15" hidden="false" customHeight="true" outlineLevel="0" collapsed="false">
      <c r="A63" s="18" t="s">
        <v>1544</v>
      </c>
      <c r="B63" s="109" t="n">
        <f aca="false">C61/B62</f>
        <v>0</v>
      </c>
      <c r="C63" s="105"/>
      <c r="D63" s="105"/>
      <c r="E63" s="105"/>
      <c r="F63" s="105"/>
      <c r="G63" s="105"/>
      <c r="H63" s="105"/>
      <c r="I63" s="105"/>
      <c r="J63" s="105"/>
    </row>
    <row r="64" customFormat="false" ht="15" hidden="false" customHeight="true" outlineLevel="0" collapsed="false">
      <c r="A64" s="18" t="s">
        <v>1545</v>
      </c>
      <c r="B64" s="24" t="n">
        <f aca="false">E61/F61</f>
        <v>-698.7</v>
      </c>
      <c r="C64" s="105"/>
      <c r="D64" s="105"/>
      <c r="E64" s="105"/>
      <c r="F64" s="105"/>
      <c r="G64" s="105"/>
      <c r="H64" s="105"/>
      <c r="I64" s="105"/>
      <c r="J64" s="105"/>
    </row>
    <row r="65" customFormat="false" ht="15" hidden="false" customHeight="true" outlineLevel="0" collapsed="false">
      <c r="A65" s="18" t="s">
        <v>1546</v>
      </c>
      <c r="B65" s="24" t="n">
        <f aca="false">D61/B62</f>
        <v>42109.6</v>
      </c>
      <c r="C65" s="105"/>
      <c r="D65" s="105"/>
      <c r="E65" s="105"/>
      <c r="F65" s="105"/>
      <c r="G65" s="105"/>
      <c r="H65" s="105"/>
      <c r="I65" s="105"/>
      <c r="J65" s="105"/>
    </row>
    <row r="66" customFormat="false" ht="15" hidden="false" customHeight="true" outlineLevel="0" collapsed="false">
      <c r="A66" s="18" t="s">
        <v>1547</v>
      </c>
      <c r="B66" s="33" t="n">
        <f aca="false">RSQ(D56:D60,C56:C60)</f>
        <v>0.192837514609313</v>
      </c>
      <c r="C66" s="105"/>
      <c r="D66" s="105"/>
      <c r="E66" s="105"/>
      <c r="F66" s="105"/>
      <c r="G66" s="105"/>
      <c r="H66" s="105"/>
      <c r="I66" s="105"/>
      <c r="J66" s="105"/>
    </row>
    <row r="67" customFormat="false" ht="15" hidden="false" customHeight="true" outlineLevel="0" collapsed="false">
      <c r="A67" s="105"/>
      <c r="B67" s="105"/>
      <c r="C67" s="105"/>
      <c r="D67" s="105"/>
      <c r="E67" s="105"/>
      <c r="F67" s="105"/>
      <c r="G67" s="105"/>
      <c r="H67" s="105"/>
      <c r="I67" s="105"/>
      <c r="J67" s="105"/>
    </row>
    <row r="68" customFormat="false" ht="15" hidden="false" customHeight="true" outlineLevel="0" collapsed="false">
      <c r="A68" s="105"/>
      <c r="B68" s="105"/>
      <c r="C68" s="105"/>
      <c r="D68" s="105"/>
      <c r="E68" s="105"/>
      <c r="F68" s="105"/>
      <c r="G68" s="105"/>
      <c r="H68" s="105"/>
      <c r="I68" s="105"/>
      <c r="J68" s="105"/>
    </row>
    <row r="69" customFormat="false" ht="15" hidden="false" customHeight="true" outlineLevel="0" collapsed="false">
      <c r="A69" s="105"/>
      <c r="B69" s="105"/>
      <c r="C69" s="105"/>
      <c r="D69" s="105"/>
      <c r="E69" s="105"/>
      <c r="F69" s="105"/>
      <c r="G69" s="105"/>
      <c r="H69" s="105"/>
      <c r="I69" s="105"/>
      <c r="J69" s="105"/>
    </row>
    <row r="70" customFormat="false" ht="15" hidden="false" customHeight="true" outlineLevel="0" collapsed="false">
      <c r="A70" s="105"/>
      <c r="B70" s="105"/>
      <c r="C70" s="105"/>
      <c r="D70" s="105"/>
      <c r="E70" s="105"/>
      <c r="F70" s="105"/>
      <c r="G70" s="105"/>
      <c r="H70" s="105"/>
      <c r="I70" s="105"/>
      <c r="J70" s="105"/>
    </row>
    <row r="71" customFormat="false" ht="15" hidden="false" customHeight="true" outlineLevel="0" collapsed="false">
      <c r="A71" s="106" t="s">
        <v>1549</v>
      </c>
      <c r="B71" s="105"/>
      <c r="C71" s="105"/>
      <c r="D71" s="105"/>
      <c r="E71" s="105"/>
      <c r="F71" s="105"/>
      <c r="G71" s="105"/>
      <c r="H71" s="105"/>
      <c r="I71" s="105"/>
      <c r="J71" s="105"/>
    </row>
    <row r="72" customFormat="false" ht="15" hidden="false" customHeight="true" outlineLevel="0" collapsed="false">
      <c r="A72" s="16" t="s">
        <v>1534</v>
      </c>
      <c r="B72" s="16" t="s">
        <v>1535</v>
      </c>
      <c r="C72" s="16" t="s">
        <v>1536</v>
      </c>
      <c r="D72" s="16" t="s">
        <v>1550</v>
      </c>
      <c r="E72" s="16" t="s">
        <v>1538</v>
      </c>
      <c r="F72" s="16" t="s">
        <v>1539</v>
      </c>
      <c r="G72" s="105"/>
      <c r="H72" s="16" t="s">
        <v>1540</v>
      </c>
      <c r="I72" s="16" t="s">
        <v>1515</v>
      </c>
      <c r="J72" s="16" t="s">
        <v>1541</v>
      </c>
    </row>
    <row r="73" customFormat="false" ht="15" hidden="false" customHeight="true" outlineLevel="0" collapsed="false">
      <c r="A73" s="18" t="str">
        <f aca="false">Datos!B$5</f>
        <v>2T25</v>
      </c>
      <c r="B73" s="18" t="n">
        <v>1</v>
      </c>
      <c r="C73" s="109" t="n">
        <f aca="false">B73-(COUNT($B$73:$B$77)+1)/2</f>
        <v>-2</v>
      </c>
      <c r="D73" s="29" t="n">
        <f aca="false">Datos!B12/Datos!B11</f>
        <v>0.383208645054032</v>
      </c>
      <c r="E73" s="114" t="n">
        <f aca="false">C73*D73</f>
        <v>-0.766417290108063</v>
      </c>
      <c r="F73" s="32" t="n">
        <f aca="false">C73^2</f>
        <v>4</v>
      </c>
      <c r="G73" s="105"/>
      <c r="H73" s="18" t="s">
        <v>1508</v>
      </c>
      <c r="I73" s="107" t="n">
        <f aca="false">MAX($C$73:$C$77)+1</f>
        <v>3</v>
      </c>
      <c r="J73" s="115" t="n">
        <f aca="false">$B$82+$B$81*I73</f>
        <v>0.224855634155331</v>
      </c>
    </row>
    <row r="74" customFormat="false" ht="15" hidden="false" customHeight="true" outlineLevel="0" collapsed="false">
      <c r="A74" s="18" t="str">
        <f aca="false">Datos!C$5</f>
        <v>3T25</v>
      </c>
      <c r="B74" s="18" t="n">
        <v>2</v>
      </c>
      <c r="C74" s="109" t="n">
        <f aca="false">B74-(COUNT($B$73:$B$77)+1)/2</f>
        <v>-1</v>
      </c>
      <c r="D74" s="29" t="n">
        <f aca="false">Datos!C12/Datos!C11</f>
        <v>0.234293193717278</v>
      </c>
      <c r="E74" s="114" t="n">
        <f aca="false">C74*D74</f>
        <v>-0.234293193717278</v>
      </c>
      <c r="F74" s="32" t="n">
        <f aca="false">C74^2</f>
        <v>1</v>
      </c>
      <c r="G74" s="105"/>
      <c r="H74" s="18" t="s">
        <v>1509</v>
      </c>
      <c r="I74" s="107" t="n">
        <f aca="false">I73+1</f>
        <v>4</v>
      </c>
      <c r="J74" s="115" t="n">
        <f aca="false">$B$82+$B$81*I74</f>
        <v>0.202996529891104</v>
      </c>
    </row>
    <row r="75" customFormat="false" ht="15" hidden="false" customHeight="true" outlineLevel="0" collapsed="false">
      <c r="A75" s="18" t="str">
        <f aca="false">Datos!D$5</f>
        <v>4T25</v>
      </c>
      <c r="B75" s="18" t="n">
        <v>3</v>
      </c>
      <c r="C75" s="109" t="n">
        <f aca="false">B75-(COUNT($B$73:$B$77)+1)/2</f>
        <v>0</v>
      </c>
      <c r="D75" s="29" t="n">
        <f aca="false">Datos!D12/Datos!D11</f>
        <v>0.258082813386273</v>
      </c>
      <c r="E75" s="114" t="n">
        <f aca="false">C75*D75</f>
        <v>0</v>
      </c>
      <c r="F75" s="32" t="n">
        <f aca="false">C75^2</f>
        <v>0</v>
      </c>
      <c r="G75" s="105"/>
      <c r="H75" s="18" t="s">
        <v>1510</v>
      </c>
      <c r="I75" s="107" t="n">
        <f aca="false">I74+1</f>
        <v>5</v>
      </c>
      <c r="J75" s="115" t="n">
        <f aca="false">$B$82+$B$81*I75</f>
        <v>0.181137425626876</v>
      </c>
    </row>
    <row r="76" customFormat="false" ht="15" hidden="false" customHeight="true" outlineLevel="0" collapsed="false">
      <c r="A76" s="18" t="str">
        <f aca="false">Datos!E$5</f>
        <v>1T26</v>
      </c>
      <c r="B76" s="18" t="n">
        <v>4</v>
      </c>
      <c r="C76" s="109" t="n">
        <f aca="false">B76-(COUNT($B$73:$B$77)+1)/2</f>
        <v>1</v>
      </c>
      <c r="D76" s="29" t="n">
        <f aca="false">Datos!E12/Datos!E11</f>
        <v>0.3710407239819</v>
      </c>
      <c r="E76" s="114" t="n">
        <f aca="false">C76*D76</f>
        <v>0.3710407239819</v>
      </c>
      <c r="F76" s="32" t="n">
        <f aca="false">C76^2</f>
        <v>1</v>
      </c>
      <c r="G76" s="105"/>
      <c r="H76" s="18" t="s">
        <v>1511</v>
      </c>
      <c r="I76" s="107" t="n">
        <f aca="false">I75+1</f>
        <v>6</v>
      </c>
      <c r="J76" s="115" t="n">
        <f aca="false">$B$82+$B$81*I76</f>
        <v>0.159278321362649</v>
      </c>
    </row>
    <row r="77" customFormat="false" ht="15" hidden="false" customHeight="true" outlineLevel="0" collapsed="false">
      <c r="A77" s="18" t="str">
        <f aca="false">Datos!F$5</f>
        <v>2T26</v>
      </c>
      <c r="B77" s="18" t="n">
        <v>5</v>
      </c>
      <c r="C77" s="109" t="n">
        <f aca="false">B77-(COUNT($B$73:$B$77)+1)/2</f>
        <v>2</v>
      </c>
      <c r="D77" s="29" t="n">
        <f aca="false">Datos!F12/Datos!F11</f>
        <v>0.205539358600583</v>
      </c>
      <c r="E77" s="114" t="n">
        <f aca="false">C77*D77</f>
        <v>0.411078717201166</v>
      </c>
      <c r="F77" s="32" t="n">
        <f aca="false">C77^2</f>
        <v>4</v>
      </c>
      <c r="G77" s="105"/>
      <c r="H77" s="105"/>
      <c r="I77" s="105"/>
      <c r="J77" s="105"/>
    </row>
    <row r="78" customFormat="false" ht="15" hidden="false" customHeight="true" outlineLevel="0" collapsed="false">
      <c r="A78" s="111" t="s">
        <v>1542</v>
      </c>
      <c r="B78" s="111"/>
      <c r="C78" s="112" t="n">
        <f aca="false">SUM(C73:C77)</f>
        <v>0</v>
      </c>
      <c r="D78" s="115" t="n">
        <f aca="false">SUM(D73:D77)</f>
        <v>1.45216473474007</v>
      </c>
      <c r="E78" s="116" t="n">
        <f aca="false">SUM(E73:E77)</f>
        <v>-0.218591042642274</v>
      </c>
      <c r="F78" s="113" t="n">
        <f aca="false">SUM(F73:F77)</f>
        <v>10</v>
      </c>
      <c r="G78" s="105"/>
      <c r="H78" s="105" t="str">
        <f aca="false">"Ecuación: Y = "&amp;TEXT(B82,"#,##0.0000")&amp;" + ("&amp;TEXT(B81,"#,##0.0000")&amp;")·X"</f>
        <v>Ecuación: Y = 0.2904 + (-0.0219)·X</v>
      </c>
      <c r="I78" s="105"/>
      <c r="J78" s="105"/>
    </row>
    <row r="79" customFormat="false" ht="15" hidden="false" customHeight="true" outlineLevel="0" collapsed="false">
      <c r="A79" s="18" t="s">
        <v>1543</v>
      </c>
      <c r="B79" s="18" t="n">
        <f aca="false">COUNT(B73:B77)</f>
        <v>5</v>
      </c>
      <c r="C79" s="105"/>
      <c r="D79" s="105"/>
      <c r="E79" s="105"/>
      <c r="F79" s="105"/>
      <c r="G79" s="105"/>
      <c r="H79" s="105"/>
      <c r="I79" s="105"/>
      <c r="J79" s="105"/>
    </row>
    <row r="80" customFormat="false" ht="15" hidden="false" customHeight="true" outlineLevel="0" collapsed="false">
      <c r="A80" s="18" t="s">
        <v>1544</v>
      </c>
      <c r="B80" s="109" t="n">
        <f aca="false">C78/B79</f>
        <v>0</v>
      </c>
      <c r="C80" s="105"/>
      <c r="D80" s="105"/>
      <c r="E80" s="105"/>
      <c r="F80" s="105"/>
      <c r="G80" s="105"/>
      <c r="H80" s="105"/>
      <c r="I80" s="105"/>
      <c r="J80" s="105"/>
    </row>
    <row r="81" customFormat="false" ht="15" hidden="false" customHeight="true" outlineLevel="0" collapsed="false">
      <c r="A81" s="18" t="s">
        <v>1545</v>
      </c>
      <c r="B81" s="114" t="n">
        <f aca="false">E78/F78</f>
        <v>-0.0218591042642274</v>
      </c>
      <c r="C81" s="105"/>
      <c r="D81" s="105"/>
      <c r="E81" s="105"/>
      <c r="F81" s="105"/>
      <c r="G81" s="105"/>
      <c r="H81" s="105"/>
      <c r="I81" s="105"/>
      <c r="J81" s="105"/>
    </row>
    <row r="82" customFormat="false" ht="15" hidden="false" customHeight="true" outlineLevel="0" collapsed="false">
      <c r="A82" s="18" t="s">
        <v>1546</v>
      </c>
      <c r="B82" s="114" t="n">
        <f aca="false">D78/B79</f>
        <v>0.290432946948013</v>
      </c>
      <c r="C82" s="105"/>
      <c r="D82" s="105"/>
      <c r="E82" s="105"/>
      <c r="F82" s="105"/>
      <c r="G82" s="105"/>
      <c r="H82" s="105"/>
      <c r="I82" s="105"/>
      <c r="J82" s="105"/>
    </row>
    <row r="83" customFormat="false" ht="15" hidden="false" customHeight="true" outlineLevel="0" collapsed="false">
      <c r="A83" s="18" t="s">
        <v>1547</v>
      </c>
      <c r="B83" s="33" t="n">
        <f aca="false">RSQ(D73:D77,C73:C77)</f>
        <v>0.1802411199598</v>
      </c>
      <c r="C83" s="105"/>
      <c r="D83" s="105"/>
      <c r="E83" s="105"/>
      <c r="F83" s="105"/>
      <c r="G83" s="105"/>
      <c r="H83" s="105"/>
      <c r="I83" s="105"/>
      <c r="J83" s="105"/>
    </row>
    <row r="84" customFormat="false" ht="15" hidden="false" customHeight="true" outlineLevel="0" collapsed="false">
      <c r="A84" s="105"/>
      <c r="B84" s="105"/>
      <c r="C84" s="105"/>
      <c r="D84" s="105"/>
      <c r="E84" s="105"/>
      <c r="F84" s="105"/>
      <c r="G84" s="105"/>
      <c r="H84" s="105"/>
      <c r="I84" s="105"/>
      <c r="J84" s="105"/>
    </row>
    <row r="85" customFormat="false" ht="15" hidden="false" customHeight="true" outlineLevel="0" collapsed="false">
      <c r="A85" s="105"/>
      <c r="B85" s="105"/>
      <c r="C85" s="105"/>
      <c r="D85" s="105"/>
      <c r="E85" s="105"/>
      <c r="F85" s="105"/>
      <c r="G85" s="105"/>
      <c r="H85" s="105"/>
      <c r="I85" s="105"/>
      <c r="J85" s="105"/>
    </row>
    <row r="86" customFormat="false" ht="15" hidden="false" customHeight="true" outlineLevel="0" collapsed="false">
      <c r="A86" s="105"/>
      <c r="B86" s="105"/>
      <c r="C86" s="105"/>
      <c r="D86" s="105"/>
      <c r="E86" s="105"/>
      <c r="F86" s="105"/>
      <c r="G86" s="105"/>
      <c r="H86" s="105"/>
      <c r="I86" s="105"/>
      <c r="J86" s="105"/>
    </row>
    <row r="87" customFormat="false" ht="15" hidden="false" customHeight="true" outlineLevel="0" collapsed="false">
      <c r="A87" s="105"/>
      <c r="B87" s="105"/>
      <c r="C87" s="105"/>
      <c r="D87" s="105"/>
      <c r="E87" s="105"/>
      <c r="F87" s="105"/>
      <c r="G87" s="105"/>
      <c r="H87" s="105"/>
      <c r="I87" s="105"/>
      <c r="J87" s="105"/>
    </row>
    <row r="88" customFormat="false" ht="15" hidden="false" customHeight="true" outlineLevel="0" collapsed="false">
      <c r="A88" s="106" t="s">
        <v>1551</v>
      </c>
      <c r="B88" s="105"/>
      <c r="C88" s="105"/>
      <c r="D88" s="105"/>
      <c r="E88" s="105"/>
      <c r="F88" s="105"/>
      <c r="G88" s="105"/>
      <c r="H88" s="105"/>
      <c r="I88" s="105"/>
      <c r="J88" s="105"/>
    </row>
    <row r="89" customFormat="false" ht="15" hidden="false" customHeight="true" outlineLevel="0" collapsed="false">
      <c r="A89" s="16" t="s">
        <v>1534</v>
      </c>
      <c r="B89" s="16" t="s">
        <v>1535</v>
      </c>
      <c r="C89" s="16" t="s">
        <v>1536</v>
      </c>
      <c r="D89" s="16" t="s">
        <v>1537</v>
      </c>
      <c r="E89" s="16" t="s">
        <v>1538</v>
      </c>
      <c r="F89" s="16" t="s">
        <v>1539</v>
      </c>
      <c r="G89" s="105"/>
      <c r="H89" s="16" t="s">
        <v>1540</v>
      </c>
      <c r="I89" s="16" t="s">
        <v>1515</v>
      </c>
      <c r="J89" s="16" t="s">
        <v>1541</v>
      </c>
    </row>
    <row r="90" customFormat="false" ht="15" hidden="false" customHeight="true" outlineLevel="0" collapsed="false">
      <c r="A90" s="18" t="str">
        <f aca="false">Datos!B$5</f>
        <v>2T25</v>
      </c>
      <c r="B90" s="18" t="n">
        <v>1</v>
      </c>
      <c r="C90" s="109" t="n">
        <f aca="false">B90-(COUNT($B$90:$B$94)+1)/2</f>
        <v>-2</v>
      </c>
      <c r="D90" s="24" t="n">
        <f aca="false">Datos!B14</f>
        <v>1105.905</v>
      </c>
      <c r="E90" s="24" t="n">
        <f aca="false">C90*D90</f>
        <v>-2211.81</v>
      </c>
      <c r="F90" s="32" t="n">
        <f aca="false">C90^2</f>
        <v>4</v>
      </c>
      <c r="G90" s="105"/>
      <c r="H90" s="18" t="s">
        <v>1508</v>
      </c>
      <c r="I90" s="107" t="n">
        <f aca="false">MAX($C$90:$C$94)+1</f>
        <v>3</v>
      </c>
      <c r="J90" s="110" t="n">
        <f aca="false">$B$99+$B$98*I90</f>
        <v>1011.854</v>
      </c>
    </row>
    <row r="91" customFormat="false" ht="15" hidden="false" customHeight="true" outlineLevel="0" collapsed="false">
      <c r="A91" s="18" t="str">
        <f aca="false">Datos!C$5</f>
        <v>3T25</v>
      </c>
      <c r="B91" s="18" t="n">
        <v>2</v>
      </c>
      <c r="C91" s="109" t="n">
        <f aca="false">B91-(COUNT($B$90:$B$94)+1)/2</f>
        <v>-1</v>
      </c>
      <c r="D91" s="24" t="n">
        <f aca="false">Datos!C14</f>
        <v>1049.349</v>
      </c>
      <c r="E91" s="24" t="n">
        <f aca="false">C91*D91</f>
        <v>-1049.349</v>
      </c>
      <c r="F91" s="32" t="n">
        <f aca="false">C91^2</f>
        <v>1</v>
      </c>
      <c r="G91" s="105"/>
      <c r="H91" s="18" t="s">
        <v>1509</v>
      </c>
      <c r="I91" s="107" t="n">
        <f aca="false">I90+1</f>
        <v>4</v>
      </c>
      <c r="J91" s="110" t="n">
        <f aca="false">$B$99+$B$98*I91</f>
        <v>996.7536</v>
      </c>
    </row>
    <row r="92" customFormat="false" ht="15" hidden="false" customHeight="true" outlineLevel="0" collapsed="false">
      <c r="A92" s="18" t="str">
        <f aca="false">Datos!D$5</f>
        <v>4T25</v>
      </c>
      <c r="B92" s="18" t="n">
        <v>3</v>
      </c>
      <c r="C92" s="109" t="n">
        <f aca="false">B92-(COUNT($B$90:$B$94)+1)/2</f>
        <v>0</v>
      </c>
      <c r="D92" s="24" t="n">
        <f aca="false">Datos!D14</f>
        <v>1051</v>
      </c>
      <c r="E92" s="24" t="n">
        <f aca="false">C92*D92</f>
        <v>0</v>
      </c>
      <c r="F92" s="32" t="n">
        <f aca="false">C92^2</f>
        <v>0</v>
      </c>
      <c r="G92" s="105"/>
      <c r="H92" s="18" t="s">
        <v>1510</v>
      </c>
      <c r="I92" s="107" t="n">
        <f aca="false">I91+1</f>
        <v>5</v>
      </c>
      <c r="J92" s="110" t="n">
        <f aca="false">$B$99+$B$98*I92</f>
        <v>981.6532</v>
      </c>
    </row>
    <row r="93" customFormat="false" ht="15" hidden="false" customHeight="true" outlineLevel="0" collapsed="false">
      <c r="A93" s="18" t="str">
        <f aca="false">Datos!E$5</f>
        <v>1T26</v>
      </c>
      <c r="B93" s="18" t="n">
        <v>4</v>
      </c>
      <c r="C93" s="109" t="n">
        <f aca="false">B93-(COUNT($B$90:$B$94)+1)/2</f>
        <v>1</v>
      </c>
      <c r="D93" s="24" t="n">
        <f aca="false">Datos!E14</f>
        <v>1048.889</v>
      </c>
      <c r="E93" s="24" t="n">
        <f aca="false">C93*D93</f>
        <v>1048.889</v>
      </c>
      <c r="F93" s="32" t="n">
        <f aca="false">C93^2</f>
        <v>1</v>
      </c>
      <c r="G93" s="105"/>
      <c r="H93" s="18" t="s">
        <v>1511</v>
      </c>
      <c r="I93" s="107" t="n">
        <f aca="false">I92+1</f>
        <v>6</v>
      </c>
      <c r="J93" s="110" t="n">
        <f aca="false">$B$99+$B$98*I93</f>
        <v>966.5528</v>
      </c>
    </row>
    <row r="94" customFormat="false" ht="15" hidden="false" customHeight="true" outlineLevel="0" collapsed="false">
      <c r="A94" s="18" t="str">
        <f aca="false">Datos!F$5</f>
        <v>2T26</v>
      </c>
      <c r="B94" s="18" t="n">
        <v>5</v>
      </c>
      <c r="C94" s="109" t="n">
        <f aca="false">B94-(COUNT($B$90:$B$94)+1)/2</f>
        <v>2</v>
      </c>
      <c r="D94" s="24" t="n">
        <f aca="false">Datos!F14</f>
        <v>1030.633</v>
      </c>
      <c r="E94" s="24" t="n">
        <f aca="false">C94*D94</f>
        <v>2061.266</v>
      </c>
      <c r="F94" s="32" t="n">
        <f aca="false">C94^2</f>
        <v>4</v>
      </c>
      <c r="G94" s="105"/>
      <c r="H94" s="105"/>
      <c r="I94" s="105"/>
      <c r="J94" s="105"/>
    </row>
    <row r="95" customFormat="false" ht="15" hidden="false" customHeight="true" outlineLevel="0" collapsed="false">
      <c r="A95" s="111" t="s">
        <v>1542</v>
      </c>
      <c r="B95" s="111"/>
      <c r="C95" s="112" t="n">
        <f aca="false">SUM(C90:C94)</f>
        <v>0</v>
      </c>
      <c r="D95" s="110" t="n">
        <f aca="false">SUM(D90:D94)</f>
        <v>5285.776</v>
      </c>
      <c r="E95" s="110" t="n">
        <f aca="false">SUM(E90:E94)</f>
        <v>-151.004</v>
      </c>
      <c r="F95" s="113" t="n">
        <f aca="false">SUM(F90:F94)</f>
        <v>10</v>
      </c>
      <c r="G95" s="105"/>
      <c r="H95" s="105" t="str">
        <f aca="false">"Ecuación: Y = "&amp;TEXT(B99,"#,##0.0000")&amp;" + ("&amp;TEXT(B98,"#,##0.0000")&amp;")·X"</f>
        <v>Ecuación: Y = 1,057.1552 + (-15.1004)·X</v>
      </c>
      <c r="I95" s="105"/>
      <c r="J95" s="105"/>
    </row>
    <row r="96" customFormat="false" ht="15" hidden="false" customHeight="true" outlineLevel="0" collapsed="false">
      <c r="A96" s="18" t="s">
        <v>1543</v>
      </c>
      <c r="B96" s="18" t="n">
        <f aca="false">COUNT(B90:B94)</f>
        <v>5</v>
      </c>
      <c r="C96" s="105"/>
      <c r="D96" s="105"/>
      <c r="E96" s="105"/>
      <c r="F96" s="105"/>
      <c r="G96" s="105"/>
      <c r="H96" s="105"/>
      <c r="I96" s="105"/>
      <c r="J96" s="105"/>
    </row>
    <row r="97" customFormat="false" ht="15" hidden="false" customHeight="true" outlineLevel="0" collapsed="false">
      <c r="A97" s="18" t="s">
        <v>1544</v>
      </c>
      <c r="B97" s="109" t="n">
        <f aca="false">C95/B96</f>
        <v>0</v>
      </c>
      <c r="C97" s="105"/>
      <c r="D97" s="105"/>
      <c r="E97" s="105"/>
      <c r="F97" s="105"/>
      <c r="G97" s="105"/>
      <c r="H97" s="105"/>
      <c r="I97" s="105"/>
      <c r="J97" s="105"/>
    </row>
    <row r="98" customFormat="false" ht="15" hidden="false" customHeight="true" outlineLevel="0" collapsed="false">
      <c r="A98" s="18" t="s">
        <v>1545</v>
      </c>
      <c r="B98" s="24" t="n">
        <f aca="false">E95/F95</f>
        <v>-15.1004</v>
      </c>
      <c r="C98" s="105"/>
      <c r="D98" s="105"/>
      <c r="E98" s="105"/>
      <c r="F98" s="105"/>
      <c r="G98" s="105"/>
      <c r="H98" s="105"/>
      <c r="I98" s="105"/>
      <c r="J98" s="105"/>
    </row>
    <row r="99" customFormat="false" ht="15" hidden="false" customHeight="true" outlineLevel="0" collapsed="false">
      <c r="A99" s="18" t="s">
        <v>1546</v>
      </c>
      <c r="B99" s="24" t="n">
        <f aca="false">D95/B96</f>
        <v>1057.1552</v>
      </c>
      <c r="C99" s="105"/>
      <c r="D99" s="105"/>
      <c r="E99" s="105"/>
      <c r="F99" s="105"/>
      <c r="G99" s="105"/>
      <c r="H99" s="105"/>
      <c r="I99" s="105"/>
      <c r="J99" s="105"/>
    </row>
    <row r="100" customFormat="false" ht="15" hidden="false" customHeight="true" outlineLevel="0" collapsed="false">
      <c r="A100" s="18" t="s">
        <v>1547</v>
      </c>
      <c r="B100" s="33" t="n">
        <f aca="false">RSQ(D90:D94,C90:C94)</f>
        <v>0.702227947677694</v>
      </c>
      <c r="C100" s="105"/>
      <c r="D100" s="105"/>
      <c r="E100" s="105"/>
      <c r="F100" s="105"/>
      <c r="G100" s="105"/>
      <c r="H100" s="105"/>
      <c r="I100" s="105"/>
      <c r="J100" s="105"/>
    </row>
    <row r="101" customFormat="false" ht="15" hidden="false" customHeight="true" outlineLevel="0" collapsed="false">
      <c r="A101" s="105"/>
      <c r="B101" s="105"/>
      <c r="C101" s="105"/>
      <c r="D101" s="105"/>
      <c r="E101" s="105"/>
      <c r="F101" s="105"/>
      <c r="G101" s="105"/>
      <c r="H101" s="105"/>
      <c r="I101" s="105"/>
      <c r="J101" s="105"/>
    </row>
    <row r="102" customFormat="false" ht="15" hidden="false" customHeight="true" outlineLevel="0" collapsed="false">
      <c r="A102" s="105"/>
      <c r="B102" s="105"/>
      <c r="C102" s="105"/>
      <c r="D102" s="105"/>
      <c r="E102" s="105"/>
      <c r="F102" s="105"/>
      <c r="G102" s="105"/>
      <c r="H102" s="105"/>
      <c r="I102" s="105"/>
      <c r="J102" s="105"/>
    </row>
    <row r="103" customFormat="false" ht="15" hidden="false" customHeight="true" outlineLevel="0" collapsed="false">
      <c r="A103" s="105"/>
      <c r="B103" s="105"/>
      <c r="C103" s="105"/>
      <c r="D103" s="105"/>
      <c r="E103" s="105"/>
      <c r="F103" s="105"/>
      <c r="G103" s="105"/>
      <c r="H103" s="105"/>
      <c r="I103" s="105"/>
      <c r="J103" s="105"/>
    </row>
    <row r="104" customFormat="false" ht="15" hidden="false" customHeight="true" outlineLevel="0" collapsed="false">
      <c r="A104" s="105"/>
      <c r="B104" s="105"/>
      <c r="C104" s="105"/>
      <c r="D104" s="105"/>
      <c r="E104" s="105"/>
      <c r="F104" s="105"/>
      <c r="G104" s="105"/>
      <c r="H104" s="105"/>
      <c r="I104" s="105"/>
      <c r="J104" s="105"/>
    </row>
    <row r="105" customFormat="false" ht="15" hidden="false" customHeight="true" outlineLevel="0" collapsed="false">
      <c r="A105" s="106" t="s">
        <v>1552</v>
      </c>
      <c r="B105" s="105"/>
      <c r="C105" s="105"/>
      <c r="D105" s="105"/>
      <c r="E105" s="105"/>
      <c r="F105" s="105"/>
      <c r="G105" s="105"/>
      <c r="H105" s="105"/>
      <c r="I105" s="105"/>
      <c r="J105" s="105"/>
    </row>
    <row r="106" customFormat="false" ht="15" hidden="false" customHeight="true" outlineLevel="0" collapsed="false">
      <c r="A106" s="16" t="s">
        <v>1534</v>
      </c>
      <c r="B106" s="16" t="s">
        <v>1535</v>
      </c>
      <c r="C106" s="16" t="s">
        <v>1536</v>
      </c>
      <c r="D106" s="16" t="s">
        <v>1537</v>
      </c>
      <c r="E106" s="16" t="s">
        <v>1538</v>
      </c>
      <c r="F106" s="16" t="s">
        <v>1539</v>
      </c>
      <c r="G106" s="105"/>
      <c r="H106" s="16" t="s">
        <v>1540</v>
      </c>
      <c r="I106" s="16" t="s">
        <v>1515</v>
      </c>
      <c r="J106" s="16" t="s">
        <v>1541</v>
      </c>
    </row>
    <row r="107" customFormat="false" ht="15" hidden="false" customHeight="true" outlineLevel="0" collapsed="false">
      <c r="A107" s="18" t="str">
        <f aca="false">Datos!B$5</f>
        <v>2T25</v>
      </c>
      <c r="B107" s="18" t="n">
        <v>1</v>
      </c>
      <c r="C107" s="109" t="n">
        <f aca="false">B107-(COUNT($B$107:$B$111)+1)/2</f>
        <v>-2</v>
      </c>
      <c r="D107" s="24" t="n">
        <f aca="false">Datos!B16</f>
        <v>663.2</v>
      </c>
      <c r="E107" s="24" t="n">
        <f aca="false">C107*D107</f>
        <v>-1326.4</v>
      </c>
      <c r="F107" s="32" t="n">
        <f aca="false">C107^2</f>
        <v>4</v>
      </c>
      <c r="G107" s="105"/>
      <c r="H107" s="18" t="s">
        <v>1508</v>
      </c>
      <c r="I107" s="107" t="n">
        <f aca="false">MAX($C$107:$C$111)+1</f>
        <v>3</v>
      </c>
      <c r="J107" s="110" t="n">
        <f aca="false">$B$116+$B$115*I107</f>
        <v>798.82</v>
      </c>
    </row>
    <row r="108" customFormat="false" ht="15" hidden="false" customHeight="true" outlineLevel="0" collapsed="false">
      <c r="A108" s="18" t="str">
        <f aca="false">Datos!C$5</f>
        <v>3T25</v>
      </c>
      <c r="B108" s="18" t="n">
        <v>2</v>
      </c>
      <c r="C108" s="109" t="n">
        <f aca="false">B108-(COUNT($B$107:$B$111)+1)/2</f>
        <v>-1</v>
      </c>
      <c r="D108" s="24" t="n">
        <f aca="false">Datos!C16</f>
        <v>775.2</v>
      </c>
      <c r="E108" s="24" t="n">
        <f aca="false">C108*D108</f>
        <v>-775.2</v>
      </c>
      <c r="F108" s="32" t="n">
        <f aca="false">C108^2</f>
        <v>1</v>
      </c>
      <c r="G108" s="105"/>
      <c r="H108" s="18" t="s">
        <v>1509</v>
      </c>
      <c r="I108" s="107" t="n">
        <f aca="false">I107+1</f>
        <v>4</v>
      </c>
      <c r="J108" s="110" t="n">
        <f aca="false">$B$116+$B$115*I108</f>
        <v>820.74</v>
      </c>
    </row>
    <row r="109" customFormat="false" ht="15" hidden="false" customHeight="true" outlineLevel="0" collapsed="false">
      <c r="A109" s="18" t="str">
        <f aca="false">Datos!D$5</f>
        <v>4T25</v>
      </c>
      <c r="B109" s="18" t="n">
        <v>3</v>
      </c>
      <c r="C109" s="109" t="n">
        <f aca="false">B109-(COUNT($B$107:$B$111)+1)/2</f>
        <v>0</v>
      </c>
      <c r="D109" s="24" t="n">
        <f aca="false">Datos!D16</f>
        <v>816</v>
      </c>
      <c r="E109" s="24" t="n">
        <f aca="false">C109*D109</f>
        <v>0</v>
      </c>
      <c r="F109" s="32" t="n">
        <f aca="false">C109^2</f>
        <v>0</v>
      </c>
      <c r="G109" s="105"/>
      <c r="H109" s="18" t="s">
        <v>1510</v>
      </c>
      <c r="I109" s="107" t="n">
        <f aca="false">I108+1</f>
        <v>5</v>
      </c>
      <c r="J109" s="110" t="n">
        <f aca="false">$B$116+$B$115*I109</f>
        <v>842.66</v>
      </c>
    </row>
    <row r="110" customFormat="false" ht="15" hidden="false" customHeight="true" outlineLevel="0" collapsed="false">
      <c r="A110" s="18" t="str">
        <f aca="false">Datos!E$5</f>
        <v>1T26</v>
      </c>
      <c r="B110" s="18" t="n">
        <v>4</v>
      </c>
      <c r="C110" s="109" t="n">
        <f aca="false">B110-(COUNT($B$107:$B$111)+1)/2</f>
        <v>1</v>
      </c>
      <c r="D110" s="24" t="n">
        <f aca="false">Datos!E16</f>
        <v>501</v>
      </c>
      <c r="E110" s="24" t="n">
        <f aca="false">C110*D110</f>
        <v>501</v>
      </c>
      <c r="F110" s="32" t="n">
        <f aca="false">C110^2</f>
        <v>1</v>
      </c>
      <c r="G110" s="105"/>
      <c r="H110" s="18" t="s">
        <v>1511</v>
      </c>
      <c r="I110" s="107" t="n">
        <f aca="false">I109+1</f>
        <v>6</v>
      </c>
      <c r="J110" s="110" t="n">
        <f aca="false">$B$116+$B$115*I110</f>
        <v>864.58</v>
      </c>
    </row>
    <row r="111" customFormat="false" ht="15" hidden="false" customHeight="true" outlineLevel="0" collapsed="false">
      <c r="A111" s="18" t="str">
        <f aca="false">Datos!F$5</f>
        <v>2T26</v>
      </c>
      <c r="B111" s="18" t="n">
        <v>5</v>
      </c>
      <c r="C111" s="109" t="n">
        <f aca="false">B111-(COUNT($B$107:$B$111)+1)/2</f>
        <v>2</v>
      </c>
      <c r="D111" s="24" t="n">
        <f aca="false">Datos!F16</f>
        <v>909.9</v>
      </c>
      <c r="E111" s="24" t="n">
        <f aca="false">C111*D111</f>
        <v>1819.8</v>
      </c>
      <c r="F111" s="32" t="n">
        <f aca="false">C111^2</f>
        <v>4</v>
      </c>
      <c r="G111" s="105"/>
      <c r="H111" s="105"/>
      <c r="I111" s="105"/>
      <c r="J111" s="105"/>
    </row>
    <row r="112" customFormat="false" ht="15" hidden="false" customHeight="true" outlineLevel="0" collapsed="false">
      <c r="A112" s="111" t="s">
        <v>1542</v>
      </c>
      <c r="B112" s="111"/>
      <c r="C112" s="112" t="n">
        <f aca="false">SUM(C107:C111)</f>
        <v>0</v>
      </c>
      <c r="D112" s="110" t="n">
        <f aca="false">SUM(D107:D111)</f>
        <v>3665.3</v>
      </c>
      <c r="E112" s="110" t="n">
        <f aca="false">SUM(E107:E111)</f>
        <v>219.2</v>
      </c>
      <c r="F112" s="113" t="n">
        <f aca="false">SUM(F107:F111)</f>
        <v>10</v>
      </c>
      <c r="G112" s="105"/>
      <c r="H112" s="105" t="str">
        <f aca="false">"Ecuación: Y = "&amp;TEXT(B116,"#,##0.0000")&amp;" + ("&amp;TEXT(B115,"#,##0.0000")&amp;")·X"</f>
        <v>Ecuación: Y = 733.0600 + (21.9200)·X</v>
      </c>
      <c r="I112" s="105"/>
      <c r="J112" s="105"/>
    </row>
    <row r="113" customFormat="false" ht="15" hidden="false" customHeight="true" outlineLevel="0" collapsed="false">
      <c r="A113" s="18" t="s">
        <v>1543</v>
      </c>
      <c r="B113" s="18" t="n">
        <f aca="false">COUNT(B107:B111)</f>
        <v>5</v>
      </c>
      <c r="C113" s="105"/>
      <c r="D113" s="105"/>
      <c r="E113" s="105"/>
      <c r="F113" s="105"/>
      <c r="G113" s="105"/>
      <c r="H113" s="105"/>
      <c r="I113" s="105"/>
      <c r="J113" s="105"/>
    </row>
    <row r="114" customFormat="false" ht="15" hidden="false" customHeight="true" outlineLevel="0" collapsed="false">
      <c r="A114" s="18" t="s">
        <v>1544</v>
      </c>
      <c r="B114" s="109" t="n">
        <f aca="false">C112/B113</f>
        <v>0</v>
      </c>
      <c r="C114" s="105"/>
      <c r="D114" s="105"/>
      <c r="E114" s="105"/>
      <c r="F114" s="105"/>
      <c r="G114" s="105"/>
      <c r="H114" s="105"/>
      <c r="I114" s="105"/>
      <c r="J114" s="105"/>
    </row>
    <row r="115" customFormat="false" ht="15" hidden="false" customHeight="true" outlineLevel="0" collapsed="false">
      <c r="A115" s="18" t="s">
        <v>1545</v>
      </c>
      <c r="B115" s="24" t="n">
        <f aca="false">E112/F112</f>
        <v>21.92</v>
      </c>
      <c r="C115" s="105"/>
      <c r="D115" s="105"/>
      <c r="E115" s="105"/>
      <c r="F115" s="105"/>
      <c r="G115" s="105"/>
      <c r="H115" s="105"/>
      <c r="I115" s="105"/>
      <c r="J115" s="105"/>
    </row>
    <row r="116" customFormat="false" ht="15" hidden="false" customHeight="true" outlineLevel="0" collapsed="false">
      <c r="A116" s="18" t="s">
        <v>1546</v>
      </c>
      <c r="B116" s="24" t="n">
        <f aca="false">D112/B113</f>
        <v>733.06</v>
      </c>
      <c r="C116" s="105"/>
      <c r="D116" s="105"/>
      <c r="E116" s="105"/>
      <c r="F116" s="105"/>
      <c r="G116" s="105"/>
      <c r="H116" s="105"/>
      <c r="I116" s="105"/>
      <c r="J116" s="105"/>
    </row>
    <row r="117" customFormat="false" ht="15" hidden="false" customHeight="true" outlineLevel="0" collapsed="false">
      <c r="A117" s="18" t="s">
        <v>1547</v>
      </c>
      <c r="B117" s="33" t="n">
        <f aca="false">RSQ(D107:D111,C107:C111)</f>
        <v>0.0487014972064719</v>
      </c>
      <c r="C117" s="105"/>
      <c r="D117" s="105"/>
      <c r="E117" s="105"/>
      <c r="F117" s="105"/>
      <c r="G117" s="105"/>
      <c r="H117" s="105"/>
      <c r="I117" s="105"/>
      <c r="J117" s="105"/>
    </row>
    <row r="118" customFormat="false" ht="15" hidden="false" customHeight="true" outlineLevel="0" collapsed="false">
      <c r="A118" s="105"/>
      <c r="B118" s="105"/>
      <c r="C118" s="105"/>
      <c r="D118" s="105"/>
      <c r="E118" s="105"/>
      <c r="F118" s="105"/>
      <c r="G118" s="105"/>
      <c r="H118" s="105"/>
      <c r="I118" s="105"/>
      <c r="J118" s="105"/>
    </row>
    <row r="119" customFormat="false" ht="15" hidden="false" customHeight="true" outlineLevel="0" collapsed="false">
      <c r="A119" s="105"/>
      <c r="B119" s="105"/>
      <c r="C119" s="105"/>
      <c r="D119" s="105"/>
      <c r="E119" s="105"/>
      <c r="F119" s="105"/>
      <c r="G119" s="105"/>
      <c r="H119" s="105"/>
      <c r="I119" s="105"/>
      <c r="J119" s="105"/>
    </row>
    <row r="120" customFormat="false" ht="15" hidden="false" customHeight="true" outlineLevel="0" collapsed="false">
      <c r="A120" s="105"/>
      <c r="B120" s="105"/>
      <c r="C120" s="105"/>
      <c r="D120" s="105"/>
      <c r="E120" s="105"/>
      <c r="F120" s="105"/>
      <c r="G120" s="105"/>
      <c r="H120" s="105"/>
      <c r="I120" s="105"/>
      <c r="J120" s="105"/>
    </row>
    <row r="121" customFormat="false" ht="15" hidden="false" customHeight="true" outlineLevel="0" collapsed="false">
      <c r="A121" s="105"/>
      <c r="B121" s="105"/>
      <c r="C121" s="105"/>
      <c r="D121" s="105"/>
      <c r="E121" s="105"/>
      <c r="F121" s="105"/>
      <c r="G121" s="105"/>
      <c r="H121" s="105"/>
      <c r="I121" s="105"/>
      <c r="J121" s="105"/>
    </row>
    <row r="122" customFormat="false" ht="15" hidden="false" customHeight="true" outlineLevel="0" collapsed="false">
      <c r="A122" s="106" t="s">
        <v>1553</v>
      </c>
      <c r="B122" s="105"/>
      <c r="C122" s="105"/>
      <c r="D122" s="105"/>
      <c r="E122" s="105"/>
      <c r="F122" s="105"/>
      <c r="G122" s="105"/>
      <c r="H122" s="105"/>
      <c r="I122" s="105"/>
      <c r="J122" s="105"/>
    </row>
    <row r="123" customFormat="false" ht="15" hidden="false" customHeight="true" outlineLevel="0" collapsed="false">
      <c r="A123" s="16" t="s">
        <v>1534</v>
      </c>
      <c r="B123" s="16" t="s">
        <v>1535</v>
      </c>
      <c r="C123" s="16" t="s">
        <v>1536</v>
      </c>
      <c r="D123" s="16" t="s">
        <v>1537</v>
      </c>
      <c r="E123" s="16" t="s">
        <v>1538</v>
      </c>
      <c r="F123" s="16" t="s">
        <v>1539</v>
      </c>
      <c r="G123" s="105"/>
      <c r="H123" s="16" t="s">
        <v>1540</v>
      </c>
      <c r="I123" s="16" t="s">
        <v>1515</v>
      </c>
      <c r="J123" s="16" t="s">
        <v>1541</v>
      </c>
    </row>
    <row r="124" customFormat="false" ht="15" hidden="false" customHeight="true" outlineLevel="0" collapsed="false">
      <c r="A124" s="18" t="str">
        <f aca="false">Datos!B$5</f>
        <v>2T25</v>
      </c>
      <c r="B124" s="18" t="n">
        <v>1</v>
      </c>
      <c r="C124" s="109" t="n">
        <f aca="false">B124-(COUNT($B$124:$B$128)+1)/2</f>
        <v>-2</v>
      </c>
      <c r="D124" s="24" t="n">
        <f aca="false">Datos!B19-Datos!B21</f>
        <v>11066</v>
      </c>
      <c r="E124" s="24" t="n">
        <f aca="false">C124*D124</f>
        <v>-22132</v>
      </c>
      <c r="F124" s="32" t="n">
        <f aca="false">C124^2</f>
        <v>4</v>
      </c>
      <c r="G124" s="105"/>
      <c r="H124" s="18" t="s">
        <v>1508</v>
      </c>
      <c r="I124" s="107" t="n">
        <f aca="false">MAX($C$124:$C$128)+1</f>
        <v>3</v>
      </c>
      <c r="J124" s="110" t="n">
        <f aca="false">$B$133+$B$132*I124</f>
        <v>6975.4312</v>
      </c>
    </row>
    <row r="125" customFormat="false" ht="15" hidden="false" customHeight="true" outlineLevel="0" collapsed="false">
      <c r="A125" s="18" t="str">
        <f aca="false">Datos!C$5</f>
        <v>3T25</v>
      </c>
      <c r="B125" s="18" t="n">
        <v>2</v>
      </c>
      <c r="C125" s="109" t="n">
        <f aca="false">B125-(COUNT($B$124:$B$128)+1)/2</f>
        <v>-1</v>
      </c>
      <c r="D125" s="24" t="n">
        <f aca="false">Datos!C19-Datos!C21</f>
        <v>11577</v>
      </c>
      <c r="E125" s="24" t="n">
        <f aca="false">C125*D125</f>
        <v>-11577</v>
      </c>
      <c r="F125" s="32" t="n">
        <f aca="false">C125^2</f>
        <v>1</v>
      </c>
      <c r="G125" s="105"/>
      <c r="H125" s="18" t="s">
        <v>1509</v>
      </c>
      <c r="I125" s="107" t="n">
        <f aca="false">I124+1</f>
        <v>4</v>
      </c>
      <c r="J125" s="110" t="n">
        <f aca="false">$B$133+$B$132*I125</f>
        <v>6036.11400000001</v>
      </c>
    </row>
    <row r="126" customFormat="false" ht="15" hidden="false" customHeight="true" outlineLevel="0" collapsed="false">
      <c r="A126" s="18" t="str">
        <f aca="false">Datos!D$5</f>
        <v>4T25</v>
      </c>
      <c r="B126" s="18" t="n">
        <v>3</v>
      </c>
      <c r="C126" s="109" t="n">
        <f aca="false">B126-(COUNT($B$124:$B$128)+1)/2</f>
        <v>0</v>
      </c>
      <c r="D126" s="24" t="n">
        <f aca="false">Datos!D19-Datos!D21</f>
        <v>9310</v>
      </c>
      <c r="E126" s="24" t="n">
        <f aca="false">C126*D126</f>
        <v>0</v>
      </c>
      <c r="F126" s="32" t="n">
        <f aca="false">C126^2</f>
        <v>0</v>
      </c>
      <c r="G126" s="105"/>
      <c r="H126" s="18" t="s">
        <v>1510</v>
      </c>
      <c r="I126" s="107" t="n">
        <f aca="false">I125+1</f>
        <v>5</v>
      </c>
      <c r="J126" s="110" t="n">
        <f aca="false">$B$133+$B$132*I126</f>
        <v>5096.79680000001</v>
      </c>
    </row>
    <row r="127" customFormat="false" ht="15" hidden="false" customHeight="true" outlineLevel="0" collapsed="false">
      <c r="A127" s="18" t="str">
        <f aca="false">Datos!E$5</f>
        <v>1T26</v>
      </c>
      <c r="B127" s="18" t="n">
        <v>4</v>
      </c>
      <c r="C127" s="109" t="n">
        <f aca="false">B127-(COUNT($B$124:$B$128)+1)/2</f>
        <v>1</v>
      </c>
      <c r="D127" s="24" t="n">
        <f aca="false">Datos!E19-Datos!E21</f>
        <v>9712</v>
      </c>
      <c r="E127" s="24" t="n">
        <f aca="false">C127*D127</f>
        <v>9712</v>
      </c>
      <c r="F127" s="32" t="n">
        <f aca="false">C127^2</f>
        <v>1</v>
      </c>
      <c r="G127" s="105"/>
      <c r="H127" s="18" t="s">
        <v>1511</v>
      </c>
      <c r="I127" s="107" t="n">
        <f aca="false">I126+1</f>
        <v>6</v>
      </c>
      <c r="J127" s="110" t="n">
        <f aca="false">$B$133+$B$132*I127</f>
        <v>4157.47960000001</v>
      </c>
    </row>
    <row r="128" customFormat="false" ht="15" hidden="false" customHeight="true" outlineLevel="0" collapsed="false">
      <c r="A128" s="18" t="str">
        <f aca="false">Datos!F$5</f>
        <v>2T26</v>
      </c>
      <c r="B128" s="18" t="n">
        <v>5</v>
      </c>
      <c r="C128" s="109" t="n">
        <f aca="false">B128-(COUNT($B$124:$B$128)+1)/2</f>
        <v>2</v>
      </c>
      <c r="D128" s="24" t="n">
        <f aca="false">Datos!F19-Datos!F21</f>
        <v>7301.914</v>
      </c>
      <c r="E128" s="24" t="n">
        <f aca="false">C128*D128</f>
        <v>14603.828</v>
      </c>
      <c r="F128" s="32" t="n">
        <f aca="false">C128^2</f>
        <v>4</v>
      </c>
      <c r="G128" s="105"/>
      <c r="H128" s="105"/>
      <c r="I128" s="105"/>
      <c r="J128" s="105"/>
    </row>
    <row r="129" customFormat="false" ht="15" hidden="false" customHeight="true" outlineLevel="0" collapsed="false">
      <c r="A129" s="111" t="s">
        <v>1542</v>
      </c>
      <c r="B129" s="111"/>
      <c r="C129" s="112" t="n">
        <f aca="false">SUM(C124:C128)</f>
        <v>0</v>
      </c>
      <c r="D129" s="110" t="n">
        <f aca="false">SUM(D124:D128)</f>
        <v>48966.914</v>
      </c>
      <c r="E129" s="110" t="n">
        <f aca="false">SUM(E124:E128)</f>
        <v>-9393.17199999999</v>
      </c>
      <c r="F129" s="113" t="n">
        <f aca="false">SUM(F124:F128)</f>
        <v>10</v>
      </c>
      <c r="G129" s="105"/>
      <c r="H129" s="105" t="str">
        <f aca="false">"Ecuación: Y = "&amp;TEXT(B133,"#,##0.0000")&amp;" + ("&amp;TEXT(B132,"#,##0.0000")&amp;")·X"</f>
        <v>Ecuación: Y = 9,793.3828 + (-939.3172)·X</v>
      </c>
      <c r="I129" s="105"/>
      <c r="J129" s="105"/>
    </row>
    <row r="130" customFormat="false" ht="15" hidden="false" customHeight="true" outlineLevel="0" collapsed="false">
      <c r="A130" s="18" t="s">
        <v>1543</v>
      </c>
      <c r="B130" s="18" t="n">
        <f aca="false">COUNT(B124:B128)</f>
        <v>5</v>
      </c>
      <c r="C130" s="105"/>
      <c r="D130" s="105"/>
      <c r="E130" s="105"/>
      <c r="F130" s="105"/>
      <c r="G130" s="105"/>
      <c r="H130" s="105"/>
      <c r="I130" s="105"/>
      <c r="J130" s="105"/>
    </row>
    <row r="131" customFormat="false" ht="15" hidden="false" customHeight="true" outlineLevel="0" collapsed="false">
      <c r="A131" s="18" t="s">
        <v>1544</v>
      </c>
      <c r="B131" s="109" t="n">
        <f aca="false">C129/B130</f>
        <v>0</v>
      </c>
      <c r="C131" s="105"/>
      <c r="D131" s="105"/>
      <c r="E131" s="105"/>
      <c r="F131" s="105"/>
      <c r="G131" s="105"/>
      <c r="H131" s="105"/>
      <c r="I131" s="105"/>
      <c r="J131" s="105"/>
    </row>
    <row r="132" customFormat="false" ht="15" hidden="false" customHeight="true" outlineLevel="0" collapsed="false">
      <c r="A132" s="18" t="s">
        <v>1545</v>
      </c>
      <c r="B132" s="24" t="n">
        <f aca="false">E129/F129</f>
        <v>-939.317199999999</v>
      </c>
      <c r="C132" s="105"/>
      <c r="D132" s="105"/>
      <c r="E132" s="105"/>
      <c r="F132" s="105"/>
      <c r="G132" s="105"/>
      <c r="H132" s="105"/>
      <c r="I132" s="105"/>
      <c r="J132" s="105"/>
    </row>
    <row r="133" customFormat="false" ht="15" hidden="false" customHeight="true" outlineLevel="0" collapsed="false">
      <c r="A133" s="18" t="s">
        <v>1546</v>
      </c>
      <c r="B133" s="24" t="n">
        <f aca="false">D129/B130</f>
        <v>9793.3828</v>
      </c>
      <c r="C133" s="105"/>
      <c r="D133" s="105"/>
      <c r="E133" s="105"/>
      <c r="F133" s="105"/>
      <c r="G133" s="105"/>
      <c r="H133" s="105"/>
      <c r="I133" s="105"/>
      <c r="J133" s="105"/>
    </row>
    <row r="134" customFormat="false" ht="15" hidden="false" customHeight="true" outlineLevel="0" collapsed="false">
      <c r="A134" s="18" t="s">
        <v>1547</v>
      </c>
      <c r="B134" s="33" t="n">
        <f aca="false">RSQ(D124:D128,C124:C128)</f>
        <v>0.784383137632491</v>
      </c>
      <c r="C134" s="105"/>
      <c r="D134" s="105"/>
      <c r="E134" s="105"/>
      <c r="F134" s="105"/>
      <c r="G134" s="105"/>
      <c r="H134" s="105"/>
      <c r="I134" s="105"/>
      <c r="J134" s="10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I309"/>
  <sheetViews>
    <sheetView showFormulas="false" showGridLines="true" showRowColHeaders="true" showZeros="true" rightToLeft="false" tabSelected="false" showOutlineSymbols="true" defaultGridColor="true" view="normal" topLeftCell="A1" colorId="64" zoomScale="133" zoomScaleNormal="133" zoomScalePageLayoutView="100" workbookViewId="0">
      <selection pane="topLeft" activeCell="K3" activeCellId="0" sqref="K3"/>
    </sheetView>
  </sheetViews>
  <sheetFormatPr defaultColWidth="8.66796875" defaultRowHeight="13.5" zeroHeight="false" outlineLevelRow="0" outlineLevelCol="0"/>
  <cols>
    <col collapsed="false" customWidth="true" hidden="false" outlineLevel="0" max="1" min="1" style="44" width="62"/>
    <col collapsed="false" customWidth="true" hidden="false" outlineLevel="0" max="2" min="2" style="44" width="14"/>
    <col collapsed="false" customWidth="true" hidden="false" outlineLevel="0" max="3" min="3" style="44" width="13.5"/>
    <col collapsed="false" customWidth="true" hidden="false" outlineLevel="0" max="4" min="4" style="44" width="14"/>
    <col collapsed="false" customWidth="true" hidden="false" outlineLevel="0" max="5" min="5" style="44" width="12"/>
    <col collapsed="false" customWidth="true" hidden="false" outlineLevel="0" max="6" min="6" style="44" width="14"/>
    <col collapsed="false" customWidth="true" hidden="false" outlineLevel="0" max="7" min="7" style="44" width="16"/>
    <col collapsed="false" customWidth="true" hidden="false" outlineLevel="0" max="10" min="8" style="44" width="12"/>
    <col collapsed="false" customWidth="true" hidden="false" outlineLevel="0" max="11" min="11" style="44" width="16"/>
    <col collapsed="false" customWidth="true" hidden="false" outlineLevel="0" max="13" min="12" style="44" width="24"/>
    <col collapsed="false" customWidth="false" hidden="false" outlineLevel="0" max="14" min="14" style="44" width="8.67"/>
    <col collapsed="false" customWidth="true" hidden="false" outlineLevel="0" max="30" min="15" style="44" width="12"/>
    <col collapsed="false" customWidth="true" hidden="false" outlineLevel="0" max="31" min="31" style="44" width="9"/>
    <col collapsed="false" customWidth="true" hidden="false" outlineLevel="0" max="32" min="32" style="44" width="12"/>
    <col collapsed="false" customWidth="true" hidden="false" outlineLevel="0" max="33" min="33" style="44" width="9"/>
    <col collapsed="false" customWidth="true" hidden="false" outlineLevel="0" max="34" min="34" style="44" width="12"/>
    <col collapsed="false" customWidth="true" hidden="false" outlineLevel="0" max="35" min="35" style="44" width="9"/>
    <col collapsed="false" customWidth="false" hidden="false" outlineLevel="0" max="36" min="36" style="44" width="8.67"/>
    <col collapsed="false" customWidth="true" hidden="false" outlineLevel="0" max="38" min="37" style="44" width="9"/>
    <col collapsed="false" customWidth="true" hidden="false" outlineLevel="0" max="39" min="39" style="44" width="12"/>
    <col collapsed="false" customWidth="true" hidden="false" outlineLevel="0" max="40" min="40" style="44" width="9"/>
    <col collapsed="false" customWidth="false" hidden="false" outlineLevel="0" max="41" min="41" style="44" width="8.67"/>
    <col collapsed="false" customWidth="true" hidden="false" outlineLevel="0" max="44" min="42" style="44" width="9"/>
    <col collapsed="false" customWidth="true" hidden="false" outlineLevel="0" max="45" min="45" style="44" width="11.67"/>
    <col collapsed="false" customWidth="false" hidden="false" outlineLevel="0" max="46" min="46" style="44" width="8.67"/>
    <col collapsed="false" customWidth="true" hidden="false" outlineLevel="0" max="51" min="47" style="44" width="9"/>
    <col collapsed="false" customWidth="false" hidden="false" outlineLevel="0" max="52" min="52" style="44" width="8.67"/>
    <col collapsed="false" customWidth="true" hidden="false" outlineLevel="0" max="57" min="53" style="44" width="9"/>
    <col collapsed="false" customWidth="false" hidden="false" outlineLevel="0" max="58" min="58" style="44" width="8.67"/>
    <col collapsed="false" customWidth="true" hidden="false" outlineLevel="0" max="84" min="59" style="44" width="15.83"/>
    <col collapsed="false" customWidth="false" hidden="false" outlineLevel="0" max="85" min="85" style="44" width="8.67"/>
    <col collapsed="false" customWidth="true" hidden="false" outlineLevel="0" max="86" min="86" style="44" width="12"/>
    <col collapsed="false" customWidth="true" hidden="false" outlineLevel="0" max="87" min="87" style="44" width="9"/>
    <col collapsed="false" customWidth="false" hidden="false" outlineLevel="0" max="16384" min="88" style="44" width="8.67"/>
  </cols>
  <sheetData>
    <row r="1" customFormat="false" ht="18" hidden="false" customHeight="true" outlineLevel="0" collapsed="false">
      <c r="A1" s="45" t="s">
        <v>1554</v>
      </c>
    </row>
    <row r="2" customFormat="false" ht="13.5" hidden="false" customHeight="false" outlineLevel="0" collapsed="false">
      <c r="A2" s="75" t="s">
        <v>1555</v>
      </c>
    </row>
    <row r="3" customFormat="false" ht="13.5" hidden="false" customHeight="false" outlineLevel="0" collapsed="false">
      <c r="A3" s="46"/>
    </row>
    <row r="4" customFormat="false" ht="13.5" hidden="false" customHeight="false" outlineLevel="0" collapsed="false">
      <c r="A4" s="49" t="s">
        <v>1556</v>
      </c>
    </row>
    <row r="5" customFormat="false" ht="13.5" hidden="false" customHeight="false" outlineLevel="0" collapsed="false">
      <c r="A5" s="117" t="s">
        <v>1557</v>
      </c>
      <c r="B5" s="118" t="n">
        <f aca="false">COUNT(AF10:AF309)</f>
        <v>113</v>
      </c>
    </row>
    <row r="6" customFormat="false" ht="13.5" hidden="false" customHeight="false" outlineLevel="0" collapsed="false">
      <c r="A6" s="117" t="s">
        <v>1558</v>
      </c>
      <c r="B6" s="119" t="n">
        <f aca="false">IF(B5=0,"",MIN(AF10:AF309))</f>
        <v>44562</v>
      </c>
      <c r="C6" s="119" t="n">
        <f aca="false">IF(B5=0,"",MAX(AF10:AF309))</f>
        <v>46266</v>
      </c>
    </row>
    <row r="7" customFormat="false" ht="13.5" hidden="false" customHeight="false" outlineLevel="0" collapsed="false">
      <c r="A7" s="117" t="s">
        <v>1559</v>
      </c>
      <c r="B7" s="119" t="n">
        <v>44927</v>
      </c>
    </row>
    <row r="8" customFormat="false" ht="13.5" hidden="false" customHeight="false" outlineLevel="0" collapsed="false">
      <c r="A8" s="117" t="s">
        <v>1560</v>
      </c>
      <c r="B8" s="117" t="n">
        <f aca="false">COUNTIF($AF$10:$AF$309,"&lt;"&amp;B7)+1</f>
        <v>25</v>
      </c>
      <c r="C8" s="117" t="n">
        <f aca="false">B5-B8+1</f>
        <v>89</v>
      </c>
      <c r="AE8" s="49" t="s">
        <v>1561</v>
      </c>
    </row>
    <row r="9" customFormat="false" ht="60" hidden="false" customHeight="true" outlineLevel="0" collapsed="false">
      <c r="AE9" s="50" t="s">
        <v>1366</v>
      </c>
      <c r="AF9" s="50" t="s">
        <v>1562</v>
      </c>
      <c r="AG9" s="50" t="s">
        <v>1563</v>
      </c>
      <c r="AH9" s="50" t="s">
        <v>1564</v>
      </c>
      <c r="AI9" s="50" t="s">
        <v>1565</v>
      </c>
      <c r="AK9" s="50" t="s">
        <v>1564</v>
      </c>
      <c r="AL9" s="50" t="s">
        <v>1566</v>
      </c>
      <c r="AM9" s="50" t="s">
        <v>1562</v>
      </c>
      <c r="AN9" s="50" t="s">
        <v>1567</v>
      </c>
      <c r="AP9" s="50" t="s">
        <v>1564</v>
      </c>
      <c r="AQ9" s="50" t="s">
        <v>1568</v>
      </c>
      <c r="AR9" s="50" t="s">
        <v>1567</v>
      </c>
      <c r="AS9" s="50" t="s">
        <v>1569</v>
      </c>
      <c r="AU9" s="50" t="s">
        <v>1564</v>
      </c>
      <c r="AV9" s="50" t="s">
        <v>1570</v>
      </c>
      <c r="AW9" s="50" t="s">
        <v>1377</v>
      </c>
      <c r="AX9" s="50" t="s">
        <v>1378</v>
      </c>
      <c r="AY9" s="50" t="s">
        <v>1567</v>
      </c>
      <c r="BA9" s="50" t="s">
        <v>1564</v>
      </c>
      <c r="BB9" s="50" t="s">
        <v>1571</v>
      </c>
      <c r="BC9" s="50" t="s">
        <v>1377</v>
      </c>
      <c r="BD9" s="50" t="s">
        <v>1378</v>
      </c>
      <c r="BE9" s="50" t="s">
        <v>1567</v>
      </c>
      <c r="BG9" s="120" t="s">
        <v>1572</v>
      </c>
      <c r="BH9" s="120" t="s">
        <v>1573</v>
      </c>
      <c r="BI9" s="120" t="s">
        <v>1574</v>
      </c>
      <c r="BJ9" s="120" t="s">
        <v>1575</v>
      </c>
      <c r="BK9" s="120" t="s">
        <v>1576</v>
      </c>
      <c r="BL9" s="120" t="s">
        <v>1577</v>
      </c>
      <c r="BM9" s="120" t="s">
        <v>1578</v>
      </c>
      <c r="BN9" s="120" t="s">
        <v>1579</v>
      </c>
      <c r="BO9" s="120" t="s">
        <v>1580</v>
      </c>
      <c r="BP9" s="120" t="s">
        <v>1581</v>
      </c>
      <c r="BQ9" s="120" t="s">
        <v>1582</v>
      </c>
      <c r="BR9" s="120" t="s">
        <v>1583</v>
      </c>
      <c r="BS9" s="120" t="s">
        <v>1584</v>
      </c>
      <c r="BT9" s="120" t="s">
        <v>1585</v>
      </c>
      <c r="BU9" s="120" t="s">
        <v>1586</v>
      </c>
      <c r="BV9" s="120" t="s">
        <v>1587</v>
      </c>
      <c r="BW9" s="120" t="s">
        <v>1588</v>
      </c>
      <c r="BX9" s="120" t="s">
        <v>1589</v>
      </c>
      <c r="BY9" s="120" t="s">
        <v>1590</v>
      </c>
      <c r="BZ9" s="120" t="s">
        <v>1591</v>
      </c>
      <c r="CA9" s="120" t="s">
        <v>1592</v>
      </c>
      <c r="CB9" s="120" t="s">
        <v>1593</v>
      </c>
      <c r="CC9" s="120" t="s">
        <v>1594</v>
      </c>
      <c r="CD9" s="120" t="s">
        <v>1595</v>
      </c>
      <c r="CE9" s="120" t="s">
        <v>1596</v>
      </c>
      <c r="CF9" s="120" t="s">
        <v>1597</v>
      </c>
      <c r="CH9" s="50" t="s">
        <v>1598</v>
      </c>
      <c r="CI9" s="50" t="s">
        <v>1599</v>
      </c>
    </row>
    <row r="10" customFormat="false" ht="13.5" hidden="false" customHeight="false" outlineLevel="0" collapsed="false">
      <c r="A10" s="49" t="s">
        <v>1600</v>
      </c>
      <c r="AE10" s="44" t="n">
        <v>1</v>
      </c>
      <c r="AF10" s="55" t="n">
        <f aca="false">IF(COUNT($CH$10:$CH$309)=0,"",MIN($CH$10:$CH$309))</f>
        <v>44562</v>
      </c>
      <c r="AG10" s="56" t="n">
        <f aca="false">IF(AF10="","",INDEX($CI$10:$CI$309,MATCH(AF10,$CH$10:$CH$309,0)))</f>
        <v>7.13</v>
      </c>
      <c r="AH10" s="55" t="n">
        <f aca="false">IF(AF10="",NA(),AF10)</f>
        <v>44562</v>
      </c>
      <c r="AI10" s="56" t="n">
        <f aca="false">IF(AG10="",NA(),AG10)</f>
        <v>7.13</v>
      </c>
      <c r="AK10" s="44" t="n">
        <v>1</v>
      </c>
      <c r="AL10" s="56" t="n">
        <f aca="false">IF($B$5&gt;=25,INDEX($AG$10:$AG$309,$B$5-25+1),"")</f>
        <v>3.74</v>
      </c>
      <c r="AM10" s="55" t="n">
        <f aca="false">IF($B$5&gt;=25,INDEX($AF$10:$AF$309,$B$5-25+1),"")</f>
        <v>45901</v>
      </c>
      <c r="AN10" s="44" t="n">
        <f aca="false">IF(AL10="","",LN(AL10))</f>
        <v>1.31908561142644</v>
      </c>
      <c r="AP10" s="44" t="n">
        <v>1</v>
      </c>
      <c r="AQ10" s="44" t="n">
        <f aca="false">IF($B$5&gt;=25,AVERAGE(INDEX($AL$10:$AL$34,1):INDEX($AL$10:$AL$34,6)),"")</f>
        <v>3.70833333333333</v>
      </c>
      <c r="AR10" s="44" t="n">
        <f aca="false">IF(AQ10="","",LN(AQ10))</f>
        <v>1.31058253938419</v>
      </c>
      <c r="AS10" s="55" t="n">
        <f aca="false">IF($B$5&gt;=25,INDEX($AM$10:$AM$34,1),"")</f>
        <v>45901</v>
      </c>
      <c r="AU10" s="44" t="n">
        <f aca="false">IF(1&lt;=$C$8,1,"")</f>
        <v>1</v>
      </c>
      <c r="AV10" s="56" t="n">
        <f aca="false">IF(AU10="","",INDEX($AG$10:$AG$309,$B$8+1-1))</f>
        <v>7.94</v>
      </c>
      <c r="AW10" s="56" t="n">
        <f aca="false">IF(AV10="",NA(),AV10)</f>
        <v>7.94</v>
      </c>
      <c r="AX10" s="44" t="n">
        <f aca="false">IF(AV10="",NA(),AU10)</f>
        <v>1</v>
      </c>
      <c r="AY10" s="44" t="n">
        <f aca="false">IF(AV10="","",LN(AV10))</f>
        <v>2.07191327525904</v>
      </c>
      <c r="BA10" s="44" t="n">
        <f aca="false">IF(1&lt;=INT($C$8/6),1,"")</f>
        <v>1</v>
      </c>
      <c r="BB10" s="44" t="n">
        <f aca="false">IF(BA10="","",AVERAGE(INDEX($AV$10:$AV$309,1):INDEX($AV$10:$AV$309,6)))</f>
        <v>7.46</v>
      </c>
      <c r="BC10" s="44" t="n">
        <f aca="false">IF(BB10="",NA(),BB10)</f>
        <v>7.46</v>
      </c>
      <c r="BD10" s="44" t="n">
        <f aca="false">IF(BB10="",NA(),BA10)</f>
        <v>1</v>
      </c>
      <c r="BE10" s="44" t="n">
        <f aca="false">IF(BB10="","",LN(BB10))</f>
        <v>2.00955541421567</v>
      </c>
      <c r="BG10" s="121" t="n">
        <f aca="false">IF($B$5=0,"",DATE(YEAR($B$6),MONTH($B$6),1))</f>
        <v>44562</v>
      </c>
      <c r="BH10" s="44" t="n">
        <f aca="false">IF(BG10="","",IFERROR(AVERAGEIFS($AG$10:$AG$309,$AF$10:$AF$309,"&gt;="&amp;BG10,$AF$10:$AF$309,"&lt;="&amp;EOMONTH(BG10,0)),""))</f>
        <v>7.07</v>
      </c>
      <c r="BI10" s="122" t="n">
        <f aca="false">IF(BG10="","",IFERROR(INDEX(Rendimientos!$C$13:$C$412,MATCH(_xlfn.MAXIFS(Rendimientos!$B$13:$B$412,Rendimientos!$B$13:$B$412,"&lt;="&amp;EOMONTH(BG10,0),Rendimientos!$B$13:$B$412,"&gt;="&amp;BG10),Rendimientos!$B$13:$B$412,0)),IFERROR(INDEX(Rendimientos!$T$13:$T$512,MATCH(_xlfn.MAXIFS(Rendimientos!$S$13:$S$512,Rendimientos!$S$13:$S$512,"&lt;="&amp;EOMONTH(BG10,0),Rendimientos!$S$13:$S$512,"&gt;="&amp;BG10),Rendimientos!$S$13:$S$512,0)),"")))</f>
        <v>23.24</v>
      </c>
      <c r="BJ10" s="123" t="str">
        <f aca="false">""</f>
        <v/>
      </c>
      <c r="BK10" s="44" t="str">
        <f aca="false">""</f>
        <v/>
      </c>
      <c r="BL10" s="123" t="str">
        <f aca="false">""</f>
        <v/>
      </c>
      <c r="BM10" s="44" t="n">
        <f aca="false">IF(AND(ISNUMBER(BH10),ISNUMBER(BI10)),1,"")</f>
        <v>1</v>
      </c>
      <c r="BN10" s="44" t="n">
        <f aca="false">IF(BM10=1,COUNT(BM10:BM$69),"")</f>
        <v>57</v>
      </c>
      <c r="BO10" s="44" t="n">
        <f aca="false">IF(BM10=1,BH10,"")</f>
        <v>7.07</v>
      </c>
      <c r="BP10" s="122" t="n">
        <f aca="false">IF(BM10=1,BI10,"")</f>
        <v>23.24</v>
      </c>
      <c r="BQ10" s="44" t="str">
        <f aca="false">IF(AND(BM10=1,BN10&lt;=12),BH10,"")</f>
        <v/>
      </c>
      <c r="BR10" s="44" t="str">
        <f aca="false">IF(AND(BM10=1,BN10&lt;=12),BI10,"")</f>
        <v/>
      </c>
      <c r="BS10" s="44" t="str">
        <f aca="false">IF(AND(BM10=1,BN10&lt;=6),BH10,"")</f>
        <v/>
      </c>
      <c r="BT10" s="44" t="str">
        <f aca="false">IF(AND(BM10=1,BN10&lt;=6),BI10,"")</f>
        <v/>
      </c>
      <c r="BU10" s="123" t="str">
        <f aca="false">IF(AND(ISNUMBER(BJ10),ISNUMBER(BK10)),BJ10,"")</f>
        <v/>
      </c>
      <c r="BV10" s="44" t="str">
        <f aca="false">IF(AND(ISNUMBER(BJ10),ISNUMBER(BK10)),BK10,"")</f>
        <v/>
      </c>
      <c r="BW10" s="123" t="str">
        <f aca="false">IF(AND(ISNUMBER(BJ10),ISNUMBER(BH10)),BJ10,"")</f>
        <v/>
      </c>
      <c r="BX10" s="44" t="str">
        <f aca="false">IF(AND(ISNUMBER(BJ10),ISNUMBER(BH10)),BH10,"")</f>
        <v/>
      </c>
      <c r="BY10" s="44" t="n">
        <f aca="false">IF(BM10=1,BH10,NA())</f>
        <v>7.07</v>
      </c>
      <c r="BZ10" s="122" t="n">
        <f aca="false">IF(BM10=1,BI10,NA())</f>
        <v>23.24</v>
      </c>
      <c r="CA10" s="44" t="n">
        <f aca="false">IF(BM10=1,LN(BI10),"")</f>
        <v>3.14587493198371</v>
      </c>
      <c r="CB10" s="123" t="e">
        <f aca="false">IF(ISNUMBER(BU10),BU10,NA())</f>
        <v>#N/A</v>
      </c>
      <c r="CC10" s="44" t="e">
        <f aca="false">IF(ISNUMBER(BV10),BV10,NA())</f>
        <v>#N/A</v>
      </c>
      <c r="CD10" s="124" t="n">
        <f aca="false">IF(BG10="",NA(),BG10)</f>
        <v>44562</v>
      </c>
      <c r="CE10" s="44" t="n">
        <f aca="false">IF(ISNUMBER(BH10),BH10,NA())</f>
        <v>7.07</v>
      </c>
      <c r="CF10" s="122" t="n">
        <f aca="false">IF(ISNUMBER(BI10),BI10,NA())</f>
        <v>23.24</v>
      </c>
      <c r="CH10" s="55" t="n">
        <f aca="false">IF(ISNUMBER(CI10),IF(ISNUMBER('Base de Datos'!AG6),IF('Base de Datos'!AG6&gt;20000,INT('Base de Datos'!AG6),""),IF(TRIM('Base de Datos'!AG6)="","",IFERROR(DATE(VALUE(RIGHT(TRIM('Base de Datos'!AG6),4)),VALUE(MID(TRIM('Base de Datos'!AG6),4,2)),VALUE(LEFT(TRIM('Base de Datos'!AG6),2))),IFERROR(DATEVALUE(TRIM('Base de Datos'!AG6)),"")))),"")</f>
        <v>44562</v>
      </c>
      <c r="CI10" s="56" t="n">
        <f aca="false">IF(ISNUMBER('Base de Datos'!AH6),'Base de Datos'!AH6,IF(TRIM('Base de Datos'!AH6)="","",IFERROR(IF(IFERROR(FIND("@",SUBSTITUTE(TRIM('Base de Datos'!AH6),",","@",LEN(TRIM('Base de Datos'!AH6))-LEN(SUBSTITUTE(TRIM('Base de Datos'!AH6),",","")))),0)&gt;IFERROR(FIND("@",SUBSTITUTE(TRIM('Base de Datos'!AH6),".","@",LEN(TRIM('Base de Datos'!AH6))-LEN(SUBSTITUTE(TRIM('Base de Datos'!AH6),".","")))),0),_xlfn.NUMBERVALUE(SUBSTITUTE(SUBSTITUTE(TRIM('Base de Datos'!AH6),".",""),",","."),".",","),_xlfn.NUMBERVALUE(SUBSTITUTE(TRIM('Base de Datos'!AH6),",",""),".",",")),"")))</f>
        <v>7.13</v>
      </c>
    </row>
    <row r="11" customFormat="false" ht="30" hidden="false" customHeight="true" outlineLevel="0" collapsed="false">
      <c r="A11" s="120" t="s">
        <v>1601</v>
      </c>
      <c r="B11" s="120" t="s">
        <v>1535</v>
      </c>
      <c r="C11" s="120" t="s">
        <v>1602</v>
      </c>
      <c r="D11" s="120" t="s">
        <v>1603</v>
      </c>
      <c r="E11" s="120" t="s">
        <v>1604</v>
      </c>
      <c r="F11" s="120" t="s">
        <v>1564</v>
      </c>
      <c r="G11" s="120" t="s">
        <v>1605</v>
      </c>
      <c r="H11" s="120" t="s">
        <v>1606</v>
      </c>
      <c r="I11" s="120" t="s">
        <v>1607</v>
      </c>
      <c r="J11" s="120" t="s">
        <v>1608</v>
      </c>
      <c r="K11" s="120" t="s">
        <v>1609</v>
      </c>
      <c r="L11" s="120" t="s">
        <v>1610</v>
      </c>
      <c r="M11" s="120" t="s">
        <v>1611</v>
      </c>
      <c r="AE11" s="44" t="n">
        <v>2</v>
      </c>
      <c r="AF11" s="55" t="n">
        <f aca="false">IF(AF10="","",IFERROR(SMALL($CH$10:$CH$309,COUNTIF($CH$10:$CH$309,"&lt;="&amp;AF10)+1),""))</f>
        <v>44577</v>
      </c>
      <c r="AG11" s="56" t="n">
        <f aca="false">IF(AF11="","",INDEX($CI$10:$CI$309,MATCH(AF11,$CH$10:$CH$309,0)))</f>
        <v>7.01</v>
      </c>
      <c r="AH11" s="55" t="n">
        <f aca="false">IF(AF11="",NA(),AF11)</f>
        <v>44577</v>
      </c>
      <c r="AI11" s="56" t="n">
        <f aca="false">IF(AG11="",NA(),AG11)</f>
        <v>7.01</v>
      </c>
      <c r="AK11" s="44" t="n">
        <v>2</v>
      </c>
      <c r="AL11" s="56" t="n">
        <f aca="false">IF($B$5&gt;=25,INDEX($AG$10:$AG$309,$B$5-25+2),"")</f>
        <v>3.78</v>
      </c>
      <c r="AM11" s="55" t="n">
        <f aca="false">IF($B$5&gt;=25,INDEX($AF$10:$AF$309,$B$5-25+2),"")</f>
        <v>45916</v>
      </c>
      <c r="AN11" s="44" t="n">
        <f aca="false">IF(AL11="","",LN(AL11))</f>
        <v>1.3297240096315</v>
      </c>
      <c r="AP11" s="44" t="n">
        <v>2</v>
      </c>
      <c r="AQ11" s="44" t="n">
        <f aca="false">IF($B$5&gt;=25,AVERAGE(INDEX($AL$10:$AL$34,7):INDEX($AL$10:$AL$34,12)),"")</f>
        <v>3.83666666666667</v>
      </c>
      <c r="AR11" s="44" t="n">
        <f aca="false">IF(AQ11="","",LN(AQ11))</f>
        <v>1.34460393406568</v>
      </c>
      <c r="AS11" s="55" t="n">
        <f aca="false">IF($B$5&gt;=25,INDEX($AM$10:$AM$34,7),"")</f>
        <v>45992</v>
      </c>
      <c r="AU11" s="44" t="n">
        <f aca="false">IF(2&lt;=$C$8,2,"")</f>
        <v>2</v>
      </c>
      <c r="AV11" s="56" t="n">
        <f aca="false">IF(AU11="","",INDEX($AG$10:$AG$309,$B$8+2-1))</f>
        <v>7.88</v>
      </c>
      <c r="AW11" s="56" t="n">
        <f aca="false">IF(AV11="",NA(),AV11)</f>
        <v>7.88</v>
      </c>
      <c r="AX11" s="44" t="n">
        <f aca="false">IF(AV11="",NA(),AU11)</f>
        <v>2</v>
      </c>
      <c r="AY11" s="44" t="n">
        <f aca="false">IF(AV11="","",LN(AV11))</f>
        <v>2.06432790386979</v>
      </c>
      <c r="BA11" s="44" t="n">
        <f aca="false">IF(2&lt;=INT($C$8/6),2,"")</f>
        <v>2</v>
      </c>
      <c r="BB11" s="44" t="n">
        <f aca="false">IF(BA11="","",AVERAGE(INDEX($AV$10:$AV$309,7):INDEX($AV$10:$AV$309,12)))</f>
        <v>5.715</v>
      </c>
      <c r="BC11" s="44" t="n">
        <f aca="false">IF(BB11="",NA(),BB11)</f>
        <v>5.715</v>
      </c>
      <c r="BD11" s="44" t="n">
        <f aca="false">IF(BB11="",NA(),BA11)</f>
        <v>2</v>
      </c>
      <c r="BE11" s="44" t="n">
        <f aca="false">IF(BB11="","",LN(BB11))</f>
        <v>1.74309429724677</v>
      </c>
      <c r="BG11" s="121" t="n">
        <f aca="false">IF(BG10="","",IF(EDATE(BG10,1)&gt;$C$6,"",EDATE(BG10,1)))</f>
        <v>44593</v>
      </c>
      <c r="BH11" s="44" t="n">
        <f aca="false">IF(BG11="","",IFERROR(AVERAGEIFS($AG$10:$AG$309,$AF$10:$AF$309,"&gt;="&amp;BG11,$AF$10:$AF$309,"&lt;="&amp;EOMONTH(BG11,0)),""))</f>
        <v>7.28</v>
      </c>
      <c r="BI11" s="122" t="n">
        <f aca="false">IF(BG11="","",IFERROR(INDEX(Rendimientos!$C$13:$C$412,MATCH(_xlfn.MAXIFS(Rendimientos!$B$13:$B$412,Rendimientos!$B$13:$B$412,"&lt;="&amp;EOMONTH(BG11,0),Rendimientos!$B$13:$B$412,"&gt;="&amp;BG11),Rendimientos!$B$13:$B$412,0)),IFERROR(INDEX(Rendimientos!$T$13:$T$512,MATCH(_xlfn.MAXIFS(Rendimientos!$S$13:$S$512,Rendimientos!$S$13:$S$512,"&lt;="&amp;EOMONTH(BG11,0),Rendimientos!$S$13:$S$512,"&gt;="&amp;BG11),Rendimientos!$S$13:$S$512,0)),"")))</f>
        <v>22.91</v>
      </c>
      <c r="BJ11" s="123" t="n">
        <f aca="false">IF(AND(ISNUMBER(BI11),ISNUMBER(BI10)),BI11/BI10-1,"")</f>
        <v>-0.0141996557659207</v>
      </c>
      <c r="BK11" s="44" t="n">
        <f aca="false">IF(AND(ISNUMBER(BH11),ISNUMBER(BH10)),BH11-BH10,"")</f>
        <v>0.209999999999999</v>
      </c>
      <c r="BL11" s="123" t="n">
        <f aca="false">IF(AND(ISNUMBER(BH11),ISNUMBER(BH10)),BH11/BH10-1,"")</f>
        <v>0.0297029702970295</v>
      </c>
      <c r="BM11" s="44" t="n">
        <f aca="false">IF(AND(ISNUMBER(BH11),ISNUMBER(BI11)),1,"")</f>
        <v>1</v>
      </c>
      <c r="BN11" s="44" t="n">
        <f aca="false">IF(BM11=1,COUNT(BM11:BM$69),"")</f>
        <v>56</v>
      </c>
      <c r="BO11" s="44" t="n">
        <f aca="false">IF(BM11=1,BH11,"")</f>
        <v>7.28</v>
      </c>
      <c r="BP11" s="122" t="n">
        <f aca="false">IF(BM11=1,BI11,"")</f>
        <v>22.91</v>
      </c>
      <c r="BQ11" s="44" t="str">
        <f aca="false">IF(AND(BM11=1,BN11&lt;=12),BH11,"")</f>
        <v/>
      </c>
      <c r="BR11" s="44" t="str">
        <f aca="false">IF(AND(BM11=1,BN11&lt;=12),BI11,"")</f>
        <v/>
      </c>
      <c r="BS11" s="44" t="str">
        <f aca="false">IF(AND(BM11=1,BN11&lt;=6),BH11,"")</f>
        <v/>
      </c>
      <c r="BT11" s="44" t="str">
        <f aca="false">IF(AND(BM11=1,BN11&lt;=6),BI11,"")</f>
        <v/>
      </c>
      <c r="BU11" s="123" t="n">
        <f aca="false">IF(AND(ISNUMBER(BJ11),ISNUMBER(BK11)),BJ11,"")</f>
        <v>-0.0141996557659207</v>
      </c>
      <c r="BV11" s="44" t="n">
        <f aca="false">IF(AND(ISNUMBER(BJ11),ISNUMBER(BK11)),BK11,"")</f>
        <v>0.209999999999999</v>
      </c>
      <c r="BW11" s="123" t="n">
        <f aca="false">IF(AND(ISNUMBER(BJ11),ISNUMBER(BH11)),BJ11,"")</f>
        <v>-0.0141996557659207</v>
      </c>
      <c r="BX11" s="44" t="n">
        <f aca="false">IF(AND(ISNUMBER(BJ11),ISNUMBER(BH11)),BH11,"")</f>
        <v>7.28</v>
      </c>
      <c r="BY11" s="44" t="n">
        <f aca="false">IF(BM11=1,BH11,NA())</f>
        <v>7.28</v>
      </c>
      <c r="BZ11" s="122" t="n">
        <f aca="false">IF(BM11=1,BI11,NA())</f>
        <v>22.91</v>
      </c>
      <c r="CA11" s="44" t="n">
        <f aca="false">IF(BM11=1,LN(BI11),"")</f>
        <v>3.1315734964654</v>
      </c>
      <c r="CB11" s="123" t="n">
        <f aca="false">IF(ISNUMBER(BU11),BU11,NA())</f>
        <v>-0.0141996557659207</v>
      </c>
      <c r="CC11" s="44" t="n">
        <f aca="false">IF(ISNUMBER(BV11),BV11,NA())</f>
        <v>0.209999999999999</v>
      </c>
      <c r="CD11" s="124" t="n">
        <f aca="false">IF(BG11="",NA(),BG11)</f>
        <v>44593</v>
      </c>
      <c r="CE11" s="44" t="n">
        <f aca="false">IF(ISNUMBER(BH11),BH11,NA())</f>
        <v>7.28</v>
      </c>
      <c r="CF11" s="122" t="n">
        <f aca="false">IF(ISNUMBER(BI11),BI11,NA())</f>
        <v>22.91</v>
      </c>
      <c r="CH11" s="55" t="n">
        <f aca="false">IF(ISNUMBER(CI11),IF(ISNUMBER('Base de Datos'!AG7),IF('Base de Datos'!AG7&gt;20000,INT('Base de Datos'!AG7),""),IF(TRIM('Base de Datos'!AG7)="","",IFERROR(DATE(VALUE(RIGHT(TRIM('Base de Datos'!AG7),4)),VALUE(MID(TRIM('Base de Datos'!AG7),4,2)),VALUE(LEFT(TRIM('Base de Datos'!AG7),2))),IFERROR(DATEVALUE(TRIM('Base de Datos'!AG7)),"")))),"")</f>
        <v>44577</v>
      </c>
      <c r="CI11" s="56" t="n">
        <f aca="false">IF(ISNUMBER('Base de Datos'!AH7),'Base de Datos'!AH7,IF(TRIM('Base de Datos'!AH7)="","",IFERROR(IF(IFERROR(FIND("@",SUBSTITUTE(TRIM('Base de Datos'!AH7),",","@",LEN(TRIM('Base de Datos'!AH7))-LEN(SUBSTITUTE(TRIM('Base de Datos'!AH7),",","")))),0)&gt;IFERROR(FIND("@",SUBSTITUTE(TRIM('Base de Datos'!AH7),".","@",LEN(TRIM('Base de Datos'!AH7))-LEN(SUBSTITUTE(TRIM('Base de Datos'!AH7),".","")))),0),_xlfn.NUMBERVALUE(SUBSTITUTE(SUBSTITUTE(TRIM('Base de Datos'!AH7),".",""),",","."),".",","),_xlfn.NUMBERVALUE(SUBSTITUTE(TRIM('Base de Datos'!AH7),",",""),".",",")),"")))</f>
        <v>7.01</v>
      </c>
    </row>
    <row r="12" customFormat="false" ht="15" hidden="false" customHeight="true" outlineLevel="0" collapsed="false">
      <c r="A12" s="125" t="s">
        <v>1612</v>
      </c>
      <c r="B12" s="117" t="n">
        <f aca="false">IF($B$5&gt;=25,25,0)</f>
        <v>25</v>
      </c>
      <c r="C12" s="126" t="n">
        <f aca="false">IF($B12&lt;3,"",SLOPE(AL10:AL34,AK10:AK34))</f>
        <v>-0.0169769230769231</v>
      </c>
      <c r="D12" s="127" t="n">
        <f aca="false">IF($B12&lt;3,"",INTERCEPT(AL10:AL34,AK10:AK34))</f>
        <v>3.9863</v>
      </c>
      <c r="E12" s="127" t="n">
        <f aca="false">IF($B12&lt;3,"",RSQ(AL10:AL34,AK10:AK34))</f>
        <v>0.0810573285285644</v>
      </c>
      <c r="F12" s="117" t="n">
        <f aca="false">B12+1</f>
        <v>26</v>
      </c>
      <c r="G12" s="127" t="n">
        <f aca="false">IF($B12&lt;3,"",C12*F12+D12)</f>
        <v>3.5449</v>
      </c>
      <c r="H12" s="127" t="n">
        <f aca="false">IF($B12&lt;3,"",EXP(INTERCEPT(AN10:AN34,AK10:AK34)))</f>
        <v>3.9951135108918</v>
      </c>
      <c r="I12" s="126" t="n">
        <f aca="false">IF($B12&lt;3,"",SLOPE(AN10:AN34,AK10:AK34))</f>
        <v>-0.00504430315867582</v>
      </c>
      <c r="J12" s="127" t="n">
        <f aca="false">IF($B12&lt;3,"",RSQ(AN10:AN34,AK10:AK34))</f>
        <v>0.103894520254771</v>
      </c>
      <c r="K12" s="127" t="n">
        <f aca="false">IF($B12&lt;3,"",H12*EXP(I12*F12))</f>
        <v>3.50405233912861</v>
      </c>
      <c r="L12" s="117" t="str">
        <f aca="false">IF($B12&lt;3,"","y = "&amp;FIXED(H12,4)&amp;" e^("&amp;FIXED(I12,5)&amp;"x)")</f>
        <v>y = 3.9951 e^(-0.00504x)</v>
      </c>
      <c r="M12" s="117" t="str">
        <f aca="false">IF($B12&lt;3,"","y = "&amp;FIXED(C12,5)&amp;"x + "&amp;FIXED(D12,4))</f>
        <v>y = -0.01698x + 3.9863</v>
      </c>
      <c r="N12" s="46"/>
      <c r="AE12" s="44" t="n">
        <v>3</v>
      </c>
      <c r="AF12" s="55" t="n">
        <f aca="false">IF(AF11="","",IFERROR(SMALL($CH$10:$CH$309,COUNTIF($CH$10:$CH$309,"&lt;="&amp;AF11)+1),""))</f>
        <v>44593</v>
      </c>
      <c r="AG12" s="56" t="n">
        <f aca="false">IF(AF12="","",INDEX($CI$10:$CI$309,MATCH(AF12,$CH$10:$CH$309,0)))</f>
        <v>7.22</v>
      </c>
      <c r="AH12" s="55" t="n">
        <f aca="false">IF(AF12="",NA(),AF12)</f>
        <v>44593</v>
      </c>
      <c r="AI12" s="56" t="n">
        <f aca="false">IF(AG12="",NA(),AG12)</f>
        <v>7.22</v>
      </c>
      <c r="AK12" s="44" t="n">
        <v>3</v>
      </c>
      <c r="AL12" s="56" t="n">
        <f aca="false">IF($B$5&gt;=25,INDEX($AG$10:$AG$309,$B$5-25+3),"")</f>
        <v>3.63</v>
      </c>
      <c r="AM12" s="55" t="n">
        <f aca="false">IF($B$5&gt;=25,INDEX($AF$10:$AF$309,$B$5-25+3),"")</f>
        <v>45931</v>
      </c>
      <c r="AN12" s="44" t="n">
        <f aca="false">IF(AL12="","",LN(AL12))</f>
        <v>1.28923264827676</v>
      </c>
      <c r="AP12" s="44" t="n">
        <v>3</v>
      </c>
      <c r="AQ12" s="44" t="n">
        <f aca="false">IF($B$5&gt;=25,AVERAGE(INDEX($AL$10:$AL$34,13):INDEX($AL$10:$AL$34,18)),"")</f>
        <v>4.32666666666667</v>
      </c>
      <c r="AR12" s="44" t="n">
        <f aca="false">IF(AQ12="","",LN(AQ12))</f>
        <v>1.46479742260783</v>
      </c>
      <c r="AS12" s="55" t="n">
        <f aca="false">IF($B$5&gt;=25,INDEX($AM$10:$AM$34,13),"")</f>
        <v>46082</v>
      </c>
      <c r="AU12" s="44" t="n">
        <f aca="false">IF(3&lt;=$C$8,3,"")</f>
        <v>3</v>
      </c>
      <c r="AV12" s="56" t="n">
        <f aca="false">IF(AU12="","",INDEX($AG$10:$AG$309,$B$8+3-1))</f>
        <v>7.76</v>
      </c>
      <c r="AW12" s="56" t="n">
        <f aca="false">IF(AV12="",NA(),AV12)</f>
        <v>7.76</v>
      </c>
      <c r="AX12" s="44" t="n">
        <f aca="false">IF(AV12="",NA(),AU12)</f>
        <v>3</v>
      </c>
      <c r="AY12" s="44" t="n">
        <f aca="false">IF(AV12="","",LN(AV12))</f>
        <v>2.04898233419513</v>
      </c>
      <c r="BA12" s="44" t="n">
        <f aca="false">IF(3&lt;=INT($C$8/6),3,"")</f>
        <v>3</v>
      </c>
      <c r="BB12" s="44" t="n">
        <f aca="false">IF(BA12="","",AVERAGE(INDEX($AV$10:$AV$309,13):INDEX($AV$10:$AV$309,18)))</f>
        <v>4.625</v>
      </c>
      <c r="BC12" s="44" t="n">
        <f aca="false">IF(BB12="",NA(),BB12)</f>
        <v>4.625</v>
      </c>
      <c r="BD12" s="44" t="n">
        <f aca="false">IF(BB12="",NA(),BA12)</f>
        <v>3</v>
      </c>
      <c r="BE12" s="44" t="n">
        <f aca="false">IF(BB12="","",LN(BB12))</f>
        <v>1.53147637096439</v>
      </c>
      <c r="BG12" s="121" t="n">
        <f aca="false">IF(BG11="","",IF(EDATE(BG11,1)&gt;$C$6,"",EDATE(BG11,1)))</f>
        <v>44621</v>
      </c>
      <c r="BH12" s="44" t="n">
        <f aca="false">IF(BG12="","",IFERROR(AVERAGEIFS($AG$10:$AG$309,$AF$10:$AF$309,"&gt;="&amp;BG12,$AF$10:$AF$309,"&lt;="&amp;EOMONTH(BG12,0)),""))</f>
        <v>7.455</v>
      </c>
      <c r="BI12" s="122" t="n">
        <f aca="false">IF(BG12="","",IFERROR(INDEX(Rendimientos!$C$13:$C$412,MATCH(_xlfn.MAXIFS(Rendimientos!$B$13:$B$412,Rendimientos!$B$13:$B$412,"&lt;="&amp;EOMONTH(BG12,0),Rendimientos!$B$13:$B$412,"&gt;="&amp;BG12),Rendimientos!$B$13:$B$412,0)),IFERROR(INDEX(Rendimientos!$T$13:$T$512,MATCH(_xlfn.MAXIFS(Rendimientos!$S$13:$S$512,Rendimientos!$S$13:$S$512,"&lt;="&amp;EOMONTH(BG12,0),Rendimientos!$S$13:$S$512,"&gt;="&amp;BG12),Rendimientos!$S$13:$S$512,0)),"")))</f>
        <v>22.31</v>
      </c>
      <c r="BJ12" s="123" t="n">
        <f aca="false">IF(AND(ISNUMBER(BI12),ISNUMBER(BI11)),BI12/BI11-1,"")</f>
        <v>-0.0261894369271062</v>
      </c>
      <c r="BK12" s="44" t="n">
        <f aca="false">IF(AND(ISNUMBER(BH12),ISNUMBER(BH11)),BH12-BH11,"")</f>
        <v>0.175000000000001</v>
      </c>
      <c r="BL12" s="123" t="n">
        <f aca="false">IF(AND(ISNUMBER(BH12),ISNUMBER(BH11)),BH12/BH11-1,"")</f>
        <v>0.0240384615384617</v>
      </c>
      <c r="BM12" s="44" t="n">
        <f aca="false">IF(AND(ISNUMBER(BH12),ISNUMBER(BI12)),1,"")</f>
        <v>1</v>
      </c>
      <c r="BN12" s="44" t="n">
        <f aca="false">IF(BM12=1,COUNT(BM12:BM$69),"")</f>
        <v>55</v>
      </c>
      <c r="BO12" s="44" t="n">
        <f aca="false">IF(BM12=1,BH12,"")</f>
        <v>7.455</v>
      </c>
      <c r="BP12" s="122" t="n">
        <f aca="false">IF(BM12=1,BI12,"")</f>
        <v>22.31</v>
      </c>
      <c r="BQ12" s="44" t="str">
        <f aca="false">IF(AND(BM12=1,BN12&lt;=12),BH12,"")</f>
        <v/>
      </c>
      <c r="BR12" s="44" t="str">
        <f aca="false">IF(AND(BM12=1,BN12&lt;=12),BI12,"")</f>
        <v/>
      </c>
      <c r="BS12" s="44" t="str">
        <f aca="false">IF(AND(BM12=1,BN12&lt;=6),BH12,"")</f>
        <v/>
      </c>
      <c r="BT12" s="44" t="str">
        <f aca="false">IF(AND(BM12=1,BN12&lt;=6),BI12,"")</f>
        <v/>
      </c>
      <c r="BU12" s="123" t="n">
        <f aca="false">IF(AND(ISNUMBER(BJ12),ISNUMBER(BK12)),BJ12,"")</f>
        <v>-0.0261894369271062</v>
      </c>
      <c r="BV12" s="44" t="n">
        <f aca="false">IF(AND(ISNUMBER(BJ12),ISNUMBER(BK12)),BK12,"")</f>
        <v>0.175000000000001</v>
      </c>
      <c r="BW12" s="123" t="n">
        <f aca="false">IF(AND(ISNUMBER(BJ12),ISNUMBER(BH12)),BJ12,"")</f>
        <v>-0.0261894369271062</v>
      </c>
      <c r="BX12" s="44" t="n">
        <f aca="false">IF(AND(ISNUMBER(BJ12),ISNUMBER(BH12)),BH12,"")</f>
        <v>7.455</v>
      </c>
      <c r="BY12" s="44" t="n">
        <f aca="false">IF(BM12=1,BH12,NA())</f>
        <v>7.455</v>
      </c>
      <c r="BZ12" s="122" t="n">
        <f aca="false">IF(BM12=1,BI12,NA())</f>
        <v>22.31</v>
      </c>
      <c r="CA12" s="44" t="n">
        <f aca="false">IF(BM12=1,LN(BI12),"")</f>
        <v>3.10503500844444</v>
      </c>
      <c r="CB12" s="123" t="n">
        <f aca="false">IF(ISNUMBER(BU12),BU12,NA())</f>
        <v>-0.0261894369271062</v>
      </c>
      <c r="CC12" s="44" t="n">
        <f aca="false">IF(ISNUMBER(BV12),BV12,NA())</f>
        <v>0.175000000000001</v>
      </c>
      <c r="CD12" s="124" t="n">
        <f aca="false">IF(BG12="",NA(),BG12)</f>
        <v>44621</v>
      </c>
      <c r="CE12" s="44" t="n">
        <f aca="false">IF(ISNUMBER(BH12),BH12,NA())</f>
        <v>7.455</v>
      </c>
      <c r="CF12" s="122" t="n">
        <f aca="false">IF(ISNUMBER(BI12),BI12,NA())</f>
        <v>22.31</v>
      </c>
      <c r="CH12" s="55" t="n">
        <f aca="false">IF(ISNUMBER(CI12),IF(ISNUMBER('Base de Datos'!AG8),IF('Base de Datos'!AG8&gt;20000,INT('Base de Datos'!AG8),""),IF(TRIM('Base de Datos'!AG8)="","",IFERROR(DATE(VALUE(RIGHT(TRIM('Base de Datos'!AG8),4)),VALUE(MID(TRIM('Base de Datos'!AG8),4,2)),VALUE(LEFT(TRIM('Base de Datos'!AG8),2))),IFERROR(DATEVALUE(TRIM('Base de Datos'!AG8)),"")))),"")</f>
        <v>44593</v>
      </c>
      <c r="CI12" s="56" t="n">
        <f aca="false">IF(ISNUMBER('Base de Datos'!AH8),'Base de Datos'!AH8,IF(TRIM('Base de Datos'!AH8)="","",IFERROR(IF(IFERROR(FIND("@",SUBSTITUTE(TRIM('Base de Datos'!AH8),",","@",LEN(TRIM('Base de Datos'!AH8))-LEN(SUBSTITUTE(TRIM('Base de Datos'!AH8),",","")))),0)&gt;IFERROR(FIND("@",SUBSTITUTE(TRIM('Base de Datos'!AH8),".","@",LEN(TRIM('Base de Datos'!AH8))-LEN(SUBSTITUTE(TRIM('Base de Datos'!AH8),".","")))),0),_xlfn.NUMBERVALUE(SUBSTITUTE(SUBSTITUTE(TRIM('Base de Datos'!AH8),".",""),",","."),".",","),_xlfn.NUMBERVALUE(SUBSTITUTE(TRIM('Base de Datos'!AH8),",",""),".",",")),"")))</f>
        <v>7.22</v>
      </c>
    </row>
    <row r="13" customFormat="false" ht="15" hidden="false" customHeight="true" outlineLevel="0" collapsed="false">
      <c r="A13" s="125" t="s">
        <v>1613</v>
      </c>
      <c r="B13" s="117" t="n">
        <f aca="false">IF($B$5&gt;=25,4,0)</f>
        <v>4</v>
      </c>
      <c r="C13" s="126" t="n">
        <f aca="false">IF($B13&lt;3,"",SLOPE(AQ10:AQ13,AP10:AP13))</f>
        <v>-0.0890000000000001</v>
      </c>
      <c r="D13" s="127" t="n">
        <f aca="false">IF($B13&lt;3,"",INTERCEPT(AQ10:AQ13,AP10:AP13))</f>
        <v>4.0025</v>
      </c>
      <c r="E13" s="127" t="n">
        <f aca="false">IF($B13&lt;3,"",RSQ(AQ10:AQ13,AP10:AP13))</f>
        <v>0.0671429244172357</v>
      </c>
      <c r="F13" s="117" t="n">
        <f aca="false">B13+1</f>
        <v>5</v>
      </c>
      <c r="G13" s="127" t="n">
        <f aca="false">IF($B13&lt;3,"",C13*F13+D13)</f>
        <v>3.5575</v>
      </c>
      <c r="H13" s="127" t="n">
        <f aca="false">IF($B13&lt;3,"",EXP(INTERCEPT(AR10:AR13,AP10:AP13)))</f>
        <v>4.03018985097207</v>
      </c>
      <c r="I13" s="126" t="n">
        <f aca="false">IF($B13&lt;3,"",SLOPE(AR10:AR13,AP10:AP13))</f>
        <v>-0.0277127996736187</v>
      </c>
      <c r="J13" s="127" t="n">
        <f aca="false">IF($B13&lt;3,"",RSQ(AR10:AR13,AP10:AP13))</f>
        <v>0.0920820961115119</v>
      </c>
      <c r="K13" s="127" t="n">
        <f aca="false">IF($B13&lt;3,"",H13*EXP(I13*F13))</f>
        <v>3.50871363974646</v>
      </c>
      <c r="L13" s="117" t="str">
        <f aca="false">IF($B13&lt;3,"","y = "&amp;FIXED(H13,4)&amp;" e^("&amp;FIXED(I13,5)&amp;"x)")</f>
        <v>y = 4.0302 e^(-0.02771x)</v>
      </c>
      <c r="M13" s="117" t="str">
        <f aca="false">IF($B13&lt;3,"","y = "&amp;FIXED(C13,5)&amp;"x + "&amp;FIXED(D13,4))</f>
        <v>y = -0.08900x + 4.0025</v>
      </c>
      <c r="N13" s="46"/>
      <c r="AE13" s="44" t="n">
        <v>4</v>
      </c>
      <c r="AF13" s="55" t="n">
        <f aca="false">IF(AF12="","",IFERROR(SMALL($CH$10:$CH$309,COUNTIF($CH$10:$CH$309,"&lt;="&amp;AF12)+1),""))</f>
        <v>44608</v>
      </c>
      <c r="AG13" s="56" t="n">
        <f aca="false">IF(AF13="","",INDEX($CI$10:$CI$309,MATCH(AF13,$CH$10:$CH$309,0)))</f>
        <v>7.34</v>
      </c>
      <c r="AH13" s="55" t="n">
        <f aca="false">IF(AF13="",NA(),AF13)</f>
        <v>44608</v>
      </c>
      <c r="AI13" s="56" t="n">
        <f aca="false">IF(AG13="",NA(),AG13)</f>
        <v>7.34</v>
      </c>
      <c r="AK13" s="44" t="n">
        <v>4</v>
      </c>
      <c r="AL13" s="56" t="n">
        <f aca="false">IF($B$5&gt;=25,INDEX($AG$10:$AG$309,$B$5-25+4),"")</f>
        <v>3.5</v>
      </c>
      <c r="AM13" s="55" t="n">
        <f aca="false">IF($B$5&gt;=25,INDEX($AF$10:$AF$309,$B$5-25+4),"")</f>
        <v>45946</v>
      </c>
      <c r="AN13" s="44" t="n">
        <f aca="false">IF(AL13="","",LN(AL13))</f>
        <v>1.25276296849537</v>
      </c>
      <c r="AP13" s="44" t="n">
        <v>4</v>
      </c>
      <c r="AQ13" s="44" t="n">
        <f aca="false">IF($B$5&gt;=25,AVERAGE(INDEX($AL$10:$AL$34,19):INDEX($AL$10:$AL$34,24)),"")</f>
        <v>3.24833333333333</v>
      </c>
      <c r="AR13" s="44" t="n">
        <f aca="false">IF(AQ13="","",LN(AQ13))</f>
        <v>1.17814204429141</v>
      </c>
      <c r="AS13" s="55" t="n">
        <f aca="false">IF($B$5&gt;=25,INDEX($AM$10:$AM$34,19),"")</f>
        <v>46174</v>
      </c>
      <c r="AU13" s="44" t="n">
        <f aca="false">IF(4&lt;=$C$8,4,"")</f>
        <v>4</v>
      </c>
      <c r="AV13" s="56" t="n">
        <f aca="false">IF(AU13="","",INDEX($AG$10:$AG$309,$B$8+4-1))</f>
        <v>7.48</v>
      </c>
      <c r="AW13" s="56" t="n">
        <f aca="false">IF(AV13="",NA(),AV13)</f>
        <v>7.48</v>
      </c>
      <c r="AX13" s="44" t="n">
        <f aca="false">IF(AV13="",NA(),AU13)</f>
        <v>4</v>
      </c>
      <c r="AY13" s="44" t="n">
        <f aca="false">IF(AV13="","",LN(AV13))</f>
        <v>2.01223279198639</v>
      </c>
      <c r="BA13" s="44" t="n">
        <f aca="false">IF(4&lt;=INT($C$8/6),4,"")</f>
        <v>4</v>
      </c>
      <c r="BB13" s="44" t="n">
        <f aca="false">IF(BA13="","",AVERAGE(INDEX($AV$10:$AV$309,19):INDEX($AV$10:$AV$309,24)))</f>
        <v>4.415</v>
      </c>
      <c r="BC13" s="44" t="n">
        <f aca="false">IF(BB13="",NA(),BB13)</f>
        <v>4.415</v>
      </c>
      <c r="BD13" s="44" t="n">
        <f aca="false">IF(BB13="",NA(),BA13)</f>
        <v>4</v>
      </c>
      <c r="BE13" s="44" t="n">
        <f aca="false">IF(BB13="","",LN(BB13))</f>
        <v>1.48500783405592</v>
      </c>
      <c r="BG13" s="121" t="n">
        <f aca="false">IF(BG12="","",IF(EDATE(BG12,1)&gt;$C$6,"",EDATE(BG12,1)))</f>
        <v>44652</v>
      </c>
      <c r="BH13" s="44" t="n">
        <f aca="false">IF(BG13="","",IFERROR(AVERAGEIFS($AG$10:$AG$309,$AF$10:$AF$309,"&gt;="&amp;BG13,$AF$10:$AF$309,"&lt;="&amp;EOMONTH(BG13,0)),""))</f>
        <v>7.685</v>
      </c>
      <c r="BI13" s="122" t="n">
        <f aca="false">IF(BG13="","",IFERROR(INDEX(Rendimientos!$C$13:$C$412,MATCH(_xlfn.MAXIFS(Rendimientos!$B$13:$B$412,Rendimientos!$B$13:$B$412,"&lt;="&amp;EOMONTH(BG13,0),Rendimientos!$B$13:$B$412,"&gt;="&amp;BG13),Rendimientos!$B$13:$B$412,0)),IFERROR(INDEX(Rendimientos!$T$13:$T$512,MATCH(_xlfn.MAXIFS(Rendimientos!$S$13:$S$512,Rendimientos!$S$13:$S$512,"&lt;="&amp;EOMONTH(BG13,0),Rendimientos!$S$13:$S$512,"&gt;="&amp;BG13),Rendimientos!$S$13:$S$512,0)),"")))</f>
        <v>23.56</v>
      </c>
      <c r="BJ13" s="123" t="n">
        <f aca="false">IF(AND(ISNUMBER(BI13),ISNUMBER(BI12)),BI13/BI12-1,"")</f>
        <v>0.0560286866875841</v>
      </c>
      <c r="BK13" s="44" t="n">
        <f aca="false">IF(AND(ISNUMBER(BH13),ISNUMBER(BH12)),BH13-BH12,"")</f>
        <v>0.23</v>
      </c>
      <c r="BL13" s="123" t="n">
        <f aca="false">IF(AND(ISNUMBER(BH13),ISNUMBER(BH12)),BH13/BH12-1,"")</f>
        <v>0.0308517773306507</v>
      </c>
      <c r="BM13" s="44" t="n">
        <f aca="false">IF(AND(ISNUMBER(BH13),ISNUMBER(BI13)),1,"")</f>
        <v>1</v>
      </c>
      <c r="BN13" s="44" t="n">
        <f aca="false">IF(BM13=1,COUNT(BM13:BM$69),"")</f>
        <v>54</v>
      </c>
      <c r="BO13" s="44" t="n">
        <f aca="false">IF(BM13=1,BH13,"")</f>
        <v>7.685</v>
      </c>
      <c r="BP13" s="122" t="n">
        <f aca="false">IF(BM13=1,BI13,"")</f>
        <v>23.56</v>
      </c>
      <c r="BQ13" s="44" t="str">
        <f aca="false">IF(AND(BM13=1,BN13&lt;=12),BH13,"")</f>
        <v/>
      </c>
      <c r="BR13" s="44" t="str">
        <f aca="false">IF(AND(BM13=1,BN13&lt;=12),BI13,"")</f>
        <v/>
      </c>
      <c r="BS13" s="44" t="str">
        <f aca="false">IF(AND(BM13=1,BN13&lt;=6),BH13,"")</f>
        <v/>
      </c>
      <c r="BT13" s="44" t="str">
        <f aca="false">IF(AND(BM13=1,BN13&lt;=6),BI13,"")</f>
        <v/>
      </c>
      <c r="BU13" s="123" t="n">
        <f aca="false">IF(AND(ISNUMBER(BJ13),ISNUMBER(BK13)),BJ13,"")</f>
        <v>0.0560286866875841</v>
      </c>
      <c r="BV13" s="44" t="n">
        <f aca="false">IF(AND(ISNUMBER(BJ13),ISNUMBER(BK13)),BK13,"")</f>
        <v>0.23</v>
      </c>
      <c r="BW13" s="123" t="n">
        <f aca="false">IF(AND(ISNUMBER(BJ13),ISNUMBER(BH13)),BJ13,"")</f>
        <v>0.0560286866875841</v>
      </c>
      <c r="BX13" s="44" t="n">
        <f aca="false">IF(AND(ISNUMBER(BJ13),ISNUMBER(BH13)),BH13,"")</f>
        <v>7.685</v>
      </c>
      <c r="BY13" s="44" t="n">
        <f aca="false">IF(BM13=1,BH13,NA())</f>
        <v>7.685</v>
      </c>
      <c r="BZ13" s="122" t="n">
        <f aca="false">IF(BM13=1,BI13,NA())</f>
        <v>23.56</v>
      </c>
      <c r="CA13" s="44" t="n">
        <f aca="false">IF(BM13=1,LN(BI13),"")</f>
        <v>3.15955035878339</v>
      </c>
      <c r="CB13" s="123" t="n">
        <f aca="false">IF(ISNUMBER(BU13),BU13,NA())</f>
        <v>0.0560286866875841</v>
      </c>
      <c r="CC13" s="44" t="n">
        <f aca="false">IF(ISNUMBER(BV13),BV13,NA())</f>
        <v>0.23</v>
      </c>
      <c r="CD13" s="124" t="n">
        <f aca="false">IF(BG13="",NA(),BG13)</f>
        <v>44652</v>
      </c>
      <c r="CE13" s="44" t="n">
        <f aca="false">IF(ISNUMBER(BH13),BH13,NA())</f>
        <v>7.685</v>
      </c>
      <c r="CF13" s="122" t="n">
        <f aca="false">IF(ISNUMBER(BI13),BI13,NA())</f>
        <v>23.56</v>
      </c>
      <c r="CH13" s="55" t="n">
        <f aca="false">IF(ISNUMBER(CI13),IF(ISNUMBER('Base de Datos'!AG9),IF('Base de Datos'!AG9&gt;20000,INT('Base de Datos'!AG9),""),IF(TRIM('Base de Datos'!AG9)="","",IFERROR(DATE(VALUE(RIGHT(TRIM('Base de Datos'!AG9),4)),VALUE(MID(TRIM('Base de Datos'!AG9),4,2)),VALUE(LEFT(TRIM('Base de Datos'!AG9),2))),IFERROR(DATEVALUE(TRIM('Base de Datos'!AG9)),"")))),"")</f>
        <v>44608</v>
      </c>
      <c r="CI13" s="56" t="n">
        <f aca="false">IF(ISNUMBER('Base de Datos'!AH9),'Base de Datos'!AH9,IF(TRIM('Base de Datos'!AH9)="","",IFERROR(IF(IFERROR(FIND("@",SUBSTITUTE(TRIM('Base de Datos'!AH9),",","@",LEN(TRIM('Base de Datos'!AH9))-LEN(SUBSTITUTE(TRIM('Base de Datos'!AH9),",","")))),0)&gt;IFERROR(FIND("@",SUBSTITUTE(TRIM('Base de Datos'!AH9),".","@",LEN(TRIM('Base de Datos'!AH9))-LEN(SUBSTITUTE(TRIM('Base de Datos'!AH9),".","")))),0),_xlfn.NUMBERVALUE(SUBSTITUTE(SUBSTITUTE(TRIM('Base de Datos'!AH9),".",""),",","."),".",","),_xlfn.NUMBERVALUE(SUBSTITUTE(TRIM('Base de Datos'!AH9),",",""),".",",")),"")))</f>
        <v>7.34</v>
      </c>
    </row>
    <row r="14" customFormat="false" ht="15" hidden="false" customHeight="true" outlineLevel="0" collapsed="false">
      <c r="A14" s="125" t="s">
        <v>1614</v>
      </c>
      <c r="B14" s="117" t="n">
        <f aca="false">COUNT(AV10:AV309)</f>
        <v>89</v>
      </c>
      <c r="C14" s="126" t="n">
        <f aca="false">IF($B14&lt;3,"",SLOPE(AV10:AV309,AU10:AU309))</f>
        <v>-0.0304998297582567</v>
      </c>
      <c r="D14" s="127" t="n">
        <f aca="false">IF($B14&lt;3,"",INTERCEPT(AV10:AV309,AU10:AU309))</f>
        <v>5.89642492339122</v>
      </c>
      <c r="E14" s="127" t="n">
        <f aca="false">IF($B14&lt;3,"",RSQ(AV10:AV309,AU10:AU309))</f>
        <v>0.571939705003699</v>
      </c>
      <c r="F14" s="117" t="n">
        <f aca="false">B14+1</f>
        <v>90</v>
      </c>
      <c r="G14" s="127" t="n">
        <f aca="false">IF($B14&lt;3,"",C14*F14+D14)</f>
        <v>3.15144024514811</v>
      </c>
      <c r="H14" s="127" t="n">
        <f aca="false">IF($B14&lt;3,"",EXP(INTERCEPT(AY10:AY309,AU10:AU309)))</f>
        <v>5.88119939515127</v>
      </c>
      <c r="I14" s="126" t="n">
        <f aca="false">IF($B14&lt;3,"",SLOPE(AY10:AY309,AU10:AU309))</f>
        <v>-0.00633371303632891</v>
      </c>
      <c r="J14" s="127" t="n">
        <f aca="false">IF($B14&lt;3,"",RSQ(AY10:AY309,AU10:AU309))</f>
        <v>0.622648621233629</v>
      </c>
      <c r="K14" s="127" t="n">
        <f aca="false">IF($B14&lt;3,"",H14*EXP(I14*F14))</f>
        <v>3.32585421076776</v>
      </c>
      <c r="L14" s="117" t="str">
        <f aca="false">IF($B14&lt;3,"","y = "&amp;FIXED(H14,4)&amp;" e^("&amp;FIXED(I14,5)&amp;"x)")</f>
        <v>y = 5.8812 e^(-0.00633x)</v>
      </c>
      <c r="M14" s="117" t="str">
        <f aca="false">IF($B14&lt;3,"","y = "&amp;FIXED(C14,5)&amp;"x + "&amp;FIXED(D14,4))</f>
        <v>y = -0.03050x + 5.8964</v>
      </c>
      <c r="N14" s="46"/>
      <c r="AE14" s="44" t="n">
        <v>5</v>
      </c>
      <c r="AF14" s="55" t="n">
        <f aca="false">IF(AF13="","",IFERROR(SMALL($CH$10:$CH$309,COUNTIF($CH$10:$CH$309,"&lt;="&amp;AF13)+1),""))</f>
        <v>44621</v>
      </c>
      <c r="AG14" s="56" t="n">
        <f aca="false">IF(AF14="","",INDEX($CI$10:$CI$309,MATCH(AF14,$CH$10:$CH$309,0)))</f>
        <v>7.29</v>
      </c>
      <c r="AH14" s="55" t="n">
        <f aca="false">IF(AF14="",NA(),AF14)</f>
        <v>44621</v>
      </c>
      <c r="AI14" s="56" t="n">
        <f aca="false">IF(AG14="",NA(),AG14)</f>
        <v>7.29</v>
      </c>
      <c r="AK14" s="44" t="n">
        <v>5</v>
      </c>
      <c r="AL14" s="56" t="n">
        <f aca="false">IF($B$5&gt;=25,INDEX($AG$10:$AG$309,$B$5-25+5),"")</f>
        <v>3.61</v>
      </c>
      <c r="AM14" s="55" t="n">
        <f aca="false">IF($B$5&gt;=25,INDEX($AF$10:$AF$309,$B$5-25+5),"")</f>
        <v>45962</v>
      </c>
      <c r="AN14" s="44" t="n">
        <f aca="false">IF(AL14="","",LN(AL14))</f>
        <v>1.28370777234479</v>
      </c>
      <c r="AU14" s="44" t="n">
        <f aca="false">IF(5&lt;=$C$8,5,"")</f>
        <v>5</v>
      </c>
      <c r="AV14" s="56" t="n">
        <f aca="false">IF(AU14="","",INDEX($AG$10:$AG$309,$B$8+5-1))</f>
        <v>7.12</v>
      </c>
      <c r="AW14" s="56" t="n">
        <f aca="false">IF(AV14="",NA(),AV14)</f>
        <v>7.12</v>
      </c>
      <c r="AX14" s="44" t="n">
        <f aca="false">IF(AV14="",NA(),AU14)</f>
        <v>5</v>
      </c>
      <c r="AY14" s="44" t="n">
        <f aca="false">IF(AV14="","",LN(AV14))</f>
        <v>1.96290772542388</v>
      </c>
      <c r="BA14" s="44" t="n">
        <f aca="false">IF(5&lt;=INT($C$8/6),5,"")</f>
        <v>5</v>
      </c>
      <c r="BB14" s="44" t="n">
        <f aca="false">IF(BA14="","",AVERAGE(INDEX($AV$10:$AV$309,25):INDEX($AV$10:$AV$309,30)))</f>
        <v>4.57</v>
      </c>
      <c r="BC14" s="44" t="n">
        <f aca="false">IF(BB14="",NA(),BB14)</f>
        <v>4.57</v>
      </c>
      <c r="BD14" s="44" t="n">
        <f aca="false">IF(BB14="",NA(),BA14)</f>
        <v>5</v>
      </c>
      <c r="BE14" s="44" t="n">
        <f aca="false">IF(BB14="","",LN(BB14))</f>
        <v>1.51951320490611</v>
      </c>
      <c r="BG14" s="121" t="n">
        <f aca="false">IF(BG13="","",IF(EDATE(BG13,1)&gt;$C$6,"",EDATE(BG13,1)))</f>
        <v>44682</v>
      </c>
      <c r="BH14" s="44" t="n">
        <f aca="false">IF(BG14="","",IFERROR(AVERAGEIFS($AG$10:$AG$309,$AF$10:$AF$309,"&gt;="&amp;BG14,$AF$10:$AF$309,"&lt;="&amp;EOMONTH(BG14,0)),""))</f>
        <v>7.65</v>
      </c>
      <c r="BI14" s="122" t="n">
        <f aca="false">IF(BG14="","",IFERROR(INDEX(Rendimientos!$C$13:$C$412,MATCH(_xlfn.MAXIFS(Rendimientos!$B$13:$B$412,Rendimientos!$B$13:$B$412,"&lt;="&amp;EOMONTH(BG14,0),Rendimientos!$B$13:$B$412,"&gt;="&amp;BG14),Rendimientos!$B$13:$B$412,0)),IFERROR(INDEX(Rendimientos!$T$13:$T$512,MATCH(_xlfn.MAXIFS(Rendimientos!$S$13:$S$512,Rendimientos!$S$13:$S$512,"&lt;="&amp;EOMONTH(BG14,0),Rendimientos!$S$13:$S$512,"&gt;="&amp;BG14),Rendimientos!$S$13:$S$512,0)),"")))</f>
        <v>21.27</v>
      </c>
      <c r="BJ14" s="123" t="n">
        <f aca="false">IF(AND(ISNUMBER(BI14),ISNUMBER(BI13)),BI14/BI13-1,"")</f>
        <v>-0.0971986417657046</v>
      </c>
      <c r="BK14" s="44" t="n">
        <f aca="false">IF(AND(ISNUMBER(BH14),ISNUMBER(BH13)),BH14-BH13,"")</f>
        <v>-0.0350000000000001</v>
      </c>
      <c r="BL14" s="123" t="n">
        <f aca="false">IF(AND(ISNUMBER(BH14),ISNUMBER(BH13)),BH14/BH13-1,"")</f>
        <v>-0.00455432661027977</v>
      </c>
      <c r="BM14" s="44" t="n">
        <f aca="false">IF(AND(ISNUMBER(BH14),ISNUMBER(BI14)),1,"")</f>
        <v>1</v>
      </c>
      <c r="BN14" s="44" t="n">
        <f aca="false">IF(BM14=1,COUNT(BM14:BM$69),"")</f>
        <v>53</v>
      </c>
      <c r="BO14" s="44" t="n">
        <f aca="false">IF(BM14=1,BH14,"")</f>
        <v>7.65</v>
      </c>
      <c r="BP14" s="122" t="n">
        <f aca="false">IF(BM14=1,BI14,"")</f>
        <v>21.27</v>
      </c>
      <c r="BQ14" s="44" t="str">
        <f aca="false">IF(AND(BM14=1,BN14&lt;=12),BH14,"")</f>
        <v/>
      </c>
      <c r="BR14" s="44" t="str">
        <f aca="false">IF(AND(BM14=1,BN14&lt;=12),BI14,"")</f>
        <v/>
      </c>
      <c r="BS14" s="44" t="str">
        <f aca="false">IF(AND(BM14=1,BN14&lt;=6),BH14,"")</f>
        <v/>
      </c>
      <c r="BT14" s="44" t="str">
        <f aca="false">IF(AND(BM14=1,BN14&lt;=6),BI14,"")</f>
        <v/>
      </c>
      <c r="BU14" s="123" t="n">
        <f aca="false">IF(AND(ISNUMBER(BJ14),ISNUMBER(BK14)),BJ14,"")</f>
        <v>-0.0971986417657046</v>
      </c>
      <c r="BV14" s="44" t="n">
        <f aca="false">IF(AND(ISNUMBER(BJ14),ISNUMBER(BK14)),BK14,"")</f>
        <v>-0.0350000000000001</v>
      </c>
      <c r="BW14" s="123" t="n">
        <f aca="false">IF(AND(ISNUMBER(BJ14),ISNUMBER(BH14)),BJ14,"")</f>
        <v>-0.0971986417657046</v>
      </c>
      <c r="BX14" s="44" t="n">
        <f aca="false">IF(AND(ISNUMBER(BJ14),ISNUMBER(BH14)),BH14,"")</f>
        <v>7.65</v>
      </c>
      <c r="BY14" s="44" t="n">
        <f aca="false">IF(BM14=1,BH14,NA())</f>
        <v>7.65</v>
      </c>
      <c r="BZ14" s="122" t="n">
        <f aca="false">IF(BM14=1,BI14,NA())</f>
        <v>21.27</v>
      </c>
      <c r="CA14" s="44" t="n">
        <f aca="false">IF(BM14=1,LN(BI14),"")</f>
        <v>3.05729762921215</v>
      </c>
      <c r="CB14" s="123" t="n">
        <f aca="false">IF(ISNUMBER(BU14),BU14,NA())</f>
        <v>-0.0971986417657046</v>
      </c>
      <c r="CC14" s="44" t="n">
        <f aca="false">IF(ISNUMBER(BV14),BV14,NA())</f>
        <v>-0.0350000000000001</v>
      </c>
      <c r="CD14" s="124" t="n">
        <f aca="false">IF(BG14="",NA(),BG14)</f>
        <v>44682</v>
      </c>
      <c r="CE14" s="44" t="n">
        <f aca="false">IF(ISNUMBER(BH14),BH14,NA())</f>
        <v>7.65</v>
      </c>
      <c r="CF14" s="122" t="n">
        <f aca="false">IF(ISNUMBER(BI14),BI14,NA())</f>
        <v>21.27</v>
      </c>
      <c r="CH14" s="55" t="n">
        <f aca="false">IF(ISNUMBER(CI14),IF(ISNUMBER('Base de Datos'!AG10),IF('Base de Datos'!AG10&gt;20000,INT('Base de Datos'!AG10),""),IF(TRIM('Base de Datos'!AG10)="","",IFERROR(DATE(VALUE(RIGHT(TRIM('Base de Datos'!AG10),4)),VALUE(MID(TRIM('Base de Datos'!AG10),4,2)),VALUE(LEFT(TRIM('Base de Datos'!AG10),2))),IFERROR(DATEVALUE(TRIM('Base de Datos'!AG10)),"")))),"")</f>
        <v>44621</v>
      </c>
      <c r="CI14" s="56" t="n">
        <f aca="false">IF(ISNUMBER('Base de Datos'!AH10),'Base de Datos'!AH10,IF(TRIM('Base de Datos'!AH10)="","",IFERROR(IF(IFERROR(FIND("@",SUBSTITUTE(TRIM('Base de Datos'!AH10),",","@",LEN(TRIM('Base de Datos'!AH10))-LEN(SUBSTITUTE(TRIM('Base de Datos'!AH10),",","")))),0)&gt;IFERROR(FIND("@",SUBSTITUTE(TRIM('Base de Datos'!AH10),".","@",LEN(TRIM('Base de Datos'!AH10))-LEN(SUBSTITUTE(TRIM('Base de Datos'!AH10),".","")))),0),_xlfn.NUMBERVALUE(SUBSTITUTE(SUBSTITUTE(TRIM('Base de Datos'!AH10),".",""),",","."),".",","),_xlfn.NUMBERVALUE(SUBSTITUTE(TRIM('Base de Datos'!AH10),",",""),".",",")),"")))</f>
        <v>7.29</v>
      </c>
    </row>
    <row r="15" customFormat="false" ht="15" hidden="false" customHeight="true" outlineLevel="0" collapsed="false">
      <c r="A15" s="125" t="s">
        <v>1615</v>
      </c>
      <c r="B15" s="117" t="n">
        <f aca="false">COUNT(BB10:BB59)</f>
        <v>14</v>
      </c>
      <c r="C15" s="126" t="n">
        <f aca="false">IF($B15&lt;3,"",SLOPE(BB10:BB59,BA10:BA59))</f>
        <v>-0.182164835164835</v>
      </c>
      <c r="D15" s="127" t="n">
        <f aca="false">IF($B15&lt;3,"",INTERCEPT(BB10:BB59,BA10:BA59))</f>
        <v>5.9668315018315</v>
      </c>
      <c r="E15" s="127" t="n">
        <f aca="false">IF($B15&lt;3,"",RSQ(BB10:BB59,BA10:BA59))</f>
        <v>0.576355296641148</v>
      </c>
      <c r="F15" s="117" t="n">
        <f aca="false">B15+1</f>
        <v>15</v>
      </c>
      <c r="G15" s="127" t="n">
        <f aca="false">IF($B15&lt;3,"",C15*F15+D15)</f>
        <v>3.23435897435897</v>
      </c>
      <c r="H15" s="127" t="n">
        <f aca="false">IF($B15&lt;3,"",EXP(INTERCEPT(BE10:BE59,BA10:BA59)))</f>
        <v>5.93877230639225</v>
      </c>
      <c r="I15" s="126" t="n">
        <f aca="false">IF($B15&lt;3,"",SLOPE(BE10:BE59,BA10:BA59))</f>
        <v>-0.0365344536519278</v>
      </c>
      <c r="J15" s="127" t="n">
        <f aca="false">IF($B15&lt;3,"",RSQ(BE10:BE59,BA10:BA59))</f>
        <v>0.626420684896858</v>
      </c>
      <c r="K15" s="127" t="n">
        <f aca="false">IF($B15&lt;3,"",H15*EXP(I15*F15))</f>
        <v>3.43317546625646</v>
      </c>
      <c r="L15" s="117" t="str">
        <f aca="false">IF($B15&lt;3,"","y = "&amp;FIXED(H15,4)&amp;" e^("&amp;FIXED(I15,5)&amp;"x)")</f>
        <v>y = 5.9388 e^(-0.03653x)</v>
      </c>
      <c r="M15" s="117" t="str">
        <f aca="false">IF($B15&lt;3,"","y = "&amp;FIXED(C15,5)&amp;"x + "&amp;FIXED(D15,4))</f>
        <v>y = -0.18216x + 5.9668</v>
      </c>
      <c r="N15" s="46"/>
      <c r="AE15" s="44" t="n">
        <v>6</v>
      </c>
      <c r="AF15" s="55" t="n">
        <f aca="false">IF(AF14="","",IFERROR(SMALL($CH$10:$CH$309,COUNTIF($CH$10:$CH$309,"&lt;="&amp;AF14)+1),""))</f>
        <v>44636</v>
      </c>
      <c r="AG15" s="56" t="n">
        <f aca="false">IF(AF15="","",INDEX($CI$10:$CI$309,MATCH(AF15,$CH$10:$CH$309,0)))</f>
        <v>7.62</v>
      </c>
      <c r="AH15" s="55" t="n">
        <f aca="false">IF(AF15="",NA(),AF15)</f>
        <v>44636</v>
      </c>
      <c r="AI15" s="56" t="n">
        <f aca="false">IF(AG15="",NA(),AG15)</f>
        <v>7.62</v>
      </c>
      <c r="AK15" s="44" t="n">
        <v>6</v>
      </c>
      <c r="AL15" s="56" t="n">
        <f aca="false">IF($B$5&gt;=25,INDEX($AG$10:$AG$309,$B$5-25+6),"")</f>
        <v>3.99</v>
      </c>
      <c r="AM15" s="55" t="n">
        <f aca="false">IF($B$5&gt;=25,INDEX($AF$10:$AF$309,$B$5-25+6),"")</f>
        <v>45977</v>
      </c>
      <c r="AN15" s="44" t="n">
        <f aca="false">IF(AL15="","",LN(AL15))</f>
        <v>1.38379123090177</v>
      </c>
      <c r="AU15" s="44" t="n">
        <f aca="false">IF(6&lt;=$C$8,6,"")</f>
        <v>6</v>
      </c>
      <c r="AV15" s="56" t="n">
        <f aca="false">IF(AU15="","",INDEX($AG$10:$AG$309,$B$8+6-1))</f>
        <v>6.58</v>
      </c>
      <c r="AW15" s="56" t="n">
        <f aca="false">IF(AV15="",NA(),AV15)</f>
        <v>6.58</v>
      </c>
      <c r="AX15" s="44" t="n">
        <f aca="false">IF(AV15="",NA(),AU15)</f>
        <v>6</v>
      </c>
      <c r="AY15" s="44" t="n">
        <f aca="false">IF(AV15="","",LN(AV15))</f>
        <v>1.88403474533723</v>
      </c>
      <c r="BA15" s="44" t="n">
        <f aca="false">IF(6&lt;=INT($C$8/6),6,"")</f>
        <v>6</v>
      </c>
      <c r="BB15" s="44" t="n">
        <f aca="false">IF(BA15="","",AVERAGE(INDEX($AV$10:$AV$309,31):INDEX($AV$10:$AV$309,36)))</f>
        <v>4.77</v>
      </c>
      <c r="BC15" s="44" t="n">
        <f aca="false">IF(BB15="",NA(),BB15)</f>
        <v>4.77</v>
      </c>
      <c r="BD15" s="44" t="n">
        <f aca="false">IF(BB15="",NA(),BA15)</f>
        <v>6</v>
      </c>
      <c r="BE15" s="44" t="n">
        <f aca="false">IF(BB15="","",LN(BB15))</f>
        <v>1.56234630490025</v>
      </c>
      <c r="BG15" s="121" t="n">
        <f aca="false">IF(BG14="","",IF(EDATE(BG14,1)&gt;$C$6,"",EDATE(BG14,1)))</f>
        <v>44713</v>
      </c>
      <c r="BH15" s="44" t="n">
        <f aca="false">IF(BG15="","",IFERROR(AVERAGEIFS($AG$10:$AG$309,$AF$10:$AF$309,"&gt;="&amp;BG15,$AF$10:$AF$309,"&lt;="&amp;EOMONTH(BG15,0)),""))</f>
        <v>7.985</v>
      </c>
      <c r="BI15" s="122" t="n">
        <f aca="false">IF(BG15="","",IFERROR(INDEX(Rendimientos!$C$13:$C$412,MATCH(_xlfn.MAXIFS(Rendimientos!$B$13:$B$412,Rendimientos!$B$13:$B$412,"&lt;="&amp;EOMONTH(BG15,0),Rendimientos!$B$13:$B$412,"&gt;="&amp;BG15),Rendimientos!$B$13:$B$412,0)),IFERROR(INDEX(Rendimientos!$T$13:$T$512,MATCH(_xlfn.MAXIFS(Rendimientos!$S$13:$S$512,Rendimientos!$S$13:$S$512,"&lt;="&amp;EOMONTH(BG15,0),Rendimientos!$S$13:$S$512,"&gt;="&amp;BG15),Rendimientos!$S$13:$S$512,0)),"")))</f>
        <v>22.45</v>
      </c>
      <c r="BJ15" s="123" t="n">
        <f aca="false">IF(AND(ISNUMBER(BI15),ISNUMBER(BI14)),BI15/BI14-1,"")</f>
        <v>0.0554771979313586</v>
      </c>
      <c r="BK15" s="44" t="n">
        <f aca="false">IF(AND(ISNUMBER(BH15),ISNUMBER(BH14)),BH15-BH14,"")</f>
        <v>0.334999999999999</v>
      </c>
      <c r="BL15" s="123" t="n">
        <f aca="false">IF(AND(ISNUMBER(BH15),ISNUMBER(BH14)),BH15/BH14-1,"")</f>
        <v>0.0437908496732025</v>
      </c>
      <c r="BM15" s="44" t="n">
        <f aca="false">IF(AND(ISNUMBER(BH15),ISNUMBER(BI15)),1,"")</f>
        <v>1</v>
      </c>
      <c r="BN15" s="44" t="n">
        <f aca="false">IF(BM15=1,COUNT(BM15:BM$69),"")</f>
        <v>52</v>
      </c>
      <c r="BO15" s="44" t="n">
        <f aca="false">IF(BM15=1,BH15,"")</f>
        <v>7.985</v>
      </c>
      <c r="BP15" s="122" t="n">
        <f aca="false">IF(BM15=1,BI15,"")</f>
        <v>22.45</v>
      </c>
      <c r="BQ15" s="44" t="str">
        <f aca="false">IF(AND(BM15=1,BN15&lt;=12),BH15,"")</f>
        <v/>
      </c>
      <c r="BR15" s="44" t="str">
        <f aca="false">IF(AND(BM15=1,BN15&lt;=12),BI15,"")</f>
        <v/>
      </c>
      <c r="BS15" s="44" t="str">
        <f aca="false">IF(AND(BM15=1,BN15&lt;=6),BH15,"")</f>
        <v/>
      </c>
      <c r="BT15" s="44" t="str">
        <f aca="false">IF(AND(BM15=1,BN15&lt;=6),BI15,"")</f>
        <v/>
      </c>
      <c r="BU15" s="123" t="n">
        <f aca="false">IF(AND(ISNUMBER(BJ15),ISNUMBER(BK15)),BJ15,"")</f>
        <v>0.0554771979313586</v>
      </c>
      <c r="BV15" s="44" t="n">
        <f aca="false">IF(AND(ISNUMBER(BJ15),ISNUMBER(BK15)),BK15,"")</f>
        <v>0.334999999999999</v>
      </c>
      <c r="BW15" s="123" t="n">
        <f aca="false">IF(AND(ISNUMBER(BJ15),ISNUMBER(BH15)),BJ15,"")</f>
        <v>0.0554771979313586</v>
      </c>
      <c r="BX15" s="44" t="n">
        <f aca="false">IF(AND(ISNUMBER(BJ15),ISNUMBER(BH15)),BH15,"")</f>
        <v>7.985</v>
      </c>
      <c r="BY15" s="44" t="n">
        <f aca="false">IF(BM15=1,BH15,NA())</f>
        <v>7.985</v>
      </c>
      <c r="BZ15" s="122" t="n">
        <f aca="false">IF(BM15=1,BI15,NA())</f>
        <v>22.45</v>
      </c>
      <c r="CA15" s="44" t="n">
        <f aca="false">IF(BM15=1,LN(BI15),"")</f>
        <v>3.11129061418826</v>
      </c>
      <c r="CB15" s="123" t="n">
        <f aca="false">IF(ISNUMBER(BU15),BU15,NA())</f>
        <v>0.0554771979313586</v>
      </c>
      <c r="CC15" s="44" t="n">
        <f aca="false">IF(ISNUMBER(BV15),BV15,NA())</f>
        <v>0.334999999999999</v>
      </c>
      <c r="CD15" s="124" t="n">
        <f aca="false">IF(BG15="",NA(),BG15)</f>
        <v>44713</v>
      </c>
      <c r="CE15" s="44" t="n">
        <f aca="false">IF(ISNUMBER(BH15),BH15,NA())</f>
        <v>7.985</v>
      </c>
      <c r="CF15" s="122" t="n">
        <f aca="false">IF(ISNUMBER(BI15),BI15,NA())</f>
        <v>22.45</v>
      </c>
      <c r="CH15" s="55" t="n">
        <f aca="false">IF(ISNUMBER(CI15),IF(ISNUMBER('Base de Datos'!AG11),IF('Base de Datos'!AG11&gt;20000,INT('Base de Datos'!AG11),""),IF(TRIM('Base de Datos'!AG11)="","",IFERROR(DATE(VALUE(RIGHT(TRIM('Base de Datos'!AG11),4)),VALUE(MID(TRIM('Base de Datos'!AG11),4,2)),VALUE(LEFT(TRIM('Base de Datos'!AG11),2))),IFERROR(DATEVALUE(TRIM('Base de Datos'!AG11)),"")))),"")</f>
        <v>44636</v>
      </c>
      <c r="CI15" s="56" t="n">
        <f aca="false">IF(ISNUMBER('Base de Datos'!AH11),'Base de Datos'!AH11,IF(TRIM('Base de Datos'!AH11)="","",IFERROR(IF(IFERROR(FIND("@",SUBSTITUTE(TRIM('Base de Datos'!AH11),",","@",LEN(TRIM('Base de Datos'!AH11))-LEN(SUBSTITUTE(TRIM('Base de Datos'!AH11),",","")))),0)&gt;IFERROR(FIND("@",SUBSTITUTE(TRIM('Base de Datos'!AH11),".","@",LEN(TRIM('Base de Datos'!AH11))-LEN(SUBSTITUTE(TRIM('Base de Datos'!AH11),".","")))),0),_xlfn.NUMBERVALUE(SUBSTITUTE(SUBSTITUTE(TRIM('Base de Datos'!AH11),".",""),",","."),".",","),_xlfn.NUMBERVALUE(SUBSTITUTE(TRIM('Base de Datos'!AH11),",",""),".",",")),"")))</f>
        <v>7.62</v>
      </c>
    </row>
    <row r="16" customFormat="false" ht="13.8" hidden="false" customHeight="false" outlineLevel="0" collapsed="false">
      <c r="A16" s="75" t="s">
        <v>1616</v>
      </c>
      <c r="AE16" s="44" t="n">
        <v>7</v>
      </c>
      <c r="AF16" s="55" t="n">
        <f aca="false">IF(AF15="","",IFERROR(SMALL($CH$10:$CH$309,COUNTIF($CH$10:$CH$309,"&lt;="&amp;AF15)+1),""))</f>
        <v>44652</v>
      </c>
      <c r="AG16" s="56" t="n">
        <f aca="false">IF(AF16="","",INDEX($CI$10:$CI$309,MATCH(AF16,$CH$10:$CH$309,0)))</f>
        <v>7.72</v>
      </c>
      <c r="AH16" s="55" t="n">
        <f aca="false">IF(AF16="",NA(),AF16)</f>
        <v>44652</v>
      </c>
      <c r="AI16" s="56" t="n">
        <f aca="false">IF(AG16="",NA(),AG16)</f>
        <v>7.72</v>
      </c>
      <c r="AK16" s="44" t="n">
        <v>7</v>
      </c>
      <c r="AL16" s="56" t="n">
        <f aca="false">IF($B$5&gt;=25,INDEX($AG$10:$AG$309,$B$5-25+7),"")</f>
        <v>3.72</v>
      </c>
      <c r="AM16" s="55" t="n">
        <f aca="false">IF($B$5&gt;=25,INDEX($AF$10:$AF$309,$B$5-25+7),"")</f>
        <v>45992</v>
      </c>
      <c r="AN16" s="44" t="n">
        <f aca="false">IF(AL16="","",LN(AL16))</f>
        <v>1.31372366828506</v>
      </c>
      <c r="AU16" s="44" t="n">
        <f aca="false">IF(7&lt;=$C$8,7,"")</f>
        <v>7</v>
      </c>
      <c r="AV16" s="56" t="n">
        <f aca="false">IF(AU16="","",INDEX($AG$10:$AG$309,$B$8+7-1))</f>
        <v>6.24</v>
      </c>
      <c r="AW16" s="56" t="n">
        <f aca="false">IF(AV16="",NA(),AV16)</f>
        <v>6.24</v>
      </c>
      <c r="AX16" s="44" t="n">
        <f aca="false">IF(AV16="",NA(),AU16)</f>
        <v>7</v>
      </c>
      <c r="AY16" s="44" t="n">
        <f aca="false">IF(AV16="","",LN(AV16))</f>
        <v>1.83098018238134</v>
      </c>
      <c r="BA16" s="44" t="n">
        <f aca="false">IF(7&lt;=INT($C$8/6),7,"")</f>
        <v>7</v>
      </c>
      <c r="BB16" s="44" t="n">
        <f aca="false">IF(BA16="","",AVERAGE(INDEX($AV$10:$AV$309,37):INDEX($AV$10:$AV$309,42)))</f>
        <v>5.04666666666667</v>
      </c>
      <c r="BC16" s="44" t="n">
        <f aca="false">IF(BB16="",NA(),BB16)</f>
        <v>5.04666666666667</v>
      </c>
      <c r="BD16" s="44" t="n">
        <f aca="false">IF(BB16="",NA(),BA16)</f>
        <v>7</v>
      </c>
      <c r="BE16" s="44" t="n">
        <f aca="false">IF(BB16="","",LN(BB16))</f>
        <v>1.61872795934119</v>
      </c>
      <c r="BG16" s="121" t="n">
        <f aca="false">IF(BG15="","",IF(EDATE(BG15,1)&gt;$C$6,"",EDATE(BG15,1)))</f>
        <v>44743</v>
      </c>
      <c r="BH16" s="44" t="n">
        <f aca="false">IF(BG16="","",IFERROR(AVERAGEIFS($AG$10:$AG$309,$AF$10:$AF$309,"&gt;="&amp;BG16,$AF$10:$AF$309,"&lt;="&amp;EOMONTH(BG16,0)),""))</f>
        <v>8.15</v>
      </c>
      <c r="BI16" s="122" t="n">
        <f aca="false">IF(BG16="","",IFERROR(INDEX(Rendimientos!$C$13:$C$412,MATCH(_xlfn.MAXIFS(Rendimientos!$B$13:$B$412,Rendimientos!$B$13:$B$412,"&lt;="&amp;EOMONTH(BG16,0),Rendimientos!$B$13:$B$412,"&gt;="&amp;BG16),Rendimientos!$B$13:$B$412,0)),IFERROR(INDEX(Rendimientos!$T$13:$T$512,MATCH(_xlfn.MAXIFS(Rendimientos!$S$13:$S$512,Rendimientos!$S$13:$S$512,"&lt;="&amp;EOMONTH(BG16,0),Rendimientos!$S$13:$S$512,"&gt;="&amp;BG16),Rendimientos!$S$13:$S$512,0)),"")))</f>
        <v>22.8</v>
      </c>
      <c r="BJ16" s="123" t="n">
        <f aca="false">IF(AND(ISNUMBER(BI16),ISNUMBER(BI15)),BI16/BI15-1,"")</f>
        <v>0.0155902004454345</v>
      </c>
      <c r="BK16" s="44" t="n">
        <f aca="false">IF(AND(ISNUMBER(BH16),ISNUMBER(BH15)),BH16-BH15,"")</f>
        <v>0.165000000000001</v>
      </c>
      <c r="BL16" s="123" t="n">
        <f aca="false">IF(AND(ISNUMBER(BH16),ISNUMBER(BH15)),BH16/BH15-1,"")</f>
        <v>0.020663744520977</v>
      </c>
      <c r="BM16" s="44" t="n">
        <f aca="false">IF(AND(ISNUMBER(BH16),ISNUMBER(BI16)),1,"")</f>
        <v>1</v>
      </c>
      <c r="BN16" s="44" t="n">
        <f aca="false">IF(BM16=1,COUNT(BM16:BM$69),"")</f>
        <v>51</v>
      </c>
      <c r="BO16" s="44" t="n">
        <f aca="false">IF(BM16=1,BH16,"")</f>
        <v>8.15</v>
      </c>
      <c r="BP16" s="122" t="n">
        <f aca="false">IF(BM16=1,BI16,"")</f>
        <v>22.8</v>
      </c>
      <c r="BQ16" s="44" t="str">
        <f aca="false">IF(AND(BM16=1,BN16&lt;=12),BH16,"")</f>
        <v/>
      </c>
      <c r="BR16" s="44" t="str">
        <f aca="false">IF(AND(BM16=1,BN16&lt;=12),BI16,"")</f>
        <v/>
      </c>
      <c r="BS16" s="44" t="str">
        <f aca="false">IF(AND(BM16=1,BN16&lt;=6),BH16,"")</f>
        <v/>
      </c>
      <c r="BT16" s="44" t="str">
        <f aca="false">IF(AND(BM16=1,BN16&lt;=6),BI16,"")</f>
        <v/>
      </c>
      <c r="BU16" s="123" t="n">
        <f aca="false">IF(AND(ISNUMBER(BJ16),ISNUMBER(BK16)),BJ16,"")</f>
        <v>0.0155902004454345</v>
      </c>
      <c r="BV16" s="44" t="n">
        <f aca="false">IF(AND(ISNUMBER(BJ16),ISNUMBER(BK16)),BK16,"")</f>
        <v>0.165000000000001</v>
      </c>
      <c r="BW16" s="123" t="n">
        <f aca="false">IF(AND(ISNUMBER(BJ16),ISNUMBER(BH16)),BJ16,"")</f>
        <v>0.0155902004454345</v>
      </c>
      <c r="BX16" s="44" t="n">
        <f aca="false">IF(AND(ISNUMBER(BJ16),ISNUMBER(BH16)),BH16,"")</f>
        <v>8.15</v>
      </c>
      <c r="BY16" s="44" t="n">
        <f aca="false">IF(BM16=1,BH16,NA())</f>
        <v>8.15</v>
      </c>
      <c r="BZ16" s="122" t="n">
        <f aca="false">IF(BM16=1,BI16,NA())</f>
        <v>22.8</v>
      </c>
      <c r="CA16" s="44" t="n">
        <f aca="false">IF(BM16=1,LN(BI16),"")</f>
        <v>3.1267605359604</v>
      </c>
      <c r="CB16" s="123" t="n">
        <f aca="false">IF(ISNUMBER(BU16),BU16,NA())</f>
        <v>0.0155902004454345</v>
      </c>
      <c r="CC16" s="44" t="n">
        <f aca="false">IF(ISNUMBER(BV16),BV16,NA())</f>
        <v>0.165000000000001</v>
      </c>
      <c r="CD16" s="124" t="n">
        <f aca="false">IF(BG16="",NA(),BG16)</f>
        <v>44743</v>
      </c>
      <c r="CE16" s="44" t="n">
        <f aca="false">IF(ISNUMBER(BH16),BH16,NA())</f>
        <v>8.15</v>
      </c>
      <c r="CF16" s="122" t="n">
        <f aca="false">IF(ISNUMBER(BI16),BI16,NA())</f>
        <v>22.8</v>
      </c>
      <c r="CH16" s="55" t="n">
        <f aca="false">IF(ISNUMBER(CI16),IF(ISNUMBER('Base de Datos'!AG12),IF('Base de Datos'!AG12&gt;20000,INT('Base de Datos'!AG12),""),IF(TRIM('Base de Datos'!AG12)="","",IFERROR(DATE(VALUE(RIGHT(TRIM('Base de Datos'!AG12),4)),VALUE(MID(TRIM('Base de Datos'!AG12),4,2)),VALUE(LEFT(TRIM('Base de Datos'!AG12),2))),IFERROR(DATEVALUE(TRIM('Base de Datos'!AG12)),"")))),"")</f>
        <v>44652</v>
      </c>
      <c r="CI16" s="56" t="n">
        <f aca="false">IF(ISNUMBER('Base de Datos'!AH12),'Base de Datos'!AH12,IF(TRIM('Base de Datos'!AH12)="","",IFERROR(IF(IFERROR(FIND("@",SUBSTITUTE(TRIM('Base de Datos'!AH12),",","@",LEN(TRIM('Base de Datos'!AH12))-LEN(SUBSTITUTE(TRIM('Base de Datos'!AH12),",","")))),0)&gt;IFERROR(FIND("@",SUBSTITUTE(TRIM('Base de Datos'!AH12),".","@",LEN(TRIM('Base de Datos'!AH12))-LEN(SUBSTITUTE(TRIM('Base de Datos'!AH12),".","")))),0),_xlfn.NUMBERVALUE(SUBSTITUTE(SUBSTITUTE(TRIM('Base de Datos'!AH12),".",""),",","."),".",","),_xlfn.NUMBERVALUE(SUBSTITUTE(TRIM('Base de Datos'!AH12),",",""),".",",")),"")))</f>
        <v>7.72</v>
      </c>
    </row>
    <row r="17" customFormat="false" ht="13.8" hidden="false" customHeight="false" outlineLevel="0" collapsed="false">
      <c r="AE17" s="44" t="n">
        <v>8</v>
      </c>
      <c r="AF17" s="55" t="n">
        <f aca="false">IF(AF16="","",IFERROR(SMALL($CH$10:$CH$309,COUNTIF($CH$10:$CH$309,"&lt;="&amp;AF16)+1),""))</f>
        <v>44667</v>
      </c>
      <c r="AG17" s="56" t="n">
        <f aca="false">IF(AF17="","",INDEX($CI$10:$CI$309,MATCH(AF17,$CH$10:$CH$309,0)))</f>
        <v>7.65</v>
      </c>
      <c r="AH17" s="55" t="n">
        <f aca="false">IF(AF17="",NA(),AF17)</f>
        <v>44667</v>
      </c>
      <c r="AI17" s="56" t="n">
        <f aca="false">IF(AG17="",NA(),AG17)</f>
        <v>7.65</v>
      </c>
      <c r="AK17" s="44" t="n">
        <v>8</v>
      </c>
      <c r="AL17" s="56" t="n">
        <f aca="false">IF($B$5&gt;=25,INDEX($AG$10:$AG$309,$B$5-25+8),"")</f>
        <v>3.66</v>
      </c>
      <c r="AM17" s="55" t="n">
        <f aca="false">IF($B$5&gt;=25,INDEX($AF$10:$AF$309,$B$5-25+8),"")</f>
        <v>46007</v>
      </c>
      <c r="AN17" s="44" t="n">
        <f aca="false">IF(AL17="","",LN(AL17))</f>
        <v>1.29746314741328</v>
      </c>
      <c r="AU17" s="44" t="n">
        <f aca="false">IF(8&lt;=$C$8,8,"")</f>
        <v>8</v>
      </c>
      <c r="AV17" s="56" t="n">
        <f aca="false">IF(AU17="","",INDEX($AG$10:$AG$309,$B$8+8-1))</f>
        <v>6.27</v>
      </c>
      <c r="AW17" s="56" t="n">
        <f aca="false">IF(AV17="",NA(),AV17)</f>
        <v>6.27</v>
      </c>
      <c r="AX17" s="44" t="n">
        <f aca="false">IF(AV17="",NA(),AU17)</f>
        <v>8</v>
      </c>
      <c r="AY17" s="44" t="n">
        <f aca="false">IF(AV17="","",LN(AV17))</f>
        <v>1.83577635464483</v>
      </c>
      <c r="BA17" s="44" t="n">
        <f aca="false">IF(8&lt;=INT($C$8/6),8,"")</f>
        <v>8</v>
      </c>
      <c r="BB17" s="44" t="n">
        <f aca="false">IF(BA17="","",AVERAGE(INDEX($AV$10:$AV$309,43):INDEX($AV$10:$AV$309,48)))</f>
        <v>4.50833333333333</v>
      </c>
      <c r="BC17" s="44" t="n">
        <f aca="false">IF(BB17="",NA(),BB17)</f>
        <v>4.50833333333333</v>
      </c>
      <c r="BD17" s="44" t="n">
        <f aca="false">IF(BB17="",NA(),BA17)</f>
        <v>8</v>
      </c>
      <c r="BE17" s="44" t="n">
        <f aca="false">IF(BB17="","",LN(BB17))</f>
        <v>1.50592753606444</v>
      </c>
      <c r="BG17" s="121" t="n">
        <f aca="false">IF(BG16="","",IF(EDATE(BG16,1)&gt;$C$6,"",EDATE(BG16,1)))</f>
        <v>44774</v>
      </c>
      <c r="BH17" s="44" t="n">
        <f aca="false">IF(BG17="","",IFERROR(AVERAGEIFS($AG$10:$AG$309,$AF$10:$AF$309,"&gt;="&amp;BG17,$AF$10:$AF$309,"&lt;="&amp;EOMONTH(BG17,0)),""))</f>
        <v>8.695</v>
      </c>
      <c r="BI17" s="122" t="n">
        <f aca="false">IF(BG17="","",IFERROR(INDEX(Rendimientos!$C$13:$C$412,MATCH(_xlfn.MAXIFS(Rendimientos!$B$13:$B$412,Rendimientos!$B$13:$B$412,"&lt;="&amp;EOMONTH(BG17,0),Rendimientos!$B$13:$B$412,"&gt;="&amp;BG17),Rendimientos!$B$13:$B$412,0)),IFERROR(INDEX(Rendimientos!$T$13:$T$512,MATCH(_xlfn.MAXIFS(Rendimientos!$S$13:$S$512,Rendimientos!$S$13:$S$512,"&lt;="&amp;EOMONTH(BG17,0),Rendimientos!$S$13:$S$512,"&gt;="&amp;BG17),Rendimientos!$S$13:$S$512,0)),"")))</f>
        <v>22.75</v>
      </c>
      <c r="BJ17" s="123" t="n">
        <f aca="false">IF(AND(ISNUMBER(BI17),ISNUMBER(BI16)),BI17/BI16-1,"")</f>
        <v>-0.00219298245614041</v>
      </c>
      <c r="BK17" s="44" t="n">
        <f aca="false">IF(AND(ISNUMBER(BH17),ISNUMBER(BH16)),BH17-BH16,"")</f>
        <v>0.545</v>
      </c>
      <c r="BL17" s="123" t="n">
        <f aca="false">IF(AND(ISNUMBER(BH17),ISNUMBER(BH16)),BH17/BH16-1,"")</f>
        <v>0.0668711656441718</v>
      </c>
      <c r="BM17" s="44" t="n">
        <f aca="false">IF(AND(ISNUMBER(BH17),ISNUMBER(BI17)),1,"")</f>
        <v>1</v>
      </c>
      <c r="BN17" s="44" t="n">
        <f aca="false">IF(BM17=1,COUNT(BM17:BM$69),"")</f>
        <v>50</v>
      </c>
      <c r="BO17" s="44" t="n">
        <f aca="false">IF(BM17=1,BH17,"")</f>
        <v>8.695</v>
      </c>
      <c r="BP17" s="122" t="n">
        <f aca="false">IF(BM17=1,BI17,"")</f>
        <v>22.75</v>
      </c>
      <c r="BQ17" s="44" t="str">
        <f aca="false">IF(AND(BM17=1,BN17&lt;=12),BH17,"")</f>
        <v/>
      </c>
      <c r="BR17" s="44" t="str">
        <f aca="false">IF(AND(BM17=1,BN17&lt;=12),BI17,"")</f>
        <v/>
      </c>
      <c r="BS17" s="44" t="str">
        <f aca="false">IF(AND(BM17=1,BN17&lt;=6),BH17,"")</f>
        <v/>
      </c>
      <c r="BT17" s="44" t="str">
        <f aca="false">IF(AND(BM17=1,BN17&lt;=6),BI17,"")</f>
        <v/>
      </c>
      <c r="BU17" s="123" t="n">
        <f aca="false">IF(AND(ISNUMBER(BJ17),ISNUMBER(BK17)),BJ17,"")</f>
        <v>-0.00219298245614041</v>
      </c>
      <c r="BV17" s="44" t="n">
        <f aca="false">IF(AND(ISNUMBER(BJ17),ISNUMBER(BK17)),BK17,"")</f>
        <v>0.545</v>
      </c>
      <c r="BW17" s="123" t="n">
        <f aca="false">IF(AND(ISNUMBER(BJ17),ISNUMBER(BH17)),BJ17,"")</f>
        <v>-0.00219298245614041</v>
      </c>
      <c r="BX17" s="44" t="n">
        <f aca="false">IF(AND(ISNUMBER(BJ17),ISNUMBER(BH17)),BH17,"")</f>
        <v>8.695</v>
      </c>
      <c r="BY17" s="44" t="n">
        <f aca="false">IF(BM17=1,BH17,NA())</f>
        <v>8.695</v>
      </c>
      <c r="BZ17" s="122" t="n">
        <f aca="false">IF(BM17=1,BI17,NA())</f>
        <v>22.75</v>
      </c>
      <c r="CA17" s="44" t="n">
        <f aca="false">IF(BM17=1,LN(BI17),"")</f>
        <v>3.12456514539696</v>
      </c>
      <c r="CB17" s="123" t="n">
        <f aca="false">IF(ISNUMBER(BU17),BU17,NA())</f>
        <v>-0.00219298245614041</v>
      </c>
      <c r="CC17" s="44" t="n">
        <f aca="false">IF(ISNUMBER(BV17),BV17,NA())</f>
        <v>0.545</v>
      </c>
      <c r="CD17" s="124" t="n">
        <f aca="false">IF(BG17="",NA(),BG17)</f>
        <v>44774</v>
      </c>
      <c r="CE17" s="44" t="n">
        <f aca="false">IF(ISNUMBER(BH17),BH17,NA())</f>
        <v>8.695</v>
      </c>
      <c r="CF17" s="122" t="n">
        <f aca="false">IF(ISNUMBER(BI17),BI17,NA())</f>
        <v>22.75</v>
      </c>
      <c r="CH17" s="55" t="n">
        <f aca="false">IF(ISNUMBER(CI17),IF(ISNUMBER('Base de Datos'!AG13),IF('Base de Datos'!AG13&gt;20000,INT('Base de Datos'!AG13),""),IF(TRIM('Base de Datos'!AG13)="","",IFERROR(DATE(VALUE(RIGHT(TRIM('Base de Datos'!AG13),4)),VALUE(MID(TRIM('Base de Datos'!AG13),4,2)),VALUE(LEFT(TRIM('Base de Datos'!AG13),2))),IFERROR(DATEVALUE(TRIM('Base de Datos'!AG13)),"")))),"")</f>
        <v>44667</v>
      </c>
      <c r="CI17" s="56" t="n">
        <f aca="false">IF(ISNUMBER('Base de Datos'!AH13),'Base de Datos'!AH13,IF(TRIM('Base de Datos'!AH13)="","",IFERROR(IF(IFERROR(FIND("@",SUBSTITUTE(TRIM('Base de Datos'!AH13),",","@",LEN(TRIM('Base de Datos'!AH13))-LEN(SUBSTITUTE(TRIM('Base de Datos'!AH13),",","")))),0)&gt;IFERROR(FIND("@",SUBSTITUTE(TRIM('Base de Datos'!AH13),".","@",LEN(TRIM('Base de Datos'!AH13))-LEN(SUBSTITUTE(TRIM('Base de Datos'!AH13),".","")))),0),_xlfn.NUMBERVALUE(SUBSTITUTE(SUBSTITUTE(TRIM('Base de Datos'!AH13),".",""),",","."),".",","),_xlfn.NUMBERVALUE(SUBSTITUTE(TRIM('Base de Datos'!AH13),",",""),".",",")),"")))</f>
        <v>7.65</v>
      </c>
    </row>
    <row r="18" customFormat="false" ht="13.8" hidden="false" customHeight="false" outlineLevel="0" collapsed="false">
      <c r="A18" s="49" t="s">
        <v>1617</v>
      </c>
      <c r="AE18" s="44" t="n">
        <v>9</v>
      </c>
      <c r="AF18" s="55" t="n">
        <f aca="false">IF(AF17="","",IFERROR(SMALL($CH$10:$CH$309,COUNTIF($CH$10:$CH$309,"&lt;="&amp;AF17)+1),""))</f>
        <v>44682</v>
      </c>
      <c r="AG18" s="56" t="n">
        <f aca="false">IF(AF18="","",INDEX($CI$10:$CI$309,MATCH(AF18,$CH$10:$CH$309,0)))</f>
        <v>7.58</v>
      </c>
      <c r="AH18" s="55" t="n">
        <f aca="false">IF(AF18="",NA(),AF18)</f>
        <v>44682</v>
      </c>
      <c r="AI18" s="56" t="n">
        <f aca="false">IF(AG18="",NA(),AG18)</f>
        <v>7.58</v>
      </c>
      <c r="AK18" s="44" t="n">
        <v>9</v>
      </c>
      <c r="AL18" s="56" t="n">
        <f aca="false">IF($B$5&gt;=25,INDEX($AG$10:$AG$309,$B$5-25+9),"")</f>
        <v>3.77</v>
      </c>
      <c r="AM18" s="55" t="n">
        <f aca="false">IF($B$5&gt;=25,INDEX($AF$10:$AF$309,$B$5-25+9),"")</f>
        <v>46023</v>
      </c>
      <c r="AN18" s="44" t="n">
        <f aca="false">IF(AL18="","",LN(AL18))</f>
        <v>1.32707500145992</v>
      </c>
      <c r="AU18" s="44" t="n">
        <f aca="false">IF(9&lt;=$C$8,9,"")</f>
        <v>9</v>
      </c>
      <c r="AV18" s="56" t="n">
        <f aca="false">IF(AU18="","",INDEX($AG$10:$AG$309,$B$8+9-1))</f>
        <v>6</v>
      </c>
      <c r="AW18" s="56" t="n">
        <f aca="false">IF(AV18="",NA(),AV18)</f>
        <v>6</v>
      </c>
      <c r="AX18" s="44" t="n">
        <f aca="false">IF(AV18="",NA(),AU18)</f>
        <v>9</v>
      </c>
      <c r="AY18" s="44" t="n">
        <f aca="false">IF(AV18="","",LN(AV18))</f>
        <v>1.79175946922806</v>
      </c>
      <c r="BA18" s="44" t="n">
        <f aca="false">IF(9&lt;=INT($C$8/6),9,"")</f>
        <v>9</v>
      </c>
      <c r="BB18" s="44" t="n">
        <f aca="false">IF(BA18="","",AVERAGE(INDEX($AV$10:$AV$309,49):INDEX($AV$10:$AV$309,54)))</f>
        <v>3.72</v>
      </c>
      <c r="BC18" s="44" t="n">
        <f aca="false">IF(BB18="",NA(),BB18)</f>
        <v>3.72</v>
      </c>
      <c r="BD18" s="44" t="n">
        <f aca="false">IF(BB18="",NA(),BA18)</f>
        <v>9</v>
      </c>
      <c r="BE18" s="44" t="n">
        <f aca="false">IF(BB18="","",LN(BB18))</f>
        <v>1.31372366828506</v>
      </c>
      <c r="BG18" s="121" t="n">
        <f aca="false">IF(BG17="","",IF(EDATE(BG17,1)&gt;$C$6,"",EDATE(BG17,1)))</f>
        <v>44805</v>
      </c>
      <c r="BH18" s="44" t="n">
        <f aca="false">IF(BG18="","",IFERROR(AVERAGEIFS($AG$10:$AG$309,$AF$10:$AF$309,"&gt;="&amp;BG18,$AF$10:$AF$309,"&lt;="&amp;EOMONTH(BG18,0)),""))</f>
        <v>8.7</v>
      </c>
      <c r="BI18" s="122" t="n">
        <f aca="false">IF(BG18="","",IFERROR(INDEX(Rendimientos!$C$13:$C$412,MATCH(_xlfn.MAXIFS(Rendimientos!$B$13:$B$412,Rendimientos!$B$13:$B$412,"&lt;="&amp;EOMONTH(BG18,0),Rendimientos!$B$13:$B$412,"&gt;="&amp;BG18),Rendimientos!$B$13:$B$412,0)),IFERROR(INDEX(Rendimientos!$T$13:$T$512,MATCH(_xlfn.MAXIFS(Rendimientos!$S$13:$S$512,Rendimientos!$S$13:$S$512,"&lt;="&amp;EOMONTH(BG18,0),Rendimientos!$S$13:$S$512,"&gt;="&amp;BG18),Rendimientos!$S$13:$S$512,0)),"")))</f>
        <v>26.2</v>
      </c>
      <c r="BJ18" s="123" t="n">
        <f aca="false">IF(AND(ISNUMBER(BI18),ISNUMBER(BI17)),BI18/BI17-1,"")</f>
        <v>0.151648351648352</v>
      </c>
      <c r="BK18" s="44" t="n">
        <f aca="false">IF(AND(ISNUMBER(BH18),ISNUMBER(BH17)),BH18-BH17,"")</f>
        <v>0.00499999999999901</v>
      </c>
      <c r="BL18" s="123" t="n">
        <f aca="false">IF(AND(ISNUMBER(BH18),ISNUMBER(BH17)),BH18/BH17-1,"")</f>
        <v>0.000575043128234531</v>
      </c>
      <c r="BM18" s="44" t="n">
        <f aca="false">IF(AND(ISNUMBER(BH18),ISNUMBER(BI18)),1,"")</f>
        <v>1</v>
      </c>
      <c r="BN18" s="44" t="n">
        <f aca="false">IF(BM18=1,COUNT(BM18:BM$69),"")</f>
        <v>49</v>
      </c>
      <c r="BO18" s="44" t="n">
        <f aca="false">IF(BM18=1,BH18,"")</f>
        <v>8.7</v>
      </c>
      <c r="BP18" s="122" t="n">
        <f aca="false">IF(BM18=1,BI18,"")</f>
        <v>26.2</v>
      </c>
      <c r="BQ18" s="44" t="str">
        <f aca="false">IF(AND(BM18=1,BN18&lt;=12),BH18,"")</f>
        <v/>
      </c>
      <c r="BR18" s="44" t="str">
        <f aca="false">IF(AND(BM18=1,BN18&lt;=12),BI18,"")</f>
        <v/>
      </c>
      <c r="BS18" s="44" t="str">
        <f aca="false">IF(AND(BM18=1,BN18&lt;=6),BH18,"")</f>
        <v/>
      </c>
      <c r="BT18" s="44" t="str">
        <f aca="false">IF(AND(BM18=1,BN18&lt;=6),BI18,"")</f>
        <v/>
      </c>
      <c r="BU18" s="123" t="n">
        <f aca="false">IF(AND(ISNUMBER(BJ18),ISNUMBER(BK18)),BJ18,"")</f>
        <v>0.151648351648352</v>
      </c>
      <c r="BV18" s="44" t="n">
        <f aca="false">IF(AND(ISNUMBER(BJ18),ISNUMBER(BK18)),BK18,"")</f>
        <v>0.00499999999999901</v>
      </c>
      <c r="BW18" s="123" t="n">
        <f aca="false">IF(AND(ISNUMBER(BJ18),ISNUMBER(BH18)),BJ18,"")</f>
        <v>0.151648351648352</v>
      </c>
      <c r="BX18" s="44" t="n">
        <f aca="false">IF(AND(ISNUMBER(BJ18),ISNUMBER(BH18)),BH18,"")</f>
        <v>8.7</v>
      </c>
      <c r="BY18" s="44" t="n">
        <f aca="false">IF(BM18=1,BH18,NA())</f>
        <v>8.7</v>
      </c>
      <c r="BZ18" s="122" t="n">
        <f aca="false">IF(BM18=1,BI18,NA())</f>
        <v>26.2</v>
      </c>
      <c r="CA18" s="44" t="n">
        <f aca="false">IF(BM18=1,LN(BI18),"")</f>
        <v>3.26575941076705</v>
      </c>
      <c r="CB18" s="123" t="n">
        <f aca="false">IF(ISNUMBER(BU18),BU18,NA())</f>
        <v>0.151648351648352</v>
      </c>
      <c r="CC18" s="44" t="n">
        <f aca="false">IF(ISNUMBER(BV18),BV18,NA())</f>
        <v>0.00499999999999901</v>
      </c>
      <c r="CD18" s="124" t="n">
        <f aca="false">IF(BG18="",NA(),BG18)</f>
        <v>44805</v>
      </c>
      <c r="CE18" s="44" t="n">
        <f aca="false">IF(ISNUMBER(BH18),BH18,NA())</f>
        <v>8.7</v>
      </c>
      <c r="CF18" s="122" t="n">
        <f aca="false">IF(ISNUMBER(BI18),BI18,NA())</f>
        <v>26.2</v>
      </c>
      <c r="CH18" s="55" t="n">
        <f aca="false">IF(ISNUMBER(CI18),IF(ISNUMBER('Base de Datos'!AG14),IF('Base de Datos'!AG14&gt;20000,INT('Base de Datos'!AG14),""),IF(TRIM('Base de Datos'!AG14)="","",IFERROR(DATE(VALUE(RIGHT(TRIM('Base de Datos'!AG14),4)),VALUE(MID(TRIM('Base de Datos'!AG14),4,2)),VALUE(LEFT(TRIM('Base de Datos'!AG14),2))),IFERROR(DATEVALUE(TRIM('Base de Datos'!AG14)),"")))),"")</f>
        <v>44682</v>
      </c>
      <c r="CI18" s="56" t="n">
        <f aca="false">IF(ISNUMBER('Base de Datos'!AH14),'Base de Datos'!AH14,IF(TRIM('Base de Datos'!AH14)="","",IFERROR(IF(IFERROR(FIND("@",SUBSTITUTE(TRIM('Base de Datos'!AH14),",","@",LEN(TRIM('Base de Datos'!AH14))-LEN(SUBSTITUTE(TRIM('Base de Datos'!AH14),",","")))),0)&gt;IFERROR(FIND("@",SUBSTITUTE(TRIM('Base de Datos'!AH14),".","@",LEN(TRIM('Base de Datos'!AH14))-LEN(SUBSTITUTE(TRIM('Base de Datos'!AH14),".","")))),0),_xlfn.NUMBERVALUE(SUBSTITUTE(SUBSTITUTE(TRIM('Base de Datos'!AH14),".",""),",","."),".",","),_xlfn.NUMBERVALUE(SUBSTITUTE(TRIM('Base de Datos'!AH14),",",""),".",",")),"")))</f>
        <v>7.58</v>
      </c>
    </row>
    <row r="19" customFormat="false" ht="13.8" hidden="false" customHeight="false" outlineLevel="0" collapsed="false">
      <c r="A19" s="50" t="s">
        <v>1618</v>
      </c>
      <c r="B19" s="50" t="s">
        <v>1619</v>
      </c>
      <c r="C19" s="71" t="s">
        <v>1620</v>
      </c>
      <c r="D19" s="49"/>
      <c r="AE19" s="44" t="n">
        <v>10</v>
      </c>
      <c r="AF19" s="55" t="n">
        <f aca="false">IF(AF18="","",IFERROR(SMALL($CH$10:$CH$309,COUNTIF($CH$10:$CH$309,"&lt;="&amp;AF18)+1),""))</f>
        <v>44697</v>
      </c>
      <c r="AG19" s="56" t="n">
        <f aca="false">IF(AF19="","",INDEX($CI$10:$CI$309,MATCH(AF19,$CH$10:$CH$309,0)))</f>
        <v>7.72</v>
      </c>
      <c r="AH19" s="55" t="n">
        <f aca="false">IF(AF19="",NA(),AF19)</f>
        <v>44697</v>
      </c>
      <c r="AI19" s="56" t="n">
        <f aca="false">IF(AG19="",NA(),AG19)</f>
        <v>7.72</v>
      </c>
      <c r="AK19" s="44" t="n">
        <v>10</v>
      </c>
      <c r="AL19" s="56" t="n">
        <f aca="false">IF($B$5&gt;=25,INDEX($AG$10:$AG$309,$B$5-25+10),"")</f>
        <v>3.82</v>
      </c>
      <c r="AM19" s="55" t="n">
        <f aca="false">IF($B$5&gt;=25,INDEX($AF$10:$AF$309,$B$5-25+10),"")</f>
        <v>46038</v>
      </c>
      <c r="AN19" s="44" t="n">
        <f aca="false">IF(AL19="","",LN(AL19))</f>
        <v>1.34025042261848</v>
      </c>
      <c r="AU19" s="44" t="n">
        <f aca="false">IF(10&lt;=$C$8,10,"")</f>
        <v>10</v>
      </c>
      <c r="AV19" s="56" t="n">
        <f aca="false">IF(AU19="","",INDEX($AG$10:$AG$309,$B$8+10-1))</f>
        <v>5.67</v>
      </c>
      <c r="AW19" s="56" t="n">
        <f aca="false">IF(AV19="",NA(),AV19)</f>
        <v>5.67</v>
      </c>
      <c r="AX19" s="44" t="n">
        <f aca="false">IF(AV19="",NA(),AU19)</f>
        <v>10</v>
      </c>
      <c r="AY19" s="44" t="n">
        <f aca="false">IF(AV19="","",LN(AV19))</f>
        <v>1.73518911773966</v>
      </c>
      <c r="BA19" s="44" t="n">
        <f aca="false">IF(10&lt;=INT($C$8/6),10,"")</f>
        <v>10</v>
      </c>
      <c r="BB19" s="44" t="n">
        <f aca="false">IF(BA19="","",AVERAGE(INDEX($AV$10:$AV$309,55):INDEX($AV$10:$AV$309,60)))</f>
        <v>4.22333333333333</v>
      </c>
      <c r="BC19" s="44" t="n">
        <f aca="false">IF(BB19="",NA(),BB19)</f>
        <v>4.22333333333333</v>
      </c>
      <c r="BD19" s="44" t="n">
        <f aca="false">IF(BB19="",NA(),BA19)</f>
        <v>10</v>
      </c>
      <c r="BE19" s="44" t="n">
        <f aca="false">IF(BB19="","",LN(BB19))</f>
        <v>1.44062470566494</v>
      </c>
      <c r="BG19" s="121" t="n">
        <f aca="false">IF(BG18="","",IF(EDATE(BG18,1)&gt;$C$6,"",EDATE(BG18,1)))</f>
        <v>44835</v>
      </c>
      <c r="BH19" s="44" t="n">
        <f aca="false">IF(BG19="","",IFERROR(AVERAGEIFS($AG$10:$AG$309,$AF$10:$AF$309,"&gt;="&amp;BG19,$AF$10:$AF$309,"&lt;="&amp;EOMONTH(BG19,0)),""))</f>
        <v>8.405</v>
      </c>
      <c r="BI19" s="122" t="n">
        <f aca="false">IF(BG19="","",IFERROR(INDEX(Rendimientos!$C$13:$C$412,MATCH(_xlfn.MAXIFS(Rendimientos!$B$13:$B$412,Rendimientos!$B$13:$B$412,"&lt;="&amp;EOMONTH(BG19,0),Rendimientos!$B$13:$B$412,"&gt;="&amp;BG19),Rendimientos!$B$13:$B$412,0)),IFERROR(INDEX(Rendimientos!$T$13:$T$512,MATCH(_xlfn.MAXIFS(Rendimientos!$S$13:$S$512,Rendimientos!$S$13:$S$512,"&lt;="&amp;EOMONTH(BG19,0),Rendimientos!$S$13:$S$512,"&gt;="&amp;BG19),Rendimientos!$S$13:$S$512,0)),"")))</f>
        <v>30.04</v>
      </c>
      <c r="BJ19" s="123" t="n">
        <f aca="false">IF(AND(ISNUMBER(BI19),ISNUMBER(BI18)),BI19/BI18-1,"")</f>
        <v>0.146564885496183</v>
      </c>
      <c r="BK19" s="44" t="n">
        <f aca="false">IF(AND(ISNUMBER(BH19),ISNUMBER(BH18)),BH19-BH18,"")</f>
        <v>-0.295</v>
      </c>
      <c r="BL19" s="123" t="n">
        <f aca="false">IF(AND(ISNUMBER(BH19),ISNUMBER(BH18)),BH19/BH18-1,"")</f>
        <v>-0.0339080459770115</v>
      </c>
      <c r="BM19" s="44" t="n">
        <f aca="false">IF(AND(ISNUMBER(BH19),ISNUMBER(BI19)),1,"")</f>
        <v>1</v>
      </c>
      <c r="BN19" s="44" t="n">
        <f aca="false">IF(BM19=1,COUNT(BM19:BM$69),"")</f>
        <v>48</v>
      </c>
      <c r="BO19" s="44" t="n">
        <f aca="false">IF(BM19=1,BH19,"")</f>
        <v>8.405</v>
      </c>
      <c r="BP19" s="122" t="n">
        <f aca="false">IF(BM19=1,BI19,"")</f>
        <v>30.04</v>
      </c>
      <c r="BQ19" s="44" t="str">
        <f aca="false">IF(AND(BM19=1,BN19&lt;=12),BH19,"")</f>
        <v/>
      </c>
      <c r="BR19" s="44" t="str">
        <f aca="false">IF(AND(BM19=1,BN19&lt;=12),BI19,"")</f>
        <v/>
      </c>
      <c r="BS19" s="44" t="str">
        <f aca="false">IF(AND(BM19=1,BN19&lt;=6),BH19,"")</f>
        <v/>
      </c>
      <c r="BT19" s="44" t="str">
        <f aca="false">IF(AND(BM19=1,BN19&lt;=6),BI19,"")</f>
        <v/>
      </c>
      <c r="BU19" s="123" t="n">
        <f aca="false">IF(AND(ISNUMBER(BJ19),ISNUMBER(BK19)),BJ19,"")</f>
        <v>0.146564885496183</v>
      </c>
      <c r="BV19" s="44" t="n">
        <f aca="false">IF(AND(ISNUMBER(BJ19),ISNUMBER(BK19)),BK19,"")</f>
        <v>-0.295</v>
      </c>
      <c r="BW19" s="123" t="n">
        <f aca="false">IF(AND(ISNUMBER(BJ19),ISNUMBER(BH19)),BJ19,"")</f>
        <v>0.146564885496183</v>
      </c>
      <c r="BX19" s="44" t="n">
        <f aca="false">IF(AND(ISNUMBER(BJ19),ISNUMBER(BH19)),BH19,"")</f>
        <v>8.405</v>
      </c>
      <c r="BY19" s="44" t="n">
        <f aca="false">IF(BM19=1,BH19,NA())</f>
        <v>8.405</v>
      </c>
      <c r="BZ19" s="122" t="n">
        <f aca="false">IF(BM19=1,BI19,NA())</f>
        <v>30.04</v>
      </c>
      <c r="CA19" s="44" t="n">
        <f aca="false">IF(BM19=1,LN(BI19),"")</f>
        <v>3.40252982689593</v>
      </c>
      <c r="CB19" s="123" t="n">
        <f aca="false">IF(ISNUMBER(BU19),BU19,NA())</f>
        <v>0.146564885496183</v>
      </c>
      <c r="CC19" s="44" t="n">
        <f aca="false">IF(ISNUMBER(BV19),BV19,NA())</f>
        <v>-0.295</v>
      </c>
      <c r="CD19" s="124" t="n">
        <f aca="false">IF(BG19="",NA(),BG19)</f>
        <v>44835</v>
      </c>
      <c r="CE19" s="44" t="n">
        <f aca="false">IF(ISNUMBER(BH19),BH19,NA())</f>
        <v>8.405</v>
      </c>
      <c r="CF19" s="122" t="n">
        <f aca="false">IF(ISNUMBER(BI19),BI19,NA())</f>
        <v>30.04</v>
      </c>
      <c r="CH19" s="55" t="n">
        <f aca="false">IF(ISNUMBER(CI19),IF(ISNUMBER('Base de Datos'!AG15),IF('Base de Datos'!AG15&gt;20000,INT('Base de Datos'!AG15),""),IF(TRIM('Base de Datos'!AG15)="","",IFERROR(DATE(VALUE(RIGHT(TRIM('Base de Datos'!AG15),4)),VALUE(MID(TRIM('Base de Datos'!AG15),4,2)),VALUE(LEFT(TRIM('Base de Datos'!AG15),2))),IFERROR(DATEVALUE(TRIM('Base de Datos'!AG15)),"")))),"")</f>
        <v>44697</v>
      </c>
      <c r="CI19" s="56" t="n">
        <f aca="false">IF(ISNUMBER('Base de Datos'!AH15),'Base de Datos'!AH15,IF(TRIM('Base de Datos'!AH15)="","",IFERROR(IF(IFERROR(FIND("@",SUBSTITUTE(TRIM('Base de Datos'!AH15),",","@",LEN(TRIM('Base de Datos'!AH15))-LEN(SUBSTITUTE(TRIM('Base de Datos'!AH15),",","")))),0)&gt;IFERROR(FIND("@",SUBSTITUTE(TRIM('Base de Datos'!AH15),".","@",LEN(TRIM('Base de Datos'!AH15))-LEN(SUBSTITUTE(TRIM('Base de Datos'!AH15),".","")))),0),_xlfn.NUMBERVALUE(SUBSTITUTE(SUBSTITUTE(TRIM('Base de Datos'!AH15),".",""),",","."),".",","),_xlfn.NUMBERVALUE(SUBSTITUTE(TRIM('Base de Datos'!AH15),",",""),".",",")),"")))</f>
        <v>7.72</v>
      </c>
    </row>
    <row r="20" customFormat="false" ht="13.8" hidden="false" customHeight="false" outlineLevel="0" collapsed="false">
      <c r="A20" s="117" t="s">
        <v>1621</v>
      </c>
      <c r="B20" s="128" t="n">
        <v>0.04</v>
      </c>
      <c r="C20" s="75" t="s">
        <v>1622</v>
      </c>
      <c r="AE20" s="44" t="n">
        <v>11</v>
      </c>
      <c r="AF20" s="55" t="n">
        <f aca="false">IF(AF19="","",IFERROR(SMALL($CH$10:$CH$309,COUNTIF($CH$10:$CH$309,"&lt;="&amp;AF19)+1),""))</f>
        <v>44713</v>
      </c>
      <c r="AG20" s="56" t="n">
        <f aca="false">IF(AF20="","",INDEX($CI$10:$CI$309,MATCH(AF20,$CH$10:$CH$309,0)))</f>
        <v>7.88</v>
      </c>
      <c r="AH20" s="55" t="n">
        <f aca="false">IF(AF20="",NA(),AF20)</f>
        <v>44713</v>
      </c>
      <c r="AI20" s="56" t="n">
        <f aca="false">IF(AG20="",NA(),AG20)</f>
        <v>7.88</v>
      </c>
      <c r="AK20" s="44" t="n">
        <v>11</v>
      </c>
      <c r="AL20" s="56" t="n">
        <f aca="false">IF($B$5&gt;=25,INDEX($AG$10:$AG$309,$B$5-25+11),"")</f>
        <v>3.92</v>
      </c>
      <c r="AM20" s="55" t="n">
        <f aca="false">IF($B$5&gt;=25,INDEX($AF$10:$AF$309,$B$5-25+11),"")</f>
        <v>46054</v>
      </c>
      <c r="AN20" s="44" t="n">
        <f aca="false">IF(AL20="","",LN(AL20))</f>
        <v>1.36609165380237</v>
      </c>
      <c r="AU20" s="44" t="n">
        <f aca="false">IF(11&lt;=$C$8,11,"")</f>
        <v>11</v>
      </c>
      <c r="AV20" s="56" t="n">
        <f aca="false">IF(AU20="","",INDEX($AG$10:$AG$309,$B$8+11-1))</f>
        <v>5.18</v>
      </c>
      <c r="AW20" s="56" t="n">
        <f aca="false">IF(AV20="",NA(),AV20)</f>
        <v>5.18</v>
      </c>
      <c r="AX20" s="44" t="n">
        <f aca="false">IF(AV20="",NA(),AU20)</f>
        <v>11</v>
      </c>
      <c r="AY20" s="44" t="n">
        <f aca="false">IF(AV20="","",LN(AV20))</f>
        <v>1.64480505627139</v>
      </c>
      <c r="BA20" s="44" t="n">
        <f aca="false">IF(11&lt;=INT($C$8/6),11,"")</f>
        <v>11</v>
      </c>
      <c r="BB20" s="44" t="n">
        <f aca="false">IF(BA20="","",AVERAGE(INDEX($AV$10:$AV$309,61):INDEX($AV$10:$AV$309,66)))</f>
        <v>3.615</v>
      </c>
      <c r="BC20" s="44" t="n">
        <f aca="false">IF(BB20="",NA(),BB20)</f>
        <v>3.615</v>
      </c>
      <c r="BD20" s="44" t="n">
        <f aca="false">IF(BB20="",NA(),BA20)</f>
        <v>11</v>
      </c>
      <c r="BE20" s="44" t="n">
        <f aca="false">IF(BB20="","",LN(BB20))</f>
        <v>1.28509185561073</v>
      </c>
      <c r="BG20" s="121" t="n">
        <f aca="false">IF(BG19="","",IF(EDATE(BG19,1)&gt;$C$6,"",EDATE(BG19,1)))</f>
        <v>44866</v>
      </c>
      <c r="BH20" s="44" t="n">
        <f aca="false">IF(BG20="","",IFERROR(AVERAGEIFS($AG$10:$AG$309,$AF$10:$AF$309,"&gt;="&amp;BG20,$AF$10:$AF$309,"&lt;="&amp;EOMONTH(BG20,0)),""))</f>
        <v>7.8</v>
      </c>
      <c r="BI20" s="122" t="n">
        <f aca="false">IF(BG20="","",IFERROR(INDEX(Rendimientos!$C$13:$C$412,MATCH(_xlfn.MAXIFS(Rendimientos!$B$13:$B$412,Rendimientos!$B$13:$B$412,"&lt;="&amp;EOMONTH(BG20,0),Rendimientos!$B$13:$B$412,"&gt;="&amp;BG20),Rendimientos!$B$13:$B$412,0)),IFERROR(INDEX(Rendimientos!$T$13:$T$512,MATCH(_xlfn.MAXIFS(Rendimientos!$S$13:$S$512,Rendimientos!$S$13:$S$512,"&lt;="&amp;EOMONTH(BG20,0),Rendimientos!$S$13:$S$512,"&gt;="&amp;BG20),Rendimientos!$S$13:$S$512,0)),"")))</f>
        <v>28.56</v>
      </c>
      <c r="BJ20" s="123" t="n">
        <f aca="false">IF(AND(ISNUMBER(BI20),ISNUMBER(BI19)),BI20/BI19-1,"")</f>
        <v>-0.0492676431424767</v>
      </c>
      <c r="BK20" s="44" t="n">
        <f aca="false">IF(AND(ISNUMBER(BH20),ISNUMBER(BH19)),BH20-BH19,"")</f>
        <v>-0.604999999999999</v>
      </c>
      <c r="BL20" s="123" t="n">
        <f aca="false">IF(AND(ISNUMBER(BH20),ISNUMBER(BH19)),BH20/BH19-1,"")</f>
        <v>-0.071980963712076</v>
      </c>
      <c r="BM20" s="44" t="n">
        <f aca="false">IF(AND(ISNUMBER(BH20),ISNUMBER(BI20)),1,"")</f>
        <v>1</v>
      </c>
      <c r="BN20" s="44" t="n">
        <f aca="false">IF(BM20=1,COUNT(BM20:BM$69),"")</f>
        <v>47</v>
      </c>
      <c r="BO20" s="44" t="n">
        <f aca="false">IF(BM20=1,BH20,"")</f>
        <v>7.8</v>
      </c>
      <c r="BP20" s="122" t="n">
        <f aca="false">IF(BM20=1,BI20,"")</f>
        <v>28.56</v>
      </c>
      <c r="BQ20" s="44" t="str">
        <f aca="false">IF(AND(BM20=1,BN20&lt;=12),BH20,"")</f>
        <v/>
      </c>
      <c r="BR20" s="44" t="str">
        <f aca="false">IF(AND(BM20=1,BN20&lt;=12),BI20,"")</f>
        <v/>
      </c>
      <c r="BS20" s="44" t="str">
        <f aca="false">IF(AND(BM20=1,BN20&lt;=6),BH20,"")</f>
        <v/>
      </c>
      <c r="BT20" s="44" t="str">
        <f aca="false">IF(AND(BM20=1,BN20&lt;=6),BI20,"")</f>
        <v/>
      </c>
      <c r="BU20" s="123" t="n">
        <f aca="false">IF(AND(ISNUMBER(BJ20),ISNUMBER(BK20)),BJ20,"")</f>
        <v>-0.0492676431424767</v>
      </c>
      <c r="BV20" s="44" t="n">
        <f aca="false">IF(AND(ISNUMBER(BJ20),ISNUMBER(BK20)),BK20,"")</f>
        <v>-0.604999999999999</v>
      </c>
      <c r="BW20" s="123" t="n">
        <f aca="false">IF(AND(ISNUMBER(BJ20),ISNUMBER(BH20)),BJ20,"")</f>
        <v>-0.0492676431424767</v>
      </c>
      <c r="BX20" s="44" t="n">
        <f aca="false">IF(AND(ISNUMBER(BJ20),ISNUMBER(BH20)),BH20,"")</f>
        <v>7.8</v>
      </c>
      <c r="BY20" s="44" t="n">
        <f aca="false">IF(BM20=1,BH20,NA())</f>
        <v>7.8</v>
      </c>
      <c r="BZ20" s="122" t="n">
        <f aca="false">IF(BM20=1,BI20,NA())</f>
        <v>28.56</v>
      </c>
      <c r="CA20" s="44" t="n">
        <f aca="false">IF(BM20=1,LN(BI20),"")</f>
        <v>3.35200713747138</v>
      </c>
      <c r="CB20" s="123" t="n">
        <f aca="false">IF(ISNUMBER(BU20),BU20,NA())</f>
        <v>-0.0492676431424767</v>
      </c>
      <c r="CC20" s="44" t="n">
        <f aca="false">IF(ISNUMBER(BV20),BV20,NA())</f>
        <v>-0.604999999999999</v>
      </c>
      <c r="CD20" s="124" t="n">
        <f aca="false">IF(BG20="",NA(),BG20)</f>
        <v>44866</v>
      </c>
      <c r="CE20" s="44" t="n">
        <f aca="false">IF(ISNUMBER(BH20),BH20,NA())</f>
        <v>7.8</v>
      </c>
      <c r="CF20" s="122" t="n">
        <f aca="false">IF(ISNUMBER(BI20),BI20,NA())</f>
        <v>28.56</v>
      </c>
      <c r="CH20" s="55" t="n">
        <f aca="false">IF(ISNUMBER(CI20),IF(ISNUMBER('Base de Datos'!AG16),IF('Base de Datos'!AG16&gt;20000,INT('Base de Datos'!AG16),""),IF(TRIM('Base de Datos'!AG16)="","",IFERROR(DATE(VALUE(RIGHT(TRIM('Base de Datos'!AG16),4)),VALUE(MID(TRIM('Base de Datos'!AG16),4,2)),VALUE(LEFT(TRIM('Base de Datos'!AG16),2))),IFERROR(DATEVALUE(TRIM('Base de Datos'!AG16)),"")))),"")</f>
        <v>44713</v>
      </c>
      <c r="CI20" s="56" t="n">
        <f aca="false">IF(ISNUMBER('Base de Datos'!AH16),'Base de Datos'!AH16,IF(TRIM('Base de Datos'!AH16)="","",IFERROR(IF(IFERROR(FIND("@",SUBSTITUTE(TRIM('Base de Datos'!AH16),",","@",LEN(TRIM('Base de Datos'!AH16))-LEN(SUBSTITUTE(TRIM('Base de Datos'!AH16),",","")))),0)&gt;IFERROR(FIND("@",SUBSTITUTE(TRIM('Base de Datos'!AH16),".","@",LEN(TRIM('Base de Datos'!AH16))-LEN(SUBSTITUTE(TRIM('Base de Datos'!AH16),".","")))),0),_xlfn.NUMBERVALUE(SUBSTITUTE(SUBSTITUTE(TRIM('Base de Datos'!AH16),".",""),",","."),".",","),_xlfn.NUMBERVALUE(SUBSTITUTE(TRIM('Base de Datos'!AH16),",",""),".",",")),"")))</f>
        <v>7.88</v>
      </c>
    </row>
    <row r="21" customFormat="false" ht="13.8" hidden="false" customHeight="false" outlineLevel="0" collapsed="false">
      <c r="A21" s="117" t="s">
        <v>1623</v>
      </c>
      <c r="B21" s="128" t="n">
        <f aca="false">IF(K13="",0.0351,ROUND(K13,2)/100)</f>
        <v>0.0351</v>
      </c>
      <c r="C21" s="75" t="s">
        <v>1624</v>
      </c>
      <c r="AE21" s="44" t="n">
        <v>12</v>
      </c>
      <c r="AF21" s="55" t="n">
        <f aca="false">IF(AF20="","",IFERROR(SMALL($CH$10:$CH$309,COUNTIF($CH$10:$CH$309,"&lt;="&amp;AF20)+1),""))</f>
        <v>44728</v>
      </c>
      <c r="AG21" s="56" t="n">
        <f aca="false">IF(AF21="","",INDEX($CI$10:$CI$309,MATCH(AF21,$CH$10:$CH$309,0)))</f>
        <v>8.09</v>
      </c>
      <c r="AH21" s="55" t="n">
        <f aca="false">IF(AF21="",NA(),AF21)</f>
        <v>44728</v>
      </c>
      <c r="AI21" s="56" t="n">
        <f aca="false">IF(AG21="",NA(),AG21)</f>
        <v>8.09</v>
      </c>
      <c r="AK21" s="44" t="n">
        <v>12</v>
      </c>
      <c r="AL21" s="56" t="n">
        <f aca="false">IF($B$5&gt;=25,INDEX($AG$10:$AG$309,$B$5-25+12),"")</f>
        <v>4.13</v>
      </c>
      <c r="AM21" s="55" t="n">
        <f aca="false">IF($B$5&gt;=25,INDEX($AF$10:$AF$309,$B$5-25+12),"")</f>
        <v>46069</v>
      </c>
      <c r="AN21" s="44" t="n">
        <f aca="false">IF(AL21="","",LN(AL21))</f>
        <v>1.41827740697294</v>
      </c>
      <c r="AU21" s="44" t="n">
        <f aca="false">IF(12&lt;=$C$8,12,"")</f>
        <v>12</v>
      </c>
      <c r="AV21" s="56" t="n">
        <f aca="false">IF(AU21="","",INDEX($AG$10:$AG$309,$B$8+12-1))</f>
        <v>4.93</v>
      </c>
      <c r="AW21" s="56" t="n">
        <f aca="false">IF(AV21="",NA(),AV21)</f>
        <v>4.93</v>
      </c>
      <c r="AX21" s="44" t="n">
        <f aca="false">IF(AV21="",NA(),AU21)</f>
        <v>12</v>
      </c>
      <c r="AY21" s="44" t="n">
        <f aca="false">IF(AV21="","",LN(AV21))</f>
        <v>1.5953389880546</v>
      </c>
      <c r="BA21" s="44" t="n">
        <f aca="false">IF(12&lt;=INT($C$8/6),12,"")</f>
        <v>12</v>
      </c>
      <c r="BB21" s="44" t="n">
        <f aca="false">IF(BA21="","",AVERAGE(INDEX($AV$10:$AV$309,67):INDEX($AV$10:$AV$309,72)))</f>
        <v>3.685</v>
      </c>
      <c r="BC21" s="44" t="n">
        <f aca="false">IF(BB21="",NA(),BB21)</f>
        <v>3.685</v>
      </c>
      <c r="BD21" s="44" t="n">
        <f aca="false">IF(BB21="",NA(),BA21)</f>
        <v>12</v>
      </c>
      <c r="BE21" s="44" t="n">
        <f aca="false">IF(BB21="","",LN(BB21))</f>
        <v>1.3042705256413</v>
      </c>
      <c r="BG21" s="121" t="n">
        <f aca="false">IF(BG20="","",IF(EDATE(BG20,1)&gt;$C$6,"",EDATE(BG20,1)))</f>
        <v>44896</v>
      </c>
      <c r="BH21" s="44" t="n">
        <f aca="false">IF(BG21="","",IFERROR(AVERAGEIFS($AG$10:$AG$309,$AF$10:$AF$309,"&gt;="&amp;BG21,$AF$10:$AF$309,"&lt;="&amp;EOMONTH(BG21,0)),""))</f>
        <v>7.815</v>
      </c>
      <c r="BI21" s="122" t="n">
        <f aca="false">IF(BG21="","",IFERROR(INDEX(Rendimientos!$C$13:$C$412,MATCH(_xlfn.MAXIFS(Rendimientos!$B$13:$B$412,Rendimientos!$B$13:$B$412,"&lt;="&amp;EOMONTH(BG21,0),Rendimientos!$B$13:$B$412,"&gt;="&amp;BG21),Rendimientos!$B$13:$B$412,0)),IFERROR(INDEX(Rendimientos!$T$13:$T$512,MATCH(_xlfn.MAXIFS(Rendimientos!$S$13:$S$512,Rendimientos!$S$13:$S$512,"&lt;="&amp;EOMONTH(BG21,0),Rendimientos!$S$13:$S$512,"&gt;="&amp;BG21),Rendimientos!$S$13:$S$512,0)),"")))</f>
        <v>31.28</v>
      </c>
      <c r="BJ21" s="123" t="n">
        <f aca="false">IF(AND(ISNUMBER(BI21),ISNUMBER(BI20)),BI21/BI20-1,"")</f>
        <v>0.0952380952380953</v>
      </c>
      <c r="BK21" s="44" t="n">
        <f aca="false">IF(AND(ISNUMBER(BH21),ISNUMBER(BH20)),BH21-BH20,"")</f>
        <v>0.0149999999999988</v>
      </c>
      <c r="BL21" s="123" t="n">
        <f aca="false">IF(AND(ISNUMBER(BH21),ISNUMBER(BH20)),BH21/BH20-1,"")</f>
        <v>0.00192307692307669</v>
      </c>
      <c r="BM21" s="44" t="n">
        <f aca="false">IF(AND(ISNUMBER(BH21),ISNUMBER(BI21)),1,"")</f>
        <v>1</v>
      </c>
      <c r="BN21" s="44" t="n">
        <f aca="false">IF(BM21=1,COUNT(BM21:BM$69),"")</f>
        <v>46</v>
      </c>
      <c r="BO21" s="44" t="n">
        <f aca="false">IF(BM21=1,BH21,"")</f>
        <v>7.815</v>
      </c>
      <c r="BP21" s="122" t="n">
        <f aca="false">IF(BM21=1,BI21,"")</f>
        <v>31.28</v>
      </c>
      <c r="BQ21" s="44" t="str">
        <f aca="false">IF(AND(BM21=1,BN21&lt;=12),BH21,"")</f>
        <v/>
      </c>
      <c r="BR21" s="44" t="str">
        <f aca="false">IF(AND(BM21=1,BN21&lt;=12),BI21,"")</f>
        <v/>
      </c>
      <c r="BS21" s="44" t="str">
        <f aca="false">IF(AND(BM21=1,BN21&lt;=6),BH21,"")</f>
        <v/>
      </c>
      <c r="BT21" s="44" t="str">
        <f aca="false">IF(AND(BM21=1,BN21&lt;=6),BI21,"")</f>
        <v/>
      </c>
      <c r="BU21" s="123" t="n">
        <f aca="false">IF(AND(ISNUMBER(BJ21),ISNUMBER(BK21)),BJ21,"")</f>
        <v>0.0952380952380953</v>
      </c>
      <c r="BV21" s="44" t="n">
        <f aca="false">IF(AND(ISNUMBER(BJ21),ISNUMBER(BK21)),BK21,"")</f>
        <v>0.0149999999999988</v>
      </c>
      <c r="BW21" s="123" t="n">
        <f aca="false">IF(AND(ISNUMBER(BJ21),ISNUMBER(BH21)),BJ21,"")</f>
        <v>0.0952380952380953</v>
      </c>
      <c r="BX21" s="44" t="n">
        <f aca="false">IF(AND(ISNUMBER(BJ21),ISNUMBER(BH21)),BH21,"")</f>
        <v>7.815</v>
      </c>
      <c r="BY21" s="44" t="n">
        <f aca="false">IF(BM21=1,BH21,NA())</f>
        <v>7.815</v>
      </c>
      <c r="BZ21" s="122" t="n">
        <f aca="false">IF(BM21=1,BI21,NA())</f>
        <v>31.28</v>
      </c>
      <c r="CA21" s="44" t="n">
        <f aca="false">IF(BM21=1,LN(BI21),"")</f>
        <v>3.44297891567711</v>
      </c>
      <c r="CB21" s="123" t="n">
        <f aca="false">IF(ISNUMBER(BU21),BU21,NA())</f>
        <v>0.0952380952380953</v>
      </c>
      <c r="CC21" s="44" t="n">
        <f aca="false">IF(ISNUMBER(BV21),BV21,NA())</f>
        <v>0.0149999999999988</v>
      </c>
      <c r="CD21" s="124" t="n">
        <f aca="false">IF(BG21="",NA(),BG21)</f>
        <v>44896</v>
      </c>
      <c r="CE21" s="44" t="n">
        <f aca="false">IF(ISNUMBER(BH21),BH21,NA())</f>
        <v>7.815</v>
      </c>
      <c r="CF21" s="122" t="n">
        <f aca="false">IF(ISNUMBER(BI21),BI21,NA())</f>
        <v>31.28</v>
      </c>
      <c r="CH21" s="55" t="n">
        <f aca="false">IF(ISNUMBER(CI21),IF(ISNUMBER('Base de Datos'!AG17),IF('Base de Datos'!AG17&gt;20000,INT('Base de Datos'!AG17),""),IF(TRIM('Base de Datos'!AG17)="","",IFERROR(DATE(VALUE(RIGHT(TRIM('Base de Datos'!AG17),4)),VALUE(MID(TRIM('Base de Datos'!AG17),4,2)),VALUE(LEFT(TRIM('Base de Datos'!AG17),2))),IFERROR(DATEVALUE(TRIM('Base de Datos'!AG17)),"")))),"")</f>
        <v>44728</v>
      </c>
      <c r="CI21" s="56" t="n">
        <f aca="false">IF(ISNUMBER('Base de Datos'!AH17),'Base de Datos'!AH17,IF(TRIM('Base de Datos'!AH17)="","",IFERROR(IF(IFERROR(FIND("@",SUBSTITUTE(TRIM('Base de Datos'!AH17),",","@",LEN(TRIM('Base de Datos'!AH17))-LEN(SUBSTITUTE(TRIM('Base de Datos'!AH17),",","")))),0)&gt;IFERROR(FIND("@",SUBSTITUTE(TRIM('Base de Datos'!AH17),".","@",LEN(TRIM('Base de Datos'!AH17))-LEN(SUBSTITUTE(TRIM('Base de Datos'!AH17),".","")))),0),_xlfn.NUMBERVALUE(SUBSTITUTE(SUBSTITUTE(TRIM('Base de Datos'!AH17),".",""),",","."),".",","),_xlfn.NUMBERVALUE(SUBSTITUTE(TRIM('Base de Datos'!AH17),",",""),".",",")),"")))</f>
        <v>8.09</v>
      </c>
    </row>
    <row r="22" customFormat="false" ht="13.8" hidden="false" customHeight="false" outlineLevel="0" collapsed="false">
      <c r="A22" s="117" t="s">
        <v>1625</v>
      </c>
      <c r="B22" s="128" t="n">
        <f aca="false">IF(COUNT(K12:K15)=0,0.0326,ROUND(MIN(K12:K15),2)/100)</f>
        <v>0.0333</v>
      </c>
      <c r="C22" s="75" t="s">
        <v>1626</v>
      </c>
      <c r="AE22" s="44" t="n">
        <v>13</v>
      </c>
      <c r="AF22" s="55" t="n">
        <f aca="false">IF(AF21="","",IFERROR(SMALL($CH$10:$CH$309,COUNTIF($CH$10:$CH$309,"&lt;="&amp;AF21)+1),""))</f>
        <v>44743</v>
      </c>
      <c r="AG22" s="56" t="n">
        <f aca="false">IF(AF22="","",INDEX($CI$10:$CI$309,MATCH(AF22,$CH$10:$CH$309,0)))</f>
        <v>8.16</v>
      </c>
      <c r="AH22" s="55" t="n">
        <f aca="false">IF(AF22="",NA(),AF22)</f>
        <v>44743</v>
      </c>
      <c r="AI22" s="56" t="n">
        <f aca="false">IF(AG22="",NA(),AG22)</f>
        <v>8.16</v>
      </c>
      <c r="AK22" s="44" t="n">
        <v>13</v>
      </c>
      <c r="AL22" s="56" t="n">
        <f aca="false">IF($B$5&gt;=25,INDEX($AG$10:$AG$309,$B$5-25+13),"")</f>
        <v>4.63</v>
      </c>
      <c r="AM22" s="55" t="n">
        <f aca="false">IF($B$5&gt;=25,INDEX($AF$10:$AF$309,$B$5-25+13),"")</f>
        <v>46082</v>
      </c>
      <c r="AN22" s="44" t="n">
        <f aca="false">IF(AL22="","",LN(AL22))</f>
        <v>1.53255686809814</v>
      </c>
      <c r="AU22" s="44" t="n">
        <f aca="false">IF(13&lt;=$C$8,13,"")</f>
        <v>13</v>
      </c>
      <c r="AV22" s="56" t="n">
        <f aca="false">IF(AU22="","",INDEX($AG$10:$AG$309,$B$8+13-1))</f>
        <v>4.79</v>
      </c>
      <c r="AW22" s="56" t="n">
        <f aca="false">IF(AV22="",NA(),AV22)</f>
        <v>4.79</v>
      </c>
      <c r="AX22" s="44" t="n">
        <f aca="false">IF(AV22="",NA(),AU22)</f>
        <v>13</v>
      </c>
      <c r="AY22" s="44" t="n">
        <f aca="false">IF(AV22="","",LN(AV22))</f>
        <v>1.56653041142282</v>
      </c>
      <c r="BA22" s="44" t="n">
        <f aca="false">IF(13&lt;=INT($C$8/6),13,"")</f>
        <v>13</v>
      </c>
      <c r="BB22" s="44" t="n">
        <f aca="false">IF(BA22="","",AVERAGE(INDEX($AV$10:$AV$309,73):INDEX($AV$10:$AV$309,78)))</f>
        <v>4.13666666666667</v>
      </c>
      <c r="BC22" s="44" t="n">
        <f aca="false">IF(BB22="",NA(),BB22)</f>
        <v>4.13666666666667</v>
      </c>
      <c r="BD22" s="44" t="n">
        <f aca="false">IF(BB22="",NA(),BA22)</f>
        <v>13</v>
      </c>
      <c r="BE22" s="44" t="n">
        <f aca="false">IF(BB22="","",LN(BB22))</f>
        <v>1.41989031054841</v>
      </c>
      <c r="BG22" s="121" t="n">
        <f aca="false">IF(BG21="","",IF(EDATE(BG21,1)&gt;$C$6,"",EDATE(BG21,1)))</f>
        <v>44927</v>
      </c>
      <c r="BH22" s="44" t="n">
        <f aca="false">IF(BG22="","",IFERROR(AVERAGEIFS($AG$10:$AG$309,$AF$10:$AF$309,"&gt;="&amp;BG22,$AF$10:$AF$309,"&lt;="&amp;EOMONTH(BG22,0)),""))</f>
        <v>7.91</v>
      </c>
      <c r="BI22" s="122" t="n">
        <f aca="false">IF(BG22="","",IFERROR(INDEX(Rendimientos!$C$13:$C$412,MATCH(_xlfn.MAXIFS(Rendimientos!$B$13:$B$412,Rendimientos!$B$13:$B$412,"&lt;="&amp;EOMONTH(BG22,0),Rendimientos!$B$13:$B$412,"&gt;="&amp;BG22),Rendimientos!$B$13:$B$412,0)),IFERROR(INDEX(Rendimientos!$T$13:$T$512,MATCH(_xlfn.MAXIFS(Rendimientos!$S$13:$S$512,Rendimientos!$S$13:$S$512,"&lt;="&amp;EOMONTH(BG22,0),Rendimientos!$S$13:$S$512,"&gt;="&amp;BG22),Rendimientos!$S$13:$S$512,0)),"")))</f>
        <v>30.02</v>
      </c>
      <c r="BJ22" s="123" t="n">
        <f aca="false">IF(AND(ISNUMBER(BI22),ISNUMBER(BI21)),BI22/BI21-1,"")</f>
        <v>-0.0402813299232737</v>
      </c>
      <c r="BK22" s="44" t="n">
        <f aca="false">IF(AND(ISNUMBER(BH22),ISNUMBER(BH21)),BH22-BH21,"")</f>
        <v>0.0950000000000006</v>
      </c>
      <c r="BL22" s="123" t="n">
        <f aca="false">IF(AND(ISNUMBER(BH22),ISNUMBER(BH21)),BH22/BH21-1,"")</f>
        <v>0.0121561100447858</v>
      </c>
      <c r="BM22" s="44" t="n">
        <f aca="false">IF(AND(ISNUMBER(BH22),ISNUMBER(BI22)),1,"")</f>
        <v>1</v>
      </c>
      <c r="BN22" s="44" t="n">
        <f aca="false">IF(BM22=1,COUNT(BM22:BM$69),"")</f>
        <v>45</v>
      </c>
      <c r="BO22" s="44" t="n">
        <f aca="false">IF(BM22=1,BH22,"")</f>
        <v>7.91</v>
      </c>
      <c r="BP22" s="122" t="n">
        <f aca="false">IF(BM22=1,BI22,"")</f>
        <v>30.02</v>
      </c>
      <c r="BQ22" s="44" t="str">
        <f aca="false">IF(AND(BM22=1,BN22&lt;=12),BH22,"")</f>
        <v/>
      </c>
      <c r="BR22" s="44" t="str">
        <f aca="false">IF(AND(BM22=1,BN22&lt;=12),BI22,"")</f>
        <v/>
      </c>
      <c r="BS22" s="44" t="str">
        <f aca="false">IF(AND(BM22=1,BN22&lt;=6),BH22,"")</f>
        <v/>
      </c>
      <c r="BT22" s="44" t="str">
        <f aca="false">IF(AND(BM22=1,BN22&lt;=6),BI22,"")</f>
        <v/>
      </c>
      <c r="BU22" s="123" t="n">
        <f aca="false">IF(AND(ISNUMBER(BJ22),ISNUMBER(BK22)),BJ22,"")</f>
        <v>-0.0402813299232737</v>
      </c>
      <c r="BV22" s="44" t="n">
        <f aca="false">IF(AND(ISNUMBER(BJ22),ISNUMBER(BK22)),BK22,"")</f>
        <v>0.0950000000000006</v>
      </c>
      <c r="BW22" s="123" t="n">
        <f aca="false">IF(AND(ISNUMBER(BJ22),ISNUMBER(BH22)),BJ22,"")</f>
        <v>-0.0402813299232737</v>
      </c>
      <c r="BX22" s="44" t="n">
        <f aca="false">IF(AND(ISNUMBER(BJ22),ISNUMBER(BH22)),BH22,"")</f>
        <v>7.91</v>
      </c>
      <c r="BY22" s="44" t="n">
        <f aca="false">IF(BM22=1,BH22,NA())</f>
        <v>7.91</v>
      </c>
      <c r="BZ22" s="122" t="n">
        <f aca="false">IF(BM22=1,BI22,NA())</f>
        <v>30.02</v>
      </c>
      <c r="CA22" s="44" t="n">
        <f aca="false">IF(BM22=1,LN(BI22),"")</f>
        <v>3.40186382620532</v>
      </c>
      <c r="CB22" s="123" t="n">
        <f aca="false">IF(ISNUMBER(BU22),BU22,NA())</f>
        <v>-0.0402813299232737</v>
      </c>
      <c r="CC22" s="44" t="n">
        <f aca="false">IF(ISNUMBER(BV22),BV22,NA())</f>
        <v>0.0950000000000006</v>
      </c>
      <c r="CD22" s="124" t="n">
        <f aca="false">IF(BG22="",NA(),BG22)</f>
        <v>44927</v>
      </c>
      <c r="CE22" s="44" t="n">
        <f aca="false">IF(ISNUMBER(BH22),BH22,NA())</f>
        <v>7.91</v>
      </c>
      <c r="CF22" s="122" t="n">
        <f aca="false">IF(ISNUMBER(BI22),BI22,NA())</f>
        <v>30.02</v>
      </c>
      <c r="CH22" s="55" t="n">
        <f aca="false">IF(ISNUMBER(CI22),IF(ISNUMBER('Base de Datos'!AG18),IF('Base de Datos'!AG18&gt;20000,INT('Base de Datos'!AG18),""),IF(TRIM('Base de Datos'!AG18)="","",IFERROR(DATE(VALUE(RIGHT(TRIM('Base de Datos'!AG18),4)),VALUE(MID(TRIM('Base de Datos'!AG18),4,2)),VALUE(LEFT(TRIM('Base de Datos'!AG18),2))),IFERROR(DATEVALUE(TRIM('Base de Datos'!AG18)),"")))),"")</f>
        <v>44743</v>
      </c>
      <c r="CI22" s="56" t="n">
        <f aca="false">IF(ISNUMBER('Base de Datos'!AH18),'Base de Datos'!AH18,IF(TRIM('Base de Datos'!AH18)="","",IFERROR(IF(IFERROR(FIND("@",SUBSTITUTE(TRIM('Base de Datos'!AH18),",","@",LEN(TRIM('Base de Datos'!AH18))-LEN(SUBSTITUTE(TRIM('Base de Datos'!AH18),",","")))),0)&gt;IFERROR(FIND("@",SUBSTITUTE(TRIM('Base de Datos'!AH18),".","@",LEN(TRIM('Base de Datos'!AH18))-LEN(SUBSTITUTE(TRIM('Base de Datos'!AH18),".","")))),0),_xlfn.NUMBERVALUE(SUBSTITUTE(SUBSTITUTE(TRIM('Base de Datos'!AH18),".",""),",","."),".",","),_xlfn.NUMBERVALUE(SUBSTITUTE(TRIM('Base de Datos'!AH18),",",""),".",",")),"")))</f>
        <v>8.16</v>
      </c>
    </row>
    <row r="23" customFormat="false" ht="13.8" hidden="false" customHeight="false" outlineLevel="0" collapsed="false">
      <c r="A23" s="75" t="s">
        <v>1627</v>
      </c>
      <c r="B23" s="76" t="n">
        <v>0.0387</v>
      </c>
      <c r="AE23" s="44" t="n">
        <v>14</v>
      </c>
      <c r="AF23" s="55" t="n">
        <f aca="false">IF(AF22="","",IFERROR(SMALL($CH$10:$CH$309,COUNTIF($CH$10:$CH$309,"&lt;="&amp;AF22)+1),""))</f>
        <v>44758</v>
      </c>
      <c r="AG23" s="56" t="n">
        <f aca="false">IF(AF23="","",INDEX($CI$10:$CI$309,MATCH(AF23,$CH$10:$CH$309,0)))</f>
        <v>8.14</v>
      </c>
      <c r="AH23" s="55" t="n">
        <f aca="false">IF(AF23="",NA(),AF23)</f>
        <v>44758</v>
      </c>
      <c r="AI23" s="56" t="n">
        <f aca="false">IF(AG23="",NA(),AG23)</f>
        <v>8.14</v>
      </c>
      <c r="AK23" s="44" t="n">
        <v>14</v>
      </c>
      <c r="AL23" s="56" t="n">
        <f aca="false">IF($B$5&gt;=25,INDEX($AG$10:$AG$309,$B$5-25+14),"")</f>
        <v>4.55</v>
      </c>
      <c r="AM23" s="55" t="n">
        <f aca="false">IF($B$5&gt;=25,INDEX($AF$10:$AF$309,$B$5-25+14),"")</f>
        <v>46097</v>
      </c>
      <c r="AN23" s="44" t="n">
        <f aca="false">IF(AL23="","",LN(AL23))</f>
        <v>1.51512723296286</v>
      </c>
      <c r="AU23" s="44" t="n">
        <f aca="false">IF(14&lt;=$C$8,14,"")</f>
        <v>14</v>
      </c>
      <c r="AV23" s="56" t="n">
        <f aca="false">IF(AU23="","",INDEX($AG$10:$AG$309,$B$8+14-1))</f>
        <v>4.78</v>
      </c>
      <c r="AW23" s="56" t="n">
        <f aca="false">IF(AV23="",NA(),AV23)</f>
        <v>4.78</v>
      </c>
      <c r="AX23" s="44" t="n">
        <f aca="false">IF(AV23="",NA(),AU23)</f>
        <v>14</v>
      </c>
      <c r="AY23" s="44" t="n">
        <f aca="false">IF(AV23="","",LN(AV23))</f>
        <v>1.56444054650336</v>
      </c>
      <c r="BA23" s="44" t="n">
        <f aca="false">IF(14&lt;=INT($C$8/6),14,"")</f>
        <v>14</v>
      </c>
      <c r="BB23" s="44" t="n">
        <f aca="false">IF(BA23="","",AVERAGE(INDEX($AV$10:$AV$309,79):INDEX($AV$10:$AV$309,84)))</f>
        <v>3.91833333333333</v>
      </c>
      <c r="BC23" s="44" t="n">
        <f aca="false">IF(BB23="",NA(),BB23)</f>
        <v>3.91833333333333</v>
      </c>
      <c r="BD23" s="44" t="n">
        <f aca="false">IF(BB23="",NA(),BA23)</f>
        <v>14</v>
      </c>
      <c r="BE23" s="44" t="n">
        <f aca="false">IF(BB23="","",LN(BB23))</f>
        <v>1.36566639332392</v>
      </c>
      <c r="BG23" s="121" t="n">
        <f aca="false">IF(BG22="","",IF(EDATE(BG22,1)&gt;$C$6,"",EDATE(BG22,1)))</f>
        <v>44958</v>
      </c>
      <c r="BH23" s="44" t="n">
        <f aca="false">IF(BG23="","",IFERROR(AVERAGEIFS($AG$10:$AG$309,$AF$10:$AF$309,"&gt;="&amp;BG23,$AF$10:$AF$309,"&lt;="&amp;EOMONTH(BG23,0)),""))</f>
        <v>7.62</v>
      </c>
      <c r="BI23" s="122" t="n">
        <f aca="false">IF(BG23="","",IFERROR(INDEX(Rendimientos!$C$13:$C$412,MATCH(_xlfn.MAXIFS(Rendimientos!$B$13:$B$412,Rendimientos!$B$13:$B$412,"&lt;="&amp;EOMONTH(BG23,0),Rendimientos!$B$13:$B$412,"&gt;="&amp;BG23),Rendimientos!$B$13:$B$412,0)),IFERROR(INDEX(Rendimientos!$T$13:$T$512,MATCH(_xlfn.MAXIFS(Rendimientos!$S$13:$S$512,Rendimientos!$S$13:$S$512,"&lt;="&amp;EOMONTH(BG23,0),Rendimientos!$S$13:$S$512,"&gt;="&amp;BG23),Rendimientos!$S$13:$S$512,0)),"")))</f>
        <v>30.7</v>
      </c>
      <c r="BJ23" s="123" t="n">
        <f aca="false">IF(AND(ISNUMBER(BI23),ISNUMBER(BI22)),BI23/BI22-1,"")</f>
        <v>0.022651565622918</v>
      </c>
      <c r="BK23" s="44" t="n">
        <f aca="false">IF(AND(ISNUMBER(BH23),ISNUMBER(BH22)),BH23-BH22,"")</f>
        <v>-0.29</v>
      </c>
      <c r="BL23" s="123" t="n">
        <f aca="false">IF(AND(ISNUMBER(BH23),ISNUMBER(BH22)),BH23/BH22-1,"")</f>
        <v>-0.0366624525916561</v>
      </c>
      <c r="BM23" s="44" t="n">
        <f aca="false">IF(AND(ISNUMBER(BH23),ISNUMBER(BI23)),1,"")</f>
        <v>1</v>
      </c>
      <c r="BN23" s="44" t="n">
        <f aca="false">IF(BM23=1,COUNT(BM23:BM$69),"")</f>
        <v>44</v>
      </c>
      <c r="BO23" s="44" t="n">
        <f aca="false">IF(BM23=1,BH23,"")</f>
        <v>7.62</v>
      </c>
      <c r="BP23" s="122" t="n">
        <f aca="false">IF(BM23=1,BI23,"")</f>
        <v>30.7</v>
      </c>
      <c r="BQ23" s="44" t="str">
        <f aca="false">IF(AND(BM23=1,BN23&lt;=12),BH23,"")</f>
        <v/>
      </c>
      <c r="BR23" s="44" t="str">
        <f aca="false">IF(AND(BM23=1,BN23&lt;=12),BI23,"")</f>
        <v/>
      </c>
      <c r="BS23" s="44" t="str">
        <f aca="false">IF(AND(BM23=1,BN23&lt;=6),BH23,"")</f>
        <v/>
      </c>
      <c r="BT23" s="44" t="str">
        <f aca="false">IF(AND(BM23=1,BN23&lt;=6),BI23,"")</f>
        <v/>
      </c>
      <c r="BU23" s="123" t="n">
        <f aca="false">IF(AND(ISNUMBER(BJ23),ISNUMBER(BK23)),BJ23,"")</f>
        <v>0.022651565622918</v>
      </c>
      <c r="BV23" s="44" t="n">
        <f aca="false">IF(AND(ISNUMBER(BJ23),ISNUMBER(BK23)),BK23,"")</f>
        <v>-0.29</v>
      </c>
      <c r="BW23" s="123" t="n">
        <f aca="false">IF(AND(ISNUMBER(BJ23),ISNUMBER(BH23)),BJ23,"")</f>
        <v>0.022651565622918</v>
      </c>
      <c r="BX23" s="44" t="n">
        <f aca="false">IF(AND(ISNUMBER(BJ23),ISNUMBER(BH23)),BH23,"")</f>
        <v>7.62</v>
      </c>
      <c r="BY23" s="44" t="n">
        <f aca="false">IF(BM23=1,BH23,NA())</f>
        <v>7.62</v>
      </c>
      <c r="BZ23" s="122" t="n">
        <f aca="false">IF(BM23=1,BI23,NA())</f>
        <v>30.7</v>
      </c>
      <c r="CA23" s="44" t="n">
        <f aca="false">IF(BM23=1,LN(BI23),"")</f>
        <v>3.42426265459315</v>
      </c>
      <c r="CB23" s="123" t="n">
        <f aca="false">IF(ISNUMBER(BU23),BU23,NA())</f>
        <v>0.022651565622918</v>
      </c>
      <c r="CC23" s="44" t="n">
        <f aca="false">IF(ISNUMBER(BV23),BV23,NA())</f>
        <v>-0.29</v>
      </c>
      <c r="CD23" s="124" t="n">
        <f aca="false">IF(BG23="",NA(),BG23)</f>
        <v>44958</v>
      </c>
      <c r="CE23" s="44" t="n">
        <f aca="false">IF(ISNUMBER(BH23),BH23,NA())</f>
        <v>7.62</v>
      </c>
      <c r="CF23" s="122" t="n">
        <f aca="false">IF(ISNUMBER(BI23),BI23,NA())</f>
        <v>30.7</v>
      </c>
      <c r="CH23" s="55" t="n">
        <f aca="false">IF(ISNUMBER(CI23),IF(ISNUMBER('Base de Datos'!AG19),IF('Base de Datos'!AG19&gt;20000,INT('Base de Datos'!AG19),""),IF(TRIM('Base de Datos'!AG19)="","",IFERROR(DATE(VALUE(RIGHT(TRIM('Base de Datos'!AG19),4)),VALUE(MID(TRIM('Base de Datos'!AG19),4,2)),VALUE(LEFT(TRIM('Base de Datos'!AG19),2))),IFERROR(DATEVALUE(TRIM('Base de Datos'!AG19)),"")))),"")</f>
        <v>44758</v>
      </c>
      <c r="CI23" s="56" t="n">
        <f aca="false">IF(ISNUMBER('Base de Datos'!AH19),'Base de Datos'!AH19,IF(TRIM('Base de Datos'!AH19)="","",IFERROR(IF(IFERROR(FIND("@",SUBSTITUTE(TRIM('Base de Datos'!AH19),",","@",LEN(TRIM('Base de Datos'!AH19))-LEN(SUBSTITUTE(TRIM('Base de Datos'!AH19),",","")))),0)&gt;IFERROR(FIND("@",SUBSTITUTE(TRIM('Base de Datos'!AH19),".","@",LEN(TRIM('Base de Datos'!AH19))-LEN(SUBSTITUTE(TRIM('Base de Datos'!AH19),".","")))),0),_xlfn.NUMBERVALUE(SUBSTITUTE(SUBSTITUTE(TRIM('Base de Datos'!AH19),".",""),",","."),".",","),_xlfn.NUMBERVALUE(SUBSTITUTE(TRIM('Base de Datos'!AH19),",",""),".",",")),"")))</f>
        <v>8.14</v>
      </c>
    </row>
    <row r="24" customFormat="false" ht="13.8" hidden="false" customHeight="false" outlineLevel="0" collapsed="false">
      <c r="A24" s="75" t="s">
        <v>1628</v>
      </c>
      <c r="B24" s="76" t="n">
        <v>0.038</v>
      </c>
      <c r="AE24" s="44" t="n">
        <v>15</v>
      </c>
      <c r="AF24" s="55" t="n">
        <f aca="false">IF(AF23="","",IFERROR(SMALL($CH$10:$CH$309,COUNTIF($CH$10:$CH$309,"&lt;="&amp;AF23)+1),""))</f>
        <v>44774</v>
      </c>
      <c r="AG24" s="56" t="n">
        <f aca="false">IF(AF24="","",INDEX($CI$10:$CI$309,MATCH(AF24,$CH$10:$CH$309,0)))</f>
        <v>8.62</v>
      </c>
      <c r="AH24" s="55" t="n">
        <f aca="false">IF(AF24="",NA(),AF24)</f>
        <v>44774</v>
      </c>
      <c r="AI24" s="56" t="n">
        <f aca="false">IF(AG24="",NA(),AG24)</f>
        <v>8.62</v>
      </c>
      <c r="AK24" s="44" t="n">
        <v>15</v>
      </c>
      <c r="AL24" s="56" t="n">
        <f aca="false">IF($B$5&gt;=25,INDEX($AG$10:$AG$309,$B$5-25+15),"")</f>
        <v>4.53</v>
      </c>
      <c r="AM24" s="55" t="n">
        <f aca="false">IF($B$5&gt;=25,INDEX($AF$10:$AF$309,$B$5-25+15),"")</f>
        <v>46113</v>
      </c>
      <c r="AN24" s="44" t="n">
        <f aca="false">IF(AL24="","",LN(AL24))</f>
        <v>1.51072193949494</v>
      </c>
      <c r="AU24" s="44" t="n">
        <f aca="false">IF(15&lt;=$C$8,15,"")</f>
        <v>15</v>
      </c>
      <c r="AV24" s="56" t="n">
        <f aca="false">IF(AU24="","",INDEX($AG$10:$AG$309,$B$8+15-1))</f>
        <v>4.67</v>
      </c>
      <c r="AW24" s="56" t="n">
        <f aca="false">IF(AV24="",NA(),AV24)</f>
        <v>4.67</v>
      </c>
      <c r="AX24" s="44" t="n">
        <f aca="false">IF(AV24="",NA(),AU24)</f>
        <v>15</v>
      </c>
      <c r="AY24" s="44" t="n">
        <f aca="false">IF(AV24="","",LN(AV24))</f>
        <v>1.54115907168081</v>
      </c>
      <c r="BA24" s="44" t="str">
        <f aca="false">IF(15&lt;=INT($C$8/6),15,"")</f>
        <v/>
      </c>
      <c r="BB24" s="44" t="str">
        <f aca="false">IF(BA24="","",AVERAGE(INDEX($AV$10:$AV$309,85):INDEX($AV$10:$AV$309,90)))</f>
        <v/>
      </c>
      <c r="BC24" s="44" t="e">
        <f aca="false">IF(BB24="",NA(),BB24)</f>
        <v>#N/A</v>
      </c>
      <c r="BD24" s="44" t="e">
        <f aca="false">IF(BB24="",NA(),BA24)</f>
        <v>#N/A</v>
      </c>
      <c r="BE24" s="44" t="str">
        <f aca="false">IF(BB24="","",LN(BB24))</f>
        <v/>
      </c>
      <c r="BG24" s="121" t="n">
        <f aca="false">IF(BG23="","",IF(EDATE(BG23,1)&gt;$C$6,"",EDATE(BG23,1)))</f>
        <v>44986</v>
      </c>
      <c r="BH24" s="44" t="n">
        <f aca="false">IF(BG24="","",IFERROR(AVERAGEIFS($AG$10:$AG$309,$AF$10:$AF$309,"&gt;="&amp;BG24,$AF$10:$AF$309,"&lt;="&amp;EOMONTH(BG24,0)),""))</f>
        <v>6.85</v>
      </c>
      <c r="BI24" s="122" t="n">
        <f aca="false">IF(BG24="","",IFERROR(INDEX(Rendimientos!$C$13:$C$412,MATCH(_xlfn.MAXIFS(Rendimientos!$B$13:$B$412,Rendimientos!$B$13:$B$412,"&lt;="&amp;EOMONTH(BG24,0),Rendimientos!$B$13:$B$412,"&gt;="&amp;BG24),Rendimientos!$B$13:$B$412,0)),IFERROR(INDEX(Rendimientos!$T$13:$T$512,MATCH(_xlfn.MAXIFS(Rendimientos!$S$13:$S$512,Rendimientos!$S$13:$S$512,"&lt;="&amp;EOMONTH(BG24,0),Rendimientos!$S$13:$S$512,"&gt;="&amp;BG24),Rendimientos!$S$13:$S$512,0)),"")))</f>
        <v>30.97</v>
      </c>
      <c r="BJ24" s="123" t="n">
        <f aca="false">IF(AND(ISNUMBER(BI24),ISNUMBER(BI23)),BI24/BI23-1,"")</f>
        <v>0.00879478827361568</v>
      </c>
      <c r="BK24" s="44" t="n">
        <f aca="false">IF(AND(ISNUMBER(BH24),ISNUMBER(BH23)),BH24-BH23,"")</f>
        <v>-0.770000000000001</v>
      </c>
      <c r="BL24" s="123" t="n">
        <f aca="false">IF(AND(ISNUMBER(BH24),ISNUMBER(BH23)),BH24/BH23-1,"")</f>
        <v>-0.101049868766404</v>
      </c>
      <c r="BM24" s="44" t="n">
        <f aca="false">IF(AND(ISNUMBER(BH24),ISNUMBER(BI24)),1,"")</f>
        <v>1</v>
      </c>
      <c r="BN24" s="44" t="n">
        <f aca="false">IF(BM24=1,COUNT(BM24:BM$69),"")</f>
        <v>43</v>
      </c>
      <c r="BO24" s="44" t="n">
        <f aca="false">IF(BM24=1,BH24,"")</f>
        <v>6.85</v>
      </c>
      <c r="BP24" s="122" t="n">
        <f aca="false">IF(BM24=1,BI24,"")</f>
        <v>30.97</v>
      </c>
      <c r="BQ24" s="44" t="str">
        <f aca="false">IF(AND(BM24=1,BN24&lt;=12),BH24,"")</f>
        <v/>
      </c>
      <c r="BR24" s="44" t="str">
        <f aca="false">IF(AND(BM24=1,BN24&lt;=12),BI24,"")</f>
        <v/>
      </c>
      <c r="BS24" s="44" t="str">
        <f aca="false">IF(AND(BM24=1,BN24&lt;=6),BH24,"")</f>
        <v/>
      </c>
      <c r="BT24" s="44" t="str">
        <f aca="false">IF(AND(BM24=1,BN24&lt;=6),BI24,"")</f>
        <v/>
      </c>
      <c r="BU24" s="123" t="n">
        <f aca="false">IF(AND(ISNUMBER(BJ24),ISNUMBER(BK24)),BJ24,"")</f>
        <v>0.00879478827361568</v>
      </c>
      <c r="BV24" s="44" t="n">
        <f aca="false">IF(AND(ISNUMBER(BJ24),ISNUMBER(BK24)),BK24,"")</f>
        <v>-0.770000000000001</v>
      </c>
      <c r="BW24" s="123" t="n">
        <f aca="false">IF(AND(ISNUMBER(BJ24),ISNUMBER(BH24)),BJ24,"")</f>
        <v>0.00879478827361568</v>
      </c>
      <c r="BX24" s="44" t="n">
        <f aca="false">IF(AND(ISNUMBER(BJ24),ISNUMBER(BH24)),BH24,"")</f>
        <v>6.85</v>
      </c>
      <c r="BY24" s="44" t="n">
        <f aca="false">IF(BM24=1,BH24,NA())</f>
        <v>6.85</v>
      </c>
      <c r="BZ24" s="122" t="n">
        <f aca="false">IF(BM24=1,BI24,NA())</f>
        <v>30.97</v>
      </c>
      <c r="CA24" s="44" t="n">
        <f aca="false">IF(BM24=1,LN(BI24),"")</f>
        <v>3.43301899398511</v>
      </c>
      <c r="CB24" s="123" t="n">
        <f aca="false">IF(ISNUMBER(BU24),BU24,NA())</f>
        <v>0.00879478827361568</v>
      </c>
      <c r="CC24" s="44" t="n">
        <f aca="false">IF(ISNUMBER(BV24),BV24,NA())</f>
        <v>-0.770000000000001</v>
      </c>
      <c r="CD24" s="124" t="n">
        <f aca="false">IF(BG24="",NA(),BG24)</f>
        <v>44986</v>
      </c>
      <c r="CE24" s="44" t="n">
        <f aca="false">IF(ISNUMBER(BH24),BH24,NA())</f>
        <v>6.85</v>
      </c>
      <c r="CF24" s="122" t="n">
        <f aca="false">IF(ISNUMBER(BI24),BI24,NA())</f>
        <v>30.97</v>
      </c>
      <c r="CH24" s="55" t="n">
        <f aca="false">IF(ISNUMBER(CI24),IF(ISNUMBER('Base de Datos'!AG20),IF('Base de Datos'!AG20&gt;20000,INT('Base de Datos'!AG20),""),IF(TRIM('Base de Datos'!AG20)="","",IFERROR(DATE(VALUE(RIGHT(TRIM('Base de Datos'!AG20),4)),VALUE(MID(TRIM('Base de Datos'!AG20),4,2)),VALUE(LEFT(TRIM('Base de Datos'!AG20),2))),IFERROR(DATEVALUE(TRIM('Base de Datos'!AG20)),"")))),"")</f>
        <v>44774</v>
      </c>
      <c r="CI24" s="56" t="n">
        <f aca="false">IF(ISNUMBER('Base de Datos'!AH20),'Base de Datos'!AH20,IF(TRIM('Base de Datos'!AH20)="","",IFERROR(IF(IFERROR(FIND("@",SUBSTITUTE(TRIM('Base de Datos'!AH20),",","@",LEN(TRIM('Base de Datos'!AH20))-LEN(SUBSTITUTE(TRIM('Base de Datos'!AH20),",","")))),0)&gt;IFERROR(FIND("@",SUBSTITUTE(TRIM('Base de Datos'!AH20),".","@",LEN(TRIM('Base de Datos'!AH20))-LEN(SUBSTITUTE(TRIM('Base de Datos'!AH20),".","")))),0),_xlfn.NUMBERVALUE(SUBSTITUTE(SUBSTITUTE(TRIM('Base de Datos'!AH20),".",""),",","."),".",","),_xlfn.NUMBERVALUE(SUBSTITUTE(TRIM('Base de Datos'!AH20),",",""),".",",")),"")))</f>
        <v>8.62</v>
      </c>
    </row>
    <row r="25" customFormat="false" ht="13.8" hidden="false" customHeight="false" outlineLevel="0" collapsed="false">
      <c r="A25" s="75" t="s">
        <v>1629</v>
      </c>
      <c r="B25" s="76" t="n">
        <v>0.037</v>
      </c>
      <c r="AE25" s="44" t="n">
        <v>16</v>
      </c>
      <c r="AF25" s="55" t="n">
        <f aca="false">IF(AF24="","",IFERROR(SMALL($CH$10:$CH$309,COUNTIF($CH$10:$CH$309,"&lt;="&amp;AF24)+1),""))</f>
        <v>44789</v>
      </c>
      <c r="AG25" s="56" t="n">
        <f aca="false">IF(AF25="","",INDEX($CI$10:$CI$309,MATCH(AF25,$CH$10:$CH$309,0)))</f>
        <v>8.77</v>
      </c>
      <c r="AH25" s="55" t="n">
        <f aca="false">IF(AF25="",NA(),AF25)</f>
        <v>44789</v>
      </c>
      <c r="AI25" s="56" t="n">
        <f aca="false">IF(AG25="",NA(),AG25)</f>
        <v>8.77</v>
      </c>
      <c r="AK25" s="44" t="n">
        <v>16</v>
      </c>
      <c r="AL25" s="56" t="n">
        <f aca="false">IF($B$5&gt;=25,INDEX($AG$10:$AG$309,$B$5-25+16),"")</f>
        <v>4.37</v>
      </c>
      <c r="AM25" s="55" t="n">
        <f aca="false">IF($B$5&gt;=25,INDEX($AF$10:$AF$309,$B$5-25+16),"")</f>
        <v>46128</v>
      </c>
      <c r="AN25" s="44" t="n">
        <f aca="false">IF(AL25="","",LN(AL25))</f>
        <v>1.4747630091075</v>
      </c>
      <c r="AU25" s="44" t="n">
        <f aca="false">IF(16&lt;=$C$8,16,"")</f>
        <v>16</v>
      </c>
      <c r="AV25" s="56" t="n">
        <f aca="false">IF(AU25="","",INDEX($AG$10:$AG$309,$B$8+16-1))</f>
        <v>4.6</v>
      </c>
      <c r="AW25" s="56" t="n">
        <f aca="false">IF(AV25="",NA(),AV25)</f>
        <v>4.6</v>
      </c>
      <c r="AX25" s="44" t="n">
        <f aca="false">IF(AV25="",NA(),AU25)</f>
        <v>16</v>
      </c>
      <c r="AY25" s="44" t="n">
        <f aca="false">IF(AV25="","",LN(AV25))</f>
        <v>1.52605630349505</v>
      </c>
      <c r="BA25" s="44" t="str">
        <f aca="false">IF(16&lt;=INT($C$8/6),16,"")</f>
        <v/>
      </c>
      <c r="BB25" s="44" t="str">
        <f aca="false">IF(BA25="","",AVERAGE(INDEX($AV$10:$AV$309,91):INDEX($AV$10:$AV$309,96)))</f>
        <v/>
      </c>
      <c r="BC25" s="44" t="e">
        <f aca="false">IF(BB25="",NA(),BB25)</f>
        <v>#N/A</v>
      </c>
      <c r="BD25" s="44" t="e">
        <f aca="false">IF(BB25="",NA(),BA25)</f>
        <v>#N/A</v>
      </c>
      <c r="BE25" s="44" t="str">
        <f aca="false">IF(BB25="","",LN(BB25))</f>
        <v/>
      </c>
      <c r="BG25" s="121" t="n">
        <f aca="false">IF(BG24="","",IF(EDATE(BG24,1)&gt;$C$6,"",EDATE(BG24,1)))</f>
        <v>45017</v>
      </c>
      <c r="BH25" s="44" t="n">
        <f aca="false">IF(BG25="","",IFERROR(AVERAGEIFS($AG$10:$AG$309,$AF$10:$AF$309,"&gt;="&amp;BG25,$AF$10:$AF$309,"&lt;="&amp;EOMONTH(BG25,0)),""))</f>
        <v>6.255</v>
      </c>
      <c r="BI25" s="122" t="n">
        <f aca="false">IF(BG25="","",IFERROR(INDEX(Rendimientos!$C$13:$C$412,MATCH(_xlfn.MAXIFS(Rendimientos!$B$13:$B$412,Rendimientos!$B$13:$B$412,"&lt;="&amp;EOMONTH(BG25,0),Rendimientos!$B$13:$B$412,"&gt;="&amp;BG25),Rendimientos!$B$13:$B$412,0)),IFERROR(INDEX(Rendimientos!$T$13:$T$512,MATCH(_xlfn.MAXIFS(Rendimientos!$S$13:$S$512,Rendimientos!$S$13:$S$512,"&lt;="&amp;EOMONTH(BG25,0),Rendimientos!$S$13:$S$512,"&gt;="&amp;BG25),Rendimientos!$S$13:$S$512,0)),"")))</f>
        <v>31.28</v>
      </c>
      <c r="BJ25" s="123" t="n">
        <f aca="false">IF(AND(ISNUMBER(BI25),ISNUMBER(BI24)),BI25/BI24-1,"")</f>
        <v>0.0100096867936714</v>
      </c>
      <c r="BK25" s="44" t="n">
        <f aca="false">IF(AND(ISNUMBER(BH25),ISNUMBER(BH24)),BH25-BH24,"")</f>
        <v>-0.595</v>
      </c>
      <c r="BL25" s="123" t="n">
        <f aca="false">IF(AND(ISNUMBER(BH25),ISNUMBER(BH24)),BH25/BH24-1,"")</f>
        <v>-0.0868613138686131</v>
      </c>
      <c r="BM25" s="44" t="n">
        <f aca="false">IF(AND(ISNUMBER(BH25),ISNUMBER(BI25)),1,"")</f>
        <v>1</v>
      </c>
      <c r="BN25" s="44" t="n">
        <f aca="false">IF(BM25=1,COUNT(BM25:BM$69),"")</f>
        <v>42</v>
      </c>
      <c r="BO25" s="44" t="n">
        <f aca="false">IF(BM25=1,BH25,"")</f>
        <v>6.255</v>
      </c>
      <c r="BP25" s="122" t="n">
        <f aca="false">IF(BM25=1,BI25,"")</f>
        <v>31.28</v>
      </c>
      <c r="BQ25" s="44" t="str">
        <f aca="false">IF(AND(BM25=1,BN25&lt;=12),BH25,"")</f>
        <v/>
      </c>
      <c r="BR25" s="44" t="str">
        <f aca="false">IF(AND(BM25=1,BN25&lt;=12),BI25,"")</f>
        <v/>
      </c>
      <c r="BS25" s="44" t="str">
        <f aca="false">IF(AND(BM25=1,BN25&lt;=6),BH25,"")</f>
        <v/>
      </c>
      <c r="BT25" s="44" t="str">
        <f aca="false">IF(AND(BM25=1,BN25&lt;=6),BI25,"")</f>
        <v/>
      </c>
      <c r="BU25" s="123" t="n">
        <f aca="false">IF(AND(ISNUMBER(BJ25),ISNUMBER(BK25)),BJ25,"")</f>
        <v>0.0100096867936714</v>
      </c>
      <c r="BV25" s="44" t="n">
        <f aca="false">IF(AND(ISNUMBER(BJ25),ISNUMBER(BK25)),BK25,"")</f>
        <v>-0.595</v>
      </c>
      <c r="BW25" s="123" t="n">
        <f aca="false">IF(AND(ISNUMBER(BJ25),ISNUMBER(BH25)),BJ25,"")</f>
        <v>0.0100096867936714</v>
      </c>
      <c r="BX25" s="44" t="n">
        <f aca="false">IF(AND(ISNUMBER(BJ25),ISNUMBER(BH25)),BH25,"")</f>
        <v>6.255</v>
      </c>
      <c r="BY25" s="44" t="n">
        <f aca="false">IF(BM25=1,BH25,NA())</f>
        <v>6.255</v>
      </c>
      <c r="BZ25" s="122" t="n">
        <f aca="false">IF(BM25=1,BI25,NA())</f>
        <v>31.28</v>
      </c>
      <c r="CA25" s="44" t="n">
        <f aca="false">IF(BM25=1,LN(BI25),"")</f>
        <v>3.44297891567711</v>
      </c>
      <c r="CB25" s="123" t="n">
        <f aca="false">IF(ISNUMBER(BU25),BU25,NA())</f>
        <v>0.0100096867936714</v>
      </c>
      <c r="CC25" s="44" t="n">
        <f aca="false">IF(ISNUMBER(BV25),BV25,NA())</f>
        <v>-0.595</v>
      </c>
      <c r="CD25" s="124" t="n">
        <f aca="false">IF(BG25="",NA(),BG25)</f>
        <v>45017</v>
      </c>
      <c r="CE25" s="44" t="n">
        <f aca="false">IF(ISNUMBER(BH25),BH25,NA())</f>
        <v>6.255</v>
      </c>
      <c r="CF25" s="122" t="n">
        <f aca="false">IF(ISNUMBER(BI25),BI25,NA())</f>
        <v>31.28</v>
      </c>
      <c r="CH25" s="55" t="n">
        <f aca="false">IF(ISNUMBER(CI25),IF(ISNUMBER('Base de Datos'!AG21),IF('Base de Datos'!AG21&gt;20000,INT('Base de Datos'!AG21),""),IF(TRIM('Base de Datos'!AG21)="","",IFERROR(DATE(VALUE(RIGHT(TRIM('Base de Datos'!AG21),4)),VALUE(MID(TRIM('Base de Datos'!AG21),4,2)),VALUE(LEFT(TRIM('Base de Datos'!AG21),2))),IFERROR(DATEVALUE(TRIM('Base de Datos'!AG21)),"")))),"")</f>
        <v>44789</v>
      </c>
      <c r="CI25" s="56" t="n">
        <f aca="false">IF(ISNUMBER('Base de Datos'!AH21),'Base de Datos'!AH21,IF(TRIM('Base de Datos'!AH21)="","",IFERROR(IF(IFERROR(FIND("@",SUBSTITUTE(TRIM('Base de Datos'!AH21),",","@",LEN(TRIM('Base de Datos'!AH21))-LEN(SUBSTITUTE(TRIM('Base de Datos'!AH21),",","")))),0)&gt;IFERROR(FIND("@",SUBSTITUTE(TRIM('Base de Datos'!AH21),".","@",LEN(TRIM('Base de Datos'!AH21))-LEN(SUBSTITUTE(TRIM('Base de Datos'!AH21),".","")))),0),_xlfn.NUMBERVALUE(SUBSTITUTE(SUBSTITUTE(TRIM('Base de Datos'!AH21),".",""),",","."),".",","),_xlfn.NUMBERVALUE(SUBSTITUTE(TRIM('Base de Datos'!AH21),",",""),".",",")),"")))</f>
        <v>8.77</v>
      </c>
    </row>
    <row r="26" customFormat="false" ht="13.8" hidden="false" customHeight="false" outlineLevel="0" collapsed="false">
      <c r="AE26" s="44" t="n">
        <v>17</v>
      </c>
      <c r="AF26" s="55" t="n">
        <f aca="false">IF(AF25="","",IFERROR(SMALL($CH$10:$CH$309,COUNTIF($CH$10:$CH$309,"&lt;="&amp;AF25)+1),""))</f>
        <v>44805</v>
      </c>
      <c r="AG26" s="56" t="n">
        <f aca="false">IF(AF26="","",INDEX($CI$10:$CI$309,MATCH(AF26,$CH$10:$CH$309,0)))</f>
        <v>8.76</v>
      </c>
      <c r="AH26" s="55" t="n">
        <f aca="false">IF(AF26="",NA(),AF26)</f>
        <v>44805</v>
      </c>
      <c r="AI26" s="56" t="n">
        <f aca="false">IF(AG26="",NA(),AG26)</f>
        <v>8.76</v>
      </c>
      <c r="AK26" s="44" t="n">
        <v>17</v>
      </c>
      <c r="AL26" s="56" t="n">
        <f aca="false">IF($B$5&gt;=25,INDEX($AG$10:$AG$309,$B$5-25+17),"")</f>
        <v>4.11</v>
      </c>
      <c r="AM26" s="55" t="n">
        <f aca="false">IF($B$5&gt;=25,INDEX($AF$10:$AF$309,$B$5-25+17),"")</f>
        <v>46143</v>
      </c>
      <c r="AN26" s="44" t="n">
        <f aca="false">IF(AL26="","",LN(AL26))</f>
        <v>1.41342302850814</v>
      </c>
      <c r="AU26" s="44" t="n">
        <f aca="false">IF(17&lt;=$C$8,17,"")</f>
        <v>17</v>
      </c>
      <c r="AV26" s="56" t="n">
        <f aca="false">IF(AU26="","",INDEX($AG$10:$AG$309,$B$8+17-1))</f>
        <v>4.44</v>
      </c>
      <c r="AW26" s="56" t="n">
        <f aca="false">IF(AV26="",NA(),AV26)</f>
        <v>4.44</v>
      </c>
      <c r="AX26" s="44" t="n">
        <f aca="false">IF(AV26="",NA(),AU26)</f>
        <v>17</v>
      </c>
      <c r="AY26" s="44" t="n">
        <f aca="false">IF(AV26="","",LN(AV26))</f>
        <v>1.49065437644413</v>
      </c>
      <c r="BA26" s="44" t="str">
        <f aca="false">IF(17&lt;=INT($C$8/6),17,"")</f>
        <v/>
      </c>
      <c r="BB26" s="44" t="str">
        <f aca="false">IF(BA26="","",AVERAGE(INDEX($AV$10:$AV$309,97):INDEX($AV$10:$AV$309,102)))</f>
        <v/>
      </c>
      <c r="BC26" s="44" t="e">
        <f aca="false">IF(BB26="",NA(),BB26)</f>
        <v>#N/A</v>
      </c>
      <c r="BD26" s="44" t="e">
        <f aca="false">IF(BB26="",NA(),BA26)</f>
        <v>#N/A</v>
      </c>
      <c r="BE26" s="44" t="str">
        <f aca="false">IF(BB26="","",LN(BB26))</f>
        <v/>
      </c>
      <c r="BG26" s="121" t="n">
        <f aca="false">IF(BG25="","",IF(EDATE(BG25,1)&gt;$C$6,"",EDATE(BG25,1)))</f>
        <v>45047</v>
      </c>
      <c r="BH26" s="44" t="n">
        <f aca="false">IF(BG26="","",IFERROR(AVERAGEIFS($AG$10:$AG$309,$AF$10:$AF$309,"&gt;="&amp;BG26,$AF$10:$AF$309,"&lt;="&amp;EOMONTH(BG26,0)),""))</f>
        <v>5.835</v>
      </c>
      <c r="BI26" s="122" t="n">
        <f aca="false">IF(BG26="","",IFERROR(INDEX(Rendimientos!$C$13:$C$412,MATCH(_xlfn.MAXIFS(Rendimientos!$B$13:$B$412,Rendimientos!$B$13:$B$412,"&lt;="&amp;EOMONTH(BG26,0),Rendimientos!$B$13:$B$412,"&gt;="&amp;BG26),Rendimientos!$B$13:$B$412,0)),IFERROR(INDEX(Rendimientos!$T$13:$T$512,MATCH(_xlfn.MAXIFS(Rendimientos!$S$13:$S$512,Rendimientos!$S$13:$S$512,"&lt;="&amp;EOMONTH(BG26,0),Rendimientos!$S$13:$S$512,"&gt;="&amp;BG26),Rendimientos!$S$13:$S$512,0)),"")))</f>
        <v>30.17</v>
      </c>
      <c r="BJ26" s="123" t="n">
        <f aca="false">IF(AND(ISNUMBER(BI26),ISNUMBER(BI25)),BI26/BI25-1,"")</f>
        <v>-0.0354859335038363</v>
      </c>
      <c r="BK26" s="44" t="n">
        <f aca="false">IF(AND(ISNUMBER(BH26),ISNUMBER(BH25)),BH26-BH25,"")</f>
        <v>-0.42</v>
      </c>
      <c r="BL26" s="123" t="n">
        <f aca="false">IF(AND(ISNUMBER(BH26),ISNUMBER(BH25)),BH26/BH25-1,"")</f>
        <v>-0.0671462829736211</v>
      </c>
      <c r="BM26" s="44" t="n">
        <f aca="false">IF(AND(ISNUMBER(BH26),ISNUMBER(BI26)),1,"")</f>
        <v>1</v>
      </c>
      <c r="BN26" s="44" t="n">
        <f aca="false">IF(BM26=1,COUNT(BM26:BM$69),"")</f>
        <v>41</v>
      </c>
      <c r="BO26" s="44" t="n">
        <f aca="false">IF(BM26=1,BH26,"")</f>
        <v>5.835</v>
      </c>
      <c r="BP26" s="122" t="n">
        <f aca="false">IF(BM26=1,BI26,"")</f>
        <v>30.17</v>
      </c>
      <c r="BQ26" s="44" t="str">
        <f aca="false">IF(AND(BM26=1,BN26&lt;=12),BH26,"")</f>
        <v/>
      </c>
      <c r="BR26" s="44" t="str">
        <f aca="false">IF(AND(BM26=1,BN26&lt;=12),BI26,"")</f>
        <v/>
      </c>
      <c r="BS26" s="44" t="str">
        <f aca="false">IF(AND(BM26=1,BN26&lt;=6),BH26,"")</f>
        <v/>
      </c>
      <c r="BT26" s="44" t="str">
        <f aca="false">IF(AND(BM26=1,BN26&lt;=6),BI26,"")</f>
        <v/>
      </c>
      <c r="BU26" s="123" t="n">
        <f aca="false">IF(AND(ISNUMBER(BJ26),ISNUMBER(BK26)),BJ26,"")</f>
        <v>-0.0354859335038363</v>
      </c>
      <c r="BV26" s="44" t="n">
        <f aca="false">IF(AND(ISNUMBER(BJ26),ISNUMBER(BK26)),BK26,"")</f>
        <v>-0.42</v>
      </c>
      <c r="BW26" s="123" t="n">
        <f aca="false">IF(AND(ISNUMBER(BJ26),ISNUMBER(BH26)),BJ26,"")</f>
        <v>-0.0354859335038363</v>
      </c>
      <c r="BX26" s="44" t="n">
        <f aca="false">IF(AND(ISNUMBER(BJ26),ISNUMBER(BH26)),BH26,"")</f>
        <v>5.835</v>
      </c>
      <c r="BY26" s="44" t="n">
        <f aca="false">IF(BM26=1,BH26,NA())</f>
        <v>5.835</v>
      </c>
      <c r="BZ26" s="122" t="n">
        <f aca="false">IF(BM26=1,BI26,NA())</f>
        <v>30.17</v>
      </c>
      <c r="CA26" s="44" t="n">
        <f aca="false">IF(BM26=1,LN(BI26),"")</f>
        <v>3.40684805317097</v>
      </c>
      <c r="CB26" s="123" t="n">
        <f aca="false">IF(ISNUMBER(BU26),BU26,NA())</f>
        <v>-0.0354859335038363</v>
      </c>
      <c r="CC26" s="44" t="n">
        <f aca="false">IF(ISNUMBER(BV26),BV26,NA())</f>
        <v>-0.42</v>
      </c>
      <c r="CD26" s="124" t="n">
        <f aca="false">IF(BG26="",NA(),BG26)</f>
        <v>45047</v>
      </c>
      <c r="CE26" s="44" t="n">
        <f aca="false">IF(ISNUMBER(BH26),BH26,NA())</f>
        <v>5.835</v>
      </c>
      <c r="CF26" s="122" t="n">
        <f aca="false">IF(ISNUMBER(BI26),BI26,NA())</f>
        <v>30.17</v>
      </c>
      <c r="CH26" s="55" t="n">
        <f aca="false">IF(ISNUMBER(CI26),IF(ISNUMBER('Base de Datos'!AG22),IF('Base de Datos'!AG22&gt;20000,INT('Base de Datos'!AG22),""),IF(TRIM('Base de Datos'!AG22)="","",IFERROR(DATE(VALUE(RIGHT(TRIM('Base de Datos'!AG22),4)),VALUE(MID(TRIM('Base de Datos'!AG22),4,2)),VALUE(LEFT(TRIM('Base de Datos'!AG22),2))),IFERROR(DATEVALUE(TRIM('Base de Datos'!AG22)),"")))),"")</f>
        <v>44805</v>
      </c>
      <c r="CI26" s="56" t="n">
        <f aca="false">IF(ISNUMBER('Base de Datos'!AH22),'Base de Datos'!AH22,IF(TRIM('Base de Datos'!AH22)="","",IFERROR(IF(IFERROR(FIND("@",SUBSTITUTE(TRIM('Base de Datos'!AH22),",","@",LEN(TRIM('Base de Datos'!AH22))-LEN(SUBSTITUTE(TRIM('Base de Datos'!AH22),",","")))),0)&gt;IFERROR(FIND("@",SUBSTITUTE(TRIM('Base de Datos'!AH22),".","@",LEN(TRIM('Base de Datos'!AH22))-LEN(SUBSTITUTE(TRIM('Base de Datos'!AH22),".","")))),0),_xlfn.NUMBERVALUE(SUBSTITUTE(SUBSTITUTE(TRIM('Base de Datos'!AH22),".",""),",","."),".",","),_xlfn.NUMBERVALUE(SUBSTITUTE(TRIM('Base de Datos'!AH22),",",""),".",",")),"")))</f>
        <v>8.76</v>
      </c>
    </row>
    <row r="27" customFormat="false" ht="13.8" hidden="false" customHeight="false" outlineLevel="0" collapsed="false">
      <c r="A27" s="49" t="s">
        <v>1630</v>
      </c>
      <c r="AE27" s="44" t="n">
        <v>18</v>
      </c>
      <c r="AF27" s="55" t="n">
        <f aca="false">IF(AF26="","",IFERROR(SMALL($CH$10:$CH$309,COUNTIF($CH$10:$CH$309,"&lt;="&amp;AF26)+1),""))</f>
        <v>44820</v>
      </c>
      <c r="AG27" s="56" t="n">
        <f aca="false">IF(AF27="","",INDEX($CI$10:$CI$309,MATCH(AF27,$CH$10:$CH$309,0)))</f>
        <v>8.64</v>
      </c>
      <c r="AH27" s="55" t="n">
        <f aca="false">IF(AF27="",NA(),AF27)</f>
        <v>44820</v>
      </c>
      <c r="AI27" s="56" t="n">
        <f aca="false">IF(AG27="",NA(),AG27)</f>
        <v>8.64</v>
      </c>
      <c r="AK27" s="44" t="n">
        <v>18</v>
      </c>
      <c r="AL27" s="56" t="n">
        <f aca="false">IF($B$5&gt;=25,INDEX($AG$10:$AG$309,$B$5-25+18),"")</f>
        <v>3.77</v>
      </c>
      <c r="AM27" s="55" t="n">
        <f aca="false">IF($B$5&gt;=25,INDEX($AF$10:$AF$309,$B$5-25+18),"")</f>
        <v>46158</v>
      </c>
      <c r="AN27" s="44" t="n">
        <f aca="false">IF(AL27="","",LN(AL27))</f>
        <v>1.32707500145992</v>
      </c>
      <c r="AU27" s="44" t="n">
        <f aca="false">IF(18&lt;=$C$8,18,"")</f>
        <v>18</v>
      </c>
      <c r="AV27" s="56" t="n">
        <f aca="false">IF(AU27="","",INDEX($AG$10:$AG$309,$B$8+18-1))</f>
        <v>4.47</v>
      </c>
      <c r="AW27" s="56" t="n">
        <f aca="false">IF(AV27="",NA(),AV27)</f>
        <v>4.47</v>
      </c>
      <c r="AX27" s="44" t="n">
        <f aca="false">IF(AV27="",NA(),AU27)</f>
        <v>18</v>
      </c>
      <c r="AY27" s="44" t="n">
        <f aca="false">IF(AV27="","",LN(AV27))</f>
        <v>1.49738840862548</v>
      </c>
      <c r="BA27" s="44" t="str">
        <f aca="false">IF(18&lt;=INT($C$8/6),18,"")</f>
        <v/>
      </c>
      <c r="BB27" s="44" t="str">
        <f aca="false">IF(BA27="","",AVERAGE(INDEX($AV$10:$AV$309,103):INDEX($AV$10:$AV$309,108)))</f>
        <v/>
      </c>
      <c r="BC27" s="44" t="e">
        <f aca="false">IF(BB27="",NA(),BB27)</f>
        <v>#N/A</v>
      </c>
      <c r="BD27" s="44" t="e">
        <f aca="false">IF(BB27="",NA(),BA27)</f>
        <v>#N/A</v>
      </c>
      <c r="BE27" s="44" t="str">
        <f aca="false">IF(BB27="","",LN(BB27))</f>
        <v/>
      </c>
      <c r="BG27" s="121" t="n">
        <f aca="false">IF(BG26="","",IF(EDATE(BG26,1)&gt;$C$6,"",EDATE(BG26,1)))</f>
        <v>45078</v>
      </c>
      <c r="BH27" s="44" t="n">
        <f aca="false">IF(BG27="","",IFERROR(AVERAGEIFS($AG$10:$AG$309,$AF$10:$AF$309,"&gt;="&amp;BG27,$AF$10:$AF$309,"&lt;="&amp;EOMONTH(BG27,0)),""))</f>
        <v>5.055</v>
      </c>
      <c r="BI27" s="122" t="n">
        <f aca="false">IF(BG27="","",IFERROR(INDEX(Rendimientos!$C$13:$C$412,MATCH(_xlfn.MAXIFS(Rendimientos!$B$13:$B$412,Rendimientos!$B$13:$B$412,"&lt;="&amp;EOMONTH(BG27,0),Rendimientos!$B$13:$B$412,"&gt;="&amp;BG27),Rendimientos!$B$13:$B$412,0)),IFERROR(INDEX(Rendimientos!$T$13:$T$512,MATCH(_xlfn.MAXIFS(Rendimientos!$S$13:$S$512,Rendimientos!$S$13:$S$512,"&lt;="&amp;EOMONTH(BG27,0),Rendimientos!$S$13:$S$512,"&gt;="&amp;BG27),Rendimientos!$S$13:$S$512,0)),"")))</f>
        <v>28.49</v>
      </c>
      <c r="BJ27" s="123" t="n">
        <f aca="false">IF(AND(ISNUMBER(BI27),ISNUMBER(BI26)),BI27/BI26-1,"")</f>
        <v>-0.0556844547563806</v>
      </c>
      <c r="BK27" s="44" t="n">
        <f aca="false">IF(AND(ISNUMBER(BH27),ISNUMBER(BH26)),BH27-BH26,"")</f>
        <v>-0.78</v>
      </c>
      <c r="BL27" s="123" t="n">
        <f aca="false">IF(AND(ISNUMBER(BH27),ISNUMBER(BH26)),BH27/BH26-1,"")</f>
        <v>-0.133676092544987</v>
      </c>
      <c r="BM27" s="44" t="n">
        <f aca="false">IF(AND(ISNUMBER(BH27),ISNUMBER(BI27)),1,"")</f>
        <v>1</v>
      </c>
      <c r="BN27" s="44" t="n">
        <f aca="false">IF(BM27=1,COUNT(BM27:BM$69),"")</f>
        <v>40</v>
      </c>
      <c r="BO27" s="44" t="n">
        <f aca="false">IF(BM27=1,BH27,"")</f>
        <v>5.055</v>
      </c>
      <c r="BP27" s="122" t="n">
        <f aca="false">IF(BM27=1,BI27,"")</f>
        <v>28.49</v>
      </c>
      <c r="BQ27" s="44" t="str">
        <f aca="false">IF(AND(BM27=1,BN27&lt;=12),BH27,"")</f>
        <v/>
      </c>
      <c r="BR27" s="44" t="str">
        <f aca="false">IF(AND(BM27=1,BN27&lt;=12),BI27,"")</f>
        <v/>
      </c>
      <c r="BS27" s="44" t="str">
        <f aca="false">IF(AND(BM27=1,BN27&lt;=6),BH27,"")</f>
        <v/>
      </c>
      <c r="BT27" s="44" t="str">
        <f aca="false">IF(AND(BM27=1,BN27&lt;=6),BI27,"")</f>
        <v/>
      </c>
      <c r="BU27" s="123" t="n">
        <f aca="false">IF(AND(ISNUMBER(BJ27),ISNUMBER(BK27)),BJ27,"")</f>
        <v>-0.0556844547563806</v>
      </c>
      <c r="BV27" s="44" t="n">
        <f aca="false">IF(AND(ISNUMBER(BJ27),ISNUMBER(BK27)),BK27,"")</f>
        <v>-0.78</v>
      </c>
      <c r="BW27" s="123" t="n">
        <f aca="false">IF(AND(ISNUMBER(BJ27),ISNUMBER(BH27)),BJ27,"")</f>
        <v>-0.0556844547563806</v>
      </c>
      <c r="BX27" s="44" t="n">
        <f aca="false">IF(AND(ISNUMBER(BJ27),ISNUMBER(BH27)),BH27,"")</f>
        <v>5.055</v>
      </c>
      <c r="BY27" s="44" t="n">
        <f aca="false">IF(BM27=1,BH27,NA())</f>
        <v>5.055</v>
      </c>
      <c r="BZ27" s="122" t="n">
        <f aca="false">IF(BM27=1,BI27,NA())</f>
        <v>28.49</v>
      </c>
      <c r="CA27" s="44" t="n">
        <f aca="false">IF(BM27=1,LN(BI27),"")</f>
        <v>3.34955314850982</v>
      </c>
      <c r="CB27" s="123" t="n">
        <f aca="false">IF(ISNUMBER(BU27),BU27,NA())</f>
        <v>-0.0556844547563806</v>
      </c>
      <c r="CC27" s="44" t="n">
        <f aca="false">IF(ISNUMBER(BV27),BV27,NA())</f>
        <v>-0.78</v>
      </c>
      <c r="CD27" s="124" t="n">
        <f aca="false">IF(BG27="",NA(),BG27)</f>
        <v>45078</v>
      </c>
      <c r="CE27" s="44" t="n">
        <f aca="false">IF(ISNUMBER(BH27),BH27,NA())</f>
        <v>5.055</v>
      </c>
      <c r="CF27" s="122" t="n">
        <f aca="false">IF(ISNUMBER(BI27),BI27,NA())</f>
        <v>28.49</v>
      </c>
      <c r="CH27" s="55" t="n">
        <f aca="false">IF(ISNUMBER(CI27),IF(ISNUMBER('Base de Datos'!AG23),IF('Base de Datos'!AG23&gt;20000,INT('Base de Datos'!AG23),""),IF(TRIM('Base de Datos'!AG23)="","",IFERROR(DATE(VALUE(RIGHT(TRIM('Base de Datos'!AG23),4)),VALUE(MID(TRIM('Base de Datos'!AG23),4,2)),VALUE(LEFT(TRIM('Base de Datos'!AG23),2))),IFERROR(DATEVALUE(TRIM('Base de Datos'!AG23)),"")))),"")</f>
        <v>44820</v>
      </c>
      <c r="CI27" s="56" t="n">
        <f aca="false">IF(ISNUMBER('Base de Datos'!AH23),'Base de Datos'!AH23,IF(TRIM('Base de Datos'!AH23)="","",IFERROR(IF(IFERROR(FIND("@",SUBSTITUTE(TRIM('Base de Datos'!AH23),",","@",LEN(TRIM('Base de Datos'!AH23))-LEN(SUBSTITUTE(TRIM('Base de Datos'!AH23),",","")))),0)&gt;IFERROR(FIND("@",SUBSTITUTE(TRIM('Base de Datos'!AH23),".","@",LEN(TRIM('Base de Datos'!AH23))-LEN(SUBSTITUTE(TRIM('Base de Datos'!AH23),".","")))),0),_xlfn.NUMBERVALUE(SUBSTITUTE(SUBSTITUTE(TRIM('Base de Datos'!AH23),".",""),",","."),".",","),_xlfn.NUMBERVALUE(SUBSTITUTE(TRIM('Base de Datos'!AH23),",",""),".",",")),"")))</f>
        <v>8.64</v>
      </c>
    </row>
    <row r="28" customFormat="false" ht="13.8" hidden="false" customHeight="false" outlineLevel="0" collapsed="false">
      <c r="A28" s="117" t="s">
        <v>1631</v>
      </c>
      <c r="B28" s="117" t="n">
        <f aca="false">COUNT(BP10:BP69)</f>
        <v>57</v>
      </c>
      <c r="AE28" s="44" t="n">
        <v>19</v>
      </c>
      <c r="AF28" s="55" t="n">
        <f aca="false">IF(AF27="","",IFERROR(SMALL($CH$10:$CH$309,COUNTIF($CH$10:$CH$309,"&lt;="&amp;AF27)+1),""))</f>
        <v>44835</v>
      </c>
      <c r="AG28" s="56" t="n">
        <f aca="false">IF(AF28="","",INDEX($CI$10:$CI$309,MATCH(AF28,$CH$10:$CH$309,0)))</f>
        <v>8.53</v>
      </c>
      <c r="AH28" s="55" t="n">
        <f aca="false">IF(AF28="",NA(),AF28)</f>
        <v>44835</v>
      </c>
      <c r="AI28" s="56" t="n">
        <f aca="false">IF(AG28="",NA(),AG28)</f>
        <v>8.53</v>
      </c>
      <c r="AK28" s="44" t="n">
        <v>19</v>
      </c>
      <c r="AL28" s="56" t="n">
        <f aca="false">IF($B$5&gt;=25,INDEX($AG$10:$AG$309,$B$5-25+19),"")</f>
        <v>3.55</v>
      </c>
      <c r="AM28" s="55" t="n">
        <f aca="false">IF($B$5&gt;=25,INDEX($AF$10:$AF$309,$B$5-25+19),"")</f>
        <v>46174</v>
      </c>
      <c r="AN28" s="44" t="n">
        <f aca="false">IF(AL28="","",LN(AL28))</f>
        <v>1.26694760348732</v>
      </c>
      <c r="AU28" s="44" t="n">
        <f aca="false">IF(19&lt;=$C$8,19,"")</f>
        <v>19</v>
      </c>
      <c r="AV28" s="56" t="n">
        <f aca="false">IF(AU28="","",INDEX($AG$10:$AG$309,$B$8+19-1))</f>
        <v>4.27</v>
      </c>
      <c r="AW28" s="56" t="n">
        <f aca="false">IF(AV28="",NA(),AV28)</f>
        <v>4.27</v>
      </c>
      <c r="AX28" s="44" t="n">
        <f aca="false">IF(AV28="",NA(),AU28)</f>
        <v>19</v>
      </c>
      <c r="AY28" s="44" t="n">
        <f aca="false">IF(AV28="","",LN(AV28))</f>
        <v>1.45161382724053</v>
      </c>
      <c r="BA28" s="44" t="str">
        <f aca="false">IF(19&lt;=INT($C$8/6),19,"")</f>
        <v/>
      </c>
      <c r="BB28" s="44" t="str">
        <f aca="false">IF(BA28="","",AVERAGE(INDEX($AV$10:$AV$309,109):INDEX($AV$10:$AV$309,114)))</f>
        <v/>
      </c>
      <c r="BC28" s="44" t="e">
        <f aca="false">IF(BB28="",NA(),BB28)</f>
        <v>#N/A</v>
      </c>
      <c r="BD28" s="44" t="e">
        <f aca="false">IF(BB28="",NA(),BA28)</f>
        <v>#N/A</v>
      </c>
      <c r="BE28" s="44" t="str">
        <f aca="false">IF(BB28="","",LN(BB28))</f>
        <v/>
      </c>
      <c r="BG28" s="121" t="n">
        <f aca="false">IF(BG27="","",IF(EDATE(BG27,1)&gt;$C$6,"",EDATE(BG27,1)))</f>
        <v>45108</v>
      </c>
      <c r="BH28" s="44" t="n">
        <f aca="false">IF(BG28="","",IFERROR(AVERAGEIFS($AG$10:$AG$309,$AF$10:$AF$309,"&gt;="&amp;BG28,$AF$10:$AF$309,"&lt;="&amp;EOMONTH(BG28,0)),""))</f>
        <v>4.785</v>
      </c>
      <c r="BI28" s="122" t="n">
        <f aca="false">IF(BG28="","",IFERROR(INDEX(Rendimientos!$C$13:$C$412,MATCH(_xlfn.MAXIFS(Rendimientos!$B$13:$B$412,Rendimientos!$B$13:$B$412,"&lt;="&amp;EOMONTH(BG28,0),Rendimientos!$B$13:$B$412,"&gt;="&amp;BG28),Rendimientos!$B$13:$B$412,0)),IFERROR(INDEX(Rendimientos!$T$13:$T$512,MATCH(_xlfn.MAXIFS(Rendimientos!$S$13:$S$512,Rendimientos!$S$13:$S$512,"&lt;="&amp;EOMONTH(BG28,0),Rendimientos!$S$13:$S$512,"&gt;="&amp;BG28),Rendimientos!$S$13:$S$512,0)),"")))</f>
        <v>26.99</v>
      </c>
      <c r="BJ28" s="123" t="n">
        <f aca="false">IF(AND(ISNUMBER(BI28),ISNUMBER(BI27)),BI28/BI27-1,"")</f>
        <v>-0.0526500526500526</v>
      </c>
      <c r="BK28" s="44" t="n">
        <f aca="false">IF(AND(ISNUMBER(BH28),ISNUMBER(BH27)),BH28-BH27,"")</f>
        <v>-0.27</v>
      </c>
      <c r="BL28" s="123" t="n">
        <f aca="false">IF(AND(ISNUMBER(BH28),ISNUMBER(BH27)),BH28/BH27-1,"")</f>
        <v>-0.0534124629080118</v>
      </c>
      <c r="BM28" s="44" t="n">
        <f aca="false">IF(AND(ISNUMBER(BH28),ISNUMBER(BI28)),1,"")</f>
        <v>1</v>
      </c>
      <c r="BN28" s="44" t="n">
        <f aca="false">IF(BM28=1,COUNT(BM28:BM$69),"")</f>
        <v>39</v>
      </c>
      <c r="BO28" s="44" t="n">
        <f aca="false">IF(BM28=1,BH28,"")</f>
        <v>4.785</v>
      </c>
      <c r="BP28" s="122" t="n">
        <f aca="false">IF(BM28=1,BI28,"")</f>
        <v>26.99</v>
      </c>
      <c r="BQ28" s="44" t="str">
        <f aca="false">IF(AND(BM28=1,BN28&lt;=12),BH28,"")</f>
        <v/>
      </c>
      <c r="BR28" s="44" t="str">
        <f aca="false">IF(AND(BM28=1,BN28&lt;=12),BI28,"")</f>
        <v/>
      </c>
      <c r="BS28" s="44" t="str">
        <f aca="false">IF(AND(BM28=1,BN28&lt;=6),BH28,"")</f>
        <v/>
      </c>
      <c r="BT28" s="44" t="str">
        <f aca="false">IF(AND(BM28=1,BN28&lt;=6),BI28,"")</f>
        <v/>
      </c>
      <c r="BU28" s="123" t="n">
        <f aca="false">IF(AND(ISNUMBER(BJ28),ISNUMBER(BK28)),BJ28,"")</f>
        <v>-0.0526500526500526</v>
      </c>
      <c r="BV28" s="44" t="n">
        <f aca="false">IF(AND(ISNUMBER(BJ28),ISNUMBER(BK28)),BK28,"")</f>
        <v>-0.27</v>
      </c>
      <c r="BW28" s="123" t="n">
        <f aca="false">IF(AND(ISNUMBER(BJ28),ISNUMBER(BH28)),BJ28,"")</f>
        <v>-0.0526500526500526</v>
      </c>
      <c r="BX28" s="44" t="n">
        <f aca="false">IF(AND(ISNUMBER(BJ28),ISNUMBER(BH28)),BH28,"")</f>
        <v>4.785</v>
      </c>
      <c r="BY28" s="44" t="n">
        <f aca="false">IF(BM28=1,BH28,NA())</f>
        <v>4.785</v>
      </c>
      <c r="BZ28" s="122" t="n">
        <f aca="false">IF(BM28=1,BI28,NA())</f>
        <v>26.99</v>
      </c>
      <c r="CA28" s="44" t="n">
        <f aca="false">IF(BM28=1,LN(BI28),"")</f>
        <v>3.29546642702991</v>
      </c>
      <c r="CB28" s="123" t="n">
        <f aca="false">IF(ISNUMBER(BU28),BU28,NA())</f>
        <v>-0.0526500526500526</v>
      </c>
      <c r="CC28" s="44" t="n">
        <f aca="false">IF(ISNUMBER(BV28),BV28,NA())</f>
        <v>-0.27</v>
      </c>
      <c r="CD28" s="124" t="n">
        <f aca="false">IF(BG28="",NA(),BG28)</f>
        <v>45108</v>
      </c>
      <c r="CE28" s="44" t="n">
        <f aca="false">IF(ISNUMBER(BH28),BH28,NA())</f>
        <v>4.785</v>
      </c>
      <c r="CF28" s="122" t="n">
        <f aca="false">IF(ISNUMBER(BI28),BI28,NA())</f>
        <v>26.99</v>
      </c>
      <c r="CH28" s="55" t="n">
        <f aca="false">IF(ISNUMBER(CI28),IF(ISNUMBER('Base de Datos'!AG24),IF('Base de Datos'!AG24&gt;20000,INT('Base de Datos'!AG24),""),IF(TRIM('Base de Datos'!AG24)="","",IFERROR(DATE(VALUE(RIGHT(TRIM('Base de Datos'!AG24),4)),VALUE(MID(TRIM('Base de Datos'!AG24),4,2)),VALUE(LEFT(TRIM('Base de Datos'!AG24),2))),IFERROR(DATEVALUE(TRIM('Base de Datos'!AG24)),"")))),"")</f>
        <v>44835</v>
      </c>
      <c r="CI28" s="56" t="n">
        <f aca="false">IF(ISNUMBER('Base de Datos'!AH24),'Base de Datos'!AH24,IF(TRIM('Base de Datos'!AH24)="","",IFERROR(IF(IFERROR(FIND("@",SUBSTITUTE(TRIM('Base de Datos'!AH24),",","@",LEN(TRIM('Base de Datos'!AH24))-LEN(SUBSTITUTE(TRIM('Base de Datos'!AH24),",","")))),0)&gt;IFERROR(FIND("@",SUBSTITUTE(TRIM('Base de Datos'!AH24),".","@",LEN(TRIM('Base de Datos'!AH24))-LEN(SUBSTITUTE(TRIM('Base de Datos'!AH24),".","")))),0),_xlfn.NUMBERVALUE(SUBSTITUTE(SUBSTITUTE(TRIM('Base de Datos'!AH24),".",""),",","."),".",","),_xlfn.NUMBERVALUE(SUBSTITUTE(TRIM('Base de Datos'!AH24),",",""),".",",")),"")))</f>
        <v>8.53</v>
      </c>
    </row>
    <row r="29" customFormat="false" ht="13.8" hidden="false" customHeight="false" outlineLevel="0" collapsed="false">
      <c r="A29" s="50" t="s">
        <v>1632</v>
      </c>
      <c r="B29" s="129" t="s">
        <v>1633</v>
      </c>
      <c r="C29" s="129" t="s">
        <v>1535</v>
      </c>
      <c r="AE29" s="44" t="n">
        <v>20</v>
      </c>
      <c r="AF29" s="55" t="n">
        <f aca="false">IF(AF28="","",IFERROR(SMALL($CH$10:$CH$309,COUNTIF($CH$10:$CH$309,"&lt;="&amp;AF28)+1),""))</f>
        <v>44850</v>
      </c>
      <c r="AG29" s="56" t="n">
        <f aca="false">IF(AF29="","",INDEX($CI$10:$CI$309,MATCH(AF29,$CH$10:$CH$309,0)))</f>
        <v>8.28</v>
      </c>
      <c r="AH29" s="55" t="n">
        <f aca="false">IF(AF29="",NA(),AF29)</f>
        <v>44850</v>
      </c>
      <c r="AI29" s="56" t="n">
        <f aca="false">IF(AG29="",NA(),AG29)</f>
        <v>8.28</v>
      </c>
      <c r="AK29" s="44" t="n">
        <v>20</v>
      </c>
      <c r="AL29" s="56" t="n">
        <f aca="false">IF($B$5&gt;=25,INDEX($AG$10:$AG$309,$B$5-25+20),"")</f>
        <v>3.18</v>
      </c>
      <c r="AM29" s="55" t="n">
        <f aca="false">IF($B$5&gt;=25,INDEX($AF$10:$AF$309,$B$5-25+20),"")</f>
        <v>46189</v>
      </c>
      <c r="AN29" s="44" t="n">
        <f aca="false">IF(AL29="","",LN(AL29))</f>
        <v>1.15688119679209</v>
      </c>
      <c r="AU29" s="44" t="n">
        <f aca="false">IF(20&lt;=$C$8,20,"")</f>
        <v>20</v>
      </c>
      <c r="AV29" s="56" t="n">
        <f aca="false">IF(AU29="","",INDEX($AG$10:$AG$309,$B$8+20-1))</f>
        <v>4.25</v>
      </c>
      <c r="AW29" s="56" t="n">
        <f aca="false">IF(AV29="",NA(),AV29)</f>
        <v>4.25</v>
      </c>
      <c r="AX29" s="44" t="n">
        <f aca="false">IF(AV29="",NA(),AU29)</f>
        <v>20</v>
      </c>
      <c r="AY29" s="44" t="n">
        <f aca="false">IF(AV29="","",LN(AV29))</f>
        <v>1.44691898293633</v>
      </c>
      <c r="BA29" s="44" t="str">
        <f aca="false">IF(20&lt;=INT($C$8/6),20,"")</f>
        <v/>
      </c>
      <c r="BB29" s="44" t="str">
        <f aca="false">IF(BA29="","",AVERAGE(INDEX($AV$10:$AV$309,115):INDEX($AV$10:$AV$309,120)))</f>
        <v/>
      </c>
      <c r="BC29" s="44" t="e">
        <f aca="false">IF(BB29="",NA(),BB29)</f>
        <v>#N/A</v>
      </c>
      <c r="BD29" s="44" t="e">
        <f aca="false">IF(BB29="",NA(),BA29)</f>
        <v>#N/A</v>
      </c>
      <c r="BE29" s="44" t="str">
        <f aca="false">IF(BB29="","",LN(BB29))</f>
        <v/>
      </c>
      <c r="BG29" s="121" t="n">
        <f aca="false">IF(BG28="","",IF(EDATE(BG28,1)&gt;$C$6,"",EDATE(BG28,1)))</f>
        <v>45139</v>
      </c>
      <c r="BH29" s="44" t="n">
        <f aca="false">IF(BG29="","",IFERROR(AVERAGEIFS($AG$10:$AG$309,$AF$10:$AF$309,"&gt;="&amp;BG29,$AF$10:$AF$309,"&lt;="&amp;EOMONTH(BG29,0)),""))</f>
        <v>4.635</v>
      </c>
      <c r="BI29" s="122" t="n">
        <f aca="false">IF(BG29="","",IFERROR(INDEX(Rendimientos!$C$13:$C$412,MATCH(_xlfn.MAXIFS(Rendimientos!$B$13:$B$412,Rendimientos!$B$13:$B$412,"&lt;="&amp;EOMONTH(BG29,0),Rendimientos!$B$13:$B$412,"&gt;="&amp;BG29),Rendimientos!$B$13:$B$412,0)),IFERROR(INDEX(Rendimientos!$T$13:$T$512,MATCH(_xlfn.MAXIFS(Rendimientos!$S$13:$S$512,Rendimientos!$S$13:$S$512,"&lt;="&amp;EOMONTH(BG29,0),Rendimientos!$S$13:$S$512,"&gt;="&amp;BG29),Rendimientos!$S$13:$S$512,0)),"")))</f>
        <v>29.07</v>
      </c>
      <c r="BJ29" s="123" t="n">
        <f aca="false">IF(AND(ISNUMBER(BI29),ISNUMBER(BI28)),BI29/BI28-1,"")</f>
        <v>0.0770655798443869</v>
      </c>
      <c r="BK29" s="44" t="n">
        <f aca="false">IF(AND(ISNUMBER(BH29),ISNUMBER(BH28)),BH29-BH28,"")</f>
        <v>-0.15</v>
      </c>
      <c r="BL29" s="123" t="n">
        <f aca="false">IF(AND(ISNUMBER(BH29),ISNUMBER(BH28)),BH29/BH28-1,"")</f>
        <v>-0.0313479623824452</v>
      </c>
      <c r="BM29" s="44" t="n">
        <f aca="false">IF(AND(ISNUMBER(BH29),ISNUMBER(BI29)),1,"")</f>
        <v>1</v>
      </c>
      <c r="BN29" s="44" t="n">
        <f aca="false">IF(BM29=1,COUNT(BM29:BM$69),"")</f>
        <v>38</v>
      </c>
      <c r="BO29" s="44" t="n">
        <f aca="false">IF(BM29=1,BH29,"")</f>
        <v>4.635</v>
      </c>
      <c r="BP29" s="122" t="n">
        <f aca="false">IF(BM29=1,BI29,"")</f>
        <v>29.07</v>
      </c>
      <c r="BQ29" s="44" t="str">
        <f aca="false">IF(AND(BM29=1,BN29&lt;=12),BH29,"")</f>
        <v/>
      </c>
      <c r="BR29" s="44" t="str">
        <f aca="false">IF(AND(BM29=1,BN29&lt;=12),BI29,"")</f>
        <v/>
      </c>
      <c r="BS29" s="44" t="str">
        <f aca="false">IF(AND(BM29=1,BN29&lt;=6),BH29,"")</f>
        <v/>
      </c>
      <c r="BT29" s="44" t="str">
        <f aca="false">IF(AND(BM29=1,BN29&lt;=6),BI29,"")</f>
        <v/>
      </c>
      <c r="BU29" s="123" t="n">
        <f aca="false">IF(AND(ISNUMBER(BJ29),ISNUMBER(BK29)),BJ29,"")</f>
        <v>0.0770655798443869</v>
      </c>
      <c r="BV29" s="44" t="n">
        <f aca="false">IF(AND(ISNUMBER(BJ29),ISNUMBER(BK29)),BK29,"")</f>
        <v>-0.15</v>
      </c>
      <c r="BW29" s="123" t="n">
        <f aca="false">IF(AND(ISNUMBER(BJ29),ISNUMBER(BH29)),BJ29,"")</f>
        <v>0.0770655798443869</v>
      </c>
      <c r="BX29" s="44" t="n">
        <f aca="false">IF(AND(ISNUMBER(BJ29),ISNUMBER(BH29)),BH29,"")</f>
        <v>4.635</v>
      </c>
      <c r="BY29" s="44" t="n">
        <f aca="false">IF(BM29=1,BH29,NA())</f>
        <v>4.635</v>
      </c>
      <c r="BZ29" s="122" t="n">
        <f aca="false">IF(BM29=1,BI29,NA())</f>
        <v>29.07</v>
      </c>
      <c r="CA29" s="44" t="n">
        <f aca="false">IF(BM29=1,LN(BI29),"")</f>
        <v>3.36970671457078</v>
      </c>
      <c r="CB29" s="123" t="n">
        <f aca="false">IF(ISNUMBER(BU29),BU29,NA())</f>
        <v>0.0770655798443869</v>
      </c>
      <c r="CC29" s="44" t="n">
        <f aca="false">IF(ISNUMBER(BV29),BV29,NA())</f>
        <v>-0.15</v>
      </c>
      <c r="CD29" s="124" t="n">
        <f aca="false">IF(BG29="",NA(),BG29)</f>
        <v>45139</v>
      </c>
      <c r="CE29" s="44" t="n">
        <f aca="false">IF(ISNUMBER(BH29),BH29,NA())</f>
        <v>4.635</v>
      </c>
      <c r="CF29" s="122" t="n">
        <f aca="false">IF(ISNUMBER(BI29),BI29,NA())</f>
        <v>29.07</v>
      </c>
      <c r="CH29" s="55" t="n">
        <f aca="false">IF(ISNUMBER(CI29),IF(ISNUMBER('Base de Datos'!AG25),IF('Base de Datos'!AG25&gt;20000,INT('Base de Datos'!AG25),""),IF(TRIM('Base de Datos'!AG25)="","",IFERROR(DATE(VALUE(RIGHT(TRIM('Base de Datos'!AG25),4)),VALUE(MID(TRIM('Base de Datos'!AG25),4,2)),VALUE(LEFT(TRIM('Base de Datos'!AG25),2))),IFERROR(DATEVALUE(TRIM('Base de Datos'!AG25)),"")))),"")</f>
        <v>44850</v>
      </c>
      <c r="CI29" s="56" t="n">
        <f aca="false">IF(ISNUMBER('Base de Datos'!AH25),'Base de Datos'!AH25,IF(TRIM('Base de Datos'!AH25)="","",IFERROR(IF(IFERROR(FIND("@",SUBSTITUTE(TRIM('Base de Datos'!AH25),",","@",LEN(TRIM('Base de Datos'!AH25))-LEN(SUBSTITUTE(TRIM('Base de Datos'!AH25),",","")))),0)&gt;IFERROR(FIND("@",SUBSTITUTE(TRIM('Base de Datos'!AH25),".","@",LEN(TRIM('Base de Datos'!AH25))-LEN(SUBSTITUTE(TRIM('Base de Datos'!AH25),".","")))),0),_xlfn.NUMBERVALUE(SUBSTITUTE(SUBSTITUTE(TRIM('Base de Datos'!AH25),".",""),",","."),".",","),_xlfn.NUMBERVALUE(SUBSTITUTE(TRIM('Base de Datos'!AH25),",",""),".",",")),"")))</f>
        <v>8.28</v>
      </c>
    </row>
    <row r="30" customFormat="false" ht="13.8" hidden="false" customHeight="false" outlineLevel="0" collapsed="false">
      <c r="A30" s="117" t="s">
        <v>1634</v>
      </c>
      <c r="B30" s="130" t="n">
        <f aca="false">IF(COUNT(BO10:BO69)&gt;2,CORREL(BO10:BO69,BP10:BP69),"")</f>
        <v>-0.407481869158585</v>
      </c>
      <c r="C30" s="131" t="n">
        <f aca="false">COUNT(BO10:BO69)</f>
        <v>57</v>
      </c>
      <c r="AE30" s="44" t="n">
        <v>21</v>
      </c>
      <c r="AF30" s="55" t="n">
        <f aca="false">IF(AF29="","",IFERROR(SMALL($CH$10:$CH$309,COUNTIF($CH$10:$CH$309,"&lt;="&amp;AF29)+1),""))</f>
        <v>44866</v>
      </c>
      <c r="AG30" s="56" t="n">
        <f aca="false">IF(AF30="","",INDEX($CI$10:$CI$309,MATCH(AF30,$CH$10:$CH$309,0)))</f>
        <v>8.14</v>
      </c>
      <c r="AH30" s="55" t="n">
        <f aca="false">IF(AF30="",NA(),AF30)</f>
        <v>44866</v>
      </c>
      <c r="AI30" s="56" t="n">
        <f aca="false">IF(AG30="",NA(),AG30)</f>
        <v>8.14</v>
      </c>
      <c r="AK30" s="44" t="n">
        <v>21</v>
      </c>
      <c r="AL30" s="56" t="n">
        <f aca="false">IF($B$5&gt;=25,INDEX($AG$10:$AG$309,$B$5-25+21),"")</f>
        <v>3.1</v>
      </c>
      <c r="AM30" s="55" t="n">
        <f aca="false">IF($B$5&gt;=25,INDEX($AF$10:$AF$309,$B$5-25+21),"")</f>
        <v>46204</v>
      </c>
      <c r="AN30" s="44" t="n">
        <f aca="false">IF(AL30="","",LN(AL30))</f>
        <v>1.1314021114911</v>
      </c>
      <c r="AU30" s="44" t="n">
        <f aca="false">IF(21&lt;=$C$8,21,"")</f>
        <v>21</v>
      </c>
      <c r="AV30" s="56" t="n">
        <f aca="false">IF(AU30="","",INDEX($AG$10:$AG$309,$B$8+21-1))</f>
        <v>4.32</v>
      </c>
      <c r="AW30" s="56" t="n">
        <f aca="false">IF(AV30="",NA(),AV30)</f>
        <v>4.32</v>
      </c>
      <c r="AX30" s="44" t="n">
        <f aca="false">IF(AV30="",NA(),AU30)</f>
        <v>21</v>
      </c>
      <c r="AY30" s="44" t="n">
        <f aca="false">IF(AV30="","",LN(AV30))</f>
        <v>1.46325540225602</v>
      </c>
      <c r="BA30" s="44" t="str">
        <f aca="false">IF(21&lt;=INT($C$8/6),21,"")</f>
        <v/>
      </c>
      <c r="BB30" s="44" t="str">
        <f aca="false">IF(BA30="","",AVERAGE(INDEX($AV$10:$AV$309,121):INDEX($AV$10:$AV$309,126)))</f>
        <v/>
      </c>
      <c r="BC30" s="44" t="e">
        <f aca="false">IF(BB30="",NA(),BB30)</f>
        <v>#N/A</v>
      </c>
      <c r="BD30" s="44" t="e">
        <f aca="false">IF(BB30="",NA(),BA30)</f>
        <v>#N/A</v>
      </c>
      <c r="BE30" s="44" t="str">
        <f aca="false">IF(BB30="","",LN(BB30))</f>
        <v/>
      </c>
      <c r="BG30" s="121" t="n">
        <f aca="false">IF(BG29="","",IF(EDATE(BG29,1)&gt;$C$6,"",EDATE(BG29,1)))</f>
        <v>45170</v>
      </c>
      <c r="BH30" s="44" t="n">
        <f aca="false">IF(BG30="","",IFERROR(AVERAGEIFS($AG$10:$AG$309,$AF$10:$AF$309,"&gt;="&amp;BG30,$AF$10:$AF$309,"&lt;="&amp;EOMONTH(BG30,0)),""))</f>
        <v>4.455</v>
      </c>
      <c r="BI30" s="122" t="n">
        <f aca="false">IF(BG30="","",IFERROR(INDEX(Rendimientos!$C$13:$C$412,MATCH(_xlfn.MAXIFS(Rendimientos!$B$13:$B$412,Rendimientos!$B$13:$B$412,"&lt;="&amp;EOMONTH(BG30,0),Rendimientos!$B$13:$B$412,"&gt;="&amp;BG30),Rendimientos!$B$13:$B$412,0)),IFERROR(INDEX(Rendimientos!$T$13:$T$512,MATCH(_xlfn.MAXIFS(Rendimientos!$S$13:$S$512,Rendimientos!$S$13:$S$512,"&lt;="&amp;EOMONTH(BG30,0),Rendimientos!$S$13:$S$512,"&gt;="&amp;BG30),Rendimientos!$S$13:$S$512,0)),"")))</f>
        <v>31.7</v>
      </c>
      <c r="BJ30" s="123" t="n">
        <f aca="false">IF(AND(ISNUMBER(BI30),ISNUMBER(BI29)),BI30/BI29-1,"")</f>
        <v>0.0904712762297901</v>
      </c>
      <c r="BK30" s="44" t="n">
        <f aca="false">IF(AND(ISNUMBER(BH30),ISNUMBER(BH29)),BH30-BH29,"")</f>
        <v>-0.18</v>
      </c>
      <c r="BL30" s="123" t="n">
        <f aca="false">IF(AND(ISNUMBER(BH30),ISNUMBER(BH29)),BH30/BH29-1,"")</f>
        <v>-0.0388349514563107</v>
      </c>
      <c r="BM30" s="44" t="n">
        <f aca="false">IF(AND(ISNUMBER(BH30),ISNUMBER(BI30)),1,"")</f>
        <v>1</v>
      </c>
      <c r="BN30" s="44" t="n">
        <f aca="false">IF(BM30=1,COUNT(BM30:BM$69),"")</f>
        <v>37</v>
      </c>
      <c r="BO30" s="44" t="n">
        <f aca="false">IF(BM30=1,BH30,"")</f>
        <v>4.455</v>
      </c>
      <c r="BP30" s="122" t="n">
        <f aca="false">IF(BM30=1,BI30,"")</f>
        <v>31.7</v>
      </c>
      <c r="BQ30" s="44" t="str">
        <f aca="false">IF(AND(BM30=1,BN30&lt;=12),BH30,"")</f>
        <v/>
      </c>
      <c r="BR30" s="44" t="str">
        <f aca="false">IF(AND(BM30=1,BN30&lt;=12),BI30,"")</f>
        <v/>
      </c>
      <c r="BS30" s="44" t="str">
        <f aca="false">IF(AND(BM30=1,BN30&lt;=6),BH30,"")</f>
        <v/>
      </c>
      <c r="BT30" s="44" t="str">
        <f aca="false">IF(AND(BM30=1,BN30&lt;=6),BI30,"")</f>
        <v/>
      </c>
      <c r="BU30" s="123" t="n">
        <f aca="false">IF(AND(ISNUMBER(BJ30),ISNUMBER(BK30)),BJ30,"")</f>
        <v>0.0904712762297901</v>
      </c>
      <c r="BV30" s="44" t="n">
        <f aca="false">IF(AND(ISNUMBER(BJ30),ISNUMBER(BK30)),BK30,"")</f>
        <v>-0.18</v>
      </c>
      <c r="BW30" s="123" t="n">
        <f aca="false">IF(AND(ISNUMBER(BJ30),ISNUMBER(BH30)),BJ30,"")</f>
        <v>0.0904712762297901</v>
      </c>
      <c r="BX30" s="44" t="n">
        <f aca="false">IF(AND(ISNUMBER(BJ30),ISNUMBER(BH30)),BH30,"")</f>
        <v>4.455</v>
      </c>
      <c r="BY30" s="44" t="n">
        <f aca="false">IF(BM30=1,BH30,NA())</f>
        <v>4.455</v>
      </c>
      <c r="BZ30" s="122" t="n">
        <f aca="false">IF(BM30=1,BI30,NA())</f>
        <v>31.7</v>
      </c>
      <c r="CA30" s="44" t="n">
        <f aca="false">IF(BM30=1,LN(BI30),"")</f>
        <v>3.45631668088324</v>
      </c>
      <c r="CB30" s="123" t="n">
        <f aca="false">IF(ISNUMBER(BU30),BU30,NA())</f>
        <v>0.0904712762297901</v>
      </c>
      <c r="CC30" s="44" t="n">
        <f aca="false">IF(ISNUMBER(BV30),BV30,NA())</f>
        <v>-0.18</v>
      </c>
      <c r="CD30" s="124" t="n">
        <f aca="false">IF(BG30="",NA(),BG30)</f>
        <v>45170</v>
      </c>
      <c r="CE30" s="44" t="n">
        <f aca="false">IF(ISNUMBER(BH30),BH30,NA())</f>
        <v>4.455</v>
      </c>
      <c r="CF30" s="122" t="n">
        <f aca="false">IF(ISNUMBER(BI30),BI30,NA())</f>
        <v>31.7</v>
      </c>
      <c r="CH30" s="55" t="n">
        <f aca="false">IF(ISNUMBER(CI30),IF(ISNUMBER('Base de Datos'!AG26),IF('Base de Datos'!AG26&gt;20000,INT('Base de Datos'!AG26),""),IF(TRIM('Base de Datos'!AG26)="","",IFERROR(DATE(VALUE(RIGHT(TRIM('Base de Datos'!AG26),4)),VALUE(MID(TRIM('Base de Datos'!AG26),4,2)),VALUE(LEFT(TRIM('Base de Datos'!AG26),2))),IFERROR(DATEVALUE(TRIM('Base de Datos'!AG26)),"")))),"")</f>
        <v>44866</v>
      </c>
      <c r="CI30" s="56" t="n">
        <f aca="false">IF(ISNUMBER('Base de Datos'!AH26),'Base de Datos'!AH26,IF(TRIM('Base de Datos'!AH26)="","",IFERROR(IF(IFERROR(FIND("@",SUBSTITUTE(TRIM('Base de Datos'!AH26),",","@",LEN(TRIM('Base de Datos'!AH26))-LEN(SUBSTITUTE(TRIM('Base de Datos'!AH26),",","")))),0)&gt;IFERROR(FIND("@",SUBSTITUTE(TRIM('Base de Datos'!AH26),".","@",LEN(TRIM('Base de Datos'!AH26))-LEN(SUBSTITUTE(TRIM('Base de Datos'!AH26),".","")))),0),_xlfn.NUMBERVALUE(SUBSTITUTE(SUBSTITUTE(TRIM('Base de Datos'!AH26),".",""),",","."),".",","),_xlfn.NUMBERVALUE(SUBSTITUTE(TRIM('Base de Datos'!AH26),",",""),".",",")),"")))</f>
        <v>8.14</v>
      </c>
    </row>
    <row r="31" customFormat="false" ht="13.8" hidden="false" customHeight="false" outlineLevel="0" collapsed="false">
      <c r="A31" s="117" t="s">
        <v>1635</v>
      </c>
      <c r="B31" s="130" t="n">
        <f aca="false">IF(COUNT(BQ10:BQ69)&gt;2,CORREL(BQ10:BQ69,BR10:BR69),"")</f>
        <v>0.458811623673734</v>
      </c>
      <c r="C31" s="131" t="n">
        <f aca="false">COUNT(BQ10:BQ69)</f>
        <v>12</v>
      </c>
      <c r="AE31" s="44" t="n">
        <v>22</v>
      </c>
      <c r="AF31" s="55" t="n">
        <f aca="false">IF(AF30="","",IFERROR(SMALL($CH$10:$CH$309,COUNTIF($CH$10:$CH$309,"&lt;="&amp;AF30)+1),""))</f>
        <v>44881</v>
      </c>
      <c r="AG31" s="56" t="n">
        <f aca="false">IF(AF31="","",INDEX($CI$10:$CI$309,MATCH(AF31,$CH$10:$CH$309,0)))</f>
        <v>7.46</v>
      </c>
      <c r="AH31" s="55" t="n">
        <f aca="false">IF(AF31="",NA(),AF31)</f>
        <v>44881</v>
      </c>
      <c r="AI31" s="56" t="n">
        <f aca="false">IF(AG31="",NA(),AG31)</f>
        <v>7.46</v>
      </c>
      <c r="AK31" s="44" t="n">
        <v>22</v>
      </c>
      <c r="AL31" s="56" t="n">
        <f aca="false">IF($B$5&gt;=25,INDEX($AG$10:$AG$309,$B$5-25+22),"")</f>
        <v>3.14</v>
      </c>
      <c r="AM31" s="55" t="n">
        <f aca="false">IF($B$5&gt;=25,INDEX($AF$10:$AF$309,$B$5-25+22),"")</f>
        <v>46219</v>
      </c>
      <c r="AN31" s="44" t="n">
        <f aca="false">IF(AL31="","",LN(AL31))</f>
        <v>1.14422279992016</v>
      </c>
      <c r="AU31" s="44" t="n">
        <f aca="false">IF(22&lt;=$C$8,22,"")</f>
        <v>22</v>
      </c>
      <c r="AV31" s="56" t="n">
        <f aca="false">IF(AU31="","",INDEX($AG$10:$AG$309,$B$8+22-1))</f>
        <v>4.33</v>
      </c>
      <c r="AW31" s="56" t="n">
        <f aca="false">IF(AV31="",NA(),AV31)</f>
        <v>4.33</v>
      </c>
      <c r="AX31" s="44" t="n">
        <f aca="false">IF(AV31="",NA(),AU31)</f>
        <v>22</v>
      </c>
      <c r="AY31" s="44" t="n">
        <f aca="false">IF(AV31="","",LN(AV31))</f>
        <v>1.4655675420144</v>
      </c>
      <c r="BA31" s="44" t="str">
        <f aca="false">IF(22&lt;=INT($C$8/6),22,"")</f>
        <v/>
      </c>
      <c r="BB31" s="44" t="str">
        <f aca="false">IF(BA31="","",AVERAGE(INDEX($AV$10:$AV$309,127):INDEX($AV$10:$AV$309,132)))</f>
        <v/>
      </c>
      <c r="BC31" s="44" t="e">
        <f aca="false">IF(BB31="",NA(),BB31)</f>
        <v>#N/A</v>
      </c>
      <c r="BD31" s="44" t="e">
        <f aca="false">IF(BB31="",NA(),BA31)</f>
        <v>#N/A</v>
      </c>
      <c r="BE31" s="44" t="str">
        <f aca="false">IF(BB31="","",LN(BB31))</f>
        <v/>
      </c>
      <c r="BG31" s="121" t="n">
        <f aca="false">IF(BG30="","",IF(EDATE(BG30,1)&gt;$C$6,"",EDATE(BG30,1)))</f>
        <v>45200</v>
      </c>
      <c r="BH31" s="44" t="n">
        <f aca="false">IF(BG31="","",IFERROR(AVERAGEIFS($AG$10:$AG$309,$AF$10:$AF$309,"&gt;="&amp;BG31,$AF$10:$AF$309,"&lt;="&amp;EOMONTH(BG31,0)),""))</f>
        <v>4.26</v>
      </c>
      <c r="BI31" s="122" t="n">
        <f aca="false">IF(BG31="","",IFERROR(INDEX(Rendimientos!$C$13:$C$412,MATCH(_xlfn.MAXIFS(Rendimientos!$B$13:$B$412,Rendimientos!$B$13:$B$412,"&lt;="&amp;EOMONTH(BG31,0),Rendimientos!$B$13:$B$412,"&gt;="&amp;BG31),Rendimientos!$B$13:$B$412,0)),IFERROR(INDEX(Rendimientos!$T$13:$T$512,MATCH(_xlfn.MAXIFS(Rendimientos!$S$13:$S$512,Rendimientos!$S$13:$S$512,"&lt;="&amp;EOMONTH(BG31,0),Rendimientos!$S$13:$S$512,"&gt;="&amp;BG31),Rendimientos!$S$13:$S$512,0)),"")))</f>
        <v>32.03</v>
      </c>
      <c r="BJ31" s="123" t="n">
        <f aca="false">IF(AND(ISNUMBER(BI31),ISNUMBER(BI30)),BI31/BI30-1,"")</f>
        <v>0.0104100946372241</v>
      </c>
      <c r="BK31" s="44" t="n">
        <f aca="false">IF(AND(ISNUMBER(BH31),ISNUMBER(BH30)),BH31-BH30,"")</f>
        <v>-0.195</v>
      </c>
      <c r="BL31" s="123" t="n">
        <f aca="false">IF(AND(ISNUMBER(BH31),ISNUMBER(BH30)),BH31/BH30-1,"")</f>
        <v>-0.0437710437710438</v>
      </c>
      <c r="BM31" s="44" t="n">
        <f aca="false">IF(AND(ISNUMBER(BH31),ISNUMBER(BI31)),1,"")</f>
        <v>1</v>
      </c>
      <c r="BN31" s="44" t="n">
        <f aca="false">IF(BM31=1,COUNT(BM31:BM$69),"")</f>
        <v>36</v>
      </c>
      <c r="BO31" s="44" t="n">
        <f aca="false">IF(BM31=1,BH31,"")</f>
        <v>4.26</v>
      </c>
      <c r="BP31" s="122" t="n">
        <f aca="false">IF(BM31=1,BI31,"")</f>
        <v>32.03</v>
      </c>
      <c r="BQ31" s="44" t="str">
        <f aca="false">IF(AND(BM31=1,BN31&lt;=12),BH31,"")</f>
        <v/>
      </c>
      <c r="BR31" s="44" t="str">
        <f aca="false">IF(AND(BM31=1,BN31&lt;=12),BI31,"")</f>
        <v/>
      </c>
      <c r="BS31" s="44" t="str">
        <f aca="false">IF(AND(BM31=1,BN31&lt;=6),BH31,"")</f>
        <v/>
      </c>
      <c r="BT31" s="44" t="str">
        <f aca="false">IF(AND(BM31=1,BN31&lt;=6),BI31,"")</f>
        <v/>
      </c>
      <c r="BU31" s="123" t="n">
        <f aca="false">IF(AND(ISNUMBER(BJ31),ISNUMBER(BK31)),BJ31,"")</f>
        <v>0.0104100946372241</v>
      </c>
      <c r="BV31" s="44" t="n">
        <f aca="false">IF(AND(ISNUMBER(BJ31),ISNUMBER(BK31)),BK31,"")</f>
        <v>-0.195</v>
      </c>
      <c r="BW31" s="123" t="n">
        <f aca="false">IF(AND(ISNUMBER(BJ31),ISNUMBER(BH31)),BJ31,"")</f>
        <v>0.0104100946372241</v>
      </c>
      <c r="BX31" s="44" t="n">
        <f aca="false">IF(AND(ISNUMBER(BJ31),ISNUMBER(BH31)),BH31,"")</f>
        <v>4.26</v>
      </c>
      <c r="BY31" s="44" t="n">
        <f aca="false">IF(BM31=1,BH31,NA())</f>
        <v>4.26</v>
      </c>
      <c r="BZ31" s="122" t="n">
        <f aca="false">IF(BM31=1,BI31,NA())</f>
        <v>32.03</v>
      </c>
      <c r="CA31" s="44" t="n">
        <f aca="false">IF(BM31=1,LN(BI31),"")</f>
        <v>3.46667296362107</v>
      </c>
      <c r="CB31" s="123" t="n">
        <f aca="false">IF(ISNUMBER(BU31),BU31,NA())</f>
        <v>0.0104100946372241</v>
      </c>
      <c r="CC31" s="44" t="n">
        <f aca="false">IF(ISNUMBER(BV31),BV31,NA())</f>
        <v>-0.195</v>
      </c>
      <c r="CD31" s="124" t="n">
        <f aca="false">IF(BG31="",NA(),BG31)</f>
        <v>45200</v>
      </c>
      <c r="CE31" s="44" t="n">
        <f aca="false">IF(ISNUMBER(BH31),BH31,NA())</f>
        <v>4.26</v>
      </c>
      <c r="CF31" s="122" t="n">
        <f aca="false">IF(ISNUMBER(BI31),BI31,NA())</f>
        <v>32.03</v>
      </c>
      <c r="CH31" s="55" t="n">
        <f aca="false">IF(ISNUMBER(CI31),IF(ISNUMBER('Base de Datos'!AG27),IF('Base de Datos'!AG27&gt;20000,INT('Base de Datos'!AG27),""),IF(TRIM('Base de Datos'!AG27)="","",IFERROR(DATE(VALUE(RIGHT(TRIM('Base de Datos'!AG27),4)),VALUE(MID(TRIM('Base de Datos'!AG27),4,2)),VALUE(LEFT(TRIM('Base de Datos'!AG27),2))),IFERROR(DATEVALUE(TRIM('Base de Datos'!AG27)),"")))),"")</f>
        <v>44881</v>
      </c>
      <c r="CI31" s="56" t="n">
        <f aca="false">IF(ISNUMBER('Base de Datos'!AH27),'Base de Datos'!AH27,IF(TRIM('Base de Datos'!AH27)="","",IFERROR(IF(IFERROR(FIND("@",SUBSTITUTE(TRIM('Base de Datos'!AH27),",","@",LEN(TRIM('Base de Datos'!AH27))-LEN(SUBSTITUTE(TRIM('Base de Datos'!AH27),",","")))),0)&gt;IFERROR(FIND("@",SUBSTITUTE(TRIM('Base de Datos'!AH27),".","@",LEN(TRIM('Base de Datos'!AH27))-LEN(SUBSTITUTE(TRIM('Base de Datos'!AH27),".","")))),0),_xlfn.NUMBERVALUE(SUBSTITUTE(SUBSTITUTE(TRIM('Base de Datos'!AH27),".",""),",","."),".",","),_xlfn.NUMBERVALUE(SUBSTITUTE(TRIM('Base de Datos'!AH27),",",""),".",",")),"")))</f>
        <v>7.46</v>
      </c>
    </row>
    <row r="32" customFormat="false" ht="13.8" hidden="false" customHeight="false" outlineLevel="0" collapsed="false">
      <c r="A32" s="117" t="s">
        <v>1636</v>
      </c>
      <c r="B32" s="130" t="n">
        <f aca="false">IF(COUNT(BS10:BS69)&gt;2,CORREL(BS10:BS69,BT10:BT69),"")</f>
        <v>0.557712136650493</v>
      </c>
      <c r="C32" s="131" t="n">
        <f aca="false">COUNT(BS10:BS69)</f>
        <v>6</v>
      </c>
      <c r="AE32" s="44" t="n">
        <v>23</v>
      </c>
      <c r="AF32" s="55" t="n">
        <f aca="false">IF(AF31="","",IFERROR(SMALL($CH$10:$CH$309,COUNTIF($CH$10:$CH$309,"&lt;="&amp;AF31)+1),""))</f>
        <v>44896</v>
      </c>
      <c r="AG32" s="56" t="n">
        <f aca="false">IF(AF32="","",INDEX($CI$10:$CI$309,MATCH(AF32,$CH$10:$CH$309,0)))</f>
        <v>7.77</v>
      </c>
      <c r="AH32" s="55" t="n">
        <f aca="false">IF(AF32="",NA(),AF32)</f>
        <v>44896</v>
      </c>
      <c r="AI32" s="56" t="n">
        <f aca="false">IF(AG32="",NA(),AG32)</f>
        <v>7.77</v>
      </c>
      <c r="AK32" s="44" t="n">
        <v>23</v>
      </c>
      <c r="AL32" s="56" t="n">
        <f aca="false">IF($B$5&gt;=25,INDEX($AG$10:$AG$309,$B$5-25+23),"")</f>
        <v>3.26</v>
      </c>
      <c r="AM32" s="55" t="n">
        <f aca="false">IF($B$5&gt;=25,INDEX($AF$10:$AF$309,$B$5-25+23),"")</f>
        <v>46235</v>
      </c>
      <c r="AN32" s="44" t="n">
        <f aca="false">IF(AL32="","",LN(AL32))</f>
        <v>1.18172719537862</v>
      </c>
      <c r="AU32" s="44" t="n">
        <f aca="false">IF(23&lt;=$C$8,23,"")</f>
        <v>23</v>
      </c>
      <c r="AV32" s="56" t="n">
        <f aca="false">IF(AU32="","",INDEX($AG$10:$AG$309,$B$8+23-1))</f>
        <v>4.46</v>
      </c>
      <c r="AW32" s="56" t="n">
        <f aca="false">IF(AV32="",NA(),AV32)</f>
        <v>4.46</v>
      </c>
      <c r="AX32" s="44" t="n">
        <f aca="false">IF(AV32="",NA(),AU32)</f>
        <v>23</v>
      </c>
      <c r="AY32" s="44" t="n">
        <f aca="false">IF(AV32="","",LN(AV32))</f>
        <v>1.49514876603197</v>
      </c>
      <c r="BA32" s="44" t="str">
        <f aca="false">IF(23&lt;=INT($C$8/6),23,"")</f>
        <v/>
      </c>
      <c r="BB32" s="44" t="str">
        <f aca="false">IF(BA32="","",AVERAGE(INDEX($AV$10:$AV$309,133):INDEX($AV$10:$AV$309,138)))</f>
        <v/>
      </c>
      <c r="BC32" s="44" t="e">
        <f aca="false">IF(BB32="",NA(),BB32)</f>
        <v>#N/A</v>
      </c>
      <c r="BD32" s="44" t="e">
        <f aca="false">IF(BB32="",NA(),BA32)</f>
        <v>#N/A</v>
      </c>
      <c r="BE32" s="44" t="str">
        <f aca="false">IF(BB32="","",LN(BB32))</f>
        <v/>
      </c>
      <c r="BG32" s="121" t="n">
        <f aca="false">IF(BG31="","",IF(EDATE(BG31,1)&gt;$C$6,"",EDATE(BG31,1)))</f>
        <v>45231</v>
      </c>
      <c r="BH32" s="44" t="n">
        <f aca="false">IF(BG32="","",IFERROR(AVERAGEIFS($AG$10:$AG$309,$AF$10:$AF$309,"&gt;="&amp;BG32,$AF$10:$AF$309,"&lt;="&amp;EOMONTH(BG32,0)),""))</f>
        <v>4.325</v>
      </c>
      <c r="BI32" s="122" t="n">
        <f aca="false">IF(BG32="","",IFERROR(INDEX(Rendimientos!$C$13:$C$412,MATCH(_xlfn.MAXIFS(Rendimientos!$B$13:$B$412,Rendimientos!$B$13:$B$412,"&lt;="&amp;EOMONTH(BG32,0),Rendimientos!$B$13:$B$412,"&gt;="&amp;BG32),Rendimientos!$B$13:$B$412,0)),IFERROR(INDEX(Rendimientos!$T$13:$T$512,MATCH(_xlfn.MAXIFS(Rendimientos!$S$13:$S$512,Rendimientos!$S$13:$S$512,"&lt;="&amp;EOMONTH(BG32,0),Rendimientos!$S$13:$S$512,"&gt;="&amp;BG32),Rendimientos!$S$13:$S$512,0)),"")))</f>
        <v>29.4</v>
      </c>
      <c r="BJ32" s="123" t="n">
        <f aca="false">IF(AND(ISNUMBER(BI32),ISNUMBER(BI31)),BI32/BI31-1,"")</f>
        <v>-0.0821105213862006</v>
      </c>
      <c r="BK32" s="44" t="n">
        <f aca="false">IF(AND(ISNUMBER(BH32),ISNUMBER(BH31)),BH32-BH31,"")</f>
        <v>0.0650000000000004</v>
      </c>
      <c r="BL32" s="123" t="n">
        <f aca="false">IF(AND(ISNUMBER(BH32),ISNUMBER(BH31)),BH32/BH31-1,"")</f>
        <v>0.0152582159624415</v>
      </c>
      <c r="BM32" s="44" t="n">
        <f aca="false">IF(AND(ISNUMBER(BH32),ISNUMBER(BI32)),1,"")</f>
        <v>1</v>
      </c>
      <c r="BN32" s="44" t="n">
        <f aca="false">IF(BM32=1,COUNT(BM32:BM$69),"")</f>
        <v>35</v>
      </c>
      <c r="BO32" s="44" t="n">
        <f aca="false">IF(BM32=1,BH32,"")</f>
        <v>4.325</v>
      </c>
      <c r="BP32" s="122" t="n">
        <f aca="false">IF(BM32=1,BI32,"")</f>
        <v>29.4</v>
      </c>
      <c r="BQ32" s="44" t="str">
        <f aca="false">IF(AND(BM32=1,BN32&lt;=12),BH32,"")</f>
        <v/>
      </c>
      <c r="BR32" s="44" t="str">
        <f aca="false">IF(AND(BM32=1,BN32&lt;=12),BI32,"")</f>
        <v/>
      </c>
      <c r="BS32" s="44" t="str">
        <f aca="false">IF(AND(BM32=1,BN32&lt;=6),BH32,"")</f>
        <v/>
      </c>
      <c r="BT32" s="44" t="str">
        <f aca="false">IF(AND(BM32=1,BN32&lt;=6),BI32,"")</f>
        <v/>
      </c>
      <c r="BU32" s="123" t="n">
        <f aca="false">IF(AND(ISNUMBER(BJ32),ISNUMBER(BK32)),BJ32,"")</f>
        <v>-0.0821105213862006</v>
      </c>
      <c r="BV32" s="44" t="n">
        <f aca="false">IF(AND(ISNUMBER(BJ32),ISNUMBER(BK32)),BK32,"")</f>
        <v>0.0650000000000004</v>
      </c>
      <c r="BW32" s="123" t="n">
        <f aca="false">IF(AND(ISNUMBER(BJ32),ISNUMBER(BH32)),BJ32,"")</f>
        <v>-0.0821105213862006</v>
      </c>
      <c r="BX32" s="44" t="n">
        <f aca="false">IF(AND(ISNUMBER(BJ32),ISNUMBER(BH32)),BH32,"")</f>
        <v>4.325</v>
      </c>
      <c r="BY32" s="44" t="n">
        <f aca="false">IF(BM32=1,BH32,NA())</f>
        <v>4.325</v>
      </c>
      <c r="BZ32" s="122" t="n">
        <f aca="false">IF(BM32=1,BI32,NA())</f>
        <v>29.4</v>
      </c>
      <c r="CA32" s="44" t="n">
        <f aca="false">IF(BM32=1,LN(BI32),"")</f>
        <v>3.38099467434464</v>
      </c>
      <c r="CB32" s="123" t="n">
        <f aca="false">IF(ISNUMBER(BU32),BU32,NA())</f>
        <v>-0.0821105213862006</v>
      </c>
      <c r="CC32" s="44" t="n">
        <f aca="false">IF(ISNUMBER(BV32),BV32,NA())</f>
        <v>0.0650000000000004</v>
      </c>
      <c r="CD32" s="124" t="n">
        <f aca="false">IF(BG32="",NA(),BG32)</f>
        <v>45231</v>
      </c>
      <c r="CE32" s="44" t="n">
        <f aca="false">IF(ISNUMBER(BH32),BH32,NA())</f>
        <v>4.325</v>
      </c>
      <c r="CF32" s="122" t="n">
        <f aca="false">IF(ISNUMBER(BI32),BI32,NA())</f>
        <v>29.4</v>
      </c>
      <c r="CH32" s="55" t="n">
        <f aca="false">IF(ISNUMBER(CI32),IF(ISNUMBER('Base de Datos'!AG28),IF('Base de Datos'!AG28&gt;20000,INT('Base de Datos'!AG28),""),IF(TRIM('Base de Datos'!AG28)="","",IFERROR(DATE(VALUE(RIGHT(TRIM('Base de Datos'!AG28),4)),VALUE(MID(TRIM('Base de Datos'!AG28),4,2)),VALUE(LEFT(TRIM('Base de Datos'!AG28),2))),IFERROR(DATEVALUE(TRIM('Base de Datos'!AG28)),"")))),"")</f>
        <v>44896</v>
      </c>
      <c r="CI32" s="56" t="n">
        <f aca="false">IF(ISNUMBER('Base de Datos'!AH28),'Base de Datos'!AH28,IF(TRIM('Base de Datos'!AH28)="","",IFERROR(IF(IFERROR(FIND("@",SUBSTITUTE(TRIM('Base de Datos'!AH28),",","@",LEN(TRIM('Base de Datos'!AH28))-LEN(SUBSTITUTE(TRIM('Base de Datos'!AH28),",","")))),0)&gt;IFERROR(FIND("@",SUBSTITUTE(TRIM('Base de Datos'!AH28),".","@",LEN(TRIM('Base de Datos'!AH28))-LEN(SUBSTITUTE(TRIM('Base de Datos'!AH28),".","")))),0),_xlfn.NUMBERVALUE(SUBSTITUTE(SUBSTITUTE(TRIM('Base de Datos'!AH28),".",""),",","."),".",","),_xlfn.NUMBERVALUE(SUBSTITUTE(TRIM('Base de Datos'!AH28),",",""),".",",")),"")))</f>
        <v>7.77</v>
      </c>
    </row>
    <row r="33" customFormat="false" ht="13.8" hidden="false" customHeight="false" outlineLevel="0" collapsed="false">
      <c r="A33" s="117" t="s">
        <v>1637</v>
      </c>
      <c r="B33" s="130" t="n">
        <f aca="false">IF(COUNT(BU10:BU69)&gt;2,CORREL(BU10:BU69,BV10:BV69),"")</f>
        <v>0.144397298701433</v>
      </c>
      <c r="C33" s="131" t="n">
        <f aca="false">COUNT(BU10:BU69)</f>
        <v>56</v>
      </c>
      <c r="AE33" s="44" t="n">
        <v>24</v>
      </c>
      <c r="AF33" s="55" t="n">
        <f aca="false">IF(AF32="","",IFERROR(SMALL($CH$10:$CH$309,COUNTIF($CH$10:$CH$309,"&lt;="&amp;AF32)+1),""))</f>
        <v>44911</v>
      </c>
      <c r="AG33" s="56" t="n">
        <f aca="false">IF(AF33="","",INDEX($CI$10:$CI$309,MATCH(AF33,$CH$10:$CH$309,0)))</f>
        <v>7.86</v>
      </c>
      <c r="AH33" s="55" t="n">
        <f aca="false">IF(AF33="",NA(),AF33)</f>
        <v>44911</v>
      </c>
      <c r="AI33" s="56" t="n">
        <f aca="false">IF(AG33="",NA(),AG33)</f>
        <v>7.86</v>
      </c>
      <c r="AK33" s="44" t="n">
        <v>24</v>
      </c>
      <c r="AL33" s="56" t="n">
        <f aca="false">IF($B$5&gt;=25,INDEX($AG$10:$AG$309,$B$5-25+24),"")</f>
        <v>3.26</v>
      </c>
      <c r="AM33" s="55" t="n">
        <f aca="false">IF($B$5&gt;=25,INDEX($AF$10:$AF$309,$B$5-25+24),"")</f>
        <v>46250</v>
      </c>
      <c r="AN33" s="44" t="n">
        <f aca="false">IF(AL33="","",LN(AL33))</f>
        <v>1.18172719537862</v>
      </c>
      <c r="AU33" s="44" t="n">
        <f aca="false">IF(24&lt;=$C$8,24,"")</f>
        <v>24</v>
      </c>
      <c r="AV33" s="56" t="n">
        <f aca="false">IF(AU33="","",INDEX($AG$10:$AG$309,$B$8+24-1))</f>
        <v>4.86</v>
      </c>
      <c r="AW33" s="56" t="n">
        <f aca="false">IF(AV33="",NA(),AV33)</f>
        <v>4.86</v>
      </c>
      <c r="AX33" s="44" t="n">
        <f aca="false">IF(AV33="",NA(),AU33)</f>
        <v>24</v>
      </c>
      <c r="AY33" s="44" t="n">
        <f aca="false">IF(AV33="","",LN(AV33))</f>
        <v>1.5810384379124</v>
      </c>
      <c r="BA33" s="44" t="str">
        <f aca="false">IF(24&lt;=INT($C$8/6),24,"")</f>
        <v/>
      </c>
      <c r="BB33" s="44" t="str">
        <f aca="false">IF(BA33="","",AVERAGE(INDEX($AV$10:$AV$309,139):INDEX($AV$10:$AV$309,144)))</f>
        <v/>
      </c>
      <c r="BC33" s="44" t="e">
        <f aca="false">IF(BB33="",NA(),BB33)</f>
        <v>#N/A</v>
      </c>
      <c r="BD33" s="44" t="e">
        <f aca="false">IF(BB33="",NA(),BA33)</f>
        <v>#N/A</v>
      </c>
      <c r="BE33" s="44" t="str">
        <f aca="false">IF(BB33="","",LN(BB33))</f>
        <v/>
      </c>
      <c r="BG33" s="121" t="n">
        <f aca="false">IF(BG32="","",IF(EDATE(BG32,1)&gt;$C$6,"",EDATE(BG32,1)))</f>
        <v>45261</v>
      </c>
      <c r="BH33" s="44" t="n">
        <f aca="false">IF(BG33="","",IFERROR(AVERAGEIFS($AG$10:$AG$309,$AF$10:$AF$309,"&gt;="&amp;BG33,$AF$10:$AF$309,"&lt;="&amp;EOMONTH(BG33,0)),""))</f>
        <v>4.66</v>
      </c>
      <c r="BI33" s="122" t="n">
        <f aca="false">IF(BG33="","",IFERROR(INDEX(Rendimientos!$C$13:$C$412,MATCH(_xlfn.MAXIFS(Rendimientos!$B$13:$B$412,Rendimientos!$B$13:$B$412,"&lt;="&amp;EOMONTH(BG33,0),Rendimientos!$B$13:$B$412,"&gt;="&amp;BG33),Rendimientos!$B$13:$B$412,0)),IFERROR(INDEX(Rendimientos!$T$13:$T$512,MATCH(_xlfn.MAXIFS(Rendimientos!$S$13:$S$512,Rendimientos!$S$13:$S$512,"&lt;="&amp;EOMONTH(BG33,0),Rendimientos!$S$13:$S$512,"&gt;="&amp;BG33),Rendimientos!$S$13:$S$512,0)),"")))</f>
        <v>35.78</v>
      </c>
      <c r="BJ33" s="123" t="n">
        <f aca="false">IF(AND(ISNUMBER(BI33),ISNUMBER(BI32)),BI33/BI32-1,"")</f>
        <v>0.217006802721089</v>
      </c>
      <c r="BK33" s="44" t="n">
        <f aca="false">IF(AND(ISNUMBER(BH33),ISNUMBER(BH32)),BH33-BH32,"")</f>
        <v>0.335</v>
      </c>
      <c r="BL33" s="123" t="n">
        <f aca="false">IF(AND(ISNUMBER(BH33),ISNUMBER(BH32)),BH33/BH32-1,"")</f>
        <v>0.0774566473988438</v>
      </c>
      <c r="BM33" s="44" t="n">
        <f aca="false">IF(AND(ISNUMBER(BH33),ISNUMBER(BI33)),1,"")</f>
        <v>1</v>
      </c>
      <c r="BN33" s="44" t="n">
        <f aca="false">IF(BM33=1,COUNT(BM33:BM$69),"")</f>
        <v>34</v>
      </c>
      <c r="BO33" s="44" t="n">
        <f aca="false">IF(BM33=1,BH33,"")</f>
        <v>4.66</v>
      </c>
      <c r="BP33" s="122" t="n">
        <f aca="false">IF(BM33=1,BI33,"")</f>
        <v>35.78</v>
      </c>
      <c r="BQ33" s="44" t="str">
        <f aca="false">IF(AND(BM33=1,BN33&lt;=12),BH33,"")</f>
        <v/>
      </c>
      <c r="BR33" s="44" t="str">
        <f aca="false">IF(AND(BM33=1,BN33&lt;=12),BI33,"")</f>
        <v/>
      </c>
      <c r="BS33" s="44" t="str">
        <f aca="false">IF(AND(BM33=1,BN33&lt;=6),BH33,"")</f>
        <v/>
      </c>
      <c r="BT33" s="44" t="str">
        <f aca="false">IF(AND(BM33=1,BN33&lt;=6),BI33,"")</f>
        <v/>
      </c>
      <c r="BU33" s="123" t="n">
        <f aca="false">IF(AND(ISNUMBER(BJ33),ISNUMBER(BK33)),BJ33,"")</f>
        <v>0.217006802721089</v>
      </c>
      <c r="BV33" s="44" t="n">
        <f aca="false">IF(AND(ISNUMBER(BJ33),ISNUMBER(BK33)),BK33,"")</f>
        <v>0.335</v>
      </c>
      <c r="BW33" s="123" t="n">
        <f aca="false">IF(AND(ISNUMBER(BJ33),ISNUMBER(BH33)),BJ33,"")</f>
        <v>0.217006802721089</v>
      </c>
      <c r="BX33" s="44" t="n">
        <f aca="false">IF(AND(ISNUMBER(BJ33),ISNUMBER(BH33)),BH33,"")</f>
        <v>4.66</v>
      </c>
      <c r="BY33" s="44" t="n">
        <f aca="false">IF(BM33=1,BH33,NA())</f>
        <v>4.66</v>
      </c>
      <c r="BZ33" s="122" t="n">
        <f aca="false">IF(BM33=1,BI33,NA())</f>
        <v>35.78</v>
      </c>
      <c r="CA33" s="44" t="n">
        <f aca="false">IF(BM33=1,LN(BI33),"")</f>
        <v>3.57738907808057</v>
      </c>
      <c r="CB33" s="123" t="n">
        <f aca="false">IF(ISNUMBER(BU33),BU33,NA())</f>
        <v>0.217006802721089</v>
      </c>
      <c r="CC33" s="44" t="n">
        <f aca="false">IF(ISNUMBER(BV33),BV33,NA())</f>
        <v>0.335</v>
      </c>
      <c r="CD33" s="124" t="n">
        <f aca="false">IF(BG33="",NA(),BG33)</f>
        <v>45261</v>
      </c>
      <c r="CE33" s="44" t="n">
        <f aca="false">IF(ISNUMBER(BH33),BH33,NA())</f>
        <v>4.66</v>
      </c>
      <c r="CF33" s="122" t="n">
        <f aca="false">IF(ISNUMBER(BI33),BI33,NA())</f>
        <v>35.78</v>
      </c>
      <c r="CH33" s="55" t="n">
        <f aca="false">IF(ISNUMBER(CI33),IF(ISNUMBER('Base de Datos'!AG29),IF('Base de Datos'!AG29&gt;20000,INT('Base de Datos'!AG29),""),IF(TRIM('Base de Datos'!AG29)="","",IFERROR(DATE(VALUE(RIGHT(TRIM('Base de Datos'!AG29),4)),VALUE(MID(TRIM('Base de Datos'!AG29),4,2)),VALUE(LEFT(TRIM('Base de Datos'!AG29),2))),IFERROR(DATEVALUE(TRIM('Base de Datos'!AG29)),"")))),"")</f>
        <v>44911</v>
      </c>
      <c r="CI33" s="56" t="n">
        <f aca="false">IF(ISNUMBER('Base de Datos'!AH29),'Base de Datos'!AH29,IF(TRIM('Base de Datos'!AH29)="","",IFERROR(IF(IFERROR(FIND("@",SUBSTITUTE(TRIM('Base de Datos'!AH29),",","@",LEN(TRIM('Base de Datos'!AH29))-LEN(SUBSTITUTE(TRIM('Base de Datos'!AH29),",","")))),0)&gt;IFERROR(FIND("@",SUBSTITUTE(TRIM('Base de Datos'!AH29),".","@",LEN(TRIM('Base de Datos'!AH29))-LEN(SUBSTITUTE(TRIM('Base de Datos'!AH29),".","")))),0),_xlfn.NUMBERVALUE(SUBSTITUTE(SUBSTITUTE(TRIM('Base de Datos'!AH29),".",""),",","."),".",","),_xlfn.NUMBERVALUE(SUBSTITUTE(TRIM('Base de Datos'!AH29),",",""),".",",")),"")))</f>
        <v>7.86</v>
      </c>
    </row>
    <row r="34" customFormat="false" ht="13.8" hidden="false" customHeight="false" outlineLevel="0" collapsed="false">
      <c r="A34" s="117" t="s">
        <v>1638</v>
      </c>
      <c r="B34" s="130" t="n">
        <f aca="false">IF(COUNT(BW10:BW69)&gt;2,CORREL(BW10:BW69,BX10:BX69),"")</f>
        <v>0.0544867335605651</v>
      </c>
      <c r="C34" s="131" t="n">
        <f aca="false">COUNT(BW10:BW69)</f>
        <v>56</v>
      </c>
      <c r="AE34" s="44" t="n">
        <v>25</v>
      </c>
      <c r="AF34" s="55" t="n">
        <f aca="false">IF(AF33="","",IFERROR(SMALL($CH$10:$CH$309,COUNTIF($CH$10:$CH$309,"&lt;="&amp;AF33)+1),""))</f>
        <v>44927</v>
      </c>
      <c r="AG34" s="56" t="n">
        <f aca="false">IF(AF34="","",INDEX($CI$10:$CI$309,MATCH(AF34,$CH$10:$CH$309,0)))</f>
        <v>7.94</v>
      </c>
      <c r="AH34" s="55" t="n">
        <f aca="false">IF(AF34="",NA(),AF34)</f>
        <v>44927</v>
      </c>
      <c r="AI34" s="56" t="n">
        <f aca="false">IF(AG34="",NA(),AG34)</f>
        <v>7.94</v>
      </c>
      <c r="AK34" s="44" t="n">
        <v>25</v>
      </c>
      <c r="AL34" s="56" t="n">
        <f aca="false">IF($B$5&gt;=25,INDEX($AG$10:$AG$309,$B$5-25+25),"")</f>
        <v>3.42</v>
      </c>
      <c r="AM34" s="55" t="n">
        <f aca="false">IF($B$5&gt;=25,INDEX($AF$10:$AF$309,$B$5-25+25),"")</f>
        <v>46266</v>
      </c>
      <c r="AN34" s="44" t="n">
        <f aca="false">IF(AL34="","",LN(AL34))</f>
        <v>1.22964055107451</v>
      </c>
      <c r="AU34" s="44" t="n">
        <f aca="false">IF(25&lt;=$C$8,25,"")</f>
        <v>25</v>
      </c>
      <c r="AV34" s="56" t="n">
        <f aca="false">IF(AU34="","",INDEX($AG$10:$AG$309,$B$8+25-1))</f>
        <v>4.9</v>
      </c>
      <c r="AW34" s="56" t="n">
        <f aca="false">IF(AV34="",NA(),AV34)</f>
        <v>4.9</v>
      </c>
      <c r="AX34" s="44" t="n">
        <f aca="false">IF(AV34="",NA(),AU34)</f>
        <v>25</v>
      </c>
      <c r="AY34" s="44" t="n">
        <f aca="false">IF(AV34="","",LN(AV34))</f>
        <v>1.58923520511658</v>
      </c>
      <c r="BA34" s="44" t="str">
        <f aca="false">IF(25&lt;=INT($C$8/6),25,"")</f>
        <v/>
      </c>
      <c r="BB34" s="44" t="str">
        <f aca="false">IF(BA34="","",AVERAGE(INDEX($AV$10:$AV$309,145):INDEX($AV$10:$AV$309,150)))</f>
        <v/>
      </c>
      <c r="BC34" s="44" t="e">
        <f aca="false">IF(BB34="",NA(),BB34)</f>
        <v>#N/A</v>
      </c>
      <c r="BD34" s="44" t="e">
        <f aca="false">IF(BB34="",NA(),BA34)</f>
        <v>#N/A</v>
      </c>
      <c r="BE34" s="44" t="str">
        <f aca="false">IF(BB34="","",LN(BB34))</f>
        <v/>
      </c>
      <c r="BG34" s="121" t="n">
        <f aca="false">IF(BG33="","",IF(EDATE(BG33,1)&gt;$C$6,"",EDATE(BG33,1)))</f>
        <v>45292</v>
      </c>
      <c r="BH34" s="44" t="n">
        <f aca="false">IF(BG34="","",IFERROR(AVERAGEIFS($AG$10:$AG$309,$AF$10:$AF$309,"&gt;="&amp;BG34,$AF$10:$AF$309,"&lt;="&amp;EOMONTH(BG34,0)),""))</f>
        <v>4.885</v>
      </c>
      <c r="BI34" s="122" t="n">
        <f aca="false">IF(BG34="","",IFERROR(INDEX(Rendimientos!$C$13:$C$412,MATCH(_xlfn.MAXIFS(Rendimientos!$B$13:$B$412,Rendimientos!$B$13:$B$412,"&lt;="&amp;EOMONTH(BG34,0),Rendimientos!$B$13:$B$412,"&gt;="&amp;BG34),Rendimientos!$B$13:$B$412,0)),IFERROR(INDEX(Rendimientos!$T$13:$T$512,MATCH(_xlfn.MAXIFS(Rendimientos!$S$13:$S$512,Rendimientos!$S$13:$S$512,"&lt;="&amp;EOMONTH(BG34,0),Rendimientos!$S$13:$S$512,"&gt;="&amp;BG34),Rendimientos!$S$13:$S$512,0)),"")))</f>
        <v>34.89</v>
      </c>
      <c r="BJ34" s="123" t="n">
        <f aca="false">IF(AND(ISNUMBER(BI34),ISNUMBER(BI33)),BI34/BI33-1,"")</f>
        <v>-0.0248742314141979</v>
      </c>
      <c r="BK34" s="44" t="n">
        <f aca="false">IF(AND(ISNUMBER(BH34),ISNUMBER(BH33)),BH34-BH33,"")</f>
        <v>0.225</v>
      </c>
      <c r="BL34" s="123" t="n">
        <f aca="false">IF(AND(ISNUMBER(BH34),ISNUMBER(BH33)),BH34/BH33-1,"")</f>
        <v>0.048283261802575</v>
      </c>
      <c r="BM34" s="44" t="n">
        <f aca="false">IF(AND(ISNUMBER(BH34),ISNUMBER(BI34)),1,"")</f>
        <v>1</v>
      </c>
      <c r="BN34" s="44" t="n">
        <f aca="false">IF(BM34=1,COUNT(BM34:BM$69),"")</f>
        <v>33</v>
      </c>
      <c r="BO34" s="44" t="n">
        <f aca="false">IF(BM34=1,BH34,"")</f>
        <v>4.885</v>
      </c>
      <c r="BP34" s="122" t="n">
        <f aca="false">IF(BM34=1,BI34,"")</f>
        <v>34.89</v>
      </c>
      <c r="BQ34" s="44" t="str">
        <f aca="false">IF(AND(BM34=1,BN34&lt;=12),BH34,"")</f>
        <v/>
      </c>
      <c r="BR34" s="44" t="str">
        <f aca="false">IF(AND(BM34=1,BN34&lt;=12),BI34,"")</f>
        <v/>
      </c>
      <c r="BS34" s="44" t="str">
        <f aca="false">IF(AND(BM34=1,BN34&lt;=6),BH34,"")</f>
        <v/>
      </c>
      <c r="BT34" s="44" t="str">
        <f aca="false">IF(AND(BM34=1,BN34&lt;=6),BI34,"")</f>
        <v/>
      </c>
      <c r="BU34" s="123" t="n">
        <f aca="false">IF(AND(ISNUMBER(BJ34),ISNUMBER(BK34)),BJ34,"")</f>
        <v>-0.0248742314141979</v>
      </c>
      <c r="BV34" s="44" t="n">
        <f aca="false">IF(AND(ISNUMBER(BJ34),ISNUMBER(BK34)),BK34,"")</f>
        <v>0.225</v>
      </c>
      <c r="BW34" s="123" t="n">
        <f aca="false">IF(AND(ISNUMBER(BJ34),ISNUMBER(BH34)),BJ34,"")</f>
        <v>-0.0248742314141979</v>
      </c>
      <c r="BX34" s="44" t="n">
        <f aca="false">IF(AND(ISNUMBER(BJ34),ISNUMBER(BH34)),BH34,"")</f>
        <v>4.885</v>
      </c>
      <c r="BY34" s="44" t="n">
        <f aca="false">IF(BM34=1,BH34,NA())</f>
        <v>4.885</v>
      </c>
      <c r="BZ34" s="122" t="n">
        <f aca="false">IF(BM34=1,BI34,NA())</f>
        <v>34.89</v>
      </c>
      <c r="CA34" s="44" t="n">
        <f aca="false">IF(BM34=1,LN(BI34),"")</f>
        <v>3.55220025519868</v>
      </c>
      <c r="CB34" s="123" t="n">
        <f aca="false">IF(ISNUMBER(BU34),BU34,NA())</f>
        <v>-0.0248742314141979</v>
      </c>
      <c r="CC34" s="44" t="n">
        <f aca="false">IF(ISNUMBER(BV34),BV34,NA())</f>
        <v>0.225</v>
      </c>
      <c r="CD34" s="124" t="n">
        <f aca="false">IF(BG34="",NA(),BG34)</f>
        <v>45292</v>
      </c>
      <c r="CE34" s="44" t="n">
        <f aca="false">IF(ISNUMBER(BH34),BH34,NA())</f>
        <v>4.885</v>
      </c>
      <c r="CF34" s="122" t="n">
        <f aca="false">IF(ISNUMBER(BI34),BI34,NA())</f>
        <v>34.89</v>
      </c>
      <c r="CH34" s="55" t="n">
        <f aca="false">IF(ISNUMBER(CI34),IF(ISNUMBER('Base de Datos'!AG30),IF('Base de Datos'!AG30&gt;20000,INT('Base de Datos'!AG30),""),IF(TRIM('Base de Datos'!AG30)="","",IFERROR(DATE(VALUE(RIGHT(TRIM('Base de Datos'!AG30),4)),VALUE(MID(TRIM('Base de Datos'!AG30),4,2)),VALUE(LEFT(TRIM('Base de Datos'!AG30),2))),IFERROR(DATEVALUE(TRIM('Base de Datos'!AG30)),"")))),"")</f>
        <v>44927</v>
      </c>
      <c r="CI34" s="56" t="n">
        <f aca="false">IF(ISNUMBER('Base de Datos'!AH30),'Base de Datos'!AH30,IF(TRIM('Base de Datos'!AH30)="","",IFERROR(IF(IFERROR(FIND("@",SUBSTITUTE(TRIM('Base de Datos'!AH30),",","@",LEN(TRIM('Base de Datos'!AH30))-LEN(SUBSTITUTE(TRIM('Base de Datos'!AH30),",","")))),0)&gt;IFERROR(FIND("@",SUBSTITUTE(TRIM('Base de Datos'!AH30),".","@",LEN(TRIM('Base de Datos'!AH30))-LEN(SUBSTITUTE(TRIM('Base de Datos'!AH30),".","")))),0),_xlfn.NUMBERVALUE(SUBSTITUTE(SUBSTITUTE(TRIM('Base de Datos'!AH30),".",""),",","."),".",","),_xlfn.NUMBERVALUE(SUBSTITUTE(TRIM('Base de Datos'!AH30),",",""),".",",")),"")))</f>
        <v>7.94</v>
      </c>
    </row>
    <row r="35" customFormat="false" ht="13.8" hidden="false" customHeight="false" outlineLevel="0" collapsed="false">
      <c r="AE35" s="44" t="n">
        <v>26</v>
      </c>
      <c r="AF35" s="55" t="n">
        <f aca="false">IF(AF34="","",IFERROR(SMALL($CH$10:$CH$309,COUNTIF($CH$10:$CH$309,"&lt;="&amp;AF34)+1),""))</f>
        <v>44942</v>
      </c>
      <c r="AG35" s="56" t="n">
        <f aca="false">IF(AF35="","",INDEX($CI$10:$CI$309,MATCH(AF35,$CH$10:$CH$309,0)))</f>
        <v>7.88</v>
      </c>
      <c r="AH35" s="55" t="n">
        <f aca="false">IF(AF35="",NA(),AF35)</f>
        <v>44942</v>
      </c>
      <c r="AI35" s="56" t="n">
        <f aca="false">IF(AG35="",NA(),AG35)</f>
        <v>7.88</v>
      </c>
      <c r="AU35" s="44" t="n">
        <f aca="false">IF(26&lt;=$C$8,26,"")</f>
        <v>26</v>
      </c>
      <c r="AV35" s="56" t="n">
        <f aca="false">IF(AU35="","",INDEX($AG$10:$AG$309,$B$8+26-1))</f>
        <v>4.87</v>
      </c>
      <c r="AW35" s="56" t="n">
        <f aca="false">IF(AV35="",NA(),AV35)</f>
        <v>4.87</v>
      </c>
      <c r="AX35" s="44" t="n">
        <f aca="false">IF(AV35="",NA(),AU35)</f>
        <v>26</v>
      </c>
      <c r="AY35" s="44" t="n">
        <f aca="false">IF(AV35="","",LN(AV35))</f>
        <v>1.5830939370945</v>
      </c>
      <c r="BA35" s="44" t="str">
        <f aca="false">IF(26&lt;=INT($C$8/6),26,"")</f>
        <v/>
      </c>
      <c r="BB35" s="44" t="str">
        <f aca="false">IF(BA35="","",AVERAGE(INDEX($AV$10:$AV$309,151):INDEX($AV$10:$AV$309,156)))</f>
        <v/>
      </c>
      <c r="BC35" s="44" t="e">
        <f aca="false">IF(BB35="",NA(),BB35)</f>
        <v>#N/A</v>
      </c>
      <c r="BD35" s="44" t="e">
        <f aca="false">IF(BB35="",NA(),BA35)</f>
        <v>#N/A</v>
      </c>
      <c r="BE35" s="44" t="str">
        <f aca="false">IF(BB35="","",LN(BB35))</f>
        <v/>
      </c>
      <c r="BG35" s="121" t="n">
        <f aca="false">IF(BG34="","",IF(EDATE(BG34,1)&gt;$C$6,"",EDATE(BG34,1)))</f>
        <v>45323</v>
      </c>
      <c r="BH35" s="44" t="n">
        <f aca="false">IF(BG35="","",IFERROR(AVERAGEIFS($AG$10:$AG$309,$AF$10:$AF$309,"&gt;="&amp;BG35,$AF$10:$AF$309,"&lt;="&amp;EOMONTH(BG35,0)),""))</f>
        <v>4.4</v>
      </c>
      <c r="BI35" s="122" t="n">
        <f aca="false">IF(BG35="","",IFERROR(INDEX(Rendimientos!$C$13:$C$412,MATCH(_xlfn.MAXIFS(Rendimientos!$B$13:$B$412,Rendimientos!$B$13:$B$412,"&lt;="&amp;EOMONTH(BG35,0),Rendimientos!$B$13:$B$412,"&gt;="&amp;BG35),Rendimientos!$B$13:$B$412,0)),IFERROR(INDEX(Rendimientos!$T$13:$T$512,MATCH(_xlfn.MAXIFS(Rendimientos!$S$13:$S$512,Rendimientos!$S$13:$S$512,"&lt;="&amp;EOMONTH(BG35,0),Rendimientos!$S$13:$S$512,"&gt;="&amp;BG35),Rendimientos!$S$13:$S$512,0)),"")))</f>
        <v>33.3</v>
      </c>
      <c r="BJ35" s="123" t="n">
        <f aca="false">IF(AND(ISNUMBER(BI35),ISNUMBER(BI34)),BI35/BI34-1,"")</f>
        <v>-0.0455717970765264</v>
      </c>
      <c r="BK35" s="44" t="n">
        <f aca="false">IF(AND(ISNUMBER(BH35),ISNUMBER(BH34)),BH35-BH34,"")</f>
        <v>-0.484999999999999</v>
      </c>
      <c r="BL35" s="123" t="n">
        <f aca="false">IF(AND(ISNUMBER(BH35),ISNUMBER(BH34)),BH35/BH34-1,"")</f>
        <v>-0.0992835209825997</v>
      </c>
      <c r="BM35" s="44" t="n">
        <f aca="false">IF(AND(ISNUMBER(BH35),ISNUMBER(BI35)),1,"")</f>
        <v>1</v>
      </c>
      <c r="BN35" s="44" t="n">
        <f aca="false">IF(BM35=1,COUNT(BM35:BM$69),"")</f>
        <v>32</v>
      </c>
      <c r="BO35" s="44" t="n">
        <f aca="false">IF(BM35=1,BH35,"")</f>
        <v>4.4</v>
      </c>
      <c r="BP35" s="122" t="n">
        <f aca="false">IF(BM35=1,BI35,"")</f>
        <v>33.3</v>
      </c>
      <c r="BQ35" s="44" t="str">
        <f aca="false">IF(AND(BM35=1,BN35&lt;=12),BH35,"")</f>
        <v/>
      </c>
      <c r="BR35" s="44" t="str">
        <f aca="false">IF(AND(BM35=1,BN35&lt;=12),BI35,"")</f>
        <v/>
      </c>
      <c r="BS35" s="44" t="str">
        <f aca="false">IF(AND(BM35=1,BN35&lt;=6),BH35,"")</f>
        <v/>
      </c>
      <c r="BT35" s="44" t="str">
        <f aca="false">IF(AND(BM35=1,BN35&lt;=6),BI35,"")</f>
        <v/>
      </c>
      <c r="BU35" s="123" t="n">
        <f aca="false">IF(AND(ISNUMBER(BJ35),ISNUMBER(BK35)),BJ35,"")</f>
        <v>-0.0455717970765264</v>
      </c>
      <c r="BV35" s="44" t="n">
        <f aca="false">IF(AND(ISNUMBER(BJ35),ISNUMBER(BK35)),BK35,"")</f>
        <v>-0.484999999999999</v>
      </c>
      <c r="BW35" s="123" t="n">
        <f aca="false">IF(AND(ISNUMBER(BJ35),ISNUMBER(BH35)),BJ35,"")</f>
        <v>-0.0455717970765264</v>
      </c>
      <c r="BX35" s="44" t="n">
        <f aca="false">IF(AND(ISNUMBER(BJ35),ISNUMBER(BH35)),BH35,"")</f>
        <v>4.4</v>
      </c>
      <c r="BY35" s="44" t="n">
        <f aca="false">IF(BM35=1,BH35,NA())</f>
        <v>4.4</v>
      </c>
      <c r="BZ35" s="122" t="n">
        <f aca="false">IF(BM35=1,BI35,NA())</f>
        <v>33.3</v>
      </c>
      <c r="CA35" s="44" t="n">
        <f aca="false">IF(BM35=1,LN(BI35),"")</f>
        <v>3.5055573969864</v>
      </c>
      <c r="CB35" s="123" t="n">
        <f aca="false">IF(ISNUMBER(BU35),BU35,NA())</f>
        <v>-0.0455717970765264</v>
      </c>
      <c r="CC35" s="44" t="n">
        <f aca="false">IF(ISNUMBER(BV35),BV35,NA())</f>
        <v>-0.484999999999999</v>
      </c>
      <c r="CD35" s="124" t="n">
        <f aca="false">IF(BG35="",NA(),BG35)</f>
        <v>45323</v>
      </c>
      <c r="CE35" s="44" t="n">
        <f aca="false">IF(ISNUMBER(BH35),BH35,NA())</f>
        <v>4.4</v>
      </c>
      <c r="CF35" s="122" t="n">
        <f aca="false">IF(ISNUMBER(BI35),BI35,NA())</f>
        <v>33.3</v>
      </c>
      <c r="CH35" s="55" t="n">
        <f aca="false">IF(ISNUMBER(CI35),IF(ISNUMBER('Base de Datos'!AG31),IF('Base de Datos'!AG31&gt;20000,INT('Base de Datos'!AG31),""),IF(TRIM('Base de Datos'!AG31)="","",IFERROR(DATE(VALUE(RIGHT(TRIM('Base de Datos'!AG31),4)),VALUE(MID(TRIM('Base de Datos'!AG31),4,2)),VALUE(LEFT(TRIM('Base de Datos'!AG31),2))),IFERROR(DATEVALUE(TRIM('Base de Datos'!AG31)),"")))),"")</f>
        <v>44942</v>
      </c>
      <c r="CI35" s="56" t="n">
        <f aca="false">IF(ISNUMBER('Base de Datos'!AH31),'Base de Datos'!AH31,IF(TRIM('Base de Datos'!AH31)="","",IFERROR(IF(IFERROR(FIND("@",SUBSTITUTE(TRIM('Base de Datos'!AH31),",","@",LEN(TRIM('Base de Datos'!AH31))-LEN(SUBSTITUTE(TRIM('Base de Datos'!AH31),",","")))),0)&gt;IFERROR(FIND("@",SUBSTITUTE(TRIM('Base de Datos'!AH31),".","@",LEN(TRIM('Base de Datos'!AH31))-LEN(SUBSTITUTE(TRIM('Base de Datos'!AH31),".","")))),0),_xlfn.NUMBERVALUE(SUBSTITUTE(SUBSTITUTE(TRIM('Base de Datos'!AH31),".",""),",","."),".",","),_xlfn.NUMBERVALUE(SUBSTITUTE(TRIM('Base de Datos'!AH31),",",""),".",",")),"")))</f>
        <v>7.88</v>
      </c>
    </row>
    <row r="36" customFormat="false" ht="13.8" hidden="false" customHeight="false" outlineLevel="0" collapsed="false">
      <c r="A36" s="49" t="s">
        <v>1639</v>
      </c>
      <c r="AE36" s="44" t="n">
        <v>27</v>
      </c>
      <c r="AF36" s="55" t="n">
        <f aca="false">IF(AF35="","",IFERROR(SMALL($CH$10:$CH$309,COUNTIF($CH$10:$CH$309,"&lt;="&amp;AF35)+1),""))</f>
        <v>44958</v>
      </c>
      <c r="AG36" s="56" t="n">
        <f aca="false">IF(AF36="","",INDEX($CI$10:$CI$309,MATCH(AF36,$CH$10:$CH$309,0)))</f>
        <v>7.76</v>
      </c>
      <c r="AH36" s="55" t="n">
        <f aca="false">IF(AF36="",NA(),AF36)</f>
        <v>44958</v>
      </c>
      <c r="AI36" s="56" t="n">
        <f aca="false">IF(AG36="",NA(),AG36)</f>
        <v>7.76</v>
      </c>
      <c r="AU36" s="44" t="n">
        <f aca="false">IF(27&lt;=$C$8,27,"")</f>
        <v>27</v>
      </c>
      <c r="AV36" s="56" t="n">
        <f aca="false">IF(AU36="","",INDEX($AG$10:$AG$309,$B$8+27-1))</f>
        <v>4.45</v>
      </c>
      <c r="AW36" s="56" t="n">
        <f aca="false">IF(AV36="",NA(),AV36)</f>
        <v>4.45</v>
      </c>
      <c r="AX36" s="44" t="n">
        <f aca="false">IF(AV36="",NA(),AU36)</f>
        <v>27</v>
      </c>
      <c r="AY36" s="44" t="n">
        <f aca="false">IF(AV36="","",LN(AV36))</f>
        <v>1.49290409617815</v>
      </c>
      <c r="BA36" s="44" t="str">
        <f aca="false">IF(27&lt;=INT($C$8/6),27,"")</f>
        <v/>
      </c>
      <c r="BB36" s="44" t="str">
        <f aca="false">IF(BA36="","",AVERAGE(INDEX($AV$10:$AV$309,157):INDEX($AV$10:$AV$309,162)))</f>
        <v/>
      </c>
      <c r="BC36" s="44" t="e">
        <f aca="false">IF(BB36="",NA(),BB36)</f>
        <v>#N/A</v>
      </c>
      <c r="BD36" s="44" t="e">
        <f aca="false">IF(BB36="",NA(),BA36)</f>
        <v>#N/A</v>
      </c>
      <c r="BE36" s="44" t="str">
        <f aca="false">IF(BB36="","",LN(BB36))</f>
        <v/>
      </c>
      <c r="BG36" s="121" t="n">
        <f aca="false">IF(BG35="","",IF(EDATE(BG35,1)&gt;$C$6,"",EDATE(BG35,1)))</f>
        <v>45352</v>
      </c>
      <c r="BH36" s="44" t="n">
        <f aca="false">IF(BG36="","",IFERROR(AVERAGEIFS($AG$10:$AG$309,$AF$10:$AF$309,"&gt;="&amp;BG36,$AF$10:$AF$309,"&lt;="&amp;EOMONTH(BG36,0)),""))</f>
        <v>4.425</v>
      </c>
      <c r="BI36" s="122" t="n">
        <f aca="false">IF(BG36="","",IFERROR(INDEX(Rendimientos!$C$13:$C$412,MATCH(_xlfn.MAXIFS(Rendimientos!$B$13:$B$412,Rendimientos!$B$13:$B$412,"&lt;="&amp;EOMONTH(BG36,0),Rendimientos!$B$13:$B$412,"&gt;="&amp;BG36),Rendimientos!$B$13:$B$412,0)),IFERROR(INDEX(Rendimientos!$T$13:$T$512,MATCH(_xlfn.MAXIFS(Rendimientos!$S$13:$S$512,Rendimientos!$S$13:$S$512,"&lt;="&amp;EOMONTH(BG36,0),Rendimientos!$S$13:$S$512,"&gt;="&amp;BG36),Rendimientos!$S$13:$S$512,0)),"")))</f>
        <v>33.97</v>
      </c>
      <c r="BJ36" s="123" t="n">
        <f aca="false">IF(AND(ISNUMBER(BI36),ISNUMBER(BI35)),BI36/BI35-1,"")</f>
        <v>0.0201201201201202</v>
      </c>
      <c r="BK36" s="44" t="n">
        <f aca="false">IF(AND(ISNUMBER(BH36),ISNUMBER(BH35)),BH36-BH35,"")</f>
        <v>0.0250000000000004</v>
      </c>
      <c r="BL36" s="123" t="n">
        <f aca="false">IF(AND(ISNUMBER(BH36),ISNUMBER(BH35)),BH36/BH35-1,"")</f>
        <v>0.00568181818181834</v>
      </c>
      <c r="BM36" s="44" t="n">
        <f aca="false">IF(AND(ISNUMBER(BH36),ISNUMBER(BI36)),1,"")</f>
        <v>1</v>
      </c>
      <c r="BN36" s="44" t="n">
        <f aca="false">IF(BM36=1,COUNT(BM36:BM$69),"")</f>
        <v>31</v>
      </c>
      <c r="BO36" s="44" t="n">
        <f aca="false">IF(BM36=1,BH36,"")</f>
        <v>4.425</v>
      </c>
      <c r="BP36" s="122" t="n">
        <f aca="false">IF(BM36=1,BI36,"")</f>
        <v>33.97</v>
      </c>
      <c r="BQ36" s="44" t="str">
        <f aca="false">IF(AND(BM36=1,BN36&lt;=12),BH36,"")</f>
        <v/>
      </c>
      <c r="BR36" s="44" t="str">
        <f aca="false">IF(AND(BM36=1,BN36&lt;=12),BI36,"")</f>
        <v/>
      </c>
      <c r="BS36" s="44" t="str">
        <f aca="false">IF(AND(BM36=1,BN36&lt;=6),BH36,"")</f>
        <v/>
      </c>
      <c r="BT36" s="44" t="str">
        <f aca="false">IF(AND(BM36=1,BN36&lt;=6),BI36,"")</f>
        <v/>
      </c>
      <c r="BU36" s="123" t="n">
        <f aca="false">IF(AND(ISNUMBER(BJ36),ISNUMBER(BK36)),BJ36,"")</f>
        <v>0.0201201201201202</v>
      </c>
      <c r="BV36" s="44" t="n">
        <f aca="false">IF(AND(ISNUMBER(BJ36),ISNUMBER(BK36)),BK36,"")</f>
        <v>0.0250000000000004</v>
      </c>
      <c r="BW36" s="123" t="n">
        <f aca="false">IF(AND(ISNUMBER(BJ36),ISNUMBER(BH36)),BJ36,"")</f>
        <v>0.0201201201201202</v>
      </c>
      <c r="BX36" s="44" t="n">
        <f aca="false">IF(AND(ISNUMBER(BJ36),ISNUMBER(BH36)),BH36,"")</f>
        <v>4.425</v>
      </c>
      <c r="BY36" s="44" t="n">
        <f aca="false">IF(BM36=1,BH36,NA())</f>
        <v>4.425</v>
      </c>
      <c r="BZ36" s="122" t="n">
        <f aca="false">IF(BM36=1,BI36,NA())</f>
        <v>33.97</v>
      </c>
      <c r="CA36" s="44" t="n">
        <f aca="false">IF(BM36=1,LN(BI36),"")</f>
        <v>3.52547778217249</v>
      </c>
      <c r="CB36" s="123" t="n">
        <f aca="false">IF(ISNUMBER(BU36),BU36,NA())</f>
        <v>0.0201201201201202</v>
      </c>
      <c r="CC36" s="44" t="n">
        <f aca="false">IF(ISNUMBER(BV36),BV36,NA())</f>
        <v>0.0250000000000004</v>
      </c>
      <c r="CD36" s="124" t="n">
        <f aca="false">IF(BG36="",NA(),BG36)</f>
        <v>45352</v>
      </c>
      <c r="CE36" s="44" t="n">
        <f aca="false">IF(ISNUMBER(BH36),BH36,NA())</f>
        <v>4.425</v>
      </c>
      <c r="CF36" s="122" t="n">
        <f aca="false">IF(ISNUMBER(BI36),BI36,NA())</f>
        <v>33.97</v>
      </c>
      <c r="CH36" s="55" t="n">
        <f aca="false">IF(ISNUMBER(CI36),IF(ISNUMBER('Base de Datos'!AG32),IF('Base de Datos'!AG32&gt;20000,INT('Base de Datos'!AG32),""),IF(TRIM('Base de Datos'!AG32)="","",IFERROR(DATE(VALUE(RIGHT(TRIM('Base de Datos'!AG32),4)),VALUE(MID(TRIM('Base de Datos'!AG32),4,2)),VALUE(LEFT(TRIM('Base de Datos'!AG32),2))),IFERROR(DATEVALUE(TRIM('Base de Datos'!AG32)),"")))),"")</f>
        <v>44958</v>
      </c>
      <c r="CI36" s="56" t="n">
        <f aca="false">IF(ISNUMBER('Base de Datos'!AH32),'Base de Datos'!AH32,IF(TRIM('Base de Datos'!AH32)="","",IFERROR(IF(IFERROR(FIND("@",SUBSTITUTE(TRIM('Base de Datos'!AH32),",","@",LEN(TRIM('Base de Datos'!AH32))-LEN(SUBSTITUTE(TRIM('Base de Datos'!AH32),",","")))),0)&gt;IFERROR(FIND("@",SUBSTITUTE(TRIM('Base de Datos'!AH32),".","@",LEN(TRIM('Base de Datos'!AH32))-LEN(SUBSTITUTE(TRIM('Base de Datos'!AH32),".","")))),0),_xlfn.NUMBERVALUE(SUBSTITUTE(SUBSTITUTE(TRIM('Base de Datos'!AH32),".",""),",","."),".",","),_xlfn.NUMBERVALUE(SUBSTITUTE(TRIM('Base de Datos'!AH32),",",""),".",",")),"")))</f>
        <v>7.76</v>
      </c>
    </row>
    <row r="37" customFormat="false" ht="60" hidden="false" customHeight="true" outlineLevel="0" collapsed="false">
      <c r="A37" s="132" t="s">
        <v>1601</v>
      </c>
      <c r="B37" s="120" t="s">
        <v>1535</v>
      </c>
      <c r="C37" s="120" t="s">
        <v>1606</v>
      </c>
      <c r="D37" s="120" t="s">
        <v>1607</v>
      </c>
      <c r="E37" s="120" t="s">
        <v>1604</v>
      </c>
      <c r="F37" s="120" t="s">
        <v>1640</v>
      </c>
      <c r="G37" s="120" t="s">
        <v>1641</v>
      </c>
      <c r="AE37" s="44" t="n">
        <v>28</v>
      </c>
      <c r="AF37" s="55" t="n">
        <f aca="false">IF(AF36="","",IFERROR(SMALL($CH$10:$CH$309,COUNTIF($CH$10:$CH$309,"&lt;="&amp;AF36)+1),""))</f>
        <v>44973</v>
      </c>
      <c r="AG37" s="56" t="n">
        <f aca="false">IF(AF37="","",INDEX($CI$10:$CI$309,MATCH(AF37,$CH$10:$CH$309,0)))</f>
        <v>7.48</v>
      </c>
      <c r="AH37" s="55" t="n">
        <f aca="false">IF(AF37="",NA(),AF37)</f>
        <v>44973</v>
      </c>
      <c r="AI37" s="56" t="n">
        <f aca="false">IF(AG37="",NA(),AG37)</f>
        <v>7.48</v>
      </c>
      <c r="AU37" s="44" t="n">
        <f aca="false">IF(28&lt;=$C$8,28,"")</f>
        <v>28</v>
      </c>
      <c r="AV37" s="56" t="n">
        <f aca="false">IF(AU37="","",INDEX($AG$10:$AG$309,$B$8+28-1))</f>
        <v>4.35</v>
      </c>
      <c r="AW37" s="56" t="n">
        <f aca="false">IF(AV37="",NA(),AV37)</f>
        <v>4.35</v>
      </c>
      <c r="AX37" s="44" t="n">
        <f aca="false">IF(AV37="",NA(),AU37)</f>
        <v>28</v>
      </c>
      <c r="AY37" s="44" t="n">
        <f aca="false">IF(AV37="","",LN(AV37))</f>
        <v>1.47017584510059</v>
      </c>
      <c r="BA37" s="44" t="str">
        <f aca="false">IF(28&lt;=INT($C$8/6),28,"")</f>
        <v/>
      </c>
      <c r="BB37" s="44" t="str">
        <f aca="false">IF(BA37="","",AVERAGE(INDEX($AV$10:$AV$309,163):INDEX($AV$10:$AV$309,168)))</f>
        <v/>
      </c>
      <c r="BC37" s="44" t="e">
        <f aca="false">IF(BB37="",NA(),BB37)</f>
        <v>#N/A</v>
      </c>
      <c r="BD37" s="44" t="e">
        <f aca="false">IF(BB37="",NA(),BA37)</f>
        <v>#N/A</v>
      </c>
      <c r="BE37" s="44" t="str">
        <f aca="false">IF(BB37="","",LN(BB37))</f>
        <v/>
      </c>
      <c r="BG37" s="121" t="n">
        <f aca="false">IF(BG36="","",IF(EDATE(BG36,1)&gt;$C$6,"",EDATE(BG36,1)))</f>
        <v>45383</v>
      </c>
      <c r="BH37" s="44" t="n">
        <f aca="false">IF(BG37="","",IFERROR(AVERAGEIFS($AG$10:$AG$309,$AF$10:$AF$309,"&gt;="&amp;BG37,$AF$10:$AF$309,"&lt;="&amp;EOMONTH(BG37,0)),""))</f>
        <v>4.65</v>
      </c>
      <c r="BI37" s="122" t="n">
        <f aca="false">IF(BG37="","",IFERROR(INDEX(Rendimientos!$C$13:$C$412,MATCH(_xlfn.MAXIFS(Rendimientos!$B$13:$B$412,Rendimientos!$B$13:$B$412,"&lt;="&amp;EOMONTH(BG37,0),Rendimientos!$B$13:$B$412,"&gt;="&amp;BG37),Rendimientos!$B$13:$B$412,0)),IFERROR(INDEX(Rendimientos!$T$13:$T$512,MATCH(_xlfn.MAXIFS(Rendimientos!$S$13:$S$512,Rendimientos!$S$13:$S$512,"&lt;="&amp;EOMONTH(BG37,0),Rendimientos!$S$13:$S$512,"&gt;="&amp;BG37),Rendimientos!$S$13:$S$512,0)),"")))</f>
        <v>34</v>
      </c>
      <c r="BJ37" s="123" t="n">
        <f aca="false">IF(AND(ISNUMBER(BI37),ISNUMBER(BI36)),BI37/BI36-1,"")</f>
        <v>0.000883132175448997</v>
      </c>
      <c r="BK37" s="44" t="n">
        <f aca="false">IF(AND(ISNUMBER(BH37),ISNUMBER(BH36)),BH37-BH36,"")</f>
        <v>0.225</v>
      </c>
      <c r="BL37" s="123" t="n">
        <f aca="false">IF(AND(ISNUMBER(BH37),ISNUMBER(BH36)),BH37/BH36-1,"")</f>
        <v>0.0508474576271185</v>
      </c>
      <c r="BM37" s="44" t="n">
        <f aca="false">IF(AND(ISNUMBER(BH37),ISNUMBER(BI37)),1,"")</f>
        <v>1</v>
      </c>
      <c r="BN37" s="44" t="n">
        <f aca="false">IF(BM37=1,COUNT(BM37:BM$69),"")</f>
        <v>30</v>
      </c>
      <c r="BO37" s="44" t="n">
        <f aca="false">IF(BM37=1,BH37,"")</f>
        <v>4.65</v>
      </c>
      <c r="BP37" s="122" t="n">
        <f aca="false">IF(BM37=1,BI37,"")</f>
        <v>34</v>
      </c>
      <c r="BQ37" s="44" t="str">
        <f aca="false">IF(AND(BM37=1,BN37&lt;=12),BH37,"")</f>
        <v/>
      </c>
      <c r="BR37" s="44" t="str">
        <f aca="false">IF(AND(BM37=1,BN37&lt;=12),BI37,"")</f>
        <v/>
      </c>
      <c r="BS37" s="44" t="str">
        <f aca="false">IF(AND(BM37=1,BN37&lt;=6),BH37,"")</f>
        <v/>
      </c>
      <c r="BT37" s="44" t="str">
        <f aca="false">IF(AND(BM37=1,BN37&lt;=6),BI37,"")</f>
        <v/>
      </c>
      <c r="BU37" s="123" t="n">
        <f aca="false">IF(AND(ISNUMBER(BJ37),ISNUMBER(BK37)),BJ37,"")</f>
        <v>0.000883132175448997</v>
      </c>
      <c r="BV37" s="44" t="n">
        <f aca="false">IF(AND(ISNUMBER(BJ37),ISNUMBER(BK37)),BK37,"")</f>
        <v>0.225</v>
      </c>
      <c r="BW37" s="123" t="n">
        <f aca="false">IF(AND(ISNUMBER(BJ37),ISNUMBER(BH37)),BJ37,"")</f>
        <v>0.000883132175448997</v>
      </c>
      <c r="BX37" s="44" t="n">
        <f aca="false">IF(AND(ISNUMBER(BJ37),ISNUMBER(BH37)),BH37,"")</f>
        <v>4.65</v>
      </c>
      <c r="BY37" s="44" t="n">
        <f aca="false">IF(BM37=1,BH37,NA())</f>
        <v>4.65</v>
      </c>
      <c r="BZ37" s="122" t="n">
        <f aca="false">IF(BM37=1,BI37,NA())</f>
        <v>34</v>
      </c>
      <c r="CA37" s="44" t="n">
        <f aca="false">IF(BM37=1,LN(BI37),"")</f>
        <v>3.52636052461616</v>
      </c>
      <c r="CB37" s="123" t="n">
        <f aca="false">IF(ISNUMBER(BU37),BU37,NA())</f>
        <v>0.000883132175448997</v>
      </c>
      <c r="CC37" s="44" t="n">
        <f aca="false">IF(ISNUMBER(BV37),BV37,NA())</f>
        <v>0.225</v>
      </c>
      <c r="CD37" s="124" t="n">
        <f aca="false">IF(BG37="",NA(),BG37)</f>
        <v>45383</v>
      </c>
      <c r="CE37" s="44" t="n">
        <f aca="false">IF(ISNUMBER(BH37),BH37,NA())</f>
        <v>4.65</v>
      </c>
      <c r="CF37" s="122" t="n">
        <f aca="false">IF(ISNUMBER(BI37),BI37,NA())</f>
        <v>34</v>
      </c>
      <c r="CH37" s="55" t="n">
        <f aca="false">IF(ISNUMBER(CI37),IF(ISNUMBER('Base de Datos'!AG33),IF('Base de Datos'!AG33&gt;20000,INT('Base de Datos'!AG33),""),IF(TRIM('Base de Datos'!AG33)="","",IFERROR(DATE(VALUE(RIGHT(TRIM('Base de Datos'!AG33),4)),VALUE(MID(TRIM('Base de Datos'!AG33),4,2)),VALUE(LEFT(TRIM('Base de Datos'!AG33),2))),IFERROR(DATEVALUE(TRIM('Base de Datos'!AG33)),"")))),"")</f>
        <v>44973</v>
      </c>
      <c r="CI37" s="56" t="n">
        <f aca="false">IF(ISNUMBER('Base de Datos'!AH33),'Base de Datos'!AH33,IF(TRIM('Base de Datos'!AH33)="","",IFERROR(IF(IFERROR(FIND("@",SUBSTITUTE(TRIM('Base de Datos'!AH33),",","@",LEN(TRIM('Base de Datos'!AH33))-LEN(SUBSTITUTE(TRIM('Base de Datos'!AH33),",","")))),0)&gt;IFERROR(FIND("@",SUBSTITUTE(TRIM('Base de Datos'!AH33),".","@",LEN(TRIM('Base de Datos'!AH33))-LEN(SUBSTITUTE(TRIM('Base de Datos'!AH33),".","")))),0),_xlfn.NUMBERVALUE(SUBSTITUTE(SUBSTITUTE(TRIM('Base de Datos'!AH33),".",""),",","."),".",","),_xlfn.NUMBERVALUE(SUBSTITUTE(TRIM('Base de Datos'!AH33),",",""),".",",")),"")))</f>
        <v>7.48</v>
      </c>
    </row>
    <row r="38" customFormat="false" ht="13.5" hidden="false" customHeight="false" outlineLevel="0" collapsed="false">
      <c r="A38" s="117" t="s">
        <v>1642</v>
      </c>
      <c r="B38" s="117" t="n">
        <f aca="false">COUNT(BP10:BP69)</f>
        <v>57</v>
      </c>
      <c r="C38" s="127" t="n">
        <f aca="false">IF(B38&lt;3,"",SLOPE(BP10:BP69,BO10:BO69))</f>
        <v>-1.02205774715549</v>
      </c>
      <c r="D38" s="127" t="n">
        <f aca="false">IF(B38&lt;3,"",INTERCEPT(BP10:BP69,BO10:BO69))</f>
        <v>34.6863495121824</v>
      </c>
      <c r="E38" s="127" t="n">
        <f aca="false">IF(B38&lt;3,"",RSQ(BP10:BP69,BO10:BO69))</f>
        <v>0.166041473692974</v>
      </c>
      <c r="F38" s="133" t="n">
        <f aca="false">IF(B38&lt;3,"",C38*B21*100+D38)</f>
        <v>31.0989268196666</v>
      </c>
      <c r="G38" s="117" t="str">
        <f aca="false">IF(B38&lt;3,"","y = "&amp;FIXED(C38,4)&amp;"x + "&amp;FIXED(D38,4))</f>
        <v>y = -1.0221x + 34.6863</v>
      </c>
      <c r="AE38" s="44" t="n">
        <v>29</v>
      </c>
      <c r="AF38" s="55" t="n">
        <f aca="false">IF(AF37="","",IFERROR(SMALL($CH$10:$CH$309,COUNTIF($CH$10:$CH$309,"&lt;="&amp;AF37)+1),""))</f>
        <v>44986</v>
      </c>
      <c r="AG38" s="56" t="n">
        <f aca="false">IF(AF38="","",INDEX($CI$10:$CI$309,MATCH(AF38,$CH$10:$CH$309,0)))</f>
        <v>7.12</v>
      </c>
      <c r="AH38" s="55" t="n">
        <f aca="false">IF(AF38="",NA(),AF38)</f>
        <v>44986</v>
      </c>
      <c r="AI38" s="56" t="n">
        <f aca="false">IF(AG38="",NA(),AG38)</f>
        <v>7.12</v>
      </c>
      <c r="AU38" s="44" t="n">
        <f aca="false">IF(29&lt;=$C$8,29,"")</f>
        <v>29</v>
      </c>
      <c r="AV38" s="56" t="n">
        <f aca="false">IF(AU38="","",INDEX($AG$10:$AG$309,$B$8+29-1))</f>
        <v>4.48</v>
      </c>
      <c r="AW38" s="56" t="n">
        <f aca="false">IF(AV38="",NA(),AV38)</f>
        <v>4.48</v>
      </c>
      <c r="AX38" s="44" t="n">
        <f aca="false">IF(AV38="",NA(),AU38)</f>
        <v>29</v>
      </c>
      <c r="AY38" s="44" t="n">
        <f aca="false">IF(AV38="","",LN(AV38))</f>
        <v>1.49962304642689</v>
      </c>
      <c r="BA38" s="44" t="str">
        <f aca="false">IF(29&lt;=INT($C$8/6),29,"")</f>
        <v/>
      </c>
      <c r="BB38" s="44" t="str">
        <f aca="false">IF(BA38="","",AVERAGE(INDEX($AV$10:$AV$309,169):INDEX($AV$10:$AV$309,174)))</f>
        <v/>
      </c>
      <c r="BC38" s="44" t="e">
        <f aca="false">IF(BB38="",NA(),BB38)</f>
        <v>#N/A</v>
      </c>
      <c r="BD38" s="44" t="e">
        <f aca="false">IF(BB38="",NA(),BA38)</f>
        <v>#N/A</v>
      </c>
      <c r="BE38" s="44" t="str">
        <f aca="false">IF(BB38="","",LN(BB38))</f>
        <v/>
      </c>
      <c r="BG38" s="121" t="n">
        <f aca="false">IF(BG37="","",IF(EDATE(BG37,1)&gt;$C$6,"",EDATE(BG37,1)))</f>
        <v>45413</v>
      </c>
      <c r="BH38" s="44" t="n">
        <f aca="false">IF(BG38="","",IFERROR(AVERAGEIFS($AG$10:$AG$309,$AF$10:$AF$309,"&gt;="&amp;BG38,$AF$10:$AF$309,"&lt;="&amp;EOMONTH(BG38,0)),""))</f>
        <v>4.685</v>
      </c>
      <c r="BI38" s="122" t="n">
        <f aca="false">IF(BG38="","",IFERROR(INDEX(Rendimientos!$C$13:$C$412,MATCH(_xlfn.MAXIFS(Rendimientos!$B$13:$B$412,Rendimientos!$B$13:$B$412,"&lt;="&amp;EOMONTH(BG38,0),Rendimientos!$B$13:$B$412,"&gt;="&amp;BG38),Rendimientos!$B$13:$B$412,0)),IFERROR(INDEX(Rendimientos!$T$13:$T$512,MATCH(_xlfn.MAXIFS(Rendimientos!$S$13:$S$512,Rendimientos!$S$13:$S$512,"&lt;="&amp;EOMONTH(BG38,0),Rendimientos!$S$13:$S$512,"&gt;="&amp;BG38),Rendimientos!$S$13:$S$512,0)),"")))</f>
        <v>32.32</v>
      </c>
      <c r="BJ38" s="123" t="n">
        <f aca="false">IF(AND(ISNUMBER(BI38),ISNUMBER(BI37)),BI38/BI37-1,"")</f>
        <v>-0.0494117647058824</v>
      </c>
      <c r="BK38" s="44" t="n">
        <f aca="false">IF(AND(ISNUMBER(BH38),ISNUMBER(BH37)),BH38-BH37,"")</f>
        <v>0.0350000000000001</v>
      </c>
      <c r="BL38" s="123" t="n">
        <f aca="false">IF(AND(ISNUMBER(BH38),ISNUMBER(BH37)),BH38/BH37-1,"")</f>
        <v>0.00752688172043015</v>
      </c>
      <c r="BM38" s="44" t="n">
        <f aca="false">IF(AND(ISNUMBER(BH38),ISNUMBER(BI38)),1,"")</f>
        <v>1</v>
      </c>
      <c r="BN38" s="44" t="n">
        <f aca="false">IF(BM38=1,COUNT(BM38:BM$69),"")</f>
        <v>29</v>
      </c>
      <c r="BO38" s="44" t="n">
        <f aca="false">IF(BM38=1,BH38,"")</f>
        <v>4.685</v>
      </c>
      <c r="BP38" s="122" t="n">
        <f aca="false">IF(BM38=1,BI38,"")</f>
        <v>32.32</v>
      </c>
      <c r="BQ38" s="44" t="str">
        <f aca="false">IF(AND(BM38=1,BN38&lt;=12),BH38,"")</f>
        <v/>
      </c>
      <c r="BR38" s="44" t="str">
        <f aca="false">IF(AND(BM38=1,BN38&lt;=12),BI38,"")</f>
        <v/>
      </c>
      <c r="BS38" s="44" t="str">
        <f aca="false">IF(AND(BM38=1,BN38&lt;=6),BH38,"")</f>
        <v/>
      </c>
      <c r="BT38" s="44" t="str">
        <f aca="false">IF(AND(BM38=1,BN38&lt;=6),BI38,"")</f>
        <v/>
      </c>
      <c r="BU38" s="123" t="n">
        <f aca="false">IF(AND(ISNUMBER(BJ38),ISNUMBER(BK38)),BJ38,"")</f>
        <v>-0.0494117647058824</v>
      </c>
      <c r="BV38" s="44" t="n">
        <f aca="false">IF(AND(ISNUMBER(BJ38),ISNUMBER(BK38)),BK38,"")</f>
        <v>0.0350000000000001</v>
      </c>
      <c r="BW38" s="123" t="n">
        <f aca="false">IF(AND(ISNUMBER(BJ38),ISNUMBER(BH38)),BJ38,"")</f>
        <v>-0.0494117647058824</v>
      </c>
      <c r="BX38" s="44" t="n">
        <f aca="false">IF(AND(ISNUMBER(BJ38),ISNUMBER(BH38)),BH38,"")</f>
        <v>4.685</v>
      </c>
      <c r="BY38" s="44" t="n">
        <f aca="false">IF(BM38=1,BH38,NA())</f>
        <v>4.685</v>
      </c>
      <c r="BZ38" s="122" t="n">
        <f aca="false">IF(BM38=1,BI38,NA())</f>
        <v>32.32</v>
      </c>
      <c r="CA38" s="44" t="n">
        <f aca="false">IF(BM38=1,LN(BI38),"")</f>
        <v>3.47568623365289</v>
      </c>
      <c r="CB38" s="123" t="n">
        <f aca="false">IF(ISNUMBER(BU38),BU38,NA())</f>
        <v>-0.0494117647058824</v>
      </c>
      <c r="CC38" s="44" t="n">
        <f aca="false">IF(ISNUMBER(BV38),BV38,NA())</f>
        <v>0.0350000000000001</v>
      </c>
      <c r="CD38" s="124" t="n">
        <f aca="false">IF(BG38="",NA(),BG38)</f>
        <v>45413</v>
      </c>
      <c r="CE38" s="44" t="n">
        <f aca="false">IF(ISNUMBER(BH38),BH38,NA())</f>
        <v>4.685</v>
      </c>
      <c r="CF38" s="122" t="n">
        <f aca="false">IF(ISNUMBER(BI38),BI38,NA())</f>
        <v>32.32</v>
      </c>
      <c r="CH38" s="55" t="n">
        <f aca="false">IF(ISNUMBER(CI38),IF(ISNUMBER('Base de Datos'!AG34),IF('Base de Datos'!AG34&gt;20000,INT('Base de Datos'!AG34),""),IF(TRIM('Base de Datos'!AG34)="","",IFERROR(DATE(VALUE(RIGHT(TRIM('Base de Datos'!AG34),4)),VALUE(MID(TRIM('Base de Datos'!AG34),4,2)),VALUE(LEFT(TRIM('Base de Datos'!AG34),2))),IFERROR(DATEVALUE(TRIM('Base de Datos'!AG34)),"")))),"")</f>
        <v>44986</v>
      </c>
      <c r="CI38" s="56" t="n">
        <f aca="false">IF(ISNUMBER('Base de Datos'!AH34),'Base de Datos'!AH34,IF(TRIM('Base de Datos'!AH34)="","",IFERROR(IF(IFERROR(FIND("@",SUBSTITUTE(TRIM('Base de Datos'!AH34),",","@",LEN(TRIM('Base de Datos'!AH34))-LEN(SUBSTITUTE(TRIM('Base de Datos'!AH34),",","")))),0)&gt;IFERROR(FIND("@",SUBSTITUTE(TRIM('Base de Datos'!AH34),".","@",LEN(TRIM('Base de Datos'!AH34))-LEN(SUBSTITUTE(TRIM('Base de Datos'!AH34),".","")))),0),_xlfn.NUMBERVALUE(SUBSTITUTE(SUBSTITUTE(TRIM('Base de Datos'!AH34),".",""),",","."),".",","),_xlfn.NUMBERVALUE(SUBSTITUTE(TRIM('Base de Datos'!AH34),",",""),".",",")),"")))</f>
        <v>7.12</v>
      </c>
    </row>
    <row r="39" customFormat="false" ht="13.5" hidden="false" customHeight="false" outlineLevel="0" collapsed="false">
      <c r="A39" s="117" t="s">
        <v>1643</v>
      </c>
      <c r="B39" s="117" t="n">
        <f aca="false">COUNT(CA10:CA69)</f>
        <v>57</v>
      </c>
      <c r="C39" s="127" t="n">
        <f aca="false">IF(B39&lt;3,"",EXP(INTERCEPT(CA10:CA69,BO10:BO69)))</f>
        <v>35.1853123917174</v>
      </c>
      <c r="D39" s="126" t="n">
        <f aca="false">IF(B39&lt;3,"",SLOPE(CA10:CA69,BO10:BO69))</f>
        <v>-0.0366914064907999</v>
      </c>
      <c r="E39" s="127" t="n">
        <f aca="false">IF(B39&lt;3,"",RSQ(CA10:CA69,BO10:BO69))</f>
        <v>0.18204367255062</v>
      </c>
      <c r="F39" s="133" t="n">
        <f aca="false">IF(B39&lt;3,"",C39*EXP(D39*B21*100))</f>
        <v>30.933566757782</v>
      </c>
      <c r="G39" s="117" t="str">
        <f aca="false">IF(B39&lt;3,"","y = "&amp;FIXED(C39,4)&amp;" e^("&amp;FIXED(D39,5)&amp;"x)")</f>
        <v>y = 35.1853 e^(-0.03669x)</v>
      </c>
      <c r="AE39" s="44" t="n">
        <v>30</v>
      </c>
      <c r="AF39" s="55" t="n">
        <f aca="false">IF(AF38="","",IFERROR(SMALL($CH$10:$CH$309,COUNTIF($CH$10:$CH$309,"&lt;="&amp;AF38)+1),""))</f>
        <v>45001</v>
      </c>
      <c r="AG39" s="56" t="n">
        <f aca="false">IF(AF39="","",INDEX($CI$10:$CI$309,MATCH(AF39,$CH$10:$CH$309,0)))</f>
        <v>6.58</v>
      </c>
      <c r="AH39" s="55" t="n">
        <f aca="false">IF(AF39="",NA(),AF39)</f>
        <v>45001</v>
      </c>
      <c r="AI39" s="56" t="n">
        <f aca="false">IF(AG39="",NA(),AG39)</f>
        <v>6.58</v>
      </c>
      <c r="AU39" s="44" t="n">
        <f aca="false">IF(30&lt;=$C$8,30,"")</f>
        <v>30</v>
      </c>
      <c r="AV39" s="56" t="n">
        <f aca="false">IF(AU39="","",INDEX($AG$10:$AG$309,$B$8+30-1))</f>
        <v>4.37</v>
      </c>
      <c r="AW39" s="56" t="n">
        <f aca="false">IF(AV39="",NA(),AV39)</f>
        <v>4.37</v>
      </c>
      <c r="AX39" s="44" t="n">
        <f aca="false">IF(AV39="",NA(),AU39)</f>
        <v>30</v>
      </c>
      <c r="AY39" s="44" t="n">
        <f aca="false">IF(AV39="","",LN(AV39))</f>
        <v>1.4747630091075</v>
      </c>
      <c r="BA39" s="44" t="str">
        <f aca="false">IF(30&lt;=INT($C$8/6),30,"")</f>
        <v/>
      </c>
      <c r="BB39" s="44" t="str">
        <f aca="false">IF(BA39="","",AVERAGE(INDEX($AV$10:$AV$309,175):INDEX($AV$10:$AV$309,180)))</f>
        <v/>
      </c>
      <c r="BC39" s="44" t="e">
        <f aca="false">IF(BB39="",NA(),BB39)</f>
        <v>#N/A</v>
      </c>
      <c r="BD39" s="44" t="e">
        <f aca="false">IF(BB39="",NA(),BA39)</f>
        <v>#N/A</v>
      </c>
      <c r="BE39" s="44" t="str">
        <f aca="false">IF(BB39="","",LN(BB39))</f>
        <v/>
      </c>
      <c r="BG39" s="121" t="n">
        <f aca="false">IF(BG38="","",IF(EDATE(BG38,1)&gt;$C$6,"",EDATE(BG38,1)))</f>
        <v>45444</v>
      </c>
      <c r="BH39" s="44" t="n">
        <f aca="false">IF(BG39="","",IFERROR(AVERAGEIFS($AG$10:$AG$309,$AF$10:$AF$309,"&gt;="&amp;BG39,$AF$10:$AF$309,"&lt;="&amp;EOMONTH(BG39,0)),""))</f>
        <v>4.975</v>
      </c>
      <c r="BI39" s="122" t="n">
        <f aca="false">IF(BG39="","",IFERROR(INDEX(Rendimientos!$C$13:$C$412,MATCH(_xlfn.MAXIFS(Rendimientos!$B$13:$B$412,Rendimientos!$B$13:$B$412,"&lt;="&amp;EOMONTH(BG39,0),Rendimientos!$B$13:$B$412,"&gt;="&amp;BG39),Rendimientos!$B$13:$B$412,0)),IFERROR(INDEX(Rendimientos!$T$13:$T$512,MATCH(_xlfn.MAXIFS(Rendimientos!$S$13:$S$512,Rendimientos!$S$13:$S$512,"&lt;="&amp;EOMONTH(BG39,0),Rendimientos!$S$13:$S$512,"&gt;="&amp;BG39),Rendimientos!$S$13:$S$512,0)),"")))</f>
        <v>29.82</v>
      </c>
      <c r="BJ39" s="123" t="n">
        <f aca="false">IF(AND(ISNUMBER(BI39),ISNUMBER(BI38)),BI39/BI38-1,"")</f>
        <v>-0.0773514851485149</v>
      </c>
      <c r="BK39" s="44" t="n">
        <f aca="false">IF(AND(ISNUMBER(BH39),ISNUMBER(BH38)),BH39-BH38,"")</f>
        <v>0.289999999999999</v>
      </c>
      <c r="BL39" s="123" t="n">
        <f aca="false">IF(AND(ISNUMBER(BH39),ISNUMBER(BH38)),BH39/BH38-1,"")</f>
        <v>0.0618996798292422</v>
      </c>
      <c r="BM39" s="44" t="n">
        <f aca="false">IF(AND(ISNUMBER(BH39),ISNUMBER(BI39)),1,"")</f>
        <v>1</v>
      </c>
      <c r="BN39" s="44" t="n">
        <f aca="false">IF(BM39=1,COUNT(BM39:BM$69),"")</f>
        <v>28</v>
      </c>
      <c r="BO39" s="44" t="n">
        <f aca="false">IF(BM39=1,BH39,"")</f>
        <v>4.975</v>
      </c>
      <c r="BP39" s="122" t="n">
        <f aca="false">IF(BM39=1,BI39,"")</f>
        <v>29.82</v>
      </c>
      <c r="BQ39" s="44" t="str">
        <f aca="false">IF(AND(BM39=1,BN39&lt;=12),BH39,"")</f>
        <v/>
      </c>
      <c r="BR39" s="44" t="str">
        <f aca="false">IF(AND(BM39=1,BN39&lt;=12),BI39,"")</f>
        <v/>
      </c>
      <c r="BS39" s="44" t="str">
        <f aca="false">IF(AND(BM39=1,BN39&lt;=6),BH39,"")</f>
        <v/>
      </c>
      <c r="BT39" s="44" t="str">
        <f aca="false">IF(AND(BM39=1,BN39&lt;=6),BI39,"")</f>
        <v/>
      </c>
      <c r="BU39" s="123" t="n">
        <f aca="false">IF(AND(ISNUMBER(BJ39),ISNUMBER(BK39)),BJ39,"")</f>
        <v>-0.0773514851485149</v>
      </c>
      <c r="BV39" s="44" t="n">
        <f aca="false">IF(AND(ISNUMBER(BJ39),ISNUMBER(BK39)),BK39,"")</f>
        <v>0.289999999999999</v>
      </c>
      <c r="BW39" s="123" t="n">
        <f aca="false">IF(AND(ISNUMBER(BJ39),ISNUMBER(BH39)),BJ39,"")</f>
        <v>-0.0773514851485149</v>
      </c>
      <c r="BX39" s="44" t="n">
        <f aca="false">IF(AND(ISNUMBER(BJ39),ISNUMBER(BH39)),BH39,"")</f>
        <v>4.975</v>
      </c>
      <c r="BY39" s="44" t="n">
        <f aca="false">IF(BM39=1,BH39,NA())</f>
        <v>4.975</v>
      </c>
      <c r="BZ39" s="122" t="n">
        <f aca="false">IF(BM39=1,BI39,NA())</f>
        <v>29.82</v>
      </c>
      <c r="CA39" s="44" t="n">
        <f aca="false">IF(BM39=1,LN(BI39),"")</f>
        <v>3.39517930933659</v>
      </c>
      <c r="CB39" s="123" t="n">
        <f aca="false">IF(ISNUMBER(BU39),BU39,NA())</f>
        <v>-0.0773514851485149</v>
      </c>
      <c r="CC39" s="44" t="n">
        <f aca="false">IF(ISNUMBER(BV39),BV39,NA())</f>
        <v>0.289999999999999</v>
      </c>
      <c r="CD39" s="124" t="n">
        <f aca="false">IF(BG39="",NA(),BG39)</f>
        <v>45444</v>
      </c>
      <c r="CE39" s="44" t="n">
        <f aca="false">IF(ISNUMBER(BH39),BH39,NA())</f>
        <v>4.975</v>
      </c>
      <c r="CF39" s="122" t="n">
        <f aca="false">IF(ISNUMBER(BI39),BI39,NA())</f>
        <v>29.82</v>
      </c>
      <c r="CH39" s="55" t="n">
        <f aca="false">IF(ISNUMBER(CI39),IF(ISNUMBER('Base de Datos'!AG35),IF('Base de Datos'!AG35&gt;20000,INT('Base de Datos'!AG35),""),IF(TRIM('Base de Datos'!AG35)="","",IFERROR(DATE(VALUE(RIGHT(TRIM('Base de Datos'!AG35),4)),VALUE(MID(TRIM('Base de Datos'!AG35),4,2)),VALUE(LEFT(TRIM('Base de Datos'!AG35),2))),IFERROR(DATEVALUE(TRIM('Base de Datos'!AG35)),"")))),"")</f>
        <v>45001</v>
      </c>
      <c r="CI39" s="56" t="n">
        <f aca="false">IF(ISNUMBER('Base de Datos'!AH35),'Base de Datos'!AH35,IF(TRIM('Base de Datos'!AH35)="","",IFERROR(IF(IFERROR(FIND("@",SUBSTITUTE(TRIM('Base de Datos'!AH35),",","@",LEN(TRIM('Base de Datos'!AH35))-LEN(SUBSTITUTE(TRIM('Base de Datos'!AH35),",","")))),0)&gt;IFERROR(FIND("@",SUBSTITUTE(TRIM('Base de Datos'!AH35),".","@",LEN(TRIM('Base de Datos'!AH35))-LEN(SUBSTITUTE(TRIM('Base de Datos'!AH35),".","")))),0),_xlfn.NUMBERVALUE(SUBSTITUTE(SUBSTITUTE(TRIM('Base de Datos'!AH35),".",""),",","."),".",","),_xlfn.NUMBERVALUE(SUBSTITUTE(TRIM('Base de Datos'!AH35),",",""),".",",")),"")))</f>
        <v>6.58</v>
      </c>
    </row>
    <row r="40" customFormat="false" ht="13.5" hidden="false" customHeight="false" outlineLevel="0" collapsed="false">
      <c r="AE40" s="44" t="n">
        <v>31</v>
      </c>
      <c r="AF40" s="55" t="n">
        <f aca="false">IF(AF39="","",IFERROR(SMALL($CH$10:$CH$309,COUNTIF($CH$10:$CH$309,"&lt;="&amp;AF39)+1),""))</f>
        <v>45017</v>
      </c>
      <c r="AG40" s="56" t="n">
        <f aca="false">IF(AF40="","",INDEX($CI$10:$CI$309,MATCH(AF40,$CH$10:$CH$309,0)))</f>
        <v>6.24</v>
      </c>
      <c r="AH40" s="55" t="n">
        <f aca="false">IF(AF40="",NA(),AF40)</f>
        <v>45017</v>
      </c>
      <c r="AI40" s="56" t="n">
        <f aca="false">IF(AG40="",NA(),AG40)</f>
        <v>6.24</v>
      </c>
      <c r="AU40" s="44" t="n">
        <f aca="false">IF(31&lt;=$C$8,31,"")</f>
        <v>31</v>
      </c>
      <c r="AV40" s="56" t="n">
        <f aca="false">IF(AU40="","",INDEX($AG$10:$AG$309,$B$8+31-1))</f>
        <v>4.63</v>
      </c>
      <c r="AW40" s="56" t="n">
        <f aca="false">IF(AV40="",NA(),AV40)</f>
        <v>4.63</v>
      </c>
      <c r="AX40" s="44" t="n">
        <f aca="false">IF(AV40="",NA(),AU40)</f>
        <v>31</v>
      </c>
      <c r="AY40" s="44" t="n">
        <f aca="false">IF(AV40="","",LN(AV40))</f>
        <v>1.53255686809814</v>
      </c>
      <c r="BA40" s="44" t="str">
        <f aca="false">IF(31&lt;=INT($C$8/6),31,"")</f>
        <v/>
      </c>
      <c r="BB40" s="44" t="str">
        <f aca="false">IF(BA40="","",AVERAGE(INDEX($AV$10:$AV$309,181):INDEX($AV$10:$AV$309,186)))</f>
        <v/>
      </c>
      <c r="BC40" s="44" t="e">
        <f aca="false">IF(BB40="",NA(),BB40)</f>
        <v>#N/A</v>
      </c>
      <c r="BD40" s="44" t="e">
        <f aca="false">IF(BB40="",NA(),BA40)</f>
        <v>#N/A</v>
      </c>
      <c r="BE40" s="44" t="str">
        <f aca="false">IF(BB40="","",LN(BB40))</f>
        <v/>
      </c>
      <c r="BG40" s="121" t="n">
        <f aca="false">IF(BG39="","",IF(EDATE(BG39,1)&gt;$C$6,"",EDATE(BG39,1)))</f>
        <v>45474</v>
      </c>
      <c r="BH40" s="44" t="n">
        <f aca="false">IF(BG40="","",IFERROR(AVERAGEIFS($AG$10:$AG$309,$AF$10:$AF$309,"&gt;="&amp;BG40,$AF$10:$AF$309,"&lt;="&amp;EOMONTH(BG40,0)),""))</f>
        <v>5.565</v>
      </c>
      <c r="BI40" s="122" t="n">
        <f aca="false">IF(BG40="","",IFERROR(INDEX(Rendimientos!$C$13:$C$412,MATCH(_xlfn.MAXIFS(Rendimientos!$B$13:$B$412,Rendimientos!$B$13:$B$412,"&lt;="&amp;EOMONTH(BG40,0),Rendimientos!$B$13:$B$412,"&gt;="&amp;BG40),Rendimientos!$B$13:$B$412,0)),IFERROR(INDEX(Rendimientos!$T$13:$T$512,MATCH(_xlfn.MAXIFS(Rendimientos!$S$13:$S$512,Rendimientos!$S$13:$S$512,"&lt;="&amp;EOMONTH(BG40,0),Rendimientos!$S$13:$S$512,"&gt;="&amp;BG40),Rendimientos!$S$13:$S$512,0)),"")))</f>
        <v>31.19</v>
      </c>
      <c r="BJ40" s="123" t="n">
        <f aca="false">IF(AND(ISNUMBER(BI40),ISNUMBER(BI39)),BI40/BI39-1,"")</f>
        <v>0.0459423205902079</v>
      </c>
      <c r="BK40" s="44" t="n">
        <f aca="false">IF(AND(ISNUMBER(BH40),ISNUMBER(BH39)),BH40-BH39,"")</f>
        <v>0.59</v>
      </c>
      <c r="BL40" s="123" t="n">
        <f aca="false">IF(AND(ISNUMBER(BH40),ISNUMBER(BH39)),BH40/BH39-1,"")</f>
        <v>0.118592964824121</v>
      </c>
      <c r="BM40" s="44" t="n">
        <f aca="false">IF(AND(ISNUMBER(BH40),ISNUMBER(BI40)),1,"")</f>
        <v>1</v>
      </c>
      <c r="BN40" s="44" t="n">
        <f aca="false">IF(BM40=1,COUNT(BM40:BM$69),"")</f>
        <v>27</v>
      </c>
      <c r="BO40" s="44" t="n">
        <f aca="false">IF(BM40=1,BH40,"")</f>
        <v>5.565</v>
      </c>
      <c r="BP40" s="122" t="n">
        <f aca="false">IF(BM40=1,BI40,"")</f>
        <v>31.19</v>
      </c>
      <c r="BQ40" s="44" t="str">
        <f aca="false">IF(AND(BM40=1,BN40&lt;=12),BH40,"")</f>
        <v/>
      </c>
      <c r="BR40" s="44" t="str">
        <f aca="false">IF(AND(BM40=1,BN40&lt;=12),BI40,"")</f>
        <v/>
      </c>
      <c r="BS40" s="44" t="str">
        <f aca="false">IF(AND(BM40=1,BN40&lt;=6),BH40,"")</f>
        <v/>
      </c>
      <c r="BT40" s="44" t="str">
        <f aca="false">IF(AND(BM40=1,BN40&lt;=6),BI40,"")</f>
        <v/>
      </c>
      <c r="BU40" s="123" t="n">
        <f aca="false">IF(AND(ISNUMBER(BJ40),ISNUMBER(BK40)),BJ40,"")</f>
        <v>0.0459423205902079</v>
      </c>
      <c r="BV40" s="44" t="n">
        <f aca="false">IF(AND(ISNUMBER(BJ40),ISNUMBER(BK40)),BK40,"")</f>
        <v>0.59</v>
      </c>
      <c r="BW40" s="123" t="n">
        <f aca="false">IF(AND(ISNUMBER(BJ40),ISNUMBER(BH40)),BJ40,"")</f>
        <v>0.0459423205902079</v>
      </c>
      <c r="BX40" s="44" t="n">
        <f aca="false">IF(AND(ISNUMBER(BJ40),ISNUMBER(BH40)),BH40,"")</f>
        <v>5.565</v>
      </c>
      <c r="BY40" s="44" t="n">
        <f aca="false">IF(BM40=1,BH40,NA())</f>
        <v>5.565</v>
      </c>
      <c r="BZ40" s="122" t="n">
        <f aca="false">IF(BM40=1,BI40,NA())</f>
        <v>31.19</v>
      </c>
      <c r="CA40" s="44" t="n">
        <f aca="false">IF(BM40=1,LN(BI40),"")</f>
        <v>3.44009753061971</v>
      </c>
      <c r="CB40" s="123" t="n">
        <f aca="false">IF(ISNUMBER(BU40),BU40,NA())</f>
        <v>0.0459423205902079</v>
      </c>
      <c r="CC40" s="44" t="n">
        <f aca="false">IF(ISNUMBER(BV40),BV40,NA())</f>
        <v>0.59</v>
      </c>
      <c r="CD40" s="124" t="n">
        <f aca="false">IF(BG40="",NA(),BG40)</f>
        <v>45474</v>
      </c>
      <c r="CE40" s="44" t="n">
        <f aca="false">IF(ISNUMBER(BH40),BH40,NA())</f>
        <v>5.565</v>
      </c>
      <c r="CF40" s="122" t="n">
        <f aca="false">IF(ISNUMBER(BI40),BI40,NA())</f>
        <v>31.19</v>
      </c>
      <c r="CH40" s="55" t="n">
        <f aca="false">IF(ISNUMBER(CI40),IF(ISNUMBER('Base de Datos'!AG36),IF('Base de Datos'!AG36&gt;20000,INT('Base de Datos'!AG36),""),IF(TRIM('Base de Datos'!AG36)="","",IFERROR(DATE(VALUE(RIGHT(TRIM('Base de Datos'!AG36),4)),VALUE(MID(TRIM('Base de Datos'!AG36),4,2)),VALUE(LEFT(TRIM('Base de Datos'!AG36),2))),IFERROR(DATEVALUE(TRIM('Base de Datos'!AG36)),"")))),"")</f>
        <v>45017</v>
      </c>
      <c r="CI40" s="56" t="n">
        <f aca="false">IF(ISNUMBER('Base de Datos'!AH36),'Base de Datos'!AH36,IF(TRIM('Base de Datos'!AH36)="","",IFERROR(IF(IFERROR(FIND("@",SUBSTITUTE(TRIM('Base de Datos'!AH36),",","@",LEN(TRIM('Base de Datos'!AH36))-LEN(SUBSTITUTE(TRIM('Base de Datos'!AH36),",","")))),0)&gt;IFERROR(FIND("@",SUBSTITUTE(TRIM('Base de Datos'!AH36),".","@",LEN(TRIM('Base de Datos'!AH36))-LEN(SUBSTITUTE(TRIM('Base de Datos'!AH36),".","")))),0),_xlfn.NUMBERVALUE(SUBSTITUTE(SUBSTITUTE(TRIM('Base de Datos'!AH36),".",""),",","."),".",","),_xlfn.NUMBERVALUE(SUBSTITUTE(TRIM('Base de Datos'!AH36),",",""),".",",")),"")))</f>
        <v>6.24</v>
      </c>
    </row>
    <row r="41" customFormat="false" ht="13.5" hidden="false" customHeight="false" outlineLevel="0" collapsed="false">
      <c r="A41" s="49" t="s">
        <v>1644</v>
      </c>
      <c r="AE41" s="44" t="n">
        <v>32</v>
      </c>
      <c r="AF41" s="55" t="n">
        <f aca="false">IF(AF40="","",IFERROR(SMALL($CH$10:$CH$309,COUNTIF($CH$10:$CH$309,"&lt;="&amp;AF40)+1),""))</f>
        <v>45032</v>
      </c>
      <c r="AG41" s="56" t="n">
        <f aca="false">IF(AF41="","",INDEX($CI$10:$CI$309,MATCH(AF41,$CH$10:$CH$309,0)))</f>
        <v>6.27</v>
      </c>
      <c r="AH41" s="55" t="n">
        <f aca="false">IF(AF41="",NA(),AF41)</f>
        <v>45032</v>
      </c>
      <c r="AI41" s="56" t="n">
        <f aca="false">IF(AG41="",NA(),AG41)</f>
        <v>6.27</v>
      </c>
      <c r="AU41" s="44" t="n">
        <f aca="false">IF(32&lt;=$C$8,32,"")</f>
        <v>32</v>
      </c>
      <c r="AV41" s="56" t="n">
        <f aca="false">IF(AU41="","",INDEX($AG$10:$AG$309,$B$8+32-1))</f>
        <v>4.67</v>
      </c>
      <c r="AW41" s="56" t="n">
        <f aca="false">IF(AV41="",NA(),AV41)</f>
        <v>4.67</v>
      </c>
      <c r="AX41" s="44" t="n">
        <f aca="false">IF(AV41="",NA(),AU41)</f>
        <v>32</v>
      </c>
      <c r="AY41" s="44" t="n">
        <f aca="false">IF(AV41="","",LN(AV41))</f>
        <v>1.54115907168081</v>
      </c>
      <c r="BA41" s="44" t="str">
        <f aca="false">IF(32&lt;=INT($C$8/6),32,"")</f>
        <v/>
      </c>
      <c r="BB41" s="44" t="str">
        <f aca="false">IF(BA41="","",AVERAGE(INDEX($AV$10:$AV$309,187):INDEX($AV$10:$AV$309,192)))</f>
        <v/>
      </c>
      <c r="BC41" s="44" t="e">
        <f aca="false">IF(BB41="",NA(),BB41)</f>
        <v>#N/A</v>
      </c>
      <c r="BD41" s="44" t="e">
        <f aca="false">IF(BB41="",NA(),BA41)</f>
        <v>#N/A</v>
      </c>
      <c r="BE41" s="44" t="str">
        <f aca="false">IF(BB41="","",LN(BB41))</f>
        <v/>
      </c>
      <c r="BG41" s="121" t="n">
        <f aca="false">IF(BG40="","",IF(EDATE(BG40,1)&gt;$C$6,"",EDATE(BG40,1)))</f>
        <v>45505</v>
      </c>
      <c r="BH41" s="44" t="n">
        <f aca="false">IF(BG41="","",IFERROR(AVERAGEIFS($AG$10:$AG$309,$AF$10:$AF$309,"&gt;="&amp;BG41,$AF$10:$AF$309,"&lt;="&amp;EOMONTH(BG41,0)),""))</f>
        <v>4.995</v>
      </c>
      <c r="BI41" s="122" t="n">
        <f aca="false">IF(BG41="","",IFERROR(INDEX(Rendimientos!$C$13:$C$412,MATCH(_xlfn.MAXIFS(Rendimientos!$B$13:$B$412,Rendimientos!$B$13:$B$412,"&lt;="&amp;EOMONTH(BG41,0),Rendimientos!$B$13:$B$412,"&gt;="&amp;BG41),Rendimientos!$B$13:$B$412,0)),IFERROR(INDEX(Rendimientos!$T$13:$T$512,MATCH(_xlfn.MAXIFS(Rendimientos!$S$13:$S$512,Rendimientos!$S$13:$S$512,"&lt;="&amp;EOMONTH(BG41,0),Rendimientos!$S$13:$S$512,"&gt;="&amp;BG41),Rendimientos!$S$13:$S$512,0)),"")))</f>
        <v>30.48</v>
      </c>
      <c r="BJ41" s="123" t="n">
        <f aca="false">IF(AND(ISNUMBER(BI41),ISNUMBER(BI40)),BI41/BI40-1,"")</f>
        <v>-0.022763706316127</v>
      </c>
      <c r="BK41" s="44" t="n">
        <f aca="false">IF(AND(ISNUMBER(BH41),ISNUMBER(BH40)),BH41-BH40,"")</f>
        <v>-0.569999999999999</v>
      </c>
      <c r="BL41" s="123" t="n">
        <f aca="false">IF(AND(ISNUMBER(BH41),ISNUMBER(BH40)),BH41/BH40-1,"")</f>
        <v>-0.102425876010782</v>
      </c>
      <c r="BM41" s="44" t="n">
        <f aca="false">IF(AND(ISNUMBER(BH41),ISNUMBER(BI41)),1,"")</f>
        <v>1</v>
      </c>
      <c r="BN41" s="44" t="n">
        <f aca="false">IF(BM41=1,COUNT(BM41:BM$69),"")</f>
        <v>26</v>
      </c>
      <c r="BO41" s="44" t="n">
        <f aca="false">IF(BM41=1,BH41,"")</f>
        <v>4.995</v>
      </c>
      <c r="BP41" s="122" t="n">
        <f aca="false">IF(BM41=1,BI41,"")</f>
        <v>30.48</v>
      </c>
      <c r="BQ41" s="44" t="str">
        <f aca="false">IF(AND(BM41=1,BN41&lt;=12),BH41,"")</f>
        <v/>
      </c>
      <c r="BR41" s="44" t="str">
        <f aca="false">IF(AND(BM41=1,BN41&lt;=12),BI41,"")</f>
        <v/>
      </c>
      <c r="BS41" s="44" t="str">
        <f aca="false">IF(AND(BM41=1,BN41&lt;=6),BH41,"")</f>
        <v/>
      </c>
      <c r="BT41" s="44" t="str">
        <f aca="false">IF(AND(BM41=1,BN41&lt;=6),BI41,"")</f>
        <v/>
      </c>
      <c r="BU41" s="123" t="n">
        <f aca="false">IF(AND(ISNUMBER(BJ41),ISNUMBER(BK41)),BJ41,"")</f>
        <v>-0.022763706316127</v>
      </c>
      <c r="BV41" s="44" t="n">
        <f aca="false">IF(AND(ISNUMBER(BJ41),ISNUMBER(BK41)),BK41,"")</f>
        <v>-0.569999999999999</v>
      </c>
      <c r="BW41" s="123" t="n">
        <f aca="false">IF(AND(ISNUMBER(BJ41),ISNUMBER(BH41)),BJ41,"")</f>
        <v>-0.022763706316127</v>
      </c>
      <c r="BX41" s="44" t="n">
        <f aca="false">IF(AND(ISNUMBER(BJ41),ISNUMBER(BH41)),BH41,"")</f>
        <v>4.995</v>
      </c>
      <c r="BY41" s="44" t="n">
        <f aca="false">IF(BM41=1,BH41,NA())</f>
        <v>4.995</v>
      </c>
      <c r="BZ41" s="122" t="n">
        <f aca="false">IF(BM41=1,BI41,NA())</f>
        <v>30.48</v>
      </c>
      <c r="CA41" s="44" t="n">
        <f aca="false">IF(BM41=1,LN(BI41),"")</f>
        <v>3.41707073081845</v>
      </c>
      <c r="CB41" s="123" t="n">
        <f aca="false">IF(ISNUMBER(BU41),BU41,NA())</f>
        <v>-0.022763706316127</v>
      </c>
      <c r="CC41" s="44" t="n">
        <f aca="false">IF(ISNUMBER(BV41),BV41,NA())</f>
        <v>-0.569999999999999</v>
      </c>
      <c r="CD41" s="124" t="n">
        <f aca="false">IF(BG41="",NA(),BG41)</f>
        <v>45505</v>
      </c>
      <c r="CE41" s="44" t="n">
        <f aca="false">IF(ISNUMBER(BH41),BH41,NA())</f>
        <v>4.995</v>
      </c>
      <c r="CF41" s="122" t="n">
        <f aca="false">IF(ISNUMBER(BI41),BI41,NA())</f>
        <v>30.48</v>
      </c>
      <c r="CH41" s="55" t="n">
        <f aca="false">IF(ISNUMBER(CI41),IF(ISNUMBER('Base de Datos'!AG37),IF('Base de Datos'!AG37&gt;20000,INT('Base de Datos'!AG37),""),IF(TRIM('Base de Datos'!AG37)="","",IFERROR(DATE(VALUE(RIGHT(TRIM('Base de Datos'!AG37),4)),VALUE(MID(TRIM('Base de Datos'!AG37),4,2)),VALUE(LEFT(TRIM('Base de Datos'!AG37),2))),IFERROR(DATEVALUE(TRIM('Base de Datos'!AG37)),"")))),"")</f>
        <v>45032</v>
      </c>
      <c r="CI41" s="56" t="n">
        <f aca="false">IF(ISNUMBER('Base de Datos'!AH37),'Base de Datos'!AH37,IF(TRIM('Base de Datos'!AH37)="","",IFERROR(IF(IFERROR(FIND("@",SUBSTITUTE(TRIM('Base de Datos'!AH37),",","@",LEN(TRIM('Base de Datos'!AH37))-LEN(SUBSTITUTE(TRIM('Base de Datos'!AH37),",","")))),0)&gt;IFERROR(FIND("@",SUBSTITUTE(TRIM('Base de Datos'!AH37),".","@",LEN(TRIM('Base de Datos'!AH37))-LEN(SUBSTITUTE(TRIM('Base de Datos'!AH37),".","")))),0),_xlfn.NUMBERVALUE(SUBSTITUTE(SUBSTITUTE(TRIM('Base de Datos'!AH37),".",""),",","."),".",","),_xlfn.NUMBERVALUE(SUBSTITUTE(TRIM('Base de Datos'!AH37),",",""),".",",")),"")))</f>
        <v>6.27</v>
      </c>
    </row>
    <row r="42" customFormat="false" ht="60" hidden="false" customHeight="true" outlineLevel="0" collapsed="false">
      <c r="A42" s="120" t="s">
        <v>1645</v>
      </c>
      <c r="B42" s="120" t="s">
        <v>1646</v>
      </c>
      <c r="C42" s="120" t="s">
        <v>1647</v>
      </c>
      <c r="D42" s="120" t="s">
        <v>1648</v>
      </c>
      <c r="E42" s="120" t="s">
        <v>1649</v>
      </c>
      <c r="AE42" s="44" t="n">
        <v>33</v>
      </c>
      <c r="AF42" s="55" t="n">
        <f aca="false">IF(AF41="","",IFERROR(SMALL($CH$10:$CH$309,COUNTIF($CH$10:$CH$309,"&lt;="&amp;AF41)+1),""))</f>
        <v>45047</v>
      </c>
      <c r="AG42" s="56" t="n">
        <f aca="false">IF(AF42="","",INDEX($CI$10:$CI$309,MATCH(AF42,$CH$10:$CH$309,0)))</f>
        <v>6</v>
      </c>
      <c r="AH42" s="55" t="n">
        <f aca="false">IF(AF42="",NA(),AF42)</f>
        <v>45047</v>
      </c>
      <c r="AI42" s="56" t="n">
        <f aca="false">IF(AG42="",NA(),AG42)</f>
        <v>6</v>
      </c>
      <c r="AU42" s="44" t="n">
        <f aca="false">IF(33&lt;=$C$8,33,"")</f>
        <v>33</v>
      </c>
      <c r="AV42" s="56" t="n">
        <f aca="false">IF(AU42="","",INDEX($AG$10:$AG$309,$B$8+33-1))</f>
        <v>4.78</v>
      </c>
      <c r="AW42" s="56" t="n">
        <f aca="false">IF(AV42="",NA(),AV42)</f>
        <v>4.78</v>
      </c>
      <c r="AX42" s="44" t="n">
        <f aca="false">IF(AV42="",NA(),AU42)</f>
        <v>33</v>
      </c>
      <c r="AY42" s="44" t="n">
        <f aca="false">IF(AV42="","",LN(AV42))</f>
        <v>1.56444054650336</v>
      </c>
      <c r="BA42" s="44" t="str">
        <f aca="false">IF(33&lt;=INT($C$8/6),33,"")</f>
        <v/>
      </c>
      <c r="BB42" s="44" t="str">
        <f aca="false">IF(BA42="","",AVERAGE(INDEX($AV$10:$AV$309,193):INDEX($AV$10:$AV$309,198)))</f>
        <v/>
      </c>
      <c r="BC42" s="44" t="e">
        <f aca="false">IF(BB42="",NA(),BB42)</f>
        <v>#N/A</v>
      </c>
      <c r="BD42" s="44" t="e">
        <f aca="false">IF(BB42="",NA(),BA42)</f>
        <v>#N/A</v>
      </c>
      <c r="BE42" s="44" t="str">
        <f aca="false">IF(BB42="","",LN(BB42))</f>
        <v/>
      </c>
      <c r="BG42" s="121" t="n">
        <f aca="false">IF(BG41="","",IF(EDATE(BG41,1)&gt;$C$6,"",EDATE(BG41,1)))</f>
        <v>45536</v>
      </c>
      <c r="BH42" s="44" t="n">
        <f aca="false">IF(BG42="","",IFERROR(AVERAGEIFS($AG$10:$AG$309,$AF$10:$AF$309,"&gt;="&amp;BG42,$AF$10:$AF$309,"&lt;="&amp;EOMONTH(BG42,0)),""))</f>
        <v>4.58</v>
      </c>
      <c r="BI42" s="122" t="n">
        <f aca="false">IF(BG42="","",IFERROR(INDEX(Rendimientos!$C$13:$C$412,MATCH(_xlfn.MAXIFS(Rendimientos!$B$13:$B$412,Rendimientos!$B$13:$B$412,"&lt;="&amp;EOMONTH(BG42,0),Rendimientos!$B$13:$B$412,"&gt;="&amp;BG42),Rendimientos!$B$13:$B$412,0)),IFERROR(INDEX(Rendimientos!$T$13:$T$512,MATCH(_xlfn.MAXIFS(Rendimientos!$S$13:$S$512,Rendimientos!$S$13:$S$512,"&lt;="&amp;EOMONTH(BG42,0),Rendimientos!$S$13:$S$512,"&gt;="&amp;BG42),Rendimientos!$S$13:$S$512,0)),"")))</f>
        <v>30.4</v>
      </c>
      <c r="BJ42" s="123" t="n">
        <f aca="false">IF(AND(ISNUMBER(BI42),ISNUMBER(BI41)),BI42/BI41-1,"")</f>
        <v>-0.00262467191601057</v>
      </c>
      <c r="BK42" s="44" t="n">
        <f aca="false">IF(AND(ISNUMBER(BH42),ISNUMBER(BH41)),BH42-BH41,"")</f>
        <v>-0.415</v>
      </c>
      <c r="BL42" s="123" t="n">
        <f aca="false">IF(AND(ISNUMBER(BH42),ISNUMBER(BH41)),BH42/BH41-1,"")</f>
        <v>-0.0830830830830831</v>
      </c>
      <c r="BM42" s="44" t="n">
        <f aca="false">IF(AND(ISNUMBER(BH42),ISNUMBER(BI42)),1,"")</f>
        <v>1</v>
      </c>
      <c r="BN42" s="44" t="n">
        <f aca="false">IF(BM42=1,COUNT(BM42:BM$69),"")</f>
        <v>25</v>
      </c>
      <c r="BO42" s="44" t="n">
        <f aca="false">IF(BM42=1,BH42,"")</f>
        <v>4.58</v>
      </c>
      <c r="BP42" s="122" t="n">
        <f aca="false">IF(BM42=1,BI42,"")</f>
        <v>30.4</v>
      </c>
      <c r="BQ42" s="44" t="str">
        <f aca="false">IF(AND(BM42=1,BN42&lt;=12),BH42,"")</f>
        <v/>
      </c>
      <c r="BR42" s="44" t="str">
        <f aca="false">IF(AND(BM42=1,BN42&lt;=12),BI42,"")</f>
        <v/>
      </c>
      <c r="BS42" s="44" t="str">
        <f aca="false">IF(AND(BM42=1,BN42&lt;=6),BH42,"")</f>
        <v/>
      </c>
      <c r="BT42" s="44" t="str">
        <f aca="false">IF(AND(BM42=1,BN42&lt;=6),BI42,"")</f>
        <v/>
      </c>
      <c r="BU42" s="123" t="n">
        <f aca="false">IF(AND(ISNUMBER(BJ42),ISNUMBER(BK42)),BJ42,"")</f>
        <v>-0.00262467191601057</v>
      </c>
      <c r="BV42" s="44" t="n">
        <f aca="false">IF(AND(ISNUMBER(BJ42),ISNUMBER(BK42)),BK42,"")</f>
        <v>-0.415</v>
      </c>
      <c r="BW42" s="123" t="n">
        <f aca="false">IF(AND(ISNUMBER(BJ42),ISNUMBER(BH42)),BJ42,"")</f>
        <v>-0.00262467191601057</v>
      </c>
      <c r="BX42" s="44" t="n">
        <f aca="false">IF(AND(ISNUMBER(BJ42),ISNUMBER(BH42)),BH42,"")</f>
        <v>4.58</v>
      </c>
      <c r="BY42" s="44" t="n">
        <f aca="false">IF(BM42=1,BH42,NA())</f>
        <v>4.58</v>
      </c>
      <c r="BZ42" s="122" t="n">
        <f aca="false">IF(BM42=1,BI42,NA())</f>
        <v>30.4</v>
      </c>
      <c r="CA42" s="44" t="n">
        <f aca="false">IF(BM42=1,LN(BI42),"")</f>
        <v>3.41444260841218</v>
      </c>
      <c r="CB42" s="123" t="n">
        <f aca="false">IF(ISNUMBER(BU42),BU42,NA())</f>
        <v>-0.00262467191601057</v>
      </c>
      <c r="CC42" s="44" t="n">
        <f aca="false">IF(ISNUMBER(BV42),BV42,NA())</f>
        <v>-0.415</v>
      </c>
      <c r="CD42" s="124" t="n">
        <f aca="false">IF(BG42="",NA(),BG42)</f>
        <v>45536</v>
      </c>
      <c r="CE42" s="44" t="n">
        <f aca="false">IF(ISNUMBER(BH42),BH42,NA())</f>
        <v>4.58</v>
      </c>
      <c r="CF42" s="122" t="n">
        <f aca="false">IF(ISNUMBER(BI42),BI42,NA())</f>
        <v>30.4</v>
      </c>
      <c r="CH42" s="55" t="n">
        <f aca="false">IF(ISNUMBER(CI42),IF(ISNUMBER('Base de Datos'!AG38),IF('Base de Datos'!AG38&gt;20000,INT('Base de Datos'!AG38),""),IF(TRIM('Base de Datos'!AG38)="","",IFERROR(DATE(VALUE(RIGHT(TRIM('Base de Datos'!AG38),4)),VALUE(MID(TRIM('Base de Datos'!AG38),4,2)),VALUE(LEFT(TRIM('Base de Datos'!AG38),2))),IFERROR(DATEVALUE(TRIM('Base de Datos'!AG38)),"")))),"")</f>
        <v>45047</v>
      </c>
      <c r="CI42" s="56" t="n">
        <f aca="false">IF(ISNUMBER('Base de Datos'!AH38),'Base de Datos'!AH38,IF(TRIM('Base de Datos'!AH38)="","",IFERROR(IF(IFERROR(FIND("@",SUBSTITUTE(TRIM('Base de Datos'!AH38),",","@",LEN(TRIM('Base de Datos'!AH38))-LEN(SUBSTITUTE(TRIM('Base de Datos'!AH38),",","")))),0)&gt;IFERROR(FIND("@",SUBSTITUTE(TRIM('Base de Datos'!AH38),".","@",LEN(TRIM('Base de Datos'!AH38))-LEN(SUBSTITUTE(TRIM('Base de Datos'!AH38),".","")))),0),_xlfn.NUMBERVALUE(SUBSTITUTE(SUBSTITUTE(TRIM('Base de Datos'!AH38),".",""),",","."),".",","),_xlfn.NUMBERVALUE(SUBSTITUTE(TRIM('Base de Datos'!AH38),",",""),".",",")),"")))</f>
        <v>6</v>
      </c>
    </row>
    <row r="43" customFormat="false" ht="13.8" hidden="false" customHeight="false" outlineLevel="0" collapsed="false">
      <c r="A43" s="117" t="s">
        <v>1650</v>
      </c>
      <c r="B43" s="134" t="n">
        <f aca="false">IF(C43="","",INDEX($BG$10:$BG$69,MATCH(C43,$BK$10:$BK$69,0)))</f>
        <v>45474</v>
      </c>
      <c r="C43" s="135" t="n">
        <f aca="false">IFERROR(LARGE($BK$10:$BK$69,1),"")</f>
        <v>0.59</v>
      </c>
      <c r="D43" s="135" t="n">
        <f aca="false">IF(C43="","",INDEX($BH$10:$BH$69,MATCH(C43,$BK$10:$BK$69,0)))</f>
        <v>5.565</v>
      </c>
      <c r="E43" s="128" t="n">
        <f aca="false">IF(C43="","",INDEX($BJ$10:$BJ$69,MATCH(C43,$BK$10:$BK$69,0)))</f>
        <v>0.0459423205902079</v>
      </c>
      <c r="AE43" s="44" t="n">
        <v>34</v>
      </c>
      <c r="AF43" s="55" t="n">
        <f aca="false">IF(AF42="","",IFERROR(SMALL($CH$10:$CH$309,COUNTIF($CH$10:$CH$309,"&lt;="&amp;AF42)+1),""))</f>
        <v>45062</v>
      </c>
      <c r="AG43" s="56" t="n">
        <f aca="false">IF(AF43="","",INDEX($CI$10:$CI$309,MATCH(AF43,$CH$10:$CH$309,0)))</f>
        <v>5.67</v>
      </c>
      <c r="AH43" s="55" t="n">
        <f aca="false">IF(AF43="",NA(),AF43)</f>
        <v>45062</v>
      </c>
      <c r="AI43" s="56" t="n">
        <f aca="false">IF(AG43="",NA(),AG43)</f>
        <v>5.67</v>
      </c>
      <c r="AU43" s="44" t="n">
        <f aca="false">IF(34&lt;=$C$8,34,"")</f>
        <v>34</v>
      </c>
      <c r="AV43" s="56" t="n">
        <f aca="false">IF(AU43="","",INDEX($AG$10:$AG$309,$B$8+34-1))</f>
        <v>4.59</v>
      </c>
      <c r="AW43" s="56" t="n">
        <f aca="false">IF(AV43="",NA(),AV43)</f>
        <v>4.59</v>
      </c>
      <c r="AX43" s="44" t="n">
        <f aca="false">IF(AV43="",NA(),AU43)</f>
        <v>34</v>
      </c>
      <c r="AY43" s="44" t="n">
        <f aca="false">IF(AV43="","",LN(AV43))</f>
        <v>1.52388002407245</v>
      </c>
      <c r="BA43" s="44" t="str">
        <f aca="false">IF(34&lt;=INT($C$8/6),34,"")</f>
        <v/>
      </c>
      <c r="BB43" s="44" t="str">
        <f aca="false">IF(BA43="","",AVERAGE(INDEX($AV$10:$AV$309,199):INDEX($AV$10:$AV$309,204)))</f>
        <v/>
      </c>
      <c r="BC43" s="44" t="e">
        <f aca="false">IF(BB43="",NA(),BB43)</f>
        <v>#N/A</v>
      </c>
      <c r="BD43" s="44" t="e">
        <f aca="false">IF(BB43="",NA(),BA43)</f>
        <v>#N/A</v>
      </c>
      <c r="BE43" s="44" t="str">
        <f aca="false">IF(BB43="","",LN(BB43))</f>
        <v/>
      </c>
      <c r="BG43" s="121" t="n">
        <f aca="false">IF(BG42="","",IF(EDATE(BG42,1)&gt;$C$6,"",EDATE(BG42,1)))</f>
        <v>45566</v>
      </c>
      <c r="BH43" s="44" t="n">
        <f aca="false">IF(BG43="","",IFERROR(AVERAGEIFS($AG$10:$AG$309,$AF$10:$AF$309,"&gt;="&amp;BG43,$AF$10:$AF$309,"&lt;="&amp;EOMONTH(BG43,0)),""))</f>
        <v>4.76</v>
      </c>
      <c r="BI43" s="122" t="n">
        <f aca="false">IF(BG43="","",IFERROR(INDEX(Rendimientos!$C$13:$C$412,MATCH(_xlfn.MAXIFS(Rendimientos!$B$13:$B$412,Rendimientos!$B$13:$B$412,"&lt;="&amp;EOMONTH(BG43,0),Rendimientos!$B$13:$B$412,"&gt;="&amp;BG43),Rendimientos!$B$13:$B$412,0)),IFERROR(INDEX(Rendimientos!$T$13:$T$512,MATCH(_xlfn.MAXIFS(Rendimientos!$S$13:$S$512,Rendimientos!$S$13:$S$512,"&lt;="&amp;EOMONTH(BG43,0),Rendimientos!$S$13:$S$512,"&gt;="&amp;BG43),Rendimientos!$S$13:$S$512,0)),"")))</f>
        <v>28.28</v>
      </c>
      <c r="BJ43" s="123" t="n">
        <f aca="false">IF(AND(ISNUMBER(BI43),ISNUMBER(BI42)),BI43/BI42-1,"")</f>
        <v>-0.0697368421052631</v>
      </c>
      <c r="BK43" s="44" t="n">
        <f aca="false">IF(AND(ISNUMBER(BH43),ISNUMBER(BH42)),BH43-BH42,"")</f>
        <v>0.18</v>
      </c>
      <c r="BL43" s="123" t="n">
        <f aca="false">IF(AND(ISNUMBER(BH43),ISNUMBER(BH42)),BH43/BH42-1,"")</f>
        <v>0.0393013100436681</v>
      </c>
      <c r="BM43" s="44" t="n">
        <f aca="false">IF(AND(ISNUMBER(BH43),ISNUMBER(BI43)),1,"")</f>
        <v>1</v>
      </c>
      <c r="BN43" s="44" t="n">
        <f aca="false">IF(BM43=1,COUNT(BM43:BM$69),"")</f>
        <v>24</v>
      </c>
      <c r="BO43" s="44" t="n">
        <f aca="false">IF(BM43=1,BH43,"")</f>
        <v>4.76</v>
      </c>
      <c r="BP43" s="122" t="n">
        <f aca="false">IF(BM43=1,BI43,"")</f>
        <v>28.28</v>
      </c>
      <c r="BQ43" s="44" t="str">
        <f aca="false">IF(AND(BM43=1,BN43&lt;=12),BH43,"")</f>
        <v/>
      </c>
      <c r="BR43" s="44" t="str">
        <f aca="false">IF(AND(BM43=1,BN43&lt;=12),BI43,"")</f>
        <v/>
      </c>
      <c r="BS43" s="44" t="str">
        <f aca="false">IF(AND(BM43=1,BN43&lt;=6),BH43,"")</f>
        <v/>
      </c>
      <c r="BT43" s="44" t="str">
        <f aca="false">IF(AND(BM43=1,BN43&lt;=6),BI43,"")</f>
        <v/>
      </c>
      <c r="BU43" s="123" t="n">
        <f aca="false">IF(AND(ISNUMBER(BJ43),ISNUMBER(BK43)),BJ43,"")</f>
        <v>-0.0697368421052631</v>
      </c>
      <c r="BV43" s="44" t="n">
        <f aca="false">IF(AND(ISNUMBER(BJ43),ISNUMBER(BK43)),BK43,"")</f>
        <v>0.18</v>
      </c>
      <c r="BW43" s="123" t="n">
        <f aca="false">IF(AND(ISNUMBER(BJ43),ISNUMBER(BH43)),BJ43,"")</f>
        <v>-0.0697368421052631</v>
      </c>
      <c r="BX43" s="44" t="n">
        <f aca="false">IF(AND(ISNUMBER(BJ43),ISNUMBER(BH43)),BH43,"")</f>
        <v>4.76</v>
      </c>
      <c r="BY43" s="44" t="n">
        <f aca="false">IF(BM43=1,BH43,NA())</f>
        <v>4.76</v>
      </c>
      <c r="BZ43" s="122" t="n">
        <f aca="false">IF(BM43=1,BI43,NA())</f>
        <v>28.28</v>
      </c>
      <c r="CA43" s="44" t="n">
        <f aca="false">IF(BM43=1,LN(BI43),"")</f>
        <v>3.34215484102837</v>
      </c>
      <c r="CB43" s="123" t="n">
        <f aca="false">IF(ISNUMBER(BU43),BU43,NA())</f>
        <v>-0.0697368421052631</v>
      </c>
      <c r="CC43" s="44" t="n">
        <f aca="false">IF(ISNUMBER(BV43),BV43,NA())</f>
        <v>0.18</v>
      </c>
      <c r="CD43" s="124" t="n">
        <f aca="false">IF(BG43="",NA(),BG43)</f>
        <v>45566</v>
      </c>
      <c r="CE43" s="44" t="n">
        <f aca="false">IF(ISNUMBER(BH43),BH43,NA())</f>
        <v>4.76</v>
      </c>
      <c r="CF43" s="122" t="n">
        <f aca="false">IF(ISNUMBER(BI43),BI43,NA())</f>
        <v>28.28</v>
      </c>
      <c r="CH43" s="55" t="n">
        <f aca="false">IF(ISNUMBER(CI43),IF(ISNUMBER('Base de Datos'!AG39),IF('Base de Datos'!AG39&gt;20000,INT('Base de Datos'!AG39),""),IF(TRIM('Base de Datos'!AG39)="","",IFERROR(DATE(VALUE(RIGHT(TRIM('Base de Datos'!AG39),4)),VALUE(MID(TRIM('Base de Datos'!AG39),4,2)),VALUE(LEFT(TRIM('Base de Datos'!AG39),2))),IFERROR(DATEVALUE(TRIM('Base de Datos'!AG39)),"")))),"")</f>
        <v>45062</v>
      </c>
      <c r="CI43" s="56" t="n">
        <f aca="false">IF(ISNUMBER('Base de Datos'!AH39),'Base de Datos'!AH39,IF(TRIM('Base de Datos'!AH39)="","",IFERROR(IF(IFERROR(FIND("@",SUBSTITUTE(TRIM('Base de Datos'!AH39),",","@",LEN(TRIM('Base de Datos'!AH39))-LEN(SUBSTITUTE(TRIM('Base de Datos'!AH39),",","")))),0)&gt;IFERROR(FIND("@",SUBSTITUTE(TRIM('Base de Datos'!AH39),".","@",LEN(TRIM('Base de Datos'!AH39))-LEN(SUBSTITUTE(TRIM('Base de Datos'!AH39),".","")))),0),_xlfn.NUMBERVALUE(SUBSTITUTE(SUBSTITUTE(TRIM('Base de Datos'!AH39),".",""),",","."),".",","),_xlfn.NUMBERVALUE(SUBSTITUTE(TRIM('Base de Datos'!AH39),",",""),".",",")),"")))</f>
        <v>5.67</v>
      </c>
    </row>
    <row r="44" customFormat="false" ht="13.8" hidden="false" customHeight="false" outlineLevel="0" collapsed="false">
      <c r="A44" s="117" t="s">
        <v>1651</v>
      </c>
      <c r="B44" s="134" t="n">
        <f aca="false">IF(C44="","",INDEX($BG$10:$BG$69,MATCH(C44,$BK$10:$BK$69,0)))</f>
        <v>46082</v>
      </c>
      <c r="C44" s="135" t="n">
        <f aca="false">IFERROR(LARGE($BK$10:$BK$69,2),"")</f>
        <v>0.565</v>
      </c>
      <c r="D44" s="135" t="n">
        <f aca="false">IF(C44="","",INDEX($BH$10:$BH$69,MATCH(C44,$BK$10:$BK$69,0)))</f>
        <v>4.59</v>
      </c>
      <c r="E44" s="128" t="n">
        <f aca="false">IF(C44="","",INDEX($BJ$10:$BJ$69,MATCH(C44,$BK$10:$BK$69,0)))</f>
        <v>-0.0261314655172413</v>
      </c>
      <c r="AE44" s="44" t="n">
        <v>35</v>
      </c>
      <c r="AF44" s="55" t="n">
        <f aca="false">IF(AF43="","",IFERROR(SMALL($CH$10:$CH$309,COUNTIF($CH$10:$CH$309,"&lt;="&amp;AF43)+1),""))</f>
        <v>45078</v>
      </c>
      <c r="AG44" s="56" t="n">
        <f aca="false">IF(AF44="","",INDEX($CI$10:$CI$309,MATCH(AF44,$CH$10:$CH$309,0)))</f>
        <v>5.18</v>
      </c>
      <c r="AH44" s="55" t="n">
        <f aca="false">IF(AF44="",NA(),AF44)</f>
        <v>45078</v>
      </c>
      <c r="AI44" s="56" t="n">
        <f aca="false">IF(AG44="",NA(),AG44)</f>
        <v>5.18</v>
      </c>
      <c r="AU44" s="44" t="n">
        <f aca="false">IF(35&lt;=$C$8,35,"")</f>
        <v>35</v>
      </c>
      <c r="AV44" s="56" t="n">
        <f aca="false">IF(AU44="","",INDEX($AG$10:$AG$309,$B$8+35-1))</f>
        <v>4.78</v>
      </c>
      <c r="AW44" s="56" t="n">
        <f aca="false">IF(AV44="",NA(),AV44)</f>
        <v>4.78</v>
      </c>
      <c r="AX44" s="44" t="n">
        <f aca="false">IF(AV44="",NA(),AU44)</f>
        <v>35</v>
      </c>
      <c r="AY44" s="44" t="n">
        <f aca="false">IF(AV44="","",LN(AV44))</f>
        <v>1.56444054650336</v>
      </c>
      <c r="BA44" s="44" t="str">
        <f aca="false">IF(35&lt;=INT($C$8/6),35,"")</f>
        <v/>
      </c>
      <c r="BB44" s="44" t="str">
        <f aca="false">IF(BA44="","",AVERAGE(INDEX($AV$10:$AV$309,205):INDEX($AV$10:$AV$309,210)))</f>
        <v/>
      </c>
      <c r="BC44" s="44" t="e">
        <f aca="false">IF(BB44="",NA(),BB44)</f>
        <v>#N/A</v>
      </c>
      <c r="BD44" s="44" t="e">
        <f aca="false">IF(BB44="",NA(),BA44)</f>
        <v>#N/A</v>
      </c>
      <c r="BE44" s="44" t="str">
        <f aca="false">IF(BB44="","",LN(BB44))</f>
        <v/>
      </c>
      <c r="BG44" s="121" t="n">
        <f aca="false">IF(BG43="","",IF(EDATE(BG43,1)&gt;$C$6,"",EDATE(BG43,1)))</f>
        <v>45597</v>
      </c>
      <c r="BH44" s="44" t="n">
        <f aca="false">IF(BG44="","",IFERROR(AVERAGEIFS($AG$10:$AG$309,$AF$10:$AF$309,"&gt;="&amp;BG44,$AF$10:$AF$309,"&lt;="&amp;EOMONTH(BG44,0)),""))</f>
        <v>4.55</v>
      </c>
      <c r="BI44" s="122" t="n">
        <f aca="false">IF(BG44="","",IFERROR(INDEX(Rendimientos!$C$13:$C$412,MATCH(_xlfn.MAXIFS(Rendimientos!$B$13:$B$412,Rendimientos!$B$13:$B$412,"&lt;="&amp;EOMONTH(BG44,0),Rendimientos!$B$13:$B$412,"&gt;="&amp;BG44),Rendimientos!$B$13:$B$412,0)),IFERROR(INDEX(Rendimientos!$T$13:$T$512,MATCH(_xlfn.MAXIFS(Rendimientos!$S$13:$S$512,Rendimientos!$S$13:$S$512,"&lt;="&amp;EOMONTH(BG44,0),Rendimientos!$S$13:$S$512,"&gt;="&amp;BG44),Rendimientos!$S$13:$S$512,0)),"")))</f>
        <v>30.5</v>
      </c>
      <c r="BJ44" s="123" t="n">
        <f aca="false">IF(AND(ISNUMBER(BI44),ISNUMBER(BI43)),BI44/BI43-1,"")</f>
        <v>0.0785007072135784</v>
      </c>
      <c r="BK44" s="44" t="n">
        <f aca="false">IF(AND(ISNUMBER(BH44),ISNUMBER(BH43)),BH44-BH43,"")</f>
        <v>-0.21</v>
      </c>
      <c r="BL44" s="123" t="n">
        <f aca="false">IF(AND(ISNUMBER(BH44),ISNUMBER(BH43)),BH44/BH43-1,"")</f>
        <v>-0.0441176470588235</v>
      </c>
      <c r="BM44" s="44" t="n">
        <f aca="false">IF(AND(ISNUMBER(BH44),ISNUMBER(BI44)),1,"")</f>
        <v>1</v>
      </c>
      <c r="BN44" s="44" t="n">
        <f aca="false">IF(BM44=1,COUNT(BM44:BM$69),"")</f>
        <v>23</v>
      </c>
      <c r="BO44" s="44" t="n">
        <f aca="false">IF(BM44=1,BH44,"")</f>
        <v>4.55</v>
      </c>
      <c r="BP44" s="122" t="n">
        <f aca="false">IF(BM44=1,BI44,"")</f>
        <v>30.5</v>
      </c>
      <c r="BQ44" s="44" t="str">
        <f aca="false">IF(AND(BM44=1,BN44&lt;=12),BH44,"")</f>
        <v/>
      </c>
      <c r="BR44" s="44" t="str">
        <f aca="false">IF(AND(BM44=1,BN44&lt;=12),BI44,"")</f>
        <v/>
      </c>
      <c r="BS44" s="44" t="str">
        <f aca="false">IF(AND(BM44=1,BN44&lt;=6),BH44,"")</f>
        <v/>
      </c>
      <c r="BT44" s="44" t="str">
        <f aca="false">IF(AND(BM44=1,BN44&lt;=6),BI44,"")</f>
        <v/>
      </c>
      <c r="BU44" s="123" t="n">
        <f aca="false">IF(AND(ISNUMBER(BJ44),ISNUMBER(BK44)),BJ44,"")</f>
        <v>0.0785007072135784</v>
      </c>
      <c r="BV44" s="44" t="n">
        <f aca="false">IF(AND(ISNUMBER(BJ44),ISNUMBER(BK44)),BK44,"")</f>
        <v>-0.21</v>
      </c>
      <c r="BW44" s="123" t="n">
        <f aca="false">IF(AND(ISNUMBER(BJ44),ISNUMBER(BH44)),BJ44,"")</f>
        <v>0.0785007072135784</v>
      </c>
      <c r="BX44" s="44" t="n">
        <f aca="false">IF(AND(ISNUMBER(BJ44),ISNUMBER(BH44)),BH44,"")</f>
        <v>4.55</v>
      </c>
      <c r="BY44" s="44" t="n">
        <f aca="false">IF(BM44=1,BH44,NA())</f>
        <v>4.55</v>
      </c>
      <c r="BZ44" s="122" t="n">
        <f aca="false">IF(BM44=1,BI44,NA())</f>
        <v>30.5</v>
      </c>
      <c r="CA44" s="44" t="n">
        <f aca="false">IF(BM44=1,LN(BI44),"")</f>
        <v>3.41772668361337</v>
      </c>
      <c r="CB44" s="123" t="n">
        <f aca="false">IF(ISNUMBER(BU44),BU44,NA())</f>
        <v>0.0785007072135784</v>
      </c>
      <c r="CC44" s="44" t="n">
        <f aca="false">IF(ISNUMBER(BV44),BV44,NA())</f>
        <v>-0.21</v>
      </c>
      <c r="CD44" s="124" t="n">
        <f aca="false">IF(BG44="",NA(),BG44)</f>
        <v>45597</v>
      </c>
      <c r="CE44" s="44" t="n">
        <f aca="false">IF(ISNUMBER(BH44),BH44,NA())</f>
        <v>4.55</v>
      </c>
      <c r="CF44" s="122" t="n">
        <f aca="false">IF(ISNUMBER(BI44),BI44,NA())</f>
        <v>30.5</v>
      </c>
      <c r="CH44" s="55" t="n">
        <f aca="false">IF(ISNUMBER(CI44),IF(ISNUMBER('Base de Datos'!AG40),IF('Base de Datos'!AG40&gt;20000,INT('Base de Datos'!AG40),""),IF(TRIM('Base de Datos'!AG40)="","",IFERROR(DATE(VALUE(RIGHT(TRIM('Base de Datos'!AG40),4)),VALUE(MID(TRIM('Base de Datos'!AG40),4,2)),VALUE(LEFT(TRIM('Base de Datos'!AG40),2))),IFERROR(DATEVALUE(TRIM('Base de Datos'!AG40)),"")))),"")</f>
        <v>45078</v>
      </c>
      <c r="CI44" s="56" t="n">
        <f aca="false">IF(ISNUMBER('Base de Datos'!AH40),'Base de Datos'!AH40,IF(TRIM('Base de Datos'!AH40)="","",IFERROR(IF(IFERROR(FIND("@",SUBSTITUTE(TRIM('Base de Datos'!AH40),",","@",LEN(TRIM('Base de Datos'!AH40))-LEN(SUBSTITUTE(TRIM('Base de Datos'!AH40),",","")))),0)&gt;IFERROR(FIND("@",SUBSTITUTE(TRIM('Base de Datos'!AH40),".","@",LEN(TRIM('Base de Datos'!AH40))-LEN(SUBSTITUTE(TRIM('Base de Datos'!AH40),".","")))),0),_xlfn.NUMBERVALUE(SUBSTITUTE(SUBSTITUTE(TRIM('Base de Datos'!AH40),".",""),",","."),".",","),_xlfn.NUMBERVALUE(SUBSTITUTE(TRIM('Base de Datos'!AH40),",",""),".",",")),"")))</f>
        <v>5.18</v>
      </c>
    </row>
    <row r="45" customFormat="false" ht="13.8" hidden="false" customHeight="false" outlineLevel="0" collapsed="false">
      <c r="A45" s="117" t="s">
        <v>1652</v>
      </c>
      <c r="B45" s="134" t="n">
        <f aca="false">IF(C45="","",INDEX($BG$10:$BG$69,MATCH(C45,$BK$10:$BK$69,0)))</f>
        <v>44774</v>
      </c>
      <c r="C45" s="135" t="n">
        <f aca="false">IFERROR(LARGE($BK$10:$BK$69,3),"")</f>
        <v>0.545</v>
      </c>
      <c r="D45" s="135" t="n">
        <f aca="false">IF(C45="","",INDEX($BH$10:$BH$69,MATCH(C45,$BK$10:$BK$69,0)))</f>
        <v>8.695</v>
      </c>
      <c r="E45" s="128" t="n">
        <f aca="false">IF(C45="","",INDEX($BJ$10:$BJ$69,MATCH(C45,$BK$10:$BK$69,0)))</f>
        <v>-0.00219298245614041</v>
      </c>
      <c r="AE45" s="44" t="n">
        <v>36</v>
      </c>
      <c r="AF45" s="55" t="n">
        <f aca="false">IF(AF44="","",IFERROR(SMALL($CH$10:$CH$309,COUNTIF($CH$10:$CH$309,"&lt;="&amp;AF44)+1),""))</f>
        <v>45093</v>
      </c>
      <c r="AG45" s="56" t="n">
        <f aca="false">IF(AF45="","",INDEX($CI$10:$CI$309,MATCH(AF45,$CH$10:$CH$309,0)))</f>
        <v>4.93</v>
      </c>
      <c r="AH45" s="55" t="n">
        <f aca="false">IF(AF45="",NA(),AF45)</f>
        <v>45093</v>
      </c>
      <c r="AI45" s="56" t="n">
        <f aca="false">IF(AG45="",NA(),AG45)</f>
        <v>4.93</v>
      </c>
      <c r="AU45" s="44" t="n">
        <f aca="false">IF(36&lt;=$C$8,36,"")</f>
        <v>36</v>
      </c>
      <c r="AV45" s="56" t="n">
        <f aca="false">IF(AU45="","",INDEX($AG$10:$AG$309,$B$8+36-1))</f>
        <v>5.17</v>
      </c>
      <c r="AW45" s="56" t="n">
        <f aca="false">IF(AV45="",NA(),AV45)</f>
        <v>5.17</v>
      </c>
      <c r="AX45" s="44" t="n">
        <f aca="false">IF(AV45="",NA(),AU45)</f>
        <v>36</v>
      </c>
      <c r="AY45" s="44" t="n">
        <f aca="false">IF(AV45="","",LN(AV45))</f>
        <v>1.64287268852034</v>
      </c>
      <c r="BA45" s="44" t="str">
        <f aca="false">IF(36&lt;=INT($C$8/6),36,"")</f>
        <v/>
      </c>
      <c r="BB45" s="44" t="str">
        <f aca="false">IF(BA45="","",AVERAGE(INDEX($AV$10:$AV$309,211):INDEX($AV$10:$AV$309,216)))</f>
        <v/>
      </c>
      <c r="BC45" s="44" t="e">
        <f aca="false">IF(BB45="",NA(),BB45)</f>
        <v>#N/A</v>
      </c>
      <c r="BD45" s="44" t="e">
        <f aca="false">IF(BB45="",NA(),BA45)</f>
        <v>#N/A</v>
      </c>
      <c r="BE45" s="44" t="str">
        <f aca="false">IF(BB45="","",LN(BB45))</f>
        <v/>
      </c>
      <c r="BG45" s="121" t="n">
        <f aca="false">IF(BG44="","",IF(EDATE(BG44,1)&gt;$C$6,"",EDATE(BG44,1)))</f>
        <v>45627</v>
      </c>
      <c r="BH45" s="44" t="n">
        <f aca="false">IF(BG45="","",IFERROR(AVERAGEIFS($AG$10:$AG$309,$AF$10:$AF$309,"&gt;="&amp;BG45,$AF$10:$AF$309,"&lt;="&amp;EOMONTH(BG45,0)),""))</f>
        <v>4.215</v>
      </c>
      <c r="BI45" s="122" t="n">
        <f aca="false">IF(BG45="","",IFERROR(INDEX(Rendimientos!$C$13:$C$412,MATCH(_xlfn.MAXIFS(Rendimientos!$B$13:$B$412,Rendimientos!$B$13:$B$412,"&lt;="&amp;EOMONTH(BG45,0),Rendimientos!$B$13:$B$412,"&gt;="&amp;BG45),Rendimientos!$B$13:$B$412,0)),IFERROR(INDEX(Rendimientos!$T$13:$T$512,MATCH(_xlfn.MAXIFS(Rendimientos!$S$13:$S$512,Rendimientos!$S$13:$S$512,"&lt;="&amp;EOMONTH(BG45,0),Rendimientos!$S$13:$S$512,"&gt;="&amp;BG45),Rendimientos!$S$13:$S$512,0)),"")))</f>
        <v>29.63</v>
      </c>
      <c r="BJ45" s="123" t="n">
        <f aca="false">IF(AND(ISNUMBER(BI45),ISNUMBER(BI44)),BI45/BI44-1,"")</f>
        <v>-0.0285245901639345</v>
      </c>
      <c r="BK45" s="44" t="n">
        <f aca="false">IF(AND(ISNUMBER(BH45),ISNUMBER(BH44)),BH45-BH44,"")</f>
        <v>-0.335</v>
      </c>
      <c r="BL45" s="123" t="n">
        <f aca="false">IF(AND(ISNUMBER(BH45),ISNUMBER(BH44)),BH45/BH44-1,"")</f>
        <v>-0.0736263736263736</v>
      </c>
      <c r="BM45" s="44" t="n">
        <f aca="false">IF(AND(ISNUMBER(BH45),ISNUMBER(BI45)),1,"")</f>
        <v>1</v>
      </c>
      <c r="BN45" s="44" t="n">
        <f aca="false">IF(BM45=1,COUNT(BM45:BM$69),"")</f>
        <v>22</v>
      </c>
      <c r="BO45" s="44" t="n">
        <f aca="false">IF(BM45=1,BH45,"")</f>
        <v>4.215</v>
      </c>
      <c r="BP45" s="122" t="n">
        <f aca="false">IF(BM45=1,BI45,"")</f>
        <v>29.63</v>
      </c>
      <c r="BQ45" s="44" t="str">
        <f aca="false">IF(AND(BM45=1,BN45&lt;=12),BH45,"")</f>
        <v/>
      </c>
      <c r="BR45" s="44" t="str">
        <f aca="false">IF(AND(BM45=1,BN45&lt;=12),BI45,"")</f>
        <v/>
      </c>
      <c r="BS45" s="44" t="str">
        <f aca="false">IF(AND(BM45=1,BN45&lt;=6),BH45,"")</f>
        <v/>
      </c>
      <c r="BT45" s="44" t="str">
        <f aca="false">IF(AND(BM45=1,BN45&lt;=6),BI45,"")</f>
        <v/>
      </c>
      <c r="BU45" s="123" t="n">
        <f aca="false">IF(AND(ISNUMBER(BJ45),ISNUMBER(BK45)),BJ45,"")</f>
        <v>-0.0285245901639345</v>
      </c>
      <c r="BV45" s="44" t="n">
        <f aca="false">IF(AND(ISNUMBER(BJ45),ISNUMBER(BK45)),BK45,"")</f>
        <v>-0.335</v>
      </c>
      <c r="BW45" s="123" t="n">
        <f aca="false">IF(AND(ISNUMBER(BJ45),ISNUMBER(BH45)),BJ45,"")</f>
        <v>-0.0285245901639345</v>
      </c>
      <c r="BX45" s="44" t="n">
        <f aca="false">IF(AND(ISNUMBER(BJ45),ISNUMBER(BH45)),BH45,"")</f>
        <v>4.215</v>
      </c>
      <c r="BY45" s="44" t="n">
        <f aca="false">IF(BM45=1,BH45,NA())</f>
        <v>4.215</v>
      </c>
      <c r="BZ45" s="122" t="n">
        <f aca="false">IF(BM45=1,BI45,NA())</f>
        <v>29.63</v>
      </c>
      <c r="CA45" s="44" t="n">
        <f aca="false">IF(BM45=1,LN(BI45),"")</f>
        <v>3.38878736158547</v>
      </c>
      <c r="CB45" s="123" t="n">
        <f aca="false">IF(ISNUMBER(BU45),BU45,NA())</f>
        <v>-0.0285245901639345</v>
      </c>
      <c r="CC45" s="44" t="n">
        <f aca="false">IF(ISNUMBER(BV45),BV45,NA())</f>
        <v>-0.335</v>
      </c>
      <c r="CD45" s="124" t="n">
        <f aca="false">IF(BG45="",NA(),BG45)</f>
        <v>45627</v>
      </c>
      <c r="CE45" s="44" t="n">
        <f aca="false">IF(ISNUMBER(BH45),BH45,NA())</f>
        <v>4.215</v>
      </c>
      <c r="CF45" s="122" t="n">
        <f aca="false">IF(ISNUMBER(BI45),BI45,NA())</f>
        <v>29.63</v>
      </c>
      <c r="CH45" s="55" t="n">
        <f aca="false">IF(ISNUMBER(CI45),IF(ISNUMBER('Base de Datos'!AG41),IF('Base de Datos'!AG41&gt;20000,INT('Base de Datos'!AG41),""),IF(TRIM('Base de Datos'!AG41)="","",IFERROR(DATE(VALUE(RIGHT(TRIM('Base de Datos'!AG41),4)),VALUE(MID(TRIM('Base de Datos'!AG41),4,2)),VALUE(LEFT(TRIM('Base de Datos'!AG41),2))),IFERROR(DATEVALUE(TRIM('Base de Datos'!AG41)),"")))),"")</f>
        <v>45093</v>
      </c>
      <c r="CI45" s="56" t="n">
        <f aca="false">IF(ISNUMBER('Base de Datos'!AH41),'Base de Datos'!AH41,IF(TRIM('Base de Datos'!AH41)="","",IFERROR(IF(IFERROR(FIND("@",SUBSTITUTE(TRIM('Base de Datos'!AH41),",","@",LEN(TRIM('Base de Datos'!AH41))-LEN(SUBSTITUTE(TRIM('Base de Datos'!AH41),",","")))),0)&gt;IFERROR(FIND("@",SUBSTITUTE(TRIM('Base de Datos'!AH41),".","@",LEN(TRIM('Base de Datos'!AH41))-LEN(SUBSTITUTE(TRIM('Base de Datos'!AH41),".","")))),0),_xlfn.NUMBERVALUE(SUBSTITUTE(SUBSTITUTE(TRIM('Base de Datos'!AH41),".",""),",","."),".",","),_xlfn.NUMBERVALUE(SUBSTITUTE(TRIM('Base de Datos'!AH41),",",""),".",",")),"")))</f>
        <v>4.93</v>
      </c>
    </row>
    <row r="46" customFormat="false" ht="13.8" hidden="false" customHeight="false" outlineLevel="0" collapsed="false">
      <c r="A46" s="117" t="s">
        <v>1653</v>
      </c>
      <c r="B46" s="134" t="n">
        <f aca="false">IF(C46="","",INDEX($BG$10:$BG$69,MATCH(C46,$BK$10:$BK$69,0)))</f>
        <v>45839</v>
      </c>
      <c r="C46" s="135" t="n">
        <f aca="false">IFERROR(SMALL($BK$10:$BK$69,1),"")</f>
        <v>-0.805000000000001</v>
      </c>
      <c r="D46" s="135" t="n">
        <f aca="false">IF(C46="","",INDEX($BH$10:$BH$69,MATCH(C46,$BK$10:$BK$69,0)))</f>
        <v>3.515</v>
      </c>
      <c r="E46" s="128" t="n">
        <f aca="false">IF(C46="","",INDEX($BJ$10:$BJ$69,MATCH(C46,$BK$10:$BK$69,0)))</f>
        <v>-0.0777777777777778</v>
      </c>
      <c r="AE46" s="44" t="n">
        <v>37</v>
      </c>
      <c r="AF46" s="55" t="n">
        <f aca="false">IF(AF45="","",IFERROR(SMALL($CH$10:$CH$309,COUNTIF($CH$10:$CH$309,"&lt;="&amp;AF45)+1),""))</f>
        <v>45108</v>
      </c>
      <c r="AG46" s="56" t="n">
        <f aca="false">IF(AF46="","",INDEX($CI$10:$CI$309,MATCH(AF46,$CH$10:$CH$309,0)))</f>
        <v>4.79</v>
      </c>
      <c r="AH46" s="55" t="n">
        <f aca="false">IF(AF46="",NA(),AF46)</f>
        <v>45108</v>
      </c>
      <c r="AI46" s="56" t="n">
        <f aca="false">IF(AG46="",NA(),AG46)</f>
        <v>4.79</v>
      </c>
      <c r="AU46" s="44" t="n">
        <f aca="false">IF(37&lt;=$C$8,37,"")</f>
        <v>37</v>
      </c>
      <c r="AV46" s="56" t="n">
        <f aca="false">IF(AU46="","",INDEX($AG$10:$AG$309,$B$8+37-1))</f>
        <v>5.61</v>
      </c>
      <c r="AW46" s="56" t="n">
        <f aca="false">IF(AV46="",NA(),AV46)</f>
        <v>5.61</v>
      </c>
      <c r="AX46" s="44" t="n">
        <f aca="false">IF(AV46="",NA(),AU46)</f>
        <v>37</v>
      </c>
      <c r="AY46" s="44" t="n">
        <f aca="false">IF(AV46="","",LN(AV46))</f>
        <v>1.72455071953461</v>
      </c>
      <c r="BA46" s="44" t="str">
        <f aca="false">IF(37&lt;=INT($C$8/6),37,"")</f>
        <v/>
      </c>
      <c r="BB46" s="44" t="str">
        <f aca="false">IF(BA46="","",AVERAGE(INDEX($AV$10:$AV$309,217):INDEX($AV$10:$AV$309,222)))</f>
        <v/>
      </c>
      <c r="BC46" s="44" t="e">
        <f aca="false">IF(BB46="",NA(),BB46)</f>
        <v>#N/A</v>
      </c>
      <c r="BD46" s="44" t="e">
        <f aca="false">IF(BB46="",NA(),BA46)</f>
        <v>#N/A</v>
      </c>
      <c r="BE46" s="44" t="str">
        <f aca="false">IF(BB46="","",LN(BB46))</f>
        <v/>
      </c>
      <c r="BG46" s="121" t="n">
        <f aca="false">IF(BG45="","",IF(EDATE(BG45,1)&gt;$C$6,"",EDATE(BG45,1)))</f>
        <v>45658</v>
      </c>
      <c r="BH46" s="44" t="n">
        <f aca="false">IF(BG46="","",IFERROR(AVERAGEIFS($AG$10:$AG$309,$AF$10:$AF$309,"&gt;="&amp;BG46,$AF$10:$AF$309,"&lt;="&amp;EOMONTH(BG46,0)),""))</f>
        <v>3.585</v>
      </c>
      <c r="BI46" s="122" t="n">
        <f aca="false">IF(BG46="","",IFERROR(INDEX(Rendimientos!$C$13:$C$412,MATCH(_xlfn.MAXIFS(Rendimientos!$B$13:$B$412,Rendimientos!$B$13:$B$412,"&lt;="&amp;EOMONTH(BG46,0),Rendimientos!$B$13:$B$412,"&gt;="&amp;BG46),Rendimientos!$B$13:$B$412,0)),IFERROR(INDEX(Rendimientos!$T$13:$T$512,MATCH(_xlfn.MAXIFS(Rendimientos!$S$13:$S$512,Rendimientos!$S$13:$S$512,"&lt;="&amp;EOMONTH(BG46,0),Rendimientos!$S$13:$S$512,"&gt;="&amp;BG46),Rendimientos!$S$13:$S$512,0)),"")))</f>
        <v>29.18</v>
      </c>
      <c r="BJ46" s="123" t="n">
        <f aca="false">IF(AND(ISNUMBER(BI46),ISNUMBER(BI45)),BI46/BI45-1,"")</f>
        <v>-0.015187310158623</v>
      </c>
      <c r="BK46" s="44" t="n">
        <f aca="false">IF(AND(ISNUMBER(BH46),ISNUMBER(BH45)),BH46-BH45,"")</f>
        <v>-0.63</v>
      </c>
      <c r="BL46" s="123" t="n">
        <f aca="false">IF(AND(ISNUMBER(BH46),ISNUMBER(BH45)),BH46/BH45-1,"")</f>
        <v>-0.149466192170818</v>
      </c>
      <c r="BM46" s="44" t="n">
        <f aca="false">IF(AND(ISNUMBER(BH46),ISNUMBER(BI46)),1,"")</f>
        <v>1</v>
      </c>
      <c r="BN46" s="44" t="n">
        <f aca="false">IF(BM46=1,COUNT(BM46:BM$69),"")</f>
        <v>21</v>
      </c>
      <c r="BO46" s="44" t="n">
        <f aca="false">IF(BM46=1,BH46,"")</f>
        <v>3.585</v>
      </c>
      <c r="BP46" s="122" t="n">
        <f aca="false">IF(BM46=1,BI46,"")</f>
        <v>29.18</v>
      </c>
      <c r="BQ46" s="44" t="str">
        <f aca="false">IF(AND(BM46=1,BN46&lt;=12),BH46,"")</f>
        <v/>
      </c>
      <c r="BR46" s="44" t="str">
        <f aca="false">IF(AND(BM46=1,BN46&lt;=12),BI46,"")</f>
        <v/>
      </c>
      <c r="BS46" s="44" t="str">
        <f aca="false">IF(AND(BM46=1,BN46&lt;=6),BH46,"")</f>
        <v/>
      </c>
      <c r="BT46" s="44" t="str">
        <f aca="false">IF(AND(BM46=1,BN46&lt;=6),BI46,"")</f>
        <v/>
      </c>
      <c r="BU46" s="123" t="n">
        <f aca="false">IF(AND(ISNUMBER(BJ46),ISNUMBER(BK46)),BJ46,"")</f>
        <v>-0.015187310158623</v>
      </c>
      <c r="BV46" s="44" t="n">
        <f aca="false">IF(AND(ISNUMBER(BJ46),ISNUMBER(BK46)),BK46,"")</f>
        <v>-0.63</v>
      </c>
      <c r="BW46" s="123" t="n">
        <f aca="false">IF(AND(ISNUMBER(BJ46),ISNUMBER(BH46)),BJ46,"")</f>
        <v>-0.015187310158623</v>
      </c>
      <c r="BX46" s="44" t="n">
        <f aca="false">IF(AND(ISNUMBER(BJ46),ISNUMBER(BH46)),BH46,"")</f>
        <v>3.585</v>
      </c>
      <c r="BY46" s="44" t="n">
        <f aca="false">IF(BM46=1,BH46,NA())</f>
        <v>3.585</v>
      </c>
      <c r="BZ46" s="122" t="n">
        <f aca="false">IF(BM46=1,BI46,NA())</f>
        <v>29.18</v>
      </c>
      <c r="CA46" s="44" t="n">
        <f aca="false">IF(BM46=1,LN(BI46),"")</f>
        <v>3.37348354309464</v>
      </c>
      <c r="CB46" s="123" t="n">
        <f aca="false">IF(ISNUMBER(BU46),BU46,NA())</f>
        <v>-0.015187310158623</v>
      </c>
      <c r="CC46" s="44" t="n">
        <f aca="false">IF(ISNUMBER(BV46),BV46,NA())</f>
        <v>-0.63</v>
      </c>
      <c r="CD46" s="124" t="n">
        <f aca="false">IF(BG46="",NA(),BG46)</f>
        <v>45658</v>
      </c>
      <c r="CE46" s="44" t="n">
        <f aca="false">IF(ISNUMBER(BH46),BH46,NA())</f>
        <v>3.585</v>
      </c>
      <c r="CF46" s="122" t="n">
        <f aca="false">IF(ISNUMBER(BI46),BI46,NA())</f>
        <v>29.18</v>
      </c>
      <c r="CH46" s="55" t="n">
        <f aca="false">IF(ISNUMBER(CI46),IF(ISNUMBER('Base de Datos'!AG42),IF('Base de Datos'!AG42&gt;20000,INT('Base de Datos'!AG42),""),IF(TRIM('Base de Datos'!AG42)="","",IFERROR(DATE(VALUE(RIGHT(TRIM('Base de Datos'!AG42),4)),VALUE(MID(TRIM('Base de Datos'!AG42),4,2)),VALUE(LEFT(TRIM('Base de Datos'!AG42),2))),IFERROR(DATEVALUE(TRIM('Base de Datos'!AG42)),"")))),"")</f>
        <v>45108</v>
      </c>
      <c r="CI46" s="56" t="n">
        <f aca="false">IF(ISNUMBER('Base de Datos'!AH42),'Base de Datos'!AH42,IF(TRIM('Base de Datos'!AH42)="","",IFERROR(IF(IFERROR(FIND("@",SUBSTITUTE(TRIM('Base de Datos'!AH42),",","@",LEN(TRIM('Base de Datos'!AH42))-LEN(SUBSTITUTE(TRIM('Base de Datos'!AH42),",","")))),0)&gt;IFERROR(FIND("@",SUBSTITUTE(TRIM('Base de Datos'!AH42),".","@",LEN(TRIM('Base de Datos'!AH42))-LEN(SUBSTITUTE(TRIM('Base de Datos'!AH42),".","")))),0),_xlfn.NUMBERVALUE(SUBSTITUTE(SUBSTITUTE(TRIM('Base de Datos'!AH42),".",""),",","."),".",","),_xlfn.NUMBERVALUE(SUBSTITUTE(TRIM('Base de Datos'!AH42),",",""),".",",")),"")))</f>
        <v>4.79</v>
      </c>
    </row>
    <row r="47" customFormat="false" ht="13.8" hidden="false" customHeight="false" outlineLevel="0" collapsed="false">
      <c r="A47" s="117" t="s">
        <v>1654</v>
      </c>
      <c r="B47" s="134" t="n">
        <f aca="false">IF(C47="","",INDEX($BG$10:$BG$69,MATCH(C47,$BK$10:$BK$69,0)))</f>
        <v>45078</v>
      </c>
      <c r="C47" s="135" t="n">
        <f aca="false">IFERROR(SMALL($BK$10:$BK$69,2),"")</f>
        <v>-0.78</v>
      </c>
      <c r="D47" s="135" t="n">
        <f aca="false">IF(C47="","",INDEX($BH$10:$BH$69,MATCH(C47,$BK$10:$BK$69,0)))</f>
        <v>5.055</v>
      </c>
      <c r="E47" s="128" t="n">
        <f aca="false">IF(C47="","",INDEX($BJ$10:$BJ$69,MATCH(C47,$BK$10:$BK$69,0)))</f>
        <v>-0.0556844547563806</v>
      </c>
      <c r="AE47" s="44" t="n">
        <v>38</v>
      </c>
      <c r="AF47" s="55" t="n">
        <f aca="false">IF(AF46="","",IFERROR(SMALL($CH$10:$CH$309,COUNTIF($CH$10:$CH$309,"&lt;="&amp;AF46)+1),""))</f>
        <v>45123</v>
      </c>
      <c r="AG47" s="56" t="n">
        <f aca="false">IF(AF47="","",INDEX($CI$10:$CI$309,MATCH(AF47,$CH$10:$CH$309,0)))</f>
        <v>4.78</v>
      </c>
      <c r="AH47" s="55" t="n">
        <f aca="false">IF(AF47="",NA(),AF47)</f>
        <v>45123</v>
      </c>
      <c r="AI47" s="56" t="n">
        <f aca="false">IF(AG47="",NA(),AG47)</f>
        <v>4.78</v>
      </c>
      <c r="AU47" s="44" t="n">
        <f aca="false">IF(38&lt;=$C$8,38,"")</f>
        <v>38</v>
      </c>
      <c r="AV47" s="56" t="n">
        <f aca="false">IF(AU47="","",INDEX($AG$10:$AG$309,$B$8+38-1))</f>
        <v>5.52</v>
      </c>
      <c r="AW47" s="56" t="n">
        <f aca="false">IF(AV47="",NA(),AV47)</f>
        <v>5.52</v>
      </c>
      <c r="AX47" s="44" t="n">
        <f aca="false">IF(AV47="",NA(),AU47)</f>
        <v>38</v>
      </c>
      <c r="AY47" s="44" t="n">
        <f aca="false">IF(AV47="","",LN(AV47))</f>
        <v>1.708377860289</v>
      </c>
      <c r="BA47" s="44" t="str">
        <f aca="false">IF(38&lt;=INT($C$8/6),38,"")</f>
        <v/>
      </c>
      <c r="BB47" s="44" t="str">
        <f aca="false">IF(BA47="","",AVERAGE(INDEX($AV$10:$AV$309,223):INDEX($AV$10:$AV$309,228)))</f>
        <v/>
      </c>
      <c r="BC47" s="44" t="e">
        <f aca="false">IF(BB47="",NA(),BB47)</f>
        <v>#N/A</v>
      </c>
      <c r="BD47" s="44" t="e">
        <f aca="false">IF(BB47="",NA(),BA47)</f>
        <v>#N/A</v>
      </c>
      <c r="BE47" s="44" t="str">
        <f aca="false">IF(BB47="","",LN(BB47))</f>
        <v/>
      </c>
      <c r="BG47" s="121" t="n">
        <f aca="false">IF(BG46="","",IF(EDATE(BG46,1)&gt;$C$6,"",EDATE(BG46,1)))</f>
        <v>45689</v>
      </c>
      <c r="BH47" s="44" t="n">
        <f aca="false">IF(BG47="","",IFERROR(AVERAGEIFS($AG$10:$AG$309,$AF$10:$AF$309,"&gt;="&amp;BG47,$AF$10:$AF$309,"&lt;="&amp;EOMONTH(BG47,0)),""))</f>
        <v>3.775</v>
      </c>
      <c r="BI47" s="122" t="n">
        <f aca="false">IF(BG47="","",IFERROR(INDEX(Rendimientos!$C$13:$C$412,MATCH(_xlfn.MAXIFS(Rendimientos!$B$13:$B$412,Rendimientos!$B$13:$B$412,"&lt;="&amp;EOMONTH(BG47,0),Rendimientos!$B$13:$B$412,"&gt;="&amp;BG47),Rendimientos!$B$13:$B$412,0)),IFERROR(INDEX(Rendimientos!$T$13:$T$512,MATCH(_xlfn.MAXIFS(Rendimientos!$S$13:$S$512,Rendimientos!$S$13:$S$512,"&lt;="&amp;EOMONTH(BG47,0),Rendimientos!$S$13:$S$512,"&gt;="&amp;BG47),Rendimientos!$S$13:$S$512,0)),"")))</f>
        <v>27.65</v>
      </c>
      <c r="BJ47" s="123" t="n">
        <f aca="false">IF(AND(ISNUMBER(BI47),ISNUMBER(BI46)),BI47/BI46-1,"")</f>
        <v>-0.0524331734064428</v>
      </c>
      <c r="BK47" s="44" t="n">
        <f aca="false">IF(AND(ISNUMBER(BH47),ISNUMBER(BH46)),BH47-BH46,"")</f>
        <v>0.19</v>
      </c>
      <c r="BL47" s="123" t="n">
        <f aca="false">IF(AND(ISNUMBER(BH47),ISNUMBER(BH46)),BH47/BH46-1,"")</f>
        <v>0.0529986052998606</v>
      </c>
      <c r="BM47" s="44" t="n">
        <f aca="false">IF(AND(ISNUMBER(BH47),ISNUMBER(BI47)),1,"")</f>
        <v>1</v>
      </c>
      <c r="BN47" s="44" t="n">
        <f aca="false">IF(BM47=1,COUNT(BM47:BM$69),"")</f>
        <v>20</v>
      </c>
      <c r="BO47" s="44" t="n">
        <f aca="false">IF(BM47=1,BH47,"")</f>
        <v>3.775</v>
      </c>
      <c r="BP47" s="122" t="n">
        <f aca="false">IF(BM47=1,BI47,"")</f>
        <v>27.65</v>
      </c>
      <c r="BQ47" s="44" t="str">
        <f aca="false">IF(AND(BM47=1,BN47&lt;=12),BH47,"")</f>
        <v/>
      </c>
      <c r="BR47" s="44" t="str">
        <f aca="false">IF(AND(BM47=1,BN47&lt;=12),BI47,"")</f>
        <v/>
      </c>
      <c r="BS47" s="44" t="str">
        <f aca="false">IF(AND(BM47=1,BN47&lt;=6),BH47,"")</f>
        <v/>
      </c>
      <c r="BT47" s="44" t="str">
        <f aca="false">IF(AND(BM47=1,BN47&lt;=6),BI47,"")</f>
        <v/>
      </c>
      <c r="BU47" s="123" t="n">
        <f aca="false">IF(AND(ISNUMBER(BJ47),ISNUMBER(BK47)),BJ47,"")</f>
        <v>-0.0524331734064428</v>
      </c>
      <c r="BV47" s="44" t="n">
        <f aca="false">IF(AND(ISNUMBER(BJ47),ISNUMBER(BK47)),BK47,"")</f>
        <v>0.19</v>
      </c>
      <c r="BW47" s="123" t="n">
        <f aca="false">IF(AND(ISNUMBER(BJ47),ISNUMBER(BH47)),BJ47,"")</f>
        <v>-0.0524331734064428</v>
      </c>
      <c r="BX47" s="44" t="n">
        <f aca="false">IF(AND(ISNUMBER(BJ47),ISNUMBER(BH47)),BH47,"")</f>
        <v>3.775</v>
      </c>
      <c r="BY47" s="44" t="n">
        <f aca="false">IF(BM47=1,BH47,NA())</f>
        <v>3.775</v>
      </c>
      <c r="BZ47" s="122" t="n">
        <f aca="false">IF(BM47=1,BI47,NA())</f>
        <v>27.65</v>
      </c>
      <c r="CA47" s="44" t="n">
        <f aca="false">IF(BM47=1,LN(BI47),"")</f>
        <v>3.31962572796834</v>
      </c>
      <c r="CB47" s="123" t="n">
        <f aca="false">IF(ISNUMBER(BU47),BU47,NA())</f>
        <v>-0.0524331734064428</v>
      </c>
      <c r="CC47" s="44" t="n">
        <f aca="false">IF(ISNUMBER(BV47),BV47,NA())</f>
        <v>0.19</v>
      </c>
      <c r="CD47" s="124" t="n">
        <f aca="false">IF(BG47="",NA(),BG47)</f>
        <v>45689</v>
      </c>
      <c r="CE47" s="44" t="n">
        <f aca="false">IF(ISNUMBER(BH47),BH47,NA())</f>
        <v>3.775</v>
      </c>
      <c r="CF47" s="122" t="n">
        <f aca="false">IF(ISNUMBER(BI47),BI47,NA())</f>
        <v>27.65</v>
      </c>
      <c r="CH47" s="55" t="n">
        <f aca="false">IF(ISNUMBER(CI47),IF(ISNUMBER('Base de Datos'!AG43),IF('Base de Datos'!AG43&gt;20000,INT('Base de Datos'!AG43),""),IF(TRIM('Base de Datos'!AG43)="","",IFERROR(DATE(VALUE(RIGHT(TRIM('Base de Datos'!AG43),4)),VALUE(MID(TRIM('Base de Datos'!AG43),4,2)),VALUE(LEFT(TRIM('Base de Datos'!AG43),2))),IFERROR(DATEVALUE(TRIM('Base de Datos'!AG43)),"")))),"")</f>
        <v>45123</v>
      </c>
      <c r="CI47" s="56" t="n">
        <f aca="false">IF(ISNUMBER('Base de Datos'!AH43),'Base de Datos'!AH43,IF(TRIM('Base de Datos'!AH43)="","",IFERROR(IF(IFERROR(FIND("@",SUBSTITUTE(TRIM('Base de Datos'!AH43),",","@",LEN(TRIM('Base de Datos'!AH43))-LEN(SUBSTITUTE(TRIM('Base de Datos'!AH43),",","")))),0)&gt;IFERROR(FIND("@",SUBSTITUTE(TRIM('Base de Datos'!AH43),".","@",LEN(TRIM('Base de Datos'!AH43))-LEN(SUBSTITUTE(TRIM('Base de Datos'!AH43),".","")))),0),_xlfn.NUMBERVALUE(SUBSTITUTE(SUBSTITUTE(TRIM('Base de Datos'!AH43),".",""),",","."),".",","),_xlfn.NUMBERVALUE(SUBSTITUTE(TRIM('Base de Datos'!AH43),",",""),".",",")),"")))</f>
        <v>4.78</v>
      </c>
    </row>
    <row r="48" customFormat="false" ht="13.8" hidden="false" customHeight="false" outlineLevel="0" collapsed="false">
      <c r="A48" s="117" t="s">
        <v>1655</v>
      </c>
      <c r="B48" s="134" t="n">
        <f aca="false">IF(C48="","",INDEX($BG$10:$BG$69,MATCH(C48,$BK$10:$BK$69,0)))</f>
        <v>44986</v>
      </c>
      <c r="C48" s="135" t="n">
        <f aca="false">IFERROR(SMALL($BK$10:$BK$69,3),"")</f>
        <v>-0.770000000000001</v>
      </c>
      <c r="D48" s="135" t="n">
        <f aca="false">IF(C48="","",INDEX($BH$10:$BH$69,MATCH(C48,$BK$10:$BK$69,0)))</f>
        <v>6.85</v>
      </c>
      <c r="E48" s="128" t="n">
        <f aca="false">IF(C48="","",INDEX($BJ$10:$BJ$69,MATCH(C48,$BK$10:$BK$69,0)))</f>
        <v>0.00879478827361568</v>
      </c>
      <c r="AE48" s="44" t="n">
        <v>39</v>
      </c>
      <c r="AF48" s="55" t="n">
        <f aca="false">IF(AF47="","",IFERROR(SMALL($CH$10:$CH$309,COUNTIF($CH$10:$CH$309,"&lt;="&amp;AF47)+1),""))</f>
        <v>45139</v>
      </c>
      <c r="AG48" s="56" t="n">
        <f aca="false">IF(AF48="","",INDEX($CI$10:$CI$309,MATCH(AF48,$CH$10:$CH$309,0)))</f>
        <v>4.67</v>
      </c>
      <c r="AH48" s="55" t="n">
        <f aca="false">IF(AF48="",NA(),AF48)</f>
        <v>45139</v>
      </c>
      <c r="AI48" s="56" t="n">
        <f aca="false">IF(AG48="",NA(),AG48)</f>
        <v>4.67</v>
      </c>
      <c r="AU48" s="44" t="n">
        <f aca="false">IF(39&lt;=$C$8,39,"")</f>
        <v>39</v>
      </c>
      <c r="AV48" s="56" t="n">
        <f aca="false">IF(AU48="","",INDEX($AG$10:$AG$309,$B$8+39-1))</f>
        <v>5.16</v>
      </c>
      <c r="AW48" s="56" t="n">
        <f aca="false">IF(AV48="",NA(),AV48)</f>
        <v>5.16</v>
      </c>
      <c r="AX48" s="44" t="n">
        <f aca="false">IF(AV48="",NA(),AU48)</f>
        <v>39</v>
      </c>
      <c r="AY48" s="44" t="n">
        <f aca="false">IF(AV48="","",LN(AV48))</f>
        <v>1.64093657949347</v>
      </c>
      <c r="BA48" s="44" t="str">
        <f aca="false">IF(39&lt;=INT($C$8/6),39,"")</f>
        <v/>
      </c>
      <c r="BB48" s="44" t="str">
        <f aca="false">IF(BA48="","",AVERAGE(INDEX($AV$10:$AV$309,229):INDEX($AV$10:$AV$309,234)))</f>
        <v/>
      </c>
      <c r="BC48" s="44" t="e">
        <f aca="false">IF(BB48="",NA(),BB48)</f>
        <v>#N/A</v>
      </c>
      <c r="BD48" s="44" t="e">
        <f aca="false">IF(BB48="",NA(),BA48)</f>
        <v>#N/A</v>
      </c>
      <c r="BE48" s="44" t="str">
        <f aca="false">IF(BB48="","",LN(BB48))</f>
        <v/>
      </c>
      <c r="BG48" s="121" t="n">
        <f aca="false">IF(BG47="","",IF(EDATE(BG47,1)&gt;$C$6,"",EDATE(BG47,1)))</f>
        <v>45717</v>
      </c>
      <c r="BH48" s="44" t="n">
        <f aca="false">IF(BG48="","",IFERROR(AVERAGEIFS($AG$10:$AG$309,$AF$10:$AF$309,"&gt;="&amp;BG48,$AF$10:$AF$309,"&lt;="&amp;EOMONTH(BG48,0)),""))</f>
        <v>3.8</v>
      </c>
      <c r="BI48" s="122" t="n">
        <f aca="false">IF(BG48="","",IFERROR(INDEX(Rendimientos!$C$13:$C$412,MATCH(_xlfn.MAXIFS(Rendimientos!$B$13:$B$412,Rendimientos!$B$13:$B$412,"&lt;="&amp;EOMONTH(BG48,0),Rendimientos!$B$13:$B$412,"&gt;="&amp;BG48),Rendimientos!$B$13:$B$412,0)),IFERROR(INDEX(Rendimientos!$T$13:$T$512,MATCH(_xlfn.MAXIFS(Rendimientos!$S$13:$S$512,Rendimientos!$S$13:$S$512,"&lt;="&amp;EOMONTH(BG48,0),Rendimientos!$S$13:$S$512,"&gt;="&amp;BG48),Rendimientos!$S$13:$S$512,0)),"")))</f>
        <v>26.49</v>
      </c>
      <c r="BJ48" s="123" t="n">
        <f aca="false">IF(AND(ISNUMBER(BI48),ISNUMBER(BI47)),BI48/BI47-1,"")</f>
        <v>-0.0419529837251357</v>
      </c>
      <c r="BK48" s="44" t="n">
        <f aca="false">IF(AND(ISNUMBER(BH48),ISNUMBER(BH47)),BH48-BH47,"")</f>
        <v>0.0249999999999995</v>
      </c>
      <c r="BL48" s="123" t="n">
        <f aca="false">IF(AND(ISNUMBER(BH48),ISNUMBER(BH47)),BH48/BH47-1,"")</f>
        <v>0.0066225165562912</v>
      </c>
      <c r="BM48" s="44" t="n">
        <f aca="false">IF(AND(ISNUMBER(BH48),ISNUMBER(BI48)),1,"")</f>
        <v>1</v>
      </c>
      <c r="BN48" s="44" t="n">
        <f aca="false">IF(BM48=1,COUNT(BM48:BM$69),"")</f>
        <v>19</v>
      </c>
      <c r="BO48" s="44" t="n">
        <f aca="false">IF(BM48=1,BH48,"")</f>
        <v>3.8</v>
      </c>
      <c r="BP48" s="122" t="n">
        <f aca="false">IF(BM48=1,BI48,"")</f>
        <v>26.49</v>
      </c>
      <c r="BQ48" s="44" t="str">
        <f aca="false">IF(AND(BM48=1,BN48&lt;=12),BH48,"")</f>
        <v/>
      </c>
      <c r="BR48" s="44" t="str">
        <f aca="false">IF(AND(BM48=1,BN48&lt;=12),BI48,"")</f>
        <v/>
      </c>
      <c r="BS48" s="44" t="str">
        <f aca="false">IF(AND(BM48=1,BN48&lt;=6),BH48,"")</f>
        <v/>
      </c>
      <c r="BT48" s="44" t="str">
        <f aca="false">IF(AND(BM48=1,BN48&lt;=6),BI48,"")</f>
        <v/>
      </c>
      <c r="BU48" s="123" t="n">
        <f aca="false">IF(AND(ISNUMBER(BJ48),ISNUMBER(BK48)),BJ48,"")</f>
        <v>-0.0419529837251357</v>
      </c>
      <c r="BV48" s="44" t="n">
        <f aca="false">IF(AND(ISNUMBER(BJ48),ISNUMBER(BK48)),BK48,"")</f>
        <v>0.0249999999999995</v>
      </c>
      <c r="BW48" s="123" t="n">
        <f aca="false">IF(AND(ISNUMBER(BJ48),ISNUMBER(BH48)),BJ48,"")</f>
        <v>-0.0419529837251357</v>
      </c>
      <c r="BX48" s="44" t="n">
        <f aca="false">IF(AND(ISNUMBER(BJ48),ISNUMBER(BH48)),BH48,"")</f>
        <v>3.8</v>
      </c>
      <c r="BY48" s="44" t="n">
        <f aca="false">IF(BM48=1,BH48,NA())</f>
        <v>3.8</v>
      </c>
      <c r="BZ48" s="122" t="n">
        <f aca="false">IF(BM48=1,BI48,NA())</f>
        <v>26.49</v>
      </c>
      <c r="CA48" s="44" t="n">
        <f aca="false">IF(BM48=1,LN(BI48),"")</f>
        <v>3.27676730328398</v>
      </c>
      <c r="CB48" s="123" t="n">
        <f aca="false">IF(ISNUMBER(BU48),BU48,NA())</f>
        <v>-0.0419529837251357</v>
      </c>
      <c r="CC48" s="44" t="n">
        <f aca="false">IF(ISNUMBER(BV48),BV48,NA())</f>
        <v>0.0249999999999995</v>
      </c>
      <c r="CD48" s="124" t="n">
        <f aca="false">IF(BG48="",NA(),BG48)</f>
        <v>45717</v>
      </c>
      <c r="CE48" s="44" t="n">
        <f aca="false">IF(ISNUMBER(BH48),BH48,NA())</f>
        <v>3.8</v>
      </c>
      <c r="CF48" s="122" t="n">
        <f aca="false">IF(ISNUMBER(BI48),BI48,NA())</f>
        <v>26.49</v>
      </c>
      <c r="CH48" s="55" t="n">
        <f aca="false">IF(ISNUMBER(CI48),IF(ISNUMBER('Base de Datos'!AG44),IF('Base de Datos'!AG44&gt;20000,INT('Base de Datos'!AG44),""),IF(TRIM('Base de Datos'!AG44)="","",IFERROR(DATE(VALUE(RIGHT(TRIM('Base de Datos'!AG44),4)),VALUE(MID(TRIM('Base de Datos'!AG44),4,2)),VALUE(LEFT(TRIM('Base de Datos'!AG44),2))),IFERROR(DATEVALUE(TRIM('Base de Datos'!AG44)),"")))),"")</f>
        <v>45139</v>
      </c>
      <c r="CI48" s="56" t="n">
        <f aca="false">IF(ISNUMBER('Base de Datos'!AH44),'Base de Datos'!AH44,IF(TRIM('Base de Datos'!AH44)="","",IFERROR(IF(IFERROR(FIND("@",SUBSTITUTE(TRIM('Base de Datos'!AH44),",","@",LEN(TRIM('Base de Datos'!AH44))-LEN(SUBSTITUTE(TRIM('Base de Datos'!AH44),",","")))),0)&gt;IFERROR(FIND("@",SUBSTITUTE(TRIM('Base de Datos'!AH44),".","@",LEN(TRIM('Base de Datos'!AH44))-LEN(SUBSTITUTE(TRIM('Base de Datos'!AH44),".","")))),0),_xlfn.NUMBERVALUE(SUBSTITUTE(SUBSTITUTE(TRIM('Base de Datos'!AH44),".",""),",","."),".",","),_xlfn.NUMBERVALUE(SUBSTITUTE(TRIM('Base de Datos'!AH44),",",""),".",",")),"")))</f>
        <v>4.67</v>
      </c>
    </row>
    <row r="49" customFormat="false" ht="13.8" hidden="false" customHeight="false" outlineLevel="0" collapsed="false">
      <c r="A49" s="117" t="s">
        <v>1656</v>
      </c>
      <c r="B49" s="128" t="n">
        <f aca="false">IFERROR(AVERAGEIFS(BU10:BU69,BV10:BV69,"&gt;0"),"")</f>
        <v>0.012350104946441</v>
      </c>
      <c r="C49" s="117" t="n">
        <f aca="false">COUNTIF(BV10:BV69,"&gt;0")</f>
        <v>30</v>
      </c>
      <c r="AE49" s="44" t="n">
        <v>40</v>
      </c>
      <c r="AF49" s="55" t="n">
        <f aca="false">IF(AF48="","",IFERROR(SMALL($CH$10:$CH$309,COUNTIF($CH$10:$CH$309,"&lt;="&amp;AF48)+1),""))</f>
        <v>45154</v>
      </c>
      <c r="AG49" s="56" t="n">
        <f aca="false">IF(AF49="","",INDEX($CI$10:$CI$309,MATCH(AF49,$CH$10:$CH$309,0)))</f>
        <v>4.6</v>
      </c>
      <c r="AH49" s="55" t="n">
        <f aca="false">IF(AF49="",NA(),AF49)</f>
        <v>45154</v>
      </c>
      <c r="AI49" s="56" t="n">
        <f aca="false">IF(AG49="",NA(),AG49)</f>
        <v>4.6</v>
      </c>
      <c r="AU49" s="44" t="n">
        <f aca="false">IF(40&lt;=$C$8,40,"")</f>
        <v>40</v>
      </c>
      <c r="AV49" s="56" t="n">
        <f aca="false">IF(AU49="","",INDEX($AG$10:$AG$309,$B$8+40-1))</f>
        <v>4.83</v>
      </c>
      <c r="AW49" s="56" t="n">
        <f aca="false">IF(AV49="",NA(),AV49)</f>
        <v>4.83</v>
      </c>
      <c r="AX49" s="44" t="n">
        <f aca="false">IF(AV49="",NA(),AU49)</f>
        <v>40</v>
      </c>
      <c r="AY49" s="44" t="n">
        <f aca="false">IF(AV49="","",LN(AV49))</f>
        <v>1.57484646766448</v>
      </c>
      <c r="BA49" s="44" t="str">
        <f aca="false">IF(40&lt;=INT($C$8/6),40,"")</f>
        <v/>
      </c>
      <c r="BB49" s="44" t="str">
        <f aca="false">IF(BA49="","",AVERAGE(INDEX($AV$10:$AV$309,235):INDEX($AV$10:$AV$309,240)))</f>
        <v/>
      </c>
      <c r="BC49" s="44" t="e">
        <f aca="false">IF(BB49="",NA(),BB49)</f>
        <v>#N/A</v>
      </c>
      <c r="BD49" s="44" t="e">
        <f aca="false">IF(BB49="",NA(),BA49)</f>
        <v>#N/A</v>
      </c>
      <c r="BE49" s="44" t="str">
        <f aca="false">IF(BB49="","",LN(BB49))</f>
        <v/>
      </c>
      <c r="BG49" s="121" t="n">
        <f aca="false">IF(BG48="","",IF(EDATE(BG48,1)&gt;$C$6,"",EDATE(BG48,1)))</f>
        <v>45748</v>
      </c>
      <c r="BH49" s="44" t="n">
        <f aca="false">IF(BG49="","",IFERROR(AVERAGEIFS($AG$10:$AG$309,$AF$10:$AF$309,"&gt;="&amp;BG49,$AF$10:$AF$309,"&lt;="&amp;EOMONTH(BG49,0)),""))</f>
        <v>3.93</v>
      </c>
      <c r="BI49" s="122" t="n">
        <f aca="false">IF(BG49="","",IFERROR(INDEX(Rendimientos!$C$13:$C$412,MATCH(_xlfn.MAXIFS(Rendimientos!$B$13:$B$412,Rendimientos!$B$13:$B$412,"&lt;="&amp;EOMONTH(BG49,0),Rendimientos!$B$13:$B$412,"&gt;="&amp;BG49),Rendimientos!$B$13:$B$412,0)),IFERROR(INDEX(Rendimientos!$T$13:$T$512,MATCH(_xlfn.MAXIFS(Rendimientos!$S$13:$S$512,Rendimientos!$S$13:$S$512,"&lt;="&amp;EOMONTH(BG49,0),Rendimientos!$S$13:$S$512,"&gt;="&amp;BG49),Rendimientos!$S$13:$S$512,0)),"")))</f>
        <v>26.93</v>
      </c>
      <c r="BJ49" s="123" t="n">
        <f aca="false">IF(AND(ISNUMBER(BI49),ISNUMBER(BI48)),BI49/BI48-1,"")</f>
        <v>0.0166100415251038</v>
      </c>
      <c r="BK49" s="44" t="n">
        <f aca="false">IF(AND(ISNUMBER(BH49),ISNUMBER(BH48)),BH49-BH48,"")</f>
        <v>0.13</v>
      </c>
      <c r="BL49" s="123" t="n">
        <f aca="false">IF(AND(ISNUMBER(BH49),ISNUMBER(BH48)),BH49/BH48-1,"")</f>
        <v>0.0342105263157895</v>
      </c>
      <c r="BM49" s="44" t="n">
        <f aca="false">IF(AND(ISNUMBER(BH49),ISNUMBER(BI49)),1,"")</f>
        <v>1</v>
      </c>
      <c r="BN49" s="44" t="n">
        <f aca="false">IF(BM49=1,COUNT(BM49:BM$69),"")</f>
        <v>18</v>
      </c>
      <c r="BO49" s="44" t="n">
        <f aca="false">IF(BM49=1,BH49,"")</f>
        <v>3.93</v>
      </c>
      <c r="BP49" s="122" t="n">
        <f aca="false">IF(BM49=1,BI49,"")</f>
        <v>26.93</v>
      </c>
      <c r="BQ49" s="44" t="str">
        <f aca="false">IF(AND(BM49=1,BN49&lt;=12),BH49,"")</f>
        <v/>
      </c>
      <c r="BR49" s="44" t="str">
        <f aca="false">IF(AND(BM49=1,BN49&lt;=12),BI49,"")</f>
        <v/>
      </c>
      <c r="BS49" s="44" t="str">
        <f aca="false">IF(AND(BM49=1,BN49&lt;=6),BH49,"")</f>
        <v/>
      </c>
      <c r="BT49" s="44" t="str">
        <f aca="false">IF(AND(BM49=1,BN49&lt;=6),BI49,"")</f>
        <v/>
      </c>
      <c r="BU49" s="123" t="n">
        <f aca="false">IF(AND(ISNUMBER(BJ49),ISNUMBER(BK49)),BJ49,"")</f>
        <v>0.0166100415251038</v>
      </c>
      <c r="BV49" s="44" t="n">
        <f aca="false">IF(AND(ISNUMBER(BJ49),ISNUMBER(BK49)),BK49,"")</f>
        <v>0.13</v>
      </c>
      <c r="BW49" s="123" t="n">
        <f aca="false">IF(AND(ISNUMBER(BJ49),ISNUMBER(BH49)),BJ49,"")</f>
        <v>0.0166100415251038</v>
      </c>
      <c r="BX49" s="44" t="n">
        <f aca="false">IF(AND(ISNUMBER(BJ49),ISNUMBER(BH49)),BH49,"")</f>
        <v>3.93</v>
      </c>
      <c r="BY49" s="44" t="n">
        <f aca="false">IF(BM49=1,BH49,NA())</f>
        <v>3.93</v>
      </c>
      <c r="BZ49" s="122" t="n">
        <f aca="false">IF(BM49=1,BI49,NA())</f>
        <v>26.93</v>
      </c>
      <c r="CA49" s="44" t="n">
        <f aca="false">IF(BM49=1,LN(BI49),"")</f>
        <v>3.29324090682351</v>
      </c>
      <c r="CB49" s="123" t="n">
        <f aca="false">IF(ISNUMBER(BU49),BU49,NA())</f>
        <v>0.0166100415251038</v>
      </c>
      <c r="CC49" s="44" t="n">
        <f aca="false">IF(ISNUMBER(BV49),BV49,NA())</f>
        <v>0.13</v>
      </c>
      <c r="CD49" s="124" t="n">
        <f aca="false">IF(BG49="",NA(),BG49)</f>
        <v>45748</v>
      </c>
      <c r="CE49" s="44" t="n">
        <f aca="false">IF(ISNUMBER(BH49),BH49,NA())</f>
        <v>3.93</v>
      </c>
      <c r="CF49" s="122" t="n">
        <f aca="false">IF(ISNUMBER(BI49),BI49,NA())</f>
        <v>26.93</v>
      </c>
      <c r="CH49" s="55" t="n">
        <f aca="false">IF(ISNUMBER(CI49),IF(ISNUMBER('Base de Datos'!AG45),IF('Base de Datos'!AG45&gt;20000,INT('Base de Datos'!AG45),""),IF(TRIM('Base de Datos'!AG45)="","",IFERROR(DATE(VALUE(RIGHT(TRIM('Base de Datos'!AG45),4)),VALUE(MID(TRIM('Base de Datos'!AG45),4,2)),VALUE(LEFT(TRIM('Base de Datos'!AG45),2))),IFERROR(DATEVALUE(TRIM('Base de Datos'!AG45)),"")))),"")</f>
        <v>45154</v>
      </c>
      <c r="CI49" s="56" t="n">
        <f aca="false">IF(ISNUMBER('Base de Datos'!AH45),'Base de Datos'!AH45,IF(TRIM('Base de Datos'!AH45)="","",IFERROR(IF(IFERROR(FIND("@",SUBSTITUTE(TRIM('Base de Datos'!AH45),",","@",LEN(TRIM('Base de Datos'!AH45))-LEN(SUBSTITUTE(TRIM('Base de Datos'!AH45),",","")))),0)&gt;IFERROR(FIND("@",SUBSTITUTE(TRIM('Base de Datos'!AH45),".","@",LEN(TRIM('Base de Datos'!AH45))-LEN(SUBSTITUTE(TRIM('Base de Datos'!AH45),".","")))),0),_xlfn.NUMBERVALUE(SUBSTITUTE(SUBSTITUTE(TRIM('Base de Datos'!AH45),".",""),",","."),".",","),_xlfn.NUMBERVALUE(SUBSTITUTE(TRIM('Base de Datos'!AH45),",",""),".",",")),"")))</f>
        <v>4.6</v>
      </c>
    </row>
    <row r="50" customFormat="false" ht="13.8" hidden="false" customHeight="false" outlineLevel="0" collapsed="false">
      <c r="A50" s="117" t="s">
        <v>1657</v>
      </c>
      <c r="B50" s="128" t="n">
        <f aca="false">IFERROR(AVERAGEIFS(BU10:BU69,BV10:BV69,"&lt;0"),"")</f>
        <v>0.00968852571688483</v>
      </c>
      <c r="C50" s="117" t="n">
        <f aca="false">COUNTIF(BV10:BV69,"&lt;0")</f>
        <v>26</v>
      </c>
      <c r="AE50" s="44" t="n">
        <v>41</v>
      </c>
      <c r="AF50" s="55" t="n">
        <f aca="false">IF(AF49="","",IFERROR(SMALL($CH$10:$CH$309,COUNTIF($CH$10:$CH$309,"&lt;="&amp;AF49)+1),""))</f>
        <v>45170</v>
      </c>
      <c r="AG50" s="56" t="n">
        <f aca="false">IF(AF50="","",INDEX($CI$10:$CI$309,MATCH(AF50,$CH$10:$CH$309,0)))</f>
        <v>4.44</v>
      </c>
      <c r="AH50" s="55" t="n">
        <f aca="false">IF(AF50="",NA(),AF50)</f>
        <v>45170</v>
      </c>
      <c r="AI50" s="56" t="n">
        <f aca="false">IF(AG50="",NA(),AG50)</f>
        <v>4.44</v>
      </c>
      <c r="AU50" s="44" t="n">
        <f aca="false">IF(41&lt;=$C$8,41,"")</f>
        <v>41</v>
      </c>
      <c r="AV50" s="56" t="n">
        <f aca="false">IF(AU50="","",INDEX($AG$10:$AG$309,$B$8+41-1))</f>
        <v>4.66</v>
      </c>
      <c r="AW50" s="56" t="n">
        <f aca="false">IF(AV50="",NA(),AV50)</f>
        <v>4.66</v>
      </c>
      <c r="AX50" s="44" t="n">
        <f aca="false">IF(AV50="",NA(),AU50)</f>
        <v>41</v>
      </c>
      <c r="AY50" s="44" t="n">
        <f aca="false">IF(AV50="","",LN(AV50))</f>
        <v>1.53901544813755</v>
      </c>
      <c r="BA50" s="44" t="str">
        <f aca="false">IF(41&lt;=INT($C$8/6),41,"")</f>
        <v/>
      </c>
      <c r="BB50" s="44" t="str">
        <f aca="false">IF(BA50="","",AVERAGE(INDEX($AV$10:$AV$309,241):INDEX($AV$10:$AV$309,246)))</f>
        <v/>
      </c>
      <c r="BC50" s="44" t="e">
        <f aca="false">IF(BB50="",NA(),BB50)</f>
        <v>#N/A</v>
      </c>
      <c r="BD50" s="44" t="e">
        <f aca="false">IF(BB50="",NA(),BA50)</f>
        <v>#N/A</v>
      </c>
      <c r="BE50" s="44" t="str">
        <f aca="false">IF(BB50="","",LN(BB50))</f>
        <v/>
      </c>
      <c r="BG50" s="121" t="n">
        <f aca="false">IF(BG49="","",IF(EDATE(BG49,1)&gt;$C$6,"",EDATE(BG49,1)))</f>
        <v>45778</v>
      </c>
      <c r="BH50" s="44" t="n">
        <f aca="false">IF(BG50="","",IFERROR(AVERAGEIFS($AG$10:$AG$309,$AF$10:$AF$309,"&gt;="&amp;BG50,$AF$10:$AF$309,"&lt;="&amp;EOMONTH(BG50,0)),""))</f>
        <v>4.42</v>
      </c>
      <c r="BI50" s="122" t="n">
        <f aca="false">IF(BG50="","",IFERROR(INDEX(Rendimientos!$C$13:$C$412,MATCH(_xlfn.MAXIFS(Rendimientos!$B$13:$B$412,Rendimientos!$B$13:$B$412,"&lt;="&amp;EOMONTH(BG50,0),Rendimientos!$B$13:$B$412,"&gt;="&amp;BG50),Rendimientos!$B$13:$B$412,0)),IFERROR(INDEX(Rendimientos!$T$13:$T$512,MATCH(_xlfn.MAXIFS(Rendimientos!$S$13:$S$512,Rendimientos!$S$13:$S$512,"&lt;="&amp;EOMONTH(BG50,0),Rendimientos!$S$13:$S$512,"&gt;="&amp;BG50),Rendimientos!$S$13:$S$512,0)),"")))</f>
        <v>27.51</v>
      </c>
      <c r="BJ50" s="123" t="n">
        <f aca="false">IF(AND(ISNUMBER(BI50),ISNUMBER(BI49)),BI50/BI49-1,"")</f>
        <v>0.0215373189751207</v>
      </c>
      <c r="BK50" s="44" t="n">
        <f aca="false">IF(AND(ISNUMBER(BH50),ISNUMBER(BH49)),BH50-BH49,"")</f>
        <v>0.49</v>
      </c>
      <c r="BL50" s="123" t="n">
        <f aca="false">IF(AND(ISNUMBER(BH50),ISNUMBER(BH49)),BH50/BH49-1,"")</f>
        <v>0.124681933842239</v>
      </c>
      <c r="BM50" s="44" t="n">
        <f aca="false">IF(AND(ISNUMBER(BH50),ISNUMBER(BI50)),1,"")</f>
        <v>1</v>
      </c>
      <c r="BN50" s="44" t="n">
        <f aca="false">IF(BM50=1,COUNT(BM50:BM$69),"")</f>
        <v>17</v>
      </c>
      <c r="BO50" s="44" t="n">
        <f aca="false">IF(BM50=1,BH50,"")</f>
        <v>4.42</v>
      </c>
      <c r="BP50" s="122" t="n">
        <f aca="false">IF(BM50=1,BI50,"")</f>
        <v>27.51</v>
      </c>
      <c r="BQ50" s="44" t="str">
        <f aca="false">IF(AND(BM50=1,BN50&lt;=12),BH50,"")</f>
        <v/>
      </c>
      <c r="BR50" s="44" t="str">
        <f aca="false">IF(AND(BM50=1,BN50&lt;=12),BI50,"")</f>
        <v/>
      </c>
      <c r="BS50" s="44" t="str">
        <f aca="false">IF(AND(BM50=1,BN50&lt;=6),BH50,"")</f>
        <v/>
      </c>
      <c r="BT50" s="44" t="str">
        <f aca="false">IF(AND(BM50=1,BN50&lt;=6),BI50,"")</f>
        <v/>
      </c>
      <c r="BU50" s="123" t="n">
        <f aca="false">IF(AND(ISNUMBER(BJ50),ISNUMBER(BK50)),BJ50,"")</f>
        <v>0.0215373189751207</v>
      </c>
      <c r="BV50" s="44" t="n">
        <f aca="false">IF(AND(ISNUMBER(BJ50),ISNUMBER(BK50)),BK50,"")</f>
        <v>0.49</v>
      </c>
      <c r="BW50" s="123" t="n">
        <f aca="false">IF(AND(ISNUMBER(BJ50),ISNUMBER(BH50)),BJ50,"")</f>
        <v>0.0215373189751207</v>
      </c>
      <c r="BX50" s="44" t="n">
        <f aca="false">IF(AND(ISNUMBER(BJ50),ISNUMBER(BH50)),BH50,"")</f>
        <v>4.42</v>
      </c>
      <c r="BY50" s="44" t="n">
        <f aca="false">IF(BM50=1,BH50,NA())</f>
        <v>4.42</v>
      </c>
      <c r="BZ50" s="122" t="n">
        <f aca="false">IF(BM50=1,BI50,NA())</f>
        <v>27.51</v>
      </c>
      <c r="CA50" s="44" t="n">
        <f aca="false">IF(BM50=1,LN(BI50),"")</f>
        <v>3.31454957493648</v>
      </c>
      <c r="CB50" s="123" t="n">
        <f aca="false">IF(ISNUMBER(BU50),BU50,NA())</f>
        <v>0.0215373189751207</v>
      </c>
      <c r="CC50" s="44" t="n">
        <f aca="false">IF(ISNUMBER(BV50),BV50,NA())</f>
        <v>0.49</v>
      </c>
      <c r="CD50" s="124" t="n">
        <f aca="false">IF(BG50="",NA(),BG50)</f>
        <v>45778</v>
      </c>
      <c r="CE50" s="44" t="n">
        <f aca="false">IF(ISNUMBER(BH50),BH50,NA())</f>
        <v>4.42</v>
      </c>
      <c r="CF50" s="122" t="n">
        <f aca="false">IF(ISNUMBER(BI50),BI50,NA())</f>
        <v>27.51</v>
      </c>
      <c r="CH50" s="55" t="n">
        <f aca="false">IF(ISNUMBER(CI50),IF(ISNUMBER('Base de Datos'!AG46),IF('Base de Datos'!AG46&gt;20000,INT('Base de Datos'!AG46),""),IF(TRIM('Base de Datos'!AG46)="","",IFERROR(DATE(VALUE(RIGHT(TRIM('Base de Datos'!AG46),4)),VALUE(MID(TRIM('Base de Datos'!AG46),4,2)),VALUE(LEFT(TRIM('Base de Datos'!AG46),2))),IFERROR(DATEVALUE(TRIM('Base de Datos'!AG46)),"")))),"")</f>
        <v>45170</v>
      </c>
      <c r="CI50" s="56" t="n">
        <f aca="false">IF(ISNUMBER('Base de Datos'!AH46),'Base de Datos'!AH46,IF(TRIM('Base de Datos'!AH46)="","",IFERROR(IF(IFERROR(FIND("@",SUBSTITUTE(TRIM('Base de Datos'!AH46),",","@",LEN(TRIM('Base de Datos'!AH46))-LEN(SUBSTITUTE(TRIM('Base de Datos'!AH46),",","")))),0)&gt;IFERROR(FIND("@",SUBSTITUTE(TRIM('Base de Datos'!AH46),".","@",LEN(TRIM('Base de Datos'!AH46))-LEN(SUBSTITUTE(TRIM('Base de Datos'!AH46),".","")))),0),_xlfn.NUMBERVALUE(SUBSTITUTE(SUBSTITUTE(TRIM('Base de Datos'!AH46),".",""),",","."),".",","),_xlfn.NUMBERVALUE(SUBSTITUTE(TRIM('Base de Datos'!AH46),",",""),".",",")),"")))</f>
        <v>4.44</v>
      </c>
    </row>
    <row r="51" customFormat="false" ht="13.8" hidden="false" customHeight="false" outlineLevel="0" collapsed="false">
      <c r="AE51" s="44" t="n">
        <v>42</v>
      </c>
      <c r="AF51" s="55" t="n">
        <f aca="false">IF(AF50="","",IFERROR(SMALL($CH$10:$CH$309,COUNTIF($CH$10:$CH$309,"&lt;="&amp;AF50)+1),""))</f>
        <v>45185</v>
      </c>
      <c r="AG51" s="56" t="n">
        <f aca="false">IF(AF51="","",INDEX($CI$10:$CI$309,MATCH(AF51,$CH$10:$CH$309,0)))</f>
        <v>4.47</v>
      </c>
      <c r="AH51" s="55" t="n">
        <f aca="false">IF(AF51="",NA(),AF51)</f>
        <v>45185</v>
      </c>
      <c r="AI51" s="56" t="n">
        <f aca="false">IF(AG51="",NA(),AG51)</f>
        <v>4.47</v>
      </c>
      <c r="AU51" s="44" t="n">
        <f aca="false">IF(42&lt;=$C$8,42,"")</f>
        <v>42</v>
      </c>
      <c r="AV51" s="56" t="n">
        <f aca="false">IF(AU51="","",INDEX($AG$10:$AG$309,$B$8+42-1))</f>
        <v>4.5</v>
      </c>
      <c r="AW51" s="56" t="n">
        <f aca="false">IF(AV51="",NA(),AV51)</f>
        <v>4.5</v>
      </c>
      <c r="AX51" s="44" t="n">
        <f aca="false">IF(AV51="",NA(),AU51)</f>
        <v>42</v>
      </c>
      <c r="AY51" s="44" t="n">
        <f aca="false">IF(AV51="","",LN(AV51))</f>
        <v>1.50407739677627</v>
      </c>
      <c r="BA51" s="44" t="str">
        <f aca="false">IF(42&lt;=INT($C$8/6),42,"")</f>
        <v/>
      </c>
      <c r="BB51" s="44" t="str">
        <f aca="false">IF(BA51="","",AVERAGE(INDEX($AV$10:$AV$309,247):INDEX($AV$10:$AV$309,252)))</f>
        <v/>
      </c>
      <c r="BC51" s="44" t="e">
        <f aca="false">IF(BB51="",NA(),BB51)</f>
        <v>#N/A</v>
      </c>
      <c r="BD51" s="44" t="e">
        <f aca="false">IF(BB51="",NA(),BA51)</f>
        <v>#N/A</v>
      </c>
      <c r="BE51" s="44" t="str">
        <f aca="false">IF(BB51="","",LN(BB51))</f>
        <v/>
      </c>
      <c r="BG51" s="121" t="n">
        <f aca="false">IF(BG50="","",IF(EDATE(BG50,1)&gt;$C$6,"",EDATE(BG50,1)))</f>
        <v>45809</v>
      </c>
      <c r="BH51" s="44" t="n">
        <f aca="false">IF(BG51="","",IFERROR(AVERAGEIFS($AG$10:$AG$309,$AF$10:$AF$309,"&gt;="&amp;BG51,$AF$10:$AF$309,"&lt;="&amp;EOMONTH(BG51,0)),""))</f>
        <v>4.32</v>
      </c>
      <c r="BI51" s="122" t="n">
        <f aca="false">IF(BG51="","",IFERROR(INDEX(Rendimientos!$C$13:$C$412,MATCH(_xlfn.MAXIFS(Rendimientos!$B$13:$B$412,Rendimientos!$B$13:$B$412,"&lt;="&amp;EOMONTH(BG51,0),Rendimientos!$B$13:$B$412,"&gt;="&amp;BG51),Rendimientos!$B$13:$B$412,0)),IFERROR(INDEX(Rendimientos!$T$13:$T$512,MATCH(_xlfn.MAXIFS(Rendimientos!$S$13:$S$512,Rendimientos!$S$13:$S$512,"&lt;="&amp;EOMONTH(BG51,0),Rendimientos!$S$13:$S$512,"&gt;="&amp;BG51),Rendimientos!$S$13:$S$512,0)),"")))</f>
        <v>27</v>
      </c>
      <c r="BJ51" s="123" t="n">
        <f aca="false">IF(AND(ISNUMBER(BI51),ISNUMBER(BI50)),BI51/BI50-1,"")</f>
        <v>-0.0185387131952018</v>
      </c>
      <c r="BK51" s="44" t="n">
        <f aca="false">IF(AND(ISNUMBER(BH51),ISNUMBER(BH50)),BH51-BH50,"")</f>
        <v>-0.0999999999999996</v>
      </c>
      <c r="BL51" s="123" t="n">
        <f aca="false">IF(AND(ISNUMBER(BH51),ISNUMBER(BH50)),BH51/BH50-1,"")</f>
        <v>-0.0226244343891402</v>
      </c>
      <c r="BM51" s="44" t="n">
        <f aca="false">IF(AND(ISNUMBER(BH51),ISNUMBER(BI51)),1,"")</f>
        <v>1</v>
      </c>
      <c r="BN51" s="44" t="n">
        <f aca="false">IF(BM51=1,COUNT(BM51:BM$69),"")</f>
        <v>16</v>
      </c>
      <c r="BO51" s="44" t="n">
        <f aca="false">IF(BM51=1,BH51,"")</f>
        <v>4.32</v>
      </c>
      <c r="BP51" s="122" t="n">
        <f aca="false">IF(BM51=1,BI51,"")</f>
        <v>27</v>
      </c>
      <c r="BQ51" s="44" t="str">
        <f aca="false">IF(AND(BM51=1,BN51&lt;=12),BH51,"")</f>
        <v/>
      </c>
      <c r="BR51" s="44" t="str">
        <f aca="false">IF(AND(BM51=1,BN51&lt;=12),BI51,"")</f>
        <v/>
      </c>
      <c r="BS51" s="44" t="str">
        <f aca="false">IF(AND(BM51=1,BN51&lt;=6),BH51,"")</f>
        <v/>
      </c>
      <c r="BT51" s="44" t="str">
        <f aca="false">IF(AND(BM51=1,BN51&lt;=6),BI51,"")</f>
        <v/>
      </c>
      <c r="BU51" s="123" t="n">
        <f aca="false">IF(AND(ISNUMBER(BJ51),ISNUMBER(BK51)),BJ51,"")</f>
        <v>-0.0185387131952018</v>
      </c>
      <c r="BV51" s="44" t="n">
        <f aca="false">IF(AND(ISNUMBER(BJ51),ISNUMBER(BK51)),BK51,"")</f>
        <v>-0.0999999999999996</v>
      </c>
      <c r="BW51" s="123" t="n">
        <f aca="false">IF(AND(ISNUMBER(BJ51),ISNUMBER(BH51)),BJ51,"")</f>
        <v>-0.0185387131952018</v>
      </c>
      <c r="BX51" s="44" t="n">
        <f aca="false">IF(AND(ISNUMBER(BJ51),ISNUMBER(BH51)),BH51,"")</f>
        <v>4.32</v>
      </c>
      <c r="BY51" s="44" t="n">
        <f aca="false">IF(BM51=1,BH51,NA())</f>
        <v>4.32</v>
      </c>
      <c r="BZ51" s="122" t="n">
        <f aca="false">IF(BM51=1,BI51,NA())</f>
        <v>27</v>
      </c>
      <c r="CA51" s="44" t="n">
        <f aca="false">IF(BM51=1,LN(BI51),"")</f>
        <v>3.29583686600433</v>
      </c>
      <c r="CB51" s="123" t="n">
        <f aca="false">IF(ISNUMBER(BU51),BU51,NA())</f>
        <v>-0.0185387131952018</v>
      </c>
      <c r="CC51" s="44" t="n">
        <f aca="false">IF(ISNUMBER(BV51),BV51,NA())</f>
        <v>-0.0999999999999996</v>
      </c>
      <c r="CD51" s="124" t="n">
        <f aca="false">IF(BG51="",NA(),BG51)</f>
        <v>45809</v>
      </c>
      <c r="CE51" s="44" t="n">
        <f aca="false">IF(ISNUMBER(BH51),BH51,NA())</f>
        <v>4.32</v>
      </c>
      <c r="CF51" s="122" t="n">
        <f aca="false">IF(ISNUMBER(BI51),BI51,NA())</f>
        <v>27</v>
      </c>
      <c r="CH51" s="55" t="n">
        <f aca="false">IF(ISNUMBER(CI51),IF(ISNUMBER('Base de Datos'!AG47),IF('Base de Datos'!AG47&gt;20000,INT('Base de Datos'!AG47),""),IF(TRIM('Base de Datos'!AG47)="","",IFERROR(DATE(VALUE(RIGHT(TRIM('Base de Datos'!AG47),4)),VALUE(MID(TRIM('Base de Datos'!AG47),4,2)),VALUE(LEFT(TRIM('Base de Datos'!AG47),2))),IFERROR(DATEVALUE(TRIM('Base de Datos'!AG47)),"")))),"")</f>
        <v>45185</v>
      </c>
      <c r="CI51" s="56" t="n">
        <f aca="false">IF(ISNUMBER('Base de Datos'!AH47),'Base de Datos'!AH47,IF(TRIM('Base de Datos'!AH47)="","",IFERROR(IF(IFERROR(FIND("@",SUBSTITUTE(TRIM('Base de Datos'!AH47),",","@",LEN(TRIM('Base de Datos'!AH47))-LEN(SUBSTITUTE(TRIM('Base de Datos'!AH47),",","")))),0)&gt;IFERROR(FIND("@",SUBSTITUTE(TRIM('Base de Datos'!AH47),".","@",LEN(TRIM('Base de Datos'!AH47))-LEN(SUBSTITUTE(TRIM('Base de Datos'!AH47),".","")))),0),_xlfn.NUMBERVALUE(SUBSTITUTE(SUBSTITUTE(TRIM('Base de Datos'!AH47),".",""),",","."),".",","),_xlfn.NUMBERVALUE(SUBSTITUTE(TRIM('Base de Datos'!AH47),",",""),".",",")),"")))</f>
        <v>4.47</v>
      </c>
    </row>
    <row r="52" customFormat="false" ht="13.8" hidden="false" customHeight="false" outlineLevel="0" collapsed="false">
      <c r="A52" s="71" t="s">
        <v>1658</v>
      </c>
      <c r="AE52" s="44" t="n">
        <v>43</v>
      </c>
      <c r="AF52" s="55" t="n">
        <f aca="false">IF(AF51="","",IFERROR(SMALL($CH$10:$CH$309,COUNTIF($CH$10:$CH$309,"&lt;="&amp;AF51)+1),""))</f>
        <v>45200</v>
      </c>
      <c r="AG52" s="56" t="n">
        <f aca="false">IF(AF52="","",INDEX($CI$10:$CI$309,MATCH(AF52,$CH$10:$CH$309,0)))</f>
        <v>4.27</v>
      </c>
      <c r="AH52" s="55" t="n">
        <f aca="false">IF(AF52="",NA(),AF52)</f>
        <v>45200</v>
      </c>
      <c r="AI52" s="56" t="n">
        <f aca="false">IF(AG52="",NA(),AG52)</f>
        <v>4.27</v>
      </c>
      <c r="AU52" s="44" t="n">
        <f aca="false">IF(43&lt;=$C$8,43,"")</f>
        <v>43</v>
      </c>
      <c r="AV52" s="56" t="n">
        <f aca="false">IF(AU52="","",INDEX($AG$10:$AG$309,$B$8+43-1))</f>
        <v>4.69</v>
      </c>
      <c r="AW52" s="56" t="n">
        <f aca="false">IF(AV52="",NA(),AV52)</f>
        <v>4.69</v>
      </c>
      <c r="AX52" s="44" t="n">
        <f aca="false">IF(AV52="",NA(),AU52)</f>
        <v>43</v>
      </c>
      <c r="AY52" s="44" t="n">
        <f aca="false">IF(AV52="","",LN(AV52))</f>
        <v>1.54543258245819</v>
      </c>
      <c r="BA52" s="44" t="str">
        <f aca="false">IF(43&lt;=INT($C$8/6),43,"")</f>
        <v/>
      </c>
      <c r="BB52" s="44" t="str">
        <f aca="false">IF(BA52="","",AVERAGE(INDEX($AV$10:$AV$309,253):INDEX($AV$10:$AV$309,258)))</f>
        <v/>
      </c>
      <c r="BC52" s="44" t="e">
        <f aca="false">IF(BB52="",NA(),BB52)</f>
        <v>#N/A</v>
      </c>
      <c r="BD52" s="44" t="e">
        <f aca="false">IF(BB52="",NA(),BA52)</f>
        <v>#N/A</v>
      </c>
      <c r="BE52" s="44" t="str">
        <f aca="false">IF(BB52="","",LN(BB52))</f>
        <v/>
      </c>
      <c r="BG52" s="121" t="n">
        <f aca="false">IF(BG51="","",IF(EDATE(BG51,1)&gt;$C$6,"",EDATE(BG51,1)))</f>
        <v>45839</v>
      </c>
      <c r="BH52" s="44" t="n">
        <f aca="false">IF(BG52="","",IFERROR(AVERAGEIFS($AG$10:$AG$309,$AF$10:$AF$309,"&gt;="&amp;BG52,$AF$10:$AF$309,"&lt;="&amp;EOMONTH(BG52,0)),""))</f>
        <v>3.515</v>
      </c>
      <c r="BI52" s="122" t="n">
        <f aca="false">IF(BG52="","",IFERROR(INDEX(Rendimientos!$C$13:$C$412,MATCH(_xlfn.MAXIFS(Rendimientos!$B$13:$B$412,Rendimientos!$B$13:$B$412,"&lt;="&amp;EOMONTH(BG52,0),Rendimientos!$B$13:$B$412,"&gt;="&amp;BG52),Rendimientos!$B$13:$B$412,0)),IFERROR(INDEX(Rendimientos!$T$13:$T$512,MATCH(_xlfn.MAXIFS(Rendimientos!$S$13:$S$512,Rendimientos!$S$13:$S$512,"&lt;="&amp;EOMONTH(BG52,0),Rendimientos!$S$13:$S$512,"&gt;="&amp;BG52),Rendimientos!$S$13:$S$512,0)),"")))</f>
        <v>24.9</v>
      </c>
      <c r="BJ52" s="123" t="n">
        <f aca="false">IF(AND(ISNUMBER(BI52),ISNUMBER(BI51)),BI52/BI51-1,"")</f>
        <v>-0.0777777777777778</v>
      </c>
      <c r="BK52" s="44" t="n">
        <f aca="false">IF(AND(ISNUMBER(BH52),ISNUMBER(BH51)),BH52-BH51,"")</f>
        <v>-0.805000000000001</v>
      </c>
      <c r="BL52" s="123" t="n">
        <f aca="false">IF(AND(ISNUMBER(BH52),ISNUMBER(BH51)),BH52/BH51-1,"")</f>
        <v>-0.186342592592593</v>
      </c>
      <c r="BM52" s="44" t="n">
        <f aca="false">IF(AND(ISNUMBER(BH52),ISNUMBER(BI52)),1,"")</f>
        <v>1</v>
      </c>
      <c r="BN52" s="44" t="n">
        <f aca="false">IF(BM52=1,COUNT(BM52:BM$69),"")</f>
        <v>15</v>
      </c>
      <c r="BO52" s="44" t="n">
        <f aca="false">IF(BM52=1,BH52,"")</f>
        <v>3.515</v>
      </c>
      <c r="BP52" s="122" t="n">
        <f aca="false">IF(BM52=1,BI52,"")</f>
        <v>24.9</v>
      </c>
      <c r="BQ52" s="44" t="str">
        <f aca="false">IF(AND(BM52=1,BN52&lt;=12),BH52,"")</f>
        <v/>
      </c>
      <c r="BR52" s="44" t="str">
        <f aca="false">IF(AND(BM52=1,BN52&lt;=12),BI52,"")</f>
        <v/>
      </c>
      <c r="BS52" s="44" t="str">
        <f aca="false">IF(AND(BM52=1,BN52&lt;=6),BH52,"")</f>
        <v/>
      </c>
      <c r="BT52" s="44" t="str">
        <f aca="false">IF(AND(BM52=1,BN52&lt;=6),BI52,"")</f>
        <v/>
      </c>
      <c r="BU52" s="123" t="n">
        <f aca="false">IF(AND(ISNUMBER(BJ52),ISNUMBER(BK52)),BJ52,"")</f>
        <v>-0.0777777777777778</v>
      </c>
      <c r="BV52" s="44" t="n">
        <f aca="false">IF(AND(ISNUMBER(BJ52),ISNUMBER(BK52)),BK52,"")</f>
        <v>-0.805000000000001</v>
      </c>
      <c r="BW52" s="123" t="n">
        <f aca="false">IF(AND(ISNUMBER(BJ52),ISNUMBER(BH52)),BJ52,"")</f>
        <v>-0.0777777777777778</v>
      </c>
      <c r="BX52" s="44" t="n">
        <f aca="false">IF(AND(ISNUMBER(BJ52),ISNUMBER(BH52)),BH52,"")</f>
        <v>3.515</v>
      </c>
      <c r="BY52" s="44" t="n">
        <f aca="false">IF(BM52=1,BH52,NA())</f>
        <v>3.515</v>
      </c>
      <c r="BZ52" s="122" t="n">
        <f aca="false">IF(BM52=1,BI52,NA())</f>
        <v>24.9</v>
      </c>
      <c r="CA52" s="44" t="n">
        <f aca="false">IF(BM52=1,LN(BI52),"")</f>
        <v>3.21486780347066</v>
      </c>
      <c r="CB52" s="123" t="n">
        <f aca="false">IF(ISNUMBER(BU52),BU52,NA())</f>
        <v>-0.0777777777777778</v>
      </c>
      <c r="CC52" s="44" t="n">
        <f aca="false">IF(ISNUMBER(BV52),BV52,NA())</f>
        <v>-0.805000000000001</v>
      </c>
      <c r="CD52" s="124" t="n">
        <f aca="false">IF(BG52="",NA(),BG52)</f>
        <v>45839</v>
      </c>
      <c r="CE52" s="44" t="n">
        <f aca="false">IF(ISNUMBER(BH52),BH52,NA())</f>
        <v>3.515</v>
      </c>
      <c r="CF52" s="122" t="n">
        <f aca="false">IF(ISNUMBER(BI52),BI52,NA())</f>
        <v>24.9</v>
      </c>
      <c r="CH52" s="55" t="n">
        <f aca="false">IF(ISNUMBER(CI52),IF(ISNUMBER('Base de Datos'!AG48),IF('Base de Datos'!AG48&gt;20000,INT('Base de Datos'!AG48),""),IF(TRIM('Base de Datos'!AG48)="","",IFERROR(DATE(VALUE(RIGHT(TRIM('Base de Datos'!AG48),4)),VALUE(MID(TRIM('Base de Datos'!AG48),4,2)),VALUE(LEFT(TRIM('Base de Datos'!AG48),2))),IFERROR(DATEVALUE(TRIM('Base de Datos'!AG48)),"")))),"")</f>
        <v>45200</v>
      </c>
      <c r="CI52" s="56" t="n">
        <f aca="false">IF(ISNUMBER('Base de Datos'!AH48),'Base de Datos'!AH48,IF(TRIM('Base de Datos'!AH48)="","",IFERROR(IF(IFERROR(FIND("@",SUBSTITUTE(TRIM('Base de Datos'!AH48),",","@",LEN(TRIM('Base de Datos'!AH48))-LEN(SUBSTITUTE(TRIM('Base de Datos'!AH48),",","")))),0)&gt;IFERROR(FIND("@",SUBSTITUTE(TRIM('Base de Datos'!AH48),".","@",LEN(TRIM('Base de Datos'!AH48))-LEN(SUBSTITUTE(TRIM('Base de Datos'!AH48),".","")))),0),_xlfn.NUMBERVALUE(SUBSTITUTE(SUBSTITUTE(TRIM('Base de Datos'!AH48),".",""),",","."),".",","),_xlfn.NUMBERVALUE(SUBSTITUTE(TRIM('Base de Datos'!AH48),",",""),".",",")),"")))</f>
        <v>4.27</v>
      </c>
    </row>
    <row r="53" customFormat="false" ht="13.8" hidden="false" customHeight="false" outlineLevel="0" collapsed="false">
      <c r="A53" s="75" t="str">
        <f aca="false">IF(B30="","","En toda la muestra ("&amp;C30&amp;" meses) la correlación entre el precio de Soriana y la inflación es "&amp;FIXED(B30,2)&amp;". "&amp;IF(B30&lt;0,"Es negativa: cuando la inflación estuvo más alta (2022) la acción estaba más barata, y conforme la inflación bajó el precio subió.","Es positiva: la acción tendió a subir cuando la inflación subía."))</f>
        <v>En toda la muestra (57 meses) la correlación entre el precio de Soriana y la inflación es -0.41. Es negativa: cuando la inflación estuvo más alta (2022) la acción estaba más barata, y conforme la inflación bajó el precio subió.</v>
      </c>
      <c r="AE53" s="44" t="n">
        <v>44</v>
      </c>
      <c r="AF53" s="55" t="n">
        <f aca="false">IF(AF52="","",IFERROR(SMALL($CH$10:$CH$309,COUNTIF($CH$10:$CH$309,"&lt;="&amp;AF52)+1),""))</f>
        <v>45215</v>
      </c>
      <c r="AG53" s="56" t="n">
        <f aca="false">IF(AF53="","",INDEX($CI$10:$CI$309,MATCH(AF53,$CH$10:$CH$309,0)))</f>
        <v>4.25</v>
      </c>
      <c r="AH53" s="55" t="n">
        <f aca="false">IF(AF53="",NA(),AF53)</f>
        <v>45215</v>
      </c>
      <c r="AI53" s="56" t="n">
        <f aca="false">IF(AG53="",NA(),AG53)</f>
        <v>4.25</v>
      </c>
      <c r="AU53" s="44" t="n">
        <f aca="false">IF(44&lt;=$C$8,44,"")</f>
        <v>44</v>
      </c>
      <c r="AV53" s="56" t="n">
        <f aca="false">IF(AU53="","",INDEX($AG$10:$AG$309,$B$8+44-1))</f>
        <v>4.83</v>
      </c>
      <c r="AW53" s="56" t="n">
        <f aca="false">IF(AV53="",NA(),AV53)</f>
        <v>4.83</v>
      </c>
      <c r="AX53" s="44" t="n">
        <f aca="false">IF(AV53="",NA(),AU53)</f>
        <v>44</v>
      </c>
      <c r="AY53" s="44" t="n">
        <f aca="false">IF(AV53="","",LN(AV53))</f>
        <v>1.57484646766448</v>
      </c>
      <c r="BA53" s="44" t="str">
        <f aca="false">IF(44&lt;=INT($C$8/6),44,"")</f>
        <v/>
      </c>
      <c r="BB53" s="44" t="str">
        <f aca="false">IF(BA53="","",AVERAGE(INDEX($AV$10:$AV$309,259):INDEX($AV$10:$AV$309,264)))</f>
        <v/>
      </c>
      <c r="BC53" s="44" t="e">
        <f aca="false">IF(BB53="",NA(),BB53)</f>
        <v>#N/A</v>
      </c>
      <c r="BD53" s="44" t="e">
        <f aca="false">IF(BB53="",NA(),BA53)</f>
        <v>#N/A</v>
      </c>
      <c r="BE53" s="44" t="str">
        <f aca="false">IF(BB53="","",LN(BB53))</f>
        <v/>
      </c>
      <c r="BG53" s="121" t="n">
        <f aca="false">IF(BG52="","",IF(EDATE(BG52,1)&gt;$C$6,"",EDATE(BG52,1)))</f>
        <v>45870</v>
      </c>
      <c r="BH53" s="44" t="n">
        <f aca="false">IF(BG53="","",IFERROR(AVERAGEIFS($AG$10:$AG$309,$AF$10:$AF$309,"&gt;="&amp;BG53,$AF$10:$AF$309,"&lt;="&amp;EOMONTH(BG53,0)),""))</f>
        <v>3.57</v>
      </c>
      <c r="BI53" s="122" t="n">
        <f aca="false">IF(BG53="","",IFERROR(INDEX(Rendimientos!$C$13:$C$412,MATCH(_xlfn.MAXIFS(Rendimientos!$B$13:$B$412,Rendimientos!$B$13:$B$412,"&lt;="&amp;EOMONTH(BG53,0),Rendimientos!$B$13:$B$412,"&gt;="&amp;BG53),Rendimientos!$B$13:$B$412,0)),IFERROR(INDEX(Rendimientos!$T$13:$T$512,MATCH(_xlfn.MAXIFS(Rendimientos!$S$13:$S$512,Rendimientos!$S$13:$S$512,"&lt;="&amp;EOMONTH(BG53,0),Rendimientos!$S$13:$S$512,"&gt;="&amp;BG53),Rendimientos!$S$13:$S$512,0)),"")))</f>
        <v>25.2</v>
      </c>
      <c r="BJ53" s="123" t="n">
        <f aca="false">IF(AND(ISNUMBER(BI53),ISNUMBER(BI52)),BI53/BI52-1,"")</f>
        <v>0.0120481927710843</v>
      </c>
      <c r="BK53" s="44" t="n">
        <f aca="false">IF(AND(ISNUMBER(BH53),ISNUMBER(BH52)),BH53-BH52,"")</f>
        <v>0.0550000000000006</v>
      </c>
      <c r="BL53" s="123" t="n">
        <f aca="false">IF(AND(ISNUMBER(BH53),ISNUMBER(BH52)),BH53/BH52-1,"")</f>
        <v>0.0156472261735421</v>
      </c>
      <c r="BM53" s="44" t="n">
        <f aca="false">IF(AND(ISNUMBER(BH53),ISNUMBER(BI53)),1,"")</f>
        <v>1</v>
      </c>
      <c r="BN53" s="44" t="n">
        <f aca="false">IF(BM53=1,COUNT(BM53:BM$69),"")</f>
        <v>14</v>
      </c>
      <c r="BO53" s="44" t="n">
        <f aca="false">IF(BM53=1,BH53,"")</f>
        <v>3.57</v>
      </c>
      <c r="BP53" s="122" t="n">
        <f aca="false">IF(BM53=1,BI53,"")</f>
        <v>25.2</v>
      </c>
      <c r="BQ53" s="44" t="str">
        <f aca="false">IF(AND(BM53=1,BN53&lt;=12),BH53,"")</f>
        <v/>
      </c>
      <c r="BR53" s="44" t="str">
        <f aca="false">IF(AND(BM53=1,BN53&lt;=12),BI53,"")</f>
        <v/>
      </c>
      <c r="BS53" s="44" t="str">
        <f aca="false">IF(AND(BM53=1,BN53&lt;=6),BH53,"")</f>
        <v/>
      </c>
      <c r="BT53" s="44" t="str">
        <f aca="false">IF(AND(BM53=1,BN53&lt;=6),BI53,"")</f>
        <v/>
      </c>
      <c r="BU53" s="123" t="n">
        <f aca="false">IF(AND(ISNUMBER(BJ53),ISNUMBER(BK53)),BJ53,"")</f>
        <v>0.0120481927710843</v>
      </c>
      <c r="BV53" s="44" t="n">
        <f aca="false">IF(AND(ISNUMBER(BJ53),ISNUMBER(BK53)),BK53,"")</f>
        <v>0.0550000000000006</v>
      </c>
      <c r="BW53" s="123" t="n">
        <f aca="false">IF(AND(ISNUMBER(BJ53),ISNUMBER(BH53)),BJ53,"")</f>
        <v>0.0120481927710843</v>
      </c>
      <c r="BX53" s="44" t="n">
        <f aca="false">IF(AND(ISNUMBER(BJ53),ISNUMBER(BH53)),BH53,"")</f>
        <v>3.57</v>
      </c>
      <c r="BY53" s="44" t="n">
        <f aca="false">IF(BM53=1,BH53,NA())</f>
        <v>3.57</v>
      </c>
      <c r="BZ53" s="122" t="n">
        <f aca="false">IF(BM53=1,BI53,NA())</f>
        <v>25.2</v>
      </c>
      <c r="CA53" s="44" t="n">
        <f aca="false">IF(BM53=1,LN(BI53),"")</f>
        <v>3.22684399451738</v>
      </c>
      <c r="CB53" s="123" t="n">
        <f aca="false">IF(ISNUMBER(BU53),BU53,NA())</f>
        <v>0.0120481927710843</v>
      </c>
      <c r="CC53" s="44" t="n">
        <f aca="false">IF(ISNUMBER(BV53),BV53,NA())</f>
        <v>0.0550000000000006</v>
      </c>
      <c r="CD53" s="124" t="n">
        <f aca="false">IF(BG53="",NA(),BG53)</f>
        <v>45870</v>
      </c>
      <c r="CE53" s="44" t="n">
        <f aca="false">IF(ISNUMBER(BH53),BH53,NA())</f>
        <v>3.57</v>
      </c>
      <c r="CF53" s="122" t="n">
        <f aca="false">IF(ISNUMBER(BI53),BI53,NA())</f>
        <v>25.2</v>
      </c>
      <c r="CH53" s="55" t="n">
        <f aca="false">IF(ISNUMBER(CI53),IF(ISNUMBER('Base de Datos'!AG49),IF('Base de Datos'!AG49&gt;20000,INT('Base de Datos'!AG49),""),IF(TRIM('Base de Datos'!AG49)="","",IFERROR(DATE(VALUE(RIGHT(TRIM('Base de Datos'!AG49),4)),VALUE(MID(TRIM('Base de Datos'!AG49),4,2)),VALUE(LEFT(TRIM('Base de Datos'!AG49),2))),IFERROR(DATEVALUE(TRIM('Base de Datos'!AG49)),"")))),"")</f>
        <v>45215</v>
      </c>
      <c r="CI53" s="56" t="n">
        <f aca="false">IF(ISNUMBER('Base de Datos'!AH49),'Base de Datos'!AH49,IF(TRIM('Base de Datos'!AH49)="","",IFERROR(IF(IFERROR(FIND("@",SUBSTITUTE(TRIM('Base de Datos'!AH49),",","@",LEN(TRIM('Base de Datos'!AH49))-LEN(SUBSTITUTE(TRIM('Base de Datos'!AH49),",","")))),0)&gt;IFERROR(FIND("@",SUBSTITUTE(TRIM('Base de Datos'!AH49),".","@",LEN(TRIM('Base de Datos'!AH49))-LEN(SUBSTITUTE(TRIM('Base de Datos'!AH49),".","")))),0),_xlfn.NUMBERVALUE(SUBSTITUTE(SUBSTITUTE(TRIM('Base de Datos'!AH49),".",""),",","."),".",","),_xlfn.NUMBERVALUE(SUBSTITUTE(TRIM('Base de Datos'!AH49),",",""),".",",")),"")))</f>
        <v>4.25</v>
      </c>
    </row>
    <row r="54" customFormat="false" ht="13.8" hidden="false" customHeight="false" outlineLevel="0" collapsed="false">
      <c r="A54" s="75" t="str">
        <f aca="false">IF(B31="","","En los últimos 12 meses la correlación es "&amp;FIXED(B31,2)&amp;" y en los últimos 6 meses "&amp;FIXED(B32,2)&amp;". El signo cambia según el periodo, lo que indica que la relación no es estable; con pocos meses el resultado puede deberse a la casualidad.")</f>
        <v>En los últimos 12 meses la correlación es 0.46 y en los últimos 6 meses 0.56. El signo cambia según el periodo, lo que indica que la relación no es estable; con pocos meses el resultado puede deberse a la casualidad.</v>
      </c>
      <c r="AE54" s="44" t="n">
        <v>45</v>
      </c>
      <c r="AF54" s="55" t="n">
        <f aca="false">IF(AF53="","",IFERROR(SMALL($CH$10:$CH$309,COUNTIF($CH$10:$CH$309,"&lt;="&amp;AF53)+1),""))</f>
        <v>45231</v>
      </c>
      <c r="AG54" s="56" t="n">
        <f aca="false">IF(AF54="","",INDEX($CI$10:$CI$309,MATCH(AF54,$CH$10:$CH$309,0)))</f>
        <v>4.32</v>
      </c>
      <c r="AH54" s="55" t="n">
        <f aca="false">IF(AF54="",NA(),AF54)</f>
        <v>45231</v>
      </c>
      <c r="AI54" s="56" t="n">
        <f aca="false">IF(AG54="",NA(),AG54)</f>
        <v>4.32</v>
      </c>
      <c r="AU54" s="44" t="n">
        <f aca="false">IF(45&lt;=$C$8,45,"")</f>
        <v>45</v>
      </c>
      <c r="AV54" s="56" t="n">
        <f aca="false">IF(AU54="","",INDEX($AG$10:$AG$309,$B$8+45-1))</f>
        <v>4.56</v>
      </c>
      <c r="AW54" s="56" t="n">
        <f aca="false">IF(AV54="",NA(),AV54)</f>
        <v>4.56</v>
      </c>
      <c r="AX54" s="44" t="n">
        <f aca="false">IF(AV54="",NA(),AU54)</f>
        <v>45</v>
      </c>
      <c r="AY54" s="44" t="n">
        <f aca="false">IF(AV54="","",LN(AV54))</f>
        <v>1.51732262352629</v>
      </c>
      <c r="BA54" s="44" t="str">
        <f aca="false">IF(45&lt;=INT($C$8/6),45,"")</f>
        <v/>
      </c>
      <c r="BB54" s="44" t="str">
        <f aca="false">IF(BA54="","",AVERAGE(INDEX($AV$10:$AV$309,265):INDEX($AV$10:$AV$309,270)))</f>
        <v/>
      </c>
      <c r="BC54" s="44" t="e">
        <f aca="false">IF(BB54="",NA(),BB54)</f>
        <v>#N/A</v>
      </c>
      <c r="BD54" s="44" t="e">
        <f aca="false">IF(BB54="",NA(),BA54)</f>
        <v>#N/A</v>
      </c>
      <c r="BE54" s="44" t="str">
        <f aca="false">IF(BB54="","",LN(BB54))</f>
        <v/>
      </c>
      <c r="BG54" s="121" t="n">
        <f aca="false">IF(BG53="","",IF(EDATE(BG53,1)&gt;$C$6,"",EDATE(BG53,1)))</f>
        <v>45901</v>
      </c>
      <c r="BH54" s="44" t="n">
        <f aca="false">IF(BG54="","",IFERROR(AVERAGEIFS($AG$10:$AG$309,$AF$10:$AF$309,"&gt;="&amp;BG54,$AF$10:$AF$309,"&lt;="&amp;EOMONTH(BG54,0)),""))</f>
        <v>3.76</v>
      </c>
      <c r="BI54" s="122" t="n">
        <f aca="false">IF(BG54="","",IFERROR(INDEX(Rendimientos!$C$13:$C$412,MATCH(_xlfn.MAXIFS(Rendimientos!$B$13:$B$412,Rendimientos!$B$13:$B$412,"&lt;="&amp;EOMONTH(BG54,0),Rendimientos!$B$13:$B$412,"&gt;="&amp;BG54),Rendimientos!$B$13:$B$412,0)),IFERROR(INDEX(Rendimientos!$T$13:$T$512,MATCH(_xlfn.MAXIFS(Rendimientos!$S$13:$S$512,Rendimientos!$S$13:$S$512,"&lt;="&amp;EOMONTH(BG54,0),Rendimientos!$S$13:$S$512,"&gt;="&amp;BG54),Rendimientos!$S$13:$S$512,0)),"")))</f>
        <v>24.93</v>
      </c>
      <c r="BJ54" s="123" t="n">
        <f aca="false">IF(AND(ISNUMBER(BI54),ISNUMBER(BI53)),BI54/BI53-1,"")</f>
        <v>-0.0107142857142857</v>
      </c>
      <c r="BK54" s="44" t="n">
        <f aca="false">IF(AND(ISNUMBER(BH54),ISNUMBER(BH53)),BH54-BH53,"")</f>
        <v>0.19</v>
      </c>
      <c r="BL54" s="123" t="n">
        <f aca="false">IF(AND(ISNUMBER(BH54),ISNUMBER(BH53)),BH54/BH53-1,"")</f>
        <v>0.053221288515406</v>
      </c>
      <c r="BM54" s="44" t="n">
        <f aca="false">IF(AND(ISNUMBER(BH54),ISNUMBER(BI54)),1,"")</f>
        <v>1</v>
      </c>
      <c r="BN54" s="44" t="n">
        <f aca="false">IF(BM54=1,COUNT(BM54:BM$69),"")</f>
        <v>13</v>
      </c>
      <c r="BO54" s="44" t="n">
        <f aca="false">IF(BM54=1,BH54,"")</f>
        <v>3.76</v>
      </c>
      <c r="BP54" s="122" t="n">
        <f aca="false">IF(BM54=1,BI54,"")</f>
        <v>24.93</v>
      </c>
      <c r="BQ54" s="44" t="str">
        <f aca="false">IF(AND(BM54=1,BN54&lt;=12),BH54,"")</f>
        <v/>
      </c>
      <c r="BR54" s="44" t="str">
        <f aca="false">IF(AND(BM54=1,BN54&lt;=12),BI54,"")</f>
        <v/>
      </c>
      <c r="BS54" s="44" t="str">
        <f aca="false">IF(AND(BM54=1,BN54&lt;=6),BH54,"")</f>
        <v/>
      </c>
      <c r="BT54" s="44" t="str">
        <f aca="false">IF(AND(BM54=1,BN54&lt;=6),BI54,"")</f>
        <v/>
      </c>
      <c r="BU54" s="123" t="n">
        <f aca="false">IF(AND(ISNUMBER(BJ54),ISNUMBER(BK54)),BJ54,"")</f>
        <v>-0.0107142857142857</v>
      </c>
      <c r="BV54" s="44" t="n">
        <f aca="false">IF(AND(ISNUMBER(BJ54),ISNUMBER(BK54)),BK54,"")</f>
        <v>0.19</v>
      </c>
      <c r="BW54" s="123" t="n">
        <f aca="false">IF(AND(ISNUMBER(BJ54),ISNUMBER(BH54)),BJ54,"")</f>
        <v>-0.0107142857142857</v>
      </c>
      <c r="BX54" s="44" t="n">
        <f aca="false">IF(AND(ISNUMBER(BJ54),ISNUMBER(BH54)),BH54,"")</f>
        <v>3.76</v>
      </c>
      <c r="BY54" s="44" t="n">
        <f aca="false">IF(BM54=1,BH54,NA())</f>
        <v>3.76</v>
      </c>
      <c r="BZ54" s="122" t="n">
        <f aca="false">IF(BM54=1,BI54,NA())</f>
        <v>24.93</v>
      </c>
      <c r="CA54" s="44" t="n">
        <f aca="false">IF(BM54=1,LN(BI54),"")</f>
        <v>3.21607189753547</v>
      </c>
      <c r="CB54" s="123" t="n">
        <f aca="false">IF(ISNUMBER(BU54),BU54,NA())</f>
        <v>-0.0107142857142857</v>
      </c>
      <c r="CC54" s="44" t="n">
        <f aca="false">IF(ISNUMBER(BV54),BV54,NA())</f>
        <v>0.19</v>
      </c>
      <c r="CD54" s="124" t="n">
        <f aca="false">IF(BG54="",NA(),BG54)</f>
        <v>45901</v>
      </c>
      <c r="CE54" s="44" t="n">
        <f aca="false">IF(ISNUMBER(BH54),BH54,NA())</f>
        <v>3.76</v>
      </c>
      <c r="CF54" s="122" t="n">
        <f aca="false">IF(ISNUMBER(BI54),BI54,NA())</f>
        <v>24.93</v>
      </c>
      <c r="CH54" s="55" t="n">
        <f aca="false">IF(ISNUMBER(CI54),IF(ISNUMBER('Base de Datos'!AG50),IF('Base de Datos'!AG50&gt;20000,INT('Base de Datos'!AG50),""),IF(TRIM('Base de Datos'!AG50)="","",IFERROR(DATE(VALUE(RIGHT(TRIM('Base de Datos'!AG50),4)),VALUE(MID(TRIM('Base de Datos'!AG50),4,2)),VALUE(LEFT(TRIM('Base de Datos'!AG50),2))),IFERROR(DATEVALUE(TRIM('Base de Datos'!AG50)),"")))),"")</f>
        <v>45231</v>
      </c>
      <c r="CI54" s="56" t="n">
        <f aca="false">IF(ISNUMBER('Base de Datos'!AH50),'Base de Datos'!AH50,IF(TRIM('Base de Datos'!AH50)="","",IFERROR(IF(IFERROR(FIND("@",SUBSTITUTE(TRIM('Base de Datos'!AH50),",","@",LEN(TRIM('Base de Datos'!AH50))-LEN(SUBSTITUTE(TRIM('Base de Datos'!AH50),",","")))),0)&gt;IFERROR(FIND("@",SUBSTITUTE(TRIM('Base de Datos'!AH50),".","@",LEN(TRIM('Base de Datos'!AH50))-LEN(SUBSTITUTE(TRIM('Base de Datos'!AH50),".","")))),0),_xlfn.NUMBERVALUE(SUBSTITUTE(SUBSTITUTE(TRIM('Base de Datos'!AH50),".",""),",","."),".",","),_xlfn.NUMBERVALUE(SUBSTITUTE(TRIM('Base de Datos'!AH50),",",""),".",",")),"")))</f>
        <v>4.32</v>
      </c>
    </row>
    <row r="55" customFormat="false" ht="13.8" hidden="false" customHeight="false" outlineLevel="0" collapsed="false">
      <c r="A55" s="75" t="str">
        <f aca="false">IF(B33="","","Al comparar el rendimiento mensual de la acción contra el cambio de la inflación, la correlación es solo "&amp;FIXED(B33,2)&amp;": la inflación no explica por sí sola los movimientos del precio. La regresión del precio contra la inflación tiene una R cuadrada de "&amp;FIXED(E38,2)&amp;", es decir, la inflación explica "&amp;FIXED(E38*100,0)&amp;"% de las diferencias de precio.")</f>
        <v>Al comparar el rendimiento mensual de la acción contra el cambio de la inflación, la correlación es solo 0.14: la inflación no explica por sí sola los movimientos del precio. La regresión del precio contra la inflación tiene una R cuadrada de 0.17, es decir, la inflación explica 17% de las diferencias de precio.</v>
      </c>
      <c r="AE55" s="44" t="n">
        <v>46</v>
      </c>
      <c r="AF55" s="55" t="n">
        <f aca="false">IF(AF54="","",IFERROR(SMALL($CH$10:$CH$309,COUNTIF($CH$10:$CH$309,"&lt;="&amp;AF54)+1),""))</f>
        <v>45246</v>
      </c>
      <c r="AG55" s="56" t="n">
        <f aca="false">IF(AF55="","",INDEX($CI$10:$CI$309,MATCH(AF55,$CH$10:$CH$309,0)))</f>
        <v>4.33</v>
      </c>
      <c r="AH55" s="55" t="n">
        <f aca="false">IF(AF55="",NA(),AF55)</f>
        <v>45246</v>
      </c>
      <c r="AI55" s="56" t="n">
        <f aca="false">IF(AG55="",NA(),AG55)</f>
        <v>4.33</v>
      </c>
      <c r="AU55" s="44" t="n">
        <f aca="false">IF(46&lt;=$C$8,46,"")</f>
        <v>46</v>
      </c>
      <c r="AV55" s="56" t="n">
        <f aca="false">IF(AU55="","",INDEX($AG$10:$AG$309,$B$8+46-1))</f>
        <v>4.54</v>
      </c>
      <c r="AW55" s="56" t="n">
        <f aca="false">IF(AV55="",NA(),AV55)</f>
        <v>4.54</v>
      </c>
      <c r="AX55" s="44" t="n">
        <f aca="false">IF(AV55="",NA(),AU55)</f>
        <v>46</v>
      </c>
      <c r="AY55" s="44" t="n">
        <f aca="false">IF(AV55="","",LN(AV55))</f>
        <v>1.51292701205326</v>
      </c>
      <c r="BA55" s="44" t="str">
        <f aca="false">IF(46&lt;=INT($C$8/6),46,"")</f>
        <v/>
      </c>
      <c r="BB55" s="44" t="str">
        <f aca="false">IF(BA55="","",AVERAGE(INDEX($AV$10:$AV$309,271):INDEX($AV$10:$AV$309,276)))</f>
        <v/>
      </c>
      <c r="BC55" s="44" t="e">
        <f aca="false">IF(BB55="",NA(),BB55)</f>
        <v>#N/A</v>
      </c>
      <c r="BD55" s="44" t="e">
        <f aca="false">IF(BB55="",NA(),BA55)</f>
        <v>#N/A</v>
      </c>
      <c r="BE55" s="44" t="str">
        <f aca="false">IF(BB55="","",LN(BB55))</f>
        <v/>
      </c>
      <c r="BG55" s="121" t="n">
        <f aca="false">IF(BG54="","",IF(EDATE(BG54,1)&gt;$C$6,"",EDATE(BG54,1)))</f>
        <v>45931</v>
      </c>
      <c r="BH55" s="44" t="n">
        <f aca="false">IF(BG55="","",IFERROR(AVERAGEIFS($AG$10:$AG$309,$AF$10:$AF$309,"&gt;="&amp;BG55,$AF$10:$AF$309,"&lt;="&amp;EOMONTH(BG55,0)),""))</f>
        <v>3.565</v>
      </c>
      <c r="BI55" s="122" t="n">
        <f aca="false">IF(BG55="","",IFERROR(INDEX(Rendimientos!$C$13:$C$412,MATCH(_xlfn.MAXIFS(Rendimientos!$B$13:$B$412,Rendimientos!$B$13:$B$412,"&lt;="&amp;EOMONTH(BG55,0),Rendimientos!$B$13:$B$412,"&gt;="&amp;BG55),Rendimientos!$B$13:$B$412,0)),IFERROR(INDEX(Rendimientos!$T$13:$T$512,MATCH(_xlfn.MAXIFS(Rendimientos!$S$13:$S$512,Rendimientos!$S$13:$S$512,"&lt;="&amp;EOMONTH(BG55,0),Rendimientos!$S$13:$S$512,"&gt;="&amp;BG55),Rendimientos!$S$13:$S$512,0)),"")))</f>
        <v>26.45</v>
      </c>
      <c r="BJ55" s="123" t="n">
        <f aca="false">IF(AND(ISNUMBER(BI55),ISNUMBER(BI54)),BI55/BI54-1,"")</f>
        <v>0.0609707180104291</v>
      </c>
      <c r="BK55" s="44" t="n">
        <f aca="false">IF(AND(ISNUMBER(BH55),ISNUMBER(BH54)),BH55-BH54,"")</f>
        <v>-0.195</v>
      </c>
      <c r="BL55" s="123" t="n">
        <f aca="false">IF(AND(ISNUMBER(BH55),ISNUMBER(BH54)),BH55/BH54-1,"")</f>
        <v>-0.0518617021276595</v>
      </c>
      <c r="BM55" s="44" t="n">
        <f aca="false">IF(AND(ISNUMBER(BH55),ISNUMBER(BI55)),1,"")</f>
        <v>1</v>
      </c>
      <c r="BN55" s="44" t="n">
        <f aca="false">IF(BM55=1,COUNT(BM55:BM$69),"")</f>
        <v>12</v>
      </c>
      <c r="BO55" s="44" t="n">
        <f aca="false">IF(BM55=1,BH55,"")</f>
        <v>3.565</v>
      </c>
      <c r="BP55" s="122" t="n">
        <f aca="false">IF(BM55=1,BI55,"")</f>
        <v>26.45</v>
      </c>
      <c r="BQ55" s="44" t="n">
        <f aca="false">IF(AND(BM55=1,BN55&lt;=12),BH55,"")</f>
        <v>3.565</v>
      </c>
      <c r="BR55" s="122" t="n">
        <f aca="false">IF(AND(BM55=1,BN55&lt;=12),BI55,"")</f>
        <v>26.45</v>
      </c>
      <c r="BS55" s="44" t="str">
        <f aca="false">IF(AND(BM55=1,BN55&lt;=6),BH55,"")</f>
        <v/>
      </c>
      <c r="BT55" s="44" t="str">
        <f aca="false">IF(AND(BM55=1,BN55&lt;=6),BI55,"")</f>
        <v/>
      </c>
      <c r="BU55" s="123" t="n">
        <f aca="false">IF(AND(ISNUMBER(BJ55),ISNUMBER(BK55)),BJ55,"")</f>
        <v>0.0609707180104291</v>
      </c>
      <c r="BV55" s="44" t="n">
        <f aca="false">IF(AND(ISNUMBER(BJ55),ISNUMBER(BK55)),BK55,"")</f>
        <v>-0.195</v>
      </c>
      <c r="BW55" s="123" t="n">
        <f aca="false">IF(AND(ISNUMBER(BJ55),ISNUMBER(BH55)),BJ55,"")</f>
        <v>0.0609707180104291</v>
      </c>
      <c r="BX55" s="44" t="n">
        <f aca="false">IF(AND(ISNUMBER(BJ55),ISNUMBER(BH55)),BH55,"")</f>
        <v>3.565</v>
      </c>
      <c r="BY55" s="44" t="n">
        <f aca="false">IF(BM55=1,BH55,NA())</f>
        <v>3.565</v>
      </c>
      <c r="BZ55" s="122" t="n">
        <f aca="false">IF(BM55=1,BI55,NA())</f>
        <v>26.45</v>
      </c>
      <c r="CA55" s="44" t="n">
        <f aca="false">IF(BM55=1,LN(BI55),"")</f>
        <v>3.27525615830431</v>
      </c>
      <c r="CB55" s="123" t="n">
        <f aca="false">IF(ISNUMBER(BU55),BU55,NA())</f>
        <v>0.0609707180104291</v>
      </c>
      <c r="CC55" s="44" t="n">
        <f aca="false">IF(ISNUMBER(BV55),BV55,NA())</f>
        <v>-0.195</v>
      </c>
      <c r="CD55" s="124" t="n">
        <f aca="false">IF(BG55="",NA(),BG55)</f>
        <v>45931</v>
      </c>
      <c r="CE55" s="44" t="n">
        <f aca="false">IF(ISNUMBER(BH55),BH55,NA())</f>
        <v>3.565</v>
      </c>
      <c r="CF55" s="122" t="n">
        <f aca="false">IF(ISNUMBER(BI55),BI55,NA())</f>
        <v>26.45</v>
      </c>
      <c r="CH55" s="55" t="n">
        <f aca="false">IF(ISNUMBER(CI55),IF(ISNUMBER('Base de Datos'!AG51),IF('Base de Datos'!AG51&gt;20000,INT('Base de Datos'!AG51),""),IF(TRIM('Base de Datos'!AG51)="","",IFERROR(DATE(VALUE(RIGHT(TRIM('Base de Datos'!AG51),4)),VALUE(MID(TRIM('Base de Datos'!AG51),4,2)),VALUE(LEFT(TRIM('Base de Datos'!AG51),2))),IFERROR(DATEVALUE(TRIM('Base de Datos'!AG51)),"")))),"")</f>
        <v>45246</v>
      </c>
      <c r="CI55" s="56" t="n">
        <f aca="false">IF(ISNUMBER('Base de Datos'!AH51),'Base de Datos'!AH51,IF(TRIM('Base de Datos'!AH51)="","",IFERROR(IF(IFERROR(FIND("@",SUBSTITUTE(TRIM('Base de Datos'!AH51),",","@",LEN(TRIM('Base de Datos'!AH51))-LEN(SUBSTITUTE(TRIM('Base de Datos'!AH51),",","")))),0)&gt;IFERROR(FIND("@",SUBSTITUTE(TRIM('Base de Datos'!AH51),".","@",LEN(TRIM('Base de Datos'!AH51))-LEN(SUBSTITUTE(TRIM('Base de Datos'!AH51),".","")))),0),_xlfn.NUMBERVALUE(SUBSTITUTE(SUBSTITUTE(TRIM('Base de Datos'!AH51),".",""),",","."),".",","),_xlfn.NUMBERVALUE(SUBSTITUTE(TRIM('Base de Datos'!AH51),",",""),".",",")),"")))</f>
        <v>4.33</v>
      </c>
    </row>
    <row r="56" customFormat="false" ht="13.8" hidden="false" customHeight="false" outlineLevel="0" collapsed="false">
      <c r="A56" s="75" t="str">
        <f aca="false">IF(B49="","","En los meses en que la inflación subió, Soriana rindió en promedio "&amp;FIXED(B49*100,2)&amp;"% al mes ("&amp;C49&amp;" meses); en los meses en que bajó, "&amp;FIXED(B50*100,2)&amp;"% ("&amp;C50&amp;" meses). Los periodos de mayores cambios de inflación están arriba: no siempre coinciden con caídas o subidas fuertes de la acción.")</f>
        <v>En los meses en que la inflación subió, Soriana rindió en promedio 1.24% al mes (30 meses); en los meses en que bajó, 0.97% (26 meses). Los periodos de mayores cambios de inflación están arriba: no siempre coinciden con caídas o subidas fuertes de la acción.</v>
      </c>
      <c r="AE56" s="44" t="n">
        <v>47</v>
      </c>
      <c r="AF56" s="55" t="n">
        <f aca="false">IF(AF55="","",IFERROR(SMALL($CH$10:$CH$309,COUNTIF($CH$10:$CH$309,"&lt;="&amp;AF55)+1),""))</f>
        <v>45261</v>
      </c>
      <c r="AG56" s="56" t="n">
        <f aca="false">IF(AF56="","",INDEX($CI$10:$CI$309,MATCH(AF56,$CH$10:$CH$309,0)))</f>
        <v>4.46</v>
      </c>
      <c r="AH56" s="55" t="n">
        <f aca="false">IF(AF56="",NA(),AF56)</f>
        <v>45261</v>
      </c>
      <c r="AI56" s="56" t="n">
        <f aca="false">IF(AG56="",NA(),AG56)</f>
        <v>4.46</v>
      </c>
      <c r="AU56" s="44" t="n">
        <f aca="false">IF(47&lt;=$C$8,47,"")</f>
        <v>47</v>
      </c>
      <c r="AV56" s="56" t="n">
        <f aca="false">IF(AU56="","",INDEX($AG$10:$AG$309,$B$8+47-1))</f>
        <v>4.44</v>
      </c>
      <c r="AW56" s="56" t="n">
        <f aca="false">IF(AV56="",NA(),AV56)</f>
        <v>4.44</v>
      </c>
      <c r="AX56" s="44" t="n">
        <f aca="false">IF(AV56="",NA(),AU56)</f>
        <v>47</v>
      </c>
      <c r="AY56" s="44" t="n">
        <f aca="false">IF(AV56="","",LN(AV56))</f>
        <v>1.49065437644413</v>
      </c>
      <c r="BA56" s="44" t="str">
        <f aca="false">IF(47&lt;=INT($C$8/6),47,"")</f>
        <v/>
      </c>
      <c r="BB56" s="44" t="str">
        <f aca="false">IF(BA56="","",AVERAGE(INDEX($AV$10:$AV$309,277):INDEX($AV$10:$AV$309,282)))</f>
        <v/>
      </c>
      <c r="BC56" s="44" t="e">
        <f aca="false">IF(BB56="",NA(),BB56)</f>
        <v>#N/A</v>
      </c>
      <c r="BD56" s="44" t="e">
        <f aca="false">IF(BB56="",NA(),BA56)</f>
        <v>#N/A</v>
      </c>
      <c r="BE56" s="44" t="str">
        <f aca="false">IF(BB56="","",LN(BB56))</f>
        <v/>
      </c>
      <c r="BG56" s="121" t="n">
        <f aca="false">IF(BG55="","",IF(EDATE(BG55,1)&gt;$C$6,"",EDATE(BG55,1)))</f>
        <v>45962</v>
      </c>
      <c r="BH56" s="44" t="n">
        <f aca="false">IF(BG56="","",IFERROR(AVERAGEIFS($AG$10:$AG$309,$AF$10:$AF$309,"&gt;="&amp;BG56,$AF$10:$AF$309,"&lt;="&amp;EOMONTH(BG56,0)),""))</f>
        <v>3.8</v>
      </c>
      <c r="BI56" s="122" t="n">
        <f aca="false">IF(BG56="","",IFERROR(INDEX(Rendimientos!$C$13:$C$412,MATCH(_xlfn.MAXIFS(Rendimientos!$B$13:$B$412,Rendimientos!$B$13:$B$412,"&lt;="&amp;EOMONTH(BG56,0),Rendimientos!$B$13:$B$412,"&gt;="&amp;BG56),Rendimientos!$B$13:$B$412,0)),IFERROR(INDEX(Rendimientos!$T$13:$T$512,MATCH(_xlfn.MAXIFS(Rendimientos!$S$13:$S$512,Rendimientos!$S$13:$S$512,"&lt;="&amp;EOMONTH(BG56,0),Rendimientos!$S$13:$S$512,"&gt;="&amp;BG56),Rendimientos!$S$13:$S$512,0)),"")))</f>
        <v>29</v>
      </c>
      <c r="BJ56" s="123" t="n">
        <f aca="false">IF(AND(ISNUMBER(BI56),ISNUMBER(BI55)),BI56/BI55-1,"")</f>
        <v>0.0964083175803403</v>
      </c>
      <c r="BK56" s="44" t="n">
        <f aca="false">IF(AND(ISNUMBER(BH56),ISNUMBER(BH55)),BH56-BH55,"")</f>
        <v>0.235</v>
      </c>
      <c r="BL56" s="123" t="n">
        <f aca="false">IF(AND(ISNUMBER(BH56),ISNUMBER(BH55)),BH56/BH55-1,"")</f>
        <v>0.0659186535764376</v>
      </c>
      <c r="BM56" s="44" t="n">
        <f aca="false">IF(AND(ISNUMBER(BH56),ISNUMBER(BI56)),1,"")</f>
        <v>1</v>
      </c>
      <c r="BN56" s="44" t="n">
        <f aca="false">IF(BM56=1,COUNT(BM56:BM$69),"")</f>
        <v>11</v>
      </c>
      <c r="BO56" s="44" t="n">
        <f aca="false">IF(BM56=1,BH56,"")</f>
        <v>3.8</v>
      </c>
      <c r="BP56" s="122" t="n">
        <f aca="false">IF(BM56=1,BI56,"")</f>
        <v>29</v>
      </c>
      <c r="BQ56" s="44" t="n">
        <f aca="false">IF(AND(BM56=1,BN56&lt;=12),BH56,"")</f>
        <v>3.8</v>
      </c>
      <c r="BR56" s="122" t="n">
        <f aca="false">IF(AND(BM56=1,BN56&lt;=12),BI56,"")</f>
        <v>29</v>
      </c>
      <c r="BS56" s="44" t="str">
        <f aca="false">IF(AND(BM56=1,BN56&lt;=6),BH56,"")</f>
        <v/>
      </c>
      <c r="BT56" s="44" t="str">
        <f aca="false">IF(AND(BM56=1,BN56&lt;=6),BI56,"")</f>
        <v/>
      </c>
      <c r="BU56" s="123" t="n">
        <f aca="false">IF(AND(ISNUMBER(BJ56),ISNUMBER(BK56)),BJ56,"")</f>
        <v>0.0964083175803403</v>
      </c>
      <c r="BV56" s="44" t="n">
        <f aca="false">IF(AND(ISNUMBER(BJ56),ISNUMBER(BK56)),BK56,"")</f>
        <v>0.235</v>
      </c>
      <c r="BW56" s="123" t="n">
        <f aca="false">IF(AND(ISNUMBER(BJ56),ISNUMBER(BH56)),BJ56,"")</f>
        <v>0.0964083175803403</v>
      </c>
      <c r="BX56" s="44" t="n">
        <f aca="false">IF(AND(ISNUMBER(BJ56),ISNUMBER(BH56)),BH56,"")</f>
        <v>3.8</v>
      </c>
      <c r="BY56" s="44" t="n">
        <f aca="false">IF(BM56=1,BH56,NA())</f>
        <v>3.8</v>
      </c>
      <c r="BZ56" s="122" t="n">
        <f aca="false">IF(BM56=1,BI56,NA())</f>
        <v>29</v>
      </c>
      <c r="CA56" s="44" t="n">
        <f aca="false">IF(BM56=1,LN(BI56),"")</f>
        <v>3.36729582998647</v>
      </c>
      <c r="CB56" s="123" t="n">
        <f aca="false">IF(ISNUMBER(BU56),BU56,NA())</f>
        <v>0.0964083175803403</v>
      </c>
      <c r="CC56" s="44" t="n">
        <f aca="false">IF(ISNUMBER(BV56),BV56,NA())</f>
        <v>0.235</v>
      </c>
      <c r="CD56" s="124" t="n">
        <f aca="false">IF(BG56="",NA(),BG56)</f>
        <v>45962</v>
      </c>
      <c r="CE56" s="44" t="n">
        <f aca="false">IF(ISNUMBER(BH56),BH56,NA())</f>
        <v>3.8</v>
      </c>
      <c r="CF56" s="122" t="n">
        <f aca="false">IF(ISNUMBER(BI56),BI56,NA())</f>
        <v>29</v>
      </c>
      <c r="CH56" s="55" t="n">
        <f aca="false">IF(ISNUMBER(CI56),IF(ISNUMBER('Base de Datos'!AG52),IF('Base de Datos'!AG52&gt;20000,INT('Base de Datos'!AG52),""),IF(TRIM('Base de Datos'!AG52)="","",IFERROR(DATE(VALUE(RIGHT(TRIM('Base de Datos'!AG52),4)),VALUE(MID(TRIM('Base de Datos'!AG52),4,2)),VALUE(LEFT(TRIM('Base de Datos'!AG52),2))),IFERROR(DATEVALUE(TRIM('Base de Datos'!AG52)),"")))),"")</f>
        <v>45261</v>
      </c>
      <c r="CI56" s="56" t="n">
        <f aca="false">IF(ISNUMBER('Base de Datos'!AH52),'Base de Datos'!AH52,IF(TRIM('Base de Datos'!AH52)="","",IFERROR(IF(IFERROR(FIND("@",SUBSTITUTE(TRIM('Base de Datos'!AH52),",","@",LEN(TRIM('Base de Datos'!AH52))-LEN(SUBSTITUTE(TRIM('Base de Datos'!AH52),",","")))),0)&gt;IFERROR(FIND("@",SUBSTITUTE(TRIM('Base de Datos'!AH52),".","@",LEN(TRIM('Base de Datos'!AH52))-LEN(SUBSTITUTE(TRIM('Base de Datos'!AH52),".","")))),0),_xlfn.NUMBERVALUE(SUBSTITUTE(SUBSTITUTE(TRIM('Base de Datos'!AH52),".",""),",","."),".",","),_xlfn.NUMBERVALUE(SUBSTITUTE(TRIM('Base de Datos'!AH52),",",""),".",",")),"")))</f>
        <v>4.46</v>
      </c>
    </row>
    <row r="57" customFormat="false" ht="13.8" hidden="false" customHeight="false" outlineLevel="0" collapsed="false">
      <c r="A57" s="75" t="s">
        <v>1659</v>
      </c>
      <c r="AE57" s="44" t="n">
        <v>48</v>
      </c>
      <c r="AF57" s="55" t="n">
        <f aca="false">IF(AF56="","",IFERROR(SMALL($CH$10:$CH$309,COUNTIF($CH$10:$CH$309,"&lt;="&amp;AF56)+1),""))</f>
        <v>45276</v>
      </c>
      <c r="AG57" s="56" t="n">
        <f aca="false">IF(AF57="","",INDEX($CI$10:$CI$309,MATCH(AF57,$CH$10:$CH$309,0)))</f>
        <v>4.86</v>
      </c>
      <c r="AH57" s="55" t="n">
        <f aca="false">IF(AF57="",NA(),AF57)</f>
        <v>45276</v>
      </c>
      <c r="AI57" s="56" t="n">
        <f aca="false">IF(AG57="",NA(),AG57)</f>
        <v>4.86</v>
      </c>
      <c r="AU57" s="44" t="n">
        <f aca="false">IF(48&lt;=$C$8,48,"")</f>
        <v>48</v>
      </c>
      <c r="AV57" s="56" t="n">
        <f aca="false">IF(AU57="","",INDEX($AG$10:$AG$309,$B$8+48-1))</f>
        <v>3.99</v>
      </c>
      <c r="AW57" s="56" t="n">
        <f aca="false">IF(AV57="",NA(),AV57)</f>
        <v>3.99</v>
      </c>
      <c r="AX57" s="44" t="n">
        <f aca="false">IF(AV57="",NA(),AU57)</f>
        <v>48</v>
      </c>
      <c r="AY57" s="44" t="n">
        <f aca="false">IF(AV57="","",LN(AV57))</f>
        <v>1.38379123090177</v>
      </c>
      <c r="BA57" s="44" t="str">
        <f aca="false">IF(48&lt;=INT($C$8/6),48,"")</f>
        <v/>
      </c>
      <c r="BB57" s="44" t="str">
        <f aca="false">IF(BA57="","",AVERAGE(INDEX($AV$10:$AV$309,283):INDEX($AV$10:$AV$309,288)))</f>
        <v/>
      </c>
      <c r="BC57" s="44" t="e">
        <f aca="false">IF(BB57="",NA(),BB57)</f>
        <v>#N/A</v>
      </c>
      <c r="BD57" s="44" t="e">
        <f aca="false">IF(BB57="",NA(),BA57)</f>
        <v>#N/A</v>
      </c>
      <c r="BE57" s="44" t="str">
        <f aca="false">IF(BB57="","",LN(BB57))</f>
        <v/>
      </c>
      <c r="BG57" s="121" t="n">
        <f aca="false">IF(BG56="","",IF(EDATE(BG56,1)&gt;$C$6,"",EDATE(BG56,1)))</f>
        <v>45992</v>
      </c>
      <c r="BH57" s="44" t="n">
        <f aca="false">IF(BG57="","",IFERROR(AVERAGEIFS($AG$10:$AG$309,$AF$10:$AF$309,"&gt;="&amp;BG57,$AF$10:$AF$309,"&lt;="&amp;EOMONTH(BG57,0)),""))</f>
        <v>3.69</v>
      </c>
      <c r="BI57" s="122" t="n">
        <f aca="false">IF(BG57="","",IFERROR(INDEX(Rendimientos!$C$13:$C$412,MATCH(_xlfn.MAXIFS(Rendimientos!$B$13:$B$412,Rendimientos!$B$13:$B$412,"&lt;="&amp;EOMONTH(BG57,0),Rendimientos!$B$13:$B$412,"&gt;="&amp;BG57),Rendimientos!$B$13:$B$412,0)),IFERROR(INDEX(Rendimientos!$T$13:$T$512,MATCH(_xlfn.MAXIFS(Rendimientos!$S$13:$S$512,Rendimientos!$S$13:$S$512,"&lt;="&amp;EOMONTH(BG57,0),Rendimientos!$S$13:$S$512,"&gt;="&amp;BG57),Rendimientos!$S$13:$S$512,0)),"")))</f>
        <v>41.8</v>
      </c>
      <c r="BJ57" s="123" t="n">
        <f aca="false">IF(AND(ISNUMBER(BI57),ISNUMBER(BI56)),BI57/BI56-1,"")</f>
        <v>0.441379310344828</v>
      </c>
      <c r="BK57" s="44" t="n">
        <f aca="false">IF(AND(ISNUMBER(BH57),ISNUMBER(BH56)),BH57-BH56,"")</f>
        <v>-0.109999999999999</v>
      </c>
      <c r="BL57" s="123" t="n">
        <f aca="false">IF(AND(ISNUMBER(BH57),ISNUMBER(BH56)),BH57/BH56-1,"")</f>
        <v>-0.0289473684210525</v>
      </c>
      <c r="BM57" s="44" t="n">
        <f aca="false">IF(AND(ISNUMBER(BH57),ISNUMBER(BI57)),1,"")</f>
        <v>1</v>
      </c>
      <c r="BN57" s="44" t="n">
        <f aca="false">IF(BM57=1,COUNT(BM57:BM$69),"")</f>
        <v>10</v>
      </c>
      <c r="BO57" s="44" t="n">
        <f aca="false">IF(BM57=1,BH57,"")</f>
        <v>3.69</v>
      </c>
      <c r="BP57" s="122" t="n">
        <f aca="false">IF(BM57=1,BI57,"")</f>
        <v>41.8</v>
      </c>
      <c r="BQ57" s="44" t="n">
        <f aca="false">IF(AND(BM57=1,BN57&lt;=12),BH57,"")</f>
        <v>3.69</v>
      </c>
      <c r="BR57" s="122" t="n">
        <f aca="false">IF(AND(BM57=1,BN57&lt;=12),BI57,"")</f>
        <v>41.8</v>
      </c>
      <c r="BS57" s="44" t="str">
        <f aca="false">IF(AND(BM57=1,BN57&lt;=6),BH57,"")</f>
        <v/>
      </c>
      <c r="BT57" s="44" t="str">
        <f aca="false">IF(AND(BM57=1,BN57&lt;=6),BI57,"")</f>
        <v/>
      </c>
      <c r="BU57" s="123" t="n">
        <f aca="false">IF(AND(ISNUMBER(BJ57),ISNUMBER(BK57)),BJ57,"")</f>
        <v>0.441379310344828</v>
      </c>
      <c r="BV57" s="44" t="n">
        <f aca="false">IF(AND(ISNUMBER(BJ57),ISNUMBER(BK57)),BK57,"")</f>
        <v>-0.109999999999999</v>
      </c>
      <c r="BW57" s="123" t="n">
        <f aca="false">IF(AND(ISNUMBER(BJ57),ISNUMBER(BH57)),BJ57,"")</f>
        <v>0.441379310344828</v>
      </c>
      <c r="BX57" s="44" t="n">
        <f aca="false">IF(AND(ISNUMBER(BJ57),ISNUMBER(BH57)),BH57,"")</f>
        <v>3.69</v>
      </c>
      <c r="BY57" s="44" t="n">
        <f aca="false">IF(BM57=1,BH57,NA())</f>
        <v>3.69</v>
      </c>
      <c r="BZ57" s="122" t="n">
        <f aca="false">IF(BM57=1,BI57,NA())</f>
        <v>41.8</v>
      </c>
      <c r="CA57" s="44" t="n">
        <f aca="false">IF(BM57=1,LN(BI57),"")</f>
        <v>3.73289633953071</v>
      </c>
      <c r="CB57" s="123" t="n">
        <f aca="false">IF(ISNUMBER(BU57),BU57,NA())</f>
        <v>0.441379310344828</v>
      </c>
      <c r="CC57" s="44" t="n">
        <f aca="false">IF(ISNUMBER(BV57),BV57,NA())</f>
        <v>-0.109999999999999</v>
      </c>
      <c r="CD57" s="124" t="n">
        <f aca="false">IF(BG57="",NA(),BG57)</f>
        <v>45992</v>
      </c>
      <c r="CE57" s="44" t="n">
        <f aca="false">IF(ISNUMBER(BH57),BH57,NA())</f>
        <v>3.69</v>
      </c>
      <c r="CF57" s="122" t="n">
        <f aca="false">IF(ISNUMBER(BI57),BI57,NA())</f>
        <v>41.8</v>
      </c>
      <c r="CH57" s="55" t="n">
        <f aca="false">IF(ISNUMBER(CI57),IF(ISNUMBER('Base de Datos'!AG53),IF('Base de Datos'!AG53&gt;20000,INT('Base de Datos'!AG53),""),IF(TRIM('Base de Datos'!AG53)="","",IFERROR(DATE(VALUE(RIGHT(TRIM('Base de Datos'!AG53),4)),VALUE(MID(TRIM('Base de Datos'!AG53),4,2)),VALUE(LEFT(TRIM('Base de Datos'!AG53),2))),IFERROR(DATEVALUE(TRIM('Base de Datos'!AG53)),"")))),"")</f>
        <v>45276</v>
      </c>
      <c r="CI57" s="56" t="n">
        <f aca="false">IF(ISNUMBER('Base de Datos'!AH53),'Base de Datos'!AH53,IF(TRIM('Base de Datos'!AH53)="","",IFERROR(IF(IFERROR(FIND("@",SUBSTITUTE(TRIM('Base de Datos'!AH53),",","@",LEN(TRIM('Base de Datos'!AH53))-LEN(SUBSTITUTE(TRIM('Base de Datos'!AH53),",","")))),0)&gt;IFERROR(FIND("@",SUBSTITUTE(TRIM('Base de Datos'!AH53),".","@",LEN(TRIM('Base de Datos'!AH53))-LEN(SUBSTITUTE(TRIM('Base de Datos'!AH53),".","")))),0),_xlfn.NUMBERVALUE(SUBSTITUTE(SUBSTITUTE(TRIM('Base de Datos'!AH53),".",""),",","."),".",","),_xlfn.NUMBERVALUE(SUBSTITUTE(TRIM('Base de Datos'!AH53),",",""),".",",")),"")))</f>
        <v>4.86</v>
      </c>
    </row>
    <row r="58" customFormat="false" ht="13.8" hidden="false" customHeight="false" outlineLevel="0" collapsed="false">
      <c r="AE58" s="44" t="n">
        <v>49</v>
      </c>
      <c r="AF58" s="55" t="n">
        <f aca="false">IF(AF57="","",IFERROR(SMALL($CH$10:$CH$309,COUNTIF($CH$10:$CH$309,"&lt;="&amp;AF57)+1),""))</f>
        <v>45292</v>
      </c>
      <c r="AG58" s="56" t="n">
        <f aca="false">IF(AF58="","",INDEX($CI$10:$CI$309,MATCH(AF58,$CH$10:$CH$309,0)))</f>
        <v>4.9</v>
      </c>
      <c r="AH58" s="55" t="n">
        <f aca="false">IF(AF58="",NA(),AF58)</f>
        <v>45292</v>
      </c>
      <c r="AI58" s="56" t="n">
        <f aca="false">IF(AG58="",NA(),AG58)</f>
        <v>4.9</v>
      </c>
      <c r="AU58" s="44" t="n">
        <f aca="false">IF(49&lt;=$C$8,49,"")</f>
        <v>49</v>
      </c>
      <c r="AV58" s="56" t="n">
        <f aca="false">IF(AU58="","",INDEX($AG$10:$AG$309,$B$8+49-1))</f>
        <v>3.69</v>
      </c>
      <c r="AW58" s="56" t="n">
        <f aca="false">IF(AV58="",NA(),AV58)</f>
        <v>3.69</v>
      </c>
      <c r="AX58" s="44" t="n">
        <f aca="false">IF(AV58="",NA(),AU58)</f>
        <v>49</v>
      </c>
      <c r="AY58" s="44" t="n">
        <f aca="false">IF(AV58="","",LN(AV58))</f>
        <v>1.30562645805244</v>
      </c>
      <c r="BA58" s="44" t="str">
        <f aca="false">IF(49&lt;=INT($C$8/6),49,"")</f>
        <v/>
      </c>
      <c r="BB58" s="44" t="str">
        <f aca="false">IF(BA58="","",AVERAGE(INDEX($AV$10:$AV$309,289):INDEX($AV$10:$AV$309,294)))</f>
        <v/>
      </c>
      <c r="BC58" s="44" t="e">
        <f aca="false">IF(BB58="",NA(),BB58)</f>
        <v>#N/A</v>
      </c>
      <c r="BD58" s="44" t="e">
        <f aca="false">IF(BB58="",NA(),BA58)</f>
        <v>#N/A</v>
      </c>
      <c r="BE58" s="44" t="str">
        <f aca="false">IF(BB58="","",LN(BB58))</f>
        <v/>
      </c>
      <c r="BG58" s="121" t="n">
        <f aca="false">IF(BG57="","",IF(EDATE(BG57,1)&gt;$C$6,"",EDATE(BG57,1)))</f>
        <v>46023</v>
      </c>
      <c r="BH58" s="44" t="n">
        <f aca="false">IF(BG58="","",IFERROR(AVERAGEIFS($AG$10:$AG$309,$AF$10:$AF$309,"&gt;="&amp;BG58,$AF$10:$AF$309,"&lt;="&amp;EOMONTH(BG58,0)),""))</f>
        <v>3.795</v>
      </c>
      <c r="BI58" s="122" t="n">
        <f aca="false">IF(BG58="","",IFERROR(INDEX(Rendimientos!$C$13:$C$412,MATCH(_xlfn.MAXIFS(Rendimientos!$B$13:$B$412,Rendimientos!$B$13:$B$412,"&lt;="&amp;EOMONTH(BG58,0),Rendimientos!$B$13:$B$412,"&gt;="&amp;BG58),Rendimientos!$B$13:$B$412,0)),IFERROR(INDEX(Rendimientos!$T$13:$T$512,MATCH(_xlfn.MAXIFS(Rendimientos!$S$13:$S$512,Rendimientos!$S$13:$S$512,"&lt;="&amp;EOMONTH(BG58,0),Rendimientos!$S$13:$S$512,"&gt;="&amp;BG58),Rendimientos!$S$13:$S$512,0)),"")))</f>
        <v>35.8</v>
      </c>
      <c r="BJ58" s="123" t="n">
        <f aca="false">IF(AND(ISNUMBER(BI58),ISNUMBER(BI57)),BI58/BI57-1,"")</f>
        <v>-0.143540669856459</v>
      </c>
      <c r="BK58" s="44" t="n">
        <f aca="false">IF(AND(ISNUMBER(BH58),ISNUMBER(BH57)),BH58-BH57,"")</f>
        <v>0.105</v>
      </c>
      <c r="BL58" s="123" t="n">
        <f aca="false">IF(AND(ISNUMBER(BH58),ISNUMBER(BH57)),BH58/BH57-1,"")</f>
        <v>0.0284552845528454</v>
      </c>
      <c r="BM58" s="44" t="n">
        <f aca="false">IF(AND(ISNUMBER(BH58),ISNUMBER(BI58)),1,"")</f>
        <v>1</v>
      </c>
      <c r="BN58" s="44" t="n">
        <f aca="false">IF(BM58=1,COUNT(BM58:BM$69),"")</f>
        <v>9</v>
      </c>
      <c r="BO58" s="44" t="n">
        <f aca="false">IF(BM58=1,BH58,"")</f>
        <v>3.795</v>
      </c>
      <c r="BP58" s="122" t="n">
        <f aca="false">IF(BM58=1,BI58,"")</f>
        <v>35.8</v>
      </c>
      <c r="BQ58" s="44" t="n">
        <f aca="false">IF(AND(BM58=1,BN58&lt;=12),BH58,"")</f>
        <v>3.795</v>
      </c>
      <c r="BR58" s="122" t="n">
        <f aca="false">IF(AND(BM58=1,BN58&lt;=12),BI58,"")</f>
        <v>35.8</v>
      </c>
      <c r="BS58" s="44" t="str">
        <f aca="false">IF(AND(BM58=1,BN58&lt;=6),BH58,"")</f>
        <v/>
      </c>
      <c r="BT58" s="44" t="str">
        <f aca="false">IF(AND(BM58=1,BN58&lt;=6),BI58,"")</f>
        <v/>
      </c>
      <c r="BU58" s="123" t="n">
        <f aca="false">IF(AND(ISNUMBER(BJ58),ISNUMBER(BK58)),BJ58,"")</f>
        <v>-0.143540669856459</v>
      </c>
      <c r="BV58" s="44" t="n">
        <f aca="false">IF(AND(ISNUMBER(BJ58),ISNUMBER(BK58)),BK58,"")</f>
        <v>0.105</v>
      </c>
      <c r="BW58" s="123" t="n">
        <f aca="false">IF(AND(ISNUMBER(BJ58),ISNUMBER(BH58)),BJ58,"")</f>
        <v>-0.143540669856459</v>
      </c>
      <c r="BX58" s="44" t="n">
        <f aca="false">IF(AND(ISNUMBER(BJ58),ISNUMBER(BH58)),BH58,"")</f>
        <v>3.795</v>
      </c>
      <c r="BY58" s="44" t="n">
        <f aca="false">IF(BM58=1,BH58,NA())</f>
        <v>3.795</v>
      </c>
      <c r="BZ58" s="122" t="n">
        <f aca="false">IF(BM58=1,BI58,NA())</f>
        <v>35.8</v>
      </c>
      <c r="CA58" s="44" t="n">
        <f aca="false">IF(BM58=1,LN(BI58),"")</f>
        <v>3.57794789340665</v>
      </c>
      <c r="CB58" s="123" t="n">
        <f aca="false">IF(ISNUMBER(BU58),BU58,NA())</f>
        <v>-0.143540669856459</v>
      </c>
      <c r="CC58" s="44" t="n">
        <f aca="false">IF(ISNUMBER(BV58),BV58,NA())</f>
        <v>0.105</v>
      </c>
      <c r="CD58" s="124" t="n">
        <f aca="false">IF(BG58="",NA(),BG58)</f>
        <v>46023</v>
      </c>
      <c r="CE58" s="44" t="n">
        <f aca="false">IF(ISNUMBER(BH58),BH58,NA())</f>
        <v>3.795</v>
      </c>
      <c r="CF58" s="122" t="n">
        <f aca="false">IF(ISNUMBER(BI58),BI58,NA())</f>
        <v>35.8</v>
      </c>
      <c r="CH58" s="55" t="n">
        <f aca="false">IF(ISNUMBER(CI58),IF(ISNUMBER('Base de Datos'!AG54),IF('Base de Datos'!AG54&gt;20000,INT('Base de Datos'!AG54),""),IF(TRIM('Base de Datos'!AG54)="","",IFERROR(DATE(VALUE(RIGHT(TRIM('Base de Datos'!AG54),4)),VALUE(MID(TRIM('Base de Datos'!AG54),4,2)),VALUE(LEFT(TRIM('Base de Datos'!AG54),2))),IFERROR(DATEVALUE(TRIM('Base de Datos'!AG54)),"")))),"")</f>
        <v>45292</v>
      </c>
      <c r="CI58" s="56" t="n">
        <f aca="false">IF(ISNUMBER('Base de Datos'!AH54),'Base de Datos'!AH54,IF(TRIM('Base de Datos'!AH54)="","",IFERROR(IF(IFERROR(FIND("@",SUBSTITUTE(TRIM('Base de Datos'!AH54),",","@",LEN(TRIM('Base de Datos'!AH54))-LEN(SUBSTITUTE(TRIM('Base de Datos'!AH54),",","")))),0)&gt;IFERROR(FIND("@",SUBSTITUTE(TRIM('Base de Datos'!AH54),".","@",LEN(TRIM('Base de Datos'!AH54))-LEN(SUBSTITUTE(TRIM('Base de Datos'!AH54),".","")))),0),_xlfn.NUMBERVALUE(SUBSTITUTE(SUBSTITUTE(TRIM('Base de Datos'!AH54),".",""),",","."),".",","),_xlfn.NUMBERVALUE(SUBSTITUTE(TRIM('Base de Datos'!AH54),",",""),".",",")),"")))</f>
        <v>4.9</v>
      </c>
    </row>
    <row r="59" customFormat="false" ht="13.8" hidden="false" customHeight="false" outlineLevel="0" collapsed="false">
      <c r="AE59" s="44" t="n">
        <v>50</v>
      </c>
      <c r="AF59" s="55" t="n">
        <f aca="false">IF(AF58="","",IFERROR(SMALL($CH$10:$CH$309,COUNTIF($CH$10:$CH$309,"&lt;="&amp;AF58)+1),""))</f>
        <v>45307</v>
      </c>
      <c r="AG59" s="56" t="n">
        <f aca="false">IF(AF59="","",INDEX($CI$10:$CI$309,MATCH(AF59,$CH$10:$CH$309,0)))</f>
        <v>4.87</v>
      </c>
      <c r="AH59" s="55" t="n">
        <f aca="false">IF(AF59="",NA(),AF59)</f>
        <v>45307</v>
      </c>
      <c r="AI59" s="56" t="n">
        <f aca="false">IF(AG59="",NA(),AG59)</f>
        <v>4.87</v>
      </c>
      <c r="AU59" s="44" t="n">
        <f aca="false">IF(50&lt;=$C$8,50,"")</f>
        <v>50</v>
      </c>
      <c r="AV59" s="56" t="n">
        <f aca="false">IF(AU59="","",INDEX($AG$10:$AG$309,$B$8+50-1))</f>
        <v>3.48</v>
      </c>
      <c r="AW59" s="56" t="n">
        <f aca="false">IF(AV59="",NA(),AV59)</f>
        <v>3.48</v>
      </c>
      <c r="AX59" s="44" t="n">
        <f aca="false">IF(AV59="",NA(),AU59)</f>
        <v>50</v>
      </c>
      <c r="AY59" s="44" t="n">
        <f aca="false">IF(AV59="","",LN(AV59))</f>
        <v>1.24703229378638</v>
      </c>
      <c r="BA59" s="44" t="str">
        <f aca="false">IF(50&lt;=INT($C$8/6),50,"")</f>
        <v/>
      </c>
      <c r="BB59" s="44" t="str">
        <f aca="false">IF(BA59="","",AVERAGE(INDEX($AV$10:$AV$309,295):INDEX($AV$10:$AV$309,300)))</f>
        <v/>
      </c>
      <c r="BC59" s="44" t="e">
        <f aca="false">IF(BB59="",NA(),BB59)</f>
        <v>#N/A</v>
      </c>
      <c r="BD59" s="44" t="e">
        <f aca="false">IF(BB59="",NA(),BA59)</f>
        <v>#N/A</v>
      </c>
      <c r="BE59" s="44" t="str">
        <f aca="false">IF(BB59="","",LN(BB59))</f>
        <v/>
      </c>
      <c r="BG59" s="121" t="n">
        <f aca="false">IF(BG58="","",IF(EDATE(BG58,1)&gt;$C$6,"",EDATE(BG58,1)))</f>
        <v>46054</v>
      </c>
      <c r="BH59" s="44" t="n">
        <f aca="false">IF(BG59="","",IFERROR(AVERAGEIFS($AG$10:$AG$309,$AF$10:$AF$309,"&gt;="&amp;BG59,$AF$10:$AF$309,"&lt;="&amp;EOMONTH(BG59,0)),""))</f>
        <v>4.025</v>
      </c>
      <c r="BI59" s="122" t="n">
        <f aca="false">IF(BG59="","",IFERROR(INDEX(Rendimientos!$C$13:$C$412,MATCH(_xlfn.MAXIFS(Rendimientos!$B$13:$B$412,Rendimientos!$B$13:$B$412,"&lt;="&amp;EOMONTH(BG59,0),Rendimientos!$B$13:$B$412,"&gt;="&amp;BG59),Rendimientos!$B$13:$B$412,0)),IFERROR(INDEX(Rendimientos!$T$13:$T$512,MATCH(_xlfn.MAXIFS(Rendimientos!$S$13:$S$512,Rendimientos!$S$13:$S$512,"&lt;="&amp;EOMONTH(BG59,0),Rendimientos!$S$13:$S$512,"&gt;="&amp;BG59),Rendimientos!$S$13:$S$512,0)),"")))</f>
        <v>37.12</v>
      </c>
      <c r="BJ59" s="123" t="n">
        <f aca="false">IF(AND(ISNUMBER(BI59),ISNUMBER(BI58)),BI59/BI58-1,"")</f>
        <v>0.0368715083798883</v>
      </c>
      <c r="BK59" s="44" t="n">
        <f aca="false">IF(AND(ISNUMBER(BH59),ISNUMBER(BH58)),BH59-BH58,"")</f>
        <v>0.23</v>
      </c>
      <c r="BL59" s="123" t="n">
        <f aca="false">IF(AND(ISNUMBER(BH59),ISNUMBER(BH58)),BH59/BH58-1,"")</f>
        <v>0.0606060606060608</v>
      </c>
      <c r="BM59" s="44" t="n">
        <f aca="false">IF(AND(ISNUMBER(BH59),ISNUMBER(BI59)),1,"")</f>
        <v>1</v>
      </c>
      <c r="BN59" s="44" t="n">
        <f aca="false">IF(BM59=1,COUNT(BM59:BM$69),"")</f>
        <v>8</v>
      </c>
      <c r="BO59" s="44" t="n">
        <f aca="false">IF(BM59=1,BH59,"")</f>
        <v>4.025</v>
      </c>
      <c r="BP59" s="122" t="n">
        <f aca="false">IF(BM59=1,BI59,"")</f>
        <v>37.12</v>
      </c>
      <c r="BQ59" s="44" t="n">
        <f aca="false">IF(AND(BM59=1,BN59&lt;=12),BH59,"")</f>
        <v>4.025</v>
      </c>
      <c r="BR59" s="122" t="n">
        <f aca="false">IF(AND(BM59=1,BN59&lt;=12),BI59,"")</f>
        <v>37.12</v>
      </c>
      <c r="BS59" s="44" t="str">
        <f aca="false">IF(AND(BM59=1,BN59&lt;=6),BH59,"")</f>
        <v/>
      </c>
      <c r="BT59" s="44" t="str">
        <f aca="false">IF(AND(BM59=1,BN59&lt;=6),BI59,"")</f>
        <v/>
      </c>
      <c r="BU59" s="123" t="n">
        <f aca="false">IF(AND(ISNUMBER(BJ59),ISNUMBER(BK59)),BJ59,"")</f>
        <v>0.0368715083798883</v>
      </c>
      <c r="BV59" s="44" t="n">
        <f aca="false">IF(AND(ISNUMBER(BJ59),ISNUMBER(BK59)),BK59,"")</f>
        <v>0.23</v>
      </c>
      <c r="BW59" s="123" t="n">
        <f aca="false">IF(AND(ISNUMBER(BJ59),ISNUMBER(BH59)),BJ59,"")</f>
        <v>0.0368715083798883</v>
      </c>
      <c r="BX59" s="44" t="n">
        <f aca="false">IF(AND(ISNUMBER(BJ59),ISNUMBER(BH59)),BH59,"")</f>
        <v>4.025</v>
      </c>
      <c r="BY59" s="44" t="n">
        <f aca="false">IF(BM59=1,BH59,NA())</f>
        <v>4.025</v>
      </c>
      <c r="BZ59" s="122" t="n">
        <f aca="false">IF(BM59=1,BI59,NA())</f>
        <v>37.12</v>
      </c>
      <c r="CA59" s="44" t="n">
        <f aca="false">IF(BM59=1,LN(BI59),"")</f>
        <v>3.614155907918</v>
      </c>
      <c r="CB59" s="123" t="n">
        <f aca="false">IF(ISNUMBER(BU59),BU59,NA())</f>
        <v>0.0368715083798883</v>
      </c>
      <c r="CC59" s="44" t="n">
        <f aca="false">IF(ISNUMBER(BV59),BV59,NA())</f>
        <v>0.23</v>
      </c>
      <c r="CD59" s="124" t="n">
        <f aca="false">IF(BG59="",NA(),BG59)</f>
        <v>46054</v>
      </c>
      <c r="CE59" s="44" t="n">
        <f aca="false">IF(ISNUMBER(BH59),BH59,NA())</f>
        <v>4.025</v>
      </c>
      <c r="CF59" s="122" t="n">
        <f aca="false">IF(ISNUMBER(BI59),BI59,NA())</f>
        <v>37.12</v>
      </c>
      <c r="CH59" s="55" t="n">
        <f aca="false">IF(ISNUMBER(CI59),IF(ISNUMBER('Base de Datos'!AG55),IF('Base de Datos'!AG55&gt;20000,INT('Base de Datos'!AG55),""),IF(TRIM('Base de Datos'!AG55)="","",IFERROR(DATE(VALUE(RIGHT(TRIM('Base de Datos'!AG55),4)),VALUE(MID(TRIM('Base de Datos'!AG55),4,2)),VALUE(LEFT(TRIM('Base de Datos'!AG55),2))),IFERROR(DATEVALUE(TRIM('Base de Datos'!AG55)),"")))),"")</f>
        <v>45307</v>
      </c>
      <c r="CI59" s="56" t="n">
        <f aca="false">IF(ISNUMBER('Base de Datos'!AH55),'Base de Datos'!AH55,IF(TRIM('Base de Datos'!AH55)="","",IFERROR(IF(IFERROR(FIND("@",SUBSTITUTE(TRIM('Base de Datos'!AH55),",","@",LEN(TRIM('Base de Datos'!AH55))-LEN(SUBSTITUTE(TRIM('Base de Datos'!AH55),",","")))),0)&gt;IFERROR(FIND("@",SUBSTITUTE(TRIM('Base de Datos'!AH55),".","@",LEN(TRIM('Base de Datos'!AH55))-LEN(SUBSTITUTE(TRIM('Base de Datos'!AH55),".","")))),0),_xlfn.NUMBERVALUE(SUBSTITUTE(SUBSTITUTE(TRIM('Base de Datos'!AH55),".",""),",","."),".",","),_xlfn.NUMBERVALUE(SUBSTITUTE(TRIM('Base de Datos'!AH55),",",""),".",",")),"")))</f>
        <v>4.87</v>
      </c>
    </row>
    <row r="60" customFormat="false" ht="13.8" hidden="false" customHeight="false" outlineLevel="0" collapsed="false">
      <c r="AE60" s="44" t="n">
        <v>51</v>
      </c>
      <c r="AF60" s="55" t="n">
        <f aca="false">IF(AF59="","",IFERROR(SMALL($CH$10:$CH$309,COUNTIF($CH$10:$CH$309,"&lt;="&amp;AF59)+1),""))</f>
        <v>45323</v>
      </c>
      <c r="AG60" s="56" t="n">
        <f aca="false">IF(AF60="","",INDEX($CI$10:$CI$309,MATCH(AF60,$CH$10:$CH$309,0)))</f>
        <v>4.45</v>
      </c>
      <c r="AH60" s="55" t="n">
        <f aca="false">IF(AF60="",NA(),AF60)</f>
        <v>45323</v>
      </c>
      <c r="AI60" s="56" t="n">
        <f aca="false">IF(AG60="",NA(),AG60)</f>
        <v>4.45</v>
      </c>
      <c r="AU60" s="44" t="n">
        <f aca="false">IF(51&lt;=$C$8,51,"")</f>
        <v>51</v>
      </c>
      <c r="AV60" s="56" t="n">
        <f aca="false">IF(AU60="","",INDEX($AG$10:$AG$309,$B$8+51-1))</f>
        <v>3.74</v>
      </c>
      <c r="AW60" s="56" t="n">
        <f aca="false">IF(AV60="",NA(),AV60)</f>
        <v>3.74</v>
      </c>
      <c r="AX60" s="44" t="n">
        <f aca="false">IF(AV60="",NA(),AU60)</f>
        <v>51</v>
      </c>
      <c r="AY60" s="44" t="n">
        <f aca="false">IF(AV60="","",LN(AV60))</f>
        <v>1.31908561142644</v>
      </c>
      <c r="BG60" s="121" t="n">
        <f aca="false">IF(BG59="","",IF(EDATE(BG59,1)&gt;$C$6,"",EDATE(BG59,1)))</f>
        <v>46082</v>
      </c>
      <c r="BH60" s="44" t="n">
        <f aca="false">IF(BG60="","",IFERROR(AVERAGEIFS($AG$10:$AG$309,$AF$10:$AF$309,"&gt;="&amp;BG60,$AF$10:$AF$309,"&lt;="&amp;EOMONTH(BG60,0)),""))</f>
        <v>4.59</v>
      </c>
      <c r="BI60" s="122" t="n">
        <f aca="false">IF(BG60="","",IFERROR(INDEX(Rendimientos!$C$13:$C$412,MATCH(_xlfn.MAXIFS(Rendimientos!$B$13:$B$412,Rendimientos!$B$13:$B$412,"&lt;="&amp;EOMONTH(BG60,0),Rendimientos!$B$13:$B$412,"&gt;="&amp;BG60),Rendimientos!$B$13:$B$412,0)),IFERROR(INDEX(Rendimientos!$T$13:$T$512,MATCH(_xlfn.MAXIFS(Rendimientos!$S$13:$S$512,Rendimientos!$S$13:$S$512,"&lt;="&amp;EOMONTH(BG60,0),Rendimientos!$S$13:$S$512,"&gt;="&amp;BG60),Rendimientos!$S$13:$S$512,0)),"")))</f>
        <v>36.15</v>
      </c>
      <c r="BJ60" s="123" t="n">
        <f aca="false">IF(AND(ISNUMBER(BI60),ISNUMBER(BI59)),BI60/BI59-1,"")</f>
        <v>-0.0261314655172413</v>
      </c>
      <c r="BK60" s="44" t="n">
        <f aca="false">IF(AND(ISNUMBER(BH60),ISNUMBER(BH59)),BH60-BH59,"")</f>
        <v>0.565</v>
      </c>
      <c r="BL60" s="123" t="n">
        <f aca="false">IF(AND(ISNUMBER(BH60),ISNUMBER(BH59)),BH60/BH59-1,"")</f>
        <v>0.140372670807453</v>
      </c>
      <c r="BM60" s="44" t="n">
        <f aca="false">IF(AND(ISNUMBER(BH60),ISNUMBER(BI60)),1,"")</f>
        <v>1</v>
      </c>
      <c r="BN60" s="44" t="n">
        <f aca="false">IF(BM60=1,COUNT(BM60:BM$69),"")</f>
        <v>7</v>
      </c>
      <c r="BO60" s="44" t="n">
        <f aca="false">IF(BM60=1,BH60,"")</f>
        <v>4.59</v>
      </c>
      <c r="BP60" s="122" t="n">
        <f aca="false">IF(BM60=1,BI60,"")</f>
        <v>36.15</v>
      </c>
      <c r="BQ60" s="44" t="n">
        <f aca="false">IF(AND(BM60=1,BN60&lt;=12),BH60,"")</f>
        <v>4.59</v>
      </c>
      <c r="BR60" s="122" t="n">
        <f aca="false">IF(AND(BM60=1,BN60&lt;=12),BI60,"")</f>
        <v>36.15</v>
      </c>
      <c r="BS60" s="44" t="str">
        <f aca="false">IF(AND(BM60=1,BN60&lt;=6),BH60,"")</f>
        <v/>
      </c>
      <c r="BT60" s="44" t="str">
        <f aca="false">IF(AND(BM60=1,BN60&lt;=6),BI60,"")</f>
        <v/>
      </c>
      <c r="BU60" s="123" t="n">
        <f aca="false">IF(AND(ISNUMBER(BJ60),ISNUMBER(BK60)),BJ60,"")</f>
        <v>-0.0261314655172413</v>
      </c>
      <c r="BV60" s="44" t="n">
        <f aca="false">IF(AND(ISNUMBER(BJ60),ISNUMBER(BK60)),BK60,"")</f>
        <v>0.565</v>
      </c>
      <c r="BW60" s="123" t="n">
        <f aca="false">IF(AND(ISNUMBER(BJ60),ISNUMBER(BH60)),BJ60,"")</f>
        <v>-0.0261314655172413</v>
      </c>
      <c r="BX60" s="44" t="n">
        <f aca="false">IF(AND(ISNUMBER(BJ60),ISNUMBER(BH60)),BH60,"")</f>
        <v>4.59</v>
      </c>
      <c r="BY60" s="44" t="n">
        <f aca="false">IF(BM60=1,BH60,NA())</f>
        <v>4.59</v>
      </c>
      <c r="BZ60" s="122" t="n">
        <f aca="false">IF(BM60=1,BI60,NA())</f>
        <v>36.15</v>
      </c>
      <c r="CA60" s="44" t="n">
        <f aca="false">IF(BM60=1,LN(BI60),"")</f>
        <v>3.58767694860477</v>
      </c>
      <c r="CB60" s="123" t="n">
        <f aca="false">IF(ISNUMBER(BU60),BU60,NA())</f>
        <v>-0.0261314655172413</v>
      </c>
      <c r="CC60" s="44" t="n">
        <f aca="false">IF(ISNUMBER(BV60),BV60,NA())</f>
        <v>0.565</v>
      </c>
      <c r="CD60" s="124" t="n">
        <f aca="false">IF(BG60="",NA(),BG60)</f>
        <v>46082</v>
      </c>
      <c r="CE60" s="44" t="n">
        <f aca="false">IF(ISNUMBER(BH60),BH60,NA())</f>
        <v>4.59</v>
      </c>
      <c r="CF60" s="122" t="n">
        <f aca="false">IF(ISNUMBER(BI60),BI60,NA())</f>
        <v>36.15</v>
      </c>
      <c r="CH60" s="55" t="n">
        <f aca="false">IF(ISNUMBER(CI60),IF(ISNUMBER('Base de Datos'!AG56),IF('Base de Datos'!AG56&gt;20000,INT('Base de Datos'!AG56),""),IF(TRIM('Base de Datos'!AG56)="","",IFERROR(DATE(VALUE(RIGHT(TRIM('Base de Datos'!AG56),4)),VALUE(MID(TRIM('Base de Datos'!AG56),4,2)),VALUE(LEFT(TRIM('Base de Datos'!AG56),2))),IFERROR(DATEVALUE(TRIM('Base de Datos'!AG56)),"")))),"")</f>
        <v>45323</v>
      </c>
      <c r="CI60" s="56" t="n">
        <f aca="false">IF(ISNUMBER('Base de Datos'!AH56),'Base de Datos'!AH56,IF(TRIM('Base de Datos'!AH56)="","",IFERROR(IF(IFERROR(FIND("@",SUBSTITUTE(TRIM('Base de Datos'!AH56),",","@",LEN(TRIM('Base de Datos'!AH56))-LEN(SUBSTITUTE(TRIM('Base de Datos'!AH56),",","")))),0)&gt;IFERROR(FIND("@",SUBSTITUTE(TRIM('Base de Datos'!AH56),".","@",LEN(TRIM('Base de Datos'!AH56))-LEN(SUBSTITUTE(TRIM('Base de Datos'!AH56),".","")))),0),_xlfn.NUMBERVALUE(SUBSTITUTE(SUBSTITUTE(TRIM('Base de Datos'!AH56),".",""),",","."),".",","),_xlfn.NUMBERVALUE(SUBSTITUTE(TRIM('Base de Datos'!AH56),",",""),".",",")),"")))</f>
        <v>4.45</v>
      </c>
    </row>
    <row r="61" customFormat="false" ht="13.8" hidden="false" customHeight="false" outlineLevel="0" collapsed="false">
      <c r="AE61" s="44" t="n">
        <v>52</v>
      </c>
      <c r="AF61" s="55" t="n">
        <f aca="false">IF(AF60="","",IFERROR(SMALL($CH$10:$CH$309,COUNTIF($CH$10:$CH$309,"&lt;="&amp;AF60)+1),""))</f>
        <v>45338</v>
      </c>
      <c r="AG61" s="56" t="n">
        <f aca="false">IF(AF61="","",INDEX($CI$10:$CI$309,MATCH(AF61,$CH$10:$CH$309,0)))</f>
        <v>4.35</v>
      </c>
      <c r="AH61" s="55" t="n">
        <f aca="false">IF(AF61="",NA(),AF61)</f>
        <v>45338</v>
      </c>
      <c r="AI61" s="56" t="n">
        <f aca="false">IF(AG61="",NA(),AG61)</f>
        <v>4.35</v>
      </c>
      <c r="AU61" s="44" t="n">
        <f aca="false">IF(52&lt;=$C$8,52,"")</f>
        <v>52</v>
      </c>
      <c r="AV61" s="56" t="n">
        <f aca="false">IF(AU61="","",INDEX($AG$10:$AG$309,$B$8+52-1))</f>
        <v>3.81</v>
      </c>
      <c r="AW61" s="56" t="n">
        <f aca="false">IF(AV61="",NA(),AV61)</f>
        <v>3.81</v>
      </c>
      <c r="AX61" s="44" t="n">
        <f aca="false">IF(AV61="",NA(),AU61)</f>
        <v>52</v>
      </c>
      <c r="AY61" s="44" t="n">
        <f aca="false">IF(AV61="","",LN(AV61))</f>
        <v>1.33762918913861</v>
      </c>
      <c r="BG61" s="121" t="n">
        <f aca="false">IF(BG60="","",IF(EDATE(BG60,1)&gt;$C$6,"",EDATE(BG60,1)))</f>
        <v>46113</v>
      </c>
      <c r="BH61" s="44" t="n">
        <f aca="false">IF(BG61="","",IFERROR(AVERAGEIFS($AG$10:$AG$309,$AF$10:$AF$309,"&gt;="&amp;BG61,$AF$10:$AF$309,"&lt;="&amp;EOMONTH(BG61,0)),""))</f>
        <v>4.45</v>
      </c>
      <c r="BI61" s="122" t="n">
        <f aca="false">IF(BG61="","",IFERROR(INDEX(Rendimientos!$C$13:$C$412,MATCH(_xlfn.MAXIFS(Rendimientos!$B$13:$B$412,Rendimientos!$B$13:$B$412,"&lt;="&amp;EOMONTH(BG61,0),Rendimientos!$B$13:$B$412,"&gt;="&amp;BG61),Rendimientos!$B$13:$B$412,0)),IFERROR(INDEX(Rendimientos!$T$13:$T$512,MATCH(_xlfn.MAXIFS(Rendimientos!$S$13:$S$512,Rendimientos!$S$13:$S$512,"&lt;="&amp;EOMONTH(BG61,0),Rendimientos!$S$13:$S$512,"&gt;="&amp;BG61),Rendimientos!$S$13:$S$512,0)),"")))</f>
        <v>33.49</v>
      </c>
      <c r="BJ61" s="123" t="n">
        <f aca="false">IF(AND(ISNUMBER(BI61),ISNUMBER(BI60)),BI61/BI60-1,"")</f>
        <v>-0.073582295988935</v>
      </c>
      <c r="BK61" s="44" t="n">
        <f aca="false">IF(AND(ISNUMBER(BH61),ISNUMBER(BH60)),BH61-BH60,"")</f>
        <v>-0.14</v>
      </c>
      <c r="BL61" s="123" t="n">
        <f aca="false">IF(AND(ISNUMBER(BH61),ISNUMBER(BH60)),BH61/BH60-1,"")</f>
        <v>-0.0305010893246187</v>
      </c>
      <c r="BM61" s="44" t="n">
        <f aca="false">IF(AND(ISNUMBER(BH61),ISNUMBER(BI61)),1,"")</f>
        <v>1</v>
      </c>
      <c r="BN61" s="44" t="n">
        <f aca="false">IF(BM61=1,COUNT(BM61:BM$69),"")</f>
        <v>6</v>
      </c>
      <c r="BO61" s="44" t="n">
        <f aca="false">IF(BM61=1,BH61,"")</f>
        <v>4.45</v>
      </c>
      <c r="BP61" s="122" t="n">
        <f aca="false">IF(BM61=1,BI61,"")</f>
        <v>33.49</v>
      </c>
      <c r="BQ61" s="44" t="n">
        <f aca="false">IF(AND(BM61=1,BN61&lt;=12),BH61,"")</f>
        <v>4.45</v>
      </c>
      <c r="BR61" s="122" t="n">
        <f aca="false">IF(AND(BM61=1,BN61&lt;=12),BI61,"")</f>
        <v>33.49</v>
      </c>
      <c r="BS61" s="44" t="n">
        <f aca="false">IF(AND(BM61=1,BN61&lt;=6),BH61,"")</f>
        <v>4.45</v>
      </c>
      <c r="BT61" s="122" t="n">
        <f aca="false">IF(AND(BM61=1,BN61&lt;=6),BI61,"")</f>
        <v>33.49</v>
      </c>
      <c r="BU61" s="123" t="n">
        <f aca="false">IF(AND(ISNUMBER(BJ61),ISNUMBER(BK61)),BJ61,"")</f>
        <v>-0.073582295988935</v>
      </c>
      <c r="BV61" s="44" t="n">
        <f aca="false">IF(AND(ISNUMBER(BJ61),ISNUMBER(BK61)),BK61,"")</f>
        <v>-0.14</v>
      </c>
      <c r="BW61" s="123" t="n">
        <f aca="false">IF(AND(ISNUMBER(BJ61),ISNUMBER(BH61)),BJ61,"")</f>
        <v>-0.073582295988935</v>
      </c>
      <c r="BX61" s="44" t="n">
        <f aca="false">IF(AND(ISNUMBER(BJ61),ISNUMBER(BH61)),BH61,"")</f>
        <v>4.45</v>
      </c>
      <c r="BY61" s="44" t="n">
        <f aca="false">IF(BM61=1,BH61,NA())</f>
        <v>4.45</v>
      </c>
      <c r="BZ61" s="122" t="n">
        <f aca="false">IF(BM61=1,BI61,NA())</f>
        <v>33.49</v>
      </c>
      <c r="CA61" s="44" t="n">
        <f aca="false">IF(BM61=1,LN(BI61),"")</f>
        <v>3.51124688680611</v>
      </c>
      <c r="CB61" s="123" t="n">
        <f aca="false">IF(ISNUMBER(BU61),BU61,NA())</f>
        <v>-0.073582295988935</v>
      </c>
      <c r="CC61" s="44" t="n">
        <f aca="false">IF(ISNUMBER(BV61),BV61,NA())</f>
        <v>-0.14</v>
      </c>
      <c r="CD61" s="124" t="n">
        <f aca="false">IF(BG61="",NA(),BG61)</f>
        <v>46113</v>
      </c>
      <c r="CE61" s="44" t="n">
        <f aca="false">IF(ISNUMBER(BH61),BH61,NA())</f>
        <v>4.45</v>
      </c>
      <c r="CF61" s="122" t="n">
        <f aca="false">IF(ISNUMBER(BI61),BI61,NA())</f>
        <v>33.49</v>
      </c>
      <c r="CH61" s="55" t="n">
        <f aca="false">IF(ISNUMBER(CI61),IF(ISNUMBER('Base de Datos'!AG57),IF('Base de Datos'!AG57&gt;20000,INT('Base de Datos'!AG57),""),IF(TRIM('Base de Datos'!AG57)="","",IFERROR(DATE(VALUE(RIGHT(TRIM('Base de Datos'!AG57),4)),VALUE(MID(TRIM('Base de Datos'!AG57),4,2)),VALUE(LEFT(TRIM('Base de Datos'!AG57),2))),IFERROR(DATEVALUE(TRIM('Base de Datos'!AG57)),"")))),"")</f>
        <v>45338</v>
      </c>
      <c r="CI61" s="56" t="n">
        <f aca="false">IF(ISNUMBER('Base de Datos'!AH57),'Base de Datos'!AH57,IF(TRIM('Base de Datos'!AH57)="","",IFERROR(IF(IFERROR(FIND("@",SUBSTITUTE(TRIM('Base de Datos'!AH57),",","@",LEN(TRIM('Base de Datos'!AH57))-LEN(SUBSTITUTE(TRIM('Base de Datos'!AH57),",","")))),0)&gt;IFERROR(FIND("@",SUBSTITUTE(TRIM('Base de Datos'!AH57),".","@",LEN(TRIM('Base de Datos'!AH57))-LEN(SUBSTITUTE(TRIM('Base de Datos'!AH57),".","")))),0),_xlfn.NUMBERVALUE(SUBSTITUTE(SUBSTITUTE(TRIM('Base de Datos'!AH57),".",""),",","."),".",","),_xlfn.NUMBERVALUE(SUBSTITUTE(TRIM('Base de Datos'!AH57),",",""),".",",")),"")))</f>
        <v>4.35</v>
      </c>
    </row>
    <row r="62" customFormat="false" ht="13.8" hidden="false" customHeight="false" outlineLevel="0" collapsed="false">
      <c r="AE62" s="44" t="n">
        <v>53</v>
      </c>
      <c r="AF62" s="55" t="n">
        <f aca="false">IF(AF61="","",IFERROR(SMALL($CH$10:$CH$309,COUNTIF($CH$10:$CH$309,"&lt;="&amp;AF61)+1),""))</f>
        <v>45352</v>
      </c>
      <c r="AG62" s="56" t="n">
        <f aca="false">IF(AF62="","",INDEX($CI$10:$CI$309,MATCH(AF62,$CH$10:$CH$309,0)))</f>
        <v>4.48</v>
      </c>
      <c r="AH62" s="55" t="n">
        <f aca="false">IF(AF62="",NA(),AF62)</f>
        <v>45352</v>
      </c>
      <c r="AI62" s="56" t="n">
        <f aca="false">IF(AG62="",NA(),AG62)</f>
        <v>4.48</v>
      </c>
      <c r="AU62" s="44" t="n">
        <f aca="false">IF(53&lt;=$C$8,53,"")</f>
        <v>53</v>
      </c>
      <c r="AV62" s="56" t="n">
        <f aca="false">IF(AU62="","",INDEX($AG$10:$AG$309,$B$8+53-1))</f>
        <v>3.67</v>
      </c>
      <c r="AW62" s="56" t="n">
        <f aca="false">IF(AV62="",NA(),AV62)</f>
        <v>3.67</v>
      </c>
      <c r="AX62" s="44" t="n">
        <f aca="false">IF(AV62="",NA(),AU62)</f>
        <v>53</v>
      </c>
      <c r="AY62" s="44" t="n">
        <f aca="false">IF(AV62="","",LN(AV62))</f>
        <v>1.30019166206648</v>
      </c>
      <c r="BG62" s="121" t="n">
        <f aca="false">IF(BG61="","",IF(EDATE(BG61,1)&gt;$C$6,"",EDATE(BG61,1)))</f>
        <v>46143</v>
      </c>
      <c r="BH62" s="44" t="n">
        <f aca="false">IF(BG62="","",IFERROR(AVERAGEIFS($AG$10:$AG$309,$AF$10:$AF$309,"&gt;="&amp;BG62,$AF$10:$AF$309,"&lt;="&amp;EOMONTH(BG62,0)),""))</f>
        <v>3.94</v>
      </c>
      <c r="BI62" s="122" t="n">
        <f aca="false">IF(BG62="","",IFERROR(INDEX(Rendimientos!$C$13:$C$412,MATCH(_xlfn.MAXIFS(Rendimientos!$B$13:$B$412,Rendimientos!$B$13:$B$412,"&lt;="&amp;EOMONTH(BG62,0),Rendimientos!$B$13:$B$412,"&gt;="&amp;BG62),Rendimientos!$B$13:$B$412,0)),IFERROR(INDEX(Rendimientos!$T$13:$T$512,MATCH(_xlfn.MAXIFS(Rendimientos!$S$13:$S$512,Rendimientos!$S$13:$S$512,"&lt;="&amp;EOMONTH(BG62,0),Rendimientos!$S$13:$S$512,"&gt;="&amp;BG62),Rendimientos!$S$13:$S$512,0)),"")))</f>
        <v>30.89</v>
      </c>
      <c r="BJ62" s="123" t="n">
        <f aca="false">IF(AND(ISNUMBER(BI62),ISNUMBER(BI61)),BI62/BI61-1,"")</f>
        <v>-0.0776351149596894</v>
      </c>
      <c r="BK62" s="44" t="n">
        <f aca="false">IF(AND(ISNUMBER(BH62),ISNUMBER(BH61)),BH62-BH61,"")</f>
        <v>-0.51</v>
      </c>
      <c r="BL62" s="123" t="n">
        <f aca="false">IF(AND(ISNUMBER(BH62),ISNUMBER(BH61)),BH62/BH61-1,"")</f>
        <v>-0.114606741573034</v>
      </c>
      <c r="BM62" s="44" t="n">
        <f aca="false">IF(AND(ISNUMBER(BH62),ISNUMBER(BI62)),1,"")</f>
        <v>1</v>
      </c>
      <c r="BN62" s="44" t="n">
        <f aca="false">IF(BM62=1,COUNT(BM62:BM$69),"")</f>
        <v>5</v>
      </c>
      <c r="BO62" s="44" t="n">
        <f aca="false">IF(BM62=1,BH62,"")</f>
        <v>3.94</v>
      </c>
      <c r="BP62" s="122" t="n">
        <f aca="false">IF(BM62=1,BI62,"")</f>
        <v>30.89</v>
      </c>
      <c r="BQ62" s="44" t="n">
        <f aca="false">IF(AND(BM62=1,BN62&lt;=12),BH62,"")</f>
        <v>3.94</v>
      </c>
      <c r="BR62" s="122" t="n">
        <f aca="false">IF(AND(BM62=1,BN62&lt;=12),BI62,"")</f>
        <v>30.89</v>
      </c>
      <c r="BS62" s="44" t="n">
        <f aca="false">IF(AND(BM62=1,BN62&lt;=6),BH62,"")</f>
        <v>3.94</v>
      </c>
      <c r="BT62" s="122" t="n">
        <f aca="false">IF(AND(BM62=1,BN62&lt;=6),BI62,"")</f>
        <v>30.89</v>
      </c>
      <c r="BU62" s="123" t="n">
        <f aca="false">IF(AND(ISNUMBER(BJ62),ISNUMBER(BK62)),BJ62,"")</f>
        <v>-0.0776351149596894</v>
      </c>
      <c r="BV62" s="44" t="n">
        <f aca="false">IF(AND(ISNUMBER(BJ62),ISNUMBER(BK62)),BK62,"")</f>
        <v>-0.51</v>
      </c>
      <c r="BW62" s="123" t="n">
        <f aca="false">IF(AND(ISNUMBER(BJ62),ISNUMBER(BH62)),BJ62,"")</f>
        <v>-0.0776351149596894</v>
      </c>
      <c r="BX62" s="44" t="n">
        <f aca="false">IF(AND(ISNUMBER(BJ62),ISNUMBER(BH62)),BH62,"")</f>
        <v>3.94</v>
      </c>
      <c r="BY62" s="44" t="n">
        <f aca="false">IF(BM62=1,BH62,NA())</f>
        <v>3.94</v>
      </c>
      <c r="BZ62" s="122" t="n">
        <f aca="false">IF(BM62=1,BI62,NA())</f>
        <v>30.89</v>
      </c>
      <c r="CA62" s="44" t="n">
        <f aca="false">IF(BM62=1,LN(BI62),"")</f>
        <v>3.43043250693049</v>
      </c>
      <c r="CB62" s="123" t="n">
        <f aca="false">IF(ISNUMBER(BU62),BU62,NA())</f>
        <v>-0.0776351149596894</v>
      </c>
      <c r="CC62" s="44" t="n">
        <f aca="false">IF(ISNUMBER(BV62),BV62,NA())</f>
        <v>-0.51</v>
      </c>
      <c r="CD62" s="124" t="n">
        <f aca="false">IF(BG62="",NA(),BG62)</f>
        <v>46143</v>
      </c>
      <c r="CE62" s="44" t="n">
        <f aca="false">IF(ISNUMBER(BH62),BH62,NA())</f>
        <v>3.94</v>
      </c>
      <c r="CF62" s="122" t="n">
        <f aca="false">IF(ISNUMBER(BI62),BI62,NA())</f>
        <v>30.89</v>
      </c>
      <c r="CH62" s="55" t="n">
        <f aca="false">IF(ISNUMBER(CI62),IF(ISNUMBER('Base de Datos'!AG58),IF('Base de Datos'!AG58&gt;20000,INT('Base de Datos'!AG58),""),IF(TRIM('Base de Datos'!AG58)="","",IFERROR(DATE(VALUE(RIGHT(TRIM('Base de Datos'!AG58),4)),VALUE(MID(TRIM('Base de Datos'!AG58),4,2)),VALUE(LEFT(TRIM('Base de Datos'!AG58),2))),IFERROR(DATEVALUE(TRIM('Base de Datos'!AG58)),"")))),"")</f>
        <v>45352</v>
      </c>
      <c r="CI62" s="56" t="n">
        <f aca="false">IF(ISNUMBER('Base de Datos'!AH58),'Base de Datos'!AH58,IF(TRIM('Base de Datos'!AH58)="","",IFERROR(IF(IFERROR(FIND("@",SUBSTITUTE(TRIM('Base de Datos'!AH58),",","@",LEN(TRIM('Base de Datos'!AH58))-LEN(SUBSTITUTE(TRIM('Base de Datos'!AH58),",","")))),0)&gt;IFERROR(FIND("@",SUBSTITUTE(TRIM('Base de Datos'!AH58),".","@",LEN(TRIM('Base de Datos'!AH58))-LEN(SUBSTITUTE(TRIM('Base de Datos'!AH58),".","")))),0),_xlfn.NUMBERVALUE(SUBSTITUTE(SUBSTITUTE(TRIM('Base de Datos'!AH58),".",""),",","."),".",","),_xlfn.NUMBERVALUE(SUBSTITUTE(TRIM('Base de Datos'!AH58),",",""),".",",")),"")))</f>
        <v>4.48</v>
      </c>
    </row>
    <row r="63" customFormat="false" ht="13.8" hidden="false" customHeight="false" outlineLevel="0" collapsed="false">
      <c r="AE63" s="44" t="n">
        <v>54</v>
      </c>
      <c r="AF63" s="55" t="n">
        <f aca="false">IF(AF62="","",IFERROR(SMALL($CH$10:$CH$309,COUNTIF($CH$10:$CH$309,"&lt;="&amp;AF62)+1),""))</f>
        <v>45367</v>
      </c>
      <c r="AG63" s="56" t="n">
        <f aca="false">IF(AF63="","",INDEX($CI$10:$CI$309,MATCH(AF63,$CH$10:$CH$309,0)))</f>
        <v>4.37</v>
      </c>
      <c r="AH63" s="55" t="n">
        <f aca="false">IF(AF63="",NA(),AF63)</f>
        <v>45367</v>
      </c>
      <c r="AI63" s="56" t="n">
        <f aca="false">IF(AG63="",NA(),AG63)</f>
        <v>4.37</v>
      </c>
      <c r="AU63" s="44" t="n">
        <f aca="false">IF(54&lt;=$C$8,54,"")</f>
        <v>54</v>
      </c>
      <c r="AV63" s="56" t="n">
        <f aca="false">IF(AU63="","",INDEX($AG$10:$AG$309,$B$8+54-1))</f>
        <v>3.93</v>
      </c>
      <c r="AW63" s="56" t="n">
        <f aca="false">IF(AV63="",NA(),AV63)</f>
        <v>3.93</v>
      </c>
      <c r="AX63" s="44" t="n">
        <f aca="false">IF(AV63="",NA(),AU63)</f>
        <v>54</v>
      </c>
      <c r="AY63" s="44" t="n">
        <f aca="false">IF(AV63="","",LN(AV63))</f>
        <v>1.36863942588117</v>
      </c>
      <c r="BG63" s="121" t="n">
        <f aca="false">IF(BG62="","",IF(EDATE(BG62,1)&gt;$C$6,"",EDATE(BG62,1)))</f>
        <v>46174</v>
      </c>
      <c r="BH63" s="44" t="n">
        <f aca="false">IF(BG63="","",IFERROR(AVERAGEIFS($AG$10:$AG$309,$AF$10:$AF$309,"&gt;="&amp;BG63,$AF$10:$AF$309,"&lt;="&amp;EOMONTH(BG63,0)),""))</f>
        <v>3.365</v>
      </c>
      <c r="BI63" s="122" t="n">
        <f aca="false">IF(BG63="","",IFERROR(INDEX(Rendimientos!$C$13:$C$412,MATCH(_xlfn.MAXIFS(Rendimientos!$B$13:$B$412,Rendimientos!$B$13:$B$412,"&lt;="&amp;EOMONTH(BG63,0),Rendimientos!$B$13:$B$412,"&gt;="&amp;BG63),Rendimientos!$B$13:$B$412,0)),IFERROR(INDEX(Rendimientos!$T$13:$T$512,MATCH(_xlfn.MAXIFS(Rendimientos!$S$13:$S$512,Rendimientos!$S$13:$S$512,"&lt;="&amp;EOMONTH(BG63,0),Rendimientos!$S$13:$S$512,"&gt;="&amp;BG63),Rendimientos!$S$13:$S$512,0)),"")))</f>
        <v>29.91</v>
      </c>
      <c r="BJ63" s="123" t="n">
        <f aca="false">IF(AND(ISNUMBER(BI63),ISNUMBER(BI62)),BI63/BI62-1,"")</f>
        <v>-0.0317254775008093</v>
      </c>
      <c r="BK63" s="44" t="n">
        <f aca="false">IF(AND(ISNUMBER(BH63),ISNUMBER(BH62)),BH63-BH62,"")</f>
        <v>-0.575</v>
      </c>
      <c r="BL63" s="123" t="n">
        <f aca="false">IF(AND(ISNUMBER(BH63),ISNUMBER(BH62)),BH63/BH62-1,"")</f>
        <v>-0.145939086294416</v>
      </c>
      <c r="BM63" s="44" t="n">
        <f aca="false">IF(AND(ISNUMBER(BH63),ISNUMBER(BI63)),1,"")</f>
        <v>1</v>
      </c>
      <c r="BN63" s="44" t="n">
        <f aca="false">IF(BM63=1,COUNT(BM63:BM$69),"")</f>
        <v>4</v>
      </c>
      <c r="BO63" s="44" t="n">
        <f aca="false">IF(BM63=1,BH63,"")</f>
        <v>3.365</v>
      </c>
      <c r="BP63" s="122" t="n">
        <f aca="false">IF(BM63=1,BI63,"")</f>
        <v>29.91</v>
      </c>
      <c r="BQ63" s="44" t="n">
        <f aca="false">IF(AND(BM63=1,BN63&lt;=12),BH63,"")</f>
        <v>3.365</v>
      </c>
      <c r="BR63" s="122" t="n">
        <f aca="false">IF(AND(BM63=1,BN63&lt;=12),BI63,"")</f>
        <v>29.91</v>
      </c>
      <c r="BS63" s="44" t="n">
        <f aca="false">IF(AND(BM63=1,BN63&lt;=6),BH63,"")</f>
        <v>3.365</v>
      </c>
      <c r="BT63" s="122" t="n">
        <f aca="false">IF(AND(BM63=1,BN63&lt;=6),BI63,"")</f>
        <v>29.91</v>
      </c>
      <c r="BU63" s="123" t="n">
        <f aca="false">IF(AND(ISNUMBER(BJ63),ISNUMBER(BK63)),BJ63,"")</f>
        <v>-0.0317254775008093</v>
      </c>
      <c r="BV63" s="44" t="n">
        <f aca="false">IF(AND(ISNUMBER(BJ63),ISNUMBER(BK63)),BK63,"")</f>
        <v>-0.575</v>
      </c>
      <c r="BW63" s="123" t="n">
        <f aca="false">IF(AND(ISNUMBER(BJ63),ISNUMBER(BH63)),BJ63,"")</f>
        <v>-0.0317254775008093</v>
      </c>
      <c r="BX63" s="44" t="n">
        <f aca="false">IF(AND(ISNUMBER(BJ63),ISNUMBER(BH63)),BH63,"")</f>
        <v>3.365</v>
      </c>
      <c r="BY63" s="44" t="n">
        <f aca="false">IF(BM63=1,BH63,NA())</f>
        <v>3.365</v>
      </c>
      <c r="BZ63" s="122" t="n">
        <f aca="false">IF(BM63=1,BI63,NA())</f>
        <v>29.91</v>
      </c>
      <c r="CA63" s="44" t="n">
        <f aca="false">IF(BM63=1,LN(BI63),"")</f>
        <v>3.39819287264186</v>
      </c>
      <c r="CB63" s="123" t="n">
        <f aca="false">IF(ISNUMBER(BU63),BU63,NA())</f>
        <v>-0.0317254775008093</v>
      </c>
      <c r="CC63" s="44" t="n">
        <f aca="false">IF(ISNUMBER(BV63),BV63,NA())</f>
        <v>-0.575</v>
      </c>
      <c r="CD63" s="124" t="n">
        <f aca="false">IF(BG63="",NA(),BG63)</f>
        <v>46174</v>
      </c>
      <c r="CE63" s="44" t="n">
        <f aca="false">IF(ISNUMBER(BH63),BH63,NA())</f>
        <v>3.365</v>
      </c>
      <c r="CF63" s="122" t="n">
        <f aca="false">IF(ISNUMBER(BI63),BI63,NA())</f>
        <v>29.91</v>
      </c>
      <c r="CH63" s="55" t="n">
        <f aca="false">IF(ISNUMBER(CI63),IF(ISNUMBER('Base de Datos'!AG59),IF('Base de Datos'!AG59&gt;20000,INT('Base de Datos'!AG59),""),IF(TRIM('Base de Datos'!AG59)="","",IFERROR(DATE(VALUE(RIGHT(TRIM('Base de Datos'!AG59),4)),VALUE(MID(TRIM('Base de Datos'!AG59),4,2)),VALUE(LEFT(TRIM('Base de Datos'!AG59),2))),IFERROR(DATEVALUE(TRIM('Base de Datos'!AG59)),"")))),"")</f>
        <v>45367</v>
      </c>
      <c r="CI63" s="56" t="n">
        <f aca="false">IF(ISNUMBER('Base de Datos'!AH59),'Base de Datos'!AH59,IF(TRIM('Base de Datos'!AH59)="","",IFERROR(IF(IFERROR(FIND("@",SUBSTITUTE(TRIM('Base de Datos'!AH59),",","@",LEN(TRIM('Base de Datos'!AH59))-LEN(SUBSTITUTE(TRIM('Base de Datos'!AH59),",","")))),0)&gt;IFERROR(FIND("@",SUBSTITUTE(TRIM('Base de Datos'!AH59),".","@",LEN(TRIM('Base de Datos'!AH59))-LEN(SUBSTITUTE(TRIM('Base de Datos'!AH59),".","")))),0),_xlfn.NUMBERVALUE(SUBSTITUTE(SUBSTITUTE(TRIM('Base de Datos'!AH59),".",""),",","."),".",","),_xlfn.NUMBERVALUE(SUBSTITUTE(TRIM('Base de Datos'!AH59),",",""),".",",")),"")))</f>
        <v>4.37</v>
      </c>
    </row>
    <row r="64" customFormat="false" ht="13.8" hidden="false" customHeight="false" outlineLevel="0" collapsed="false">
      <c r="AE64" s="44" t="n">
        <v>55</v>
      </c>
      <c r="AF64" s="55" t="n">
        <f aca="false">IF(AF63="","",IFERROR(SMALL($CH$10:$CH$309,COUNTIF($CH$10:$CH$309,"&lt;="&amp;AF63)+1),""))</f>
        <v>45383</v>
      </c>
      <c r="AG64" s="56" t="n">
        <f aca="false">IF(AF64="","",INDEX($CI$10:$CI$309,MATCH(AF64,$CH$10:$CH$309,0)))</f>
        <v>4.63</v>
      </c>
      <c r="AH64" s="55" t="n">
        <f aca="false">IF(AF64="",NA(),AF64)</f>
        <v>45383</v>
      </c>
      <c r="AI64" s="56" t="n">
        <f aca="false">IF(AG64="",NA(),AG64)</f>
        <v>4.63</v>
      </c>
      <c r="AU64" s="44" t="n">
        <f aca="false">IF(55&lt;=$C$8,55,"")</f>
        <v>55</v>
      </c>
      <c r="AV64" s="56" t="n">
        <f aca="false">IF(AU64="","",INDEX($AG$10:$AG$309,$B$8+55-1))</f>
        <v>3.96</v>
      </c>
      <c r="AW64" s="56" t="n">
        <f aca="false">IF(AV64="",NA(),AV64)</f>
        <v>3.96</v>
      </c>
      <c r="AX64" s="44" t="n">
        <f aca="false">IF(AV64="",NA(),AU64)</f>
        <v>55</v>
      </c>
      <c r="AY64" s="44" t="n">
        <f aca="false">IF(AV64="","",LN(AV64))</f>
        <v>1.37624402526639</v>
      </c>
      <c r="BG64" s="121" t="n">
        <f aca="false">IF(BG63="","",IF(EDATE(BG63,1)&gt;$C$6,"",EDATE(BG63,1)))</f>
        <v>46204</v>
      </c>
      <c r="BH64" s="44" t="n">
        <f aca="false">IF(BG64="","",IFERROR(AVERAGEIFS($AG$10:$AG$309,$AF$10:$AF$309,"&gt;="&amp;BG64,$AF$10:$AF$309,"&lt;="&amp;EOMONTH(BG64,0)),""))</f>
        <v>3.12</v>
      </c>
      <c r="BI64" s="122" t="n">
        <f aca="false">IF(BG64="","",IFERROR(INDEX(Rendimientos!$C$13:$C$412,MATCH(_xlfn.MAXIFS(Rendimientos!$B$13:$B$412,Rendimientos!$B$13:$B$412,"&lt;="&amp;EOMONTH(BG64,0),Rendimientos!$B$13:$B$412,"&gt;="&amp;BG64),Rendimientos!$B$13:$B$412,0)),IFERROR(INDEX(Rendimientos!$T$13:$T$512,MATCH(_xlfn.MAXIFS(Rendimientos!$S$13:$S$512,Rendimientos!$S$13:$S$512,"&lt;="&amp;EOMONTH(BG64,0),Rendimientos!$S$13:$S$512,"&gt;="&amp;BG64),Rendimientos!$S$13:$S$512,0)),"")))</f>
        <v>29.59</v>
      </c>
      <c r="BJ64" s="123" t="n">
        <f aca="false">IF(AND(ISNUMBER(BI64),ISNUMBER(BI63)),BI64/BI63-1,"")</f>
        <v>-0.0106987629555333</v>
      </c>
      <c r="BK64" s="44" t="n">
        <f aca="false">IF(AND(ISNUMBER(BH64),ISNUMBER(BH63)),BH64-BH63,"")</f>
        <v>-0.245</v>
      </c>
      <c r="BL64" s="123" t="n">
        <f aca="false">IF(AND(ISNUMBER(BH64),ISNUMBER(BH63)),BH64/BH63-1,"")</f>
        <v>-0.0728083209509659</v>
      </c>
      <c r="BM64" s="44" t="n">
        <f aca="false">IF(AND(ISNUMBER(BH64),ISNUMBER(BI64)),1,"")</f>
        <v>1</v>
      </c>
      <c r="BN64" s="44" t="n">
        <f aca="false">IF(BM64=1,COUNT(BM64:BM$69),"")</f>
        <v>3</v>
      </c>
      <c r="BO64" s="44" t="n">
        <f aca="false">IF(BM64=1,BH64,"")</f>
        <v>3.12</v>
      </c>
      <c r="BP64" s="122" t="n">
        <f aca="false">IF(BM64=1,BI64,"")</f>
        <v>29.59</v>
      </c>
      <c r="BQ64" s="44" t="n">
        <f aca="false">IF(AND(BM64=1,BN64&lt;=12),BH64,"")</f>
        <v>3.12</v>
      </c>
      <c r="BR64" s="122" t="n">
        <f aca="false">IF(AND(BM64=1,BN64&lt;=12),BI64,"")</f>
        <v>29.59</v>
      </c>
      <c r="BS64" s="44" t="n">
        <f aca="false">IF(AND(BM64=1,BN64&lt;=6),BH64,"")</f>
        <v>3.12</v>
      </c>
      <c r="BT64" s="122" t="n">
        <f aca="false">IF(AND(BM64=1,BN64&lt;=6),BI64,"")</f>
        <v>29.59</v>
      </c>
      <c r="BU64" s="123" t="n">
        <f aca="false">IF(AND(ISNUMBER(BJ64),ISNUMBER(BK64)),BJ64,"")</f>
        <v>-0.0106987629555333</v>
      </c>
      <c r="BV64" s="44" t="n">
        <f aca="false">IF(AND(ISNUMBER(BJ64),ISNUMBER(BK64)),BK64,"")</f>
        <v>-0.245</v>
      </c>
      <c r="BW64" s="123" t="n">
        <f aca="false">IF(AND(ISNUMBER(BJ64),ISNUMBER(BH64)),BJ64,"")</f>
        <v>-0.0106987629555333</v>
      </c>
      <c r="BX64" s="44" t="n">
        <f aca="false">IF(AND(ISNUMBER(BJ64),ISNUMBER(BH64)),BH64,"")</f>
        <v>3.12</v>
      </c>
      <c r="BY64" s="44" t="n">
        <f aca="false">IF(BM64=1,BH64,NA())</f>
        <v>3.12</v>
      </c>
      <c r="BZ64" s="122" t="n">
        <f aca="false">IF(BM64=1,BI64,NA())</f>
        <v>29.59</v>
      </c>
      <c r="CA64" s="44" t="n">
        <f aca="false">IF(BM64=1,LN(BI64),"")</f>
        <v>3.38743646641212</v>
      </c>
      <c r="CB64" s="123" t="n">
        <f aca="false">IF(ISNUMBER(BU64),BU64,NA())</f>
        <v>-0.0106987629555333</v>
      </c>
      <c r="CC64" s="44" t="n">
        <f aca="false">IF(ISNUMBER(BV64),BV64,NA())</f>
        <v>-0.245</v>
      </c>
      <c r="CD64" s="124" t="n">
        <f aca="false">IF(BG64="",NA(),BG64)</f>
        <v>46204</v>
      </c>
      <c r="CE64" s="44" t="n">
        <f aca="false">IF(ISNUMBER(BH64),BH64,NA())</f>
        <v>3.12</v>
      </c>
      <c r="CF64" s="122" t="n">
        <f aca="false">IF(ISNUMBER(BI64),BI64,NA())</f>
        <v>29.59</v>
      </c>
      <c r="CH64" s="55" t="n">
        <f aca="false">IF(ISNUMBER(CI64),IF(ISNUMBER('Base de Datos'!AG60),IF('Base de Datos'!AG60&gt;20000,INT('Base de Datos'!AG60),""),IF(TRIM('Base de Datos'!AG60)="","",IFERROR(DATE(VALUE(RIGHT(TRIM('Base de Datos'!AG60),4)),VALUE(MID(TRIM('Base de Datos'!AG60),4,2)),VALUE(LEFT(TRIM('Base de Datos'!AG60),2))),IFERROR(DATEVALUE(TRIM('Base de Datos'!AG60)),"")))),"")</f>
        <v>45383</v>
      </c>
      <c r="CI64" s="56" t="n">
        <f aca="false">IF(ISNUMBER('Base de Datos'!AH60),'Base de Datos'!AH60,IF(TRIM('Base de Datos'!AH60)="","",IFERROR(IF(IFERROR(FIND("@",SUBSTITUTE(TRIM('Base de Datos'!AH60),",","@",LEN(TRIM('Base de Datos'!AH60))-LEN(SUBSTITUTE(TRIM('Base de Datos'!AH60),",","")))),0)&gt;IFERROR(FIND("@",SUBSTITUTE(TRIM('Base de Datos'!AH60),".","@",LEN(TRIM('Base de Datos'!AH60))-LEN(SUBSTITUTE(TRIM('Base de Datos'!AH60),".","")))),0),_xlfn.NUMBERVALUE(SUBSTITUTE(SUBSTITUTE(TRIM('Base de Datos'!AH60),".",""),",","."),".",","),_xlfn.NUMBERVALUE(SUBSTITUTE(TRIM('Base de Datos'!AH60),",",""),".",",")),"")))</f>
        <v>4.63</v>
      </c>
    </row>
    <row r="65" customFormat="false" ht="13.8" hidden="false" customHeight="false" outlineLevel="0" collapsed="false">
      <c r="AE65" s="44" t="n">
        <v>56</v>
      </c>
      <c r="AF65" s="55" t="n">
        <f aca="false">IF(AF64="","",IFERROR(SMALL($CH$10:$CH$309,COUNTIF($CH$10:$CH$309,"&lt;="&amp;AF64)+1),""))</f>
        <v>45398</v>
      </c>
      <c r="AG65" s="56" t="n">
        <f aca="false">IF(AF65="","",INDEX($CI$10:$CI$309,MATCH(AF65,$CH$10:$CH$309,0)))</f>
        <v>4.67</v>
      </c>
      <c r="AH65" s="55" t="n">
        <f aca="false">IF(AF65="",NA(),AF65)</f>
        <v>45398</v>
      </c>
      <c r="AI65" s="56" t="n">
        <f aca="false">IF(AG65="",NA(),AG65)</f>
        <v>4.67</v>
      </c>
      <c r="AU65" s="44" t="n">
        <f aca="false">IF(56&lt;=$C$8,56,"")</f>
        <v>56</v>
      </c>
      <c r="AV65" s="56" t="n">
        <f aca="false">IF(AU65="","",INDEX($AG$10:$AG$309,$B$8+56-1))</f>
        <v>3.9</v>
      </c>
      <c r="AW65" s="56" t="n">
        <f aca="false">IF(AV65="",NA(),AV65)</f>
        <v>3.9</v>
      </c>
      <c r="AX65" s="44" t="n">
        <f aca="false">IF(AV65="",NA(),AU65)</f>
        <v>56</v>
      </c>
      <c r="AY65" s="44" t="n">
        <f aca="false">IF(AV65="","",LN(AV65))</f>
        <v>1.3609765531356</v>
      </c>
      <c r="BG65" s="121" t="n">
        <f aca="false">IF(BG64="","",IF(EDATE(BG64,1)&gt;$C$6,"",EDATE(BG64,1)))</f>
        <v>46235</v>
      </c>
      <c r="BH65" s="44" t="n">
        <f aca="false">IF(BG65="","",IFERROR(AVERAGEIFS($AG$10:$AG$309,$AF$10:$AF$309,"&gt;="&amp;BG65,$AF$10:$AF$309,"&lt;="&amp;EOMONTH(BG65,0)),""))</f>
        <v>3.26</v>
      </c>
      <c r="BI65" s="122" t="n">
        <f aca="false">IF(BG65="","",IFERROR(INDEX(Rendimientos!$C$13:$C$412,MATCH(_xlfn.MAXIFS(Rendimientos!$B$13:$B$412,Rendimientos!$B$13:$B$412,"&lt;="&amp;EOMONTH(BG65,0),Rendimientos!$B$13:$B$412,"&gt;="&amp;BG65),Rendimientos!$B$13:$B$412,0)),IFERROR(INDEX(Rendimientos!$T$13:$T$512,MATCH(_xlfn.MAXIFS(Rendimientos!$S$13:$S$512,Rendimientos!$S$13:$S$512,"&lt;="&amp;EOMONTH(BG65,0),Rendimientos!$S$13:$S$512,"&gt;="&amp;BG65),Rendimientos!$S$13:$S$512,0)),"")))</f>
        <v>26</v>
      </c>
      <c r="BJ65" s="123" t="n">
        <f aca="false">IF(AND(ISNUMBER(BI65),ISNUMBER(BI64)),BI65/BI64-1,"")</f>
        <v>-0.121324771882393</v>
      </c>
      <c r="BK65" s="44" t="n">
        <f aca="false">IF(AND(ISNUMBER(BH65),ISNUMBER(BH64)),BH65-BH64,"")</f>
        <v>0.14</v>
      </c>
      <c r="BL65" s="123" t="n">
        <f aca="false">IF(AND(ISNUMBER(BH65),ISNUMBER(BH64)),BH65/BH64-1,"")</f>
        <v>0.0448717948717947</v>
      </c>
      <c r="BM65" s="44" t="n">
        <f aca="false">IF(AND(ISNUMBER(BH65),ISNUMBER(BI65)),1,"")</f>
        <v>1</v>
      </c>
      <c r="BN65" s="44" t="n">
        <f aca="false">IF(BM65=1,COUNT(BM65:BM$69),"")</f>
        <v>2</v>
      </c>
      <c r="BO65" s="44" t="n">
        <f aca="false">IF(BM65=1,BH65,"")</f>
        <v>3.26</v>
      </c>
      <c r="BP65" s="122" t="n">
        <f aca="false">IF(BM65=1,BI65,"")</f>
        <v>26</v>
      </c>
      <c r="BQ65" s="44" t="n">
        <f aca="false">IF(AND(BM65=1,BN65&lt;=12),BH65,"")</f>
        <v>3.26</v>
      </c>
      <c r="BR65" s="122" t="n">
        <f aca="false">IF(AND(BM65=1,BN65&lt;=12),BI65,"")</f>
        <v>26</v>
      </c>
      <c r="BS65" s="44" t="n">
        <f aca="false">IF(AND(BM65=1,BN65&lt;=6),BH65,"")</f>
        <v>3.26</v>
      </c>
      <c r="BT65" s="122" t="n">
        <f aca="false">IF(AND(BM65=1,BN65&lt;=6),BI65,"")</f>
        <v>26</v>
      </c>
      <c r="BU65" s="123" t="n">
        <f aca="false">IF(AND(ISNUMBER(BJ65),ISNUMBER(BK65)),BJ65,"")</f>
        <v>-0.121324771882393</v>
      </c>
      <c r="BV65" s="44" t="n">
        <f aca="false">IF(AND(ISNUMBER(BJ65),ISNUMBER(BK65)),BK65,"")</f>
        <v>0.14</v>
      </c>
      <c r="BW65" s="123" t="n">
        <f aca="false">IF(AND(ISNUMBER(BJ65),ISNUMBER(BH65)),BJ65,"")</f>
        <v>-0.121324771882393</v>
      </c>
      <c r="BX65" s="44" t="n">
        <f aca="false">IF(AND(ISNUMBER(BJ65),ISNUMBER(BH65)),BH65,"")</f>
        <v>3.26</v>
      </c>
      <c r="BY65" s="44" t="n">
        <f aca="false">IF(BM65=1,BH65,NA())</f>
        <v>3.26</v>
      </c>
      <c r="BZ65" s="122" t="n">
        <f aca="false">IF(BM65=1,BI65,NA())</f>
        <v>26</v>
      </c>
      <c r="CA65" s="44" t="n">
        <f aca="false">IF(BM65=1,LN(BI65),"")</f>
        <v>3.25809653802148</v>
      </c>
      <c r="CB65" s="123" t="n">
        <f aca="false">IF(ISNUMBER(BU65),BU65,NA())</f>
        <v>-0.121324771882393</v>
      </c>
      <c r="CC65" s="44" t="n">
        <f aca="false">IF(ISNUMBER(BV65),BV65,NA())</f>
        <v>0.14</v>
      </c>
      <c r="CD65" s="124" t="n">
        <f aca="false">IF(BG65="",NA(),BG65)</f>
        <v>46235</v>
      </c>
      <c r="CE65" s="44" t="n">
        <f aca="false">IF(ISNUMBER(BH65),BH65,NA())</f>
        <v>3.26</v>
      </c>
      <c r="CF65" s="122" t="n">
        <f aca="false">IF(ISNUMBER(BI65),BI65,NA())</f>
        <v>26</v>
      </c>
      <c r="CH65" s="55" t="n">
        <f aca="false">IF(ISNUMBER(CI65),IF(ISNUMBER('Base de Datos'!AG61),IF('Base de Datos'!AG61&gt;20000,INT('Base de Datos'!AG61),""),IF(TRIM('Base de Datos'!AG61)="","",IFERROR(DATE(VALUE(RIGHT(TRIM('Base de Datos'!AG61),4)),VALUE(MID(TRIM('Base de Datos'!AG61),4,2)),VALUE(LEFT(TRIM('Base de Datos'!AG61),2))),IFERROR(DATEVALUE(TRIM('Base de Datos'!AG61)),"")))),"")</f>
        <v>45398</v>
      </c>
      <c r="CI65" s="56" t="n">
        <f aca="false">IF(ISNUMBER('Base de Datos'!AH61),'Base de Datos'!AH61,IF(TRIM('Base de Datos'!AH61)="","",IFERROR(IF(IFERROR(FIND("@",SUBSTITUTE(TRIM('Base de Datos'!AH61),",","@",LEN(TRIM('Base de Datos'!AH61))-LEN(SUBSTITUTE(TRIM('Base de Datos'!AH61),",","")))),0)&gt;IFERROR(FIND("@",SUBSTITUTE(TRIM('Base de Datos'!AH61),".","@",LEN(TRIM('Base de Datos'!AH61))-LEN(SUBSTITUTE(TRIM('Base de Datos'!AH61),".","")))),0),_xlfn.NUMBERVALUE(SUBSTITUTE(SUBSTITUTE(TRIM('Base de Datos'!AH61),".",""),",","."),".",","),_xlfn.NUMBERVALUE(SUBSTITUTE(TRIM('Base de Datos'!AH61),",",""),".",",")),"")))</f>
        <v>4.67</v>
      </c>
    </row>
    <row r="66" customFormat="false" ht="13.8" hidden="false" customHeight="false" outlineLevel="0" collapsed="false">
      <c r="AE66" s="44" t="n">
        <v>57</v>
      </c>
      <c r="AF66" s="55" t="n">
        <f aca="false">IF(AF65="","",IFERROR(SMALL($CH$10:$CH$309,COUNTIF($CH$10:$CH$309,"&lt;="&amp;AF65)+1),""))</f>
        <v>45413</v>
      </c>
      <c r="AG66" s="56" t="n">
        <f aca="false">IF(AF66="","",INDEX($CI$10:$CI$309,MATCH(AF66,$CH$10:$CH$309,0)))</f>
        <v>4.78</v>
      </c>
      <c r="AH66" s="55" t="n">
        <f aca="false">IF(AF66="",NA(),AF66)</f>
        <v>45413</v>
      </c>
      <c r="AI66" s="56" t="n">
        <f aca="false">IF(AG66="",NA(),AG66)</f>
        <v>4.78</v>
      </c>
      <c r="AU66" s="44" t="n">
        <f aca="false">IF(57&lt;=$C$8,57,"")</f>
        <v>57</v>
      </c>
      <c r="AV66" s="56" t="n">
        <f aca="false">IF(AU66="","",INDEX($AG$10:$AG$309,$B$8+57-1))</f>
        <v>4.22</v>
      </c>
      <c r="AW66" s="56" t="n">
        <f aca="false">IF(AV66="",NA(),AV66)</f>
        <v>4.22</v>
      </c>
      <c r="AX66" s="44" t="n">
        <f aca="false">IF(AV66="",NA(),AU66)</f>
        <v>57</v>
      </c>
      <c r="AY66" s="44" t="n">
        <f aca="false">IF(AV66="","",LN(AV66))</f>
        <v>1.43983512804792</v>
      </c>
      <c r="BG66" s="121" t="n">
        <f aca="false">IF(BG65="","",IF(EDATE(BG65,1)&gt;$C$6,"",EDATE(BG65,1)))</f>
        <v>46266</v>
      </c>
      <c r="BH66" s="44" t="n">
        <f aca="false">IF(BG66="","",IFERROR(AVERAGEIFS($AG$10:$AG$309,$AF$10:$AF$309,"&gt;="&amp;BG66,$AF$10:$AF$309,"&lt;="&amp;EOMONTH(BG66,0)),""))</f>
        <v>3.42</v>
      </c>
      <c r="BI66" s="122" t="n">
        <f aca="false">IF(BG66="","",IFERROR(INDEX(Rendimientos!$C$13:$C$412,MATCH(_xlfn.MAXIFS(Rendimientos!$B$13:$B$412,Rendimientos!$B$13:$B$412,"&lt;="&amp;EOMONTH(BG66,0),Rendimientos!$B$13:$B$412,"&gt;="&amp;BG66),Rendimientos!$B$13:$B$412,0)),IFERROR(INDEX(Rendimientos!$T$13:$T$512,MATCH(_xlfn.MAXIFS(Rendimientos!$S$13:$S$512,Rendimientos!$S$13:$S$512,"&lt;="&amp;EOMONTH(BG66,0),Rendimientos!$S$13:$S$512,"&gt;="&amp;BG66),Rendimientos!$S$13:$S$512,0)),"")))</f>
        <v>34.1</v>
      </c>
      <c r="BJ66" s="123" t="n">
        <f aca="false">IF(AND(ISNUMBER(BI66),ISNUMBER(BI65)),BI66/BI65-1,"")</f>
        <v>0.311538461538462</v>
      </c>
      <c r="BK66" s="44" t="n">
        <f aca="false">IF(AND(ISNUMBER(BH66),ISNUMBER(BH65)),BH66-BH65,"")</f>
        <v>0.16</v>
      </c>
      <c r="BL66" s="123" t="n">
        <f aca="false">IF(AND(ISNUMBER(BH66),ISNUMBER(BH65)),BH66/BH65-1,"")</f>
        <v>0.0490797546012269</v>
      </c>
      <c r="BM66" s="44" t="n">
        <f aca="false">IF(AND(ISNUMBER(BH66),ISNUMBER(BI66)),1,"")</f>
        <v>1</v>
      </c>
      <c r="BN66" s="44" t="n">
        <f aca="false">IF(BM66=1,COUNT(BM66:BM$69),"")</f>
        <v>1</v>
      </c>
      <c r="BO66" s="44" t="n">
        <f aca="false">IF(BM66=1,BH66,"")</f>
        <v>3.42</v>
      </c>
      <c r="BP66" s="122" t="n">
        <f aca="false">IF(BM66=1,BI66,"")</f>
        <v>34.1</v>
      </c>
      <c r="BQ66" s="44" t="n">
        <f aca="false">IF(AND(BM66=1,BN66&lt;=12),BH66,"")</f>
        <v>3.42</v>
      </c>
      <c r="BR66" s="122" t="n">
        <f aca="false">IF(AND(BM66=1,BN66&lt;=12),BI66,"")</f>
        <v>34.1</v>
      </c>
      <c r="BS66" s="44" t="n">
        <f aca="false">IF(AND(BM66=1,BN66&lt;=6),BH66,"")</f>
        <v>3.42</v>
      </c>
      <c r="BT66" s="122" t="n">
        <f aca="false">IF(AND(BM66=1,BN66&lt;=6),BI66,"")</f>
        <v>34.1</v>
      </c>
      <c r="BU66" s="123" t="n">
        <f aca="false">IF(AND(ISNUMBER(BJ66),ISNUMBER(BK66)),BJ66,"")</f>
        <v>0.311538461538462</v>
      </c>
      <c r="BV66" s="44" t="n">
        <f aca="false">IF(AND(ISNUMBER(BJ66),ISNUMBER(BK66)),BK66,"")</f>
        <v>0.16</v>
      </c>
      <c r="BW66" s="123" t="n">
        <f aca="false">IF(AND(ISNUMBER(BJ66),ISNUMBER(BH66)),BJ66,"")</f>
        <v>0.311538461538462</v>
      </c>
      <c r="BX66" s="44" t="n">
        <f aca="false">IF(AND(ISNUMBER(BJ66),ISNUMBER(BH66)),BH66,"")</f>
        <v>3.42</v>
      </c>
      <c r="BY66" s="44" t="n">
        <f aca="false">IF(BM66=1,BH66,NA())</f>
        <v>3.42</v>
      </c>
      <c r="BZ66" s="122" t="n">
        <f aca="false">IF(BM66=1,BI66,NA())</f>
        <v>34.1</v>
      </c>
      <c r="CA66" s="44" t="n">
        <f aca="false">IF(BM66=1,LN(BI66),"")</f>
        <v>3.52929738428947</v>
      </c>
      <c r="CB66" s="123" t="n">
        <f aca="false">IF(ISNUMBER(BU66),BU66,NA())</f>
        <v>0.311538461538462</v>
      </c>
      <c r="CC66" s="44" t="n">
        <f aca="false">IF(ISNUMBER(BV66),BV66,NA())</f>
        <v>0.16</v>
      </c>
      <c r="CD66" s="124" t="n">
        <f aca="false">IF(BG66="",NA(),BG66)</f>
        <v>46266</v>
      </c>
      <c r="CE66" s="44" t="n">
        <f aca="false">IF(ISNUMBER(BH66),BH66,NA())</f>
        <v>3.42</v>
      </c>
      <c r="CF66" s="122" t="n">
        <f aca="false">IF(ISNUMBER(BI66),BI66,NA())</f>
        <v>34.1</v>
      </c>
      <c r="CH66" s="55" t="n">
        <f aca="false">IF(ISNUMBER(CI66),IF(ISNUMBER('Base de Datos'!AG62),IF('Base de Datos'!AG62&gt;20000,INT('Base de Datos'!AG62),""),IF(TRIM('Base de Datos'!AG62)="","",IFERROR(DATE(VALUE(RIGHT(TRIM('Base de Datos'!AG62),4)),VALUE(MID(TRIM('Base de Datos'!AG62),4,2)),VALUE(LEFT(TRIM('Base de Datos'!AG62),2))),IFERROR(DATEVALUE(TRIM('Base de Datos'!AG62)),"")))),"")</f>
        <v>45413</v>
      </c>
      <c r="CI66" s="56" t="n">
        <f aca="false">IF(ISNUMBER('Base de Datos'!AH62),'Base de Datos'!AH62,IF(TRIM('Base de Datos'!AH62)="","",IFERROR(IF(IFERROR(FIND("@",SUBSTITUTE(TRIM('Base de Datos'!AH62),",","@",LEN(TRIM('Base de Datos'!AH62))-LEN(SUBSTITUTE(TRIM('Base de Datos'!AH62),",","")))),0)&gt;IFERROR(FIND("@",SUBSTITUTE(TRIM('Base de Datos'!AH62),".","@",LEN(TRIM('Base de Datos'!AH62))-LEN(SUBSTITUTE(TRIM('Base de Datos'!AH62),".","")))),0),_xlfn.NUMBERVALUE(SUBSTITUTE(SUBSTITUTE(TRIM('Base de Datos'!AH62),".",""),",","."),".",","),_xlfn.NUMBERVALUE(SUBSTITUTE(TRIM('Base de Datos'!AH62),",",""),".",",")),"")))</f>
        <v>4.78</v>
      </c>
    </row>
    <row r="67" customFormat="false" ht="13.8" hidden="false" customHeight="false" outlineLevel="0" collapsed="false">
      <c r="AE67" s="44" t="n">
        <v>58</v>
      </c>
      <c r="AF67" s="55" t="n">
        <f aca="false">IF(AF66="","",IFERROR(SMALL($CH$10:$CH$309,COUNTIF($CH$10:$CH$309,"&lt;="&amp;AF66)+1),""))</f>
        <v>45428</v>
      </c>
      <c r="AG67" s="56" t="n">
        <f aca="false">IF(AF67="","",INDEX($CI$10:$CI$309,MATCH(AF67,$CH$10:$CH$309,0)))</f>
        <v>4.59</v>
      </c>
      <c r="AH67" s="55" t="n">
        <f aca="false">IF(AF67="",NA(),AF67)</f>
        <v>45428</v>
      </c>
      <c r="AI67" s="56" t="n">
        <f aca="false">IF(AG67="",NA(),AG67)</f>
        <v>4.59</v>
      </c>
      <c r="AU67" s="44" t="n">
        <f aca="false">IF(58&lt;=$C$8,58,"")</f>
        <v>58</v>
      </c>
      <c r="AV67" s="56" t="n">
        <f aca="false">IF(AU67="","",INDEX($AG$10:$AG$309,$B$8+58-1))</f>
        <v>4.62</v>
      </c>
      <c r="AW67" s="56" t="n">
        <f aca="false">IF(AV67="",NA(),AV67)</f>
        <v>4.62</v>
      </c>
      <c r="AX67" s="44" t="n">
        <f aca="false">IF(AV67="",NA(),AU67)</f>
        <v>58</v>
      </c>
      <c r="AY67" s="44" t="n">
        <f aca="false">IF(AV67="","",LN(AV67))</f>
        <v>1.53039470509365</v>
      </c>
      <c r="BG67" s="121" t="str">
        <f aca="false">IF(BG66="","",IF(EDATE(BG66,1)&gt;$C$6,"",EDATE(BG66,1)))</f>
        <v/>
      </c>
      <c r="BH67" s="44" t="str">
        <f aca="false">IF(BG67="","",IFERROR(AVERAGEIFS($AG$10:$AG$309,$AF$10:$AF$309,"&gt;="&amp;BG67,$AF$10:$AF$309,"&lt;="&amp;EOMONTH(BG67,0)),""))</f>
        <v/>
      </c>
      <c r="BI67" s="44" t="str">
        <f aca="false">IF(BG67="","",IFERROR(INDEX(Rendimientos!$C$13:$C$412,MATCH(_xlfn.MAXIFS(Rendimientos!$B$13:$B$412,Rendimientos!$B$13:$B$412,"&lt;="&amp;EOMONTH(BG67,0),Rendimientos!$B$13:$B$412,"&gt;="&amp;BG67),Rendimientos!$B$13:$B$412,0)),IFERROR(INDEX(Rendimientos!$T$13:$T$512,MATCH(_xlfn.MAXIFS(Rendimientos!$S$13:$S$512,Rendimientos!$S$13:$S$512,"&lt;="&amp;EOMONTH(BG67,0),Rendimientos!$S$13:$S$512,"&gt;="&amp;BG67),Rendimientos!$S$13:$S$512,0)),"")))</f>
        <v/>
      </c>
      <c r="BJ67" s="123" t="str">
        <f aca="false">IF(AND(ISNUMBER(BI67),ISNUMBER(BI66)),BI67/BI66-1,"")</f>
        <v/>
      </c>
      <c r="BK67" s="44" t="str">
        <f aca="false">IF(AND(ISNUMBER(BH67),ISNUMBER(BH66)),BH67-BH66,"")</f>
        <v/>
      </c>
      <c r="BL67" s="123" t="str">
        <f aca="false">IF(AND(ISNUMBER(BH67),ISNUMBER(BH66)),BH67/BH66-1,"")</f>
        <v/>
      </c>
      <c r="BM67" s="44" t="str">
        <f aca="false">IF(AND(ISNUMBER(BH67),ISNUMBER(BI67)),1,"")</f>
        <v/>
      </c>
      <c r="BN67" s="44" t="str">
        <f aca="false">IF(BM67=1,COUNT(BM67:BM$69),"")</f>
        <v/>
      </c>
      <c r="BO67" s="44" t="str">
        <f aca="false">IF(BM67=1,BH67,"")</f>
        <v/>
      </c>
      <c r="BP67" s="44" t="str">
        <f aca="false">IF(BM67=1,BI67,"")</f>
        <v/>
      </c>
      <c r="BQ67" s="44" t="str">
        <f aca="false">IF(AND(BM67=1,BN67&lt;=12),BH67,"")</f>
        <v/>
      </c>
      <c r="BR67" s="44" t="str">
        <f aca="false">IF(AND(BM67=1,BN67&lt;=12),BI67,"")</f>
        <v/>
      </c>
      <c r="BS67" s="44" t="str">
        <f aca="false">IF(AND(BM67=1,BN67&lt;=6),BH67,"")</f>
        <v/>
      </c>
      <c r="BT67" s="44" t="str">
        <f aca="false">IF(AND(BM67=1,BN67&lt;=6),BI67,"")</f>
        <v/>
      </c>
      <c r="BU67" s="123" t="str">
        <f aca="false">IF(AND(ISNUMBER(BJ67),ISNUMBER(BK67)),BJ67,"")</f>
        <v/>
      </c>
      <c r="BV67" s="44" t="str">
        <f aca="false">IF(AND(ISNUMBER(BJ67),ISNUMBER(BK67)),BK67,"")</f>
        <v/>
      </c>
      <c r="BW67" s="123" t="str">
        <f aca="false">IF(AND(ISNUMBER(BJ67),ISNUMBER(BH67)),BJ67,"")</f>
        <v/>
      </c>
      <c r="BX67" s="44" t="str">
        <f aca="false">IF(AND(ISNUMBER(BJ67),ISNUMBER(BH67)),BH67,"")</f>
        <v/>
      </c>
      <c r="BY67" s="44" t="e">
        <f aca="false">IF(BM67=1,BH67,NA())</f>
        <v>#N/A</v>
      </c>
      <c r="BZ67" s="44" t="e">
        <f aca="false">IF(BM67=1,BI67,NA())</f>
        <v>#N/A</v>
      </c>
      <c r="CA67" s="44" t="str">
        <f aca="false">IF(BM67=1,LN(BI67),"")</f>
        <v/>
      </c>
      <c r="CB67" s="123" t="e">
        <f aca="false">IF(ISNUMBER(BU67),BU67,NA())</f>
        <v>#N/A</v>
      </c>
      <c r="CC67" s="44" t="e">
        <f aca="false">IF(ISNUMBER(BV67),BV67,NA())</f>
        <v>#N/A</v>
      </c>
      <c r="CD67" s="124" t="e">
        <f aca="false">IF(BG67="",NA(),BG67)</f>
        <v>#N/A</v>
      </c>
      <c r="CE67" s="44" t="e">
        <f aca="false">IF(ISNUMBER(BH67),BH67,NA())</f>
        <v>#N/A</v>
      </c>
      <c r="CF67" s="44" t="e">
        <f aca="false">IF(ISNUMBER(BI67),BI67,NA())</f>
        <v>#N/A</v>
      </c>
      <c r="CH67" s="55" t="n">
        <f aca="false">IF(ISNUMBER(CI67),IF(ISNUMBER('Base de Datos'!AG63),IF('Base de Datos'!AG63&gt;20000,INT('Base de Datos'!AG63),""),IF(TRIM('Base de Datos'!AG63)="","",IFERROR(DATE(VALUE(RIGHT(TRIM('Base de Datos'!AG63),4)),VALUE(MID(TRIM('Base de Datos'!AG63),4,2)),VALUE(LEFT(TRIM('Base de Datos'!AG63),2))),IFERROR(DATEVALUE(TRIM('Base de Datos'!AG63)),"")))),"")</f>
        <v>45428</v>
      </c>
      <c r="CI67" s="56" t="n">
        <f aca="false">IF(ISNUMBER('Base de Datos'!AH63),'Base de Datos'!AH63,IF(TRIM('Base de Datos'!AH63)="","",IFERROR(IF(IFERROR(FIND("@",SUBSTITUTE(TRIM('Base de Datos'!AH63),",","@",LEN(TRIM('Base de Datos'!AH63))-LEN(SUBSTITUTE(TRIM('Base de Datos'!AH63),",","")))),0)&gt;IFERROR(FIND("@",SUBSTITUTE(TRIM('Base de Datos'!AH63),".","@",LEN(TRIM('Base de Datos'!AH63))-LEN(SUBSTITUTE(TRIM('Base de Datos'!AH63),".","")))),0),_xlfn.NUMBERVALUE(SUBSTITUTE(SUBSTITUTE(TRIM('Base de Datos'!AH63),".",""),",","."),".",","),_xlfn.NUMBERVALUE(SUBSTITUTE(TRIM('Base de Datos'!AH63),",",""),".",",")),"")))</f>
        <v>4.59</v>
      </c>
    </row>
    <row r="68" customFormat="false" ht="13.8" hidden="false" customHeight="false" outlineLevel="0" collapsed="false">
      <c r="AE68" s="44" t="n">
        <v>59</v>
      </c>
      <c r="AF68" s="55" t="n">
        <f aca="false">IF(AF67="","",IFERROR(SMALL($CH$10:$CH$309,COUNTIF($CH$10:$CH$309,"&lt;="&amp;AF67)+1),""))</f>
        <v>45444</v>
      </c>
      <c r="AG68" s="56" t="n">
        <f aca="false">IF(AF68="","",INDEX($CI$10:$CI$309,MATCH(AF68,$CH$10:$CH$309,0)))</f>
        <v>4.78</v>
      </c>
      <c r="AH68" s="55" t="n">
        <f aca="false">IF(AF68="",NA(),AF68)</f>
        <v>45444</v>
      </c>
      <c r="AI68" s="56" t="n">
        <f aca="false">IF(AG68="",NA(),AG68)</f>
        <v>4.78</v>
      </c>
      <c r="AU68" s="44" t="n">
        <f aca="false">IF(59&lt;=$C$8,59,"")</f>
        <v>59</v>
      </c>
      <c r="AV68" s="56" t="n">
        <f aca="false">IF(AU68="","",INDEX($AG$10:$AG$309,$B$8+59-1))</f>
        <v>4.51</v>
      </c>
      <c r="AW68" s="56" t="n">
        <f aca="false">IF(AV68="",NA(),AV68)</f>
        <v>4.51</v>
      </c>
      <c r="AX68" s="44" t="n">
        <f aca="false">IF(AV68="",NA(),AU68)</f>
        <v>59</v>
      </c>
      <c r="AY68" s="44" t="n">
        <f aca="false">IF(AV68="","",LN(AV68))</f>
        <v>1.50629715351459</v>
      </c>
      <c r="BG68" s="121" t="str">
        <f aca="false">IF(BG67="","",IF(EDATE(BG67,1)&gt;$C$6,"",EDATE(BG67,1)))</f>
        <v/>
      </c>
      <c r="BH68" s="44" t="str">
        <f aca="false">IF(BG68="","",IFERROR(AVERAGEIFS($AG$10:$AG$309,$AF$10:$AF$309,"&gt;="&amp;BG68,$AF$10:$AF$309,"&lt;="&amp;EOMONTH(BG68,0)),""))</f>
        <v/>
      </c>
      <c r="BI68" s="44" t="str">
        <f aca="false">IF(BG68="","",IFERROR(INDEX(Rendimientos!$C$13:$C$412,MATCH(_xlfn.MAXIFS(Rendimientos!$B$13:$B$412,Rendimientos!$B$13:$B$412,"&lt;="&amp;EOMONTH(BG68,0),Rendimientos!$B$13:$B$412,"&gt;="&amp;BG68),Rendimientos!$B$13:$B$412,0)),IFERROR(INDEX(Rendimientos!$T$13:$T$512,MATCH(_xlfn.MAXIFS(Rendimientos!$S$13:$S$512,Rendimientos!$S$13:$S$512,"&lt;="&amp;EOMONTH(BG68,0),Rendimientos!$S$13:$S$512,"&gt;="&amp;BG68),Rendimientos!$S$13:$S$512,0)),"")))</f>
        <v/>
      </c>
      <c r="BJ68" s="123" t="str">
        <f aca="false">IF(AND(ISNUMBER(BI68),ISNUMBER(BI67)),BI68/BI67-1,"")</f>
        <v/>
      </c>
      <c r="BK68" s="44" t="str">
        <f aca="false">IF(AND(ISNUMBER(BH68),ISNUMBER(BH67)),BH68-BH67,"")</f>
        <v/>
      </c>
      <c r="BL68" s="123" t="str">
        <f aca="false">IF(AND(ISNUMBER(BH68),ISNUMBER(BH67)),BH68/BH67-1,"")</f>
        <v/>
      </c>
      <c r="BM68" s="44" t="str">
        <f aca="false">IF(AND(ISNUMBER(BH68),ISNUMBER(BI68)),1,"")</f>
        <v/>
      </c>
      <c r="BN68" s="44" t="str">
        <f aca="false">IF(BM68=1,COUNT(BM68:BM$69),"")</f>
        <v/>
      </c>
      <c r="BO68" s="44" t="str">
        <f aca="false">IF(BM68=1,BH68,"")</f>
        <v/>
      </c>
      <c r="BP68" s="44" t="str">
        <f aca="false">IF(BM68=1,BI68,"")</f>
        <v/>
      </c>
      <c r="BQ68" s="44" t="str">
        <f aca="false">IF(AND(BM68=1,BN68&lt;=12),BH68,"")</f>
        <v/>
      </c>
      <c r="BR68" s="44" t="str">
        <f aca="false">IF(AND(BM68=1,BN68&lt;=12),BI68,"")</f>
        <v/>
      </c>
      <c r="BS68" s="44" t="str">
        <f aca="false">IF(AND(BM68=1,BN68&lt;=6),BH68,"")</f>
        <v/>
      </c>
      <c r="BT68" s="44" t="str">
        <f aca="false">IF(AND(BM68=1,BN68&lt;=6),BI68,"")</f>
        <v/>
      </c>
      <c r="BU68" s="123" t="str">
        <f aca="false">IF(AND(ISNUMBER(BJ68),ISNUMBER(BK68)),BJ68,"")</f>
        <v/>
      </c>
      <c r="BV68" s="44" t="str">
        <f aca="false">IF(AND(ISNUMBER(BJ68),ISNUMBER(BK68)),BK68,"")</f>
        <v/>
      </c>
      <c r="BW68" s="123" t="str">
        <f aca="false">IF(AND(ISNUMBER(BJ68),ISNUMBER(BH68)),BJ68,"")</f>
        <v/>
      </c>
      <c r="BX68" s="44" t="str">
        <f aca="false">IF(AND(ISNUMBER(BJ68),ISNUMBER(BH68)),BH68,"")</f>
        <v/>
      </c>
      <c r="BY68" s="44" t="e">
        <f aca="false">IF(BM68=1,BH68,NA())</f>
        <v>#N/A</v>
      </c>
      <c r="BZ68" s="44" t="e">
        <f aca="false">IF(BM68=1,BI68,NA())</f>
        <v>#N/A</v>
      </c>
      <c r="CA68" s="44" t="str">
        <f aca="false">IF(BM68=1,LN(BI68),"")</f>
        <v/>
      </c>
      <c r="CB68" s="123" t="e">
        <f aca="false">IF(ISNUMBER(BU68),BU68,NA())</f>
        <v>#N/A</v>
      </c>
      <c r="CC68" s="44" t="e">
        <f aca="false">IF(ISNUMBER(BV68),BV68,NA())</f>
        <v>#N/A</v>
      </c>
      <c r="CD68" s="124" t="e">
        <f aca="false">IF(BG68="",NA(),BG68)</f>
        <v>#N/A</v>
      </c>
      <c r="CE68" s="44" t="e">
        <f aca="false">IF(ISNUMBER(BH68),BH68,NA())</f>
        <v>#N/A</v>
      </c>
      <c r="CF68" s="44" t="e">
        <f aca="false">IF(ISNUMBER(BI68),BI68,NA())</f>
        <v>#N/A</v>
      </c>
      <c r="CH68" s="55" t="n">
        <f aca="false">IF(ISNUMBER(CI68),IF(ISNUMBER('Base de Datos'!AG64),IF('Base de Datos'!AG64&gt;20000,INT('Base de Datos'!AG64),""),IF(TRIM('Base de Datos'!AG64)="","",IFERROR(DATE(VALUE(RIGHT(TRIM('Base de Datos'!AG64),4)),VALUE(MID(TRIM('Base de Datos'!AG64),4,2)),VALUE(LEFT(TRIM('Base de Datos'!AG64),2))),IFERROR(DATEVALUE(TRIM('Base de Datos'!AG64)),"")))),"")</f>
        <v>45444</v>
      </c>
      <c r="CI68" s="56" t="n">
        <f aca="false">IF(ISNUMBER('Base de Datos'!AH64),'Base de Datos'!AH64,IF(TRIM('Base de Datos'!AH64)="","",IFERROR(IF(IFERROR(FIND("@",SUBSTITUTE(TRIM('Base de Datos'!AH64),",","@",LEN(TRIM('Base de Datos'!AH64))-LEN(SUBSTITUTE(TRIM('Base de Datos'!AH64),",","")))),0)&gt;IFERROR(FIND("@",SUBSTITUTE(TRIM('Base de Datos'!AH64),".","@",LEN(TRIM('Base de Datos'!AH64))-LEN(SUBSTITUTE(TRIM('Base de Datos'!AH64),".","")))),0),_xlfn.NUMBERVALUE(SUBSTITUTE(SUBSTITUTE(TRIM('Base de Datos'!AH64),".",""),",","."),".",","),_xlfn.NUMBERVALUE(SUBSTITUTE(TRIM('Base de Datos'!AH64),",",""),".",",")),"")))</f>
        <v>4.78</v>
      </c>
    </row>
    <row r="69" customFormat="false" ht="13.8" hidden="false" customHeight="false" outlineLevel="0" collapsed="false">
      <c r="AE69" s="44" t="n">
        <v>60</v>
      </c>
      <c r="AF69" s="55" t="n">
        <f aca="false">IF(AF68="","",IFERROR(SMALL($CH$10:$CH$309,COUNTIF($CH$10:$CH$309,"&lt;="&amp;AF68)+1),""))</f>
        <v>45459</v>
      </c>
      <c r="AG69" s="56" t="n">
        <f aca="false">IF(AF69="","",INDEX($CI$10:$CI$309,MATCH(AF69,$CH$10:$CH$309,0)))</f>
        <v>5.17</v>
      </c>
      <c r="AH69" s="55" t="n">
        <f aca="false">IF(AF69="",NA(),AF69)</f>
        <v>45459</v>
      </c>
      <c r="AI69" s="56" t="n">
        <f aca="false">IF(AG69="",NA(),AG69)</f>
        <v>5.17</v>
      </c>
      <c r="AU69" s="44" t="n">
        <f aca="false">IF(60&lt;=$C$8,60,"")</f>
        <v>60</v>
      </c>
      <c r="AV69" s="56" t="n">
        <f aca="false">IF(AU69="","",INDEX($AG$10:$AG$309,$B$8+60-1))</f>
        <v>4.13</v>
      </c>
      <c r="AW69" s="56" t="n">
        <f aca="false">IF(AV69="",NA(),AV69)</f>
        <v>4.13</v>
      </c>
      <c r="AX69" s="44" t="n">
        <f aca="false">IF(AV69="",NA(),AU69)</f>
        <v>60</v>
      </c>
      <c r="AY69" s="44" t="n">
        <f aca="false">IF(AV69="","",LN(AV69))</f>
        <v>1.41827740697294</v>
      </c>
      <c r="BG69" s="121" t="str">
        <f aca="false">IF(BG68="","",IF(EDATE(BG68,1)&gt;$C$6,"",EDATE(BG68,1)))</f>
        <v/>
      </c>
      <c r="BH69" s="44" t="str">
        <f aca="false">IF(BG69="","",IFERROR(AVERAGEIFS($AG$10:$AG$309,$AF$10:$AF$309,"&gt;="&amp;BG69,$AF$10:$AF$309,"&lt;="&amp;EOMONTH(BG69,0)),""))</f>
        <v/>
      </c>
      <c r="BI69" s="44" t="str">
        <f aca="false">IF(BG69="","",IFERROR(INDEX(Rendimientos!$C$13:$C$412,MATCH(_xlfn.MAXIFS(Rendimientos!$B$13:$B$412,Rendimientos!$B$13:$B$412,"&lt;="&amp;EOMONTH(BG69,0),Rendimientos!$B$13:$B$412,"&gt;="&amp;BG69),Rendimientos!$B$13:$B$412,0)),IFERROR(INDEX(Rendimientos!$T$13:$T$512,MATCH(_xlfn.MAXIFS(Rendimientos!$S$13:$S$512,Rendimientos!$S$13:$S$512,"&lt;="&amp;EOMONTH(BG69,0),Rendimientos!$S$13:$S$512,"&gt;="&amp;BG69),Rendimientos!$S$13:$S$512,0)),"")))</f>
        <v/>
      </c>
      <c r="BJ69" s="123" t="str">
        <f aca="false">IF(AND(ISNUMBER(BI69),ISNUMBER(BI68)),BI69/BI68-1,"")</f>
        <v/>
      </c>
      <c r="BK69" s="44" t="str">
        <f aca="false">IF(AND(ISNUMBER(BH69),ISNUMBER(BH68)),BH69-BH68,"")</f>
        <v/>
      </c>
      <c r="BL69" s="123" t="str">
        <f aca="false">IF(AND(ISNUMBER(BH69),ISNUMBER(BH68)),BH69/BH68-1,"")</f>
        <v/>
      </c>
      <c r="BM69" s="44" t="str">
        <f aca="false">IF(AND(ISNUMBER(BH69),ISNUMBER(BI69)),1,"")</f>
        <v/>
      </c>
      <c r="BN69" s="44" t="str">
        <f aca="false">IF(BM69=1,COUNT(BM69:BM$69),"")</f>
        <v/>
      </c>
      <c r="BO69" s="44" t="str">
        <f aca="false">IF(BM69=1,BH69,"")</f>
        <v/>
      </c>
      <c r="BP69" s="44" t="str">
        <f aca="false">IF(BM69=1,BI69,"")</f>
        <v/>
      </c>
      <c r="BQ69" s="44" t="str">
        <f aca="false">IF(AND(BM69=1,BN69&lt;=12),BH69,"")</f>
        <v/>
      </c>
      <c r="BR69" s="44" t="str">
        <f aca="false">IF(AND(BM69=1,BN69&lt;=12),BI69,"")</f>
        <v/>
      </c>
      <c r="BS69" s="44" t="str">
        <f aca="false">IF(AND(BM69=1,BN69&lt;=6),BH69,"")</f>
        <v/>
      </c>
      <c r="BT69" s="44" t="str">
        <f aca="false">IF(AND(BM69=1,BN69&lt;=6),BI69,"")</f>
        <v/>
      </c>
      <c r="BU69" s="123" t="str">
        <f aca="false">IF(AND(ISNUMBER(BJ69),ISNUMBER(BK69)),BJ69,"")</f>
        <v/>
      </c>
      <c r="BV69" s="44" t="str">
        <f aca="false">IF(AND(ISNUMBER(BJ69),ISNUMBER(BK69)),BK69,"")</f>
        <v/>
      </c>
      <c r="BW69" s="123" t="str">
        <f aca="false">IF(AND(ISNUMBER(BJ69),ISNUMBER(BH69)),BJ69,"")</f>
        <v/>
      </c>
      <c r="BX69" s="44" t="str">
        <f aca="false">IF(AND(ISNUMBER(BJ69),ISNUMBER(BH69)),BH69,"")</f>
        <v/>
      </c>
      <c r="BY69" s="44" t="e">
        <f aca="false">IF(BM69=1,BH69,NA())</f>
        <v>#N/A</v>
      </c>
      <c r="BZ69" s="44" t="e">
        <f aca="false">IF(BM69=1,BI69,NA())</f>
        <v>#N/A</v>
      </c>
      <c r="CA69" s="44" t="str">
        <f aca="false">IF(BM69=1,LN(BI69),"")</f>
        <v/>
      </c>
      <c r="CB69" s="123" t="e">
        <f aca="false">IF(ISNUMBER(BU69),BU69,NA())</f>
        <v>#N/A</v>
      </c>
      <c r="CC69" s="44" t="e">
        <f aca="false">IF(ISNUMBER(BV69),BV69,NA())</f>
        <v>#N/A</v>
      </c>
      <c r="CD69" s="124" t="e">
        <f aca="false">IF(BG69="",NA(),BG69)</f>
        <v>#N/A</v>
      </c>
      <c r="CE69" s="44" t="e">
        <f aca="false">IF(ISNUMBER(BH69),BH69,NA())</f>
        <v>#N/A</v>
      </c>
      <c r="CF69" s="44" t="e">
        <f aca="false">IF(ISNUMBER(BI69),BI69,NA())</f>
        <v>#N/A</v>
      </c>
      <c r="CH69" s="55" t="n">
        <f aca="false">IF(ISNUMBER(CI69),IF(ISNUMBER('Base de Datos'!AG65),IF('Base de Datos'!AG65&gt;20000,INT('Base de Datos'!AG65),""),IF(TRIM('Base de Datos'!AG65)="","",IFERROR(DATE(VALUE(RIGHT(TRIM('Base de Datos'!AG65),4)),VALUE(MID(TRIM('Base de Datos'!AG65),4,2)),VALUE(LEFT(TRIM('Base de Datos'!AG65),2))),IFERROR(DATEVALUE(TRIM('Base de Datos'!AG65)),"")))),"")</f>
        <v>45459</v>
      </c>
      <c r="CI69" s="56" t="n">
        <f aca="false">IF(ISNUMBER('Base de Datos'!AH65),'Base de Datos'!AH65,IF(TRIM('Base de Datos'!AH65)="","",IFERROR(IF(IFERROR(FIND("@",SUBSTITUTE(TRIM('Base de Datos'!AH65),",","@",LEN(TRIM('Base de Datos'!AH65))-LEN(SUBSTITUTE(TRIM('Base de Datos'!AH65),",","")))),0)&gt;IFERROR(FIND("@",SUBSTITUTE(TRIM('Base de Datos'!AH65),".","@",LEN(TRIM('Base de Datos'!AH65))-LEN(SUBSTITUTE(TRIM('Base de Datos'!AH65),".","")))),0),_xlfn.NUMBERVALUE(SUBSTITUTE(SUBSTITUTE(TRIM('Base de Datos'!AH65),".",""),",","."),".",","),_xlfn.NUMBERVALUE(SUBSTITUTE(TRIM('Base de Datos'!AH65),",",""),".",",")),"")))</f>
        <v>5.17</v>
      </c>
    </row>
    <row r="70" customFormat="false" ht="13.8" hidden="false" customHeight="false" outlineLevel="0" collapsed="false">
      <c r="AE70" s="44" t="n">
        <v>61</v>
      </c>
      <c r="AF70" s="55" t="n">
        <f aca="false">IF(AF69="","",IFERROR(SMALL($CH$10:$CH$309,COUNTIF($CH$10:$CH$309,"&lt;="&amp;AF69)+1),""))</f>
        <v>45474</v>
      </c>
      <c r="AG70" s="56" t="n">
        <f aca="false">IF(AF70="","",INDEX($CI$10:$CI$309,MATCH(AF70,$CH$10:$CH$309,0)))</f>
        <v>5.61</v>
      </c>
      <c r="AH70" s="55" t="n">
        <f aca="false">IF(AF70="",NA(),AF70)</f>
        <v>45474</v>
      </c>
      <c r="AI70" s="56" t="n">
        <f aca="false">IF(AG70="",NA(),AG70)</f>
        <v>5.61</v>
      </c>
      <c r="AU70" s="44" t="n">
        <f aca="false">IF(61&lt;=$C$8,61,"")</f>
        <v>61</v>
      </c>
      <c r="AV70" s="56" t="n">
        <f aca="false">IF(AU70="","",INDEX($AG$10:$AG$309,$B$8+61-1))</f>
        <v>3.55</v>
      </c>
      <c r="AW70" s="56" t="n">
        <f aca="false">IF(AV70="",NA(),AV70)</f>
        <v>3.55</v>
      </c>
      <c r="AX70" s="44" t="n">
        <f aca="false">IF(AV70="",NA(),AU70)</f>
        <v>61</v>
      </c>
      <c r="AY70" s="44" t="n">
        <f aca="false">IF(AV70="","",LN(AV70))</f>
        <v>1.26694760348732</v>
      </c>
      <c r="CH70" s="55" t="n">
        <f aca="false">IF(ISNUMBER(CI70),IF(ISNUMBER('Base de Datos'!AG66),IF('Base de Datos'!AG66&gt;20000,INT('Base de Datos'!AG66),""),IF(TRIM('Base de Datos'!AG66)="","",IFERROR(DATE(VALUE(RIGHT(TRIM('Base de Datos'!AG66),4)),VALUE(MID(TRIM('Base de Datos'!AG66),4,2)),VALUE(LEFT(TRIM('Base de Datos'!AG66),2))),IFERROR(DATEVALUE(TRIM('Base de Datos'!AG66)),"")))),"")</f>
        <v>45474</v>
      </c>
      <c r="CI70" s="56" t="n">
        <f aca="false">IF(ISNUMBER('Base de Datos'!AH66),'Base de Datos'!AH66,IF(TRIM('Base de Datos'!AH66)="","",IFERROR(IF(IFERROR(FIND("@",SUBSTITUTE(TRIM('Base de Datos'!AH66),",","@",LEN(TRIM('Base de Datos'!AH66))-LEN(SUBSTITUTE(TRIM('Base de Datos'!AH66),",","")))),0)&gt;IFERROR(FIND("@",SUBSTITUTE(TRIM('Base de Datos'!AH66),".","@",LEN(TRIM('Base de Datos'!AH66))-LEN(SUBSTITUTE(TRIM('Base de Datos'!AH66),".","")))),0),_xlfn.NUMBERVALUE(SUBSTITUTE(SUBSTITUTE(TRIM('Base de Datos'!AH66),".",""),",","."),".",","),_xlfn.NUMBERVALUE(SUBSTITUTE(TRIM('Base de Datos'!AH66),",",""),".",",")),"")))</f>
        <v>5.61</v>
      </c>
    </row>
    <row r="71" customFormat="false" ht="13.8" hidden="false" customHeight="false" outlineLevel="0" collapsed="false">
      <c r="AE71" s="44" t="n">
        <v>62</v>
      </c>
      <c r="AF71" s="55" t="n">
        <f aca="false">IF(AF70="","",IFERROR(SMALL($CH$10:$CH$309,COUNTIF($CH$10:$CH$309,"&lt;="&amp;AF70)+1),""))</f>
        <v>45489</v>
      </c>
      <c r="AG71" s="56" t="n">
        <f aca="false">IF(AF71="","",INDEX($CI$10:$CI$309,MATCH(AF71,$CH$10:$CH$309,0)))</f>
        <v>5.52</v>
      </c>
      <c r="AH71" s="55" t="n">
        <f aca="false">IF(AF71="",NA(),AF71)</f>
        <v>45489</v>
      </c>
      <c r="AI71" s="56" t="n">
        <f aca="false">IF(AG71="",NA(),AG71)</f>
        <v>5.52</v>
      </c>
      <c r="AU71" s="44" t="n">
        <f aca="false">IF(62&lt;=$C$8,62,"")</f>
        <v>62</v>
      </c>
      <c r="AV71" s="56" t="n">
        <f aca="false">IF(AU71="","",INDEX($AG$10:$AG$309,$B$8+62-1))</f>
        <v>3.48</v>
      </c>
      <c r="AW71" s="56" t="n">
        <f aca="false">IF(AV71="",NA(),AV71)</f>
        <v>3.48</v>
      </c>
      <c r="AX71" s="44" t="n">
        <f aca="false">IF(AV71="",NA(),AU71)</f>
        <v>62</v>
      </c>
      <c r="AY71" s="44" t="n">
        <f aca="false">IF(AV71="","",LN(AV71))</f>
        <v>1.24703229378638</v>
      </c>
      <c r="CH71" s="55" t="n">
        <f aca="false">IF(ISNUMBER(CI71),IF(ISNUMBER('Base de Datos'!AG67),IF('Base de Datos'!AG67&gt;20000,INT('Base de Datos'!AG67),""),IF(TRIM('Base de Datos'!AG67)="","",IFERROR(DATE(VALUE(RIGHT(TRIM('Base de Datos'!AG67),4)),VALUE(MID(TRIM('Base de Datos'!AG67),4,2)),VALUE(LEFT(TRIM('Base de Datos'!AG67),2))),IFERROR(DATEVALUE(TRIM('Base de Datos'!AG67)),"")))),"")</f>
        <v>45489</v>
      </c>
      <c r="CI71" s="56" t="n">
        <f aca="false">IF(ISNUMBER('Base de Datos'!AH67),'Base de Datos'!AH67,IF(TRIM('Base de Datos'!AH67)="","",IFERROR(IF(IFERROR(FIND("@",SUBSTITUTE(TRIM('Base de Datos'!AH67),",","@",LEN(TRIM('Base de Datos'!AH67))-LEN(SUBSTITUTE(TRIM('Base de Datos'!AH67),",","")))),0)&gt;IFERROR(FIND("@",SUBSTITUTE(TRIM('Base de Datos'!AH67),".","@",LEN(TRIM('Base de Datos'!AH67))-LEN(SUBSTITUTE(TRIM('Base de Datos'!AH67),".","")))),0),_xlfn.NUMBERVALUE(SUBSTITUTE(SUBSTITUTE(TRIM('Base de Datos'!AH67),".",""),",","."),".",","),_xlfn.NUMBERVALUE(SUBSTITUTE(TRIM('Base de Datos'!AH67),",",""),".",",")),"")))</f>
        <v>5.52</v>
      </c>
    </row>
    <row r="72" customFormat="false" ht="13.8" hidden="false" customHeight="false" outlineLevel="0" collapsed="false">
      <c r="AE72" s="44" t="n">
        <v>63</v>
      </c>
      <c r="AF72" s="55" t="n">
        <f aca="false">IF(AF71="","",IFERROR(SMALL($CH$10:$CH$309,COUNTIF($CH$10:$CH$309,"&lt;="&amp;AF71)+1),""))</f>
        <v>45505</v>
      </c>
      <c r="AG72" s="56" t="n">
        <f aca="false">IF(AF72="","",INDEX($CI$10:$CI$309,MATCH(AF72,$CH$10:$CH$309,0)))</f>
        <v>5.16</v>
      </c>
      <c r="AH72" s="55" t="n">
        <f aca="false">IF(AF72="",NA(),AF72)</f>
        <v>45505</v>
      </c>
      <c r="AI72" s="56" t="n">
        <f aca="false">IF(AG72="",NA(),AG72)</f>
        <v>5.16</v>
      </c>
      <c r="AU72" s="44" t="n">
        <f aca="false">IF(63&lt;=$C$8,63,"")</f>
        <v>63</v>
      </c>
      <c r="AV72" s="56" t="n">
        <f aca="false">IF(AU72="","",INDEX($AG$10:$AG$309,$B$8+63-1))</f>
        <v>3.49</v>
      </c>
      <c r="AW72" s="56" t="n">
        <f aca="false">IF(AV72="",NA(),AV72)</f>
        <v>3.49</v>
      </c>
      <c r="AX72" s="44" t="n">
        <f aca="false">IF(AV72="",NA(),AU72)</f>
        <v>63</v>
      </c>
      <c r="AY72" s="44" t="n">
        <f aca="false">IF(AV72="","",LN(AV72))</f>
        <v>1.24990173621434</v>
      </c>
      <c r="CH72" s="55" t="n">
        <f aca="false">IF(ISNUMBER(CI72),IF(ISNUMBER('Base de Datos'!AG68),IF('Base de Datos'!AG68&gt;20000,INT('Base de Datos'!AG68),""),IF(TRIM('Base de Datos'!AG68)="","",IFERROR(DATE(VALUE(RIGHT(TRIM('Base de Datos'!AG68),4)),VALUE(MID(TRIM('Base de Datos'!AG68),4,2)),VALUE(LEFT(TRIM('Base de Datos'!AG68),2))),IFERROR(DATEVALUE(TRIM('Base de Datos'!AG68)),"")))),"")</f>
        <v>45505</v>
      </c>
      <c r="CI72" s="56" t="n">
        <f aca="false">IF(ISNUMBER('Base de Datos'!AH68),'Base de Datos'!AH68,IF(TRIM('Base de Datos'!AH68)="","",IFERROR(IF(IFERROR(FIND("@",SUBSTITUTE(TRIM('Base de Datos'!AH68),",","@",LEN(TRIM('Base de Datos'!AH68))-LEN(SUBSTITUTE(TRIM('Base de Datos'!AH68),",","")))),0)&gt;IFERROR(FIND("@",SUBSTITUTE(TRIM('Base de Datos'!AH68),".","@",LEN(TRIM('Base de Datos'!AH68))-LEN(SUBSTITUTE(TRIM('Base de Datos'!AH68),".","")))),0),_xlfn.NUMBERVALUE(SUBSTITUTE(SUBSTITUTE(TRIM('Base de Datos'!AH68),".",""),",","."),".",","),_xlfn.NUMBERVALUE(SUBSTITUTE(TRIM('Base de Datos'!AH68),",",""),".",",")),"")))</f>
        <v>5.16</v>
      </c>
    </row>
    <row r="73" customFormat="false" ht="13.8" hidden="false" customHeight="false" outlineLevel="0" collapsed="false">
      <c r="AE73" s="44" t="n">
        <v>64</v>
      </c>
      <c r="AF73" s="55" t="n">
        <f aca="false">IF(AF72="","",IFERROR(SMALL($CH$10:$CH$309,COUNTIF($CH$10:$CH$309,"&lt;="&amp;AF72)+1),""))</f>
        <v>45520</v>
      </c>
      <c r="AG73" s="56" t="n">
        <f aca="false">IF(AF73="","",INDEX($CI$10:$CI$309,MATCH(AF73,$CH$10:$CH$309,0)))</f>
        <v>4.83</v>
      </c>
      <c r="AH73" s="55" t="n">
        <f aca="false">IF(AF73="",NA(),AF73)</f>
        <v>45520</v>
      </c>
      <c r="AI73" s="56" t="n">
        <f aca="false">IF(AG73="",NA(),AG73)</f>
        <v>4.83</v>
      </c>
      <c r="AU73" s="44" t="n">
        <f aca="false">IF(64&lt;=$C$8,64,"")</f>
        <v>64</v>
      </c>
      <c r="AV73" s="56" t="n">
        <f aca="false">IF(AU73="","",INDEX($AG$10:$AG$309,$B$8+64-1))</f>
        <v>3.65</v>
      </c>
      <c r="AW73" s="56" t="n">
        <f aca="false">IF(AV73="",NA(),AV73)</f>
        <v>3.65</v>
      </c>
      <c r="AX73" s="44" t="n">
        <f aca="false">IF(AV73="",NA(),AU73)</f>
        <v>64</v>
      </c>
      <c r="AY73" s="44" t="n">
        <f aca="false">IF(AV73="","",LN(AV73))</f>
        <v>1.2947271675944</v>
      </c>
      <c r="CH73" s="55" t="n">
        <f aca="false">IF(ISNUMBER(CI73),IF(ISNUMBER('Base de Datos'!AG69),IF('Base de Datos'!AG69&gt;20000,INT('Base de Datos'!AG69),""),IF(TRIM('Base de Datos'!AG69)="","",IFERROR(DATE(VALUE(RIGHT(TRIM('Base de Datos'!AG69),4)),VALUE(MID(TRIM('Base de Datos'!AG69),4,2)),VALUE(LEFT(TRIM('Base de Datos'!AG69),2))),IFERROR(DATEVALUE(TRIM('Base de Datos'!AG69)),"")))),"")</f>
        <v>45520</v>
      </c>
      <c r="CI73" s="56" t="n">
        <f aca="false">IF(ISNUMBER('Base de Datos'!AH69),'Base de Datos'!AH69,IF(TRIM('Base de Datos'!AH69)="","",IFERROR(IF(IFERROR(FIND("@",SUBSTITUTE(TRIM('Base de Datos'!AH69),",","@",LEN(TRIM('Base de Datos'!AH69))-LEN(SUBSTITUTE(TRIM('Base de Datos'!AH69),",","")))),0)&gt;IFERROR(FIND("@",SUBSTITUTE(TRIM('Base de Datos'!AH69),".","@",LEN(TRIM('Base de Datos'!AH69))-LEN(SUBSTITUTE(TRIM('Base de Datos'!AH69),".","")))),0),_xlfn.NUMBERVALUE(SUBSTITUTE(SUBSTITUTE(TRIM('Base de Datos'!AH69),".",""),",","."),".",","),_xlfn.NUMBERVALUE(SUBSTITUTE(TRIM('Base de Datos'!AH69),",",""),".",",")),"")))</f>
        <v>4.83</v>
      </c>
    </row>
    <row r="74" customFormat="false" ht="13.8" hidden="false" customHeight="false" outlineLevel="0" collapsed="false">
      <c r="AE74" s="44" t="n">
        <v>65</v>
      </c>
      <c r="AF74" s="55" t="n">
        <f aca="false">IF(AF73="","",IFERROR(SMALL($CH$10:$CH$309,COUNTIF($CH$10:$CH$309,"&lt;="&amp;AF73)+1),""))</f>
        <v>45536</v>
      </c>
      <c r="AG74" s="56" t="n">
        <f aca="false">IF(AF74="","",INDEX($CI$10:$CI$309,MATCH(AF74,$CH$10:$CH$309,0)))</f>
        <v>4.66</v>
      </c>
      <c r="AH74" s="55" t="n">
        <f aca="false">IF(AF74="",NA(),AF74)</f>
        <v>45536</v>
      </c>
      <c r="AI74" s="56" t="n">
        <f aca="false">IF(AG74="",NA(),AG74)</f>
        <v>4.66</v>
      </c>
      <c r="AU74" s="44" t="n">
        <f aca="false">IF(65&lt;=$C$8,65,"")</f>
        <v>65</v>
      </c>
      <c r="AV74" s="56" t="n">
        <f aca="false">IF(AU74="","",INDEX($AG$10:$AG$309,$B$8+65-1))</f>
        <v>3.74</v>
      </c>
      <c r="AW74" s="56" t="n">
        <f aca="false">IF(AV74="",NA(),AV74)</f>
        <v>3.74</v>
      </c>
      <c r="AX74" s="44" t="n">
        <f aca="false">IF(AV74="",NA(),AU74)</f>
        <v>65</v>
      </c>
      <c r="AY74" s="44" t="n">
        <f aca="false">IF(AV74="","",LN(AV74))</f>
        <v>1.31908561142644</v>
      </c>
      <c r="CH74" s="55" t="n">
        <f aca="false">IF(ISNUMBER(CI74),IF(ISNUMBER('Base de Datos'!AG70),IF('Base de Datos'!AG70&gt;20000,INT('Base de Datos'!AG70),""),IF(TRIM('Base de Datos'!AG70)="","",IFERROR(DATE(VALUE(RIGHT(TRIM('Base de Datos'!AG70),4)),VALUE(MID(TRIM('Base de Datos'!AG70),4,2)),VALUE(LEFT(TRIM('Base de Datos'!AG70),2))),IFERROR(DATEVALUE(TRIM('Base de Datos'!AG70)),"")))),"")</f>
        <v>45536</v>
      </c>
      <c r="CI74" s="56" t="n">
        <f aca="false">IF(ISNUMBER('Base de Datos'!AH70),'Base de Datos'!AH70,IF(TRIM('Base de Datos'!AH70)="","",IFERROR(IF(IFERROR(FIND("@",SUBSTITUTE(TRIM('Base de Datos'!AH70),",","@",LEN(TRIM('Base de Datos'!AH70))-LEN(SUBSTITUTE(TRIM('Base de Datos'!AH70),",","")))),0)&gt;IFERROR(FIND("@",SUBSTITUTE(TRIM('Base de Datos'!AH70),".","@",LEN(TRIM('Base de Datos'!AH70))-LEN(SUBSTITUTE(TRIM('Base de Datos'!AH70),".","")))),0),_xlfn.NUMBERVALUE(SUBSTITUTE(SUBSTITUTE(TRIM('Base de Datos'!AH70),".",""),",","."),".",","),_xlfn.NUMBERVALUE(SUBSTITUTE(TRIM('Base de Datos'!AH70),",",""),".",",")),"")))</f>
        <v>4.66</v>
      </c>
    </row>
    <row r="75" customFormat="false" ht="13.8" hidden="false" customHeight="false" outlineLevel="0" collapsed="false">
      <c r="AE75" s="44" t="n">
        <v>66</v>
      </c>
      <c r="AF75" s="55" t="n">
        <f aca="false">IF(AF74="","",IFERROR(SMALL($CH$10:$CH$309,COUNTIF($CH$10:$CH$309,"&lt;="&amp;AF74)+1),""))</f>
        <v>45551</v>
      </c>
      <c r="AG75" s="56" t="n">
        <f aca="false">IF(AF75="","",INDEX($CI$10:$CI$309,MATCH(AF75,$CH$10:$CH$309,0)))</f>
        <v>4.5</v>
      </c>
      <c r="AH75" s="55" t="n">
        <f aca="false">IF(AF75="",NA(),AF75)</f>
        <v>45551</v>
      </c>
      <c r="AI75" s="56" t="n">
        <f aca="false">IF(AG75="",NA(),AG75)</f>
        <v>4.5</v>
      </c>
      <c r="AU75" s="44" t="n">
        <f aca="false">IF(66&lt;=$C$8,66,"")</f>
        <v>66</v>
      </c>
      <c r="AV75" s="56" t="n">
        <f aca="false">IF(AU75="","",INDEX($AG$10:$AG$309,$B$8+66-1))</f>
        <v>3.78</v>
      </c>
      <c r="AW75" s="56" t="n">
        <f aca="false">IF(AV75="",NA(),AV75)</f>
        <v>3.78</v>
      </c>
      <c r="AX75" s="44" t="n">
        <f aca="false">IF(AV75="",NA(),AU75)</f>
        <v>66</v>
      </c>
      <c r="AY75" s="44" t="n">
        <f aca="false">IF(AV75="","",LN(AV75))</f>
        <v>1.3297240096315</v>
      </c>
      <c r="CH75" s="55" t="n">
        <f aca="false">IF(ISNUMBER(CI75),IF(ISNUMBER('Base de Datos'!AG71),IF('Base de Datos'!AG71&gt;20000,INT('Base de Datos'!AG71),""),IF(TRIM('Base de Datos'!AG71)="","",IFERROR(DATE(VALUE(RIGHT(TRIM('Base de Datos'!AG71),4)),VALUE(MID(TRIM('Base de Datos'!AG71),4,2)),VALUE(LEFT(TRIM('Base de Datos'!AG71),2))),IFERROR(DATEVALUE(TRIM('Base de Datos'!AG71)),"")))),"")</f>
        <v>45551</v>
      </c>
      <c r="CI75" s="56" t="n">
        <f aca="false">IF(ISNUMBER('Base de Datos'!AH71),'Base de Datos'!AH71,IF(TRIM('Base de Datos'!AH71)="","",IFERROR(IF(IFERROR(FIND("@",SUBSTITUTE(TRIM('Base de Datos'!AH71),",","@",LEN(TRIM('Base de Datos'!AH71))-LEN(SUBSTITUTE(TRIM('Base de Datos'!AH71),",","")))),0)&gt;IFERROR(FIND("@",SUBSTITUTE(TRIM('Base de Datos'!AH71),".","@",LEN(TRIM('Base de Datos'!AH71))-LEN(SUBSTITUTE(TRIM('Base de Datos'!AH71),".","")))),0),_xlfn.NUMBERVALUE(SUBSTITUTE(SUBSTITUTE(TRIM('Base de Datos'!AH71),".",""),",","."),".",","),_xlfn.NUMBERVALUE(SUBSTITUTE(TRIM('Base de Datos'!AH71),",",""),".",",")),"")))</f>
        <v>4.5</v>
      </c>
    </row>
    <row r="76" customFormat="false" ht="13.8" hidden="false" customHeight="false" outlineLevel="0" collapsed="false">
      <c r="AE76" s="44" t="n">
        <v>67</v>
      </c>
      <c r="AF76" s="55" t="n">
        <f aca="false">IF(AF75="","",IFERROR(SMALL($CH$10:$CH$309,COUNTIF($CH$10:$CH$309,"&lt;="&amp;AF75)+1),""))</f>
        <v>45566</v>
      </c>
      <c r="AG76" s="56" t="n">
        <f aca="false">IF(AF76="","",INDEX($CI$10:$CI$309,MATCH(AF76,$CH$10:$CH$309,0)))</f>
        <v>4.69</v>
      </c>
      <c r="AH76" s="55" t="n">
        <f aca="false">IF(AF76="",NA(),AF76)</f>
        <v>45566</v>
      </c>
      <c r="AI76" s="56" t="n">
        <f aca="false">IF(AG76="",NA(),AG76)</f>
        <v>4.69</v>
      </c>
      <c r="AU76" s="44" t="n">
        <f aca="false">IF(67&lt;=$C$8,67,"")</f>
        <v>67</v>
      </c>
      <c r="AV76" s="56" t="n">
        <f aca="false">IF(AU76="","",INDEX($AG$10:$AG$309,$B$8+67-1))</f>
        <v>3.63</v>
      </c>
      <c r="AW76" s="56" t="n">
        <f aca="false">IF(AV76="",NA(),AV76)</f>
        <v>3.63</v>
      </c>
      <c r="AX76" s="44" t="n">
        <f aca="false">IF(AV76="",NA(),AU76)</f>
        <v>67</v>
      </c>
      <c r="AY76" s="44" t="n">
        <f aca="false">IF(AV76="","",LN(AV76))</f>
        <v>1.28923264827676</v>
      </c>
      <c r="CH76" s="55" t="n">
        <f aca="false">IF(ISNUMBER(CI76),IF(ISNUMBER('Base de Datos'!AG72),IF('Base de Datos'!AG72&gt;20000,INT('Base de Datos'!AG72),""),IF(TRIM('Base de Datos'!AG72)="","",IFERROR(DATE(VALUE(RIGHT(TRIM('Base de Datos'!AG72),4)),VALUE(MID(TRIM('Base de Datos'!AG72),4,2)),VALUE(LEFT(TRIM('Base de Datos'!AG72),2))),IFERROR(DATEVALUE(TRIM('Base de Datos'!AG72)),"")))),"")</f>
        <v>45566</v>
      </c>
      <c r="CI76" s="56" t="n">
        <f aca="false">IF(ISNUMBER('Base de Datos'!AH72),'Base de Datos'!AH72,IF(TRIM('Base de Datos'!AH72)="","",IFERROR(IF(IFERROR(FIND("@",SUBSTITUTE(TRIM('Base de Datos'!AH72),",","@",LEN(TRIM('Base de Datos'!AH72))-LEN(SUBSTITUTE(TRIM('Base de Datos'!AH72),",","")))),0)&gt;IFERROR(FIND("@",SUBSTITUTE(TRIM('Base de Datos'!AH72),".","@",LEN(TRIM('Base de Datos'!AH72))-LEN(SUBSTITUTE(TRIM('Base de Datos'!AH72),".","")))),0),_xlfn.NUMBERVALUE(SUBSTITUTE(SUBSTITUTE(TRIM('Base de Datos'!AH72),".",""),",","."),".",","),_xlfn.NUMBERVALUE(SUBSTITUTE(TRIM('Base de Datos'!AH72),",",""),".",",")),"")))</f>
        <v>4.69</v>
      </c>
    </row>
    <row r="77" customFormat="false" ht="13.8" hidden="false" customHeight="false" outlineLevel="0" collapsed="false">
      <c r="AE77" s="44" t="n">
        <v>68</v>
      </c>
      <c r="AF77" s="55" t="n">
        <f aca="false">IF(AF76="","",IFERROR(SMALL($CH$10:$CH$309,COUNTIF($CH$10:$CH$309,"&lt;="&amp;AF76)+1),""))</f>
        <v>45581</v>
      </c>
      <c r="AG77" s="56" t="n">
        <f aca="false">IF(AF77="","",INDEX($CI$10:$CI$309,MATCH(AF77,$CH$10:$CH$309,0)))</f>
        <v>4.83</v>
      </c>
      <c r="AH77" s="55" t="n">
        <f aca="false">IF(AF77="",NA(),AF77)</f>
        <v>45581</v>
      </c>
      <c r="AI77" s="56" t="n">
        <f aca="false">IF(AG77="",NA(),AG77)</f>
        <v>4.83</v>
      </c>
      <c r="AU77" s="44" t="n">
        <f aca="false">IF(68&lt;=$C$8,68,"")</f>
        <v>68</v>
      </c>
      <c r="AV77" s="56" t="n">
        <f aca="false">IF(AU77="","",INDEX($AG$10:$AG$309,$B$8+68-1))</f>
        <v>3.5</v>
      </c>
      <c r="AW77" s="56" t="n">
        <f aca="false">IF(AV77="",NA(),AV77)</f>
        <v>3.5</v>
      </c>
      <c r="AX77" s="44" t="n">
        <f aca="false">IF(AV77="",NA(),AU77)</f>
        <v>68</v>
      </c>
      <c r="AY77" s="44" t="n">
        <f aca="false">IF(AV77="","",LN(AV77))</f>
        <v>1.25276296849537</v>
      </c>
      <c r="CH77" s="55" t="n">
        <f aca="false">IF(ISNUMBER(CI77),IF(ISNUMBER('Base de Datos'!AG73),IF('Base de Datos'!AG73&gt;20000,INT('Base de Datos'!AG73),""),IF(TRIM('Base de Datos'!AG73)="","",IFERROR(DATE(VALUE(RIGHT(TRIM('Base de Datos'!AG73),4)),VALUE(MID(TRIM('Base de Datos'!AG73),4,2)),VALUE(LEFT(TRIM('Base de Datos'!AG73),2))),IFERROR(DATEVALUE(TRIM('Base de Datos'!AG73)),"")))),"")</f>
        <v>45581</v>
      </c>
      <c r="CI77" s="56" t="n">
        <f aca="false">IF(ISNUMBER('Base de Datos'!AH73),'Base de Datos'!AH73,IF(TRIM('Base de Datos'!AH73)="","",IFERROR(IF(IFERROR(FIND("@",SUBSTITUTE(TRIM('Base de Datos'!AH73),",","@",LEN(TRIM('Base de Datos'!AH73))-LEN(SUBSTITUTE(TRIM('Base de Datos'!AH73),",","")))),0)&gt;IFERROR(FIND("@",SUBSTITUTE(TRIM('Base de Datos'!AH73),".","@",LEN(TRIM('Base de Datos'!AH73))-LEN(SUBSTITUTE(TRIM('Base de Datos'!AH73),".","")))),0),_xlfn.NUMBERVALUE(SUBSTITUTE(SUBSTITUTE(TRIM('Base de Datos'!AH73),".",""),",","."),".",","),_xlfn.NUMBERVALUE(SUBSTITUTE(TRIM('Base de Datos'!AH73),",",""),".",",")),"")))</f>
        <v>4.83</v>
      </c>
    </row>
    <row r="78" customFormat="false" ht="13.8" hidden="false" customHeight="false" outlineLevel="0" collapsed="false">
      <c r="AE78" s="44" t="n">
        <v>69</v>
      </c>
      <c r="AF78" s="55" t="n">
        <f aca="false">IF(AF77="","",IFERROR(SMALL($CH$10:$CH$309,COUNTIF($CH$10:$CH$309,"&lt;="&amp;AF77)+1),""))</f>
        <v>45597</v>
      </c>
      <c r="AG78" s="56" t="n">
        <f aca="false">IF(AF78="","",INDEX($CI$10:$CI$309,MATCH(AF78,$CH$10:$CH$309,0)))</f>
        <v>4.56</v>
      </c>
      <c r="AH78" s="55" t="n">
        <f aca="false">IF(AF78="",NA(),AF78)</f>
        <v>45597</v>
      </c>
      <c r="AI78" s="56" t="n">
        <f aca="false">IF(AG78="",NA(),AG78)</f>
        <v>4.56</v>
      </c>
      <c r="AU78" s="44" t="n">
        <f aca="false">IF(69&lt;=$C$8,69,"")</f>
        <v>69</v>
      </c>
      <c r="AV78" s="56" t="n">
        <f aca="false">IF(AU78="","",INDEX($AG$10:$AG$309,$B$8+69-1))</f>
        <v>3.61</v>
      </c>
      <c r="AW78" s="56" t="n">
        <f aca="false">IF(AV78="",NA(),AV78)</f>
        <v>3.61</v>
      </c>
      <c r="AX78" s="44" t="n">
        <f aca="false">IF(AV78="",NA(),AU78)</f>
        <v>69</v>
      </c>
      <c r="AY78" s="44" t="n">
        <f aca="false">IF(AV78="","",LN(AV78))</f>
        <v>1.28370777234479</v>
      </c>
      <c r="CH78" s="55" t="n">
        <f aca="false">IF(ISNUMBER(CI78),IF(ISNUMBER('Base de Datos'!AG74),IF('Base de Datos'!AG74&gt;20000,INT('Base de Datos'!AG74),""),IF(TRIM('Base de Datos'!AG74)="","",IFERROR(DATE(VALUE(RIGHT(TRIM('Base de Datos'!AG74),4)),VALUE(MID(TRIM('Base de Datos'!AG74),4,2)),VALUE(LEFT(TRIM('Base de Datos'!AG74),2))),IFERROR(DATEVALUE(TRIM('Base de Datos'!AG74)),"")))),"")</f>
        <v>45597</v>
      </c>
      <c r="CI78" s="56" t="n">
        <f aca="false">IF(ISNUMBER('Base de Datos'!AH74),'Base de Datos'!AH74,IF(TRIM('Base de Datos'!AH74)="","",IFERROR(IF(IFERROR(FIND("@",SUBSTITUTE(TRIM('Base de Datos'!AH74),",","@",LEN(TRIM('Base de Datos'!AH74))-LEN(SUBSTITUTE(TRIM('Base de Datos'!AH74),",","")))),0)&gt;IFERROR(FIND("@",SUBSTITUTE(TRIM('Base de Datos'!AH74),".","@",LEN(TRIM('Base de Datos'!AH74))-LEN(SUBSTITUTE(TRIM('Base de Datos'!AH74),".","")))),0),_xlfn.NUMBERVALUE(SUBSTITUTE(SUBSTITUTE(TRIM('Base de Datos'!AH74),".",""),",","."),".",","),_xlfn.NUMBERVALUE(SUBSTITUTE(TRIM('Base de Datos'!AH74),",",""),".",",")),"")))</f>
        <v>4.56</v>
      </c>
    </row>
    <row r="79" customFormat="false" ht="13.8" hidden="false" customHeight="false" outlineLevel="0" collapsed="false">
      <c r="AE79" s="44" t="n">
        <v>70</v>
      </c>
      <c r="AF79" s="55" t="n">
        <f aca="false">IF(AF78="","",IFERROR(SMALL($CH$10:$CH$309,COUNTIF($CH$10:$CH$309,"&lt;="&amp;AF78)+1),""))</f>
        <v>45612</v>
      </c>
      <c r="AG79" s="56" t="n">
        <f aca="false">IF(AF79="","",INDEX($CI$10:$CI$309,MATCH(AF79,$CH$10:$CH$309,0)))</f>
        <v>4.54</v>
      </c>
      <c r="AH79" s="55" t="n">
        <f aca="false">IF(AF79="",NA(),AF79)</f>
        <v>45612</v>
      </c>
      <c r="AI79" s="56" t="n">
        <f aca="false">IF(AG79="",NA(),AG79)</f>
        <v>4.54</v>
      </c>
      <c r="AU79" s="44" t="n">
        <f aca="false">IF(70&lt;=$C$8,70,"")</f>
        <v>70</v>
      </c>
      <c r="AV79" s="56" t="n">
        <f aca="false">IF(AU79="","",INDEX($AG$10:$AG$309,$B$8+70-1))</f>
        <v>3.99</v>
      </c>
      <c r="AW79" s="56" t="n">
        <f aca="false">IF(AV79="",NA(),AV79)</f>
        <v>3.99</v>
      </c>
      <c r="AX79" s="44" t="n">
        <f aca="false">IF(AV79="",NA(),AU79)</f>
        <v>70</v>
      </c>
      <c r="AY79" s="44" t="n">
        <f aca="false">IF(AV79="","",LN(AV79))</f>
        <v>1.38379123090177</v>
      </c>
      <c r="CH79" s="55" t="n">
        <f aca="false">IF(ISNUMBER(CI79),IF(ISNUMBER('Base de Datos'!AG75),IF('Base de Datos'!AG75&gt;20000,INT('Base de Datos'!AG75),""),IF(TRIM('Base de Datos'!AG75)="","",IFERROR(DATE(VALUE(RIGHT(TRIM('Base de Datos'!AG75),4)),VALUE(MID(TRIM('Base de Datos'!AG75),4,2)),VALUE(LEFT(TRIM('Base de Datos'!AG75),2))),IFERROR(DATEVALUE(TRIM('Base de Datos'!AG75)),"")))),"")</f>
        <v>45612</v>
      </c>
      <c r="CI79" s="56" t="n">
        <f aca="false">IF(ISNUMBER('Base de Datos'!AH75),'Base de Datos'!AH75,IF(TRIM('Base de Datos'!AH75)="","",IFERROR(IF(IFERROR(FIND("@",SUBSTITUTE(TRIM('Base de Datos'!AH75),",","@",LEN(TRIM('Base de Datos'!AH75))-LEN(SUBSTITUTE(TRIM('Base de Datos'!AH75),",","")))),0)&gt;IFERROR(FIND("@",SUBSTITUTE(TRIM('Base de Datos'!AH75),".","@",LEN(TRIM('Base de Datos'!AH75))-LEN(SUBSTITUTE(TRIM('Base de Datos'!AH75),".","")))),0),_xlfn.NUMBERVALUE(SUBSTITUTE(SUBSTITUTE(TRIM('Base de Datos'!AH75),".",""),",","."),".",","),_xlfn.NUMBERVALUE(SUBSTITUTE(TRIM('Base de Datos'!AH75),",",""),".",",")),"")))</f>
        <v>4.54</v>
      </c>
    </row>
    <row r="80" customFormat="false" ht="13.8" hidden="false" customHeight="false" outlineLevel="0" collapsed="false">
      <c r="AE80" s="44" t="n">
        <v>71</v>
      </c>
      <c r="AF80" s="55" t="n">
        <f aca="false">IF(AF79="","",IFERROR(SMALL($CH$10:$CH$309,COUNTIF($CH$10:$CH$309,"&lt;="&amp;AF79)+1),""))</f>
        <v>45627</v>
      </c>
      <c r="AG80" s="56" t="n">
        <f aca="false">IF(AF80="","",INDEX($CI$10:$CI$309,MATCH(AF80,$CH$10:$CH$309,0)))</f>
        <v>4.44</v>
      </c>
      <c r="AH80" s="55" t="n">
        <f aca="false">IF(AF80="",NA(),AF80)</f>
        <v>45627</v>
      </c>
      <c r="AI80" s="56" t="n">
        <f aca="false">IF(AG80="",NA(),AG80)</f>
        <v>4.44</v>
      </c>
      <c r="AU80" s="44" t="n">
        <f aca="false">IF(71&lt;=$C$8,71,"")</f>
        <v>71</v>
      </c>
      <c r="AV80" s="56" t="n">
        <f aca="false">IF(AU80="","",INDEX($AG$10:$AG$309,$B$8+71-1))</f>
        <v>3.72</v>
      </c>
      <c r="AW80" s="56" t="n">
        <f aca="false">IF(AV80="",NA(),AV80)</f>
        <v>3.72</v>
      </c>
      <c r="AX80" s="44" t="n">
        <f aca="false">IF(AV80="",NA(),AU80)</f>
        <v>71</v>
      </c>
      <c r="AY80" s="44" t="n">
        <f aca="false">IF(AV80="","",LN(AV80))</f>
        <v>1.31372366828506</v>
      </c>
      <c r="CH80" s="55" t="n">
        <f aca="false">IF(ISNUMBER(CI80),IF(ISNUMBER('Base de Datos'!AG76),IF('Base de Datos'!AG76&gt;20000,INT('Base de Datos'!AG76),""),IF(TRIM('Base de Datos'!AG76)="","",IFERROR(DATE(VALUE(RIGHT(TRIM('Base de Datos'!AG76),4)),VALUE(MID(TRIM('Base de Datos'!AG76),4,2)),VALUE(LEFT(TRIM('Base de Datos'!AG76),2))),IFERROR(DATEVALUE(TRIM('Base de Datos'!AG76)),"")))),"")</f>
        <v>45627</v>
      </c>
      <c r="CI80" s="56" t="n">
        <f aca="false">IF(ISNUMBER('Base de Datos'!AH76),'Base de Datos'!AH76,IF(TRIM('Base de Datos'!AH76)="","",IFERROR(IF(IFERROR(FIND("@",SUBSTITUTE(TRIM('Base de Datos'!AH76),",","@",LEN(TRIM('Base de Datos'!AH76))-LEN(SUBSTITUTE(TRIM('Base de Datos'!AH76),",","")))),0)&gt;IFERROR(FIND("@",SUBSTITUTE(TRIM('Base de Datos'!AH76),".","@",LEN(TRIM('Base de Datos'!AH76))-LEN(SUBSTITUTE(TRIM('Base de Datos'!AH76),".","")))),0),_xlfn.NUMBERVALUE(SUBSTITUTE(SUBSTITUTE(TRIM('Base de Datos'!AH76),".",""),",","."),".",","),_xlfn.NUMBERVALUE(SUBSTITUTE(TRIM('Base de Datos'!AH76),",",""),".",",")),"")))</f>
        <v>4.44</v>
      </c>
    </row>
    <row r="81" customFormat="false" ht="13.8" hidden="false" customHeight="false" outlineLevel="0" collapsed="false">
      <c r="AE81" s="44" t="n">
        <v>72</v>
      </c>
      <c r="AF81" s="55" t="n">
        <f aca="false">IF(AF80="","",IFERROR(SMALL($CH$10:$CH$309,COUNTIF($CH$10:$CH$309,"&lt;="&amp;AF80)+1),""))</f>
        <v>45642</v>
      </c>
      <c r="AG81" s="56" t="n">
        <f aca="false">IF(AF81="","",INDEX($CI$10:$CI$309,MATCH(AF81,$CH$10:$CH$309,0)))</f>
        <v>3.99</v>
      </c>
      <c r="AH81" s="55" t="n">
        <f aca="false">IF(AF81="",NA(),AF81)</f>
        <v>45642</v>
      </c>
      <c r="AI81" s="56" t="n">
        <f aca="false">IF(AG81="",NA(),AG81)</f>
        <v>3.99</v>
      </c>
      <c r="AU81" s="44" t="n">
        <f aca="false">IF(72&lt;=$C$8,72,"")</f>
        <v>72</v>
      </c>
      <c r="AV81" s="56" t="n">
        <f aca="false">IF(AU81="","",INDEX($AG$10:$AG$309,$B$8+72-1))</f>
        <v>3.66</v>
      </c>
      <c r="AW81" s="56" t="n">
        <f aca="false">IF(AV81="",NA(),AV81)</f>
        <v>3.66</v>
      </c>
      <c r="AX81" s="44" t="n">
        <f aca="false">IF(AV81="",NA(),AU81)</f>
        <v>72</v>
      </c>
      <c r="AY81" s="44" t="n">
        <f aca="false">IF(AV81="","",LN(AV81))</f>
        <v>1.29746314741328</v>
      </c>
      <c r="CH81" s="55" t="n">
        <f aca="false">IF(ISNUMBER(CI81),IF(ISNUMBER('Base de Datos'!AG77),IF('Base de Datos'!AG77&gt;20000,INT('Base de Datos'!AG77),""),IF(TRIM('Base de Datos'!AG77)="","",IFERROR(DATE(VALUE(RIGHT(TRIM('Base de Datos'!AG77),4)),VALUE(MID(TRIM('Base de Datos'!AG77),4,2)),VALUE(LEFT(TRIM('Base de Datos'!AG77),2))),IFERROR(DATEVALUE(TRIM('Base de Datos'!AG77)),"")))),"")</f>
        <v>45642</v>
      </c>
      <c r="CI81" s="56" t="n">
        <f aca="false">IF(ISNUMBER('Base de Datos'!AH77),'Base de Datos'!AH77,IF(TRIM('Base de Datos'!AH77)="","",IFERROR(IF(IFERROR(FIND("@",SUBSTITUTE(TRIM('Base de Datos'!AH77),",","@",LEN(TRIM('Base de Datos'!AH77))-LEN(SUBSTITUTE(TRIM('Base de Datos'!AH77),",","")))),0)&gt;IFERROR(FIND("@",SUBSTITUTE(TRIM('Base de Datos'!AH77),".","@",LEN(TRIM('Base de Datos'!AH77))-LEN(SUBSTITUTE(TRIM('Base de Datos'!AH77),".","")))),0),_xlfn.NUMBERVALUE(SUBSTITUTE(SUBSTITUTE(TRIM('Base de Datos'!AH77),".",""),",","."),".",","),_xlfn.NUMBERVALUE(SUBSTITUTE(TRIM('Base de Datos'!AH77),",",""),".",",")),"")))</f>
        <v>3.99</v>
      </c>
    </row>
    <row r="82" customFormat="false" ht="13.8" hidden="false" customHeight="false" outlineLevel="0" collapsed="false">
      <c r="AE82" s="44" t="n">
        <v>73</v>
      </c>
      <c r="AF82" s="55" t="n">
        <f aca="false">IF(AF81="","",IFERROR(SMALL($CH$10:$CH$309,COUNTIF($CH$10:$CH$309,"&lt;="&amp;AF81)+1),""))</f>
        <v>45658</v>
      </c>
      <c r="AG82" s="56" t="n">
        <f aca="false">IF(AF82="","",INDEX($CI$10:$CI$309,MATCH(AF82,$CH$10:$CH$309,0)))</f>
        <v>3.69</v>
      </c>
      <c r="AH82" s="55" t="n">
        <f aca="false">IF(AF82="",NA(),AF82)</f>
        <v>45658</v>
      </c>
      <c r="AI82" s="56" t="n">
        <f aca="false">IF(AG82="",NA(),AG82)</f>
        <v>3.69</v>
      </c>
      <c r="AU82" s="44" t="n">
        <f aca="false">IF(73&lt;=$C$8,73,"")</f>
        <v>73</v>
      </c>
      <c r="AV82" s="56" t="n">
        <f aca="false">IF(AU82="","",INDEX($AG$10:$AG$309,$B$8+73-1))</f>
        <v>3.77</v>
      </c>
      <c r="AW82" s="56" t="n">
        <f aca="false">IF(AV82="",NA(),AV82)</f>
        <v>3.77</v>
      </c>
      <c r="AX82" s="44" t="n">
        <f aca="false">IF(AV82="",NA(),AU82)</f>
        <v>73</v>
      </c>
      <c r="AY82" s="44" t="n">
        <f aca="false">IF(AV82="","",LN(AV82))</f>
        <v>1.32707500145992</v>
      </c>
      <c r="CH82" s="55" t="n">
        <f aca="false">IF(ISNUMBER(CI82),IF(ISNUMBER('Base de Datos'!AG78),IF('Base de Datos'!AG78&gt;20000,INT('Base de Datos'!AG78),""),IF(TRIM('Base de Datos'!AG78)="","",IFERROR(DATE(VALUE(RIGHT(TRIM('Base de Datos'!AG78),4)),VALUE(MID(TRIM('Base de Datos'!AG78),4,2)),VALUE(LEFT(TRIM('Base de Datos'!AG78),2))),IFERROR(DATEVALUE(TRIM('Base de Datos'!AG78)),"")))),"")</f>
        <v>45658</v>
      </c>
      <c r="CI82" s="56" t="n">
        <f aca="false">IF(ISNUMBER('Base de Datos'!AH78),'Base de Datos'!AH78,IF(TRIM('Base de Datos'!AH78)="","",IFERROR(IF(IFERROR(FIND("@",SUBSTITUTE(TRIM('Base de Datos'!AH78),",","@",LEN(TRIM('Base de Datos'!AH78))-LEN(SUBSTITUTE(TRIM('Base de Datos'!AH78),",","")))),0)&gt;IFERROR(FIND("@",SUBSTITUTE(TRIM('Base de Datos'!AH78),".","@",LEN(TRIM('Base de Datos'!AH78))-LEN(SUBSTITUTE(TRIM('Base de Datos'!AH78),".","")))),0),_xlfn.NUMBERVALUE(SUBSTITUTE(SUBSTITUTE(TRIM('Base de Datos'!AH78),".",""),",","."),".",","),_xlfn.NUMBERVALUE(SUBSTITUTE(TRIM('Base de Datos'!AH78),",",""),".",",")),"")))</f>
        <v>3.69</v>
      </c>
    </row>
    <row r="83" customFormat="false" ht="13.8" hidden="false" customHeight="false" outlineLevel="0" collapsed="false">
      <c r="AE83" s="44" t="n">
        <v>74</v>
      </c>
      <c r="AF83" s="55" t="n">
        <f aca="false">IF(AF82="","",IFERROR(SMALL($CH$10:$CH$309,COUNTIF($CH$10:$CH$309,"&lt;="&amp;AF82)+1),""))</f>
        <v>45673</v>
      </c>
      <c r="AG83" s="56" t="n">
        <f aca="false">IF(AF83="","",INDEX($CI$10:$CI$309,MATCH(AF83,$CH$10:$CH$309,0)))</f>
        <v>3.48</v>
      </c>
      <c r="AH83" s="55" t="n">
        <f aca="false">IF(AF83="",NA(),AF83)</f>
        <v>45673</v>
      </c>
      <c r="AI83" s="56" t="n">
        <f aca="false">IF(AG83="",NA(),AG83)</f>
        <v>3.48</v>
      </c>
      <c r="AU83" s="44" t="n">
        <f aca="false">IF(74&lt;=$C$8,74,"")</f>
        <v>74</v>
      </c>
      <c r="AV83" s="56" t="n">
        <f aca="false">IF(AU83="","",INDEX($AG$10:$AG$309,$B$8+74-1))</f>
        <v>3.82</v>
      </c>
      <c r="AW83" s="56" t="n">
        <f aca="false">IF(AV83="",NA(),AV83)</f>
        <v>3.82</v>
      </c>
      <c r="AX83" s="44" t="n">
        <f aca="false">IF(AV83="",NA(),AU83)</f>
        <v>74</v>
      </c>
      <c r="AY83" s="44" t="n">
        <f aca="false">IF(AV83="","",LN(AV83))</f>
        <v>1.34025042261848</v>
      </c>
      <c r="CH83" s="55" t="n">
        <f aca="false">IF(ISNUMBER(CI83),IF(ISNUMBER('Base de Datos'!AG79),IF('Base de Datos'!AG79&gt;20000,INT('Base de Datos'!AG79),""),IF(TRIM('Base de Datos'!AG79)="","",IFERROR(DATE(VALUE(RIGHT(TRIM('Base de Datos'!AG79),4)),VALUE(MID(TRIM('Base de Datos'!AG79),4,2)),VALUE(LEFT(TRIM('Base de Datos'!AG79),2))),IFERROR(DATEVALUE(TRIM('Base de Datos'!AG79)),"")))),"")</f>
        <v>45673</v>
      </c>
      <c r="CI83" s="56" t="n">
        <f aca="false">IF(ISNUMBER('Base de Datos'!AH79),'Base de Datos'!AH79,IF(TRIM('Base de Datos'!AH79)="","",IFERROR(IF(IFERROR(FIND("@",SUBSTITUTE(TRIM('Base de Datos'!AH79),",","@",LEN(TRIM('Base de Datos'!AH79))-LEN(SUBSTITUTE(TRIM('Base de Datos'!AH79),",","")))),0)&gt;IFERROR(FIND("@",SUBSTITUTE(TRIM('Base de Datos'!AH79),".","@",LEN(TRIM('Base de Datos'!AH79))-LEN(SUBSTITUTE(TRIM('Base de Datos'!AH79),".","")))),0),_xlfn.NUMBERVALUE(SUBSTITUTE(SUBSTITUTE(TRIM('Base de Datos'!AH79),".",""),",","."),".",","),_xlfn.NUMBERVALUE(SUBSTITUTE(TRIM('Base de Datos'!AH79),",",""),".",",")),"")))</f>
        <v>3.48</v>
      </c>
    </row>
    <row r="84" customFormat="false" ht="13.8" hidden="false" customHeight="false" outlineLevel="0" collapsed="false">
      <c r="AE84" s="44" t="n">
        <v>75</v>
      </c>
      <c r="AF84" s="55" t="n">
        <f aca="false">IF(AF83="","",IFERROR(SMALL($CH$10:$CH$309,COUNTIF($CH$10:$CH$309,"&lt;="&amp;AF83)+1),""))</f>
        <v>45689</v>
      </c>
      <c r="AG84" s="56" t="n">
        <f aca="false">IF(AF84="","",INDEX($CI$10:$CI$309,MATCH(AF84,$CH$10:$CH$309,0)))</f>
        <v>3.74</v>
      </c>
      <c r="AH84" s="55" t="n">
        <f aca="false">IF(AF84="",NA(),AF84)</f>
        <v>45689</v>
      </c>
      <c r="AI84" s="56" t="n">
        <f aca="false">IF(AG84="",NA(),AG84)</f>
        <v>3.74</v>
      </c>
      <c r="AU84" s="44" t="n">
        <f aca="false">IF(75&lt;=$C$8,75,"")</f>
        <v>75</v>
      </c>
      <c r="AV84" s="56" t="n">
        <f aca="false">IF(AU84="","",INDEX($AG$10:$AG$309,$B$8+75-1))</f>
        <v>3.92</v>
      </c>
      <c r="AW84" s="56" t="n">
        <f aca="false">IF(AV84="",NA(),AV84)</f>
        <v>3.92</v>
      </c>
      <c r="AX84" s="44" t="n">
        <f aca="false">IF(AV84="",NA(),AU84)</f>
        <v>75</v>
      </c>
      <c r="AY84" s="44" t="n">
        <f aca="false">IF(AV84="","",LN(AV84))</f>
        <v>1.36609165380237</v>
      </c>
      <c r="CH84" s="55" t="n">
        <f aca="false">IF(ISNUMBER(CI84),IF(ISNUMBER('Base de Datos'!AG80),IF('Base de Datos'!AG80&gt;20000,INT('Base de Datos'!AG80),""),IF(TRIM('Base de Datos'!AG80)="","",IFERROR(DATE(VALUE(RIGHT(TRIM('Base de Datos'!AG80),4)),VALUE(MID(TRIM('Base de Datos'!AG80),4,2)),VALUE(LEFT(TRIM('Base de Datos'!AG80),2))),IFERROR(DATEVALUE(TRIM('Base de Datos'!AG80)),"")))),"")</f>
        <v>45689</v>
      </c>
      <c r="CI84" s="56" t="n">
        <f aca="false">IF(ISNUMBER('Base de Datos'!AH80),'Base de Datos'!AH80,IF(TRIM('Base de Datos'!AH80)="","",IFERROR(IF(IFERROR(FIND("@",SUBSTITUTE(TRIM('Base de Datos'!AH80),",","@",LEN(TRIM('Base de Datos'!AH80))-LEN(SUBSTITUTE(TRIM('Base de Datos'!AH80),",","")))),0)&gt;IFERROR(FIND("@",SUBSTITUTE(TRIM('Base de Datos'!AH80),".","@",LEN(TRIM('Base de Datos'!AH80))-LEN(SUBSTITUTE(TRIM('Base de Datos'!AH80),".","")))),0),_xlfn.NUMBERVALUE(SUBSTITUTE(SUBSTITUTE(TRIM('Base de Datos'!AH80),".",""),",","."),".",","),_xlfn.NUMBERVALUE(SUBSTITUTE(TRIM('Base de Datos'!AH80),",",""),".",",")),"")))</f>
        <v>3.74</v>
      </c>
    </row>
    <row r="85" customFormat="false" ht="13.8" hidden="false" customHeight="false" outlineLevel="0" collapsed="false">
      <c r="AE85" s="44" t="n">
        <v>76</v>
      </c>
      <c r="AF85" s="55" t="n">
        <f aca="false">IF(AF84="","",IFERROR(SMALL($CH$10:$CH$309,COUNTIF($CH$10:$CH$309,"&lt;="&amp;AF84)+1),""))</f>
        <v>45704</v>
      </c>
      <c r="AG85" s="56" t="n">
        <f aca="false">IF(AF85="","",INDEX($CI$10:$CI$309,MATCH(AF85,$CH$10:$CH$309,0)))</f>
        <v>3.81</v>
      </c>
      <c r="AH85" s="55" t="n">
        <f aca="false">IF(AF85="",NA(),AF85)</f>
        <v>45704</v>
      </c>
      <c r="AI85" s="56" t="n">
        <f aca="false">IF(AG85="",NA(),AG85)</f>
        <v>3.81</v>
      </c>
      <c r="AU85" s="44" t="n">
        <f aca="false">IF(76&lt;=$C$8,76,"")</f>
        <v>76</v>
      </c>
      <c r="AV85" s="56" t="n">
        <f aca="false">IF(AU85="","",INDEX($AG$10:$AG$309,$B$8+76-1))</f>
        <v>4.13</v>
      </c>
      <c r="AW85" s="56" t="n">
        <f aca="false">IF(AV85="",NA(),AV85)</f>
        <v>4.13</v>
      </c>
      <c r="AX85" s="44" t="n">
        <f aca="false">IF(AV85="",NA(),AU85)</f>
        <v>76</v>
      </c>
      <c r="AY85" s="44" t="n">
        <f aca="false">IF(AV85="","",LN(AV85))</f>
        <v>1.41827740697294</v>
      </c>
      <c r="CH85" s="55" t="n">
        <f aca="false">IF(ISNUMBER(CI85),IF(ISNUMBER('Base de Datos'!AG81),IF('Base de Datos'!AG81&gt;20000,INT('Base de Datos'!AG81),""),IF(TRIM('Base de Datos'!AG81)="","",IFERROR(DATE(VALUE(RIGHT(TRIM('Base de Datos'!AG81),4)),VALUE(MID(TRIM('Base de Datos'!AG81),4,2)),VALUE(LEFT(TRIM('Base de Datos'!AG81),2))),IFERROR(DATEVALUE(TRIM('Base de Datos'!AG81)),"")))),"")</f>
        <v>45704</v>
      </c>
      <c r="CI85" s="56" t="n">
        <f aca="false">IF(ISNUMBER('Base de Datos'!AH81),'Base de Datos'!AH81,IF(TRIM('Base de Datos'!AH81)="","",IFERROR(IF(IFERROR(FIND("@",SUBSTITUTE(TRIM('Base de Datos'!AH81),",","@",LEN(TRIM('Base de Datos'!AH81))-LEN(SUBSTITUTE(TRIM('Base de Datos'!AH81),",","")))),0)&gt;IFERROR(FIND("@",SUBSTITUTE(TRIM('Base de Datos'!AH81),".","@",LEN(TRIM('Base de Datos'!AH81))-LEN(SUBSTITUTE(TRIM('Base de Datos'!AH81),".","")))),0),_xlfn.NUMBERVALUE(SUBSTITUTE(SUBSTITUTE(TRIM('Base de Datos'!AH81),".",""),",","."),".",","),_xlfn.NUMBERVALUE(SUBSTITUTE(TRIM('Base de Datos'!AH81),",",""),".",",")),"")))</f>
        <v>3.81</v>
      </c>
    </row>
    <row r="86" customFormat="false" ht="13.8" hidden="false" customHeight="false" outlineLevel="0" collapsed="false">
      <c r="AE86" s="44" t="n">
        <v>77</v>
      </c>
      <c r="AF86" s="55" t="n">
        <f aca="false">IF(AF85="","",IFERROR(SMALL($CH$10:$CH$309,COUNTIF($CH$10:$CH$309,"&lt;="&amp;AF85)+1),""))</f>
        <v>45717</v>
      </c>
      <c r="AG86" s="56" t="n">
        <f aca="false">IF(AF86="","",INDEX($CI$10:$CI$309,MATCH(AF86,$CH$10:$CH$309,0)))</f>
        <v>3.67</v>
      </c>
      <c r="AH86" s="55" t="n">
        <f aca="false">IF(AF86="",NA(),AF86)</f>
        <v>45717</v>
      </c>
      <c r="AI86" s="56" t="n">
        <f aca="false">IF(AG86="",NA(),AG86)</f>
        <v>3.67</v>
      </c>
      <c r="AU86" s="44" t="n">
        <f aca="false">IF(77&lt;=$C$8,77,"")</f>
        <v>77</v>
      </c>
      <c r="AV86" s="56" t="n">
        <f aca="false">IF(AU86="","",INDEX($AG$10:$AG$309,$B$8+77-1))</f>
        <v>4.63</v>
      </c>
      <c r="AW86" s="56" t="n">
        <f aca="false">IF(AV86="",NA(),AV86)</f>
        <v>4.63</v>
      </c>
      <c r="AX86" s="44" t="n">
        <f aca="false">IF(AV86="",NA(),AU86)</f>
        <v>77</v>
      </c>
      <c r="AY86" s="44" t="n">
        <f aca="false">IF(AV86="","",LN(AV86))</f>
        <v>1.53255686809814</v>
      </c>
      <c r="CH86" s="55" t="n">
        <f aca="false">IF(ISNUMBER(CI86),IF(ISNUMBER('Base de Datos'!AG82),IF('Base de Datos'!AG82&gt;20000,INT('Base de Datos'!AG82),""),IF(TRIM('Base de Datos'!AG82)="","",IFERROR(DATE(VALUE(RIGHT(TRIM('Base de Datos'!AG82),4)),VALUE(MID(TRIM('Base de Datos'!AG82),4,2)),VALUE(LEFT(TRIM('Base de Datos'!AG82),2))),IFERROR(DATEVALUE(TRIM('Base de Datos'!AG82)),"")))),"")</f>
        <v>45717</v>
      </c>
      <c r="CI86" s="56" t="n">
        <f aca="false">IF(ISNUMBER('Base de Datos'!AH82),'Base de Datos'!AH82,IF(TRIM('Base de Datos'!AH82)="","",IFERROR(IF(IFERROR(FIND("@",SUBSTITUTE(TRIM('Base de Datos'!AH82),",","@",LEN(TRIM('Base de Datos'!AH82))-LEN(SUBSTITUTE(TRIM('Base de Datos'!AH82),",","")))),0)&gt;IFERROR(FIND("@",SUBSTITUTE(TRIM('Base de Datos'!AH82),".","@",LEN(TRIM('Base de Datos'!AH82))-LEN(SUBSTITUTE(TRIM('Base de Datos'!AH82),".","")))),0),_xlfn.NUMBERVALUE(SUBSTITUTE(SUBSTITUTE(TRIM('Base de Datos'!AH82),".",""),",","."),".",","),_xlfn.NUMBERVALUE(SUBSTITUTE(TRIM('Base de Datos'!AH82),",",""),".",",")),"")))</f>
        <v>3.67</v>
      </c>
    </row>
    <row r="87" customFormat="false" ht="13.8" hidden="false" customHeight="false" outlineLevel="0" collapsed="false">
      <c r="AE87" s="44" t="n">
        <v>78</v>
      </c>
      <c r="AF87" s="55" t="n">
        <f aca="false">IF(AF86="","",IFERROR(SMALL($CH$10:$CH$309,COUNTIF($CH$10:$CH$309,"&lt;="&amp;AF86)+1),""))</f>
        <v>45732</v>
      </c>
      <c r="AG87" s="56" t="n">
        <f aca="false">IF(AF87="","",INDEX($CI$10:$CI$309,MATCH(AF87,$CH$10:$CH$309,0)))</f>
        <v>3.93</v>
      </c>
      <c r="AH87" s="55" t="n">
        <f aca="false">IF(AF87="",NA(),AF87)</f>
        <v>45732</v>
      </c>
      <c r="AI87" s="56" t="n">
        <f aca="false">IF(AG87="",NA(),AG87)</f>
        <v>3.93</v>
      </c>
      <c r="AU87" s="44" t="n">
        <f aca="false">IF(78&lt;=$C$8,78,"")</f>
        <v>78</v>
      </c>
      <c r="AV87" s="56" t="n">
        <f aca="false">IF(AU87="","",INDEX($AG$10:$AG$309,$B$8+78-1))</f>
        <v>4.55</v>
      </c>
      <c r="AW87" s="56" t="n">
        <f aca="false">IF(AV87="",NA(),AV87)</f>
        <v>4.55</v>
      </c>
      <c r="AX87" s="44" t="n">
        <f aca="false">IF(AV87="",NA(),AU87)</f>
        <v>78</v>
      </c>
      <c r="AY87" s="44" t="n">
        <f aca="false">IF(AV87="","",LN(AV87))</f>
        <v>1.51512723296286</v>
      </c>
      <c r="CH87" s="55" t="n">
        <f aca="false">IF(ISNUMBER(CI87),IF(ISNUMBER('Base de Datos'!AG83),IF('Base de Datos'!AG83&gt;20000,INT('Base de Datos'!AG83),""),IF(TRIM('Base de Datos'!AG83)="","",IFERROR(DATE(VALUE(RIGHT(TRIM('Base de Datos'!AG83),4)),VALUE(MID(TRIM('Base de Datos'!AG83),4,2)),VALUE(LEFT(TRIM('Base de Datos'!AG83),2))),IFERROR(DATEVALUE(TRIM('Base de Datos'!AG83)),"")))),"")</f>
        <v>45732</v>
      </c>
      <c r="CI87" s="56" t="n">
        <f aca="false">IF(ISNUMBER('Base de Datos'!AH83),'Base de Datos'!AH83,IF(TRIM('Base de Datos'!AH83)="","",IFERROR(IF(IFERROR(FIND("@",SUBSTITUTE(TRIM('Base de Datos'!AH83),",","@",LEN(TRIM('Base de Datos'!AH83))-LEN(SUBSTITUTE(TRIM('Base de Datos'!AH83),",","")))),0)&gt;IFERROR(FIND("@",SUBSTITUTE(TRIM('Base de Datos'!AH83),".","@",LEN(TRIM('Base de Datos'!AH83))-LEN(SUBSTITUTE(TRIM('Base de Datos'!AH83),".","")))),0),_xlfn.NUMBERVALUE(SUBSTITUTE(SUBSTITUTE(TRIM('Base de Datos'!AH83),".",""),",","."),".",","),_xlfn.NUMBERVALUE(SUBSTITUTE(TRIM('Base de Datos'!AH83),",",""),".",",")),"")))</f>
        <v>3.93</v>
      </c>
    </row>
    <row r="88" customFormat="false" ht="13.8" hidden="false" customHeight="false" outlineLevel="0" collapsed="false">
      <c r="AE88" s="44" t="n">
        <v>79</v>
      </c>
      <c r="AF88" s="55" t="n">
        <f aca="false">IF(AF87="","",IFERROR(SMALL($CH$10:$CH$309,COUNTIF($CH$10:$CH$309,"&lt;="&amp;AF87)+1),""))</f>
        <v>45748</v>
      </c>
      <c r="AG88" s="56" t="n">
        <f aca="false">IF(AF88="","",INDEX($CI$10:$CI$309,MATCH(AF88,$CH$10:$CH$309,0)))</f>
        <v>3.96</v>
      </c>
      <c r="AH88" s="55" t="n">
        <f aca="false">IF(AF88="",NA(),AF88)</f>
        <v>45748</v>
      </c>
      <c r="AI88" s="56" t="n">
        <f aca="false">IF(AG88="",NA(),AG88)</f>
        <v>3.96</v>
      </c>
      <c r="AU88" s="44" t="n">
        <f aca="false">IF(79&lt;=$C$8,79,"")</f>
        <v>79</v>
      </c>
      <c r="AV88" s="56" t="n">
        <f aca="false">IF(AU88="","",INDEX($AG$10:$AG$309,$B$8+79-1))</f>
        <v>4.53</v>
      </c>
      <c r="AW88" s="56" t="n">
        <f aca="false">IF(AV88="",NA(),AV88)</f>
        <v>4.53</v>
      </c>
      <c r="AX88" s="44" t="n">
        <f aca="false">IF(AV88="",NA(),AU88)</f>
        <v>79</v>
      </c>
      <c r="AY88" s="44" t="n">
        <f aca="false">IF(AV88="","",LN(AV88))</f>
        <v>1.51072193949494</v>
      </c>
      <c r="CH88" s="55" t="n">
        <f aca="false">IF(ISNUMBER(CI88),IF(ISNUMBER('Base de Datos'!AG84),IF('Base de Datos'!AG84&gt;20000,INT('Base de Datos'!AG84),""),IF(TRIM('Base de Datos'!AG84)="","",IFERROR(DATE(VALUE(RIGHT(TRIM('Base de Datos'!AG84),4)),VALUE(MID(TRIM('Base de Datos'!AG84),4,2)),VALUE(LEFT(TRIM('Base de Datos'!AG84),2))),IFERROR(DATEVALUE(TRIM('Base de Datos'!AG84)),"")))),"")</f>
        <v>45748</v>
      </c>
      <c r="CI88" s="56" t="n">
        <f aca="false">IF(ISNUMBER('Base de Datos'!AH84),'Base de Datos'!AH84,IF(TRIM('Base de Datos'!AH84)="","",IFERROR(IF(IFERROR(FIND("@",SUBSTITUTE(TRIM('Base de Datos'!AH84),",","@",LEN(TRIM('Base de Datos'!AH84))-LEN(SUBSTITUTE(TRIM('Base de Datos'!AH84),",","")))),0)&gt;IFERROR(FIND("@",SUBSTITUTE(TRIM('Base de Datos'!AH84),".","@",LEN(TRIM('Base de Datos'!AH84))-LEN(SUBSTITUTE(TRIM('Base de Datos'!AH84),".","")))),0),_xlfn.NUMBERVALUE(SUBSTITUTE(SUBSTITUTE(TRIM('Base de Datos'!AH84),".",""),",","."),".",","),_xlfn.NUMBERVALUE(SUBSTITUTE(TRIM('Base de Datos'!AH84),",",""),".",",")),"")))</f>
        <v>3.96</v>
      </c>
    </row>
    <row r="89" customFormat="false" ht="13.8" hidden="false" customHeight="false" outlineLevel="0" collapsed="false">
      <c r="AE89" s="44" t="n">
        <v>80</v>
      </c>
      <c r="AF89" s="55" t="n">
        <f aca="false">IF(AF88="","",IFERROR(SMALL($CH$10:$CH$309,COUNTIF($CH$10:$CH$309,"&lt;="&amp;AF88)+1),""))</f>
        <v>45763</v>
      </c>
      <c r="AG89" s="56" t="n">
        <f aca="false">IF(AF89="","",INDEX($CI$10:$CI$309,MATCH(AF89,$CH$10:$CH$309,0)))</f>
        <v>3.9</v>
      </c>
      <c r="AH89" s="55" t="n">
        <f aca="false">IF(AF89="",NA(),AF89)</f>
        <v>45763</v>
      </c>
      <c r="AI89" s="56" t="n">
        <f aca="false">IF(AG89="",NA(),AG89)</f>
        <v>3.9</v>
      </c>
      <c r="AU89" s="44" t="n">
        <f aca="false">IF(80&lt;=$C$8,80,"")</f>
        <v>80</v>
      </c>
      <c r="AV89" s="56" t="n">
        <f aca="false">IF(AU89="","",INDEX($AG$10:$AG$309,$B$8+80-1))</f>
        <v>4.37</v>
      </c>
      <c r="AW89" s="56" t="n">
        <f aca="false">IF(AV89="",NA(),AV89)</f>
        <v>4.37</v>
      </c>
      <c r="AX89" s="44" t="n">
        <f aca="false">IF(AV89="",NA(),AU89)</f>
        <v>80</v>
      </c>
      <c r="AY89" s="44" t="n">
        <f aca="false">IF(AV89="","",LN(AV89))</f>
        <v>1.4747630091075</v>
      </c>
      <c r="CH89" s="55" t="n">
        <f aca="false">IF(ISNUMBER(CI89),IF(ISNUMBER('Base de Datos'!AG85),IF('Base de Datos'!AG85&gt;20000,INT('Base de Datos'!AG85),""),IF(TRIM('Base de Datos'!AG85)="","",IFERROR(DATE(VALUE(RIGHT(TRIM('Base de Datos'!AG85),4)),VALUE(MID(TRIM('Base de Datos'!AG85),4,2)),VALUE(LEFT(TRIM('Base de Datos'!AG85),2))),IFERROR(DATEVALUE(TRIM('Base de Datos'!AG85)),"")))),"")</f>
        <v>45763</v>
      </c>
      <c r="CI89" s="56" t="n">
        <f aca="false">IF(ISNUMBER('Base de Datos'!AH85),'Base de Datos'!AH85,IF(TRIM('Base de Datos'!AH85)="","",IFERROR(IF(IFERROR(FIND("@",SUBSTITUTE(TRIM('Base de Datos'!AH85),",","@",LEN(TRIM('Base de Datos'!AH85))-LEN(SUBSTITUTE(TRIM('Base de Datos'!AH85),",","")))),0)&gt;IFERROR(FIND("@",SUBSTITUTE(TRIM('Base de Datos'!AH85),".","@",LEN(TRIM('Base de Datos'!AH85))-LEN(SUBSTITUTE(TRIM('Base de Datos'!AH85),".","")))),0),_xlfn.NUMBERVALUE(SUBSTITUTE(SUBSTITUTE(TRIM('Base de Datos'!AH85),".",""),",","."),".",","),_xlfn.NUMBERVALUE(SUBSTITUTE(TRIM('Base de Datos'!AH85),",",""),".",",")),"")))</f>
        <v>3.9</v>
      </c>
    </row>
    <row r="90" customFormat="false" ht="13.8" hidden="false" customHeight="false" outlineLevel="0" collapsed="false">
      <c r="AE90" s="44" t="n">
        <v>81</v>
      </c>
      <c r="AF90" s="55" t="n">
        <f aca="false">IF(AF89="","",IFERROR(SMALL($CH$10:$CH$309,COUNTIF($CH$10:$CH$309,"&lt;="&amp;AF89)+1),""))</f>
        <v>45778</v>
      </c>
      <c r="AG90" s="56" t="n">
        <f aca="false">IF(AF90="","",INDEX($CI$10:$CI$309,MATCH(AF90,$CH$10:$CH$309,0)))</f>
        <v>4.22</v>
      </c>
      <c r="AH90" s="55" t="n">
        <f aca="false">IF(AF90="",NA(),AF90)</f>
        <v>45778</v>
      </c>
      <c r="AI90" s="56" t="n">
        <f aca="false">IF(AG90="",NA(),AG90)</f>
        <v>4.22</v>
      </c>
      <c r="AU90" s="44" t="n">
        <f aca="false">IF(81&lt;=$C$8,81,"")</f>
        <v>81</v>
      </c>
      <c r="AV90" s="56" t="n">
        <f aca="false">IF(AU90="","",INDEX($AG$10:$AG$309,$B$8+81-1))</f>
        <v>4.11</v>
      </c>
      <c r="AW90" s="56" t="n">
        <f aca="false">IF(AV90="",NA(),AV90)</f>
        <v>4.11</v>
      </c>
      <c r="AX90" s="44" t="n">
        <f aca="false">IF(AV90="",NA(),AU90)</f>
        <v>81</v>
      </c>
      <c r="AY90" s="44" t="n">
        <f aca="false">IF(AV90="","",LN(AV90))</f>
        <v>1.41342302850814</v>
      </c>
      <c r="CH90" s="55" t="n">
        <f aca="false">IF(ISNUMBER(CI90),IF(ISNUMBER('Base de Datos'!AG86),IF('Base de Datos'!AG86&gt;20000,INT('Base de Datos'!AG86),""),IF(TRIM('Base de Datos'!AG86)="","",IFERROR(DATE(VALUE(RIGHT(TRIM('Base de Datos'!AG86),4)),VALUE(MID(TRIM('Base de Datos'!AG86),4,2)),VALUE(LEFT(TRIM('Base de Datos'!AG86),2))),IFERROR(DATEVALUE(TRIM('Base de Datos'!AG86)),"")))),"")</f>
        <v>45778</v>
      </c>
      <c r="CI90" s="56" t="n">
        <f aca="false">IF(ISNUMBER('Base de Datos'!AH86),'Base de Datos'!AH86,IF(TRIM('Base de Datos'!AH86)="","",IFERROR(IF(IFERROR(FIND("@",SUBSTITUTE(TRIM('Base de Datos'!AH86),",","@",LEN(TRIM('Base de Datos'!AH86))-LEN(SUBSTITUTE(TRIM('Base de Datos'!AH86),",","")))),0)&gt;IFERROR(FIND("@",SUBSTITUTE(TRIM('Base de Datos'!AH86),".","@",LEN(TRIM('Base de Datos'!AH86))-LEN(SUBSTITUTE(TRIM('Base de Datos'!AH86),".","")))),0),_xlfn.NUMBERVALUE(SUBSTITUTE(SUBSTITUTE(TRIM('Base de Datos'!AH86),".",""),",","."),".",","),_xlfn.NUMBERVALUE(SUBSTITUTE(TRIM('Base de Datos'!AH86),",",""),".",",")),"")))</f>
        <v>4.22</v>
      </c>
    </row>
    <row r="91" customFormat="false" ht="13.8" hidden="false" customHeight="false" outlineLevel="0" collapsed="false">
      <c r="AE91" s="44" t="n">
        <v>82</v>
      </c>
      <c r="AF91" s="55" t="n">
        <f aca="false">IF(AF90="","",IFERROR(SMALL($CH$10:$CH$309,COUNTIF($CH$10:$CH$309,"&lt;="&amp;AF90)+1),""))</f>
        <v>45793</v>
      </c>
      <c r="AG91" s="56" t="n">
        <f aca="false">IF(AF91="","",INDEX($CI$10:$CI$309,MATCH(AF91,$CH$10:$CH$309,0)))</f>
        <v>4.62</v>
      </c>
      <c r="AH91" s="55" t="n">
        <f aca="false">IF(AF91="",NA(),AF91)</f>
        <v>45793</v>
      </c>
      <c r="AI91" s="56" t="n">
        <f aca="false">IF(AG91="",NA(),AG91)</f>
        <v>4.62</v>
      </c>
      <c r="AU91" s="44" t="n">
        <f aca="false">IF(82&lt;=$C$8,82,"")</f>
        <v>82</v>
      </c>
      <c r="AV91" s="56" t="n">
        <f aca="false">IF(AU91="","",INDEX($AG$10:$AG$309,$B$8+82-1))</f>
        <v>3.77</v>
      </c>
      <c r="AW91" s="56" t="n">
        <f aca="false">IF(AV91="",NA(),AV91)</f>
        <v>3.77</v>
      </c>
      <c r="AX91" s="44" t="n">
        <f aca="false">IF(AV91="",NA(),AU91)</f>
        <v>82</v>
      </c>
      <c r="AY91" s="44" t="n">
        <f aca="false">IF(AV91="","",LN(AV91))</f>
        <v>1.32707500145992</v>
      </c>
      <c r="CH91" s="55" t="n">
        <f aca="false">IF(ISNUMBER(CI91),IF(ISNUMBER('Base de Datos'!AG87),IF('Base de Datos'!AG87&gt;20000,INT('Base de Datos'!AG87),""),IF(TRIM('Base de Datos'!AG87)="","",IFERROR(DATE(VALUE(RIGHT(TRIM('Base de Datos'!AG87),4)),VALUE(MID(TRIM('Base de Datos'!AG87),4,2)),VALUE(LEFT(TRIM('Base de Datos'!AG87),2))),IFERROR(DATEVALUE(TRIM('Base de Datos'!AG87)),"")))),"")</f>
        <v>45793</v>
      </c>
      <c r="CI91" s="56" t="n">
        <f aca="false">IF(ISNUMBER('Base de Datos'!AH87),'Base de Datos'!AH87,IF(TRIM('Base de Datos'!AH87)="","",IFERROR(IF(IFERROR(FIND("@",SUBSTITUTE(TRIM('Base de Datos'!AH87),",","@",LEN(TRIM('Base de Datos'!AH87))-LEN(SUBSTITUTE(TRIM('Base de Datos'!AH87),",","")))),0)&gt;IFERROR(FIND("@",SUBSTITUTE(TRIM('Base de Datos'!AH87),".","@",LEN(TRIM('Base de Datos'!AH87))-LEN(SUBSTITUTE(TRIM('Base de Datos'!AH87),".","")))),0),_xlfn.NUMBERVALUE(SUBSTITUTE(SUBSTITUTE(TRIM('Base de Datos'!AH87),".",""),",","."),".",","),_xlfn.NUMBERVALUE(SUBSTITUTE(TRIM('Base de Datos'!AH87),",",""),".",",")),"")))</f>
        <v>4.62</v>
      </c>
    </row>
    <row r="92" customFormat="false" ht="13.8" hidden="false" customHeight="false" outlineLevel="0" collapsed="false">
      <c r="AE92" s="44" t="n">
        <v>83</v>
      </c>
      <c r="AF92" s="55" t="n">
        <f aca="false">IF(AF91="","",IFERROR(SMALL($CH$10:$CH$309,COUNTIF($CH$10:$CH$309,"&lt;="&amp;AF91)+1),""))</f>
        <v>45809</v>
      </c>
      <c r="AG92" s="56" t="n">
        <f aca="false">IF(AF92="","",INDEX($CI$10:$CI$309,MATCH(AF92,$CH$10:$CH$309,0)))</f>
        <v>4.51</v>
      </c>
      <c r="AH92" s="55" t="n">
        <f aca="false">IF(AF92="",NA(),AF92)</f>
        <v>45809</v>
      </c>
      <c r="AI92" s="56" t="n">
        <f aca="false">IF(AG92="",NA(),AG92)</f>
        <v>4.51</v>
      </c>
      <c r="AU92" s="44" t="n">
        <f aca="false">IF(83&lt;=$C$8,83,"")</f>
        <v>83</v>
      </c>
      <c r="AV92" s="56" t="n">
        <f aca="false">IF(AU92="","",INDEX($AG$10:$AG$309,$B$8+83-1))</f>
        <v>3.55</v>
      </c>
      <c r="AW92" s="56" t="n">
        <f aca="false">IF(AV92="",NA(),AV92)</f>
        <v>3.55</v>
      </c>
      <c r="AX92" s="44" t="n">
        <f aca="false">IF(AV92="",NA(),AU92)</f>
        <v>83</v>
      </c>
      <c r="AY92" s="44" t="n">
        <f aca="false">IF(AV92="","",LN(AV92))</f>
        <v>1.26694760348732</v>
      </c>
      <c r="CH92" s="55" t="n">
        <f aca="false">IF(ISNUMBER(CI92),IF(ISNUMBER('Base de Datos'!AG88),IF('Base de Datos'!AG88&gt;20000,INT('Base de Datos'!AG88),""),IF(TRIM('Base de Datos'!AG88)="","",IFERROR(DATE(VALUE(RIGHT(TRIM('Base de Datos'!AG88),4)),VALUE(MID(TRIM('Base de Datos'!AG88),4,2)),VALUE(LEFT(TRIM('Base de Datos'!AG88),2))),IFERROR(DATEVALUE(TRIM('Base de Datos'!AG88)),"")))),"")</f>
        <v>45809</v>
      </c>
      <c r="CI92" s="56" t="n">
        <f aca="false">IF(ISNUMBER('Base de Datos'!AH88),'Base de Datos'!AH88,IF(TRIM('Base de Datos'!AH88)="","",IFERROR(IF(IFERROR(FIND("@",SUBSTITUTE(TRIM('Base de Datos'!AH88),",","@",LEN(TRIM('Base de Datos'!AH88))-LEN(SUBSTITUTE(TRIM('Base de Datos'!AH88),",","")))),0)&gt;IFERROR(FIND("@",SUBSTITUTE(TRIM('Base de Datos'!AH88),".","@",LEN(TRIM('Base de Datos'!AH88))-LEN(SUBSTITUTE(TRIM('Base de Datos'!AH88),".","")))),0),_xlfn.NUMBERVALUE(SUBSTITUTE(SUBSTITUTE(TRIM('Base de Datos'!AH88),".",""),",","."),".",","),_xlfn.NUMBERVALUE(SUBSTITUTE(TRIM('Base de Datos'!AH88),",",""),".",",")),"")))</f>
        <v>4.51</v>
      </c>
    </row>
    <row r="93" customFormat="false" ht="13.8" hidden="false" customHeight="false" outlineLevel="0" collapsed="false">
      <c r="AE93" s="44" t="n">
        <v>84</v>
      </c>
      <c r="AF93" s="55" t="n">
        <f aca="false">IF(AF92="","",IFERROR(SMALL($CH$10:$CH$309,COUNTIF($CH$10:$CH$309,"&lt;="&amp;AF92)+1),""))</f>
        <v>45824</v>
      </c>
      <c r="AG93" s="56" t="n">
        <f aca="false">IF(AF93="","",INDEX($CI$10:$CI$309,MATCH(AF93,$CH$10:$CH$309,0)))</f>
        <v>4.13</v>
      </c>
      <c r="AH93" s="55" t="n">
        <f aca="false">IF(AF93="",NA(),AF93)</f>
        <v>45824</v>
      </c>
      <c r="AI93" s="56" t="n">
        <f aca="false">IF(AG93="",NA(),AG93)</f>
        <v>4.13</v>
      </c>
      <c r="AU93" s="44" t="n">
        <f aca="false">IF(84&lt;=$C$8,84,"")</f>
        <v>84</v>
      </c>
      <c r="AV93" s="56" t="n">
        <f aca="false">IF(AU93="","",INDEX($AG$10:$AG$309,$B$8+84-1))</f>
        <v>3.18</v>
      </c>
      <c r="AW93" s="56" t="n">
        <f aca="false">IF(AV93="",NA(),AV93)</f>
        <v>3.18</v>
      </c>
      <c r="AX93" s="44" t="n">
        <f aca="false">IF(AV93="",NA(),AU93)</f>
        <v>84</v>
      </c>
      <c r="AY93" s="44" t="n">
        <f aca="false">IF(AV93="","",LN(AV93))</f>
        <v>1.15688119679209</v>
      </c>
      <c r="CH93" s="55" t="n">
        <f aca="false">IF(ISNUMBER(CI93),IF(ISNUMBER('Base de Datos'!AG89),IF('Base de Datos'!AG89&gt;20000,INT('Base de Datos'!AG89),""),IF(TRIM('Base de Datos'!AG89)="","",IFERROR(DATE(VALUE(RIGHT(TRIM('Base de Datos'!AG89),4)),VALUE(MID(TRIM('Base de Datos'!AG89),4,2)),VALUE(LEFT(TRIM('Base de Datos'!AG89),2))),IFERROR(DATEVALUE(TRIM('Base de Datos'!AG89)),"")))),"")</f>
        <v>45824</v>
      </c>
      <c r="CI93" s="56" t="n">
        <f aca="false">IF(ISNUMBER('Base de Datos'!AH89),'Base de Datos'!AH89,IF(TRIM('Base de Datos'!AH89)="","",IFERROR(IF(IFERROR(FIND("@",SUBSTITUTE(TRIM('Base de Datos'!AH89),",","@",LEN(TRIM('Base de Datos'!AH89))-LEN(SUBSTITUTE(TRIM('Base de Datos'!AH89),",","")))),0)&gt;IFERROR(FIND("@",SUBSTITUTE(TRIM('Base de Datos'!AH89),".","@",LEN(TRIM('Base de Datos'!AH89))-LEN(SUBSTITUTE(TRIM('Base de Datos'!AH89),".","")))),0),_xlfn.NUMBERVALUE(SUBSTITUTE(SUBSTITUTE(TRIM('Base de Datos'!AH89),".",""),",","."),".",","),_xlfn.NUMBERVALUE(SUBSTITUTE(TRIM('Base de Datos'!AH89),",",""),".",",")),"")))</f>
        <v>4.13</v>
      </c>
    </row>
    <row r="94" customFormat="false" ht="13.8" hidden="false" customHeight="false" outlineLevel="0" collapsed="false">
      <c r="AE94" s="44" t="n">
        <v>85</v>
      </c>
      <c r="AF94" s="55" t="n">
        <f aca="false">IF(AF93="","",IFERROR(SMALL($CH$10:$CH$309,COUNTIF($CH$10:$CH$309,"&lt;="&amp;AF93)+1),""))</f>
        <v>45839</v>
      </c>
      <c r="AG94" s="56" t="n">
        <f aca="false">IF(AF94="","",INDEX($CI$10:$CI$309,MATCH(AF94,$CH$10:$CH$309,0)))</f>
        <v>3.55</v>
      </c>
      <c r="AH94" s="55" t="n">
        <f aca="false">IF(AF94="",NA(),AF94)</f>
        <v>45839</v>
      </c>
      <c r="AI94" s="56" t="n">
        <f aca="false">IF(AG94="",NA(),AG94)</f>
        <v>3.55</v>
      </c>
      <c r="AU94" s="44" t="n">
        <f aca="false">IF(85&lt;=$C$8,85,"")</f>
        <v>85</v>
      </c>
      <c r="AV94" s="56" t="n">
        <f aca="false">IF(AU94="","",INDEX($AG$10:$AG$309,$B$8+85-1))</f>
        <v>3.1</v>
      </c>
      <c r="AW94" s="56" t="n">
        <f aca="false">IF(AV94="",NA(),AV94)</f>
        <v>3.1</v>
      </c>
      <c r="AX94" s="44" t="n">
        <f aca="false">IF(AV94="",NA(),AU94)</f>
        <v>85</v>
      </c>
      <c r="AY94" s="44" t="n">
        <f aca="false">IF(AV94="","",LN(AV94))</f>
        <v>1.1314021114911</v>
      </c>
      <c r="CH94" s="55" t="n">
        <f aca="false">IF(ISNUMBER(CI94),IF(ISNUMBER('Base de Datos'!AG90),IF('Base de Datos'!AG90&gt;20000,INT('Base de Datos'!AG90),""),IF(TRIM('Base de Datos'!AG90)="","",IFERROR(DATE(VALUE(RIGHT(TRIM('Base de Datos'!AG90),4)),VALUE(MID(TRIM('Base de Datos'!AG90),4,2)),VALUE(LEFT(TRIM('Base de Datos'!AG90),2))),IFERROR(DATEVALUE(TRIM('Base de Datos'!AG90)),"")))),"")</f>
        <v>45839</v>
      </c>
      <c r="CI94" s="56" t="n">
        <f aca="false">IF(ISNUMBER('Base de Datos'!AH90),'Base de Datos'!AH90,IF(TRIM('Base de Datos'!AH90)="","",IFERROR(IF(IFERROR(FIND("@",SUBSTITUTE(TRIM('Base de Datos'!AH90),",","@",LEN(TRIM('Base de Datos'!AH90))-LEN(SUBSTITUTE(TRIM('Base de Datos'!AH90),",","")))),0)&gt;IFERROR(FIND("@",SUBSTITUTE(TRIM('Base de Datos'!AH90),".","@",LEN(TRIM('Base de Datos'!AH90))-LEN(SUBSTITUTE(TRIM('Base de Datos'!AH90),".","")))),0),_xlfn.NUMBERVALUE(SUBSTITUTE(SUBSTITUTE(TRIM('Base de Datos'!AH90),".",""),",","."),".",","),_xlfn.NUMBERVALUE(SUBSTITUTE(TRIM('Base de Datos'!AH90),",",""),".",",")),"")))</f>
        <v>3.55</v>
      </c>
    </row>
    <row r="95" customFormat="false" ht="13.8" hidden="false" customHeight="false" outlineLevel="0" collapsed="false">
      <c r="AE95" s="44" t="n">
        <v>86</v>
      </c>
      <c r="AF95" s="55" t="n">
        <f aca="false">IF(AF94="","",IFERROR(SMALL($CH$10:$CH$309,COUNTIF($CH$10:$CH$309,"&lt;="&amp;AF94)+1),""))</f>
        <v>45854</v>
      </c>
      <c r="AG95" s="56" t="n">
        <f aca="false">IF(AF95="","",INDEX($CI$10:$CI$309,MATCH(AF95,$CH$10:$CH$309,0)))</f>
        <v>3.48</v>
      </c>
      <c r="AH95" s="55" t="n">
        <f aca="false">IF(AF95="",NA(),AF95)</f>
        <v>45854</v>
      </c>
      <c r="AI95" s="56" t="n">
        <f aca="false">IF(AG95="",NA(),AG95)</f>
        <v>3.48</v>
      </c>
      <c r="AU95" s="44" t="n">
        <f aca="false">IF(86&lt;=$C$8,86,"")</f>
        <v>86</v>
      </c>
      <c r="AV95" s="56" t="n">
        <f aca="false">IF(AU95="","",INDEX($AG$10:$AG$309,$B$8+86-1))</f>
        <v>3.14</v>
      </c>
      <c r="AW95" s="56" t="n">
        <f aca="false">IF(AV95="",NA(),AV95)</f>
        <v>3.14</v>
      </c>
      <c r="AX95" s="44" t="n">
        <f aca="false">IF(AV95="",NA(),AU95)</f>
        <v>86</v>
      </c>
      <c r="AY95" s="44" t="n">
        <f aca="false">IF(AV95="","",LN(AV95))</f>
        <v>1.14422279992016</v>
      </c>
      <c r="CH95" s="55" t="n">
        <f aca="false">IF(ISNUMBER(CI95),IF(ISNUMBER('Base de Datos'!AG91),IF('Base de Datos'!AG91&gt;20000,INT('Base de Datos'!AG91),""),IF(TRIM('Base de Datos'!AG91)="","",IFERROR(DATE(VALUE(RIGHT(TRIM('Base de Datos'!AG91),4)),VALUE(MID(TRIM('Base de Datos'!AG91),4,2)),VALUE(LEFT(TRIM('Base de Datos'!AG91),2))),IFERROR(DATEVALUE(TRIM('Base de Datos'!AG91)),"")))),"")</f>
        <v>45854</v>
      </c>
      <c r="CI95" s="56" t="n">
        <f aca="false">IF(ISNUMBER('Base de Datos'!AH91),'Base de Datos'!AH91,IF(TRIM('Base de Datos'!AH91)="","",IFERROR(IF(IFERROR(FIND("@",SUBSTITUTE(TRIM('Base de Datos'!AH91),",","@",LEN(TRIM('Base de Datos'!AH91))-LEN(SUBSTITUTE(TRIM('Base de Datos'!AH91),",","")))),0)&gt;IFERROR(FIND("@",SUBSTITUTE(TRIM('Base de Datos'!AH91),".","@",LEN(TRIM('Base de Datos'!AH91))-LEN(SUBSTITUTE(TRIM('Base de Datos'!AH91),".","")))),0),_xlfn.NUMBERVALUE(SUBSTITUTE(SUBSTITUTE(TRIM('Base de Datos'!AH91),".",""),",","."),".",","),_xlfn.NUMBERVALUE(SUBSTITUTE(TRIM('Base de Datos'!AH91),",",""),".",",")),"")))</f>
        <v>3.48</v>
      </c>
    </row>
    <row r="96" customFormat="false" ht="13.8" hidden="false" customHeight="false" outlineLevel="0" collapsed="false">
      <c r="AE96" s="44" t="n">
        <v>87</v>
      </c>
      <c r="AF96" s="55" t="n">
        <f aca="false">IF(AF95="","",IFERROR(SMALL($CH$10:$CH$309,COUNTIF($CH$10:$CH$309,"&lt;="&amp;AF95)+1),""))</f>
        <v>45870</v>
      </c>
      <c r="AG96" s="56" t="n">
        <f aca="false">IF(AF96="","",INDEX($CI$10:$CI$309,MATCH(AF96,$CH$10:$CH$309,0)))</f>
        <v>3.49</v>
      </c>
      <c r="AH96" s="55" t="n">
        <f aca="false">IF(AF96="",NA(),AF96)</f>
        <v>45870</v>
      </c>
      <c r="AI96" s="56" t="n">
        <f aca="false">IF(AG96="",NA(),AG96)</f>
        <v>3.49</v>
      </c>
      <c r="AU96" s="44" t="n">
        <f aca="false">IF(87&lt;=$C$8,87,"")</f>
        <v>87</v>
      </c>
      <c r="AV96" s="56" t="n">
        <f aca="false">IF(AU96="","",INDEX($AG$10:$AG$309,$B$8+87-1))</f>
        <v>3.26</v>
      </c>
      <c r="AW96" s="56" t="n">
        <f aca="false">IF(AV96="",NA(),AV96)</f>
        <v>3.26</v>
      </c>
      <c r="AX96" s="44" t="n">
        <f aca="false">IF(AV96="",NA(),AU96)</f>
        <v>87</v>
      </c>
      <c r="AY96" s="44" t="n">
        <f aca="false">IF(AV96="","",LN(AV96))</f>
        <v>1.18172719537862</v>
      </c>
      <c r="CH96" s="55" t="n">
        <f aca="false">IF(ISNUMBER(CI96),IF(ISNUMBER('Base de Datos'!AG92),IF('Base de Datos'!AG92&gt;20000,INT('Base de Datos'!AG92),""),IF(TRIM('Base de Datos'!AG92)="","",IFERROR(DATE(VALUE(RIGHT(TRIM('Base de Datos'!AG92),4)),VALUE(MID(TRIM('Base de Datos'!AG92),4,2)),VALUE(LEFT(TRIM('Base de Datos'!AG92),2))),IFERROR(DATEVALUE(TRIM('Base de Datos'!AG92)),"")))),"")</f>
        <v>45870</v>
      </c>
      <c r="CI96" s="56" t="n">
        <f aca="false">IF(ISNUMBER('Base de Datos'!AH92),'Base de Datos'!AH92,IF(TRIM('Base de Datos'!AH92)="","",IFERROR(IF(IFERROR(FIND("@",SUBSTITUTE(TRIM('Base de Datos'!AH92),",","@",LEN(TRIM('Base de Datos'!AH92))-LEN(SUBSTITUTE(TRIM('Base de Datos'!AH92),",","")))),0)&gt;IFERROR(FIND("@",SUBSTITUTE(TRIM('Base de Datos'!AH92),".","@",LEN(TRIM('Base de Datos'!AH92))-LEN(SUBSTITUTE(TRIM('Base de Datos'!AH92),".","")))),0),_xlfn.NUMBERVALUE(SUBSTITUTE(SUBSTITUTE(TRIM('Base de Datos'!AH92),".",""),",","."),".",","),_xlfn.NUMBERVALUE(SUBSTITUTE(TRIM('Base de Datos'!AH92),",",""),".",",")),"")))</f>
        <v>3.49</v>
      </c>
    </row>
    <row r="97" customFormat="false" ht="13.8" hidden="false" customHeight="false" outlineLevel="0" collapsed="false">
      <c r="AE97" s="44" t="n">
        <v>88</v>
      </c>
      <c r="AF97" s="55" t="n">
        <f aca="false">IF(AF96="","",IFERROR(SMALL($CH$10:$CH$309,COUNTIF($CH$10:$CH$309,"&lt;="&amp;AF96)+1),""))</f>
        <v>45885</v>
      </c>
      <c r="AG97" s="56" t="n">
        <f aca="false">IF(AF97="","",INDEX($CI$10:$CI$309,MATCH(AF97,$CH$10:$CH$309,0)))</f>
        <v>3.65</v>
      </c>
      <c r="AH97" s="55" t="n">
        <f aca="false">IF(AF97="",NA(),AF97)</f>
        <v>45885</v>
      </c>
      <c r="AI97" s="56" t="n">
        <f aca="false">IF(AG97="",NA(),AG97)</f>
        <v>3.65</v>
      </c>
      <c r="AU97" s="44" t="n">
        <f aca="false">IF(88&lt;=$C$8,88,"")</f>
        <v>88</v>
      </c>
      <c r="AV97" s="56" t="n">
        <f aca="false">IF(AU97="","",INDEX($AG$10:$AG$309,$B$8+88-1))</f>
        <v>3.26</v>
      </c>
      <c r="AW97" s="56" t="n">
        <f aca="false">IF(AV97="",NA(),AV97)</f>
        <v>3.26</v>
      </c>
      <c r="AX97" s="44" t="n">
        <f aca="false">IF(AV97="",NA(),AU97)</f>
        <v>88</v>
      </c>
      <c r="AY97" s="44" t="n">
        <f aca="false">IF(AV97="","",LN(AV97))</f>
        <v>1.18172719537862</v>
      </c>
      <c r="CH97" s="55" t="n">
        <f aca="false">IF(ISNUMBER(CI97),IF(ISNUMBER('Base de Datos'!AG93),IF('Base de Datos'!AG93&gt;20000,INT('Base de Datos'!AG93),""),IF(TRIM('Base de Datos'!AG93)="","",IFERROR(DATE(VALUE(RIGHT(TRIM('Base de Datos'!AG93),4)),VALUE(MID(TRIM('Base de Datos'!AG93),4,2)),VALUE(LEFT(TRIM('Base de Datos'!AG93),2))),IFERROR(DATEVALUE(TRIM('Base de Datos'!AG93)),"")))),"")</f>
        <v>45885</v>
      </c>
      <c r="CI97" s="56" t="n">
        <f aca="false">IF(ISNUMBER('Base de Datos'!AH93),'Base de Datos'!AH93,IF(TRIM('Base de Datos'!AH93)="","",IFERROR(IF(IFERROR(FIND("@",SUBSTITUTE(TRIM('Base de Datos'!AH93),",","@",LEN(TRIM('Base de Datos'!AH93))-LEN(SUBSTITUTE(TRIM('Base de Datos'!AH93),",","")))),0)&gt;IFERROR(FIND("@",SUBSTITUTE(TRIM('Base de Datos'!AH93),".","@",LEN(TRIM('Base de Datos'!AH93))-LEN(SUBSTITUTE(TRIM('Base de Datos'!AH93),".","")))),0),_xlfn.NUMBERVALUE(SUBSTITUTE(SUBSTITUTE(TRIM('Base de Datos'!AH93),".",""),",","."),".",","),_xlfn.NUMBERVALUE(SUBSTITUTE(TRIM('Base de Datos'!AH93),",",""),".",",")),"")))</f>
        <v>3.65</v>
      </c>
    </row>
    <row r="98" customFormat="false" ht="13.8" hidden="false" customHeight="false" outlineLevel="0" collapsed="false">
      <c r="AE98" s="44" t="n">
        <v>89</v>
      </c>
      <c r="AF98" s="55" t="n">
        <f aca="false">IF(AF97="","",IFERROR(SMALL($CH$10:$CH$309,COUNTIF($CH$10:$CH$309,"&lt;="&amp;AF97)+1),""))</f>
        <v>45901</v>
      </c>
      <c r="AG98" s="56" t="n">
        <f aca="false">IF(AF98="","",INDEX($CI$10:$CI$309,MATCH(AF98,$CH$10:$CH$309,0)))</f>
        <v>3.74</v>
      </c>
      <c r="AH98" s="55" t="n">
        <f aca="false">IF(AF98="",NA(),AF98)</f>
        <v>45901</v>
      </c>
      <c r="AI98" s="56" t="n">
        <f aca="false">IF(AG98="",NA(),AG98)</f>
        <v>3.74</v>
      </c>
      <c r="AU98" s="44" t="n">
        <f aca="false">IF(89&lt;=$C$8,89,"")</f>
        <v>89</v>
      </c>
      <c r="AV98" s="56" t="n">
        <f aca="false">IF(AU98="","",INDEX($AG$10:$AG$309,$B$8+89-1))</f>
        <v>3.42</v>
      </c>
      <c r="AW98" s="56" t="n">
        <f aca="false">IF(AV98="",NA(),AV98)</f>
        <v>3.42</v>
      </c>
      <c r="AX98" s="44" t="n">
        <f aca="false">IF(AV98="",NA(),AU98)</f>
        <v>89</v>
      </c>
      <c r="AY98" s="44" t="n">
        <f aca="false">IF(AV98="","",LN(AV98))</f>
        <v>1.22964055107451</v>
      </c>
      <c r="CH98" s="55" t="n">
        <f aca="false">IF(ISNUMBER(CI98),IF(ISNUMBER('Base de Datos'!AG94),IF('Base de Datos'!AG94&gt;20000,INT('Base de Datos'!AG94),""),IF(TRIM('Base de Datos'!AG94)="","",IFERROR(DATE(VALUE(RIGHT(TRIM('Base de Datos'!AG94),4)),VALUE(MID(TRIM('Base de Datos'!AG94),4,2)),VALUE(LEFT(TRIM('Base de Datos'!AG94),2))),IFERROR(DATEVALUE(TRIM('Base de Datos'!AG94)),"")))),"")</f>
        <v>45901</v>
      </c>
      <c r="CI98" s="56" t="n">
        <f aca="false">IF(ISNUMBER('Base de Datos'!AH94),'Base de Datos'!AH94,IF(TRIM('Base de Datos'!AH94)="","",IFERROR(IF(IFERROR(FIND("@",SUBSTITUTE(TRIM('Base de Datos'!AH94),",","@",LEN(TRIM('Base de Datos'!AH94))-LEN(SUBSTITUTE(TRIM('Base de Datos'!AH94),",","")))),0)&gt;IFERROR(FIND("@",SUBSTITUTE(TRIM('Base de Datos'!AH94),".","@",LEN(TRIM('Base de Datos'!AH94))-LEN(SUBSTITUTE(TRIM('Base de Datos'!AH94),".","")))),0),_xlfn.NUMBERVALUE(SUBSTITUTE(SUBSTITUTE(TRIM('Base de Datos'!AH94),".",""),",","."),".",","),_xlfn.NUMBERVALUE(SUBSTITUTE(TRIM('Base de Datos'!AH94),",",""),".",",")),"")))</f>
        <v>3.74</v>
      </c>
    </row>
    <row r="99" customFormat="false" ht="13.8" hidden="false" customHeight="false" outlineLevel="0" collapsed="false">
      <c r="AE99" s="44" t="n">
        <v>90</v>
      </c>
      <c r="AF99" s="55" t="n">
        <f aca="false">IF(AF98="","",IFERROR(SMALL($CH$10:$CH$309,COUNTIF($CH$10:$CH$309,"&lt;="&amp;AF98)+1),""))</f>
        <v>45916</v>
      </c>
      <c r="AG99" s="56" t="n">
        <f aca="false">IF(AF99="","",INDEX($CI$10:$CI$309,MATCH(AF99,$CH$10:$CH$309,0)))</f>
        <v>3.78</v>
      </c>
      <c r="AH99" s="55" t="n">
        <f aca="false">IF(AF99="",NA(),AF99)</f>
        <v>45916</v>
      </c>
      <c r="AI99" s="56" t="n">
        <f aca="false">IF(AG99="",NA(),AG99)</f>
        <v>3.78</v>
      </c>
      <c r="AU99" s="44" t="str">
        <f aca="false">IF(90&lt;=$C$8,90,"")</f>
        <v/>
      </c>
      <c r="AV99" s="44" t="str">
        <f aca="false">IF(AU99="","",INDEX($AG$10:$AG$309,$B$8+90-1))</f>
        <v/>
      </c>
      <c r="AW99" s="44" t="e">
        <f aca="false">IF(AV99="",NA(),AV99)</f>
        <v>#N/A</v>
      </c>
      <c r="AX99" s="44" t="e">
        <f aca="false">IF(AV99="",NA(),AU99)</f>
        <v>#N/A</v>
      </c>
      <c r="AY99" s="44" t="str">
        <f aca="false">IF(AV99="","",LN(AV99))</f>
        <v/>
      </c>
      <c r="CH99" s="55" t="n">
        <f aca="false">IF(ISNUMBER(CI99),IF(ISNUMBER('Base de Datos'!AG95),IF('Base de Datos'!AG95&gt;20000,INT('Base de Datos'!AG95),""),IF(TRIM('Base de Datos'!AG95)="","",IFERROR(DATE(VALUE(RIGHT(TRIM('Base de Datos'!AG95),4)),VALUE(MID(TRIM('Base de Datos'!AG95),4,2)),VALUE(LEFT(TRIM('Base de Datos'!AG95),2))),IFERROR(DATEVALUE(TRIM('Base de Datos'!AG95)),"")))),"")</f>
        <v>45916</v>
      </c>
      <c r="CI99" s="56" t="n">
        <f aca="false">IF(ISNUMBER('Base de Datos'!AH95),'Base de Datos'!AH95,IF(TRIM('Base de Datos'!AH95)="","",IFERROR(IF(IFERROR(FIND("@",SUBSTITUTE(TRIM('Base de Datos'!AH95),",","@",LEN(TRIM('Base de Datos'!AH95))-LEN(SUBSTITUTE(TRIM('Base de Datos'!AH95),",","")))),0)&gt;IFERROR(FIND("@",SUBSTITUTE(TRIM('Base de Datos'!AH95),".","@",LEN(TRIM('Base de Datos'!AH95))-LEN(SUBSTITUTE(TRIM('Base de Datos'!AH95),".","")))),0),_xlfn.NUMBERVALUE(SUBSTITUTE(SUBSTITUTE(TRIM('Base de Datos'!AH95),".",""),",","."),".",","),_xlfn.NUMBERVALUE(SUBSTITUTE(TRIM('Base de Datos'!AH95),",",""),".",",")),"")))</f>
        <v>3.78</v>
      </c>
    </row>
    <row r="100" customFormat="false" ht="13.8" hidden="false" customHeight="false" outlineLevel="0" collapsed="false">
      <c r="AE100" s="44" t="n">
        <v>91</v>
      </c>
      <c r="AF100" s="55" t="n">
        <f aca="false">IF(AF99="","",IFERROR(SMALL($CH$10:$CH$309,COUNTIF($CH$10:$CH$309,"&lt;="&amp;AF99)+1),""))</f>
        <v>45931</v>
      </c>
      <c r="AG100" s="56" t="n">
        <f aca="false">IF(AF100="","",INDEX($CI$10:$CI$309,MATCH(AF100,$CH$10:$CH$309,0)))</f>
        <v>3.63</v>
      </c>
      <c r="AH100" s="55" t="n">
        <f aca="false">IF(AF100="",NA(),AF100)</f>
        <v>45931</v>
      </c>
      <c r="AI100" s="56" t="n">
        <f aca="false">IF(AG100="",NA(),AG100)</f>
        <v>3.63</v>
      </c>
      <c r="AU100" s="44" t="str">
        <f aca="false">IF(91&lt;=$C$8,91,"")</f>
        <v/>
      </c>
      <c r="AV100" s="44" t="str">
        <f aca="false">IF(AU100="","",INDEX($AG$10:$AG$309,$B$8+91-1))</f>
        <v/>
      </c>
      <c r="AW100" s="44" t="e">
        <f aca="false">IF(AV100="",NA(),AV100)</f>
        <v>#N/A</v>
      </c>
      <c r="AX100" s="44" t="e">
        <f aca="false">IF(AV100="",NA(),AU100)</f>
        <v>#N/A</v>
      </c>
      <c r="AY100" s="44" t="str">
        <f aca="false">IF(AV100="","",LN(AV100))</f>
        <v/>
      </c>
      <c r="CH100" s="55" t="n">
        <f aca="false">IF(ISNUMBER(CI100),IF(ISNUMBER('Base de Datos'!AG96),IF('Base de Datos'!AG96&gt;20000,INT('Base de Datos'!AG96),""),IF(TRIM('Base de Datos'!AG96)="","",IFERROR(DATE(VALUE(RIGHT(TRIM('Base de Datos'!AG96),4)),VALUE(MID(TRIM('Base de Datos'!AG96),4,2)),VALUE(LEFT(TRIM('Base de Datos'!AG96),2))),IFERROR(DATEVALUE(TRIM('Base de Datos'!AG96)),"")))),"")</f>
        <v>45931</v>
      </c>
      <c r="CI100" s="56" t="n">
        <f aca="false">IF(ISNUMBER('Base de Datos'!AH96),'Base de Datos'!AH96,IF(TRIM('Base de Datos'!AH96)="","",IFERROR(IF(IFERROR(FIND("@",SUBSTITUTE(TRIM('Base de Datos'!AH96),",","@",LEN(TRIM('Base de Datos'!AH96))-LEN(SUBSTITUTE(TRIM('Base de Datos'!AH96),",","")))),0)&gt;IFERROR(FIND("@",SUBSTITUTE(TRIM('Base de Datos'!AH96),".","@",LEN(TRIM('Base de Datos'!AH96))-LEN(SUBSTITUTE(TRIM('Base de Datos'!AH96),".","")))),0),_xlfn.NUMBERVALUE(SUBSTITUTE(SUBSTITUTE(TRIM('Base de Datos'!AH96),".",""),",","."),".",","),_xlfn.NUMBERVALUE(SUBSTITUTE(TRIM('Base de Datos'!AH96),",",""),".",",")),"")))</f>
        <v>3.63</v>
      </c>
    </row>
    <row r="101" customFormat="false" ht="13.8" hidden="false" customHeight="false" outlineLevel="0" collapsed="false">
      <c r="AE101" s="44" t="n">
        <v>92</v>
      </c>
      <c r="AF101" s="55" t="n">
        <f aca="false">IF(AF100="","",IFERROR(SMALL($CH$10:$CH$309,COUNTIF($CH$10:$CH$309,"&lt;="&amp;AF100)+1),""))</f>
        <v>45946</v>
      </c>
      <c r="AG101" s="56" t="n">
        <f aca="false">IF(AF101="","",INDEX($CI$10:$CI$309,MATCH(AF101,$CH$10:$CH$309,0)))</f>
        <v>3.5</v>
      </c>
      <c r="AH101" s="55" t="n">
        <f aca="false">IF(AF101="",NA(),AF101)</f>
        <v>45946</v>
      </c>
      <c r="AI101" s="56" t="n">
        <f aca="false">IF(AG101="",NA(),AG101)</f>
        <v>3.5</v>
      </c>
      <c r="AU101" s="44" t="str">
        <f aca="false">IF(92&lt;=$C$8,92,"")</f>
        <v/>
      </c>
      <c r="AV101" s="44" t="str">
        <f aca="false">IF(AU101="","",INDEX($AG$10:$AG$309,$B$8+92-1))</f>
        <v/>
      </c>
      <c r="AW101" s="44" t="e">
        <f aca="false">IF(AV101="",NA(),AV101)</f>
        <v>#N/A</v>
      </c>
      <c r="AX101" s="44" t="e">
        <f aca="false">IF(AV101="",NA(),AU101)</f>
        <v>#N/A</v>
      </c>
      <c r="AY101" s="44" t="str">
        <f aca="false">IF(AV101="","",LN(AV101))</f>
        <v/>
      </c>
      <c r="CH101" s="55" t="n">
        <f aca="false">IF(ISNUMBER(CI101),IF(ISNUMBER('Base de Datos'!AG97),IF('Base de Datos'!AG97&gt;20000,INT('Base de Datos'!AG97),""),IF(TRIM('Base de Datos'!AG97)="","",IFERROR(DATE(VALUE(RIGHT(TRIM('Base de Datos'!AG97),4)),VALUE(MID(TRIM('Base de Datos'!AG97),4,2)),VALUE(LEFT(TRIM('Base de Datos'!AG97),2))),IFERROR(DATEVALUE(TRIM('Base de Datos'!AG97)),"")))),"")</f>
        <v>45946</v>
      </c>
      <c r="CI101" s="56" t="n">
        <f aca="false">IF(ISNUMBER('Base de Datos'!AH97),'Base de Datos'!AH97,IF(TRIM('Base de Datos'!AH97)="","",IFERROR(IF(IFERROR(FIND("@",SUBSTITUTE(TRIM('Base de Datos'!AH97),",","@",LEN(TRIM('Base de Datos'!AH97))-LEN(SUBSTITUTE(TRIM('Base de Datos'!AH97),",","")))),0)&gt;IFERROR(FIND("@",SUBSTITUTE(TRIM('Base de Datos'!AH97),".","@",LEN(TRIM('Base de Datos'!AH97))-LEN(SUBSTITUTE(TRIM('Base de Datos'!AH97),".","")))),0),_xlfn.NUMBERVALUE(SUBSTITUTE(SUBSTITUTE(TRIM('Base de Datos'!AH97),".",""),",","."),".",","),_xlfn.NUMBERVALUE(SUBSTITUTE(TRIM('Base de Datos'!AH97),",",""),".",",")),"")))</f>
        <v>3.5</v>
      </c>
    </row>
    <row r="102" customFormat="false" ht="13.8" hidden="false" customHeight="false" outlineLevel="0" collapsed="false">
      <c r="AE102" s="44" t="n">
        <v>93</v>
      </c>
      <c r="AF102" s="55" t="n">
        <f aca="false">IF(AF101="","",IFERROR(SMALL($CH$10:$CH$309,COUNTIF($CH$10:$CH$309,"&lt;="&amp;AF101)+1),""))</f>
        <v>45962</v>
      </c>
      <c r="AG102" s="56" t="n">
        <f aca="false">IF(AF102="","",INDEX($CI$10:$CI$309,MATCH(AF102,$CH$10:$CH$309,0)))</f>
        <v>3.61</v>
      </c>
      <c r="AH102" s="55" t="n">
        <f aca="false">IF(AF102="",NA(),AF102)</f>
        <v>45962</v>
      </c>
      <c r="AI102" s="56" t="n">
        <f aca="false">IF(AG102="",NA(),AG102)</f>
        <v>3.61</v>
      </c>
      <c r="AU102" s="44" t="str">
        <f aca="false">IF(93&lt;=$C$8,93,"")</f>
        <v/>
      </c>
      <c r="AV102" s="44" t="str">
        <f aca="false">IF(AU102="","",INDEX($AG$10:$AG$309,$B$8+93-1))</f>
        <v/>
      </c>
      <c r="AW102" s="44" t="e">
        <f aca="false">IF(AV102="",NA(),AV102)</f>
        <v>#N/A</v>
      </c>
      <c r="AX102" s="44" t="e">
        <f aca="false">IF(AV102="",NA(),AU102)</f>
        <v>#N/A</v>
      </c>
      <c r="AY102" s="44" t="str">
        <f aca="false">IF(AV102="","",LN(AV102))</f>
        <v/>
      </c>
      <c r="CH102" s="55" t="n">
        <f aca="false">IF(ISNUMBER(CI102),IF(ISNUMBER('Base de Datos'!AG98),IF('Base de Datos'!AG98&gt;20000,INT('Base de Datos'!AG98),""),IF(TRIM('Base de Datos'!AG98)="","",IFERROR(DATE(VALUE(RIGHT(TRIM('Base de Datos'!AG98),4)),VALUE(MID(TRIM('Base de Datos'!AG98),4,2)),VALUE(LEFT(TRIM('Base de Datos'!AG98),2))),IFERROR(DATEVALUE(TRIM('Base de Datos'!AG98)),"")))),"")</f>
        <v>45962</v>
      </c>
      <c r="CI102" s="56" t="n">
        <f aca="false">IF(ISNUMBER('Base de Datos'!AH98),'Base de Datos'!AH98,IF(TRIM('Base de Datos'!AH98)="","",IFERROR(IF(IFERROR(FIND("@",SUBSTITUTE(TRIM('Base de Datos'!AH98),",","@",LEN(TRIM('Base de Datos'!AH98))-LEN(SUBSTITUTE(TRIM('Base de Datos'!AH98),",","")))),0)&gt;IFERROR(FIND("@",SUBSTITUTE(TRIM('Base de Datos'!AH98),".","@",LEN(TRIM('Base de Datos'!AH98))-LEN(SUBSTITUTE(TRIM('Base de Datos'!AH98),".","")))),0),_xlfn.NUMBERVALUE(SUBSTITUTE(SUBSTITUTE(TRIM('Base de Datos'!AH98),".",""),",","."),".",","),_xlfn.NUMBERVALUE(SUBSTITUTE(TRIM('Base de Datos'!AH98),",",""),".",",")),"")))</f>
        <v>3.61</v>
      </c>
    </row>
    <row r="103" customFormat="false" ht="13.8" hidden="false" customHeight="false" outlineLevel="0" collapsed="false">
      <c r="AE103" s="44" t="n">
        <v>94</v>
      </c>
      <c r="AF103" s="55" t="n">
        <f aca="false">IF(AF102="","",IFERROR(SMALL($CH$10:$CH$309,COUNTIF($CH$10:$CH$309,"&lt;="&amp;AF102)+1),""))</f>
        <v>45977</v>
      </c>
      <c r="AG103" s="56" t="n">
        <f aca="false">IF(AF103="","",INDEX($CI$10:$CI$309,MATCH(AF103,$CH$10:$CH$309,0)))</f>
        <v>3.99</v>
      </c>
      <c r="AH103" s="55" t="n">
        <f aca="false">IF(AF103="",NA(),AF103)</f>
        <v>45977</v>
      </c>
      <c r="AI103" s="56" t="n">
        <f aca="false">IF(AG103="",NA(),AG103)</f>
        <v>3.99</v>
      </c>
      <c r="AU103" s="44" t="str">
        <f aca="false">IF(94&lt;=$C$8,94,"")</f>
        <v/>
      </c>
      <c r="AV103" s="44" t="str">
        <f aca="false">IF(AU103="","",INDEX($AG$10:$AG$309,$B$8+94-1))</f>
        <v/>
      </c>
      <c r="AW103" s="44" t="e">
        <f aca="false">IF(AV103="",NA(),AV103)</f>
        <v>#N/A</v>
      </c>
      <c r="AX103" s="44" t="e">
        <f aca="false">IF(AV103="",NA(),AU103)</f>
        <v>#N/A</v>
      </c>
      <c r="AY103" s="44" t="str">
        <f aca="false">IF(AV103="","",LN(AV103))</f>
        <v/>
      </c>
      <c r="CH103" s="55" t="n">
        <f aca="false">IF(ISNUMBER(CI103),IF(ISNUMBER('Base de Datos'!AG99),IF('Base de Datos'!AG99&gt;20000,INT('Base de Datos'!AG99),""),IF(TRIM('Base de Datos'!AG99)="","",IFERROR(DATE(VALUE(RIGHT(TRIM('Base de Datos'!AG99),4)),VALUE(MID(TRIM('Base de Datos'!AG99),4,2)),VALUE(LEFT(TRIM('Base de Datos'!AG99),2))),IFERROR(DATEVALUE(TRIM('Base de Datos'!AG99)),"")))),"")</f>
        <v>45977</v>
      </c>
      <c r="CI103" s="56" t="n">
        <f aca="false">IF(ISNUMBER('Base de Datos'!AH99),'Base de Datos'!AH99,IF(TRIM('Base de Datos'!AH99)="","",IFERROR(IF(IFERROR(FIND("@",SUBSTITUTE(TRIM('Base de Datos'!AH99),",","@",LEN(TRIM('Base de Datos'!AH99))-LEN(SUBSTITUTE(TRIM('Base de Datos'!AH99),",","")))),0)&gt;IFERROR(FIND("@",SUBSTITUTE(TRIM('Base de Datos'!AH99),".","@",LEN(TRIM('Base de Datos'!AH99))-LEN(SUBSTITUTE(TRIM('Base de Datos'!AH99),".","")))),0),_xlfn.NUMBERVALUE(SUBSTITUTE(SUBSTITUTE(TRIM('Base de Datos'!AH99),".",""),",","."),".",","),_xlfn.NUMBERVALUE(SUBSTITUTE(TRIM('Base de Datos'!AH99),",",""),".",",")),"")))</f>
        <v>3.99</v>
      </c>
    </row>
    <row r="104" customFormat="false" ht="13.8" hidden="false" customHeight="false" outlineLevel="0" collapsed="false">
      <c r="AE104" s="44" t="n">
        <v>95</v>
      </c>
      <c r="AF104" s="55" t="n">
        <f aca="false">IF(AF103="","",IFERROR(SMALL($CH$10:$CH$309,COUNTIF($CH$10:$CH$309,"&lt;="&amp;AF103)+1),""))</f>
        <v>45992</v>
      </c>
      <c r="AG104" s="56" t="n">
        <f aca="false">IF(AF104="","",INDEX($CI$10:$CI$309,MATCH(AF104,$CH$10:$CH$309,0)))</f>
        <v>3.72</v>
      </c>
      <c r="AH104" s="55" t="n">
        <f aca="false">IF(AF104="",NA(),AF104)</f>
        <v>45992</v>
      </c>
      <c r="AI104" s="56" t="n">
        <f aca="false">IF(AG104="",NA(),AG104)</f>
        <v>3.72</v>
      </c>
      <c r="AU104" s="44" t="str">
        <f aca="false">IF(95&lt;=$C$8,95,"")</f>
        <v/>
      </c>
      <c r="AV104" s="44" t="str">
        <f aca="false">IF(AU104="","",INDEX($AG$10:$AG$309,$B$8+95-1))</f>
        <v/>
      </c>
      <c r="AW104" s="44" t="e">
        <f aca="false">IF(AV104="",NA(),AV104)</f>
        <v>#N/A</v>
      </c>
      <c r="AX104" s="44" t="e">
        <f aca="false">IF(AV104="",NA(),AU104)</f>
        <v>#N/A</v>
      </c>
      <c r="AY104" s="44" t="str">
        <f aca="false">IF(AV104="","",LN(AV104))</f>
        <v/>
      </c>
      <c r="CH104" s="55" t="n">
        <f aca="false">IF(ISNUMBER(CI104),IF(ISNUMBER('Base de Datos'!AG100),IF('Base de Datos'!AG100&gt;20000,INT('Base de Datos'!AG100),""),IF(TRIM('Base de Datos'!AG100)="","",IFERROR(DATE(VALUE(RIGHT(TRIM('Base de Datos'!AG100),4)),VALUE(MID(TRIM('Base de Datos'!AG100),4,2)),VALUE(LEFT(TRIM('Base de Datos'!AG100),2))),IFERROR(DATEVALUE(TRIM('Base de Datos'!AG100)),"")))),"")</f>
        <v>45992</v>
      </c>
      <c r="CI104" s="56" t="n">
        <f aca="false">IF(ISNUMBER('Base de Datos'!AH100),'Base de Datos'!AH100,IF(TRIM('Base de Datos'!AH100)="","",IFERROR(IF(IFERROR(FIND("@",SUBSTITUTE(TRIM('Base de Datos'!AH100),",","@",LEN(TRIM('Base de Datos'!AH100))-LEN(SUBSTITUTE(TRIM('Base de Datos'!AH100),",","")))),0)&gt;IFERROR(FIND("@",SUBSTITUTE(TRIM('Base de Datos'!AH100),".","@",LEN(TRIM('Base de Datos'!AH100))-LEN(SUBSTITUTE(TRIM('Base de Datos'!AH100),".","")))),0),_xlfn.NUMBERVALUE(SUBSTITUTE(SUBSTITUTE(TRIM('Base de Datos'!AH100),".",""),",","."),".",","),_xlfn.NUMBERVALUE(SUBSTITUTE(TRIM('Base de Datos'!AH100),",",""),".",",")),"")))</f>
        <v>3.72</v>
      </c>
    </row>
    <row r="105" customFormat="false" ht="13.8" hidden="false" customHeight="false" outlineLevel="0" collapsed="false">
      <c r="AE105" s="44" t="n">
        <v>96</v>
      </c>
      <c r="AF105" s="55" t="n">
        <f aca="false">IF(AF104="","",IFERROR(SMALL($CH$10:$CH$309,COUNTIF($CH$10:$CH$309,"&lt;="&amp;AF104)+1),""))</f>
        <v>46007</v>
      </c>
      <c r="AG105" s="56" t="n">
        <f aca="false">IF(AF105="","",INDEX($CI$10:$CI$309,MATCH(AF105,$CH$10:$CH$309,0)))</f>
        <v>3.66</v>
      </c>
      <c r="AH105" s="55" t="n">
        <f aca="false">IF(AF105="",NA(),AF105)</f>
        <v>46007</v>
      </c>
      <c r="AI105" s="56" t="n">
        <f aca="false">IF(AG105="",NA(),AG105)</f>
        <v>3.66</v>
      </c>
      <c r="AU105" s="44" t="str">
        <f aca="false">IF(96&lt;=$C$8,96,"")</f>
        <v/>
      </c>
      <c r="AV105" s="44" t="str">
        <f aca="false">IF(AU105="","",INDEX($AG$10:$AG$309,$B$8+96-1))</f>
        <v/>
      </c>
      <c r="AW105" s="44" t="e">
        <f aca="false">IF(AV105="",NA(),AV105)</f>
        <v>#N/A</v>
      </c>
      <c r="AX105" s="44" t="e">
        <f aca="false">IF(AV105="",NA(),AU105)</f>
        <v>#N/A</v>
      </c>
      <c r="AY105" s="44" t="str">
        <f aca="false">IF(AV105="","",LN(AV105))</f>
        <v/>
      </c>
      <c r="CH105" s="55" t="n">
        <f aca="false">IF(ISNUMBER(CI105),IF(ISNUMBER('Base de Datos'!AG101),IF('Base de Datos'!AG101&gt;20000,INT('Base de Datos'!AG101),""),IF(TRIM('Base de Datos'!AG101)="","",IFERROR(DATE(VALUE(RIGHT(TRIM('Base de Datos'!AG101),4)),VALUE(MID(TRIM('Base de Datos'!AG101),4,2)),VALUE(LEFT(TRIM('Base de Datos'!AG101),2))),IFERROR(DATEVALUE(TRIM('Base de Datos'!AG101)),"")))),"")</f>
        <v>46007</v>
      </c>
      <c r="CI105" s="56" t="n">
        <f aca="false">IF(ISNUMBER('Base de Datos'!AH101),'Base de Datos'!AH101,IF(TRIM('Base de Datos'!AH101)="","",IFERROR(IF(IFERROR(FIND("@",SUBSTITUTE(TRIM('Base de Datos'!AH101),",","@",LEN(TRIM('Base de Datos'!AH101))-LEN(SUBSTITUTE(TRIM('Base de Datos'!AH101),",","")))),0)&gt;IFERROR(FIND("@",SUBSTITUTE(TRIM('Base de Datos'!AH101),".","@",LEN(TRIM('Base de Datos'!AH101))-LEN(SUBSTITUTE(TRIM('Base de Datos'!AH101),".","")))),0),_xlfn.NUMBERVALUE(SUBSTITUTE(SUBSTITUTE(TRIM('Base de Datos'!AH101),".",""),",","."),".",","),_xlfn.NUMBERVALUE(SUBSTITUTE(TRIM('Base de Datos'!AH101),",",""),".",",")),"")))</f>
        <v>3.66</v>
      </c>
    </row>
    <row r="106" customFormat="false" ht="13.8" hidden="false" customHeight="false" outlineLevel="0" collapsed="false">
      <c r="AE106" s="44" t="n">
        <v>97</v>
      </c>
      <c r="AF106" s="55" t="n">
        <f aca="false">IF(AF105="","",IFERROR(SMALL($CH$10:$CH$309,COUNTIF($CH$10:$CH$309,"&lt;="&amp;AF105)+1),""))</f>
        <v>46023</v>
      </c>
      <c r="AG106" s="56" t="n">
        <f aca="false">IF(AF106="","",INDEX($CI$10:$CI$309,MATCH(AF106,$CH$10:$CH$309,0)))</f>
        <v>3.77</v>
      </c>
      <c r="AH106" s="55" t="n">
        <f aca="false">IF(AF106="",NA(),AF106)</f>
        <v>46023</v>
      </c>
      <c r="AI106" s="56" t="n">
        <f aca="false">IF(AG106="",NA(),AG106)</f>
        <v>3.77</v>
      </c>
      <c r="AU106" s="44" t="str">
        <f aca="false">IF(97&lt;=$C$8,97,"")</f>
        <v/>
      </c>
      <c r="AV106" s="44" t="str">
        <f aca="false">IF(AU106="","",INDEX($AG$10:$AG$309,$B$8+97-1))</f>
        <v/>
      </c>
      <c r="AW106" s="44" t="e">
        <f aca="false">IF(AV106="",NA(),AV106)</f>
        <v>#N/A</v>
      </c>
      <c r="AX106" s="44" t="e">
        <f aca="false">IF(AV106="",NA(),AU106)</f>
        <v>#N/A</v>
      </c>
      <c r="AY106" s="44" t="str">
        <f aca="false">IF(AV106="","",LN(AV106))</f>
        <v/>
      </c>
      <c r="CH106" s="55" t="n">
        <f aca="false">IF(ISNUMBER(CI106),IF(ISNUMBER('Base de Datos'!AG102),IF('Base de Datos'!AG102&gt;20000,INT('Base de Datos'!AG102),""),IF(TRIM('Base de Datos'!AG102)="","",IFERROR(DATE(VALUE(RIGHT(TRIM('Base de Datos'!AG102),4)),VALUE(MID(TRIM('Base de Datos'!AG102),4,2)),VALUE(LEFT(TRIM('Base de Datos'!AG102),2))),IFERROR(DATEVALUE(TRIM('Base de Datos'!AG102)),"")))),"")</f>
        <v>46023</v>
      </c>
      <c r="CI106" s="56" t="n">
        <f aca="false">IF(ISNUMBER('Base de Datos'!AH102),'Base de Datos'!AH102,IF(TRIM('Base de Datos'!AH102)="","",IFERROR(IF(IFERROR(FIND("@",SUBSTITUTE(TRIM('Base de Datos'!AH102),",","@",LEN(TRIM('Base de Datos'!AH102))-LEN(SUBSTITUTE(TRIM('Base de Datos'!AH102),",","")))),0)&gt;IFERROR(FIND("@",SUBSTITUTE(TRIM('Base de Datos'!AH102),".","@",LEN(TRIM('Base de Datos'!AH102))-LEN(SUBSTITUTE(TRIM('Base de Datos'!AH102),".","")))),0),_xlfn.NUMBERVALUE(SUBSTITUTE(SUBSTITUTE(TRIM('Base de Datos'!AH102),".",""),",","."),".",","),_xlfn.NUMBERVALUE(SUBSTITUTE(TRIM('Base de Datos'!AH102),",",""),".",",")),"")))</f>
        <v>3.77</v>
      </c>
    </row>
    <row r="107" customFormat="false" ht="13.8" hidden="false" customHeight="false" outlineLevel="0" collapsed="false">
      <c r="AE107" s="44" t="n">
        <v>98</v>
      </c>
      <c r="AF107" s="55" t="n">
        <f aca="false">IF(AF106="","",IFERROR(SMALL($CH$10:$CH$309,COUNTIF($CH$10:$CH$309,"&lt;="&amp;AF106)+1),""))</f>
        <v>46038</v>
      </c>
      <c r="AG107" s="56" t="n">
        <f aca="false">IF(AF107="","",INDEX($CI$10:$CI$309,MATCH(AF107,$CH$10:$CH$309,0)))</f>
        <v>3.82</v>
      </c>
      <c r="AH107" s="55" t="n">
        <f aca="false">IF(AF107="",NA(),AF107)</f>
        <v>46038</v>
      </c>
      <c r="AI107" s="56" t="n">
        <f aca="false">IF(AG107="",NA(),AG107)</f>
        <v>3.82</v>
      </c>
      <c r="AU107" s="44" t="str">
        <f aca="false">IF(98&lt;=$C$8,98,"")</f>
        <v/>
      </c>
      <c r="AV107" s="44" t="str">
        <f aca="false">IF(AU107="","",INDEX($AG$10:$AG$309,$B$8+98-1))</f>
        <v/>
      </c>
      <c r="AW107" s="44" t="e">
        <f aca="false">IF(AV107="",NA(),AV107)</f>
        <v>#N/A</v>
      </c>
      <c r="AX107" s="44" t="e">
        <f aca="false">IF(AV107="",NA(),AU107)</f>
        <v>#N/A</v>
      </c>
      <c r="AY107" s="44" t="str">
        <f aca="false">IF(AV107="","",LN(AV107))</f>
        <v/>
      </c>
      <c r="CH107" s="55" t="n">
        <f aca="false">IF(ISNUMBER(CI107),IF(ISNUMBER('Base de Datos'!AG103),IF('Base de Datos'!AG103&gt;20000,INT('Base de Datos'!AG103),""),IF(TRIM('Base de Datos'!AG103)="","",IFERROR(DATE(VALUE(RIGHT(TRIM('Base de Datos'!AG103),4)),VALUE(MID(TRIM('Base de Datos'!AG103),4,2)),VALUE(LEFT(TRIM('Base de Datos'!AG103),2))),IFERROR(DATEVALUE(TRIM('Base de Datos'!AG103)),"")))),"")</f>
        <v>46038</v>
      </c>
      <c r="CI107" s="56" t="n">
        <f aca="false">IF(ISNUMBER('Base de Datos'!AH103),'Base de Datos'!AH103,IF(TRIM('Base de Datos'!AH103)="","",IFERROR(IF(IFERROR(FIND("@",SUBSTITUTE(TRIM('Base de Datos'!AH103),",","@",LEN(TRIM('Base de Datos'!AH103))-LEN(SUBSTITUTE(TRIM('Base de Datos'!AH103),",","")))),0)&gt;IFERROR(FIND("@",SUBSTITUTE(TRIM('Base de Datos'!AH103),".","@",LEN(TRIM('Base de Datos'!AH103))-LEN(SUBSTITUTE(TRIM('Base de Datos'!AH103),".","")))),0),_xlfn.NUMBERVALUE(SUBSTITUTE(SUBSTITUTE(TRIM('Base de Datos'!AH103),".",""),",","."),".",","),_xlfn.NUMBERVALUE(SUBSTITUTE(TRIM('Base de Datos'!AH103),",",""),".",",")),"")))</f>
        <v>3.82</v>
      </c>
    </row>
    <row r="108" customFormat="false" ht="13.8" hidden="false" customHeight="false" outlineLevel="0" collapsed="false">
      <c r="AE108" s="44" t="n">
        <v>99</v>
      </c>
      <c r="AF108" s="55" t="n">
        <f aca="false">IF(AF107="","",IFERROR(SMALL($CH$10:$CH$309,COUNTIF($CH$10:$CH$309,"&lt;="&amp;AF107)+1),""))</f>
        <v>46054</v>
      </c>
      <c r="AG108" s="56" t="n">
        <f aca="false">IF(AF108="","",INDEX($CI$10:$CI$309,MATCH(AF108,$CH$10:$CH$309,0)))</f>
        <v>3.92</v>
      </c>
      <c r="AH108" s="55" t="n">
        <f aca="false">IF(AF108="",NA(),AF108)</f>
        <v>46054</v>
      </c>
      <c r="AI108" s="56" t="n">
        <f aca="false">IF(AG108="",NA(),AG108)</f>
        <v>3.92</v>
      </c>
      <c r="AU108" s="44" t="str">
        <f aca="false">IF(99&lt;=$C$8,99,"")</f>
        <v/>
      </c>
      <c r="AV108" s="44" t="str">
        <f aca="false">IF(AU108="","",INDEX($AG$10:$AG$309,$B$8+99-1))</f>
        <v/>
      </c>
      <c r="AW108" s="44" t="e">
        <f aca="false">IF(AV108="",NA(),AV108)</f>
        <v>#N/A</v>
      </c>
      <c r="AX108" s="44" t="e">
        <f aca="false">IF(AV108="",NA(),AU108)</f>
        <v>#N/A</v>
      </c>
      <c r="AY108" s="44" t="str">
        <f aca="false">IF(AV108="","",LN(AV108))</f>
        <v/>
      </c>
      <c r="CH108" s="55" t="n">
        <f aca="false">IF(ISNUMBER(CI108),IF(ISNUMBER('Base de Datos'!AG104),IF('Base de Datos'!AG104&gt;20000,INT('Base de Datos'!AG104),""),IF(TRIM('Base de Datos'!AG104)="","",IFERROR(DATE(VALUE(RIGHT(TRIM('Base de Datos'!AG104),4)),VALUE(MID(TRIM('Base de Datos'!AG104),4,2)),VALUE(LEFT(TRIM('Base de Datos'!AG104),2))),IFERROR(DATEVALUE(TRIM('Base de Datos'!AG104)),"")))),"")</f>
        <v>46054</v>
      </c>
      <c r="CI108" s="56" t="n">
        <f aca="false">IF(ISNUMBER('Base de Datos'!AH104),'Base de Datos'!AH104,IF(TRIM('Base de Datos'!AH104)="","",IFERROR(IF(IFERROR(FIND("@",SUBSTITUTE(TRIM('Base de Datos'!AH104),",","@",LEN(TRIM('Base de Datos'!AH104))-LEN(SUBSTITUTE(TRIM('Base de Datos'!AH104),",","")))),0)&gt;IFERROR(FIND("@",SUBSTITUTE(TRIM('Base de Datos'!AH104),".","@",LEN(TRIM('Base de Datos'!AH104))-LEN(SUBSTITUTE(TRIM('Base de Datos'!AH104),".","")))),0),_xlfn.NUMBERVALUE(SUBSTITUTE(SUBSTITUTE(TRIM('Base de Datos'!AH104),".",""),",","."),".",","),_xlfn.NUMBERVALUE(SUBSTITUTE(TRIM('Base de Datos'!AH104),",",""),".",",")),"")))</f>
        <v>3.92</v>
      </c>
    </row>
    <row r="109" customFormat="false" ht="13.8" hidden="false" customHeight="false" outlineLevel="0" collapsed="false">
      <c r="AE109" s="44" t="n">
        <v>100</v>
      </c>
      <c r="AF109" s="55" t="n">
        <f aca="false">IF(AF108="","",IFERROR(SMALL($CH$10:$CH$309,COUNTIF($CH$10:$CH$309,"&lt;="&amp;AF108)+1),""))</f>
        <v>46069</v>
      </c>
      <c r="AG109" s="56" t="n">
        <f aca="false">IF(AF109="","",INDEX($CI$10:$CI$309,MATCH(AF109,$CH$10:$CH$309,0)))</f>
        <v>4.13</v>
      </c>
      <c r="AH109" s="55" t="n">
        <f aca="false">IF(AF109="",NA(),AF109)</f>
        <v>46069</v>
      </c>
      <c r="AI109" s="56" t="n">
        <f aca="false">IF(AG109="",NA(),AG109)</f>
        <v>4.13</v>
      </c>
      <c r="AU109" s="44" t="str">
        <f aca="false">IF(100&lt;=$C$8,100,"")</f>
        <v/>
      </c>
      <c r="AV109" s="44" t="str">
        <f aca="false">IF(AU109="","",INDEX($AG$10:$AG$309,$B$8+100-1))</f>
        <v/>
      </c>
      <c r="AW109" s="44" t="e">
        <f aca="false">IF(AV109="",NA(),AV109)</f>
        <v>#N/A</v>
      </c>
      <c r="AX109" s="44" t="e">
        <f aca="false">IF(AV109="",NA(),AU109)</f>
        <v>#N/A</v>
      </c>
      <c r="AY109" s="44" t="str">
        <f aca="false">IF(AV109="","",LN(AV109))</f>
        <v/>
      </c>
      <c r="CH109" s="55" t="n">
        <f aca="false">IF(ISNUMBER(CI109),IF(ISNUMBER('Base de Datos'!AG105),IF('Base de Datos'!AG105&gt;20000,INT('Base de Datos'!AG105),""),IF(TRIM('Base de Datos'!AG105)="","",IFERROR(DATE(VALUE(RIGHT(TRIM('Base de Datos'!AG105),4)),VALUE(MID(TRIM('Base de Datos'!AG105),4,2)),VALUE(LEFT(TRIM('Base de Datos'!AG105),2))),IFERROR(DATEVALUE(TRIM('Base de Datos'!AG105)),"")))),"")</f>
        <v>46069</v>
      </c>
      <c r="CI109" s="56" t="n">
        <f aca="false">IF(ISNUMBER('Base de Datos'!AH105),'Base de Datos'!AH105,IF(TRIM('Base de Datos'!AH105)="","",IFERROR(IF(IFERROR(FIND("@",SUBSTITUTE(TRIM('Base de Datos'!AH105),",","@",LEN(TRIM('Base de Datos'!AH105))-LEN(SUBSTITUTE(TRIM('Base de Datos'!AH105),",","")))),0)&gt;IFERROR(FIND("@",SUBSTITUTE(TRIM('Base de Datos'!AH105),".","@",LEN(TRIM('Base de Datos'!AH105))-LEN(SUBSTITUTE(TRIM('Base de Datos'!AH105),".","")))),0),_xlfn.NUMBERVALUE(SUBSTITUTE(SUBSTITUTE(TRIM('Base de Datos'!AH105),".",""),",","."),".",","),_xlfn.NUMBERVALUE(SUBSTITUTE(TRIM('Base de Datos'!AH105),",",""),".",",")),"")))</f>
        <v>4.13</v>
      </c>
    </row>
    <row r="110" customFormat="false" ht="13.8" hidden="false" customHeight="false" outlineLevel="0" collapsed="false">
      <c r="AE110" s="44" t="n">
        <v>101</v>
      </c>
      <c r="AF110" s="55" t="n">
        <f aca="false">IF(AF109="","",IFERROR(SMALL($CH$10:$CH$309,COUNTIF($CH$10:$CH$309,"&lt;="&amp;AF109)+1),""))</f>
        <v>46082</v>
      </c>
      <c r="AG110" s="56" t="n">
        <f aca="false">IF(AF110="","",INDEX($CI$10:$CI$309,MATCH(AF110,$CH$10:$CH$309,0)))</f>
        <v>4.63</v>
      </c>
      <c r="AH110" s="55" t="n">
        <f aca="false">IF(AF110="",NA(),AF110)</f>
        <v>46082</v>
      </c>
      <c r="AI110" s="56" t="n">
        <f aca="false">IF(AG110="",NA(),AG110)</f>
        <v>4.63</v>
      </c>
      <c r="AU110" s="44" t="str">
        <f aca="false">IF(101&lt;=$C$8,101,"")</f>
        <v/>
      </c>
      <c r="AV110" s="44" t="str">
        <f aca="false">IF(AU110="","",INDEX($AG$10:$AG$309,$B$8+101-1))</f>
        <v/>
      </c>
      <c r="AW110" s="44" t="e">
        <f aca="false">IF(AV110="",NA(),AV110)</f>
        <v>#N/A</v>
      </c>
      <c r="AX110" s="44" t="e">
        <f aca="false">IF(AV110="",NA(),AU110)</f>
        <v>#N/A</v>
      </c>
      <c r="AY110" s="44" t="str">
        <f aca="false">IF(AV110="","",LN(AV110))</f>
        <v/>
      </c>
      <c r="CH110" s="55" t="n">
        <f aca="false">IF(ISNUMBER(CI110),IF(ISNUMBER('Base de Datos'!AG106),IF('Base de Datos'!AG106&gt;20000,INT('Base de Datos'!AG106),""),IF(TRIM('Base de Datos'!AG106)="","",IFERROR(DATE(VALUE(RIGHT(TRIM('Base de Datos'!AG106),4)),VALUE(MID(TRIM('Base de Datos'!AG106),4,2)),VALUE(LEFT(TRIM('Base de Datos'!AG106),2))),IFERROR(DATEVALUE(TRIM('Base de Datos'!AG106)),"")))),"")</f>
        <v>46082</v>
      </c>
      <c r="CI110" s="56" t="n">
        <f aca="false">IF(ISNUMBER('Base de Datos'!AH106),'Base de Datos'!AH106,IF(TRIM('Base de Datos'!AH106)="","",IFERROR(IF(IFERROR(FIND("@",SUBSTITUTE(TRIM('Base de Datos'!AH106),",","@",LEN(TRIM('Base de Datos'!AH106))-LEN(SUBSTITUTE(TRIM('Base de Datos'!AH106),",","")))),0)&gt;IFERROR(FIND("@",SUBSTITUTE(TRIM('Base de Datos'!AH106),".","@",LEN(TRIM('Base de Datos'!AH106))-LEN(SUBSTITUTE(TRIM('Base de Datos'!AH106),".","")))),0),_xlfn.NUMBERVALUE(SUBSTITUTE(SUBSTITUTE(TRIM('Base de Datos'!AH106),".",""),",","."),".",","),_xlfn.NUMBERVALUE(SUBSTITUTE(TRIM('Base de Datos'!AH106),",",""),".",",")),"")))</f>
        <v>4.63</v>
      </c>
    </row>
    <row r="111" customFormat="false" ht="13.8" hidden="false" customHeight="false" outlineLevel="0" collapsed="false">
      <c r="AE111" s="44" t="n">
        <v>102</v>
      </c>
      <c r="AF111" s="55" t="n">
        <f aca="false">IF(AF110="","",IFERROR(SMALL($CH$10:$CH$309,COUNTIF($CH$10:$CH$309,"&lt;="&amp;AF110)+1),""))</f>
        <v>46097</v>
      </c>
      <c r="AG111" s="56" t="n">
        <f aca="false">IF(AF111="","",INDEX($CI$10:$CI$309,MATCH(AF111,$CH$10:$CH$309,0)))</f>
        <v>4.55</v>
      </c>
      <c r="AH111" s="55" t="n">
        <f aca="false">IF(AF111="",NA(),AF111)</f>
        <v>46097</v>
      </c>
      <c r="AI111" s="56" t="n">
        <f aca="false">IF(AG111="",NA(),AG111)</f>
        <v>4.55</v>
      </c>
      <c r="AU111" s="44" t="str">
        <f aca="false">IF(102&lt;=$C$8,102,"")</f>
        <v/>
      </c>
      <c r="AV111" s="44" t="str">
        <f aca="false">IF(AU111="","",INDEX($AG$10:$AG$309,$B$8+102-1))</f>
        <v/>
      </c>
      <c r="AW111" s="44" t="e">
        <f aca="false">IF(AV111="",NA(),AV111)</f>
        <v>#N/A</v>
      </c>
      <c r="AX111" s="44" t="e">
        <f aca="false">IF(AV111="",NA(),AU111)</f>
        <v>#N/A</v>
      </c>
      <c r="AY111" s="44" t="str">
        <f aca="false">IF(AV111="","",LN(AV111))</f>
        <v/>
      </c>
      <c r="CH111" s="55" t="n">
        <f aca="false">IF(ISNUMBER(CI111),IF(ISNUMBER('Base de Datos'!AG107),IF('Base de Datos'!AG107&gt;20000,INT('Base de Datos'!AG107),""),IF(TRIM('Base de Datos'!AG107)="","",IFERROR(DATE(VALUE(RIGHT(TRIM('Base de Datos'!AG107),4)),VALUE(MID(TRIM('Base de Datos'!AG107),4,2)),VALUE(LEFT(TRIM('Base de Datos'!AG107),2))),IFERROR(DATEVALUE(TRIM('Base de Datos'!AG107)),"")))),"")</f>
        <v>46097</v>
      </c>
      <c r="CI111" s="56" t="n">
        <f aca="false">IF(ISNUMBER('Base de Datos'!AH107),'Base de Datos'!AH107,IF(TRIM('Base de Datos'!AH107)="","",IFERROR(IF(IFERROR(FIND("@",SUBSTITUTE(TRIM('Base de Datos'!AH107),",","@",LEN(TRIM('Base de Datos'!AH107))-LEN(SUBSTITUTE(TRIM('Base de Datos'!AH107),",","")))),0)&gt;IFERROR(FIND("@",SUBSTITUTE(TRIM('Base de Datos'!AH107),".","@",LEN(TRIM('Base de Datos'!AH107))-LEN(SUBSTITUTE(TRIM('Base de Datos'!AH107),".","")))),0),_xlfn.NUMBERVALUE(SUBSTITUTE(SUBSTITUTE(TRIM('Base de Datos'!AH107),".",""),",","."),".",","),_xlfn.NUMBERVALUE(SUBSTITUTE(TRIM('Base de Datos'!AH107),",",""),".",",")),"")))</f>
        <v>4.55</v>
      </c>
    </row>
    <row r="112" customFormat="false" ht="13.8" hidden="false" customHeight="false" outlineLevel="0" collapsed="false">
      <c r="AE112" s="44" t="n">
        <v>103</v>
      </c>
      <c r="AF112" s="55" t="n">
        <f aca="false">IF(AF111="","",IFERROR(SMALL($CH$10:$CH$309,COUNTIF($CH$10:$CH$309,"&lt;="&amp;AF111)+1),""))</f>
        <v>46113</v>
      </c>
      <c r="AG112" s="56" t="n">
        <f aca="false">IF(AF112="","",INDEX($CI$10:$CI$309,MATCH(AF112,$CH$10:$CH$309,0)))</f>
        <v>4.53</v>
      </c>
      <c r="AH112" s="55" t="n">
        <f aca="false">IF(AF112="",NA(),AF112)</f>
        <v>46113</v>
      </c>
      <c r="AI112" s="56" t="n">
        <f aca="false">IF(AG112="",NA(),AG112)</f>
        <v>4.53</v>
      </c>
      <c r="AU112" s="44" t="str">
        <f aca="false">IF(103&lt;=$C$8,103,"")</f>
        <v/>
      </c>
      <c r="AV112" s="44" t="str">
        <f aca="false">IF(AU112="","",INDEX($AG$10:$AG$309,$B$8+103-1))</f>
        <v/>
      </c>
      <c r="AW112" s="44" t="e">
        <f aca="false">IF(AV112="",NA(),AV112)</f>
        <v>#N/A</v>
      </c>
      <c r="AX112" s="44" t="e">
        <f aca="false">IF(AV112="",NA(),AU112)</f>
        <v>#N/A</v>
      </c>
      <c r="AY112" s="44" t="str">
        <f aca="false">IF(AV112="","",LN(AV112))</f>
        <v/>
      </c>
      <c r="CH112" s="55" t="n">
        <f aca="false">IF(ISNUMBER(CI112),IF(ISNUMBER('Base de Datos'!AG108),IF('Base de Datos'!AG108&gt;20000,INT('Base de Datos'!AG108),""),IF(TRIM('Base de Datos'!AG108)="","",IFERROR(DATE(VALUE(RIGHT(TRIM('Base de Datos'!AG108),4)),VALUE(MID(TRIM('Base de Datos'!AG108),4,2)),VALUE(LEFT(TRIM('Base de Datos'!AG108),2))),IFERROR(DATEVALUE(TRIM('Base de Datos'!AG108)),"")))),"")</f>
        <v>46113</v>
      </c>
      <c r="CI112" s="56" t="n">
        <f aca="false">IF(ISNUMBER('Base de Datos'!AH108),'Base de Datos'!AH108,IF(TRIM('Base de Datos'!AH108)="","",IFERROR(IF(IFERROR(FIND("@",SUBSTITUTE(TRIM('Base de Datos'!AH108),",","@",LEN(TRIM('Base de Datos'!AH108))-LEN(SUBSTITUTE(TRIM('Base de Datos'!AH108),",","")))),0)&gt;IFERROR(FIND("@",SUBSTITUTE(TRIM('Base de Datos'!AH108),".","@",LEN(TRIM('Base de Datos'!AH108))-LEN(SUBSTITUTE(TRIM('Base de Datos'!AH108),".","")))),0),_xlfn.NUMBERVALUE(SUBSTITUTE(SUBSTITUTE(TRIM('Base de Datos'!AH108),".",""),",","."),".",","),_xlfn.NUMBERVALUE(SUBSTITUTE(TRIM('Base de Datos'!AH108),",",""),".",",")),"")))</f>
        <v>4.53</v>
      </c>
    </row>
    <row r="113" customFormat="false" ht="13.8" hidden="false" customHeight="false" outlineLevel="0" collapsed="false">
      <c r="AE113" s="44" t="n">
        <v>104</v>
      </c>
      <c r="AF113" s="55" t="n">
        <f aca="false">IF(AF112="","",IFERROR(SMALL($CH$10:$CH$309,COUNTIF($CH$10:$CH$309,"&lt;="&amp;AF112)+1),""))</f>
        <v>46128</v>
      </c>
      <c r="AG113" s="56" t="n">
        <f aca="false">IF(AF113="","",INDEX($CI$10:$CI$309,MATCH(AF113,$CH$10:$CH$309,0)))</f>
        <v>4.37</v>
      </c>
      <c r="AH113" s="55" t="n">
        <f aca="false">IF(AF113="",NA(),AF113)</f>
        <v>46128</v>
      </c>
      <c r="AI113" s="56" t="n">
        <f aca="false">IF(AG113="",NA(),AG113)</f>
        <v>4.37</v>
      </c>
      <c r="AU113" s="44" t="str">
        <f aca="false">IF(104&lt;=$C$8,104,"")</f>
        <v/>
      </c>
      <c r="AV113" s="44" t="str">
        <f aca="false">IF(AU113="","",INDEX($AG$10:$AG$309,$B$8+104-1))</f>
        <v/>
      </c>
      <c r="AW113" s="44" t="e">
        <f aca="false">IF(AV113="",NA(),AV113)</f>
        <v>#N/A</v>
      </c>
      <c r="AX113" s="44" t="e">
        <f aca="false">IF(AV113="",NA(),AU113)</f>
        <v>#N/A</v>
      </c>
      <c r="AY113" s="44" t="str">
        <f aca="false">IF(AV113="","",LN(AV113))</f>
        <v/>
      </c>
      <c r="CH113" s="55" t="n">
        <f aca="false">IF(ISNUMBER(CI113),IF(ISNUMBER('Base de Datos'!AG109),IF('Base de Datos'!AG109&gt;20000,INT('Base de Datos'!AG109),""),IF(TRIM('Base de Datos'!AG109)="","",IFERROR(DATE(VALUE(RIGHT(TRIM('Base de Datos'!AG109),4)),VALUE(MID(TRIM('Base de Datos'!AG109),4,2)),VALUE(LEFT(TRIM('Base de Datos'!AG109),2))),IFERROR(DATEVALUE(TRIM('Base de Datos'!AG109)),"")))),"")</f>
        <v>46128</v>
      </c>
      <c r="CI113" s="56" t="n">
        <f aca="false">IF(ISNUMBER('Base de Datos'!AH109),'Base de Datos'!AH109,IF(TRIM('Base de Datos'!AH109)="","",IFERROR(IF(IFERROR(FIND("@",SUBSTITUTE(TRIM('Base de Datos'!AH109),",","@",LEN(TRIM('Base de Datos'!AH109))-LEN(SUBSTITUTE(TRIM('Base de Datos'!AH109),",","")))),0)&gt;IFERROR(FIND("@",SUBSTITUTE(TRIM('Base de Datos'!AH109),".","@",LEN(TRIM('Base de Datos'!AH109))-LEN(SUBSTITUTE(TRIM('Base de Datos'!AH109),".","")))),0),_xlfn.NUMBERVALUE(SUBSTITUTE(SUBSTITUTE(TRIM('Base de Datos'!AH109),".",""),",","."),".",","),_xlfn.NUMBERVALUE(SUBSTITUTE(TRIM('Base de Datos'!AH109),",",""),".",",")),"")))</f>
        <v>4.37</v>
      </c>
    </row>
    <row r="114" customFormat="false" ht="13.8" hidden="false" customHeight="false" outlineLevel="0" collapsed="false">
      <c r="AE114" s="44" t="n">
        <v>105</v>
      </c>
      <c r="AF114" s="55" t="n">
        <f aca="false">IF(AF113="","",IFERROR(SMALL($CH$10:$CH$309,COUNTIF($CH$10:$CH$309,"&lt;="&amp;AF113)+1),""))</f>
        <v>46143</v>
      </c>
      <c r="AG114" s="56" t="n">
        <f aca="false">IF(AF114="","",INDEX($CI$10:$CI$309,MATCH(AF114,$CH$10:$CH$309,0)))</f>
        <v>4.11</v>
      </c>
      <c r="AH114" s="55" t="n">
        <f aca="false">IF(AF114="",NA(),AF114)</f>
        <v>46143</v>
      </c>
      <c r="AI114" s="56" t="n">
        <f aca="false">IF(AG114="",NA(),AG114)</f>
        <v>4.11</v>
      </c>
      <c r="AU114" s="44" t="str">
        <f aca="false">IF(105&lt;=$C$8,105,"")</f>
        <v/>
      </c>
      <c r="AV114" s="44" t="str">
        <f aca="false">IF(AU114="","",INDEX($AG$10:$AG$309,$B$8+105-1))</f>
        <v/>
      </c>
      <c r="AW114" s="44" t="e">
        <f aca="false">IF(AV114="",NA(),AV114)</f>
        <v>#N/A</v>
      </c>
      <c r="AX114" s="44" t="e">
        <f aca="false">IF(AV114="",NA(),AU114)</f>
        <v>#N/A</v>
      </c>
      <c r="AY114" s="44" t="str">
        <f aca="false">IF(AV114="","",LN(AV114))</f>
        <v/>
      </c>
      <c r="CH114" s="55" t="n">
        <f aca="false">IF(ISNUMBER(CI114),IF(ISNUMBER('Base de Datos'!AG110),IF('Base de Datos'!AG110&gt;20000,INT('Base de Datos'!AG110),""),IF(TRIM('Base de Datos'!AG110)="","",IFERROR(DATE(VALUE(RIGHT(TRIM('Base de Datos'!AG110),4)),VALUE(MID(TRIM('Base de Datos'!AG110),4,2)),VALUE(LEFT(TRIM('Base de Datos'!AG110),2))),IFERROR(DATEVALUE(TRIM('Base de Datos'!AG110)),"")))),"")</f>
        <v>46143</v>
      </c>
      <c r="CI114" s="56" t="n">
        <f aca="false">IF(ISNUMBER('Base de Datos'!AH110),'Base de Datos'!AH110,IF(TRIM('Base de Datos'!AH110)="","",IFERROR(IF(IFERROR(FIND("@",SUBSTITUTE(TRIM('Base de Datos'!AH110),",","@",LEN(TRIM('Base de Datos'!AH110))-LEN(SUBSTITUTE(TRIM('Base de Datos'!AH110),",","")))),0)&gt;IFERROR(FIND("@",SUBSTITUTE(TRIM('Base de Datos'!AH110),".","@",LEN(TRIM('Base de Datos'!AH110))-LEN(SUBSTITUTE(TRIM('Base de Datos'!AH110),".","")))),0),_xlfn.NUMBERVALUE(SUBSTITUTE(SUBSTITUTE(TRIM('Base de Datos'!AH110),".",""),",","."),".",","),_xlfn.NUMBERVALUE(SUBSTITUTE(TRIM('Base de Datos'!AH110),",",""),".",",")),"")))</f>
        <v>4.11</v>
      </c>
    </row>
    <row r="115" customFormat="false" ht="13.8" hidden="false" customHeight="false" outlineLevel="0" collapsed="false">
      <c r="AE115" s="44" t="n">
        <v>106</v>
      </c>
      <c r="AF115" s="55" t="n">
        <f aca="false">IF(AF114="","",IFERROR(SMALL($CH$10:$CH$309,COUNTIF($CH$10:$CH$309,"&lt;="&amp;AF114)+1),""))</f>
        <v>46158</v>
      </c>
      <c r="AG115" s="56" t="n">
        <f aca="false">IF(AF115="","",INDEX($CI$10:$CI$309,MATCH(AF115,$CH$10:$CH$309,0)))</f>
        <v>3.77</v>
      </c>
      <c r="AH115" s="55" t="n">
        <f aca="false">IF(AF115="",NA(),AF115)</f>
        <v>46158</v>
      </c>
      <c r="AI115" s="56" t="n">
        <f aca="false">IF(AG115="",NA(),AG115)</f>
        <v>3.77</v>
      </c>
      <c r="AU115" s="44" t="str">
        <f aca="false">IF(106&lt;=$C$8,106,"")</f>
        <v/>
      </c>
      <c r="AV115" s="44" t="str">
        <f aca="false">IF(AU115="","",INDEX($AG$10:$AG$309,$B$8+106-1))</f>
        <v/>
      </c>
      <c r="AW115" s="44" t="e">
        <f aca="false">IF(AV115="",NA(),AV115)</f>
        <v>#N/A</v>
      </c>
      <c r="AX115" s="44" t="e">
        <f aca="false">IF(AV115="",NA(),AU115)</f>
        <v>#N/A</v>
      </c>
      <c r="AY115" s="44" t="str">
        <f aca="false">IF(AV115="","",LN(AV115))</f>
        <v/>
      </c>
      <c r="CH115" s="55" t="n">
        <f aca="false">IF(ISNUMBER(CI115),IF(ISNUMBER('Base de Datos'!AG111),IF('Base de Datos'!AG111&gt;20000,INT('Base de Datos'!AG111),""),IF(TRIM('Base de Datos'!AG111)="","",IFERROR(DATE(VALUE(RIGHT(TRIM('Base de Datos'!AG111),4)),VALUE(MID(TRIM('Base de Datos'!AG111),4,2)),VALUE(LEFT(TRIM('Base de Datos'!AG111),2))),IFERROR(DATEVALUE(TRIM('Base de Datos'!AG111)),"")))),"")</f>
        <v>46158</v>
      </c>
      <c r="CI115" s="56" t="n">
        <f aca="false">IF(ISNUMBER('Base de Datos'!AH111),'Base de Datos'!AH111,IF(TRIM('Base de Datos'!AH111)="","",IFERROR(IF(IFERROR(FIND("@",SUBSTITUTE(TRIM('Base de Datos'!AH111),",","@",LEN(TRIM('Base de Datos'!AH111))-LEN(SUBSTITUTE(TRIM('Base de Datos'!AH111),",","")))),0)&gt;IFERROR(FIND("@",SUBSTITUTE(TRIM('Base de Datos'!AH111),".","@",LEN(TRIM('Base de Datos'!AH111))-LEN(SUBSTITUTE(TRIM('Base de Datos'!AH111),".","")))),0),_xlfn.NUMBERVALUE(SUBSTITUTE(SUBSTITUTE(TRIM('Base de Datos'!AH111),".",""),",","."),".",","),_xlfn.NUMBERVALUE(SUBSTITUTE(TRIM('Base de Datos'!AH111),",",""),".",",")),"")))</f>
        <v>3.77</v>
      </c>
    </row>
    <row r="116" customFormat="false" ht="13.8" hidden="false" customHeight="false" outlineLevel="0" collapsed="false">
      <c r="AE116" s="44" t="n">
        <v>107</v>
      </c>
      <c r="AF116" s="55" t="n">
        <f aca="false">IF(AF115="","",IFERROR(SMALL($CH$10:$CH$309,COUNTIF($CH$10:$CH$309,"&lt;="&amp;AF115)+1),""))</f>
        <v>46174</v>
      </c>
      <c r="AG116" s="56" t="n">
        <f aca="false">IF(AF116="","",INDEX($CI$10:$CI$309,MATCH(AF116,$CH$10:$CH$309,0)))</f>
        <v>3.55</v>
      </c>
      <c r="AH116" s="55" t="n">
        <f aca="false">IF(AF116="",NA(),AF116)</f>
        <v>46174</v>
      </c>
      <c r="AI116" s="56" t="n">
        <f aca="false">IF(AG116="",NA(),AG116)</f>
        <v>3.55</v>
      </c>
      <c r="AU116" s="44" t="str">
        <f aca="false">IF(107&lt;=$C$8,107,"")</f>
        <v/>
      </c>
      <c r="AV116" s="44" t="str">
        <f aca="false">IF(AU116="","",INDEX($AG$10:$AG$309,$B$8+107-1))</f>
        <v/>
      </c>
      <c r="AW116" s="44" t="e">
        <f aca="false">IF(AV116="",NA(),AV116)</f>
        <v>#N/A</v>
      </c>
      <c r="AX116" s="44" t="e">
        <f aca="false">IF(AV116="",NA(),AU116)</f>
        <v>#N/A</v>
      </c>
      <c r="AY116" s="44" t="str">
        <f aca="false">IF(AV116="","",LN(AV116))</f>
        <v/>
      </c>
      <c r="CH116" s="55" t="n">
        <f aca="false">IF(ISNUMBER(CI116),IF(ISNUMBER('Base de Datos'!AG112),IF('Base de Datos'!AG112&gt;20000,INT('Base de Datos'!AG112),""),IF(TRIM('Base de Datos'!AG112)="","",IFERROR(DATE(VALUE(RIGHT(TRIM('Base de Datos'!AG112),4)),VALUE(MID(TRIM('Base de Datos'!AG112),4,2)),VALUE(LEFT(TRIM('Base de Datos'!AG112),2))),IFERROR(DATEVALUE(TRIM('Base de Datos'!AG112)),"")))),"")</f>
        <v>46174</v>
      </c>
      <c r="CI116" s="56" t="n">
        <f aca="false">IF(ISNUMBER('Base de Datos'!AH112),'Base de Datos'!AH112,IF(TRIM('Base de Datos'!AH112)="","",IFERROR(IF(IFERROR(FIND("@",SUBSTITUTE(TRIM('Base de Datos'!AH112),",","@",LEN(TRIM('Base de Datos'!AH112))-LEN(SUBSTITUTE(TRIM('Base de Datos'!AH112),",","")))),0)&gt;IFERROR(FIND("@",SUBSTITUTE(TRIM('Base de Datos'!AH112),".","@",LEN(TRIM('Base de Datos'!AH112))-LEN(SUBSTITUTE(TRIM('Base de Datos'!AH112),".","")))),0),_xlfn.NUMBERVALUE(SUBSTITUTE(SUBSTITUTE(TRIM('Base de Datos'!AH112),".",""),",","."),".",","),_xlfn.NUMBERVALUE(SUBSTITUTE(TRIM('Base de Datos'!AH112),",",""),".",",")),"")))</f>
        <v>3.55</v>
      </c>
    </row>
    <row r="117" customFormat="false" ht="13.8" hidden="false" customHeight="false" outlineLevel="0" collapsed="false">
      <c r="AE117" s="44" t="n">
        <v>108</v>
      </c>
      <c r="AF117" s="55" t="n">
        <f aca="false">IF(AF116="","",IFERROR(SMALL($CH$10:$CH$309,COUNTIF($CH$10:$CH$309,"&lt;="&amp;AF116)+1),""))</f>
        <v>46189</v>
      </c>
      <c r="AG117" s="56" t="n">
        <f aca="false">IF(AF117="","",INDEX($CI$10:$CI$309,MATCH(AF117,$CH$10:$CH$309,0)))</f>
        <v>3.18</v>
      </c>
      <c r="AH117" s="55" t="n">
        <f aca="false">IF(AF117="",NA(),AF117)</f>
        <v>46189</v>
      </c>
      <c r="AI117" s="56" t="n">
        <f aca="false">IF(AG117="",NA(),AG117)</f>
        <v>3.18</v>
      </c>
      <c r="AU117" s="44" t="str">
        <f aca="false">IF(108&lt;=$C$8,108,"")</f>
        <v/>
      </c>
      <c r="AV117" s="44" t="str">
        <f aca="false">IF(AU117="","",INDEX($AG$10:$AG$309,$B$8+108-1))</f>
        <v/>
      </c>
      <c r="AW117" s="44" t="e">
        <f aca="false">IF(AV117="",NA(),AV117)</f>
        <v>#N/A</v>
      </c>
      <c r="AX117" s="44" t="e">
        <f aca="false">IF(AV117="",NA(),AU117)</f>
        <v>#N/A</v>
      </c>
      <c r="AY117" s="44" t="str">
        <f aca="false">IF(AV117="","",LN(AV117))</f>
        <v/>
      </c>
      <c r="CH117" s="55" t="n">
        <f aca="false">IF(ISNUMBER(CI117),IF(ISNUMBER('Base de Datos'!AG113),IF('Base de Datos'!AG113&gt;20000,INT('Base de Datos'!AG113),""),IF(TRIM('Base de Datos'!AG113)="","",IFERROR(DATE(VALUE(RIGHT(TRIM('Base de Datos'!AG113),4)),VALUE(MID(TRIM('Base de Datos'!AG113),4,2)),VALUE(LEFT(TRIM('Base de Datos'!AG113),2))),IFERROR(DATEVALUE(TRIM('Base de Datos'!AG113)),"")))),"")</f>
        <v>46189</v>
      </c>
      <c r="CI117" s="56" t="n">
        <f aca="false">IF(ISNUMBER('Base de Datos'!AH113),'Base de Datos'!AH113,IF(TRIM('Base de Datos'!AH113)="","",IFERROR(IF(IFERROR(FIND("@",SUBSTITUTE(TRIM('Base de Datos'!AH113),",","@",LEN(TRIM('Base de Datos'!AH113))-LEN(SUBSTITUTE(TRIM('Base de Datos'!AH113),",","")))),0)&gt;IFERROR(FIND("@",SUBSTITUTE(TRIM('Base de Datos'!AH113),".","@",LEN(TRIM('Base de Datos'!AH113))-LEN(SUBSTITUTE(TRIM('Base de Datos'!AH113),".","")))),0),_xlfn.NUMBERVALUE(SUBSTITUTE(SUBSTITUTE(TRIM('Base de Datos'!AH113),".",""),",","."),".",","),_xlfn.NUMBERVALUE(SUBSTITUTE(TRIM('Base de Datos'!AH113),",",""),".",",")),"")))</f>
        <v>3.18</v>
      </c>
    </row>
    <row r="118" customFormat="false" ht="13.8" hidden="false" customHeight="false" outlineLevel="0" collapsed="false">
      <c r="AE118" s="44" t="n">
        <v>109</v>
      </c>
      <c r="AF118" s="55" t="n">
        <f aca="false">IF(AF117="","",IFERROR(SMALL($CH$10:$CH$309,COUNTIF($CH$10:$CH$309,"&lt;="&amp;AF117)+1),""))</f>
        <v>46204</v>
      </c>
      <c r="AG118" s="56" t="n">
        <f aca="false">IF(AF118="","",INDEX($CI$10:$CI$309,MATCH(AF118,$CH$10:$CH$309,0)))</f>
        <v>3.1</v>
      </c>
      <c r="AH118" s="55" t="n">
        <f aca="false">IF(AF118="",NA(),AF118)</f>
        <v>46204</v>
      </c>
      <c r="AI118" s="56" t="n">
        <f aca="false">IF(AG118="",NA(),AG118)</f>
        <v>3.1</v>
      </c>
      <c r="AU118" s="44" t="str">
        <f aca="false">IF(109&lt;=$C$8,109,"")</f>
        <v/>
      </c>
      <c r="AV118" s="44" t="str">
        <f aca="false">IF(AU118="","",INDEX($AG$10:$AG$309,$B$8+109-1))</f>
        <v/>
      </c>
      <c r="AW118" s="44" t="e">
        <f aca="false">IF(AV118="",NA(),AV118)</f>
        <v>#N/A</v>
      </c>
      <c r="AX118" s="44" t="e">
        <f aca="false">IF(AV118="",NA(),AU118)</f>
        <v>#N/A</v>
      </c>
      <c r="AY118" s="44" t="str">
        <f aca="false">IF(AV118="","",LN(AV118))</f>
        <v/>
      </c>
      <c r="CH118" s="55" t="n">
        <f aca="false">IF(ISNUMBER(CI118),IF(ISNUMBER('Base de Datos'!AG114),IF('Base de Datos'!AG114&gt;20000,INT('Base de Datos'!AG114),""),IF(TRIM('Base de Datos'!AG114)="","",IFERROR(DATE(VALUE(RIGHT(TRIM('Base de Datos'!AG114),4)),VALUE(MID(TRIM('Base de Datos'!AG114),4,2)),VALUE(LEFT(TRIM('Base de Datos'!AG114),2))),IFERROR(DATEVALUE(TRIM('Base de Datos'!AG114)),"")))),"")</f>
        <v>46204</v>
      </c>
      <c r="CI118" s="56" t="n">
        <f aca="false">IF(ISNUMBER('Base de Datos'!AH114),'Base de Datos'!AH114,IF(TRIM('Base de Datos'!AH114)="","",IFERROR(IF(IFERROR(FIND("@",SUBSTITUTE(TRIM('Base de Datos'!AH114),",","@",LEN(TRIM('Base de Datos'!AH114))-LEN(SUBSTITUTE(TRIM('Base de Datos'!AH114),",","")))),0)&gt;IFERROR(FIND("@",SUBSTITUTE(TRIM('Base de Datos'!AH114),".","@",LEN(TRIM('Base de Datos'!AH114))-LEN(SUBSTITUTE(TRIM('Base de Datos'!AH114),".","")))),0),_xlfn.NUMBERVALUE(SUBSTITUTE(SUBSTITUTE(TRIM('Base de Datos'!AH114),".",""),",","."),".",","),_xlfn.NUMBERVALUE(SUBSTITUTE(TRIM('Base de Datos'!AH114),",",""),".",",")),"")))</f>
        <v>3.1</v>
      </c>
    </row>
    <row r="119" customFormat="false" ht="13.8" hidden="false" customHeight="false" outlineLevel="0" collapsed="false">
      <c r="AE119" s="44" t="n">
        <v>110</v>
      </c>
      <c r="AF119" s="55" t="n">
        <f aca="false">IF(AF118="","",IFERROR(SMALL($CH$10:$CH$309,COUNTIF($CH$10:$CH$309,"&lt;="&amp;AF118)+1),""))</f>
        <v>46219</v>
      </c>
      <c r="AG119" s="56" t="n">
        <f aca="false">IF(AF119="","",INDEX($CI$10:$CI$309,MATCH(AF119,$CH$10:$CH$309,0)))</f>
        <v>3.14</v>
      </c>
      <c r="AH119" s="55" t="n">
        <f aca="false">IF(AF119="",NA(),AF119)</f>
        <v>46219</v>
      </c>
      <c r="AI119" s="56" t="n">
        <f aca="false">IF(AG119="",NA(),AG119)</f>
        <v>3.14</v>
      </c>
      <c r="AU119" s="44" t="str">
        <f aca="false">IF(110&lt;=$C$8,110,"")</f>
        <v/>
      </c>
      <c r="AV119" s="44" t="str">
        <f aca="false">IF(AU119="","",INDEX($AG$10:$AG$309,$B$8+110-1))</f>
        <v/>
      </c>
      <c r="AW119" s="44" t="e">
        <f aca="false">IF(AV119="",NA(),AV119)</f>
        <v>#N/A</v>
      </c>
      <c r="AX119" s="44" t="e">
        <f aca="false">IF(AV119="",NA(),AU119)</f>
        <v>#N/A</v>
      </c>
      <c r="AY119" s="44" t="str">
        <f aca="false">IF(AV119="","",LN(AV119))</f>
        <v/>
      </c>
      <c r="CH119" s="55" t="n">
        <f aca="false">IF(ISNUMBER(CI119),IF(ISNUMBER('Base de Datos'!AG115),IF('Base de Datos'!AG115&gt;20000,INT('Base de Datos'!AG115),""),IF(TRIM('Base de Datos'!AG115)="","",IFERROR(DATE(VALUE(RIGHT(TRIM('Base de Datos'!AG115),4)),VALUE(MID(TRIM('Base de Datos'!AG115),4,2)),VALUE(LEFT(TRIM('Base de Datos'!AG115),2))),IFERROR(DATEVALUE(TRIM('Base de Datos'!AG115)),"")))),"")</f>
        <v>46219</v>
      </c>
      <c r="CI119" s="56" t="n">
        <f aca="false">IF(ISNUMBER('Base de Datos'!AH115),'Base de Datos'!AH115,IF(TRIM('Base de Datos'!AH115)="","",IFERROR(IF(IFERROR(FIND("@",SUBSTITUTE(TRIM('Base de Datos'!AH115),",","@",LEN(TRIM('Base de Datos'!AH115))-LEN(SUBSTITUTE(TRIM('Base de Datos'!AH115),",","")))),0)&gt;IFERROR(FIND("@",SUBSTITUTE(TRIM('Base de Datos'!AH115),".","@",LEN(TRIM('Base de Datos'!AH115))-LEN(SUBSTITUTE(TRIM('Base de Datos'!AH115),".","")))),0),_xlfn.NUMBERVALUE(SUBSTITUTE(SUBSTITUTE(TRIM('Base de Datos'!AH115),".",""),",","."),".",","),_xlfn.NUMBERVALUE(SUBSTITUTE(TRIM('Base de Datos'!AH115),",",""),".",",")),"")))</f>
        <v>3.14</v>
      </c>
    </row>
    <row r="120" customFormat="false" ht="13.8" hidden="false" customHeight="false" outlineLevel="0" collapsed="false">
      <c r="AE120" s="44" t="n">
        <v>111</v>
      </c>
      <c r="AF120" s="55" t="n">
        <f aca="false">IF(AF119="","",IFERROR(SMALL($CH$10:$CH$309,COUNTIF($CH$10:$CH$309,"&lt;="&amp;AF119)+1),""))</f>
        <v>46235</v>
      </c>
      <c r="AG120" s="56" t="n">
        <f aca="false">IF(AF120="","",INDEX($CI$10:$CI$309,MATCH(AF120,$CH$10:$CH$309,0)))</f>
        <v>3.26</v>
      </c>
      <c r="AH120" s="55" t="n">
        <f aca="false">IF(AF120="",NA(),AF120)</f>
        <v>46235</v>
      </c>
      <c r="AI120" s="56" t="n">
        <f aca="false">IF(AG120="",NA(),AG120)</f>
        <v>3.26</v>
      </c>
      <c r="AU120" s="44" t="str">
        <f aca="false">IF(111&lt;=$C$8,111,"")</f>
        <v/>
      </c>
      <c r="AV120" s="44" t="str">
        <f aca="false">IF(AU120="","",INDEX($AG$10:$AG$309,$B$8+111-1))</f>
        <v/>
      </c>
      <c r="AW120" s="44" t="e">
        <f aca="false">IF(AV120="",NA(),AV120)</f>
        <v>#N/A</v>
      </c>
      <c r="AX120" s="44" t="e">
        <f aca="false">IF(AV120="",NA(),AU120)</f>
        <v>#N/A</v>
      </c>
      <c r="AY120" s="44" t="str">
        <f aca="false">IF(AV120="","",LN(AV120))</f>
        <v/>
      </c>
      <c r="CH120" s="55" t="n">
        <f aca="false">IF(ISNUMBER(CI120),IF(ISNUMBER('Base de Datos'!AG116),IF('Base de Datos'!AG116&gt;20000,INT('Base de Datos'!AG116),""),IF(TRIM('Base de Datos'!AG116)="","",IFERROR(DATE(VALUE(RIGHT(TRIM('Base de Datos'!AG116),4)),VALUE(MID(TRIM('Base de Datos'!AG116),4,2)),VALUE(LEFT(TRIM('Base de Datos'!AG116),2))),IFERROR(DATEVALUE(TRIM('Base de Datos'!AG116)),"")))),"")</f>
        <v>46235</v>
      </c>
      <c r="CI120" s="56" t="n">
        <f aca="false">IF(ISNUMBER('Base de Datos'!AH116),'Base de Datos'!AH116,IF(TRIM('Base de Datos'!AH116)="","",IFERROR(IF(IFERROR(FIND("@",SUBSTITUTE(TRIM('Base de Datos'!AH116),",","@",LEN(TRIM('Base de Datos'!AH116))-LEN(SUBSTITUTE(TRIM('Base de Datos'!AH116),",","")))),0)&gt;IFERROR(FIND("@",SUBSTITUTE(TRIM('Base de Datos'!AH116),".","@",LEN(TRIM('Base de Datos'!AH116))-LEN(SUBSTITUTE(TRIM('Base de Datos'!AH116),".","")))),0),_xlfn.NUMBERVALUE(SUBSTITUTE(SUBSTITUTE(TRIM('Base de Datos'!AH116),".",""),",","."),".",","),_xlfn.NUMBERVALUE(SUBSTITUTE(TRIM('Base de Datos'!AH116),",",""),".",",")),"")))</f>
        <v>3.26</v>
      </c>
    </row>
    <row r="121" customFormat="false" ht="13.8" hidden="false" customHeight="false" outlineLevel="0" collapsed="false">
      <c r="AE121" s="44" t="n">
        <v>112</v>
      </c>
      <c r="AF121" s="55" t="n">
        <f aca="false">IF(AF120="","",IFERROR(SMALL($CH$10:$CH$309,COUNTIF($CH$10:$CH$309,"&lt;="&amp;AF120)+1),""))</f>
        <v>46250</v>
      </c>
      <c r="AG121" s="56" t="n">
        <f aca="false">IF(AF121="","",INDEX($CI$10:$CI$309,MATCH(AF121,$CH$10:$CH$309,0)))</f>
        <v>3.26</v>
      </c>
      <c r="AH121" s="55" t="n">
        <f aca="false">IF(AF121="",NA(),AF121)</f>
        <v>46250</v>
      </c>
      <c r="AI121" s="56" t="n">
        <f aca="false">IF(AG121="",NA(),AG121)</f>
        <v>3.26</v>
      </c>
      <c r="AU121" s="44" t="str">
        <f aca="false">IF(112&lt;=$C$8,112,"")</f>
        <v/>
      </c>
      <c r="AV121" s="44" t="str">
        <f aca="false">IF(AU121="","",INDEX($AG$10:$AG$309,$B$8+112-1))</f>
        <v/>
      </c>
      <c r="AW121" s="44" t="e">
        <f aca="false">IF(AV121="",NA(),AV121)</f>
        <v>#N/A</v>
      </c>
      <c r="AX121" s="44" t="e">
        <f aca="false">IF(AV121="",NA(),AU121)</f>
        <v>#N/A</v>
      </c>
      <c r="AY121" s="44" t="str">
        <f aca="false">IF(AV121="","",LN(AV121))</f>
        <v/>
      </c>
      <c r="CH121" s="55" t="n">
        <f aca="false">IF(ISNUMBER(CI121),IF(ISNUMBER('Base de Datos'!AG117),IF('Base de Datos'!AG117&gt;20000,INT('Base de Datos'!AG117),""),IF(TRIM('Base de Datos'!AG117)="","",IFERROR(DATE(VALUE(RIGHT(TRIM('Base de Datos'!AG117),4)),VALUE(MID(TRIM('Base de Datos'!AG117),4,2)),VALUE(LEFT(TRIM('Base de Datos'!AG117),2))),IFERROR(DATEVALUE(TRIM('Base de Datos'!AG117)),"")))),"")</f>
        <v>46250</v>
      </c>
      <c r="CI121" s="56" t="n">
        <f aca="false">IF(ISNUMBER('Base de Datos'!AH117),'Base de Datos'!AH117,IF(TRIM('Base de Datos'!AH117)="","",IFERROR(IF(IFERROR(FIND("@",SUBSTITUTE(TRIM('Base de Datos'!AH117),",","@",LEN(TRIM('Base de Datos'!AH117))-LEN(SUBSTITUTE(TRIM('Base de Datos'!AH117),",","")))),0)&gt;IFERROR(FIND("@",SUBSTITUTE(TRIM('Base de Datos'!AH117),".","@",LEN(TRIM('Base de Datos'!AH117))-LEN(SUBSTITUTE(TRIM('Base de Datos'!AH117),".","")))),0),_xlfn.NUMBERVALUE(SUBSTITUTE(SUBSTITUTE(TRIM('Base de Datos'!AH117),".",""),",","."),".",","),_xlfn.NUMBERVALUE(SUBSTITUTE(TRIM('Base de Datos'!AH117),",",""),".",",")),"")))</f>
        <v>3.26</v>
      </c>
    </row>
    <row r="122" customFormat="false" ht="13.8" hidden="false" customHeight="false" outlineLevel="0" collapsed="false">
      <c r="AE122" s="44" t="n">
        <v>113</v>
      </c>
      <c r="AF122" s="55" t="n">
        <f aca="false">IF(AF121="","",IFERROR(SMALL($CH$10:$CH$309,COUNTIF($CH$10:$CH$309,"&lt;="&amp;AF121)+1),""))</f>
        <v>46266</v>
      </c>
      <c r="AG122" s="56" t="n">
        <f aca="false">IF(AF122="","",INDEX($CI$10:$CI$309,MATCH(AF122,$CH$10:$CH$309,0)))</f>
        <v>3.42</v>
      </c>
      <c r="AH122" s="55" t="n">
        <f aca="false">IF(AF122="",NA(),AF122)</f>
        <v>46266</v>
      </c>
      <c r="AI122" s="56" t="n">
        <f aca="false">IF(AG122="",NA(),AG122)</f>
        <v>3.42</v>
      </c>
      <c r="AU122" s="44" t="str">
        <f aca="false">IF(113&lt;=$C$8,113,"")</f>
        <v/>
      </c>
      <c r="AV122" s="44" t="str">
        <f aca="false">IF(AU122="","",INDEX($AG$10:$AG$309,$B$8+113-1))</f>
        <v/>
      </c>
      <c r="AW122" s="44" t="e">
        <f aca="false">IF(AV122="",NA(),AV122)</f>
        <v>#N/A</v>
      </c>
      <c r="AX122" s="44" t="e">
        <f aca="false">IF(AV122="",NA(),AU122)</f>
        <v>#N/A</v>
      </c>
      <c r="AY122" s="44" t="str">
        <f aca="false">IF(AV122="","",LN(AV122))</f>
        <v/>
      </c>
      <c r="CH122" s="55" t="n">
        <f aca="false">IF(ISNUMBER(CI122),IF(ISNUMBER('Base de Datos'!AG118),IF('Base de Datos'!AG118&gt;20000,INT('Base de Datos'!AG118),""),IF(TRIM('Base de Datos'!AG118)="","",IFERROR(DATE(VALUE(RIGHT(TRIM('Base de Datos'!AG118),4)),VALUE(MID(TRIM('Base de Datos'!AG118),4,2)),VALUE(LEFT(TRIM('Base de Datos'!AG118),2))),IFERROR(DATEVALUE(TRIM('Base de Datos'!AG118)),"")))),"")</f>
        <v>46266</v>
      </c>
      <c r="CI122" s="56" t="n">
        <f aca="false">IF(ISNUMBER('Base de Datos'!AH118),'Base de Datos'!AH118,IF(TRIM('Base de Datos'!AH118)="","",IFERROR(IF(IFERROR(FIND("@",SUBSTITUTE(TRIM('Base de Datos'!AH118),",","@",LEN(TRIM('Base de Datos'!AH118))-LEN(SUBSTITUTE(TRIM('Base de Datos'!AH118),",","")))),0)&gt;IFERROR(FIND("@",SUBSTITUTE(TRIM('Base de Datos'!AH118),".","@",LEN(TRIM('Base de Datos'!AH118))-LEN(SUBSTITUTE(TRIM('Base de Datos'!AH118),".","")))),0),_xlfn.NUMBERVALUE(SUBSTITUTE(SUBSTITUTE(TRIM('Base de Datos'!AH118),".",""),",","."),".",","),_xlfn.NUMBERVALUE(SUBSTITUTE(TRIM('Base de Datos'!AH118),",",""),".",",")),"")))</f>
        <v>3.42</v>
      </c>
    </row>
    <row r="123" customFormat="false" ht="13.8" hidden="false" customHeight="false" outlineLevel="0" collapsed="false">
      <c r="AE123" s="44" t="n">
        <v>114</v>
      </c>
      <c r="AF123" s="55" t="str">
        <f aca="false">IF(AF122="","",IFERROR(SMALL($CH$10:$CH$309,COUNTIF($CH$10:$CH$309,"&lt;="&amp;AF122)+1),""))</f>
        <v/>
      </c>
      <c r="AG123" s="44" t="str">
        <f aca="false">IF(AF123="","",INDEX($CI$10:$CI$309,MATCH(AF123,$CH$10:$CH$309,0)))</f>
        <v/>
      </c>
      <c r="AH123" s="55" t="e">
        <f aca="false">IF(AF123="",NA(),AF123)</f>
        <v>#N/A</v>
      </c>
      <c r="AI123" s="44" t="e">
        <f aca="false">IF(AG123="",NA(),AG123)</f>
        <v>#N/A</v>
      </c>
      <c r="AU123" s="44" t="str">
        <f aca="false">IF(114&lt;=$C$8,114,"")</f>
        <v/>
      </c>
      <c r="AV123" s="44" t="str">
        <f aca="false">IF(AU123="","",INDEX($AG$10:$AG$309,$B$8+114-1))</f>
        <v/>
      </c>
      <c r="AW123" s="44" t="e">
        <f aca="false">IF(AV123="",NA(),AV123)</f>
        <v>#N/A</v>
      </c>
      <c r="AX123" s="44" t="e">
        <f aca="false">IF(AV123="",NA(),AU123)</f>
        <v>#N/A</v>
      </c>
      <c r="AY123" s="44" t="str">
        <f aca="false">IF(AV123="","",LN(AV123))</f>
        <v/>
      </c>
      <c r="CH123" s="55" t="str">
        <f aca="false">IF(ISNUMBER(CI123),IF(ISNUMBER('Base de Datos'!AG119),IF('Base de Datos'!AG119&gt;20000,INT('Base de Datos'!AG119),""),IF(TRIM('Base de Datos'!AG119)="","",IFERROR(DATE(VALUE(RIGHT(TRIM('Base de Datos'!AG119),4)),VALUE(MID(TRIM('Base de Datos'!AG119),4,2)),VALUE(LEFT(TRIM('Base de Datos'!AG119),2))),IFERROR(DATEVALUE(TRIM('Base de Datos'!AG119)),"")))),"")</f>
        <v/>
      </c>
      <c r="CI123" s="44" t="str">
        <f aca="false">IF(ISNUMBER('Base de Datos'!AH119),'Base de Datos'!AH119,IF(TRIM('Base de Datos'!AH119)="","",IFERROR(IF(IFERROR(FIND("@",SUBSTITUTE(TRIM('Base de Datos'!AH119),",","@",LEN(TRIM('Base de Datos'!AH119))-LEN(SUBSTITUTE(TRIM('Base de Datos'!AH119),",","")))),0)&gt;IFERROR(FIND("@",SUBSTITUTE(TRIM('Base de Datos'!AH119),".","@",LEN(TRIM('Base de Datos'!AH119))-LEN(SUBSTITUTE(TRIM('Base de Datos'!AH119),".","")))),0),_xlfn.NUMBERVALUE(SUBSTITUTE(SUBSTITUTE(TRIM('Base de Datos'!AH119),".",""),",","."),".",","),_xlfn.NUMBERVALUE(SUBSTITUTE(TRIM('Base de Datos'!AH119),",",""),".",",")),"")))</f>
        <v/>
      </c>
    </row>
    <row r="124" customFormat="false" ht="13.8" hidden="false" customHeight="false" outlineLevel="0" collapsed="false">
      <c r="AE124" s="44" t="n">
        <v>115</v>
      </c>
      <c r="AF124" s="55" t="str">
        <f aca="false">IF(AF123="","",IFERROR(SMALL($CH$10:$CH$309,COUNTIF($CH$10:$CH$309,"&lt;="&amp;AF123)+1),""))</f>
        <v/>
      </c>
      <c r="AG124" s="44" t="str">
        <f aca="false">IF(AF124="","",INDEX($CI$10:$CI$309,MATCH(AF124,$CH$10:$CH$309,0)))</f>
        <v/>
      </c>
      <c r="AH124" s="55" t="e">
        <f aca="false">IF(AF124="",NA(),AF124)</f>
        <v>#N/A</v>
      </c>
      <c r="AI124" s="44" t="e">
        <f aca="false">IF(AG124="",NA(),AG124)</f>
        <v>#N/A</v>
      </c>
      <c r="AU124" s="44" t="str">
        <f aca="false">IF(115&lt;=$C$8,115,"")</f>
        <v/>
      </c>
      <c r="AV124" s="44" t="str">
        <f aca="false">IF(AU124="","",INDEX($AG$10:$AG$309,$B$8+115-1))</f>
        <v/>
      </c>
      <c r="AW124" s="44" t="e">
        <f aca="false">IF(AV124="",NA(),AV124)</f>
        <v>#N/A</v>
      </c>
      <c r="AX124" s="44" t="e">
        <f aca="false">IF(AV124="",NA(),AU124)</f>
        <v>#N/A</v>
      </c>
      <c r="AY124" s="44" t="str">
        <f aca="false">IF(AV124="","",LN(AV124))</f>
        <v/>
      </c>
      <c r="CH124" s="55" t="str">
        <f aca="false">IF(ISNUMBER(CI124),IF(ISNUMBER('Base de Datos'!AG120),IF('Base de Datos'!AG120&gt;20000,INT('Base de Datos'!AG120),""),IF(TRIM('Base de Datos'!AG120)="","",IFERROR(DATE(VALUE(RIGHT(TRIM('Base de Datos'!AG120),4)),VALUE(MID(TRIM('Base de Datos'!AG120),4,2)),VALUE(LEFT(TRIM('Base de Datos'!AG120),2))),IFERROR(DATEVALUE(TRIM('Base de Datos'!AG120)),"")))),"")</f>
        <v/>
      </c>
      <c r="CI124" s="44" t="str">
        <f aca="false">IF(ISNUMBER('Base de Datos'!AH120),'Base de Datos'!AH120,IF(TRIM('Base de Datos'!AH120)="","",IFERROR(IF(IFERROR(FIND("@",SUBSTITUTE(TRIM('Base de Datos'!AH120),",","@",LEN(TRIM('Base de Datos'!AH120))-LEN(SUBSTITUTE(TRIM('Base de Datos'!AH120),",","")))),0)&gt;IFERROR(FIND("@",SUBSTITUTE(TRIM('Base de Datos'!AH120),".","@",LEN(TRIM('Base de Datos'!AH120))-LEN(SUBSTITUTE(TRIM('Base de Datos'!AH120),".","")))),0),_xlfn.NUMBERVALUE(SUBSTITUTE(SUBSTITUTE(TRIM('Base de Datos'!AH120),".",""),",","."),".",","),_xlfn.NUMBERVALUE(SUBSTITUTE(TRIM('Base de Datos'!AH120),",",""),".",",")),"")))</f>
        <v/>
      </c>
    </row>
    <row r="125" customFormat="false" ht="13.8" hidden="false" customHeight="false" outlineLevel="0" collapsed="false">
      <c r="AE125" s="44" t="n">
        <v>116</v>
      </c>
      <c r="AF125" s="55" t="str">
        <f aca="false">IF(AF124="","",IFERROR(SMALL($CH$10:$CH$309,COUNTIF($CH$10:$CH$309,"&lt;="&amp;AF124)+1),""))</f>
        <v/>
      </c>
      <c r="AG125" s="44" t="str">
        <f aca="false">IF(AF125="","",INDEX($CI$10:$CI$309,MATCH(AF125,$CH$10:$CH$309,0)))</f>
        <v/>
      </c>
      <c r="AH125" s="55" t="e">
        <f aca="false">IF(AF125="",NA(),AF125)</f>
        <v>#N/A</v>
      </c>
      <c r="AI125" s="44" t="e">
        <f aca="false">IF(AG125="",NA(),AG125)</f>
        <v>#N/A</v>
      </c>
      <c r="AU125" s="44" t="str">
        <f aca="false">IF(116&lt;=$C$8,116,"")</f>
        <v/>
      </c>
      <c r="AV125" s="44" t="str">
        <f aca="false">IF(AU125="","",INDEX($AG$10:$AG$309,$B$8+116-1))</f>
        <v/>
      </c>
      <c r="AW125" s="44" t="e">
        <f aca="false">IF(AV125="",NA(),AV125)</f>
        <v>#N/A</v>
      </c>
      <c r="AX125" s="44" t="e">
        <f aca="false">IF(AV125="",NA(),AU125)</f>
        <v>#N/A</v>
      </c>
      <c r="AY125" s="44" t="str">
        <f aca="false">IF(AV125="","",LN(AV125))</f>
        <v/>
      </c>
      <c r="CH125" s="55" t="str">
        <f aca="false">IF(ISNUMBER(CI125),IF(ISNUMBER('Base de Datos'!AG121),IF('Base de Datos'!AG121&gt;20000,INT('Base de Datos'!AG121),""),IF(TRIM('Base de Datos'!AG121)="","",IFERROR(DATE(VALUE(RIGHT(TRIM('Base de Datos'!AG121),4)),VALUE(MID(TRIM('Base de Datos'!AG121),4,2)),VALUE(LEFT(TRIM('Base de Datos'!AG121),2))),IFERROR(DATEVALUE(TRIM('Base de Datos'!AG121)),"")))),"")</f>
        <v/>
      </c>
      <c r="CI125" s="44" t="str">
        <f aca="false">IF(ISNUMBER('Base de Datos'!AH121),'Base de Datos'!AH121,IF(TRIM('Base de Datos'!AH121)="","",IFERROR(IF(IFERROR(FIND("@",SUBSTITUTE(TRIM('Base de Datos'!AH121),",","@",LEN(TRIM('Base de Datos'!AH121))-LEN(SUBSTITUTE(TRIM('Base de Datos'!AH121),",","")))),0)&gt;IFERROR(FIND("@",SUBSTITUTE(TRIM('Base de Datos'!AH121),".","@",LEN(TRIM('Base de Datos'!AH121))-LEN(SUBSTITUTE(TRIM('Base de Datos'!AH121),".","")))),0),_xlfn.NUMBERVALUE(SUBSTITUTE(SUBSTITUTE(TRIM('Base de Datos'!AH121),".",""),",","."),".",","),_xlfn.NUMBERVALUE(SUBSTITUTE(TRIM('Base de Datos'!AH121),",",""),".",",")),"")))</f>
        <v/>
      </c>
    </row>
    <row r="126" customFormat="false" ht="13.8" hidden="false" customHeight="false" outlineLevel="0" collapsed="false">
      <c r="AE126" s="44" t="n">
        <v>117</v>
      </c>
      <c r="AF126" s="55" t="str">
        <f aca="false">IF(AF125="","",IFERROR(SMALL($CH$10:$CH$309,COUNTIF($CH$10:$CH$309,"&lt;="&amp;AF125)+1),""))</f>
        <v/>
      </c>
      <c r="AG126" s="44" t="str">
        <f aca="false">IF(AF126="","",INDEX($CI$10:$CI$309,MATCH(AF126,$CH$10:$CH$309,0)))</f>
        <v/>
      </c>
      <c r="AH126" s="55" t="e">
        <f aca="false">IF(AF126="",NA(),AF126)</f>
        <v>#N/A</v>
      </c>
      <c r="AI126" s="44" t="e">
        <f aca="false">IF(AG126="",NA(),AG126)</f>
        <v>#N/A</v>
      </c>
      <c r="AU126" s="44" t="str">
        <f aca="false">IF(117&lt;=$C$8,117,"")</f>
        <v/>
      </c>
      <c r="AV126" s="44" t="str">
        <f aca="false">IF(AU126="","",INDEX($AG$10:$AG$309,$B$8+117-1))</f>
        <v/>
      </c>
      <c r="AW126" s="44" t="e">
        <f aca="false">IF(AV126="",NA(),AV126)</f>
        <v>#N/A</v>
      </c>
      <c r="AX126" s="44" t="e">
        <f aca="false">IF(AV126="",NA(),AU126)</f>
        <v>#N/A</v>
      </c>
      <c r="AY126" s="44" t="str">
        <f aca="false">IF(AV126="","",LN(AV126))</f>
        <v/>
      </c>
      <c r="CH126" s="55" t="str">
        <f aca="false">IF(ISNUMBER(CI126),IF(ISNUMBER('Base de Datos'!AG122),IF('Base de Datos'!AG122&gt;20000,INT('Base de Datos'!AG122),""),IF(TRIM('Base de Datos'!AG122)="","",IFERROR(DATE(VALUE(RIGHT(TRIM('Base de Datos'!AG122),4)),VALUE(MID(TRIM('Base de Datos'!AG122),4,2)),VALUE(LEFT(TRIM('Base de Datos'!AG122),2))),IFERROR(DATEVALUE(TRIM('Base de Datos'!AG122)),"")))),"")</f>
        <v/>
      </c>
      <c r="CI126" s="44" t="str">
        <f aca="false">IF(ISNUMBER('Base de Datos'!AH122),'Base de Datos'!AH122,IF(TRIM('Base de Datos'!AH122)="","",IFERROR(IF(IFERROR(FIND("@",SUBSTITUTE(TRIM('Base de Datos'!AH122),",","@",LEN(TRIM('Base de Datos'!AH122))-LEN(SUBSTITUTE(TRIM('Base de Datos'!AH122),",","")))),0)&gt;IFERROR(FIND("@",SUBSTITUTE(TRIM('Base de Datos'!AH122),".","@",LEN(TRIM('Base de Datos'!AH122))-LEN(SUBSTITUTE(TRIM('Base de Datos'!AH122),".","")))),0),_xlfn.NUMBERVALUE(SUBSTITUTE(SUBSTITUTE(TRIM('Base de Datos'!AH122),".",""),",","."),".",","),_xlfn.NUMBERVALUE(SUBSTITUTE(TRIM('Base de Datos'!AH122),",",""),".",",")),"")))</f>
        <v/>
      </c>
    </row>
    <row r="127" customFormat="false" ht="13.8" hidden="false" customHeight="false" outlineLevel="0" collapsed="false">
      <c r="AE127" s="44" t="n">
        <v>118</v>
      </c>
      <c r="AF127" s="55" t="str">
        <f aca="false">IF(AF126="","",IFERROR(SMALL($CH$10:$CH$309,COUNTIF($CH$10:$CH$309,"&lt;="&amp;AF126)+1),""))</f>
        <v/>
      </c>
      <c r="AG127" s="44" t="str">
        <f aca="false">IF(AF127="","",INDEX($CI$10:$CI$309,MATCH(AF127,$CH$10:$CH$309,0)))</f>
        <v/>
      </c>
      <c r="AH127" s="55" t="e">
        <f aca="false">IF(AF127="",NA(),AF127)</f>
        <v>#N/A</v>
      </c>
      <c r="AI127" s="44" t="e">
        <f aca="false">IF(AG127="",NA(),AG127)</f>
        <v>#N/A</v>
      </c>
      <c r="AU127" s="44" t="str">
        <f aca="false">IF(118&lt;=$C$8,118,"")</f>
        <v/>
      </c>
      <c r="AV127" s="44" t="str">
        <f aca="false">IF(AU127="","",INDEX($AG$10:$AG$309,$B$8+118-1))</f>
        <v/>
      </c>
      <c r="AW127" s="44" t="e">
        <f aca="false">IF(AV127="",NA(),AV127)</f>
        <v>#N/A</v>
      </c>
      <c r="AX127" s="44" t="e">
        <f aca="false">IF(AV127="",NA(),AU127)</f>
        <v>#N/A</v>
      </c>
      <c r="AY127" s="44" t="str">
        <f aca="false">IF(AV127="","",LN(AV127))</f>
        <v/>
      </c>
      <c r="CH127" s="55" t="str">
        <f aca="false">IF(ISNUMBER(CI127),IF(ISNUMBER('Base de Datos'!AG123),IF('Base de Datos'!AG123&gt;20000,INT('Base de Datos'!AG123),""),IF(TRIM('Base de Datos'!AG123)="","",IFERROR(DATE(VALUE(RIGHT(TRIM('Base de Datos'!AG123),4)),VALUE(MID(TRIM('Base de Datos'!AG123),4,2)),VALUE(LEFT(TRIM('Base de Datos'!AG123),2))),IFERROR(DATEVALUE(TRIM('Base de Datos'!AG123)),"")))),"")</f>
        <v/>
      </c>
      <c r="CI127" s="44" t="str">
        <f aca="false">IF(ISNUMBER('Base de Datos'!AH123),'Base de Datos'!AH123,IF(TRIM('Base de Datos'!AH123)="","",IFERROR(IF(IFERROR(FIND("@",SUBSTITUTE(TRIM('Base de Datos'!AH123),",","@",LEN(TRIM('Base de Datos'!AH123))-LEN(SUBSTITUTE(TRIM('Base de Datos'!AH123),",","")))),0)&gt;IFERROR(FIND("@",SUBSTITUTE(TRIM('Base de Datos'!AH123),".","@",LEN(TRIM('Base de Datos'!AH123))-LEN(SUBSTITUTE(TRIM('Base de Datos'!AH123),".","")))),0),_xlfn.NUMBERVALUE(SUBSTITUTE(SUBSTITUTE(TRIM('Base de Datos'!AH123),".",""),",","."),".",","),_xlfn.NUMBERVALUE(SUBSTITUTE(TRIM('Base de Datos'!AH123),",",""),".",",")),"")))</f>
        <v/>
      </c>
    </row>
    <row r="128" customFormat="false" ht="13.8" hidden="false" customHeight="false" outlineLevel="0" collapsed="false">
      <c r="AE128" s="44" t="n">
        <v>119</v>
      </c>
      <c r="AF128" s="55" t="str">
        <f aca="false">IF(AF127="","",IFERROR(SMALL($CH$10:$CH$309,COUNTIF($CH$10:$CH$309,"&lt;="&amp;AF127)+1),""))</f>
        <v/>
      </c>
      <c r="AG128" s="44" t="str">
        <f aca="false">IF(AF128="","",INDEX($CI$10:$CI$309,MATCH(AF128,$CH$10:$CH$309,0)))</f>
        <v/>
      </c>
      <c r="AH128" s="55" t="e">
        <f aca="false">IF(AF128="",NA(),AF128)</f>
        <v>#N/A</v>
      </c>
      <c r="AI128" s="44" t="e">
        <f aca="false">IF(AG128="",NA(),AG128)</f>
        <v>#N/A</v>
      </c>
      <c r="AU128" s="44" t="str">
        <f aca="false">IF(119&lt;=$C$8,119,"")</f>
        <v/>
      </c>
      <c r="AV128" s="44" t="str">
        <f aca="false">IF(AU128="","",INDEX($AG$10:$AG$309,$B$8+119-1))</f>
        <v/>
      </c>
      <c r="AW128" s="44" t="e">
        <f aca="false">IF(AV128="",NA(),AV128)</f>
        <v>#N/A</v>
      </c>
      <c r="AX128" s="44" t="e">
        <f aca="false">IF(AV128="",NA(),AU128)</f>
        <v>#N/A</v>
      </c>
      <c r="AY128" s="44" t="str">
        <f aca="false">IF(AV128="","",LN(AV128))</f>
        <v/>
      </c>
      <c r="CH128" s="55" t="str">
        <f aca="false">IF(ISNUMBER(CI128),IF(ISNUMBER('Base de Datos'!AG124),IF('Base de Datos'!AG124&gt;20000,INT('Base de Datos'!AG124),""),IF(TRIM('Base de Datos'!AG124)="","",IFERROR(DATE(VALUE(RIGHT(TRIM('Base de Datos'!AG124),4)),VALUE(MID(TRIM('Base de Datos'!AG124),4,2)),VALUE(LEFT(TRIM('Base de Datos'!AG124),2))),IFERROR(DATEVALUE(TRIM('Base de Datos'!AG124)),"")))),"")</f>
        <v/>
      </c>
      <c r="CI128" s="44" t="str">
        <f aca="false">IF(ISNUMBER('Base de Datos'!AH124),'Base de Datos'!AH124,IF(TRIM('Base de Datos'!AH124)="","",IFERROR(IF(IFERROR(FIND("@",SUBSTITUTE(TRIM('Base de Datos'!AH124),",","@",LEN(TRIM('Base de Datos'!AH124))-LEN(SUBSTITUTE(TRIM('Base de Datos'!AH124),",","")))),0)&gt;IFERROR(FIND("@",SUBSTITUTE(TRIM('Base de Datos'!AH124),".","@",LEN(TRIM('Base de Datos'!AH124))-LEN(SUBSTITUTE(TRIM('Base de Datos'!AH124),".","")))),0),_xlfn.NUMBERVALUE(SUBSTITUTE(SUBSTITUTE(TRIM('Base de Datos'!AH124),".",""),",","."),".",","),_xlfn.NUMBERVALUE(SUBSTITUTE(TRIM('Base de Datos'!AH124),",",""),".",",")),"")))</f>
        <v/>
      </c>
    </row>
    <row r="129" customFormat="false" ht="13.8" hidden="false" customHeight="false" outlineLevel="0" collapsed="false">
      <c r="AE129" s="44" t="n">
        <v>120</v>
      </c>
      <c r="AF129" s="55" t="str">
        <f aca="false">IF(AF128="","",IFERROR(SMALL($CH$10:$CH$309,COUNTIF($CH$10:$CH$309,"&lt;="&amp;AF128)+1),""))</f>
        <v/>
      </c>
      <c r="AG129" s="44" t="str">
        <f aca="false">IF(AF129="","",INDEX($CI$10:$CI$309,MATCH(AF129,$CH$10:$CH$309,0)))</f>
        <v/>
      </c>
      <c r="AH129" s="55" t="e">
        <f aca="false">IF(AF129="",NA(),AF129)</f>
        <v>#N/A</v>
      </c>
      <c r="AI129" s="44" t="e">
        <f aca="false">IF(AG129="",NA(),AG129)</f>
        <v>#N/A</v>
      </c>
      <c r="AU129" s="44" t="str">
        <f aca="false">IF(120&lt;=$C$8,120,"")</f>
        <v/>
      </c>
      <c r="AV129" s="44" t="str">
        <f aca="false">IF(AU129="","",INDEX($AG$10:$AG$309,$B$8+120-1))</f>
        <v/>
      </c>
      <c r="AW129" s="44" t="e">
        <f aca="false">IF(AV129="",NA(),AV129)</f>
        <v>#N/A</v>
      </c>
      <c r="AX129" s="44" t="e">
        <f aca="false">IF(AV129="",NA(),AU129)</f>
        <v>#N/A</v>
      </c>
      <c r="AY129" s="44" t="str">
        <f aca="false">IF(AV129="","",LN(AV129))</f>
        <v/>
      </c>
      <c r="CH129" s="55" t="str">
        <f aca="false">IF(ISNUMBER(CI129),IF(ISNUMBER('Base de Datos'!AG125),IF('Base de Datos'!AG125&gt;20000,INT('Base de Datos'!AG125),""),IF(TRIM('Base de Datos'!AG125)="","",IFERROR(DATE(VALUE(RIGHT(TRIM('Base de Datos'!AG125),4)),VALUE(MID(TRIM('Base de Datos'!AG125),4,2)),VALUE(LEFT(TRIM('Base de Datos'!AG125),2))),IFERROR(DATEVALUE(TRIM('Base de Datos'!AG125)),"")))),"")</f>
        <v/>
      </c>
      <c r="CI129" s="44" t="str">
        <f aca="false">IF(ISNUMBER('Base de Datos'!AH125),'Base de Datos'!AH125,IF(TRIM('Base de Datos'!AH125)="","",IFERROR(IF(IFERROR(FIND("@",SUBSTITUTE(TRIM('Base de Datos'!AH125),",","@",LEN(TRIM('Base de Datos'!AH125))-LEN(SUBSTITUTE(TRIM('Base de Datos'!AH125),",","")))),0)&gt;IFERROR(FIND("@",SUBSTITUTE(TRIM('Base de Datos'!AH125),".","@",LEN(TRIM('Base de Datos'!AH125))-LEN(SUBSTITUTE(TRIM('Base de Datos'!AH125),".","")))),0),_xlfn.NUMBERVALUE(SUBSTITUTE(SUBSTITUTE(TRIM('Base de Datos'!AH125),".",""),",","."),".",","),_xlfn.NUMBERVALUE(SUBSTITUTE(TRIM('Base de Datos'!AH125),",",""),".",",")),"")))</f>
        <v/>
      </c>
    </row>
    <row r="130" customFormat="false" ht="13.8" hidden="false" customHeight="false" outlineLevel="0" collapsed="false">
      <c r="AE130" s="44" t="n">
        <v>121</v>
      </c>
      <c r="AF130" s="55" t="str">
        <f aca="false">IF(AF129="","",IFERROR(SMALL($CH$10:$CH$309,COUNTIF($CH$10:$CH$309,"&lt;="&amp;AF129)+1),""))</f>
        <v/>
      </c>
      <c r="AG130" s="44" t="str">
        <f aca="false">IF(AF130="","",INDEX($CI$10:$CI$309,MATCH(AF130,$CH$10:$CH$309,0)))</f>
        <v/>
      </c>
      <c r="AH130" s="55" t="e">
        <f aca="false">IF(AF130="",NA(),AF130)</f>
        <v>#N/A</v>
      </c>
      <c r="AI130" s="44" t="e">
        <f aca="false">IF(AG130="",NA(),AG130)</f>
        <v>#N/A</v>
      </c>
      <c r="AU130" s="44" t="str">
        <f aca="false">IF(121&lt;=$C$8,121,"")</f>
        <v/>
      </c>
      <c r="AV130" s="44" t="str">
        <f aca="false">IF(AU130="","",INDEX($AG$10:$AG$309,$B$8+121-1))</f>
        <v/>
      </c>
      <c r="AW130" s="44" t="e">
        <f aca="false">IF(AV130="",NA(),AV130)</f>
        <v>#N/A</v>
      </c>
      <c r="AX130" s="44" t="e">
        <f aca="false">IF(AV130="",NA(),AU130)</f>
        <v>#N/A</v>
      </c>
      <c r="AY130" s="44" t="str">
        <f aca="false">IF(AV130="","",LN(AV130))</f>
        <v/>
      </c>
      <c r="CH130" s="55" t="str">
        <f aca="false">IF(ISNUMBER(CI130),IF(ISNUMBER('Base de Datos'!AG126),IF('Base de Datos'!AG126&gt;20000,INT('Base de Datos'!AG126),""),IF(TRIM('Base de Datos'!AG126)="","",IFERROR(DATE(VALUE(RIGHT(TRIM('Base de Datos'!AG126),4)),VALUE(MID(TRIM('Base de Datos'!AG126),4,2)),VALUE(LEFT(TRIM('Base de Datos'!AG126),2))),IFERROR(DATEVALUE(TRIM('Base de Datos'!AG126)),"")))),"")</f>
        <v/>
      </c>
      <c r="CI130" s="44" t="str">
        <f aca="false">IF(ISNUMBER('Base de Datos'!AH126),'Base de Datos'!AH126,IF(TRIM('Base de Datos'!AH126)="","",IFERROR(IF(IFERROR(FIND("@",SUBSTITUTE(TRIM('Base de Datos'!AH126),",","@",LEN(TRIM('Base de Datos'!AH126))-LEN(SUBSTITUTE(TRIM('Base de Datos'!AH126),",","")))),0)&gt;IFERROR(FIND("@",SUBSTITUTE(TRIM('Base de Datos'!AH126),".","@",LEN(TRIM('Base de Datos'!AH126))-LEN(SUBSTITUTE(TRIM('Base de Datos'!AH126),".","")))),0),_xlfn.NUMBERVALUE(SUBSTITUTE(SUBSTITUTE(TRIM('Base de Datos'!AH126),".",""),",","."),".",","),_xlfn.NUMBERVALUE(SUBSTITUTE(TRIM('Base de Datos'!AH126),",",""),".",",")),"")))</f>
        <v/>
      </c>
    </row>
    <row r="131" customFormat="false" ht="13.8" hidden="false" customHeight="false" outlineLevel="0" collapsed="false">
      <c r="AE131" s="44" t="n">
        <v>122</v>
      </c>
      <c r="AF131" s="55" t="str">
        <f aca="false">IF(AF130="","",IFERROR(SMALL($CH$10:$CH$309,COUNTIF($CH$10:$CH$309,"&lt;="&amp;AF130)+1),""))</f>
        <v/>
      </c>
      <c r="AG131" s="44" t="str">
        <f aca="false">IF(AF131="","",INDEX($CI$10:$CI$309,MATCH(AF131,$CH$10:$CH$309,0)))</f>
        <v/>
      </c>
      <c r="AH131" s="55" t="e">
        <f aca="false">IF(AF131="",NA(),AF131)</f>
        <v>#N/A</v>
      </c>
      <c r="AI131" s="44" t="e">
        <f aca="false">IF(AG131="",NA(),AG131)</f>
        <v>#N/A</v>
      </c>
      <c r="AU131" s="44" t="str">
        <f aca="false">IF(122&lt;=$C$8,122,"")</f>
        <v/>
      </c>
      <c r="AV131" s="44" t="str">
        <f aca="false">IF(AU131="","",INDEX($AG$10:$AG$309,$B$8+122-1))</f>
        <v/>
      </c>
      <c r="AW131" s="44" t="e">
        <f aca="false">IF(AV131="",NA(),AV131)</f>
        <v>#N/A</v>
      </c>
      <c r="AX131" s="44" t="e">
        <f aca="false">IF(AV131="",NA(),AU131)</f>
        <v>#N/A</v>
      </c>
      <c r="AY131" s="44" t="str">
        <f aca="false">IF(AV131="","",LN(AV131))</f>
        <v/>
      </c>
      <c r="CH131" s="55" t="str">
        <f aca="false">IF(ISNUMBER(CI131),IF(ISNUMBER('Base de Datos'!AG127),IF('Base de Datos'!AG127&gt;20000,INT('Base de Datos'!AG127),""),IF(TRIM('Base de Datos'!AG127)="","",IFERROR(DATE(VALUE(RIGHT(TRIM('Base de Datos'!AG127),4)),VALUE(MID(TRIM('Base de Datos'!AG127),4,2)),VALUE(LEFT(TRIM('Base de Datos'!AG127),2))),IFERROR(DATEVALUE(TRIM('Base de Datos'!AG127)),"")))),"")</f>
        <v/>
      </c>
      <c r="CI131" s="44" t="str">
        <f aca="false">IF(ISNUMBER('Base de Datos'!AH127),'Base de Datos'!AH127,IF(TRIM('Base de Datos'!AH127)="","",IFERROR(IF(IFERROR(FIND("@",SUBSTITUTE(TRIM('Base de Datos'!AH127),",","@",LEN(TRIM('Base de Datos'!AH127))-LEN(SUBSTITUTE(TRIM('Base de Datos'!AH127),",","")))),0)&gt;IFERROR(FIND("@",SUBSTITUTE(TRIM('Base de Datos'!AH127),".","@",LEN(TRIM('Base de Datos'!AH127))-LEN(SUBSTITUTE(TRIM('Base de Datos'!AH127),".","")))),0),_xlfn.NUMBERVALUE(SUBSTITUTE(SUBSTITUTE(TRIM('Base de Datos'!AH127),".",""),",","."),".",","),_xlfn.NUMBERVALUE(SUBSTITUTE(TRIM('Base de Datos'!AH127),",",""),".",",")),"")))</f>
        <v/>
      </c>
    </row>
    <row r="132" customFormat="false" ht="13.8" hidden="false" customHeight="false" outlineLevel="0" collapsed="false">
      <c r="AE132" s="44" t="n">
        <v>123</v>
      </c>
      <c r="AF132" s="55" t="str">
        <f aca="false">IF(AF131="","",IFERROR(SMALL($CH$10:$CH$309,COUNTIF($CH$10:$CH$309,"&lt;="&amp;AF131)+1),""))</f>
        <v/>
      </c>
      <c r="AG132" s="44" t="str">
        <f aca="false">IF(AF132="","",INDEX($CI$10:$CI$309,MATCH(AF132,$CH$10:$CH$309,0)))</f>
        <v/>
      </c>
      <c r="AH132" s="55" t="e">
        <f aca="false">IF(AF132="",NA(),AF132)</f>
        <v>#N/A</v>
      </c>
      <c r="AI132" s="44" t="e">
        <f aca="false">IF(AG132="",NA(),AG132)</f>
        <v>#N/A</v>
      </c>
      <c r="AU132" s="44" t="str">
        <f aca="false">IF(123&lt;=$C$8,123,"")</f>
        <v/>
      </c>
      <c r="AV132" s="44" t="str">
        <f aca="false">IF(AU132="","",INDEX($AG$10:$AG$309,$B$8+123-1))</f>
        <v/>
      </c>
      <c r="AW132" s="44" t="e">
        <f aca="false">IF(AV132="",NA(),AV132)</f>
        <v>#N/A</v>
      </c>
      <c r="AX132" s="44" t="e">
        <f aca="false">IF(AV132="",NA(),AU132)</f>
        <v>#N/A</v>
      </c>
      <c r="AY132" s="44" t="str">
        <f aca="false">IF(AV132="","",LN(AV132))</f>
        <v/>
      </c>
      <c r="CH132" s="55" t="str">
        <f aca="false">IF(ISNUMBER(CI132),IF(ISNUMBER('Base de Datos'!AG128),IF('Base de Datos'!AG128&gt;20000,INT('Base de Datos'!AG128),""),IF(TRIM('Base de Datos'!AG128)="","",IFERROR(DATE(VALUE(RIGHT(TRIM('Base de Datos'!AG128),4)),VALUE(MID(TRIM('Base de Datos'!AG128),4,2)),VALUE(LEFT(TRIM('Base de Datos'!AG128),2))),IFERROR(DATEVALUE(TRIM('Base de Datos'!AG128)),"")))),"")</f>
        <v/>
      </c>
      <c r="CI132" s="44" t="str">
        <f aca="false">IF(ISNUMBER('Base de Datos'!AH128),'Base de Datos'!AH128,IF(TRIM('Base de Datos'!AH128)="","",IFERROR(IF(IFERROR(FIND("@",SUBSTITUTE(TRIM('Base de Datos'!AH128),",","@",LEN(TRIM('Base de Datos'!AH128))-LEN(SUBSTITUTE(TRIM('Base de Datos'!AH128),",","")))),0)&gt;IFERROR(FIND("@",SUBSTITUTE(TRIM('Base de Datos'!AH128),".","@",LEN(TRIM('Base de Datos'!AH128))-LEN(SUBSTITUTE(TRIM('Base de Datos'!AH128),".","")))),0),_xlfn.NUMBERVALUE(SUBSTITUTE(SUBSTITUTE(TRIM('Base de Datos'!AH128),".",""),",","."),".",","),_xlfn.NUMBERVALUE(SUBSTITUTE(TRIM('Base de Datos'!AH128),",",""),".",",")),"")))</f>
        <v/>
      </c>
    </row>
    <row r="133" customFormat="false" ht="13.8" hidden="false" customHeight="false" outlineLevel="0" collapsed="false">
      <c r="AE133" s="44" t="n">
        <v>124</v>
      </c>
      <c r="AF133" s="55" t="str">
        <f aca="false">IF(AF132="","",IFERROR(SMALL($CH$10:$CH$309,COUNTIF($CH$10:$CH$309,"&lt;="&amp;AF132)+1),""))</f>
        <v/>
      </c>
      <c r="AG133" s="44" t="str">
        <f aca="false">IF(AF133="","",INDEX($CI$10:$CI$309,MATCH(AF133,$CH$10:$CH$309,0)))</f>
        <v/>
      </c>
      <c r="AH133" s="55" t="e">
        <f aca="false">IF(AF133="",NA(),AF133)</f>
        <v>#N/A</v>
      </c>
      <c r="AI133" s="44" t="e">
        <f aca="false">IF(AG133="",NA(),AG133)</f>
        <v>#N/A</v>
      </c>
      <c r="AU133" s="44" t="str">
        <f aca="false">IF(124&lt;=$C$8,124,"")</f>
        <v/>
      </c>
      <c r="AV133" s="44" t="str">
        <f aca="false">IF(AU133="","",INDEX($AG$10:$AG$309,$B$8+124-1))</f>
        <v/>
      </c>
      <c r="AW133" s="44" t="e">
        <f aca="false">IF(AV133="",NA(),AV133)</f>
        <v>#N/A</v>
      </c>
      <c r="AX133" s="44" t="e">
        <f aca="false">IF(AV133="",NA(),AU133)</f>
        <v>#N/A</v>
      </c>
      <c r="AY133" s="44" t="str">
        <f aca="false">IF(AV133="","",LN(AV133))</f>
        <v/>
      </c>
      <c r="CH133" s="55" t="str">
        <f aca="false">IF(ISNUMBER(CI133),IF(ISNUMBER('Base de Datos'!AG129),IF('Base de Datos'!AG129&gt;20000,INT('Base de Datos'!AG129),""),IF(TRIM('Base de Datos'!AG129)="","",IFERROR(DATE(VALUE(RIGHT(TRIM('Base de Datos'!AG129),4)),VALUE(MID(TRIM('Base de Datos'!AG129),4,2)),VALUE(LEFT(TRIM('Base de Datos'!AG129),2))),IFERROR(DATEVALUE(TRIM('Base de Datos'!AG129)),"")))),"")</f>
        <v/>
      </c>
      <c r="CI133" s="44" t="str">
        <f aca="false">IF(ISNUMBER('Base de Datos'!AH129),'Base de Datos'!AH129,IF(TRIM('Base de Datos'!AH129)="","",IFERROR(IF(IFERROR(FIND("@",SUBSTITUTE(TRIM('Base de Datos'!AH129),",","@",LEN(TRIM('Base de Datos'!AH129))-LEN(SUBSTITUTE(TRIM('Base de Datos'!AH129),",","")))),0)&gt;IFERROR(FIND("@",SUBSTITUTE(TRIM('Base de Datos'!AH129),".","@",LEN(TRIM('Base de Datos'!AH129))-LEN(SUBSTITUTE(TRIM('Base de Datos'!AH129),".","")))),0),_xlfn.NUMBERVALUE(SUBSTITUTE(SUBSTITUTE(TRIM('Base de Datos'!AH129),".",""),",","."),".",","),_xlfn.NUMBERVALUE(SUBSTITUTE(TRIM('Base de Datos'!AH129),",",""),".",",")),"")))</f>
        <v/>
      </c>
    </row>
    <row r="134" customFormat="false" ht="13.8" hidden="false" customHeight="false" outlineLevel="0" collapsed="false">
      <c r="AE134" s="44" t="n">
        <v>125</v>
      </c>
      <c r="AF134" s="55" t="str">
        <f aca="false">IF(AF133="","",IFERROR(SMALL($CH$10:$CH$309,COUNTIF($CH$10:$CH$309,"&lt;="&amp;AF133)+1),""))</f>
        <v/>
      </c>
      <c r="AG134" s="44" t="str">
        <f aca="false">IF(AF134="","",INDEX($CI$10:$CI$309,MATCH(AF134,$CH$10:$CH$309,0)))</f>
        <v/>
      </c>
      <c r="AH134" s="55" t="e">
        <f aca="false">IF(AF134="",NA(),AF134)</f>
        <v>#N/A</v>
      </c>
      <c r="AI134" s="44" t="e">
        <f aca="false">IF(AG134="",NA(),AG134)</f>
        <v>#N/A</v>
      </c>
      <c r="AU134" s="44" t="str">
        <f aca="false">IF(125&lt;=$C$8,125,"")</f>
        <v/>
      </c>
      <c r="AV134" s="44" t="str">
        <f aca="false">IF(AU134="","",INDEX($AG$10:$AG$309,$B$8+125-1))</f>
        <v/>
      </c>
      <c r="AW134" s="44" t="e">
        <f aca="false">IF(AV134="",NA(),AV134)</f>
        <v>#N/A</v>
      </c>
      <c r="AX134" s="44" t="e">
        <f aca="false">IF(AV134="",NA(),AU134)</f>
        <v>#N/A</v>
      </c>
      <c r="AY134" s="44" t="str">
        <f aca="false">IF(AV134="","",LN(AV134))</f>
        <v/>
      </c>
      <c r="CH134" s="55" t="str">
        <f aca="false">IF(ISNUMBER(CI134),IF(ISNUMBER('Base de Datos'!AG130),IF('Base de Datos'!AG130&gt;20000,INT('Base de Datos'!AG130),""),IF(TRIM('Base de Datos'!AG130)="","",IFERROR(DATE(VALUE(RIGHT(TRIM('Base de Datos'!AG130),4)),VALUE(MID(TRIM('Base de Datos'!AG130),4,2)),VALUE(LEFT(TRIM('Base de Datos'!AG130),2))),IFERROR(DATEVALUE(TRIM('Base de Datos'!AG130)),"")))),"")</f>
        <v/>
      </c>
      <c r="CI134" s="44" t="str">
        <f aca="false">IF(ISNUMBER('Base de Datos'!AH130),'Base de Datos'!AH130,IF(TRIM('Base de Datos'!AH130)="","",IFERROR(IF(IFERROR(FIND("@",SUBSTITUTE(TRIM('Base de Datos'!AH130),",","@",LEN(TRIM('Base de Datos'!AH130))-LEN(SUBSTITUTE(TRIM('Base de Datos'!AH130),",","")))),0)&gt;IFERROR(FIND("@",SUBSTITUTE(TRIM('Base de Datos'!AH130),".","@",LEN(TRIM('Base de Datos'!AH130))-LEN(SUBSTITUTE(TRIM('Base de Datos'!AH130),".","")))),0),_xlfn.NUMBERVALUE(SUBSTITUTE(SUBSTITUTE(TRIM('Base de Datos'!AH130),".",""),",","."),".",","),_xlfn.NUMBERVALUE(SUBSTITUTE(TRIM('Base de Datos'!AH130),",",""),".",",")),"")))</f>
        <v/>
      </c>
    </row>
    <row r="135" customFormat="false" ht="13.8" hidden="false" customHeight="false" outlineLevel="0" collapsed="false">
      <c r="AE135" s="44" t="n">
        <v>126</v>
      </c>
      <c r="AF135" s="55" t="str">
        <f aca="false">IF(AF134="","",IFERROR(SMALL($CH$10:$CH$309,COUNTIF($CH$10:$CH$309,"&lt;="&amp;AF134)+1),""))</f>
        <v/>
      </c>
      <c r="AG135" s="44" t="str">
        <f aca="false">IF(AF135="","",INDEX($CI$10:$CI$309,MATCH(AF135,$CH$10:$CH$309,0)))</f>
        <v/>
      </c>
      <c r="AH135" s="55" t="e">
        <f aca="false">IF(AF135="",NA(),AF135)</f>
        <v>#N/A</v>
      </c>
      <c r="AI135" s="44" t="e">
        <f aca="false">IF(AG135="",NA(),AG135)</f>
        <v>#N/A</v>
      </c>
      <c r="AU135" s="44" t="str">
        <f aca="false">IF(126&lt;=$C$8,126,"")</f>
        <v/>
      </c>
      <c r="AV135" s="44" t="str">
        <f aca="false">IF(AU135="","",INDEX($AG$10:$AG$309,$B$8+126-1))</f>
        <v/>
      </c>
      <c r="AW135" s="44" t="e">
        <f aca="false">IF(AV135="",NA(),AV135)</f>
        <v>#N/A</v>
      </c>
      <c r="AX135" s="44" t="e">
        <f aca="false">IF(AV135="",NA(),AU135)</f>
        <v>#N/A</v>
      </c>
      <c r="AY135" s="44" t="str">
        <f aca="false">IF(AV135="","",LN(AV135))</f>
        <v/>
      </c>
      <c r="CH135" s="55" t="str">
        <f aca="false">IF(ISNUMBER(CI135),IF(ISNUMBER('Base de Datos'!AG131),IF('Base de Datos'!AG131&gt;20000,INT('Base de Datos'!AG131),""),IF(TRIM('Base de Datos'!AG131)="","",IFERROR(DATE(VALUE(RIGHT(TRIM('Base de Datos'!AG131),4)),VALUE(MID(TRIM('Base de Datos'!AG131),4,2)),VALUE(LEFT(TRIM('Base de Datos'!AG131),2))),IFERROR(DATEVALUE(TRIM('Base de Datos'!AG131)),"")))),"")</f>
        <v/>
      </c>
      <c r="CI135" s="44" t="str">
        <f aca="false">IF(ISNUMBER('Base de Datos'!AH131),'Base de Datos'!AH131,IF(TRIM('Base de Datos'!AH131)="","",IFERROR(IF(IFERROR(FIND("@",SUBSTITUTE(TRIM('Base de Datos'!AH131),",","@",LEN(TRIM('Base de Datos'!AH131))-LEN(SUBSTITUTE(TRIM('Base de Datos'!AH131),",","")))),0)&gt;IFERROR(FIND("@",SUBSTITUTE(TRIM('Base de Datos'!AH131),".","@",LEN(TRIM('Base de Datos'!AH131))-LEN(SUBSTITUTE(TRIM('Base de Datos'!AH131),".","")))),0),_xlfn.NUMBERVALUE(SUBSTITUTE(SUBSTITUTE(TRIM('Base de Datos'!AH131),".",""),",","."),".",","),_xlfn.NUMBERVALUE(SUBSTITUTE(TRIM('Base de Datos'!AH131),",",""),".",",")),"")))</f>
        <v/>
      </c>
    </row>
    <row r="136" customFormat="false" ht="13.8" hidden="false" customHeight="false" outlineLevel="0" collapsed="false">
      <c r="AE136" s="44" t="n">
        <v>127</v>
      </c>
      <c r="AF136" s="55" t="str">
        <f aca="false">IF(AF135="","",IFERROR(SMALL($CH$10:$CH$309,COUNTIF($CH$10:$CH$309,"&lt;="&amp;AF135)+1),""))</f>
        <v/>
      </c>
      <c r="AG136" s="44" t="str">
        <f aca="false">IF(AF136="","",INDEX($CI$10:$CI$309,MATCH(AF136,$CH$10:$CH$309,0)))</f>
        <v/>
      </c>
      <c r="AH136" s="55" t="e">
        <f aca="false">IF(AF136="",NA(),AF136)</f>
        <v>#N/A</v>
      </c>
      <c r="AI136" s="44" t="e">
        <f aca="false">IF(AG136="",NA(),AG136)</f>
        <v>#N/A</v>
      </c>
      <c r="AU136" s="44" t="str">
        <f aca="false">IF(127&lt;=$C$8,127,"")</f>
        <v/>
      </c>
      <c r="AV136" s="44" t="str">
        <f aca="false">IF(AU136="","",INDEX($AG$10:$AG$309,$B$8+127-1))</f>
        <v/>
      </c>
      <c r="AW136" s="44" t="e">
        <f aca="false">IF(AV136="",NA(),AV136)</f>
        <v>#N/A</v>
      </c>
      <c r="AX136" s="44" t="e">
        <f aca="false">IF(AV136="",NA(),AU136)</f>
        <v>#N/A</v>
      </c>
      <c r="AY136" s="44" t="str">
        <f aca="false">IF(AV136="","",LN(AV136))</f>
        <v/>
      </c>
      <c r="CH136" s="55" t="str">
        <f aca="false">IF(ISNUMBER(CI136),IF(ISNUMBER('Base de Datos'!AG132),IF('Base de Datos'!AG132&gt;20000,INT('Base de Datos'!AG132),""),IF(TRIM('Base de Datos'!AG132)="","",IFERROR(DATE(VALUE(RIGHT(TRIM('Base de Datos'!AG132),4)),VALUE(MID(TRIM('Base de Datos'!AG132),4,2)),VALUE(LEFT(TRIM('Base de Datos'!AG132),2))),IFERROR(DATEVALUE(TRIM('Base de Datos'!AG132)),"")))),"")</f>
        <v/>
      </c>
      <c r="CI136" s="44" t="str">
        <f aca="false">IF(ISNUMBER('Base de Datos'!AH132),'Base de Datos'!AH132,IF(TRIM('Base de Datos'!AH132)="","",IFERROR(IF(IFERROR(FIND("@",SUBSTITUTE(TRIM('Base de Datos'!AH132),",","@",LEN(TRIM('Base de Datos'!AH132))-LEN(SUBSTITUTE(TRIM('Base de Datos'!AH132),",","")))),0)&gt;IFERROR(FIND("@",SUBSTITUTE(TRIM('Base de Datos'!AH132),".","@",LEN(TRIM('Base de Datos'!AH132))-LEN(SUBSTITUTE(TRIM('Base de Datos'!AH132),".","")))),0),_xlfn.NUMBERVALUE(SUBSTITUTE(SUBSTITUTE(TRIM('Base de Datos'!AH132),".",""),",","."),".",","),_xlfn.NUMBERVALUE(SUBSTITUTE(TRIM('Base de Datos'!AH132),",",""),".",",")),"")))</f>
        <v/>
      </c>
    </row>
    <row r="137" customFormat="false" ht="13.8" hidden="false" customHeight="false" outlineLevel="0" collapsed="false">
      <c r="AE137" s="44" t="n">
        <v>128</v>
      </c>
      <c r="AF137" s="55" t="str">
        <f aca="false">IF(AF136="","",IFERROR(SMALL($CH$10:$CH$309,COUNTIF($CH$10:$CH$309,"&lt;="&amp;AF136)+1),""))</f>
        <v/>
      </c>
      <c r="AG137" s="44" t="str">
        <f aca="false">IF(AF137="","",INDEX($CI$10:$CI$309,MATCH(AF137,$CH$10:$CH$309,0)))</f>
        <v/>
      </c>
      <c r="AH137" s="55" t="e">
        <f aca="false">IF(AF137="",NA(),AF137)</f>
        <v>#N/A</v>
      </c>
      <c r="AI137" s="44" t="e">
        <f aca="false">IF(AG137="",NA(),AG137)</f>
        <v>#N/A</v>
      </c>
      <c r="AU137" s="44" t="str">
        <f aca="false">IF(128&lt;=$C$8,128,"")</f>
        <v/>
      </c>
      <c r="AV137" s="44" t="str">
        <f aca="false">IF(AU137="","",INDEX($AG$10:$AG$309,$B$8+128-1))</f>
        <v/>
      </c>
      <c r="AW137" s="44" t="e">
        <f aca="false">IF(AV137="",NA(),AV137)</f>
        <v>#N/A</v>
      </c>
      <c r="AX137" s="44" t="e">
        <f aca="false">IF(AV137="",NA(),AU137)</f>
        <v>#N/A</v>
      </c>
      <c r="AY137" s="44" t="str">
        <f aca="false">IF(AV137="","",LN(AV137))</f>
        <v/>
      </c>
      <c r="CH137" s="55" t="str">
        <f aca="false">IF(ISNUMBER(CI137),IF(ISNUMBER('Base de Datos'!AG133),IF('Base de Datos'!AG133&gt;20000,INT('Base de Datos'!AG133),""),IF(TRIM('Base de Datos'!AG133)="","",IFERROR(DATE(VALUE(RIGHT(TRIM('Base de Datos'!AG133),4)),VALUE(MID(TRIM('Base de Datos'!AG133),4,2)),VALUE(LEFT(TRIM('Base de Datos'!AG133),2))),IFERROR(DATEVALUE(TRIM('Base de Datos'!AG133)),"")))),"")</f>
        <v/>
      </c>
      <c r="CI137" s="44" t="str">
        <f aca="false">IF(ISNUMBER('Base de Datos'!AH133),'Base de Datos'!AH133,IF(TRIM('Base de Datos'!AH133)="","",IFERROR(IF(IFERROR(FIND("@",SUBSTITUTE(TRIM('Base de Datos'!AH133),",","@",LEN(TRIM('Base de Datos'!AH133))-LEN(SUBSTITUTE(TRIM('Base de Datos'!AH133),",","")))),0)&gt;IFERROR(FIND("@",SUBSTITUTE(TRIM('Base de Datos'!AH133),".","@",LEN(TRIM('Base de Datos'!AH133))-LEN(SUBSTITUTE(TRIM('Base de Datos'!AH133),".","")))),0),_xlfn.NUMBERVALUE(SUBSTITUTE(SUBSTITUTE(TRIM('Base de Datos'!AH133),".",""),",","."),".",","),_xlfn.NUMBERVALUE(SUBSTITUTE(TRIM('Base de Datos'!AH133),",",""),".",",")),"")))</f>
        <v/>
      </c>
    </row>
    <row r="138" customFormat="false" ht="13.8" hidden="false" customHeight="false" outlineLevel="0" collapsed="false">
      <c r="AE138" s="44" t="n">
        <v>129</v>
      </c>
      <c r="AF138" s="55" t="str">
        <f aca="false">IF(AF137="","",IFERROR(SMALL($CH$10:$CH$309,COUNTIF($CH$10:$CH$309,"&lt;="&amp;AF137)+1),""))</f>
        <v/>
      </c>
      <c r="AG138" s="44" t="str">
        <f aca="false">IF(AF138="","",INDEX($CI$10:$CI$309,MATCH(AF138,$CH$10:$CH$309,0)))</f>
        <v/>
      </c>
      <c r="AH138" s="55" t="e">
        <f aca="false">IF(AF138="",NA(),AF138)</f>
        <v>#N/A</v>
      </c>
      <c r="AI138" s="44" t="e">
        <f aca="false">IF(AG138="",NA(),AG138)</f>
        <v>#N/A</v>
      </c>
      <c r="AU138" s="44" t="str">
        <f aca="false">IF(129&lt;=$C$8,129,"")</f>
        <v/>
      </c>
      <c r="AV138" s="44" t="str">
        <f aca="false">IF(AU138="","",INDEX($AG$10:$AG$309,$B$8+129-1))</f>
        <v/>
      </c>
      <c r="AW138" s="44" t="e">
        <f aca="false">IF(AV138="",NA(),AV138)</f>
        <v>#N/A</v>
      </c>
      <c r="AX138" s="44" t="e">
        <f aca="false">IF(AV138="",NA(),AU138)</f>
        <v>#N/A</v>
      </c>
      <c r="AY138" s="44" t="str">
        <f aca="false">IF(AV138="","",LN(AV138))</f>
        <v/>
      </c>
      <c r="CH138" s="55" t="str">
        <f aca="false">IF(ISNUMBER(CI138),IF(ISNUMBER('Base de Datos'!AG134),IF('Base de Datos'!AG134&gt;20000,INT('Base de Datos'!AG134),""),IF(TRIM('Base de Datos'!AG134)="","",IFERROR(DATE(VALUE(RIGHT(TRIM('Base de Datos'!AG134),4)),VALUE(MID(TRIM('Base de Datos'!AG134),4,2)),VALUE(LEFT(TRIM('Base de Datos'!AG134),2))),IFERROR(DATEVALUE(TRIM('Base de Datos'!AG134)),"")))),"")</f>
        <v/>
      </c>
      <c r="CI138" s="44" t="str">
        <f aca="false">IF(ISNUMBER('Base de Datos'!AH134),'Base de Datos'!AH134,IF(TRIM('Base de Datos'!AH134)="","",IFERROR(IF(IFERROR(FIND("@",SUBSTITUTE(TRIM('Base de Datos'!AH134),",","@",LEN(TRIM('Base de Datos'!AH134))-LEN(SUBSTITUTE(TRIM('Base de Datos'!AH134),",","")))),0)&gt;IFERROR(FIND("@",SUBSTITUTE(TRIM('Base de Datos'!AH134),".","@",LEN(TRIM('Base de Datos'!AH134))-LEN(SUBSTITUTE(TRIM('Base de Datos'!AH134),".","")))),0),_xlfn.NUMBERVALUE(SUBSTITUTE(SUBSTITUTE(TRIM('Base de Datos'!AH134),".",""),",","."),".",","),_xlfn.NUMBERVALUE(SUBSTITUTE(TRIM('Base de Datos'!AH134),",",""),".",",")),"")))</f>
        <v/>
      </c>
    </row>
    <row r="139" customFormat="false" ht="13.8" hidden="false" customHeight="false" outlineLevel="0" collapsed="false">
      <c r="AE139" s="44" t="n">
        <v>130</v>
      </c>
      <c r="AF139" s="55" t="str">
        <f aca="false">IF(AF138="","",IFERROR(SMALL($CH$10:$CH$309,COUNTIF($CH$10:$CH$309,"&lt;="&amp;AF138)+1),""))</f>
        <v/>
      </c>
      <c r="AG139" s="44" t="str">
        <f aca="false">IF(AF139="","",INDEX($CI$10:$CI$309,MATCH(AF139,$CH$10:$CH$309,0)))</f>
        <v/>
      </c>
      <c r="AH139" s="55" t="e">
        <f aca="false">IF(AF139="",NA(),AF139)</f>
        <v>#N/A</v>
      </c>
      <c r="AI139" s="44" t="e">
        <f aca="false">IF(AG139="",NA(),AG139)</f>
        <v>#N/A</v>
      </c>
      <c r="AU139" s="44" t="str">
        <f aca="false">IF(130&lt;=$C$8,130,"")</f>
        <v/>
      </c>
      <c r="AV139" s="44" t="str">
        <f aca="false">IF(AU139="","",INDEX($AG$10:$AG$309,$B$8+130-1))</f>
        <v/>
      </c>
      <c r="AW139" s="44" t="e">
        <f aca="false">IF(AV139="",NA(),AV139)</f>
        <v>#N/A</v>
      </c>
      <c r="AX139" s="44" t="e">
        <f aca="false">IF(AV139="",NA(),AU139)</f>
        <v>#N/A</v>
      </c>
      <c r="AY139" s="44" t="str">
        <f aca="false">IF(AV139="","",LN(AV139))</f>
        <v/>
      </c>
      <c r="CH139" s="55" t="str">
        <f aca="false">IF(ISNUMBER(CI139),IF(ISNUMBER('Base de Datos'!AG135),IF('Base de Datos'!AG135&gt;20000,INT('Base de Datos'!AG135),""),IF(TRIM('Base de Datos'!AG135)="","",IFERROR(DATE(VALUE(RIGHT(TRIM('Base de Datos'!AG135),4)),VALUE(MID(TRIM('Base de Datos'!AG135),4,2)),VALUE(LEFT(TRIM('Base de Datos'!AG135),2))),IFERROR(DATEVALUE(TRIM('Base de Datos'!AG135)),"")))),"")</f>
        <v/>
      </c>
      <c r="CI139" s="44" t="str">
        <f aca="false">IF(ISNUMBER('Base de Datos'!AH135),'Base de Datos'!AH135,IF(TRIM('Base de Datos'!AH135)="","",IFERROR(IF(IFERROR(FIND("@",SUBSTITUTE(TRIM('Base de Datos'!AH135),",","@",LEN(TRIM('Base de Datos'!AH135))-LEN(SUBSTITUTE(TRIM('Base de Datos'!AH135),",","")))),0)&gt;IFERROR(FIND("@",SUBSTITUTE(TRIM('Base de Datos'!AH135),".","@",LEN(TRIM('Base de Datos'!AH135))-LEN(SUBSTITUTE(TRIM('Base de Datos'!AH135),".","")))),0),_xlfn.NUMBERVALUE(SUBSTITUTE(SUBSTITUTE(TRIM('Base de Datos'!AH135),".",""),",","."),".",","),_xlfn.NUMBERVALUE(SUBSTITUTE(TRIM('Base de Datos'!AH135),",",""),".",",")),"")))</f>
        <v/>
      </c>
    </row>
    <row r="140" customFormat="false" ht="13.8" hidden="false" customHeight="false" outlineLevel="0" collapsed="false">
      <c r="AE140" s="44" t="n">
        <v>131</v>
      </c>
      <c r="AF140" s="55" t="str">
        <f aca="false">IF(AF139="","",IFERROR(SMALL($CH$10:$CH$309,COUNTIF($CH$10:$CH$309,"&lt;="&amp;AF139)+1),""))</f>
        <v/>
      </c>
      <c r="AG140" s="44" t="str">
        <f aca="false">IF(AF140="","",INDEX($CI$10:$CI$309,MATCH(AF140,$CH$10:$CH$309,0)))</f>
        <v/>
      </c>
      <c r="AH140" s="55" t="e">
        <f aca="false">IF(AF140="",NA(),AF140)</f>
        <v>#N/A</v>
      </c>
      <c r="AI140" s="44" t="e">
        <f aca="false">IF(AG140="",NA(),AG140)</f>
        <v>#N/A</v>
      </c>
      <c r="AU140" s="44" t="str">
        <f aca="false">IF(131&lt;=$C$8,131,"")</f>
        <v/>
      </c>
      <c r="AV140" s="44" t="str">
        <f aca="false">IF(AU140="","",INDEX($AG$10:$AG$309,$B$8+131-1))</f>
        <v/>
      </c>
      <c r="AW140" s="44" t="e">
        <f aca="false">IF(AV140="",NA(),AV140)</f>
        <v>#N/A</v>
      </c>
      <c r="AX140" s="44" t="e">
        <f aca="false">IF(AV140="",NA(),AU140)</f>
        <v>#N/A</v>
      </c>
      <c r="AY140" s="44" t="str">
        <f aca="false">IF(AV140="","",LN(AV140))</f>
        <v/>
      </c>
      <c r="CH140" s="55" t="str">
        <f aca="false">IF(ISNUMBER(CI140),IF(ISNUMBER('Base de Datos'!AG136),IF('Base de Datos'!AG136&gt;20000,INT('Base de Datos'!AG136),""),IF(TRIM('Base de Datos'!AG136)="","",IFERROR(DATE(VALUE(RIGHT(TRIM('Base de Datos'!AG136),4)),VALUE(MID(TRIM('Base de Datos'!AG136),4,2)),VALUE(LEFT(TRIM('Base de Datos'!AG136),2))),IFERROR(DATEVALUE(TRIM('Base de Datos'!AG136)),"")))),"")</f>
        <v/>
      </c>
      <c r="CI140" s="44" t="str">
        <f aca="false">IF(ISNUMBER('Base de Datos'!AH136),'Base de Datos'!AH136,IF(TRIM('Base de Datos'!AH136)="","",IFERROR(IF(IFERROR(FIND("@",SUBSTITUTE(TRIM('Base de Datos'!AH136),",","@",LEN(TRIM('Base de Datos'!AH136))-LEN(SUBSTITUTE(TRIM('Base de Datos'!AH136),",","")))),0)&gt;IFERROR(FIND("@",SUBSTITUTE(TRIM('Base de Datos'!AH136),".","@",LEN(TRIM('Base de Datos'!AH136))-LEN(SUBSTITUTE(TRIM('Base de Datos'!AH136),".","")))),0),_xlfn.NUMBERVALUE(SUBSTITUTE(SUBSTITUTE(TRIM('Base de Datos'!AH136),".",""),",","."),".",","),_xlfn.NUMBERVALUE(SUBSTITUTE(TRIM('Base de Datos'!AH136),",",""),".",",")),"")))</f>
        <v/>
      </c>
    </row>
    <row r="141" customFormat="false" ht="13.8" hidden="false" customHeight="false" outlineLevel="0" collapsed="false">
      <c r="AE141" s="44" t="n">
        <v>132</v>
      </c>
      <c r="AF141" s="55" t="str">
        <f aca="false">IF(AF140="","",IFERROR(SMALL($CH$10:$CH$309,COUNTIF($CH$10:$CH$309,"&lt;="&amp;AF140)+1),""))</f>
        <v/>
      </c>
      <c r="AG141" s="44" t="str">
        <f aca="false">IF(AF141="","",INDEX($CI$10:$CI$309,MATCH(AF141,$CH$10:$CH$309,0)))</f>
        <v/>
      </c>
      <c r="AH141" s="55" t="e">
        <f aca="false">IF(AF141="",NA(),AF141)</f>
        <v>#N/A</v>
      </c>
      <c r="AI141" s="44" t="e">
        <f aca="false">IF(AG141="",NA(),AG141)</f>
        <v>#N/A</v>
      </c>
      <c r="AU141" s="44" t="str">
        <f aca="false">IF(132&lt;=$C$8,132,"")</f>
        <v/>
      </c>
      <c r="AV141" s="44" t="str">
        <f aca="false">IF(AU141="","",INDEX($AG$10:$AG$309,$B$8+132-1))</f>
        <v/>
      </c>
      <c r="AW141" s="44" t="e">
        <f aca="false">IF(AV141="",NA(),AV141)</f>
        <v>#N/A</v>
      </c>
      <c r="AX141" s="44" t="e">
        <f aca="false">IF(AV141="",NA(),AU141)</f>
        <v>#N/A</v>
      </c>
      <c r="AY141" s="44" t="str">
        <f aca="false">IF(AV141="","",LN(AV141))</f>
        <v/>
      </c>
      <c r="CH141" s="55" t="str">
        <f aca="false">IF(ISNUMBER(CI141),IF(ISNUMBER('Base de Datos'!AG137),IF('Base de Datos'!AG137&gt;20000,INT('Base de Datos'!AG137),""),IF(TRIM('Base de Datos'!AG137)="","",IFERROR(DATE(VALUE(RIGHT(TRIM('Base de Datos'!AG137),4)),VALUE(MID(TRIM('Base de Datos'!AG137),4,2)),VALUE(LEFT(TRIM('Base de Datos'!AG137),2))),IFERROR(DATEVALUE(TRIM('Base de Datos'!AG137)),"")))),"")</f>
        <v/>
      </c>
      <c r="CI141" s="44" t="str">
        <f aca="false">IF(ISNUMBER('Base de Datos'!AH137),'Base de Datos'!AH137,IF(TRIM('Base de Datos'!AH137)="","",IFERROR(IF(IFERROR(FIND("@",SUBSTITUTE(TRIM('Base de Datos'!AH137),",","@",LEN(TRIM('Base de Datos'!AH137))-LEN(SUBSTITUTE(TRIM('Base de Datos'!AH137),",","")))),0)&gt;IFERROR(FIND("@",SUBSTITUTE(TRIM('Base de Datos'!AH137),".","@",LEN(TRIM('Base de Datos'!AH137))-LEN(SUBSTITUTE(TRIM('Base de Datos'!AH137),".","")))),0),_xlfn.NUMBERVALUE(SUBSTITUTE(SUBSTITUTE(TRIM('Base de Datos'!AH137),".",""),",","."),".",","),_xlfn.NUMBERVALUE(SUBSTITUTE(TRIM('Base de Datos'!AH137),",",""),".",",")),"")))</f>
        <v/>
      </c>
    </row>
    <row r="142" customFormat="false" ht="13.8" hidden="false" customHeight="false" outlineLevel="0" collapsed="false">
      <c r="AE142" s="44" t="n">
        <v>133</v>
      </c>
      <c r="AF142" s="55" t="str">
        <f aca="false">IF(AF141="","",IFERROR(SMALL($CH$10:$CH$309,COUNTIF($CH$10:$CH$309,"&lt;="&amp;AF141)+1),""))</f>
        <v/>
      </c>
      <c r="AG142" s="44" t="str">
        <f aca="false">IF(AF142="","",INDEX($CI$10:$CI$309,MATCH(AF142,$CH$10:$CH$309,0)))</f>
        <v/>
      </c>
      <c r="AH142" s="55" t="e">
        <f aca="false">IF(AF142="",NA(),AF142)</f>
        <v>#N/A</v>
      </c>
      <c r="AI142" s="44" t="e">
        <f aca="false">IF(AG142="",NA(),AG142)</f>
        <v>#N/A</v>
      </c>
      <c r="AU142" s="44" t="str">
        <f aca="false">IF(133&lt;=$C$8,133,"")</f>
        <v/>
      </c>
      <c r="AV142" s="44" t="str">
        <f aca="false">IF(AU142="","",INDEX($AG$10:$AG$309,$B$8+133-1))</f>
        <v/>
      </c>
      <c r="AW142" s="44" t="e">
        <f aca="false">IF(AV142="",NA(),AV142)</f>
        <v>#N/A</v>
      </c>
      <c r="AX142" s="44" t="e">
        <f aca="false">IF(AV142="",NA(),AU142)</f>
        <v>#N/A</v>
      </c>
      <c r="AY142" s="44" t="str">
        <f aca="false">IF(AV142="","",LN(AV142))</f>
        <v/>
      </c>
      <c r="CH142" s="55" t="str">
        <f aca="false">IF(ISNUMBER(CI142),IF(ISNUMBER('Base de Datos'!AG138),IF('Base de Datos'!AG138&gt;20000,INT('Base de Datos'!AG138),""),IF(TRIM('Base de Datos'!AG138)="","",IFERROR(DATE(VALUE(RIGHT(TRIM('Base de Datos'!AG138),4)),VALUE(MID(TRIM('Base de Datos'!AG138),4,2)),VALUE(LEFT(TRIM('Base de Datos'!AG138),2))),IFERROR(DATEVALUE(TRIM('Base de Datos'!AG138)),"")))),"")</f>
        <v/>
      </c>
      <c r="CI142" s="44" t="str">
        <f aca="false">IF(ISNUMBER('Base de Datos'!AH138),'Base de Datos'!AH138,IF(TRIM('Base de Datos'!AH138)="","",IFERROR(IF(IFERROR(FIND("@",SUBSTITUTE(TRIM('Base de Datos'!AH138),",","@",LEN(TRIM('Base de Datos'!AH138))-LEN(SUBSTITUTE(TRIM('Base de Datos'!AH138),",","")))),0)&gt;IFERROR(FIND("@",SUBSTITUTE(TRIM('Base de Datos'!AH138),".","@",LEN(TRIM('Base de Datos'!AH138))-LEN(SUBSTITUTE(TRIM('Base de Datos'!AH138),".","")))),0),_xlfn.NUMBERVALUE(SUBSTITUTE(SUBSTITUTE(TRIM('Base de Datos'!AH138),".",""),",","."),".",","),_xlfn.NUMBERVALUE(SUBSTITUTE(TRIM('Base de Datos'!AH138),",",""),".",",")),"")))</f>
        <v/>
      </c>
    </row>
    <row r="143" customFormat="false" ht="13.8" hidden="false" customHeight="false" outlineLevel="0" collapsed="false">
      <c r="AE143" s="44" t="n">
        <v>134</v>
      </c>
      <c r="AF143" s="55" t="str">
        <f aca="false">IF(AF142="","",IFERROR(SMALL($CH$10:$CH$309,COUNTIF($CH$10:$CH$309,"&lt;="&amp;AF142)+1),""))</f>
        <v/>
      </c>
      <c r="AG143" s="44" t="str">
        <f aca="false">IF(AF143="","",INDEX($CI$10:$CI$309,MATCH(AF143,$CH$10:$CH$309,0)))</f>
        <v/>
      </c>
      <c r="AH143" s="55" t="e">
        <f aca="false">IF(AF143="",NA(),AF143)</f>
        <v>#N/A</v>
      </c>
      <c r="AI143" s="44" t="e">
        <f aca="false">IF(AG143="",NA(),AG143)</f>
        <v>#N/A</v>
      </c>
      <c r="AU143" s="44" t="str">
        <f aca="false">IF(134&lt;=$C$8,134,"")</f>
        <v/>
      </c>
      <c r="AV143" s="44" t="str">
        <f aca="false">IF(AU143="","",INDEX($AG$10:$AG$309,$B$8+134-1))</f>
        <v/>
      </c>
      <c r="AW143" s="44" t="e">
        <f aca="false">IF(AV143="",NA(),AV143)</f>
        <v>#N/A</v>
      </c>
      <c r="AX143" s="44" t="e">
        <f aca="false">IF(AV143="",NA(),AU143)</f>
        <v>#N/A</v>
      </c>
      <c r="AY143" s="44" t="str">
        <f aca="false">IF(AV143="","",LN(AV143))</f>
        <v/>
      </c>
      <c r="CH143" s="55" t="str">
        <f aca="false">IF(ISNUMBER(CI143),IF(ISNUMBER('Base de Datos'!AG139),IF('Base de Datos'!AG139&gt;20000,INT('Base de Datos'!AG139),""),IF(TRIM('Base de Datos'!AG139)="","",IFERROR(DATE(VALUE(RIGHT(TRIM('Base de Datos'!AG139),4)),VALUE(MID(TRIM('Base de Datos'!AG139),4,2)),VALUE(LEFT(TRIM('Base de Datos'!AG139),2))),IFERROR(DATEVALUE(TRIM('Base de Datos'!AG139)),"")))),"")</f>
        <v/>
      </c>
      <c r="CI143" s="44" t="str">
        <f aca="false">IF(ISNUMBER('Base de Datos'!AH139),'Base de Datos'!AH139,IF(TRIM('Base de Datos'!AH139)="","",IFERROR(IF(IFERROR(FIND("@",SUBSTITUTE(TRIM('Base de Datos'!AH139),",","@",LEN(TRIM('Base de Datos'!AH139))-LEN(SUBSTITUTE(TRIM('Base de Datos'!AH139),",","")))),0)&gt;IFERROR(FIND("@",SUBSTITUTE(TRIM('Base de Datos'!AH139),".","@",LEN(TRIM('Base de Datos'!AH139))-LEN(SUBSTITUTE(TRIM('Base de Datos'!AH139),".","")))),0),_xlfn.NUMBERVALUE(SUBSTITUTE(SUBSTITUTE(TRIM('Base de Datos'!AH139),".",""),",","."),".",","),_xlfn.NUMBERVALUE(SUBSTITUTE(TRIM('Base de Datos'!AH139),",",""),".",",")),"")))</f>
        <v/>
      </c>
    </row>
    <row r="144" customFormat="false" ht="13.8" hidden="false" customHeight="false" outlineLevel="0" collapsed="false">
      <c r="AE144" s="44" t="n">
        <v>135</v>
      </c>
      <c r="AF144" s="55" t="str">
        <f aca="false">IF(AF143="","",IFERROR(SMALL($CH$10:$CH$309,COUNTIF($CH$10:$CH$309,"&lt;="&amp;AF143)+1),""))</f>
        <v/>
      </c>
      <c r="AG144" s="44" t="str">
        <f aca="false">IF(AF144="","",INDEX($CI$10:$CI$309,MATCH(AF144,$CH$10:$CH$309,0)))</f>
        <v/>
      </c>
      <c r="AH144" s="55" t="e">
        <f aca="false">IF(AF144="",NA(),AF144)</f>
        <v>#N/A</v>
      </c>
      <c r="AI144" s="44" t="e">
        <f aca="false">IF(AG144="",NA(),AG144)</f>
        <v>#N/A</v>
      </c>
      <c r="AU144" s="44" t="str">
        <f aca="false">IF(135&lt;=$C$8,135,"")</f>
        <v/>
      </c>
      <c r="AV144" s="44" t="str">
        <f aca="false">IF(AU144="","",INDEX($AG$10:$AG$309,$B$8+135-1))</f>
        <v/>
      </c>
      <c r="AW144" s="44" t="e">
        <f aca="false">IF(AV144="",NA(),AV144)</f>
        <v>#N/A</v>
      </c>
      <c r="AX144" s="44" t="e">
        <f aca="false">IF(AV144="",NA(),AU144)</f>
        <v>#N/A</v>
      </c>
      <c r="AY144" s="44" t="str">
        <f aca="false">IF(AV144="","",LN(AV144))</f>
        <v/>
      </c>
      <c r="CH144" s="55" t="str">
        <f aca="false">IF(ISNUMBER(CI144),IF(ISNUMBER('Base de Datos'!AG140),IF('Base de Datos'!AG140&gt;20000,INT('Base de Datos'!AG140),""),IF(TRIM('Base de Datos'!AG140)="","",IFERROR(DATE(VALUE(RIGHT(TRIM('Base de Datos'!AG140),4)),VALUE(MID(TRIM('Base de Datos'!AG140),4,2)),VALUE(LEFT(TRIM('Base de Datos'!AG140),2))),IFERROR(DATEVALUE(TRIM('Base de Datos'!AG140)),"")))),"")</f>
        <v/>
      </c>
      <c r="CI144" s="44" t="str">
        <f aca="false">IF(ISNUMBER('Base de Datos'!AH140),'Base de Datos'!AH140,IF(TRIM('Base de Datos'!AH140)="","",IFERROR(IF(IFERROR(FIND("@",SUBSTITUTE(TRIM('Base de Datos'!AH140),",","@",LEN(TRIM('Base de Datos'!AH140))-LEN(SUBSTITUTE(TRIM('Base de Datos'!AH140),",","")))),0)&gt;IFERROR(FIND("@",SUBSTITUTE(TRIM('Base de Datos'!AH140),".","@",LEN(TRIM('Base de Datos'!AH140))-LEN(SUBSTITUTE(TRIM('Base de Datos'!AH140),".","")))),0),_xlfn.NUMBERVALUE(SUBSTITUTE(SUBSTITUTE(TRIM('Base de Datos'!AH140),".",""),",","."),".",","),_xlfn.NUMBERVALUE(SUBSTITUTE(TRIM('Base de Datos'!AH140),",",""),".",",")),"")))</f>
        <v/>
      </c>
    </row>
    <row r="145" customFormat="false" ht="13.8" hidden="false" customHeight="false" outlineLevel="0" collapsed="false">
      <c r="AE145" s="44" t="n">
        <v>136</v>
      </c>
      <c r="AF145" s="55" t="str">
        <f aca="false">IF(AF144="","",IFERROR(SMALL($CH$10:$CH$309,COUNTIF($CH$10:$CH$309,"&lt;="&amp;AF144)+1),""))</f>
        <v/>
      </c>
      <c r="AG145" s="44" t="str">
        <f aca="false">IF(AF145="","",INDEX($CI$10:$CI$309,MATCH(AF145,$CH$10:$CH$309,0)))</f>
        <v/>
      </c>
      <c r="AH145" s="55" t="e">
        <f aca="false">IF(AF145="",NA(),AF145)</f>
        <v>#N/A</v>
      </c>
      <c r="AI145" s="44" t="e">
        <f aca="false">IF(AG145="",NA(),AG145)</f>
        <v>#N/A</v>
      </c>
      <c r="AU145" s="44" t="str">
        <f aca="false">IF(136&lt;=$C$8,136,"")</f>
        <v/>
      </c>
      <c r="AV145" s="44" t="str">
        <f aca="false">IF(AU145="","",INDEX($AG$10:$AG$309,$B$8+136-1))</f>
        <v/>
      </c>
      <c r="AW145" s="44" t="e">
        <f aca="false">IF(AV145="",NA(),AV145)</f>
        <v>#N/A</v>
      </c>
      <c r="AX145" s="44" t="e">
        <f aca="false">IF(AV145="",NA(),AU145)</f>
        <v>#N/A</v>
      </c>
      <c r="AY145" s="44" t="str">
        <f aca="false">IF(AV145="","",LN(AV145))</f>
        <v/>
      </c>
      <c r="CH145" s="55" t="str">
        <f aca="false">IF(ISNUMBER(CI145),IF(ISNUMBER('Base de Datos'!AG141),IF('Base de Datos'!AG141&gt;20000,INT('Base de Datos'!AG141),""),IF(TRIM('Base de Datos'!AG141)="","",IFERROR(DATE(VALUE(RIGHT(TRIM('Base de Datos'!AG141),4)),VALUE(MID(TRIM('Base de Datos'!AG141),4,2)),VALUE(LEFT(TRIM('Base de Datos'!AG141),2))),IFERROR(DATEVALUE(TRIM('Base de Datos'!AG141)),"")))),"")</f>
        <v/>
      </c>
      <c r="CI145" s="44" t="str">
        <f aca="false">IF(ISNUMBER('Base de Datos'!AH141),'Base de Datos'!AH141,IF(TRIM('Base de Datos'!AH141)="","",IFERROR(IF(IFERROR(FIND("@",SUBSTITUTE(TRIM('Base de Datos'!AH141),",","@",LEN(TRIM('Base de Datos'!AH141))-LEN(SUBSTITUTE(TRIM('Base de Datos'!AH141),",","")))),0)&gt;IFERROR(FIND("@",SUBSTITUTE(TRIM('Base de Datos'!AH141),".","@",LEN(TRIM('Base de Datos'!AH141))-LEN(SUBSTITUTE(TRIM('Base de Datos'!AH141),".","")))),0),_xlfn.NUMBERVALUE(SUBSTITUTE(SUBSTITUTE(TRIM('Base de Datos'!AH141),".",""),",","."),".",","),_xlfn.NUMBERVALUE(SUBSTITUTE(TRIM('Base de Datos'!AH141),",",""),".",",")),"")))</f>
        <v/>
      </c>
    </row>
    <row r="146" customFormat="false" ht="13.8" hidden="false" customHeight="false" outlineLevel="0" collapsed="false">
      <c r="AE146" s="44" t="n">
        <v>137</v>
      </c>
      <c r="AF146" s="55" t="str">
        <f aca="false">IF(AF145="","",IFERROR(SMALL($CH$10:$CH$309,COUNTIF($CH$10:$CH$309,"&lt;="&amp;AF145)+1),""))</f>
        <v/>
      </c>
      <c r="AG146" s="44" t="str">
        <f aca="false">IF(AF146="","",INDEX($CI$10:$CI$309,MATCH(AF146,$CH$10:$CH$309,0)))</f>
        <v/>
      </c>
      <c r="AH146" s="55" t="e">
        <f aca="false">IF(AF146="",NA(),AF146)</f>
        <v>#N/A</v>
      </c>
      <c r="AI146" s="44" t="e">
        <f aca="false">IF(AG146="",NA(),AG146)</f>
        <v>#N/A</v>
      </c>
      <c r="AU146" s="44" t="str">
        <f aca="false">IF(137&lt;=$C$8,137,"")</f>
        <v/>
      </c>
      <c r="AV146" s="44" t="str">
        <f aca="false">IF(AU146="","",INDEX($AG$10:$AG$309,$B$8+137-1))</f>
        <v/>
      </c>
      <c r="AW146" s="44" t="e">
        <f aca="false">IF(AV146="",NA(),AV146)</f>
        <v>#N/A</v>
      </c>
      <c r="AX146" s="44" t="e">
        <f aca="false">IF(AV146="",NA(),AU146)</f>
        <v>#N/A</v>
      </c>
      <c r="AY146" s="44" t="str">
        <f aca="false">IF(AV146="","",LN(AV146))</f>
        <v/>
      </c>
      <c r="CH146" s="55" t="str">
        <f aca="false">IF(ISNUMBER(CI146),IF(ISNUMBER('Base de Datos'!AG142),IF('Base de Datos'!AG142&gt;20000,INT('Base de Datos'!AG142),""),IF(TRIM('Base de Datos'!AG142)="","",IFERROR(DATE(VALUE(RIGHT(TRIM('Base de Datos'!AG142),4)),VALUE(MID(TRIM('Base de Datos'!AG142),4,2)),VALUE(LEFT(TRIM('Base de Datos'!AG142),2))),IFERROR(DATEVALUE(TRIM('Base de Datos'!AG142)),"")))),"")</f>
        <v/>
      </c>
      <c r="CI146" s="44" t="str">
        <f aca="false">IF(ISNUMBER('Base de Datos'!AH142),'Base de Datos'!AH142,IF(TRIM('Base de Datos'!AH142)="","",IFERROR(IF(IFERROR(FIND("@",SUBSTITUTE(TRIM('Base de Datos'!AH142),",","@",LEN(TRIM('Base de Datos'!AH142))-LEN(SUBSTITUTE(TRIM('Base de Datos'!AH142),",","")))),0)&gt;IFERROR(FIND("@",SUBSTITUTE(TRIM('Base de Datos'!AH142),".","@",LEN(TRIM('Base de Datos'!AH142))-LEN(SUBSTITUTE(TRIM('Base de Datos'!AH142),".","")))),0),_xlfn.NUMBERVALUE(SUBSTITUTE(SUBSTITUTE(TRIM('Base de Datos'!AH142),".",""),",","."),".",","),_xlfn.NUMBERVALUE(SUBSTITUTE(TRIM('Base de Datos'!AH142),",",""),".",",")),"")))</f>
        <v/>
      </c>
    </row>
    <row r="147" customFormat="false" ht="13.8" hidden="false" customHeight="false" outlineLevel="0" collapsed="false">
      <c r="AE147" s="44" t="n">
        <v>138</v>
      </c>
      <c r="AF147" s="55" t="str">
        <f aca="false">IF(AF146="","",IFERROR(SMALL($CH$10:$CH$309,COUNTIF($CH$10:$CH$309,"&lt;="&amp;AF146)+1),""))</f>
        <v/>
      </c>
      <c r="AG147" s="44" t="str">
        <f aca="false">IF(AF147="","",INDEX($CI$10:$CI$309,MATCH(AF147,$CH$10:$CH$309,0)))</f>
        <v/>
      </c>
      <c r="AH147" s="55" t="e">
        <f aca="false">IF(AF147="",NA(),AF147)</f>
        <v>#N/A</v>
      </c>
      <c r="AI147" s="44" t="e">
        <f aca="false">IF(AG147="",NA(),AG147)</f>
        <v>#N/A</v>
      </c>
      <c r="AU147" s="44" t="str">
        <f aca="false">IF(138&lt;=$C$8,138,"")</f>
        <v/>
      </c>
      <c r="AV147" s="44" t="str">
        <f aca="false">IF(AU147="","",INDEX($AG$10:$AG$309,$B$8+138-1))</f>
        <v/>
      </c>
      <c r="AW147" s="44" t="e">
        <f aca="false">IF(AV147="",NA(),AV147)</f>
        <v>#N/A</v>
      </c>
      <c r="AX147" s="44" t="e">
        <f aca="false">IF(AV147="",NA(),AU147)</f>
        <v>#N/A</v>
      </c>
      <c r="AY147" s="44" t="str">
        <f aca="false">IF(AV147="","",LN(AV147))</f>
        <v/>
      </c>
      <c r="CH147" s="55" t="str">
        <f aca="false">IF(ISNUMBER(CI147),IF(ISNUMBER('Base de Datos'!AG143),IF('Base de Datos'!AG143&gt;20000,INT('Base de Datos'!AG143),""),IF(TRIM('Base de Datos'!AG143)="","",IFERROR(DATE(VALUE(RIGHT(TRIM('Base de Datos'!AG143),4)),VALUE(MID(TRIM('Base de Datos'!AG143),4,2)),VALUE(LEFT(TRIM('Base de Datos'!AG143),2))),IFERROR(DATEVALUE(TRIM('Base de Datos'!AG143)),"")))),"")</f>
        <v/>
      </c>
      <c r="CI147" s="44" t="str">
        <f aca="false">IF(ISNUMBER('Base de Datos'!AH143),'Base de Datos'!AH143,IF(TRIM('Base de Datos'!AH143)="","",IFERROR(IF(IFERROR(FIND("@",SUBSTITUTE(TRIM('Base de Datos'!AH143),",","@",LEN(TRIM('Base de Datos'!AH143))-LEN(SUBSTITUTE(TRIM('Base de Datos'!AH143),",","")))),0)&gt;IFERROR(FIND("@",SUBSTITUTE(TRIM('Base de Datos'!AH143),".","@",LEN(TRIM('Base de Datos'!AH143))-LEN(SUBSTITUTE(TRIM('Base de Datos'!AH143),".","")))),0),_xlfn.NUMBERVALUE(SUBSTITUTE(SUBSTITUTE(TRIM('Base de Datos'!AH143),".",""),",","."),".",","),_xlfn.NUMBERVALUE(SUBSTITUTE(TRIM('Base de Datos'!AH143),",",""),".",",")),"")))</f>
        <v/>
      </c>
    </row>
    <row r="148" customFormat="false" ht="13.8" hidden="false" customHeight="false" outlineLevel="0" collapsed="false">
      <c r="AE148" s="44" t="n">
        <v>139</v>
      </c>
      <c r="AF148" s="55" t="str">
        <f aca="false">IF(AF147="","",IFERROR(SMALL($CH$10:$CH$309,COUNTIF($CH$10:$CH$309,"&lt;="&amp;AF147)+1),""))</f>
        <v/>
      </c>
      <c r="AG148" s="44" t="str">
        <f aca="false">IF(AF148="","",INDEX($CI$10:$CI$309,MATCH(AF148,$CH$10:$CH$309,0)))</f>
        <v/>
      </c>
      <c r="AH148" s="55" t="e">
        <f aca="false">IF(AF148="",NA(),AF148)</f>
        <v>#N/A</v>
      </c>
      <c r="AI148" s="44" t="e">
        <f aca="false">IF(AG148="",NA(),AG148)</f>
        <v>#N/A</v>
      </c>
      <c r="AU148" s="44" t="str">
        <f aca="false">IF(139&lt;=$C$8,139,"")</f>
        <v/>
      </c>
      <c r="AV148" s="44" t="str">
        <f aca="false">IF(AU148="","",INDEX($AG$10:$AG$309,$B$8+139-1))</f>
        <v/>
      </c>
      <c r="AW148" s="44" t="e">
        <f aca="false">IF(AV148="",NA(),AV148)</f>
        <v>#N/A</v>
      </c>
      <c r="AX148" s="44" t="e">
        <f aca="false">IF(AV148="",NA(),AU148)</f>
        <v>#N/A</v>
      </c>
      <c r="AY148" s="44" t="str">
        <f aca="false">IF(AV148="","",LN(AV148))</f>
        <v/>
      </c>
      <c r="CH148" s="55" t="str">
        <f aca="false">IF(ISNUMBER(CI148),IF(ISNUMBER('Base de Datos'!AG144),IF('Base de Datos'!AG144&gt;20000,INT('Base de Datos'!AG144),""),IF(TRIM('Base de Datos'!AG144)="","",IFERROR(DATE(VALUE(RIGHT(TRIM('Base de Datos'!AG144),4)),VALUE(MID(TRIM('Base de Datos'!AG144),4,2)),VALUE(LEFT(TRIM('Base de Datos'!AG144),2))),IFERROR(DATEVALUE(TRIM('Base de Datos'!AG144)),"")))),"")</f>
        <v/>
      </c>
      <c r="CI148" s="44" t="str">
        <f aca="false">IF(ISNUMBER('Base de Datos'!AH144),'Base de Datos'!AH144,IF(TRIM('Base de Datos'!AH144)="","",IFERROR(IF(IFERROR(FIND("@",SUBSTITUTE(TRIM('Base de Datos'!AH144),",","@",LEN(TRIM('Base de Datos'!AH144))-LEN(SUBSTITUTE(TRIM('Base de Datos'!AH144),",","")))),0)&gt;IFERROR(FIND("@",SUBSTITUTE(TRIM('Base de Datos'!AH144),".","@",LEN(TRIM('Base de Datos'!AH144))-LEN(SUBSTITUTE(TRIM('Base de Datos'!AH144),".","")))),0),_xlfn.NUMBERVALUE(SUBSTITUTE(SUBSTITUTE(TRIM('Base de Datos'!AH144),".",""),",","."),".",","),_xlfn.NUMBERVALUE(SUBSTITUTE(TRIM('Base de Datos'!AH144),",",""),".",",")),"")))</f>
        <v/>
      </c>
    </row>
    <row r="149" customFormat="false" ht="13.8" hidden="false" customHeight="false" outlineLevel="0" collapsed="false">
      <c r="AE149" s="44" t="n">
        <v>140</v>
      </c>
      <c r="AF149" s="55" t="str">
        <f aca="false">IF(AF148="","",IFERROR(SMALL($CH$10:$CH$309,COUNTIF($CH$10:$CH$309,"&lt;="&amp;AF148)+1),""))</f>
        <v/>
      </c>
      <c r="AG149" s="44" t="str">
        <f aca="false">IF(AF149="","",INDEX($CI$10:$CI$309,MATCH(AF149,$CH$10:$CH$309,0)))</f>
        <v/>
      </c>
      <c r="AH149" s="55" t="e">
        <f aca="false">IF(AF149="",NA(),AF149)</f>
        <v>#N/A</v>
      </c>
      <c r="AI149" s="44" t="e">
        <f aca="false">IF(AG149="",NA(),AG149)</f>
        <v>#N/A</v>
      </c>
      <c r="AU149" s="44" t="str">
        <f aca="false">IF(140&lt;=$C$8,140,"")</f>
        <v/>
      </c>
      <c r="AV149" s="44" t="str">
        <f aca="false">IF(AU149="","",INDEX($AG$10:$AG$309,$B$8+140-1))</f>
        <v/>
      </c>
      <c r="AW149" s="44" t="e">
        <f aca="false">IF(AV149="",NA(),AV149)</f>
        <v>#N/A</v>
      </c>
      <c r="AX149" s="44" t="e">
        <f aca="false">IF(AV149="",NA(),AU149)</f>
        <v>#N/A</v>
      </c>
      <c r="AY149" s="44" t="str">
        <f aca="false">IF(AV149="","",LN(AV149))</f>
        <v/>
      </c>
      <c r="CH149" s="55" t="str">
        <f aca="false">IF(ISNUMBER(CI149),IF(ISNUMBER('Base de Datos'!AG145),IF('Base de Datos'!AG145&gt;20000,INT('Base de Datos'!AG145),""),IF(TRIM('Base de Datos'!AG145)="","",IFERROR(DATE(VALUE(RIGHT(TRIM('Base de Datos'!AG145),4)),VALUE(MID(TRIM('Base de Datos'!AG145),4,2)),VALUE(LEFT(TRIM('Base de Datos'!AG145),2))),IFERROR(DATEVALUE(TRIM('Base de Datos'!AG145)),"")))),"")</f>
        <v/>
      </c>
      <c r="CI149" s="44" t="str">
        <f aca="false">IF(ISNUMBER('Base de Datos'!AH145),'Base de Datos'!AH145,IF(TRIM('Base de Datos'!AH145)="","",IFERROR(IF(IFERROR(FIND("@",SUBSTITUTE(TRIM('Base de Datos'!AH145),",","@",LEN(TRIM('Base de Datos'!AH145))-LEN(SUBSTITUTE(TRIM('Base de Datos'!AH145),",","")))),0)&gt;IFERROR(FIND("@",SUBSTITUTE(TRIM('Base de Datos'!AH145),".","@",LEN(TRIM('Base de Datos'!AH145))-LEN(SUBSTITUTE(TRIM('Base de Datos'!AH145),".","")))),0),_xlfn.NUMBERVALUE(SUBSTITUTE(SUBSTITUTE(TRIM('Base de Datos'!AH145),".",""),",","."),".",","),_xlfn.NUMBERVALUE(SUBSTITUTE(TRIM('Base de Datos'!AH145),",",""),".",",")),"")))</f>
        <v/>
      </c>
    </row>
    <row r="150" customFormat="false" ht="13.8" hidden="false" customHeight="false" outlineLevel="0" collapsed="false">
      <c r="AE150" s="44" t="n">
        <v>141</v>
      </c>
      <c r="AF150" s="55" t="str">
        <f aca="false">IF(AF149="","",IFERROR(SMALL($CH$10:$CH$309,COUNTIF($CH$10:$CH$309,"&lt;="&amp;AF149)+1),""))</f>
        <v/>
      </c>
      <c r="AG150" s="44" t="str">
        <f aca="false">IF(AF150="","",INDEX($CI$10:$CI$309,MATCH(AF150,$CH$10:$CH$309,0)))</f>
        <v/>
      </c>
      <c r="AH150" s="55" t="e">
        <f aca="false">IF(AF150="",NA(),AF150)</f>
        <v>#N/A</v>
      </c>
      <c r="AI150" s="44" t="e">
        <f aca="false">IF(AG150="",NA(),AG150)</f>
        <v>#N/A</v>
      </c>
      <c r="AU150" s="44" t="str">
        <f aca="false">IF(141&lt;=$C$8,141,"")</f>
        <v/>
      </c>
      <c r="AV150" s="44" t="str">
        <f aca="false">IF(AU150="","",INDEX($AG$10:$AG$309,$B$8+141-1))</f>
        <v/>
      </c>
      <c r="AW150" s="44" t="e">
        <f aca="false">IF(AV150="",NA(),AV150)</f>
        <v>#N/A</v>
      </c>
      <c r="AX150" s="44" t="e">
        <f aca="false">IF(AV150="",NA(),AU150)</f>
        <v>#N/A</v>
      </c>
      <c r="AY150" s="44" t="str">
        <f aca="false">IF(AV150="","",LN(AV150))</f>
        <v/>
      </c>
      <c r="CH150" s="55" t="str">
        <f aca="false">IF(ISNUMBER(CI150),IF(ISNUMBER('Base de Datos'!AG146),IF('Base de Datos'!AG146&gt;20000,INT('Base de Datos'!AG146),""),IF(TRIM('Base de Datos'!AG146)="","",IFERROR(DATE(VALUE(RIGHT(TRIM('Base de Datos'!AG146),4)),VALUE(MID(TRIM('Base de Datos'!AG146),4,2)),VALUE(LEFT(TRIM('Base de Datos'!AG146),2))),IFERROR(DATEVALUE(TRIM('Base de Datos'!AG146)),"")))),"")</f>
        <v/>
      </c>
      <c r="CI150" s="44" t="str">
        <f aca="false">IF(ISNUMBER('Base de Datos'!AH146),'Base de Datos'!AH146,IF(TRIM('Base de Datos'!AH146)="","",IFERROR(IF(IFERROR(FIND("@",SUBSTITUTE(TRIM('Base de Datos'!AH146),",","@",LEN(TRIM('Base de Datos'!AH146))-LEN(SUBSTITUTE(TRIM('Base de Datos'!AH146),",","")))),0)&gt;IFERROR(FIND("@",SUBSTITUTE(TRIM('Base de Datos'!AH146),".","@",LEN(TRIM('Base de Datos'!AH146))-LEN(SUBSTITUTE(TRIM('Base de Datos'!AH146),".","")))),0),_xlfn.NUMBERVALUE(SUBSTITUTE(SUBSTITUTE(TRIM('Base de Datos'!AH146),".",""),",","."),".",","),_xlfn.NUMBERVALUE(SUBSTITUTE(TRIM('Base de Datos'!AH146),",",""),".",",")),"")))</f>
        <v/>
      </c>
    </row>
    <row r="151" customFormat="false" ht="13.8" hidden="false" customHeight="false" outlineLevel="0" collapsed="false">
      <c r="AE151" s="44" t="n">
        <v>142</v>
      </c>
      <c r="AF151" s="55" t="str">
        <f aca="false">IF(AF150="","",IFERROR(SMALL($CH$10:$CH$309,COUNTIF($CH$10:$CH$309,"&lt;="&amp;AF150)+1),""))</f>
        <v/>
      </c>
      <c r="AG151" s="44" t="str">
        <f aca="false">IF(AF151="","",INDEX($CI$10:$CI$309,MATCH(AF151,$CH$10:$CH$309,0)))</f>
        <v/>
      </c>
      <c r="AH151" s="55" t="e">
        <f aca="false">IF(AF151="",NA(),AF151)</f>
        <v>#N/A</v>
      </c>
      <c r="AI151" s="44" t="e">
        <f aca="false">IF(AG151="",NA(),AG151)</f>
        <v>#N/A</v>
      </c>
      <c r="AU151" s="44" t="str">
        <f aca="false">IF(142&lt;=$C$8,142,"")</f>
        <v/>
      </c>
      <c r="AV151" s="44" t="str">
        <f aca="false">IF(AU151="","",INDEX($AG$10:$AG$309,$B$8+142-1))</f>
        <v/>
      </c>
      <c r="AW151" s="44" t="e">
        <f aca="false">IF(AV151="",NA(),AV151)</f>
        <v>#N/A</v>
      </c>
      <c r="AX151" s="44" t="e">
        <f aca="false">IF(AV151="",NA(),AU151)</f>
        <v>#N/A</v>
      </c>
      <c r="AY151" s="44" t="str">
        <f aca="false">IF(AV151="","",LN(AV151))</f>
        <v/>
      </c>
      <c r="CH151" s="55" t="str">
        <f aca="false">IF(ISNUMBER(CI151),IF(ISNUMBER('Base de Datos'!AG147),IF('Base de Datos'!AG147&gt;20000,INT('Base de Datos'!AG147),""),IF(TRIM('Base de Datos'!AG147)="","",IFERROR(DATE(VALUE(RIGHT(TRIM('Base de Datos'!AG147),4)),VALUE(MID(TRIM('Base de Datos'!AG147),4,2)),VALUE(LEFT(TRIM('Base de Datos'!AG147),2))),IFERROR(DATEVALUE(TRIM('Base de Datos'!AG147)),"")))),"")</f>
        <v/>
      </c>
      <c r="CI151" s="44" t="str">
        <f aca="false">IF(ISNUMBER('Base de Datos'!AH147),'Base de Datos'!AH147,IF(TRIM('Base de Datos'!AH147)="","",IFERROR(IF(IFERROR(FIND("@",SUBSTITUTE(TRIM('Base de Datos'!AH147),",","@",LEN(TRIM('Base de Datos'!AH147))-LEN(SUBSTITUTE(TRIM('Base de Datos'!AH147),",","")))),0)&gt;IFERROR(FIND("@",SUBSTITUTE(TRIM('Base de Datos'!AH147),".","@",LEN(TRIM('Base de Datos'!AH147))-LEN(SUBSTITUTE(TRIM('Base de Datos'!AH147),".","")))),0),_xlfn.NUMBERVALUE(SUBSTITUTE(SUBSTITUTE(TRIM('Base de Datos'!AH147),".",""),",","."),".",","),_xlfn.NUMBERVALUE(SUBSTITUTE(TRIM('Base de Datos'!AH147),",",""),".",",")),"")))</f>
        <v/>
      </c>
    </row>
    <row r="152" customFormat="false" ht="13.8" hidden="false" customHeight="false" outlineLevel="0" collapsed="false">
      <c r="AE152" s="44" t="n">
        <v>143</v>
      </c>
      <c r="AF152" s="55" t="str">
        <f aca="false">IF(AF151="","",IFERROR(SMALL($CH$10:$CH$309,COUNTIF($CH$10:$CH$309,"&lt;="&amp;AF151)+1),""))</f>
        <v/>
      </c>
      <c r="AG152" s="44" t="str">
        <f aca="false">IF(AF152="","",INDEX($CI$10:$CI$309,MATCH(AF152,$CH$10:$CH$309,0)))</f>
        <v/>
      </c>
      <c r="AH152" s="55" t="e">
        <f aca="false">IF(AF152="",NA(),AF152)</f>
        <v>#N/A</v>
      </c>
      <c r="AI152" s="44" t="e">
        <f aca="false">IF(AG152="",NA(),AG152)</f>
        <v>#N/A</v>
      </c>
      <c r="AU152" s="44" t="str">
        <f aca="false">IF(143&lt;=$C$8,143,"")</f>
        <v/>
      </c>
      <c r="AV152" s="44" t="str">
        <f aca="false">IF(AU152="","",INDEX($AG$10:$AG$309,$B$8+143-1))</f>
        <v/>
      </c>
      <c r="AW152" s="44" t="e">
        <f aca="false">IF(AV152="",NA(),AV152)</f>
        <v>#N/A</v>
      </c>
      <c r="AX152" s="44" t="e">
        <f aca="false">IF(AV152="",NA(),AU152)</f>
        <v>#N/A</v>
      </c>
      <c r="AY152" s="44" t="str">
        <f aca="false">IF(AV152="","",LN(AV152))</f>
        <v/>
      </c>
      <c r="CH152" s="55" t="str">
        <f aca="false">IF(ISNUMBER(CI152),IF(ISNUMBER('Base de Datos'!AG148),IF('Base de Datos'!AG148&gt;20000,INT('Base de Datos'!AG148),""),IF(TRIM('Base de Datos'!AG148)="","",IFERROR(DATE(VALUE(RIGHT(TRIM('Base de Datos'!AG148),4)),VALUE(MID(TRIM('Base de Datos'!AG148),4,2)),VALUE(LEFT(TRIM('Base de Datos'!AG148),2))),IFERROR(DATEVALUE(TRIM('Base de Datos'!AG148)),"")))),"")</f>
        <v/>
      </c>
      <c r="CI152" s="44" t="str">
        <f aca="false">IF(ISNUMBER('Base de Datos'!AH148),'Base de Datos'!AH148,IF(TRIM('Base de Datos'!AH148)="","",IFERROR(IF(IFERROR(FIND("@",SUBSTITUTE(TRIM('Base de Datos'!AH148),",","@",LEN(TRIM('Base de Datos'!AH148))-LEN(SUBSTITUTE(TRIM('Base de Datos'!AH148),",","")))),0)&gt;IFERROR(FIND("@",SUBSTITUTE(TRIM('Base de Datos'!AH148),".","@",LEN(TRIM('Base de Datos'!AH148))-LEN(SUBSTITUTE(TRIM('Base de Datos'!AH148),".","")))),0),_xlfn.NUMBERVALUE(SUBSTITUTE(SUBSTITUTE(TRIM('Base de Datos'!AH148),".",""),",","."),".",","),_xlfn.NUMBERVALUE(SUBSTITUTE(TRIM('Base de Datos'!AH148),",",""),".",",")),"")))</f>
        <v/>
      </c>
    </row>
    <row r="153" customFormat="false" ht="13.8" hidden="false" customHeight="false" outlineLevel="0" collapsed="false">
      <c r="AE153" s="44" t="n">
        <v>144</v>
      </c>
      <c r="AF153" s="55" t="str">
        <f aca="false">IF(AF152="","",IFERROR(SMALL($CH$10:$CH$309,COUNTIF($CH$10:$CH$309,"&lt;="&amp;AF152)+1),""))</f>
        <v/>
      </c>
      <c r="AG153" s="44" t="str">
        <f aca="false">IF(AF153="","",INDEX($CI$10:$CI$309,MATCH(AF153,$CH$10:$CH$309,0)))</f>
        <v/>
      </c>
      <c r="AH153" s="55" t="e">
        <f aca="false">IF(AF153="",NA(),AF153)</f>
        <v>#N/A</v>
      </c>
      <c r="AI153" s="44" t="e">
        <f aca="false">IF(AG153="",NA(),AG153)</f>
        <v>#N/A</v>
      </c>
      <c r="AU153" s="44" t="str">
        <f aca="false">IF(144&lt;=$C$8,144,"")</f>
        <v/>
      </c>
      <c r="AV153" s="44" t="str">
        <f aca="false">IF(AU153="","",INDEX($AG$10:$AG$309,$B$8+144-1))</f>
        <v/>
      </c>
      <c r="AW153" s="44" t="e">
        <f aca="false">IF(AV153="",NA(),AV153)</f>
        <v>#N/A</v>
      </c>
      <c r="AX153" s="44" t="e">
        <f aca="false">IF(AV153="",NA(),AU153)</f>
        <v>#N/A</v>
      </c>
      <c r="AY153" s="44" t="str">
        <f aca="false">IF(AV153="","",LN(AV153))</f>
        <v/>
      </c>
      <c r="CH153" s="55" t="str">
        <f aca="false">IF(ISNUMBER(CI153),IF(ISNUMBER('Base de Datos'!AG149),IF('Base de Datos'!AG149&gt;20000,INT('Base de Datos'!AG149),""),IF(TRIM('Base de Datos'!AG149)="","",IFERROR(DATE(VALUE(RIGHT(TRIM('Base de Datos'!AG149),4)),VALUE(MID(TRIM('Base de Datos'!AG149),4,2)),VALUE(LEFT(TRIM('Base de Datos'!AG149),2))),IFERROR(DATEVALUE(TRIM('Base de Datos'!AG149)),"")))),"")</f>
        <v/>
      </c>
      <c r="CI153" s="44" t="str">
        <f aca="false">IF(ISNUMBER('Base de Datos'!AH149),'Base de Datos'!AH149,IF(TRIM('Base de Datos'!AH149)="","",IFERROR(IF(IFERROR(FIND("@",SUBSTITUTE(TRIM('Base de Datos'!AH149),",","@",LEN(TRIM('Base de Datos'!AH149))-LEN(SUBSTITUTE(TRIM('Base de Datos'!AH149),",","")))),0)&gt;IFERROR(FIND("@",SUBSTITUTE(TRIM('Base de Datos'!AH149),".","@",LEN(TRIM('Base de Datos'!AH149))-LEN(SUBSTITUTE(TRIM('Base de Datos'!AH149),".","")))),0),_xlfn.NUMBERVALUE(SUBSTITUTE(SUBSTITUTE(TRIM('Base de Datos'!AH149),".",""),",","."),".",","),_xlfn.NUMBERVALUE(SUBSTITUTE(TRIM('Base de Datos'!AH149),",",""),".",",")),"")))</f>
        <v/>
      </c>
    </row>
    <row r="154" customFormat="false" ht="13.8" hidden="false" customHeight="false" outlineLevel="0" collapsed="false">
      <c r="AE154" s="44" t="n">
        <v>145</v>
      </c>
      <c r="AF154" s="55" t="str">
        <f aca="false">IF(AF153="","",IFERROR(SMALL($CH$10:$CH$309,COUNTIF($CH$10:$CH$309,"&lt;="&amp;AF153)+1),""))</f>
        <v/>
      </c>
      <c r="AG154" s="44" t="str">
        <f aca="false">IF(AF154="","",INDEX($CI$10:$CI$309,MATCH(AF154,$CH$10:$CH$309,0)))</f>
        <v/>
      </c>
      <c r="AH154" s="55" t="e">
        <f aca="false">IF(AF154="",NA(),AF154)</f>
        <v>#N/A</v>
      </c>
      <c r="AI154" s="44" t="e">
        <f aca="false">IF(AG154="",NA(),AG154)</f>
        <v>#N/A</v>
      </c>
      <c r="AU154" s="44" t="str">
        <f aca="false">IF(145&lt;=$C$8,145,"")</f>
        <v/>
      </c>
      <c r="AV154" s="44" t="str">
        <f aca="false">IF(AU154="","",INDEX($AG$10:$AG$309,$B$8+145-1))</f>
        <v/>
      </c>
      <c r="AW154" s="44" t="e">
        <f aca="false">IF(AV154="",NA(),AV154)</f>
        <v>#N/A</v>
      </c>
      <c r="AX154" s="44" t="e">
        <f aca="false">IF(AV154="",NA(),AU154)</f>
        <v>#N/A</v>
      </c>
      <c r="AY154" s="44" t="str">
        <f aca="false">IF(AV154="","",LN(AV154))</f>
        <v/>
      </c>
      <c r="CH154" s="55" t="str">
        <f aca="false">IF(ISNUMBER(CI154),IF(ISNUMBER('Base de Datos'!AG150),IF('Base de Datos'!AG150&gt;20000,INT('Base de Datos'!AG150),""),IF(TRIM('Base de Datos'!AG150)="","",IFERROR(DATE(VALUE(RIGHT(TRIM('Base de Datos'!AG150),4)),VALUE(MID(TRIM('Base de Datos'!AG150),4,2)),VALUE(LEFT(TRIM('Base de Datos'!AG150),2))),IFERROR(DATEVALUE(TRIM('Base de Datos'!AG150)),"")))),"")</f>
        <v/>
      </c>
      <c r="CI154" s="44" t="str">
        <f aca="false">IF(ISNUMBER('Base de Datos'!AH150),'Base de Datos'!AH150,IF(TRIM('Base de Datos'!AH150)="","",IFERROR(IF(IFERROR(FIND("@",SUBSTITUTE(TRIM('Base de Datos'!AH150),",","@",LEN(TRIM('Base de Datos'!AH150))-LEN(SUBSTITUTE(TRIM('Base de Datos'!AH150),",","")))),0)&gt;IFERROR(FIND("@",SUBSTITUTE(TRIM('Base de Datos'!AH150),".","@",LEN(TRIM('Base de Datos'!AH150))-LEN(SUBSTITUTE(TRIM('Base de Datos'!AH150),".","")))),0),_xlfn.NUMBERVALUE(SUBSTITUTE(SUBSTITUTE(TRIM('Base de Datos'!AH150),".",""),",","."),".",","),_xlfn.NUMBERVALUE(SUBSTITUTE(TRIM('Base de Datos'!AH150),",",""),".",",")),"")))</f>
        <v/>
      </c>
    </row>
    <row r="155" customFormat="false" ht="13.8" hidden="false" customHeight="false" outlineLevel="0" collapsed="false">
      <c r="AE155" s="44" t="n">
        <v>146</v>
      </c>
      <c r="AF155" s="55" t="str">
        <f aca="false">IF(AF154="","",IFERROR(SMALL($CH$10:$CH$309,COUNTIF($CH$10:$CH$309,"&lt;="&amp;AF154)+1),""))</f>
        <v/>
      </c>
      <c r="AG155" s="44" t="str">
        <f aca="false">IF(AF155="","",INDEX($CI$10:$CI$309,MATCH(AF155,$CH$10:$CH$309,0)))</f>
        <v/>
      </c>
      <c r="AH155" s="55" t="e">
        <f aca="false">IF(AF155="",NA(),AF155)</f>
        <v>#N/A</v>
      </c>
      <c r="AI155" s="44" t="e">
        <f aca="false">IF(AG155="",NA(),AG155)</f>
        <v>#N/A</v>
      </c>
      <c r="AU155" s="44" t="str">
        <f aca="false">IF(146&lt;=$C$8,146,"")</f>
        <v/>
      </c>
      <c r="AV155" s="44" t="str">
        <f aca="false">IF(AU155="","",INDEX($AG$10:$AG$309,$B$8+146-1))</f>
        <v/>
      </c>
      <c r="AW155" s="44" t="e">
        <f aca="false">IF(AV155="",NA(),AV155)</f>
        <v>#N/A</v>
      </c>
      <c r="AX155" s="44" t="e">
        <f aca="false">IF(AV155="",NA(),AU155)</f>
        <v>#N/A</v>
      </c>
      <c r="AY155" s="44" t="str">
        <f aca="false">IF(AV155="","",LN(AV155))</f>
        <v/>
      </c>
      <c r="CH155" s="55" t="str">
        <f aca="false">IF(ISNUMBER(CI155),IF(ISNUMBER('Base de Datos'!AG151),IF('Base de Datos'!AG151&gt;20000,INT('Base de Datos'!AG151),""),IF(TRIM('Base de Datos'!AG151)="","",IFERROR(DATE(VALUE(RIGHT(TRIM('Base de Datos'!AG151),4)),VALUE(MID(TRIM('Base de Datos'!AG151),4,2)),VALUE(LEFT(TRIM('Base de Datos'!AG151),2))),IFERROR(DATEVALUE(TRIM('Base de Datos'!AG151)),"")))),"")</f>
        <v/>
      </c>
      <c r="CI155" s="44" t="str">
        <f aca="false">IF(ISNUMBER('Base de Datos'!AH151),'Base de Datos'!AH151,IF(TRIM('Base de Datos'!AH151)="","",IFERROR(IF(IFERROR(FIND("@",SUBSTITUTE(TRIM('Base de Datos'!AH151),",","@",LEN(TRIM('Base de Datos'!AH151))-LEN(SUBSTITUTE(TRIM('Base de Datos'!AH151),",","")))),0)&gt;IFERROR(FIND("@",SUBSTITUTE(TRIM('Base de Datos'!AH151),".","@",LEN(TRIM('Base de Datos'!AH151))-LEN(SUBSTITUTE(TRIM('Base de Datos'!AH151),".","")))),0),_xlfn.NUMBERVALUE(SUBSTITUTE(SUBSTITUTE(TRIM('Base de Datos'!AH151),".",""),",","."),".",","),_xlfn.NUMBERVALUE(SUBSTITUTE(TRIM('Base de Datos'!AH151),",",""),".",",")),"")))</f>
        <v/>
      </c>
    </row>
    <row r="156" customFormat="false" ht="13.8" hidden="false" customHeight="false" outlineLevel="0" collapsed="false">
      <c r="AE156" s="44" t="n">
        <v>147</v>
      </c>
      <c r="AF156" s="55" t="str">
        <f aca="false">IF(AF155="","",IFERROR(SMALL($CH$10:$CH$309,COUNTIF($CH$10:$CH$309,"&lt;="&amp;AF155)+1),""))</f>
        <v/>
      </c>
      <c r="AG156" s="44" t="str">
        <f aca="false">IF(AF156="","",INDEX($CI$10:$CI$309,MATCH(AF156,$CH$10:$CH$309,0)))</f>
        <v/>
      </c>
      <c r="AH156" s="55" t="e">
        <f aca="false">IF(AF156="",NA(),AF156)</f>
        <v>#N/A</v>
      </c>
      <c r="AI156" s="44" t="e">
        <f aca="false">IF(AG156="",NA(),AG156)</f>
        <v>#N/A</v>
      </c>
      <c r="AU156" s="44" t="str">
        <f aca="false">IF(147&lt;=$C$8,147,"")</f>
        <v/>
      </c>
      <c r="AV156" s="44" t="str">
        <f aca="false">IF(AU156="","",INDEX($AG$10:$AG$309,$B$8+147-1))</f>
        <v/>
      </c>
      <c r="AW156" s="44" t="e">
        <f aca="false">IF(AV156="",NA(),AV156)</f>
        <v>#N/A</v>
      </c>
      <c r="AX156" s="44" t="e">
        <f aca="false">IF(AV156="",NA(),AU156)</f>
        <v>#N/A</v>
      </c>
      <c r="AY156" s="44" t="str">
        <f aca="false">IF(AV156="","",LN(AV156))</f>
        <v/>
      </c>
      <c r="CH156" s="55" t="str">
        <f aca="false">IF(ISNUMBER(CI156),IF(ISNUMBER('Base de Datos'!AG152),IF('Base de Datos'!AG152&gt;20000,INT('Base de Datos'!AG152),""),IF(TRIM('Base de Datos'!AG152)="","",IFERROR(DATE(VALUE(RIGHT(TRIM('Base de Datos'!AG152),4)),VALUE(MID(TRIM('Base de Datos'!AG152),4,2)),VALUE(LEFT(TRIM('Base de Datos'!AG152),2))),IFERROR(DATEVALUE(TRIM('Base de Datos'!AG152)),"")))),"")</f>
        <v/>
      </c>
      <c r="CI156" s="44" t="str">
        <f aca="false">IF(ISNUMBER('Base de Datos'!AH152),'Base de Datos'!AH152,IF(TRIM('Base de Datos'!AH152)="","",IFERROR(IF(IFERROR(FIND("@",SUBSTITUTE(TRIM('Base de Datos'!AH152),",","@",LEN(TRIM('Base de Datos'!AH152))-LEN(SUBSTITUTE(TRIM('Base de Datos'!AH152),",","")))),0)&gt;IFERROR(FIND("@",SUBSTITUTE(TRIM('Base de Datos'!AH152),".","@",LEN(TRIM('Base de Datos'!AH152))-LEN(SUBSTITUTE(TRIM('Base de Datos'!AH152),".","")))),0),_xlfn.NUMBERVALUE(SUBSTITUTE(SUBSTITUTE(TRIM('Base de Datos'!AH152),".",""),",","."),".",","),_xlfn.NUMBERVALUE(SUBSTITUTE(TRIM('Base de Datos'!AH152),",",""),".",",")),"")))</f>
        <v/>
      </c>
    </row>
    <row r="157" customFormat="false" ht="13.8" hidden="false" customHeight="false" outlineLevel="0" collapsed="false">
      <c r="AE157" s="44" t="n">
        <v>148</v>
      </c>
      <c r="AF157" s="55" t="str">
        <f aca="false">IF(AF156="","",IFERROR(SMALL($CH$10:$CH$309,COUNTIF($CH$10:$CH$309,"&lt;="&amp;AF156)+1),""))</f>
        <v/>
      </c>
      <c r="AG157" s="44" t="str">
        <f aca="false">IF(AF157="","",INDEX($CI$10:$CI$309,MATCH(AF157,$CH$10:$CH$309,0)))</f>
        <v/>
      </c>
      <c r="AH157" s="55" t="e">
        <f aca="false">IF(AF157="",NA(),AF157)</f>
        <v>#N/A</v>
      </c>
      <c r="AI157" s="44" t="e">
        <f aca="false">IF(AG157="",NA(),AG157)</f>
        <v>#N/A</v>
      </c>
      <c r="AU157" s="44" t="str">
        <f aca="false">IF(148&lt;=$C$8,148,"")</f>
        <v/>
      </c>
      <c r="AV157" s="44" t="str">
        <f aca="false">IF(AU157="","",INDEX($AG$10:$AG$309,$B$8+148-1))</f>
        <v/>
      </c>
      <c r="AW157" s="44" t="e">
        <f aca="false">IF(AV157="",NA(),AV157)</f>
        <v>#N/A</v>
      </c>
      <c r="AX157" s="44" t="e">
        <f aca="false">IF(AV157="",NA(),AU157)</f>
        <v>#N/A</v>
      </c>
      <c r="AY157" s="44" t="str">
        <f aca="false">IF(AV157="","",LN(AV157))</f>
        <v/>
      </c>
      <c r="CH157" s="55" t="str">
        <f aca="false">IF(ISNUMBER(CI157),IF(ISNUMBER('Base de Datos'!AG153),IF('Base de Datos'!AG153&gt;20000,INT('Base de Datos'!AG153),""),IF(TRIM('Base de Datos'!AG153)="","",IFERROR(DATE(VALUE(RIGHT(TRIM('Base de Datos'!AG153),4)),VALUE(MID(TRIM('Base de Datos'!AG153),4,2)),VALUE(LEFT(TRIM('Base de Datos'!AG153),2))),IFERROR(DATEVALUE(TRIM('Base de Datos'!AG153)),"")))),"")</f>
        <v/>
      </c>
      <c r="CI157" s="44" t="str">
        <f aca="false">IF(ISNUMBER('Base de Datos'!AH153),'Base de Datos'!AH153,IF(TRIM('Base de Datos'!AH153)="","",IFERROR(IF(IFERROR(FIND("@",SUBSTITUTE(TRIM('Base de Datos'!AH153),",","@",LEN(TRIM('Base de Datos'!AH153))-LEN(SUBSTITUTE(TRIM('Base de Datos'!AH153),",","")))),0)&gt;IFERROR(FIND("@",SUBSTITUTE(TRIM('Base de Datos'!AH153),".","@",LEN(TRIM('Base de Datos'!AH153))-LEN(SUBSTITUTE(TRIM('Base de Datos'!AH153),".","")))),0),_xlfn.NUMBERVALUE(SUBSTITUTE(SUBSTITUTE(TRIM('Base de Datos'!AH153),".",""),",","."),".",","),_xlfn.NUMBERVALUE(SUBSTITUTE(TRIM('Base de Datos'!AH153),",",""),".",",")),"")))</f>
        <v/>
      </c>
    </row>
    <row r="158" customFormat="false" ht="13.8" hidden="false" customHeight="false" outlineLevel="0" collapsed="false">
      <c r="AE158" s="44" t="n">
        <v>149</v>
      </c>
      <c r="AF158" s="55" t="str">
        <f aca="false">IF(AF157="","",IFERROR(SMALL($CH$10:$CH$309,COUNTIF($CH$10:$CH$309,"&lt;="&amp;AF157)+1),""))</f>
        <v/>
      </c>
      <c r="AG158" s="44" t="str">
        <f aca="false">IF(AF158="","",INDEX($CI$10:$CI$309,MATCH(AF158,$CH$10:$CH$309,0)))</f>
        <v/>
      </c>
      <c r="AH158" s="55" t="e">
        <f aca="false">IF(AF158="",NA(),AF158)</f>
        <v>#N/A</v>
      </c>
      <c r="AI158" s="44" t="e">
        <f aca="false">IF(AG158="",NA(),AG158)</f>
        <v>#N/A</v>
      </c>
      <c r="AU158" s="44" t="str">
        <f aca="false">IF(149&lt;=$C$8,149,"")</f>
        <v/>
      </c>
      <c r="AV158" s="44" t="str">
        <f aca="false">IF(AU158="","",INDEX($AG$10:$AG$309,$B$8+149-1))</f>
        <v/>
      </c>
      <c r="AW158" s="44" t="e">
        <f aca="false">IF(AV158="",NA(),AV158)</f>
        <v>#N/A</v>
      </c>
      <c r="AX158" s="44" t="e">
        <f aca="false">IF(AV158="",NA(),AU158)</f>
        <v>#N/A</v>
      </c>
      <c r="AY158" s="44" t="str">
        <f aca="false">IF(AV158="","",LN(AV158))</f>
        <v/>
      </c>
      <c r="CH158" s="55" t="str">
        <f aca="false">IF(ISNUMBER(CI158),IF(ISNUMBER('Base de Datos'!AG154),IF('Base de Datos'!AG154&gt;20000,INT('Base de Datos'!AG154),""),IF(TRIM('Base de Datos'!AG154)="","",IFERROR(DATE(VALUE(RIGHT(TRIM('Base de Datos'!AG154),4)),VALUE(MID(TRIM('Base de Datos'!AG154),4,2)),VALUE(LEFT(TRIM('Base de Datos'!AG154),2))),IFERROR(DATEVALUE(TRIM('Base de Datos'!AG154)),"")))),"")</f>
        <v/>
      </c>
      <c r="CI158" s="44" t="str">
        <f aca="false">IF(ISNUMBER('Base de Datos'!AH154),'Base de Datos'!AH154,IF(TRIM('Base de Datos'!AH154)="","",IFERROR(IF(IFERROR(FIND("@",SUBSTITUTE(TRIM('Base de Datos'!AH154),",","@",LEN(TRIM('Base de Datos'!AH154))-LEN(SUBSTITUTE(TRIM('Base de Datos'!AH154),",","")))),0)&gt;IFERROR(FIND("@",SUBSTITUTE(TRIM('Base de Datos'!AH154),".","@",LEN(TRIM('Base de Datos'!AH154))-LEN(SUBSTITUTE(TRIM('Base de Datos'!AH154),".","")))),0),_xlfn.NUMBERVALUE(SUBSTITUTE(SUBSTITUTE(TRIM('Base de Datos'!AH154),".",""),",","."),".",","),_xlfn.NUMBERVALUE(SUBSTITUTE(TRIM('Base de Datos'!AH154),",",""),".",",")),"")))</f>
        <v/>
      </c>
    </row>
    <row r="159" customFormat="false" ht="13.8" hidden="false" customHeight="false" outlineLevel="0" collapsed="false">
      <c r="AE159" s="44" t="n">
        <v>150</v>
      </c>
      <c r="AF159" s="55" t="str">
        <f aca="false">IF(AF158="","",IFERROR(SMALL($CH$10:$CH$309,COUNTIF($CH$10:$CH$309,"&lt;="&amp;AF158)+1),""))</f>
        <v/>
      </c>
      <c r="AG159" s="44" t="str">
        <f aca="false">IF(AF159="","",INDEX($CI$10:$CI$309,MATCH(AF159,$CH$10:$CH$309,0)))</f>
        <v/>
      </c>
      <c r="AH159" s="55" t="e">
        <f aca="false">IF(AF159="",NA(),AF159)</f>
        <v>#N/A</v>
      </c>
      <c r="AI159" s="44" t="e">
        <f aca="false">IF(AG159="",NA(),AG159)</f>
        <v>#N/A</v>
      </c>
      <c r="AU159" s="44" t="str">
        <f aca="false">IF(150&lt;=$C$8,150,"")</f>
        <v/>
      </c>
      <c r="AV159" s="44" t="str">
        <f aca="false">IF(AU159="","",INDEX($AG$10:$AG$309,$B$8+150-1))</f>
        <v/>
      </c>
      <c r="AW159" s="44" t="e">
        <f aca="false">IF(AV159="",NA(),AV159)</f>
        <v>#N/A</v>
      </c>
      <c r="AX159" s="44" t="e">
        <f aca="false">IF(AV159="",NA(),AU159)</f>
        <v>#N/A</v>
      </c>
      <c r="AY159" s="44" t="str">
        <f aca="false">IF(AV159="","",LN(AV159))</f>
        <v/>
      </c>
      <c r="CH159" s="55" t="str">
        <f aca="false">IF(ISNUMBER(CI159),IF(ISNUMBER('Base de Datos'!AG155),IF('Base de Datos'!AG155&gt;20000,INT('Base de Datos'!AG155),""),IF(TRIM('Base de Datos'!AG155)="","",IFERROR(DATE(VALUE(RIGHT(TRIM('Base de Datos'!AG155),4)),VALUE(MID(TRIM('Base de Datos'!AG155),4,2)),VALUE(LEFT(TRIM('Base de Datos'!AG155),2))),IFERROR(DATEVALUE(TRIM('Base de Datos'!AG155)),"")))),"")</f>
        <v/>
      </c>
      <c r="CI159" s="44" t="str">
        <f aca="false">IF(ISNUMBER('Base de Datos'!AH155),'Base de Datos'!AH155,IF(TRIM('Base de Datos'!AH155)="","",IFERROR(IF(IFERROR(FIND("@",SUBSTITUTE(TRIM('Base de Datos'!AH155),",","@",LEN(TRIM('Base de Datos'!AH155))-LEN(SUBSTITUTE(TRIM('Base de Datos'!AH155),",","")))),0)&gt;IFERROR(FIND("@",SUBSTITUTE(TRIM('Base de Datos'!AH155),".","@",LEN(TRIM('Base de Datos'!AH155))-LEN(SUBSTITUTE(TRIM('Base de Datos'!AH155),".","")))),0),_xlfn.NUMBERVALUE(SUBSTITUTE(SUBSTITUTE(TRIM('Base de Datos'!AH155),".",""),",","."),".",","),_xlfn.NUMBERVALUE(SUBSTITUTE(TRIM('Base de Datos'!AH155),",",""),".",",")),"")))</f>
        <v/>
      </c>
    </row>
    <row r="160" customFormat="false" ht="13.8" hidden="false" customHeight="false" outlineLevel="0" collapsed="false">
      <c r="AE160" s="44" t="n">
        <v>151</v>
      </c>
      <c r="AF160" s="55" t="str">
        <f aca="false">IF(AF159="","",IFERROR(SMALL($CH$10:$CH$309,COUNTIF($CH$10:$CH$309,"&lt;="&amp;AF159)+1),""))</f>
        <v/>
      </c>
      <c r="AG160" s="44" t="str">
        <f aca="false">IF(AF160="","",INDEX($CI$10:$CI$309,MATCH(AF160,$CH$10:$CH$309,0)))</f>
        <v/>
      </c>
      <c r="AH160" s="55" t="e">
        <f aca="false">IF(AF160="",NA(),AF160)</f>
        <v>#N/A</v>
      </c>
      <c r="AI160" s="44" t="e">
        <f aca="false">IF(AG160="",NA(),AG160)</f>
        <v>#N/A</v>
      </c>
      <c r="AU160" s="44" t="str">
        <f aca="false">IF(151&lt;=$C$8,151,"")</f>
        <v/>
      </c>
      <c r="AV160" s="44" t="str">
        <f aca="false">IF(AU160="","",INDEX($AG$10:$AG$309,$B$8+151-1))</f>
        <v/>
      </c>
      <c r="AW160" s="44" t="e">
        <f aca="false">IF(AV160="",NA(),AV160)</f>
        <v>#N/A</v>
      </c>
      <c r="AX160" s="44" t="e">
        <f aca="false">IF(AV160="",NA(),AU160)</f>
        <v>#N/A</v>
      </c>
      <c r="AY160" s="44" t="str">
        <f aca="false">IF(AV160="","",LN(AV160))</f>
        <v/>
      </c>
      <c r="CH160" s="55" t="str">
        <f aca="false">IF(ISNUMBER(CI160),IF(ISNUMBER('Base de Datos'!AG156),IF('Base de Datos'!AG156&gt;20000,INT('Base de Datos'!AG156),""),IF(TRIM('Base de Datos'!AG156)="","",IFERROR(DATE(VALUE(RIGHT(TRIM('Base de Datos'!AG156),4)),VALUE(MID(TRIM('Base de Datos'!AG156),4,2)),VALUE(LEFT(TRIM('Base de Datos'!AG156),2))),IFERROR(DATEVALUE(TRIM('Base de Datos'!AG156)),"")))),"")</f>
        <v/>
      </c>
      <c r="CI160" s="44" t="str">
        <f aca="false">IF(ISNUMBER('Base de Datos'!AH156),'Base de Datos'!AH156,IF(TRIM('Base de Datos'!AH156)="","",IFERROR(IF(IFERROR(FIND("@",SUBSTITUTE(TRIM('Base de Datos'!AH156),",","@",LEN(TRIM('Base de Datos'!AH156))-LEN(SUBSTITUTE(TRIM('Base de Datos'!AH156),",","")))),0)&gt;IFERROR(FIND("@",SUBSTITUTE(TRIM('Base de Datos'!AH156),".","@",LEN(TRIM('Base de Datos'!AH156))-LEN(SUBSTITUTE(TRIM('Base de Datos'!AH156),".","")))),0),_xlfn.NUMBERVALUE(SUBSTITUTE(SUBSTITUTE(TRIM('Base de Datos'!AH156),".",""),",","."),".",","),_xlfn.NUMBERVALUE(SUBSTITUTE(TRIM('Base de Datos'!AH156),",",""),".",",")),"")))</f>
        <v/>
      </c>
    </row>
    <row r="161" customFormat="false" ht="13.8" hidden="false" customHeight="false" outlineLevel="0" collapsed="false">
      <c r="AE161" s="44" t="n">
        <v>152</v>
      </c>
      <c r="AF161" s="55" t="str">
        <f aca="false">IF(AF160="","",IFERROR(SMALL($CH$10:$CH$309,COUNTIF($CH$10:$CH$309,"&lt;="&amp;AF160)+1),""))</f>
        <v/>
      </c>
      <c r="AG161" s="44" t="str">
        <f aca="false">IF(AF161="","",INDEX($CI$10:$CI$309,MATCH(AF161,$CH$10:$CH$309,0)))</f>
        <v/>
      </c>
      <c r="AH161" s="55" t="e">
        <f aca="false">IF(AF161="",NA(),AF161)</f>
        <v>#N/A</v>
      </c>
      <c r="AI161" s="44" t="e">
        <f aca="false">IF(AG161="",NA(),AG161)</f>
        <v>#N/A</v>
      </c>
      <c r="AU161" s="44" t="str">
        <f aca="false">IF(152&lt;=$C$8,152,"")</f>
        <v/>
      </c>
      <c r="AV161" s="44" t="str">
        <f aca="false">IF(AU161="","",INDEX($AG$10:$AG$309,$B$8+152-1))</f>
        <v/>
      </c>
      <c r="AW161" s="44" t="e">
        <f aca="false">IF(AV161="",NA(),AV161)</f>
        <v>#N/A</v>
      </c>
      <c r="AX161" s="44" t="e">
        <f aca="false">IF(AV161="",NA(),AU161)</f>
        <v>#N/A</v>
      </c>
      <c r="AY161" s="44" t="str">
        <f aca="false">IF(AV161="","",LN(AV161))</f>
        <v/>
      </c>
      <c r="CH161" s="55" t="str">
        <f aca="false">IF(ISNUMBER(CI161),IF(ISNUMBER('Base de Datos'!AG157),IF('Base de Datos'!AG157&gt;20000,INT('Base de Datos'!AG157),""),IF(TRIM('Base de Datos'!AG157)="","",IFERROR(DATE(VALUE(RIGHT(TRIM('Base de Datos'!AG157),4)),VALUE(MID(TRIM('Base de Datos'!AG157),4,2)),VALUE(LEFT(TRIM('Base de Datos'!AG157),2))),IFERROR(DATEVALUE(TRIM('Base de Datos'!AG157)),"")))),"")</f>
        <v/>
      </c>
      <c r="CI161" s="44" t="str">
        <f aca="false">IF(ISNUMBER('Base de Datos'!AH157),'Base de Datos'!AH157,IF(TRIM('Base de Datos'!AH157)="","",IFERROR(IF(IFERROR(FIND("@",SUBSTITUTE(TRIM('Base de Datos'!AH157),",","@",LEN(TRIM('Base de Datos'!AH157))-LEN(SUBSTITUTE(TRIM('Base de Datos'!AH157),",","")))),0)&gt;IFERROR(FIND("@",SUBSTITUTE(TRIM('Base de Datos'!AH157),".","@",LEN(TRIM('Base de Datos'!AH157))-LEN(SUBSTITUTE(TRIM('Base de Datos'!AH157),".","")))),0),_xlfn.NUMBERVALUE(SUBSTITUTE(SUBSTITUTE(TRIM('Base de Datos'!AH157),".",""),",","."),".",","),_xlfn.NUMBERVALUE(SUBSTITUTE(TRIM('Base de Datos'!AH157),",",""),".",",")),"")))</f>
        <v/>
      </c>
    </row>
    <row r="162" customFormat="false" ht="13.8" hidden="false" customHeight="false" outlineLevel="0" collapsed="false">
      <c r="AE162" s="44" t="n">
        <v>153</v>
      </c>
      <c r="AF162" s="55" t="str">
        <f aca="false">IF(AF161="","",IFERROR(SMALL($CH$10:$CH$309,COUNTIF($CH$10:$CH$309,"&lt;="&amp;AF161)+1),""))</f>
        <v/>
      </c>
      <c r="AG162" s="44" t="str">
        <f aca="false">IF(AF162="","",INDEX($CI$10:$CI$309,MATCH(AF162,$CH$10:$CH$309,0)))</f>
        <v/>
      </c>
      <c r="AH162" s="55" t="e">
        <f aca="false">IF(AF162="",NA(),AF162)</f>
        <v>#N/A</v>
      </c>
      <c r="AI162" s="44" t="e">
        <f aca="false">IF(AG162="",NA(),AG162)</f>
        <v>#N/A</v>
      </c>
      <c r="AU162" s="44" t="str">
        <f aca="false">IF(153&lt;=$C$8,153,"")</f>
        <v/>
      </c>
      <c r="AV162" s="44" t="str">
        <f aca="false">IF(AU162="","",INDEX($AG$10:$AG$309,$B$8+153-1))</f>
        <v/>
      </c>
      <c r="AW162" s="44" t="e">
        <f aca="false">IF(AV162="",NA(),AV162)</f>
        <v>#N/A</v>
      </c>
      <c r="AX162" s="44" t="e">
        <f aca="false">IF(AV162="",NA(),AU162)</f>
        <v>#N/A</v>
      </c>
      <c r="AY162" s="44" t="str">
        <f aca="false">IF(AV162="","",LN(AV162))</f>
        <v/>
      </c>
      <c r="CH162" s="55" t="str">
        <f aca="false">IF(ISNUMBER(CI162),IF(ISNUMBER('Base de Datos'!AG158),IF('Base de Datos'!AG158&gt;20000,INT('Base de Datos'!AG158),""),IF(TRIM('Base de Datos'!AG158)="","",IFERROR(DATE(VALUE(RIGHT(TRIM('Base de Datos'!AG158),4)),VALUE(MID(TRIM('Base de Datos'!AG158),4,2)),VALUE(LEFT(TRIM('Base de Datos'!AG158),2))),IFERROR(DATEVALUE(TRIM('Base de Datos'!AG158)),"")))),"")</f>
        <v/>
      </c>
      <c r="CI162" s="44" t="str">
        <f aca="false">IF(ISNUMBER('Base de Datos'!AH158),'Base de Datos'!AH158,IF(TRIM('Base de Datos'!AH158)="","",IFERROR(IF(IFERROR(FIND("@",SUBSTITUTE(TRIM('Base de Datos'!AH158),",","@",LEN(TRIM('Base de Datos'!AH158))-LEN(SUBSTITUTE(TRIM('Base de Datos'!AH158),",","")))),0)&gt;IFERROR(FIND("@",SUBSTITUTE(TRIM('Base de Datos'!AH158),".","@",LEN(TRIM('Base de Datos'!AH158))-LEN(SUBSTITUTE(TRIM('Base de Datos'!AH158),".","")))),0),_xlfn.NUMBERVALUE(SUBSTITUTE(SUBSTITUTE(TRIM('Base de Datos'!AH158),".",""),",","."),".",","),_xlfn.NUMBERVALUE(SUBSTITUTE(TRIM('Base de Datos'!AH158),",",""),".",",")),"")))</f>
        <v/>
      </c>
    </row>
    <row r="163" customFormat="false" ht="13.8" hidden="false" customHeight="false" outlineLevel="0" collapsed="false">
      <c r="AE163" s="44" t="n">
        <v>154</v>
      </c>
      <c r="AF163" s="55" t="str">
        <f aca="false">IF(AF162="","",IFERROR(SMALL($CH$10:$CH$309,COUNTIF($CH$10:$CH$309,"&lt;="&amp;AF162)+1),""))</f>
        <v/>
      </c>
      <c r="AG163" s="44" t="str">
        <f aca="false">IF(AF163="","",INDEX($CI$10:$CI$309,MATCH(AF163,$CH$10:$CH$309,0)))</f>
        <v/>
      </c>
      <c r="AH163" s="55" t="e">
        <f aca="false">IF(AF163="",NA(),AF163)</f>
        <v>#N/A</v>
      </c>
      <c r="AI163" s="44" t="e">
        <f aca="false">IF(AG163="",NA(),AG163)</f>
        <v>#N/A</v>
      </c>
      <c r="AU163" s="44" t="str">
        <f aca="false">IF(154&lt;=$C$8,154,"")</f>
        <v/>
      </c>
      <c r="AV163" s="44" t="str">
        <f aca="false">IF(AU163="","",INDEX($AG$10:$AG$309,$B$8+154-1))</f>
        <v/>
      </c>
      <c r="AW163" s="44" t="e">
        <f aca="false">IF(AV163="",NA(),AV163)</f>
        <v>#N/A</v>
      </c>
      <c r="AX163" s="44" t="e">
        <f aca="false">IF(AV163="",NA(),AU163)</f>
        <v>#N/A</v>
      </c>
      <c r="AY163" s="44" t="str">
        <f aca="false">IF(AV163="","",LN(AV163))</f>
        <v/>
      </c>
      <c r="CH163" s="55" t="str">
        <f aca="false">IF(ISNUMBER(CI163),IF(ISNUMBER('Base de Datos'!AG159),IF('Base de Datos'!AG159&gt;20000,INT('Base de Datos'!AG159),""),IF(TRIM('Base de Datos'!AG159)="","",IFERROR(DATE(VALUE(RIGHT(TRIM('Base de Datos'!AG159),4)),VALUE(MID(TRIM('Base de Datos'!AG159),4,2)),VALUE(LEFT(TRIM('Base de Datos'!AG159),2))),IFERROR(DATEVALUE(TRIM('Base de Datos'!AG159)),"")))),"")</f>
        <v/>
      </c>
      <c r="CI163" s="44" t="str">
        <f aca="false">IF(ISNUMBER('Base de Datos'!AH159),'Base de Datos'!AH159,IF(TRIM('Base de Datos'!AH159)="","",IFERROR(IF(IFERROR(FIND("@",SUBSTITUTE(TRIM('Base de Datos'!AH159),",","@",LEN(TRIM('Base de Datos'!AH159))-LEN(SUBSTITUTE(TRIM('Base de Datos'!AH159),",","")))),0)&gt;IFERROR(FIND("@",SUBSTITUTE(TRIM('Base de Datos'!AH159),".","@",LEN(TRIM('Base de Datos'!AH159))-LEN(SUBSTITUTE(TRIM('Base de Datos'!AH159),".","")))),0),_xlfn.NUMBERVALUE(SUBSTITUTE(SUBSTITUTE(TRIM('Base de Datos'!AH159),".",""),",","."),".",","),_xlfn.NUMBERVALUE(SUBSTITUTE(TRIM('Base de Datos'!AH159),",",""),".",",")),"")))</f>
        <v/>
      </c>
    </row>
    <row r="164" customFormat="false" ht="13.8" hidden="false" customHeight="false" outlineLevel="0" collapsed="false">
      <c r="AE164" s="44" t="n">
        <v>155</v>
      </c>
      <c r="AF164" s="55" t="str">
        <f aca="false">IF(AF163="","",IFERROR(SMALL($CH$10:$CH$309,COUNTIF($CH$10:$CH$309,"&lt;="&amp;AF163)+1),""))</f>
        <v/>
      </c>
      <c r="AG164" s="44" t="str">
        <f aca="false">IF(AF164="","",INDEX($CI$10:$CI$309,MATCH(AF164,$CH$10:$CH$309,0)))</f>
        <v/>
      </c>
      <c r="AH164" s="55" t="e">
        <f aca="false">IF(AF164="",NA(),AF164)</f>
        <v>#N/A</v>
      </c>
      <c r="AI164" s="44" t="e">
        <f aca="false">IF(AG164="",NA(),AG164)</f>
        <v>#N/A</v>
      </c>
      <c r="AU164" s="44" t="str">
        <f aca="false">IF(155&lt;=$C$8,155,"")</f>
        <v/>
      </c>
      <c r="AV164" s="44" t="str">
        <f aca="false">IF(AU164="","",INDEX($AG$10:$AG$309,$B$8+155-1))</f>
        <v/>
      </c>
      <c r="AW164" s="44" t="e">
        <f aca="false">IF(AV164="",NA(),AV164)</f>
        <v>#N/A</v>
      </c>
      <c r="AX164" s="44" t="e">
        <f aca="false">IF(AV164="",NA(),AU164)</f>
        <v>#N/A</v>
      </c>
      <c r="AY164" s="44" t="str">
        <f aca="false">IF(AV164="","",LN(AV164))</f>
        <v/>
      </c>
      <c r="CH164" s="55" t="str">
        <f aca="false">IF(ISNUMBER(CI164),IF(ISNUMBER('Base de Datos'!AG160),IF('Base de Datos'!AG160&gt;20000,INT('Base de Datos'!AG160),""),IF(TRIM('Base de Datos'!AG160)="","",IFERROR(DATE(VALUE(RIGHT(TRIM('Base de Datos'!AG160),4)),VALUE(MID(TRIM('Base de Datos'!AG160),4,2)),VALUE(LEFT(TRIM('Base de Datos'!AG160),2))),IFERROR(DATEVALUE(TRIM('Base de Datos'!AG160)),"")))),"")</f>
        <v/>
      </c>
      <c r="CI164" s="44" t="str">
        <f aca="false">IF(ISNUMBER('Base de Datos'!AH160),'Base de Datos'!AH160,IF(TRIM('Base de Datos'!AH160)="","",IFERROR(IF(IFERROR(FIND("@",SUBSTITUTE(TRIM('Base de Datos'!AH160),",","@",LEN(TRIM('Base de Datos'!AH160))-LEN(SUBSTITUTE(TRIM('Base de Datos'!AH160),",","")))),0)&gt;IFERROR(FIND("@",SUBSTITUTE(TRIM('Base de Datos'!AH160),".","@",LEN(TRIM('Base de Datos'!AH160))-LEN(SUBSTITUTE(TRIM('Base de Datos'!AH160),".","")))),0),_xlfn.NUMBERVALUE(SUBSTITUTE(SUBSTITUTE(TRIM('Base de Datos'!AH160),".",""),",","."),".",","),_xlfn.NUMBERVALUE(SUBSTITUTE(TRIM('Base de Datos'!AH160),",",""),".",",")),"")))</f>
        <v/>
      </c>
    </row>
    <row r="165" customFormat="false" ht="13.8" hidden="false" customHeight="false" outlineLevel="0" collapsed="false">
      <c r="AE165" s="44" t="n">
        <v>156</v>
      </c>
      <c r="AF165" s="55" t="str">
        <f aca="false">IF(AF164="","",IFERROR(SMALL($CH$10:$CH$309,COUNTIF($CH$10:$CH$309,"&lt;="&amp;AF164)+1),""))</f>
        <v/>
      </c>
      <c r="AG165" s="44" t="str">
        <f aca="false">IF(AF165="","",INDEX($CI$10:$CI$309,MATCH(AF165,$CH$10:$CH$309,0)))</f>
        <v/>
      </c>
      <c r="AH165" s="55" t="e">
        <f aca="false">IF(AF165="",NA(),AF165)</f>
        <v>#N/A</v>
      </c>
      <c r="AI165" s="44" t="e">
        <f aca="false">IF(AG165="",NA(),AG165)</f>
        <v>#N/A</v>
      </c>
      <c r="AU165" s="44" t="str">
        <f aca="false">IF(156&lt;=$C$8,156,"")</f>
        <v/>
      </c>
      <c r="AV165" s="44" t="str">
        <f aca="false">IF(AU165="","",INDEX($AG$10:$AG$309,$B$8+156-1))</f>
        <v/>
      </c>
      <c r="AW165" s="44" t="e">
        <f aca="false">IF(AV165="",NA(),AV165)</f>
        <v>#N/A</v>
      </c>
      <c r="AX165" s="44" t="e">
        <f aca="false">IF(AV165="",NA(),AU165)</f>
        <v>#N/A</v>
      </c>
      <c r="AY165" s="44" t="str">
        <f aca="false">IF(AV165="","",LN(AV165))</f>
        <v/>
      </c>
      <c r="CH165" s="55" t="str">
        <f aca="false">IF(ISNUMBER(CI165),IF(ISNUMBER('Base de Datos'!AG161),IF('Base de Datos'!AG161&gt;20000,INT('Base de Datos'!AG161),""),IF(TRIM('Base de Datos'!AG161)="","",IFERROR(DATE(VALUE(RIGHT(TRIM('Base de Datos'!AG161),4)),VALUE(MID(TRIM('Base de Datos'!AG161),4,2)),VALUE(LEFT(TRIM('Base de Datos'!AG161),2))),IFERROR(DATEVALUE(TRIM('Base de Datos'!AG161)),"")))),"")</f>
        <v/>
      </c>
      <c r="CI165" s="44" t="str">
        <f aca="false">IF(ISNUMBER('Base de Datos'!AH161),'Base de Datos'!AH161,IF(TRIM('Base de Datos'!AH161)="","",IFERROR(IF(IFERROR(FIND("@",SUBSTITUTE(TRIM('Base de Datos'!AH161),",","@",LEN(TRIM('Base de Datos'!AH161))-LEN(SUBSTITUTE(TRIM('Base de Datos'!AH161),",","")))),0)&gt;IFERROR(FIND("@",SUBSTITUTE(TRIM('Base de Datos'!AH161),".","@",LEN(TRIM('Base de Datos'!AH161))-LEN(SUBSTITUTE(TRIM('Base de Datos'!AH161),".","")))),0),_xlfn.NUMBERVALUE(SUBSTITUTE(SUBSTITUTE(TRIM('Base de Datos'!AH161),".",""),",","."),".",","),_xlfn.NUMBERVALUE(SUBSTITUTE(TRIM('Base de Datos'!AH161),",",""),".",",")),"")))</f>
        <v/>
      </c>
    </row>
    <row r="166" customFormat="false" ht="13.8" hidden="false" customHeight="false" outlineLevel="0" collapsed="false">
      <c r="AE166" s="44" t="n">
        <v>157</v>
      </c>
      <c r="AF166" s="55" t="str">
        <f aca="false">IF(AF165="","",IFERROR(SMALL($CH$10:$CH$309,COUNTIF($CH$10:$CH$309,"&lt;="&amp;AF165)+1),""))</f>
        <v/>
      </c>
      <c r="AG166" s="44" t="str">
        <f aca="false">IF(AF166="","",INDEX($CI$10:$CI$309,MATCH(AF166,$CH$10:$CH$309,0)))</f>
        <v/>
      </c>
      <c r="AH166" s="55" t="e">
        <f aca="false">IF(AF166="",NA(),AF166)</f>
        <v>#N/A</v>
      </c>
      <c r="AI166" s="44" t="e">
        <f aca="false">IF(AG166="",NA(),AG166)</f>
        <v>#N/A</v>
      </c>
      <c r="AU166" s="44" t="str">
        <f aca="false">IF(157&lt;=$C$8,157,"")</f>
        <v/>
      </c>
      <c r="AV166" s="44" t="str">
        <f aca="false">IF(AU166="","",INDEX($AG$10:$AG$309,$B$8+157-1))</f>
        <v/>
      </c>
      <c r="AW166" s="44" t="e">
        <f aca="false">IF(AV166="",NA(),AV166)</f>
        <v>#N/A</v>
      </c>
      <c r="AX166" s="44" t="e">
        <f aca="false">IF(AV166="",NA(),AU166)</f>
        <v>#N/A</v>
      </c>
      <c r="AY166" s="44" t="str">
        <f aca="false">IF(AV166="","",LN(AV166))</f>
        <v/>
      </c>
      <c r="CH166" s="55" t="str">
        <f aca="false">IF(ISNUMBER(CI166),IF(ISNUMBER('Base de Datos'!AG162),IF('Base de Datos'!AG162&gt;20000,INT('Base de Datos'!AG162),""),IF(TRIM('Base de Datos'!AG162)="","",IFERROR(DATE(VALUE(RIGHT(TRIM('Base de Datos'!AG162),4)),VALUE(MID(TRIM('Base de Datos'!AG162),4,2)),VALUE(LEFT(TRIM('Base de Datos'!AG162),2))),IFERROR(DATEVALUE(TRIM('Base de Datos'!AG162)),"")))),"")</f>
        <v/>
      </c>
      <c r="CI166" s="44" t="str">
        <f aca="false">IF(ISNUMBER('Base de Datos'!AH162),'Base de Datos'!AH162,IF(TRIM('Base de Datos'!AH162)="","",IFERROR(IF(IFERROR(FIND("@",SUBSTITUTE(TRIM('Base de Datos'!AH162),",","@",LEN(TRIM('Base de Datos'!AH162))-LEN(SUBSTITUTE(TRIM('Base de Datos'!AH162),",","")))),0)&gt;IFERROR(FIND("@",SUBSTITUTE(TRIM('Base de Datos'!AH162),".","@",LEN(TRIM('Base de Datos'!AH162))-LEN(SUBSTITUTE(TRIM('Base de Datos'!AH162),".","")))),0),_xlfn.NUMBERVALUE(SUBSTITUTE(SUBSTITUTE(TRIM('Base de Datos'!AH162),".",""),",","."),".",","),_xlfn.NUMBERVALUE(SUBSTITUTE(TRIM('Base de Datos'!AH162),",",""),".",",")),"")))</f>
        <v/>
      </c>
    </row>
    <row r="167" customFormat="false" ht="13.8" hidden="false" customHeight="false" outlineLevel="0" collapsed="false">
      <c r="AE167" s="44" t="n">
        <v>158</v>
      </c>
      <c r="AF167" s="55" t="str">
        <f aca="false">IF(AF166="","",IFERROR(SMALL($CH$10:$CH$309,COUNTIF($CH$10:$CH$309,"&lt;="&amp;AF166)+1),""))</f>
        <v/>
      </c>
      <c r="AG167" s="44" t="str">
        <f aca="false">IF(AF167="","",INDEX($CI$10:$CI$309,MATCH(AF167,$CH$10:$CH$309,0)))</f>
        <v/>
      </c>
      <c r="AH167" s="55" t="e">
        <f aca="false">IF(AF167="",NA(),AF167)</f>
        <v>#N/A</v>
      </c>
      <c r="AI167" s="44" t="e">
        <f aca="false">IF(AG167="",NA(),AG167)</f>
        <v>#N/A</v>
      </c>
      <c r="AU167" s="44" t="str">
        <f aca="false">IF(158&lt;=$C$8,158,"")</f>
        <v/>
      </c>
      <c r="AV167" s="44" t="str">
        <f aca="false">IF(AU167="","",INDEX($AG$10:$AG$309,$B$8+158-1))</f>
        <v/>
      </c>
      <c r="AW167" s="44" t="e">
        <f aca="false">IF(AV167="",NA(),AV167)</f>
        <v>#N/A</v>
      </c>
      <c r="AX167" s="44" t="e">
        <f aca="false">IF(AV167="",NA(),AU167)</f>
        <v>#N/A</v>
      </c>
      <c r="AY167" s="44" t="str">
        <f aca="false">IF(AV167="","",LN(AV167))</f>
        <v/>
      </c>
      <c r="CH167" s="55" t="str">
        <f aca="false">IF(ISNUMBER(CI167),IF(ISNUMBER('Base de Datos'!AG163),IF('Base de Datos'!AG163&gt;20000,INT('Base de Datos'!AG163),""),IF(TRIM('Base de Datos'!AG163)="","",IFERROR(DATE(VALUE(RIGHT(TRIM('Base de Datos'!AG163),4)),VALUE(MID(TRIM('Base de Datos'!AG163),4,2)),VALUE(LEFT(TRIM('Base de Datos'!AG163),2))),IFERROR(DATEVALUE(TRIM('Base de Datos'!AG163)),"")))),"")</f>
        <v/>
      </c>
      <c r="CI167" s="44" t="str">
        <f aca="false">IF(ISNUMBER('Base de Datos'!AH163),'Base de Datos'!AH163,IF(TRIM('Base de Datos'!AH163)="","",IFERROR(IF(IFERROR(FIND("@",SUBSTITUTE(TRIM('Base de Datos'!AH163),",","@",LEN(TRIM('Base de Datos'!AH163))-LEN(SUBSTITUTE(TRIM('Base de Datos'!AH163),",","")))),0)&gt;IFERROR(FIND("@",SUBSTITUTE(TRIM('Base de Datos'!AH163),".","@",LEN(TRIM('Base de Datos'!AH163))-LEN(SUBSTITUTE(TRIM('Base de Datos'!AH163),".","")))),0),_xlfn.NUMBERVALUE(SUBSTITUTE(SUBSTITUTE(TRIM('Base de Datos'!AH163),".",""),",","."),".",","),_xlfn.NUMBERVALUE(SUBSTITUTE(TRIM('Base de Datos'!AH163),",",""),".",",")),"")))</f>
        <v/>
      </c>
    </row>
    <row r="168" customFormat="false" ht="13.8" hidden="false" customHeight="false" outlineLevel="0" collapsed="false">
      <c r="AE168" s="44" t="n">
        <v>159</v>
      </c>
      <c r="AF168" s="55" t="str">
        <f aca="false">IF(AF167="","",IFERROR(SMALL($CH$10:$CH$309,COUNTIF($CH$10:$CH$309,"&lt;="&amp;AF167)+1),""))</f>
        <v/>
      </c>
      <c r="AG168" s="44" t="str">
        <f aca="false">IF(AF168="","",INDEX($CI$10:$CI$309,MATCH(AF168,$CH$10:$CH$309,0)))</f>
        <v/>
      </c>
      <c r="AH168" s="55" t="e">
        <f aca="false">IF(AF168="",NA(),AF168)</f>
        <v>#N/A</v>
      </c>
      <c r="AI168" s="44" t="e">
        <f aca="false">IF(AG168="",NA(),AG168)</f>
        <v>#N/A</v>
      </c>
      <c r="AU168" s="44" t="str">
        <f aca="false">IF(159&lt;=$C$8,159,"")</f>
        <v/>
      </c>
      <c r="AV168" s="44" t="str">
        <f aca="false">IF(AU168="","",INDEX($AG$10:$AG$309,$B$8+159-1))</f>
        <v/>
      </c>
      <c r="AW168" s="44" t="e">
        <f aca="false">IF(AV168="",NA(),AV168)</f>
        <v>#N/A</v>
      </c>
      <c r="AX168" s="44" t="e">
        <f aca="false">IF(AV168="",NA(),AU168)</f>
        <v>#N/A</v>
      </c>
      <c r="AY168" s="44" t="str">
        <f aca="false">IF(AV168="","",LN(AV168))</f>
        <v/>
      </c>
      <c r="CH168" s="55" t="str">
        <f aca="false">IF(ISNUMBER(CI168),IF(ISNUMBER('Base de Datos'!AG164),IF('Base de Datos'!AG164&gt;20000,INT('Base de Datos'!AG164),""),IF(TRIM('Base de Datos'!AG164)="","",IFERROR(DATE(VALUE(RIGHT(TRIM('Base de Datos'!AG164),4)),VALUE(MID(TRIM('Base de Datos'!AG164),4,2)),VALUE(LEFT(TRIM('Base de Datos'!AG164),2))),IFERROR(DATEVALUE(TRIM('Base de Datos'!AG164)),"")))),"")</f>
        <v/>
      </c>
      <c r="CI168" s="44" t="str">
        <f aca="false">IF(ISNUMBER('Base de Datos'!AH164),'Base de Datos'!AH164,IF(TRIM('Base de Datos'!AH164)="","",IFERROR(IF(IFERROR(FIND("@",SUBSTITUTE(TRIM('Base de Datos'!AH164),",","@",LEN(TRIM('Base de Datos'!AH164))-LEN(SUBSTITUTE(TRIM('Base de Datos'!AH164),",","")))),0)&gt;IFERROR(FIND("@",SUBSTITUTE(TRIM('Base de Datos'!AH164),".","@",LEN(TRIM('Base de Datos'!AH164))-LEN(SUBSTITUTE(TRIM('Base de Datos'!AH164),".","")))),0),_xlfn.NUMBERVALUE(SUBSTITUTE(SUBSTITUTE(TRIM('Base de Datos'!AH164),".",""),",","."),".",","),_xlfn.NUMBERVALUE(SUBSTITUTE(TRIM('Base de Datos'!AH164),",",""),".",",")),"")))</f>
        <v/>
      </c>
    </row>
    <row r="169" customFormat="false" ht="13.8" hidden="false" customHeight="false" outlineLevel="0" collapsed="false">
      <c r="AE169" s="44" t="n">
        <v>160</v>
      </c>
      <c r="AF169" s="55" t="str">
        <f aca="false">IF(AF168="","",IFERROR(SMALL($CH$10:$CH$309,COUNTIF($CH$10:$CH$309,"&lt;="&amp;AF168)+1),""))</f>
        <v/>
      </c>
      <c r="AG169" s="44" t="str">
        <f aca="false">IF(AF169="","",INDEX($CI$10:$CI$309,MATCH(AF169,$CH$10:$CH$309,0)))</f>
        <v/>
      </c>
      <c r="AH169" s="55" t="e">
        <f aca="false">IF(AF169="",NA(),AF169)</f>
        <v>#N/A</v>
      </c>
      <c r="AI169" s="44" t="e">
        <f aca="false">IF(AG169="",NA(),AG169)</f>
        <v>#N/A</v>
      </c>
      <c r="AU169" s="44" t="str">
        <f aca="false">IF(160&lt;=$C$8,160,"")</f>
        <v/>
      </c>
      <c r="AV169" s="44" t="str">
        <f aca="false">IF(AU169="","",INDEX($AG$10:$AG$309,$B$8+160-1))</f>
        <v/>
      </c>
      <c r="AW169" s="44" t="e">
        <f aca="false">IF(AV169="",NA(),AV169)</f>
        <v>#N/A</v>
      </c>
      <c r="AX169" s="44" t="e">
        <f aca="false">IF(AV169="",NA(),AU169)</f>
        <v>#N/A</v>
      </c>
      <c r="AY169" s="44" t="str">
        <f aca="false">IF(AV169="","",LN(AV169))</f>
        <v/>
      </c>
      <c r="CH169" s="55" t="str">
        <f aca="false">IF(ISNUMBER(CI169),IF(ISNUMBER('Base de Datos'!AG165),IF('Base de Datos'!AG165&gt;20000,INT('Base de Datos'!AG165),""),IF(TRIM('Base de Datos'!AG165)="","",IFERROR(DATE(VALUE(RIGHT(TRIM('Base de Datos'!AG165),4)),VALUE(MID(TRIM('Base de Datos'!AG165),4,2)),VALUE(LEFT(TRIM('Base de Datos'!AG165),2))),IFERROR(DATEVALUE(TRIM('Base de Datos'!AG165)),"")))),"")</f>
        <v/>
      </c>
      <c r="CI169" s="44" t="str">
        <f aca="false">IF(ISNUMBER('Base de Datos'!AH165),'Base de Datos'!AH165,IF(TRIM('Base de Datos'!AH165)="","",IFERROR(IF(IFERROR(FIND("@",SUBSTITUTE(TRIM('Base de Datos'!AH165),",","@",LEN(TRIM('Base de Datos'!AH165))-LEN(SUBSTITUTE(TRIM('Base de Datos'!AH165),",","")))),0)&gt;IFERROR(FIND("@",SUBSTITUTE(TRIM('Base de Datos'!AH165),".","@",LEN(TRIM('Base de Datos'!AH165))-LEN(SUBSTITUTE(TRIM('Base de Datos'!AH165),".","")))),0),_xlfn.NUMBERVALUE(SUBSTITUTE(SUBSTITUTE(TRIM('Base de Datos'!AH165),".",""),",","."),".",","),_xlfn.NUMBERVALUE(SUBSTITUTE(TRIM('Base de Datos'!AH165),",",""),".",",")),"")))</f>
        <v/>
      </c>
    </row>
    <row r="170" customFormat="false" ht="13.8" hidden="false" customHeight="false" outlineLevel="0" collapsed="false">
      <c r="AE170" s="44" t="n">
        <v>161</v>
      </c>
      <c r="AF170" s="55" t="str">
        <f aca="false">IF(AF169="","",IFERROR(SMALL($CH$10:$CH$309,COUNTIF($CH$10:$CH$309,"&lt;="&amp;AF169)+1),""))</f>
        <v/>
      </c>
      <c r="AG170" s="44" t="str">
        <f aca="false">IF(AF170="","",INDEX($CI$10:$CI$309,MATCH(AF170,$CH$10:$CH$309,0)))</f>
        <v/>
      </c>
      <c r="AH170" s="55" t="e">
        <f aca="false">IF(AF170="",NA(),AF170)</f>
        <v>#N/A</v>
      </c>
      <c r="AI170" s="44" t="e">
        <f aca="false">IF(AG170="",NA(),AG170)</f>
        <v>#N/A</v>
      </c>
      <c r="AU170" s="44" t="str">
        <f aca="false">IF(161&lt;=$C$8,161,"")</f>
        <v/>
      </c>
      <c r="AV170" s="44" t="str">
        <f aca="false">IF(AU170="","",INDEX($AG$10:$AG$309,$B$8+161-1))</f>
        <v/>
      </c>
      <c r="AW170" s="44" t="e">
        <f aca="false">IF(AV170="",NA(),AV170)</f>
        <v>#N/A</v>
      </c>
      <c r="AX170" s="44" t="e">
        <f aca="false">IF(AV170="",NA(),AU170)</f>
        <v>#N/A</v>
      </c>
      <c r="AY170" s="44" t="str">
        <f aca="false">IF(AV170="","",LN(AV170))</f>
        <v/>
      </c>
      <c r="CH170" s="55" t="str">
        <f aca="false">IF(ISNUMBER(CI170),IF(ISNUMBER('Base de Datos'!AG166),IF('Base de Datos'!AG166&gt;20000,INT('Base de Datos'!AG166),""),IF(TRIM('Base de Datos'!AG166)="","",IFERROR(DATE(VALUE(RIGHT(TRIM('Base de Datos'!AG166),4)),VALUE(MID(TRIM('Base de Datos'!AG166),4,2)),VALUE(LEFT(TRIM('Base de Datos'!AG166),2))),IFERROR(DATEVALUE(TRIM('Base de Datos'!AG166)),"")))),"")</f>
        <v/>
      </c>
      <c r="CI170" s="44" t="str">
        <f aca="false">IF(ISNUMBER('Base de Datos'!AH166),'Base de Datos'!AH166,IF(TRIM('Base de Datos'!AH166)="","",IFERROR(IF(IFERROR(FIND("@",SUBSTITUTE(TRIM('Base de Datos'!AH166),",","@",LEN(TRIM('Base de Datos'!AH166))-LEN(SUBSTITUTE(TRIM('Base de Datos'!AH166),",","")))),0)&gt;IFERROR(FIND("@",SUBSTITUTE(TRIM('Base de Datos'!AH166),".","@",LEN(TRIM('Base de Datos'!AH166))-LEN(SUBSTITUTE(TRIM('Base de Datos'!AH166),".","")))),0),_xlfn.NUMBERVALUE(SUBSTITUTE(SUBSTITUTE(TRIM('Base de Datos'!AH166),".",""),",","."),".",","),_xlfn.NUMBERVALUE(SUBSTITUTE(TRIM('Base de Datos'!AH166),",",""),".",",")),"")))</f>
        <v/>
      </c>
    </row>
    <row r="171" customFormat="false" ht="13.8" hidden="false" customHeight="false" outlineLevel="0" collapsed="false">
      <c r="AE171" s="44" t="n">
        <v>162</v>
      </c>
      <c r="AF171" s="55" t="str">
        <f aca="false">IF(AF170="","",IFERROR(SMALL($CH$10:$CH$309,COUNTIF($CH$10:$CH$309,"&lt;="&amp;AF170)+1),""))</f>
        <v/>
      </c>
      <c r="AG171" s="44" t="str">
        <f aca="false">IF(AF171="","",INDEX($CI$10:$CI$309,MATCH(AF171,$CH$10:$CH$309,0)))</f>
        <v/>
      </c>
      <c r="AH171" s="55" t="e">
        <f aca="false">IF(AF171="",NA(),AF171)</f>
        <v>#N/A</v>
      </c>
      <c r="AI171" s="44" t="e">
        <f aca="false">IF(AG171="",NA(),AG171)</f>
        <v>#N/A</v>
      </c>
      <c r="AU171" s="44" t="str">
        <f aca="false">IF(162&lt;=$C$8,162,"")</f>
        <v/>
      </c>
      <c r="AV171" s="44" t="str">
        <f aca="false">IF(AU171="","",INDEX($AG$10:$AG$309,$B$8+162-1))</f>
        <v/>
      </c>
      <c r="AW171" s="44" t="e">
        <f aca="false">IF(AV171="",NA(),AV171)</f>
        <v>#N/A</v>
      </c>
      <c r="AX171" s="44" t="e">
        <f aca="false">IF(AV171="",NA(),AU171)</f>
        <v>#N/A</v>
      </c>
      <c r="AY171" s="44" t="str">
        <f aca="false">IF(AV171="","",LN(AV171))</f>
        <v/>
      </c>
      <c r="CH171" s="55" t="str">
        <f aca="false">IF(ISNUMBER(CI171),IF(ISNUMBER('Base de Datos'!AG167),IF('Base de Datos'!AG167&gt;20000,INT('Base de Datos'!AG167),""),IF(TRIM('Base de Datos'!AG167)="","",IFERROR(DATE(VALUE(RIGHT(TRIM('Base de Datos'!AG167),4)),VALUE(MID(TRIM('Base de Datos'!AG167),4,2)),VALUE(LEFT(TRIM('Base de Datos'!AG167),2))),IFERROR(DATEVALUE(TRIM('Base de Datos'!AG167)),"")))),"")</f>
        <v/>
      </c>
      <c r="CI171" s="44" t="str">
        <f aca="false">IF(ISNUMBER('Base de Datos'!AH167),'Base de Datos'!AH167,IF(TRIM('Base de Datos'!AH167)="","",IFERROR(IF(IFERROR(FIND("@",SUBSTITUTE(TRIM('Base de Datos'!AH167),",","@",LEN(TRIM('Base de Datos'!AH167))-LEN(SUBSTITUTE(TRIM('Base de Datos'!AH167),",","")))),0)&gt;IFERROR(FIND("@",SUBSTITUTE(TRIM('Base de Datos'!AH167),".","@",LEN(TRIM('Base de Datos'!AH167))-LEN(SUBSTITUTE(TRIM('Base de Datos'!AH167),".","")))),0),_xlfn.NUMBERVALUE(SUBSTITUTE(SUBSTITUTE(TRIM('Base de Datos'!AH167),".",""),",","."),".",","),_xlfn.NUMBERVALUE(SUBSTITUTE(TRIM('Base de Datos'!AH167),",",""),".",",")),"")))</f>
        <v/>
      </c>
    </row>
    <row r="172" customFormat="false" ht="13.8" hidden="false" customHeight="false" outlineLevel="0" collapsed="false">
      <c r="AE172" s="44" t="n">
        <v>163</v>
      </c>
      <c r="AF172" s="55" t="str">
        <f aca="false">IF(AF171="","",IFERROR(SMALL($CH$10:$CH$309,COUNTIF($CH$10:$CH$309,"&lt;="&amp;AF171)+1),""))</f>
        <v/>
      </c>
      <c r="AG172" s="44" t="str">
        <f aca="false">IF(AF172="","",INDEX($CI$10:$CI$309,MATCH(AF172,$CH$10:$CH$309,0)))</f>
        <v/>
      </c>
      <c r="AH172" s="55" t="e">
        <f aca="false">IF(AF172="",NA(),AF172)</f>
        <v>#N/A</v>
      </c>
      <c r="AI172" s="44" t="e">
        <f aca="false">IF(AG172="",NA(),AG172)</f>
        <v>#N/A</v>
      </c>
      <c r="AU172" s="44" t="str">
        <f aca="false">IF(163&lt;=$C$8,163,"")</f>
        <v/>
      </c>
      <c r="AV172" s="44" t="str">
        <f aca="false">IF(AU172="","",INDEX($AG$10:$AG$309,$B$8+163-1))</f>
        <v/>
      </c>
      <c r="AW172" s="44" t="e">
        <f aca="false">IF(AV172="",NA(),AV172)</f>
        <v>#N/A</v>
      </c>
      <c r="AX172" s="44" t="e">
        <f aca="false">IF(AV172="",NA(),AU172)</f>
        <v>#N/A</v>
      </c>
      <c r="AY172" s="44" t="str">
        <f aca="false">IF(AV172="","",LN(AV172))</f>
        <v/>
      </c>
      <c r="CH172" s="55" t="str">
        <f aca="false">IF(ISNUMBER(CI172),IF(ISNUMBER('Base de Datos'!AG168),IF('Base de Datos'!AG168&gt;20000,INT('Base de Datos'!AG168),""),IF(TRIM('Base de Datos'!AG168)="","",IFERROR(DATE(VALUE(RIGHT(TRIM('Base de Datos'!AG168),4)),VALUE(MID(TRIM('Base de Datos'!AG168),4,2)),VALUE(LEFT(TRIM('Base de Datos'!AG168),2))),IFERROR(DATEVALUE(TRIM('Base de Datos'!AG168)),"")))),"")</f>
        <v/>
      </c>
      <c r="CI172" s="44" t="str">
        <f aca="false">IF(ISNUMBER('Base de Datos'!AH168),'Base de Datos'!AH168,IF(TRIM('Base de Datos'!AH168)="","",IFERROR(IF(IFERROR(FIND("@",SUBSTITUTE(TRIM('Base de Datos'!AH168),",","@",LEN(TRIM('Base de Datos'!AH168))-LEN(SUBSTITUTE(TRIM('Base de Datos'!AH168),",","")))),0)&gt;IFERROR(FIND("@",SUBSTITUTE(TRIM('Base de Datos'!AH168),".","@",LEN(TRIM('Base de Datos'!AH168))-LEN(SUBSTITUTE(TRIM('Base de Datos'!AH168),".","")))),0),_xlfn.NUMBERVALUE(SUBSTITUTE(SUBSTITUTE(TRIM('Base de Datos'!AH168),".",""),",","."),".",","),_xlfn.NUMBERVALUE(SUBSTITUTE(TRIM('Base de Datos'!AH168),",",""),".",",")),"")))</f>
        <v/>
      </c>
    </row>
    <row r="173" customFormat="false" ht="13.8" hidden="false" customHeight="false" outlineLevel="0" collapsed="false">
      <c r="AE173" s="44" t="n">
        <v>164</v>
      </c>
      <c r="AF173" s="55" t="str">
        <f aca="false">IF(AF172="","",IFERROR(SMALL($CH$10:$CH$309,COUNTIF($CH$10:$CH$309,"&lt;="&amp;AF172)+1),""))</f>
        <v/>
      </c>
      <c r="AG173" s="44" t="str">
        <f aca="false">IF(AF173="","",INDEX($CI$10:$CI$309,MATCH(AF173,$CH$10:$CH$309,0)))</f>
        <v/>
      </c>
      <c r="AH173" s="55" t="e">
        <f aca="false">IF(AF173="",NA(),AF173)</f>
        <v>#N/A</v>
      </c>
      <c r="AI173" s="44" t="e">
        <f aca="false">IF(AG173="",NA(),AG173)</f>
        <v>#N/A</v>
      </c>
      <c r="AU173" s="44" t="str">
        <f aca="false">IF(164&lt;=$C$8,164,"")</f>
        <v/>
      </c>
      <c r="AV173" s="44" t="str">
        <f aca="false">IF(AU173="","",INDEX($AG$10:$AG$309,$B$8+164-1))</f>
        <v/>
      </c>
      <c r="AW173" s="44" t="e">
        <f aca="false">IF(AV173="",NA(),AV173)</f>
        <v>#N/A</v>
      </c>
      <c r="AX173" s="44" t="e">
        <f aca="false">IF(AV173="",NA(),AU173)</f>
        <v>#N/A</v>
      </c>
      <c r="AY173" s="44" t="str">
        <f aca="false">IF(AV173="","",LN(AV173))</f>
        <v/>
      </c>
      <c r="CH173" s="55" t="str">
        <f aca="false">IF(ISNUMBER(CI173),IF(ISNUMBER('Base de Datos'!AG169),IF('Base de Datos'!AG169&gt;20000,INT('Base de Datos'!AG169),""),IF(TRIM('Base de Datos'!AG169)="","",IFERROR(DATE(VALUE(RIGHT(TRIM('Base de Datos'!AG169),4)),VALUE(MID(TRIM('Base de Datos'!AG169),4,2)),VALUE(LEFT(TRIM('Base de Datos'!AG169),2))),IFERROR(DATEVALUE(TRIM('Base de Datos'!AG169)),"")))),"")</f>
        <v/>
      </c>
      <c r="CI173" s="44" t="str">
        <f aca="false">IF(ISNUMBER('Base de Datos'!AH169),'Base de Datos'!AH169,IF(TRIM('Base de Datos'!AH169)="","",IFERROR(IF(IFERROR(FIND("@",SUBSTITUTE(TRIM('Base de Datos'!AH169),",","@",LEN(TRIM('Base de Datos'!AH169))-LEN(SUBSTITUTE(TRIM('Base de Datos'!AH169),",","")))),0)&gt;IFERROR(FIND("@",SUBSTITUTE(TRIM('Base de Datos'!AH169),".","@",LEN(TRIM('Base de Datos'!AH169))-LEN(SUBSTITUTE(TRIM('Base de Datos'!AH169),".","")))),0),_xlfn.NUMBERVALUE(SUBSTITUTE(SUBSTITUTE(TRIM('Base de Datos'!AH169),".",""),",","."),".",","),_xlfn.NUMBERVALUE(SUBSTITUTE(TRIM('Base de Datos'!AH169),",",""),".",",")),"")))</f>
        <v/>
      </c>
    </row>
    <row r="174" customFormat="false" ht="13.8" hidden="false" customHeight="false" outlineLevel="0" collapsed="false">
      <c r="AE174" s="44" t="n">
        <v>165</v>
      </c>
      <c r="AF174" s="55" t="str">
        <f aca="false">IF(AF173="","",IFERROR(SMALL($CH$10:$CH$309,COUNTIF($CH$10:$CH$309,"&lt;="&amp;AF173)+1),""))</f>
        <v/>
      </c>
      <c r="AG174" s="44" t="str">
        <f aca="false">IF(AF174="","",INDEX($CI$10:$CI$309,MATCH(AF174,$CH$10:$CH$309,0)))</f>
        <v/>
      </c>
      <c r="AH174" s="55" t="e">
        <f aca="false">IF(AF174="",NA(),AF174)</f>
        <v>#N/A</v>
      </c>
      <c r="AI174" s="44" t="e">
        <f aca="false">IF(AG174="",NA(),AG174)</f>
        <v>#N/A</v>
      </c>
      <c r="AU174" s="44" t="str">
        <f aca="false">IF(165&lt;=$C$8,165,"")</f>
        <v/>
      </c>
      <c r="AV174" s="44" t="str">
        <f aca="false">IF(AU174="","",INDEX($AG$10:$AG$309,$B$8+165-1))</f>
        <v/>
      </c>
      <c r="AW174" s="44" t="e">
        <f aca="false">IF(AV174="",NA(),AV174)</f>
        <v>#N/A</v>
      </c>
      <c r="AX174" s="44" t="e">
        <f aca="false">IF(AV174="",NA(),AU174)</f>
        <v>#N/A</v>
      </c>
      <c r="AY174" s="44" t="str">
        <f aca="false">IF(AV174="","",LN(AV174))</f>
        <v/>
      </c>
      <c r="CH174" s="55" t="str">
        <f aca="false">IF(ISNUMBER(CI174),IF(ISNUMBER('Base de Datos'!AG170),IF('Base de Datos'!AG170&gt;20000,INT('Base de Datos'!AG170),""),IF(TRIM('Base de Datos'!AG170)="","",IFERROR(DATE(VALUE(RIGHT(TRIM('Base de Datos'!AG170),4)),VALUE(MID(TRIM('Base de Datos'!AG170),4,2)),VALUE(LEFT(TRIM('Base de Datos'!AG170),2))),IFERROR(DATEVALUE(TRIM('Base de Datos'!AG170)),"")))),"")</f>
        <v/>
      </c>
      <c r="CI174" s="44" t="str">
        <f aca="false">IF(ISNUMBER('Base de Datos'!AH170),'Base de Datos'!AH170,IF(TRIM('Base de Datos'!AH170)="","",IFERROR(IF(IFERROR(FIND("@",SUBSTITUTE(TRIM('Base de Datos'!AH170),",","@",LEN(TRIM('Base de Datos'!AH170))-LEN(SUBSTITUTE(TRIM('Base de Datos'!AH170),",","")))),0)&gt;IFERROR(FIND("@",SUBSTITUTE(TRIM('Base de Datos'!AH170),".","@",LEN(TRIM('Base de Datos'!AH170))-LEN(SUBSTITUTE(TRIM('Base de Datos'!AH170),".","")))),0),_xlfn.NUMBERVALUE(SUBSTITUTE(SUBSTITUTE(TRIM('Base de Datos'!AH170),".",""),",","."),".",","),_xlfn.NUMBERVALUE(SUBSTITUTE(TRIM('Base de Datos'!AH170),",",""),".",",")),"")))</f>
        <v/>
      </c>
    </row>
    <row r="175" customFormat="false" ht="13.8" hidden="false" customHeight="false" outlineLevel="0" collapsed="false">
      <c r="AE175" s="44" t="n">
        <v>166</v>
      </c>
      <c r="AF175" s="55" t="str">
        <f aca="false">IF(AF174="","",IFERROR(SMALL($CH$10:$CH$309,COUNTIF($CH$10:$CH$309,"&lt;="&amp;AF174)+1),""))</f>
        <v/>
      </c>
      <c r="AG175" s="44" t="str">
        <f aca="false">IF(AF175="","",INDEX($CI$10:$CI$309,MATCH(AF175,$CH$10:$CH$309,0)))</f>
        <v/>
      </c>
      <c r="AH175" s="55" t="e">
        <f aca="false">IF(AF175="",NA(),AF175)</f>
        <v>#N/A</v>
      </c>
      <c r="AI175" s="44" t="e">
        <f aca="false">IF(AG175="",NA(),AG175)</f>
        <v>#N/A</v>
      </c>
      <c r="AU175" s="44" t="str">
        <f aca="false">IF(166&lt;=$C$8,166,"")</f>
        <v/>
      </c>
      <c r="AV175" s="44" t="str">
        <f aca="false">IF(AU175="","",INDEX($AG$10:$AG$309,$B$8+166-1))</f>
        <v/>
      </c>
      <c r="AW175" s="44" t="e">
        <f aca="false">IF(AV175="",NA(),AV175)</f>
        <v>#N/A</v>
      </c>
      <c r="AX175" s="44" t="e">
        <f aca="false">IF(AV175="",NA(),AU175)</f>
        <v>#N/A</v>
      </c>
      <c r="AY175" s="44" t="str">
        <f aca="false">IF(AV175="","",LN(AV175))</f>
        <v/>
      </c>
      <c r="CH175" s="55" t="str">
        <f aca="false">IF(ISNUMBER(CI175),IF(ISNUMBER('Base de Datos'!AG171),IF('Base de Datos'!AG171&gt;20000,INT('Base de Datos'!AG171),""),IF(TRIM('Base de Datos'!AG171)="","",IFERROR(DATE(VALUE(RIGHT(TRIM('Base de Datos'!AG171),4)),VALUE(MID(TRIM('Base de Datos'!AG171),4,2)),VALUE(LEFT(TRIM('Base de Datos'!AG171),2))),IFERROR(DATEVALUE(TRIM('Base de Datos'!AG171)),"")))),"")</f>
        <v/>
      </c>
      <c r="CI175" s="44" t="str">
        <f aca="false">IF(ISNUMBER('Base de Datos'!AH171),'Base de Datos'!AH171,IF(TRIM('Base de Datos'!AH171)="","",IFERROR(IF(IFERROR(FIND("@",SUBSTITUTE(TRIM('Base de Datos'!AH171),",","@",LEN(TRIM('Base de Datos'!AH171))-LEN(SUBSTITUTE(TRIM('Base de Datos'!AH171),",","")))),0)&gt;IFERROR(FIND("@",SUBSTITUTE(TRIM('Base de Datos'!AH171),".","@",LEN(TRIM('Base de Datos'!AH171))-LEN(SUBSTITUTE(TRIM('Base de Datos'!AH171),".","")))),0),_xlfn.NUMBERVALUE(SUBSTITUTE(SUBSTITUTE(TRIM('Base de Datos'!AH171),".",""),",","."),".",","),_xlfn.NUMBERVALUE(SUBSTITUTE(TRIM('Base de Datos'!AH171),",",""),".",",")),"")))</f>
        <v/>
      </c>
    </row>
    <row r="176" customFormat="false" ht="13.8" hidden="false" customHeight="false" outlineLevel="0" collapsed="false">
      <c r="AE176" s="44" t="n">
        <v>167</v>
      </c>
      <c r="AF176" s="55" t="str">
        <f aca="false">IF(AF175="","",IFERROR(SMALL($CH$10:$CH$309,COUNTIF($CH$10:$CH$309,"&lt;="&amp;AF175)+1),""))</f>
        <v/>
      </c>
      <c r="AG176" s="44" t="str">
        <f aca="false">IF(AF176="","",INDEX($CI$10:$CI$309,MATCH(AF176,$CH$10:$CH$309,0)))</f>
        <v/>
      </c>
      <c r="AH176" s="55" t="e">
        <f aca="false">IF(AF176="",NA(),AF176)</f>
        <v>#N/A</v>
      </c>
      <c r="AI176" s="44" t="e">
        <f aca="false">IF(AG176="",NA(),AG176)</f>
        <v>#N/A</v>
      </c>
      <c r="AU176" s="44" t="str">
        <f aca="false">IF(167&lt;=$C$8,167,"")</f>
        <v/>
      </c>
      <c r="AV176" s="44" t="str">
        <f aca="false">IF(AU176="","",INDEX($AG$10:$AG$309,$B$8+167-1))</f>
        <v/>
      </c>
      <c r="AW176" s="44" t="e">
        <f aca="false">IF(AV176="",NA(),AV176)</f>
        <v>#N/A</v>
      </c>
      <c r="AX176" s="44" t="e">
        <f aca="false">IF(AV176="",NA(),AU176)</f>
        <v>#N/A</v>
      </c>
      <c r="AY176" s="44" t="str">
        <f aca="false">IF(AV176="","",LN(AV176))</f>
        <v/>
      </c>
      <c r="CH176" s="55" t="str">
        <f aca="false">IF(ISNUMBER(CI176),IF(ISNUMBER('Base de Datos'!AG172),IF('Base de Datos'!AG172&gt;20000,INT('Base de Datos'!AG172),""),IF(TRIM('Base de Datos'!AG172)="","",IFERROR(DATE(VALUE(RIGHT(TRIM('Base de Datos'!AG172),4)),VALUE(MID(TRIM('Base de Datos'!AG172),4,2)),VALUE(LEFT(TRIM('Base de Datos'!AG172),2))),IFERROR(DATEVALUE(TRIM('Base de Datos'!AG172)),"")))),"")</f>
        <v/>
      </c>
      <c r="CI176" s="44" t="str">
        <f aca="false">IF(ISNUMBER('Base de Datos'!AH172),'Base de Datos'!AH172,IF(TRIM('Base de Datos'!AH172)="","",IFERROR(IF(IFERROR(FIND("@",SUBSTITUTE(TRIM('Base de Datos'!AH172),",","@",LEN(TRIM('Base de Datos'!AH172))-LEN(SUBSTITUTE(TRIM('Base de Datos'!AH172),",","")))),0)&gt;IFERROR(FIND("@",SUBSTITUTE(TRIM('Base de Datos'!AH172),".","@",LEN(TRIM('Base de Datos'!AH172))-LEN(SUBSTITUTE(TRIM('Base de Datos'!AH172),".","")))),0),_xlfn.NUMBERVALUE(SUBSTITUTE(SUBSTITUTE(TRIM('Base de Datos'!AH172),".",""),",","."),".",","),_xlfn.NUMBERVALUE(SUBSTITUTE(TRIM('Base de Datos'!AH172),",",""),".",",")),"")))</f>
        <v/>
      </c>
    </row>
    <row r="177" customFormat="false" ht="13.8" hidden="false" customHeight="false" outlineLevel="0" collapsed="false">
      <c r="AE177" s="44" t="n">
        <v>168</v>
      </c>
      <c r="AF177" s="55" t="str">
        <f aca="false">IF(AF176="","",IFERROR(SMALL($CH$10:$CH$309,COUNTIF($CH$10:$CH$309,"&lt;="&amp;AF176)+1),""))</f>
        <v/>
      </c>
      <c r="AG177" s="44" t="str">
        <f aca="false">IF(AF177="","",INDEX($CI$10:$CI$309,MATCH(AF177,$CH$10:$CH$309,0)))</f>
        <v/>
      </c>
      <c r="AH177" s="55" t="e">
        <f aca="false">IF(AF177="",NA(),AF177)</f>
        <v>#N/A</v>
      </c>
      <c r="AI177" s="44" t="e">
        <f aca="false">IF(AG177="",NA(),AG177)</f>
        <v>#N/A</v>
      </c>
      <c r="AU177" s="44" t="str">
        <f aca="false">IF(168&lt;=$C$8,168,"")</f>
        <v/>
      </c>
      <c r="AV177" s="44" t="str">
        <f aca="false">IF(AU177="","",INDEX($AG$10:$AG$309,$B$8+168-1))</f>
        <v/>
      </c>
      <c r="AW177" s="44" t="e">
        <f aca="false">IF(AV177="",NA(),AV177)</f>
        <v>#N/A</v>
      </c>
      <c r="AX177" s="44" t="e">
        <f aca="false">IF(AV177="",NA(),AU177)</f>
        <v>#N/A</v>
      </c>
      <c r="AY177" s="44" t="str">
        <f aca="false">IF(AV177="","",LN(AV177))</f>
        <v/>
      </c>
      <c r="CH177" s="55" t="str">
        <f aca="false">IF(ISNUMBER(CI177),IF(ISNUMBER('Base de Datos'!AG173),IF('Base de Datos'!AG173&gt;20000,INT('Base de Datos'!AG173),""),IF(TRIM('Base de Datos'!AG173)="","",IFERROR(DATE(VALUE(RIGHT(TRIM('Base de Datos'!AG173),4)),VALUE(MID(TRIM('Base de Datos'!AG173),4,2)),VALUE(LEFT(TRIM('Base de Datos'!AG173),2))),IFERROR(DATEVALUE(TRIM('Base de Datos'!AG173)),"")))),"")</f>
        <v/>
      </c>
      <c r="CI177" s="44" t="str">
        <f aca="false">IF(ISNUMBER('Base de Datos'!AH173),'Base de Datos'!AH173,IF(TRIM('Base de Datos'!AH173)="","",IFERROR(IF(IFERROR(FIND("@",SUBSTITUTE(TRIM('Base de Datos'!AH173),",","@",LEN(TRIM('Base de Datos'!AH173))-LEN(SUBSTITUTE(TRIM('Base de Datos'!AH173),",","")))),0)&gt;IFERROR(FIND("@",SUBSTITUTE(TRIM('Base de Datos'!AH173),".","@",LEN(TRIM('Base de Datos'!AH173))-LEN(SUBSTITUTE(TRIM('Base de Datos'!AH173),".","")))),0),_xlfn.NUMBERVALUE(SUBSTITUTE(SUBSTITUTE(TRIM('Base de Datos'!AH173),".",""),",","."),".",","),_xlfn.NUMBERVALUE(SUBSTITUTE(TRIM('Base de Datos'!AH173),",",""),".",",")),"")))</f>
        <v/>
      </c>
    </row>
    <row r="178" customFormat="false" ht="13.8" hidden="false" customHeight="false" outlineLevel="0" collapsed="false">
      <c r="AE178" s="44" t="n">
        <v>169</v>
      </c>
      <c r="AF178" s="55" t="str">
        <f aca="false">IF(AF177="","",IFERROR(SMALL($CH$10:$CH$309,COUNTIF($CH$10:$CH$309,"&lt;="&amp;AF177)+1),""))</f>
        <v/>
      </c>
      <c r="AG178" s="44" t="str">
        <f aca="false">IF(AF178="","",INDEX($CI$10:$CI$309,MATCH(AF178,$CH$10:$CH$309,0)))</f>
        <v/>
      </c>
      <c r="AH178" s="55" t="e">
        <f aca="false">IF(AF178="",NA(),AF178)</f>
        <v>#N/A</v>
      </c>
      <c r="AI178" s="44" t="e">
        <f aca="false">IF(AG178="",NA(),AG178)</f>
        <v>#N/A</v>
      </c>
      <c r="AU178" s="44" t="str">
        <f aca="false">IF(169&lt;=$C$8,169,"")</f>
        <v/>
      </c>
      <c r="AV178" s="44" t="str">
        <f aca="false">IF(AU178="","",INDEX($AG$10:$AG$309,$B$8+169-1))</f>
        <v/>
      </c>
      <c r="AW178" s="44" t="e">
        <f aca="false">IF(AV178="",NA(),AV178)</f>
        <v>#N/A</v>
      </c>
      <c r="AX178" s="44" t="e">
        <f aca="false">IF(AV178="",NA(),AU178)</f>
        <v>#N/A</v>
      </c>
      <c r="AY178" s="44" t="str">
        <f aca="false">IF(AV178="","",LN(AV178))</f>
        <v/>
      </c>
      <c r="CH178" s="55" t="str">
        <f aca="false">IF(ISNUMBER(CI178),IF(ISNUMBER('Base de Datos'!AG174),IF('Base de Datos'!AG174&gt;20000,INT('Base de Datos'!AG174),""),IF(TRIM('Base de Datos'!AG174)="","",IFERROR(DATE(VALUE(RIGHT(TRIM('Base de Datos'!AG174),4)),VALUE(MID(TRIM('Base de Datos'!AG174),4,2)),VALUE(LEFT(TRIM('Base de Datos'!AG174),2))),IFERROR(DATEVALUE(TRIM('Base de Datos'!AG174)),"")))),"")</f>
        <v/>
      </c>
      <c r="CI178" s="44" t="str">
        <f aca="false">IF(ISNUMBER('Base de Datos'!AH174),'Base de Datos'!AH174,IF(TRIM('Base de Datos'!AH174)="","",IFERROR(IF(IFERROR(FIND("@",SUBSTITUTE(TRIM('Base de Datos'!AH174),",","@",LEN(TRIM('Base de Datos'!AH174))-LEN(SUBSTITUTE(TRIM('Base de Datos'!AH174),",","")))),0)&gt;IFERROR(FIND("@",SUBSTITUTE(TRIM('Base de Datos'!AH174),".","@",LEN(TRIM('Base de Datos'!AH174))-LEN(SUBSTITUTE(TRIM('Base de Datos'!AH174),".","")))),0),_xlfn.NUMBERVALUE(SUBSTITUTE(SUBSTITUTE(TRIM('Base de Datos'!AH174),".",""),",","."),".",","),_xlfn.NUMBERVALUE(SUBSTITUTE(TRIM('Base de Datos'!AH174),",",""),".",",")),"")))</f>
        <v/>
      </c>
    </row>
    <row r="179" customFormat="false" ht="13.8" hidden="false" customHeight="false" outlineLevel="0" collapsed="false">
      <c r="AE179" s="44" t="n">
        <v>170</v>
      </c>
      <c r="AF179" s="55" t="str">
        <f aca="false">IF(AF178="","",IFERROR(SMALL($CH$10:$CH$309,COUNTIF($CH$10:$CH$309,"&lt;="&amp;AF178)+1),""))</f>
        <v/>
      </c>
      <c r="AG179" s="44" t="str">
        <f aca="false">IF(AF179="","",INDEX($CI$10:$CI$309,MATCH(AF179,$CH$10:$CH$309,0)))</f>
        <v/>
      </c>
      <c r="AH179" s="55" t="e">
        <f aca="false">IF(AF179="",NA(),AF179)</f>
        <v>#N/A</v>
      </c>
      <c r="AI179" s="44" t="e">
        <f aca="false">IF(AG179="",NA(),AG179)</f>
        <v>#N/A</v>
      </c>
      <c r="AU179" s="44" t="str">
        <f aca="false">IF(170&lt;=$C$8,170,"")</f>
        <v/>
      </c>
      <c r="AV179" s="44" t="str">
        <f aca="false">IF(AU179="","",INDEX($AG$10:$AG$309,$B$8+170-1))</f>
        <v/>
      </c>
      <c r="AW179" s="44" t="e">
        <f aca="false">IF(AV179="",NA(),AV179)</f>
        <v>#N/A</v>
      </c>
      <c r="AX179" s="44" t="e">
        <f aca="false">IF(AV179="",NA(),AU179)</f>
        <v>#N/A</v>
      </c>
      <c r="AY179" s="44" t="str">
        <f aca="false">IF(AV179="","",LN(AV179))</f>
        <v/>
      </c>
      <c r="CH179" s="55" t="str">
        <f aca="false">IF(ISNUMBER(CI179),IF(ISNUMBER('Base de Datos'!AG175),IF('Base de Datos'!AG175&gt;20000,INT('Base de Datos'!AG175),""),IF(TRIM('Base de Datos'!AG175)="","",IFERROR(DATE(VALUE(RIGHT(TRIM('Base de Datos'!AG175),4)),VALUE(MID(TRIM('Base de Datos'!AG175),4,2)),VALUE(LEFT(TRIM('Base de Datos'!AG175),2))),IFERROR(DATEVALUE(TRIM('Base de Datos'!AG175)),"")))),"")</f>
        <v/>
      </c>
      <c r="CI179" s="44" t="str">
        <f aca="false">IF(ISNUMBER('Base de Datos'!AH175),'Base de Datos'!AH175,IF(TRIM('Base de Datos'!AH175)="","",IFERROR(IF(IFERROR(FIND("@",SUBSTITUTE(TRIM('Base de Datos'!AH175),",","@",LEN(TRIM('Base de Datos'!AH175))-LEN(SUBSTITUTE(TRIM('Base de Datos'!AH175),",","")))),0)&gt;IFERROR(FIND("@",SUBSTITUTE(TRIM('Base de Datos'!AH175),".","@",LEN(TRIM('Base de Datos'!AH175))-LEN(SUBSTITUTE(TRIM('Base de Datos'!AH175),".","")))),0),_xlfn.NUMBERVALUE(SUBSTITUTE(SUBSTITUTE(TRIM('Base de Datos'!AH175),".",""),",","."),".",","),_xlfn.NUMBERVALUE(SUBSTITUTE(TRIM('Base de Datos'!AH175),",",""),".",",")),"")))</f>
        <v/>
      </c>
    </row>
    <row r="180" customFormat="false" ht="13.8" hidden="false" customHeight="false" outlineLevel="0" collapsed="false">
      <c r="AE180" s="44" t="n">
        <v>171</v>
      </c>
      <c r="AF180" s="55" t="str">
        <f aca="false">IF(AF179="","",IFERROR(SMALL($CH$10:$CH$309,COUNTIF($CH$10:$CH$309,"&lt;="&amp;AF179)+1),""))</f>
        <v/>
      </c>
      <c r="AG180" s="44" t="str">
        <f aca="false">IF(AF180="","",INDEX($CI$10:$CI$309,MATCH(AF180,$CH$10:$CH$309,0)))</f>
        <v/>
      </c>
      <c r="AH180" s="55" t="e">
        <f aca="false">IF(AF180="",NA(),AF180)</f>
        <v>#N/A</v>
      </c>
      <c r="AI180" s="44" t="e">
        <f aca="false">IF(AG180="",NA(),AG180)</f>
        <v>#N/A</v>
      </c>
      <c r="AU180" s="44" t="str">
        <f aca="false">IF(171&lt;=$C$8,171,"")</f>
        <v/>
      </c>
      <c r="AV180" s="44" t="str">
        <f aca="false">IF(AU180="","",INDEX($AG$10:$AG$309,$B$8+171-1))</f>
        <v/>
      </c>
      <c r="AW180" s="44" t="e">
        <f aca="false">IF(AV180="",NA(),AV180)</f>
        <v>#N/A</v>
      </c>
      <c r="AX180" s="44" t="e">
        <f aca="false">IF(AV180="",NA(),AU180)</f>
        <v>#N/A</v>
      </c>
      <c r="AY180" s="44" t="str">
        <f aca="false">IF(AV180="","",LN(AV180))</f>
        <v/>
      </c>
      <c r="CH180" s="55" t="str">
        <f aca="false">IF(ISNUMBER(CI180),IF(ISNUMBER('Base de Datos'!AG176),IF('Base de Datos'!AG176&gt;20000,INT('Base de Datos'!AG176),""),IF(TRIM('Base de Datos'!AG176)="","",IFERROR(DATE(VALUE(RIGHT(TRIM('Base de Datos'!AG176),4)),VALUE(MID(TRIM('Base de Datos'!AG176),4,2)),VALUE(LEFT(TRIM('Base de Datos'!AG176),2))),IFERROR(DATEVALUE(TRIM('Base de Datos'!AG176)),"")))),"")</f>
        <v/>
      </c>
      <c r="CI180" s="44" t="str">
        <f aca="false">IF(ISNUMBER('Base de Datos'!AH176),'Base de Datos'!AH176,IF(TRIM('Base de Datos'!AH176)="","",IFERROR(IF(IFERROR(FIND("@",SUBSTITUTE(TRIM('Base de Datos'!AH176),",","@",LEN(TRIM('Base de Datos'!AH176))-LEN(SUBSTITUTE(TRIM('Base de Datos'!AH176),",","")))),0)&gt;IFERROR(FIND("@",SUBSTITUTE(TRIM('Base de Datos'!AH176),".","@",LEN(TRIM('Base de Datos'!AH176))-LEN(SUBSTITUTE(TRIM('Base de Datos'!AH176),".","")))),0),_xlfn.NUMBERVALUE(SUBSTITUTE(SUBSTITUTE(TRIM('Base de Datos'!AH176),".",""),",","."),".",","),_xlfn.NUMBERVALUE(SUBSTITUTE(TRIM('Base de Datos'!AH176),",",""),".",",")),"")))</f>
        <v/>
      </c>
    </row>
    <row r="181" customFormat="false" ht="13.8" hidden="false" customHeight="false" outlineLevel="0" collapsed="false">
      <c r="AE181" s="44" t="n">
        <v>172</v>
      </c>
      <c r="AF181" s="55" t="str">
        <f aca="false">IF(AF180="","",IFERROR(SMALL($CH$10:$CH$309,COUNTIF($CH$10:$CH$309,"&lt;="&amp;AF180)+1),""))</f>
        <v/>
      </c>
      <c r="AG181" s="44" t="str">
        <f aca="false">IF(AF181="","",INDEX($CI$10:$CI$309,MATCH(AF181,$CH$10:$CH$309,0)))</f>
        <v/>
      </c>
      <c r="AH181" s="55" t="e">
        <f aca="false">IF(AF181="",NA(),AF181)</f>
        <v>#N/A</v>
      </c>
      <c r="AI181" s="44" t="e">
        <f aca="false">IF(AG181="",NA(),AG181)</f>
        <v>#N/A</v>
      </c>
      <c r="AU181" s="44" t="str">
        <f aca="false">IF(172&lt;=$C$8,172,"")</f>
        <v/>
      </c>
      <c r="AV181" s="44" t="str">
        <f aca="false">IF(AU181="","",INDEX($AG$10:$AG$309,$B$8+172-1))</f>
        <v/>
      </c>
      <c r="AW181" s="44" t="e">
        <f aca="false">IF(AV181="",NA(),AV181)</f>
        <v>#N/A</v>
      </c>
      <c r="AX181" s="44" t="e">
        <f aca="false">IF(AV181="",NA(),AU181)</f>
        <v>#N/A</v>
      </c>
      <c r="AY181" s="44" t="str">
        <f aca="false">IF(AV181="","",LN(AV181))</f>
        <v/>
      </c>
      <c r="CH181" s="55" t="str">
        <f aca="false">IF(ISNUMBER(CI181),IF(ISNUMBER('Base de Datos'!AG177),IF('Base de Datos'!AG177&gt;20000,INT('Base de Datos'!AG177),""),IF(TRIM('Base de Datos'!AG177)="","",IFERROR(DATE(VALUE(RIGHT(TRIM('Base de Datos'!AG177),4)),VALUE(MID(TRIM('Base de Datos'!AG177),4,2)),VALUE(LEFT(TRIM('Base de Datos'!AG177),2))),IFERROR(DATEVALUE(TRIM('Base de Datos'!AG177)),"")))),"")</f>
        <v/>
      </c>
      <c r="CI181" s="44" t="str">
        <f aca="false">IF(ISNUMBER('Base de Datos'!AH177),'Base de Datos'!AH177,IF(TRIM('Base de Datos'!AH177)="","",IFERROR(IF(IFERROR(FIND("@",SUBSTITUTE(TRIM('Base de Datos'!AH177),",","@",LEN(TRIM('Base de Datos'!AH177))-LEN(SUBSTITUTE(TRIM('Base de Datos'!AH177),",","")))),0)&gt;IFERROR(FIND("@",SUBSTITUTE(TRIM('Base de Datos'!AH177),".","@",LEN(TRIM('Base de Datos'!AH177))-LEN(SUBSTITUTE(TRIM('Base de Datos'!AH177),".","")))),0),_xlfn.NUMBERVALUE(SUBSTITUTE(SUBSTITUTE(TRIM('Base de Datos'!AH177),".",""),",","."),".",","),_xlfn.NUMBERVALUE(SUBSTITUTE(TRIM('Base de Datos'!AH177),",",""),".",",")),"")))</f>
        <v/>
      </c>
    </row>
    <row r="182" customFormat="false" ht="13.8" hidden="false" customHeight="false" outlineLevel="0" collapsed="false">
      <c r="AE182" s="44" t="n">
        <v>173</v>
      </c>
      <c r="AF182" s="55" t="str">
        <f aca="false">IF(AF181="","",IFERROR(SMALL($CH$10:$CH$309,COUNTIF($CH$10:$CH$309,"&lt;="&amp;AF181)+1),""))</f>
        <v/>
      </c>
      <c r="AG182" s="44" t="str">
        <f aca="false">IF(AF182="","",INDEX($CI$10:$CI$309,MATCH(AF182,$CH$10:$CH$309,0)))</f>
        <v/>
      </c>
      <c r="AH182" s="55" t="e">
        <f aca="false">IF(AF182="",NA(),AF182)</f>
        <v>#N/A</v>
      </c>
      <c r="AI182" s="44" t="e">
        <f aca="false">IF(AG182="",NA(),AG182)</f>
        <v>#N/A</v>
      </c>
      <c r="AU182" s="44" t="str">
        <f aca="false">IF(173&lt;=$C$8,173,"")</f>
        <v/>
      </c>
      <c r="AV182" s="44" t="str">
        <f aca="false">IF(AU182="","",INDEX($AG$10:$AG$309,$B$8+173-1))</f>
        <v/>
      </c>
      <c r="AW182" s="44" t="e">
        <f aca="false">IF(AV182="",NA(),AV182)</f>
        <v>#N/A</v>
      </c>
      <c r="AX182" s="44" t="e">
        <f aca="false">IF(AV182="",NA(),AU182)</f>
        <v>#N/A</v>
      </c>
      <c r="AY182" s="44" t="str">
        <f aca="false">IF(AV182="","",LN(AV182))</f>
        <v/>
      </c>
      <c r="CH182" s="55" t="str">
        <f aca="false">IF(ISNUMBER(CI182),IF(ISNUMBER('Base de Datos'!AG178),IF('Base de Datos'!AG178&gt;20000,INT('Base de Datos'!AG178),""),IF(TRIM('Base de Datos'!AG178)="","",IFERROR(DATE(VALUE(RIGHT(TRIM('Base de Datos'!AG178),4)),VALUE(MID(TRIM('Base de Datos'!AG178),4,2)),VALUE(LEFT(TRIM('Base de Datos'!AG178),2))),IFERROR(DATEVALUE(TRIM('Base de Datos'!AG178)),"")))),"")</f>
        <v/>
      </c>
      <c r="CI182" s="44" t="str">
        <f aca="false">IF(ISNUMBER('Base de Datos'!AH178),'Base de Datos'!AH178,IF(TRIM('Base de Datos'!AH178)="","",IFERROR(IF(IFERROR(FIND("@",SUBSTITUTE(TRIM('Base de Datos'!AH178),",","@",LEN(TRIM('Base de Datos'!AH178))-LEN(SUBSTITUTE(TRIM('Base de Datos'!AH178),",","")))),0)&gt;IFERROR(FIND("@",SUBSTITUTE(TRIM('Base de Datos'!AH178),".","@",LEN(TRIM('Base de Datos'!AH178))-LEN(SUBSTITUTE(TRIM('Base de Datos'!AH178),".","")))),0),_xlfn.NUMBERVALUE(SUBSTITUTE(SUBSTITUTE(TRIM('Base de Datos'!AH178),".",""),",","."),".",","),_xlfn.NUMBERVALUE(SUBSTITUTE(TRIM('Base de Datos'!AH178),",",""),".",",")),"")))</f>
        <v/>
      </c>
    </row>
    <row r="183" customFormat="false" ht="13.8" hidden="false" customHeight="false" outlineLevel="0" collapsed="false">
      <c r="AE183" s="44" t="n">
        <v>174</v>
      </c>
      <c r="AF183" s="55" t="str">
        <f aca="false">IF(AF182="","",IFERROR(SMALL($CH$10:$CH$309,COUNTIF($CH$10:$CH$309,"&lt;="&amp;AF182)+1),""))</f>
        <v/>
      </c>
      <c r="AG183" s="44" t="str">
        <f aca="false">IF(AF183="","",INDEX($CI$10:$CI$309,MATCH(AF183,$CH$10:$CH$309,0)))</f>
        <v/>
      </c>
      <c r="AH183" s="55" t="e">
        <f aca="false">IF(AF183="",NA(),AF183)</f>
        <v>#N/A</v>
      </c>
      <c r="AI183" s="44" t="e">
        <f aca="false">IF(AG183="",NA(),AG183)</f>
        <v>#N/A</v>
      </c>
      <c r="AU183" s="44" t="str">
        <f aca="false">IF(174&lt;=$C$8,174,"")</f>
        <v/>
      </c>
      <c r="AV183" s="44" t="str">
        <f aca="false">IF(AU183="","",INDEX($AG$10:$AG$309,$B$8+174-1))</f>
        <v/>
      </c>
      <c r="AW183" s="44" t="e">
        <f aca="false">IF(AV183="",NA(),AV183)</f>
        <v>#N/A</v>
      </c>
      <c r="AX183" s="44" t="e">
        <f aca="false">IF(AV183="",NA(),AU183)</f>
        <v>#N/A</v>
      </c>
      <c r="AY183" s="44" t="str">
        <f aca="false">IF(AV183="","",LN(AV183))</f>
        <v/>
      </c>
      <c r="CH183" s="55" t="str">
        <f aca="false">IF(ISNUMBER(CI183),IF(ISNUMBER('Base de Datos'!AG179),IF('Base de Datos'!AG179&gt;20000,INT('Base de Datos'!AG179),""),IF(TRIM('Base de Datos'!AG179)="","",IFERROR(DATE(VALUE(RIGHT(TRIM('Base de Datos'!AG179),4)),VALUE(MID(TRIM('Base de Datos'!AG179),4,2)),VALUE(LEFT(TRIM('Base de Datos'!AG179),2))),IFERROR(DATEVALUE(TRIM('Base de Datos'!AG179)),"")))),"")</f>
        <v/>
      </c>
      <c r="CI183" s="44" t="str">
        <f aca="false">IF(ISNUMBER('Base de Datos'!AH179),'Base de Datos'!AH179,IF(TRIM('Base de Datos'!AH179)="","",IFERROR(IF(IFERROR(FIND("@",SUBSTITUTE(TRIM('Base de Datos'!AH179),",","@",LEN(TRIM('Base de Datos'!AH179))-LEN(SUBSTITUTE(TRIM('Base de Datos'!AH179),",","")))),0)&gt;IFERROR(FIND("@",SUBSTITUTE(TRIM('Base de Datos'!AH179),".","@",LEN(TRIM('Base de Datos'!AH179))-LEN(SUBSTITUTE(TRIM('Base de Datos'!AH179),".","")))),0),_xlfn.NUMBERVALUE(SUBSTITUTE(SUBSTITUTE(TRIM('Base de Datos'!AH179),".",""),",","."),".",","),_xlfn.NUMBERVALUE(SUBSTITUTE(TRIM('Base de Datos'!AH179),",",""),".",",")),"")))</f>
        <v/>
      </c>
    </row>
    <row r="184" customFormat="false" ht="13.8" hidden="false" customHeight="false" outlineLevel="0" collapsed="false">
      <c r="AE184" s="44" t="n">
        <v>175</v>
      </c>
      <c r="AF184" s="55" t="str">
        <f aca="false">IF(AF183="","",IFERROR(SMALL($CH$10:$CH$309,COUNTIF($CH$10:$CH$309,"&lt;="&amp;AF183)+1),""))</f>
        <v/>
      </c>
      <c r="AG184" s="44" t="str">
        <f aca="false">IF(AF184="","",INDEX($CI$10:$CI$309,MATCH(AF184,$CH$10:$CH$309,0)))</f>
        <v/>
      </c>
      <c r="AH184" s="55" t="e">
        <f aca="false">IF(AF184="",NA(),AF184)</f>
        <v>#N/A</v>
      </c>
      <c r="AI184" s="44" t="e">
        <f aca="false">IF(AG184="",NA(),AG184)</f>
        <v>#N/A</v>
      </c>
      <c r="AU184" s="44" t="str">
        <f aca="false">IF(175&lt;=$C$8,175,"")</f>
        <v/>
      </c>
      <c r="AV184" s="44" t="str">
        <f aca="false">IF(AU184="","",INDEX($AG$10:$AG$309,$B$8+175-1))</f>
        <v/>
      </c>
      <c r="AW184" s="44" t="e">
        <f aca="false">IF(AV184="",NA(),AV184)</f>
        <v>#N/A</v>
      </c>
      <c r="AX184" s="44" t="e">
        <f aca="false">IF(AV184="",NA(),AU184)</f>
        <v>#N/A</v>
      </c>
      <c r="AY184" s="44" t="str">
        <f aca="false">IF(AV184="","",LN(AV184))</f>
        <v/>
      </c>
      <c r="CH184" s="55" t="str">
        <f aca="false">IF(ISNUMBER(CI184),IF(ISNUMBER('Base de Datos'!AG180),IF('Base de Datos'!AG180&gt;20000,INT('Base de Datos'!AG180),""),IF(TRIM('Base de Datos'!AG180)="","",IFERROR(DATE(VALUE(RIGHT(TRIM('Base de Datos'!AG180),4)),VALUE(MID(TRIM('Base de Datos'!AG180),4,2)),VALUE(LEFT(TRIM('Base de Datos'!AG180),2))),IFERROR(DATEVALUE(TRIM('Base de Datos'!AG180)),"")))),"")</f>
        <v/>
      </c>
      <c r="CI184" s="44" t="str">
        <f aca="false">IF(ISNUMBER('Base de Datos'!AH180),'Base de Datos'!AH180,IF(TRIM('Base de Datos'!AH180)="","",IFERROR(IF(IFERROR(FIND("@",SUBSTITUTE(TRIM('Base de Datos'!AH180),",","@",LEN(TRIM('Base de Datos'!AH180))-LEN(SUBSTITUTE(TRIM('Base de Datos'!AH180),",","")))),0)&gt;IFERROR(FIND("@",SUBSTITUTE(TRIM('Base de Datos'!AH180),".","@",LEN(TRIM('Base de Datos'!AH180))-LEN(SUBSTITUTE(TRIM('Base de Datos'!AH180),".","")))),0),_xlfn.NUMBERVALUE(SUBSTITUTE(SUBSTITUTE(TRIM('Base de Datos'!AH180),".",""),",","."),".",","),_xlfn.NUMBERVALUE(SUBSTITUTE(TRIM('Base de Datos'!AH180),",",""),".",",")),"")))</f>
        <v/>
      </c>
    </row>
    <row r="185" customFormat="false" ht="13.8" hidden="false" customHeight="false" outlineLevel="0" collapsed="false">
      <c r="AE185" s="44" t="n">
        <v>176</v>
      </c>
      <c r="AF185" s="55" t="str">
        <f aca="false">IF(AF184="","",IFERROR(SMALL($CH$10:$CH$309,COUNTIF($CH$10:$CH$309,"&lt;="&amp;AF184)+1),""))</f>
        <v/>
      </c>
      <c r="AG185" s="44" t="str">
        <f aca="false">IF(AF185="","",INDEX($CI$10:$CI$309,MATCH(AF185,$CH$10:$CH$309,0)))</f>
        <v/>
      </c>
      <c r="AH185" s="55" t="e">
        <f aca="false">IF(AF185="",NA(),AF185)</f>
        <v>#N/A</v>
      </c>
      <c r="AI185" s="44" t="e">
        <f aca="false">IF(AG185="",NA(),AG185)</f>
        <v>#N/A</v>
      </c>
      <c r="AU185" s="44" t="str">
        <f aca="false">IF(176&lt;=$C$8,176,"")</f>
        <v/>
      </c>
      <c r="AV185" s="44" t="str">
        <f aca="false">IF(AU185="","",INDEX($AG$10:$AG$309,$B$8+176-1))</f>
        <v/>
      </c>
      <c r="AW185" s="44" t="e">
        <f aca="false">IF(AV185="",NA(),AV185)</f>
        <v>#N/A</v>
      </c>
      <c r="AX185" s="44" t="e">
        <f aca="false">IF(AV185="",NA(),AU185)</f>
        <v>#N/A</v>
      </c>
      <c r="AY185" s="44" t="str">
        <f aca="false">IF(AV185="","",LN(AV185))</f>
        <v/>
      </c>
      <c r="CH185" s="55" t="str">
        <f aca="false">IF(ISNUMBER(CI185),IF(ISNUMBER('Base de Datos'!AG181),IF('Base de Datos'!AG181&gt;20000,INT('Base de Datos'!AG181),""),IF(TRIM('Base de Datos'!AG181)="","",IFERROR(DATE(VALUE(RIGHT(TRIM('Base de Datos'!AG181),4)),VALUE(MID(TRIM('Base de Datos'!AG181),4,2)),VALUE(LEFT(TRIM('Base de Datos'!AG181),2))),IFERROR(DATEVALUE(TRIM('Base de Datos'!AG181)),"")))),"")</f>
        <v/>
      </c>
      <c r="CI185" s="44" t="str">
        <f aca="false">IF(ISNUMBER('Base de Datos'!AH181),'Base de Datos'!AH181,IF(TRIM('Base de Datos'!AH181)="","",IFERROR(IF(IFERROR(FIND("@",SUBSTITUTE(TRIM('Base de Datos'!AH181),",","@",LEN(TRIM('Base de Datos'!AH181))-LEN(SUBSTITUTE(TRIM('Base de Datos'!AH181),",","")))),0)&gt;IFERROR(FIND("@",SUBSTITUTE(TRIM('Base de Datos'!AH181),".","@",LEN(TRIM('Base de Datos'!AH181))-LEN(SUBSTITUTE(TRIM('Base de Datos'!AH181),".","")))),0),_xlfn.NUMBERVALUE(SUBSTITUTE(SUBSTITUTE(TRIM('Base de Datos'!AH181),".",""),",","."),".",","),_xlfn.NUMBERVALUE(SUBSTITUTE(TRIM('Base de Datos'!AH181),",",""),".",",")),"")))</f>
        <v/>
      </c>
    </row>
    <row r="186" customFormat="false" ht="13.8" hidden="false" customHeight="false" outlineLevel="0" collapsed="false">
      <c r="AE186" s="44" t="n">
        <v>177</v>
      </c>
      <c r="AF186" s="55" t="str">
        <f aca="false">IF(AF185="","",IFERROR(SMALL($CH$10:$CH$309,COUNTIF($CH$10:$CH$309,"&lt;="&amp;AF185)+1),""))</f>
        <v/>
      </c>
      <c r="AG186" s="44" t="str">
        <f aca="false">IF(AF186="","",INDEX($CI$10:$CI$309,MATCH(AF186,$CH$10:$CH$309,0)))</f>
        <v/>
      </c>
      <c r="AH186" s="55" t="e">
        <f aca="false">IF(AF186="",NA(),AF186)</f>
        <v>#N/A</v>
      </c>
      <c r="AI186" s="44" t="e">
        <f aca="false">IF(AG186="",NA(),AG186)</f>
        <v>#N/A</v>
      </c>
      <c r="AU186" s="44" t="str">
        <f aca="false">IF(177&lt;=$C$8,177,"")</f>
        <v/>
      </c>
      <c r="AV186" s="44" t="str">
        <f aca="false">IF(AU186="","",INDEX($AG$10:$AG$309,$B$8+177-1))</f>
        <v/>
      </c>
      <c r="AW186" s="44" t="e">
        <f aca="false">IF(AV186="",NA(),AV186)</f>
        <v>#N/A</v>
      </c>
      <c r="AX186" s="44" t="e">
        <f aca="false">IF(AV186="",NA(),AU186)</f>
        <v>#N/A</v>
      </c>
      <c r="AY186" s="44" t="str">
        <f aca="false">IF(AV186="","",LN(AV186))</f>
        <v/>
      </c>
      <c r="CH186" s="55" t="str">
        <f aca="false">IF(ISNUMBER(CI186),IF(ISNUMBER('Base de Datos'!AG182),IF('Base de Datos'!AG182&gt;20000,INT('Base de Datos'!AG182),""),IF(TRIM('Base de Datos'!AG182)="","",IFERROR(DATE(VALUE(RIGHT(TRIM('Base de Datos'!AG182),4)),VALUE(MID(TRIM('Base de Datos'!AG182),4,2)),VALUE(LEFT(TRIM('Base de Datos'!AG182),2))),IFERROR(DATEVALUE(TRIM('Base de Datos'!AG182)),"")))),"")</f>
        <v/>
      </c>
      <c r="CI186" s="44" t="str">
        <f aca="false">IF(ISNUMBER('Base de Datos'!AH182),'Base de Datos'!AH182,IF(TRIM('Base de Datos'!AH182)="","",IFERROR(IF(IFERROR(FIND("@",SUBSTITUTE(TRIM('Base de Datos'!AH182),",","@",LEN(TRIM('Base de Datos'!AH182))-LEN(SUBSTITUTE(TRIM('Base de Datos'!AH182),",","")))),0)&gt;IFERROR(FIND("@",SUBSTITUTE(TRIM('Base de Datos'!AH182),".","@",LEN(TRIM('Base de Datos'!AH182))-LEN(SUBSTITUTE(TRIM('Base de Datos'!AH182),".","")))),0),_xlfn.NUMBERVALUE(SUBSTITUTE(SUBSTITUTE(TRIM('Base de Datos'!AH182),".",""),",","."),".",","),_xlfn.NUMBERVALUE(SUBSTITUTE(TRIM('Base de Datos'!AH182),",",""),".",",")),"")))</f>
        <v/>
      </c>
    </row>
    <row r="187" customFormat="false" ht="13.8" hidden="false" customHeight="false" outlineLevel="0" collapsed="false">
      <c r="AE187" s="44" t="n">
        <v>178</v>
      </c>
      <c r="AF187" s="55" t="str">
        <f aca="false">IF(AF186="","",IFERROR(SMALL($CH$10:$CH$309,COUNTIF($CH$10:$CH$309,"&lt;="&amp;AF186)+1),""))</f>
        <v/>
      </c>
      <c r="AG187" s="44" t="str">
        <f aca="false">IF(AF187="","",INDEX($CI$10:$CI$309,MATCH(AF187,$CH$10:$CH$309,0)))</f>
        <v/>
      </c>
      <c r="AH187" s="55" t="e">
        <f aca="false">IF(AF187="",NA(),AF187)</f>
        <v>#N/A</v>
      </c>
      <c r="AI187" s="44" t="e">
        <f aca="false">IF(AG187="",NA(),AG187)</f>
        <v>#N/A</v>
      </c>
      <c r="AU187" s="44" t="str">
        <f aca="false">IF(178&lt;=$C$8,178,"")</f>
        <v/>
      </c>
      <c r="AV187" s="44" t="str">
        <f aca="false">IF(AU187="","",INDEX($AG$10:$AG$309,$B$8+178-1))</f>
        <v/>
      </c>
      <c r="AW187" s="44" t="e">
        <f aca="false">IF(AV187="",NA(),AV187)</f>
        <v>#N/A</v>
      </c>
      <c r="AX187" s="44" t="e">
        <f aca="false">IF(AV187="",NA(),AU187)</f>
        <v>#N/A</v>
      </c>
      <c r="AY187" s="44" t="str">
        <f aca="false">IF(AV187="","",LN(AV187))</f>
        <v/>
      </c>
      <c r="CH187" s="55" t="str">
        <f aca="false">IF(ISNUMBER(CI187),IF(ISNUMBER('Base de Datos'!AG183),IF('Base de Datos'!AG183&gt;20000,INT('Base de Datos'!AG183),""),IF(TRIM('Base de Datos'!AG183)="","",IFERROR(DATE(VALUE(RIGHT(TRIM('Base de Datos'!AG183),4)),VALUE(MID(TRIM('Base de Datos'!AG183),4,2)),VALUE(LEFT(TRIM('Base de Datos'!AG183),2))),IFERROR(DATEVALUE(TRIM('Base de Datos'!AG183)),"")))),"")</f>
        <v/>
      </c>
      <c r="CI187" s="44" t="str">
        <f aca="false">IF(ISNUMBER('Base de Datos'!AH183),'Base de Datos'!AH183,IF(TRIM('Base de Datos'!AH183)="","",IFERROR(IF(IFERROR(FIND("@",SUBSTITUTE(TRIM('Base de Datos'!AH183),",","@",LEN(TRIM('Base de Datos'!AH183))-LEN(SUBSTITUTE(TRIM('Base de Datos'!AH183),",","")))),0)&gt;IFERROR(FIND("@",SUBSTITUTE(TRIM('Base de Datos'!AH183),".","@",LEN(TRIM('Base de Datos'!AH183))-LEN(SUBSTITUTE(TRIM('Base de Datos'!AH183),".","")))),0),_xlfn.NUMBERVALUE(SUBSTITUTE(SUBSTITUTE(TRIM('Base de Datos'!AH183),".",""),",","."),".",","),_xlfn.NUMBERVALUE(SUBSTITUTE(TRIM('Base de Datos'!AH183),",",""),".",",")),"")))</f>
        <v/>
      </c>
    </row>
    <row r="188" customFormat="false" ht="13.8" hidden="false" customHeight="false" outlineLevel="0" collapsed="false">
      <c r="AE188" s="44" t="n">
        <v>179</v>
      </c>
      <c r="AF188" s="55" t="str">
        <f aca="false">IF(AF187="","",IFERROR(SMALL($CH$10:$CH$309,COUNTIF($CH$10:$CH$309,"&lt;="&amp;AF187)+1),""))</f>
        <v/>
      </c>
      <c r="AG188" s="44" t="str">
        <f aca="false">IF(AF188="","",INDEX($CI$10:$CI$309,MATCH(AF188,$CH$10:$CH$309,0)))</f>
        <v/>
      </c>
      <c r="AH188" s="55" t="e">
        <f aca="false">IF(AF188="",NA(),AF188)</f>
        <v>#N/A</v>
      </c>
      <c r="AI188" s="44" t="e">
        <f aca="false">IF(AG188="",NA(),AG188)</f>
        <v>#N/A</v>
      </c>
      <c r="AU188" s="44" t="str">
        <f aca="false">IF(179&lt;=$C$8,179,"")</f>
        <v/>
      </c>
      <c r="AV188" s="44" t="str">
        <f aca="false">IF(AU188="","",INDEX($AG$10:$AG$309,$B$8+179-1))</f>
        <v/>
      </c>
      <c r="AW188" s="44" t="e">
        <f aca="false">IF(AV188="",NA(),AV188)</f>
        <v>#N/A</v>
      </c>
      <c r="AX188" s="44" t="e">
        <f aca="false">IF(AV188="",NA(),AU188)</f>
        <v>#N/A</v>
      </c>
      <c r="AY188" s="44" t="str">
        <f aca="false">IF(AV188="","",LN(AV188))</f>
        <v/>
      </c>
      <c r="CH188" s="55" t="str">
        <f aca="false">IF(ISNUMBER(CI188),IF(ISNUMBER('Base de Datos'!AG184),IF('Base de Datos'!AG184&gt;20000,INT('Base de Datos'!AG184),""),IF(TRIM('Base de Datos'!AG184)="","",IFERROR(DATE(VALUE(RIGHT(TRIM('Base de Datos'!AG184),4)),VALUE(MID(TRIM('Base de Datos'!AG184),4,2)),VALUE(LEFT(TRIM('Base de Datos'!AG184),2))),IFERROR(DATEVALUE(TRIM('Base de Datos'!AG184)),"")))),"")</f>
        <v/>
      </c>
      <c r="CI188" s="44" t="str">
        <f aca="false">IF(ISNUMBER('Base de Datos'!AH184),'Base de Datos'!AH184,IF(TRIM('Base de Datos'!AH184)="","",IFERROR(IF(IFERROR(FIND("@",SUBSTITUTE(TRIM('Base de Datos'!AH184),",","@",LEN(TRIM('Base de Datos'!AH184))-LEN(SUBSTITUTE(TRIM('Base de Datos'!AH184),",","")))),0)&gt;IFERROR(FIND("@",SUBSTITUTE(TRIM('Base de Datos'!AH184),".","@",LEN(TRIM('Base de Datos'!AH184))-LEN(SUBSTITUTE(TRIM('Base de Datos'!AH184),".","")))),0),_xlfn.NUMBERVALUE(SUBSTITUTE(SUBSTITUTE(TRIM('Base de Datos'!AH184),".",""),",","."),".",","),_xlfn.NUMBERVALUE(SUBSTITUTE(TRIM('Base de Datos'!AH184),",",""),".",",")),"")))</f>
        <v/>
      </c>
    </row>
    <row r="189" customFormat="false" ht="13.8" hidden="false" customHeight="false" outlineLevel="0" collapsed="false">
      <c r="AE189" s="44" t="n">
        <v>180</v>
      </c>
      <c r="AF189" s="55" t="str">
        <f aca="false">IF(AF188="","",IFERROR(SMALL($CH$10:$CH$309,COUNTIF($CH$10:$CH$309,"&lt;="&amp;AF188)+1),""))</f>
        <v/>
      </c>
      <c r="AG189" s="44" t="str">
        <f aca="false">IF(AF189="","",INDEX($CI$10:$CI$309,MATCH(AF189,$CH$10:$CH$309,0)))</f>
        <v/>
      </c>
      <c r="AH189" s="55" t="e">
        <f aca="false">IF(AF189="",NA(),AF189)</f>
        <v>#N/A</v>
      </c>
      <c r="AI189" s="44" t="e">
        <f aca="false">IF(AG189="",NA(),AG189)</f>
        <v>#N/A</v>
      </c>
      <c r="AU189" s="44" t="str">
        <f aca="false">IF(180&lt;=$C$8,180,"")</f>
        <v/>
      </c>
      <c r="AV189" s="44" t="str">
        <f aca="false">IF(AU189="","",INDEX($AG$10:$AG$309,$B$8+180-1))</f>
        <v/>
      </c>
      <c r="AW189" s="44" t="e">
        <f aca="false">IF(AV189="",NA(),AV189)</f>
        <v>#N/A</v>
      </c>
      <c r="AX189" s="44" t="e">
        <f aca="false">IF(AV189="",NA(),AU189)</f>
        <v>#N/A</v>
      </c>
      <c r="AY189" s="44" t="str">
        <f aca="false">IF(AV189="","",LN(AV189))</f>
        <v/>
      </c>
      <c r="CH189" s="55" t="str">
        <f aca="false">IF(ISNUMBER(CI189),IF(ISNUMBER('Base de Datos'!AG185),IF('Base de Datos'!AG185&gt;20000,INT('Base de Datos'!AG185),""),IF(TRIM('Base de Datos'!AG185)="","",IFERROR(DATE(VALUE(RIGHT(TRIM('Base de Datos'!AG185),4)),VALUE(MID(TRIM('Base de Datos'!AG185),4,2)),VALUE(LEFT(TRIM('Base de Datos'!AG185),2))),IFERROR(DATEVALUE(TRIM('Base de Datos'!AG185)),"")))),"")</f>
        <v/>
      </c>
      <c r="CI189" s="44" t="str">
        <f aca="false">IF(ISNUMBER('Base de Datos'!AH185),'Base de Datos'!AH185,IF(TRIM('Base de Datos'!AH185)="","",IFERROR(IF(IFERROR(FIND("@",SUBSTITUTE(TRIM('Base de Datos'!AH185),",","@",LEN(TRIM('Base de Datos'!AH185))-LEN(SUBSTITUTE(TRIM('Base de Datos'!AH185),",","")))),0)&gt;IFERROR(FIND("@",SUBSTITUTE(TRIM('Base de Datos'!AH185),".","@",LEN(TRIM('Base de Datos'!AH185))-LEN(SUBSTITUTE(TRIM('Base de Datos'!AH185),".","")))),0),_xlfn.NUMBERVALUE(SUBSTITUTE(SUBSTITUTE(TRIM('Base de Datos'!AH185),".",""),",","."),".",","),_xlfn.NUMBERVALUE(SUBSTITUTE(TRIM('Base de Datos'!AH185),",",""),".",",")),"")))</f>
        <v/>
      </c>
    </row>
    <row r="190" customFormat="false" ht="13.8" hidden="false" customHeight="false" outlineLevel="0" collapsed="false">
      <c r="AE190" s="44" t="n">
        <v>181</v>
      </c>
      <c r="AF190" s="55" t="str">
        <f aca="false">IF(AF189="","",IFERROR(SMALL($CH$10:$CH$309,COUNTIF($CH$10:$CH$309,"&lt;="&amp;AF189)+1),""))</f>
        <v/>
      </c>
      <c r="AG190" s="44" t="str">
        <f aca="false">IF(AF190="","",INDEX($CI$10:$CI$309,MATCH(AF190,$CH$10:$CH$309,0)))</f>
        <v/>
      </c>
      <c r="AH190" s="55" t="e">
        <f aca="false">IF(AF190="",NA(),AF190)</f>
        <v>#N/A</v>
      </c>
      <c r="AI190" s="44" t="e">
        <f aca="false">IF(AG190="",NA(),AG190)</f>
        <v>#N/A</v>
      </c>
      <c r="AU190" s="44" t="str">
        <f aca="false">IF(181&lt;=$C$8,181,"")</f>
        <v/>
      </c>
      <c r="AV190" s="44" t="str">
        <f aca="false">IF(AU190="","",INDEX($AG$10:$AG$309,$B$8+181-1))</f>
        <v/>
      </c>
      <c r="AW190" s="44" t="e">
        <f aca="false">IF(AV190="",NA(),AV190)</f>
        <v>#N/A</v>
      </c>
      <c r="AX190" s="44" t="e">
        <f aca="false">IF(AV190="",NA(),AU190)</f>
        <v>#N/A</v>
      </c>
      <c r="AY190" s="44" t="str">
        <f aca="false">IF(AV190="","",LN(AV190))</f>
        <v/>
      </c>
      <c r="CH190" s="55" t="str">
        <f aca="false">IF(ISNUMBER(CI190),IF(ISNUMBER('Base de Datos'!AG186),IF('Base de Datos'!AG186&gt;20000,INT('Base de Datos'!AG186),""),IF(TRIM('Base de Datos'!AG186)="","",IFERROR(DATE(VALUE(RIGHT(TRIM('Base de Datos'!AG186),4)),VALUE(MID(TRIM('Base de Datos'!AG186),4,2)),VALUE(LEFT(TRIM('Base de Datos'!AG186),2))),IFERROR(DATEVALUE(TRIM('Base de Datos'!AG186)),"")))),"")</f>
        <v/>
      </c>
      <c r="CI190" s="44" t="str">
        <f aca="false">IF(ISNUMBER('Base de Datos'!AH186),'Base de Datos'!AH186,IF(TRIM('Base de Datos'!AH186)="","",IFERROR(IF(IFERROR(FIND("@",SUBSTITUTE(TRIM('Base de Datos'!AH186),",","@",LEN(TRIM('Base de Datos'!AH186))-LEN(SUBSTITUTE(TRIM('Base de Datos'!AH186),",","")))),0)&gt;IFERROR(FIND("@",SUBSTITUTE(TRIM('Base de Datos'!AH186),".","@",LEN(TRIM('Base de Datos'!AH186))-LEN(SUBSTITUTE(TRIM('Base de Datos'!AH186),".","")))),0),_xlfn.NUMBERVALUE(SUBSTITUTE(SUBSTITUTE(TRIM('Base de Datos'!AH186),".",""),",","."),".",","),_xlfn.NUMBERVALUE(SUBSTITUTE(TRIM('Base de Datos'!AH186),",",""),".",",")),"")))</f>
        <v/>
      </c>
    </row>
    <row r="191" customFormat="false" ht="13.8" hidden="false" customHeight="false" outlineLevel="0" collapsed="false">
      <c r="AE191" s="44" t="n">
        <v>182</v>
      </c>
      <c r="AF191" s="55" t="str">
        <f aca="false">IF(AF190="","",IFERROR(SMALL($CH$10:$CH$309,COUNTIF($CH$10:$CH$309,"&lt;="&amp;AF190)+1),""))</f>
        <v/>
      </c>
      <c r="AG191" s="44" t="str">
        <f aca="false">IF(AF191="","",INDEX($CI$10:$CI$309,MATCH(AF191,$CH$10:$CH$309,0)))</f>
        <v/>
      </c>
      <c r="AH191" s="55" t="e">
        <f aca="false">IF(AF191="",NA(),AF191)</f>
        <v>#N/A</v>
      </c>
      <c r="AI191" s="44" t="e">
        <f aca="false">IF(AG191="",NA(),AG191)</f>
        <v>#N/A</v>
      </c>
      <c r="AU191" s="44" t="str">
        <f aca="false">IF(182&lt;=$C$8,182,"")</f>
        <v/>
      </c>
      <c r="AV191" s="44" t="str">
        <f aca="false">IF(AU191="","",INDEX($AG$10:$AG$309,$B$8+182-1))</f>
        <v/>
      </c>
      <c r="AW191" s="44" t="e">
        <f aca="false">IF(AV191="",NA(),AV191)</f>
        <v>#N/A</v>
      </c>
      <c r="AX191" s="44" t="e">
        <f aca="false">IF(AV191="",NA(),AU191)</f>
        <v>#N/A</v>
      </c>
      <c r="AY191" s="44" t="str">
        <f aca="false">IF(AV191="","",LN(AV191))</f>
        <v/>
      </c>
      <c r="CH191" s="55" t="str">
        <f aca="false">IF(ISNUMBER(CI191),IF(ISNUMBER('Base de Datos'!AG187),IF('Base de Datos'!AG187&gt;20000,INT('Base de Datos'!AG187),""),IF(TRIM('Base de Datos'!AG187)="","",IFERROR(DATE(VALUE(RIGHT(TRIM('Base de Datos'!AG187),4)),VALUE(MID(TRIM('Base de Datos'!AG187),4,2)),VALUE(LEFT(TRIM('Base de Datos'!AG187),2))),IFERROR(DATEVALUE(TRIM('Base de Datos'!AG187)),"")))),"")</f>
        <v/>
      </c>
      <c r="CI191" s="44" t="str">
        <f aca="false">IF(ISNUMBER('Base de Datos'!AH187),'Base de Datos'!AH187,IF(TRIM('Base de Datos'!AH187)="","",IFERROR(IF(IFERROR(FIND("@",SUBSTITUTE(TRIM('Base de Datos'!AH187),",","@",LEN(TRIM('Base de Datos'!AH187))-LEN(SUBSTITUTE(TRIM('Base de Datos'!AH187),",","")))),0)&gt;IFERROR(FIND("@",SUBSTITUTE(TRIM('Base de Datos'!AH187),".","@",LEN(TRIM('Base de Datos'!AH187))-LEN(SUBSTITUTE(TRIM('Base de Datos'!AH187),".","")))),0),_xlfn.NUMBERVALUE(SUBSTITUTE(SUBSTITUTE(TRIM('Base de Datos'!AH187),".",""),",","."),".",","),_xlfn.NUMBERVALUE(SUBSTITUTE(TRIM('Base de Datos'!AH187),",",""),".",",")),"")))</f>
        <v/>
      </c>
    </row>
    <row r="192" customFormat="false" ht="13.8" hidden="false" customHeight="false" outlineLevel="0" collapsed="false">
      <c r="AE192" s="44" t="n">
        <v>183</v>
      </c>
      <c r="AF192" s="55" t="str">
        <f aca="false">IF(AF191="","",IFERROR(SMALL($CH$10:$CH$309,COUNTIF($CH$10:$CH$309,"&lt;="&amp;AF191)+1),""))</f>
        <v/>
      </c>
      <c r="AG192" s="44" t="str">
        <f aca="false">IF(AF192="","",INDEX($CI$10:$CI$309,MATCH(AF192,$CH$10:$CH$309,0)))</f>
        <v/>
      </c>
      <c r="AH192" s="55" t="e">
        <f aca="false">IF(AF192="",NA(),AF192)</f>
        <v>#N/A</v>
      </c>
      <c r="AI192" s="44" t="e">
        <f aca="false">IF(AG192="",NA(),AG192)</f>
        <v>#N/A</v>
      </c>
      <c r="AU192" s="44" t="str">
        <f aca="false">IF(183&lt;=$C$8,183,"")</f>
        <v/>
      </c>
      <c r="AV192" s="44" t="str">
        <f aca="false">IF(AU192="","",INDEX($AG$10:$AG$309,$B$8+183-1))</f>
        <v/>
      </c>
      <c r="AW192" s="44" t="e">
        <f aca="false">IF(AV192="",NA(),AV192)</f>
        <v>#N/A</v>
      </c>
      <c r="AX192" s="44" t="e">
        <f aca="false">IF(AV192="",NA(),AU192)</f>
        <v>#N/A</v>
      </c>
      <c r="AY192" s="44" t="str">
        <f aca="false">IF(AV192="","",LN(AV192))</f>
        <v/>
      </c>
      <c r="CH192" s="55" t="str">
        <f aca="false">IF(ISNUMBER(CI192),IF(ISNUMBER('Base de Datos'!AG188),IF('Base de Datos'!AG188&gt;20000,INT('Base de Datos'!AG188),""),IF(TRIM('Base de Datos'!AG188)="","",IFERROR(DATE(VALUE(RIGHT(TRIM('Base de Datos'!AG188),4)),VALUE(MID(TRIM('Base de Datos'!AG188),4,2)),VALUE(LEFT(TRIM('Base de Datos'!AG188),2))),IFERROR(DATEVALUE(TRIM('Base de Datos'!AG188)),"")))),"")</f>
        <v/>
      </c>
      <c r="CI192" s="44" t="str">
        <f aca="false">IF(ISNUMBER('Base de Datos'!AH188),'Base de Datos'!AH188,IF(TRIM('Base de Datos'!AH188)="","",IFERROR(IF(IFERROR(FIND("@",SUBSTITUTE(TRIM('Base de Datos'!AH188),",","@",LEN(TRIM('Base de Datos'!AH188))-LEN(SUBSTITUTE(TRIM('Base de Datos'!AH188),",","")))),0)&gt;IFERROR(FIND("@",SUBSTITUTE(TRIM('Base de Datos'!AH188),".","@",LEN(TRIM('Base de Datos'!AH188))-LEN(SUBSTITUTE(TRIM('Base de Datos'!AH188),".","")))),0),_xlfn.NUMBERVALUE(SUBSTITUTE(SUBSTITUTE(TRIM('Base de Datos'!AH188),".",""),",","."),".",","),_xlfn.NUMBERVALUE(SUBSTITUTE(TRIM('Base de Datos'!AH188),",",""),".",",")),"")))</f>
        <v/>
      </c>
    </row>
    <row r="193" customFormat="false" ht="13.8" hidden="false" customHeight="false" outlineLevel="0" collapsed="false">
      <c r="AE193" s="44" t="n">
        <v>184</v>
      </c>
      <c r="AF193" s="55" t="str">
        <f aca="false">IF(AF192="","",IFERROR(SMALL($CH$10:$CH$309,COUNTIF($CH$10:$CH$309,"&lt;="&amp;AF192)+1),""))</f>
        <v/>
      </c>
      <c r="AG193" s="44" t="str">
        <f aca="false">IF(AF193="","",INDEX($CI$10:$CI$309,MATCH(AF193,$CH$10:$CH$309,0)))</f>
        <v/>
      </c>
      <c r="AH193" s="55" t="e">
        <f aca="false">IF(AF193="",NA(),AF193)</f>
        <v>#N/A</v>
      </c>
      <c r="AI193" s="44" t="e">
        <f aca="false">IF(AG193="",NA(),AG193)</f>
        <v>#N/A</v>
      </c>
      <c r="AU193" s="44" t="str">
        <f aca="false">IF(184&lt;=$C$8,184,"")</f>
        <v/>
      </c>
      <c r="AV193" s="44" t="str">
        <f aca="false">IF(AU193="","",INDEX($AG$10:$AG$309,$B$8+184-1))</f>
        <v/>
      </c>
      <c r="AW193" s="44" t="e">
        <f aca="false">IF(AV193="",NA(),AV193)</f>
        <v>#N/A</v>
      </c>
      <c r="AX193" s="44" t="e">
        <f aca="false">IF(AV193="",NA(),AU193)</f>
        <v>#N/A</v>
      </c>
      <c r="AY193" s="44" t="str">
        <f aca="false">IF(AV193="","",LN(AV193))</f>
        <v/>
      </c>
      <c r="CH193" s="55" t="str">
        <f aca="false">IF(ISNUMBER(CI193),IF(ISNUMBER('Base de Datos'!AG189),IF('Base de Datos'!AG189&gt;20000,INT('Base de Datos'!AG189),""),IF(TRIM('Base de Datos'!AG189)="","",IFERROR(DATE(VALUE(RIGHT(TRIM('Base de Datos'!AG189),4)),VALUE(MID(TRIM('Base de Datos'!AG189),4,2)),VALUE(LEFT(TRIM('Base de Datos'!AG189),2))),IFERROR(DATEVALUE(TRIM('Base de Datos'!AG189)),"")))),"")</f>
        <v/>
      </c>
      <c r="CI193" s="44" t="str">
        <f aca="false">IF(ISNUMBER('Base de Datos'!AH189),'Base de Datos'!AH189,IF(TRIM('Base de Datos'!AH189)="","",IFERROR(IF(IFERROR(FIND("@",SUBSTITUTE(TRIM('Base de Datos'!AH189),",","@",LEN(TRIM('Base de Datos'!AH189))-LEN(SUBSTITUTE(TRIM('Base de Datos'!AH189),",","")))),0)&gt;IFERROR(FIND("@",SUBSTITUTE(TRIM('Base de Datos'!AH189),".","@",LEN(TRIM('Base de Datos'!AH189))-LEN(SUBSTITUTE(TRIM('Base de Datos'!AH189),".","")))),0),_xlfn.NUMBERVALUE(SUBSTITUTE(SUBSTITUTE(TRIM('Base de Datos'!AH189),".",""),",","."),".",","),_xlfn.NUMBERVALUE(SUBSTITUTE(TRIM('Base de Datos'!AH189),",",""),".",",")),"")))</f>
        <v/>
      </c>
    </row>
    <row r="194" customFormat="false" ht="13.8" hidden="false" customHeight="false" outlineLevel="0" collapsed="false">
      <c r="AE194" s="44" t="n">
        <v>185</v>
      </c>
      <c r="AF194" s="55" t="str">
        <f aca="false">IF(AF193="","",IFERROR(SMALL($CH$10:$CH$309,COUNTIF($CH$10:$CH$309,"&lt;="&amp;AF193)+1),""))</f>
        <v/>
      </c>
      <c r="AG194" s="44" t="str">
        <f aca="false">IF(AF194="","",INDEX($CI$10:$CI$309,MATCH(AF194,$CH$10:$CH$309,0)))</f>
        <v/>
      </c>
      <c r="AH194" s="55" t="e">
        <f aca="false">IF(AF194="",NA(),AF194)</f>
        <v>#N/A</v>
      </c>
      <c r="AI194" s="44" t="e">
        <f aca="false">IF(AG194="",NA(),AG194)</f>
        <v>#N/A</v>
      </c>
      <c r="AU194" s="44" t="str">
        <f aca="false">IF(185&lt;=$C$8,185,"")</f>
        <v/>
      </c>
      <c r="AV194" s="44" t="str">
        <f aca="false">IF(AU194="","",INDEX($AG$10:$AG$309,$B$8+185-1))</f>
        <v/>
      </c>
      <c r="AW194" s="44" t="e">
        <f aca="false">IF(AV194="",NA(),AV194)</f>
        <v>#N/A</v>
      </c>
      <c r="AX194" s="44" t="e">
        <f aca="false">IF(AV194="",NA(),AU194)</f>
        <v>#N/A</v>
      </c>
      <c r="AY194" s="44" t="str">
        <f aca="false">IF(AV194="","",LN(AV194))</f>
        <v/>
      </c>
      <c r="CH194" s="55" t="str">
        <f aca="false">IF(ISNUMBER(CI194),IF(ISNUMBER('Base de Datos'!AG190),IF('Base de Datos'!AG190&gt;20000,INT('Base de Datos'!AG190),""),IF(TRIM('Base de Datos'!AG190)="","",IFERROR(DATE(VALUE(RIGHT(TRIM('Base de Datos'!AG190),4)),VALUE(MID(TRIM('Base de Datos'!AG190),4,2)),VALUE(LEFT(TRIM('Base de Datos'!AG190),2))),IFERROR(DATEVALUE(TRIM('Base de Datos'!AG190)),"")))),"")</f>
        <v/>
      </c>
      <c r="CI194" s="44" t="str">
        <f aca="false">IF(ISNUMBER('Base de Datos'!AH190),'Base de Datos'!AH190,IF(TRIM('Base de Datos'!AH190)="","",IFERROR(IF(IFERROR(FIND("@",SUBSTITUTE(TRIM('Base de Datos'!AH190),",","@",LEN(TRIM('Base de Datos'!AH190))-LEN(SUBSTITUTE(TRIM('Base de Datos'!AH190),",","")))),0)&gt;IFERROR(FIND("@",SUBSTITUTE(TRIM('Base de Datos'!AH190),".","@",LEN(TRIM('Base de Datos'!AH190))-LEN(SUBSTITUTE(TRIM('Base de Datos'!AH190),".","")))),0),_xlfn.NUMBERVALUE(SUBSTITUTE(SUBSTITUTE(TRIM('Base de Datos'!AH190),".",""),",","."),".",","),_xlfn.NUMBERVALUE(SUBSTITUTE(TRIM('Base de Datos'!AH190),",",""),".",",")),"")))</f>
        <v/>
      </c>
    </row>
    <row r="195" customFormat="false" ht="13.8" hidden="false" customHeight="false" outlineLevel="0" collapsed="false">
      <c r="AE195" s="44" t="n">
        <v>186</v>
      </c>
      <c r="AF195" s="55" t="str">
        <f aca="false">IF(AF194="","",IFERROR(SMALL($CH$10:$CH$309,COUNTIF($CH$10:$CH$309,"&lt;="&amp;AF194)+1),""))</f>
        <v/>
      </c>
      <c r="AG195" s="44" t="str">
        <f aca="false">IF(AF195="","",INDEX($CI$10:$CI$309,MATCH(AF195,$CH$10:$CH$309,0)))</f>
        <v/>
      </c>
      <c r="AH195" s="55" t="e">
        <f aca="false">IF(AF195="",NA(),AF195)</f>
        <v>#N/A</v>
      </c>
      <c r="AI195" s="44" t="e">
        <f aca="false">IF(AG195="",NA(),AG195)</f>
        <v>#N/A</v>
      </c>
      <c r="AU195" s="44" t="str">
        <f aca="false">IF(186&lt;=$C$8,186,"")</f>
        <v/>
      </c>
      <c r="AV195" s="44" t="str">
        <f aca="false">IF(AU195="","",INDEX($AG$10:$AG$309,$B$8+186-1))</f>
        <v/>
      </c>
      <c r="AW195" s="44" t="e">
        <f aca="false">IF(AV195="",NA(),AV195)</f>
        <v>#N/A</v>
      </c>
      <c r="AX195" s="44" t="e">
        <f aca="false">IF(AV195="",NA(),AU195)</f>
        <v>#N/A</v>
      </c>
      <c r="AY195" s="44" t="str">
        <f aca="false">IF(AV195="","",LN(AV195))</f>
        <v/>
      </c>
      <c r="CH195" s="55" t="str">
        <f aca="false">IF(ISNUMBER(CI195),IF(ISNUMBER('Base de Datos'!AG191),IF('Base de Datos'!AG191&gt;20000,INT('Base de Datos'!AG191),""),IF(TRIM('Base de Datos'!AG191)="","",IFERROR(DATE(VALUE(RIGHT(TRIM('Base de Datos'!AG191),4)),VALUE(MID(TRIM('Base de Datos'!AG191),4,2)),VALUE(LEFT(TRIM('Base de Datos'!AG191),2))),IFERROR(DATEVALUE(TRIM('Base de Datos'!AG191)),"")))),"")</f>
        <v/>
      </c>
      <c r="CI195" s="44" t="str">
        <f aca="false">IF(ISNUMBER('Base de Datos'!AH191),'Base de Datos'!AH191,IF(TRIM('Base de Datos'!AH191)="","",IFERROR(IF(IFERROR(FIND("@",SUBSTITUTE(TRIM('Base de Datos'!AH191),",","@",LEN(TRIM('Base de Datos'!AH191))-LEN(SUBSTITUTE(TRIM('Base de Datos'!AH191),",","")))),0)&gt;IFERROR(FIND("@",SUBSTITUTE(TRIM('Base de Datos'!AH191),".","@",LEN(TRIM('Base de Datos'!AH191))-LEN(SUBSTITUTE(TRIM('Base de Datos'!AH191),".","")))),0),_xlfn.NUMBERVALUE(SUBSTITUTE(SUBSTITUTE(TRIM('Base de Datos'!AH191),".",""),",","."),".",","),_xlfn.NUMBERVALUE(SUBSTITUTE(TRIM('Base de Datos'!AH191),",",""),".",",")),"")))</f>
        <v/>
      </c>
    </row>
    <row r="196" customFormat="false" ht="13.8" hidden="false" customHeight="false" outlineLevel="0" collapsed="false">
      <c r="AE196" s="44" t="n">
        <v>187</v>
      </c>
      <c r="AF196" s="55" t="str">
        <f aca="false">IF(AF195="","",IFERROR(SMALL($CH$10:$CH$309,COUNTIF($CH$10:$CH$309,"&lt;="&amp;AF195)+1),""))</f>
        <v/>
      </c>
      <c r="AG196" s="44" t="str">
        <f aca="false">IF(AF196="","",INDEX($CI$10:$CI$309,MATCH(AF196,$CH$10:$CH$309,0)))</f>
        <v/>
      </c>
      <c r="AH196" s="55" t="e">
        <f aca="false">IF(AF196="",NA(),AF196)</f>
        <v>#N/A</v>
      </c>
      <c r="AI196" s="44" t="e">
        <f aca="false">IF(AG196="",NA(),AG196)</f>
        <v>#N/A</v>
      </c>
      <c r="AU196" s="44" t="str">
        <f aca="false">IF(187&lt;=$C$8,187,"")</f>
        <v/>
      </c>
      <c r="AV196" s="44" t="str">
        <f aca="false">IF(AU196="","",INDEX($AG$10:$AG$309,$B$8+187-1))</f>
        <v/>
      </c>
      <c r="AW196" s="44" t="e">
        <f aca="false">IF(AV196="",NA(),AV196)</f>
        <v>#N/A</v>
      </c>
      <c r="AX196" s="44" t="e">
        <f aca="false">IF(AV196="",NA(),AU196)</f>
        <v>#N/A</v>
      </c>
      <c r="AY196" s="44" t="str">
        <f aca="false">IF(AV196="","",LN(AV196))</f>
        <v/>
      </c>
      <c r="CH196" s="55" t="str">
        <f aca="false">IF(ISNUMBER(CI196),IF(ISNUMBER('Base de Datos'!AG192),IF('Base de Datos'!AG192&gt;20000,INT('Base de Datos'!AG192),""),IF(TRIM('Base de Datos'!AG192)="","",IFERROR(DATE(VALUE(RIGHT(TRIM('Base de Datos'!AG192),4)),VALUE(MID(TRIM('Base de Datos'!AG192),4,2)),VALUE(LEFT(TRIM('Base de Datos'!AG192),2))),IFERROR(DATEVALUE(TRIM('Base de Datos'!AG192)),"")))),"")</f>
        <v/>
      </c>
      <c r="CI196" s="44" t="str">
        <f aca="false">IF(ISNUMBER('Base de Datos'!AH192),'Base de Datos'!AH192,IF(TRIM('Base de Datos'!AH192)="","",IFERROR(IF(IFERROR(FIND("@",SUBSTITUTE(TRIM('Base de Datos'!AH192),",","@",LEN(TRIM('Base de Datos'!AH192))-LEN(SUBSTITUTE(TRIM('Base de Datos'!AH192),",","")))),0)&gt;IFERROR(FIND("@",SUBSTITUTE(TRIM('Base de Datos'!AH192),".","@",LEN(TRIM('Base de Datos'!AH192))-LEN(SUBSTITUTE(TRIM('Base de Datos'!AH192),".","")))),0),_xlfn.NUMBERVALUE(SUBSTITUTE(SUBSTITUTE(TRIM('Base de Datos'!AH192),".",""),",","."),".",","),_xlfn.NUMBERVALUE(SUBSTITUTE(TRIM('Base de Datos'!AH192),",",""),".",",")),"")))</f>
        <v/>
      </c>
    </row>
    <row r="197" customFormat="false" ht="13.8" hidden="false" customHeight="false" outlineLevel="0" collapsed="false">
      <c r="AE197" s="44" t="n">
        <v>188</v>
      </c>
      <c r="AF197" s="55" t="str">
        <f aca="false">IF(AF196="","",IFERROR(SMALL($CH$10:$CH$309,COUNTIF($CH$10:$CH$309,"&lt;="&amp;AF196)+1),""))</f>
        <v/>
      </c>
      <c r="AG197" s="44" t="str">
        <f aca="false">IF(AF197="","",INDEX($CI$10:$CI$309,MATCH(AF197,$CH$10:$CH$309,0)))</f>
        <v/>
      </c>
      <c r="AH197" s="55" t="e">
        <f aca="false">IF(AF197="",NA(),AF197)</f>
        <v>#N/A</v>
      </c>
      <c r="AI197" s="44" t="e">
        <f aca="false">IF(AG197="",NA(),AG197)</f>
        <v>#N/A</v>
      </c>
      <c r="AU197" s="44" t="str">
        <f aca="false">IF(188&lt;=$C$8,188,"")</f>
        <v/>
      </c>
      <c r="AV197" s="44" t="str">
        <f aca="false">IF(AU197="","",INDEX($AG$10:$AG$309,$B$8+188-1))</f>
        <v/>
      </c>
      <c r="AW197" s="44" t="e">
        <f aca="false">IF(AV197="",NA(),AV197)</f>
        <v>#N/A</v>
      </c>
      <c r="AX197" s="44" t="e">
        <f aca="false">IF(AV197="",NA(),AU197)</f>
        <v>#N/A</v>
      </c>
      <c r="AY197" s="44" t="str">
        <f aca="false">IF(AV197="","",LN(AV197))</f>
        <v/>
      </c>
      <c r="CH197" s="55" t="str">
        <f aca="false">IF(ISNUMBER(CI197),IF(ISNUMBER('Base de Datos'!AG193),IF('Base de Datos'!AG193&gt;20000,INT('Base de Datos'!AG193),""),IF(TRIM('Base de Datos'!AG193)="","",IFERROR(DATE(VALUE(RIGHT(TRIM('Base de Datos'!AG193),4)),VALUE(MID(TRIM('Base de Datos'!AG193),4,2)),VALUE(LEFT(TRIM('Base de Datos'!AG193),2))),IFERROR(DATEVALUE(TRIM('Base de Datos'!AG193)),"")))),"")</f>
        <v/>
      </c>
      <c r="CI197" s="44" t="str">
        <f aca="false">IF(ISNUMBER('Base de Datos'!AH193),'Base de Datos'!AH193,IF(TRIM('Base de Datos'!AH193)="","",IFERROR(IF(IFERROR(FIND("@",SUBSTITUTE(TRIM('Base de Datos'!AH193),",","@",LEN(TRIM('Base de Datos'!AH193))-LEN(SUBSTITUTE(TRIM('Base de Datos'!AH193),",","")))),0)&gt;IFERROR(FIND("@",SUBSTITUTE(TRIM('Base de Datos'!AH193),".","@",LEN(TRIM('Base de Datos'!AH193))-LEN(SUBSTITUTE(TRIM('Base de Datos'!AH193),".","")))),0),_xlfn.NUMBERVALUE(SUBSTITUTE(SUBSTITUTE(TRIM('Base de Datos'!AH193),".",""),",","."),".",","),_xlfn.NUMBERVALUE(SUBSTITUTE(TRIM('Base de Datos'!AH193),",",""),".",",")),"")))</f>
        <v/>
      </c>
    </row>
    <row r="198" customFormat="false" ht="13.8" hidden="false" customHeight="false" outlineLevel="0" collapsed="false">
      <c r="AE198" s="44" t="n">
        <v>189</v>
      </c>
      <c r="AF198" s="55" t="str">
        <f aca="false">IF(AF197="","",IFERROR(SMALL($CH$10:$CH$309,COUNTIF($CH$10:$CH$309,"&lt;="&amp;AF197)+1),""))</f>
        <v/>
      </c>
      <c r="AG198" s="44" t="str">
        <f aca="false">IF(AF198="","",INDEX($CI$10:$CI$309,MATCH(AF198,$CH$10:$CH$309,0)))</f>
        <v/>
      </c>
      <c r="AH198" s="55" t="e">
        <f aca="false">IF(AF198="",NA(),AF198)</f>
        <v>#N/A</v>
      </c>
      <c r="AI198" s="44" t="e">
        <f aca="false">IF(AG198="",NA(),AG198)</f>
        <v>#N/A</v>
      </c>
      <c r="AU198" s="44" t="str">
        <f aca="false">IF(189&lt;=$C$8,189,"")</f>
        <v/>
      </c>
      <c r="AV198" s="44" t="str">
        <f aca="false">IF(AU198="","",INDEX($AG$10:$AG$309,$B$8+189-1))</f>
        <v/>
      </c>
      <c r="AW198" s="44" t="e">
        <f aca="false">IF(AV198="",NA(),AV198)</f>
        <v>#N/A</v>
      </c>
      <c r="AX198" s="44" t="e">
        <f aca="false">IF(AV198="",NA(),AU198)</f>
        <v>#N/A</v>
      </c>
      <c r="AY198" s="44" t="str">
        <f aca="false">IF(AV198="","",LN(AV198))</f>
        <v/>
      </c>
      <c r="CH198" s="55" t="str">
        <f aca="false">IF(ISNUMBER(CI198),IF(ISNUMBER('Base de Datos'!AG194),IF('Base de Datos'!AG194&gt;20000,INT('Base de Datos'!AG194),""),IF(TRIM('Base de Datos'!AG194)="","",IFERROR(DATE(VALUE(RIGHT(TRIM('Base de Datos'!AG194),4)),VALUE(MID(TRIM('Base de Datos'!AG194),4,2)),VALUE(LEFT(TRIM('Base de Datos'!AG194),2))),IFERROR(DATEVALUE(TRIM('Base de Datos'!AG194)),"")))),"")</f>
        <v/>
      </c>
      <c r="CI198" s="44" t="str">
        <f aca="false">IF(ISNUMBER('Base de Datos'!AH194),'Base de Datos'!AH194,IF(TRIM('Base de Datos'!AH194)="","",IFERROR(IF(IFERROR(FIND("@",SUBSTITUTE(TRIM('Base de Datos'!AH194),",","@",LEN(TRIM('Base de Datos'!AH194))-LEN(SUBSTITUTE(TRIM('Base de Datos'!AH194),",","")))),0)&gt;IFERROR(FIND("@",SUBSTITUTE(TRIM('Base de Datos'!AH194),".","@",LEN(TRIM('Base de Datos'!AH194))-LEN(SUBSTITUTE(TRIM('Base de Datos'!AH194),".","")))),0),_xlfn.NUMBERVALUE(SUBSTITUTE(SUBSTITUTE(TRIM('Base de Datos'!AH194),".",""),",","."),".",","),_xlfn.NUMBERVALUE(SUBSTITUTE(TRIM('Base de Datos'!AH194),",",""),".",",")),"")))</f>
        <v/>
      </c>
    </row>
    <row r="199" customFormat="false" ht="13.8" hidden="false" customHeight="false" outlineLevel="0" collapsed="false">
      <c r="AE199" s="44" t="n">
        <v>190</v>
      </c>
      <c r="AF199" s="55" t="str">
        <f aca="false">IF(AF198="","",IFERROR(SMALL($CH$10:$CH$309,COUNTIF($CH$10:$CH$309,"&lt;="&amp;AF198)+1),""))</f>
        <v/>
      </c>
      <c r="AG199" s="44" t="str">
        <f aca="false">IF(AF199="","",INDEX($CI$10:$CI$309,MATCH(AF199,$CH$10:$CH$309,0)))</f>
        <v/>
      </c>
      <c r="AH199" s="55" t="e">
        <f aca="false">IF(AF199="",NA(),AF199)</f>
        <v>#N/A</v>
      </c>
      <c r="AI199" s="44" t="e">
        <f aca="false">IF(AG199="",NA(),AG199)</f>
        <v>#N/A</v>
      </c>
      <c r="AU199" s="44" t="str">
        <f aca="false">IF(190&lt;=$C$8,190,"")</f>
        <v/>
      </c>
      <c r="AV199" s="44" t="str">
        <f aca="false">IF(AU199="","",INDEX($AG$10:$AG$309,$B$8+190-1))</f>
        <v/>
      </c>
      <c r="AW199" s="44" t="e">
        <f aca="false">IF(AV199="",NA(),AV199)</f>
        <v>#N/A</v>
      </c>
      <c r="AX199" s="44" t="e">
        <f aca="false">IF(AV199="",NA(),AU199)</f>
        <v>#N/A</v>
      </c>
      <c r="AY199" s="44" t="str">
        <f aca="false">IF(AV199="","",LN(AV199))</f>
        <v/>
      </c>
      <c r="CH199" s="55" t="str">
        <f aca="false">IF(ISNUMBER(CI199),IF(ISNUMBER('Base de Datos'!AG195),IF('Base de Datos'!AG195&gt;20000,INT('Base de Datos'!AG195),""),IF(TRIM('Base de Datos'!AG195)="","",IFERROR(DATE(VALUE(RIGHT(TRIM('Base de Datos'!AG195),4)),VALUE(MID(TRIM('Base de Datos'!AG195),4,2)),VALUE(LEFT(TRIM('Base de Datos'!AG195),2))),IFERROR(DATEVALUE(TRIM('Base de Datos'!AG195)),"")))),"")</f>
        <v/>
      </c>
      <c r="CI199" s="44" t="str">
        <f aca="false">IF(ISNUMBER('Base de Datos'!AH195),'Base de Datos'!AH195,IF(TRIM('Base de Datos'!AH195)="","",IFERROR(IF(IFERROR(FIND("@",SUBSTITUTE(TRIM('Base de Datos'!AH195),",","@",LEN(TRIM('Base de Datos'!AH195))-LEN(SUBSTITUTE(TRIM('Base de Datos'!AH195),",","")))),0)&gt;IFERROR(FIND("@",SUBSTITUTE(TRIM('Base de Datos'!AH195),".","@",LEN(TRIM('Base de Datos'!AH195))-LEN(SUBSTITUTE(TRIM('Base de Datos'!AH195),".","")))),0),_xlfn.NUMBERVALUE(SUBSTITUTE(SUBSTITUTE(TRIM('Base de Datos'!AH195),".",""),",","."),".",","),_xlfn.NUMBERVALUE(SUBSTITUTE(TRIM('Base de Datos'!AH195),",",""),".",",")),"")))</f>
        <v/>
      </c>
    </row>
    <row r="200" customFormat="false" ht="13.8" hidden="false" customHeight="false" outlineLevel="0" collapsed="false">
      <c r="AE200" s="44" t="n">
        <v>191</v>
      </c>
      <c r="AF200" s="55" t="str">
        <f aca="false">IF(AF199="","",IFERROR(SMALL($CH$10:$CH$309,COUNTIF($CH$10:$CH$309,"&lt;="&amp;AF199)+1),""))</f>
        <v/>
      </c>
      <c r="AG200" s="44" t="str">
        <f aca="false">IF(AF200="","",INDEX($CI$10:$CI$309,MATCH(AF200,$CH$10:$CH$309,0)))</f>
        <v/>
      </c>
      <c r="AH200" s="55" t="e">
        <f aca="false">IF(AF200="",NA(),AF200)</f>
        <v>#N/A</v>
      </c>
      <c r="AI200" s="44" t="e">
        <f aca="false">IF(AG200="",NA(),AG200)</f>
        <v>#N/A</v>
      </c>
      <c r="AU200" s="44" t="str">
        <f aca="false">IF(191&lt;=$C$8,191,"")</f>
        <v/>
      </c>
      <c r="AV200" s="44" t="str">
        <f aca="false">IF(AU200="","",INDEX($AG$10:$AG$309,$B$8+191-1))</f>
        <v/>
      </c>
      <c r="AW200" s="44" t="e">
        <f aca="false">IF(AV200="",NA(),AV200)</f>
        <v>#N/A</v>
      </c>
      <c r="AX200" s="44" t="e">
        <f aca="false">IF(AV200="",NA(),AU200)</f>
        <v>#N/A</v>
      </c>
      <c r="AY200" s="44" t="str">
        <f aca="false">IF(AV200="","",LN(AV200))</f>
        <v/>
      </c>
      <c r="CH200" s="55" t="str">
        <f aca="false">IF(ISNUMBER(CI200),IF(ISNUMBER('Base de Datos'!AG196),IF('Base de Datos'!AG196&gt;20000,INT('Base de Datos'!AG196),""),IF(TRIM('Base de Datos'!AG196)="","",IFERROR(DATE(VALUE(RIGHT(TRIM('Base de Datos'!AG196),4)),VALUE(MID(TRIM('Base de Datos'!AG196),4,2)),VALUE(LEFT(TRIM('Base de Datos'!AG196),2))),IFERROR(DATEVALUE(TRIM('Base de Datos'!AG196)),"")))),"")</f>
        <v/>
      </c>
      <c r="CI200" s="44" t="str">
        <f aca="false">IF(ISNUMBER('Base de Datos'!AH196),'Base de Datos'!AH196,IF(TRIM('Base de Datos'!AH196)="","",IFERROR(IF(IFERROR(FIND("@",SUBSTITUTE(TRIM('Base de Datos'!AH196),",","@",LEN(TRIM('Base de Datos'!AH196))-LEN(SUBSTITUTE(TRIM('Base de Datos'!AH196),",","")))),0)&gt;IFERROR(FIND("@",SUBSTITUTE(TRIM('Base de Datos'!AH196),".","@",LEN(TRIM('Base de Datos'!AH196))-LEN(SUBSTITUTE(TRIM('Base de Datos'!AH196),".","")))),0),_xlfn.NUMBERVALUE(SUBSTITUTE(SUBSTITUTE(TRIM('Base de Datos'!AH196),".",""),",","."),".",","),_xlfn.NUMBERVALUE(SUBSTITUTE(TRIM('Base de Datos'!AH196),",",""),".",",")),"")))</f>
        <v/>
      </c>
    </row>
    <row r="201" customFormat="false" ht="13.8" hidden="false" customHeight="false" outlineLevel="0" collapsed="false">
      <c r="AE201" s="44" t="n">
        <v>192</v>
      </c>
      <c r="AF201" s="55" t="str">
        <f aca="false">IF(AF200="","",IFERROR(SMALL($CH$10:$CH$309,COUNTIF($CH$10:$CH$309,"&lt;="&amp;AF200)+1),""))</f>
        <v/>
      </c>
      <c r="AG201" s="44" t="str">
        <f aca="false">IF(AF201="","",INDEX($CI$10:$CI$309,MATCH(AF201,$CH$10:$CH$309,0)))</f>
        <v/>
      </c>
      <c r="AH201" s="55" t="e">
        <f aca="false">IF(AF201="",NA(),AF201)</f>
        <v>#N/A</v>
      </c>
      <c r="AI201" s="44" t="e">
        <f aca="false">IF(AG201="",NA(),AG201)</f>
        <v>#N/A</v>
      </c>
      <c r="AU201" s="44" t="str">
        <f aca="false">IF(192&lt;=$C$8,192,"")</f>
        <v/>
      </c>
      <c r="AV201" s="44" t="str">
        <f aca="false">IF(AU201="","",INDEX($AG$10:$AG$309,$B$8+192-1))</f>
        <v/>
      </c>
      <c r="AW201" s="44" t="e">
        <f aca="false">IF(AV201="",NA(),AV201)</f>
        <v>#N/A</v>
      </c>
      <c r="AX201" s="44" t="e">
        <f aca="false">IF(AV201="",NA(),AU201)</f>
        <v>#N/A</v>
      </c>
      <c r="AY201" s="44" t="str">
        <f aca="false">IF(AV201="","",LN(AV201))</f>
        <v/>
      </c>
      <c r="CH201" s="55" t="str">
        <f aca="false">IF(ISNUMBER(CI201),IF(ISNUMBER('Base de Datos'!AG197),IF('Base de Datos'!AG197&gt;20000,INT('Base de Datos'!AG197),""),IF(TRIM('Base de Datos'!AG197)="","",IFERROR(DATE(VALUE(RIGHT(TRIM('Base de Datos'!AG197),4)),VALUE(MID(TRIM('Base de Datos'!AG197),4,2)),VALUE(LEFT(TRIM('Base de Datos'!AG197),2))),IFERROR(DATEVALUE(TRIM('Base de Datos'!AG197)),"")))),"")</f>
        <v/>
      </c>
      <c r="CI201" s="44" t="str">
        <f aca="false">IF(ISNUMBER('Base de Datos'!AH197),'Base de Datos'!AH197,IF(TRIM('Base de Datos'!AH197)="","",IFERROR(IF(IFERROR(FIND("@",SUBSTITUTE(TRIM('Base de Datos'!AH197),",","@",LEN(TRIM('Base de Datos'!AH197))-LEN(SUBSTITUTE(TRIM('Base de Datos'!AH197),",","")))),0)&gt;IFERROR(FIND("@",SUBSTITUTE(TRIM('Base de Datos'!AH197),".","@",LEN(TRIM('Base de Datos'!AH197))-LEN(SUBSTITUTE(TRIM('Base de Datos'!AH197),".","")))),0),_xlfn.NUMBERVALUE(SUBSTITUTE(SUBSTITUTE(TRIM('Base de Datos'!AH197),".",""),",","."),".",","),_xlfn.NUMBERVALUE(SUBSTITUTE(TRIM('Base de Datos'!AH197),",",""),".",",")),"")))</f>
        <v/>
      </c>
    </row>
    <row r="202" customFormat="false" ht="13.8" hidden="false" customHeight="false" outlineLevel="0" collapsed="false">
      <c r="AE202" s="44" t="n">
        <v>193</v>
      </c>
      <c r="AF202" s="55" t="str">
        <f aca="false">IF(AF201="","",IFERROR(SMALL($CH$10:$CH$309,COUNTIF($CH$10:$CH$309,"&lt;="&amp;AF201)+1),""))</f>
        <v/>
      </c>
      <c r="AG202" s="44" t="str">
        <f aca="false">IF(AF202="","",INDEX($CI$10:$CI$309,MATCH(AF202,$CH$10:$CH$309,0)))</f>
        <v/>
      </c>
      <c r="AH202" s="55" t="e">
        <f aca="false">IF(AF202="",NA(),AF202)</f>
        <v>#N/A</v>
      </c>
      <c r="AI202" s="44" t="e">
        <f aca="false">IF(AG202="",NA(),AG202)</f>
        <v>#N/A</v>
      </c>
      <c r="AU202" s="44" t="str">
        <f aca="false">IF(193&lt;=$C$8,193,"")</f>
        <v/>
      </c>
      <c r="AV202" s="44" t="str">
        <f aca="false">IF(AU202="","",INDEX($AG$10:$AG$309,$B$8+193-1))</f>
        <v/>
      </c>
      <c r="AW202" s="44" t="e">
        <f aca="false">IF(AV202="",NA(),AV202)</f>
        <v>#N/A</v>
      </c>
      <c r="AX202" s="44" t="e">
        <f aca="false">IF(AV202="",NA(),AU202)</f>
        <v>#N/A</v>
      </c>
      <c r="AY202" s="44" t="str">
        <f aca="false">IF(AV202="","",LN(AV202))</f>
        <v/>
      </c>
      <c r="CH202" s="55" t="str">
        <f aca="false">IF(ISNUMBER(CI202),IF(ISNUMBER('Base de Datos'!AG198),IF('Base de Datos'!AG198&gt;20000,INT('Base de Datos'!AG198),""),IF(TRIM('Base de Datos'!AG198)="","",IFERROR(DATE(VALUE(RIGHT(TRIM('Base de Datos'!AG198),4)),VALUE(MID(TRIM('Base de Datos'!AG198),4,2)),VALUE(LEFT(TRIM('Base de Datos'!AG198),2))),IFERROR(DATEVALUE(TRIM('Base de Datos'!AG198)),"")))),"")</f>
        <v/>
      </c>
      <c r="CI202" s="44" t="str">
        <f aca="false">IF(ISNUMBER('Base de Datos'!AH198),'Base de Datos'!AH198,IF(TRIM('Base de Datos'!AH198)="","",IFERROR(IF(IFERROR(FIND("@",SUBSTITUTE(TRIM('Base de Datos'!AH198),",","@",LEN(TRIM('Base de Datos'!AH198))-LEN(SUBSTITUTE(TRIM('Base de Datos'!AH198),",","")))),0)&gt;IFERROR(FIND("@",SUBSTITUTE(TRIM('Base de Datos'!AH198),".","@",LEN(TRIM('Base de Datos'!AH198))-LEN(SUBSTITUTE(TRIM('Base de Datos'!AH198),".","")))),0),_xlfn.NUMBERVALUE(SUBSTITUTE(SUBSTITUTE(TRIM('Base de Datos'!AH198),".",""),",","."),".",","),_xlfn.NUMBERVALUE(SUBSTITUTE(TRIM('Base de Datos'!AH198),",",""),".",",")),"")))</f>
        <v/>
      </c>
    </row>
    <row r="203" customFormat="false" ht="13.8" hidden="false" customHeight="false" outlineLevel="0" collapsed="false">
      <c r="AE203" s="44" t="n">
        <v>194</v>
      </c>
      <c r="AF203" s="55" t="str">
        <f aca="false">IF(AF202="","",IFERROR(SMALL($CH$10:$CH$309,COUNTIF($CH$10:$CH$309,"&lt;="&amp;AF202)+1),""))</f>
        <v/>
      </c>
      <c r="AG203" s="44" t="str">
        <f aca="false">IF(AF203="","",INDEX($CI$10:$CI$309,MATCH(AF203,$CH$10:$CH$309,0)))</f>
        <v/>
      </c>
      <c r="AH203" s="55" t="e">
        <f aca="false">IF(AF203="",NA(),AF203)</f>
        <v>#N/A</v>
      </c>
      <c r="AI203" s="44" t="e">
        <f aca="false">IF(AG203="",NA(),AG203)</f>
        <v>#N/A</v>
      </c>
      <c r="AU203" s="44" t="str">
        <f aca="false">IF(194&lt;=$C$8,194,"")</f>
        <v/>
      </c>
      <c r="AV203" s="44" t="str">
        <f aca="false">IF(AU203="","",INDEX($AG$10:$AG$309,$B$8+194-1))</f>
        <v/>
      </c>
      <c r="AW203" s="44" t="e">
        <f aca="false">IF(AV203="",NA(),AV203)</f>
        <v>#N/A</v>
      </c>
      <c r="AX203" s="44" t="e">
        <f aca="false">IF(AV203="",NA(),AU203)</f>
        <v>#N/A</v>
      </c>
      <c r="AY203" s="44" t="str">
        <f aca="false">IF(AV203="","",LN(AV203))</f>
        <v/>
      </c>
      <c r="CH203" s="55" t="str">
        <f aca="false">IF(ISNUMBER(CI203),IF(ISNUMBER('Base de Datos'!AG199),IF('Base de Datos'!AG199&gt;20000,INT('Base de Datos'!AG199),""),IF(TRIM('Base de Datos'!AG199)="","",IFERROR(DATE(VALUE(RIGHT(TRIM('Base de Datos'!AG199),4)),VALUE(MID(TRIM('Base de Datos'!AG199),4,2)),VALUE(LEFT(TRIM('Base de Datos'!AG199),2))),IFERROR(DATEVALUE(TRIM('Base de Datos'!AG199)),"")))),"")</f>
        <v/>
      </c>
      <c r="CI203" s="44" t="str">
        <f aca="false">IF(ISNUMBER('Base de Datos'!AH199),'Base de Datos'!AH199,IF(TRIM('Base de Datos'!AH199)="","",IFERROR(IF(IFERROR(FIND("@",SUBSTITUTE(TRIM('Base de Datos'!AH199),",","@",LEN(TRIM('Base de Datos'!AH199))-LEN(SUBSTITUTE(TRIM('Base de Datos'!AH199),",","")))),0)&gt;IFERROR(FIND("@",SUBSTITUTE(TRIM('Base de Datos'!AH199),".","@",LEN(TRIM('Base de Datos'!AH199))-LEN(SUBSTITUTE(TRIM('Base de Datos'!AH199),".","")))),0),_xlfn.NUMBERVALUE(SUBSTITUTE(SUBSTITUTE(TRIM('Base de Datos'!AH199),".",""),",","."),".",","),_xlfn.NUMBERVALUE(SUBSTITUTE(TRIM('Base de Datos'!AH199),",",""),".",",")),"")))</f>
        <v/>
      </c>
    </row>
    <row r="204" customFormat="false" ht="13.8" hidden="false" customHeight="false" outlineLevel="0" collapsed="false">
      <c r="AE204" s="44" t="n">
        <v>195</v>
      </c>
      <c r="AF204" s="55" t="str">
        <f aca="false">IF(AF203="","",IFERROR(SMALL($CH$10:$CH$309,COUNTIF($CH$10:$CH$309,"&lt;="&amp;AF203)+1),""))</f>
        <v/>
      </c>
      <c r="AG204" s="44" t="str">
        <f aca="false">IF(AF204="","",INDEX($CI$10:$CI$309,MATCH(AF204,$CH$10:$CH$309,0)))</f>
        <v/>
      </c>
      <c r="AH204" s="55" t="e">
        <f aca="false">IF(AF204="",NA(),AF204)</f>
        <v>#N/A</v>
      </c>
      <c r="AI204" s="44" t="e">
        <f aca="false">IF(AG204="",NA(),AG204)</f>
        <v>#N/A</v>
      </c>
      <c r="AU204" s="44" t="str">
        <f aca="false">IF(195&lt;=$C$8,195,"")</f>
        <v/>
      </c>
      <c r="AV204" s="44" t="str">
        <f aca="false">IF(AU204="","",INDEX($AG$10:$AG$309,$B$8+195-1))</f>
        <v/>
      </c>
      <c r="AW204" s="44" t="e">
        <f aca="false">IF(AV204="",NA(),AV204)</f>
        <v>#N/A</v>
      </c>
      <c r="AX204" s="44" t="e">
        <f aca="false">IF(AV204="",NA(),AU204)</f>
        <v>#N/A</v>
      </c>
      <c r="AY204" s="44" t="str">
        <f aca="false">IF(AV204="","",LN(AV204))</f>
        <v/>
      </c>
      <c r="CH204" s="55" t="str">
        <f aca="false">IF(ISNUMBER(CI204),IF(ISNUMBER('Base de Datos'!AG200),IF('Base de Datos'!AG200&gt;20000,INT('Base de Datos'!AG200),""),IF(TRIM('Base de Datos'!AG200)="","",IFERROR(DATE(VALUE(RIGHT(TRIM('Base de Datos'!AG200),4)),VALUE(MID(TRIM('Base de Datos'!AG200),4,2)),VALUE(LEFT(TRIM('Base de Datos'!AG200),2))),IFERROR(DATEVALUE(TRIM('Base de Datos'!AG200)),"")))),"")</f>
        <v/>
      </c>
      <c r="CI204" s="44" t="str">
        <f aca="false">IF(ISNUMBER('Base de Datos'!AH200),'Base de Datos'!AH200,IF(TRIM('Base de Datos'!AH200)="","",IFERROR(IF(IFERROR(FIND("@",SUBSTITUTE(TRIM('Base de Datos'!AH200),",","@",LEN(TRIM('Base de Datos'!AH200))-LEN(SUBSTITUTE(TRIM('Base de Datos'!AH200),",","")))),0)&gt;IFERROR(FIND("@",SUBSTITUTE(TRIM('Base de Datos'!AH200),".","@",LEN(TRIM('Base de Datos'!AH200))-LEN(SUBSTITUTE(TRIM('Base de Datos'!AH200),".","")))),0),_xlfn.NUMBERVALUE(SUBSTITUTE(SUBSTITUTE(TRIM('Base de Datos'!AH200),".",""),",","."),".",","),_xlfn.NUMBERVALUE(SUBSTITUTE(TRIM('Base de Datos'!AH200),",",""),".",",")),"")))</f>
        <v/>
      </c>
    </row>
    <row r="205" customFormat="false" ht="13.8" hidden="false" customHeight="false" outlineLevel="0" collapsed="false">
      <c r="AE205" s="44" t="n">
        <v>196</v>
      </c>
      <c r="AF205" s="55" t="str">
        <f aca="false">IF(AF204="","",IFERROR(SMALL($CH$10:$CH$309,COUNTIF($CH$10:$CH$309,"&lt;="&amp;AF204)+1),""))</f>
        <v/>
      </c>
      <c r="AG205" s="44" t="str">
        <f aca="false">IF(AF205="","",INDEX($CI$10:$CI$309,MATCH(AF205,$CH$10:$CH$309,0)))</f>
        <v/>
      </c>
      <c r="AH205" s="55" t="e">
        <f aca="false">IF(AF205="",NA(),AF205)</f>
        <v>#N/A</v>
      </c>
      <c r="AI205" s="44" t="e">
        <f aca="false">IF(AG205="",NA(),AG205)</f>
        <v>#N/A</v>
      </c>
      <c r="AU205" s="44" t="str">
        <f aca="false">IF(196&lt;=$C$8,196,"")</f>
        <v/>
      </c>
      <c r="AV205" s="44" t="str">
        <f aca="false">IF(AU205="","",INDEX($AG$10:$AG$309,$B$8+196-1))</f>
        <v/>
      </c>
      <c r="AW205" s="44" t="e">
        <f aca="false">IF(AV205="",NA(),AV205)</f>
        <v>#N/A</v>
      </c>
      <c r="AX205" s="44" t="e">
        <f aca="false">IF(AV205="",NA(),AU205)</f>
        <v>#N/A</v>
      </c>
      <c r="AY205" s="44" t="str">
        <f aca="false">IF(AV205="","",LN(AV205))</f>
        <v/>
      </c>
      <c r="CH205" s="55" t="str">
        <f aca="false">IF(ISNUMBER(CI205),IF(ISNUMBER('Base de Datos'!AG201),IF('Base de Datos'!AG201&gt;20000,INT('Base de Datos'!AG201),""),IF(TRIM('Base de Datos'!AG201)="","",IFERROR(DATE(VALUE(RIGHT(TRIM('Base de Datos'!AG201),4)),VALUE(MID(TRIM('Base de Datos'!AG201),4,2)),VALUE(LEFT(TRIM('Base de Datos'!AG201),2))),IFERROR(DATEVALUE(TRIM('Base de Datos'!AG201)),"")))),"")</f>
        <v/>
      </c>
      <c r="CI205" s="44" t="str">
        <f aca="false">IF(ISNUMBER('Base de Datos'!AH201),'Base de Datos'!AH201,IF(TRIM('Base de Datos'!AH201)="","",IFERROR(IF(IFERROR(FIND("@",SUBSTITUTE(TRIM('Base de Datos'!AH201),",","@",LEN(TRIM('Base de Datos'!AH201))-LEN(SUBSTITUTE(TRIM('Base de Datos'!AH201),",","")))),0)&gt;IFERROR(FIND("@",SUBSTITUTE(TRIM('Base de Datos'!AH201),".","@",LEN(TRIM('Base de Datos'!AH201))-LEN(SUBSTITUTE(TRIM('Base de Datos'!AH201),".","")))),0),_xlfn.NUMBERVALUE(SUBSTITUTE(SUBSTITUTE(TRIM('Base de Datos'!AH201),".",""),",","."),".",","),_xlfn.NUMBERVALUE(SUBSTITUTE(TRIM('Base de Datos'!AH201),",",""),".",",")),"")))</f>
        <v/>
      </c>
    </row>
    <row r="206" customFormat="false" ht="13.8" hidden="false" customHeight="false" outlineLevel="0" collapsed="false">
      <c r="AE206" s="44" t="n">
        <v>197</v>
      </c>
      <c r="AF206" s="55" t="str">
        <f aca="false">IF(AF205="","",IFERROR(SMALL($CH$10:$CH$309,COUNTIF($CH$10:$CH$309,"&lt;="&amp;AF205)+1),""))</f>
        <v/>
      </c>
      <c r="AG206" s="44" t="str">
        <f aca="false">IF(AF206="","",INDEX($CI$10:$CI$309,MATCH(AF206,$CH$10:$CH$309,0)))</f>
        <v/>
      </c>
      <c r="AH206" s="55" t="e">
        <f aca="false">IF(AF206="",NA(),AF206)</f>
        <v>#N/A</v>
      </c>
      <c r="AI206" s="44" t="e">
        <f aca="false">IF(AG206="",NA(),AG206)</f>
        <v>#N/A</v>
      </c>
      <c r="AU206" s="44" t="str">
        <f aca="false">IF(197&lt;=$C$8,197,"")</f>
        <v/>
      </c>
      <c r="AV206" s="44" t="str">
        <f aca="false">IF(AU206="","",INDEX($AG$10:$AG$309,$B$8+197-1))</f>
        <v/>
      </c>
      <c r="AW206" s="44" t="e">
        <f aca="false">IF(AV206="",NA(),AV206)</f>
        <v>#N/A</v>
      </c>
      <c r="AX206" s="44" t="e">
        <f aca="false">IF(AV206="",NA(),AU206)</f>
        <v>#N/A</v>
      </c>
      <c r="AY206" s="44" t="str">
        <f aca="false">IF(AV206="","",LN(AV206))</f>
        <v/>
      </c>
      <c r="CH206" s="55" t="str">
        <f aca="false">IF(ISNUMBER(CI206),IF(ISNUMBER('Base de Datos'!AG202),IF('Base de Datos'!AG202&gt;20000,INT('Base de Datos'!AG202),""),IF(TRIM('Base de Datos'!AG202)="","",IFERROR(DATE(VALUE(RIGHT(TRIM('Base de Datos'!AG202),4)),VALUE(MID(TRIM('Base de Datos'!AG202),4,2)),VALUE(LEFT(TRIM('Base de Datos'!AG202),2))),IFERROR(DATEVALUE(TRIM('Base de Datos'!AG202)),"")))),"")</f>
        <v/>
      </c>
      <c r="CI206" s="44" t="str">
        <f aca="false">IF(ISNUMBER('Base de Datos'!AH202),'Base de Datos'!AH202,IF(TRIM('Base de Datos'!AH202)="","",IFERROR(IF(IFERROR(FIND("@",SUBSTITUTE(TRIM('Base de Datos'!AH202),",","@",LEN(TRIM('Base de Datos'!AH202))-LEN(SUBSTITUTE(TRIM('Base de Datos'!AH202),",","")))),0)&gt;IFERROR(FIND("@",SUBSTITUTE(TRIM('Base de Datos'!AH202),".","@",LEN(TRIM('Base de Datos'!AH202))-LEN(SUBSTITUTE(TRIM('Base de Datos'!AH202),".","")))),0),_xlfn.NUMBERVALUE(SUBSTITUTE(SUBSTITUTE(TRIM('Base de Datos'!AH202),".",""),",","."),".",","),_xlfn.NUMBERVALUE(SUBSTITUTE(TRIM('Base de Datos'!AH202),",",""),".",",")),"")))</f>
        <v/>
      </c>
    </row>
    <row r="207" customFormat="false" ht="13.8" hidden="false" customHeight="false" outlineLevel="0" collapsed="false">
      <c r="AE207" s="44" t="n">
        <v>198</v>
      </c>
      <c r="AF207" s="55" t="str">
        <f aca="false">IF(AF206="","",IFERROR(SMALL($CH$10:$CH$309,COUNTIF($CH$10:$CH$309,"&lt;="&amp;AF206)+1),""))</f>
        <v/>
      </c>
      <c r="AG207" s="44" t="str">
        <f aca="false">IF(AF207="","",INDEX($CI$10:$CI$309,MATCH(AF207,$CH$10:$CH$309,0)))</f>
        <v/>
      </c>
      <c r="AH207" s="55" t="e">
        <f aca="false">IF(AF207="",NA(),AF207)</f>
        <v>#N/A</v>
      </c>
      <c r="AI207" s="44" t="e">
        <f aca="false">IF(AG207="",NA(),AG207)</f>
        <v>#N/A</v>
      </c>
      <c r="AU207" s="44" t="str">
        <f aca="false">IF(198&lt;=$C$8,198,"")</f>
        <v/>
      </c>
      <c r="AV207" s="44" t="str">
        <f aca="false">IF(AU207="","",INDEX($AG$10:$AG$309,$B$8+198-1))</f>
        <v/>
      </c>
      <c r="AW207" s="44" t="e">
        <f aca="false">IF(AV207="",NA(),AV207)</f>
        <v>#N/A</v>
      </c>
      <c r="AX207" s="44" t="e">
        <f aca="false">IF(AV207="",NA(),AU207)</f>
        <v>#N/A</v>
      </c>
      <c r="AY207" s="44" t="str">
        <f aca="false">IF(AV207="","",LN(AV207))</f>
        <v/>
      </c>
      <c r="CH207" s="55" t="str">
        <f aca="false">IF(ISNUMBER(CI207),IF(ISNUMBER('Base de Datos'!AG203),IF('Base de Datos'!AG203&gt;20000,INT('Base de Datos'!AG203),""),IF(TRIM('Base de Datos'!AG203)="","",IFERROR(DATE(VALUE(RIGHT(TRIM('Base de Datos'!AG203),4)),VALUE(MID(TRIM('Base de Datos'!AG203),4,2)),VALUE(LEFT(TRIM('Base de Datos'!AG203),2))),IFERROR(DATEVALUE(TRIM('Base de Datos'!AG203)),"")))),"")</f>
        <v/>
      </c>
      <c r="CI207" s="44" t="str">
        <f aca="false">IF(ISNUMBER('Base de Datos'!AH203),'Base de Datos'!AH203,IF(TRIM('Base de Datos'!AH203)="","",IFERROR(IF(IFERROR(FIND("@",SUBSTITUTE(TRIM('Base de Datos'!AH203),",","@",LEN(TRIM('Base de Datos'!AH203))-LEN(SUBSTITUTE(TRIM('Base de Datos'!AH203),",","")))),0)&gt;IFERROR(FIND("@",SUBSTITUTE(TRIM('Base de Datos'!AH203),".","@",LEN(TRIM('Base de Datos'!AH203))-LEN(SUBSTITUTE(TRIM('Base de Datos'!AH203),".","")))),0),_xlfn.NUMBERVALUE(SUBSTITUTE(SUBSTITUTE(TRIM('Base de Datos'!AH203),".",""),",","."),".",","),_xlfn.NUMBERVALUE(SUBSTITUTE(TRIM('Base de Datos'!AH203),",",""),".",",")),"")))</f>
        <v/>
      </c>
    </row>
    <row r="208" customFormat="false" ht="13.8" hidden="false" customHeight="false" outlineLevel="0" collapsed="false">
      <c r="AE208" s="44" t="n">
        <v>199</v>
      </c>
      <c r="AF208" s="55" t="str">
        <f aca="false">IF(AF207="","",IFERROR(SMALL($CH$10:$CH$309,COUNTIF($CH$10:$CH$309,"&lt;="&amp;AF207)+1),""))</f>
        <v/>
      </c>
      <c r="AG208" s="44" t="str">
        <f aca="false">IF(AF208="","",INDEX($CI$10:$CI$309,MATCH(AF208,$CH$10:$CH$309,0)))</f>
        <v/>
      </c>
      <c r="AH208" s="55" t="e">
        <f aca="false">IF(AF208="",NA(),AF208)</f>
        <v>#N/A</v>
      </c>
      <c r="AI208" s="44" t="e">
        <f aca="false">IF(AG208="",NA(),AG208)</f>
        <v>#N/A</v>
      </c>
      <c r="AU208" s="44" t="str">
        <f aca="false">IF(199&lt;=$C$8,199,"")</f>
        <v/>
      </c>
      <c r="AV208" s="44" t="str">
        <f aca="false">IF(AU208="","",INDEX($AG$10:$AG$309,$B$8+199-1))</f>
        <v/>
      </c>
      <c r="AW208" s="44" t="e">
        <f aca="false">IF(AV208="",NA(),AV208)</f>
        <v>#N/A</v>
      </c>
      <c r="AX208" s="44" t="e">
        <f aca="false">IF(AV208="",NA(),AU208)</f>
        <v>#N/A</v>
      </c>
      <c r="AY208" s="44" t="str">
        <f aca="false">IF(AV208="","",LN(AV208))</f>
        <v/>
      </c>
      <c r="CH208" s="55" t="str">
        <f aca="false">IF(ISNUMBER(CI208),IF(ISNUMBER('Base de Datos'!AG204),IF('Base de Datos'!AG204&gt;20000,INT('Base de Datos'!AG204),""),IF(TRIM('Base de Datos'!AG204)="","",IFERROR(DATE(VALUE(RIGHT(TRIM('Base de Datos'!AG204),4)),VALUE(MID(TRIM('Base de Datos'!AG204),4,2)),VALUE(LEFT(TRIM('Base de Datos'!AG204),2))),IFERROR(DATEVALUE(TRIM('Base de Datos'!AG204)),"")))),"")</f>
        <v/>
      </c>
      <c r="CI208" s="44" t="str">
        <f aca="false">IF(ISNUMBER('Base de Datos'!AH204),'Base de Datos'!AH204,IF(TRIM('Base de Datos'!AH204)="","",IFERROR(IF(IFERROR(FIND("@",SUBSTITUTE(TRIM('Base de Datos'!AH204),",","@",LEN(TRIM('Base de Datos'!AH204))-LEN(SUBSTITUTE(TRIM('Base de Datos'!AH204),",","")))),0)&gt;IFERROR(FIND("@",SUBSTITUTE(TRIM('Base de Datos'!AH204),".","@",LEN(TRIM('Base de Datos'!AH204))-LEN(SUBSTITUTE(TRIM('Base de Datos'!AH204),".","")))),0),_xlfn.NUMBERVALUE(SUBSTITUTE(SUBSTITUTE(TRIM('Base de Datos'!AH204),".",""),",","."),".",","),_xlfn.NUMBERVALUE(SUBSTITUTE(TRIM('Base de Datos'!AH204),",",""),".",",")),"")))</f>
        <v/>
      </c>
    </row>
    <row r="209" customFormat="false" ht="13.8" hidden="false" customHeight="false" outlineLevel="0" collapsed="false">
      <c r="AE209" s="44" t="n">
        <v>200</v>
      </c>
      <c r="AF209" s="55" t="str">
        <f aca="false">IF(AF208="","",IFERROR(SMALL($CH$10:$CH$309,COUNTIF($CH$10:$CH$309,"&lt;="&amp;AF208)+1),""))</f>
        <v/>
      </c>
      <c r="AG209" s="44" t="str">
        <f aca="false">IF(AF209="","",INDEX($CI$10:$CI$309,MATCH(AF209,$CH$10:$CH$309,0)))</f>
        <v/>
      </c>
      <c r="AH209" s="55" t="e">
        <f aca="false">IF(AF209="",NA(),AF209)</f>
        <v>#N/A</v>
      </c>
      <c r="AI209" s="44" t="e">
        <f aca="false">IF(AG209="",NA(),AG209)</f>
        <v>#N/A</v>
      </c>
      <c r="AU209" s="44" t="str">
        <f aca="false">IF(200&lt;=$C$8,200,"")</f>
        <v/>
      </c>
      <c r="AV209" s="44" t="str">
        <f aca="false">IF(AU209="","",INDEX($AG$10:$AG$309,$B$8+200-1))</f>
        <v/>
      </c>
      <c r="AW209" s="44" t="e">
        <f aca="false">IF(AV209="",NA(),AV209)</f>
        <v>#N/A</v>
      </c>
      <c r="AX209" s="44" t="e">
        <f aca="false">IF(AV209="",NA(),AU209)</f>
        <v>#N/A</v>
      </c>
      <c r="AY209" s="44" t="str">
        <f aca="false">IF(AV209="","",LN(AV209))</f>
        <v/>
      </c>
      <c r="CH209" s="55" t="str">
        <f aca="false">IF(ISNUMBER(CI209),IF(ISNUMBER('Base de Datos'!AG205),IF('Base de Datos'!AG205&gt;20000,INT('Base de Datos'!AG205),""),IF(TRIM('Base de Datos'!AG205)="","",IFERROR(DATE(VALUE(RIGHT(TRIM('Base de Datos'!AG205),4)),VALUE(MID(TRIM('Base de Datos'!AG205),4,2)),VALUE(LEFT(TRIM('Base de Datos'!AG205),2))),IFERROR(DATEVALUE(TRIM('Base de Datos'!AG205)),"")))),"")</f>
        <v/>
      </c>
      <c r="CI209" s="44" t="str">
        <f aca="false">IF(ISNUMBER('Base de Datos'!AH205),'Base de Datos'!AH205,IF(TRIM('Base de Datos'!AH205)="","",IFERROR(IF(IFERROR(FIND("@",SUBSTITUTE(TRIM('Base de Datos'!AH205),",","@",LEN(TRIM('Base de Datos'!AH205))-LEN(SUBSTITUTE(TRIM('Base de Datos'!AH205),",","")))),0)&gt;IFERROR(FIND("@",SUBSTITUTE(TRIM('Base de Datos'!AH205),".","@",LEN(TRIM('Base de Datos'!AH205))-LEN(SUBSTITUTE(TRIM('Base de Datos'!AH205),".","")))),0),_xlfn.NUMBERVALUE(SUBSTITUTE(SUBSTITUTE(TRIM('Base de Datos'!AH205),".",""),",","."),".",","),_xlfn.NUMBERVALUE(SUBSTITUTE(TRIM('Base de Datos'!AH205),",",""),".",",")),"")))</f>
        <v/>
      </c>
    </row>
    <row r="210" customFormat="false" ht="13.8" hidden="false" customHeight="false" outlineLevel="0" collapsed="false">
      <c r="AE210" s="44" t="n">
        <v>201</v>
      </c>
      <c r="AF210" s="55" t="str">
        <f aca="false">IF(AF209="","",IFERROR(SMALL($CH$10:$CH$309,COUNTIF($CH$10:$CH$309,"&lt;="&amp;AF209)+1),""))</f>
        <v/>
      </c>
      <c r="AG210" s="44" t="str">
        <f aca="false">IF(AF210="","",INDEX($CI$10:$CI$309,MATCH(AF210,$CH$10:$CH$309,0)))</f>
        <v/>
      </c>
      <c r="AH210" s="55" t="e">
        <f aca="false">IF(AF210="",NA(),AF210)</f>
        <v>#N/A</v>
      </c>
      <c r="AI210" s="44" t="e">
        <f aca="false">IF(AG210="",NA(),AG210)</f>
        <v>#N/A</v>
      </c>
      <c r="AU210" s="44" t="str">
        <f aca="false">IF(201&lt;=$C$8,201,"")</f>
        <v/>
      </c>
      <c r="AV210" s="44" t="str">
        <f aca="false">IF(AU210="","",INDEX($AG$10:$AG$309,$B$8+201-1))</f>
        <v/>
      </c>
      <c r="AW210" s="44" t="e">
        <f aca="false">IF(AV210="",NA(),AV210)</f>
        <v>#N/A</v>
      </c>
      <c r="AX210" s="44" t="e">
        <f aca="false">IF(AV210="",NA(),AU210)</f>
        <v>#N/A</v>
      </c>
      <c r="AY210" s="44" t="str">
        <f aca="false">IF(AV210="","",LN(AV210))</f>
        <v/>
      </c>
      <c r="CH210" s="55" t="str">
        <f aca="false">IF(ISNUMBER(CI210),IF(ISNUMBER('Base de Datos'!AG206),IF('Base de Datos'!AG206&gt;20000,INT('Base de Datos'!AG206),""),IF(TRIM('Base de Datos'!AG206)="","",IFERROR(DATE(VALUE(RIGHT(TRIM('Base de Datos'!AG206),4)),VALUE(MID(TRIM('Base de Datos'!AG206),4,2)),VALUE(LEFT(TRIM('Base de Datos'!AG206),2))),IFERROR(DATEVALUE(TRIM('Base de Datos'!AG206)),"")))),"")</f>
        <v/>
      </c>
      <c r="CI210" s="44" t="str">
        <f aca="false">IF(ISNUMBER('Base de Datos'!AH206),'Base de Datos'!AH206,IF(TRIM('Base de Datos'!AH206)="","",IFERROR(IF(IFERROR(FIND("@",SUBSTITUTE(TRIM('Base de Datos'!AH206),",","@",LEN(TRIM('Base de Datos'!AH206))-LEN(SUBSTITUTE(TRIM('Base de Datos'!AH206),",","")))),0)&gt;IFERROR(FIND("@",SUBSTITUTE(TRIM('Base de Datos'!AH206),".","@",LEN(TRIM('Base de Datos'!AH206))-LEN(SUBSTITUTE(TRIM('Base de Datos'!AH206),".","")))),0),_xlfn.NUMBERVALUE(SUBSTITUTE(SUBSTITUTE(TRIM('Base de Datos'!AH206),".",""),",","."),".",","),_xlfn.NUMBERVALUE(SUBSTITUTE(TRIM('Base de Datos'!AH206),",",""),".",",")),"")))</f>
        <v/>
      </c>
    </row>
    <row r="211" customFormat="false" ht="13.8" hidden="false" customHeight="false" outlineLevel="0" collapsed="false">
      <c r="AE211" s="44" t="n">
        <v>202</v>
      </c>
      <c r="AF211" s="55" t="str">
        <f aca="false">IF(AF210="","",IFERROR(SMALL($CH$10:$CH$309,COUNTIF($CH$10:$CH$309,"&lt;="&amp;AF210)+1),""))</f>
        <v/>
      </c>
      <c r="AG211" s="44" t="str">
        <f aca="false">IF(AF211="","",INDEX($CI$10:$CI$309,MATCH(AF211,$CH$10:$CH$309,0)))</f>
        <v/>
      </c>
      <c r="AH211" s="55" t="e">
        <f aca="false">IF(AF211="",NA(),AF211)</f>
        <v>#N/A</v>
      </c>
      <c r="AI211" s="44" t="e">
        <f aca="false">IF(AG211="",NA(),AG211)</f>
        <v>#N/A</v>
      </c>
      <c r="AU211" s="44" t="str">
        <f aca="false">IF(202&lt;=$C$8,202,"")</f>
        <v/>
      </c>
      <c r="AV211" s="44" t="str">
        <f aca="false">IF(AU211="","",INDEX($AG$10:$AG$309,$B$8+202-1))</f>
        <v/>
      </c>
      <c r="AW211" s="44" t="e">
        <f aca="false">IF(AV211="",NA(),AV211)</f>
        <v>#N/A</v>
      </c>
      <c r="AX211" s="44" t="e">
        <f aca="false">IF(AV211="",NA(),AU211)</f>
        <v>#N/A</v>
      </c>
      <c r="AY211" s="44" t="str">
        <f aca="false">IF(AV211="","",LN(AV211))</f>
        <v/>
      </c>
      <c r="CH211" s="55" t="str">
        <f aca="false">IF(ISNUMBER(CI211),IF(ISNUMBER('Base de Datos'!AG207),IF('Base de Datos'!AG207&gt;20000,INT('Base de Datos'!AG207),""),IF(TRIM('Base de Datos'!AG207)="","",IFERROR(DATE(VALUE(RIGHT(TRIM('Base de Datos'!AG207),4)),VALUE(MID(TRIM('Base de Datos'!AG207),4,2)),VALUE(LEFT(TRIM('Base de Datos'!AG207),2))),IFERROR(DATEVALUE(TRIM('Base de Datos'!AG207)),"")))),"")</f>
        <v/>
      </c>
      <c r="CI211" s="44" t="str">
        <f aca="false">IF(ISNUMBER('Base de Datos'!AH207),'Base de Datos'!AH207,IF(TRIM('Base de Datos'!AH207)="","",IFERROR(IF(IFERROR(FIND("@",SUBSTITUTE(TRIM('Base de Datos'!AH207),",","@",LEN(TRIM('Base de Datos'!AH207))-LEN(SUBSTITUTE(TRIM('Base de Datos'!AH207),",","")))),0)&gt;IFERROR(FIND("@",SUBSTITUTE(TRIM('Base de Datos'!AH207),".","@",LEN(TRIM('Base de Datos'!AH207))-LEN(SUBSTITUTE(TRIM('Base de Datos'!AH207),".","")))),0),_xlfn.NUMBERVALUE(SUBSTITUTE(SUBSTITUTE(TRIM('Base de Datos'!AH207),".",""),",","."),".",","),_xlfn.NUMBERVALUE(SUBSTITUTE(TRIM('Base de Datos'!AH207),",",""),".",",")),"")))</f>
        <v/>
      </c>
    </row>
    <row r="212" customFormat="false" ht="13.8" hidden="false" customHeight="false" outlineLevel="0" collapsed="false">
      <c r="AE212" s="44" t="n">
        <v>203</v>
      </c>
      <c r="AF212" s="55" t="str">
        <f aca="false">IF(AF211="","",IFERROR(SMALL($CH$10:$CH$309,COUNTIF($CH$10:$CH$309,"&lt;="&amp;AF211)+1),""))</f>
        <v/>
      </c>
      <c r="AG212" s="44" t="str">
        <f aca="false">IF(AF212="","",INDEX($CI$10:$CI$309,MATCH(AF212,$CH$10:$CH$309,0)))</f>
        <v/>
      </c>
      <c r="AH212" s="55" t="e">
        <f aca="false">IF(AF212="",NA(),AF212)</f>
        <v>#N/A</v>
      </c>
      <c r="AI212" s="44" t="e">
        <f aca="false">IF(AG212="",NA(),AG212)</f>
        <v>#N/A</v>
      </c>
      <c r="AU212" s="44" t="str">
        <f aca="false">IF(203&lt;=$C$8,203,"")</f>
        <v/>
      </c>
      <c r="AV212" s="44" t="str">
        <f aca="false">IF(AU212="","",INDEX($AG$10:$AG$309,$B$8+203-1))</f>
        <v/>
      </c>
      <c r="AW212" s="44" t="e">
        <f aca="false">IF(AV212="",NA(),AV212)</f>
        <v>#N/A</v>
      </c>
      <c r="AX212" s="44" t="e">
        <f aca="false">IF(AV212="",NA(),AU212)</f>
        <v>#N/A</v>
      </c>
      <c r="AY212" s="44" t="str">
        <f aca="false">IF(AV212="","",LN(AV212))</f>
        <v/>
      </c>
      <c r="CH212" s="55" t="str">
        <f aca="false">IF(ISNUMBER(CI212),IF(ISNUMBER('Base de Datos'!AG208),IF('Base de Datos'!AG208&gt;20000,INT('Base de Datos'!AG208),""),IF(TRIM('Base de Datos'!AG208)="","",IFERROR(DATE(VALUE(RIGHT(TRIM('Base de Datos'!AG208),4)),VALUE(MID(TRIM('Base de Datos'!AG208),4,2)),VALUE(LEFT(TRIM('Base de Datos'!AG208),2))),IFERROR(DATEVALUE(TRIM('Base de Datos'!AG208)),"")))),"")</f>
        <v/>
      </c>
      <c r="CI212" s="44" t="str">
        <f aca="false">IF(ISNUMBER('Base de Datos'!AH208),'Base de Datos'!AH208,IF(TRIM('Base de Datos'!AH208)="","",IFERROR(IF(IFERROR(FIND("@",SUBSTITUTE(TRIM('Base de Datos'!AH208),",","@",LEN(TRIM('Base de Datos'!AH208))-LEN(SUBSTITUTE(TRIM('Base de Datos'!AH208),",","")))),0)&gt;IFERROR(FIND("@",SUBSTITUTE(TRIM('Base de Datos'!AH208),".","@",LEN(TRIM('Base de Datos'!AH208))-LEN(SUBSTITUTE(TRIM('Base de Datos'!AH208),".","")))),0),_xlfn.NUMBERVALUE(SUBSTITUTE(SUBSTITUTE(TRIM('Base de Datos'!AH208),".",""),",","."),".",","),_xlfn.NUMBERVALUE(SUBSTITUTE(TRIM('Base de Datos'!AH208),",",""),".",",")),"")))</f>
        <v/>
      </c>
    </row>
    <row r="213" customFormat="false" ht="13.8" hidden="false" customHeight="false" outlineLevel="0" collapsed="false">
      <c r="AE213" s="44" t="n">
        <v>204</v>
      </c>
      <c r="AF213" s="55" t="str">
        <f aca="false">IF(AF212="","",IFERROR(SMALL($CH$10:$CH$309,COUNTIF($CH$10:$CH$309,"&lt;="&amp;AF212)+1),""))</f>
        <v/>
      </c>
      <c r="AG213" s="44" t="str">
        <f aca="false">IF(AF213="","",INDEX($CI$10:$CI$309,MATCH(AF213,$CH$10:$CH$309,0)))</f>
        <v/>
      </c>
      <c r="AH213" s="55" t="e">
        <f aca="false">IF(AF213="",NA(),AF213)</f>
        <v>#N/A</v>
      </c>
      <c r="AI213" s="44" t="e">
        <f aca="false">IF(AG213="",NA(),AG213)</f>
        <v>#N/A</v>
      </c>
      <c r="AU213" s="44" t="str">
        <f aca="false">IF(204&lt;=$C$8,204,"")</f>
        <v/>
      </c>
      <c r="AV213" s="44" t="str">
        <f aca="false">IF(AU213="","",INDEX($AG$10:$AG$309,$B$8+204-1))</f>
        <v/>
      </c>
      <c r="AW213" s="44" t="e">
        <f aca="false">IF(AV213="",NA(),AV213)</f>
        <v>#N/A</v>
      </c>
      <c r="AX213" s="44" t="e">
        <f aca="false">IF(AV213="",NA(),AU213)</f>
        <v>#N/A</v>
      </c>
      <c r="AY213" s="44" t="str">
        <f aca="false">IF(AV213="","",LN(AV213))</f>
        <v/>
      </c>
      <c r="CH213" s="55" t="str">
        <f aca="false">IF(ISNUMBER(CI213),IF(ISNUMBER('Base de Datos'!AG209),IF('Base de Datos'!AG209&gt;20000,INT('Base de Datos'!AG209),""),IF(TRIM('Base de Datos'!AG209)="","",IFERROR(DATE(VALUE(RIGHT(TRIM('Base de Datos'!AG209),4)),VALUE(MID(TRIM('Base de Datos'!AG209),4,2)),VALUE(LEFT(TRIM('Base de Datos'!AG209),2))),IFERROR(DATEVALUE(TRIM('Base de Datos'!AG209)),"")))),"")</f>
        <v/>
      </c>
      <c r="CI213" s="44" t="str">
        <f aca="false">IF(ISNUMBER('Base de Datos'!AH209),'Base de Datos'!AH209,IF(TRIM('Base de Datos'!AH209)="","",IFERROR(IF(IFERROR(FIND("@",SUBSTITUTE(TRIM('Base de Datos'!AH209),",","@",LEN(TRIM('Base de Datos'!AH209))-LEN(SUBSTITUTE(TRIM('Base de Datos'!AH209),",","")))),0)&gt;IFERROR(FIND("@",SUBSTITUTE(TRIM('Base de Datos'!AH209),".","@",LEN(TRIM('Base de Datos'!AH209))-LEN(SUBSTITUTE(TRIM('Base de Datos'!AH209),".","")))),0),_xlfn.NUMBERVALUE(SUBSTITUTE(SUBSTITUTE(TRIM('Base de Datos'!AH209),".",""),",","."),".",","),_xlfn.NUMBERVALUE(SUBSTITUTE(TRIM('Base de Datos'!AH209),",",""),".",",")),"")))</f>
        <v/>
      </c>
    </row>
    <row r="214" customFormat="false" ht="13.8" hidden="false" customHeight="false" outlineLevel="0" collapsed="false">
      <c r="AE214" s="44" t="n">
        <v>205</v>
      </c>
      <c r="AF214" s="55" t="str">
        <f aca="false">IF(AF213="","",IFERROR(SMALL($CH$10:$CH$309,COUNTIF($CH$10:$CH$309,"&lt;="&amp;AF213)+1),""))</f>
        <v/>
      </c>
      <c r="AG214" s="44" t="str">
        <f aca="false">IF(AF214="","",INDEX($CI$10:$CI$309,MATCH(AF214,$CH$10:$CH$309,0)))</f>
        <v/>
      </c>
      <c r="AH214" s="55" t="e">
        <f aca="false">IF(AF214="",NA(),AF214)</f>
        <v>#N/A</v>
      </c>
      <c r="AI214" s="44" t="e">
        <f aca="false">IF(AG214="",NA(),AG214)</f>
        <v>#N/A</v>
      </c>
      <c r="AU214" s="44" t="str">
        <f aca="false">IF(205&lt;=$C$8,205,"")</f>
        <v/>
      </c>
      <c r="AV214" s="44" t="str">
        <f aca="false">IF(AU214="","",INDEX($AG$10:$AG$309,$B$8+205-1))</f>
        <v/>
      </c>
      <c r="AW214" s="44" t="e">
        <f aca="false">IF(AV214="",NA(),AV214)</f>
        <v>#N/A</v>
      </c>
      <c r="AX214" s="44" t="e">
        <f aca="false">IF(AV214="",NA(),AU214)</f>
        <v>#N/A</v>
      </c>
      <c r="AY214" s="44" t="str">
        <f aca="false">IF(AV214="","",LN(AV214))</f>
        <v/>
      </c>
      <c r="CH214" s="55" t="str">
        <f aca="false">IF(ISNUMBER(CI214),IF(ISNUMBER('Base de Datos'!AG210),IF('Base de Datos'!AG210&gt;20000,INT('Base de Datos'!AG210),""),IF(TRIM('Base de Datos'!AG210)="","",IFERROR(DATE(VALUE(RIGHT(TRIM('Base de Datos'!AG210),4)),VALUE(MID(TRIM('Base de Datos'!AG210),4,2)),VALUE(LEFT(TRIM('Base de Datos'!AG210),2))),IFERROR(DATEVALUE(TRIM('Base de Datos'!AG210)),"")))),"")</f>
        <v/>
      </c>
      <c r="CI214" s="44" t="str">
        <f aca="false">IF(ISNUMBER('Base de Datos'!AH210),'Base de Datos'!AH210,IF(TRIM('Base de Datos'!AH210)="","",IFERROR(IF(IFERROR(FIND("@",SUBSTITUTE(TRIM('Base de Datos'!AH210),",","@",LEN(TRIM('Base de Datos'!AH210))-LEN(SUBSTITUTE(TRIM('Base de Datos'!AH210),",","")))),0)&gt;IFERROR(FIND("@",SUBSTITUTE(TRIM('Base de Datos'!AH210),".","@",LEN(TRIM('Base de Datos'!AH210))-LEN(SUBSTITUTE(TRIM('Base de Datos'!AH210),".","")))),0),_xlfn.NUMBERVALUE(SUBSTITUTE(SUBSTITUTE(TRIM('Base de Datos'!AH210),".",""),",","."),".",","),_xlfn.NUMBERVALUE(SUBSTITUTE(TRIM('Base de Datos'!AH210),",",""),".",",")),"")))</f>
        <v/>
      </c>
    </row>
    <row r="215" customFormat="false" ht="13.8" hidden="false" customHeight="false" outlineLevel="0" collapsed="false">
      <c r="AE215" s="44" t="n">
        <v>206</v>
      </c>
      <c r="AF215" s="55" t="str">
        <f aca="false">IF(AF214="","",IFERROR(SMALL($CH$10:$CH$309,COUNTIF($CH$10:$CH$309,"&lt;="&amp;AF214)+1),""))</f>
        <v/>
      </c>
      <c r="AG215" s="44" t="str">
        <f aca="false">IF(AF215="","",INDEX($CI$10:$CI$309,MATCH(AF215,$CH$10:$CH$309,0)))</f>
        <v/>
      </c>
      <c r="AH215" s="55" t="e">
        <f aca="false">IF(AF215="",NA(),AF215)</f>
        <v>#N/A</v>
      </c>
      <c r="AI215" s="44" t="e">
        <f aca="false">IF(AG215="",NA(),AG215)</f>
        <v>#N/A</v>
      </c>
      <c r="AU215" s="44" t="str">
        <f aca="false">IF(206&lt;=$C$8,206,"")</f>
        <v/>
      </c>
      <c r="AV215" s="44" t="str">
        <f aca="false">IF(AU215="","",INDEX($AG$10:$AG$309,$B$8+206-1))</f>
        <v/>
      </c>
      <c r="AW215" s="44" t="e">
        <f aca="false">IF(AV215="",NA(),AV215)</f>
        <v>#N/A</v>
      </c>
      <c r="AX215" s="44" t="e">
        <f aca="false">IF(AV215="",NA(),AU215)</f>
        <v>#N/A</v>
      </c>
      <c r="AY215" s="44" t="str">
        <f aca="false">IF(AV215="","",LN(AV215))</f>
        <v/>
      </c>
      <c r="CH215" s="55" t="str">
        <f aca="false">IF(ISNUMBER(CI215),IF(ISNUMBER('Base de Datos'!AG211),IF('Base de Datos'!AG211&gt;20000,INT('Base de Datos'!AG211),""),IF(TRIM('Base de Datos'!AG211)="","",IFERROR(DATE(VALUE(RIGHT(TRIM('Base de Datos'!AG211),4)),VALUE(MID(TRIM('Base de Datos'!AG211),4,2)),VALUE(LEFT(TRIM('Base de Datos'!AG211),2))),IFERROR(DATEVALUE(TRIM('Base de Datos'!AG211)),"")))),"")</f>
        <v/>
      </c>
      <c r="CI215" s="44" t="str">
        <f aca="false">IF(ISNUMBER('Base de Datos'!AH211),'Base de Datos'!AH211,IF(TRIM('Base de Datos'!AH211)="","",IFERROR(IF(IFERROR(FIND("@",SUBSTITUTE(TRIM('Base de Datos'!AH211),",","@",LEN(TRIM('Base de Datos'!AH211))-LEN(SUBSTITUTE(TRIM('Base de Datos'!AH211),",","")))),0)&gt;IFERROR(FIND("@",SUBSTITUTE(TRIM('Base de Datos'!AH211),".","@",LEN(TRIM('Base de Datos'!AH211))-LEN(SUBSTITUTE(TRIM('Base de Datos'!AH211),".","")))),0),_xlfn.NUMBERVALUE(SUBSTITUTE(SUBSTITUTE(TRIM('Base de Datos'!AH211),".",""),",","."),".",","),_xlfn.NUMBERVALUE(SUBSTITUTE(TRIM('Base de Datos'!AH211),",",""),".",",")),"")))</f>
        <v/>
      </c>
    </row>
    <row r="216" customFormat="false" ht="13.8" hidden="false" customHeight="false" outlineLevel="0" collapsed="false">
      <c r="AE216" s="44" t="n">
        <v>207</v>
      </c>
      <c r="AF216" s="55" t="str">
        <f aca="false">IF(AF215="","",IFERROR(SMALL($CH$10:$CH$309,COUNTIF($CH$10:$CH$309,"&lt;="&amp;AF215)+1),""))</f>
        <v/>
      </c>
      <c r="AG216" s="44" t="str">
        <f aca="false">IF(AF216="","",INDEX($CI$10:$CI$309,MATCH(AF216,$CH$10:$CH$309,0)))</f>
        <v/>
      </c>
      <c r="AH216" s="55" t="e">
        <f aca="false">IF(AF216="",NA(),AF216)</f>
        <v>#N/A</v>
      </c>
      <c r="AI216" s="44" t="e">
        <f aca="false">IF(AG216="",NA(),AG216)</f>
        <v>#N/A</v>
      </c>
      <c r="AU216" s="44" t="str">
        <f aca="false">IF(207&lt;=$C$8,207,"")</f>
        <v/>
      </c>
      <c r="AV216" s="44" t="str">
        <f aca="false">IF(AU216="","",INDEX($AG$10:$AG$309,$B$8+207-1))</f>
        <v/>
      </c>
      <c r="AW216" s="44" t="e">
        <f aca="false">IF(AV216="",NA(),AV216)</f>
        <v>#N/A</v>
      </c>
      <c r="AX216" s="44" t="e">
        <f aca="false">IF(AV216="",NA(),AU216)</f>
        <v>#N/A</v>
      </c>
      <c r="AY216" s="44" t="str">
        <f aca="false">IF(AV216="","",LN(AV216))</f>
        <v/>
      </c>
      <c r="CH216" s="55" t="str">
        <f aca="false">IF(ISNUMBER(CI216),IF(ISNUMBER('Base de Datos'!AG212),IF('Base de Datos'!AG212&gt;20000,INT('Base de Datos'!AG212),""),IF(TRIM('Base de Datos'!AG212)="","",IFERROR(DATE(VALUE(RIGHT(TRIM('Base de Datos'!AG212),4)),VALUE(MID(TRIM('Base de Datos'!AG212),4,2)),VALUE(LEFT(TRIM('Base de Datos'!AG212),2))),IFERROR(DATEVALUE(TRIM('Base de Datos'!AG212)),"")))),"")</f>
        <v/>
      </c>
      <c r="CI216" s="44" t="str">
        <f aca="false">IF(ISNUMBER('Base de Datos'!AH212),'Base de Datos'!AH212,IF(TRIM('Base de Datos'!AH212)="","",IFERROR(IF(IFERROR(FIND("@",SUBSTITUTE(TRIM('Base de Datos'!AH212),",","@",LEN(TRIM('Base de Datos'!AH212))-LEN(SUBSTITUTE(TRIM('Base de Datos'!AH212),",","")))),0)&gt;IFERROR(FIND("@",SUBSTITUTE(TRIM('Base de Datos'!AH212),".","@",LEN(TRIM('Base de Datos'!AH212))-LEN(SUBSTITUTE(TRIM('Base de Datos'!AH212),".","")))),0),_xlfn.NUMBERVALUE(SUBSTITUTE(SUBSTITUTE(TRIM('Base de Datos'!AH212),".",""),",","."),".",","),_xlfn.NUMBERVALUE(SUBSTITUTE(TRIM('Base de Datos'!AH212),",",""),".",",")),"")))</f>
        <v/>
      </c>
    </row>
    <row r="217" customFormat="false" ht="13.8" hidden="false" customHeight="false" outlineLevel="0" collapsed="false">
      <c r="AE217" s="44" t="n">
        <v>208</v>
      </c>
      <c r="AF217" s="55" t="str">
        <f aca="false">IF(AF216="","",IFERROR(SMALL($CH$10:$CH$309,COUNTIF($CH$10:$CH$309,"&lt;="&amp;AF216)+1),""))</f>
        <v/>
      </c>
      <c r="AG217" s="44" t="str">
        <f aca="false">IF(AF217="","",INDEX($CI$10:$CI$309,MATCH(AF217,$CH$10:$CH$309,0)))</f>
        <v/>
      </c>
      <c r="AH217" s="55" t="e">
        <f aca="false">IF(AF217="",NA(),AF217)</f>
        <v>#N/A</v>
      </c>
      <c r="AI217" s="44" t="e">
        <f aca="false">IF(AG217="",NA(),AG217)</f>
        <v>#N/A</v>
      </c>
      <c r="AU217" s="44" t="str">
        <f aca="false">IF(208&lt;=$C$8,208,"")</f>
        <v/>
      </c>
      <c r="AV217" s="44" t="str">
        <f aca="false">IF(AU217="","",INDEX($AG$10:$AG$309,$B$8+208-1))</f>
        <v/>
      </c>
      <c r="AW217" s="44" t="e">
        <f aca="false">IF(AV217="",NA(),AV217)</f>
        <v>#N/A</v>
      </c>
      <c r="AX217" s="44" t="e">
        <f aca="false">IF(AV217="",NA(),AU217)</f>
        <v>#N/A</v>
      </c>
      <c r="AY217" s="44" t="str">
        <f aca="false">IF(AV217="","",LN(AV217))</f>
        <v/>
      </c>
      <c r="CH217" s="55" t="str">
        <f aca="false">IF(ISNUMBER(CI217),IF(ISNUMBER('Base de Datos'!AG213),IF('Base de Datos'!AG213&gt;20000,INT('Base de Datos'!AG213),""),IF(TRIM('Base de Datos'!AG213)="","",IFERROR(DATE(VALUE(RIGHT(TRIM('Base de Datos'!AG213),4)),VALUE(MID(TRIM('Base de Datos'!AG213),4,2)),VALUE(LEFT(TRIM('Base de Datos'!AG213),2))),IFERROR(DATEVALUE(TRIM('Base de Datos'!AG213)),"")))),"")</f>
        <v/>
      </c>
      <c r="CI217" s="44" t="str">
        <f aca="false">IF(ISNUMBER('Base de Datos'!AH213),'Base de Datos'!AH213,IF(TRIM('Base de Datos'!AH213)="","",IFERROR(IF(IFERROR(FIND("@",SUBSTITUTE(TRIM('Base de Datos'!AH213),",","@",LEN(TRIM('Base de Datos'!AH213))-LEN(SUBSTITUTE(TRIM('Base de Datos'!AH213),",","")))),0)&gt;IFERROR(FIND("@",SUBSTITUTE(TRIM('Base de Datos'!AH213),".","@",LEN(TRIM('Base de Datos'!AH213))-LEN(SUBSTITUTE(TRIM('Base de Datos'!AH213),".","")))),0),_xlfn.NUMBERVALUE(SUBSTITUTE(SUBSTITUTE(TRIM('Base de Datos'!AH213),".",""),",","."),".",","),_xlfn.NUMBERVALUE(SUBSTITUTE(TRIM('Base de Datos'!AH213),",",""),".",",")),"")))</f>
        <v/>
      </c>
    </row>
    <row r="218" customFormat="false" ht="13.8" hidden="false" customHeight="false" outlineLevel="0" collapsed="false">
      <c r="AE218" s="44" t="n">
        <v>209</v>
      </c>
      <c r="AF218" s="55" t="str">
        <f aca="false">IF(AF217="","",IFERROR(SMALL($CH$10:$CH$309,COUNTIF($CH$10:$CH$309,"&lt;="&amp;AF217)+1),""))</f>
        <v/>
      </c>
      <c r="AG218" s="44" t="str">
        <f aca="false">IF(AF218="","",INDEX($CI$10:$CI$309,MATCH(AF218,$CH$10:$CH$309,0)))</f>
        <v/>
      </c>
      <c r="AH218" s="55" t="e">
        <f aca="false">IF(AF218="",NA(),AF218)</f>
        <v>#N/A</v>
      </c>
      <c r="AI218" s="44" t="e">
        <f aca="false">IF(AG218="",NA(),AG218)</f>
        <v>#N/A</v>
      </c>
      <c r="AU218" s="44" t="str">
        <f aca="false">IF(209&lt;=$C$8,209,"")</f>
        <v/>
      </c>
      <c r="AV218" s="44" t="str">
        <f aca="false">IF(AU218="","",INDEX($AG$10:$AG$309,$B$8+209-1))</f>
        <v/>
      </c>
      <c r="AW218" s="44" t="e">
        <f aca="false">IF(AV218="",NA(),AV218)</f>
        <v>#N/A</v>
      </c>
      <c r="AX218" s="44" t="e">
        <f aca="false">IF(AV218="",NA(),AU218)</f>
        <v>#N/A</v>
      </c>
      <c r="AY218" s="44" t="str">
        <f aca="false">IF(AV218="","",LN(AV218))</f>
        <v/>
      </c>
      <c r="CH218" s="55" t="str">
        <f aca="false">IF(ISNUMBER(CI218),IF(ISNUMBER('Base de Datos'!AG214),IF('Base de Datos'!AG214&gt;20000,INT('Base de Datos'!AG214),""),IF(TRIM('Base de Datos'!AG214)="","",IFERROR(DATE(VALUE(RIGHT(TRIM('Base de Datos'!AG214),4)),VALUE(MID(TRIM('Base de Datos'!AG214),4,2)),VALUE(LEFT(TRIM('Base de Datos'!AG214),2))),IFERROR(DATEVALUE(TRIM('Base de Datos'!AG214)),"")))),"")</f>
        <v/>
      </c>
      <c r="CI218" s="44" t="str">
        <f aca="false">IF(ISNUMBER('Base de Datos'!AH214),'Base de Datos'!AH214,IF(TRIM('Base de Datos'!AH214)="","",IFERROR(IF(IFERROR(FIND("@",SUBSTITUTE(TRIM('Base de Datos'!AH214),",","@",LEN(TRIM('Base de Datos'!AH214))-LEN(SUBSTITUTE(TRIM('Base de Datos'!AH214),",","")))),0)&gt;IFERROR(FIND("@",SUBSTITUTE(TRIM('Base de Datos'!AH214),".","@",LEN(TRIM('Base de Datos'!AH214))-LEN(SUBSTITUTE(TRIM('Base de Datos'!AH214),".","")))),0),_xlfn.NUMBERVALUE(SUBSTITUTE(SUBSTITUTE(TRIM('Base de Datos'!AH214),".",""),",","."),".",","),_xlfn.NUMBERVALUE(SUBSTITUTE(TRIM('Base de Datos'!AH214),",",""),".",",")),"")))</f>
        <v/>
      </c>
    </row>
    <row r="219" customFormat="false" ht="13.8" hidden="false" customHeight="false" outlineLevel="0" collapsed="false">
      <c r="AE219" s="44" t="n">
        <v>210</v>
      </c>
      <c r="AF219" s="55" t="str">
        <f aca="false">IF(AF218="","",IFERROR(SMALL($CH$10:$CH$309,COUNTIF($CH$10:$CH$309,"&lt;="&amp;AF218)+1),""))</f>
        <v/>
      </c>
      <c r="AG219" s="44" t="str">
        <f aca="false">IF(AF219="","",INDEX($CI$10:$CI$309,MATCH(AF219,$CH$10:$CH$309,0)))</f>
        <v/>
      </c>
      <c r="AH219" s="55" t="e">
        <f aca="false">IF(AF219="",NA(),AF219)</f>
        <v>#N/A</v>
      </c>
      <c r="AI219" s="44" t="e">
        <f aca="false">IF(AG219="",NA(),AG219)</f>
        <v>#N/A</v>
      </c>
      <c r="AU219" s="44" t="str">
        <f aca="false">IF(210&lt;=$C$8,210,"")</f>
        <v/>
      </c>
      <c r="AV219" s="44" t="str">
        <f aca="false">IF(AU219="","",INDEX($AG$10:$AG$309,$B$8+210-1))</f>
        <v/>
      </c>
      <c r="AW219" s="44" t="e">
        <f aca="false">IF(AV219="",NA(),AV219)</f>
        <v>#N/A</v>
      </c>
      <c r="AX219" s="44" t="e">
        <f aca="false">IF(AV219="",NA(),AU219)</f>
        <v>#N/A</v>
      </c>
      <c r="AY219" s="44" t="str">
        <f aca="false">IF(AV219="","",LN(AV219))</f>
        <v/>
      </c>
      <c r="CH219" s="55" t="str">
        <f aca="false">IF(ISNUMBER(CI219),IF(ISNUMBER('Base de Datos'!AG215),IF('Base de Datos'!AG215&gt;20000,INT('Base de Datos'!AG215),""),IF(TRIM('Base de Datos'!AG215)="","",IFERROR(DATE(VALUE(RIGHT(TRIM('Base de Datos'!AG215),4)),VALUE(MID(TRIM('Base de Datos'!AG215),4,2)),VALUE(LEFT(TRIM('Base de Datos'!AG215),2))),IFERROR(DATEVALUE(TRIM('Base de Datos'!AG215)),"")))),"")</f>
        <v/>
      </c>
      <c r="CI219" s="44" t="str">
        <f aca="false">IF(ISNUMBER('Base de Datos'!AH215),'Base de Datos'!AH215,IF(TRIM('Base de Datos'!AH215)="","",IFERROR(IF(IFERROR(FIND("@",SUBSTITUTE(TRIM('Base de Datos'!AH215),",","@",LEN(TRIM('Base de Datos'!AH215))-LEN(SUBSTITUTE(TRIM('Base de Datos'!AH215),",","")))),0)&gt;IFERROR(FIND("@",SUBSTITUTE(TRIM('Base de Datos'!AH215),".","@",LEN(TRIM('Base de Datos'!AH215))-LEN(SUBSTITUTE(TRIM('Base de Datos'!AH215),".","")))),0),_xlfn.NUMBERVALUE(SUBSTITUTE(SUBSTITUTE(TRIM('Base de Datos'!AH215),".",""),",","."),".",","),_xlfn.NUMBERVALUE(SUBSTITUTE(TRIM('Base de Datos'!AH215),",",""),".",",")),"")))</f>
        <v/>
      </c>
    </row>
    <row r="220" customFormat="false" ht="13.8" hidden="false" customHeight="false" outlineLevel="0" collapsed="false">
      <c r="AE220" s="44" t="n">
        <v>211</v>
      </c>
      <c r="AF220" s="55" t="str">
        <f aca="false">IF(AF219="","",IFERROR(SMALL($CH$10:$CH$309,COUNTIF($CH$10:$CH$309,"&lt;="&amp;AF219)+1),""))</f>
        <v/>
      </c>
      <c r="AG220" s="44" t="str">
        <f aca="false">IF(AF220="","",INDEX($CI$10:$CI$309,MATCH(AF220,$CH$10:$CH$309,0)))</f>
        <v/>
      </c>
      <c r="AH220" s="55" t="e">
        <f aca="false">IF(AF220="",NA(),AF220)</f>
        <v>#N/A</v>
      </c>
      <c r="AI220" s="44" t="e">
        <f aca="false">IF(AG220="",NA(),AG220)</f>
        <v>#N/A</v>
      </c>
      <c r="AU220" s="44" t="str">
        <f aca="false">IF(211&lt;=$C$8,211,"")</f>
        <v/>
      </c>
      <c r="AV220" s="44" t="str">
        <f aca="false">IF(AU220="","",INDEX($AG$10:$AG$309,$B$8+211-1))</f>
        <v/>
      </c>
      <c r="AW220" s="44" t="e">
        <f aca="false">IF(AV220="",NA(),AV220)</f>
        <v>#N/A</v>
      </c>
      <c r="AX220" s="44" t="e">
        <f aca="false">IF(AV220="",NA(),AU220)</f>
        <v>#N/A</v>
      </c>
      <c r="AY220" s="44" t="str">
        <f aca="false">IF(AV220="","",LN(AV220))</f>
        <v/>
      </c>
      <c r="CH220" s="55" t="str">
        <f aca="false">IF(ISNUMBER(CI220),IF(ISNUMBER('Base de Datos'!AG216),IF('Base de Datos'!AG216&gt;20000,INT('Base de Datos'!AG216),""),IF(TRIM('Base de Datos'!AG216)="","",IFERROR(DATE(VALUE(RIGHT(TRIM('Base de Datos'!AG216),4)),VALUE(MID(TRIM('Base de Datos'!AG216),4,2)),VALUE(LEFT(TRIM('Base de Datos'!AG216),2))),IFERROR(DATEVALUE(TRIM('Base de Datos'!AG216)),"")))),"")</f>
        <v/>
      </c>
      <c r="CI220" s="44" t="str">
        <f aca="false">IF(ISNUMBER('Base de Datos'!AH216),'Base de Datos'!AH216,IF(TRIM('Base de Datos'!AH216)="","",IFERROR(IF(IFERROR(FIND("@",SUBSTITUTE(TRIM('Base de Datos'!AH216),",","@",LEN(TRIM('Base de Datos'!AH216))-LEN(SUBSTITUTE(TRIM('Base de Datos'!AH216),",","")))),0)&gt;IFERROR(FIND("@",SUBSTITUTE(TRIM('Base de Datos'!AH216),".","@",LEN(TRIM('Base de Datos'!AH216))-LEN(SUBSTITUTE(TRIM('Base de Datos'!AH216),".","")))),0),_xlfn.NUMBERVALUE(SUBSTITUTE(SUBSTITUTE(TRIM('Base de Datos'!AH216),".",""),",","."),".",","),_xlfn.NUMBERVALUE(SUBSTITUTE(TRIM('Base de Datos'!AH216),",",""),".",",")),"")))</f>
        <v/>
      </c>
    </row>
    <row r="221" customFormat="false" ht="13.8" hidden="false" customHeight="false" outlineLevel="0" collapsed="false">
      <c r="AE221" s="44" t="n">
        <v>212</v>
      </c>
      <c r="AF221" s="55" t="str">
        <f aca="false">IF(AF220="","",IFERROR(SMALL($CH$10:$CH$309,COUNTIF($CH$10:$CH$309,"&lt;="&amp;AF220)+1),""))</f>
        <v/>
      </c>
      <c r="AG221" s="44" t="str">
        <f aca="false">IF(AF221="","",INDEX($CI$10:$CI$309,MATCH(AF221,$CH$10:$CH$309,0)))</f>
        <v/>
      </c>
      <c r="AH221" s="55" t="e">
        <f aca="false">IF(AF221="",NA(),AF221)</f>
        <v>#N/A</v>
      </c>
      <c r="AI221" s="44" t="e">
        <f aca="false">IF(AG221="",NA(),AG221)</f>
        <v>#N/A</v>
      </c>
      <c r="AU221" s="44" t="str">
        <f aca="false">IF(212&lt;=$C$8,212,"")</f>
        <v/>
      </c>
      <c r="AV221" s="44" t="str">
        <f aca="false">IF(AU221="","",INDEX($AG$10:$AG$309,$B$8+212-1))</f>
        <v/>
      </c>
      <c r="AW221" s="44" t="e">
        <f aca="false">IF(AV221="",NA(),AV221)</f>
        <v>#N/A</v>
      </c>
      <c r="AX221" s="44" t="e">
        <f aca="false">IF(AV221="",NA(),AU221)</f>
        <v>#N/A</v>
      </c>
      <c r="AY221" s="44" t="str">
        <f aca="false">IF(AV221="","",LN(AV221))</f>
        <v/>
      </c>
      <c r="CH221" s="55" t="str">
        <f aca="false">IF(ISNUMBER(CI221),IF(ISNUMBER('Base de Datos'!AG217),IF('Base de Datos'!AG217&gt;20000,INT('Base de Datos'!AG217),""),IF(TRIM('Base de Datos'!AG217)="","",IFERROR(DATE(VALUE(RIGHT(TRIM('Base de Datos'!AG217),4)),VALUE(MID(TRIM('Base de Datos'!AG217),4,2)),VALUE(LEFT(TRIM('Base de Datos'!AG217),2))),IFERROR(DATEVALUE(TRIM('Base de Datos'!AG217)),"")))),"")</f>
        <v/>
      </c>
      <c r="CI221" s="44" t="str">
        <f aca="false">IF(ISNUMBER('Base de Datos'!AH217),'Base de Datos'!AH217,IF(TRIM('Base de Datos'!AH217)="","",IFERROR(IF(IFERROR(FIND("@",SUBSTITUTE(TRIM('Base de Datos'!AH217),",","@",LEN(TRIM('Base de Datos'!AH217))-LEN(SUBSTITUTE(TRIM('Base de Datos'!AH217),",","")))),0)&gt;IFERROR(FIND("@",SUBSTITUTE(TRIM('Base de Datos'!AH217),".","@",LEN(TRIM('Base de Datos'!AH217))-LEN(SUBSTITUTE(TRIM('Base de Datos'!AH217),".","")))),0),_xlfn.NUMBERVALUE(SUBSTITUTE(SUBSTITUTE(TRIM('Base de Datos'!AH217),".",""),",","."),".",","),_xlfn.NUMBERVALUE(SUBSTITUTE(TRIM('Base de Datos'!AH217),",",""),".",",")),"")))</f>
        <v/>
      </c>
    </row>
    <row r="222" customFormat="false" ht="13.8" hidden="false" customHeight="false" outlineLevel="0" collapsed="false">
      <c r="AE222" s="44" t="n">
        <v>213</v>
      </c>
      <c r="AF222" s="55" t="str">
        <f aca="false">IF(AF221="","",IFERROR(SMALL($CH$10:$CH$309,COUNTIF($CH$10:$CH$309,"&lt;="&amp;AF221)+1),""))</f>
        <v/>
      </c>
      <c r="AG222" s="44" t="str">
        <f aca="false">IF(AF222="","",INDEX($CI$10:$CI$309,MATCH(AF222,$CH$10:$CH$309,0)))</f>
        <v/>
      </c>
      <c r="AH222" s="55" t="e">
        <f aca="false">IF(AF222="",NA(),AF222)</f>
        <v>#N/A</v>
      </c>
      <c r="AI222" s="44" t="e">
        <f aca="false">IF(AG222="",NA(),AG222)</f>
        <v>#N/A</v>
      </c>
      <c r="AU222" s="44" t="str">
        <f aca="false">IF(213&lt;=$C$8,213,"")</f>
        <v/>
      </c>
      <c r="AV222" s="44" t="str">
        <f aca="false">IF(AU222="","",INDEX($AG$10:$AG$309,$B$8+213-1))</f>
        <v/>
      </c>
      <c r="AW222" s="44" t="e">
        <f aca="false">IF(AV222="",NA(),AV222)</f>
        <v>#N/A</v>
      </c>
      <c r="AX222" s="44" t="e">
        <f aca="false">IF(AV222="",NA(),AU222)</f>
        <v>#N/A</v>
      </c>
      <c r="AY222" s="44" t="str">
        <f aca="false">IF(AV222="","",LN(AV222))</f>
        <v/>
      </c>
      <c r="CH222" s="55" t="str">
        <f aca="false">IF(ISNUMBER(CI222),IF(ISNUMBER('Base de Datos'!AG218),IF('Base de Datos'!AG218&gt;20000,INT('Base de Datos'!AG218),""),IF(TRIM('Base de Datos'!AG218)="","",IFERROR(DATE(VALUE(RIGHT(TRIM('Base de Datos'!AG218),4)),VALUE(MID(TRIM('Base de Datos'!AG218),4,2)),VALUE(LEFT(TRIM('Base de Datos'!AG218),2))),IFERROR(DATEVALUE(TRIM('Base de Datos'!AG218)),"")))),"")</f>
        <v/>
      </c>
      <c r="CI222" s="44" t="str">
        <f aca="false">IF(ISNUMBER('Base de Datos'!AH218),'Base de Datos'!AH218,IF(TRIM('Base de Datos'!AH218)="","",IFERROR(IF(IFERROR(FIND("@",SUBSTITUTE(TRIM('Base de Datos'!AH218),",","@",LEN(TRIM('Base de Datos'!AH218))-LEN(SUBSTITUTE(TRIM('Base de Datos'!AH218),",","")))),0)&gt;IFERROR(FIND("@",SUBSTITUTE(TRIM('Base de Datos'!AH218),".","@",LEN(TRIM('Base de Datos'!AH218))-LEN(SUBSTITUTE(TRIM('Base de Datos'!AH218),".","")))),0),_xlfn.NUMBERVALUE(SUBSTITUTE(SUBSTITUTE(TRIM('Base de Datos'!AH218),".",""),",","."),".",","),_xlfn.NUMBERVALUE(SUBSTITUTE(TRIM('Base de Datos'!AH218),",",""),".",",")),"")))</f>
        <v/>
      </c>
    </row>
    <row r="223" customFormat="false" ht="13.8" hidden="false" customHeight="false" outlineLevel="0" collapsed="false">
      <c r="AE223" s="44" t="n">
        <v>214</v>
      </c>
      <c r="AF223" s="55" t="str">
        <f aca="false">IF(AF222="","",IFERROR(SMALL($CH$10:$CH$309,COUNTIF($CH$10:$CH$309,"&lt;="&amp;AF222)+1),""))</f>
        <v/>
      </c>
      <c r="AG223" s="44" t="str">
        <f aca="false">IF(AF223="","",INDEX($CI$10:$CI$309,MATCH(AF223,$CH$10:$CH$309,0)))</f>
        <v/>
      </c>
      <c r="AH223" s="55" t="e">
        <f aca="false">IF(AF223="",NA(),AF223)</f>
        <v>#N/A</v>
      </c>
      <c r="AI223" s="44" t="e">
        <f aca="false">IF(AG223="",NA(),AG223)</f>
        <v>#N/A</v>
      </c>
      <c r="AU223" s="44" t="str">
        <f aca="false">IF(214&lt;=$C$8,214,"")</f>
        <v/>
      </c>
      <c r="AV223" s="44" t="str">
        <f aca="false">IF(AU223="","",INDEX($AG$10:$AG$309,$B$8+214-1))</f>
        <v/>
      </c>
      <c r="AW223" s="44" t="e">
        <f aca="false">IF(AV223="",NA(),AV223)</f>
        <v>#N/A</v>
      </c>
      <c r="AX223" s="44" t="e">
        <f aca="false">IF(AV223="",NA(),AU223)</f>
        <v>#N/A</v>
      </c>
      <c r="AY223" s="44" t="str">
        <f aca="false">IF(AV223="","",LN(AV223))</f>
        <v/>
      </c>
      <c r="CH223" s="55" t="str">
        <f aca="false">IF(ISNUMBER(CI223),IF(ISNUMBER('Base de Datos'!AG219),IF('Base de Datos'!AG219&gt;20000,INT('Base de Datos'!AG219),""),IF(TRIM('Base de Datos'!AG219)="","",IFERROR(DATE(VALUE(RIGHT(TRIM('Base de Datos'!AG219),4)),VALUE(MID(TRIM('Base de Datos'!AG219),4,2)),VALUE(LEFT(TRIM('Base de Datos'!AG219),2))),IFERROR(DATEVALUE(TRIM('Base de Datos'!AG219)),"")))),"")</f>
        <v/>
      </c>
      <c r="CI223" s="44" t="str">
        <f aca="false">IF(ISNUMBER('Base de Datos'!AH219),'Base de Datos'!AH219,IF(TRIM('Base de Datos'!AH219)="","",IFERROR(IF(IFERROR(FIND("@",SUBSTITUTE(TRIM('Base de Datos'!AH219),",","@",LEN(TRIM('Base de Datos'!AH219))-LEN(SUBSTITUTE(TRIM('Base de Datos'!AH219),",","")))),0)&gt;IFERROR(FIND("@",SUBSTITUTE(TRIM('Base de Datos'!AH219),".","@",LEN(TRIM('Base de Datos'!AH219))-LEN(SUBSTITUTE(TRIM('Base de Datos'!AH219),".","")))),0),_xlfn.NUMBERVALUE(SUBSTITUTE(SUBSTITUTE(TRIM('Base de Datos'!AH219),".",""),",","."),".",","),_xlfn.NUMBERVALUE(SUBSTITUTE(TRIM('Base de Datos'!AH219),",",""),".",",")),"")))</f>
        <v/>
      </c>
    </row>
    <row r="224" customFormat="false" ht="13.8" hidden="false" customHeight="false" outlineLevel="0" collapsed="false">
      <c r="AE224" s="44" t="n">
        <v>215</v>
      </c>
      <c r="AF224" s="55" t="str">
        <f aca="false">IF(AF223="","",IFERROR(SMALL($CH$10:$CH$309,COUNTIF($CH$10:$CH$309,"&lt;="&amp;AF223)+1),""))</f>
        <v/>
      </c>
      <c r="AG224" s="44" t="str">
        <f aca="false">IF(AF224="","",INDEX($CI$10:$CI$309,MATCH(AF224,$CH$10:$CH$309,0)))</f>
        <v/>
      </c>
      <c r="AH224" s="55" t="e">
        <f aca="false">IF(AF224="",NA(),AF224)</f>
        <v>#N/A</v>
      </c>
      <c r="AI224" s="44" t="e">
        <f aca="false">IF(AG224="",NA(),AG224)</f>
        <v>#N/A</v>
      </c>
      <c r="AU224" s="44" t="str">
        <f aca="false">IF(215&lt;=$C$8,215,"")</f>
        <v/>
      </c>
      <c r="AV224" s="44" t="str">
        <f aca="false">IF(AU224="","",INDEX($AG$10:$AG$309,$B$8+215-1))</f>
        <v/>
      </c>
      <c r="AW224" s="44" t="e">
        <f aca="false">IF(AV224="",NA(),AV224)</f>
        <v>#N/A</v>
      </c>
      <c r="AX224" s="44" t="e">
        <f aca="false">IF(AV224="",NA(),AU224)</f>
        <v>#N/A</v>
      </c>
      <c r="AY224" s="44" t="str">
        <f aca="false">IF(AV224="","",LN(AV224))</f>
        <v/>
      </c>
      <c r="CH224" s="55" t="str">
        <f aca="false">IF(ISNUMBER(CI224),IF(ISNUMBER('Base de Datos'!AG220),IF('Base de Datos'!AG220&gt;20000,INT('Base de Datos'!AG220),""),IF(TRIM('Base de Datos'!AG220)="","",IFERROR(DATE(VALUE(RIGHT(TRIM('Base de Datos'!AG220),4)),VALUE(MID(TRIM('Base de Datos'!AG220),4,2)),VALUE(LEFT(TRIM('Base de Datos'!AG220),2))),IFERROR(DATEVALUE(TRIM('Base de Datos'!AG220)),"")))),"")</f>
        <v/>
      </c>
      <c r="CI224" s="44" t="str">
        <f aca="false">IF(ISNUMBER('Base de Datos'!AH220),'Base de Datos'!AH220,IF(TRIM('Base de Datos'!AH220)="","",IFERROR(IF(IFERROR(FIND("@",SUBSTITUTE(TRIM('Base de Datos'!AH220),",","@",LEN(TRIM('Base de Datos'!AH220))-LEN(SUBSTITUTE(TRIM('Base de Datos'!AH220),",","")))),0)&gt;IFERROR(FIND("@",SUBSTITUTE(TRIM('Base de Datos'!AH220),".","@",LEN(TRIM('Base de Datos'!AH220))-LEN(SUBSTITUTE(TRIM('Base de Datos'!AH220),".","")))),0),_xlfn.NUMBERVALUE(SUBSTITUTE(SUBSTITUTE(TRIM('Base de Datos'!AH220),".",""),",","."),".",","),_xlfn.NUMBERVALUE(SUBSTITUTE(TRIM('Base de Datos'!AH220),",",""),".",",")),"")))</f>
        <v/>
      </c>
    </row>
    <row r="225" customFormat="false" ht="13.8" hidden="false" customHeight="false" outlineLevel="0" collapsed="false">
      <c r="AE225" s="44" t="n">
        <v>216</v>
      </c>
      <c r="AF225" s="55" t="str">
        <f aca="false">IF(AF224="","",IFERROR(SMALL($CH$10:$CH$309,COUNTIF($CH$10:$CH$309,"&lt;="&amp;AF224)+1),""))</f>
        <v/>
      </c>
      <c r="AG225" s="44" t="str">
        <f aca="false">IF(AF225="","",INDEX($CI$10:$CI$309,MATCH(AF225,$CH$10:$CH$309,0)))</f>
        <v/>
      </c>
      <c r="AH225" s="55" t="e">
        <f aca="false">IF(AF225="",NA(),AF225)</f>
        <v>#N/A</v>
      </c>
      <c r="AI225" s="44" t="e">
        <f aca="false">IF(AG225="",NA(),AG225)</f>
        <v>#N/A</v>
      </c>
      <c r="AU225" s="44" t="str">
        <f aca="false">IF(216&lt;=$C$8,216,"")</f>
        <v/>
      </c>
      <c r="AV225" s="44" t="str">
        <f aca="false">IF(AU225="","",INDEX($AG$10:$AG$309,$B$8+216-1))</f>
        <v/>
      </c>
      <c r="AW225" s="44" t="e">
        <f aca="false">IF(AV225="",NA(),AV225)</f>
        <v>#N/A</v>
      </c>
      <c r="AX225" s="44" t="e">
        <f aca="false">IF(AV225="",NA(),AU225)</f>
        <v>#N/A</v>
      </c>
      <c r="AY225" s="44" t="str">
        <f aca="false">IF(AV225="","",LN(AV225))</f>
        <v/>
      </c>
      <c r="CH225" s="55" t="str">
        <f aca="false">IF(ISNUMBER(CI225),IF(ISNUMBER('Base de Datos'!AG221),IF('Base de Datos'!AG221&gt;20000,INT('Base de Datos'!AG221),""),IF(TRIM('Base de Datos'!AG221)="","",IFERROR(DATE(VALUE(RIGHT(TRIM('Base de Datos'!AG221),4)),VALUE(MID(TRIM('Base de Datos'!AG221),4,2)),VALUE(LEFT(TRIM('Base de Datos'!AG221),2))),IFERROR(DATEVALUE(TRIM('Base de Datos'!AG221)),"")))),"")</f>
        <v/>
      </c>
      <c r="CI225" s="44" t="str">
        <f aca="false">IF(ISNUMBER('Base de Datos'!AH221),'Base de Datos'!AH221,IF(TRIM('Base de Datos'!AH221)="","",IFERROR(IF(IFERROR(FIND("@",SUBSTITUTE(TRIM('Base de Datos'!AH221),",","@",LEN(TRIM('Base de Datos'!AH221))-LEN(SUBSTITUTE(TRIM('Base de Datos'!AH221),",","")))),0)&gt;IFERROR(FIND("@",SUBSTITUTE(TRIM('Base de Datos'!AH221),".","@",LEN(TRIM('Base de Datos'!AH221))-LEN(SUBSTITUTE(TRIM('Base de Datos'!AH221),".","")))),0),_xlfn.NUMBERVALUE(SUBSTITUTE(SUBSTITUTE(TRIM('Base de Datos'!AH221),".",""),",","."),".",","),_xlfn.NUMBERVALUE(SUBSTITUTE(TRIM('Base de Datos'!AH221),",",""),".",",")),"")))</f>
        <v/>
      </c>
    </row>
    <row r="226" customFormat="false" ht="13.8" hidden="false" customHeight="false" outlineLevel="0" collapsed="false">
      <c r="AE226" s="44" t="n">
        <v>217</v>
      </c>
      <c r="AF226" s="55" t="str">
        <f aca="false">IF(AF225="","",IFERROR(SMALL($CH$10:$CH$309,COUNTIF($CH$10:$CH$309,"&lt;="&amp;AF225)+1),""))</f>
        <v/>
      </c>
      <c r="AG226" s="44" t="str">
        <f aca="false">IF(AF226="","",INDEX($CI$10:$CI$309,MATCH(AF226,$CH$10:$CH$309,0)))</f>
        <v/>
      </c>
      <c r="AH226" s="55" t="e">
        <f aca="false">IF(AF226="",NA(),AF226)</f>
        <v>#N/A</v>
      </c>
      <c r="AI226" s="44" t="e">
        <f aca="false">IF(AG226="",NA(),AG226)</f>
        <v>#N/A</v>
      </c>
      <c r="AU226" s="44" t="str">
        <f aca="false">IF(217&lt;=$C$8,217,"")</f>
        <v/>
      </c>
      <c r="AV226" s="44" t="str">
        <f aca="false">IF(AU226="","",INDEX($AG$10:$AG$309,$B$8+217-1))</f>
        <v/>
      </c>
      <c r="AW226" s="44" t="e">
        <f aca="false">IF(AV226="",NA(),AV226)</f>
        <v>#N/A</v>
      </c>
      <c r="AX226" s="44" t="e">
        <f aca="false">IF(AV226="",NA(),AU226)</f>
        <v>#N/A</v>
      </c>
      <c r="AY226" s="44" t="str">
        <f aca="false">IF(AV226="","",LN(AV226))</f>
        <v/>
      </c>
      <c r="CH226" s="55" t="str">
        <f aca="false">IF(ISNUMBER(CI226),IF(ISNUMBER('Base de Datos'!AG222),IF('Base de Datos'!AG222&gt;20000,INT('Base de Datos'!AG222),""),IF(TRIM('Base de Datos'!AG222)="","",IFERROR(DATE(VALUE(RIGHT(TRIM('Base de Datos'!AG222),4)),VALUE(MID(TRIM('Base de Datos'!AG222),4,2)),VALUE(LEFT(TRIM('Base de Datos'!AG222),2))),IFERROR(DATEVALUE(TRIM('Base de Datos'!AG222)),"")))),"")</f>
        <v/>
      </c>
      <c r="CI226" s="44" t="str">
        <f aca="false">IF(ISNUMBER('Base de Datos'!AH222),'Base de Datos'!AH222,IF(TRIM('Base de Datos'!AH222)="","",IFERROR(IF(IFERROR(FIND("@",SUBSTITUTE(TRIM('Base de Datos'!AH222),",","@",LEN(TRIM('Base de Datos'!AH222))-LEN(SUBSTITUTE(TRIM('Base de Datos'!AH222),",","")))),0)&gt;IFERROR(FIND("@",SUBSTITUTE(TRIM('Base de Datos'!AH222),".","@",LEN(TRIM('Base de Datos'!AH222))-LEN(SUBSTITUTE(TRIM('Base de Datos'!AH222),".","")))),0),_xlfn.NUMBERVALUE(SUBSTITUTE(SUBSTITUTE(TRIM('Base de Datos'!AH222),".",""),",","."),".",","),_xlfn.NUMBERVALUE(SUBSTITUTE(TRIM('Base de Datos'!AH222),",",""),".",",")),"")))</f>
        <v/>
      </c>
    </row>
    <row r="227" customFormat="false" ht="13.8" hidden="false" customHeight="false" outlineLevel="0" collapsed="false">
      <c r="AE227" s="44" t="n">
        <v>218</v>
      </c>
      <c r="AF227" s="55" t="str">
        <f aca="false">IF(AF226="","",IFERROR(SMALL($CH$10:$CH$309,COUNTIF($CH$10:$CH$309,"&lt;="&amp;AF226)+1),""))</f>
        <v/>
      </c>
      <c r="AG227" s="44" t="str">
        <f aca="false">IF(AF227="","",INDEX($CI$10:$CI$309,MATCH(AF227,$CH$10:$CH$309,0)))</f>
        <v/>
      </c>
      <c r="AH227" s="55" t="e">
        <f aca="false">IF(AF227="",NA(),AF227)</f>
        <v>#N/A</v>
      </c>
      <c r="AI227" s="44" t="e">
        <f aca="false">IF(AG227="",NA(),AG227)</f>
        <v>#N/A</v>
      </c>
      <c r="AU227" s="44" t="str">
        <f aca="false">IF(218&lt;=$C$8,218,"")</f>
        <v/>
      </c>
      <c r="AV227" s="44" t="str">
        <f aca="false">IF(AU227="","",INDEX($AG$10:$AG$309,$B$8+218-1))</f>
        <v/>
      </c>
      <c r="AW227" s="44" t="e">
        <f aca="false">IF(AV227="",NA(),AV227)</f>
        <v>#N/A</v>
      </c>
      <c r="AX227" s="44" t="e">
        <f aca="false">IF(AV227="",NA(),AU227)</f>
        <v>#N/A</v>
      </c>
      <c r="AY227" s="44" t="str">
        <f aca="false">IF(AV227="","",LN(AV227))</f>
        <v/>
      </c>
      <c r="CH227" s="55" t="str">
        <f aca="false">IF(ISNUMBER(CI227),IF(ISNUMBER('Base de Datos'!AG223),IF('Base de Datos'!AG223&gt;20000,INT('Base de Datos'!AG223),""),IF(TRIM('Base de Datos'!AG223)="","",IFERROR(DATE(VALUE(RIGHT(TRIM('Base de Datos'!AG223),4)),VALUE(MID(TRIM('Base de Datos'!AG223),4,2)),VALUE(LEFT(TRIM('Base de Datos'!AG223),2))),IFERROR(DATEVALUE(TRIM('Base de Datos'!AG223)),"")))),"")</f>
        <v/>
      </c>
      <c r="CI227" s="44" t="str">
        <f aca="false">IF(ISNUMBER('Base de Datos'!AH223),'Base de Datos'!AH223,IF(TRIM('Base de Datos'!AH223)="","",IFERROR(IF(IFERROR(FIND("@",SUBSTITUTE(TRIM('Base de Datos'!AH223),",","@",LEN(TRIM('Base de Datos'!AH223))-LEN(SUBSTITUTE(TRIM('Base de Datos'!AH223),",","")))),0)&gt;IFERROR(FIND("@",SUBSTITUTE(TRIM('Base de Datos'!AH223),".","@",LEN(TRIM('Base de Datos'!AH223))-LEN(SUBSTITUTE(TRIM('Base de Datos'!AH223),".","")))),0),_xlfn.NUMBERVALUE(SUBSTITUTE(SUBSTITUTE(TRIM('Base de Datos'!AH223),".",""),",","."),".",","),_xlfn.NUMBERVALUE(SUBSTITUTE(TRIM('Base de Datos'!AH223),",",""),".",",")),"")))</f>
        <v/>
      </c>
    </row>
    <row r="228" customFormat="false" ht="13.8" hidden="false" customHeight="false" outlineLevel="0" collapsed="false">
      <c r="AE228" s="44" t="n">
        <v>219</v>
      </c>
      <c r="AF228" s="55" t="str">
        <f aca="false">IF(AF227="","",IFERROR(SMALL($CH$10:$CH$309,COUNTIF($CH$10:$CH$309,"&lt;="&amp;AF227)+1),""))</f>
        <v/>
      </c>
      <c r="AG228" s="44" t="str">
        <f aca="false">IF(AF228="","",INDEX($CI$10:$CI$309,MATCH(AF228,$CH$10:$CH$309,0)))</f>
        <v/>
      </c>
      <c r="AH228" s="55" t="e">
        <f aca="false">IF(AF228="",NA(),AF228)</f>
        <v>#N/A</v>
      </c>
      <c r="AI228" s="44" t="e">
        <f aca="false">IF(AG228="",NA(),AG228)</f>
        <v>#N/A</v>
      </c>
      <c r="AU228" s="44" t="str">
        <f aca="false">IF(219&lt;=$C$8,219,"")</f>
        <v/>
      </c>
      <c r="AV228" s="44" t="str">
        <f aca="false">IF(AU228="","",INDEX($AG$10:$AG$309,$B$8+219-1))</f>
        <v/>
      </c>
      <c r="AW228" s="44" t="e">
        <f aca="false">IF(AV228="",NA(),AV228)</f>
        <v>#N/A</v>
      </c>
      <c r="AX228" s="44" t="e">
        <f aca="false">IF(AV228="",NA(),AU228)</f>
        <v>#N/A</v>
      </c>
      <c r="AY228" s="44" t="str">
        <f aca="false">IF(AV228="","",LN(AV228))</f>
        <v/>
      </c>
      <c r="CH228" s="55" t="str">
        <f aca="false">IF(ISNUMBER(CI228),IF(ISNUMBER('Base de Datos'!AG224),IF('Base de Datos'!AG224&gt;20000,INT('Base de Datos'!AG224),""),IF(TRIM('Base de Datos'!AG224)="","",IFERROR(DATE(VALUE(RIGHT(TRIM('Base de Datos'!AG224),4)),VALUE(MID(TRIM('Base de Datos'!AG224),4,2)),VALUE(LEFT(TRIM('Base de Datos'!AG224),2))),IFERROR(DATEVALUE(TRIM('Base de Datos'!AG224)),"")))),"")</f>
        <v/>
      </c>
      <c r="CI228" s="44" t="str">
        <f aca="false">IF(ISNUMBER('Base de Datos'!AH224),'Base de Datos'!AH224,IF(TRIM('Base de Datos'!AH224)="","",IFERROR(IF(IFERROR(FIND("@",SUBSTITUTE(TRIM('Base de Datos'!AH224),",","@",LEN(TRIM('Base de Datos'!AH224))-LEN(SUBSTITUTE(TRIM('Base de Datos'!AH224),",","")))),0)&gt;IFERROR(FIND("@",SUBSTITUTE(TRIM('Base de Datos'!AH224),".","@",LEN(TRIM('Base de Datos'!AH224))-LEN(SUBSTITUTE(TRIM('Base de Datos'!AH224),".","")))),0),_xlfn.NUMBERVALUE(SUBSTITUTE(SUBSTITUTE(TRIM('Base de Datos'!AH224),".",""),",","."),".",","),_xlfn.NUMBERVALUE(SUBSTITUTE(TRIM('Base de Datos'!AH224),",",""),".",",")),"")))</f>
        <v/>
      </c>
    </row>
    <row r="229" customFormat="false" ht="13.8" hidden="false" customHeight="false" outlineLevel="0" collapsed="false">
      <c r="AE229" s="44" t="n">
        <v>220</v>
      </c>
      <c r="AF229" s="55" t="str">
        <f aca="false">IF(AF228="","",IFERROR(SMALL($CH$10:$CH$309,COUNTIF($CH$10:$CH$309,"&lt;="&amp;AF228)+1),""))</f>
        <v/>
      </c>
      <c r="AG229" s="44" t="str">
        <f aca="false">IF(AF229="","",INDEX($CI$10:$CI$309,MATCH(AF229,$CH$10:$CH$309,0)))</f>
        <v/>
      </c>
      <c r="AH229" s="55" t="e">
        <f aca="false">IF(AF229="",NA(),AF229)</f>
        <v>#N/A</v>
      </c>
      <c r="AI229" s="44" t="e">
        <f aca="false">IF(AG229="",NA(),AG229)</f>
        <v>#N/A</v>
      </c>
      <c r="AU229" s="44" t="str">
        <f aca="false">IF(220&lt;=$C$8,220,"")</f>
        <v/>
      </c>
      <c r="AV229" s="44" t="str">
        <f aca="false">IF(AU229="","",INDEX($AG$10:$AG$309,$B$8+220-1))</f>
        <v/>
      </c>
      <c r="AW229" s="44" t="e">
        <f aca="false">IF(AV229="",NA(),AV229)</f>
        <v>#N/A</v>
      </c>
      <c r="AX229" s="44" t="e">
        <f aca="false">IF(AV229="",NA(),AU229)</f>
        <v>#N/A</v>
      </c>
      <c r="AY229" s="44" t="str">
        <f aca="false">IF(AV229="","",LN(AV229))</f>
        <v/>
      </c>
      <c r="CH229" s="55" t="str">
        <f aca="false">IF(ISNUMBER(CI229),IF(ISNUMBER('Base de Datos'!AG225),IF('Base de Datos'!AG225&gt;20000,INT('Base de Datos'!AG225),""),IF(TRIM('Base de Datos'!AG225)="","",IFERROR(DATE(VALUE(RIGHT(TRIM('Base de Datos'!AG225),4)),VALUE(MID(TRIM('Base de Datos'!AG225),4,2)),VALUE(LEFT(TRIM('Base de Datos'!AG225),2))),IFERROR(DATEVALUE(TRIM('Base de Datos'!AG225)),"")))),"")</f>
        <v/>
      </c>
      <c r="CI229" s="44" t="str">
        <f aca="false">IF(ISNUMBER('Base de Datos'!AH225),'Base de Datos'!AH225,IF(TRIM('Base de Datos'!AH225)="","",IFERROR(IF(IFERROR(FIND("@",SUBSTITUTE(TRIM('Base de Datos'!AH225),",","@",LEN(TRIM('Base de Datos'!AH225))-LEN(SUBSTITUTE(TRIM('Base de Datos'!AH225),",","")))),0)&gt;IFERROR(FIND("@",SUBSTITUTE(TRIM('Base de Datos'!AH225),".","@",LEN(TRIM('Base de Datos'!AH225))-LEN(SUBSTITUTE(TRIM('Base de Datos'!AH225),".","")))),0),_xlfn.NUMBERVALUE(SUBSTITUTE(SUBSTITUTE(TRIM('Base de Datos'!AH225),".",""),",","."),".",","),_xlfn.NUMBERVALUE(SUBSTITUTE(TRIM('Base de Datos'!AH225),",",""),".",",")),"")))</f>
        <v/>
      </c>
    </row>
    <row r="230" customFormat="false" ht="13.8" hidden="false" customHeight="false" outlineLevel="0" collapsed="false">
      <c r="AE230" s="44" t="n">
        <v>221</v>
      </c>
      <c r="AF230" s="55" t="str">
        <f aca="false">IF(AF229="","",IFERROR(SMALL($CH$10:$CH$309,COUNTIF($CH$10:$CH$309,"&lt;="&amp;AF229)+1),""))</f>
        <v/>
      </c>
      <c r="AG230" s="44" t="str">
        <f aca="false">IF(AF230="","",INDEX($CI$10:$CI$309,MATCH(AF230,$CH$10:$CH$309,0)))</f>
        <v/>
      </c>
      <c r="AH230" s="55" t="e">
        <f aca="false">IF(AF230="",NA(),AF230)</f>
        <v>#N/A</v>
      </c>
      <c r="AI230" s="44" t="e">
        <f aca="false">IF(AG230="",NA(),AG230)</f>
        <v>#N/A</v>
      </c>
      <c r="AU230" s="44" t="str">
        <f aca="false">IF(221&lt;=$C$8,221,"")</f>
        <v/>
      </c>
      <c r="AV230" s="44" t="str">
        <f aca="false">IF(AU230="","",INDEX($AG$10:$AG$309,$B$8+221-1))</f>
        <v/>
      </c>
      <c r="AW230" s="44" t="e">
        <f aca="false">IF(AV230="",NA(),AV230)</f>
        <v>#N/A</v>
      </c>
      <c r="AX230" s="44" t="e">
        <f aca="false">IF(AV230="",NA(),AU230)</f>
        <v>#N/A</v>
      </c>
      <c r="AY230" s="44" t="str">
        <f aca="false">IF(AV230="","",LN(AV230))</f>
        <v/>
      </c>
      <c r="CH230" s="55" t="str">
        <f aca="false">IF(ISNUMBER(CI230),IF(ISNUMBER('Base de Datos'!AG226),IF('Base de Datos'!AG226&gt;20000,INT('Base de Datos'!AG226),""),IF(TRIM('Base de Datos'!AG226)="","",IFERROR(DATE(VALUE(RIGHT(TRIM('Base de Datos'!AG226),4)),VALUE(MID(TRIM('Base de Datos'!AG226),4,2)),VALUE(LEFT(TRIM('Base de Datos'!AG226),2))),IFERROR(DATEVALUE(TRIM('Base de Datos'!AG226)),"")))),"")</f>
        <v/>
      </c>
      <c r="CI230" s="44" t="str">
        <f aca="false">IF(ISNUMBER('Base de Datos'!AH226),'Base de Datos'!AH226,IF(TRIM('Base de Datos'!AH226)="","",IFERROR(IF(IFERROR(FIND("@",SUBSTITUTE(TRIM('Base de Datos'!AH226),",","@",LEN(TRIM('Base de Datos'!AH226))-LEN(SUBSTITUTE(TRIM('Base de Datos'!AH226),",","")))),0)&gt;IFERROR(FIND("@",SUBSTITUTE(TRIM('Base de Datos'!AH226),".","@",LEN(TRIM('Base de Datos'!AH226))-LEN(SUBSTITUTE(TRIM('Base de Datos'!AH226),".","")))),0),_xlfn.NUMBERVALUE(SUBSTITUTE(SUBSTITUTE(TRIM('Base de Datos'!AH226),".",""),",","."),".",","),_xlfn.NUMBERVALUE(SUBSTITUTE(TRIM('Base de Datos'!AH226),",",""),".",",")),"")))</f>
        <v/>
      </c>
    </row>
    <row r="231" customFormat="false" ht="13.8" hidden="false" customHeight="false" outlineLevel="0" collapsed="false">
      <c r="AE231" s="44" t="n">
        <v>222</v>
      </c>
      <c r="AF231" s="55" t="str">
        <f aca="false">IF(AF230="","",IFERROR(SMALL($CH$10:$CH$309,COUNTIF($CH$10:$CH$309,"&lt;="&amp;AF230)+1),""))</f>
        <v/>
      </c>
      <c r="AG231" s="44" t="str">
        <f aca="false">IF(AF231="","",INDEX($CI$10:$CI$309,MATCH(AF231,$CH$10:$CH$309,0)))</f>
        <v/>
      </c>
      <c r="AH231" s="55" t="e">
        <f aca="false">IF(AF231="",NA(),AF231)</f>
        <v>#N/A</v>
      </c>
      <c r="AI231" s="44" t="e">
        <f aca="false">IF(AG231="",NA(),AG231)</f>
        <v>#N/A</v>
      </c>
      <c r="AU231" s="44" t="str">
        <f aca="false">IF(222&lt;=$C$8,222,"")</f>
        <v/>
      </c>
      <c r="AV231" s="44" t="str">
        <f aca="false">IF(AU231="","",INDEX($AG$10:$AG$309,$B$8+222-1))</f>
        <v/>
      </c>
      <c r="AW231" s="44" t="e">
        <f aca="false">IF(AV231="",NA(),AV231)</f>
        <v>#N/A</v>
      </c>
      <c r="AX231" s="44" t="e">
        <f aca="false">IF(AV231="",NA(),AU231)</f>
        <v>#N/A</v>
      </c>
      <c r="AY231" s="44" t="str">
        <f aca="false">IF(AV231="","",LN(AV231))</f>
        <v/>
      </c>
      <c r="CH231" s="55" t="str">
        <f aca="false">IF(ISNUMBER(CI231),IF(ISNUMBER('Base de Datos'!AG227),IF('Base de Datos'!AG227&gt;20000,INT('Base de Datos'!AG227),""),IF(TRIM('Base de Datos'!AG227)="","",IFERROR(DATE(VALUE(RIGHT(TRIM('Base de Datos'!AG227),4)),VALUE(MID(TRIM('Base de Datos'!AG227),4,2)),VALUE(LEFT(TRIM('Base de Datos'!AG227),2))),IFERROR(DATEVALUE(TRIM('Base de Datos'!AG227)),"")))),"")</f>
        <v/>
      </c>
      <c r="CI231" s="44" t="str">
        <f aca="false">IF(ISNUMBER('Base de Datos'!AH227),'Base de Datos'!AH227,IF(TRIM('Base de Datos'!AH227)="","",IFERROR(IF(IFERROR(FIND("@",SUBSTITUTE(TRIM('Base de Datos'!AH227),",","@",LEN(TRIM('Base de Datos'!AH227))-LEN(SUBSTITUTE(TRIM('Base de Datos'!AH227),",","")))),0)&gt;IFERROR(FIND("@",SUBSTITUTE(TRIM('Base de Datos'!AH227),".","@",LEN(TRIM('Base de Datos'!AH227))-LEN(SUBSTITUTE(TRIM('Base de Datos'!AH227),".","")))),0),_xlfn.NUMBERVALUE(SUBSTITUTE(SUBSTITUTE(TRIM('Base de Datos'!AH227),".",""),",","."),".",","),_xlfn.NUMBERVALUE(SUBSTITUTE(TRIM('Base de Datos'!AH227),",",""),".",",")),"")))</f>
        <v/>
      </c>
    </row>
    <row r="232" customFormat="false" ht="13.8" hidden="false" customHeight="false" outlineLevel="0" collapsed="false">
      <c r="AE232" s="44" t="n">
        <v>223</v>
      </c>
      <c r="AF232" s="55" t="str">
        <f aca="false">IF(AF231="","",IFERROR(SMALL($CH$10:$CH$309,COUNTIF($CH$10:$CH$309,"&lt;="&amp;AF231)+1),""))</f>
        <v/>
      </c>
      <c r="AG232" s="44" t="str">
        <f aca="false">IF(AF232="","",INDEX($CI$10:$CI$309,MATCH(AF232,$CH$10:$CH$309,0)))</f>
        <v/>
      </c>
      <c r="AH232" s="55" t="e">
        <f aca="false">IF(AF232="",NA(),AF232)</f>
        <v>#N/A</v>
      </c>
      <c r="AI232" s="44" t="e">
        <f aca="false">IF(AG232="",NA(),AG232)</f>
        <v>#N/A</v>
      </c>
      <c r="AU232" s="44" t="str">
        <f aca="false">IF(223&lt;=$C$8,223,"")</f>
        <v/>
      </c>
      <c r="AV232" s="44" t="str">
        <f aca="false">IF(AU232="","",INDEX($AG$10:$AG$309,$B$8+223-1))</f>
        <v/>
      </c>
      <c r="AW232" s="44" t="e">
        <f aca="false">IF(AV232="",NA(),AV232)</f>
        <v>#N/A</v>
      </c>
      <c r="AX232" s="44" t="e">
        <f aca="false">IF(AV232="",NA(),AU232)</f>
        <v>#N/A</v>
      </c>
      <c r="AY232" s="44" t="str">
        <f aca="false">IF(AV232="","",LN(AV232))</f>
        <v/>
      </c>
      <c r="CH232" s="55" t="str">
        <f aca="false">IF(ISNUMBER(CI232),IF(ISNUMBER('Base de Datos'!AG228),IF('Base de Datos'!AG228&gt;20000,INT('Base de Datos'!AG228),""),IF(TRIM('Base de Datos'!AG228)="","",IFERROR(DATE(VALUE(RIGHT(TRIM('Base de Datos'!AG228),4)),VALUE(MID(TRIM('Base de Datos'!AG228),4,2)),VALUE(LEFT(TRIM('Base de Datos'!AG228),2))),IFERROR(DATEVALUE(TRIM('Base de Datos'!AG228)),"")))),"")</f>
        <v/>
      </c>
      <c r="CI232" s="44" t="str">
        <f aca="false">IF(ISNUMBER('Base de Datos'!AH228),'Base de Datos'!AH228,IF(TRIM('Base de Datos'!AH228)="","",IFERROR(IF(IFERROR(FIND("@",SUBSTITUTE(TRIM('Base de Datos'!AH228),",","@",LEN(TRIM('Base de Datos'!AH228))-LEN(SUBSTITUTE(TRIM('Base de Datos'!AH228),",","")))),0)&gt;IFERROR(FIND("@",SUBSTITUTE(TRIM('Base de Datos'!AH228),".","@",LEN(TRIM('Base de Datos'!AH228))-LEN(SUBSTITUTE(TRIM('Base de Datos'!AH228),".","")))),0),_xlfn.NUMBERVALUE(SUBSTITUTE(SUBSTITUTE(TRIM('Base de Datos'!AH228),".",""),",","."),".",","),_xlfn.NUMBERVALUE(SUBSTITUTE(TRIM('Base de Datos'!AH228),",",""),".",",")),"")))</f>
        <v/>
      </c>
    </row>
    <row r="233" customFormat="false" ht="13.8" hidden="false" customHeight="false" outlineLevel="0" collapsed="false">
      <c r="AE233" s="44" t="n">
        <v>224</v>
      </c>
      <c r="AF233" s="55" t="str">
        <f aca="false">IF(AF232="","",IFERROR(SMALL($CH$10:$CH$309,COUNTIF($CH$10:$CH$309,"&lt;="&amp;AF232)+1),""))</f>
        <v/>
      </c>
      <c r="AG233" s="44" t="str">
        <f aca="false">IF(AF233="","",INDEX($CI$10:$CI$309,MATCH(AF233,$CH$10:$CH$309,0)))</f>
        <v/>
      </c>
      <c r="AH233" s="55" t="e">
        <f aca="false">IF(AF233="",NA(),AF233)</f>
        <v>#N/A</v>
      </c>
      <c r="AI233" s="44" t="e">
        <f aca="false">IF(AG233="",NA(),AG233)</f>
        <v>#N/A</v>
      </c>
      <c r="AU233" s="44" t="str">
        <f aca="false">IF(224&lt;=$C$8,224,"")</f>
        <v/>
      </c>
      <c r="AV233" s="44" t="str">
        <f aca="false">IF(AU233="","",INDEX($AG$10:$AG$309,$B$8+224-1))</f>
        <v/>
      </c>
      <c r="AW233" s="44" t="e">
        <f aca="false">IF(AV233="",NA(),AV233)</f>
        <v>#N/A</v>
      </c>
      <c r="AX233" s="44" t="e">
        <f aca="false">IF(AV233="",NA(),AU233)</f>
        <v>#N/A</v>
      </c>
      <c r="AY233" s="44" t="str">
        <f aca="false">IF(AV233="","",LN(AV233))</f>
        <v/>
      </c>
      <c r="CH233" s="55" t="str">
        <f aca="false">IF(ISNUMBER(CI233),IF(ISNUMBER('Base de Datos'!AG229),IF('Base de Datos'!AG229&gt;20000,INT('Base de Datos'!AG229),""),IF(TRIM('Base de Datos'!AG229)="","",IFERROR(DATE(VALUE(RIGHT(TRIM('Base de Datos'!AG229),4)),VALUE(MID(TRIM('Base de Datos'!AG229),4,2)),VALUE(LEFT(TRIM('Base de Datos'!AG229),2))),IFERROR(DATEVALUE(TRIM('Base de Datos'!AG229)),"")))),"")</f>
        <v/>
      </c>
      <c r="CI233" s="44" t="str">
        <f aca="false">IF(ISNUMBER('Base de Datos'!AH229),'Base de Datos'!AH229,IF(TRIM('Base de Datos'!AH229)="","",IFERROR(IF(IFERROR(FIND("@",SUBSTITUTE(TRIM('Base de Datos'!AH229),",","@",LEN(TRIM('Base de Datos'!AH229))-LEN(SUBSTITUTE(TRIM('Base de Datos'!AH229),",","")))),0)&gt;IFERROR(FIND("@",SUBSTITUTE(TRIM('Base de Datos'!AH229),".","@",LEN(TRIM('Base de Datos'!AH229))-LEN(SUBSTITUTE(TRIM('Base de Datos'!AH229),".","")))),0),_xlfn.NUMBERVALUE(SUBSTITUTE(SUBSTITUTE(TRIM('Base de Datos'!AH229),".",""),",","."),".",","),_xlfn.NUMBERVALUE(SUBSTITUTE(TRIM('Base de Datos'!AH229),",",""),".",",")),"")))</f>
        <v/>
      </c>
    </row>
    <row r="234" customFormat="false" ht="13.8" hidden="false" customHeight="false" outlineLevel="0" collapsed="false">
      <c r="AE234" s="44" t="n">
        <v>225</v>
      </c>
      <c r="AF234" s="55" t="str">
        <f aca="false">IF(AF233="","",IFERROR(SMALL($CH$10:$CH$309,COUNTIF($CH$10:$CH$309,"&lt;="&amp;AF233)+1),""))</f>
        <v/>
      </c>
      <c r="AG234" s="44" t="str">
        <f aca="false">IF(AF234="","",INDEX($CI$10:$CI$309,MATCH(AF234,$CH$10:$CH$309,0)))</f>
        <v/>
      </c>
      <c r="AH234" s="55" t="e">
        <f aca="false">IF(AF234="",NA(),AF234)</f>
        <v>#N/A</v>
      </c>
      <c r="AI234" s="44" t="e">
        <f aca="false">IF(AG234="",NA(),AG234)</f>
        <v>#N/A</v>
      </c>
      <c r="AU234" s="44" t="str">
        <f aca="false">IF(225&lt;=$C$8,225,"")</f>
        <v/>
      </c>
      <c r="AV234" s="44" t="str">
        <f aca="false">IF(AU234="","",INDEX($AG$10:$AG$309,$B$8+225-1))</f>
        <v/>
      </c>
      <c r="AW234" s="44" t="e">
        <f aca="false">IF(AV234="",NA(),AV234)</f>
        <v>#N/A</v>
      </c>
      <c r="AX234" s="44" t="e">
        <f aca="false">IF(AV234="",NA(),AU234)</f>
        <v>#N/A</v>
      </c>
      <c r="AY234" s="44" t="str">
        <f aca="false">IF(AV234="","",LN(AV234))</f>
        <v/>
      </c>
      <c r="CH234" s="55" t="str">
        <f aca="false">IF(ISNUMBER(CI234),IF(ISNUMBER('Base de Datos'!AG230),IF('Base de Datos'!AG230&gt;20000,INT('Base de Datos'!AG230),""),IF(TRIM('Base de Datos'!AG230)="","",IFERROR(DATE(VALUE(RIGHT(TRIM('Base de Datos'!AG230),4)),VALUE(MID(TRIM('Base de Datos'!AG230),4,2)),VALUE(LEFT(TRIM('Base de Datos'!AG230),2))),IFERROR(DATEVALUE(TRIM('Base de Datos'!AG230)),"")))),"")</f>
        <v/>
      </c>
      <c r="CI234" s="44" t="str">
        <f aca="false">IF(ISNUMBER('Base de Datos'!AH230),'Base de Datos'!AH230,IF(TRIM('Base de Datos'!AH230)="","",IFERROR(IF(IFERROR(FIND("@",SUBSTITUTE(TRIM('Base de Datos'!AH230),",","@",LEN(TRIM('Base de Datos'!AH230))-LEN(SUBSTITUTE(TRIM('Base de Datos'!AH230),",","")))),0)&gt;IFERROR(FIND("@",SUBSTITUTE(TRIM('Base de Datos'!AH230),".","@",LEN(TRIM('Base de Datos'!AH230))-LEN(SUBSTITUTE(TRIM('Base de Datos'!AH230),".","")))),0),_xlfn.NUMBERVALUE(SUBSTITUTE(SUBSTITUTE(TRIM('Base de Datos'!AH230),".",""),",","."),".",","),_xlfn.NUMBERVALUE(SUBSTITUTE(TRIM('Base de Datos'!AH230),",",""),".",",")),"")))</f>
        <v/>
      </c>
    </row>
    <row r="235" customFormat="false" ht="13.8" hidden="false" customHeight="false" outlineLevel="0" collapsed="false">
      <c r="AE235" s="44" t="n">
        <v>226</v>
      </c>
      <c r="AF235" s="55" t="str">
        <f aca="false">IF(AF234="","",IFERROR(SMALL($CH$10:$CH$309,COUNTIF($CH$10:$CH$309,"&lt;="&amp;AF234)+1),""))</f>
        <v/>
      </c>
      <c r="AG235" s="44" t="str">
        <f aca="false">IF(AF235="","",INDEX($CI$10:$CI$309,MATCH(AF235,$CH$10:$CH$309,0)))</f>
        <v/>
      </c>
      <c r="AH235" s="55" t="e">
        <f aca="false">IF(AF235="",NA(),AF235)</f>
        <v>#N/A</v>
      </c>
      <c r="AI235" s="44" t="e">
        <f aca="false">IF(AG235="",NA(),AG235)</f>
        <v>#N/A</v>
      </c>
      <c r="AU235" s="44" t="str">
        <f aca="false">IF(226&lt;=$C$8,226,"")</f>
        <v/>
      </c>
      <c r="AV235" s="44" t="str">
        <f aca="false">IF(AU235="","",INDEX($AG$10:$AG$309,$B$8+226-1))</f>
        <v/>
      </c>
      <c r="AW235" s="44" t="e">
        <f aca="false">IF(AV235="",NA(),AV235)</f>
        <v>#N/A</v>
      </c>
      <c r="AX235" s="44" t="e">
        <f aca="false">IF(AV235="",NA(),AU235)</f>
        <v>#N/A</v>
      </c>
      <c r="AY235" s="44" t="str">
        <f aca="false">IF(AV235="","",LN(AV235))</f>
        <v/>
      </c>
      <c r="CH235" s="55" t="str">
        <f aca="false">IF(ISNUMBER(CI235),IF(ISNUMBER('Base de Datos'!AG231),IF('Base de Datos'!AG231&gt;20000,INT('Base de Datos'!AG231),""),IF(TRIM('Base de Datos'!AG231)="","",IFERROR(DATE(VALUE(RIGHT(TRIM('Base de Datos'!AG231),4)),VALUE(MID(TRIM('Base de Datos'!AG231),4,2)),VALUE(LEFT(TRIM('Base de Datos'!AG231),2))),IFERROR(DATEVALUE(TRIM('Base de Datos'!AG231)),"")))),"")</f>
        <v/>
      </c>
      <c r="CI235" s="44" t="str">
        <f aca="false">IF(ISNUMBER('Base de Datos'!AH231),'Base de Datos'!AH231,IF(TRIM('Base de Datos'!AH231)="","",IFERROR(IF(IFERROR(FIND("@",SUBSTITUTE(TRIM('Base de Datos'!AH231),",","@",LEN(TRIM('Base de Datos'!AH231))-LEN(SUBSTITUTE(TRIM('Base de Datos'!AH231),",","")))),0)&gt;IFERROR(FIND("@",SUBSTITUTE(TRIM('Base de Datos'!AH231),".","@",LEN(TRIM('Base de Datos'!AH231))-LEN(SUBSTITUTE(TRIM('Base de Datos'!AH231),".","")))),0),_xlfn.NUMBERVALUE(SUBSTITUTE(SUBSTITUTE(TRIM('Base de Datos'!AH231),".",""),",","."),".",","),_xlfn.NUMBERVALUE(SUBSTITUTE(TRIM('Base de Datos'!AH231),",",""),".",",")),"")))</f>
        <v/>
      </c>
    </row>
    <row r="236" customFormat="false" ht="13.8" hidden="false" customHeight="false" outlineLevel="0" collapsed="false">
      <c r="AE236" s="44" t="n">
        <v>227</v>
      </c>
      <c r="AF236" s="55" t="str">
        <f aca="false">IF(AF235="","",IFERROR(SMALL($CH$10:$CH$309,COUNTIF($CH$10:$CH$309,"&lt;="&amp;AF235)+1),""))</f>
        <v/>
      </c>
      <c r="AG236" s="44" t="str">
        <f aca="false">IF(AF236="","",INDEX($CI$10:$CI$309,MATCH(AF236,$CH$10:$CH$309,0)))</f>
        <v/>
      </c>
      <c r="AH236" s="55" t="e">
        <f aca="false">IF(AF236="",NA(),AF236)</f>
        <v>#N/A</v>
      </c>
      <c r="AI236" s="44" t="e">
        <f aca="false">IF(AG236="",NA(),AG236)</f>
        <v>#N/A</v>
      </c>
      <c r="AU236" s="44" t="str">
        <f aca="false">IF(227&lt;=$C$8,227,"")</f>
        <v/>
      </c>
      <c r="AV236" s="44" t="str">
        <f aca="false">IF(AU236="","",INDEX($AG$10:$AG$309,$B$8+227-1))</f>
        <v/>
      </c>
      <c r="AW236" s="44" t="e">
        <f aca="false">IF(AV236="",NA(),AV236)</f>
        <v>#N/A</v>
      </c>
      <c r="AX236" s="44" t="e">
        <f aca="false">IF(AV236="",NA(),AU236)</f>
        <v>#N/A</v>
      </c>
      <c r="AY236" s="44" t="str">
        <f aca="false">IF(AV236="","",LN(AV236))</f>
        <v/>
      </c>
      <c r="CH236" s="55" t="str">
        <f aca="false">IF(ISNUMBER(CI236),IF(ISNUMBER('Base de Datos'!AG232),IF('Base de Datos'!AG232&gt;20000,INT('Base de Datos'!AG232),""),IF(TRIM('Base de Datos'!AG232)="","",IFERROR(DATE(VALUE(RIGHT(TRIM('Base de Datos'!AG232),4)),VALUE(MID(TRIM('Base de Datos'!AG232),4,2)),VALUE(LEFT(TRIM('Base de Datos'!AG232),2))),IFERROR(DATEVALUE(TRIM('Base de Datos'!AG232)),"")))),"")</f>
        <v/>
      </c>
      <c r="CI236" s="44" t="str">
        <f aca="false">IF(ISNUMBER('Base de Datos'!AH232),'Base de Datos'!AH232,IF(TRIM('Base de Datos'!AH232)="","",IFERROR(IF(IFERROR(FIND("@",SUBSTITUTE(TRIM('Base de Datos'!AH232),",","@",LEN(TRIM('Base de Datos'!AH232))-LEN(SUBSTITUTE(TRIM('Base de Datos'!AH232),",","")))),0)&gt;IFERROR(FIND("@",SUBSTITUTE(TRIM('Base de Datos'!AH232),".","@",LEN(TRIM('Base de Datos'!AH232))-LEN(SUBSTITUTE(TRIM('Base de Datos'!AH232),".","")))),0),_xlfn.NUMBERVALUE(SUBSTITUTE(SUBSTITUTE(TRIM('Base de Datos'!AH232),".",""),",","."),".",","),_xlfn.NUMBERVALUE(SUBSTITUTE(TRIM('Base de Datos'!AH232),",",""),".",",")),"")))</f>
        <v/>
      </c>
    </row>
    <row r="237" customFormat="false" ht="13.8" hidden="false" customHeight="false" outlineLevel="0" collapsed="false">
      <c r="AE237" s="44" t="n">
        <v>228</v>
      </c>
      <c r="AF237" s="55" t="str">
        <f aca="false">IF(AF236="","",IFERROR(SMALL($CH$10:$CH$309,COUNTIF($CH$10:$CH$309,"&lt;="&amp;AF236)+1),""))</f>
        <v/>
      </c>
      <c r="AG237" s="44" t="str">
        <f aca="false">IF(AF237="","",INDEX($CI$10:$CI$309,MATCH(AF237,$CH$10:$CH$309,0)))</f>
        <v/>
      </c>
      <c r="AH237" s="55" t="e">
        <f aca="false">IF(AF237="",NA(),AF237)</f>
        <v>#N/A</v>
      </c>
      <c r="AI237" s="44" t="e">
        <f aca="false">IF(AG237="",NA(),AG237)</f>
        <v>#N/A</v>
      </c>
      <c r="AU237" s="44" t="str">
        <f aca="false">IF(228&lt;=$C$8,228,"")</f>
        <v/>
      </c>
      <c r="AV237" s="44" t="str">
        <f aca="false">IF(AU237="","",INDEX($AG$10:$AG$309,$B$8+228-1))</f>
        <v/>
      </c>
      <c r="AW237" s="44" t="e">
        <f aca="false">IF(AV237="",NA(),AV237)</f>
        <v>#N/A</v>
      </c>
      <c r="AX237" s="44" t="e">
        <f aca="false">IF(AV237="",NA(),AU237)</f>
        <v>#N/A</v>
      </c>
      <c r="AY237" s="44" t="str">
        <f aca="false">IF(AV237="","",LN(AV237))</f>
        <v/>
      </c>
      <c r="CH237" s="55" t="str">
        <f aca="false">IF(ISNUMBER(CI237),IF(ISNUMBER('Base de Datos'!AG233),IF('Base de Datos'!AG233&gt;20000,INT('Base de Datos'!AG233),""),IF(TRIM('Base de Datos'!AG233)="","",IFERROR(DATE(VALUE(RIGHT(TRIM('Base de Datos'!AG233),4)),VALUE(MID(TRIM('Base de Datos'!AG233),4,2)),VALUE(LEFT(TRIM('Base de Datos'!AG233),2))),IFERROR(DATEVALUE(TRIM('Base de Datos'!AG233)),"")))),"")</f>
        <v/>
      </c>
      <c r="CI237" s="44" t="str">
        <f aca="false">IF(ISNUMBER('Base de Datos'!AH233),'Base de Datos'!AH233,IF(TRIM('Base de Datos'!AH233)="","",IFERROR(IF(IFERROR(FIND("@",SUBSTITUTE(TRIM('Base de Datos'!AH233),",","@",LEN(TRIM('Base de Datos'!AH233))-LEN(SUBSTITUTE(TRIM('Base de Datos'!AH233),",","")))),0)&gt;IFERROR(FIND("@",SUBSTITUTE(TRIM('Base de Datos'!AH233),".","@",LEN(TRIM('Base de Datos'!AH233))-LEN(SUBSTITUTE(TRIM('Base de Datos'!AH233),".","")))),0),_xlfn.NUMBERVALUE(SUBSTITUTE(SUBSTITUTE(TRIM('Base de Datos'!AH233),".",""),",","."),".",","),_xlfn.NUMBERVALUE(SUBSTITUTE(TRIM('Base de Datos'!AH233),",",""),".",",")),"")))</f>
        <v/>
      </c>
    </row>
    <row r="238" customFormat="false" ht="13.8" hidden="false" customHeight="false" outlineLevel="0" collapsed="false">
      <c r="AE238" s="44" t="n">
        <v>229</v>
      </c>
      <c r="AF238" s="55" t="str">
        <f aca="false">IF(AF237="","",IFERROR(SMALL($CH$10:$CH$309,COUNTIF($CH$10:$CH$309,"&lt;="&amp;AF237)+1),""))</f>
        <v/>
      </c>
      <c r="AG238" s="44" t="str">
        <f aca="false">IF(AF238="","",INDEX($CI$10:$CI$309,MATCH(AF238,$CH$10:$CH$309,0)))</f>
        <v/>
      </c>
      <c r="AH238" s="55" t="e">
        <f aca="false">IF(AF238="",NA(),AF238)</f>
        <v>#N/A</v>
      </c>
      <c r="AI238" s="44" t="e">
        <f aca="false">IF(AG238="",NA(),AG238)</f>
        <v>#N/A</v>
      </c>
      <c r="AU238" s="44" t="str">
        <f aca="false">IF(229&lt;=$C$8,229,"")</f>
        <v/>
      </c>
      <c r="AV238" s="44" t="str">
        <f aca="false">IF(AU238="","",INDEX($AG$10:$AG$309,$B$8+229-1))</f>
        <v/>
      </c>
      <c r="AW238" s="44" t="e">
        <f aca="false">IF(AV238="",NA(),AV238)</f>
        <v>#N/A</v>
      </c>
      <c r="AX238" s="44" t="e">
        <f aca="false">IF(AV238="",NA(),AU238)</f>
        <v>#N/A</v>
      </c>
      <c r="AY238" s="44" t="str">
        <f aca="false">IF(AV238="","",LN(AV238))</f>
        <v/>
      </c>
      <c r="CH238" s="55" t="str">
        <f aca="false">IF(ISNUMBER(CI238),IF(ISNUMBER('Base de Datos'!AG234),IF('Base de Datos'!AG234&gt;20000,INT('Base de Datos'!AG234),""),IF(TRIM('Base de Datos'!AG234)="","",IFERROR(DATE(VALUE(RIGHT(TRIM('Base de Datos'!AG234),4)),VALUE(MID(TRIM('Base de Datos'!AG234),4,2)),VALUE(LEFT(TRIM('Base de Datos'!AG234),2))),IFERROR(DATEVALUE(TRIM('Base de Datos'!AG234)),"")))),"")</f>
        <v/>
      </c>
      <c r="CI238" s="44" t="str">
        <f aca="false">IF(ISNUMBER('Base de Datos'!AH234),'Base de Datos'!AH234,IF(TRIM('Base de Datos'!AH234)="","",IFERROR(IF(IFERROR(FIND("@",SUBSTITUTE(TRIM('Base de Datos'!AH234),",","@",LEN(TRIM('Base de Datos'!AH234))-LEN(SUBSTITUTE(TRIM('Base de Datos'!AH234),",","")))),0)&gt;IFERROR(FIND("@",SUBSTITUTE(TRIM('Base de Datos'!AH234),".","@",LEN(TRIM('Base de Datos'!AH234))-LEN(SUBSTITUTE(TRIM('Base de Datos'!AH234),".","")))),0),_xlfn.NUMBERVALUE(SUBSTITUTE(SUBSTITUTE(TRIM('Base de Datos'!AH234),".",""),",","."),".",","),_xlfn.NUMBERVALUE(SUBSTITUTE(TRIM('Base de Datos'!AH234),",",""),".",",")),"")))</f>
        <v/>
      </c>
    </row>
    <row r="239" customFormat="false" ht="13.8" hidden="false" customHeight="false" outlineLevel="0" collapsed="false">
      <c r="AE239" s="44" t="n">
        <v>230</v>
      </c>
      <c r="AF239" s="55" t="str">
        <f aca="false">IF(AF238="","",IFERROR(SMALL($CH$10:$CH$309,COUNTIF($CH$10:$CH$309,"&lt;="&amp;AF238)+1),""))</f>
        <v/>
      </c>
      <c r="AG239" s="44" t="str">
        <f aca="false">IF(AF239="","",INDEX($CI$10:$CI$309,MATCH(AF239,$CH$10:$CH$309,0)))</f>
        <v/>
      </c>
      <c r="AH239" s="55" t="e">
        <f aca="false">IF(AF239="",NA(),AF239)</f>
        <v>#N/A</v>
      </c>
      <c r="AI239" s="44" t="e">
        <f aca="false">IF(AG239="",NA(),AG239)</f>
        <v>#N/A</v>
      </c>
      <c r="AU239" s="44" t="str">
        <f aca="false">IF(230&lt;=$C$8,230,"")</f>
        <v/>
      </c>
      <c r="AV239" s="44" t="str">
        <f aca="false">IF(AU239="","",INDEX($AG$10:$AG$309,$B$8+230-1))</f>
        <v/>
      </c>
      <c r="AW239" s="44" t="e">
        <f aca="false">IF(AV239="",NA(),AV239)</f>
        <v>#N/A</v>
      </c>
      <c r="AX239" s="44" t="e">
        <f aca="false">IF(AV239="",NA(),AU239)</f>
        <v>#N/A</v>
      </c>
      <c r="AY239" s="44" t="str">
        <f aca="false">IF(AV239="","",LN(AV239))</f>
        <v/>
      </c>
      <c r="CH239" s="55" t="str">
        <f aca="false">IF(ISNUMBER(CI239),IF(ISNUMBER('Base de Datos'!AG235),IF('Base de Datos'!AG235&gt;20000,INT('Base de Datos'!AG235),""),IF(TRIM('Base de Datos'!AG235)="","",IFERROR(DATE(VALUE(RIGHT(TRIM('Base de Datos'!AG235),4)),VALUE(MID(TRIM('Base de Datos'!AG235),4,2)),VALUE(LEFT(TRIM('Base de Datos'!AG235),2))),IFERROR(DATEVALUE(TRIM('Base de Datos'!AG235)),"")))),"")</f>
        <v/>
      </c>
      <c r="CI239" s="44" t="str">
        <f aca="false">IF(ISNUMBER('Base de Datos'!AH235),'Base de Datos'!AH235,IF(TRIM('Base de Datos'!AH235)="","",IFERROR(IF(IFERROR(FIND("@",SUBSTITUTE(TRIM('Base de Datos'!AH235),",","@",LEN(TRIM('Base de Datos'!AH235))-LEN(SUBSTITUTE(TRIM('Base de Datos'!AH235),",","")))),0)&gt;IFERROR(FIND("@",SUBSTITUTE(TRIM('Base de Datos'!AH235),".","@",LEN(TRIM('Base de Datos'!AH235))-LEN(SUBSTITUTE(TRIM('Base de Datos'!AH235),".","")))),0),_xlfn.NUMBERVALUE(SUBSTITUTE(SUBSTITUTE(TRIM('Base de Datos'!AH235),".",""),",","."),".",","),_xlfn.NUMBERVALUE(SUBSTITUTE(TRIM('Base de Datos'!AH235),",",""),".",",")),"")))</f>
        <v/>
      </c>
    </row>
    <row r="240" customFormat="false" ht="13.8" hidden="false" customHeight="false" outlineLevel="0" collapsed="false">
      <c r="AE240" s="44" t="n">
        <v>231</v>
      </c>
      <c r="AF240" s="55" t="str">
        <f aca="false">IF(AF239="","",IFERROR(SMALL($CH$10:$CH$309,COUNTIF($CH$10:$CH$309,"&lt;="&amp;AF239)+1),""))</f>
        <v/>
      </c>
      <c r="AG240" s="44" t="str">
        <f aca="false">IF(AF240="","",INDEX($CI$10:$CI$309,MATCH(AF240,$CH$10:$CH$309,0)))</f>
        <v/>
      </c>
      <c r="AH240" s="55" t="e">
        <f aca="false">IF(AF240="",NA(),AF240)</f>
        <v>#N/A</v>
      </c>
      <c r="AI240" s="44" t="e">
        <f aca="false">IF(AG240="",NA(),AG240)</f>
        <v>#N/A</v>
      </c>
      <c r="AU240" s="44" t="str">
        <f aca="false">IF(231&lt;=$C$8,231,"")</f>
        <v/>
      </c>
      <c r="AV240" s="44" t="str">
        <f aca="false">IF(AU240="","",INDEX($AG$10:$AG$309,$B$8+231-1))</f>
        <v/>
      </c>
      <c r="AW240" s="44" t="e">
        <f aca="false">IF(AV240="",NA(),AV240)</f>
        <v>#N/A</v>
      </c>
      <c r="AX240" s="44" t="e">
        <f aca="false">IF(AV240="",NA(),AU240)</f>
        <v>#N/A</v>
      </c>
      <c r="AY240" s="44" t="str">
        <f aca="false">IF(AV240="","",LN(AV240))</f>
        <v/>
      </c>
      <c r="CH240" s="55" t="str">
        <f aca="false">IF(ISNUMBER(CI240),IF(ISNUMBER('Base de Datos'!AG236),IF('Base de Datos'!AG236&gt;20000,INT('Base de Datos'!AG236),""),IF(TRIM('Base de Datos'!AG236)="","",IFERROR(DATE(VALUE(RIGHT(TRIM('Base de Datos'!AG236),4)),VALUE(MID(TRIM('Base de Datos'!AG236),4,2)),VALUE(LEFT(TRIM('Base de Datos'!AG236),2))),IFERROR(DATEVALUE(TRIM('Base de Datos'!AG236)),"")))),"")</f>
        <v/>
      </c>
      <c r="CI240" s="44" t="str">
        <f aca="false">IF(ISNUMBER('Base de Datos'!AH236),'Base de Datos'!AH236,IF(TRIM('Base de Datos'!AH236)="","",IFERROR(IF(IFERROR(FIND("@",SUBSTITUTE(TRIM('Base de Datos'!AH236),",","@",LEN(TRIM('Base de Datos'!AH236))-LEN(SUBSTITUTE(TRIM('Base de Datos'!AH236),",","")))),0)&gt;IFERROR(FIND("@",SUBSTITUTE(TRIM('Base de Datos'!AH236),".","@",LEN(TRIM('Base de Datos'!AH236))-LEN(SUBSTITUTE(TRIM('Base de Datos'!AH236),".","")))),0),_xlfn.NUMBERVALUE(SUBSTITUTE(SUBSTITUTE(TRIM('Base de Datos'!AH236),".",""),",","."),".",","),_xlfn.NUMBERVALUE(SUBSTITUTE(TRIM('Base de Datos'!AH236),",",""),".",",")),"")))</f>
        <v/>
      </c>
    </row>
    <row r="241" customFormat="false" ht="13.8" hidden="false" customHeight="false" outlineLevel="0" collapsed="false">
      <c r="AE241" s="44" t="n">
        <v>232</v>
      </c>
      <c r="AF241" s="55" t="str">
        <f aca="false">IF(AF240="","",IFERROR(SMALL($CH$10:$CH$309,COUNTIF($CH$10:$CH$309,"&lt;="&amp;AF240)+1),""))</f>
        <v/>
      </c>
      <c r="AG241" s="44" t="str">
        <f aca="false">IF(AF241="","",INDEX($CI$10:$CI$309,MATCH(AF241,$CH$10:$CH$309,0)))</f>
        <v/>
      </c>
      <c r="AH241" s="55" t="e">
        <f aca="false">IF(AF241="",NA(),AF241)</f>
        <v>#N/A</v>
      </c>
      <c r="AI241" s="44" t="e">
        <f aca="false">IF(AG241="",NA(),AG241)</f>
        <v>#N/A</v>
      </c>
      <c r="AU241" s="44" t="str">
        <f aca="false">IF(232&lt;=$C$8,232,"")</f>
        <v/>
      </c>
      <c r="AV241" s="44" t="str">
        <f aca="false">IF(AU241="","",INDEX($AG$10:$AG$309,$B$8+232-1))</f>
        <v/>
      </c>
      <c r="AW241" s="44" t="e">
        <f aca="false">IF(AV241="",NA(),AV241)</f>
        <v>#N/A</v>
      </c>
      <c r="AX241" s="44" t="e">
        <f aca="false">IF(AV241="",NA(),AU241)</f>
        <v>#N/A</v>
      </c>
      <c r="AY241" s="44" t="str">
        <f aca="false">IF(AV241="","",LN(AV241))</f>
        <v/>
      </c>
      <c r="CH241" s="55" t="str">
        <f aca="false">IF(ISNUMBER(CI241),IF(ISNUMBER('Base de Datos'!AG237),IF('Base de Datos'!AG237&gt;20000,INT('Base de Datos'!AG237),""),IF(TRIM('Base de Datos'!AG237)="","",IFERROR(DATE(VALUE(RIGHT(TRIM('Base de Datos'!AG237),4)),VALUE(MID(TRIM('Base de Datos'!AG237),4,2)),VALUE(LEFT(TRIM('Base de Datos'!AG237),2))),IFERROR(DATEVALUE(TRIM('Base de Datos'!AG237)),"")))),"")</f>
        <v/>
      </c>
      <c r="CI241" s="44" t="str">
        <f aca="false">IF(ISNUMBER('Base de Datos'!AH237),'Base de Datos'!AH237,IF(TRIM('Base de Datos'!AH237)="","",IFERROR(IF(IFERROR(FIND("@",SUBSTITUTE(TRIM('Base de Datos'!AH237),",","@",LEN(TRIM('Base de Datos'!AH237))-LEN(SUBSTITUTE(TRIM('Base de Datos'!AH237),",","")))),0)&gt;IFERROR(FIND("@",SUBSTITUTE(TRIM('Base de Datos'!AH237),".","@",LEN(TRIM('Base de Datos'!AH237))-LEN(SUBSTITUTE(TRIM('Base de Datos'!AH237),".","")))),0),_xlfn.NUMBERVALUE(SUBSTITUTE(SUBSTITUTE(TRIM('Base de Datos'!AH237),".",""),",","."),".",","),_xlfn.NUMBERVALUE(SUBSTITUTE(TRIM('Base de Datos'!AH237),",",""),".",",")),"")))</f>
        <v/>
      </c>
    </row>
    <row r="242" customFormat="false" ht="13.8" hidden="false" customHeight="false" outlineLevel="0" collapsed="false">
      <c r="AE242" s="44" t="n">
        <v>233</v>
      </c>
      <c r="AF242" s="55" t="str">
        <f aca="false">IF(AF241="","",IFERROR(SMALL($CH$10:$CH$309,COUNTIF($CH$10:$CH$309,"&lt;="&amp;AF241)+1),""))</f>
        <v/>
      </c>
      <c r="AG242" s="44" t="str">
        <f aca="false">IF(AF242="","",INDEX($CI$10:$CI$309,MATCH(AF242,$CH$10:$CH$309,0)))</f>
        <v/>
      </c>
      <c r="AH242" s="55" t="e">
        <f aca="false">IF(AF242="",NA(),AF242)</f>
        <v>#N/A</v>
      </c>
      <c r="AI242" s="44" t="e">
        <f aca="false">IF(AG242="",NA(),AG242)</f>
        <v>#N/A</v>
      </c>
      <c r="AU242" s="44" t="str">
        <f aca="false">IF(233&lt;=$C$8,233,"")</f>
        <v/>
      </c>
      <c r="AV242" s="44" t="str">
        <f aca="false">IF(AU242="","",INDEX($AG$10:$AG$309,$B$8+233-1))</f>
        <v/>
      </c>
      <c r="AW242" s="44" t="e">
        <f aca="false">IF(AV242="",NA(),AV242)</f>
        <v>#N/A</v>
      </c>
      <c r="AX242" s="44" t="e">
        <f aca="false">IF(AV242="",NA(),AU242)</f>
        <v>#N/A</v>
      </c>
      <c r="AY242" s="44" t="str">
        <f aca="false">IF(AV242="","",LN(AV242))</f>
        <v/>
      </c>
      <c r="CH242" s="55" t="str">
        <f aca="false">IF(ISNUMBER(CI242),IF(ISNUMBER('Base de Datos'!AG238),IF('Base de Datos'!AG238&gt;20000,INT('Base de Datos'!AG238),""),IF(TRIM('Base de Datos'!AG238)="","",IFERROR(DATE(VALUE(RIGHT(TRIM('Base de Datos'!AG238),4)),VALUE(MID(TRIM('Base de Datos'!AG238),4,2)),VALUE(LEFT(TRIM('Base de Datos'!AG238),2))),IFERROR(DATEVALUE(TRIM('Base de Datos'!AG238)),"")))),"")</f>
        <v/>
      </c>
      <c r="CI242" s="44" t="str">
        <f aca="false">IF(ISNUMBER('Base de Datos'!AH238),'Base de Datos'!AH238,IF(TRIM('Base de Datos'!AH238)="","",IFERROR(IF(IFERROR(FIND("@",SUBSTITUTE(TRIM('Base de Datos'!AH238),",","@",LEN(TRIM('Base de Datos'!AH238))-LEN(SUBSTITUTE(TRIM('Base de Datos'!AH238),",","")))),0)&gt;IFERROR(FIND("@",SUBSTITUTE(TRIM('Base de Datos'!AH238),".","@",LEN(TRIM('Base de Datos'!AH238))-LEN(SUBSTITUTE(TRIM('Base de Datos'!AH238),".","")))),0),_xlfn.NUMBERVALUE(SUBSTITUTE(SUBSTITUTE(TRIM('Base de Datos'!AH238),".",""),",","."),".",","),_xlfn.NUMBERVALUE(SUBSTITUTE(TRIM('Base de Datos'!AH238),",",""),".",",")),"")))</f>
        <v/>
      </c>
    </row>
    <row r="243" customFormat="false" ht="13.8" hidden="false" customHeight="false" outlineLevel="0" collapsed="false">
      <c r="AE243" s="44" t="n">
        <v>234</v>
      </c>
      <c r="AF243" s="55" t="str">
        <f aca="false">IF(AF242="","",IFERROR(SMALL($CH$10:$CH$309,COUNTIF($CH$10:$CH$309,"&lt;="&amp;AF242)+1),""))</f>
        <v/>
      </c>
      <c r="AG243" s="44" t="str">
        <f aca="false">IF(AF243="","",INDEX($CI$10:$CI$309,MATCH(AF243,$CH$10:$CH$309,0)))</f>
        <v/>
      </c>
      <c r="AH243" s="55" t="e">
        <f aca="false">IF(AF243="",NA(),AF243)</f>
        <v>#N/A</v>
      </c>
      <c r="AI243" s="44" t="e">
        <f aca="false">IF(AG243="",NA(),AG243)</f>
        <v>#N/A</v>
      </c>
      <c r="AU243" s="44" t="str">
        <f aca="false">IF(234&lt;=$C$8,234,"")</f>
        <v/>
      </c>
      <c r="AV243" s="44" t="str">
        <f aca="false">IF(AU243="","",INDEX($AG$10:$AG$309,$B$8+234-1))</f>
        <v/>
      </c>
      <c r="AW243" s="44" t="e">
        <f aca="false">IF(AV243="",NA(),AV243)</f>
        <v>#N/A</v>
      </c>
      <c r="AX243" s="44" t="e">
        <f aca="false">IF(AV243="",NA(),AU243)</f>
        <v>#N/A</v>
      </c>
      <c r="AY243" s="44" t="str">
        <f aca="false">IF(AV243="","",LN(AV243))</f>
        <v/>
      </c>
      <c r="CH243" s="55" t="str">
        <f aca="false">IF(ISNUMBER(CI243),IF(ISNUMBER('Base de Datos'!AG239),IF('Base de Datos'!AG239&gt;20000,INT('Base de Datos'!AG239),""),IF(TRIM('Base de Datos'!AG239)="","",IFERROR(DATE(VALUE(RIGHT(TRIM('Base de Datos'!AG239),4)),VALUE(MID(TRIM('Base de Datos'!AG239),4,2)),VALUE(LEFT(TRIM('Base de Datos'!AG239),2))),IFERROR(DATEVALUE(TRIM('Base de Datos'!AG239)),"")))),"")</f>
        <v/>
      </c>
      <c r="CI243" s="44" t="str">
        <f aca="false">IF(ISNUMBER('Base de Datos'!AH239),'Base de Datos'!AH239,IF(TRIM('Base de Datos'!AH239)="","",IFERROR(IF(IFERROR(FIND("@",SUBSTITUTE(TRIM('Base de Datos'!AH239),",","@",LEN(TRIM('Base de Datos'!AH239))-LEN(SUBSTITUTE(TRIM('Base de Datos'!AH239),",","")))),0)&gt;IFERROR(FIND("@",SUBSTITUTE(TRIM('Base de Datos'!AH239),".","@",LEN(TRIM('Base de Datos'!AH239))-LEN(SUBSTITUTE(TRIM('Base de Datos'!AH239),".","")))),0),_xlfn.NUMBERVALUE(SUBSTITUTE(SUBSTITUTE(TRIM('Base de Datos'!AH239),".",""),",","."),".",","),_xlfn.NUMBERVALUE(SUBSTITUTE(TRIM('Base de Datos'!AH239),",",""),".",",")),"")))</f>
        <v/>
      </c>
    </row>
    <row r="244" customFormat="false" ht="13.8" hidden="false" customHeight="false" outlineLevel="0" collapsed="false">
      <c r="AE244" s="44" t="n">
        <v>235</v>
      </c>
      <c r="AF244" s="55" t="str">
        <f aca="false">IF(AF243="","",IFERROR(SMALL($CH$10:$CH$309,COUNTIF($CH$10:$CH$309,"&lt;="&amp;AF243)+1),""))</f>
        <v/>
      </c>
      <c r="AG244" s="44" t="str">
        <f aca="false">IF(AF244="","",INDEX($CI$10:$CI$309,MATCH(AF244,$CH$10:$CH$309,0)))</f>
        <v/>
      </c>
      <c r="AH244" s="55" t="e">
        <f aca="false">IF(AF244="",NA(),AF244)</f>
        <v>#N/A</v>
      </c>
      <c r="AI244" s="44" t="e">
        <f aca="false">IF(AG244="",NA(),AG244)</f>
        <v>#N/A</v>
      </c>
      <c r="AU244" s="44" t="str">
        <f aca="false">IF(235&lt;=$C$8,235,"")</f>
        <v/>
      </c>
      <c r="AV244" s="44" t="str">
        <f aca="false">IF(AU244="","",INDEX($AG$10:$AG$309,$B$8+235-1))</f>
        <v/>
      </c>
      <c r="AW244" s="44" t="e">
        <f aca="false">IF(AV244="",NA(),AV244)</f>
        <v>#N/A</v>
      </c>
      <c r="AX244" s="44" t="e">
        <f aca="false">IF(AV244="",NA(),AU244)</f>
        <v>#N/A</v>
      </c>
      <c r="AY244" s="44" t="str">
        <f aca="false">IF(AV244="","",LN(AV244))</f>
        <v/>
      </c>
      <c r="CH244" s="55" t="str">
        <f aca="false">IF(ISNUMBER(CI244),IF(ISNUMBER('Base de Datos'!AG240),IF('Base de Datos'!AG240&gt;20000,INT('Base de Datos'!AG240),""),IF(TRIM('Base de Datos'!AG240)="","",IFERROR(DATE(VALUE(RIGHT(TRIM('Base de Datos'!AG240),4)),VALUE(MID(TRIM('Base de Datos'!AG240),4,2)),VALUE(LEFT(TRIM('Base de Datos'!AG240),2))),IFERROR(DATEVALUE(TRIM('Base de Datos'!AG240)),"")))),"")</f>
        <v/>
      </c>
      <c r="CI244" s="44" t="str">
        <f aca="false">IF(ISNUMBER('Base de Datos'!AH240),'Base de Datos'!AH240,IF(TRIM('Base de Datos'!AH240)="","",IFERROR(IF(IFERROR(FIND("@",SUBSTITUTE(TRIM('Base de Datos'!AH240),",","@",LEN(TRIM('Base de Datos'!AH240))-LEN(SUBSTITUTE(TRIM('Base de Datos'!AH240),",","")))),0)&gt;IFERROR(FIND("@",SUBSTITUTE(TRIM('Base de Datos'!AH240),".","@",LEN(TRIM('Base de Datos'!AH240))-LEN(SUBSTITUTE(TRIM('Base de Datos'!AH240),".","")))),0),_xlfn.NUMBERVALUE(SUBSTITUTE(SUBSTITUTE(TRIM('Base de Datos'!AH240),".",""),",","."),".",","),_xlfn.NUMBERVALUE(SUBSTITUTE(TRIM('Base de Datos'!AH240),",",""),".",",")),"")))</f>
        <v/>
      </c>
    </row>
    <row r="245" customFormat="false" ht="13.8" hidden="false" customHeight="false" outlineLevel="0" collapsed="false">
      <c r="AE245" s="44" t="n">
        <v>236</v>
      </c>
      <c r="AF245" s="55" t="str">
        <f aca="false">IF(AF244="","",IFERROR(SMALL($CH$10:$CH$309,COUNTIF($CH$10:$CH$309,"&lt;="&amp;AF244)+1),""))</f>
        <v/>
      </c>
      <c r="AG245" s="44" t="str">
        <f aca="false">IF(AF245="","",INDEX($CI$10:$CI$309,MATCH(AF245,$CH$10:$CH$309,0)))</f>
        <v/>
      </c>
      <c r="AH245" s="55" t="e">
        <f aca="false">IF(AF245="",NA(),AF245)</f>
        <v>#N/A</v>
      </c>
      <c r="AI245" s="44" t="e">
        <f aca="false">IF(AG245="",NA(),AG245)</f>
        <v>#N/A</v>
      </c>
      <c r="AU245" s="44" t="str">
        <f aca="false">IF(236&lt;=$C$8,236,"")</f>
        <v/>
      </c>
      <c r="AV245" s="44" t="str">
        <f aca="false">IF(AU245="","",INDEX($AG$10:$AG$309,$B$8+236-1))</f>
        <v/>
      </c>
      <c r="AW245" s="44" t="e">
        <f aca="false">IF(AV245="",NA(),AV245)</f>
        <v>#N/A</v>
      </c>
      <c r="AX245" s="44" t="e">
        <f aca="false">IF(AV245="",NA(),AU245)</f>
        <v>#N/A</v>
      </c>
      <c r="AY245" s="44" t="str">
        <f aca="false">IF(AV245="","",LN(AV245))</f>
        <v/>
      </c>
      <c r="CH245" s="55" t="str">
        <f aca="false">IF(ISNUMBER(CI245),IF(ISNUMBER('Base de Datos'!AG241),IF('Base de Datos'!AG241&gt;20000,INT('Base de Datos'!AG241),""),IF(TRIM('Base de Datos'!AG241)="","",IFERROR(DATE(VALUE(RIGHT(TRIM('Base de Datos'!AG241),4)),VALUE(MID(TRIM('Base de Datos'!AG241),4,2)),VALUE(LEFT(TRIM('Base de Datos'!AG241),2))),IFERROR(DATEVALUE(TRIM('Base de Datos'!AG241)),"")))),"")</f>
        <v/>
      </c>
      <c r="CI245" s="44" t="str">
        <f aca="false">IF(ISNUMBER('Base de Datos'!AH241),'Base de Datos'!AH241,IF(TRIM('Base de Datos'!AH241)="","",IFERROR(IF(IFERROR(FIND("@",SUBSTITUTE(TRIM('Base de Datos'!AH241),",","@",LEN(TRIM('Base de Datos'!AH241))-LEN(SUBSTITUTE(TRIM('Base de Datos'!AH241),",","")))),0)&gt;IFERROR(FIND("@",SUBSTITUTE(TRIM('Base de Datos'!AH241),".","@",LEN(TRIM('Base de Datos'!AH241))-LEN(SUBSTITUTE(TRIM('Base de Datos'!AH241),".","")))),0),_xlfn.NUMBERVALUE(SUBSTITUTE(SUBSTITUTE(TRIM('Base de Datos'!AH241),".",""),",","."),".",","),_xlfn.NUMBERVALUE(SUBSTITUTE(TRIM('Base de Datos'!AH241),",",""),".",",")),"")))</f>
        <v/>
      </c>
    </row>
    <row r="246" customFormat="false" ht="13.8" hidden="false" customHeight="false" outlineLevel="0" collapsed="false">
      <c r="AE246" s="44" t="n">
        <v>237</v>
      </c>
      <c r="AF246" s="55" t="str">
        <f aca="false">IF(AF245="","",IFERROR(SMALL($CH$10:$CH$309,COUNTIF($CH$10:$CH$309,"&lt;="&amp;AF245)+1),""))</f>
        <v/>
      </c>
      <c r="AG246" s="44" t="str">
        <f aca="false">IF(AF246="","",INDEX($CI$10:$CI$309,MATCH(AF246,$CH$10:$CH$309,0)))</f>
        <v/>
      </c>
      <c r="AH246" s="55" t="e">
        <f aca="false">IF(AF246="",NA(),AF246)</f>
        <v>#N/A</v>
      </c>
      <c r="AI246" s="44" t="e">
        <f aca="false">IF(AG246="",NA(),AG246)</f>
        <v>#N/A</v>
      </c>
      <c r="AU246" s="44" t="str">
        <f aca="false">IF(237&lt;=$C$8,237,"")</f>
        <v/>
      </c>
      <c r="AV246" s="44" t="str">
        <f aca="false">IF(AU246="","",INDEX($AG$10:$AG$309,$B$8+237-1))</f>
        <v/>
      </c>
      <c r="AW246" s="44" t="e">
        <f aca="false">IF(AV246="",NA(),AV246)</f>
        <v>#N/A</v>
      </c>
      <c r="AX246" s="44" t="e">
        <f aca="false">IF(AV246="",NA(),AU246)</f>
        <v>#N/A</v>
      </c>
      <c r="AY246" s="44" t="str">
        <f aca="false">IF(AV246="","",LN(AV246))</f>
        <v/>
      </c>
      <c r="CH246" s="55" t="str">
        <f aca="false">IF(ISNUMBER(CI246),IF(ISNUMBER('Base de Datos'!AG242),IF('Base de Datos'!AG242&gt;20000,INT('Base de Datos'!AG242),""),IF(TRIM('Base de Datos'!AG242)="","",IFERROR(DATE(VALUE(RIGHT(TRIM('Base de Datos'!AG242),4)),VALUE(MID(TRIM('Base de Datos'!AG242),4,2)),VALUE(LEFT(TRIM('Base de Datos'!AG242),2))),IFERROR(DATEVALUE(TRIM('Base de Datos'!AG242)),"")))),"")</f>
        <v/>
      </c>
      <c r="CI246" s="44" t="str">
        <f aca="false">IF(ISNUMBER('Base de Datos'!AH242),'Base de Datos'!AH242,IF(TRIM('Base de Datos'!AH242)="","",IFERROR(IF(IFERROR(FIND("@",SUBSTITUTE(TRIM('Base de Datos'!AH242),",","@",LEN(TRIM('Base de Datos'!AH242))-LEN(SUBSTITUTE(TRIM('Base de Datos'!AH242),",","")))),0)&gt;IFERROR(FIND("@",SUBSTITUTE(TRIM('Base de Datos'!AH242),".","@",LEN(TRIM('Base de Datos'!AH242))-LEN(SUBSTITUTE(TRIM('Base de Datos'!AH242),".","")))),0),_xlfn.NUMBERVALUE(SUBSTITUTE(SUBSTITUTE(TRIM('Base de Datos'!AH242),".",""),",","."),".",","),_xlfn.NUMBERVALUE(SUBSTITUTE(TRIM('Base de Datos'!AH242),",",""),".",",")),"")))</f>
        <v/>
      </c>
    </row>
    <row r="247" customFormat="false" ht="13.8" hidden="false" customHeight="false" outlineLevel="0" collapsed="false">
      <c r="AE247" s="44" t="n">
        <v>238</v>
      </c>
      <c r="AF247" s="55" t="str">
        <f aca="false">IF(AF246="","",IFERROR(SMALL($CH$10:$CH$309,COUNTIF($CH$10:$CH$309,"&lt;="&amp;AF246)+1),""))</f>
        <v/>
      </c>
      <c r="AG247" s="44" t="str">
        <f aca="false">IF(AF247="","",INDEX($CI$10:$CI$309,MATCH(AF247,$CH$10:$CH$309,0)))</f>
        <v/>
      </c>
      <c r="AH247" s="55" t="e">
        <f aca="false">IF(AF247="",NA(),AF247)</f>
        <v>#N/A</v>
      </c>
      <c r="AI247" s="44" t="e">
        <f aca="false">IF(AG247="",NA(),AG247)</f>
        <v>#N/A</v>
      </c>
      <c r="AU247" s="44" t="str">
        <f aca="false">IF(238&lt;=$C$8,238,"")</f>
        <v/>
      </c>
      <c r="AV247" s="44" t="str">
        <f aca="false">IF(AU247="","",INDEX($AG$10:$AG$309,$B$8+238-1))</f>
        <v/>
      </c>
      <c r="AW247" s="44" t="e">
        <f aca="false">IF(AV247="",NA(),AV247)</f>
        <v>#N/A</v>
      </c>
      <c r="AX247" s="44" t="e">
        <f aca="false">IF(AV247="",NA(),AU247)</f>
        <v>#N/A</v>
      </c>
      <c r="AY247" s="44" t="str">
        <f aca="false">IF(AV247="","",LN(AV247))</f>
        <v/>
      </c>
      <c r="CH247" s="55" t="str">
        <f aca="false">IF(ISNUMBER(CI247),IF(ISNUMBER('Base de Datos'!AG243),IF('Base de Datos'!AG243&gt;20000,INT('Base de Datos'!AG243),""),IF(TRIM('Base de Datos'!AG243)="","",IFERROR(DATE(VALUE(RIGHT(TRIM('Base de Datos'!AG243),4)),VALUE(MID(TRIM('Base de Datos'!AG243),4,2)),VALUE(LEFT(TRIM('Base de Datos'!AG243),2))),IFERROR(DATEVALUE(TRIM('Base de Datos'!AG243)),"")))),"")</f>
        <v/>
      </c>
      <c r="CI247" s="44" t="str">
        <f aca="false">IF(ISNUMBER('Base de Datos'!AH243),'Base de Datos'!AH243,IF(TRIM('Base de Datos'!AH243)="","",IFERROR(IF(IFERROR(FIND("@",SUBSTITUTE(TRIM('Base de Datos'!AH243),",","@",LEN(TRIM('Base de Datos'!AH243))-LEN(SUBSTITUTE(TRIM('Base de Datos'!AH243),",","")))),0)&gt;IFERROR(FIND("@",SUBSTITUTE(TRIM('Base de Datos'!AH243),".","@",LEN(TRIM('Base de Datos'!AH243))-LEN(SUBSTITUTE(TRIM('Base de Datos'!AH243),".","")))),0),_xlfn.NUMBERVALUE(SUBSTITUTE(SUBSTITUTE(TRIM('Base de Datos'!AH243),".",""),",","."),".",","),_xlfn.NUMBERVALUE(SUBSTITUTE(TRIM('Base de Datos'!AH243),",",""),".",",")),"")))</f>
        <v/>
      </c>
    </row>
    <row r="248" customFormat="false" ht="13.8" hidden="false" customHeight="false" outlineLevel="0" collapsed="false">
      <c r="AE248" s="44" t="n">
        <v>239</v>
      </c>
      <c r="AF248" s="55" t="str">
        <f aca="false">IF(AF247="","",IFERROR(SMALL($CH$10:$CH$309,COUNTIF($CH$10:$CH$309,"&lt;="&amp;AF247)+1),""))</f>
        <v/>
      </c>
      <c r="AG248" s="44" t="str">
        <f aca="false">IF(AF248="","",INDEX($CI$10:$CI$309,MATCH(AF248,$CH$10:$CH$309,0)))</f>
        <v/>
      </c>
      <c r="AH248" s="55" t="e">
        <f aca="false">IF(AF248="",NA(),AF248)</f>
        <v>#N/A</v>
      </c>
      <c r="AI248" s="44" t="e">
        <f aca="false">IF(AG248="",NA(),AG248)</f>
        <v>#N/A</v>
      </c>
      <c r="AU248" s="44" t="str">
        <f aca="false">IF(239&lt;=$C$8,239,"")</f>
        <v/>
      </c>
      <c r="AV248" s="44" t="str">
        <f aca="false">IF(AU248="","",INDEX($AG$10:$AG$309,$B$8+239-1))</f>
        <v/>
      </c>
      <c r="AW248" s="44" t="e">
        <f aca="false">IF(AV248="",NA(),AV248)</f>
        <v>#N/A</v>
      </c>
      <c r="AX248" s="44" t="e">
        <f aca="false">IF(AV248="",NA(),AU248)</f>
        <v>#N/A</v>
      </c>
      <c r="AY248" s="44" t="str">
        <f aca="false">IF(AV248="","",LN(AV248))</f>
        <v/>
      </c>
      <c r="CH248" s="55" t="str">
        <f aca="false">IF(ISNUMBER(CI248),IF(ISNUMBER('Base de Datos'!AG244),IF('Base de Datos'!AG244&gt;20000,INT('Base de Datos'!AG244),""),IF(TRIM('Base de Datos'!AG244)="","",IFERROR(DATE(VALUE(RIGHT(TRIM('Base de Datos'!AG244),4)),VALUE(MID(TRIM('Base de Datos'!AG244),4,2)),VALUE(LEFT(TRIM('Base de Datos'!AG244),2))),IFERROR(DATEVALUE(TRIM('Base de Datos'!AG244)),"")))),"")</f>
        <v/>
      </c>
      <c r="CI248" s="44" t="str">
        <f aca="false">IF(ISNUMBER('Base de Datos'!AH244),'Base de Datos'!AH244,IF(TRIM('Base de Datos'!AH244)="","",IFERROR(IF(IFERROR(FIND("@",SUBSTITUTE(TRIM('Base de Datos'!AH244),",","@",LEN(TRIM('Base de Datos'!AH244))-LEN(SUBSTITUTE(TRIM('Base de Datos'!AH244),",","")))),0)&gt;IFERROR(FIND("@",SUBSTITUTE(TRIM('Base de Datos'!AH244),".","@",LEN(TRIM('Base de Datos'!AH244))-LEN(SUBSTITUTE(TRIM('Base de Datos'!AH244),".","")))),0),_xlfn.NUMBERVALUE(SUBSTITUTE(SUBSTITUTE(TRIM('Base de Datos'!AH244),".",""),",","."),".",","),_xlfn.NUMBERVALUE(SUBSTITUTE(TRIM('Base de Datos'!AH244),",",""),".",",")),"")))</f>
        <v/>
      </c>
    </row>
    <row r="249" customFormat="false" ht="13.8" hidden="false" customHeight="false" outlineLevel="0" collapsed="false">
      <c r="AE249" s="44" t="n">
        <v>240</v>
      </c>
      <c r="AF249" s="55" t="str">
        <f aca="false">IF(AF248="","",IFERROR(SMALL($CH$10:$CH$309,COUNTIF($CH$10:$CH$309,"&lt;="&amp;AF248)+1),""))</f>
        <v/>
      </c>
      <c r="AG249" s="44" t="str">
        <f aca="false">IF(AF249="","",INDEX($CI$10:$CI$309,MATCH(AF249,$CH$10:$CH$309,0)))</f>
        <v/>
      </c>
      <c r="AH249" s="55" t="e">
        <f aca="false">IF(AF249="",NA(),AF249)</f>
        <v>#N/A</v>
      </c>
      <c r="AI249" s="44" t="e">
        <f aca="false">IF(AG249="",NA(),AG249)</f>
        <v>#N/A</v>
      </c>
      <c r="AU249" s="44" t="str">
        <f aca="false">IF(240&lt;=$C$8,240,"")</f>
        <v/>
      </c>
      <c r="AV249" s="44" t="str">
        <f aca="false">IF(AU249="","",INDEX($AG$10:$AG$309,$B$8+240-1))</f>
        <v/>
      </c>
      <c r="AW249" s="44" t="e">
        <f aca="false">IF(AV249="",NA(),AV249)</f>
        <v>#N/A</v>
      </c>
      <c r="AX249" s="44" t="e">
        <f aca="false">IF(AV249="",NA(),AU249)</f>
        <v>#N/A</v>
      </c>
      <c r="AY249" s="44" t="str">
        <f aca="false">IF(AV249="","",LN(AV249))</f>
        <v/>
      </c>
      <c r="CH249" s="55" t="str">
        <f aca="false">IF(ISNUMBER(CI249),IF(ISNUMBER('Base de Datos'!AG245),IF('Base de Datos'!AG245&gt;20000,INT('Base de Datos'!AG245),""),IF(TRIM('Base de Datos'!AG245)="","",IFERROR(DATE(VALUE(RIGHT(TRIM('Base de Datos'!AG245),4)),VALUE(MID(TRIM('Base de Datos'!AG245),4,2)),VALUE(LEFT(TRIM('Base de Datos'!AG245),2))),IFERROR(DATEVALUE(TRIM('Base de Datos'!AG245)),"")))),"")</f>
        <v/>
      </c>
      <c r="CI249" s="44" t="str">
        <f aca="false">IF(ISNUMBER('Base de Datos'!AH245),'Base de Datos'!AH245,IF(TRIM('Base de Datos'!AH245)="","",IFERROR(IF(IFERROR(FIND("@",SUBSTITUTE(TRIM('Base de Datos'!AH245),",","@",LEN(TRIM('Base de Datos'!AH245))-LEN(SUBSTITUTE(TRIM('Base de Datos'!AH245),",","")))),0)&gt;IFERROR(FIND("@",SUBSTITUTE(TRIM('Base de Datos'!AH245),".","@",LEN(TRIM('Base de Datos'!AH245))-LEN(SUBSTITUTE(TRIM('Base de Datos'!AH245),".","")))),0),_xlfn.NUMBERVALUE(SUBSTITUTE(SUBSTITUTE(TRIM('Base de Datos'!AH245),".",""),",","."),".",","),_xlfn.NUMBERVALUE(SUBSTITUTE(TRIM('Base de Datos'!AH245),",",""),".",",")),"")))</f>
        <v/>
      </c>
    </row>
    <row r="250" customFormat="false" ht="13.8" hidden="false" customHeight="false" outlineLevel="0" collapsed="false">
      <c r="AE250" s="44" t="n">
        <v>241</v>
      </c>
      <c r="AF250" s="55" t="str">
        <f aca="false">IF(AF249="","",IFERROR(SMALL($CH$10:$CH$309,COUNTIF($CH$10:$CH$309,"&lt;="&amp;AF249)+1),""))</f>
        <v/>
      </c>
      <c r="AG250" s="44" t="str">
        <f aca="false">IF(AF250="","",INDEX($CI$10:$CI$309,MATCH(AF250,$CH$10:$CH$309,0)))</f>
        <v/>
      </c>
      <c r="AH250" s="55" t="e">
        <f aca="false">IF(AF250="",NA(),AF250)</f>
        <v>#N/A</v>
      </c>
      <c r="AI250" s="44" t="e">
        <f aca="false">IF(AG250="",NA(),AG250)</f>
        <v>#N/A</v>
      </c>
      <c r="AU250" s="44" t="str">
        <f aca="false">IF(241&lt;=$C$8,241,"")</f>
        <v/>
      </c>
      <c r="AV250" s="44" t="str">
        <f aca="false">IF(AU250="","",INDEX($AG$10:$AG$309,$B$8+241-1))</f>
        <v/>
      </c>
      <c r="AW250" s="44" t="e">
        <f aca="false">IF(AV250="",NA(),AV250)</f>
        <v>#N/A</v>
      </c>
      <c r="AX250" s="44" t="e">
        <f aca="false">IF(AV250="",NA(),AU250)</f>
        <v>#N/A</v>
      </c>
      <c r="AY250" s="44" t="str">
        <f aca="false">IF(AV250="","",LN(AV250))</f>
        <v/>
      </c>
      <c r="CH250" s="55" t="str">
        <f aca="false">IF(ISNUMBER(CI250),IF(ISNUMBER('Base de Datos'!AG246),IF('Base de Datos'!AG246&gt;20000,INT('Base de Datos'!AG246),""),IF(TRIM('Base de Datos'!AG246)="","",IFERROR(DATE(VALUE(RIGHT(TRIM('Base de Datos'!AG246),4)),VALUE(MID(TRIM('Base de Datos'!AG246),4,2)),VALUE(LEFT(TRIM('Base de Datos'!AG246),2))),IFERROR(DATEVALUE(TRIM('Base de Datos'!AG246)),"")))),"")</f>
        <v/>
      </c>
      <c r="CI250" s="44" t="str">
        <f aca="false">IF(ISNUMBER('Base de Datos'!AH246),'Base de Datos'!AH246,IF(TRIM('Base de Datos'!AH246)="","",IFERROR(IF(IFERROR(FIND("@",SUBSTITUTE(TRIM('Base de Datos'!AH246),",","@",LEN(TRIM('Base de Datos'!AH246))-LEN(SUBSTITUTE(TRIM('Base de Datos'!AH246),",","")))),0)&gt;IFERROR(FIND("@",SUBSTITUTE(TRIM('Base de Datos'!AH246),".","@",LEN(TRIM('Base de Datos'!AH246))-LEN(SUBSTITUTE(TRIM('Base de Datos'!AH246),".","")))),0),_xlfn.NUMBERVALUE(SUBSTITUTE(SUBSTITUTE(TRIM('Base de Datos'!AH246),".",""),",","."),".",","),_xlfn.NUMBERVALUE(SUBSTITUTE(TRIM('Base de Datos'!AH246),",",""),".",",")),"")))</f>
        <v/>
      </c>
    </row>
    <row r="251" customFormat="false" ht="13.8" hidden="false" customHeight="false" outlineLevel="0" collapsed="false">
      <c r="AE251" s="44" t="n">
        <v>242</v>
      </c>
      <c r="AF251" s="55" t="str">
        <f aca="false">IF(AF250="","",IFERROR(SMALL($CH$10:$CH$309,COUNTIF($CH$10:$CH$309,"&lt;="&amp;AF250)+1),""))</f>
        <v/>
      </c>
      <c r="AG251" s="44" t="str">
        <f aca="false">IF(AF251="","",INDEX($CI$10:$CI$309,MATCH(AF251,$CH$10:$CH$309,0)))</f>
        <v/>
      </c>
      <c r="AH251" s="55" t="e">
        <f aca="false">IF(AF251="",NA(),AF251)</f>
        <v>#N/A</v>
      </c>
      <c r="AI251" s="44" t="e">
        <f aca="false">IF(AG251="",NA(),AG251)</f>
        <v>#N/A</v>
      </c>
      <c r="AU251" s="44" t="str">
        <f aca="false">IF(242&lt;=$C$8,242,"")</f>
        <v/>
      </c>
      <c r="AV251" s="44" t="str">
        <f aca="false">IF(AU251="","",INDEX($AG$10:$AG$309,$B$8+242-1))</f>
        <v/>
      </c>
      <c r="AW251" s="44" t="e">
        <f aca="false">IF(AV251="",NA(),AV251)</f>
        <v>#N/A</v>
      </c>
      <c r="AX251" s="44" t="e">
        <f aca="false">IF(AV251="",NA(),AU251)</f>
        <v>#N/A</v>
      </c>
      <c r="AY251" s="44" t="str">
        <f aca="false">IF(AV251="","",LN(AV251))</f>
        <v/>
      </c>
      <c r="CH251" s="55" t="str">
        <f aca="false">IF(ISNUMBER(CI251),IF(ISNUMBER('Base de Datos'!AG247),IF('Base de Datos'!AG247&gt;20000,INT('Base de Datos'!AG247),""),IF(TRIM('Base de Datos'!AG247)="","",IFERROR(DATE(VALUE(RIGHT(TRIM('Base de Datos'!AG247),4)),VALUE(MID(TRIM('Base de Datos'!AG247),4,2)),VALUE(LEFT(TRIM('Base de Datos'!AG247),2))),IFERROR(DATEVALUE(TRIM('Base de Datos'!AG247)),"")))),"")</f>
        <v/>
      </c>
      <c r="CI251" s="44" t="str">
        <f aca="false">IF(ISNUMBER('Base de Datos'!AH247),'Base de Datos'!AH247,IF(TRIM('Base de Datos'!AH247)="","",IFERROR(IF(IFERROR(FIND("@",SUBSTITUTE(TRIM('Base de Datos'!AH247),",","@",LEN(TRIM('Base de Datos'!AH247))-LEN(SUBSTITUTE(TRIM('Base de Datos'!AH247),",","")))),0)&gt;IFERROR(FIND("@",SUBSTITUTE(TRIM('Base de Datos'!AH247),".","@",LEN(TRIM('Base de Datos'!AH247))-LEN(SUBSTITUTE(TRIM('Base de Datos'!AH247),".","")))),0),_xlfn.NUMBERVALUE(SUBSTITUTE(SUBSTITUTE(TRIM('Base de Datos'!AH247),".",""),",","."),".",","),_xlfn.NUMBERVALUE(SUBSTITUTE(TRIM('Base de Datos'!AH247),",",""),".",",")),"")))</f>
        <v/>
      </c>
    </row>
    <row r="252" customFormat="false" ht="13.8" hidden="false" customHeight="false" outlineLevel="0" collapsed="false">
      <c r="AE252" s="44" t="n">
        <v>243</v>
      </c>
      <c r="AF252" s="55" t="str">
        <f aca="false">IF(AF251="","",IFERROR(SMALL($CH$10:$CH$309,COUNTIF($CH$10:$CH$309,"&lt;="&amp;AF251)+1),""))</f>
        <v/>
      </c>
      <c r="AG252" s="44" t="str">
        <f aca="false">IF(AF252="","",INDEX($CI$10:$CI$309,MATCH(AF252,$CH$10:$CH$309,0)))</f>
        <v/>
      </c>
      <c r="AH252" s="55" t="e">
        <f aca="false">IF(AF252="",NA(),AF252)</f>
        <v>#N/A</v>
      </c>
      <c r="AI252" s="44" t="e">
        <f aca="false">IF(AG252="",NA(),AG252)</f>
        <v>#N/A</v>
      </c>
      <c r="AU252" s="44" t="str">
        <f aca="false">IF(243&lt;=$C$8,243,"")</f>
        <v/>
      </c>
      <c r="AV252" s="44" t="str">
        <f aca="false">IF(AU252="","",INDEX($AG$10:$AG$309,$B$8+243-1))</f>
        <v/>
      </c>
      <c r="AW252" s="44" t="e">
        <f aca="false">IF(AV252="",NA(),AV252)</f>
        <v>#N/A</v>
      </c>
      <c r="AX252" s="44" t="e">
        <f aca="false">IF(AV252="",NA(),AU252)</f>
        <v>#N/A</v>
      </c>
      <c r="AY252" s="44" t="str">
        <f aca="false">IF(AV252="","",LN(AV252))</f>
        <v/>
      </c>
      <c r="CH252" s="55" t="str">
        <f aca="false">IF(ISNUMBER(CI252),IF(ISNUMBER('Base de Datos'!AG248),IF('Base de Datos'!AG248&gt;20000,INT('Base de Datos'!AG248),""),IF(TRIM('Base de Datos'!AG248)="","",IFERROR(DATE(VALUE(RIGHT(TRIM('Base de Datos'!AG248),4)),VALUE(MID(TRIM('Base de Datos'!AG248),4,2)),VALUE(LEFT(TRIM('Base de Datos'!AG248),2))),IFERROR(DATEVALUE(TRIM('Base de Datos'!AG248)),"")))),"")</f>
        <v/>
      </c>
      <c r="CI252" s="44" t="str">
        <f aca="false">IF(ISNUMBER('Base de Datos'!AH248),'Base de Datos'!AH248,IF(TRIM('Base de Datos'!AH248)="","",IFERROR(IF(IFERROR(FIND("@",SUBSTITUTE(TRIM('Base de Datos'!AH248),",","@",LEN(TRIM('Base de Datos'!AH248))-LEN(SUBSTITUTE(TRIM('Base de Datos'!AH248),",","")))),0)&gt;IFERROR(FIND("@",SUBSTITUTE(TRIM('Base de Datos'!AH248),".","@",LEN(TRIM('Base de Datos'!AH248))-LEN(SUBSTITUTE(TRIM('Base de Datos'!AH248),".","")))),0),_xlfn.NUMBERVALUE(SUBSTITUTE(SUBSTITUTE(TRIM('Base de Datos'!AH248),".",""),",","."),".",","),_xlfn.NUMBERVALUE(SUBSTITUTE(TRIM('Base de Datos'!AH248),",",""),".",",")),"")))</f>
        <v/>
      </c>
    </row>
    <row r="253" customFormat="false" ht="13.8" hidden="false" customHeight="false" outlineLevel="0" collapsed="false">
      <c r="AE253" s="44" t="n">
        <v>244</v>
      </c>
      <c r="AF253" s="55" t="str">
        <f aca="false">IF(AF252="","",IFERROR(SMALL($CH$10:$CH$309,COUNTIF($CH$10:$CH$309,"&lt;="&amp;AF252)+1),""))</f>
        <v/>
      </c>
      <c r="AG253" s="44" t="str">
        <f aca="false">IF(AF253="","",INDEX($CI$10:$CI$309,MATCH(AF253,$CH$10:$CH$309,0)))</f>
        <v/>
      </c>
      <c r="AH253" s="55" t="e">
        <f aca="false">IF(AF253="",NA(),AF253)</f>
        <v>#N/A</v>
      </c>
      <c r="AI253" s="44" t="e">
        <f aca="false">IF(AG253="",NA(),AG253)</f>
        <v>#N/A</v>
      </c>
      <c r="AU253" s="44" t="str">
        <f aca="false">IF(244&lt;=$C$8,244,"")</f>
        <v/>
      </c>
      <c r="AV253" s="44" t="str">
        <f aca="false">IF(AU253="","",INDEX($AG$10:$AG$309,$B$8+244-1))</f>
        <v/>
      </c>
      <c r="AW253" s="44" t="e">
        <f aca="false">IF(AV253="",NA(),AV253)</f>
        <v>#N/A</v>
      </c>
      <c r="AX253" s="44" t="e">
        <f aca="false">IF(AV253="",NA(),AU253)</f>
        <v>#N/A</v>
      </c>
      <c r="AY253" s="44" t="str">
        <f aca="false">IF(AV253="","",LN(AV253))</f>
        <v/>
      </c>
      <c r="CH253" s="55" t="str">
        <f aca="false">IF(ISNUMBER(CI253),IF(ISNUMBER('Base de Datos'!AG249),IF('Base de Datos'!AG249&gt;20000,INT('Base de Datos'!AG249),""),IF(TRIM('Base de Datos'!AG249)="","",IFERROR(DATE(VALUE(RIGHT(TRIM('Base de Datos'!AG249),4)),VALUE(MID(TRIM('Base de Datos'!AG249),4,2)),VALUE(LEFT(TRIM('Base de Datos'!AG249),2))),IFERROR(DATEVALUE(TRIM('Base de Datos'!AG249)),"")))),"")</f>
        <v/>
      </c>
      <c r="CI253" s="44" t="str">
        <f aca="false">IF(ISNUMBER('Base de Datos'!AH249),'Base de Datos'!AH249,IF(TRIM('Base de Datos'!AH249)="","",IFERROR(IF(IFERROR(FIND("@",SUBSTITUTE(TRIM('Base de Datos'!AH249),",","@",LEN(TRIM('Base de Datos'!AH249))-LEN(SUBSTITUTE(TRIM('Base de Datos'!AH249),",","")))),0)&gt;IFERROR(FIND("@",SUBSTITUTE(TRIM('Base de Datos'!AH249),".","@",LEN(TRIM('Base de Datos'!AH249))-LEN(SUBSTITUTE(TRIM('Base de Datos'!AH249),".","")))),0),_xlfn.NUMBERVALUE(SUBSTITUTE(SUBSTITUTE(TRIM('Base de Datos'!AH249),".",""),",","."),".",","),_xlfn.NUMBERVALUE(SUBSTITUTE(TRIM('Base de Datos'!AH249),",",""),".",",")),"")))</f>
        <v/>
      </c>
    </row>
    <row r="254" customFormat="false" ht="13.8" hidden="false" customHeight="false" outlineLevel="0" collapsed="false">
      <c r="AE254" s="44" t="n">
        <v>245</v>
      </c>
      <c r="AF254" s="55" t="str">
        <f aca="false">IF(AF253="","",IFERROR(SMALL($CH$10:$CH$309,COUNTIF($CH$10:$CH$309,"&lt;="&amp;AF253)+1),""))</f>
        <v/>
      </c>
      <c r="AG254" s="44" t="str">
        <f aca="false">IF(AF254="","",INDEX($CI$10:$CI$309,MATCH(AF254,$CH$10:$CH$309,0)))</f>
        <v/>
      </c>
      <c r="AH254" s="55" t="e">
        <f aca="false">IF(AF254="",NA(),AF254)</f>
        <v>#N/A</v>
      </c>
      <c r="AI254" s="44" t="e">
        <f aca="false">IF(AG254="",NA(),AG254)</f>
        <v>#N/A</v>
      </c>
      <c r="AU254" s="44" t="str">
        <f aca="false">IF(245&lt;=$C$8,245,"")</f>
        <v/>
      </c>
      <c r="AV254" s="44" t="str">
        <f aca="false">IF(AU254="","",INDEX($AG$10:$AG$309,$B$8+245-1))</f>
        <v/>
      </c>
      <c r="AW254" s="44" t="e">
        <f aca="false">IF(AV254="",NA(),AV254)</f>
        <v>#N/A</v>
      </c>
      <c r="AX254" s="44" t="e">
        <f aca="false">IF(AV254="",NA(),AU254)</f>
        <v>#N/A</v>
      </c>
      <c r="AY254" s="44" t="str">
        <f aca="false">IF(AV254="","",LN(AV254))</f>
        <v/>
      </c>
      <c r="CH254" s="55" t="str">
        <f aca="false">IF(ISNUMBER(CI254),IF(ISNUMBER('Base de Datos'!AG250),IF('Base de Datos'!AG250&gt;20000,INT('Base de Datos'!AG250),""),IF(TRIM('Base de Datos'!AG250)="","",IFERROR(DATE(VALUE(RIGHT(TRIM('Base de Datos'!AG250),4)),VALUE(MID(TRIM('Base de Datos'!AG250),4,2)),VALUE(LEFT(TRIM('Base de Datos'!AG250),2))),IFERROR(DATEVALUE(TRIM('Base de Datos'!AG250)),"")))),"")</f>
        <v/>
      </c>
      <c r="CI254" s="44" t="str">
        <f aca="false">IF(ISNUMBER('Base de Datos'!AH250),'Base de Datos'!AH250,IF(TRIM('Base de Datos'!AH250)="","",IFERROR(IF(IFERROR(FIND("@",SUBSTITUTE(TRIM('Base de Datos'!AH250),",","@",LEN(TRIM('Base de Datos'!AH250))-LEN(SUBSTITUTE(TRIM('Base de Datos'!AH250),",","")))),0)&gt;IFERROR(FIND("@",SUBSTITUTE(TRIM('Base de Datos'!AH250),".","@",LEN(TRIM('Base de Datos'!AH250))-LEN(SUBSTITUTE(TRIM('Base de Datos'!AH250),".","")))),0),_xlfn.NUMBERVALUE(SUBSTITUTE(SUBSTITUTE(TRIM('Base de Datos'!AH250),".",""),",","."),".",","),_xlfn.NUMBERVALUE(SUBSTITUTE(TRIM('Base de Datos'!AH250),",",""),".",",")),"")))</f>
        <v/>
      </c>
    </row>
    <row r="255" customFormat="false" ht="13.8" hidden="false" customHeight="false" outlineLevel="0" collapsed="false">
      <c r="AE255" s="44" t="n">
        <v>246</v>
      </c>
      <c r="AF255" s="55" t="str">
        <f aca="false">IF(AF254="","",IFERROR(SMALL($CH$10:$CH$309,COUNTIF($CH$10:$CH$309,"&lt;="&amp;AF254)+1),""))</f>
        <v/>
      </c>
      <c r="AG255" s="44" t="str">
        <f aca="false">IF(AF255="","",INDEX($CI$10:$CI$309,MATCH(AF255,$CH$10:$CH$309,0)))</f>
        <v/>
      </c>
      <c r="AH255" s="55" t="e">
        <f aca="false">IF(AF255="",NA(),AF255)</f>
        <v>#N/A</v>
      </c>
      <c r="AI255" s="44" t="e">
        <f aca="false">IF(AG255="",NA(),AG255)</f>
        <v>#N/A</v>
      </c>
      <c r="AU255" s="44" t="str">
        <f aca="false">IF(246&lt;=$C$8,246,"")</f>
        <v/>
      </c>
      <c r="AV255" s="44" t="str">
        <f aca="false">IF(AU255="","",INDEX($AG$10:$AG$309,$B$8+246-1))</f>
        <v/>
      </c>
      <c r="AW255" s="44" t="e">
        <f aca="false">IF(AV255="",NA(),AV255)</f>
        <v>#N/A</v>
      </c>
      <c r="AX255" s="44" t="e">
        <f aca="false">IF(AV255="",NA(),AU255)</f>
        <v>#N/A</v>
      </c>
      <c r="AY255" s="44" t="str">
        <f aca="false">IF(AV255="","",LN(AV255))</f>
        <v/>
      </c>
      <c r="CH255" s="55" t="str">
        <f aca="false">IF(ISNUMBER(CI255),IF(ISNUMBER('Base de Datos'!AG251),IF('Base de Datos'!AG251&gt;20000,INT('Base de Datos'!AG251),""),IF(TRIM('Base de Datos'!AG251)="","",IFERROR(DATE(VALUE(RIGHT(TRIM('Base de Datos'!AG251),4)),VALUE(MID(TRIM('Base de Datos'!AG251),4,2)),VALUE(LEFT(TRIM('Base de Datos'!AG251),2))),IFERROR(DATEVALUE(TRIM('Base de Datos'!AG251)),"")))),"")</f>
        <v/>
      </c>
      <c r="CI255" s="44" t="str">
        <f aca="false">IF(ISNUMBER('Base de Datos'!AH251),'Base de Datos'!AH251,IF(TRIM('Base de Datos'!AH251)="","",IFERROR(IF(IFERROR(FIND("@",SUBSTITUTE(TRIM('Base de Datos'!AH251),",","@",LEN(TRIM('Base de Datos'!AH251))-LEN(SUBSTITUTE(TRIM('Base de Datos'!AH251),",","")))),0)&gt;IFERROR(FIND("@",SUBSTITUTE(TRIM('Base de Datos'!AH251),".","@",LEN(TRIM('Base de Datos'!AH251))-LEN(SUBSTITUTE(TRIM('Base de Datos'!AH251),".","")))),0),_xlfn.NUMBERVALUE(SUBSTITUTE(SUBSTITUTE(TRIM('Base de Datos'!AH251),".",""),",","."),".",","),_xlfn.NUMBERVALUE(SUBSTITUTE(TRIM('Base de Datos'!AH251),",",""),".",",")),"")))</f>
        <v/>
      </c>
    </row>
    <row r="256" customFormat="false" ht="13.8" hidden="false" customHeight="false" outlineLevel="0" collapsed="false">
      <c r="AE256" s="44" t="n">
        <v>247</v>
      </c>
      <c r="AF256" s="55" t="str">
        <f aca="false">IF(AF255="","",IFERROR(SMALL($CH$10:$CH$309,COUNTIF($CH$10:$CH$309,"&lt;="&amp;AF255)+1),""))</f>
        <v/>
      </c>
      <c r="AG256" s="44" t="str">
        <f aca="false">IF(AF256="","",INDEX($CI$10:$CI$309,MATCH(AF256,$CH$10:$CH$309,0)))</f>
        <v/>
      </c>
      <c r="AH256" s="55" t="e">
        <f aca="false">IF(AF256="",NA(),AF256)</f>
        <v>#N/A</v>
      </c>
      <c r="AI256" s="44" t="e">
        <f aca="false">IF(AG256="",NA(),AG256)</f>
        <v>#N/A</v>
      </c>
      <c r="AU256" s="44" t="str">
        <f aca="false">IF(247&lt;=$C$8,247,"")</f>
        <v/>
      </c>
      <c r="AV256" s="44" t="str">
        <f aca="false">IF(AU256="","",INDEX($AG$10:$AG$309,$B$8+247-1))</f>
        <v/>
      </c>
      <c r="AW256" s="44" t="e">
        <f aca="false">IF(AV256="",NA(),AV256)</f>
        <v>#N/A</v>
      </c>
      <c r="AX256" s="44" t="e">
        <f aca="false">IF(AV256="",NA(),AU256)</f>
        <v>#N/A</v>
      </c>
      <c r="AY256" s="44" t="str">
        <f aca="false">IF(AV256="","",LN(AV256))</f>
        <v/>
      </c>
      <c r="CH256" s="55" t="str">
        <f aca="false">IF(ISNUMBER(CI256),IF(ISNUMBER('Base de Datos'!AG252),IF('Base de Datos'!AG252&gt;20000,INT('Base de Datos'!AG252),""),IF(TRIM('Base de Datos'!AG252)="","",IFERROR(DATE(VALUE(RIGHT(TRIM('Base de Datos'!AG252),4)),VALUE(MID(TRIM('Base de Datos'!AG252),4,2)),VALUE(LEFT(TRIM('Base de Datos'!AG252),2))),IFERROR(DATEVALUE(TRIM('Base de Datos'!AG252)),"")))),"")</f>
        <v/>
      </c>
      <c r="CI256" s="44" t="str">
        <f aca="false">IF(ISNUMBER('Base de Datos'!AH252),'Base de Datos'!AH252,IF(TRIM('Base de Datos'!AH252)="","",IFERROR(IF(IFERROR(FIND("@",SUBSTITUTE(TRIM('Base de Datos'!AH252),",","@",LEN(TRIM('Base de Datos'!AH252))-LEN(SUBSTITUTE(TRIM('Base de Datos'!AH252),",","")))),0)&gt;IFERROR(FIND("@",SUBSTITUTE(TRIM('Base de Datos'!AH252),".","@",LEN(TRIM('Base de Datos'!AH252))-LEN(SUBSTITUTE(TRIM('Base de Datos'!AH252),".","")))),0),_xlfn.NUMBERVALUE(SUBSTITUTE(SUBSTITUTE(TRIM('Base de Datos'!AH252),".",""),",","."),".",","),_xlfn.NUMBERVALUE(SUBSTITUTE(TRIM('Base de Datos'!AH252),",",""),".",",")),"")))</f>
        <v/>
      </c>
    </row>
    <row r="257" customFormat="false" ht="13.8" hidden="false" customHeight="false" outlineLevel="0" collapsed="false">
      <c r="AE257" s="44" t="n">
        <v>248</v>
      </c>
      <c r="AF257" s="55" t="str">
        <f aca="false">IF(AF256="","",IFERROR(SMALL($CH$10:$CH$309,COUNTIF($CH$10:$CH$309,"&lt;="&amp;AF256)+1),""))</f>
        <v/>
      </c>
      <c r="AG257" s="44" t="str">
        <f aca="false">IF(AF257="","",INDEX($CI$10:$CI$309,MATCH(AF257,$CH$10:$CH$309,0)))</f>
        <v/>
      </c>
      <c r="AH257" s="55" t="e">
        <f aca="false">IF(AF257="",NA(),AF257)</f>
        <v>#N/A</v>
      </c>
      <c r="AI257" s="44" t="e">
        <f aca="false">IF(AG257="",NA(),AG257)</f>
        <v>#N/A</v>
      </c>
      <c r="AU257" s="44" t="str">
        <f aca="false">IF(248&lt;=$C$8,248,"")</f>
        <v/>
      </c>
      <c r="AV257" s="44" t="str">
        <f aca="false">IF(AU257="","",INDEX($AG$10:$AG$309,$B$8+248-1))</f>
        <v/>
      </c>
      <c r="AW257" s="44" t="e">
        <f aca="false">IF(AV257="",NA(),AV257)</f>
        <v>#N/A</v>
      </c>
      <c r="AX257" s="44" t="e">
        <f aca="false">IF(AV257="",NA(),AU257)</f>
        <v>#N/A</v>
      </c>
      <c r="AY257" s="44" t="str">
        <f aca="false">IF(AV257="","",LN(AV257))</f>
        <v/>
      </c>
      <c r="CH257" s="55" t="str">
        <f aca="false">IF(ISNUMBER(CI257),IF(ISNUMBER('Base de Datos'!AG253),IF('Base de Datos'!AG253&gt;20000,INT('Base de Datos'!AG253),""),IF(TRIM('Base de Datos'!AG253)="","",IFERROR(DATE(VALUE(RIGHT(TRIM('Base de Datos'!AG253),4)),VALUE(MID(TRIM('Base de Datos'!AG253),4,2)),VALUE(LEFT(TRIM('Base de Datos'!AG253),2))),IFERROR(DATEVALUE(TRIM('Base de Datos'!AG253)),"")))),"")</f>
        <v/>
      </c>
      <c r="CI257" s="44" t="str">
        <f aca="false">IF(ISNUMBER('Base de Datos'!AH253),'Base de Datos'!AH253,IF(TRIM('Base de Datos'!AH253)="","",IFERROR(IF(IFERROR(FIND("@",SUBSTITUTE(TRIM('Base de Datos'!AH253),",","@",LEN(TRIM('Base de Datos'!AH253))-LEN(SUBSTITUTE(TRIM('Base de Datos'!AH253),",","")))),0)&gt;IFERROR(FIND("@",SUBSTITUTE(TRIM('Base de Datos'!AH253),".","@",LEN(TRIM('Base de Datos'!AH253))-LEN(SUBSTITUTE(TRIM('Base de Datos'!AH253),".","")))),0),_xlfn.NUMBERVALUE(SUBSTITUTE(SUBSTITUTE(TRIM('Base de Datos'!AH253),".",""),",","."),".",","),_xlfn.NUMBERVALUE(SUBSTITUTE(TRIM('Base de Datos'!AH253),",",""),".",",")),"")))</f>
        <v/>
      </c>
    </row>
    <row r="258" customFormat="false" ht="13.8" hidden="false" customHeight="false" outlineLevel="0" collapsed="false">
      <c r="AE258" s="44" t="n">
        <v>249</v>
      </c>
      <c r="AF258" s="55" t="str">
        <f aca="false">IF(AF257="","",IFERROR(SMALL($CH$10:$CH$309,COUNTIF($CH$10:$CH$309,"&lt;="&amp;AF257)+1),""))</f>
        <v/>
      </c>
      <c r="AG258" s="44" t="str">
        <f aca="false">IF(AF258="","",INDEX($CI$10:$CI$309,MATCH(AF258,$CH$10:$CH$309,0)))</f>
        <v/>
      </c>
      <c r="AH258" s="55" t="e">
        <f aca="false">IF(AF258="",NA(),AF258)</f>
        <v>#N/A</v>
      </c>
      <c r="AI258" s="44" t="e">
        <f aca="false">IF(AG258="",NA(),AG258)</f>
        <v>#N/A</v>
      </c>
      <c r="AU258" s="44" t="str">
        <f aca="false">IF(249&lt;=$C$8,249,"")</f>
        <v/>
      </c>
      <c r="AV258" s="44" t="str">
        <f aca="false">IF(AU258="","",INDEX($AG$10:$AG$309,$B$8+249-1))</f>
        <v/>
      </c>
      <c r="AW258" s="44" t="e">
        <f aca="false">IF(AV258="",NA(),AV258)</f>
        <v>#N/A</v>
      </c>
      <c r="AX258" s="44" t="e">
        <f aca="false">IF(AV258="",NA(),AU258)</f>
        <v>#N/A</v>
      </c>
      <c r="AY258" s="44" t="str">
        <f aca="false">IF(AV258="","",LN(AV258))</f>
        <v/>
      </c>
      <c r="CH258" s="55" t="str">
        <f aca="false">IF(ISNUMBER(CI258),IF(ISNUMBER('Base de Datos'!AG254),IF('Base de Datos'!AG254&gt;20000,INT('Base de Datos'!AG254),""),IF(TRIM('Base de Datos'!AG254)="","",IFERROR(DATE(VALUE(RIGHT(TRIM('Base de Datos'!AG254),4)),VALUE(MID(TRIM('Base de Datos'!AG254),4,2)),VALUE(LEFT(TRIM('Base de Datos'!AG254),2))),IFERROR(DATEVALUE(TRIM('Base de Datos'!AG254)),"")))),"")</f>
        <v/>
      </c>
      <c r="CI258" s="44" t="str">
        <f aca="false">IF(ISNUMBER('Base de Datos'!AH254),'Base de Datos'!AH254,IF(TRIM('Base de Datos'!AH254)="","",IFERROR(IF(IFERROR(FIND("@",SUBSTITUTE(TRIM('Base de Datos'!AH254),",","@",LEN(TRIM('Base de Datos'!AH254))-LEN(SUBSTITUTE(TRIM('Base de Datos'!AH254),",","")))),0)&gt;IFERROR(FIND("@",SUBSTITUTE(TRIM('Base de Datos'!AH254),".","@",LEN(TRIM('Base de Datos'!AH254))-LEN(SUBSTITUTE(TRIM('Base de Datos'!AH254),".","")))),0),_xlfn.NUMBERVALUE(SUBSTITUTE(SUBSTITUTE(TRIM('Base de Datos'!AH254),".",""),",","."),".",","),_xlfn.NUMBERVALUE(SUBSTITUTE(TRIM('Base de Datos'!AH254),",",""),".",",")),"")))</f>
        <v/>
      </c>
    </row>
    <row r="259" customFormat="false" ht="13.8" hidden="false" customHeight="false" outlineLevel="0" collapsed="false">
      <c r="AE259" s="44" t="n">
        <v>250</v>
      </c>
      <c r="AF259" s="55" t="str">
        <f aca="false">IF(AF258="","",IFERROR(SMALL($CH$10:$CH$309,COUNTIF($CH$10:$CH$309,"&lt;="&amp;AF258)+1),""))</f>
        <v/>
      </c>
      <c r="AG259" s="44" t="str">
        <f aca="false">IF(AF259="","",INDEX($CI$10:$CI$309,MATCH(AF259,$CH$10:$CH$309,0)))</f>
        <v/>
      </c>
      <c r="AH259" s="55" t="e">
        <f aca="false">IF(AF259="",NA(),AF259)</f>
        <v>#N/A</v>
      </c>
      <c r="AI259" s="44" t="e">
        <f aca="false">IF(AG259="",NA(),AG259)</f>
        <v>#N/A</v>
      </c>
      <c r="AU259" s="44" t="str">
        <f aca="false">IF(250&lt;=$C$8,250,"")</f>
        <v/>
      </c>
      <c r="AV259" s="44" t="str">
        <f aca="false">IF(AU259="","",INDEX($AG$10:$AG$309,$B$8+250-1))</f>
        <v/>
      </c>
      <c r="AW259" s="44" t="e">
        <f aca="false">IF(AV259="",NA(),AV259)</f>
        <v>#N/A</v>
      </c>
      <c r="AX259" s="44" t="e">
        <f aca="false">IF(AV259="",NA(),AU259)</f>
        <v>#N/A</v>
      </c>
      <c r="AY259" s="44" t="str">
        <f aca="false">IF(AV259="","",LN(AV259))</f>
        <v/>
      </c>
      <c r="CH259" s="55" t="str">
        <f aca="false">IF(ISNUMBER(CI259),IF(ISNUMBER('Base de Datos'!AG255),IF('Base de Datos'!AG255&gt;20000,INT('Base de Datos'!AG255),""),IF(TRIM('Base de Datos'!AG255)="","",IFERROR(DATE(VALUE(RIGHT(TRIM('Base de Datos'!AG255),4)),VALUE(MID(TRIM('Base de Datos'!AG255),4,2)),VALUE(LEFT(TRIM('Base de Datos'!AG255),2))),IFERROR(DATEVALUE(TRIM('Base de Datos'!AG255)),"")))),"")</f>
        <v/>
      </c>
      <c r="CI259" s="44" t="str">
        <f aca="false">IF(ISNUMBER('Base de Datos'!AH255),'Base de Datos'!AH255,IF(TRIM('Base de Datos'!AH255)="","",IFERROR(IF(IFERROR(FIND("@",SUBSTITUTE(TRIM('Base de Datos'!AH255),",","@",LEN(TRIM('Base de Datos'!AH255))-LEN(SUBSTITUTE(TRIM('Base de Datos'!AH255),",","")))),0)&gt;IFERROR(FIND("@",SUBSTITUTE(TRIM('Base de Datos'!AH255),".","@",LEN(TRIM('Base de Datos'!AH255))-LEN(SUBSTITUTE(TRIM('Base de Datos'!AH255),".","")))),0),_xlfn.NUMBERVALUE(SUBSTITUTE(SUBSTITUTE(TRIM('Base de Datos'!AH255),".",""),",","."),".",","),_xlfn.NUMBERVALUE(SUBSTITUTE(TRIM('Base de Datos'!AH255),",",""),".",",")),"")))</f>
        <v/>
      </c>
    </row>
    <row r="260" customFormat="false" ht="13.8" hidden="false" customHeight="false" outlineLevel="0" collapsed="false">
      <c r="AE260" s="44" t="n">
        <v>251</v>
      </c>
      <c r="AF260" s="55" t="str">
        <f aca="false">IF(AF259="","",IFERROR(SMALL($CH$10:$CH$309,COUNTIF($CH$10:$CH$309,"&lt;="&amp;AF259)+1),""))</f>
        <v/>
      </c>
      <c r="AG260" s="44" t="str">
        <f aca="false">IF(AF260="","",INDEX($CI$10:$CI$309,MATCH(AF260,$CH$10:$CH$309,0)))</f>
        <v/>
      </c>
      <c r="AH260" s="55" t="e">
        <f aca="false">IF(AF260="",NA(),AF260)</f>
        <v>#N/A</v>
      </c>
      <c r="AI260" s="44" t="e">
        <f aca="false">IF(AG260="",NA(),AG260)</f>
        <v>#N/A</v>
      </c>
      <c r="AU260" s="44" t="str">
        <f aca="false">IF(251&lt;=$C$8,251,"")</f>
        <v/>
      </c>
      <c r="AV260" s="44" t="str">
        <f aca="false">IF(AU260="","",INDEX($AG$10:$AG$309,$B$8+251-1))</f>
        <v/>
      </c>
      <c r="AW260" s="44" t="e">
        <f aca="false">IF(AV260="",NA(),AV260)</f>
        <v>#N/A</v>
      </c>
      <c r="AX260" s="44" t="e">
        <f aca="false">IF(AV260="",NA(),AU260)</f>
        <v>#N/A</v>
      </c>
      <c r="AY260" s="44" t="str">
        <f aca="false">IF(AV260="","",LN(AV260))</f>
        <v/>
      </c>
      <c r="CH260" s="55" t="str">
        <f aca="false">IF(ISNUMBER(CI260),IF(ISNUMBER('Base de Datos'!AG256),IF('Base de Datos'!AG256&gt;20000,INT('Base de Datos'!AG256),""),IF(TRIM('Base de Datos'!AG256)="","",IFERROR(DATE(VALUE(RIGHT(TRIM('Base de Datos'!AG256),4)),VALUE(MID(TRIM('Base de Datos'!AG256),4,2)),VALUE(LEFT(TRIM('Base de Datos'!AG256),2))),IFERROR(DATEVALUE(TRIM('Base de Datos'!AG256)),"")))),"")</f>
        <v/>
      </c>
      <c r="CI260" s="44" t="str">
        <f aca="false">IF(ISNUMBER('Base de Datos'!AH256),'Base de Datos'!AH256,IF(TRIM('Base de Datos'!AH256)="","",IFERROR(IF(IFERROR(FIND("@",SUBSTITUTE(TRIM('Base de Datos'!AH256),",","@",LEN(TRIM('Base de Datos'!AH256))-LEN(SUBSTITUTE(TRIM('Base de Datos'!AH256),",","")))),0)&gt;IFERROR(FIND("@",SUBSTITUTE(TRIM('Base de Datos'!AH256),".","@",LEN(TRIM('Base de Datos'!AH256))-LEN(SUBSTITUTE(TRIM('Base de Datos'!AH256),".","")))),0),_xlfn.NUMBERVALUE(SUBSTITUTE(SUBSTITUTE(TRIM('Base de Datos'!AH256),".",""),",","."),".",","),_xlfn.NUMBERVALUE(SUBSTITUTE(TRIM('Base de Datos'!AH256),",",""),".",",")),"")))</f>
        <v/>
      </c>
    </row>
    <row r="261" customFormat="false" ht="13.8" hidden="false" customHeight="false" outlineLevel="0" collapsed="false">
      <c r="AE261" s="44" t="n">
        <v>252</v>
      </c>
      <c r="AF261" s="55" t="str">
        <f aca="false">IF(AF260="","",IFERROR(SMALL($CH$10:$CH$309,COUNTIF($CH$10:$CH$309,"&lt;="&amp;AF260)+1),""))</f>
        <v/>
      </c>
      <c r="AG261" s="44" t="str">
        <f aca="false">IF(AF261="","",INDEX($CI$10:$CI$309,MATCH(AF261,$CH$10:$CH$309,0)))</f>
        <v/>
      </c>
      <c r="AH261" s="55" t="e">
        <f aca="false">IF(AF261="",NA(),AF261)</f>
        <v>#N/A</v>
      </c>
      <c r="AI261" s="44" t="e">
        <f aca="false">IF(AG261="",NA(),AG261)</f>
        <v>#N/A</v>
      </c>
      <c r="AU261" s="44" t="str">
        <f aca="false">IF(252&lt;=$C$8,252,"")</f>
        <v/>
      </c>
      <c r="AV261" s="44" t="str">
        <f aca="false">IF(AU261="","",INDEX($AG$10:$AG$309,$B$8+252-1))</f>
        <v/>
      </c>
      <c r="AW261" s="44" t="e">
        <f aca="false">IF(AV261="",NA(),AV261)</f>
        <v>#N/A</v>
      </c>
      <c r="AX261" s="44" t="e">
        <f aca="false">IF(AV261="",NA(),AU261)</f>
        <v>#N/A</v>
      </c>
      <c r="AY261" s="44" t="str">
        <f aca="false">IF(AV261="","",LN(AV261))</f>
        <v/>
      </c>
      <c r="CH261" s="55" t="str">
        <f aca="false">IF(ISNUMBER(CI261),IF(ISNUMBER('Base de Datos'!AG257),IF('Base de Datos'!AG257&gt;20000,INT('Base de Datos'!AG257),""),IF(TRIM('Base de Datos'!AG257)="","",IFERROR(DATE(VALUE(RIGHT(TRIM('Base de Datos'!AG257),4)),VALUE(MID(TRIM('Base de Datos'!AG257),4,2)),VALUE(LEFT(TRIM('Base de Datos'!AG257),2))),IFERROR(DATEVALUE(TRIM('Base de Datos'!AG257)),"")))),"")</f>
        <v/>
      </c>
      <c r="CI261" s="44" t="str">
        <f aca="false">IF(ISNUMBER('Base de Datos'!AH257),'Base de Datos'!AH257,IF(TRIM('Base de Datos'!AH257)="","",IFERROR(IF(IFERROR(FIND("@",SUBSTITUTE(TRIM('Base de Datos'!AH257),",","@",LEN(TRIM('Base de Datos'!AH257))-LEN(SUBSTITUTE(TRIM('Base de Datos'!AH257),",","")))),0)&gt;IFERROR(FIND("@",SUBSTITUTE(TRIM('Base de Datos'!AH257),".","@",LEN(TRIM('Base de Datos'!AH257))-LEN(SUBSTITUTE(TRIM('Base de Datos'!AH257),".","")))),0),_xlfn.NUMBERVALUE(SUBSTITUTE(SUBSTITUTE(TRIM('Base de Datos'!AH257),".",""),",","."),".",","),_xlfn.NUMBERVALUE(SUBSTITUTE(TRIM('Base de Datos'!AH257),",",""),".",",")),"")))</f>
        <v/>
      </c>
    </row>
    <row r="262" customFormat="false" ht="13.8" hidden="false" customHeight="false" outlineLevel="0" collapsed="false">
      <c r="AE262" s="44" t="n">
        <v>253</v>
      </c>
      <c r="AF262" s="55" t="str">
        <f aca="false">IF(AF261="","",IFERROR(SMALL($CH$10:$CH$309,COUNTIF($CH$10:$CH$309,"&lt;="&amp;AF261)+1),""))</f>
        <v/>
      </c>
      <c r="AG262" s="44" t="str">
        <f aca="false">IF(AF262="","",INDEX($CI$10:$CI$309,MATCH(AF262,$CH$10:$CH$309,0)))</f>
        <v/>
      </c>
      <c r="AH262" s="55" t="e">
        <f aca="false">IF(AF262="",NA(),AF262)</f>
        <v>#N/A</v>
      </c>
      <c r="AI262" s="44" t="e">
        <f aca="false">IF(AG262="",NA(),AG262)</f>
        <v>#N/A</v>
      </c>
      <c r="AU262" s="44" t="str">
        <f aca="false">IF(253&lt;=$C$8,253,"")</f>
        <v/>
      </c>
      <c r="AV262" s="44" t="str">
        <f aca="false">IF(AU262="","",INDEX($AG$10:$AG$309,$B$8+253-1))</f>
        <v/>
      </c>
      <c r="AW262" s="44" t="e">
        <f aca="false">IF(AV262="",NA(),AV262)</f>
        <v>#N/A</v>
      </c>
      <c r="AX262" s="44" t="e">
        <f aca="false">IF(AV262="",NA(),AU262)</f>
        <v>#N/A</v>
      </c>
      <c r="AY262" s="44" t="str">
        <f aca="false">IF(AV262="","",LN(AV262))</f>
        <v/>
      </c>
      <c r="CH262" s="55" t="str">
        <f aca="false">IF(ISNUMBER(CI262),IF(ISNUMBER('Base de Datos'!AG258),IF('Base de Datos'!AG258&gt;20000,INT('Base de Datos'!AG258),""),IF(TRIM('Base de Datos'!AG258)="","",IFERROR(DATE(VALUE(RIGHT(TRIM('Base de Datos'!AG258),4)),VALUE(MID(TRIM('Base de Datos'!AG258),4,2)),VALUE(LEFT(TRIM('Base de Datos'!AG258),2))),IFERROR(DATEVALUE(TRIM('Base de Datos'!AG258)),"")))),"")</f>
        <v/>
      </c>
      <c r="CI262" s="44" t="str">
        <f aca="false">IF(ISNUMBER('Base de Datos'!AH258),'Base de Datos'!AH258,IF(TRIM('Base de Datos'!AH258)="","",IFERROR(IF(IFERROR(FIND("@",SUBSTITUTE(TRIM('Base de Datos'!AH258),",","@",LEN(TRIM('Base de Datos'!AH258))-LEN(SUBSTITUTE(TRIM('Base de Datos'!AH258),",","")))),0)&gt;IFERROR(FIND("@",SUBSTITUTE(TRIM('Base de Datos'!AH258),".","@",LEN(TRIM('Base de Datos'!AH258))-LEN(SUBSTITUTE(TRIM('Base de Datos'!AH258),".","")))),0),_xlfn.NUMBERVALUE(SUBSTITUTE(SUBSTITUTE(TRIM('Base de Datos'!AH258),".",""),",","."),".",","),_xlfn.NUMBERVALUE(SUBSTITUTE(TRIM('Base de Datos'!AH258),",",""),".",",")),"")))</f>
        <v/>
      </c>
    </row>
    <row r="263" customFormat="false" ht="13.8" hidden="false" customHeight="false" outlineLevel="0" collapsed="false">
      <c r="AE263" s="44" t="n">
        <v>254</v>
      </c>
      <c r="AF263" s="55" t="str">
        <f aca="false">IF(AF262="","",IFERROR(SMALL($CH$10:$CH$309,COUNTIF($CH$10:$CH$309,"&lt;="&amp;AF262)+1),""))</f>
        <v/>
      </c>
      <c r="AG263" s="44" t="str">
        <f aca="false">IF(AF263="","",INDEX($CI$10:$CI$309,MATCH(AF263,$CH$10:$CH$309,0)))</f>
        <v/>
      </c>
      <c r="AH263" s="55" t="e">
        <f aca="false">IF(AF263="",NA(),AF263)</f>
        <v>#N/A</v>
      </c>
      <c r="AI263" s="44" t="e">
        <f aca="false">IF(AG263="",NA(),AG263)</f>
        <v>#N/A</v>
      </c>
      <c r="AU263" s="44" t="str">
        <f aca="false">IF(254&lt;=$C$8,254,"")</f>
        <v/>
      </c>
      <c r="AV263" s="44" t="str">
        <f aca="false">IF(AU263="","",INDEX($AG$10:$AG$309,$B$8+254-1))</f>
        <v/>
      </c>
      <c r="AW263" s="44" t="e">
        <f aca="false">IF(AV263="",NA(),AV263)</f>
        <v>#N/A</v>
      </c>
      <c r="AX263" s="44" t="e">
        <f aca="false">IF(AV263="",NA(),AU263)</f>
        <v>#N/A</v>
      </c>
      <c r="AY263" s="44" t="str">
        <f aca="false">IF(AV263="","",LN(AV263))</f>
        <v/>
      </c>
      <c r="CH263" s="55" t="str">
        <f aca="false">IF(ISNUMBER(CI263),IF(ISNUMBER('Base de Datos'!AG259),IF('Base de Datos'!AG259&gt;20000,INT('Base de Datos'!AG259),""),IF(TRIM('Base de Datos'!AG259)="","",IFERROR(DATE(VALUE(RIGHT(TRIM('Base de Datos'!AG259),4)),VALUE(MID(TRIM('Base de Datos'!AG259),4,2)),VALUE(LEFT(TRIM('Base de Datos'!AG259),2))),IFERROR(DATEVALUE(TRIM('Base de Datos'!AG259)),"")))),"")</f>
        <v/>
      </c>
      <c r="CI263" s="44" t="str">
        <f aca="false">IF(ISNUMBER('Base de Datos'!AH259),'Base de Datos'!AH259,IF(TRIM('Base de Datos'!AH259)="","",IFERROR(IF(IFERROR(FIND("@",SUBSTITUTE(TRIM('Base de Datos'!AH259),",","@",LEN(TRIM('Base de Datos'!AH259))-LEN(SUBSTITUTE(TRIM('Base de Datos'!AH259),",","")))),0)&gt;IFERROR(FIND("@",SUBSTITUTE(TRIM('Base de Datos'!AH259),".","@",LEN(TRIM('Base de Datos'!AH259))-LEN(SUBSTITUTE(TRIM('Base de Datos'!AH259),".","")))),0),_xlfn.NUMBERVALUE(SUBSTITUTE(SUBSTITUTE(TRIM('Base de Datos'!AH259),".",""),",","."),".",","),_xlfn.NUMBERVALUE(SUBSTITUTE(TRIM('Base de Datos'!AH259),",",""),".",",")),"")))</f>
        <v/>
      </c>
    </row>
    <row r="264" customFormat="false" ht="13.8" hidden="false" customHeight="false" outlineLevel="0" collapsed="false">
      <c r="AE264" s="44" t="n">
        <v>255</v>
      </c>
      <c r="AF264" s="55" t="str">
        <f aca="false">IF(AF263="","",IFERROR(SMALL($CH$10:$CH$309,COUNTIF($CH$10:$CH$309,"&lt;="&amp;AF263)+1),""))</f>
        <v/>
      </c>
      <c r="AG264" s="44" t="str">
        <f aca="false">IF(AF264="","",INDEX($CI$10:$CI$309,MATCH(AF264,$CH$10:$CH$309,0)))</f>
        <v/>
      </c>
      <c r="AH264" s="55" t="e">
        <f aca="false">IF(AF264="",NA(),AF264)</f>
        <v>#N/A</v>
      </c>
      <c r="AI264" s="44" t="e">
        <f aca="false">IF(AG264="",NA(),AG264)</f>
        <v>#N/A</v>
      </c>
      <c r="AU264" s="44" t="str">
        <f aca="false">IF(255&lt;=$C$8,255,"")</f>
        <v/>
      </c>
      <c r="AV264" s="44" t="str">
        <f aca="false">IF(AU264="","",INDEX($AG$10:$AG$309,$B$8+255-1))</f>
        <v/>
      </c>
      <c r="AW264" s="44" t="e">
        <f aca="false">IF(AV264="",NA(),AV264)</f>
        <v>#N/A</v>
      </c>
      <c r="AX264" s="44" t="e">
        <f aca="false">IF(AV264="",NA(),AU264)</f>
        <v>#N/A</v>
      </c>
      <c r="AY264" s="44" t="str">
        <f aca="false">IF(AV264="","",LN(AV264))</f>
        <v/>
      </c>
      <c r="CH264" s="55" t="str">
        <f aca="false">IF(ISNUMBER(CI264),IF(ISNUMBER('Base de Datos'!AG260),IF('Base de Datos'!AG260&gt;20000,INT('Base de Datos'!AG260),""),IF(TRIM('Base de Datos'!AG260)="","",IFERROR(DATE(VALUE(RIGHT(TRIM('Base de Datos'!AG260),4)),VALUE(MID(TRIM('Base de Datos'!AG260),4,2)),VALUE(LEFT(TRIM('Base de Datos'!AG260),2))),IFERROR(DATEVALUE(TRIM('Base de Datos'!AG260)),"")))),"")</f>
        <v/>
      </c>
      <c r="CI264" s="44" t="str">
        <f aca="false">IF(ISNUMBER('Base de Datos'!AH260),'Base de Datos'!AH260,IF(TRIM('Base de Datos'!AH260)="","",IFERROR(IF(IFERROR(FIND("@",SUBSTITUTE(TRIM('Base de Datos'!AH260),",","@",LEN(TRIM('Base de Datos'!AH260))-LEN(SUBSTITUTE(TRIM('Base de Datos'!AH260),",","")))),0)&gt;IFERROR(FIND("@",SUBSTITUTE(TRIM('Base de Datos'!AH260),".","@",LEN(TRIM('Base de Datos'!AH260))-LEN(SUBSTITUTE(TRIM('Base de Datos'!AH260),".","")))),0),_xlfn.NUMBERVALUE(SUBSTITUTE(SUBSTITUTE(TRIM('Base de Datos'!AH260),".",""),",","."),".",","),_xlfn.NUMBERVALUE(SUBSTITUTE(TRIM('Base de Datos'!AH260),",",""),".",",")),"")))</f>
        <v/>
      </c>
    </row>
    <row r="265" customFormat="false" ht="13.8" hidden="false" customHeight="false" outlineLevel="0" collapsed="false">
      <c r="AE265" s="44" t="n">
        <v>256</v>
      </c>
      <c r="AF265" s="55" t="str">
        <f aca="false">IF(AF264="","",IFERROR(SMALL($CH$10:$CH$309,COUNTIF($CH$10:$CH$309,"&lt;="&amp;AF264)+1),""))</f>
        <v/>
      </c>
      <c r="AG265" s="44" t="str">
        <f aca="false">IF(AF265="","",INDEX($CI$10:$CI$309,MATCH(AF265,$CH$10:$CH$309,0)))</f>
        <v/>
      </c>
      <c r="AH265" s="55" t="e">
        <f aca="false">IF(AF265="",NA(),AF265)</f>
        <v>#N/A</v>
      </c>
      <c r="AI265" s="44" t="e">
        <f aca="false">IF(AG265="",NA(),AG265)</f>
        <v>#N/A</v>
      </c>
      <c r="AU265" s="44" t="str">
        <f aca="false">IF(256&lt;=$C$8,256,"")</f>
        <v/>
      </c>
      <c r="AV265" s="44" t="str">
        <f aca="false">IF(AU265="","",INDEX($AG$10:$AG$309,$B$8+256-1))</f>
        <v/>
      </c>
      <c r="AW265" s="44" t="e">
        <f aca="false">IF(AV265="",NA(),AV265)</f>
        <v>#N/A</v>
      </c>
      <c r="AX265" s="44" t="e">
        <f aca="false">IF(AV265="",NA(),AU265)</f>
        <v>#N/A</v>
      </c>
      <c r="AY265" s="44" t="str">
        <f aca="false">IF(AV265="","",LN(AV265))</f>
        <v/>
      </c>
      <c r="CH265" s="55" t="str">
        <f aca="false">IF(ISNUMBER(CI265),IF(ISNUMBER('Base de Datos'!AG261),IF('Base de Datos'!AG261&gt;20000,INT('Base de Datos'!AG261),""),IF(TRIM('Base de Datos'!AG261)="","",IFERROR(DATE(VALUE(RIGHT(TRIM('Base de Datos'!AG261),4)),VALUE(MID(TRIM('Base de Datos'!AG261),4,2)),VALUE(LEFT(TRIM('Base de Datos'!AG261),2))),IFERROR(DATEVALUE(TRIM('Base de Datos'!AG261)),"")))),"")</f>
        <v/>
      </c>
      <c r="CI265" s="44" t="str">
        <f aca="false">IF(ISNUMBER('Base de Datos'!AH261),'Base de Datos'!AH261,IF(TRIM('Base de Datos'!AH261)="","",IFERROR(IF(IFERROR(FIND("@",SUBSTITUTE(TRIM('Base de Datos'!AH261),",","@",LEN(TRIM('Base de Datos'!AH261))-LEN(SUBSTITUTE(TRIM('Base de Datos'!AH261),",","")))),0)&gt;IFERROR(FIND("@",SUBSTITUTE(TRIM('Base de Datos'!AH261),".","@",LEN(TRIM('Base de Datos'!AH261))-LEN(SUBSTITUTE(TRIM('Base de Datos'!AH261),".","")))),0),_xlfn.NUMBERVALUE(SUBSTITUTE(SUBSTITUTE(TRIM('Base de Datos'!AH261),".",""),",","."),".",","),_xlfn.NUMBERVALUE(SUBSTITUTE(TRIM('Base de Datos'!AH261),",",""),".",",")),"")))</f>
        <v/>
      </c>
    </row>
    <row r="266" customFormat="false" ht="13.8" hidden="false" customHeight="false" outlineLevel="0" collapsed="false">
      <c r="AE266" s="44" t="n">
        <v>257</v>
      </c>
      <c r="AF266" s="55" t="str">
        <f aca="false">IF(AF265="","",IFERROR(SMALL($CH$10:$CH$309,COUNTIF($CH$10:$CH$309,"&lt;="&amp;AF265)+1),""))</f>
        <v/>
      </c>
      <c r="AG266" s="44" t="str">
        <f aca="false">IF(AF266="","",INDEX($CI$10:$CI$309,MATCH(AF266,$CH$10:$CH$309,0)))</f>
        <v/>
      </c>
      <c r="AH266" s="55" t="e">
        <f aca="false">IF(AF266="",NA(),AF266)</f>
        <v>#N/A</v>
      </c>
      <c r="AI266" s="44" t="e">
        <f aca="false">IF(AG266="",NA(),AG266)</f>
        <v>#N/A</v>
      </c>
      <c r="AU266" s="44" t="str">
        <f aca="false">IF(257&lt;=$C$8,257,"")</f>
        <v/>
      </c>
      <c r="AV266" s="44" t="str">
        <f aca="false">IF(AU266="","",INDEX($AG$10:$AG$309,$B$8+257-1))</f>
        <v/>
      </c>
      <c r="AW266" s="44" t="e">
        <f aca="false">IF(AV266="",NA(),AV266)</f>
        <v>#N/A</v>
      </c>
      <c r="AX266" s="44" t="e">
        <f aca="false">IF(AV266="",NA(),AU266)</f>
        <v>#N/A</v>
      </c>
      <c r="AY266" s="44" t="str">
        <f aca="false">IF(AV266="","",LN(AV266))</f>
        <v/>
      </c>
      <c r="CH266" s="55" t="str">
        <f aca="false">IF(ISNUMBER(CI266),IF(ISNUMBER('Base de Datos'!AG262),IF('Base de Datos'!AG262&gt;20000,INT('Base de Datos'!AG262),""),IF(TRIM('Base de Datos'!AG262)="","",IFERROR(DATE(VALUE(RIGHT(TRIM('Base de Datos'!AG262),4)),VALUE(MID(TRIM('Base de Datos'!AG262),4,2)),VALUE(LEFT(TRIM('Base de Datos'!AG262),2))),IFERROR(DATEVALUE(TRIM('Base de Datos'!AG262)),"")))),"")</f>
        <v/>
      </c>
      <c r="CI266" s="44" t="str">
        <f aca="false">IF(ISNUMBER('Base de Datos'!AH262),'Base de Datos'!AH262,IF(TRIM('Base de Datos'!AH262)="","",IFERROR(IF(IFERROR(FIND("@",SUBSTITUTE(TRIM('Base de Datos'!AH262),",","@",LEN(TRIM('Base de Datos'!AH262))-LEN(SUBSTITUTE(TRIM('Base de Datos'!AH262),",","")))),0)&gt;IFERROR(FIND("@",SUBSTITUTE(TRIM('Base de Datos'!AH262),".","@",LEN(TRIM('Base de Datos'!AH262))-LEN(SUBSTITUTE(TRIM('Base de Datos'!AH262),".","")))),0),_xlfn.NUMBERVALUE(SUBSTITUTE(SUBSTITUTE(TRIM('Base de Datos'!AH262),".",""),",","."),".",","),_xlfn.NUMBERVALUE(SUBSTITUTE(TRIM('Base de Datos'!AH262),",",""),".",",")),"")))</f>
        <v/>
      </c>
    </row>
    <row r="267" customFormat="false" ht="13.8" hidden="false" customHeight="false" outlineLevel="0" collapsed="false">
      <c r="AE267" s="44" t="n">
        <v>258</v>
      </c>
      <c r="AF267" s="55" t="str">
        <f aca="false">IF(AF266="","",IFERROR(SMALL($CH$10:$CH$309,COUNTIF($CH$10:$CH$309,"&lt;="&amp;AF266)+1),""))</f>
        <v/>
      </c>
      <c r="AG267" s="44" t="str">
        <f aca="false">IF(AF267="","",INDEX($CI$10:$CI$309,MATCH(AF267,$CH$10:$CH$309,0)))</f>
        <v/>
      </c>
      <c r="AH267" s="55" t="e">
        <f aca="false">IF(AF267="",NA(),AF267)</f>
        <v>#N/A</v>
      </c>
      <c r="AI267" s="44" t="e">
        <f aca="false">IF(AG267="",NA(),AG267)</f>
        <v>#N/A</v>
      </c>
      <c r="AU267" s="44" t="str">
        <f aca="false">IF(258&lt;=$C$8,258,"")</f>
        <v/>
      </c>
      <c r="AV267" s="44" t="str">
        <f aca="false">IF(AU267="","",INDEX($AG$10:$AG$309,$B$8+258-1))</f>
        <v/>
      </c>
      <c r="AW267" s="44" t="e">
        <f aca="false">IF(AV267="",NA(),AV267)</f>
        <v>#N/A</v>
      </c>
      <c r="AX267" s="44" t="e">
        <f aca="false">IF(AV267="",NA(),AU267)</f>
        <v>#N/A</v>
      </c>
      <c r="AY267" s="44" t="str">
        <f aca="false">IF(AV267="","",LN(AV267))</f>
        <v/>
      </c>
      <c r="CH267" s="55" t="str">
        <f aca="false">IF(ISNUMBER(CI267),IF(ISNUMBER('Base de Datos'!AG263),IF('Base de Datos'!AG263&gt;20000,INT('Base de Datos'!AG263),""),IF(TRIM('Base de Datos'!AG263)="","",IFERROR(DATE(VALUE(RIGHT(TRIM('Base de Datos'!AG263),4)),VALUE(MID(TRIM('Base de Datos'!AG263),4,2)),VALUE(LEFT(TRIM('Base de Datos'!AG263),2))),IFERROR(DATEVALUE(TRIM('Base de Datos'!AG263)),"")))),"")</f>
        <v/>
      </c>
      <c r="CI267" s="44" t="str">
        <f aca="false">IF(ISNUMBER('Base de Datos'!AH263),'Base de Datos'!AH263,IF(TRIM('Base de Datos'!AH263)="","",IFERROR(IF(IFERROR(FIND("@",SUBSTITUTE(TRIM('Base de Datos'!AH263),",","@",LEN(TRIM('Base de Datos'!AH263))-LEN(SUBSTITUTE(TRIM('Base de Datos'!AH263),",","")))),0)&gt;IFERROR(FIND("@",SUBSTITUTE(TRIM('Base de Datos'!AH263),".","@",LEN(TRIM('Base de Datos'!AH263))-LEN(SUBSTITUTE(TRIM('Base de Datos'!AH263),".","")))),0),_xlfn.NUMBERVALUE(SUBSTITUTE(SUBSTITUTE(TRIM('Base de Datos'!AH263),".",""),",","."),".",","),_xlfn.NUMBERVALUE(SUBSTITUTE(TRIM('Base de Datos'!AH263),",",""),".",",")),"")))</f>
        <v/>
      </c>
    </row>
    <row r="268" customFormat="false" ht="13.8" hidden="false" customHeight="false" outlineLevel="0" collapsed="false">
      <c r="AE268" s="44" t="n">
        <v>259</v>
      </c>
      <c r="AF268" s="55" t="str">
        <f aca="false">IF(AF267="","",IFERROR(SMALL($CH$10:$CH$309,COUNTIF($CH$10:$CH$309,"&lt;="&amp;AF267)+1),""))</f>
        <v/>
      </c>
      <c r="AG268" s="44" t="str">
        <f aca="false">IF(AF268="","",INDEX($CI$10:$CI$309,MATCH(AF268,$CH$10:$CH$309,0)))</f>
        <v/>
      </c>
      <c r="AH268" s="55" t="e">
        <f aca="false">IF(AF268="",NA(),AF268)</f>
        <v>#N/A</v>
      </c>
      <c r="AI268" s="44" t="e">
        <f aca="false">IF(AG268="",NA(),AG268)</f>
        <v>#N/A</v>
      </c>
      <c r="AU268" s="44" t="str">
        <f aca="false">IF(259&lt;=$C$8,259,"")</f>
        <v/>
      </c>
      <c r="AV268" s="44" t="str">
        <f aca="false">IF(AU268="","",INDEX($AG$10:$AG$309,$B$8+259-1))</f>
        <v/>
      </c>
      <c r="AW268" s="44" t="e">
        <f aca="false">IF(AV268="",NA(),AV268)</f>
        <v>#N/A</v>
      </c>
      <c r="AX268" s="44" t="e">
        <f aca="false">IF(AV268="",NA(),AU268)</f>
        <v>#N/A</v>
      </c>
      <c r="AY268" s="44" t="str">
        <f aca="false">IF(AV268="","",LN(AV268))</f>
        <v/>
      </c>
      <c r="CH268" s="55" t="str">
        <f aca="false">IF(ISNUMBER(CI268),IF(ISNUMBER('Base de Datos'!AG264),IF('Base de Datos'!AG264&gt;20000,INT('Base de Datos'!AG264),""),IF(TRIM('Base de Datos'!AG264)="","",IFERROR(DATE(VALUE(RIGHT(TRIM('Base de Datos'!AG264),4)),VALUE(MID(TRIM('Base de Datos'!AG264),4,2)),VALUE(LEFT(TRIM('Base de Datos'!AG264),2))),IFERROR(DATEVALUE(TRIM('Base de Datos'!AG264)),"")))),"")</f>
        <v/>
      </c>
      <c r="CI268" s="44" t="str">
        <f aca="false">IF(ISNUMBER('Base de Datos'!AH264),'Base de Datos'!AH264,IF(TRIM('Base de Datos'!AH264)="","",IFERROR(IF(IFERROR(FIND("@",SUBSTITUTE(TRIM('Base de Datos'!AH264),",","@",LEN(TRIM('Base de Datos'!AH264))-LEN(SUBSTITUTE(TRIM('Base de Datos'!AH264),",","")))),0)&gt;IFERROR(FIND("@",SUBSTITUTE(TRIM('Base de Datos'!AH264),".","@",LEN(TRIM('Base de Datos'!AH264))-LEN(SUBSTITUTE(TRIM('Base de Datos'!AH264),".","")))),0),_xlfn.NUMBERVALUE(SUBSTITUTE(SUBSTITUTE(TRIM('Base de Datos'!AH264),".",""),",","."),".",","),_xlfn.NUMBERVALUE(SUBSTITUTE(TRIM('Base de Datos'!AH264),",",""),".",",")),"")))</f>
        <v/>
      </c>
    </row>
    <row r="269" customFormat="false" ht="13.8" hidden="false" customHeight="false" outlineLevel="0" collapsed="false">
      <c r="AE269" s="44" t="n">
        <v>260</v>
      </c>
      <c r="AF269" s="55" t="str">
        <f aca="false">IF(AF268="","",IFERROR(SMALL($CH$10:$CH$309,COUNTIF($CH$10:$CH$309,"&lt;="&amp;AF268)+1),""))</f>
        <v/>
      </c>
      <c r="AG269" s="44" t="str">
        <f aca="false">IF(AF269="","",INDEX($CI$10:$CI$309,MATCH(AF269,$CH$10:$CH$309,0)))</f>
        <v/>
      </c>
      <c r="AH269" s="55" t="e">
        <f aca="false">IF(AF269="",NA(),AF269)</f>
        <v>#N/A</v>
      </c>
      <c r="AI269" s="44" t="e">
        <f aca="false">IF(AG269="",NA(),AG269)</f>
        <v>#N/A</v>
      </c>
      <c r="AU269" s="44" t="str">
        <f aca="false">IF(260&lt;=$C$8,260,"")</f>
        <v/>
      </c>
      <c r="AV269" s="44" t="str">
        <f aca="false">IF(AU269="","",INDEX($AG$10:$AG$309,$B$8+260-1))</f>
        <v/>
      </c>
      <c r="AW269" s="44" t="e">
        <f aca="false">IF(AV269="",NA(),AV269)</f>
        <v>#N/A</v>
      </c>
      <c r="AX269" s="44" t="e">
        <f aca="false">IF(AV269="",NA(),AU269)</f>
        <v>#N/A</v>
      </c>
      <c r="AY269" s="44" t="str">
        <f aca="false">IF(AV269="","",LN(AV269))</f>
        <v/>
      </c>
      <c r="CH269" s="55" t="str">
        <f aca="false">IF(ISNUMBER(CI269),IF(ISNUMBER('Base de Datos'!AG265),IF('Base de Datos'!AG265&gt;20000,INT('Base de Datos'!AG265),""),IF(TRIM('Base de Datos'!AG265)="","",IFERROR(DATE(VALUE(RIGHT(TRIM('Base de Datos'!AG265),4)),VALUE(MID(TRIM('Base de Datos'!AG265),4,2)),VALUE(LEFT(TRIM('Base de Datos'!AG265),2))),IFERROR(DATEVALUE(TRIM('Base de Datos'!AG265)),"")))),"")</f>
        <v/>
      </c>
      <c r="CI269" s="44" t="str">
        <f aca="false">IF(ISNUMBER('Base de Datos'!AH265),'Base de Datos'!AH265,IF(TRIM('Base de Datos'!AH265)="","",IFERROR(IF(IFERROR(FIND("@",SUBSTITUTE(TRIM('Base de Datos'!AH265),",","@",LEN(TRIM('Base de Datos'!AH265))-LEN(SUBSTITUTE(TRIM('Base de Datos'!AH265),",","")))),0)&gt;IFERROR(FIND("@",SUBSTITUTE(TRIM('Base de Datos'!AH265),".","@",LEN(TRIM('Base de Datos'!AH265))-LEN(SUBSTITUTE(TRIM('Base de Datos'!AH265),".","")))),0),_xlfn.NUMBERVALUE(SUBSTITUTE(SUBSTITUTE(TRIM('Base de Datos'!AH265),".",""),",","."),".",","),_xlfn.NUMBERVALUE(SUBSTITUTE(TRIM('Base de Datos'!AH265),",",""),".",",")),"")))</f>
        <v/>
      </c>
    </row>
    <row r="270" customFormat="false" ht="13.8" hidden="false" customHeight="false" outlineLevel="0" collapsed="false">
      <c r="AE270" s="44" t="n">
        <v>261</v>
      </c>
      <c r="AF270" s="55" t="str">
        <f aca="false">IF(AF269="","",IFERROR(SMALL($CH$10:$CH$309,COUNTIF($CH$10:$CH$309,"&lt;="&amp;AF269)+1),""))</f>
        <v/>
      </c>
      <c r="AG270" s="44" t="str">
        <f aca="false">IF(AF270="","",INDEX($CI$10:$CI$309,MATCH(AF270,$CH$10:$CH$309,0)))</f>
        <v/>
      </c>
      <c r="AH270" s="55" t="e">
        <f aca="false">IF(AF270="",NA(),AF270)</f>
        <v>#N/A</v>
      </c>
      <c r="AI270" s="44" t="e">
        <f aca="false">IF(AG270="",NA(),AG270)</f>
        <v>#N/A</v>
      </c>
      <c r="AU270" s="44" t="str">
        <f aca="false">IF(261&lt;=$C$8,261,"")</f>
        <v/>
      </c>
      <c r="AV270" s="44" t="str">
        <f aca="false">IF(AU270="","",INDEX($AG$10:$AG$309,$B$8+261-1))</f>
        <v/>
      </c>
      <c r="AW270" s="44" t="e">
        <f aca="false">IF(AV270="",NA(),AV270)</f>
        <v>#N/A</v>
      </c>
      <c r="AX270" s="44" t="e">
        <f aca="false">IF(AV270="",NA(),AU270)</f>
        <v>#N/A</v>
      </c>
      <c r="AY270" s="44" t="str">
        <f aca="false">IF(AV270="","",LN(AV270))</f>
        <v/>
      </c>
      <c r="CH270" s="55" t="str">
        <f aca="false">IF(ISNUMBER(CI270),IF(ISNUMBER('Base de Datos'!AG266),IF('Base de Datos'!AG266&gt;20000,INT('Base de Datos'!AG266),""),IF(TRIM('Base de Datos'!AG266)="","",IFERROR(DATE(VALUE(RIGHT(TRIM('Base de Datos'!AG266),4)),VALUE(MID(TRIM('Base de Datos'!AG266),4,2)),VALUE(LEFT(TRIM('Base de Datos'!AG266),2))),IFERROR(DATEVALUE(TRIM('Base de Datos'!AG266)),"")))),"")</f>
        <v/>
      </c>
      <c r="CI270" s="44" t="str">
        <f aca="false">IF(ISNUMBER('Base de Datos'!AH266),'Base de Datos'!AH266,IF(TRIM('Base de Datos'!AH266)="","",IFERROR(IF(IFERROR(FIND("@",SUBSTITUTE(TRIM('Base de Datos'!AH266),",","@",LEN(TRIM('Base de Datos'!AH266))-LEN(SUBSTITUTE(TRIM('Base de Datos'!AH266),",","")))),0)&gt;IFERROR(FIND("@",SUBSTITUTE(TRIM('Base de Datos'!AH266),".","@",LEN(TRIM('Base de Datos'!AH266))-LEN(SUBSTITUTE(TRIM('Base de Datos'!AH266),".","")))),0),_xlfn.NUMBERVALUE(SUBSTITUTE(SUBSTITUTE(TRIM('Base de Datos'!AH266),".",""),",","."),".",","),_xlfn.NUMBERVALUE(SUBSTITUTE(TRIM('Base de Datos'!AH266),",",""),".",",")),"")))</f>
        <v/>
      </c>
    </row>
    <row r="271" customFormat="false" ht="13.8" hidden="false" customHeight="false" outlineLevel="0" collapsed="false">
      <c r="AE271" s="44" t="n">
        <v>262</v>
      </c>
      <c r="AF271" s="55" t="str">
        <f aca="false">IF(AF270="","",IFERROR(SMALL($CH$10:$CH$309,COUNTIF($CH$10:$CH$309,"&lt;="&amp;AF270)+1),""))</f>
        <v/>
      </c>
      <c r="AG271" s="44" t="str">
        <f aca="false">IF(AF271="","",INDEX($CI$10:$CI$309,MATCH(AF271,$CH$10:$CH$309,0)))</f>
        <v/>
      </c>
      <c r="AH271" s="55" t="e">
        <f aca="false">IF(AF271="",NA(),AF271)</f>
        <v>#N/A</v>
      </c>
      <c r="AI271" s="44" t="e">
        <f aca="false">IF(AG271="",NA(),AG271)</f>
        <v>#N/A</v>
      </c>
      <c r="AU271" s="44" t="str">
        <f aca="false">IF(262&lt;=$C$8,262,"")</f>
        <v/>
      </c>
      <c r="AV271" s="44" t="str">
        <f aca="false">IF(AU271="","",INDEX($AG$10:$AG$309,$B$8+262-1))</f>
        <v/>
      </c>
      <c r="AW271" s="44" t="e">
        <f aca="false">IF(AV271="",NA(),AV271)</f>
        <v>#N/A</v>
      </c>
      <c r="AX271" s="44" t="e">
        <f aca="false">IF(AV271="",NA(),AU271)</f>
        <v>#N/A</v>
      </c>
      <c r="AY271" s="44" t="str">
        <f aca="false">IF(AV271="","",LN(AV271))</f>
        <v/>
      </c>
      <c r="CH271" s="55" t="str">
        <f aca="false">IF(ISNUMBER(CI271),IF(ISNUMBER('Base de Datos'!AG267),IF('Base de Datos'!AG267&gt;20000,INT('Base de Datos'!AG267),""),IF(TRIM('Base de Datos'!AG267)="","",IFERROR(DATE(VALUE(RIGHT(TRIM('Base de Datos'!AG267),4)),VALUE(MID(TRIM('Base de Datos'!AG267),4,2)),VALUE(LEFT(TRIM('Base de Datos'!AG267),2))),IFERROR(DATEVALUE(TRIM('Base de Datos'!AG267)),"")))),"")</f>
        <v/>
      </c>
      <c r="CI271" s="44" t="str">
        <f aca="false">IF(ISNUMBER('Base de Datos'!AH267),'Base de Datos'!AH267,IF(TRIM('Base de Datos'!AH267)="","",IFERROR(IF(IFERROR(FIND("@",SUBSTITUTE(TRIM('Base de Datos'!AH267),",","@",LEN(TRIM('Base de Datos'!AH267))-LEN(SUBSTITUTE(TRIM('Base de Datos'!AH267),",","")))),0)&gt;IFERROR(FIND("@",SUBSTITUTE(TRIM('Base de Datos'!AH267),".","@",LEN(TRIM('Base de Datos'!AH267))-LEN(SUBSTITUTE(TRIM('Base de Datos'!AH267),".","")))),0),_xlfn.NUMBERVALUE(SUBSTITUTE(SUBSTITUTE(TRIM('Base de Datos'!AH267),".",""),",","."),".",","),_xlfn.NUMBERVALUE(SUBSTITUTE(TRIM('Base de Datos'!AH267),",",""),".",",")),"")))</f>
        <v/>
      </c>
    </row>
    <row r="272" customFormat="false" ht="13.8" hidden="false" customHeight="false" outlineLevel="0" collapsed="false">
      <c r="AE272" s="44" t="n">
        <v>263</v>
      </c>
      <c r="AF272" s="55" t="str">
        <f aca="false">IF(AF271="","",IFERROR(SMALL($CH$10:$CH$309,COUNTIF($CH$10:$CH$309,"&lt;="&amp;AF271)+1),""))</f>
        <v/>
      </c>
      <c r="AG272" s="44" t="str">
        <f aca="false">IF(AF272="","",INDEX($CI$10:$CI$309,MATCH(AF272,$CH$10:$CH$309,0)))</f>
        <v/>
      </c>
      <c r="AH272" s="55" t="e">
        <f aca="false">IF(AF272="",NA(),AF272)</f>
        <v>#N/A</v>
      </c>
      <c r="AI272" s="44" t="e">
        <f aca="false">IF(AG272="",NA(),AG272)</f>
        <v>#N/A</v>
      </c>
      <c r="AU272" s="44" t="str">
        <f aca="false">IF(263&lt;=$C$8,263,"")</f>
        <v/>
      </c>
      <c r="AV272" s="44" t="str">
        <f aca="false">IF(AU272="","",INDEX($AG$10:$AG$309,$B$8+263-1))</f>
        <v/>
      </c>
      <c r="AW272" s="44" t="e">
        <f aca="false">IF(AV272="",NA(),AV272)</f>
        <v>#N/A</v>
      </c>
      <c r="AX272" s="44" t="e">
        <f aca="false">IF(AV272="",NA(),AU272)</f>
        <v>#N/A</v>
      </c>
      <c r="AY272" s="44" t="str">
        <f aca="false">IF(AV272="","",LN(AV272))</f>
        <v/>
      </c>
      <c r="CH272" s="55" t="str">
        <f aca="false">IF(ISNUMBER(CI272),IF(ISNUMBER('Base de Datos'!AG268),IF('Base de Datos'!AG268&gt;20000,INT('Base de Datos'!AG268),""),IF(TRIM('Base de Datos'!AG268)="","",IFERROR(DATE(VALUE(RIGHT(TRIM('Base de Datos'!AG268),4)),VALUE(MID(TRIM('Base de Datos'!AG268),4,2)),VALUE(LEFT(TRIM('Base de Datos'!AG268),2))),IFERROR(DATEVALUE(TRIM('Base de Datos'!AG268)),"")))),"")</f>
        <v/>
      </c>
      <c r="CI272" s="44" t="str">
        <f aca="false">IF(ISNUMBER('Base de Datos'!AH268),'Base de Datos'!AH268,IF(TRIM('Base de Datos'!AH268)="","",IFERROR(IF(IFERROR(FIND("@",SUBSTITUTE(TRIM('Base de Datos'!AH268),",","@",LEN(TRIM('Base de Datos'!AH268))-LEN(SUBSTITUTE(TRIM('Base de Datos'!AH268),",","")))),0)&gt;IFERROR(FIND("@",SUBSTITUTE(TRIM('Base de Datos'!AH268),".","@",LEN(TRIM('Base de Datos'!AH268))-LEN(SUBSTITUTE(TRIM('Base de Datos'!AH268),".","")))),0),_xlfn.NUMBERVALUE(SUBSTITUTE(SUBSTITUTE(TRIM('Base de Datos'!AH268),".",""),",","."),".",","),_xlfn.NUMBERVALUE(SUBSTITUTE(TRIM('Base de Datos'!AH268),",",""),".",",")),"")))</f>
        <v/>
      </c>
    </row>
    <row r="273" customFormat="false" ht="13.8" hidden="false" customHeight="false" outlineLevel="0" collapsed="false">
      <c r="AE273" s="44" t="n">
        <v>264</v>
      </c>
      <c r="AF273" s="55" t="str">
        <f aca="false">IF(AF272="","",IFERROR(SMALL($CH$10:$CH$309,COUNTIF($CH$10:$CH$309,"&lt;="&amp;AF272)+1),""))</f>
        <v/>
      </c>
      <c r="AG273" s="44" t="str">
        <f aca="false">IF(AF273="","",INDEX($CI$10:$CI$309,MATCH(AF273,$CH$10:$CH$309,0)))</f>
        <v/>
      </c>
      <c r="AH273" s="55" t="e">
        <f aca="false">IF(AF273="",NA(),AF273)</f>
        <v>#N/A</v>
      </c>
      <c r="AI273" s="44" t="e">
        <f aca="false">IF(AG273="",NA(),AG273)</f>
        <v>#N/A</v>
      </c>
      <c r="AU273" s="44" t="str">
        <f aca="false">IF(264&lt;=$C$8,264,"")</f>
        <v/>
      </c>
      <c r="AV273" s="44" t="str">
        <f aca="false">IF(AU273="","",INDEX($AG$10:$AG$309,$B$8+264-1))</f>
        <v/>
      </c>
      <c r="AW273" s="44" t="e">
        <f aca="false">IF(AV273="",NA(),AV273)</f>
        <v>#N/A</v>
      </c>
      <c r="AX273" s="44" t="e">
        <f aca="false">IF(AV273="",NA(),AU273)</f>
        <v>#N/A</v>
      </c>
      <c r="AY273" s="44" t="str">
        <f aca="false">IF(AV273="","",LN(AV273))</f>
        <v/>
      </c>
      <c r="CH273" s="55" t="str">
        <f aca="false">IF(ISNUMBER(CI273),IF(ISNUMBER('Base de Datos'!AG269),IF('Base de Datos'!AG269&gt;20000,INT('Base de Datos'!AG269),""),IF(TRIM('Base de Datos'!AG269)="","",IFERROR(DATE(VALUE(RIGHT(TRIM('Base de Datos'!AG269),4)),VALUE(MID(TRIM('Base de Datos'!AG269),4,2)),VALUE(LEFT(TRIM('Base de Datos'!AG269),2))),IFERROR(DATEVALUE(TRIM('Base de Datos'!AG269)),"")))),"")</f>
        <v/>
      </c>
      <c r="CI273" s="44" t="str">
        <f aca="false">IF(ISNUMBER('Base de Datos'!AH269),'Base de Datos'!AH269,IF(TRIM('Base de Datos'!AH269)="","",IFERROR(IF(IFERROR(FIND("@",SUBSTITUTE(TRIM('Base de Datos'!AH269),",","@",LEN(TRIM('Base de Datos'!AH269))-LEN(SUBSTITUTE(TRIM('Base de Datos'!AH269),",","")))),0)&gt;IFERROR(FIND("@",SUBSTITUTE(TRIM('Base de Datos'!AH269),".","@",LEN(TRIM('Base de Datos'!AH269))-LEN(SUBSTITUTE(TRIM('Base de Datos'!AH269),".","")))),0),_xlfn.NUMBERVALUE(SUBSTITUTE(SUBSTITUTE(TRIM('Base de Datos'!AH269),".",""),",","."),".",","),_xlfn.NUMBERVALUE(SUBSTITUTE(TRIM('Base de Datos'!AH269),",",""),".",",")),"")))</f>
        <v/>
      </c>
    </row>
    <row r="274" customFormat="false" ht="13.8" hidden="false" customHeight="false" outlineLevel="0" collapsed="false">
      <c r="AE274" s="44" t="n">
        <v>265</v>
      </c>
      <c r="AF274" s="55" t="str">
        <f aca="false">IF(AF273="","",IFERROR(SMALL($CH$10:$CH$309,COUNTIF($CH$10:$CH$309,"&lt;="&amp;AF273)+1),""))</f>
        <v/>
      </c>
      <c r="AG274" s="44" t="str">
        <f aca="false">IF(AF274="","",INDEX($CI$10:$CI$309,MATCH(AF274,$CH$10:$CH$309,0)))</f>
        <v/>
      </c>
      <c r="AH274" s="55" t="e">
        <f aca="false">IF(AF274="",NA(),AF274)</f>
        <v>#N/A</v>
      </c>
      <c r="AI274" s="44" t="e">
        <f aca="false">IF(AG274="",NA(),AG274)</f>
        <v>#N/A</v>
      </c>
      <c r="AU274" s="44" t="str">
        <f aca="false">IF(265&lt;=$C$8,265,"")</f>
        <v/>
      </c>
      <c r="AV274" s="44" t="str">
        <f aca="false">IF(AU274="","",INDEX($AG$10:$AG$309,$B$8+265-1))</f>
        <v/>
      </c>
      <c r="AW274" s="44" t="e">
        <f aca="false">IF(AV274="",NA(),AV274)</f>
        <v>#N/A</v>
      </c>
      <c r="AX274" s="44" t="e">
        <f aca="false">IF(AV274="",NA(),AU274)</f>
        <v>#N/A</v>
      </c>
      <c r="AY274" s="44" t="str">
        <f aca="false">IF(AV274="","",LN(AV274))</f>
        <v/>
      </c>
      <c r="CH274" s="55" t="str">
        <f aca="false">IF(ISNUMBER(CI274),IF(ISNUMBER('Base de Datos'!AG270),IF('Base de Datos'!AG270&gt;20000,INT('Base de Datos'!AG270),""),IF(TRIM('Base de Datos'!AG270)="","",IFERROR(DATE(VALUE(RIGHT(TRIM('Base de Datos'!AG270),4)),VALUE(MID(TRIM('Base de Datos'!AG270),4,2)),VALUE(LEFT(TRIM('Base de Datos'!AG270),2))),IFERROR(DATEVALUE(TRIM('Base de Datos'!AG270)),"")))),"")</f>
        <v/>
      </c>
      <c r="CI274" s="44" t="str">
        <f aca="false">IF(ISNUMBER('Base de Datos'!AH270),'Base de Datos'!AH270,IF(TRIM('Base de Datos'!AH270)="","",IFERROR(IF(IFERROR(FIND("@",SUBSTITUTE(TRIM('Base de Datos'!AH270),",","@",LEN(TRIM('Base de Datos'!AH270))-LEN(SUBSTITUTE(TRIM('Base de Datos'!AH270),",","")))),0)&gt;IFERROR(FIND("@",SUBSTITUTE(TRIM('Base de Datos'!AH270),".","@",LEN(TRIM('Base de Datos'!AH270))-LEN(SUBSTITUTE(TRIM('Base de Datos'!AH270),".","")))),0),_xlfn.NUMBERVALUE(SUBSTITUTE(SUBSTITUTE(TRIM('Base de Datos'!AH270),".",""),",","."),".",","),_xlfn.NUMBERVALUE(SUBSTITUTE(TRIM('Base de Datos'!AH270),",",""),".",",")),"")))</f>
        <v/>
      </c>
    </row>
    <row r="275" customFormat="false" ht="13.8" hidden="false" customHeight="false" outlineLevel="0" collapsed="false">
      <c r="AE275" s="44" t="n">
        <v>266</v>
      </c>
      <c r="AF275" s="55" t="str">
        <f aca="false">IF(AF274="","",IFERROR(SMALL($CH$10:$CH$309,COUNTIF($CH$10:$CH$309,"&lt;="&amp;AF274)+1),""))</f>
        <v/>
      </c>
      <c r="AG275" s="44" t="str">
        <f aca="false">IF(AF275="","",INDEX($CI$10:$CI$309,MATCH(AF275,$CH$10:$CH$309,0)))</f>
        <v/>
      </c>
      <c r="AH275" s="55" t="e">
        <f aca="false">IF(AF275="",NA(),AF275)</f>
        <v>#N/A</v>
      </c>
      <c r="AI275" s="44" t="e">
        <f aca="false">IF(AG275="",NA(),AG275)</f>
        <v>#N/A</v>
      </c>
      <c r="AU275" s="44" t="str">
        <f aca="false">IF(266&lt;=$C$8,266,"")</f>
        <v/>
      </c>
      <c r="AV275" s="44" t="str">
        <f aca="false">IF(AU275="","",INDEX($AG$10:$AG$309,$B$8+266-1))</f>
        <v/>
      </c>
      <c r="AW275" s="44" t="e">
        <f aca="false">IF(AV275="",NA(),AV275)</f>
        <v>#N/A</v>
      </c>
      <c r="AX275" s="44" t="e">
        <f aca="false">IF(AV275="",NA(),AU275)</f>
        <v>#N/A</v>
      </c>
      <c r="AY275" s="44" t="str">
        <f aca="false">IF(AV275="","",LN(AV275))</f>
        <v/>
      </c>
      <c r="CH275" s="55" t="str">
        <f aca="false">IF(ISNUMBER(CI275),IF(ISNUMBER('Base de Datos'!AG271),IF('Base de Datos'!AG271&gt;20000,INT('Base de Datos'!AG271),""),IF(TRIM('Base de Datos'!AG271)="","",IFERROR(DATE(VALUE(RIGHT(TRIM('Base de Datos'!AG271),4)),VALUE(MID(TRIM('Base de Datos'!AG271),4,2)),VALUE(LEFT(TRIM('Base de Datos'!AG271),2))),IFERROR(DATEVALUE(TRIM('Base de Datos'!AG271)),"")))),"")</f>
        <v/>
      </c>
      <c r="CI275" s="44" t="str">
        <f aca="false">IF(ISNUMBER('Base de Datos'!AH271),'Base de Datos'!AH271,IF(TRIM('Base de Datos'!AH271)="","",IFERROR(IF(IFERROR(FIND("@",SUBSTITUTE(TRIM('Base de Datos'!AH271),",","@",LEN(TRIM('Base de Datos'!AH271))-LEN(SUBSTITUTE(TRIM('Base de Datos'!AH271),",","")))),0)&gt;IFERROR(FIND("@",SUBSTITUTE(TRIM('Base de Datos'!AH271),".","@",LEN(TRIM('Base de Datos'!AH271))-LEN(SUBSTITUTE(TRIM('Base de Datos'!AH271),".","")))),0),_xlfn.NUMBERVALUE(SUBSTITUTE(SUBSTITUTE(TRIM('Base de Datos'!AH271),".",""),",","."),".",","),_xlfn.NUMBERVALUE(SUBSTITUTE(TRIM('Base de Datos'!AH271),",",""),".",",")),"")))</f>
        <v/>
      </c>
    </row>
    <row r="276" customFormat="false" ht="13.8" hidden="false" customHeight="false" outlineLevel="0" collapsed="false">
      <c r="AE276" s="44" t="n">
        <v>267</v>
      </c>
      <c r="AF276" s="55" t="str">
        <f aca="false">IF(AF275="","",IFERROR(SMALL($CH$10:$CH$309,COUNTIF($CH$10:$CH$309,"&lt;="&amp;AF275)+1),""))</f>
        <v/>
      </c>
      <c r="AG276" s="44" t="str">
        <f aca="false">IF(AF276="","",INDEX($CI$10:$CI$309,MATCH(AF276,$CH$10:$CH$309,0)))</f>
        <v/>
      </c>
      <c r="AH276" s="55" t="e">
        <f aca="false">IF(AF276="",NA(),AF276)</f>
        <v>#N/A</v>
      </c>
      <c r="AI276" s="44" t="e">
        <f aca="false">IF(AG276="",NA(),AG276)</f>
        <v>#N/A</v>
      </c>
      <c r="AU276" s="44" t="str">
        <f aca="false">IF(267&lt;=$C$8,267,"")</f>
        <v/>
      </c>
      <c r="AV276" s="44" t="str">
        <f aca="false">IF(AU276="","",INDEX($AG$10:$AG$309,$B$8+267-1))</f>
        <v/>
      </c>
      <c r="AW276" s="44" t="e">
        <f aca="false">IF(AV276="",NA(),AV276)</f>
        <v>#N/A</v>
      </c>
      <c r="AX276" s="44" t="e">
        <f aca="false">IF(AV276="",NA(),AU276)</f>
        <v>#N/A</v>
      </c>
      <c r="AY276" s="44" t="str">
        <f aca="false">IF(AV276="","",LN(AV276))</f>
        <v/>
      </c>
      <c r="CH276" s="55" t="str">
        <f aca="false">IF(ISNUMBER(CI276),IF(ISNUMBER('Base de Datos'!AG272),IF('Base de Datos'!AG272&gt;20000,INT('Base de Datos'!AG272),""),IF(TRIM('Base de Datos'!AG272)="","",IFERROR(DATE(VALUE(RIGHT(TRIM('Base de Datos'!AG272),4)),VALUE(MID(TRIM('Base de Datos'!AG272),4,2)),VALUE(LEFT(TRIM('Base de Datos'!AG272),2))),IFERROR(DATEVALUE(TRIM('Base de Datos'!AG272)),"")))),"")</f>
        <v/>
      </c>
      <c r="CI276" s="44" t="str">
        <f aca="false">IF(ISNUMBER('Base de Datos'!AH272),'Base de Datos'!AH272,IF(TRIM('Base de Datos'!AH272)="","",IFERROR(IF(IFERROR(FIND("@",SUBSTITUTE(TRIM('Base de Datos'!AH272),",","@",LEN(TRIM('Base de Datos'!AH272))-LEN(SUBSTITUTE(TRIM('Base de Datos'!AH272),",","")))),0)&gt;IFERROR(FIND("@",SUBSTITUTE(TRIM('Base de Datos'!AH272),".","@",LEN(TRIM('Base de Datos'!AH272))-LEN(SUBSTITUTE(TRIM('Base de Datos'!AH272),".","")))),0),_xlfn.NUMBERVALUE(SUBSTITUTE(SUBSTITUTE(TRIM('Base de Datos'!AH272),".",""),",","."),".",","),_xlfn.NUMBERVALUE(SUBSTITUTE(TRIM('Base de Datos'!AH272),",",""),".",",")),"")))</f>
        <v/>
      </c>
    </row>
    <row r="277" customFormat="false" ht="13.8" hidden="false" customHeight="false" outlineLevel="0" collapsed="false">
      <c r="AE277" s="44" t="n">
        <v>268</v>
      </c>
      <c r="AF277" s="55" t="str">
        <f aca="false">IF(AF276="","",IFERROR(SMALL($CH$10:$CH$309,COUNTIF($CH$10:$CH$309,"&lt;="&amp;AF276)+1),""))</f>
        <v/>
      </c>
      <c r="AG277" s="44" t="str">
        <f aca="false">IF(AF277="","",INDEX($CI$10:$CI$309,MATCH(AF277,$CH$10:$CH$309,0)))</f>
        <v/>
      </c>
      <c r="AH277" s="55" t="e">
        <f aca="false">IF(AF277="",NA(),AF277)</f>
        <v>#N/A</v>
      </c>
      <c r="AI277" s="44" t="e">
        <f aca="false">IF(AG277="",NA(),AG277)</f>
        <v>#N/A</v>
      </c>
      <c r="AU277" s="44" t="str">
        <f aca="false">IF(268&lt;=$C$8,268,"")</f>
        <v/>
      </c>
      <c r="AV277" s="44" t="str">
        <f aca="false">IF(AU277="","",INDEX($AG$10:$AG$309,$B$8+268-1))</f>
        <v/>
      </c>
      <c r="AW277" s="44" t="e">
        <f aca="false">IF(AV277="",NA(),AV277)</f>
        <v>#N/A</v>
      </c>
      <c r="AX277" s="44" t="e">
        <f aca="false">IF(AV277="",NA(),AU277)</f>
        <v>#N/A</v>
      </c>
      <c r="AY277" s="44" t="str">
        <f aca="false">IF(AV277="","",LN(AV277))</f>
        <v/>
      </c>
      <c r="CH277" s="55" t="str">
        <f aca="false">IF(ISNUMBER(CI277),IF(ISNUMBER('Base de Datos'!AG273),IF('Base de Datos'!AG273&gt;20000,INT('Base de Datos'!AG273),""),IF(TRIM('Base de Datos'!AG273)="","",IFERROR(DATE(VALUE(RIGHT(TRIM('Base de Datos'!AG273),4)),VALUE(MID(TRIM('Base de Datos'!AG273),4,2)),VALUE(LEFT(TRIM('Base de Datos'!AG273),2))),IFERROR(DATEVALUE(TRIM('Base de Datos'!AG273)),"")))),"")</f>
        <v/>
      </c>
      <c r="CI277" s="44" t="str">
        <f aca="false">IF(ISNUMBER('Base de Datos'!AH273),'Base de Datos'!AH273,IF(TRIM('Base de Datos'!AH273)="","",IFERROR(IF(IFERROR(FIND("@",SUBSTITUTE(TRIM('Base de Datos'!AH273),",","@",LEN(TRIM('Base de Datos'!AH273))-LEN(SUBSTITUTE(TRIM('Base de Datos'!AH273),",","")))),0)&gt;IFERROR(FIND("@",SUBSTITUTE(TRIM('Base de Datos'!AH273),".","@",LEN(TRIM('Base de Datos'!AH273))-LEN(SUBSTITUTE(TRIM('Base de Datos'!AH273),".","")))),0),_xlfn.NUMBERVALUE(SUBSTITUTE(SUBSTITUTE(TRIM('Base de Datos'!AH273),".",""),",","."),".",","),_xlfn.NUMBERVALUE(SUBSTITUTE(TRIM('Base de Datos'!AH273),",",""),".",",")),"")))</f>
        <v/>
      </c>
    </row>
    <row r="278" customFormat="false" ht="13.8" hidden="false" customHeight="false" outlineLevel="0" collapsed="false">
      <c r="AE278" s="44" t="n">
        <v>269</v>
      </c>
      <c r="AF278" s="55" t="str">
        <f aca="false">IF(AF277="","",IFERROR(SMALL($CH$10:$CH$309,COUNTIF($CH$10:$CH$309,"&lt;="&amp;AF277)+1),""))</f>
        <v/>
      </c>
      <c r="AG278" s="44" t="str">
        <f aca="false">IF(AF278="","",INDEX($CI$10:$CI$309,MATCH(AF278,$CH$10:$CH$309,0)))</f>
        <v/>
      </c>
      <c r="AH278" s="55" t="e">
        <f aca="false">IF(AF278="",NA(),AF278)</f>
        <v>#N/A</v>
      </c>
      <c r="AI278" s="44" t="e">
        <f aca="false">IF(AG278="",NA(),AG278)</f>
        <v>#N/A</v>
      </c>
      <c r="AU278" s="44" t="str">
        <f aca="false">IF(269&lt;=$C$8,269,"")</f>
        <v/>
      </c>
      <c r="AV278" s="44" t="str">
        <f aca="false">IF(AU278="","",INDEX($AG$10:$AG$309,$B$8+269-1))</f>
        <v/>
      </c>
      <c r="AW278" s="44" t="e">
        <f aca="false">IF(AV278="",NA(),AV278)</f>
        <v>#N/A</v>
      </c>
      <c r="AX278" s="44" t="e">
        <f aca="false">IF(AV278="",NA(),AU278)</f>
        <v>#N/A</v>
      </c>
      <c r="AY278" s="44" t="str">
        <f aca="false">IF(AV278="","",LN(AV278))</f>
        <v/>
      </c>
      <c r="CH278" s="55" t="str">
        <f aca="false">IF(ISNUMBER(CI278),IF(ISNUMBER('Base de Datos'!AG274),IF('Base de Datos'!AG274&gt;20000,INT('Base de Datos'!AG274),""),IF(TRIM('Base de Datos'!AG274)="","",IFERROR(DATE(VALUE(RIGHT(TRIM('Base de Datos'!AG274),4)),VALUE(MID(TRIM('Base de Datos'!AG274),4,2)),VALUE(LEFT(TRIM('Base de Datos'!AG274),2))),IFERROR(DATEVALUE(TRIM('Base de Datos'!AG274)),"")))),"")</f>
        <v/>
      </c>
      <c r="CI278" s="44" t="str">
        <f aca="false">IF(ISNUMBER('Base de Datos'!AH274),'Base de Datos'!AH274,IF(TRIM('Base de Datos'!AH274)="","",IFERROR(IF(IFERROR(FIND("@",SUBSTITUTE(TRIM('Base de Datos'!AH274),",","@",LEN(TRIM('Base de Datos'!AH274))-LEN(SUBSTITUTE(TRIM('Base de Datos'!AH274),",","")))),0)&gt;IFERROR(FIND("@",SUBSTITUTE(TRIM('Base de Datos'!AH274),".","@",LEN(TRIM('Base de Datos'!AH274))-LEN(SUBSTITUTE(TRIM('Base de Datos'!AH274),".","")))),0),_xlfn.NUMBERVALUE(SUBSTITUTE(SUBSTITUTE(TRIM('Base de Datos'!AH274),".",""),",","."),".",","),_xlfn.NUMBERVALUE(SUBSTITUTE(TRIM('Base de Datos'!AH274),",",""),".",",")),"")))</f>
        <v/>
      </c>
    </row>
    <row r="279" customFormat="false" ht="13.8" hidden="false" customHeight="false" outlineLevel="0" collapsed="false">
      <c r="AE279" s="44" t="n">
        <v>270</v>
      </c>
      <c r="AF279" s="55" t="str">
        <f aca="false">IF(AF278="","",IFERROR(SMALL($CH$10:$CH$309,COUNTIF($CH$10:$CH$309,"&lt;="&amp;AF278)+1),""))</f>
        <v/>
      </c>
      <c r="AG279" s="44" t="str">
        <f aca="false">IF(AF279="","",INDEX($CI$10:$CI$309,MATCH(AF279,$CH$10:$CH$309,0)))</f>
        <v/>
      </c>
      <c r="AH279" s="55" t="e">
        <f aca="false">IF(AF279="",NA(),AF279)</f>
        <v>#N/A</v>
      </c>
      <c r="AI279" s="44" t="e">
        <f aca="false">IF(AG279="",NA(),AG279)</f>
        <v>#N/A</v>
      </c>
      <c r="AU279" s="44" t="str">
        <f aca="false">IF(270&lt;=$C$8,270,"")</f>
        <v/>
      </c>
      <c r="AV279" s="44" t="str">
        <f aca="false">IF(AU279="","",INDEX($AG$10:$AG$309,$B$8+270-1))</f>
        <v/>
      </c>
      <c r="AW279" s="44" t="e">
        <f aca="false">IF(AV279="",NA(),AV279)</f>
        <v>#N/A</v>
      </c>
      <c r="AX279" s="44" t="e">
        <f aca="false">IF(AV279="",NA(),AU279)</f>
        <v>#N/A</v>
      </c>
      <c r="AY279" s="44" t="str">
        <f aca="false">IF(AV279="","",LN(AV279))</f>
        <v/>
      </c>
      <c r="CH279" s="55" t="str">
        <f aca="false">IF(ISNUMBER(CI279),IF(ISNUMBER('Base de Datos'!AG275),IF('Base de Datos'!AG275&gt;20000,INT('Base de Datos'!AG275),""),IF(TRIM('Base de Datos'!AG275)="","",IFERROR(DATE(VALUE(RIGHT(TRIM('Base de Datos'!AG275),4)),VALUE(MID(TRIM('Base de Datos'!AG275),4,2)),VALUE(LEFT(TRIM('Base de Datos'!AG275),2))),IFERROR(DATEVALUE(TRIM('Base de Datos'!AG275)),"")))),"")</f>
        <v/>
      </c>
      <c r="CI279" s="44" t="str">
        <f aca="false">IF(ISNUMBER('Base de Datos'!AH275),'Base de Datos'!AH275,IF(TRIM('Base de Datos'!AH275)="","",IFERROR(IF(IFERROR(FIND("@",SUBSTITUTE(TRIM('Base de Datos'!AH275),",","@",LEN(TRIM('Base de Datos'!AH275))-LEN(SUBSTITUTE(TRIM('Base de Datos'!AH275),",","")))),0)&gt;IFERROR(FIND("@",SUBSTITUTE(TRIM('Base de Datos'!AH275),".","@",LEN(TRIM('Base de Datos'!AH275))-LEN(SUBSTITUTE(TRIM('Base de Datos'!AH275),".","")))),0),_xlfn.NUMBERVALUE(SUBSTITUTE(SUBSTITUTE(TRIM('Base de Datos'!AH275),".",""),",","."),".",","),_xlfn.NUMBERVALUE(SUBSTITUTE(TRIM('Base de Datos'!AH275),",",""),".",",")),"")))</f>
        <v/>
      </c>
    </row>
    <row r="280" customFormat="false" ht="13.8" hidden="false" customHeight="false" outlineLevel="0" collapsed="false">
      <c r="AE280" s="44" t="n">
        <v>271</v>
      </c>
      <c r="AF280" s="55" t="str">
        <f aca="false">IF(AF279="","",IFERROR(SMALL($CH$10:$CH$309,COUNTIF($CH$10:$CH$309,"&lt;="&amp;AF279)+1),""))</f>
        <v/>
      </c>
      <c r="AG280" s="44" t="str">
        <f aca="false">IF(AF280="","",INDEX($CI$10:$CI$309,MATCH(AF280,$CH$10:$CH$309,0)))</f>
        <v/>
      </c>
      <c r="AH280" s="55" t="e">
        <f aca="false">IF(AF280="",NA(),AF280)</f>
        <v>#N/A</v>
      </c>
      <c r="AI280" s="44" t="e">
        <f aca="false">IF(AG280="",NA(),AG280)</f>
        <v>#N/A</v>
      </c>
      <c r="AU280" s="44" t="str">
        <f aca="false">IF(271&lt;=$C$8,271,"")</f>
        <v/>
      </c>
      <c r="AV280" s="44" t="str">
        <f aca="false">IF(AU280="","",INDEX($AG$10:$AG$309,$B$8+271-1))</f>
        <v/>
      </c>
      <c r="AW280" s="44" t="e">
        <f aca="false">IF(AV280="",NA(),AV280)</f>
        <v>#N/A</v>
      </c>
      <c r="AX280" s="44" t="e">
        <f aca="false">IF(AV280="",NA(),AU280)</f>
        <v>#N/A</v>
      </c>
      <c r="AY280" s="44" t="str">
        <f aca="false">IF(AV280="","",LN(AV280))</f>
        <v/>
      </c>
      <c r="CH280" s="55" t="str">
        <f aca="false">IF(ISNUMBER(CI280),IF(ISNUMBER('Base de Datos'!AG276),IF('Base de Datos'!AG276&gt;20000,INT('Base de Datos'!AG276),""),IF(TRIM('Base de Datos'!AG276)="","",IFERROR(DATE(VALUE(RIGHT(TRIM('Base de Datos'!AG276),4)),VALUE(MID(TRIM('Base de Datos'!AG276),4,2)),VALUE(LEFT(TRIM('Base de Datos'!AG276),2))),IFERROR(DATEVALUE(TRIM('Base de Datos'!AG276)),"")))),"")</f>
        <v/>
      </c>
      <c r="CI280" s="44" t="str">
        <f aca="false">IF(ISNUMBER('Base de Datos'!AH276),'Base de Datos'!AH276,IF(TRIM('Base de Datos'!AH276)="","",IFERROR(IF(IFERROR(FIND("@",SUBSTITUTE(TRIM('Base de Datos'!AH276),",","@",LEN(TRIM('Base de Datos'!AH276))-LEN(SUBSTITUTE(TRIM('Base de Datos'!AH276),",","")))),0)&gt;IFERROR(FIND("@",SUBSTITUTE(TRIM('Base de Datos'!AH276),".","@",LEN(TRIM('Base de Datos'!AH276))-LEN(SUBSTITUTE(TRIM('Base de Datos'!AH276),".","")))),0),_xlfn.NUMBERVALUE(SUBSTITUTE(SUBSTITUTE(TRIM('Base de Datos'!AH276),".",""),",","."),".",","),_xlfn.NUMBERVALUE(SUBSTITUTE(TRIM('Base de Datos'!AH276),",",""),".",",")),"")))</f>
        <v/>
      </c>
    </row>
    <row r="281" customFormat="false" ht="13.8" hidden="false" customHeight="false" outlineLevel="0" collapsed="false">
      <c r="AE281" s="44" t="n">
        <v>272</v>
      </c>
      <c r="AF281" s="55" t="str">
        <f aca="false">IF(AF280="","",IFERROR(SMALL($CH$10:$CH$309,COUNTIF($CH$10:$CH$309,"&lt;="&amp;AF280)+1),""))</f>
        <v/>
      </c>
      <c r="AG281" s="44" t="str">
        <f aca="false">IF(AF281="","",INDEX($CI$10:$CI$309,MATCH(AF281,$CH$10:$CH$309,0)))</f>
        <v/>
      </c>
      <c r="AH281" s="55" t="e">
        <f aca="false">IF(AF281="",NA(),AF281)</f>
        <v>#N/A</v>
      </c>
      <c r="AI281" s="44" t="e">
        <f aca="false">IF(AG281="",NA(),AG281)</f>
        <v>#N/A</v>
      </c>
      <c r="AU281" s="44" t="str">
        <f aca="false">IF(272&lt;=$C$8,272,"")</f>
        <v/>
      </c>
      <c r="AV281" s="44" t="str">
        <f aca="false">IF(AU281="","",INDEX($AG$10:$AG$309,$B$8+272-1))</f>
        <v/>
      </c>
      <c r="AW281" s="44" t="e">
        <f aca="false">IF(AV281="",NA(),AV281)</f>
        <v>#N/A</v>
      </c>
      <c r="AX281" s="44" t="e">
        <f aca="false">IF(AV281="",NA(),AU281)</f>
        <v>#N/A</v>
      </c>
      <c r="AY281" s="44" t="str">
        <f aca="false">IF(AV281="","",LN(AV281))</f>
        <v/>
      </c>
      <c r="CH281" s="55" t="str">
        <f aca="false">IF(ISNUMBER(CI281),IF(ISNUMBER('Base de Datos'!AG277),IF('Base de Datos'!AG277&gt;20000,INT('Base de Datos'!AG277),""),IF(TRIM('Base de Datos'!AG277)="","",IFERROR(DATE(VALUE(RIGHT(TRIM('Base de Datos'!AG277),4)),VALUE(MID(TRIM('Base de Datos'!AG277),4,2)),VALUE(LEFT(TRIM('Base de Datos'!AG277),2))),IFERROR(DATEVALUE(TRIM('Base de Datos'!AG277)),"")))),"")</f>
        <v/>
      </c>
      <c r="CI281" s="44" t="str">
        <f aca="false">IF(ISNUMBER('Base de Datos'!AH277),'Base de Datos'!AH277,IF(TRIM('Base de Datos'!AH277)="","",IFERROR(IF(IFERROR(FIND("@",SUBSTITUTE(TRIM('Base de Datos'!AH277),",","@",LEN(TRIM('Base de Datos'!AH277))-LEN(SUBSTITUTE(TRIM('Base de Datos'!AH277),",","")))),0)&gt;IFERROR(FIND("@",SUBSTITUTE(TRIM('Base de Datos'!AH277),".","@",LEN(TRIM('Base de Datos'!AH277))-LEN(SUBSTITUTE(TRIM('Base de Datos'!AH277),".","")))),0),_xlfn.NUMBERVALUE(SUBSTITUTE(SUBSTITUTE(TRIM('Base de Datos'!AH277),".",""),",","."),".",","),_xlfn.NUMBERVALUE(SUBSTITUTE(TRIM('Base de Datos'!AH277),",",""),".",",")),"")))</f>
        <v/>
      </c>
    </row>
    <row r="282" customFormat="false" ht="13.8" hidden="false" customHeight="false" outlineLevel="0" collapsed="false">
      <c r="AE282" s="44" t="n">
        <v>273</v>
      </c>
      <c r="AF282" s="55" t="str">
        <f aca="false">IF(AF281="","",IFERROR(SMALL($CH$10:$CH$309,COUNTIF($CH$10:$CH$309,"&lt;="&amp;AF281)+1),""))</f>
        <v/>
      </c>
      <c r="AG282" s="44" t="str">
        <f aca="false">IF(AF282="","",INDEX($CI$10:$CI$309,MATCH(AF282,$CH$10:$CH$309,0)))</f>
        <v/>
      </c>
      <c r="AH282" s="55" t="e">
        <f aca="false">IF(AF282="",NA(),AF282)</f>
        <v>#N/A</v>
      </c>
      <c r="AI282" s="44" t="e">
        <f aca="false">IF(AG282="",NA(),AG282)</f>
        <v>#N/A</v>
      </c>
      <c r="AU282" s="44" t="str">
        <f aca="false">IF(273&lt;=$C$8,273,"")</f>
        <v/>
      </c>
      <c r="AV282" s="44" t="str">
        <f aca="false">IF(AU282="","",INDEX($AG$10:$AG$309,$B$8+273-1))</f>
        <v/>
      </c>
      <c r="AW282" s="44" t="e">
        <f aca="false">IF(AV282="",NA(),AV282)</f>
        <v>#N/A</v>
      </c>
      <c r="AX282" s="44" t="e">
        <f aca="false">IF(AV282="",NA(),AU282)</f>
        <v>#N/A</v>
      </c>
      <c r="AY282" s="44" t="str">
        <f aca="false">IF(AV282="","",LN(AV282))</f>
        <v/>
      </c>
      <c r="CH282" s="55" t="str">
        <f aca="false">IF(ISNUMBER(CI282),IF(ISNUMBER('Base de Datos'!AG278),IF('Base de Datos'!AG278&gt;20000,INT('Base de Datos'!AG278),""),IF(TRIM('Base de Datos'!AG278)="","",IFERROR(DATE(VALUE(RIGHT(TRIM('Base de Datos'!AG278),4)),VALUE(MID(TRIM('Base de Datos'!AG278),4,2)),VALUE(LEFT(TRIM('Base de Datos'!AG278),2))),IFERROR(DATEVALUE(TRIM('Base de Datos'!AG278)),"")))),"")</f>
        <v/>
      </c>
      <c r="CI282" s="44" t="str">
        <f aca="false">IF(ISNUMBER('Base de Datos'!AH278),'Base de Datos'!AH278,IF(TRIM('Base de Datos'!AH278)="","",IFERROR(IF(IFERROR(FIND("@",SUBSTITUTE(TRIM('Base de Datos'!AH278),",","@",LEN(TRIM('Base de Datos'!AH278))-LEN(SUBSTITUTE(TRIM('Base de Datos'!AH278),",","")))),0)&gt;IFERROR(FIND("@",SUBSTITUTE(TRIM('Base de Datos'!AH278),".","@",LEN(TRIM('Base de Datos'!AH278))-LEN(SUBSTITUTE(TRIM('Base de Datos'!AH278),".","")))),0),_xlfn.NUMBERVALUE(SUBSTITUTE(SUBSTITUTE(TRIM('Base de Datos'!AH278),".",""),",","."),".",","),_xlfn.NUMBERVALUE(SUBSTITUTE(TRIM('Base de Datos'!AH278),",",""),".",",")),"")))</f>
        <v/>
      </c>
    </row>
    <row r="283" customFormat="false" ht="13.8" hidden="false" customHeight="false" outlineLevel="0" collapsed="false">
      <c r="AE283" s="44" t="n">
        <v>274</v>
      </c>
      <c r="AF283" s="55" t="str">
        <f aca="false">IF(AF282="","",IFERROR(SMALL($CH$10:$CH$309,COUNTIF($CH$10:$CH$309,"&lt;="&amp;AF282)+1),""))</f>
        <v/>
      </c>
      <c r="AG283" s="44" t="str">
        <f aca="false">IF(AF283="","",INDEX($CI$10:$CI$309,MATCH(AF283,$CH$10:$CH$309,0)))</f>
        <v/>
      </c>
      <c r="AH283" s="55" t="e">
        <f aca="false">IF(AF283="",NA(),AF283)</f>
        <v>#N/A</v>
      </c>
      <c r="AI283" s="44" t="e">
        <f aca="false">IF(AG283="",NA(),AG283)</f>
        <v>#N/A</v>
      </c>
      <c r="AU283" s="44" t="str">
        <f aca="false">IF(274&lt;=$C$8,274,"")</f>
        <v/>
      </c>
      <c r="AV283" s="44" t="str">
        <f aca="false">IF(AU283="","",INDEX($AG$10:$AG$309,$B$8+274-1))</f>
        <v/>
      </c>
      <c r="AW283" s="44" t="e">
        <f aca="false">IF(AV283="",NA(),AV283)</f>
        <v>#N/A</v>
      </c>
      <c r="AX283" s="44" t="e">
        <f aca="false">IF(AV283="",NA(),AU283)</f>
        <v>#N/A</v>
      </c>
      <c r="AY283" s="44" t="str">
        <f aca="false">IF(AV283="","",LN(AV283))</f>
        <v/>
      </c>
      <c r="CH283" s="55" t="str">
        <f aca="false">IF(ISNUMBER(CI283),IF(ISNUMBER('Base de Datos'!AG279),IF('Base de Datos'!AG279&gt;20000,INT('Base de Datos'!AG279),""),IF(TRIM('Base de Datos'!AG279)="","",IFERROR(DATE(VALUE(RIGHT(TRIM('Base de Datos'!AG279),4)),VALUE(MID(TRIM('Base de Datos'!AG279),4,2)),VALUE(LEFT(TRIM('Base de Datos'!AG279),2))),IFERROR(DATEVALUE(TRIM('Base de Datos'!AG279)),"")))),"")</f>
        <v/>
      </c>
      <c r="CI283" s="44" t="str">
        <f aca="false">IF(ISNUMBER('Base de Datos'!AH279),'Base de Datos'!AH279,IF(TRIM('Base de Datos'!AH279)="","",IFERROR(IF(IFERROR(FIND("@",SUBSTITUTE(TRIM('Base de Datos'!AH279),",","@",LEN(TRIM('Base de Datos'!AH279))-LEN(SUBSTITUTE(TRIM('Base de Datos'!AH279),",","")))),0)&gt;IFERROR(FIND("@",SUBSTITUTE(TRIM('Base de Datos'!AH279),".","@",LEN(TRIM('Base de Datos'!AH279))-LEN(SUBSTITUTE(TRIM('Base de Datos'!AH279),".","")))),0),_xlfn.NUMBERVALUE(SUBSTITUTE(SUBSTITUTE(TRIM('Base de Datos'!AH279),".",""),",","."),".",","),_xlfn.NUMBERVALUE(SUBSTITUTE(TRIM('Base de Datos'!AH279),",",""),".",",")),"")))</f>
        <v/>
      </c>
    </row>
    <row r="284" customFormat="false" ht="13.8" hidden="false" customHeight="false" outlineLevel="0" collapsed="false">
      <c r="AE284" s="44" t="n">
        <v>275</v>
      </c>
      <c r="AF284" s="55" t="str">
        <f aca="false">IF(AF283="","",IFERROR(SMALL($CH$10:$CH$309,COUNTIF($CH$10:$CH$309,"&lt;="&amp;AF283)+1),""))</f>
        <v/>
      </c>
      <c r="AG284" s="44" t="str">
        <f aca="false">IF(AF284="","",INDEX($CI$10:$CI$309,MATCH(AF284,$CH$10:$CH$309,0)))</f>
        <v/>
      </c>
      <c r="AH284" s="55" t="e">
        <f aca="false">IF(AF284="",NA(),AF284)</f>
        <v>#N/A</v>
      </c>
      <c r="AI284" s="44" t="e">
        <f aca="false">IF(AG284="",NA(),AG284)</f>
        <v>#N/A</v>
      </c>
      <c r="AU284" s="44" t="str">
        <f aca="false">IF(275&lt;=$C$8,275,"")</f>
        <v/>
      </c>
      <c r="AV284" s="44" t="str">
        <f aca="false">IF(AU284="","",INDEX($AG$10:$AG$309,$B$8+275-1))</f>
        <v/>
      </c>
      <c r="AW284" s="44" t="e">
        <f aca="false">IF(AV284="",NA(),AV284)</f>
        <v>#N/A</v>
      </c>
      <c r="AX284" s="44" t="e">
        <f aca="false">IF(AV284="",NA(),AU284)</f>
        <v>#N/A</v>
      </c>
      <c r="AY284" s="44" t="str">
        <f aca="false">IF(AV284="","",LN(AV284))</f>
        <v/>
      </c>
      <c r="CH284" s="55" t="str">
        <f aca="false">IF(ISNUMBER(CI284),IF(ISNUMBER('Base de Datos'!AG280),IF('Base de Datos'!AG280&gt;20000,INT('Base de Datos'!AG280),""),IF(TRIM('Base de Datos'!AG280)="","",IFERROR(DATE(VALUE(RIGHT(TRIM('Base de Datos'!AG280),4)),VALUE(MID(TRIM('Base de Datos'!AG280),4,2)),VALUE(LEFT(TRIM('Base de Datos'!AG280),2))),IFERROR(DATEVALUE(TRIM('Base de Datos'!AG280)),"")))),"")</f>
        <v/>
      </c>
      <c r="CI284" s="44" t="str">
        <f aca="false">IF(ISNUMBER('Base de Datos'!AH280),'Base de Datos'!AH280,IF(TRIM('Base de Datos'!AH280)="","",IFERROR(IF(IFERROR(FIND("@",SUBSTITUTE(TRIM('Base de Datos'!AH280),",","@",LEN(TRIM('Base de Datos'!AH280))-LEN(SUBSTITUTE(TRIM('Base de Datos'!AH280),",","")))),0)&gt;IFERROR(FIND("@",SUBSTITUTE(TRIM('Base de Datos'!AH280),".","@",LEN(TRIM('Base de Datos'!AH280))-LEN(SUBSTITUTE(TRIM('Base de Datos'!AH280),".","")))),0),_xlfn.NUMBERVALUE(SUBSTITUTE(SUBSTITUTE(TRIM('Base de Datos'!AH280),".",""),",","."),".",","),_xlfn.NUMBERVALUE(SUBSTITUTE(TRIM('Base de Datos'!AH280),",",""),".",",")),"")))</f>
        <v/>
      </c>
    </row>
    <row r="285" customFormat="false" ht="13.8" hidden="false" customHeight="false" outlineLevel="0" collapsed="false">
      <c r="AE285" s="44" t="n">
        <v>276</v>
      </c>
      <c r="AF285" s="55" t="str">
        <f aca="false">IF(AF284="","",IFERROR(SMALL($CH$10:$CH$309,COUNTIF($CH$10:$CH$309,"&lt;="&amp;AF284)+1),""))</f>
        <v/>
      </c>
      <c r="AG285" s="44" t="str">
        <f aca="false">IF(AF285="","",INDEX($CI$10:$CI$309,MATCH(AF285,$CH$10:$CH$309,0)))</f>
        <v/>
      </c>
      <c r="AH285" s="55" t="e">
        <f aca="false">IF(AF285="",NA(),AF285)</f>
        <v>#N/A</v>
      </c>
      <c r="AI285" s="44" t="e">
        <f aca="false">IF(AG285="",NA(),AG285)</f>
        <v>#N/A</v>
      </c>
      <c r="AU285" s="44" t="str">
        <f aca="false">IF(276&lt;=$C$8,276,"")</f>
        <v/>
      </c>
      <c r="AV285" s="44" t="str">
        <f aca="false">IF(AU285="","",INDEX($AG$10:$AG$309,$B$8+276-1))</f>
        <v/>
      </c>
      <c r="AW285" s="44" t="e">
        <f aca="false">IF(AV285="",NA(),AV285)</f>
        <v>#N/A</v>
      </c>
      <c r="AX285" s="44" t="e">
        <f aca="false">IF(AV285="",NA(),AU285)</f>
        <v>#N/A</v>
      </c>
      <c r="AY285" s="44" t="str">
        <f aca="false">IF(AV285="","",LN(AV285))</f>
        <v/>
      </c>
      <c r="CH285" s="55" t="str">
        <f aca="false">IF(ISNUMBER(CI285),IF(ISNUMBER('Base de Datos'!AG281),IF('Base de Datos'!AG281&gt;20000,INT('Base de Datos'!AG281),""),IF(TRIM('Base de Datos'!AG281)="","",IFERROR(DATE(VALUE(RIGHT(TRIM('Base de Datos'!AG281),4)),VALUE(MID(TRIM('Base de Datos'!AG281),4,2)),VALUE(LEFT(TRIM('Base de Datos'!AG281),2))),IFERROR(DATEVALUE(TRIM('Base de Datos'!AG281)),"")))),"")</f>
        <v/>
      </c>
      <c r="CI285" s="44" t="str">
        <f aca="false">IF(ISNUMBER('Base de Datos'!AH281),'Base de Datos'!AH281,IF(TRIM('Base de Datos'!AH281)="","",IFERROR(IF(IFERROR(FIND("@",SUBSTITUTE(TRIM('Base de Datos'!AH281),",","@",LEN(TRIM('Base de Datos'!AH281))-LEN(SUBSTITUTE(TRIM('Base de Datos'!AH281),",","")))),0)&gt;IFERROR(FIND("@",SUBSTITUTE(TRIM('Base de Datos'!AH281),".","@",LEN(TRIM('Base de Datos'!AH281))-LEN(SUBSTITUTE(TRIM('Base de Datos'!AH281),".","")))),0),_xlfn.NUMBERVALUE(SUBSTITUTE(SUBSTITUTE(TRIM('Base de Datos'!AH281),".",""),",","."),".",","),_xlfn.NUMBERVALUE(SUBSTITUTE(TRIM('Base de Datos'!AH281),",",""),".",",")),"")))</f>
        <v/>
      </c>
    </row>
    <row r="286" customFormat="false" ht="13.8" hidden="false" customHeight="false" outlineLevel="0" collapsed="false">
      <c r="AE286" s="44" t="n">
        <v>277</v>
      </c>
      <c r="AF286" s="55" t="str">
        <f aca="false">IF(AF285="","",IFERROR(SMALL($CH$10:$CH$309,COUNTIF($CH$10:$CH$309,"&lt;="&amp;AF285)+1),""))</f>
        <v/>
      </c>
      <c r="AG286" s="44" t="str">
        <f aca="false">IF(AF286="","",INDEX($CI$10:$CI$309,MATCH(AF286,$CH$10:$CH$309,0)))</f>
        <v/>
      </c>
      <c r="AH286" s="55" t="e">
        <f aca="false">IF(AF286="",NA(),AF286)</f>
        <v>#N/A</v>
      </c>
      <c r="AI286" s="44" t="e">
        <f aca="false">IF(AG286="",NA(),AG286)</f>
        <v>#N/A</v>
      </c>
      <c r="AU286" s="44" t="str">
        <f aca="false">IF(277&lt;=$C$8,277,"")</f>
        <v/>
      </c>
      <c r="AV286" s="44" t="str">
        <f aca="false">IF(AU286="","",INDEX($AG$10:$AG$309,$B$8+277-1))</f>
        <v/>
      </c>
      <c r="AW286" s="44" t="e">
        <f aca="false">IF(AV286="",NA(),AV286)</f>
        <v>#N/A</v>
      </c>
      <c r="AX286" s="44" t="e">
        <f aca="false">IF(AV286="",NA(),AU286)</f>
        <v>#N/A</v>
      </c>
      <c r="AY286" s="44" t="str">
        <f aca="false">IF(AV286="","",LN(AV286))</f>
        <v/>
      </c>
      <c r="CH286" s="55" t="str">
        <f aca="false">IF(ISNUMBER(CI286),IF(ISNUMBER('Base de Datos'!AG282),IF('Base de Datos'!AG282&gt;20000,INT('Base de Datos'!AG282),""),IF(TRIM('Base de Datos'!AG282)="","",IFERROR(DATE(VALUE(RIGHT(TRIM('Base de Datos'!AG282),4)),VALUE(MID(TRIM('Base de Datos'!AG282),4,2)),VALUE(LEFT(TRIM('Base de Datos'!AG282),2))),IFERROR(DATEVALUE(TRIM('Base de Datos'!AG282)),"")))),"")</f>
        <v/>
      </c>
      <c r="CI286" s="44" t="str">
        <f aca="false">IF(ISNUMBER('Base de Datos'!AH282),'Base de Datos'!AH282,IF(TRIM('Base de Datos'!AH282)="","",IFERROR(IF(IFERROR(FIND("@",SUBSTITUTE(TRIM('Base de Datos'!AH282),",","@",LEN(TRIM('Base de Datos'!AH282))-LEN(SUBSTITUTE(TRIM('Base de Datos'!AH282),",","")))),0)&gt;IFERROR(FIND("@",SUBSTITUTE(TRIM('Base de Datos'!AH282),".","@",LEN(TRIM('Base de Datos'!AH282))-LEN(SUBSTITUTE(TRIM('Base de Datos'!AH282),".","")))),0),_xlfn.NUMBERVALUE(SUBSTITUTE(SUBSTITUTE(TRIM('Base de Datos'!AH282),".",""),",","."),".",","),_xlfn.NUMBERVALUE(SUBSTITUTE(TRIM('Base de Datos'!AH282),",",""),".",",")),"")))</f>
        <v/>
      </c>
    </row>
    <row r="287" customFormat="false" ht="13.8" hidden="false" customHeight="false" outlineLevel="0" collapsed="false">
      <c r="AE287" s="44" t="n">
        <v>278</v>
      </c>
      <c r="AF287" s="55" t="str">
        <f aca="false">IF(AF286="","",IFERROR(SMALL($CH$10:$CH$309,COUNTIF($CH$10:$CH$309,"&lt;="&amp;AF286)+1),""))</f>
        <v/>
      </c>
      <c r="AG287" s="44" t="str">
        <f aca="false">IF(AF287="","",INDEX($CI$10:$CI$309,MATCH(AF287,$CH$10:$CH$309,0)))</f>
        <v/>
      </c>
      <c r="AH287" s="55" t="e">
        <f aca="false">IF(AF287="",NA(),AF287)</f>
        <v>#N/A</v>
      </c>
      <c r="AI287" s="44" t="e">
        <f aca="false">IF(AG287="",NA(),AG287)</f>
        <v>#N/A</v>
      </c>
      <c r="AU287" s="44" t="str">
        <f aca="false">IF(278&lt;=$C$8,278,"")</f>
        <v/>
      </c>
      <c r="AV287" s="44" t="str">
        <f aca="false">IF(AU287="","",INDEX($AG$10:$AG$309,$B$8+278-1))</f>
        <v/>
      </c>
      <c r="AW287" s="44" t="e">
        <f aca="false">IF(AV287="",NA(),AV287)</f>
        <v>#N/A</v>
      </c>
      <c r="AX287" s="44" t="e">
        <f aca="false">IF(AV287="",NA(),AU287)</f>
        <v>#N/A</v>
      </c>
      <c r="AY287" s="44" t="str">
        <f aca="false">IF(AV287="","",LN(AV287))</f>
        <v/>
      </c>
      <c r="CH287" s="55" t="str">
        <f aca="false">IF(ISNUMBER(CI287),IF(ISNUMBER('Base de Datos'!AG283),IF('Base de Datos'!AG283&gt;20000,INT('Base de Datos'!AG283),""),IF(TRIM('Base de Datos'!AG283)="","",IFERROR(DATE(VALUE(RIGHT(TRIM('Base de Datos'!AG283),4)),VALUE(MID(TRIM('Base de Datos'!AG283),4,2)),VALUE(LEFT(TRIM('Base de Datos'!AG283),2))),IFERROR(DATEVALUE(TRIM('Base de Datos'!AG283)),"")))),"")</f>
        <v/>
      </c>
      <c r="CI287" s="44" t="str">
        <f aca="false">IF(ISNUMBER('Base de Datos'!AH283),'Base de Datos'!AH283,IF(TRIM('Base de Datos'!AH283)="","",IFERROR(IF(IFERROR(FIND("@",SUBSTITUTE(TRIM('Base de Datos'!AH283),",","@",LEN(TRIM('Base de Datos'!AH283))-LEN(SUBSTITUTE(TRIM('Base de Datos'!AH283),",","")))),0)&gt;IFERROR(FIND("@",SUBSTITUTE(TRIM('Base de Datos'!AH283),".","@",LEN(TRIM('Base de Datos'!AH283))-LEN(SUBSTITUTE(TRIM('Base de Datos'!AH283),".","")))),0),_xlfn.NUMBERVALUE(SUBSTITUTE(SUBSTITUTE(TRIM('Base de Datos'!AH283),".",""),",","."),".",","),_xlfn.NUMBERVALUE(SUBSTITUTE(TRIM('Base de Datos'!AH283),",",""),".",",")),"")))</f>
        <v/>
      </c>
    </row>
    <row r="288" customFormat="false" ht="13.8" hidden="false" customHeight="false" outlineLevel="0" collapsed="false">
      <c r="AE288" s="44" t="n">
        <v>279</v>
      </c>
      <c r="AF288" s="55" t="str">
        <f aca="false">IF(AF287="","",IFERROR(SMALL($CH$10:$CH$309,COUNTIF($CH$10:$CH$309,"&lt;="&amp;AF287)+1),""))</f>
        <v/>
      </c>
      <c r="AG288" s="44" t="str">
        <f aca="false">IF(AF288="","",INDEX($CI$10:$CI$309,MATCH(AF288,$CH$10:$CH$309,0)))</f>
        <v/>
      </c>
      <c r="AH288" s="55" t="e">
        <f aca="false">IF(AF288="",NA(),AF288)</f>
        <v>#N/A</v>
      </c>
      <c r="AI288" s="44" t="e">
        <f aca="false">IF(AG288="",NA(),AG288)</f>
        <v>#N/A</v>
      </c>
      <c r="AU288" s="44" t="str">
        <f aca="false">IF(279&lt;=$C$8,279,"")</f>
        <v/>
      </c>
      <c r="AV288" s="44" t="str">
        <f aca="false">IF(AU288="","",INDEX($AG$10:$AG$309,$B$8+279-1))</f>
        <v/>
      </c>
      <c r="AW288" s="44" t="e">
        <f aca="false">IF(AV288="",NA(),AV288)</f>
        <v>#N/A</v>
      </c>
      <c r="AX288" s="44" t="e">
        <f aca="false">IF(AV288="",NA(),AU288)</f>
        <v>#N/A</v>
      </c>
      <c r="AY288" s="44" t="str">
        <f aca="false">IF(AV288="","",LN(AV288))</f>
        <v/>
      </c>
      <c r="CH288" s="55" t="str">
        <f aca="false">IF(ISNUMBER(CI288),IF(ISNUMBER('Base de Datos'!AG284),IF('Base de Datos'!AG284&gt;20000,INT('Base de Datos'!AG284),""),IF(TRIM('Base de Datos'!AG284)="","",IFERROR(DATE(VALUE(RIGHT(TRIM('Base de Datos'!AG284),4)),VALUE(MID(TRIM('Base de Datos'!AG284),4,2)),VALUE(LEFT(TRIM('Base de Datos'!AG284),2))),IFERROR(DATEVALUE(TRIM('Base de Datos'!AG284)),"")))),"")</f>
        <v/>
      </c>
      <c r="CI288" s="44" t="str">
        <f aca="false">IF(ISNUMBER('Base de Datos'!AH284),'Base de Datos'!AH284,IF(TRIM('Base de Datos'!AH284)="","",IFERROR(IF(IFERROR(FIND("@",SUBSTITUTE(TRIM('Base de Datos'!AH284),",","@",LEN(TRIM('Base de Datos'!AH284))-LEN(SUBSTITUTE(TRIM('Base de Datos'!AH284),",","")))),0)&gt;IFERROR(FIND("@",SUBSTITUTE(TRIM('Base de Datos'!AH284),".","@",LEN(TRIM('Base de Datos'!AH284))-LEN(SUBSTITUTE(TRIM('Base de Datos'!AH284),".","")))),0),_xlfn.NUMBERVALUE(SUBSTITUTE(SUBSTITUTE(TRIM('Base de Datos'!AH284),".",""),",","."),".",","),_xlfn.NUMBERVALUE(SUBSTITUTE(TRIM('Base de Datos'!AH284),",",""),".",",")),"")))</f>
        <v/>
      </c>
    </row>
    <row r="289" customFormat="false" ht="13.8" hidden="false" customHeight="false" outlineLevel="0" collapsed="false">
      <c r="AE289" s="44" t="n">
        <v>280</v>
      </c>
      <c r="AF289" s="55" t="str">
        <f aca="false">IF(AF288="","",IFERROR(SMALL($CH$10:$CH$309,COUNTIF($CH$10:$CH$309,"&lt;="&amp;AF288)+1),""))</f>
        <v/>
      </c>
      <c r="AG289" s="44" t="str">
        <f aca="false">IF(AF289="","",INDEX($CI$10:$CI$309,MATCH(AF289,$CH$10:$CH$309,0)))</f>
        <v/>
      </c>
      <c r="AH289" s="55" t="e">
        <f aca="false">IF(AF289="",NA(),AF289)</f>
        <v>#N/A</v>
      </c>
      <c r="AI289" s="44" t="e">
        <f aca="false">IF(AG289="",NA(),AG289)</f>
        <v>#N/A</v>
      </c>
      <c r="AU289" s="44" t="str">
        <f aca="false">IF(280&lt;=$C$8,280,"")</f>
        <v/>
      </c>
      <c r="AV289" s="44" t="str">
        <f aca="false">IF(AU289="","",INDEX($AG$10:$AG$309,$B$8+280-1))</f>
        <v/>
      </c>
      <c r="AW289" s="44" t="e">
        <f aca="false">IF(AV289="",NA(),AV289)</f>
        <v>#N/A</v>
      </c>
      <c r="AX289" s="44" t="e">
        <f aca="false">IF(AV289="",NA(),AU289)</f>
        <v>#N/A</v>
      </c>
      <c r="AY289" s="44" t="str">
        <f aca="false">IF(AV289="","",LN(AV289))</f>
        <v/>
      </c>
      <c r="CH289" s="55" t="str">
        <f aca="false">IF(ISNUMBER(CI289),IF(ISNUMBER('Base de Datos'!AG285),IF('Base de Datos'!AG285&gt;20000,INT('Base de Datos'!AG285),""),IF(TRIM('Base de Datos'!AG285)="","",IFERROR(DATE(VALUE(RIGHT(TRIM('Base de Datos'!AG285),4)),VALUE(MID(TRIM('Base de Datos'!AG285),4,2)),VALUE(LEFT(TRIM('Base de Datos'!AG285),2))),IFERROR(DATEVALUE(TRIM('Base de Datos'!AG285)),"")))),"")</f>
        <v/>
      </c>
      <c r="CI289" s="44" t="str">
        <f aca="false">IF(ISNUMBER('Base de Datos'!AH285),'Base de Datos'!AH285,IF(TRIM('Base de Datos'!AH285)="","",IFERROR(IF(IFERROR(FIND("@",SUBSTITUTE(TRIM('Base de Datos'!AH285),",","@",LEN(TRIM('Base de Datos'!AH285))-LEN(SUBSTITUTE(TRIM('Base de Datos'!AH285),",","")))),0)&gt;IFERROR(FIND("@",SUBSTITUTE(TRIM('Base de Datos'!AH285),".","@",LEN(TRIM('Base de Datos'!AH285))-LEN(SUBSTITUTE(TRIM('Base de Datos'!AH285),".","")))),0),_xlfn.NUMBERVALUE(SUBSTITUTE(SUBSTITUTE(TRIM('Base de Datos'!AH285),".",""),",","."),".",","),_xlfn.NUMBERVALUE(SUBSTITUTE(TRIM('Base de Datos'!AH285),",",""),".",",")),"")))</f>
        <v/>
      </c>
    </row>
    <row r="290" customFormat="false" ht="13.8" hidden="false" customHeight="false" outlineLevel="0" collapsed="false">
      <c r="AE290" s="44" t="n">
        <v>281</v>
      </c>
      <c r="AF290" s="55" t="str">
        <f aca="false">IF(AF289="","",IFERROR(SMALL($CH$10:$CH$309,COUNTIF($CH$10:$CH$309,"&lt;="&amp;AF289)+1),""))</f>
        <v/>
      </c>
      <c r="AG290" s="44" t="str">
        <f aca="false">IF(AF290="","",INDEX($CI$10:$CI$309,MATCH(AF290,$CH$10:$CH$309,0)))</f>
        <v/>
      </c>
      <c r="AH290" s="55" t="e">
        <f aca="false">IF(AF290="",NA(),AF290)</f>
        <v>#N/A</v>
      </c>
      <c r="AI290" s="44" t="e">
        <f aca="false">IF(AG290="",NA(),AG290)</f>
        <v>#N/A</v>
      </c>
      <c r="AU290" s="44" t="str">
        <f aca="false">IF(281&lt;=$C$8,281,"")</f>
        <v/>
      </c>
      <c r="AV290" s="44" t="str">
        <f aca="false">IF(AU290="","",INDEX($AG$10:$AG$309,$B$8+281-1))</f>
        <v/>
      </c>
      <c r="AW290" s="44" t="e">
        <f aca="false">IF(AV290="",NA(),AV290)</f>
        <v>#N/A</v>
      </c>
      <c r="AX290" s="44" t="e">
        <f aca="false">IF(AV290="",NA(),AU290)</f>
        <v>#N/A</v>
      </c>
      <c r="AY290" s="44" t="str">
        <f aca="false">IF(AV290="","",LN(AV290))</f>
        <v/>
      </c>
      <c r="CH290" s="55" t="str">
        <f aca="false">IF(ISNUMBER(CI290),IF(ISNUMBER('Base de Datos'!AG286),IF('Base de Datos'!AG286&gt;20000,INT('Base de Datos'!AG286),""),IF(TRIM('Base de Datos'!AG286)="","",IFERROR(DATE(VALUE(RIGHT(TRIM('Base de Datos'!AG286),4)),VALUE(MID(TRIM('Base de Datos'!AG286),4,2)),VALUE(LEFT(TRIM('Base de Datos'!AG286),2))),IFERROR(DATEVALUE(TRIM('Base de Datos'!AG286)),"")))),"")</f>
        <v/>
      </c>
      <c r="CI290" s="44" t="str">
        <f aca="false">IF(ISNUMBER('Base de Datos'!AH286),'Base de Datos'!AH286,IF(TRIM('Base de Datos'!AH286)="","",IFERROR(IF(IFERROR(FIND("@",SUBSTITUTE(TRIM('Base de Datos'!AH286),",","@",LEN(TRIM('Base de Datos'!AH286))-LEN(SUBSTITUTE(TRIM('Base de Datos'!AH286),",","")))),0)&gt;IFERROR(FIND("@",SUBSTITUTE(TRIM('Base de Datos'!AH286),".","@",LEN(TRIM('Base de Datos'!AH286))-LEN(SUBSTITUTE(TRIM('Base de Datos'!AH286),".","")))),0),_xlfn.NUMBERVALUE(SUBSTITUTE(SUBSTITUTE(TRIM('Base de Datos'!AH286),".",""),",","."),".",","),_xlfn.NUMBERVALUE(SUBSTITUTE(TRIM('Base de Datos'!AH286),",",""),".",",")),"")))</f>
        <v/>
      </c>
    </row>
    <row r="291" customFormat="false" ht="13.8" hidden="false" customHeight="false" outlineLevel="0" collapsed="false">
      <c r="AE291" s="44" t="n">
        <v>282</v>
      </c>
      <c r="AF291" s="55" t="str">
        <f aca="false">IF(AF290="","",IFERROR(SMALL($CH$10:$CH$309,COUNTIF($CH$10:$CH$309,"&lt;="&amp;AF290)+1),""))</f>
        <v/>
      </c>
      <c r="AG291" s="44" t="str">
        <f aca="false">IF(AF291="","",INDEX($CI$10:$CI$309,MATCH(AF291,$CH$10:$CH$309,0)))</f>
        <v/>
      </c>
      <c r="AH291" s="55" t="e">
        <f aca="false">IF(AF291="",NA(),AF291)</f>
        <v>#N/A</v>
      </c>
      <c r="AI291" s="44" t="e">
        <f aca="false">IF(AG291="",NA(),AG291)</f>
        <v>#N/A</v>
      </c>
      <c r="AU291" s="44" t="str">
        <f aca="false">IF(282&lt;=$C$8,282,"")</f>
        <v/>
      </c>
      <c r="AV291" s="44" t="str">
        <f aca="false">IF(AU291="","",INDEX($AG$10:$AG$309,$B$8+282-1))</f>
        <v/>
      </c>
      <c r="AW291" s="44" t="e">
        <f aca="false">IF(AV291="",NA(),AV291)</f>
        <v>#N/A</v>
      </c>
      <c r="AX291" s="44" t="e">
        <f aca="false">IF(AV291="",NA(),AU291)</f>
        <v>#N/A</v>
      </c>
      <c r="AY291" s="44" t="str">
        <f aca="false">IF(AV291="","",LN(AV291))</f>
        <v/>
      </c>
      <c r="CH291" s="55" t="str">
        <f aca="false">IF(ISNUMBER(CI291),IF(ISNUMBER('Base de Datos'!AG287),IF('Base de Datos'!AG287&gt;20000,INT('Base de Datos'!AG287),""),IF(TRIM('Base de Datos'!AG287)="","",IFERROR(DATE(VALUE(RIGHT(TRIM('Base de Datos'!AG287),4)),VALUE(MID(TRIM('Base de Datos'!AG287),4,2)),VALUE(LEFT(TRIM('Base de Datos'!AG287),2))),IFERROR(DATEVALUE(TRIM('Base de Datos'!AG287)),"")))),"")</f>
        <v/>
      </c>
      <c r="CI291" s="44" t="str">
        <f aca="false">IF(ISNUMBER('Base de Datos'!AH287),'Base de Datos'!AH287,IF(TRIM('Base de Datos'!AH287)="","",IFERROR(IF(IFERROR(FIND("@",SUBSTITUTE(TRIM('Base de Datos'!AH287),",","@",LEN(TRIM('Base de Datos'!AH287))-LEN(SUBSTITUTE(TRIM('Base de Datos'!AH287),",","")))),0)&gt;IFERROR(FIND("@",SUBSTITUTE(TRIM('Base de Datos'!AH287),".","@",LEN(TRIM('Base de Datos'!AH287))-LEN(SUBSTITUTE(TRIM('Base de Datos'!AH287),".","")))),0),_xlfn.NUMBERVALUE(SUBSTITUTE(SUBSTITUTE(TRIM('Base de Datos'!AH287),".",""),",","."),".",","),_xlfn.NUMBERVALUE(SUBSTITUTE(TRIM('Base de Datos'!AH287),",",""),".",",")),"")))</f>
        <v/>
      </c>
    </row>
    <row r="292" customFormat="false" ht="13.8" hidden="false" customHeight="false" outlineLevel="0" collapsed="false">
      <c r="AE292" s="44" t="n">
        <v>283</v>
      </c>
      <c r="AF292" s="55" t="str">
        <f aca="false">IF(AF291="","",IFERROR(SMALL($CH$10:$CH$309,COUNTIF($CH$10:$CH$309,"&lt;="&amp;AF291)+1),""))</f>
        <v/>
      </c>
      <c r="AG292" s="44" t="str">
        <f aca="false">IF(AF292="","",INDEX($CI$10:$CI$309,MATCH(AF292,$CH$10:$CH$309,0)))</f>
        <v/>
      </c>
      <c r="AH292" s="55" t="e">
        <f aca="false">IF(AF292="",NA(),AF292)</f>
        <v>#N/A</v>
      </c>
      <c r="AI292" s="44" t="e">
        <f aca="false">IF(AG292="",NA(),AG292)</f>
        <v>#N/A</v>
      </c>
      <c r="AU292" s="44" t="str">
        <f aca="false">IF(283&lt;=$C$8,283,"")</f>
        <v/>
      </c>
      <c r="AV292" s="44" t="str">
        <f aca="false">IF(AU292="","",INDEX($AG$10:$AG$309,$B$8+283-1))</f>
        <v/>
      </c>
      <c r="AW292" s="44" t="e">
        <f aca="false">IF(AV292="",NA(),AV292)</f>
        <v>#N/A</v>
      </c>
      <c r="AX292" s="44" t="e">
        <f aca="false">IF(AV292="",NA(),AU292)</f>
        <v>#N/A</v>
      </c>
      <c r="AY292" s="44" t="str">
        <f aca="false">IF(AV292="","",LN(AV292))</f>
        <v/>
      </c>
      <c r="CH292" s="55" t="str">
        <f aca="false">IF(ISNUMBER(CI292),IF(ISNUMBER('Base de Datos'!AG288),IF('Base de Datos'!AG288&gt;20000,INT('Base de Datos'!AG288),""),IF(TRIM('Base de Datos'!AG288)="","",IFERROR(DATE(VALUE(RIGHT(TRIM('Base de Datos'!AG288),4)),VALUE(MID(TRIM('Base de Datos'!AG288),4,2)),VALUE(LEFT(TRIM('Base de Datos'!AG288),2))),IFERROR(DATEVALUE(TRIM('Base de Datos'!AG288)),"")))),"")</f>
        <v/>
      </c>
      <c r="CI292" s="44" t="str">
        <f aca="false">IF(ISNUMBER('Base de Datos'!AH288),'Base de Datos'!AH288,IF(TRIM('Base de Datos'!AH288)="","",IFERROR(IF(IFERROR(FIND("@",SUBSTITUTE(TRIM('Base de Datos'!AH288),",","@",LEN(TRIM('Base de Datos'!AH288))-LEN(SUBSTITUTE(TRIM('Base de Datos'!AH288),",","")))),0)&gt;IFERROR(FIND("@",SUBSTITUTE(TRIM('Base de Datos'!AH288),".","@",LEN(TRIM('Base de Datos'!AH288))-LEN(SUBSTITUTE(TRIM('Base de Datos'!AH288),".","")))),0),_xlfn.NUMBERVALUE(SUBSTITUTE(SUBSTITUTE(TRIM('Base de Datos'!AH288),".",""),",","."),".",","),_xlfn.NUMBERVALUE(SUBSTITUTE(TRIM('Base de Datos'!AH288),",",""),".",",")),"")))</f>
        <v/>
      </c>
    </row>
    <row r="293" customFormat="false" ht="13.8" hidden="false" customHeight="false" outlineLevel="0" collapsed="false">
      <c r="AE293" s="44" t="n">
        <v>284</v>
      </c>
      <c r="AF293" s="55" t="str">
        <f aca="false">IF(AF292="","",IFERROR(SMALL($CH$10:$CH$309,COUNTIF($CH$10:$CH$309,"&lt;="&amp;AF292)+1),""))</f>
        <v/>
      </c>
      <c r="AG293" s="44" t="str">
        <f aca="false">IF(AF293="","",INDEX($CI$10:$CI$309,MATCH(AF293,$CH$10:$CH$309,0)))</f>
        <v/>
      </c>
      <c r="AH293" s="55" t="e">
        <f aca="false">IF(AF293="",NA(),AF293)</f>
        <v>#N/A</v>
      </c>
      <c r="AI293" s="44" t="e">
        <f aca="false">IF(AG293="",NA(),AG293)</f>
        <v>#N/A</v>
      </c>
      <c r="AU293" s="44" t="str">
        <f aca="false">IF(284&lt;=$C$8,284,"")</f>
        <v/>
      </c>
      <c r="AV293" s="44" t="str">
        <f aca="false">IF(AU293="","",INDEX($AG$10:$AG$309,$B$8+284-1))</f>
        <v/>
      </c>
      <c r="AW293" s="44" t="e">
        <f aca="false">IF(AV293="",NA(),AV293)</f>
        <v>#N/A</v>
      </c>
      <c r="AX293" s="44" t="e">
        <f aca="false">IF(AV293="",NA(),AU293)</f>
        <v>#N/A</v>
      </c>
      <c r="AY293" s="44" t="str">
        <f aca="false">IF(AV293="","",LN(AV293))</f>
        <v/>
      </c>
      <c r="CH293" s="55" t="str">
        <f aca="false">IF(ISNUMBER(CI293),IF(ISNUMBER('Base de Datos'!AG289),IF('Base de Datos'!AG289&gt;20000,INT('Base de Datos'!AG289),""),IF(TRIM('Base de Datos'!AG289)="","",IFERROR(DATE(VALUE(RIGHT(TRIM('Base de Datos'!AG289),4)),VALUE(MID(TRIM('Base de Datos'!AG289),4,2)),VALUE(LEFT(TRIM('Base de Datos'!AG289),2))),IFERROR(DATEVALUE(TRIM('Base de Datos'!AG289)),"")))),"")</f>
        <v/>
      </c>
      <c r="CI293" s="44" t="str">
        <f aca="false">IF(ISNUMBER('Base de Datos'!AH289),'Base de Datos'!AH289,IF(TRIM('Base de Datos'!AH289)="","",IFERROR(IF(IFERROR(FIND("@",SUBSTITUTE(TRIM('Base de Datos'!AH289),",","@",LEN(TRIM('Base de Datos'!AH289))-LEN(SUBSTITUTE(TRIM('Base de Datos'!AH289),",","")))),0)&gt;IFERROR(FIND("@",SUBSTITUTE(TRIM('Base de Datos'!AH289),".","@",LEN(TRIM('Base de Datos'!AH289))-LEN(SUBSTITUTE(TRIM('Base de Datos'!AH289),".","")))),0),_xlfn.NUMBERVALUE(SUBSTITUTE(SUBSTITUTE(TRIM('Base de Datos'!AH289),".",""),",","."),".",","),_xlfn.NUMBERVALUE(SUBSTITUTE(TRIM('Base de Datos'!AH289),",",""),".",",")),"")))</f>
        <v/>
      </c>
    </row>
    <row r="294" customFormat="false" ht="13.8" hidden="false" customHeight="false" outlineLevel="0" collapsed="false">
      <c r="AE294" s="44" t="n">
        <v>285</v>
      </c>
      <c r="AF294" s="55" t="str">
        <f aca="false">IF(AF293="","",IFERROR(SMALL($CH$10:$CH$309,COUNTIF($CH$10:$CH$309,"&lt;="&amp;AF293)+1),""))</f>
        <v/>
      </c>
      <c r="AG294" s="44" t="str">
        <f aca="false">IF(AF294="","",INDEX($CI$10:$CI$309,MATCH(AF294,$CH$10:$CH$309,0)))</f>
        <v/>
      </c>
      <c r="AH294" s="55" t="e">
        <f aca="false">IF(AF294="",NA(),AF294)</f>
        <v>#N/A</v>
      </c>
      <c r="AI294" s="44" t="e">
        <f aca="false">IF(AG294="",NA(),AG294)</f>
        <v>#N/A</v>
      </c>
      <c r="AU294" s="44" t="str">
        <f aca="false">IF(285&lt;=$C$8,285,"")</f>
        <v/>
      </c>
      <c r="AV294" s="44" t="str">
        <f aca="false">IF(AU294="","",INDEX($AG$10:$AG$309,$B$8+285-1))</f>
        <v/>
      </c>
      <c r="AW294" s="44" t="e">
        <f aca="false">IF(AV294="",NA(),AV294)</f>
        <v>#N/A</v>
      </c>
      <c r="AX294" s="44" t="e">
        <f aca="false">IF(AV294="",NA(),AU294)</f>
        <v>#N/A</v>
      </c>
      <c r="AY294" s="44" t="str">
        <f aca="false">IF(AV294="","",LN(AV294))</f>
        <v/>
      </c>
      <c r="CH294" s="55" t="str">
        <f aca="false">IF(ISNUMBER(CI294),IF(ISNUMBER('Base de Datos'!AG290),IF('Base de Datos'!AG290&gt;20000,INT('Base de Datos'!AG290),""),IF(TRIM('Base de Datos'!AG290)="","",IFERROR(DATE(VALUE(RIGHT(TRIM('Base de Datos'!AG290),4)),VALUE(MID(TRIM('Base de Datos'!AG290),4,2)),VALUE(LEFT(TRIM('Base de Datos'!AG290),2))),IFERROR(DATEVALUE(TRIM('Base de Datos'!AG290)),"")))),"")</f>
        <v/>
      </c>
      <c r="CI294" s="44" t="str">
        <f aca="false">IF(ISNUMBER('Base de Datos'!AH290),'Base de Datos'!AH290,IF(TRIM('Base de Datos'!AH290)="","",IFERROR(IF(IFERROR(FIND("@",SUBSTITUTE(TRIM('Base de Datos'!AH290),",","@",LEN(TRIM('Base de Datos'!AH290))-LEN(SUBSTITUTE(TRIM('Base de Datos'!AH290),",","")))),0)&gt;IFERROR(FIND("@",SUBSTITUTE(TRIM('Base de Datos'!AH290),".","@",LEN(TRIM('Base de Datos'!AH290))-LEN(SUBSTITUTE(TRIM('Base de Datos'!AH290),".","")))),0),_xlfn.NUMBERVALUE(SUBSTITUTE(SUBSTITUTE(TRIM('Base de Datos'!AH290),".",""),",","."),".",","),_xlfn.NUMBERVALUE(SUBSTITUTE(TRIM('Base de Datos'!AH290),",",""),".",",")),"")))</f>
        <v/>
      </c>
    </row>
    <row r="295" customFormat="false" ht="13.8" hidden="false" customHeight="false" outlineLevel="0" collapsed="false">
      <c r="AE295" s="44" t="n">
        <v>286</v>
      </c>
      <c r="AF295" s="55" t="str">
        <f aca="false">IF(AF294="","",IFERROR(SMALL($CH$10:$CH$309,COUNTIF($CH$10:$CH$309,"&lt;="&amp;AF294)+1),""))</f>
        <v/>
      </c>
      <c r="AG295" s="44" t="str">
        <f aca="false">IF(AF295="","",INDEX($CI$10:$CI$309,MATCH(AF295,$CH$10:$CH$309,0)))</f>
        <v/>
      </c>
      <c r="AH295" s="55" t="e">
        <f aca="false">IF(AF295="",NA(),AF295)</f>
        <v>#N/A</v>
      </c>
      <c r="AI295" s="44" t="e">
        <f aca="false">IF(AG295="",NA(),AG295)</f>
        <v>#N/A</v>
      </c>
      <c r="AU295" s="44" t="str">
        <f aca="false">IF(286&lt;=$C$8,286,"")</f>
        <v/>
      </c>
      <c r="AV295" s="44" t="str">
        <f aca="false">IF(AU295="","",INDEX($AG$10:$AG$309,$B$8+286-1))</f>
        <v/>
      </c>
      <c r="AW295" s="44" t="e">
        <f aca="false">IF(AV295="",NA(),AV295)</f>
        <v>#N/A</v>
      </c>
      <c r="AX295" s="44" t="e">
        <f aca="false">IF(AV295="",NA(),AU295)</f>
        <v>#N/A</v>
      </c>
      <c r="AY295" s="44" t="str">
        <f aca="false">IF(AV295="","",LN(AV295))</f>
        <v/>
      </c>
      <c r="CH295" s="55" t="str">
        <f aca="false">IF(ISNUMBER(CI295),IF(ISNUMBER('Base de Datos'!AG291),IF('Base de Datos'!AG291&gt;20000,INT('Base de Datos'!AG291),""),IF(TRIM('Base de Datos'!AG291)="","",IFERROR(DATE(VALUE(RIGHT(TRIM('Base de Datos'!AG291),4)),VALUE(MID(TRIM('Base de Datos'!AG291),4,2)),VALUE(LEFT(TRIM('Base de Datos'!AG291),2))),IFERROR(DATEVALUE(TRIM('Base de Datos'!AG291)),"")))),"")</f>
        <v/>
      </c>
      <c r="CI295" s="44" t="str">
        <f aca="false">IF(ISNUMBER('Base de Datos'!AH291),'Base de Datos'!AH291,IF(TRIM('Base de Datos'!AH291)="","",IFERROR(IF(IFERROR(FIND("@",SUBSTITUTE(TRIM('Base de Datos'!AH291),",","@",LEN(TRIM('Base de Datos'!AH291))-LEN(SUBSTITUTE(TRIM('Base de Datos'!AH291),",","")))),0)&gt;IFERROR(FIND("@",SUBSTITUTE(TRIM('Base de Datos'!AH291),".","@",LEN(TRIM('Base de Datos'!AH291))-LEN(SUBSTITUTE(TRIM('Base de Datos'!AH291),".","")))),0),_xlfn.NUMBERVALUE(SUBSTITUTE(SUBSTITUTE(TRIM('Base de Datos'!AH291),".",""),",","."),".",","),_xlfn.NUMBERVALUE(SUBSTITUTE(TRIM('Base de Datos'!AH291),",",""),".",",")),"")))</f>
        <v/>
      </c>
    </row>
    <row r="296" customFormat="false" ht="13.8" hidden="false" customHeight="false" outlineLevel="0" collapsed="false">
      <c r="AE296" s="44" t="n">
        <v>287</v>
      </c>
      <c r="AF296" s="55" t="str">
        <f aca="false">IF(AF295="","",IFERROR(SMALL($CH$10:$CH$309,COUNTIF($CH$10:$CH$309,"&lt;="&amp;AF295)+1),""))</f>
        <v/>
      </c>
      <c r="AG296" s="44" t="str">
        <f aca="false">IF(AF296="","",INDEX($CI$10:$CI$309,MATCH(AF296,$CH$10:$CH$309,0)))</f>
        <v/>
      </c>
      <c r="AH296" s="55" t="e">
        <f aca="false">IF(AF296="",NA(),AF296)</f>
        <v>#N/A</v>
      </c>
      <c r="AI296" s="44" t="e">
        <f aca="false">IF(AG296="",NA(),AG296)</f>
        <v>#N/A</v>
      </c>
      <c r="AU296" s="44" t="str">
        <f aca="false">IF(287&lt;=$C$8,287,"")</f>
        <v/>
      </c>
      <c r="AV296" s="44" t="str">
        <f aca="false">IF(AU296="","",INDEX($AG$10:$AG$309,$B$8+287-1))</f>
        <v/>
      </c>
      <c r="AW296" s="44" t="e">
        <f aca="false">IF(AV296="",NA(),AV296)</f>
        <v>#N/A</v>
      </c>
      <c r="AX296" s="44" t="e">
        <f aca="false">IF(AV296="",NA(),AU296)</f>
        <v>#N/A</v>
      </c>
      <c r="AY296" s="44" t="str">
        <f aca="false">IF(AV296="","",LN(AV296))</f>
        <v/>
      </c>
      <c r="CH296" s="55" t="str">
        <f aca="false">IF(ISNUMBER(CI296),IF(ISNUMBER('Base de Datos'!AG292),IF('Base de Datos'!AG292&gt;20000,INT('Base de Datos'!AG292),""),IF(TRIM('Base de Datos'!AG292)="","",IFERROR(DATE(VALUE(RIGHT(TRIM('Base de Datos'!AG292),4)),VALUE(MID(TRIM('Base de Datos'!AG292),4,2)),VALUE(LEFT(TRIM('Base de Datos'!AG292),2))),IFERROR(DATEVALUE(TRIM('Base de Datos'!AG292)),"")))),"")</f>
        <v/>
      </c>
      <c r="CI296" s="44" t="str">
        <f aca="false">IF(ISNUMBER('Base de Datos'!AH292),'Base de Datos'!AH292,IF(TRIM('Base de Datos'!AH292)="","",IFERROR(IF(IFERROR(FIND("@",SUBSTITUTE(TRIM('Base de Datos'!AH292),",","@",LEN(TRIM('Base de Datos'!AH292))-LEN(SUBSTITUTE(TRIM('Base de Datos'!AH292),",","")))),0)&gt;IFERROR(FIND("@",SUBSTITUTE(TRIM('Base de Datos'!AH292),".","@",LEN(TRIM('Base de Datos'!AH292))-LEN(SUBSTITUTE(TRIM('Base de Datos'!AH292),".","")))),0),_xlfn.NUMBERVALUE(SUBSTITUTE(SUBSTITUTE(TRIM('Base de Datos'!AH292),".",""),",","."),".",","),_xlfn.NUMBERVALUE(SUBSTITUTE(TRIM('Base de Datos'!AH292),",",""),".",",")),"")))</f>
        <v/>
      </c>
    </row>
    <row r="297" customFormat="false" ht="13.8" hidden="false" customHeight="false" outlineLevel="0" collapsed="false">
      <c r="AE297" s="44" t="n">
        <v>288</v>
      </c>
      <c r="AF297" s="55" t="str">
        <f aca="false">IF(AF296="","",IFERROR(SMALL($CH$10:$CH$309,COUNTIF($CH$10:$CH$309,"&lt;="&amp;AF296)+1),""))</f>
        <v/>
      </c>
      <c r="AG297" s="44" t="str">
        <f aca="false">IF(AF297="","",INDEX($CI$10:$CI$309,MATCH(AF297,$CH$10:$CH$309,0)))</f>
        <v/>
      </c>
      <c r="AH297" s="55" t="e">
        <f aca="false">IF(AF297="",NA(),AF297)</f>
        <v>#N/A</v>
      </c>
      <c r="AI297" s="44" t="e">
        <f aca="false">IF(AG297="",NA(),AG297)</f>
        <v>#N/A</v>
      </c>
      <c r="AU297" s="44" t="str">
        <f aca="false">IF(288&lt;=$C$8,288,"")</f>
        <v/>
      </c>
      <c r="AV297" s="44" t="str">
        <f aca="false">IF(AU297="","",INDEX($AG$10:$AG$309,$B$8+288-1))</f>
        <v/>
      </c>
      <c r="AW297" s="44" t="e">
        <f aca="false">IF(AV297="",NA(),AV297)</f>
        <v>#N/A</v>
      </c>
      <c r="AX297" s="44" t="e">
        <f aca="false">IF(AV297="",NA(),AU297)</f>
        <v>#N/A</v>
      </c>
      <c r="AY297" s="44" t="str">
        <f aca="false">IF(AV297="","",LN(AV297))</f>
        <v/>
      </c>
      <c r="CH297" s="55" t="str">
        <f aca="false">IF(ISNUMBER(CI297),IF(ISNUMBER('Base de Datos'!AG293),IF('Base de Datos'!AG293&gt;20000,INT('Base de Datos'!AG293),""),IF(TRIM('Base de Datos'!AG293)="","",IFERROR(DATE(VALUE(RIGHT(TRIM('Base de Datos'!AG293),4)),VALUE(MID(TRIM('Base de Datos'!AG293),4,2)),VALUE(LEFT(TRIM('Base de Datos'!AG293),2))),IFERROR(DATEVALUE(TRIM('Base de Datos'!AG293)),"")))),"")</f>
        <v/>
      </c>
      <c r="CI297" s="44" t="str">
        <f aca="false">IF(ISNUMBER('Base de Datos'!AH293),'Base de Datos'!AH293,IF(TRIM('Base de Datos'!AH293)="","",IFERROR(IF(IFERROR(FIND("@",SUBSTITUTE(TRIM('Base de Datos'!AH293),",","@",LEN(TRIM('Base de Datos'!AH293))-LEN(SUBSTITUTE(TRIM('Base de Datos'!AH293),",","")))),0)&gt;IFERROR(FIND("@",SUBSTITUTE(TRIM('Base de Datos'!AH293),".","@",LEN(TRIM('Base de Datos'!AH293))-LEN(SUBSTITUTE(TRIM('Base de Datos'!AH293),".","")))),0),_xlfn.NUMBERVALUE(SUBSTITUTE(SUBSTITUTE(TRIM('Base de Datos'!AH293),".",""),",","."),".",","),_xlfn.NUMBERVALUE(SUBSTITUTE(TRIM('Base de Datos'!AH293),",",""),".",",")),"")))</f>
        <v/>
      </c>
    </row>
    <row r="298" customFormat="false" ht="13.8" hidden="false" customHeight="false" outlineLevel="0" collapsed="false">
      <c r="AE298" s="44" t="n">
        <v>289</v>
      </c>
      <c r="AF298" s="55" t="str">
        <f aca="false">IF(AF297="","",IFERROR(SMALL($CH$10:$CH$309,COUNTIF($CH$10:$CH$309,"&lt;="&amp;AF297)+1),""))</f>
        <v/>
      </c>
      <c r="AG298" s="44" t="str">
        <f aca="false">IF(AF298="","",INDEX($CI$10:$CI$309,MATCH(AF298,$CH$10:$CH$309,0)))</f>
        <v/>
      </c>
      <c r="AH298" s="55" t="e">
        <f aca="false">IF(AF298="",NA(),AF298)</f>
        <v>#N/A</v>
      </c>
      <c r="AI298" s="44" t="e">
        <f aca="false">IF(AG298="",NA(),AG298)</f>
        <v>#N/A</v>
      </c>
      <c r="AU298" s="44" t="str">
        <f aca="false">IF(289&lt;=$C$8,289,"")</f>
        <v/>
      </c>
      <c r="AV298" s="44" t="str">
        <f aca="false">IF(AU298="","",INDEX($AG$10:$AG$309,$B$8+289-1))</f>
        <v/>
      </c>
      <c r="AW298" s="44" t="e">
        <f aca="false">IF(AV298="",NA(),AV298)</f>
        <v>#N/A</v>
      </c>
      <c r="AX298" s="44" t="e">
        <f aca="false">IF(AV298="",NA(),AU298)</f>
        <v>#N/A</v>
      </c>
      <c r="AY298" s="44" t="str">
        <f aca="false">IF(AV298="","",LN(AV298))</f>
        <v/>
      </c>
      <c r="CH298" s="55" t="str">
        <f aca="false">IF(ISNUMBER(CI298),IF(ISNUMBER('Base de Datos'!AG294),IF('Base de Datos'!AG294&gt;20000,INT('Base de Datos'!AG294),""),IF(TRIM('Base de Datos'!AG294)="","",IFERROR(DATE(VALUE(RIGHT(TRIM('Base de Datos'!AG294),4)),VALUE(MID(TRIM('Base de Datos'!AG294),4,2)),VALUE(LEFT(TRIM('Base de Datos'!AG294),2))),IFERROR(DATEVALUE(TRIM('Base de Datos'!AG294)),"")))),"")</f>
        <v/>
      </c>
      <c r="CI298" s="44" t="str">
        <f aca="false">IF(ISNUMBER('Base de Datos'!AH294),'Base de Datos'!AH294,IF(TRIM('Base de Datos'!AH294)="","",IFERROR(IF(IFERROR(FIND("@",SUBSTITUTE(TRIM('Base de Datos'!AH294),",","@",LEN(TRIM('Base de Datos'!AH294))-LEN(SUBSTITUTE(TRIM('Base de Datos'!AH294),",","")))),0)&gt;IFERROR(FIND("@",SUBSTITUTE(TRIM('Base de Datos'!AH294),".","@",LEN(TRIM('Base de Datos'!AH294))-LEN(SUBSTITUTE(TRIM('Base de Datos'!AH294),".","")))),0),_xlfn.NUMBERVALUE(SUBSTITUTE(SUBSTITUTE(TRIM('Base de Datos'!AH294),".",""),",","."),".",","),_xlfn.NUMBERVALUE(SUBSTITUTE(TRIM('Base de Datos'!AH294),",",""),".",",")),"")))</f>
        <v/>
      </c>
    </row>
    <row r="299" customFormat="false" ht="13.8" hidden="false" customHeight="false" outlineLevel="0" collapsed="false">
      <c r="AE299" s="44" t="n">
        <v>290</v>
      </c>
      <c r="AF299" s="55" t="str">
        <f aca="false">IF(AF298="","",IFERROR(SMALL($CH$10:$CH$309,COUNTIF($CH$10:$CH$309,"&lt;="&amp;AF298)+1),""))</f>
        <v/>
      </c>
      <c r="AG299" s="44" t="str">
        <f aca="false">IF(AF299="","",INDEX($CI$10:$CI$309,MATCH(AF299,$CH$10:$CH$309,0)))</f>
        <v/>
      </c>
      <c r="AH299" s="55" t="e">
        <f aca="false">IF(AF299="",NA(),AF299)</f>
        <v>#N/A</v>
      </c>
      <c r="AI299" s="44" t="e">
        <f aca="false">IF(AG299="",NA(),AG299)</f>
        <v>#N/A</v>
      </c>
      <c r="AU299" s="44" t="str">
        <f aca="false">IF(290&lt;=$C$8,290,"")</f>
        <v/>
      </c>
      <c r="AV299" s="44" t="str">
        <f aca="false">IF(AU299="","",INDEX($AG$10:$AG$309,$B$8+290-1))</f>
        <v/>
      </c>
      <c r="AW299" s="44" t="e">
        <f aca="false">IF(AV299="",NA(),AV299)</f>
        <v>#N/A</v>
      </c>
      <c r="AX299" s="44" t="e">
        <f aca="false">IF(AV299="",NA(),AU299)</f>
        <v>#N/A</v>
      </c>
      <c r="AY299" s="44" t="str">
        <f aca="false">IF(AV299="","",LN(AV299))</f>
        <v/>
      </c>
      <c r="CH299" s="55" t="str">
        <f aca="false">IF(ISNUMBER(CI299),IF(ISNUMBER('Base de Datos'!AG295),IF('Base de Datos'!AG295&gt;20000,INT('Base de Datos'!AG295),""),IF(TRIM('Base de Datos'!AG295)="","",IFERROR(DATE(VALUE(RIGHT(TRIM('Base de Datos'!AG295),4)),VALUE(MID(TRIM('Base de Datos'!AG295),4,2)),VALUE(LEFT(TRIM('Base de Datos'!AG295),2))),IFERROR(DATEVALUE(TRIM('Base de Datos'!AG295)),"")))),"")</f>
        <v/>
      </c>
      <c r="CI299" s="44" t="str">
        <f aca="false">IF(ISNUMBER('Base de Datos'!AH295),'Base de Datos'!AH295,IF(TRIM('Base de Datos'!AH295)="","",IFERROR(IF(IFERROR(FIND("@",SUBSTITUTE(TRIM('Base de Datos'!AH295),",","@",LEN(TRIM('Base de Datos'!AH295))-LEN(SUBSTITUTE(TRIM('Base de Datos'!AH295),",","")))),0)&gt;IFERROR(FIND("@",SUBSTITUTE(TRIM('Base de Datos'!AH295),".","@",LEN(TRIM('Base de Datos'!AH295))-LEN(SUBSTITUTE(TRIM('Base de Datos'!AH295),".","")))),0),_xlfn.NUMBERVALUE(SUBSTITUTE(SUBSTITUTE(TRIM('Base de Datos'!AH295),".",""),",","."),".",","),_xlfn.NUMBERVALUE(SUBSTITUTE(TRIM('Base de Datos'!AH295),",",""),".",",")),"")))</f>
        <v/>
      </c>
    </row>
    <row r="300" customFormat="false" ht="13.8" hidden="false" customHeight="false" outlineLevel="0" collapsed="false">
      <c r="AE300" s="44" t="n">
        <v>291</v>
      </c>
      <c r="AF300" s="55" t="str">
        <f aca="false">IF(AF299="","",IFERROR(SMALL($CH$10:$CH$309,COUNTIF($CH$10:$CH$309,"&lt;="&amp;AF299)+1),""))</f>
        <v/>
      </c>
      <c r="AG300" s="44" t="str">
        <f aca="false">IF(AF300="","",INDEX($CI$10:$CI$309,MATCH(AF300,$CH$10:$CH$309,0)))</f>
        <v/>
      </c>
      <c r="AH300" s="55" t="e">
        <f aca="false">IF(AF300="",NA(),AF300)</f>
        <v>#N/A</v>
      </c>
      <c r="AI300" s="44" t="e">
        <f aca="false">IF(AG300="",NA(),AG300)</f>
        <v>#N/A</v>
      </c>
      <c r="AU300" s="44" t="str">
        <f aca="false">IF(291&lt;=$C$8,291,"")</f>
        <v/>
      </c>
      <c r="AV300" s="44" t="str">
        <f aca="false">IF(AU300="","",INDEX($AG$10:$AG$309,$B$8+291-1))</f>
        <v/>
      </c>
      <c r="AW300" s="44" t="e">
        <f aca="false">IF(AV300="",NA(),AV300)</f>
        <v>#N/A</v>
      </c>
      <c r="AX300" s="44" t="e">
        <f aca="false">IF(AV300="",NA(),AU300)</f>
        <v>#N/A</v>
      </c>
      <c r="AY300" s="44" t="str">
        <f aca="false">IF(AV300="","",LN(AV300))</f>
        <v/>
      </c>
      <c r="CH300" s="55" t="str">
        <f aca="false">IF(ISNUMBER(CI300),IF(ISNUMBER('Base de Datos'!AG296),IF('Base de Datos'!AG296&gt;20000,INT('Base de Datos'!AG296),""),IF(TRIM('Base de Datos'!AG296)="","",IFERROR(DATE(VALUE(RIGHT(TRIM('Base de Datos'!AG296),4)),VALUE(MID(TRIM('Base de Datos'!AG296),4,2)),VALUE(LEFT(TRIM('Base de Datos'!AG296),2))),IFERROR(DATEVALUE(TRIM('Base de Datos'!AG296)),"")))),"")</f>
        <v/>
      </c>
      <c r="CI300" s="44" t="str">
        <f aca="false">IF(ISNUMBER('Base de Datos'!AH296),'Base de Datos'!AH296,IF(TRIM('Base de Datos'!AH296)="","",IFERROR(IF(IFERROR(FIND("@",SUBSTITUTE(TRIM('Base de Datos'!AH296),",","@",LEN(TRIM('Base de Datos'!AH296))-LEN(SUBSTITUTE(TRIM('Base de Datos'!AH296),",","")))),0)&gt;IFERROR(FIND("@",SUBSTITUTE(TRIM('Base de Datos'!AH296),".","@",LEN(TRIM('Base de Datos'!AH296))-LEN(SUBSTITUTE(TRIM('Base de Datos'!AH296),".","")))),0),_xlfn.NUMBERVALUE(SUBSTITUTE(SUBSTITUTE(TRIM('Base de Datos'!AH296),".",""),",","."),".",","),_xlfn.NUMBERVALUE(SUBSTITUTE(TRIM('Base de Datos'!AH296),",",""),".",",")),"")))</f>
        <v/>
      </c>
    </row>
    <row r="301" customFormat="false" ht="13.8" hidden="false" customHeight="false" outlineLevel="0" collapsed="false">
      <c r="AE301" s="44" t="n">
        <v>292</v>
      </c>
      <c r="AF301" s="55" t="str">
        <f aca="false">IF(AF300="","",IFERROR(SMALL($CH$10:$CH$309,COUNTIF($CH$10:$CH$309,"&lt;="&amp;AF300)+1),""))</f>
        <v/>
      </c>
      <c r="AG301" s="44" t="str">
        <f aca="false">IF(AF301="","",INDEX($CI$10:$CI$309,MATCH(AF301,$CH$10:$CH$309,0)))</f>
        <v/>
      </c>
      <c r="AH301" s="55" t="e">
        <f aca="false">IF(AF301="",NA(),AF301)</f>
        <v>#N/A</v>
      </c>
      <c r="AI301" s="44" t="e">
        <f aca="false">IF(AG301="",NA(),AG301)</f>
        <v>#N/A</v>
      </c>
      <c r="AU301" s="44" t="str">
        <f aca="false">IF(292&lt;=$C$8,292,"")</f>
        <v/>
      </c>
      <c r="AV301" s="44" t="str">
        <f aca="false">IF(AU301="","",INDEX($AG$10:$AG$309,$B$8+292-1))</f>
        <v/>
      </c>
      <c r="AW301" s="44" t="e">
        <f aca="false">IF(AV301="",NA(),AV301)</f>
        <v>#N/A</v>
      </c>
      <c r="AX301" s="44" t="e">
        <f aca="false">IF(AV301="",NA(),AU301)</f>
        <v>#N/A</v>
      </c>
      <c r="AY301" s="44" t="str">
        <f aca="false">IF(AV301="","",LN(AV301))</f>
        <v/>
      </c>
      <c r="CH301" s="55" t="str">
        <f aca="false">IF(ISNUMBER(CI301),IF(ISNUMBER('Base de Datos'!AG297),IF('Base de Datos'!AG297&gt;20000,INT('Base de Datos'!AG297),""),IF(TRIM('Base de Datos'!AG297)="","",IFERROR(DATE(VALUE(RIGHT(TRIM('Base de Datos'!AG297),4)),VALUE(MID(TRIM('Base de Datos'!AG297),4,2)),VALUE(LEFT(TRIM('Base de Datos'!AG297),2))),IFERROR(DATEVALUE(TRIM('Base de Datos'!AG297)),"")))),"")</f>
        <v/>
      </c>
      <c r="CI301" s="44" t="str">
        <f aca="false">IF(ISNUMBER('Base de Datos'!AH297),'Base de Datos'!AH297,IF(TRIM('Base de Datos'!AH297)="","",IFERROR(IF(IFERROR(FIND("@",SUBSTITUTE(TRIM('Base de Datos'!AH297),",","@",LEN(TRIM('Base de Datos'!AH297))-LEN(SUBSTITUTE(TRIM('Base de Datos'!AH297),",","")))),0)&gt;IFERROR(FIND("@",SUBSTITUTE(TRIM('Base de Datos'!AH297),".","@",LEN(TRIM('Base de Datos'!AH297))-LEN(SUBSTITUTE(TRIM('Base de Datos'!AH297),".","")))),0),_xlfn.NUMBERVALUE(SUBSTITUTE(SUBSTITUTE(TRIM('Base de Datos'!AH297),".",""),",","."),".",","),_xlfn.NUMBERVALUE(SUBSTITUTE(TRIM('Base de Datos'!AH297),",",""),".",",")),"")))</f>
        <v/>
      </c>
    </row>
    <row r="302" customFormat="false" ht="13.8" hidden="false" customHeight="false" outlineLevel="0" collapsed="false">
      <c r="AE302" s="44" t="n">
        <v>293</v>
      </c>
      <c r="AF302" s="55" t="str">
        <f aca="false">IF(AF301="","",IFERROR(SMALL($CH$10:$CH$309,COUNTIF($CH$10:$CH$309,"&lt;="&amp;AF301)+1),""))</f>
        <v/>
      </c>
      <c r="AG302" s="44" t="str">
        <f aca="false">IF(AF302="","",INDEX($CI$10:$CI$309,MATCH(AF302,$CH$10:$CH$309,0)))</f>
        <v/>
      </c>
      <c r="AH302" s="55" t="e">
        <f aca="false">IF(AF302="",NA(),AF302)</f>
        <v>#N/A</v>
      </c>
      <c r="AI302" s="44" t="e">
        <f aca="false">IF(AG302="",NA(),AG302)</f>
        <v>#N/A</v>
      </c>
      <c r="AU302" s="44" t="str">
        <f aca="false">IF(293&lt;=$C$8,293,"")</f>
        <v/>
      </c>
      <c r="AV302" s="44" t="str">
        <f aca="false">IF(AU302="","",INDEX($AG$10:$AG$309,$B$8+293-1))</f>
        <v/>
      </c>
      <c r="AW302" s="44" t="e">
        <f aca="false">IF(AV302="",NA(),AV302)</f>
        <v>#N/A</v>
      </c>
      <c r="AX302" s="44" t="e">
        <f aca="false">IF(AV302="",NA(),AU302)</f>
        <v>#N/A</v>
      </c>
      <c r="AY302" s="44" t="str">
        <f aca="false">IF(AV302="","",LN(AV302))</f>
        <v/>
      </c>
      <c r="CH302" s="55" t="str">
        <f aca="false">IF(ISNUMBER(CI302),IF(ISNUMBER('Base de Datos'!AG298),IF('Base de Datos'!AG298&gt;20000,INT('Base de Datos'!AG298),""),IF(TRIM('Base de Datos'!AG298)="","",IFERROR(DATE(VALUE(RIGHT(TRIM('Base de Datos'!AG298),4)),VALUE(MID(TRIM('Base de Datos'!AG298),4,2)),VALUE(LEFT(TRIM('Base de Datos'!AG298),2))),IFERROR(DATEVALUE(TRIM('Base de Datos'!AG298)),"")))),"")</f>
        <v/>
      </c>
      <c r="CI302" s="44" t="str">
        <f aca="false">IF(ISNUMBER('Base de Datos'!AH298),'Base de Datos'!AH298,IF(TRIM('Base de Datos'!AH298)="","",IFERROR(IF(IFERROR(FIND("@",SUBSTITUTE(TRIM('Base de Datos'!AH298),",","@",LEN(TRIM('Base de Datos'!AH298))-LEN(SUBSTITUTE(TRIM('Base de Datos'!AH298),",","")))),0)&gt;IFERROR(FIND("@",SUBSTITUTE(TRIM('Base de Datos'!AH298),".","@",LEN(TRIM('Base de Datos'!AH298))-LEN(SUBSTITUTE(TRIM('Base de Datos'!AH298),".","")))),0),_xlfn.NUMBERVALUE(SUBSTITUTE(SUBSTITUTE(TRIM('Base de Datos'!AH298),".",""),",","."),".",","),_xlfn.NUMBERVALUE(SUBSTITUTE(TRIM('Base de Datos'!AH298),",",""),".",",")),"")))</f>
        <v/>
      </c>
    </row>
    <row r="303" customFormat="false" ht="13.8" hidden="false" customHeight="false" outlineLevel="0" collapsed="false">
      <c r="AE303" s="44" t="n">
        <v>294</v>
      </c>
      <c r="AF303" s="55" t="str">
        <f aca="false">IF(AF302="","",IFERROR(SMALL($CH$10:$CH$309,COUNTIF($CH$10:$CH$309,"&lt;="&amp;AF302)+1),""))</f>
        <v/>
      </c>
      <c r="AG303" s="44" t="str">
        <f aca="false">IF(AF303="","",INDEX($CI$10:$CI$309,MATCH(AF303,$CH$10:$CH$309,0)))</f>
        <v/>
      </c>
      <c r="AH303" s="55" t="e">
        <f aca="false">IF(AF303="",NA(),AF303)</f>
        <v>#N/A</v>
      </c>
      <c r="AI303" s="44" t="e">
        <f aca="false">IF(AG303="",NA(),AG303)</f>
        <v>#N/A</v>
      </c>
      <c r="AU303" s="44" t="str">
        <f aca="false">IF(294&lt;=$C$8,294,"")</f>
        <v/>
      </c>
      <c r="AV303" s="44" t="str">
        <f aca="false">IF(AU303="","",INDEX($AG$10:$AG$309,$B$8+294-1))</f>
        <v/>
      </c>
      <c r="AW303" s="44" t="e">
        <f aca="false">IF(AV303="",NA(),AV303)</f>
        <v>#N/A</v>
      </c>
      <c r="AX303" s="44" t="e">
        <f aca="false">IF(AV303="",NA(),AU303)</f>
        <v>#N/A</v>
      </c>
      <c r="AY303" s="44" t="str">
        <f aca="false">IF(AV303="","",LN(AV303))</f>
        <v/>
      </c>
      <c r="CH303" s="55" t="str">
        <f aca="false">IF(ISNUMBER(CI303),IF(ISNUMBER('Base de Datos'!AG299),IF('Base de Datos'!AG299&gt;20000,INT('Base de Datos'!AG299),""),IF(TRIM('Base de Datos'!AG299)="","",IFERROR(DATE(VALUE(RIGHT(TRIM('Base de Datos'!AG299),4)),VALUE(MID(TRIM('Base de Datos'!AG299),4,2)),VALUE(LEFT(TRIM('Base de Datos'!AG299),2))),IFERROR(DATEVALUE(TRIM('Base de Datos'!AG299)),"")))),"")</f>
        <v/>
      </c>
      <c r="CI303" s="44" t="str">
        <f aca="false">IF(ISNUMBER('Base de Datos'!AH299),'Base de Datos'!AH299,IF(TRIM('Base de Datos'!AH299)="","",IFERROR(IF(IFERROR(FIND("@",SUBSTITUTE(TRIM('Base de Datos'!AH299),",","@",LEN(TRIM('Base de Datos'!AH299))-LEN(SUBSTITUTE(TRIM('Base de Datos'!AH299),",","")))),0)&gt;IFERROR(FIND("@",SUBSTITUTE(TRIM('Base de Datos'!AH299),".","@",LEN(TRIM('Base de Datos'!AH299))-LEN(SUBSTITUTE(TRIM('Base de Datos'!AH299),".","")))),0),_xlfn.NUMBERVALUE(SUBSTITUTE(SUBSTITUTE(TRIM('Base de Datos'!AH299),".",""),",","."),".",","),_xlfn.NUMBERVALUE(SUBSTITUTE(TRIM('Base de Datos'!AH299),",",""),".",",")),"")))</f>
        <v/>
      </c>
    </row>
    <row r="304" customFormat="false" ht="13.8" hidden="false" customHeight="false" outlineLevel="0" collapsed="false">
      <c r="AE304" s="44" t="n">
        <v>295</v>
      </c>
      <c r="AF304" s="55" t="str">
        <f aca="false">IF(AF303="","",IFERROR(SMALL($CH$10:$CH$309,COUNTIF($CH$10:$CH$309,"&lt;="&amp;AF303)+1),""))</f>
        <v/>
      </c>
      <c r="AG304" s="44" t="str">
        <f aca="false">IF(AF304="","",INDEX($CI$10:$CI$309,MATCH(AF304,$CH$10:$CH$309,0)))</f>
        <v/>
      </c>
      <c r="AH304" s="55" t="e">
        <f aca="false">IF(AF304="",NA(),AF304)</f>
        <v>#N/A</v>
      </c>
      <c r="AI304" s="44" t="e">
        <f aca="false">IF(AG304="",NA(),AG304)</f>
        <v>#N/A</v>
      </c>
      <c r="AU304" s="44" t="str">
        <f aca="false">IF(295&lt;=$C$8,295,"")</f>
        <v/>
      </c>
      <c r="AV304" s="44" t="str">
        <f aca="false">IF(AU304="","",INDEX($AG$10:$AG$309,$B$8+295-1))</f>
        <v/>
      </c>
      <c r="AW304" s="44" t="e">
        <f aca="false">IF(AV304="",NA(),AV304)</f>
        <v>#N/A</v>
      </c>
      <c r="AX304" s="44" t="e">
        <f aca="false">IF(AV304="",NA(),AU304)</f>
        <v>#N/A</v>
      </c>
      <c r="AY304" s="44" t="str">
        <f aca="false">IF(AV304="","",LN(AV304))</f>
        <v/>
      </c>
      <c r="CH304" s="55" t="str">
        <f aca="false">IF(ISNUMBER(CI304),IF(ISNUMBER('Base de Datos'!AG300),IF('Base de Datos'!AG300&gt;20000,INT('Base de Datos'!AG300),""),IF(TRIM('Base de Datos'!AG300)="","",IFERROR(DATE(VALUE(RIGHT(TRIM('Base de Datos'!AG300),4)),VALUE(MID(TRIM('Base de Datos'!AG300),4,2)),VALUE(LEFT(TRIM('Base de Datos'!AG300),2))),IFERROR(DATEVALUE(TRIM('Base de Datos'!AG300)),"")))),"")</f>
        <v/>
      </c>
      <c r="CI304" s="44" t="str">
        <f aca="false">IF(ISNUMBER('Base de Datos'!AH300),'Base de Datos'!AH300,IF(TRIM('Base de Datos'!AH300)="","",IFERROR(IF(IFERROR(FIND("@",SUBSTITUTE(TRIM('Base de Datos'!AH300),",","@",LEN(TRIM('Base de Datos'!AH300))-LEN(SUBSTITUTE(TRIM('Base de Datos'!AH300),",","")))),0)&gt;IFERROR(FIND("@",SUBSTITUTE(TRIM('Base de Datos'!AH300),".","@",LEN(TRIM('Base de Datos'!AH300))-LEN(SUBSTITUTE(TRIM('Base de Datos'!AH300),".","")))),0),_xlfn.NUMBERVALUE(SUBSTITUTE(SUBSTITUTE(TRIM('Base de Datos'!AH300),".",""),",","."),".",","),_xlfn.NUMBERVALUE(SUBSTITUTE(TRIM('Base de Datos'!AH300),",",""),".",",")),"")))</f>
        <v/>
      </c>
    </row>
    <row r="305" customFormat="false" ht="13.8" hidden="false" customHeight="false" outlineLevel="0" collapsed="false">
      <c r="AE305" s="44" t="n">
        <v>296</v>
      </c>
      <c r="AF305" s="55" t="str">
        <f aca="false">IF(AF304="","",IFERROR(SMALL($CH$10:$CH$309,COUNTIF($CH$10:$CH$309,"&lt;="&amp;AF304)+1),""))</f>
        <v/>
      </c>
      <c r="AG305" s="44" t="str">
        <f aca="false">IF(AF305="","",INDEX($CI$10:$CI$309,MATCH(AF305,$CH$10:$CH$309,0)))</f>
        <v/>
      </c>
      <c r="AH305" s="55" t="e">
        <f aca="false">IF(AF305="",NA(),AF305)</f>
        <v>#N/A</v>
      </c>
      <c r="AI305" s="44" t="e">
        <f aca="false">IF(AG305="",NA(),AG305)</f>
        <v>#N/A</v>
      </c>
      <c r="AU305" s="44" t="str">
        <f aca="false">IF(296&lt;=$C$8,296,"")</f>
        <v/>
      </c>
      <c r="AV305" s="44" t="str">
        <f aca="false">IF(AU305="","",INDEX($AG$10:$AG$309,$B$8+296-1))</f>
        <v/>
      </c>
      <c r="AW305" s="44" t="e">
        <f aca="false">IF(AV305="",NA(),AV305)</f>
        <v>#N/A</v>
      </c>
      <c r="AX305" s="44" t="e">
        <f aca="false">IF(AV305="",NA(),AU305)</f>
        <v>#N/A</v>
      </c>
      <c r="AY305" s="44" t="str">
        <f aca="false">IF(AV305="","",LN(AV305))</f>
        <v/>
      </c>
      <c r="CH305" s="55" t="str">
        <f aca="false">IF(ISNUMBER(CI305),IF(ISNUMBER('Base de Datos'!AG301),IF('Base de Datos'!AG301&gt;20000,INT('Base de Datos'!AG301),""),IF(TRIM('Base de Datos'!AG301)="","",IFERROR(DATE(VALUE(RIGHT(TRIM('Base de Datos'!AG301),4)),VALUE(MID(TRIM('Base de Datos'!AG301),4,2)),VALUE(LEFT(TRIM('Base de Datos'!AG301),2))),IFERROR(DATEVALUE(TRIM('Base de Datos'!AG301)),"")))),"")</f>
        <v/>
      </c>
      <c r="CI305" s="44" t="str">
        <f aca="false">IF(ISNUMBER('Base de Datos'!AH301),'Base de Datos'!AH301,IF(TRIM('Base de Datos'!AH301)="","",IFERROR(IF(IFERROR(FIND("@",SUBSTITUTE(TRIM('Base de Datos'!AH301),",","@",LEN(TRIM('Base de Datos'!AH301))-LEN(SUBSTITUTE(TRIM('Base de Datos'!AH301),",","")))),0)&gt;IFERROR(FIND("@",SUBSTITUTE(TRIM('Base de Datos'!AH301),".","@",LEN(TRIM('Base de Datos'!AH301))-LEN(SUBSTITUTE(TRIM('Base de Datos'!AH301),".","")))),0),_xlfn.NUMBERVALUE(SUBSTITUTE(SUBSTITUTE(TRIM('Base de Datos'!AH301),".",""),",","."),".",","),_xlfn.NUMBERVALUE(SUBSTITUTE(TRIM('Base de Datos'!AH301),",",""),".",",")),"")))</f>
        <v/>
      </c>
    </row>
    <row r="306" customFormat="false" ht="13.8" hidden="false" customHeight="false" outlineLevel="0" collapsed="false">
      <c r="AE306" s="44" t="n">
        <v>297</v>
      </c>
      <c r="AF306" s="55" t="str">
        <f aca="false">IF(AF305="","",IFERROR(SMALL($CH$10:$CH$309,COUNTIF($CH$10:$CH$309,"&lt;="&amp;AF305)+1),""))</f>
        <v/>
      </c>
      <c r="AG306" s="44" t="str">
        <f aca="false">IF(AF306="","",INDEX($CI$10:$CI$309,MATCH(AF306,$CH$10:$CH$309,0)))</f>
        <v/>
      </c>
      <c r="AH306" s="55" t="e">
        <f aca="false">IF(AF306="",NA(),AF306)</f>
        <v>#N/A</v>
      </c>
      <c r="AI306" s="44" t="e">
        <f aca="false">IF(AG306="",NA(),AG306)</f>
        <v>#N/A</v>
      </c>
      <c r="AU306" s="44" t="str">
        <f aca="false">IF(297&lt;=$C$8,297,"")</f>
        <v/>
      </c>
      <c r="AV306" s="44" t="str">
        <f aca="false">IF(AU306="","",INDEX($AG$10:$AG$309,$B$8+297-1))</f>
        <v/>
      </c>
      <c r="AW306" s="44" t="e">
        <f aca="false">IF(AV306="",NA(),AV306)</f>
        <v>#N/A</v>
      </c>
      <c r="AX306" s="44" t="e">
        <f aca="false">IF(AV306="",NA(),AU306)</f>
        <v>#N/A</v>
      </c>
      <c r="AY306" s="44" t="str">
        <f aca="false">IF(AV306="","",LN(AV306))</f>
        <v/>
      </c>
      <c r="CH306" s="55" t="str">
        <f aca="false">IF(ISNUMBER(CI306),IF(ISNUMBER('Base de Datos'!AG302),IF('Base de Datos'!AG302&gt;20000,INT('Base de Datos'!AG302),""),IF(TRIM('Base de Datos'!AG302)="","",IFERROR(DATE(VALUE(RIGHT(TRIM('Base de Datos'!AG302),4)),VALUE(MID(TRIM('Base de Datos'!AG302),4,2)),VALUE(LEFT(TRIM('Base de Datos'!AG302),2))),IFERROR(DATEVALUE(TRIM('Base de Datos'!AG302)),"")))),"")</f>
        <v/>
      </c>
      <c r="CI306" s="44" t="str">
        <f aca="false">IF(ISNUMBER('Base de Datos'!AH302),'Base de Datos'!AH302,IF(TRIM('Base de Datos'!AH302)="","",IFERROR(IF(IFERROR(FIND("@",SUBSTITUTE(TRIM('Base de Datos'!AH302),",","@",LEN(TRIM('Base de Datos'!AH302))-LEN(SUBSTITUTE(TRIM('Base de Datos'!AH302),",","")))),0)&gt;IFERROR(FIND("@",SUBSTITUTE(TRIM('Base de Datos'!AH302),".","@",LEN(TRIM('Base de Datos'!AH302))-LEN(SUBSTITUTE(TRIM('Base de Datos'!AH302),".","")))),0),_xlfn.NUMBERVALUE(SUBSTITUTE(SUBSTITUTE(TRIM('Base de Datos'!AH302),".",""),",","."),".",","),_xlfn.NUMBERVALUE(SUBSTITUTE(TRIM('Base de Datos'!AH302),",",""),".",",")),"")))</f>
        <v/>
      </c>
    </row>
    <row r="307" customFormat="false" ht="13.8" hidden="false" customHeight="false" outlineLevel="0" collapsed="false">
      <c r="AE307" s="44" t="n">
        <v>298</v>
      </c>
      <c r="AF307" s="55" t="str">
        <f aca="false">IF(AF306="","",IFERROR(SMALL($CH$10:$CH$309,COUNTIF($CH$10:$CH$309,"&lt;="&amp;AF306)+1),""))</f>
        <v/>
      </c>
      <c r="AG307" s="44" t="str">
        <f aca="false">IF(AF307="","",INDEX($CI$10:$CI$309,MATCH(AF307,$CH$10:$CH$309,0)))</f>
        <v/>
      </c>
      <c r="AH307" s="55" t="e">
        <f aca="false">IF(AF307="",NA(),AF307)</f>
        <v>#N/A</v>
      </c>
      <c r="AI307" s="44" t="e">
        <f aca="false">IF(AG307="",NA(),AG307)</f>
        <v>#N/A</v>
      </c>
      <c r="AU307" s="44" t="str">
        <f aca="false">IF(298&lt;=$C$8,298,"")</f>
        <v/>
      </c>
      <c r="AV307" s="44" t="str">
        <f aca="false">IF(AU307="","",INDEX($AG$10:$AG$309,$B$8+298-1))</f>
        <v/>
      </c>
      <c r="AW307" s="44" t="e">
        <f aca="false">IF(AV307="",NA(),AV307)</f>
        <v>#N/A</v>
      </c>
      <c r="AX307" s="44" t="e">
        <f aca="false">IF(AV307="",NA(),AU307)</f>
        <v>#N/A</v>
      </c>
      <c r="AY307" s="44" t="str">
        <f aca="false">IF(AV307="","",LN(AV307))</f>
        <v/>
      </c>
      <c r="CH307" s="55" t="str">
        <f aca="false">IF(ISNUMBER(CI307),IF(ISNUMBER('Base de Datos'!AG303),IF('Base de Datos'!AG303&gt;20000,INT('Base de Datos'!AG303),""),IF(TRIM('Base de Datos'!AG303)="","",IFERROR(DATE(VALUE(RIGHT(TRIM('Base de Datos'!AG303),4)),VALUE(MID(TRIM('Base de Datos'!AG303),4,2)),VALUE(LEFT(TRIM('Base de Datos'!AG303),2))),IFERROR(DATEVALUE(TRIM('Base de Datos'!AG303)),"")))),"")</f>
        <v/>
      </c>
      <c r="CI307" s="44" t="str">
        <f aca="false">IF(ISNUMBER('Base de Datos'!AH303),'Base de Datos'!AH303,IF(TRIM('Base de Datos'!AH303)="","",IFERROR(IF(IFERROR(FIND("@",SUBSTITUTE(TRIM('Base de Datos'!AH303),",","@",LEN(TRIM('Base de Datos'!AH303))-LEN(SUBSTITUTE(TRIM('Base de Datos'!AH303),",","")))),0)&gt;IFERROR(FIND("@",SUBSTITUTE(TRIM('Base de Datos'!AH303),".","@",LEN(TRIM('Base de Datos'!AH303))-LEN(SUBSTITUTE(TRIM('Base de Datos'!AH303),".","")))),0),_xlfn.NUMBERVALUE(SUBSTITUTE(SUBSTITUTE(TRIM('Base de Datos'!AH303),".",""),",","."),".",","),_xlfn.NUMBERVALUE(SUBSTITUTE(TRIM('Base de Datos'!AH303),",",""),".",",")),"")))</f>
        <v/>
      </c>
    </row>
    <row r="308" customFormat="false" ht="13.8" hidden="false" customHeight="false" outlineLevel="0" collapsed="false">
      <c r="AE308" s="44" t="n">
        <v>299</v>
      </c>
      <c r="AF308" s="55" t="str">
        <f aca="false">IF(AF307="","",IFERROR(SMALL($CH$10:$CH$309,COUNTIF($CH$10:$CH$309,"&lt;="&amp;AF307)+1),""))</f>
        <v/>
      </c>
      <c r="AG308" s="44" t="str">
        <f aca="false">IF(AF308="","",INDEX($CI$10:$CI$309,MATCH(AF308,$CH$10:$CH$309,0)))</f>
        <v/>
      </c>
      <c r="AH308" s="55" t="e">
        <f aca="false">IF(AF308="",NA(),AF308)</f>
        <v>#N/A</v>
      </c>
      <c r="AI308" s="44" t="e">
        <f aca="false">IF(AG308="",NA(),AG308)</f>
        <v>#N/A</v>
      </c>
      <c r="AU308" s="44" t="str">
        <f aca="false">IF(299&lt;=$C$8,299,"")</f>
        <v/>
      </c>
      <c r="AV308" s="44" t="str">
        <f aca="false">IF(AU308="","",INDEX($AG$10:$AG$309,$B$8+299-1))</f>
        <v/>
      </c>
      <c r="AW308" s="44" t="e">
        <f aca="false">IF(AV308="",NA(),AV308)</f>
        <v>#N/A</v>
      </c>
      <c r="AX308" s="44" t="e">
        <f aca="false">IF(AV308="",NA(),AU308)</f>
        <v>#N/A</v>
      </c>
      <c r="AY308" s="44" t="str">
        <f aca="false">IF(AV308="","",LN(AV308))</f>
        <v/>
      </c>
      <c r="CH308" s="55" t="str">
        <f aca="false">IF(ISNUMBER(CI308),IF(ISNUMBER('Base de Datos'!AG304),IF('Base de Datos'!AG304&gt;20000,INT('Base de Datos'!AG304),""),IF(TRIM('Base de Datos'!AG304)="","",IFERROR(DATE(VALUE(RIGHT(TRIM('Base de Datos'!AG304),4)),VALUE(MID(TRIM('Base de Datos'!AG304),4,2)),VALUE(LEFT(TRIM('Base de Datos'!AG304),2))),IFERROR(DATEVALUE(TRIM('Base de Datos'!AG304)),"")))),"")</f>
        <v/>
      </c>
      <c r="CI308" s="44" t="str">
        <f aca="false">IF(ISNUMBER('Base de Datos'!AH304),'Base de Datos'!AH304,IF(TRIM('Base de Datos'!AH304)="","",IFERROR(IF(IFERROR(FIND("@",SUBSTITUTE(TRIM('Base de Datos'!AH304),",","@",LEN(TRIM('Base de Datos'!AH304))-LEN(SUBSTITUTE(TRIM('Base de Datos'!AH304),",","")))),0)&gt;IFERROR(FIND("@",SUBSTITUTE(TRIM('Base de Datos'!AH304),".","@",LEN(TRIM('Base de Datos'!AH304))-LEN(SUBSTITUTE(TRIM('Base de Datos'!AH304),".","")))),0),_xlfn.NUMBERVALUE(SUBSTITUTE(SUBSTITUTE(TRIM('Base de Datos'!AH304),".",""),",","."),".",","),_xlfn.NUMBERVALUE(SUBSTITUTE(TRIM('Base de Datos'!AH304),",",""),".",",")),"")))</f>
        <v/>
      </c>
    </row>
    <row r="309" customFormat="false" ht="13.8" hidden="false" customHeight="false" outlineLevel="0" collapsed="false">
      <c r="AE309" s="44" t="n">
        <v>300</v>
      </c>
      <c r="AF309" s="55" t="str">
        <f aca="false">IF(AF308="","",IFERROR(SMALL($CH$10:$CH$309,COUNTIF($CH$10:$CH$309,"&lt;="&amp;AF308)+1),""))</f>
        <v/>
      </c>
      <c r="AG309" s="44" t="str">
        <f aca="false">IF(AF309="","",INDEX($CI$10:$CI$309,MATCH(AF309,$CH$10:$CH$309,0)))</f>
        <v/>
      </c>
      <c r="AH309" s="55" t="e">
        <f aca="false">IF(AF309="",NA(),AF309)</f>
        <v>#N/A</v>
      </c>
      <c r="AI309" s="44" t="e">
        <f aca="false">IF(AG309="",NA(),AG309)</f>
        <v>#N/A</v>
      </c>
      <c r="AU309" s="44" t="str">
        <f aca="false">IF(300&lt;=$C$8,300,"")</f>
        <v/>
      </c>
      <c r="AV309" s="44" t="str">
        <f aca="false">IF(AU309="","",INDEX($AG$10:$AG$309,$B$8+300-1))</f>
        <v/>
      </c>
      <c r="AW309" s="44" t="e">
        <f aca="false">IF(AV309="",NA(),AV309)</f>
        <v>#N/A</v>
      </c>
      <c r="AX309" s="44" t="e">
        <f aca="false">IF(AV309="",NA(),AU309)</f>
        <v>#N/A</v>
      </c>
      <c r="AY309" s="44" t="str">
        <f aca="false">IF(AV309="","",LN(AV309))</f>
        <v/>
      </c>
      <c r="CH309" s="55" t="str">
        <f aca="false">IF(ISNUMBER(CI309),IF(ISNUMBER('Base de Datos'!AG305),IF('Base de Datos'!AG305&gt;20000,INT('Base de Datos'!AG305),""),IF(TRIM('Base de Datos'!AG305)="","",IFERROR(DATE(VALUE(RIGHT(TRIM('Base de Datos'!AG305),4)),VALUE(MID(TRIM('Base de Datos'!AG305),4,2)),VALUE(LEFT(TRIM('Base de Datos'!AG305),2))),IFERROR(DATEVALUE(TRIM('Base de Datos'!AG305)),"")))),"")</f>
        <v/>
      </c>
      <c r="CI309" s="44" t="str">
        <f aca="false">IF(ISNUMBER('Base de Datos'!AH305),'Base de Datos'!AH305,IF(TRIM('Base de Datos'!AH305)="","",IFERROR(IF(IFERROR(FIND("@",SUBSTITUTE(TRIM('Base de Datos'!AH305),",","@",LEN(TRIM('Base de Datos'!AH305))-LEN(SUBSTITUTE(TRIM('Base de Datos'!AH305),",","")))),0)&gt;IFERROR(FIND("@",SUBSTITUTE(TRIM('Base de Datos'!AH305),".","@",LEN(TRIM('Base de Datos'!AH305))-LEN(SUBSTITUTE(TRIM('Base de Datos'!AH305),".","")))),0),_xlfn.NUMBERVALUE(SUBSTITUTE(SUBSTITUTE(TRIM('Base de Datos'!AH305),".",""),",","."),".",","),_xlfn.NUMBERVALUE(SUBSTITUTE(TRIM('Base de Datos'!AH305),",",""),".",",")),"")))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412"/>
  <sheetViews>
    <sheetView showFormulas="false" showGridLines="true" showRowColHeaders="true" showZeros="true" rightToLeft="false" tabSelected="false" showOutlineSymbols="true" defaultGridColor="true" view="normal" topLeftCell="A1" colorId="64" zoomScale="119" zoomScaleNormal="119" zoomScalePageLayoutView="100" workbookViewId="0">
      <selection pane="topLeft" activeCell="D11" activeCellId="0" sqref="D11"/>
    </sheetView>
  </sheetViews>
  <sheetFormatPr defaultColWidth="8.66796875" defaultRowHeight="13.5" zeroHeight="false" outlineLevelRow="0" outlineLevelCol="0"/>
  <cols>
    <col collapsed="false" customWidth="true" hidden="false" outlineLevel="0" max="1" min="1" style="44" width="58"/>
    <col collapsed="false" customWidth="true" hidden="false" outlineLevel="0" max="4" min="2" style="44" width="13"/>
    <col collapsed="false" customWidth="true" hidden="false" outlineLevel="0" max="6" min="5" style="44" width="11"/>
    <col collapsed="false" customWidth="true" hidden="false" outlineLevel="0" max="7" min="7" style="44" width="15"/>
    <col collapsed="false" customWidth="true" hidden="false" outlineLevel="0" max="10" min="8" style="44" width="12"/>
    <col collapsed="false" customWidth="true" hidden="false" outlineLevel="0" max="13" min="11" style="44" width="15"/>
    <col collapsed="false" customWidth="true" hidden="false" outlineLevel="0" max="14" min="14" style="44" width="24"/>
    <col collapsed="false" customWidth="true" hidden="false" outlineLevel="0" max="15" min="15" style="44" width="26"/>
    <col collapsed="false" customWidth="false" hidden="false" outlineLevel="0" max="30" min="16" style="44" width="8.67"/>
    <col collapsed="false" customWidth="true" hidden="false" outlineLevel="0" max="35" min="31" style="44" width="8.83"/>
    <col collapsed="false" customWidth="false" hidden="false" outlineLevel="0" max="36" min="36" style="44" width="8.67"/>
    <col collapsed="false" customWidth="true" hidden="false" outlineLevel="0" max="41" min="37" style="44" width="8.83"/>
    <col collapsed="false" customWidth="false" hidden="false" outlineLevel="0" max="42" min="42" style="44" width="8.67"/>
    <col collapsed="false" customWidth="true" hidden="false" outlineLevel="0" max="43" min="43" style="44" width="12"/>
    <col collapsed="false" customWidth="true" hidden="false" outlineLevel="0" max="45" min="44" style="44" width="8.83"/>
    <col collapsed="false" customWidth="false" hidden="false" outlineLevel="0" max="16384" min="46" style="44" width="8.67"/>
  </cols>
  <sheetData>
    <row r="1" customFormat="false" ht="18" hidden="false" customHeight="true" outlineLevel="0" collapsed="false">
      <c r="A1" s="45" t="s">
        <v>1660</v>
      </c>
    </row>
    <row r="2" customFormat="false" ht="13.5" hidden="false" customHeight="false" outlineLevel="0" collapsed="false">
      <c r="A2" s="46"/>
    </row>
    <row r="4" customFormat="false" ht="13.5" hidden="false" customHeight="false" outlineLevel="0" collapsed="false">
      <c r="A4" s="49" t="s">
        <v>1661</v>
      </c>
    </row>
    <row r="5" customFormat="false" ht="45" hidden="false" customHeight="true" outlineLevel="0" collapsed="false">
      <c r="A5" s="120" t="s">
        <v>1662</v>
      </c>
      <c r="B5" s="120" t="s">
        <v>1535</v>
      </c>
      <c r="C5" s="120" t="s">
        <v>1663</v>
      </c>
      <c r="D5" s="120" t="s">
        <v>1664</v>
      </c>
      <c r="E5" s="120" t="s">
        <v>1665</v>
      </c>
      <c r="F5" s="120" t="s">
        <v>1666</v>
      </c>
      <c r="G5" s="120" t="s">
        <v>1667</v>
      </c>
      <c r="H5" s="120" t="s">
        <v>1668</v>
      </c>
      <c r="I5" s="120" t="s">
        <v>1669</v>
      </c>
      <c r="J5" s="120" t="s">
        <v>1608</v>
      </c>
      <c r="K5" s="120" t="s">
        <v>1670</v>
      </c>
      <c r="L5" s="120" t="s">
        <v>1671</v>
      </c>
      <c r="M5" s="120" t="s">
        <v>1672</v>
      </c>
      <c r="N5" s="120" t="s">
        <v>1673</v>
      </c>
      <c r="O5" s="120" t="s">
        <v>1674</v>
      </c>
    </row>
    <row r="6" customFormat="false" ht="13.8" hidden="false" customHeight="false" outlineLevel="0" collapsed="false">
      <c r="A6" s="117" t="s">
        <v>1675</v>
      </c>
      <c r="B6" s="117" t="n">
        <f aca="false">COUNT(AF13:AF412)</f>
        <v>259</v>
      </c>
      <c r="C6" s="126" t="n">
        <f aca="false">IF($B6&lt;3,"",SLOPE(AF13:AF412,AE13:AE412))</f>
        <v>0.0268509334788405</v>
      </c>
      <c r="D6" s="127" t="n">
        <f aca="false">IF($B6&lt;3,"",INTERCEPT(AF13:AF412,AE13:AE412))</f>
        <v>25.3987994971716</v>
      </c>
      <c r="E6" s="127" t="n">
        <f aca="false">IF($B6&lt;3,"",RSQ(AF13:AF412,AE13:AE412))</f>
        <v>0.237487782059795</v>
      </c>
      <c r="F6" s="117" t="n">
        <f aca="false">IF($B6&lt;3,"",MAX(AE13:AE412)+1)</f>
        <v>260</v>
      </c>
      <c r="G6" s="133" t="n">
        <f aca="false">IF($B6&lt;3,"",C6*F6+D6)</f>
        <v>32.3800422016701</v>
      </c>
      <c r="H6" s="127" t="n">
        <f aca="false">IF($B6&lt;3,"",EXP(INTERCEPT(AG13:AG412,AE13:AE412)))</f>
        <v>25.1888230243224</v>
      </c>
      <c r="I6" s="126" t="n">
        <f aca="false">IF($B6&lt;3,"",SLOPE(AG13:AG412,AE13:AE412))</f>
        <v>0.000974608432748864</v>
      </c>
      <c r="J6" s="127" t="n">
        <f aca="false">IF($B6&lt;3,"",RSQ(AG13:AG412,AE13:AE412))</f>
        <v>0.252329060324477</v>
      </c>
      <c r="K6" s="133" t="n">
        <f aca="false">IF($B6&lt;3,"",H6*EXP(I6*F6))</f>
        <v>32.4531839786077</v>
      </c>
      <c r="L6" s="128" t="n">
        <f aca="false">IF($B6&lt;3,"",EXP(52*I6)-1)</f>
        <v>0.0519858235406887</v>
      </c>
      <c r="M6" s="133" t="n">
        <f aca="false">IF($B6&lt;3,"",H6*EXP(I6*(F6+51)))</f>
        <v>34.1070322692438</v>
      </c>
      <c r="N6" s="117" t="str">
        <f aca="false">IF($B6&lt;3,"","y = "&amp;FIXED(C6,5)&amp;"x + "&amp;FIXED(D6,4))</f>
        <v>y = 0.02685x + 25.3988</v>
      </c>
      <c r="O6" s="117" t="str">
        <f aca="false">IF($B6&lt;3,"","y = "&amp;FIXED(H6,4)&amp;" e^("&amp;FIXED(I6,6)&amp;"x)")</f>
        <v>y = 25.1888 e^(0.000975x)</v>
      </c>
    </row>
    <row r="7" customFormat="false" ht="13.8" hidden="false" customHeight="false" outlineLevel="0" collapsed="false">
      <c r="A7" s="117" t="s">
        <v>1676</v>
      </c>
      <c r="B7" s="117" t="n">
        <f aca="false">COUNT(AL13:AL412)</f>
        <v>259</v>
      </c>
      <c r="C7" s="126" t="n">
        <f aca="false">IF($B7&lt;3,"",SLOPE(AL13:AL412,AK13:AK412))</f>
        <v>63.6869392876137</v>
      </c>
      <c r="D7" s="127" t="n">
        <f aca="false">IF($B7&lt;3,"",INTERCEPT(AL13:AL412,AK13:AK412))</f>
        <v>47428.6758462782</v>
      </c>
      <c r="E7" s="127" t="n">
        <f aca="false">IF($B7&lt;3,"",RSQ(AL13:AL412,AK13:AK412))</f>
        <v>0.594607351584739</v>
      </c>
      <c r="F7" s="117" t="n">
        <f aca="false">IF($B7&lt;3,"",MAX(AK13:AK412)+1)</f>
        <v>260</v>
      </c>
      <c r="G7" s="133" t="n">
        <f aca="false">IF($B7&lt;3,"",C7*F7+D7)</f>
        <v>63987.2800610577</v>
      </c>
      <c r="H7" s="127" t="n">
        <f aca="false">IF($B7&lt;3,"",EXP(INTERCEPT(AM13:AM412,AK13:AK412)))</f>
        <v>47988.5683622071</v>
      </c>
      <c r="I7" s="126" t="n">
        <f aca="false">IF($B7&lt;3,"",SLOPE(AM13:AM412,AK13:AK412))</f>
        <v>0.00110233350672652</v>
      </c>
      <c r="J7" s="127" t="n">
        <f aca="false">IF($B7&lt;3,"",RSQ(AM13:AM412,AK13:AK412))</f>
        <v>0.593071558116514</v>
      </c>
      <c r="K7" s="133" t="n">
        <f aca="false">IF($B7&lt;3,"",H7*EXP(I7*F7))</f>
        <v>63915.9881048866</v>
      </c>
      <c r="L7" s="128" t="n">
        <f aca="false">IF($B7&lt;3,"",EXP(52*I7)-1)</f>
        <v>0.0589960560059541</v>
      </c>
      <c r="M7" s="133" t="n">
        <f aca="false">IF($B7&lt;3,"",H7*EXP(I7*(F7+51)))</f>
        <v>67612.2070233142</v>
      </c>
      <c r="N7" s="117" t="str">
        <f aca="false">IF($B7&lt;3,"","y = "&amp;FIXED(C7,5)&amp;"x + "&amp;FIXED(D7,4))</f>
        <v>y = 63.68694x + 47,428.6758</v>
      </c>
      <c r="O7" s="117" t="str">
        <f aca="false">IF($B7&lt;3,"","y = "&amp;FIXED(H7,4)&amp;" e^("&amp;FIXED(I7,6)&amp;"x)")</f>
        <v>y = 47,988.5684 e^(0.001102x)</v>
      </c>
    </row>
    <row r="8" customFormat="false" ht="13.8" hidden="false" customHeight="false" outlineLevel="0" collapsed="false">
      <c r="A8" s="46"/>
    </row>
    <row r="9" customFormat="false" ht="13.8" hidden="false" customHeight="false" outlineLevel="0" collapsed="false"/>
    <row r="10" customFormat="false" ht="13.8" hidden="false" customHeight="false" outlineLevel="0" collapsed="false">
      <c r="A10" s="49" t="s">
        <v>1677</v>
      </c>
    </row>
    <row r="11" customFormat="false" ht="13.8" hidden="false" customHeight="false" outlineLevel="0" collapsed="false">
      <c r="A11" s="50" t="s">
        <v>1395</v>
      </c>
      <c r="B11" s="50" t="s">
        <v>1379</v>
      </c>
      <c r="C11" s="50" t="s">
        <v>1678</v>
      </c>
    </row>
    <row r="12" customFormat="false" ht="13.8" hidden="false" customHeight="false" outlineLevel="0" collapsed="false">
      <c r="A12" s="117" t="s">
        <v>1679</v>
      </c>
      <c r="B12" s="118" t="n">
        <f aca="false">COUNT(Rendimientos!$E$13:$E$412)</f>
        <v>258</v>
      </c>
      <c r="C12" s="118" t="n">
        <f aca="false">COUNT(Rendimientos!$F$13:$F$412)</f>
        <v>258</v>
      </c>
      <c r="AE12" s="50" t="s">
        <v>1680</v>
      </c>
      <c r="AF12" s="50" t="s">
        <v>1681</v>
      </c>
      <c r="AG12" s="50" t="s">
        <v>1682</v>
      </c>
      <c r="AH12" s="50" t="s">
        <v>1683</v>
      </c>
      <c r="AI12" s="50" t="s">
        <v>1684</v>
      </c>
      <c r="AK12" s="50" t="s">
        <v>1685</v>
      </c>
      <c r="AL12" s="50" t="s">
        <v>1678</v>
      </c>
      <c r="AM12" s="50" t="s">
        <v>1686</v>
      </c>
      <c r="AN12" s="50" t="s">
        <v>1683</v>
      </c>
      <c r="AO12" s="50" t="s">
        <v>1684</v>
      </c>
      <c r="AQ12" s="50" t="s">
        <v>1687</v>
      </c>
      <c r="AR12" s="50" t="s">
        <v>1688</v>
      </c>
      <c r="AS12" s="50" t="s">
        <v>1689</v>
      </c>
    </row>
    <row r="13" customFormat="false" ht="13.8" hidden="false" customHeight="false" outlineLevel="0" collapsed="false">
      <c r="A13" s="117" t="s">
        <v>1690</v>
      </c>
      <c r="B13" s="136" t="n">
        <f aca="false">IF(COUNT(Rendimientos!$E$13:$E$412)&lt;2,"",AVERAGE(Rendimientos!$E$13:$E$412))</f>
        <v>0.00199252939447415</v>
      </c>
      <c r="C13" s="136" t="n">
        <f aca="false">IF(COUNT(Rendimientos!$F$13:$F$412)&lt;2,"",AVERAGE(Rendimientos!$F$13:$F$412))</f>
        <v>0.00115966970430706</v>
      </c>
      <c r="AE13" s="44" t="n">
        <f aca="false">IF(ISNUMBER(Rendimientos!C13),Rendimientos!A13,"")</f>
        <v>1</v>
      </c>
      <c r="AF13" s="122" t="n">
        <f aca="false">IF(AE13="","",Rendimientos!C13)</f>
        <v>25</v>
      </c>
      <c r="AG13" s="44" t="n">
        <f aca="false">IF(AF13="","",LN(AF13))</f>
        <v>3.2188758248682</v>
      </c>
      <c r="AH13" s="44" t="n">
        <f aca="false">IF(AE13="",NA(),AE13)</f>
        <v>1</v>
      </c>
      <c r="AI13" s="122" t="n">
        <f aca="false">IF(AE13="",NA(),AF13)</f>
        <v>25</v>
      </c>
      <c r="AK13" s="44" t="n">
        <f aca="false">IF(ISNUMBER(Rendimientos!D13),Rendimientos!A13,"")</f>
        <v>1</v>
      </c>
      <c r="AL13" s="122" t="n">
        <f aca="false">IF(AK13="","",Rendimientos!D13)</f>
        <v>51889.66</v>
      </c>
      <c r="AM13" s="44" t="n">
        <f aca="false">IF(AL13="","",LN(AL13))</f>
        <v>10.8568748200181</v>
      </c>
      <c r="AN13" s="44" t="n">
        <f aca="false">IF(AK13="",NA(),AK13)</f>
        <v>1</v>
      </c>
      <c r="AO13" s="122" t="n">
        <f aca="false">IF(AK13="",NA(),AL13)</f>
        <v>51889.66</v>
      </c>
      <c r="AQ13" s="55" t="n">
        <f aca="false">IF(ISNUMBER(Rendimientos!B13),Rendimientos!B13,NA())</f>
        <v>44486</v>
      </c>
      <c r="AR13" s="44" t="n">
        <f aca="false">IF(AND(ISNUMBER(Rendimientos!C13),ISNUMBER(Rendimientos!$C$13)),Rendimientos!C13/Rendimientos!$C$13*100,NA())</f>
        <v>100</v>
      </c>
      <c r="AS13" s="44" t="n">
        <f aca="false">IF(AND(ISNUMBER(Rendimientos!D13),ISNUMBER(Rendimientos!$D$13)),Rendimientos!D13/Rendimientos!$D$13*100,NA())</f>
        <v>100</v>
      </c>
    </row>
    <row r="14" customFormat="false" ht="13.8" hidden="false" customHeight="false" outlineLevel="0" collapsed="false">
      <c r="A14" s="117" t="s">
        <v>1691</v>
      </c>
      <c r="B14" s="128" t="n">
        <f aca="false">IF(COUNT(Rendimientos!$E$13:$E$412)&lt;2,"",(1+AVERAGE(Rendimientos!$E$13:$E$412))^52-1)</f>
        <v>0.109055154769811</v>
      </c>
      <c r="C14" s="128" t="n">
        <f aca="false">IF(COUNT(Rendimientos!$F$13:$F$412)&lt;2,"",(1+AVERAGE(Rendimientos!$F$13:$F$412))^52-1)</f>
        <v>0.0621210357447228</v>
      </c>
      <c r="AE14" s="44" t="n">
        <f aca="false">IF(ISNUMBER(Rendimientos!C14),Rendimientos!A14,"")</f>
        <v>2</v>
      </c>
      <c r="AF14" s="122" t="n">
        <f aca="false">IF(AE14="","",Rendimientos!C14)</f>
        <v>24.77</v>
      </c>
      <c r="AG14" s="44" t="n">
        <f aca="false">IF(AF14="","",LN(AF14))</f>
        <v>3.20963324350127</v>
      </c>
      <c r="AH14" s="44" t="n">
        <f aca="false">IF(AE14="",NA(),AE14)</f>
        <v>2</v>
      </c>
      <c r="AI14" s="122" t="n">
        <f aca="false">IF(AE14="",NA(),AF14)</f>
        <v>24.77</v>
      </c>
      <c r="AK14" s="44" t="n">
        <f aca="false">IF(ISNUMBER(Rendimientos!D14),Rendimientos!A14,"")</f>
        <v>2</v>
      </c>
      <c r="AL14" s="122" t="n">
        <f aca="false">IF(AK14="","",Rendimientos!D14)</f>
        <v>51309.84</v>
      </c>
      <c r="AM14" s="44" t="n">
        <f aca="false">IF(AL14="","",LN(AL14))</f>
        <v>10.8456378256306</v>
      </c>
      <c r="AN14" s="44" t="n">
        <f aca="false">IF(AK14="",NA(),AK14)</f>
        <v>2</v>
      </c>
      <c r="AO14" s="122" t="n">
        <f aca="false">IF(AK14="",NA(),AL14)</f>
        <v>51309.84</v>
      </c>
      <c r="AQ14" s="55" t="n">
        <f aca="false">IF(ISNUMBER(Rendimientos!B14),Rendimientos!B14,NA())</f>
        <v>44493</v>
      </c>
      <c r="AR14" s="44" t="n">
        <f aca="false">IF(AND(ISNUMBER(Rendimientos!C14),ISNUMBER(Rendimientos!$C$13)),Rendimientos!C14/Rendimientos!$C$13*100,NA())</f>
        <v>99.08</v>
      </c>
      <c r="AS14" s="44" t="n">
        <f aca="false">IF(AND(ISNUMBER(Rendimientos!D14),ISNUMBER(Rendimientos!$D$13)),Rendimientos!D14/Rendimientos!$D$13*100,NA())</f>
        <v>98.8825904814177</v>
      </c>
    </row>
    <row r="15" customFormat="false" ht="13.8" hidden="false" customHeight="false" outlineLevel="0" collapsed="false">
      <c r="A15" s="117" t="s">
        <v>1692</v>
      </c>
      <c r="B15" s="136" t="n">
        <f aca="false">IF(COUNT(Rendimientos!$E$13:$E$412)&lt;2,"",STDEV(Rendimientos!$E$13:$E$412))</f>
        <v>0.0434281135003916</v>
      </c>
      <c r="C15" s="136" t="n">
        <f aca="false">IF(COUNT(Rendimientos!$F$13:$F$412)&lt;2,"",STDEV(Rendimientos!$F$13:$F$412))</f>
        <v>0.0212598192988383</v>
      </c>
      <c r="AE15" s="44" t="n">
        <f aca="false">IF(ISNUMBER(Rendimientos!C15),Rendimientos!A15,"")</f>
        <v>3</v>
      </c>
      <c r="AF15" s="122" t="n">
        <f aca="false">IF(AE15="","",Rendimientos!C15)</f>
        <v>24.48</v>
      </c>
      <c r="AG15" s="44" t="n">
        <f aca="false">IF(AF15="","",LN(AF15))</f>
        <v>3.19785645764413</v>
      </c>
      <c r="AH15" s="44" t="n">
        <f aca="false">IF(AE15="",NA(),AE15)</f>
        <v>3</v>
      </c>
      <c r="AI15" s="122" t="n">
        <f aca="false">IF(AE15="",NA(),AF15)</f>
        <v>24.48</v>
      </c>
      <c r="AK15" s="44" t="n">
        <f aca="false">IF(ISNUMBER(Rendimientos!D15),Rendimientos!A15,"")</f>
        <v>3</v>
      </c>
      <c r="AL15" s="122" t="n">
        <f aca="false">IF(AK15="","",Rendimientos!D15)</f>
        <v>51977.96</v>
      </c>
      <c r="AM15" s="44" t="n">
        <f aca="false">IF(AL15="","",LN(AL15))</f>
        <v>10.8585750615615</v>
      </c>
      <c r="AN15" s="44" t="n">
        <f aca="false">IF(AK15="",NA(),AK15)</f>
        <v>3</v>
      </c>
      <c r="AO15" s="122" t="n">
        <f aca="false">IF(AK15="",NA(),AL15)</f>
        <v>51977.96</v>
      </c>
      <c r="AQ15" s="55" t="n">
        <f aca="false">IF(ISNUMBER(Rendimientos!B15),Rendimientos!B15,NA())</f>
        <v>44500</v>
      </c>
      <c r="AR15" s="44" t="n">
        <f aca="false">IF(AND(ISNUMBER(Rendimientos!C15),ISNUMBER(Rendimientos!$C$13)),Rendimientos!C15/Rendimientos!$C$13*100,NA())</f>
        <v>97.92</v>
      </c>
      <c r="AS15" s="44" t="n">
        <f aca="false">IF(AND(ISNUMBER(Rendimientos!D15),ISNUMBER(Rendimientos!$D$13)),Rendimientos!D15/Rendimientos!$D$13*100,NA())</f>
        <v>100.170168777363</v>
      </c>
    </row>
    <row r="16" customFormat="false" ht="13.8" hidden="false" customHeight="false" outlineLevel="0" collapsed="false">
      <c r="A16" s="117" t="s">
        <v>1693</v>
      </c>
      <c r="B16" s="128" t="n">
        <f aca="false">IF(COUNT(Rendimientos!$E$13:$E$412)&lt;2,"",STDEV(Rendimientos!$E$13:$E$412)*SQRT(52))</f>
        <v>0.313164580044664</v>
      </c>
      <c r="C16" s="128" t="n">
        <f aca="false">IF(COUNT(Rendimientos!$F$13:$F$412)&lt;2,"",STDEV(Rendimientos!$F$13:$F$412)*SQRT(52))</f>
        <v>0.153306737178121</v>
      </c>
      <c r="AE16" s="44" t="n">
        <f aca="false">IF(ISNUMBER(Rendimientos!C16),Rendimientos!A16,"")</f>
        <v>4</v>
      </c>
      <c r="AF16" s="122" t="n">
        <f aca="false">IF(AE16="","",Rendimientos!C16)</f>
        <v>23.77</v>
      </c>
      <c r="AG16" s="44" t="n">
        <f aca="false">IF(AF16="","",LN(AF16))</f>
        <v>3.1684242813721</v>
      </c>
      <c r="AH16" s="44" t="n">
        <f aca="false">IF(AE16="",NA(),AE16)</f>
        <v>4</v>
      </c>
      <c r="AI16" s="122" t="n">
        <f aca="false">IF(AE16="",NA(),AF16)</f>
        <v>23.77</v>
      </c>
      <c r="AK16" s="44" t="n">
        <f aca="false">IF(ISNUMBER(Rendimientos!D16),Rendimientos!A16,"")</f>
        <v>4</v>
      </c>
      <c r="AL16" s="122" t="n">
        <f aca="false">IF(AK16="","",Rendimientos!D16)</f>
        <v>51432.54</v>
      </c>
      <c r="AM16" s="44" t="n">
        <f aca="false">IF(AL16="","",LN(AL16))</f>
        <v>10.8480263250665</v>
      </c>
      <c r="AN16" s="44" t="n">
        <f aca="false">IF(AK16="",NA(),AK16)</f>
        <v>4</v>
      </c>
      <c r="AO16" s="122" t="n">
        <f aca="false">IF(AK16="",NA(),AL16)</f>
        <v>51432.54</v>
      </c>
      <c r="AQ16" s="55" t="n">
        <f aca="false">IF(ISNUMBER(Rendimientos!B16),Rendimientos!B16,NA())</f>
        <v>44507</v>
      </c>
      <c r="AR16" s="44" t="n">
        <f aca="false">IF(AND(ISNUMBER(Rendimientos!C16),ISNUMBER(Rendimientos!$C$13)),Rendimientos!C16/Rendimientos!$C$13*100,NA())</f>
        <v>95.08</v>
      </c>
      <c r="AS16" s="44" t="n">
        <f aca="false">IF(AND(ISNUMBER(Rendimientos!D16),ISNUMBER(Rendimientos!$D$13)),Rendimientos!D16/Rendimientos!$D$13*100,NA())</f>
        <v>99.1190537768026</v>
      </c>
    </row>
    <row r="17" customFormat="false" ht="13.8" hidden="false" customHeight="false" outlineLevel="0" collapsed="false">
      <c r="A17" s="117" t="s">
        <v>1694</v>
      </c>
      <c r="B17" s="128" t="n">
        <f aca="false">IFERROR(INDEX(Rendimientos!$C$13:$C$412,MATCH(MAX(Rendimientos!$B$13:$B$412),Rendimientos!$B$13:$B$412,0))/Rendimientos!$C$13-1,"")</f>
        <v>0.324</v>
      </c>
      <c r="C17" s="128" t="n">
        <f aca="false">IFERROR(INDEX(Rendimientos!$D$13:$D$412,MATCH(MAX(Rendimientos!$B$13:$B$412),Rendimientos!$B$13:$B$412,0))/Rendimientos!$D$13-1,"")</f>
        <v>0.272865730860445</v>
      </c>
      <c r="AE17" s="44" t="n">
        <f aca="false">IF(ISNUMBER(Rendimientos!C17),Rendimientos!A17,"")</f>
        <v>5</v>
      </c>
      <c r="AF17" s="122" t="n">
        <f aca="false">IF(AE17="","",Rendimientos!C17)</f>
        <v>22.99</v>
      </c>
      <c r="AG17" s="44" t="n">
        <f aca="false">IF(AF17="","",LN(AF17))</f>
        <v>3.13505933877509</v>
      </c>
      <c r="AH17" s="44" t="n">
        <f aca="false">IF(AE17="",NA(),AE17)</f>
        <v>5</v>
      </c>
      <c r="AI17" s="122" t="n">
        <f aca="false">IF(AE17="",NA(),AF17)</f>
        <v>22.99</v>
      </c>
      <c r="AK17" s="44" t="n">
        <f aca="false">IF(ISNUMBER(Rendimientos!D17),Rendimientos!A17,"")</f>
        <v>5</v>
      </c>
      <c r="AL17" s="122" t="n">
        <f aca="false">IF(AK17="","",Rendimientos!D17)</f>
        <v>50811.3</v>
      </c>
      <c r="AM17" s="44" t="n">
        <f aca="false">IF(AL17="","",LN(AL17))</f>
        <v>10.8358740497751</v>
      </c>
      <c r="AN17" s="44" t="n">
        <f aca="false">IF(AK17="",NA(),AK17)</f>
        <v>5</v>
      </c>
      <c r="AO17" s="122" t="n">
        <f aca="false">IF(AK17="",NA(),AL17)</f>
        <v>50811.3</v>
      </c>
      <c r="AQ17" s="55" t="n">
        <f aca="false">IF(ISNUMBER(Rendimientos!B17),Rendimientos!B17,NA())</f>
        <v>44514</v>
      </c>
      <c r="AR17" s="44" t="n">
        <f aca="false">IF(AND(ISNUMBER(Rendimientos!C17),ISNUMBER(Rendimientos!$C$13)),Rendimientos!C17/Rendimientos!$C$13*100,NA())</f>
        <v>91.96</v>
      </c>
      <c r="AS17" s="44" t="n">
        <f aca="false">IF(AND(ISNUMBER(Rendimientos!D17),ISNUMBER(Rendimientos!$D$13)),Rendimientos!D17/Rendimientos!$D$13*100,NA())</f>
        <v>97.9218210333234</v>
      </c>
    </row>
    <row r="18" customFormat="false" ht="13.8" hidden="false" customHeight="false" outlineLevel="0" collapsed="false">
      <c r="A18" s="117" t="s">
        <v>1695</v>
      </c>
      <c r="B18" s="137" t="n">
        <f aca="false">IF(COUNT(Rendimientos!$J$13:$J$412)&gt;2,CORREL(Rendimientos!$J$13:$J$412,Rendimientos!$K$13:$K$412),"")</f>
        <v>0.106640473567149</v>
      </c>
      <c r="AE18" s="44" t="n">
        <f aca="false">IF(ISNUMBER(Rendimientos!C18),Rendimientos!A18,"")</f>
        <v>6</v>
      </c>
      <c r="AF18" s="122" t="n">
        <f aca="false">IF(AE18="","",Rendimientos!C18)</f>
        <v>22.73</v>
      </c>
      <c r="AG18" s="44" t="n">
        <f aca="false">IF(AF18="","",LN(AF18))</f>
        <v>3.12368563786445</v>
      </c>
      <c r="AH18" s="44" t="n">
        <f aca="false">IF(AE18="",NA(),AE18)</f>
        <v>6</v>
      </c>
      <c r="AI18" s="122" t="n">
        <f aca="false">IF(AE18="",NA(),AF18)</f>
        <v>22.73</v>
      </c>
      <c r="AK18" s="44" t="n">
        <f aca="false">IF(ISNUMBER(Rendimientos!D18),Rendimientos!A18,"")</f>
        <v>6</v>
      </c>
      <c r="AL18" s="122" t="n">
        <f aca="false">IF(AK18="","",Rendimientos!D18)</f>
        <v>49492.52</v>
      </c>
      <c r="AM18" s="44" t="n">
        <f aca="false">IF(AL18="","",LN(AL18))</f>
        <v>10.8095768260272</v>
      </c>
      <c r="AN18" s="44" t="n">
        <f aca="false">IF(AK18="",NA(),AK18)</f>
        <v>6</v>
      </c>
      <c r="AO18" s="122" t="n">
        <f aca="false">IF(AK18="",NA(),AL18)</f>
        <v>49492.52</v>
      </c>
      <c r="AQ18" s="55" t="n">
        <f aca="false">IF(ISNUMBER(Rendimientos!B18),Rendimientos!B18,NA())</f>
        <v>44521</v>
      </c>
      <c r="AR18" s="44" t="n">
        <f aca="false">IF(AND(ISNUMBER(Rendimientos!C18),ISNUMBER(Rendimientos!$C$13)),Rendimientos!C18/Rendimientos!$C$13*100,NA())</f>
        <v>90.92</v>
      </c>
      <c r="AS18" s="44" t="n">
        <f aca="false">IF(AND(ISNUMBER(Rendimientos!D18),ISNUMBER(Rendimientos!$D$13)),Rendimientos!D18/Rendimientos!$D$13*100,NA())</f>
        <v>95.3803127636604</v>
      </c>
    </row>
    <row r="19" customFormat="false" ht="13.8" hidden="false" customHeight="false" outlineLevel="0" collapsed="false">
      <c r="A19" s="71" t="s">
        <v>1658</v>
      </c>
      <c r="AE19" s="44" t="n">
        <f aca="false">IF(ISNUMBER(Rendimientos!C19),Rendimientos!A19,"")</f>
        <v>7</v>
      </c>
      <c r="AF19" s="122" t="n">
        <f aca="false">IF(AE19="","",Rendimientos!C19)</f>
        <v>23.94</v>
      </c>
      <c r="AG19" s="44" t="n">
        <f aca="false">IF(AF19="","",LN(AF19))</f>
        <v>3.17555070012983</v>
      </c>
      <c r="AH19" s="44" t="n">
        <f aca="false">IF(AE19="",NA(),AE19)</f>
        <v>7</v>
      </c>
      <c r="AI19" s="122" t="n">
        <f aca="false">IF(AE19="",NA(),AF19)</f>
        <v>23.94</v>
      </c>
      <c r="AK19" s="44" t="n">
        <f aca="false">IF(ISNUMBER(Rendimientos!D19),Rendimientos!A19,"")</f>
        <v>7</v>
      </c>
      <c r="AL19" s="122" t="n">
        <f aca="false">IF(AK19="","",Rendimientos!D19)</f>
        <v>50597.29</v>
      </c>
      <c r="AM19" s="44" t="n">
        <f aca="false">IF(AL19="","",LN(AL19))</f>
        <v>10.8316532965291</v>
      </c>
      <c r="AN19" s="44" t="n">
        <f aca="false">IF(AK19="",NA(),AK19)</f>
        <v>7</v>
      </c>
      <c r="AO19" s="122" t="n">
        <f aca="false">IF(AK19="",NA(),AL19)</f>
        <v>50597.29</v>
      </c>
      <c r="AQ19" s="55" t="n">
        <f aca="false">IF(ISNUMBER(Rendimientos!B19),Rendimientos!B19,NA())</f>
        <v>44528</v>
      </c>
      <c r="AR19" s="44" t="n">
        <f aca="false">IF(AND(ISNUMBER(Rendimientos!C19),ISNUMBER(Rendimientos!$C$13)),Rendimientos!C19/Rendimientos!$C$13*100,NA())</f>
        <v>95.76</v>
      </c>
      <c r="AS19" s="44" t="n">
        <f aca="false">IF(AND(ISNUMBER(Rendimientos!D19),ISNUMBER(Rendimientos!$D$13)),Rendimientos!D19/Rendimientos!$D$13*100,NA())</f>
        <v>97.5093881902483</v>
      </c>
    </row>
    <row r="20" customFormat="false" ht="13.8" hidden="false" customHeight="false" outlineLevel="0" collapsed="false">
      <c r="A20" s="75" t="str">
        <f aca="false">IF(B6&lt;3,"","Tendencia: el precio de Soriana creció en promedio "&amp;FIXED(L6*100,1)&amp;"% al año (modelo exponencial, R cuadrada de "&amp;FIXED(J6,2)&amp;") y el IPC "&amp;FIXED(L7*100,1)&amp;"% al año (R cuadrada de "&amp;FIXED(J7,2)&amp;"). Una R cuadrada baja quiere decir que el precio no sigue una línea clara y que la proyección es poco confiable.")</f>
        <v>Tendencia: el precio de Soriana creció en promedio 5.2% al año (modelo exponencial, R cuadrada de 0.25) y el IPC 5.9% al año (R cuadrada de 0.59). Una R cuadrada baja quiere decir que el precio no sigue una línea clara y que la proyección es poco confiable.</v>
      </c>
      <c r="AE20" s="44" t="n">
        <f aca="false">IF(ISNUMBER(Rendimientos!C20),Rendimientos!A20,"")</f>
        <v>8</v>
      </c>
      <c r="AF20" s="122" t="n">
        <f aca="false">IF(AE20="","",Rendimientos!C20)</f>
        <v>23.26</v>
      </c>
      <c r="AG20" s="44" t="n">
        <f aca="false">IF(AF20="","",LN(AF20))</f>
        <v>3.14673514709052</v>
      </c>
      <c r="AH20" s="44" t="n">
        <f aca="false">IF(AE20="",NA(),AE20)</f>
        <v>8</v>
      </c>
      <c r="AI20" s="122" t="n">
        <f aca="false">IF(AE20="",NA(),AF20)</f>
        <v>23.26</v>
      </c>
      <c r="AK20" s="44" t="n">
        <f aca="false">IF(ISNUMBER(Rendimientos!D20),Rendimientos!A20,"")</f>
        <v>8</v>
      </c>
      <c r="AL20" s="122" t="n">
        <f aca="false">IF(AK20="","",Rendimientos!D20)</f>
        <v>51213.48</v>
      </c>
      <c r="AM20" s="44" t="n">
        <f aca="false">IF(AL20="","",LN(AL20))</f>
        <v>10.8437580576252</v>
      </c>
      <c r="AN20" s="44" t="n">
        <f aca="false">IF(AK20="",NA(),AK20)</f>
        <v>8</v>
      </c>
      <c r="AO20" s="122" t="n">
        <f aca="false">IF(AK20="",NA(),AL20)</f>
        <v>51213.48</v>
      </c>
      <c r="AQ20" s="55" t="n">
        <f aca="false">IF(ISNUMBER(Rendimientos!B20),Rendimientos!B20,NA())</f>
        <v>44535</v>
      </c>
      <c r="AR20" s="44" t="n">
        <f aca="false">IF(AND(ISNUMBER(Rendimientos!C20),ISNUMBER(Rendimientos!$C$13)),Rendimientos!C20/Rendimientos!$C$13*100,NA())</f>
        <v>93.04</v>
      </c>
      <c r="AS20" s="44" t="n">
        <f aca="false">IF(AND(ISNUMBER(Rendimientos!D20),ISNUMBER(Rendimientos!$D$13)),Rendimientos!D20/Rendimientos!$D$13*100,NA())</f>
        <v>98.6968887443086</v>
      </c>
    </row>
    <row r="21" customFormat="false" ht="13.8" hidden="false" customHeight="false" outlineLevel="0" collapsed="false">
      <c r="A21" s="75" t="str">
        <f aca="false">IF(B12&lt;3,"","Riesgo y rendimiento: Soriana rindió "&amp;FIXED(B14*100,1)&amp;"% al año con una volatilidad de "&amp;FIXED(B16*100,1)&amp;"%; el IPC rindió "&amp;FIXED(C14*100,1)&amp;"% con volatilidad de "&amp;FIXED(C16*100,1)&amp;"%. La correlación semanal entre los dos es "&amp;FIXED(B18,2)&amp;": Soriana se mueve casi por su cuenta, no al ritmo del mercado.")</f>
        <v>Riesgo y rendimiento: Soriana rindió 10.9% al año con una volatilidad de 31.3%; el IPC rindió 6.2% con volatilidad de 15.3%. La correlación semanal entre los dos es 0.11: Soriana se mueve casi por su cuenta, no al ritmo del mercado.</v>
      </c>
      <c r="AE21" s="44" t="n">
        <f aca="false">IF(ISNUMBER(Rendimientos!C21),Rendimientos!A21,"")</f>
        <v>9</v>
      </c>
      <c r="AF21" s="122" t="n">
        <f aca="false">IF(AE21="","",Rendimientos!C21)</f>
        <v>22.59</v>
      </c>
      <c r="AG21" s="44" t="n">
        <f aca="false">IF(AF21="","",LN(AF21))</f>
        <v>3.11750733047991</v>
      </c>
      <c r="AH21" s="44" t="n">
        <f aca="false">IF(AE21="",NA(),AE21)</f>
        <v>9</v>
      </c>
      <c r="AI21" s="122" t="n">
        <f aca="false">IF(AE21="",NA(),AF21)</f>
        <v>22.59</v>
      </c>
      <c r="AK21" s="44" t="n">
        <f aca="false">IF(ISNUMBER(Rendimientos!D21),Rendimientos!A21,"")</f>
        <v>9</v>
      </c>
      <c r="AL21" s="122" t="n">
        <f aca="false">IF(AK21="","",Rendimientos!D21)</f>
        <v>52379.37</v>
      </c>
      <c r="AM21" s="44" t="n">
        <f aca="false">IF(AL21="","",LN(AL21))</f>
        <v>10.866268090498</v>
      </c>
      <c r="AN21" s="44" t="n">
        <f aca="false">IF(AK21="",NA(),AK21)</f>
        <v>9</v>
      </c>
      <c r="AO21" s="122" t="n">
        <f aca="false">IF(AK21="",NA(),AL21)</f>
        <v>52379.37</v>
      </c>
      <c r="AQ21" s="55" t="n">
        <f aca="false">IF(ISNUMBER(Rendimientos!B21),Rendimientos!B21,NA())</f>
        <v>44542</v>
      </c>
      <c r="AR21" s="44" t="n">
        <f aca="false">IF(AND(ISNUMBER(Rendimientos!C21),ISNUMBER(Rendimientos!$C$13)),Rendimientos!C21/Rendimientos!$C$13*100,NA())</f>
        <v>90.36</v>
      </c>
      <c r="AS21" s="44" t="n">
        <f aca="false">IF(AND(ISNUMBER(Rendimientos!D21),ISNUMBER(Rendimientos!$D$13)),Rendimientos!D21/Rendimientos!$D$13*100,NA())</f>
        <v>100.943752570358</v>
      </c>
    </row>
    <row r="22" customFormat="false" ht="13.8" hidden="false" customHeight="false" outlineLevel="0" collapsed="false">
      <c r="AE22" s="44" t="n">
        <f aca="false">IF(ISNUMBER(Rendimientos!C22),Rendimientos!A22,"")</f>
        <v>10</v>
      </c>
      <c r="AF22" s="122" t="n">
        <f aca="false">IF(AE22="","",Rendimientos!C22)</f>
        <v>24.8</v>
      </c>
      <c r="AG22" s="44" t="n">
        <f aca="false">IF(AF22="","",LN(AF22))</f>
        <v>3.21084365317094</v>
      </c>
      <c r="AH22" s="44" t="n">
        <f aca="false">IF(AE22="",NA(),AE22)</f>
        <v>10</v>
      </c>
      <c r="AI22" s="122" t="n">
        <f aca="false">IF(AE22="",NA(),AF22)</f>
        <v>24.8</v>
      </c>
      <c r="AK22" s="44" t="n">
        <f aca="false">IF(ISNUMBER(Rendimientos!D22),Rendimientos!A22,"")</f>
        <v>10</v>
      </c>
      <c r="AL22" s="122" t="n">
        <f aca="false">IF(AK22="","",Rendimientos!D22)</f>
        <v>52853.38</v>
      </c>
      <c r="AM22" s="44" t="n">
        <f aca="false">IF(AL22="","",LN(AL22))</f>
        <v>10.8752769438418</v>
      </c>
      <c r="AN22" s="44" t="n">
        <f aca="false">IF(AK22="",NA(),AK22)</f>
        <v>10</v>
      </c>
      <c r="AO22" s="122" t="n">
        <f aca="false">IF(AK22="",NA(),AL22)</f>
        <v>52853.38</v>
      </c>
      <c r="AQ22" s="55" t="n">
        <f aca="false">IF(ISNUMBER(Rendimientos!B22),Rendimientos!B22,NA())</f>
        <v>44549</v>
      </c>
      <c r="AR22" s="44" t="n">
        <f aca="false">IF(AND(ISNUMBER(Rendimientos!C22),ISNUMBER(Rendimientos!$C$13)),Rendimientos!C22/Rendimientos!$C$13*100,NA())</f>
        <v>99.2</v>
      </c>
      <c r="AS22" s="44" t="n">
        <f aca="false">IF(AND(ISNUMBER(Rendimientos!D22),ISNUMBER(Rendimientos!$D$13)),Rendimientos!D22/Rendimientos!$D$13*100,NA())</f>
        <v>101.857248631037</v>
      </c>
    </row>
    <row r="23" customFormat="false" ht="13.8" hidden="false" customHeight="false" outlineLevel="0" collapsed="false">
      <c r="AE23" s="44" t="n">
        <f aca="false">IF(ISNUMBER(Rendimientos!C23),Rendimientos!A23,"")</f>
        <v>11</v>
      </c>
      <c r="AF23" s="122" t="n">
        <f aca="false">IF(AE23="","",Rendimientos!C23)</f>
        <v>25.98</v>
      </c>
      <c r="AG23" s="44" t="n">
        <f aca="false">IF(AF23="","",LN(AF23))</f>
        <v>3.25732701124245</v>
      </c>
      <c r="AH23" s="44" t="n">
        <f aca="false">IF(AE23="",NA(),AE23)</f>
        <v>11</v>
      </c>
      <c r="AI23" s="122" t="n">
        <f aca="false">IF(AE23="",NA(),AF23)</f>
        <v>25.98</v>
      </c>
      <c r="AK23" s="44" t="n">
        <f aca="false">IF(ISNUMBER(Rendimientos!D23),Rendimientos!A23,"")</f>
        <v>11</v>
      </c>
      <c r="AL23" s="122" t="n">
        <f aca="false">IF(AK23="","",Rendimientos!D23)</f>
        <v>53272.44</v>
      </c>
      <c r="AM23" s="44" t="n">
        <f aca="false">IF(AL23="","",LN(AL23))</f>
        <v>10.8831744032548</v>
      </c>
      <c r="AN23" s="44" t="n">
        <f aca="false">IF(AK23="",NA(),AK23)</f>
        <v>11</v>
      </c>
      <c r="AO23" s="122" t="n">
        <f aca="false">IF(AK23="",NA(),AL23)</f>
        <v>53272.44</v>
      </c>
      <c r="AQ23" s="55" t="n">
        <f aca="false">IF(ISNUMBER(Rendimientos!B23),Rendimientos!B23,NA())</f>
        <v>44556</v>
      </c>
      <c r="AR23" s="44" t="n">
        <f aca="false">IF(AND(ISNUMBER(Rendimientos!C23),ISNUMBER(Rendimientos!$C$13)),Rendimientos!C23/Rendimientos!$C$13*100,NA())</f>
        <v>103.92</v>
      </c>
      <c r="AS23" s="44" t="n">
        <f aca="false">IF(AND(ISNUMBER(Rendimientos!D23),ISNUMBER(Rendimientos!$D$13)),Rendimientos!D23/Rendimientos!$D$13*100,NA())</f>
        <v>102.664846907843</v>
      </c>
    </row>
    <row r="24" customFormat="false" ht="13.8" hidden="false" customHeight="false" outlineLevel="0" collapsed="false">
      <c r="AE24" s="44" t="n">
        <f aca="false">IF(ISNUMBER(Rendimientos!C24),Rendimientos!A24,"")</f>
        <v>12</v>
      </c>
      <c r="AF24" s="122" t="n">
        <f aca="false">IF(AE24="","",Rendimientos!C24)</f>
        <v>24.04</v>
      </c>
      <c r="AG24" s="44" t="n">
        <f aca="false">IF(AF24="","",LN(AF24))</f>
        <v>3.17971910966701</v>
      </c>
      <c r="AH24" s="44" t="n">
        <f aca="false">IF(AE24="",NA(),AE24)</f>
        <v>12</v>
      </c>
      <c r="AI24" s="122" t="n">
        <f aca="false">IF(AE24="",NA(),AF24)</f>
        <v>24.04</v>
      </c>
      <c r="AK24" s="44" t="n">
        <f aca="false">IF(ISNUMBER(Rendimientos!D24),Rendimientos!A24,"")</f>
        <v>12</v>
      </c>
      <c r="AL24" s="122" t="n">
        <f aca="false">IF(AK24="","",Rendimientos!D24)</f>
        <v>53202.11</v>
      </c>
      <c r="AM24" s="44" t="n">
        <f aca="false">IF(AL24="","",LN(AL24))</f>
        <v>10.8818533361974</v>
      </c>
      <c r="AN24" s="44" t="n">
        <f aca="false">IF(AK24="",NA(),AK24)</f>
        <v>12</v>
      </c>
      <c r="AO24" s="122" t="n">
        <f aca="false">IF(AK24="",NA(),AL24)</f>
        <v>53202.11</v>
      </c>
      <c r="AQ24" s="55" t="n">
        <f aca="false">IF(ISNUMBER(Rendimientos!B24),Rendimientos!B24,NA())</f>
        <v>44563</v>
      </c>
      <c r="AR24" s="44" t="n">
        <f aca="false">IF(AND(ISNUMBER(Rendimientos!C24),ISNUMBER(Rendimientos!$C$13)),Rendimientos!C24/Rendimientos!$C$13*100,NA())</f>
        <v>96.16</v>
      </c>
      <c r="AS24" s="44" t="n">
        <f aca="false">IF(AND(ISNUMBER(Rendimientos!D24),ISNUMBER(Rendimientos!$D$13)),Rendimientos!D24/Rendimientos!$D$13*100,NA())</f>
        <v>102.529309307481</v>
      </c>
    </row>
    <row r="25" customFormat="false" ht="13.8" hidden="false" customHeight="false" outlineLevel="0" collapsed="false">
      <c r="AE25" s="44" t="n">
        <f aca="false">IF(ISNUMBER(Rendimientos!C25),Rendimientos!A25,"")</f>
        <v>13</v>
      </c>
      <c r="AF25" s="122" t="n">
        <f aca="false">IF(AE25="","",Rendimientos!C25)</f>
        <v>23.98</v>
      </c>
      <c r="AG25" s="44" t="n">
        <f aca="false">IF(AF25="","",LN(AF25))</f>
        <v>3.17722014959937</v>
      </c>
      <c r="AH25" s="44" t="n">
        <f aca="false">IF(AE25="",NA(),AE25)</f>
        <v>13</v>
      </c>
      <c r="AI25" s="122" t="n">
        <f aca="false">IF(AE25="",NA(),AF25)</f>
        <v>23.98</v>
      </c>
      <c r="AK25" s="44" t="n">
        <f aca="false">IF(ISNUMBER(Rendimientos!D25),Rendimientos!A25,"")</f>
        <v>13</v>
      </c>
      <c r="AL25" s="122" t="n">
        <f aca="false">IF(AK25="","",Rendimientos!D25)</f>
        <v>53744.92</v>
      </c>
      <c r="AM25" s="44" t="n">
        <f aca="false">IF(AL25="","",LN(AL25))</f>
        <v>10.8920044298955</v>
      </c>
      <c r="AN25" s="44" t="n">
        <f aca="false">IF(AK25="",NA(),AK25)</f>
        <v>13</v>
      </c>
      <c r="AO25" s="122" t="n">
        <f aca="false">IF(AK25="",NA(),AL25)</f>
        <v>53744.92</v>
      </c>
      <c r="AQ25" s="55" t="n">
        <f aca="false">IF(ISNUMBER(Rendimientos!B25),Rendimientos!B25,NA())</f>
        <v>44570</v>
      </c>
      <c r="AR25" s="44" t="n">
        <f aca="false">IF(AND(ISNUMBER(Rendimientos!C25),ISNUMBER(Rendimientos!$C$13)),Rendimientos!C25/Rendimientos!$C$13*100,NA())</f>
        <v>95.92</v>
      </c>
      <c r="AS25" s="44" t="n">
        <f aca="false">IF(AND(ISNUMBER(Rendimientos!D25),ISNUMBER(Rendimientos!$D$13)),Rendimientos!D25/Rendimientos!$D$13*100,NA())</f>
        <v>103.575394404203</v>
      </c>
    </row>
    <row r="26" customFormat="false" ht="13.8" hidden="false" customHeight="false" outlineLevel="0" collapsed="false">
      <c r="AE26" s="44" t="n">
        <f aca="false">IF(ISNUMBER(Rendimientos!C26),Rendimientos!A26,"")</f>
        <v>14</v>
      </c>
      <c r="AF26" s="122" t="n">
        <f aca="false">IF(AE26="","",Rendimientos!C26)</f>
        <v>22.92</v>
      </c>
      <c r="AG26" s="44" t="n">
        <f aca="false">IF(AF26="","",LN(AF26))</f>
        <v>3.13200989184654</v>
      </c>
      <c r="AH26" s="44" t="n">
        <f aca="false">IF(AE26="",NA(),AE26)</f>
        <v>14</v>
      </c>
      <c r="AI26" s="122" t="n">
        <f aca="false">IF(AE26="",NA(),AF26)</f>
        <v>22.92</v>
      </c>
      <c r="AK26" s="44" t="n">
        <f aca="false">IF(ISNUMBER(Rendimientos!D26),Rendimientos!A26,"")</f>
        <v>14</v>
      </c>
      <c r="AL26" s="122" t="n">
        <f aca="false">IF(AK26="","",Rendimientos!D26)</f>
        <v>51599.38</v>
      </c>
      <c r="AM26" s="44" t="n">
        <f aca="false">IF(AL26="","",LN(AL26))</f>
        <v>10.8512649358936</v>
      </c>
      <c r="AN26" s="44" t="n">
        <f aca="false">IF(AK26="",NA(),AK26)</f>
        <v>14</v>
      </c>
      <c r="AO26" s="122" t="n">
        <f aca="false">IF(AK26="",NA(),AL26)</f>
        <v>51599.38</v>
      </c>
      <c r="AQ26" s="55" t="n">
        <f aca="false">IF(ISNUMBER(Rendimientos!B26),Rendimientos!B26,NA())</f>
        <v>44577</v>
      </c>
      <c r="AR26" s="44" t="n">
        <f aca="false">IF(AND(ISNUMBER(Rendimientos!C26),ISNUMBER(Rendimientos!$C$13)),Rendimientos!C26/Rendimientos!$C$13*100,NA())</f>
        <v>91.68</v>
      </c>
      <c r="AS26" s="44" t="n">
        <f aca="false">IF(AND(ISNUMBER(Rendimientos!D26),ISNUMBER(Rendimientos!$D$13)),Rendimientos!D26/Rendimientos!$D$13*100,NA())</f>
        <v>99.4405821892069</v>
      </c>
    </row>
    <row r="27" customFormat="false" ht="13.8" hidden="false" customHeight="false" outlineLevel="0" collapsed="false">
      <c r="AE27" s="44" t="n">
        <f aca="false">IF(ISNUMBER(Rendimientos!C27),Rendimientos!A27,"")</f>
        <v>15</v>
      </c>
      <c r="AF27" s="122" t="n">
        <f aca="false">IF(AE27="","",Rendimientos!C27)</f>
        <v>22.39</v>
      </c>
      <c r="AG27" s="44" t="n">
        <f aca="false">IF(AF27="","",LN(AF27))</f>
        <v>3.10861443061066</v>
      </c>
      <c r="AH27" s="44" t="n">
        <f aca="false">IF(AE27="",NA(),AE27)</f>
        <v>15</v>
      </c>
      <c r="AI27" s="122" t="n">
        <f aca="false">IF(AE27="",NA(),AF27)</f>
        <v>22.39</v>
      </c>
      <c r="AK27" s="44" t="n">
        <f aca="false">IF(ISNUMBER(Rendimientos!D27),Rendimientos!A27,"")</f>
        <v>15</v>
      </c>
      <c r="AL27" s="122" t="n">
        <f aca="false">IF(AK27="","",Rendimientos!D27)</f>
        <v>50661.86</v>
      </c>
      <c r="AM27" s="44" t="n">
        <f aca="false">IF(AL27="","",LN(AL27))</f>
        <v>10.832928638239</v>
      </c>
      <c r="AN27" s="44" t="n">
        <f aca="false">IF(AK27="",NA(),AK27)</f>
        <v>15</v>
      </c>
      <c r="AO27" s="122" t="n">
        <f aca="false">IF(AK27="",NA(),AL27)</f>
        <v>50661.86</v>
      </c>
      <c r="AQ27" s="55" t="n">
        <f aca="false">IF(ISNUMBER(Rendimientos!B27),Rendimientos!B27,NA())</f>
        <v>44584</v>
      </c>
      <c r="AR27" s="44" t="n">
        <f aca="false">IF(AND(ISNUMBER(Rendimientos!C27),ISNUMBER(Rendimientos!$C$13)),Rendimientos!C27/Rendimientos!$C$13*100,NA())</f>
        <v>89.56</v>
      </c>
      <c r="AS27" s="44" t="n">
        <f aca="false">IF(AND(ISNUMBER(Rendimientos!D27),ISNUMBER(Rendimientos!$D$13)),Rendimientos!D27/Rendimientos!$D$13*100,NA())</f>
        <v>97.6338253131741</v>
      </c>
    </row>
    <row r="28" customFormat="false" ht="13.8" hidden="false" customHeight="false" outlineLevel="0" collapsed="false">
      <c r="AE28" s="44" t="n">
        <f aca="false">IF(ISNUMBER(Rendimientos!C28),Rendimientos!A28,"")</f>
        <v>16</v>
      </c>
      <c r="AF28" s="122" t="n">
        <f aca="false">IF(AE28="","",Rendimientos!C28)</f>
        <v>23.24</v>
      </c>
      <c r="AG28" s="44" t="n">
        <f aca="false">IF(AF28="","",LN(AF28))</f>
        <v>3.14587493198371</v>
      </c>
      <c r="AH28" s="44" t="n">
        <f aca="false">IF(AE28="",NA(),AE28)</f>
        <v>16</v>
      </c>
      <c r="AI28" s="122" t="n">
        <f aca="false">IF(AE28="",NA(),AF28)</f>
        <v>23.24</v>
      </c>
      <c r="AK28" s="44" t="n">
        <f aca="false">IF(ISNUMBER(Rendimientos!D28),Rendimientos!A28,"")</f>
        <v>16</v>
      </c>
      <c r="AL28" s="122" t="n">
        <f aca="false">IF(AK28="","",Rendimientos!D28)</f>
        <v>51255.31</v>
      </c>
      <c r="AM28" s="44" t="n">
        <f aca="false">IF(AL28="","",LN(AL28))</f>
        <v>10.8445745013896</v>
      </c>
      <c r="AN28" s="44" t="n">
        <f aca="false">IF(AK28="",NA(),AK28)</f>
        <v>16</v>
      </c>
      <c r="AO28" s="122" t="n">
        <f aca="false">IF(AK28="",NA(),AL28)</f>
        <v>51255.31</v>
      </c>
      <c r="AQ28" s="55" t="n">
        <f aca="false">IF(ISNUMBER(Rendimientos!B28),Rendimientos!B28,NA())</f>
        <v>44591</v>
      </c>
      <c r="AR28" s="44" t="n">
        <f aca="false">IF(AND(ISNUMBER(Rendimientos!C28),ISNUMBER(Rendimientos!$C$13)),Rendimientos!C28/Rendimientos!$C$13*100,NA())</f>
        <v>92.96</v>
      </c>
      <c r="AS28" s="44" t="n">
        <f aca="false">IF(AND(ISNUMBER(Rendimientos!D28),ISNUMBER(Rendimientos!$D$13)),Rendimientos!D28/Rendimientos!$D$13*100,NA())</f>
        <v>98.7775021073563</v>
      </c>
    </row>
    <row r="29" customFormat="false" ht="13.8" hidden="false" customHeight="false" outlineLevel="0" collapsed="false">
      <c r="AE29" s="44" t="n">
        <f aca="false">IF(ISNUMBER(Rendimientos!C29),Rendimientos!A29,"")</f>
        <v>17</v>
      </c>
      <c r="AF29" s="122" t="n">
        <f aca="false">IF(AE29="","",Rendimientos!C29)</f>
        <v>22.57</v>
      </c>
      <c r="AG29" s="44" t="n">
        <f aca="false">IF(AF29="","",LN(AF29))</f>
        <v>3.11662159082944</v>
      </c>
      <c r="AH29" s="44" t="n">
        <f aca="false">IF(AE29="",NA(),AE29)</f>
        <v>17</v>
      </c>
      <c r="AI29" s="122" t="n">
        <f aca="false">IF(AE29="",NA(),AF29)</f>
        <v>22.57</v>
      </c>
      <c r="AK29" s="44" t="n">
        <f aca="false">IF(ISNUMBER(Rendimientos!D29),Rendimientos!A29,"")</f>
        <v>17</v>
      </c>
      <c r="AL29" s="122" t="n">
        <f aca="false">IF(AK29="","",Rendimientos!D29)</f>
        <v>53229.26</v>
      </c>
      <c r="AM29" s="44" t="n">
        <f aca="false">IF(AL29="","",LN(AL29))</f>
        <v>10.8823635241352</v>
      </c>
      <c r="AN29" s="44" t="n">
        <f aca="false">IF(AK29="",NA(),AK29)</f>
        <v>17</v>
      </c>
      <c r="AO29" s="122" t="n">
        <f aca="false">IF(AK29="",NA(),AL29)</f>
        <v>53229.26</v>
      </c>
      <c r="AQ29" s="55" t="n">
        <f aca="false">IF(ISNUMBER(Rendimientos!B29),Rendimientos!B29,NA())</f>
        <v>44598</v>
      </c>
      <c r="AR29" s="44" t="n">
        <f aca="false">IF(AND(ISNUMBER(Rendimientos!C29),ISNUMBER(Rendimientos!$C$13)),Rendimientos!C29/Rendimientos!$C$13*100,NA())</f>
        <v>90.28</v>
      </c>
      <c r="AS29" s="44" t="n">
        <f aca="false">IF(AND(ISNUMBER(Rendimientos!D29),ISNUMBER(Rendimientos!$D$13)),Rendimientos!D29/Rendimientos!$D$13*100,NA())</f>
        <v>102.581631870396</v>
      </c>
    </row>
    <row r="30" customFormat="false" ht="13.8" hidden="false" customHeight="false" outlineLevel="0" collapsed="false">
      <c r="AE30" s="44" t="n">
        <f aca="false">IF(ISNUMBER(Rendimientos!C30),Rendimientos!A30,"")</f>
        <v>18</v>
      </c>
      <c r="AF30" s="122" t="n">
        <f aca="false">IF(AE30="","",Rendimientos!C30)</f>
        <v>23.11</v>
      </c>
      <c r="AG30" s="44" t="n">
        <f aca="false">IF(AF30="","",LN(AF30))</f>
        <v>3.14026542428629</v>
      </c>
      <c r="AH30" s="44" t="n">
        <f aca="false">IF(AE30="",NA(),AE30)</f>
        <v>18</v>
      </c>
      <c r="AI30" s="122" t="n">
        <f aca="false">IF(AE30="",NA(),AF30)</f>
        <v>23.11</v>
      </c>
      <c r="AK30" s="44" t="n">
        <f aca="false">IF(ISNUMBER(Rendimientos!D30),Rendimientos!A30,"")</f>
        <v>18</v>
      </c>
      <c r="AL30" s="122" t="n">
        <f aca="false">IF(AK30="","",Rendimientos!D30)</f>
        <v>52281.53</v>
      </c>
      <c r="AM30" s="44" t="n">
        <f aca="false">IF(AL30="","",LN(AL30))</f>
        <v>10.8643984328034</v>
      </c>
      <c r="AN30" s="44" t="n">
        <f aca="false">IF(AK30="",NA(),AK30)</f>
        <v>18</v>
      </c>
      <c r="AO30" s="122" t="n">
        <f aca="false">IF(AK30="",NA(),AL30)</f>
        <v>52281.53</v>
      </c>
      <c r="AQ30" s="55" t="n">
        <f aca="false">IF(ISNUMBER(Rendimientos!B30),Rendimientos!B30,NA())</f>
        <v>44605</v>
      </c>
      <c r="AR30" s="44" t="n">
        <f aca="false">IF(AND(ISNUMBER(Rendimientos!C30),ISNUMBER(Rendimientos!$C$13)),Rendimientos!C30/Rendimientos!$C$13*100,NA())</f>
        <v>92.44</v>
      </c>
      <c r="AS30" s="44" t="n">
        <f aca="false">IF(AND(ISNUMBER(Rendimientos!D30),ISNUMBER(Rendimientos!$D$13)),Rendimientos!D30/Rendimientos!$D$13*100,NA())</f>
        <v>100.755198627241</v>
      </c>
    </row>
    <row r="31" customFormat="false" ht="13.8" hidden="false" customHeight="false" outlineLevel="0" collapsed="false">
      <c r="AE31" s="44" t="n">
        <f aca="false">IF(ISNUMBER(Rendimientos!C31),Rendimientos!A31,"")</f>
        <v>19</v>
      </c>
      <c r="AF31" s="122" t="n">
        <f aca="false">IF(AE31="","",Rendimientos!C31)</f>
        <v>23.25</v>
      </c>
      <c r="AG31" s="44" t="n">
        <f aca="false">IF(AF31="","",LN(AF31))</f>
        <v>3.14630513203337</v>
      </c>
      <c r="AH31" s="44" t="n">
        <f aca="false">IF(AE31="",NA(),AE31)</f>
        <v>19</v>
      </c>
      <c r="AI31" s="122" t="n">
        <f aca="false">IF(AE31="",NA(),AF31)</f>
        <v>23.25</v>
      </c>
      <c r="AK31" s="44" t="n">
        <f aca="false">IF(ISNUMBER(Rendimientos!D31),Rendimientos!A31,"")</f>
        <v>19</v>
      </c>
      <c r="AL31" s="122" t="n">
        <f aca="false">IF(AK31="","",Rendimientos!D31)</f>
        <v>52555.6</v>
      </c>
      <c r="AM31" s="44" t="n">
        <f aca="false">IF(AL31="","",LN(AL31))</f>
        <v>10.8696269358035</v>
      </c>
      <c r="AN31" s="44" t="n">
        <f aca="false">IF(AK31="",NA(),AK31)</f>
        <v>19</v>
      </c>
      <c r="AO31" s="122" t="n">
        <f aca="false">IF(AK31="",NA(),AL31)</f>
        <v>52555.6</v>
      </c>
      <c r="AQ31" s="55" t="n">
        <f aca="false">IF(ISNUMBER(Rendimientos!B31),Rendimientos!B31,NA())</f>
        <v>44612</v>
      </c>
      <c r="AR31" s="44" t="n">
        <f aca="false">IF(AND(ISNUMBER(Rendimientos!C31),ISNUMBER(Rendimientos!$C$13)),Rendimientos!C31/Rendimientos!$C$13*100,NA())</f>
        <v>93</v>
      </c>
      <c r="AS31" s="44" t="n">
        <f aca="false">IF(AND(ISNUMBER(Rendimientos!D31),ISNUMBER(Rendimientos!$D$13)),Rendimientos!D31/Rendimientos!$D$13*100,NA())</f>
        <v>101.283377073583</v>
      </c>
    </row>
    <row r="32" customFormat="false" ht="13.8" hidden="false" customHeight="false" outlineLevel="0" collapsed="false">
      <c r="AE32" s="44" t="n">
        <f aca="false">IF(ISNUMBER(Rendimientos!C32),Rendimientos!A32,"")</f>
        <v>20</v>
      </c>
      <c r="AF32" s="122" t="n">
        <f aca="false">IF(AE32="","",Rendimientos!C32)</f>
        <v>22.91</v>
      </c>
      <c r="AG32" s="44" t="n">
        <f aca="false">IF(AF32="","",LN(AF32))</f>
        <v>3.1315734964654</v>
      </c>
      <c r="AH32" s="44" t="n">
        <f aca="false">IF(AE32="",NA(),AE32)</f>
        <v>20</v>
      </c>
      <c r="AI32" s="122" t="n">
        <f aca="false">IF(AE32="",NA(),AF32)</f>
        <v>22.91</v>
      </c>
      <c r="AK32" s="44" t="n">
        <f aca="false">IF(ISNUMBER(Rendimientos!D32),Rendimientos!A32,"")</f>
        <v>20</v>
      </c>
      <c r="AL32" s="122" t="n">
        <f aca="false">IF(AK32="","",Rendimientos!D32)</f>
        <v>53322.05</v>
      </c>
      <c r="AM32" s="44" t="n">
        <f aca="false">IF(AL32="","",LN(AL32))</f>
        <v>10.8841052206654</v>
      </c>
      <c r="AN32" s="44" t="n">
        <f aca="false">IF(AK32="",NA(),AK32)</f>
        <v>20</v>
      </c>
      <c r="AO32" s="122" t="n">
        <f aca="false">IF(AK32="",NA(),AL32)</f>
        <v>53322.05</v>
      </c>
      <c r="AQ32" s="55" t="n">
        <f aca="false">IF(ISNUMBER(Rendimientos!B32),Rendimientos!B32,NA())</f>
        <v>44619</v>
      </c>
      <c r="AR32" s="44" t="n">
        <f aca="false">IF(AND(ISNUMBER(Rendimientos!C32),ISNUMBER(Rendimientos!$C$13)),Rendimientos!C32/Rendimientos!$C$13*100,NA())</f>
        <v>91.64</v>
      </c>
      <c r="AS32" s="44" t="n">
        <f aca="false">IF(AND(ISNUMBER(Rendimientos!D32),ISNUMBER(Rendimientos!$D$13)),Rendimientos!D32/Rendimientos!$D$13*100,NA())</f>
        <v>102.760453624094</v>
      </c>
    </row>
    <row r="33" customFormat="false" ht="13.8" hidden="false" customHeight="false" outlineLevel="0" collapsed="false">
      <c r="AE33" s="44" t="n">
        <f aca="false">IF(ISNUMBER(Rendimientos!C33),Rendimientos!A33,"")</f>
        <v>21</v>
      </c>
      <c r="AF33" s="122" t="n">
        <f aca="false">IF(AE33="","",Rendimientos!C33)</f>
        <v>22.7</v>
      </c>
      <c r="AG33" s="44" t="n">
        <f aca="false">IF(AF33="","",LN(AF33))</f>
        <v>3.12236492448736</v>
      </c>
      <c r="AH33" s="44" t="n">
        <f aca="false">IF(AE33="",NA(),AE33)</f>
        <v>21</v>
      </c>
      <c r="AI33" s="122" t="n">
        <f aca="false">IF(AE33="",NA(),AF33)</f>
        <v>22.7</v>
      </c>
      <c r="AK33" s="44" t="n">
        <f aca="false">IF(ISNUMBER(Rendimientos!D33),Rendimientos!A33,"")</f>
        <v>21</v>
      </c>
      <c r="AL33" s="122" t="n">
        <f aca="false">IF(AK33="","",Rendimientos!D33)</f>
        <v>53300.7</v>
      </c>
      <c r="AM33" s="44" t="n">
        <f aca="false">IF(AL33="","",LN(AL33))</f>
        <v>10.883704743276</v>
      </c>
      <c r="AN33" s="44" t="n">
        <f aca="false">IF(AK33="",NA(),AK33)</f>
        <v>21</v>
      </c>
      <c r="AO33" s="122" t="n">
        <f aca="false">IF(AK33="",NA(),AL33)</f>
        <v>53300.7</v>
      </c>
      <c r="AQ33" s="55" t="n">
        <f aca="false">IF(ISNUMBER(Rendimientos!B33),Rendimientos!B33,NA())</f>
        <v>44626</v>
      </c>
      <c r="AR33" s="44" t="n">
        <f aca="false">IF(AND(ISNUMBER(Rendimientos!C33),ISNUMBER(Rendimientos!$C$13)),Rendimientos!C33/Rendimientos!$C$13*100,NA())</f>
        <v>90.8</v>
      </c>
      <c r="AS33" s="44" t="n">
        <f aca="false">IF(AND(ISNUMBER(Rendimientos!D33),ISNUMBER(Rendimientos!$D$13)),Rendimientos!D33/Rendimientos!$D$13*100,NA())</f>
        <v>102.719308625264</v>
      </c>
    </row>
    <row r="34" customFormat="false" ht="13.8" hidden="false" customHeight="false" outlineLevel="0" collapsed="false">
      <c r="AE34" s="44" t="n">
        <f aca="false">IF(ISNUMBER(Rendimientos!C34),Rendimientos!A34,"")</f>
        <v>22</v>
      </c>
      <c r="AF34" s="122" t="n">
        <f aca="false">IF(AE34="","",Rendimientos!C34)</f>
        <v>21.62</v>
      </c>
      <c r="AG34" s="44" t="n">
        <f aca="false">IF(AF34="","",LN(AF34))</f>
        <v>3.07361881221106</v>
      </c>
      <c r="AH34" s="44" t="n">
        <f aca="false">IF(AE34="",NA(),AE34)</f>
        <v>22</v>
      </c>
      <c r="AI34" s="122" t="n">
        <f aca="false">IF(AE34="",NA(),AF34)</f>
        <v>21.62</v>
      </c>
      <c r="AK34" s="44" t="n">
        <f aca="false">IF(ISNUMBER(Rendimientos!D34),Rendimientos!A34,"")</f>
        <v>22</v>
      </c>
      <c r="AL34" s="122" t="n">
        <f aca="false">IF(AK34="","",Rendimientos!D34)</f>
        <v>55467.06</v>
      </c>
      <c r="AM34" s="44" t="n">
        <f aca="false">IF(AL34="","",LN(AL34))</f>
        <v>10.9235446100221</v>
      </c>
      <c r="AN34" s="44" t="n">
        <f aca="false">IF(AK34="",NA(),AK34)</f>
        <v>22</v>
      </c>
      <c r="AO34" s="122" t="n">
        <f aca="false">IF(AK34="",NA(),AL34)</f>
        <v>55467.06</v>
      </c>
      <c r="AQ34" s="55" t="n">
        <f aca="false">IF(ISNUMBER(Rendimientos!B34),Rendimientos!B34,NA())</f>
        <v>44633</v>
      </c>
      <c r="AR34" s="44" t="n">
        <f aca="false">IF(AND(ISNUMBER(Rendimientos!C34),ISNUMBER(Rendimientos!$C$13)),Rendimientos!C34/Rendimientos!$C$13*100,NA())</f>
        <v>86.48</v>
      </c>
      <c r="AS34" s="44" t="n">
        <f aca="false">IF(AND(ISNUMBER(Rendimientos!D34),ISNUMBER(Rendimientos!$D$13)),Rendimientos!D34/Rendimientos!$D$13*100,NA())</f>
        <v>106.894244440993</v>
      </c>
    </row>
    <row r="35" customFormat="false" ht="13.8" hidden="false" customHeight="false" outlineLevel="0" collapsed="false">
      <c r="AE35" s="44" t="n">
        <f aca="false">IF(ISNUMBER(Rendimientos!C35),Rendimientos!A35,"")</f>
        <v>23</v>
      </c>
      <c r="AF35" s="122" t="n">
        <f aca="false">IF(AE35="","",Rendimientos!C35)</f>
        <v>22.13</v>
      </c>
      <c r="AG35" s="44" t="n">
        <f aca="false">IF(AF35="","",LN(AF35))</f>
        <v>3.09693415406296</v>
      </c>
      <c r="AH35" s="44" t="n">
        <f aca="false">IF(AE35="",NA(),AE35)</f>
        <v>23</v>
      </c>
      <c r="AI35" s="122" t="n">
        <f aca="false">IF(AE35="",NA(),AF35)</f>
        <v>22.13</v>
      </c>
      <c r="AK35" s="44" t="n">
        <f aca="false">IF(ISNUMBER(Rendimientos!D35),Rendimientos!A35,"")</f>
        <v>23</v>
      </c>
      <c r="AL35" s="122" t="n">
        <f aca="false">IF(AK35="","",Rendimientos!D35)</f>
        <v>55436.05</v>
      </c>
      <c r="AM35" s="44" t="n">
        <f aca="false">IF(AL35="","",LN(AL35))</f>
        <v>10.9229853831293</v>
      </c>
      <c r="AN35" s="44" t="n">
        <f aca="false">IF(AK35="",NA(),AK35)</f>
        <v>23</v>
      </c>
      <c r="AO35" s="122" t="n">
        <f aca="false">IF(AK35="",NA(),AL35)</f>
        <v>55436.05</v>
      </c>
      <c r="AQ35" s="55" t="n">
        <f aca="false">IF(ISNUMBER(Rendimientos!B35),Rendimientos!B35,NA())</f>
        <v>44640</v>
      </c>
      <c r="AR35" s="44" t="n">
        <f aca="false">IF(AND(ISNUMBER(Rendimientos!C35),ISNUMBER(Rendimientos!$C$13)),Rendimientos!C35/Rendimientos!$C$13*100,NA())</f>
        <v>88.52</v>
      </c>
      <c r="AS35" s="44" t="n">
        <f aca="false">IF(AND(ISNUMBER(Rendimientos!D35),ISNUMBER(Rendimientos!$D$13)),Rendimientos!D35/Rendimientos!$D$13*100,NA())</f>
        <v>106.834483016462</v>
      </c>
    </row>
    <row r="36" customFormat="false" ht="13.8" hidden="false" customHeight="false" outlineLevel="0" collapsed="false">
      <c r="AE36" s="44" t="n">
        <f aca="false">IF(ISNUMBER(Rendimientos!C36),Rendimientos!A36,"")</f>
        <v>24</v>
      </c>
      <c r="AF36" s="122" t="n">
        <f aca="false">IF(AE36="","",Rendimientos!C36)</f>
        <v>22.31</v>
      </c>
      <c r="AG36" s="44" t="n">
        <f aca="false">IF(AF36="","",LN(AF36))</f>
        <v>3.10503500844444</v>
      </c>
      <c r="AH36" s="44" t="n">
        <f aca="false">IF(AE36="",NA(),AE36)</f>
        <v>24</v>
      </c>
      <c r="AI36" s="122" t="n">
        <f aca="false">IF(AE36="",NA(),AF36)</f>
        <v>22.31</v>
      </c>
      <c r="AK36" s="44" t="n">
        <f aca="false">IF(ISNUMBER(Rendimientos!D36),Rendimientos!A36,"")</f>
        <v>24</v>
      </c>
      <c r="AL36" s="122" t="n">
        <f aca="false">IF(AK36="","",Rendimientos!D36)</f>
        <v>56609.54</v>
      </c>
      <c r="AM36" s="44" t="n">
        <f aca="false">IF(AL36="","",LN(AL36))</f>
        <v>10.9439328012249</v>
      </c>
      <c r="AN36" s="44" t="n">
        <f aca="false">IF(AK36="",NA(),AK36)</f>
        <v>24</v>
      </c>
      <c r="AO36" s="122" t="n">
        <f aca="false">IF(AK36="",NA(),AL36)</f>
        <v>56609.54</v>
      </c>
      <c r="AQ36" s="55" t="n">
        <f aca="false">IF(ISNUMBER(Rendimientos!B36),Rendimientos!B36,NA())</f>
        <v>44647</v>
      </c>
      <c r="AR36" s="44" t="n">
        <f aca="false">IF(AND(ISNUMBER(Rendimientos!C36),ISNUMBER(Rendimientos!$C$13)),Rendimientos!C36/Rendimientos!$C$13*100,NA())</f>
        <v>89.24</v>
      </c>
      <c r="AS36" s="44" t="n">
        <f aca="false">IF(AND(ISNUMBER(Rendimientos!D36),ISNUMBER(Rendimientos!$D$13)),Rendimientos!D36/Rendimientos!$D$13*100,NA())</f>
        <v>109.095993305795</v>
      </c>
    </row>
    <row r="37" customFormat="false" ht="13.8" hidden="false" customHeight="false" outlineLevel="0" collapsed="false">
      <c r="AE37" s="44" t="n">
        <f aca="false">IF(ISNUMBER(Rendimientos!C37),Rendimientos!A37,"")</f>
        <v>25</v>
      </c>
      <c r="AF37" s="122" t="n">
        <f aca="false">IF(AE37="","",Rendimientos!C37)</f>
        <v>21.58</v>
      </c>
      <c r="AG37" s="44" t="n">
        <f aca="false">IF(AF37="","",LN(AF37))</f>
        <v>3.07176695982999</v>
      </c>
      <c r="AH37" s="44" t="n">
        <f aca="false">IF(AE37="",NA(),AE37)</f>
        <v>25</v>
      </c>
      <c r="AI37" s="122" t="n">
        <f aca="false">IF(AE37="",NA(),AF37)</f>
        <v>21.58</v>
      </c>
      <c r="AK37" s="44" t="n">
        <f aca="false">IF(ISNUMBER(Rendimientos!D37),Rendimientos!A37,"")</f>
        <v>25</v>
      </c>
      <c r="AL37" s="122" t="n">
        <f aca="false">IF(AK37="","",Rendimientos!D37)</f>
        <v>54687.25</v>
      </c>
      <c r="AM37" s="44" t="n">
        <f aca="false">IF(AL37="","",LN(AL37))</f>
        <v>10.909385871661</v>
      </c>
      <c r="AN37" s="44" t="n">
        <f aca="false">IF(AK37="",NA(),AK37)</f>
        <v>25</v>
      </c>
      <c r="AO37" s="122" t="n">
        <f aca="false">IF(AK37="",NA(),AL37)</f>
        <v>54687.25</v>
      </c>
      <c r="AQ37" s="55" t="n">
        <f aca="false">IF(ISNUMBER(Rendimientos!B37),Rendimientos!B37,NA())</f>
        <v>44654</v>
      </c>
      <c r="AR37" s="44" t="n">
        <f aca="false">IF(AND(ISNUMBER(Rendimientos!C37),ISNUMBER(Rendimientos!$C$13)),Rendimientos!C37/Rendimientos!$C$13*100,NA())</f>
        <v>86.32</v>
      </c>
      <c r="AS37" s="44" t="n">
        <f aca="false">IF(AND(ISNUMBER(Rendimientos!D37),ISNUMBER(Rendimientos!$D$13)),Rendimientos!D37/Rendimientos!$D$13*100,NA())</f>
        <v>105.391420949761</v>
      </c>
    </row>
    <row r="38" customFormat="false" ht="13.8" hidden="false" customHeight="false" outlineLevel="0" collapsed="false">
      <c r="AE38" s="44" t="n">
        <f aca="false">IF(ISNUMBER(Rendimientos!C38),Rendimientos!A38,"")</f>
        <v>26</v>
      </c>
      <c r="AF38" s="122" t="n">
        <f aca="false">IF(AE38="","",Rendimientos!C38)</f>
        <v>21.68</v>
      </c>
      <c r="AG38" s="44" t="n">
        <f aca="false">IF(AF38="","",LN(AF38))</f>
        <v>3.07639017657145</v>
      </c>
      <c r="AH38" s="44" t="n">
        <f aca="false">IF(AE38="",NA(),AE38)</f>
        <v>26</v>
      </c>
      <c r="AI38" s="122" t="n">
        <f aca="false">IF(AE38="",NA(),AF38)</f>
        <v>21.68</v>
      </c>
      <c r="AK38" s="44" t="n">
        <f aca="false">IF(ISNUMBER(Rendimientos!D38),Rendimientos!A38,"")</f>
        <v>26</v>
      </c>
      <c r="AL38" s="122" t="n">
        <f aca="false">IF(AK38="","",Rendimientos!D38)</f>
        <v>54172.62</v>
      </c>
      <c r="AM38" s="44" t="n">
        <f aca="false">IF(AL38="","",LN(AL38))</f>
        <v>10.8999308937367</v>
      </c>
      <c r="AN38" s="44" t="n">
        <f aca="false">IF(AK38="",NA(),AK38)</f>
        <v>26</v>
      </c>
      <c r="AO38" s="122" t="n">
        <f aca="false">IF(AK38="",NA(),AL38)</f>
        <v>54172.62</v>
      </c>
      <c r="AQ38" s="55" t="n">
        <f aca="false">IF(ISNUMBER(Rendimientos!B38),Rendimientos!B38,NA())</f>
        <v>44661</v>
      </c>
      <c r="AR38" s="44" t="n">
        <f aca="false">IF(AND(ISNUMBER(Rendimientos!C38),ISNUMBER(Rendimientos!$C$13)),Rendimientos!C38/Rendimientos!$C$13*100,NA())</f>
        <v>86.72</v>
      </c>
      <c r="AS38" s="44" t="n">
        <f aca="false">IF(AND(ISNUMBER(Rendimientos!D38),ISNUMBER(Rendimientos!$D$13)),Rendimientos!D38/Rendimientos!$D$13*100,NA())</f>
        <v>104.399643397162</v>
      </c>
    </row>
    <row r="39" customFormat="false" ht="13.8" hidden="false" customHeight="false" outlineLevel="0" collapsed="false">
      <c r="AE39" s="44" t="n">
        <f aca="false">IF(ISNUMBER(Rendimientos!C39),Rendimientos!A39,"")</f>
        <v>27</v>
      </c>
      <c r="AF39" s="122" t="n">
        <f aca="false">IF(AE39="","",Rendimientos!C39)</f>
        <v>21.01</v>
      </c>
      <c r="AG39" s="44" t="n">
        <f aca="false">IF(AF39="","",LN(AF39))</f>
        <v>3.04499851485691</v>
      </c>
      <c r="AH39" s="44" t="n">
        <f aca="false">IF(AE39="",NA(),AE39)</f>
        <v>27</v>
      </c>
      <c r="AI39" s="122" t="n">
        <f aca="false">IF(AE39="",NA(),AF39)</f>
        <v>21.01</v>
      </c>
      <c r="AK39" s="44" t="n">
        <f aca="false">IF(ISNUMBER(Rendimientos!D39),Rendimientos!A39,"")</f>
        <v>27</v>
      </c>
      <c r="AL39" s="122" t="n">
        <f aca="false">IF(AK39="","",Rendimientos!D39)</f>
        <v>53191.78</v>
      </c>
      <c r="AM39" s="44" t="n">
        <f aca="false">IF(AL39="","",LN(AL39))</f>
        <v>10.8816591521134</v>
      </c>
      <c r="AN39" s="44" t="n">
        <f aca="false">IF(AK39="",NA(),AK39)</f>
        <v>27</v>
      </c>
      <c r="AO39" s="122" t="n">
        <f aca="false">IF(AK39="",NA(),AL39)</f>
        <v>53191.78</v>
      </c>
      <c r="AQ39" s="55" t="n">
        <f aca="false">IF(ISNUMBER(Rendimientos!B39),Rendimientos!B39,NA())</f>
        <v>44668</v>
      </c>
      <c r="AR39" s="44" t="n">
        <f aca="false">IF(AND(ISNUMBER(Rendimientos!C39),ISNUMBER(Rendimientos!$C$13)),Rendimientos!C39/Rendimientos!$C$13*100,NA())</f>
        <v>84.04</v>
      </c>
      <c r="AS39" s="44" t="n">
        <f aca="false">IF(AND(ISNUMBER(Rendimientos!D39),ISNUMBER(Rendimientos!$D$13)),Rendimientos!D39/Rendimientos!$D$13*100,NA())</f>
        <v>102.509401680412</v>
      </c>
    </row>
    <row r="40" customFormat="false" ht="13.8" hidden="false" customHeight="false" outlineLevel="0" collapsed="false">
      <c r="AE40" s="44" t="n">
        <f aca="false">IF(ISNUMBER(Rendimientos!C40),Rendimientos!A40,"")</f>
        <v>28</v>
      </c>
      <c r="AF40" s="122" t="n">
        <f aca="false">IF(AE40="","",Rendimientos!C40)</f>
        <v>23.56</v>
      </c>
      <c r="AG40" s="44" t="n">
        <f aca="false">IF(AF40="","",LN(AF40))</f>
        <v>3.15955035878339</v>
      </c>
      <c r="AH40" s="44" t="n">
        <f aca="false">IF(AE40="",NA(),AE40)</f>
        <v>28</v>
      </c>
      <c r="AI40" s="122" t="n">
        <f aca="false">IF(AE40="",NA(),AF40)</f>
        <v>23.56</v>
      </c>
      <c r="AK40" s="44" t="n">
        <f aca="false">IF(ISNUMBER(Rendimientos!D40),Rendimientos!A40,"")</f>
        <v>28</v>
      </c>
      <c r="AL40" s="122" t="n">
        <f aca="false">IF(AK40="","",Rendimientos!D40)</f>
        <v>51417.97</v>
      </c>
      <c r="AM40" s="44" t="n">
        <f aca="false">IF(AL40="","",LN(AL40))</f>
        <v>10.8477430012386</v>
      </c>
      <c r="AN40" s="44" t="n">
        <f aca="false">IF(AK40="",NA(),AK40)</f>
        <v>28</v>
      </c>
      <c r="AO40" s="122" t="n">
        <f aca="false">IF(AK40="",NA(),AL40)</f>
        <v>51417.97</v>
      </c>
      <c r="AQ40" s="55" t="n">
        <f aca="false">IF(ISNUMBER(Rendimientos!B40),Rendimientos!B40,NA())</f>
        <v>44675</v>
      </c>
      <c r="AR40" s="44" t="n">
        <f aca="false">IF(AND(ISNUMBER(Rendimientos!C40),ISNUMBER(Rendimientos!$C$13)),Rendimientos!C40/Rendimientos!$C$13*100,NA())</f>
        <v>94.24</v>
      </c>
      <c r="AS40" s="44" t="n">
        <f aca="false">IF(AND(ISNUMBER(Rendimientos!D40),ISNUMBER(Rendimientos!$D$13)),Rendimientos!D40/Rendimientos!$D$13*100,NA())</f>
        <v>99.0909749649545</v>
      </c>
    </row>
    <row r="41" customFormat="false" ht="13.8" hidden="false" customHeight="false" outlineLevel="0" collapsed="false">
      <c r="AE41" s="44" t="n">
        <f aca="false">IF(ISNUMBER(Rendimientos!C41),Rendimientos!A41,"")</f>
        <v>29</v>
      </c>
      <c r="AF41" s="122" t="n">
        <f aca="false">IF(AE41="","",Rendimientos!C41)</f>
        <v>22.07</v>
      </c>
      <c r="AG41" s="44" t="n">
        <f aca="false">IF(AF41="","",LN(AF41))</f>
        <v>3.09421922026865</v>
      </c>
      <c r="AH41" s="44" t="n">
        <f aca="false">IF(AE41="",NA(),AE41)</f>
        <v>29</v>
      </c>
      <c r="AI41" s="122" t="n">
        <f aca="false">IF(AE41="",NA(),AF41)</f>
        <v>22.07</v>
      </c>
      <c r="AK41" s="44" t="n">
        <f aca="false">IF(ISNUMBER(Rendimientos!D41),Rendimientos!A41,"")</f>
        <v>29</v>
      </c>
      <c r="AL41" s="122" t="n">
        <f aca="false">IF(AK41="","",Rendimientos!D41)</f>
        <v>49541.81</v>
      </c>
      <c r="AM41" s="44" t="n">
        <f aca="false">IF(AL41="","",LN(AL41))</f>
        <v>10.8105722385083</v>
      </c>
      <c r="AN41" s="44" t="n">
        <f aca="false">IF(AK41="",NA(),AK41)</f>
        <v>29</v>
      </c>
      <c r="AO41" s="122" t="n">
        <f aca="false">IF(AK41="",NA(),AL41)</f>
        <v>49541.81</v>
      </c>
      <c r="AQ41" s="55" t="n">
        <f aca="false">IF(ISNUMBER(Rendimientos!B41),Rendimientos!B41,NA())</f>
        <v>44682</v>
      </c>
      <c r="AR41" s="44" t="n">
        <f aca="false">IF(AND(ISNUMBER(Rendimientos!C41),ISNUMBER(Rendimientos!$C$13)),Rendimientos!C41/Rendimientos!$C$13*100,NA())</f>
        <v>88.28</v>
      </c>
      <c r="AS41" s="44" t="n">
        <f aca="false">IF(AND(ISNUMBER(Rendimientos!D41),ISNUMBER(Rendimientos!$D$13)),Rendimientos!D41/Rendimientos!$D$13*100,NA())</f>
        <v>95.4753027867209</v>
      </c>
    </row>
    <row r="42" customFormat="false" ht="13.8" hidden="false" customHeight="false" outlineLevel="0" collapsed="false">
      <c r="AE42" s="44" t="n">
        <f aca="false">IF(ISNUMBER(Rendimientos!C42),Rendimientos!A42,"")</f>
        <v>30</v>
      </c>
      <c r="AF42" s="122" t="n">
        <f aca="false">IF(AE42="","",Rendimientos!C42)</f>
        <v>22</v>
      </c>
      <c r="AG42" s="44" t="n">
        <f aca="false">IF(AF42="","",LN(AF42))</f>
        <v>3.09104245335832</v>
      </c>
      <c r="AH42" s="44" t="n">
        <f aca="false">IF(AE42="",NA(),AE42)</f>
        <v>30</v>
      </c>
      <c r="AI42" s="122" t="n">
        <f aca="false">IF(AE42="",NA(),AF42)</f>
        <v>22</v>
      </c>
      <c r="AK42" s="44" t="n">
        <f aca="false">IF(ISNUMBER(Rendimientos!D42),Rendimientos!A42,"")</f>
        <v>30</v>
      </c>
      <c r="AL42" s="122" t="n">
        <f aca="false">IF(AK42="","",Rendimientos!D42)</f>
        <v>49579.9</v>
      </c>
      <c r="AM42" s="44" t="n">
        <f aca="false">IF(AL42="","",LN(AL42))</f>
        <v>10.8113407886448</v>
      </c>
      <c r="AN42" s="44" t="n">
        <f aca="false">IF(AK42="",NA(),AK42)</f>
        <v>30</v>
      </c>
      <c r="AO42" s="122" t="n">
        <f aca="false">IF(AK42="",NA(),AL42)</f>
        <v>49579.9</v>
      </c>
      <c r="AQ42" s="55" t="n">
        <f aca="false">IF(ISNUMBER(Rendimientos!B42),Rendimientos!B42,NA())</f>
        <v>44689</v>
      </c>
      <c r="AR42" s="44" t="n">
        <f aca="false">IF(AND(ISNUMBER(Rendimientos!C42),ISNUMBER(Rendimientos!$C$13)),Rendimientos!C42/Rendimientos!$C$13*100,NA())</f>
        <v>88</v>
      </c>
      <c r="AS42" s="44" t="n">
        <f aca="false">IF(AND(ISNUMBER(Rendimientos!D42),ISNUMBER(Rendimientos!$D$13)),Rendimientos!D42/Rendimientos!$D$13*100,NA())</f>
        <v>95.5487085481</v>
      </c>
    </row>
    <row r="43" customFormat="false" ht="13.8" hidden="false" customHeight="false" outlineLevel="0" collapsed="false">
      <c r="AE43" s="44" t="n">
        <f aca="false">IF(ISNUMBER(Rendimientos!C43),Rendimientos!A43,"")</f>
        <v>31</v>
      </c>
      <c r="AF43" s="122" t="n">
        <f aca="false">IF(AE43="","",Rendimientos!C43)</f>
        <v>21.35</v>
      </c>
      <c r="AG43" s="44" t="n">
        <f aca="false">IF(AF43="","",LN(AF43))</f>
        <v>3.06105173967463</v>
      </c>
      <c r="AH43" s="44" t="n">
        <f aca="false">IF(AE43="",NA(),AE43)</f>
        <v>31</v>
      </c>
      <c r="AI43" s="122" t="n">
        <f aca="false">IF(AE43="",NA(),AF43)</f>
        <v>21.35</v>
      </c>
      <c r="AK43" s="44" t="n">
        <f aca="false">IF(ISNUMBER(Rendimientos!D43),Rendimientos!A43,"")</f>
        <v>31</v>
      </c>
      <c r="AL43" s="122" t="n">
        <f aca="false">IF(AK43="","",Rendimientos!D43)</f>
        <v>51518.3</v>
      </c>
      <c r="AM43" s="44" t="n">
        <f aca="false">IF(AL43="","",LN(AL43))</f>
        <v>10.8496923633394</v>
      </c>
      <c r="AN43" s="44" t="n">
        <f aca="false">IF(AK43="",NA(),AK43)</f>
        <v>31</v>
      </c>
      <c r="AO43" s="122" t="n">
        <f aca="false">IF(AK43="",NA(),AL43)</f>
        <v>51518.3</v>
      </c>
      <c r="AQ43" s="55" t="n">
        <f aca="false">IF(ISNUMBER(Rendimientos!B43),Rendimientos!B43,NA())</f>
        <v>44696</v>
      </c>
      <c r="AR43" s="44" t="n">
        <f aca="false">IF(AND(ISNUMBER(Rendimientos!C43),ISNUMBER(Rendimientos!$C$13)),Rendimientos!C43/Rendimientos!$C$13*100,NA())</f>
        <v>85.4</v>
      </c>
      <c r="AS43" s="44" t="n">
        <f aca="false">IF(AND(ISNUMBER(Rendimientos!D43),ISNUMBER(Rendimientos!$D$13)),Rendimientos!D43/Rendimientos!$D$13*100,NA())</f>
        <v>99.2843275519631</v>
      </c>
    </row>
    <row r="44" customFormat="false" ht="13.8" hidden="false" customHeight="false" outlineLevel="0" collapsed="false">
      <c r="AE44" s="44" t="n">
        <f aca="false">IF(ISNUMBER(Rendimientos!C44),Rendimientos!A44,"")</f>
        <v>32</v>
      </c>
      <c r="AF44" s="122" t="n">
        <f aca="false">IF(AE44="","",Rendimientos!C44)</f>
        <v>21.34</v>
      </c>
      <c r="AG44" s="44" t="n">
        <f aca="false">IF(AF44="","",LN(AF44))</f>
        <v>3.06058324587361</v>
      </c>
      <c r="AH44" s="44" t="n">
        <f aca="false">IF(AE44="",NA(),AE44)</f>
        <v>32</v>
      </c>
      <c r="AI44" s="122" t="n">
        <f aca="false">IF(AE44="",NA(),AF44)</f>
        <v>21.34</v>
      </c>
      <c r="AK44" s="44" t="n">
        <f aca="false">IF(ISNUMBER(Rendimientos!D44),Rendimientos!A44,"")</f>
        <v>32</v>
      </c>
      <c r="AL44" s="122" t="n">
        <f aca="false">IF(AK44="","",Rendimientos!D44)</f>
        <v>52463.55</v>
      </c>
      <c r="AM44" s="44" t="n">
        <f aca="false">IF(AL44="","",LN(AL44))</f>
        <v>10.8678739217375</v>
      </c>
      <c r="AN44" s="44" t="n">
        <f aca="false">IF(AK44="",NA(),AK44)</f>
        <v>32</v>
      </c>
      <c r="AO44" s="122" t="n">
        <f aca="false">IF(AK44="",NA(),AL44)</f>
        <v>52463.55</v>
      </c>
      <c r="AQ44" s="55" t="n">
        <f aca="false">IF(ISNUMBER(Rendimientos!B44),Rendimientos!B44,NA())</f>
        <v>44703</v>
      </c>
      <c r="AR44" s="44" t="n">
        <f aca="false">IF(AND(ISNUMBER(Rendimientos!C44),ISNUMBER(Rendimientos!$C$13)),Rendimientos!C44/Rendimientos!$C$13*100,NA())</f>
        <v>85.36</v>
      </c>
      <c r="AS44" s="44" t="n">
        <f aca="false">IF(AND(ISNUMBER(Rendimientos!D44),ISNUMBER(Rendimientos!$D$13)),Rendimientos!D44/Rendimientos!$D$13*100,NA())</f>
        <v>101.105981422888</v>
      </c>
    </row>
    <row r="45" customFormat="false" ht="13.8" hidden="false" customHeight="false" outlineLevel="0" collapsed="false">
      <c r="AE45" s="44" t="n">
        <f aca="false">IF(ISNUMBER(Rendimientos!C45),Rendimientos!A45,"")</f>
        <v>33</v>
      </c>
      <c r="AF45" s="122" t="n">
        <f aca="false">IF(AE45="","",Rendimientos!C45)</f>
        <v>21.27</v>
      </c>
      <c r="AG45" s="44" t="n">
        <f aca="false">IF(AF45="","",LN(AF45))</f>
        <v>3.05729762921215</v>
      </c>
      <c r="AH45" s="44" t="n">
        <f aca="false">IF(AE45="",NA(),AE45)</f>
        <v>33</v>
      </c>
      <c r="AI45" s="122" t="n">
        <f aca="false">IF(AE45="",NA(),AF45)</f>
        <v>21.27</v>
      </c>
      <c r="AK45" s="44" t="n">
        <f aca="false">IF(ISNUMBER(Rendimientos!D45),Rendimientos!A45,"")</f>
        <v>33</v>
      </c>
      <c r="AL45" s="122" t="n">
        <f aca="false">IF(AK45="","",Rendimientos!D45)</f>
        <v>50689.05</v>
      </c>
      <c r="AM45" s="44" t="n">
        <f aca="false">IF(AL45="","",LN(AL45))</f>
        <v>10.8334651899217</v>
      </c>
      <c r="AN45" s="44" t="n">
        <f aca="false">IF(AK45="",NA(),AK45)</f>
        <v>33</v>
      </c>
      <c r="AO45" s="122" t="n">
        <f aca="false">IF(AK45="",NA(),AL45)</f>
        <v>50689.05</v>
      </c>
      <c r="AQ45" s="55" t="n">
        <f aca="false">IF(ISNUMBER(Rendimientos!B45),Rendimientos!B45,NA())</f>
        <v>44710</v>
      </c>
      <c r="AR45" s="44" t="n">
        <f aca="false">IF(AND(ISNUMBER(Rendimientos!C45),ISNUMBER(Rendimientos!$C$13)),Rendimientos!C45/Rendimientos!$C$13*100,NA())</f>
        <v>85.08</v>
      </c>
      <c r="AS45" s="44" t="n">
        <f aca="false">IF(AND(ISNUMBER(Rendimientos!D45),ISNUMBER(Rendimientos!$D$13)),Rendimientos!D45/Rendimientos!$D$13*100,NA())</f>
        <v>97.6862249627382</v>
      </c>
    </row>
    <row r="46" customFormat="false" ht="13.8" hidden="false" customHeight="false" outlineLevel="0" collapsed="false">
      <c r="AE46" s="44" t="n">
        <f aca="false">IF(ISNUMBER(Rendimientos!C46),Rendimientos!A46,"")</f>
        <v>34</v>
      </c>
      <c r="AF46" s="122" t="n">
        <f aca="false">IF(AE46="","",Rendimientos!C46)</f>
        <v>21.06</v>
      </c>
      <c r="AG46" s="44" t="n">
        <f aca="false">IF(AF46="","",LN(AF46))</f>
        <v>3.04737550670583</v>
      </c>
      <c r="AH46" s="44" t="n">
        <f aca="false">IF(AE46="",NA(),AE46)</f>
        <v>34</v>
      </c>
      <c r="AI46" s="122" t="n">
        <f aca="false">IF(AE46="",NA(),AF46)</f>
        <v>21.06</v>
      </c>
      <c r="AK46" s="44" t="n">
        <f aca="false">IF(ISNUMBER(Rendimientos!D46),Rendimientos!A46,"")</f>
        <v>34</v>
      </c>
      <c r="AL46" s="122" t="n">
        <f aca="false">IF(AK46="","",Rendimientos!D46)</f>
        <v>48471.52</v>
      </c>
      <c r="AM46" s="44" t="n">
        <f aca="false">IF(AL46="","",LN(AL46))</f>
        <v>10.7887316879516</v>
      </c>
      <c r="AN46" s="44" t="n">
        <f aca="false">IF(AK46="",NA(),AK46)</f>
        <v>34</v>
      </c>
      <c r="AO46" s="122" t="n">
        <f aca="false">IF(AK46="",NA(),AL46)</f>
        <v>48471.52</v>
      </c>
      <c r="AQ46" s="55" t="n">
        <f aca="false">IF(ISNUMBER(Rendimientos!B46),Rendimientos!B46,NA())</f>
        <v>44717</v>
      </c>
      <c r="AR46" s="44" t="n">
        <f aca="false">IF(AND(ISNUMBER(Rendimientos!C46),ISNUMBER(Rendimientos!$C$13)),Rendimientos!C46/Rendimientos!$C$13*100,NA())</f>
        <v>84.24</v>
      </c>
      <c r="AS46" s="44" t="n">
        <f aca="false">IF(AND(ISNUMBER(Rendimientos!D46),ISNUMBER(Rendimientos!$D$13)),Rendimientos!D46/Rendimientos!$D$13*100,NA())</f>
        <v>93.4126760514522</v>
      </c>
    </row>
    <row r="47" customFormat="false" ht="13.8" hidden="false" customHeight="false" outlineLevel="0" collapsed="false">
      <c r="AE47" s="44" t="n">
        <f aca="false">IF(ISNUMBER(Rendimientos!C47),Rendimientos!A47,"")</f>
        <v>35</v>
      </c>
      <c r="AF47" s="122" t="n">
        <f aca="false">IF(AE47="","",Rendimientos!C47)</f>
        <v>19.21</v>
      </c>
      <c r="AG47" s="44" t="n">
        <f aca="false">IF(AF47="","",LN(AF47))</f>
        <v>2.95543097678047</v>
      </c>
      <c r="AH47" s="44" t="n">
        <f aca="false">IF(AE47="",NA(),AE47)</f>
        <v>35</v>
      </c>
      <c r="AI47" s="122" t="n">
        <f aca="false">IF(AE47="",NA(),AF47)</f>
        <v>19.21</v>
      </c>
      <c r="AK47" s="44" t="n">
        <f aca="false">IF(ISNUMBER(Rendimientos!D47),Rendimientos!A47,"")</f>
        <v>35</v>
      </c>
      <c r="AL47" s="122" t="n">
        <f aca="false">IF(AK47="","",Rendimientos!D47)</f>
        <v>48016.23</v>
      </c>
      <c r="AM47" s="44" t="n">
        <f aca="false">IF(AL47="","",LN(AL47))</f>
        <v>10.7792943577387</v>
      </c>
      <c r="AN47" s="44" t="n">
        <f aca="false">IF(AK47="",NA(),AK47)</f>
        <v>35</v>
      </c>
      <c r="AO47" s="122" t="n">
        <f aca="false">IF(AK47="",NA(),AL47)</f>
        <v>48016.23</v>
      </c>
      <c r="AQ47" s="55" t="n">
        <f aca="false">IF(ISNUMBER(Rendimientos!B47),Rendimientos!B47,NA())</f>
        <v>44724</v>
      </c>
      <c r="AR47" s="44" t="n">
        <f aca="false">IF(AND(ISNUMBER(Rendimientos!C47),ISNUMBER(Rendimientos!$C$13)),Rendimientos!C47/Rendimientos!$C$13*100,NA())</f>
        <v>76.84</v>
      </c>
      <c r="AS47" s="44" t="n">
        <f aca="false">IF(AND(ISNUMBER(Rendimientos!D47),ISNUMBER(Rendimientos!$D$13)),Rendimientos!D47/Rendimientos!$D$13*100,NA())</f>
        <v>92.5352565424403</v>
      </c>
    </row>
    <row r="48" customFormat="false" ht="13.8" hidden="false" customHeight="false" outlineLevel="0" collapsed="false">
      <c r="AE48" s="44" t="n">
        <f aca="false">IF(ISNUMBER(Rendimientos!C48),Rendimientos!A48,"")</f>
        <v>36</v>
      </c>
      <c r="AF48" s="122" t="n">
        <f aca="false">IF(AE48="","",Rendimientos!C48)</f>
        <v>21.24</v>
      </c>
      <c r="AG48" s="44" t="n">
        <f aca="false">IF(AF48="","",LN(AF48))</f>
        <v>3.05588619637374</v>
      </c>
      <c r="AH48" s="44" t="n">
        <f aca="false">IF(AE48="",NA(),AE48)</f>
        <v>36</v>
      </c>
      <c r="AI48" s="122" t="n">
        <f aca="false">IF(AE48="",NA(),AF48)</f>
        <v>21.24</v>
      </c>
      <c r="AK48" s="44" t="n">
        <f aca="false">IF(ISNUMBER(Rendimientos!D48),Rendimientos!A48,"")</f>
        <v>36</v>
      </c>
      <c r="AL48" s="122" t="n">
        <f aca="false">IF(AK48="","",Rendimientos!D48)</f>
        <v>47741.5</v>
      </c>
      <c r="AM48" s="44" t="n">
        <f aca="false">IF(AL48="","",LN(AL48))</f>
        <v>10.7735563195919</v>
      </c>
      <c r="AN48" s="44" t="n">
        <f aca="false">IF(AK48="",NA(),AK48)</f>
        <v>36</v>
      </c>
      <c r="AO48" s="122" t="n">
        <f aca="false">IF(AK48="",NA(),AL48)</f>
        <v>47741.5</v>
      </c>
      <c r="AQ48" s="55" t="n">
        <f aca="false">IF(ISNUMBER(Rendimientos!B48),Rendimientos!B48,NA())</f>
        <v>44731</v>
      </c>
      <c r="AR48" s="44" t="n">
        <f aca="false">IF(AND(ISNUMBER(Rendimientos!C48),ISNUMBER(Rendimientos!$C$13)),Rendimientos!C48/Rendimientos!$C$13*100,NA())</f>
        <v>84.96</v>
      </c>
      <c r="AS48" s="44" t="n">
        <f aca="false">IF(AND(ISNUMBER(Rendimientos!D48),ISNUMBER(Rendimientos!$D$13)),Rendimientos!D48/Rendimientos!$D$13*100,NA())</f>
        <v>92.0058061663923</v>
      </c>
    </row>
    <row r="49" customFormat="false" ht="13.8" hidden="false" customHeight="false" outlineLevel="0" collapsed="false">
      <c r="AE49" s="44" t="n">
        <f aca="false">IF(ISNUMBER(Rendimientos!C49),Rendimientos!A49,"")</f>
        <v>37</v>
      </c>
      <c r="AF49" s="122" t="n">
        <f aca="false">IF(AE49="","",Rendimientos!C49)</f>
        <v>22.45</v>
      </c>
      <c r="AG49" s="44" t="n">
        <f aca="false">IF(AF49="","",LN(AF49))</f>
        <v>3.11129061418826</v>
      </c>
      <c r="AH49" s="44" t="n">
        <f aca="false">IF(AE49="",NA(),AE49)</f>
        <v>37</v>
      </c>
      <c r="AI49" s="122" t="n">
        <f aca="false">IF(AE49="",NA(),AF49)</f>
        <v>22.45</v>
      </c>
      <c r="AK49" s="44" t="n">
        <f aca="false">IF(ISNUMBER(Rendimientos!D49),Rendimientos!A49,"")</f>
        <v>37</v>
      </c>
      <c r="AL49" s="122" t="n">
        <f aca="false">IF(AK49="","",Rendimientos!D49)</f>
        <v>47743.15</v>
      </c>
      <c r="AM49" s="44" t="n">
        <f aca="false">IF(AL49="","",LN(AL49))</f>
        <v>10.7735908801208</v>
      </c>
      <c r="AN49" s="44" t="n">
        <f aca="false">IF(AK49="",NA(),AK49)</f>
        <v>37</v>
      </c>
      <c r="AO49" s="122" t="n">
        <f aca="false">IF(AK49="",NA(),AL49)</f>
        <v>47743.15</v>
      </c>
      <c r="AQ49" s="55" t="n">
        <f aca="false">IF(ISNUMBER(Rendimientos!B49),Rendimientos!B49,NA())</f>
        <v>44738</v>
      </c>
      <c r="AR49" s="44" t="n">
        <f aca="false">IF(AND(ISNUMBER(Rendimientos!C49),ISNUMBER(Rendimientos!$C$13)),Rendimientos!C49/Rendimientos!$C$13*100,NA())</f>
        <v>89.8</v>
      </c>
      <c r="AS49" s="44" t="n">
        <f aca="false">IF(AND(ISNUMBER(Rendimientos!D49),ISNUMBER(Rendimientos!$D$13)),Rendimientos!D49/Rendimientos!$D$13*100,NA())</f>
        <v>92.0089859906579</v>
      </c>
    </row>
    <row r="50" customFormat="false" ht="13.8" hidden="false" customHeight="false" outlineLevel="0" collapsed="false">
      <c r="AE50" s="44" t="n">
        <f aca="false">IF(ISNUMBER(Rendimientos!C50),Rendimientos!A50,"")</f>
        <v>38</v>
      </c>
      <c r="AF50" s="122" t="n">
        <f aca="false">IF(AE50="","",Rendimientos!C50)</f>
        <v>22.7</v>
      </c>
      <c r="AG50" s="44" t="n">
        <f aca="false">IF(AF50="","",LN(AF50))</f>
        <v>3.12236492448736</v>
      </c>
      <c r="AH50" s="44" t="n">
        <f aca="false">IF(AE50="",NA(),AE50)</f>
        <v>38</v>
      </c>
      <c r="AI50" s="122" t="n">
        <f aca="false">IF(AE50="",NA(),AF50)</f>
        <v>22.7</v>
      </c>
      <c r="AK50" s="44" t="n">
        <f aca="false">IF(ISNUMBER(Rendimientos!D50),Rendimientos!A50,"")</f>
        <v>38</v>
      </c>
      <c r="AL50" s="122" t="n">
        <f aca="false">IF(AK50="","",Rendimientos!D50)</f>
        <v>47582.11</v>
      </c>
      <c r="AM50" s="44" t="n">
        <f aca="false">IF(AL50="","",LN(AL50))</f>
        <v>10.7702121292377</v>
      </c>
      <c r="AN50" s="44" t="n">
        <f aca="false">IF(AK50="",NA(),AK50)</f>
        <v>38</v>
      </c>
      <c r="AO50" s="122" t="n">
        <f aca="false">IF(AK50="",NA(),AL50)</f>
        <v>47582.11</v>
      </c>
      <c r="AQ50" s="55" t="n">
        <f aca="false">IF(ISNUMBER(Rendimientos!B50),Rendimientos!B50,NA())</f>
        <v>44745</v>
      </c>
      <c r="AR50" s="44" t="n">
        <f aca="false">IF(AND(ISNUMBER(Rendimientos!C50),ISNUMBER(Rendimientos!$C$13)),Rendimientos!C50/Rendimientos!$C$13*100,NA())</f>
        <v>90.8</v>
      </c>
      <c r="AS50" s="44" t="n">
        <f aca="false">IF(AND(ISNUMBER(Rendimientos!D50),ISNUMBER(Rendimientos!$D$13)),Rendimientos!D50/Rendimientos!$D$13*100,NA())</f>
        <v>91.6986351423386</v>
      </c>
    </row>
    <row r="51" customFormat="false" ht="13.8" hidden="false" customHeight="false" outlineLevel="0" collapsed="false">
      <c r="AE51" s="44" t="n">
        <f aca="false">IF(ISNUMBER(Rendimientos!C51),Rendimientos!A51,"")</f>
        <v>39</v>
      </c>
      <c r="AF51" s="122" t="n">
        <f aca="false">IF(AE51="","",Rendimientos!C51)</f>
        <v>22.83</v>
      </c>
      <c r="AG51" s="44" t="n">
        <f aca="false">IF(AF51="","",LN(AF51))</f>
        <v>3.1280754605417</v>
      </c>
      <c r="AH51" s="44" t="n">
        <f aca="false">IF(AE51="",NA(),AE51)</f>
        <v>39</v>
      </c>
      <c r="AI51" s="122" t="n">
        <f aca="false">IF(AE51="",NA(),AF51)</f>
        <v>22.83</v>
      </c>
      <c r="AK51" s="44" t="n">
        <f aca="false">IF(ISNUMBER(Rendimientos!D51),Rendimientos!A51,"")</f>
        <v>39</v>
      </c>
      <c r="AL51" s="122" t="n">
        <f aca="false">IF(AK51="","",Rendimientos!D51)</f>
        <v>47075.87</v>
      </c>
      <c r="AM51" s="44" t="n">
        <f aca="false">IF(AL51="","",LN(AL51))</f>
        <v>10.7595158345017</v>
      </c>
      <c r="AN51" s="44" t="n">
        <f aca="false">IF(AK51="",NA(),AK51)</f>
        <v>39</v>
      </c>
      <c r="AO51" s="122" t="n">
        <f aca="false">IF(AK51="",NA(),AL51)</f>
        <v>47075.87</v>
      </c>
      <c r="AQ51" s="55" t="n">
        <f aca="false">IF(ISNUMBER(Rendimientos!B51),Rendimientos!B51,NA())</f>
        <v>44752</v>
      </c>
      <c r="AR51" s="44" t="n">
        <f aca="false">IF(AND(ISNUMBER(Rendimientos!C51),ISNUMBER(Rendimientos!$C$13)),Rendimientos!C51/Rendimientos!$C$13*100,NA())</f>
        <v>91.32</v>
      </c>
      <c r="AS51" s="44" t="n">
        <f aca="false">IF(AND(ISNUMBER(Rendimientos!D51),ISNUMBER(Rendimientos!$D$13)),Rendimientos!D51/Rendimientos!$D$13*100,NA())</f>
        <v>90.7230265143383</v>
      </c>
    </row>
    <row r="52" customFormat="false" ht="13.8" hidden="false" customHeight="false" outlineLevel="0" collapsed="false">
      <c r="AE52" s="44" t="n">
        <f aca="false">IF(ISNUMBER(Rendimientos!C52),Rendimientos!A52,"")</f>
        <v>40</v>
      </c>
      <c r="AF52" s="122" t="n">
        <f aca="false">IF(AE52="","",Rendimientos!C52)</f>
        <v>23.6</v>
      </c>
      <c r="AG52" s="44" t="n">
        <f aca="false">IF(AF52="","",LN(AF52))</f>
        <v>3.16124671203156</v>
      </c>
      <c r="AH52" s="44" t="n">
        <f aca="false">IF(AE52="",NA(),AE52)</f>
        <v>40</v>
      </c>
      <c r="AI52" s="122" t="n">
        <f aca="false">IF(AE52="",NA(),AF52)</f>
        <v>23.6</v>
      </c>
      <c r="AK52" s="44" t="n">
        <f aca="false">IF(ISNUMBER(Rendimientos!D52),Rendimientos!A52,"")</f>
        <v>40</v>
      </c>
      <c r="AL52" s="122" t="n">
        <f aca="false">IF(AK52="","",Rendimientos!D52)</f>
        <v>47264.86</v>
      </c>
      <c r="AM52" s="44" t="n">
        <f aca="false">IF(AL52="","",LN(AL52))</f>
        <v>10.7635223808325</v>
      </c>
      <c r="AN52" s="44" t="n">
        <f aca="false">IF(AK52="",NA(),AK52)</f>
        <v>40</v>
      </c>
      <c r="AO52" s="122" t="n">
        <f aca="false">IF(AK52="",NA(),AL52)</f>
        <v>47264.86</v>
      </c>
      <c r="AQ52" s="55" t="n">
        <f aca="false">IF(ISNUMBER(Rendimientos!B52),Rendimientos!B52,NA())</f>
        <v>44759</v>
      </c>
      <c r="AR52" s="44" t="n">
        <f aca="false">IF(AND(ISNUMBER(Rendimientos!C52),ISNUMBER(Rendimientos!$C$13)),Rendimientos!C52/Rendimientos!$C$13*100,NA())</f>
        <v>94.4</v>
      </c>
      <c r="AS52" s="44" t="n">
        <f aca="false">IF(AND(ISNUMBER(Rendimientos!D52),ISNUMBER(Rendimientos!$D$13)),Rendimientos!D52/Rendimientos!$D$13*100,NA())</f>
        <v>91.0872416585501</v>
      </c>
    </row>
    <row r="53" customFormat="false" ht="13.8" hidden="false" customHeight="false" outlineLevel="0" collapsed="false">
      <c r="AE53" s="44" t="n">
        <f aca="false">IF(ISNUMBER(Rendimientos!C53),Rendimientos!A53,"")</f>
        <v>41</v>
      </c>
      <c r="AF53" s="122" t="n">
        <f aca="false">IF(AE53="","",Rendimientos!C53)</f>
        <v>22.64</v>
      </c>
      <c r="AG53" s="44" t="n">
        <f aca="false">IF(AF53="","",LN(AF53))</f>
        <v>3.11971825333498</v>
      </c>
      <c r="AH53" s="44" t="n">
        <f aca="false">IF(AE53="",NA(),AE53)</f>
        <v>41</v>
      </c>
      <c r="AI53" s="122" t="n">
        <f aca="false">IF(AE53="",NA(),AF53)</f>
        <v>22.64</v>
      </c>
      <c r="AK53" s="44" t="n">
        <f aca="false">IF(ISNUMBER(Rendimientos!D53),Rendimientos!A53,"")</f>
        <v>41</v>
      </c>
      <c r="AL53" s="122" t="n">
        <f aca="false">IF(AK53="","",Rendimientos!D53)</f>
        <v>48144.33</v>
      </c>
      <c r="AM53" s="44" t="n">
        <f aca="false">IF(AL53="","",LN(AL53))</f>
        <v>10.781958653283</v>
      </c>
      <c r="AN53" s="44" t="n">
        <f aca="false">IF(AK53="",NA(),AK53)</f>
        <v>41</v>
      </c>
      <c r="AO53" s="122" t="n">
        <f aca="false">IF(AK53="",NA(),AL53)</f>
        <v>48144.33</v>
      </c>
      <c r="AQ53" s="55" t="n">
        <f aca="false">IF(ISNUMBER(Rendimientos!B53),Rendimientos!B53,NA())</f>
        <v>44766</v>
      </c>
      <c r="AR53" s="44" t="n">
        <f aca="false">IF(AND(ISNUMBER(Rendimientos!C53),ISNUMBER(Rendimientos!$C$13)),Rendimientos!C53/Rendimientos!$C$13*100,NA())</f>
        <v>90.56</v>
      </c>
      <c r="AS53" s="44" t="n">
        <f aca="false">IF(AND(ISNUMBER(Rendimientos!D53),ISNUMBER(Rendimientos!$D$13)),Rendimientos!D53/Rendimientos!$D$13*100,NA())</f>
        <v>92.7821265354215</v>
      </c>
    </row>
    <row r="54" customFormat="false" ht="13.8" hidden="false" customHeight="false" outlineLevel="0" collapsed="false">
      <c r="AE54" s="44" t="n">
        <f aca="false">IF(ISNUMBER(Rendimientos!C54),Rendimientos!A54,"")</f>
        <v>42</v>
      </c>
      <c r="AF54" s="122" t="n">
        <f aca="false">IF(AE54="","",Rendimientos!C54)</f>
        <v>22.8</v>
      </c>
      <c r="AG54" s="44" t="n">
        <f aca="false">IF(AF54="","",LN(AF54))</f>
        <v>3.1267605359604</v>
      </c>
      <c r="AH54" s="44" t="n">
        <f aca="false">IF(AE54="",NA(),AE54)</f>
        <v>42</v>
      </c>
      <c r="AI54" s="122" t="n">
        <f aca="false">IF(AE54="",NA(),AF54)</f>
        <v>22.8</v>
      </c>
      <c r="AK54" s="44" t="n">
        <f aca="false">IF(ISNUMBER(Rendimientos!D54),Rendimientos!A54,"")</f>
        <v>42</v>
      </c>
      <c r="AL54" s="122" t="n">
        <f aca="false">IF(AK54="","",Rendimientos!D54)</f>
        <v>46723.43</v>
      </c>
      <c r="AM54" s="44" t="n">
        <f aca="false">IF(AL54="","",LN(AL54))</f>
        <v>10.7520010309032</v>
      </c>
      <c r="AN54" s="44" t="n">
        <f aca="false">IF(AK54="",NA(),AK54)</f>
        <v>42</v>
      </c>
      <c r="AO54" s="122" t="n">
        <f aca="false">IF(AK54="",NA(),AL54)</f>
        <v>46723.43</v>
      </c>
      <c r="AQ54" s="55" t="n">
        <f aca="false">IF(ISNUMBER(Rendimientos!B54),Rendimientos!B54,NA())</f>
        <v>44773</v>
      </c>
      <c r="AR54" s="44" t="n">
        <f aca="false">IF(AND(ISNUMBER(Rendimientos!C54),ISNUMBER(Rendimientos!$C$13)),Rendimientos!C54/Rendimientos!$C$13*100,NA())</f>
        <v>91.2</v>
      </c>
      <c r="AS54" s="44" t="n">
        <f aca="false">IF(AND(ISNUMBER(Rendimientos!D54),ISNUMBER(Rendimientos!$D$13)),Rendimientos!D54/Rendimientos!$D$13*100,NA())</f>
        <v>90.0438160512133</v>
      </c>
    </row>
    <row r="55" customFormat="false" ht="13.8" hidden="false" customHeight="false" outlineLevel="0" collapsed="false">
      <c r="AE55" s="44" t="n">
        <f aca="false">IF(ISNUMBER(Rendimientos!C55),Rendimientos!A55,"")</f>
        <v>43</v>
      </c>
      <c r="AF55" s="122" t="n">
        <f aca="false">IF(AE55="","",Rendimientos!C55)</f>
        <v>22.75</v>
      </c>
      <c r="AG55" s="44" t="n">
        <f aca="false">IF(AF55="","",LN(AF55))</f>
        <v>3.12456514539696</v>
      </c>
      <c r="AH55" s="44" t="n">
        <f aca="false">IF(AE55="",NA(),AE55)</f>
        <v>43</v>
      </c>
      <c r="AI55" s="122" t="n">
        <f aca="false">IF(AE55="",NA(),AF55)</f>
        <v>22.75</v>
      </c>
      <c r="AK55" s="44" t="n">
        <f aca="false">IF(ISNUMBER(Rendimientos!D55),Rendimientos!A55,"")</f>
        <v>43</v>
      </c>
      <c r="AL55" s="122" t="n">
        <f aca="false">IF(AK55="","",Rendimientos!D55)</f>
        <v>48853.37</v>
      </c>
      <c r="AM55" s="44" t="n">
        <f aca="false">IF(AL55="","",LN(AL55))</f>
        <v>10.7965786417854</v>
      </c>
      <c r="AN55" s="44" t="n">
        <f aca="false">IF(AK55="",NA(),AK55)</f>
        <v>43</v>
      </c>
      <c r="AO55" s="122" t="n">
        <f aca="false">IF(AK55="",NA(),AL55)</f>
        <v>48853.37</v>
      </c>
      <c r="AQ55" s="55" t="n">
        <f aca="false">IF(ISNUMBER(Rendimientos!B55),Rendimientos!B55,NA())</f>
        <v>44780</v>
      </c>
      <c r="AR55" s="44" t="n">
        <f aca="false">IF(AND(ISNUMBER(Rendimientos!C55),ISNUMBER(Rendimientos!$C$13)),Rendimientos!C55/Rendimientos!$C$13*100,NA())</f>
        <v>91</v>
      </c>
      <c r="AS55" s="44" t="n">
        <f aca="false">IF(AND(ISNUMBER(Rendimientos!D55),ISNUMBER(Rendimientos!$D$13)),Rendimientos!D55/Rendimientos!$D$13*100,NA())</f>
        <v>94.1485644731532</v>
      </c>
    </row>
    <row r="56" customFormat="false" ht="13.8" hidden="false" customHeight="false" outlineLevel="0" collapsed="false">
      <c r="AE56" s="44" t="n">
        <f aca="false">IF(ISNUMBER(Rendimientos!C56),Rendimientos!A56,"")</f>
        <v>44</v>
      </c>
      <c r="AF56" s="122" t="n">
        <f aca="false">IF(AE56="","",Rendimientos!C56)</f>
        <v>22.75</v>
      </c>
      <c r="AG56" s="44" t="n">
        <f aca="false">IF(AF56="","",LN(AF56))</f>
        <v>3.12456514539696</v>
      </c>
      <c r="AH56" s="44" t="n">
        <f aca="false">IF(AE56="",NA(),AE56)</f>
        <v>44</v>
      </c>
      <c r="AI56" s="122" t="n">
        <f aca="false">IF(AE56="",NA(),AF56)</f>
        <v>22.75</v>
      </c>
      <c r="AK56" s="44" t="n">
        <f aca="false">IF(ISNUMBER(Rendimientos!D56),Rendimientos!A56,"")</f>
        <v>44</v>
      </c>
      <c r="AL56" s="122" t="n">
        <f aca="false">IF(AK56="","",Rendimientos!D56)</f>
        <v>48463.26</v>
      </c>
      <c r="AM56" s="44" t="n">
        <f aca="false">IF(AL56="","",LN(AL56))</f>
        <v>10.7885612640847</v>
      </c>
      <c r="AN56" s="44" t="n">
        <f aca="false">IF(AK56="",NA(),AK56)</f>
        <v>44</v>
      </c>
      <c r="AO56" s="122" t="n">
        <f aca="false">IF(AK56="",NA(),AL56)</f>
        <v>48463.26</v>
      </c>
      <c r="AQ56" s="55" t="n">
        <f aca="false">IF(ISNUMBER(Rendimientos!B56),Rendimientos!B56,NA())</f>
        <v>44787</v>
      </c>
      <c r="AR56" s="44" t="n">
        <f aca="false">IF(AND(ISNUMBER(Rendimientos!C56),ISNUMBER(Rendimientos!$C$13)),Rendimientos!C56/Rendimientos!$C$13*100,NA())</f>
        <v>91</v>
      </c>
      <c r="AS56" s="44" t="n">
        <f aca="false">IF(AND(ISNUMBER(Rendimientos!D56),ISNUMBER(Rendimientos!$D$13)),Rendimientos!D56/Rendimientos!$D$13*100,NA())</f>
        <v>93.3967576584622</v>
      </c>
    </row>
    <row r="57" customFormat="false" ht="13.8" hidden="false" customHeight="false" outlineLevel="0" collapsed="false">
      <c r="AE57" s="44" t="n">
        <f aca="false">IF(ISNUMBER(Rendimientos!C57),Rendimientos!A57,"")</f>
        <v>45</v>
      </c>
      <c r="AF57" s="122" t="n">
        <f aca="false">IF(AE57="","",Rendimientos!C57)</f>
        <v>22.74</v>
      </c>
      <c r="AG57" s="44" t="n">
        <f aca="false">IF(AF57="","",LN(AF57))</f>
        <v>3.12412548832239</v>
      </c>
      <c r="AH57" s="44" t="n">
        <f aca="false">IF(AE57="",NA(),AE57)</f>
        <v>45</v>
      </c>
      <c r="AI57" s="122" t="n">
        <f aca="false">IF(AE57="",NA(),AF57)</f>
        <v>22.74</v>
      </c>
      <c r="AK57" s="44" t="n">
        <f aca="false">IF(ISNUMBER(Rendimientos!D57),Rendimientos!A57,"")</f>
        <v>45</v>
      </c>
      <c r="AL57" s="122" t="n">
        <f aca="false">IF(AK57="","",Rendimientos!D57)</f>
        <v>47272.11</v>
      </c>
      <c r="AM57" s="44" t="n">
        <f aca="false">IF(AL57="","",LN(AL57))</f>
        <v>10.7636757599817</v>
      </c>
      <c r="AN57" s="44" t="n">
        <f aca="false">IF(AK57="",NA(),AK57)</f>
        <v>45</v>
      </c>
      <c r="AO57" s="122" t="n">
        <f aca="false">IF(AK57="",NA(),AL57)</f>
        <v>47272.11</v>
      </c>
      <c r="AQ57" s="55" t="n">
        <f aca="false">IF(ISNUMBER(Rendimientos!B57),Rendimientos!B57,NA())</f>
        <v>44794</v>
      </c>
      <c r="AR57" s="44" t="n">
        <f aca="false">IF(AND(ISNUMBER(Rendimientos!C57),ISNUMBER(Rendimientos!$C$13)),Rendimientos!C57/Rendimientos!$C$13*100,NA())</f>
        <v>90.96</v>
      </c>
      <c r="AS57" s="44" t="n">
        <f aca="false">IF(AND(ISNUMBER(Rendimientos!D57),ISNUMBER(Rendimientos!$D$13)),Rendimientos!D57/Rendimientos!$D$13*100,NA())</f>
        <v>91.1012136136564</v>
      </c>
    </row>
    <row r="58" customFormat="false" ht="13.8" hidden="false" customHeight="false" outlineLevel="0" collapsed="false">
      <c r="AE58" s="44" t="n">
        <f aca="false">IF(ISNUMBER(Rendimientos!C58),Rendimientos!A58,"")</f>
        <v>46</v>
      </c>
      <c r="AF58" s="122" t="n">
        <f aca="false">IF(AE58="","",Rendimientos!C58)</f>
        <v>22.75</v>
      </c>
      <c r="AG58" s="44" t="n">
        <f aca="false">IF(AF58="","",LN(AF58))</f>
        <v>3.12456514539696</v>
      </c>
      <c r="AH58" s="44" t="n">
        <f aca="false">IF(AE58="",NA(),AE58)</f>
        <v>46</v>
      </c>
      <c r="AI58" s="122" t="n">
        <f aca="false">IF(AE58="",NA(),AF58)</f>
        <v>22.75</v>
      </c>
      <c r="AK58" s="44" t="n">
        <f aca="false">IF(ISNUMBER(Rendimientos!D58),Rendimientos!A58,"")</f>
        <v>46</v>
      </c>
      <c r="AL58" s="122" t="n">
        <f aca="false">IF(AK58="","",Rendimientos!D58)</f>
        <v>45888.63</v>
      </c>
      <c r="AM58" s="44" t="n">
        <f aca="false">IF(AL58="","",LN(AL58))</f>
        <v>10.7339726529445</v>
      </c>
      <c r="AN58" s="44" t="n">
        <f aca="false">IF(AK58="",NA(),AK58)</f>
        <v>46</v>
      </c>
      <c r="AO58" s="122" t="n">
        <f aca="false">IF(AK58="",NA(),AL58)</f>
        <v>45888.63</v>
      </c>
      <c r="AQ58" s="55" t="n">
        <f aca="false">IF(ISNUMBER(Rendimientos!B58),Rendimientos!B58,NA())</f>
        <v>44801</v>
      </c>
      <c r="AR58" s="44" t="n">
        <f aca="false">IF(AND(ISNUMBER(Rendimientos!C58),ISNUMBER(Rendimientos!$C$13)),Rendimientos!C58/Rendimientos!$C$13*100,NA())</f>
        <v>91</v>
      </c>
      <c r="AS58" s="44" t="n">
        <f aca="false">IF(AND(ISNUMBER(Rendimientos!D58),ISNUMBER(Rendimientos!$D$13)),Rendimientos!D58/Rendimientos!$D$13*100,NA())</f>
        <v>88.4350176894587</v>
      </c>
    </row>
    <row r="59" customFormat="false" ht="13.8" hidden="false" customHeight="false" outlineLevel="0" collapsed="false">
      <c r="AE59" s="44" t="n">
        <f aca="false">IF(ISNUMBER(Rendimientos!C59),Rendimientos!A59,"")</f>
        <v>47</v>
      </c>
      <c r="AF59" s="122" t="n">
        <f aca="false">IF(AE59="","",Rendimientos!C59)</f>
        <v>23.29</v>
      </c>
      <c r="AG59" s="44" t="n">
        <f aca="false">IF(AF59="","",LN(AF59))</f>
        <v>3.14802408389625</v>
      </c>
      <c r="AH59" s="44" t="n">
        <f aca="false">IF(AE59="",NA(),AE59)</f>
        <v>47</v>
      </c>
      <c r="AI59" s="122" t="n">
        <f aca="false">IF(AE59="",NA(),AF59)</f>
        <v>23.29</v>
      </c>
      <c r="AK59" s="44" t="n">
        <f aca="false">IF(ISNUMBER(Rendimientos!D59),Rendimientos!A59,"")</f>
        <v>47</v>
      </c>
      <c r="AL59" s="122" t="n">
        <f aca="false">IF(AK59="","",Rendimientos!D59)</f>
        <v>47042.94</v>
      </c>
      <c r="AM59" s="44" t="n">
        <f aca="false">IF(AL59="","",LN(AL59))</f>
        <v>10.7588160806195</v>
      </c>
      <c r="AN59" s="44" t="n">
        <f aca="false">IF(AK59="",NA(),AK59)</f>
        <v>47</v>
      </c>
      <c r="AO59" s="122" t="n">
        <f aca="false">IF(AK59="",NA(),AL59)</f>
        <v>47042.94</v>
      </c>
      <c r="AQ59" s="55" t="n">
        <f aca="false">IF(ISNUMBER(Rendimientos!B59),Rendimientos!B59,NA())</f>
        <v>44808</v>
      </c>
      <c r="AR59" s="44" t="n">
        <f aca="false">IF(AND(ISNUMBER(Rendimientos!C59),ISNUMBER(Rendimientos!$C$13)),Rendimientos!C59/Rendimientos!$C$13*100,NA())</f>
        <v>93.16</v>
      </c>
      <c r="AS59" s="44" t="n">
        <f aca="false">IF(AND(ISNUMBER(Rendimientos!D59),ISNUMBER(Rendimientos!$D$13)),Rendimientos!D59/Rendimientos!$D$13*100,NA())</f>
        <v>90.6595649306625</v>
      </c>
    </row>
    <row r="60" customFormat="false" ht="13.8" hidden="false" customHeight="false" outlineLevel="0" collapsed="false">
      <c r="AE60" s="44" t="n">
        <f aca="false">IF(ISNUMBER(Rendimientos!C60),Rendimientos!A60,"")</f>
        <v>48</v>
      </c>
      <c r="AF60" s="122" t="n">
        <f aca="false">IF(AE60="","",Rendimientos!C60)</f>
        <v>24.99</v>
      </c>
      <c r="AG60" s="44" t="n">
        <f aca="false">IF(AF60="","",LN(AF60))</f>
        <v>3.21847574484686</v>
      </c>
      <c r="AH60" s="44" t="n">
        <f aca="false">IF(AE60="",NA(),AE60)</f>
        <v>48</v>
      </c>
      <c r="AI60" s="122" t="n">
        <f aca="false">IF(AE60="",NA(),AF60)</f>
        <v>24.99</v>
      </c>
      <c r="AK60" s="44" t="n">
        <f aca="false">IF(ISNUMBER(Rendimientos!D60),Rendimientos!A60,"")</f>
        <v>48</v>
      </c>
      <c r="AL60" s="122" t="n">
        <f aca="false">IF(AK60="","",Rendimientos!D60)</f>
        <v>46769.78</v>
      </c>
      <c r="AM60" s="44" t="n">
        <f aca="false">IF(AL60="","",LN(AL60))</f>
        <v>10.7529925468389</v>
      </c>
      <c r="AN60" s="44" t="n">
        <f aca="false">IF(AK60="",NA(),AK60)</f>
        <v>48</v>
      </c>
      <c r="AO60" s="122" t="n">
        <f aca="false">IF(AK60="",NA(),AL60)</f>
        <v>46769.78</v>
      </c>
      <c r="AQ60" s="55" t="n">
        <f aca="false">IF(ISNUMBER(Rendimientos!B60),Rendimientos!B60,NA())</f>
        <v>44815</v>
      </c>
      <c r="AR60" s="44" t="n">
        <f aca="false">IF(AND(ISNUMBER(Rendimientos!C60),ISNUMBER(Rendimientos!$C$13)),Rendimientos!C60/Rendimientos!$C$13*100,NA())</f>
        <v>99.96</v>
      </c>
      <c r="AS60" s="44" t="n">
        <f aca="false">IF(AND(ISNUMBER(Rendimientos!D60),ISNUMBER(Rendimientos!$D$13)),Rendimientos!D60/Rendimientos!$D$13*100,NA())</f>
        <v>90.1331402055824</v>
      </c>
    </row>
    <row r="61" customFormat="false" ht="13.8" hidden="false" customHeight="false" outlineLevel="0" collapsed="false">
      <c r="AE61" s="44" t="n">
        <f aca="false">IF(ISNUMBER(Rendimientos!C61),Rendimientos!A61,"")</f>
        <v>49</v>
      </c>
      <c r="AF61" s="122" t="n">
        <f aca="false">IF(AE61="","",Rendimientos!C61)</f>
        <v>26.2</v>
      </c>
      <c r="AG61" s="44" t="n">
        <f aca="false">IF(AF61="","",LN(AF61))</f>
        <v>3.26575941076705</v>
      </c>
      <c r="AH61" s="44" t="n">
        <f aca="false">IF(AE61="",NA(),AE61)</f>
        <v>49</v>
      </c>
      <c r="AI61" s="122" t="n">
        <f aca="false">IF(AE61="",NA(),AF61)</f>
        <v>26.2</v>
      </c>
      <c r="AK61" s="44" t="n">
        <f aca="false">IF(ISNUMBER(Rendimientos!D61),Rendimientos!A61,"")</f>
        <v>49</v>
      </c>
      <c r="AL61" s="122" t="n">
        <f aca="false">IF(AK61="","",Rendimientos!D61)</f>
        <v>45395.94</v>
      </c>
      <c r="AM61" s="44" t="n">
        <f aca="false">IF(AL61="","",LN(AL61))</f>
        <v>10.7231779527178</v>
      </c>
      <c r="AN61" s="44" t="n">
        <f aca="false">IF(AK61="",NA(),AK61)</f>
        <v>49</v>
      </c>
      <c r="AO61" s="122" t="n">
        <f aca="false">IF(AK61="",NA(),AL61)</f>
        <v>45395.94</v>
      </c>
      <c r="AQ61" s="55" t="n">
        <f aca="false">IF(ISNUMBER(Rendimientos!B61),Rendimientos!B61,NA())</f>
        <v>44822</v>
      </c>
      <c r="AR61" s="44" t="n">
        <f aca="false">IF(AND(ISNUMBER(Rendimientos!C61),ISNUMBER(Rendimientos!$C$13)),Rendimientos!C61/Rendimientos!$C$13*100,NA())</f>
        <v>104.8</v>
      </c>
      <c r="AS61" s="44" t="n">
        <f aca="false">IF(AND(ISNUMBER(Rendimientos!D61),ISNUMBER(Rendimientos!$D$13)),Rendimientos!D61/Rendimientos!$D$13*100,NA())</f>
        <v>87.4855221637606</v>
      </c>
    </row>
    <row r="62" customFormat="false" ht="13.8" hidden="false" customHeight="false" outlineLevel="0" collapsed="false">
      <c r="AE62" s="44" t="n">
        <f aca="false">IF(ISNUMBER(Rendimientos!C62),Rendimientos!A62,"")</f>
        <v>50</v>
      </c>
      <c r="AF62" s="122" t="n">
        <f aca="false">IF(AE62="","",Rendimientos!C62)</f>
        <v>26.2</v>
      </c>
      <c r="AG62" s="44" t="n">
        <f aca="false">IF(AF62="","",LN(AF62))</f>
        <v>3.26575941076705</v>
      </c>
      <c r="AH62" s="44" t="n">
        <f aca="false">IF(AE62="",NA(),AE62)</f>
        <v>50</v>
      </c>
      <c r="AI62" s="122" t="n">
        <f aca="false">IF(AE62="",NA(),AF62)</f>
        <v>26.2</v>
      </c>
      <c r="AK62" s="44" t="n">
        <f aca="false">IF(ISNUMBER(Rendimientos!D62),Rendimientos!A62,"")</f>
        <v>50</v>
      </c>
      <c r="AL62" s="122" t="n">
        <f aca="false">IF(AK62="","",Rendimientos!D62)</f>
        <v>44626.8</v>
      </c>
      <c r="AM62" s="44" t="n">
        <f aca="false">IF(AL62="","",LN(AL62))</f>
        <v>10.7060898544029</v>
      </c>
      <c r="AN62" s="44" t="n">
        <f aca="false">IF(AK62="",NA(),AK62)</f>
        <v>50</v>
      </c>
      <c r="AO62" s="122" t="n">
        <f aca="false">IF(AK62="",NA(),AL62)</f>
        <v>44626.8</v>
      </c>
      <c r="AQ62" s="55" t="n">
        <f aca="false">IF(ISNUMBER(Rendimientos!B62),Rendimientos!B62,NA())</f>
        <v>44829</v>
      </c>
      <c r="AR62" s="44" t="n">
        <f aca="false">IF(AND(ISNUMBER(Rendimientos!C62),ISNUMBER(Rendimientos!$C$13)),Rendimientos!C62/Rendimientos!$C$13*100,NA())</f>
        <v>104.8</v>
      </c>
      <c r="AS62" s="44" t="n">
        <f aca="false">IF(AND(ISNUMBER(Rendimientos!D62),ISNUMBER(Rendimientos!$D$13)),Rendimientos!D62/Rendimientos!$D$13*100,NA())</f>
        <v>86.0032615361134</v>
      </c>
    </row>
    <row r="63" customFormat="false" ht="13.8" hidden="false" customHeight="false" outlineLevel="0" collapsed="false">
      <c r="AE63" s="44" t="n">
        <f aca="false">IF(ISNUMBER(Rendimientos!C63),Rendimientos!A63,"")</f>
        <v>51</v>
      </c>
      <c r="AF63" s="122" t="n">
        <f aca="false">IF(AE63="","",Rendimientos!C63)</f>
        <v>26.43</v>
      </c>
      <c r="AG63" s="44" t="n">
        <f aca="false">IF(AF63="","",LN(AF63))</f>
        <v>3.2744997286162</v>
      </c>
      <c r="AH63" s="44" t="n">
        <f aca="false">IF(AE63="",NA(),AE63)</f>
        <v>51</v>
      </c>
      <c r="AI63" s="122" t="n">
        <f aca="false">IF(AE63="",NA(),AF63)</f>
        <v>26.43</v>
      </c>
      <c r="AK63" s="44" t="n">
        <f aca="false">IF(ISNUMBER(Rendimientos!D63),Rendimientos!A63,"")</f>
        <v>51</v>
      </c>
      <c r="AL63" s="122" t="n">
        <f aca="false">IF(AK63="","",Rendimientos!D63)</f>
        <v>45728.87</v>
      </c>
      <c r="AM63" s="44" t="n">
        <f aca="false">IF(AL63="","",LN(AL63))</f>
        <v>10.7304851060909</v>
      </c>
      <c r="AN63" s="44" t="n">
        <f aca="false">IF(AK63="",NA(),AK63)</f>
        <v>51</v>
      </c>
      <c r="AO63" s="122" t="n">
        <f aca="false">IF(AK63="",NA(),AL63)</f>
        <v>45728.87</v>
      </c>
      <c r="AQ63" s="55" t="n">
        <f aca="false">IF(ISNUMBER(Rendimientos!B63),Rendimientos!B63,NA())</f>
        <v>44836</v>
      </c>
      <c r="AR63" s="44" t="n">
        <f aca="false">IF(AND(ISNUMBER(Rendimientos!C63),ISNUMBER(Rendimientos!$C$13)),Rendimientos!C63/Rendimientos!$C$13*100,NA())</f>
        <v>105.72</v>
      </c>
      <c r="AS63" s="44" t="n">
        <f aca="false">IF(AND(ISNUMBER(Rendimientos!D63),ISNUMBER(Rendimientos!$D$13)),Rendimientos!D63/Rendimientos!$D$13*100,NA())</f>
        <v>88.127133613903</v>
      </c>
    </row>
    <row r="64" customFormat="false" ht="13.8" hidden="false" customHeight="false" outlineLevel="0" collapsed="false">
      <c r="AE64" s="44" t="n">
        <f aca="false">IF(ISNUMBER(Rendimientos!C64),Rendimientos!A64,"")</f>
        <v>52</v>
      </c>
      <c r="AF64" s="122" t="n">
        <f aca="false">IF(AE64="","",Rendimientos!C64)</f>
        <v>26.5</v>
      </c>
      <c r="AG64" s="44" t="n">
        <f aca="false">IF(AF64="","",LN(AF64))</f>
        <v>3.27714473299218</v>
      </c>
      <c r="AH64" s="44" t="n">
        <f aca="false">IF(AE64="",NA(),AE64)</f>
        <v>52</v>
      </c>
      <c r="AI64" s="122" t="n">
        <f aca="false">IF(AE64="",NA(),AF64)</f>
        <v>26.5</v>
      </c>
      <c r="AK64" s="44" t="n">
        <f aca="false">IF(ISNUMBER(Rendimientos!D64),Rendimientos!A64,"")</f>
        <v>52</v>
      </c>
      <c r="AL64" s="122" t="n">
        <f aca="false">IF(AK64="","",Rendimientos!D64)</f>
        <v>45443.35</v>
      </c>
      <c r="AM64" s="44" t="n">
        <f aca="false">IF(AL64="","",LN(AL64))</f>
        <v>10.7242217742691</v>
      </c>
      <c r="AN64" s="44" t="n">
        <f aca="false">IF(AK64="",NA(),AK64)</f>
        <v>52</v>
      </c>
      <c r="AO64" s="122" t="n">
        <f aca="false">IF(AK64="",NA(),AL64)</f>
        <v>45443.35</v>
      </c>
      <c r="AQ64" s="55" t="n">
        <f aca="false">IF(ISNUMBER(Rendimientos!B64),Rendimientos!B64,NA())</f>
        <v>44843</v>
      </c>
      <c r="AR64" s="44" t="n">
        <f aca="false">IF(AND(ISNUMBER(Rendimientos!C64),ISNUMBER(Rendimientos!$C$13)),Rendimientos!C64/Rendimientos!$C$13*100,NA())</f>
        <v>106</v>
      </c>
      <c r="AS64" s="44" t="n">
        <f aca="false">IF(AND(ISNUMBER(Rendimientos!D64),ISNUMBER(Rendimientos!$D$13)),Rendimientos!D64/Rendimientos!$D$13*100,NA())</f>
        <v>87.5768891143245</v>
      </c>
    </row>
    <row r="65" customFormat="false" ht="13.8" hidden="false" customHeight="false" outlineLevel="0" collapsed="false">
      <c r="AE65" s="44" t="n">
        <f aca="false">IF(ISNUMBER(Rendimientos!C65),Rendimientos!A65,"")</f>
        <v>53</v>
      </c>
      <c r="AF65" s="122" t="n">
        <f aca="false">IF(AE65="","",Rendimientos!C65)</f>
        <v>27.7</v>
      </c>
      <c r="AG65" s="44" t="n">
        <f aca="false">IF(AF65="","",LN(AF65))</f>
        <v>3.32143241319329</v>
      </c>
      <c r="AH65" s="44" t="n">
        <f aca="false">IF(AE65="",NA(),AE65)</f>
        <v>53</v>
      </c>
      <c r="AI65" s="122" t="n">
        <f aca="false">IF(AE65="",NA(),AF65)</f>
        <v>27.7</v>
      </c>
      <c r="AK65" s="44" t="n">
        <f aca="false">IF(ISNUMBER(Rendimientos!D65),Rendimientos!A65,"")</f>
        <v>53</v>
      </c>
      <c r="AL65" s="122" t="n">
        <f aca="false">IF(AK65="","",Rendimientos!D65)</f>
        <v>47120.08</v>
      </c>
      <c r="AM65" s="44" t="n">
        <f aca="false">IF(AL65="","",LN(AL65))</f>
        <v>10.7604545161169</v>
      </c>
      <c r="AN65" s="44" t="n">
        <f aca="false">IF(AK65="",NA(),AK65)</f>
        <v>53</v>
      </c>
      <c r="AO65" s="122" t="n">
        <f aca="false">IF(AK65="",NA(),AL65)</f>
        <v>47120.08</v>
      </c>
      <c r="AQ65" s="55" t="n">
        <f aca="false">IF(ISNUMBER(Rendimientos!B65),Rendimientos!B65,NA())</f>
        <v>44850</v>
      </c>
      <c r="AR65" s="44" t="n">
        <f aca="false">IF(AND(ISNUMBER(Rendimientos!C65),ISNUMBER(Rendimientos!$C$13)),Rendimientos!C65/Rendimientos!$C$13*100,NA())</f>
        <v>110.8</v>
      </c>
      <c r="AS65" s="44" t="n">
        <f aca="false">IF(AND(ISNUMBER(Rendimientos!D65),ISNUMBER(Rendimientos!$D$13)),Rendimientos!D65/Rendimientos!$D$13*100,NA())</f>
        <v>90.8082265329933</v>
      </c>
    </row>
    <row r="66" customFormat="false" ht="13.8" hidden="false" customHeight="false" outlineLevel="0" collapsed="false">
      <c r="AE66" s="44" t="n">
        <f aca="false">IF(ISNUMBER(Rendimientos!C66),Rendimientos!A66,"")</f>
        <v>54</v>
      </c>
      <c r="AF66" s="122" t="n">
        <f aca="false">IF(AE66="","",Rendimientos!C66)</f>
        <v>30.43</v>
      </c>
      <c r="AG66" s="44" t="n">
        <f aca="false">IF(AF66="","",LN(AF66))</f>
        <v>3.41542896390888</v>
      </c>
      <c r="AH66" s="44" t="n">
        <f aca="false">IF(AE66="",NA(),AE66)</f>
        <v>54</v>
      </c>
      <c r="AI66" s="122" t="n">
        <f aca="false">IF(AE66="",NA(),AF66)</f>
        <v>30.43</v>
      </c>
      <c r="AK66" s="44" t="n">
        <f aca="false">IF(ISNUMBER(Rendimientos!D66),Rendimientos!A66,"")</f>
        <v>54</v>
      </c>
      <c r="AL66" s="122" t="n">
        <f aca="false">IF(AK66="","",Rendimientos!D66)</f>
        <v>49086.3</v>
      </c>
      <c r="AM66" s="44" t="n">
        <f aca="false">IF(AL66="","",LN(AL66))</f>
        <v>10.8013352524454</v>
      </c>
      <c r="AN66" s="44" t="n">
        <f aca="false">IF(AK66="",NA(),AK66)</f>
        <v>54</v>
      </c>
      <c r="AO66" s="122" t="n">
        <f aca="false">IF(AK66="",NA(),AL66)</f>
        <v>49086.3</v>
      </c>
      <c r="AQ66" s="55" t="n">
        <f aca="false">IF(ISNUMBER(Rendimientos!B66),Rendimientos!B66,NA())</f>
        <v>44857</v>
      </c>
      <c r="AR66" s="44" t="n">
        <f aca="false">IF(AND(ISNUMBER(Rendimientos!C66),ISNUMBER(Rendimientos!$C$13)),Rendimientos!C66/Rendimientos!$C$13*100,NA())</f>
        <v>121.72</v>
      </c>
      <c r="AS66" s="44" t="n">
        <f aca="false">IF(AND(ISNUMBER(Rendimientos!D66),ISNUMBER(Rendimientos!$D$13)),Rendimientos!D66/Rendimientos!$D$13*100,NA())</f>
        <v>94.5974593011402</v>
      </c>
    </row>
    <row r="67" customFormat="false" ht="13.8" hidden="false" customHeight="false" outlineLevel="0" collapsed="false">
      <c r="AE67" s="44" t="n">
        <f aca="false">IF(ISNUMBER(Rendimientos!C67),Rendimientos!A67,"")</f>
        <v>55</v>
      </c>
      <c r="AF67" s="122" t="n">
        <f aca="false">IF(AE67="","",Rendimientos!C67)</f>
        <v>30.04</v>
      </c>
      <c r="AG67" s="44" t="n">
        <f aca="false">IF(AF67="","",LN(AF67))</f>
        <v>3.40252982689593</v>
      </c>
      <c r="AH67" s="44" t="n">
        <f aca="false">IF(AE67="",NA(),AE67)</f>
        <v>55</v>
      </c>
      <c r="AI67" s="122" t="n">
        <f aca="false">IF(AE67="",NA(),AF67)</f>
        <v>30.04</v>
      </c>
      <c r="AK67" s="44" t="n">
        <f aca="false">IF(ISNUMBER(Rendimientos!D67),Rendimientos!A67,"")</f>
        <v>55</v>
      </c>
      <c r="AL67" s="122" t="n">
        <f aca="false">IF(AK67="","",Rendimientos!D67)</f>
        <v>51173.75</v>
      </c>
      <c r="AM67" s="44" t="n">
        <f aca="false">IF(AL67="","",LN(AL67))</f>
        <v>10.8429819842419</v>
      </c>
      <c r="AN67" s="44" t="n">
        <f aca="false">IF(AK67="",NA(),AK67)</f>
        <v>55</v>
      </c>
      <c r="AO67" s="122" t="n">
        <f aca="false">IF(AK67="",NA(),AL67)</f>
        <v>51173.75</v>
      </c>
      <c r="AQ67" s="55" t="n">
        <f aca="false">IF(ISNUMBER(Rendimientos!B67),Rendimientos!B67,NA())</f>
        <v>44864</v>
      </c>
      <c r="AR67" s="44" t="n">
        <f aca="false">IF(AND(ISNUMBER(Rendimientos!C67),ISNUMBER(Rendimientos!$C$13)),Rendimientos!C67/Rendimientos!$C$13*100,NA())</f>
        <v>120.16</v>
      </c>
      <c r="AS67" s="44" t="n">
        <f aca="false">IF(AND(ISNUMBER(Rendimientos!D67),ISNUMBER(Rendimientos!$D$13)),Rendimientos!D67/Rendimientos!$D$13*100,NA())</f>
        <v>98.6203224303262</v>
      </c>
    </row>
    <row r="68" customFormat="false" ht="13.8" hidden="false" customHeight="false" outlineLevel="0" collapsed="false">
      <c r="AE68" s="44" t="n">
        <f aca="false">IF(ISNUMBER(Rendimientos!C68),Rendimientos!A68,"")</f>
        <v>56</v>
      </c>
      <c r="AF68" s="122" t="n">
        <f aca="false">IF(AE68="","",Rendimientos!C68)</f>
        <v>29.95</v>
      </c>
      <c r="AG68" s="44" t="n">
        <f aca="false">IF(AF68="","",LN(AF68))</f>
        <v>3.39952932456146</v>
      </c>
      <c r="AH68" s="44" t="n">
        <f aca="false">IF(AE68="",NA(),AE68)</f>
        <v>56</v>
      </c>
      <c r="AI68" s="122" t="n">
        <f aca="false">IF(AE68="",NA(),AF68)</f>
        <v>29.95</v>
      </c>
      <c r="AK68" s="44" t="n">
        <f aca="false">IF(ISNUMBER(Rendimientos!D68),Rendimientos!A68,"")</f>
        <v>56</v>
      </c>
      <c r="AL68" s="122" t="n">
        <f aca="false">IF(AK68="","",Rendimientos!D68)</f>
        <v>51959.2</v>
      </c>
      <c r="AM68" s="44" t="n">
        <f aca="false">IF(AL68="","",LN(AL68))</f>
        <v>10.8582140742072</v>
      </c>
      <c r="AN68" s="44" t="n">
        <f aca="false">IF(AK68="",NA(),AK68)</f>
        <v>56</v>
      </c>
      <c r="AO68" s="122" t="n">
        <f aca="false">IF(AK68="",NA(),AL68)</f>
        <v>51959.2</v>
      </c>
      <c r="AQ68" s="55" t="n">
        <f aca="false">IF(ISNUMBER(Rendimientos!B68),Rendimientos!B68,NA())</f>
        <v>44871</v>
      </c>
      <c r="AR68" s="44" t="n">
        <f aca="false">IF(AND(ISNUMBER(Rendimientos!C68),ISNUMBER(Rendimientos!$C$13)),Rendimientos!C68/Rendimientos!$C$13*100,NA())</f>
        <v>119.8</v>
      </c>
      <c r="AS68" s="44" t="n">
        <f aca="false">IF(AND(ISNUMBER(Rendimientos!D68),ISNUMBER(Rendimientos!$D$13)),Rendimientos!D68/Rendimientos!$D$13*100,NA())</f>
        <v>100.134015139047</v>
      </c>
    </row>
    <row r="69" customFormat="false" ht="13.8" hidden="false" customHeight="false" outlineLevel="0" collapsed="false">
      <c r="AE69" s="44" t="n">
        <f aca="false">IF(ISNUMBER(Rendimientos!C69),Rendimientos!A69,"")</f>
        <v>57</v>
      </c>
      <c r="AF69" s="122" t="n">
        <f aca="false">IF(AE69="","",Rendimientos!C69)</f>
        <v>30.2</v>
      </c>
      <c r="AG69" s="44" t="n">
        <f aca="false">IF(AF69="","",LN(AF69))</f>
        <v>3.40784192438082</v>
      </c>
      <c r="AH69" s="44" t="n">
        <f aca="false">IF(AE69="",NA(),AE69)</f>
        <v>57</v>
      </c>
      <c r="AI69" s="122" t="n">
        <f aca="false">IF(AE69="",NA(),AF69)</f>
        <v>30.2</v>
      </c>
      <c r="AK69" s="44" t="n">
        <f aca="false">IF(ISNUMBER(Rendimientos!D69),Rendimientos!A69,"")</f>
        <v>57</v>
      </c>
      <c r="AL69" s="122" t="n">
        <f aca="false">IF(AK69="","",Rendimientos!D69)</f>
        <v>51569.72</v>
      </c>
      <c r="AM69" s="44" t="n">
        <f aca="false">IF(AL69="","",LN(AL69))</f>
        <v>10.850689957517</v>
      </c>
      <c r="AN69" s="44" t="n">
        <f aca="false">IF(AK69="",NA(),AK69)</f>
        <v>57</v>
      </c>
      <c r="AO69" s="122" t="n">
        <f aca="false">IF(AK69="",NA(),AL69)</f>
        <v>51569.72</v>
      </c>
      <c r="AQ69" s="55" t="n">
        <f aca="false">IF(ISNUMBER(Rendimientos!B69),Rendimientos!B69,NA())</f>
        <v>44878</v>
      </c>
      <c r="AR69" s="44" t="n">
        <f aca="false">IF(AND(ISNUMBER(Rendimientos!C69),ISNUMBER(Rendimientos!$C$13)),Rendimientos!C69/Rendimientos!$C$13*100,NA())</f>
        <v>120.8</v>
      </c>
      <c r="AS69" s="44" t="n">
        <f aca="false">IF(AND(ISNUMBER(Rendimientos!D69),ISNUMBER(Rendimientos!$D$13)),Rendimientos!D69/Rendimientos!$D$13*100,NA())</f>
        <v>99.3834224390755</v>
      </c>
    </row>
    <row r="70" customFormat="false" ht="13.8" hidden="false" customHeight="false" outlineLevel="0" collapsed="false">
      <c r="AE70" s="44" t="n">
        <f aca="false">IF(ISNUMBER(Rendimientos!C70),Rendimientos!A70,"")</f>
        <v>58</v>
      </c>
      <c r="AF70" s="122" t="n">
        <f aca="false">IF(AE70="","",Rendimientos!C70)</f>
        <v>30.45</v>
      </c>
      <c r="AG70" s="44" t="n">
        <f aca="false">IF(AF70="","",LN(AF70))</f>
        <v>3.41608599415591</v>
      </c>
      <c r="AH70" s="44" t="n">
        <f aca="false">IF(AE70="",NA(),AE70)</f>
        <v>58</v>
      </c>
      <c r="AI70" s="122" t="n">
        <f aca="false">IF(AE70="",NA(),AF70)</f>
        <v>30.45</v>
      </c>
      <c r="AK70" s="44" t="n">
        <f aca="false">IF(ISNUMBER(Rendimientos!D70),Rendimientos!A70,"")</f>
        <v>58</v>
      </c>
      <c r="AL70" s="122" t="n">
        <f aca="false">IF(AK70="","",Rendimientos!D70)</f>
        <v>51668.64</v>
      </c>
      <c r="AM70" s="44" t="n">
        <f aca="false">IF(AL70="","",LN(AL70))</f>
        <v>10.8526063000523</v>
      </c>
      <c r="AN70" s="44" t="n">
        <f aca="false">IF(AK70="",NA(),AK70)</f>
        <v>58</v>
      </c>
      <c r="AO70" s="122" t="n">
        <f aca="false">IF(AK70="",NA(),AL70)</f>
        <v>51668.64</v>
      </c>
      <c r="AQ70" s="55" t="n">
        <f aca="false">IF(ISNUMBER(Rendimientos!B70),Rendimientos!B70,NA())</f>
        <v>44885</v>
      </c>
      <c r="AR70" s="44" t="n">
        <f aca="false">IF(AND(ISNUMBER(Rendimientos!C70),ISNUMBER(Rendimientos!$C$13)),Rendimientos!C70/Rendimientos!$C$13*100,NA())</f>
        <v>121.8</v>
      </c>
      <c r="AS70" s="44" t="n">
        <f aca="false">IF(AND(ISNUMBER(Rendimientos!D70),ISNUMBER(Rendimientos!$D$13)),Rendimientos!D70/Rendimientos!$D$13*100,NA())</f>
        <v>99.5740577217118</v>
      </c>
    </row>
    <row r="71" customFormat="false" ht="13.8" hidden="false" customHeight="false" outlineLevel="0" collapsed="false">
      <c r="AE71" s="44" t="n">
        <f aca="false">IF(ISNUMBER(Rendimientos!C71),Rendimientos!A71,"")</f>
        <v>59</v>
      </c>
      <c r="AF71" s="122" t="n">
        <f aca="false">IF(AE71="","",Rendimientos!C71)</f>
        <v>28.56</v>
      </c>
      <c r="AG71" s="44" t="n">
        <f aca="false">IF(AF71="","",LN(AF71))</f>
        <v>3.35200713747138</v>
      </c>
      <c r="AH71" s="44" t="n">
        <f aca="false">IF(AE71="",NA(),AE71)</f>
        <v>59</v>
      </c>
      <c r="AI71" s="122" t="n">
        <f aca="false">IF(AE71="",NA(),AF71)</f>
        <v>28.56</v>
      </c>
      <c r="AK71" s="44" t="n">
        <f aca="false">IF(ISNUMBER(Rendimientos!D71),Rendimientos!A71,"")</f>
        <v>59</v>
      </c>
      <c r="AL71" s="122" t="n">
        <f aca="false">IF(AK71="","",Rendimientos!D71)</f>
        <v>51234.37</v>
      </c>
      <c r="AM71" s="44" t="n">
        <f aca="false">IF(AL71="","",LN(AL71))</f>
        <v>10.8441658748764</v>
      </c>
      <c r="AN71" s="44" t="n">
        <f aca="false">IF(AK71="",NA(),AK71)</f>
        <v>59</v>
      </c>
      <c r="AO71" s="122" t="n">
        <f aca="false">IF(AK71="",NA(),AL71)</f>
        <v>51234.37</v>
      </c>
      <c r="AQ71" s="55" t="n">
        <f aca="false">IF(ISNUMBER(Rendimientos!B71),Rendimientos!B71,NA())</f>
        <v>44892</v>
      </c>
      <c r="AR71" s="44" t="n">
        <f aca="false">IF(AND(ISNUMBER(Rendimientos!C71),ISNUMBER(Rendimientos!$C$13)),Rendimientos!C71/Rendimientos!$C$13*100,NA())</f>
        <v>114.24</v>
      </c>
      <c r="AS71" s="44" t="n">
        <f aca="false">IF(AND(ISNUMBER(Rendimientos!D71),ISNUMBER(Rendimientos!$D$13)),Rendimientos!D71/Rendimientos!$D$13*100,NA())</f>
        <v>98.7371472466769</v>
      </c>
    </row>
    <row r="72" customFormat="false" ht="13.8" hidden="false" customHeight="false" outlineLevel="0" collapsed="false">
      <c r="AE72" s="44" t="n">
        <f aca="false">IF(ISNUMBER(Rendimientos!C72),Rendimientos!A72,"")</f>
        <v>60</v>
      </c>
      <c r="AF72" s="122" t="n">
        <f aca="false">IF(AE72="","",Rendimientos!C72)</f>
        <v>30.43</v>
      </c>
      <c r="AG72" s="44" t="n">
        <f aca="false">IF(AF72="","",LN(AF72))</f>
        <v>3.41542896390888</v>
      </c>
      <c r="AH72" s="44" t="n">
        <f aca="false">IF(AE72="",NA(),AE72)</f>
        <v>60</v>
      </c>
      <c r="AI72" s="122" t="n">
        <f aca="false">IF(AE72="",NA(),AF72)</f>
        <v>30.43</v>
      </c>
      <c r="AK72" s="44" t="n">
        <f aca="false">IF(ISNUMBER(Rendimientos!D72),Rendimientos!A72,"")</f>
        <v>60</v>
      </c>
      <c r="AL72" s="122" t="n">
        <f aca="false">IF(AK72="","",Rendimientos!D72)</f>
        <v>50466.25</v>
      </c>
      <c r="AM72" s="44" t="n">
        <f aca="false">IF(AL72="","",LN(AL72))</f>
        <v>10.8290600750085</v>
      </c>
      <c r="AN72" s="44" t="n">
        <f aca="false">IF(AK72="",NA(),AK72)</f>
        <v>60</v>
      </c>
      <c r="AO72" s="122" t="n">
        <f aca="false">IF(AK72="",NA(),AL72)</f>
        <v>50466.25</v>
      </c>
      <c r="AQ72" s="55" t="n">
        <f aca="false">IF(ISNUMBER(Rendimientos!B72),Rendimientos!B72,NA())</f>
        <v>44899</v>
      </c>
      <c r="AR72" s="44" t="n">
        <f aca="false">IF(AND(ISNUMBER(Rendimientos!C72),ISNUMBER(Rendimientos!$C$13)),Rendimientos!C72/Rendimientos!$C$13*100,NA())</f>
        <v>121.72</v>
      </c>
      <c r="AS72" s="44" t="n">
        <f aca="false">IF(AND(ISNUMBER(Rendimientos!D72),ISNUMBER(Rendimientos!$D$13)),Rendimientos!D72/Rendimientos!$D$13*100,NA())</f>
        <v>97.2568523285757</v>
      </c>
    </row>
    <row r="73" customFormat="false" ht="13.8" hidden="false" customHeight="false" outlineLevel="0" collapsed="false">
      <c r="AE73" s="44" t="n">
        <f aca="false">IF(ISNUMBER(Rendimientos!C73),Rendimientos!A73,"")</f>
        <v>61</v>
      </c>
      <c r="AF73" s="122" t="n">
        <f aca="false">IF(AE73="","",Rendimientos!C73)</f>
        <v>30.63</v>
      </c>
      <c r="AG73" s="44" t="n">
        <f aca="false">IF(AF73="","",LN(AF73))</f>
        <v>3.42197992084468</v>
      </c>
      <c r="AH73" s="44" t="n">
        <f aca="false">IF(AE73="",NA(),AE73)</f>
        <v>61</v>
      </c>
      <c r="AI73" s="122" t="n">
        <f aca="false">IF(AE73="",NA(),AF73)</f>
        <v>30.63</v>
      </c>
      <c r="AK73" s="44" t="n">
        <f aca="false">IF(ISNUMBER(Rendimientos!D73),Rendimientos!A73,"")</f>
        <v>61</v>
      </c>
      <c r="AL73" s="122" t="n">
        <f aca="false">IF(AK73="","",Rendimientos!D73)</f>
        <v>49630.15</v>
      </c>
      <c r="AM73" s="44" t="n">
        <f aca="false">IF(AL73="","",LN(AL73))</f>
        <v>10.8123537909424</v>
      </c>
      <c r="AN73" s="44" t="n">
        <f aca="false">IF(AK73="",NA(),AK73)</f>
        <v>61</v>
      </c>
      <c r="AO73" s="122" t="n">
        <f aca="false">IF(AK73="",NA(),AL73)</f>
        <v>49630.15</v>
      </c>
      <c r="AQ73" s="55" t="n">
        <f aca="false">IF(ISNUMBER(Rendimientos!B73),Rendimientos!B73,NA())</f>
        <v>44906</v>
      </c>
      <c r="AR73" s="44" t="n">
        <f aca="false">IF(AND(ISNUMBER(Rendimientos!C73),ISNUMBER(Rendimientos!$C$13)),Rendimientos!C73/Rendimientos!$C$13*100,NA())</f>
        <v>122.52</v>
      </c>
      <c r="AS73" s="44" t="n">
        <f aca="false">IF(AND(ISNUMBER(Rendimientos!D73),ISNUMBER(Rendimientos!$D$13)),Rendimientos!D73/Rendimientos!$D$13*100,NA())</f>
        <v>95.6455486507331</v>
      </c>
    </row>
    <row r="74" customFormat="false" ht="13.8" hidden="false" customHeight="false" outlineLevel="0" collapsed="false">
      <c r="AE74" s="44" t="n">
        <f aca="false">IF(ISNUMBER(Rendimientos!C74),Rendimientos!A74,"")</f>
        <v>62</v>
      </c>
      <c r="AF74" s="122" t="n">
        <f aca="false">IF(AE74="","",Rendimientos!C74)</f>
        <v>30.83</v>
      </c>
      <c r="AG74" s="44" t="n">
        <f aca="false">IF(AF74="","",LN(AF74))</f>
        <v>3.42848824189806</v>
      </c>
      <c r="AH74" s="44" t="n">
        <f aca="false">IF(AE74="",NA(),AE74)</f>
        <v>62</v>
      </c>
      <c r="AI74" s="122" t="n">
        <f aca="false">IF(AE74="",NA(),AF74)</f>
        <v>30.83</v>
      </c>
      <c r="AK74" s="44" t="n">
        <f aca="false">IF(ISNUMBER(Rendimientos!D74),Rendimientos!A74,"")</f>
        <v>62</v>
      </c>
      <c r="AL74" s="122" t="n">
        <f aca="false">IF(AK74="","",Rendimientos!D74)</f>
        <v>50578.09</v>
      </c>
      <c r="AM74" s="44" t="n">
        <f aca="false">IF(AL74="","",LN(AL74))</f>
        <v>10.8312737575497</v>
      </c>
      <c r="AN74" s="44" t="n">
        <f aca="false">IF(AK74="",NA(),AK74)</f>
        <v>62</v>
      </c>
      <c r="AO74" s="122" t="n">
        <f aca="false">IF(AK74="",NA(),AL74)</f>
        <v>50578.09</v>
      </c>
      <c r="AQ74" s="55" t="n">
        <f aca="false">IF(ISNUMBER(Rendimientos!B74),Rendimientos!B74,NA())</f>
        <v>44913</v>
      </c>
      <c r="AR74" s="44" t="n">
        <f aca="false">IF(AND(ISNUMBER(Rendimientos!C74),ISNUMBER(Rendimientos!$C$13)),Rendimientos!C74/Rendimientos!$C$13*100,NA())</f>
        <v>123.32</v>
      </c>
      <c r="AS74" s="44" t="n">
        <f aca="false">IF(AND(ISNUMBER(Rendimientos!D74),ISNUMBER(Rendimientos!$D$13)),Rendimientos!D74/Rendimientos!$D$13*100,NA())</f>
        <v>97.4723865987944</v>
      </c>
    </row>
    <row r="75" customFormat="false" ht="13.8" hidden="false" customHeight="false" outlineLevel="0" collapsed="false">
      <c r="AE75" s="44" t="n">
        <f aca="false">IF(ISNUMBER(Rendimientos!C75),Rendimientos!A75,"")</f>
        <v>63</v>
      </c>
      <c r="AF75" s="122" t="n">
        <f aca="false">IF(AE75="","",Rendimientos!C75)</f>
        <v>31.28</v>
      </c>
      <c r="AG75" s="44" t="n">
        <f aca="false">IF(AF75="","",LN(AF75))</f>
        <v>3.44297891567711</v>
      </c>
      <c r="AH75" s="44" t="n">
        <f aca="false">IF(AE75="",NA(),AE75)</f>
        <v>63</v>
      </c>
      <c r="AI75" s="122" t="n">
        <f aca="false">IF(AE75="",NA(),AF75)</f>
        <v>31.28</v>
      </c>
      <c r="AK75" s="44" t="n">
        <f aca="false">IF(ISNUMBER(Rendimientos!D75),Rendimientos!A75,"")</f>
        <v>63</v>
      </c>
      <c r="AL75" s="122" t="n">
        <f aca="false">IF(AK75="","",Rendimientos!D75)</f>
        <v>48463.86</v>
      </c>
      <c r="AM75" s="44" t="n">
        <f aca="false">IF(AL75="","",LN(AL75))</f>
        <v>10.7885736445207</v>
      </c>
      <c r="AN75" s="44" t="n">
        <f aca="false">IF(AK75="",NA(),AK75)</f>
        <v>63</v>
      </c>
      <c r="AO75" s="122" t="n">
        <f aca="false">IF(AK75="",NA(),AL75)</f>
        <v>48463.86</v>
      </c>
      <c r="AQ75" s="55" t="n">
        <f aca="false">IF(ISNUMBER(Rendimientos!B75),Rendimientos!B75,NA())</f>
        <v>44920</v>
      </c>
      <c r="AR75" s="44" t="n">
        <f aca="false">IF(AND(ISNUMBER(Rendimientos!C75),ISNUMBER(Rendimientos!$C$13)),Rendimientos!C75/Rendimientos!$C$13*100,NA())</f>
        <v>125.12</v>
      </c>
      <c r="AS75" s="44" t="n">
        <f aca="false">IF(AND(ISNUMBER(Rendimientos!D75),ISNUMBER(Rendimientos!$D$13)),Rendimientos!D75/Rendimientos!$D$13*100,NA())</f>
        <v>93.3979139581951</v>
      </c>
    </row>
    <row r="76" customFormat="false" ht="13.8" hidden="false" customHeight="false" outlineLevel="0" collapsed="false">
      <c r="AE76" s="44" t="n">
        <f aca="false">IF(ISNUMBER(Rendimientos!C76),Rendimientos!A76,"")</f>
        <v>64</v>
      </c>
      <c r="AF76" s="122" t="n">
        <f aca="false">IF(AE76="","",Rendimientos!C76)</f>
        <v>31.65</v>
      </c>
      <c r="AG76" s="44" t="n">
        <f aca="false">IF(AF76="","",LN(AF76))</f>
        <v>3.45473814859019</v>
      </c>
      <c r="AH76" s="44" t="n">
        <f aca="false">IF(AE76="",NA(),AE76)</f>
        <v>64</v>
      </c>
      <c r="AI76" s="122" t="n">
        <f aca="false">IF(AE76="",NA(),AF76)</f>
        <v>31.65</v>
      </c>
      <c r="AK76" s="44" t="n">
        <f aca="false">IF(ISNUMBER(Rendimientos!D76),Rendimientos!A76,"")</f>
        <v>64</v>
      </c>
      <c r="AL76" s="122" t="n">
        <f aca="false">IF(AK76="","",Rendimientos!D76)</f>
        <v>51730.5</v>
      </c>
      <c r="AM76" s="44" t="n">
        <f aca="false">IF(AL76="","",LN(AL76))</f>
        <v>10.8538028285221</v>
      </c>
      <c r="AN76" s="44" t="n">
        <f aca="false">IF(AK76="",NA(),AK76)</f>
        <v>64</v>
      </c>
      <c r="AO76" s="122" t="n">
        <f aca="false">IF(AK76="",NA(),AL76)</f>
        <v>51730.5</v>
      </c>
      <c r="AQ76" s="55" t="n">
        <f aca="false">IF(ISNUMBER(Rendimientos!B76),Rendimientos!B76,NA())</f>
        <v>44927</v>
      </c>
      <c r="AR76" s="44" t="n">
        <f aca="false">IF(AND(ISNUMBER(Rendimientos!C76),ISNUMBER(Rendimientos!$C$13)),Rendimientos!C76/Rendimientos!$C$13*100,NA())</f>
        <v>126.6</v>
      </c>
      <c r="AS76" s="44" t="n">
        <f aca="false">IF(AND(ISNUMBER(Rendimientos!D76),ISNUMBER(Rendimientos!$D$13)),Rendimientos!D76/Rendimientos!$D$13*100,NA())</f>
        <v>99.6932722241772</v>
      </c>
    </row>
    <row r="77" customFormat="false" ht="13.8" hidden="false" customHeight="false" outlineLevel="0" collapsed="false">
      <c r="AE77" s="44" t="n">
        <f aca="false">IF(ISNUMBER(Rendimientos!C77),Rendimientos!A77,"")</f>
        <v>65</v>
      </c>
      <c r="AF77" s="122" t="n">
        <f aca="false">IF(AE77="","",Rendimientos!C77)</f>
        <v>30.99</v>
      </c>
      <c r="AG77" s="44" t="n">
        <f aca="false">IF(AF77="","",LN(AF77))</f>
        <v>3.43366457179966</v>
      </c>
      <c r="AH77" s="44" t="n">
        <f aca="false">IF(AE77="",NA(),AE77)</f>
        <v>65</v>
      </c>
      <c r="AI77" s="122" t="n">
        <f aca="false">IF(AE77="",NA(),AF77)</f>
        <v>30.99</v>
      </c>
      <c r="AK77" s="44" t="n">
        <f aca="false">IF(ISNUMBER(Rendimientos!D77),Rendimientos!A77,"")</f>
        <v>65</v>
      </c>
      <c r="AL77" s="122" t="n">
        <f aca="false">IF(AK77="","",Rendimientos!D77)</f>
        <v>53576.72</v>
      </c>
      <c r="AM77" s="44" t="n">
        <f aca="false">IF(AL77="","",LN(AL77))</f>
        <v>10.8888699243528</v>
      </c>
      <c r="AN77" s="44" t="n">
        <f aca="false">IF(AK77="",NA(),AK77)</f>
        <v>65</v>
      </c>
      <c r="AO77" s="122" t="n">
        <f aca="false">IF(AK77="",NA(),AL77)</f>
        <v>53576.72</v>
      </c>
      <c r="AQ77" s="55" t="n">
        <f aca="false">IF(ISNUMBER(Rendimientos!B77),Rendimientos!B77,NA())</f>
        <v>44934</v>
      </c>
      <c r="AR77" s="44" t="n">
        <f aca="false">IF(AND(ISNUMBER(Rendimientos!C77),ISNUMBER(Rendimientos!$C$13)),Rendimientos!C77/Rendimientos!$C$13*100,NA())</f>
        <v>123.96</v>
      </c>
      <c r="AS77" s="44" t="n">
        <f aca="false">IF(AND(ISNUMBER(Rendimientos!D77),ISNUMBER(Rendimientos!$D$13)),Rendimientos!D77/Rendimientos!$D$13*100,NA())</f>
        <v>103.251245045737</v>
      </c>
    </row>
    <row r="78" customFormat="false" ht="13.8" hidden="false" customHeight="false" outlineLevel="0" collapsed="false">
      <c r="AE78" s="44" t="n">
        <f aca="false">IF(ISNUMBER(Rendimientos!C78),Rendimientos!A78,"")</f>
        <v>66</v>
      </c>
      <c r="AF78" s="122" t="n">
        <f aca="false">IF(AE78="","",Rendimientos!C78)</f>
        <v>30.77</v>
      </c>
      <c r="AG78" s="44" t="n">
        <f aca="false">IF(AF78="","",LN(AF78))</f>
        <v>3.42654018933395</v>
      </c>
      <c r="AH78" s="44" t="n">
        <f aca="false">IF(AE78="",NA(),AE78)</f>
        <v>66</v>
      </c>
      <c r="AI78" s="122" t="n">
        <f aca="false">IF(AE78="",NA(),AF78)</f>
        <v>30.77</v>
      </c>
      <c r="AK78" s="44" t="n">
        <f aca="false">IF(ISNUMBER(Rendimientos!D78),Rendimientos!A78,"")</f>
        <v>66</v>
      </c>
      <c r="AL78" s="122" t="n">
        <f aca="false">IF(AK78="","",Rendimientos!D78)</f>
        <v>53947.04</v>
      </c>
      <c r="AM78" s="44" t="n">
        <f aca="false">IF(AL78="","",LN(AL78))</f>
        <v>10.8957581035648</v>
      </c>
      <c r="AN78" s="44" t="n">
        <f aca="false">IF(AK78="",NA(),AK78)</f>
        <v>66</v>
      </c>
      <c r="AO78" s="122" t="n">
        <f aca="false">IF(AK78="",NA(),AL78)</f>
        <v>53947.04</v>
      </c>
      <c r="AQ78" s="55" t="n">
        <f aca="false">IF(ISNUMBER(Rendimientos!B78),Rendimientos!B78,NA())</f>
        <v>44941</v>
      </c>
      <c r="AR78" s="44" t="n">
        <f aca="false">IF(AND(ISNUMBER(Rendimientos!C78),ISNUMBER(Rendimientos!$C$13)),Rendimientos!C78/Rendimientos!$C$13*100,NA())</f>
        <v>123.08</v>
      </c>
      <c r="AS78" s="44" t="n">
        <f aca="false">IF(AND(ISNUMBER(Rendimientos!D78),ISNUMBER(Rendimientos!$D$13)),Rendimientos!D78/Rendimientos!$D$13*100,NA())</f>
        <v>103.964913240904</v>
      </c>
    </row>
    <row r="79" customFormat="false" ht="13.8" hidden="false" customHeight="false" outlineLevel="0" collapsed="false">
      <c r="AE79" s="44" t="n">
        <f aca="false">IF(ISNUMBER(Rendimientos!C79),Rendimientos!A79,"")</f>
        <v>67</v>
      </c>
      <c r="AF79" s="122" t="n">
        <f aca="false">IF(AE79="","",Rendimientos!C79)</f>
        <v>31.12</v>
      </c>
      <c r="AG79" s="44" t="n">
        <f aca="false">IF(AF79="","",LN(AF79))</f>
        <v>3.43785069931019</v>
      </c>
      <c r="AH79" s="44" t="n">
        <f aca="false">IF(AE79="",NA(),AE79)</f>
        <v>67</v>
      </c>
      <c r="AI79" s="122" t="n">
        <f aca="false">IF(AE79="",NA(),AF79)</f>
        <v>31.12</v>
      </c>
      <c r="AK79" s="44" t="n">
        <f aca="false">IF(ISNUMBER(Rendimientos!D79),Rendimientos!A79,"")</f>
        <v>67</v>
      </c>
      <c r="AL79" s="122" t="n">
        <f aca="false">IF(AK79="","",Rendimientos!D79)</f>
        <v>54774.91</v>
      </c>
      <c r="AM79" s="44" t="n">
        <f aca="false">IF(AL79="","",LN(AL79))</f>
        <v>10.910987521377</v>
      </c>
      <c r="AN79" s="44" t="n">
        <f aca="false">IF(AK79="",NA(),AK79)</f>
        <v>67</v>
      </c>
      <c r="AO79" s="122" t="n">
        <f aca="false">IF(AK79="",NA(),AL79)</f>
        <v>54774.91</v>
      </c>
      <c r="AQ79" s="55" t="n">
        <f aca="false">IF(ISNUMBER(Rendimientos!B79),Rendimientos!B79,NA())</f>
        <v>44948</v>
      </c>
      <c r="AR79" s="44" t="n">
        <f aca="false">IF(AND(ISNUMBER(Rendimientos!C79),ISNUMBER(Rendimientos!$C$13)),Rendimientos!C79/Rendimientos!$C$13*100,NA())</f>
        <v>124.48</v>
      </c>
      <c r="AS79" s="44" t="n">
        <f aca="false">IF(AND(ISNUMBER(Rendimientos!D79),ISNUMBER(Rendimientos!$D$13)),Rendimientos!D79/Rendimientos!$D$13*100,NA())</f>
        <v>105.560356340743</v>
      </c>
    </row>
    <row r="80" customFormat="false" ht="13.8" hidden="false" customHeight="false" outlineLevel="0" collapsed="false">
      <c r="AE80" s="44" t="n">
        <f aca="false">IF(ISNUMBER(Rendimientos!C80),Rendimientos!A80,"")</f>
        <v>68</v>
      </c>
      <c r="AF80" s="122" t="n">
        <f aca="false">IF(AE80="","",Rendimientos!C80)</f>
        <v>30.02</v>
      </c>
      <c r="AG80" s="44" t="n">
        <f aca="false">IF(AF80="","",LN(AF80))</f>
        <v>3.40186382620532</v>
      </c>
      <c r="AH80" s="44" t="n">
        <f aca="false">IF(AE80="",NA(),AE80)</f>
        <v>68</v>
      </c>
      <c r="AI80" s="122" t="n">
        <f aca="false">IF(AE80="",NA(),AF80)</f>
        <v>30.02</v>
      </c>
      <c r="AK80" s="44" t="n">
        <f aca="false">IF(ISNUMBER(Rendimientos!D80),Rendimientos!A80,"")</f>
        <v>68</v>
      </c>
      <c r="AL80" s="122" t="n">
        <f aca="false">IF(AK80="","",Rendimientos!D80)</f>
        <v>54049.05</v>
      </c>
      <c r="AM80" s="44" t="n">
        <f aca="false">IF(AL80="","",LN(AL80))</f>
        <v>10.8976472465947</v>
      </c>
      <c r="AN80" s="44" t="n">
        <f aca="false">IF(AK80="",NA(),AK80)</f>
        <v>68</v>
      </c>
      <c r="AO80" s="122" t="n">
        <f aca="false">IF(AK80="",NA(),AL80)</f>
        <v>54049.05</v>
      </c>
      <c r="AQ80" s="55" t="n">
        <f aca="false">IF(ISNUMBER(Rendimientos!B80),Rendimientos!B80,NA())</f>
        <v>44955</v>
      </c>
      <c r="AR80" s="44" t="n">
        <f aca="false">IF(AND(ISNUMBER(Rendimientos!C80),ISNUMBER(Rendimientos!$C$13)),Rendimientos!C80/Rendimientos!$C$13*100,NA())</f>
        <v>120.08</v>
      </c>
      <c r="AS80" s="44" t="n">
        <f aca="false">IF(AND(ISNUMBER(Rendimientos!D80),ISNUMBER(Rendimientos!$D$13)),Rendimientos!D80/Rendimientos!$D$13*100,NA())</f>
        <v>104.161503467165</v>
      </c>
    </row>
    <row r="81" customFormat="false" ht="13.8" hidden="false" customHeight="false" outlineLevel="0" collapsed="false">
      <c r="AE81" s="44" t="n">
        <f aca="false">IF(ISNUMBER(Rendimientos!C81),Rendimientos!A81,"")</f>
        <v>69</v>
      </c>
      <c r="AF81" s="122" t="n">
        <f aca="false">IF(AE81="","",Rendimientos!C81)</f>
        <v>30.69</v>
      </c>
      <c r="AG81" s="44" t="n">
        <f aca="false">IF(AF81="","",LN(AF81))</f>
        <v>3.42393686863164</v>
      </c>
      <c r="AH81" s="44" t="n">
        <f aca="false">IF(AE81="",NA(),AE81)</f>
        <v>69</v>
      </c>
      <c r="AI81" s="122" t="n">
        <f aca="false">IF(AE81="",NA(),AF81)</f>
        <v>30.69</v>
      </c>
      <c r="AK81" s="44" t="n">
        <f aca="false">IF(ISNUMBER(Rendimientos!D81),Rendimientos!A81,"")</f>
        <v>69</v>
      </c>
      <c r="AL81" s="122" t="n">
        <f aca="false">IF(AK81="","",Rendimientos!D81)</f>
        <v>52482.02</v>
      </c>
      <c r="AM81" s="44" t="n">
        <f aca="false">IF(AL81="","",LN(AL81))</f>
        <v>10.8682259137309</v>
      </c>
      <c r="AN81" s="44" t="n">
        <f aca="false">IF(AK81="",NA(),AK81)</f>
        <v>69</v>
      </c>
      <c r="AO81" s="122" t="n">
        <f aca="false">IF(AK81="",NA(),AL81)</f>
        <v>52482.02</v>
      </c>
      <c r="AQ81" s="55" t="n">
        <f aca="false">IF(ISNUMBER(Rendimientos!B81),Rendimientos!B81,NA())</f>
        <v>44962</v>
      </c>
      <c r="AR81" s="44" t="n">
        <f aca="false">IF(AND(ISNUMBER(Rendimientos!C81),ISNUMBER(Rendimientos!$C$13)),Rendimientos!C81/Rendimientos!$C$13*100,NA())</f>
        <v>122.76</v>
      </c>
      <c r="AS81" s="44" t="n">
        <f aca="false">IF(AND(ISNUMBER(Rendimientos!D81),ISNUMBER(Rendimientos!$D$13)),Rendimientos!D81/Rendimientos!$D$13*100,NA())</f>
        <v>101.141576183001</v>
      </c>
    </row>
    <row r="82" customFormat="false" ht="13.8" hidden="false" customHeight="false" outlineLevel="0" collapsed="false">
      <c r="AE82" s="44" t="n">
        <f aca="false">IF(ISNUMBER(Rendimientos!C82),Rendimientos!A82,"")</f>
        <v>70</v>
      </c>
      <c r="AF82" s="122" t="n">
        <f aca="false">IF(AE82="","",Rendimientos!C82)</f>
        <v>29.8</v>
      </c>
      <c r="AG82" s="44" t="n">
        <f aca="false">IF(AF82="","",LN(AF82))</f>
        <v>3.39450839351136</v>
      </c>
      <c r="AH82" s="44" t="n">
        <f aca="false">IF(AE82="",NA(),AE82)</f>
        <v>70</v>
      </c>
      <c r="AI82" s="122" t="n">
        <f aca="false">IF(AE82="",NA(),AF82)</f>
        <v>29.8</v>
      </c>
      <c r="AK82" s="44" t="n">
        <f aca="false">IF(ISNUMBER(Rendimientos!D82),Rendimientos!A82,"")</f>
        <v>70</v>
      </c>
      <c r="AL82" s="122" t="n">
        <f aca="false">IF(AK82="","",Rendimientos!D82)</f>
        <v>53789.64</v>
      </c>
      <c r="AM82" s="44" t="n">
        <f aca="false">IF(AL82="","",LN(AL82))</f>
        <v>10.8928361625511</v>
      </c>
      <c r="AN82" s="44" t="n">
        <f aca="false">IF(AK82="",NA(),AK82)</f>
        <v>70</v>
      </c>
      <c r="AO82" s="122" t="n">
        <f aca="false">IF(AK82="",NA(),AL82)</f>
        <v>53789.64</v>
      </c>
      <c r="AQ82" s="55" t="n">
        <f aca="false">IF(ISNUMBER(Rendimientos!B82),Rendimientos!B82,NA())</f>
        <v>44969</v>
      </c>
      <c r="AR82" s="44" t="n">
        <f aca="false">IF(AND(ISNUMBER(Rendimientos!C82),ISNUMBER(Rendimientos!$C$13)),Rendimientos!C82/Rendimientos!$C$13*100,NA())</f>
        <v>119.2</v>
      </c>
      <c r="AS82" s="44" t="n">
        <f aca="false">IF(AND(ISNUMBER(Rendimientos!D82),ISNUMBER(Rendimientos!$D$13)),Rendimientos!D82/Rendimientos!$D$13*100,NA())</f>
        <v>103.661577277631</v>
      </c>
    </row>
    <row r="83" customFormat="false" ht="13.8" hidden="false" customHeight="false" outlineLevel="0" collapsed="false">
      <c r="AE83" s="44" t="n">
        <f aca="false">IF(ISNUMBER(Rendimientos!C83),Rendimientos!A83,"")</f>
        <v>71</v>
      </c>
      <c r="AF83" s="122" t="n">
        <f aca="false">IF(AE83="","",Rendimientos!C83)</f>
        <v>30.2</v>
      </c>
      <c r="AG83" s="44" t="n">
        <f aca="false">IF(AF83="","",LN(AF83))</f>
        <v>3.40784192438082</v>
      </c>
      <c r="AH83" s="44" t="n">
        <f aca="false">IF(AE83="",NA(),AE83)</f>
        <v>71</v>
      </c>
      <c r="AI83" s="122" t="n">
        <f aca="false">IF(AE83="",NA(),AF83)</f>
        <v>30.2</v>
      </c>
      <c r="AK83" s="44" t="n">
        <f aca="false">IF(ISNUMBER(Rendimientos!D83),Rendimientos!A83,"")</f>
        <v>71</v>
      </c>
      <c r="AL83" s="122" t="n">
        <f aca="false">IF(AK83="","",Rendimientos!D83)</f>
        <v>52686.24</v>
      </c>
      <c r="AM83" s="44" t="n">
        <f aca="false">IF(AL83="","",LN(AL83))</f>
        <v>10.8721095998675</v>
      </c>
      <c r="AN83" s="44" t="n">
        <f aca="false">IF(AK83="",NA(),AK83)</f>
        <v>71</v>
      </c>
      <c r="AO83" s="122" t="n">
        <f aca="false">IF(AK83="",NA(),AL83)</f>
        <v>52686.24</v>
      </c>
      <c r="AQ83" s="55" t="n">
        <f aca="false">IF(ISNUMBER(Rendimientos!B83),Rendimientos!B83,NA())</f>
        <v>44976</v>
      </c>
      <c r="AR83" s="44" t="n">
        <f aca="false">IF(AND(ISNUMBER(Rendimientos!C83),ISNUMBER(Rendimientos!$C$13)),Rendimientos!C83/Rendimientos!$C$13*100,NA())</f>
        <v>120.8</v>
      </c>
      <c r="AS83" s="44" t="n">
        <f aca="false">IF(AND(ISNUMBER(Rendimientos!D83),ISNUMBER(Rendimientos!$D$13)),Rendimientos!D83/Rendimientos!$D$13*100,NA())</f>
        <v>101.535142068767</v>
      </c>
    </row>
    <row r="84" customFormat="false" ht="13.8" hidden="false" customHeight="false" outlineLevel="0" collapsed="false">
      <c r="AE84" s="44" t="n">
        <f aca="false">IF(ISNUMBER(Rendimientos!C84),Rendimientos!A84,"")</f>
        <v>72</v>
      </c>
      <c r="AF84" s="122" t="n">
        <f aca="false">IF(AE84="","",Rendimientos!C84)</f>
        <v>30.7</v>
      </c>
      <c r="AG84" s="44" t="n">
        <f aca="false">IF(AF84="","",LN(AF84))</f>
        <v>3.42426265459315</v>
      </c>
      <c r="AH84" s="44" t="n">
        <f aca="false">IF(AE84="",NA(),AE84)</f>
        <v>72</v>
      </c>
      <c r="AI84" s="122" t="n">
        <f aca="false">IF(AE84="",NA(),AF84)</f>
        <v>30.7</v>
      </c>
      <c r="AK84" s="44" t="n">
        <f aca="false">IF(ISNUMBER(Rendimientos!D84),Rendimientos!A84,"")</f>
        <v>72</v>
      </c>
      <c r="AL84" s="122" t="n">
        <f aca="false">IF(AK84="","",Rendimientos!D84)</f>
        <v>54182.27</v>
      </c>
      <c r="AM84" s="44" t="n">
        <f aca="false">IF(AL84="","",LN(AL84))</f>
        <v>10.9001090121405</v>
      </c>
      <c r="AN84" s="44" t="n">
        <f aca="false">IF(AK84="",NA(),AK84)</f>
        <v>72</v>
      </c>
      <c r="AO84" s="122" t="n">
        <f aca="false">IF(AK84="",NA(),AL84)</f>
        <v>54182.27</v>
      </c>
      <c r="AQ84" s="55" t="n">
        <f aca="false">IF(ISNUMBER(Rendimientos!B84),Rendimientos!B84,NA())</f>
        <v>44983</v>
      </c>
      <c r="AR84" s="44" t="n">
        <f aca="false">IF(AND(ISNUMBER(Rendimientos!C84),ISNUMBER(Rendimientos!$C$13)),Rendimientos!C84/Rendimientos!$C$13*100,NA())</f>
        <v>122.8</v>
      </c>
      <c r="AS84" s="44" t="n">
        <f aca="false">IF(AND(ISNUMBER(Rendimientos!D84),ISNUMBER(Rendimientos!$D$13)),Rendimientos!D84/Rendimientos!$D$13*100,NA())</f>
        <v>104.4182405512</v>
      </c>
    </row>
    <row r="85" customFormat="false" ht="13.8" hidden="false" customHeight="false" outlineLevel="0" collapsed="false">
      <c r="AE85" s="44" t="n">
        <f aca="false">IF(ISNUMBER(Rendimientos!C85),Rendimientos!A85,"")</f>
        <v>73</v>
      </c>
      <c r="AF85" s="122" t="n">
        <f aca="false">IF(AE85="","",Rendimientos!C85)</f>
        <v>30.1</v>
      </c>
      <c r="AG85" s="44" t="n">
        <f aca="false">IF(AF85="","",LN(AF85))</f>
        <v>3.40452517175483</v>
      </c>
      <c r="AH85" s="44" t="n">
        <f aca="false">IF(AE85="",NA(),AE85)</f>
        <v>73</v>
      </c>
      <c r="AI85" s="122" t="n">
        <f aca="false">IF(AE85="",NA(),AF85)</f>
        <v>30.1</v>
      </c>
      <c r="AK85" s="44" t="n">
        <f aca="false">IF(ISNUMBER(Rendimientos!D85),Rendimientos!A85,"")</f>
        <v>73</v>
      </c>
      <c r="AL85" s="122" t="n">
        <f aca="false">IF(AK85="","",Rendimientos!D85)</f>
        <v>52794.53</v>
      </c>
      <c r="AM85" s="44" t="n">
        <f aca="false">IF(AL85="","",LN(AL85))</f>
        <v>10.8741628658428</v>
      </c>
      <c r="AN85" s="44" t="n">
        <f aca="false">IF(AK85="",NA(),AK85)</f>
        <v>73</v>
      </c>
      <c r="AO85" s="122" t="n">
        <f aca="false">IF(AK85="",NA(),AL85)</f>
        <v>52794.53</v>
      </c>
      <c r="AQ85" s="55" t="n">
        <f aca="false">IF(ISNUMBER(Rendimientos!B85),Rendimientos!B85,NA())</f>
        <v>44990</v>
      </c>
      <c r="AR85" s="44" t="n">
        <f aca="false">IF(AND(ISNUMBER(Rendimientos!C85),ISNUMBER(Rendimientos!$C$13)),Rendimientos!C85/Rendimientos!$C$13*100,NA())</f>
        <v>120.4</v>
      </c>
      <c r="AS85" s="44" t="n">
        <f aca="false">IF(AND(ISNUMBER(Rendimientos!D85),ISNUMBER(Rendimientos!$D$13)),Rendimientos!D85/Rendimientos!$D$13*100,NA())</f>
        <v>101.743834898899</v>
      </c>
    </row>
    <row r="86" customFormat="false" ht="13.8" hidden="false" customHeight="false" outlineLevel="0" collapsed="false">
      <c r="AE86" s="44" t="n">
        <f aca="false">IF(ISNUMBER(Rendimientos!C86),Rendimientos!A86,"")</f>
        <v>74</v>
      </c>
      <c r="AF86" s="122" t="n">
        <f aca="false">IF(AE86="","",Rendimientos!C86)</f>
        <v>30.51</v>
      </c>
      <c r="AG86" s="44" t="n">
        <f aca="false">IF(AF86="","",LN(AF86))</f>
        <v>3.41805449872858</v>
      </c>
      <c r="AH86" s="44" t="n">
        <f aca="false">IF(AE86="",NA(),AE86)</f>
        <v>74</v>
      </c>
      <c r="AI86" s="122" t="n">
        <f aca="false">IF(AE86="",NA(),AF86)</f>
        <v>30.51</v>
      </c>
      <c r="AK86" s="44" t="n">
        <f aca="false">IF(ISNUMBER(Rendimientos!D86),Rendimientos!A86,"")</f>
        <v>74</v>
      </c>
      <c r="AL86" s="122" t="n">
        <f aca="false">IF(AK86="","",Rendimientos!D86)</f>
        <v>51925.61</v>
      </c>
      <c r="AM86" s="44" t="n">
        <f aca="false">IF(AL86="","",LN(AL86))</f>
        <v>10.8575673963884</v>
      </c>
      <c r="AN86" s="44" t="n">
        <f aca="false">IF(AK86="",NA(),AK86)</f>
        <v>74</v>
      </c>
      <c r="AO86" s="122" t="n">
        <f aca="false">IF(AK86="",NA(),AL86)</f>
        <v>51925.61</v>
      </c>
      <c r="AQ86" s="55" t="n">
        <f aca="false">IF(ISNUMBER(Rendimientos!B86),Rendimientos!B86,NA())</f>
        <v>44997</v>
      </c>
      <c r="AR86" s="44" t="n">
        <f aca="false">IF(AND(ISNUMBER(Rendimientos!C86),ISNUMBER(Rendimientos!$C$13)),Rendimientos!C86/Rendimientos!$C$13*100,NA())</f>
        <v>122.04</v>
      </c>
      <c r="AS86" s="44" t="n">
        <f aca="false">IF(AND(ISNUMBER(Rendimientos!D86),ISNUMBER(Rendimientos!$D$13)),Rendimientos!D86/Rendimientos!$D$13*100,NA())</f>
        <v>100.069281625665</v>
      </c>
    </row>
    <row r="87" customFormat="false" ht="13.8" hidden="false" customHeight="false" outlineLevel="0" collapsed="false">
      <c r="AE87" s="44" t="n">
        <f aca="false">IF(ISNUMBER(Rendimientos!C87),Rendimientos!A87,"")</f>
        <v>75</v>
      </c>
      <c r="AF87" s="122" t="n">
        <f aca="false">IF(AE87="","",Rendimientos!C87)</f>
        <v>30.51</v>
      </c>
      <c r="AG87" s="44" t="n">
        <f aca="false">IF(AF87="","",LN(AF87))</f>
        <v>3.41805449872858</v>
      </c>
      <c r="AH87" s="44" t="n">
        <f aca="false">IF(AE87="",NA(),AE87)</f>
        <v>75</v>
      </c>
      <c r="AI87" s="122" t="n">
        <f aca="false">IF(AE87="",NA(),AF87)</f>
        <v>30.51</v>
      </c>
      <c r="AK87" s="44" t="n">
        <f aca="false">IF(ISNUMBER(Rendimientos!D87),Rendimientos!A87,"")</f>
        <v>75</v>
      </c>
      <c r="AL87" s="122" t="n">
        <f aca="false">IF(AK87="","",Rendimientos!D87)</f>
        <v>52771.12</v>
      </c>
      <c r="AM87" s="44" t="n">
        <f aca="false">IF(AL87="","",LN(AL87))</f>
        <v>10.8737193503549</v>
      </c>
      <c r="AN87" s="44" t="n">
        <f aca="false">IF(AK87="",NA(),AK87)</f>
        <v>75</v>
      </c>
      <c r="AO87" s="122" t="n">
        <f aca="false">IF(AK87="",NA(),AL87)</f>
        <v>52771.12</v>
      </c>
      <c r="AQ87" s="55" t="n">
        <f aca="false">IF(ISNUMBER(Rendimientos!B87),Rendimientos!B87,NA())</f>
        <v>45004</v>
      </c>
      <c r="AR87" s="44" t="n">
        <f aca="false">IF(AND(ISNUMBER(Rendimientos!C87),ISNUMBER(Rendimientos!$C$13)),Rendimientos!C87/Rendimientos!$C$13*100,NA())</f>
        <v>122.04</v>
      </c>
      <c r="AS87" s="44" t="n">
        <f aca="false">IF(AND(ISNUMBER(Rendimientos!D87),ISNUMBER(Rendimientos!$D$13)),Rendimientos!D87/Rendimientos!$D$13*100,NA())</f>
        <v>101.698719937652</v>
      </c>
    </row>
    <row r="88" customFormat="false" ht="13.8" hidden="false" customHeight="false" outlineLevel="0" collapsed="false">
      <c r="AE88" s="44" t="n">
        <f aca="false">IF(ISNUMBER(Rendimientos!C88),Rendimientos!A88,"")</f>
        <v>76</v>
      </c>
      <c r="AF88" s="122" t="n">
        <f aca="false">IF(AE88="","",Rendimientos!C88)</f>
        <v>30.97</v>
      </c>
      <c r="AG88" s="44" t="n">
        <f aca="false">IF(AF88="","",LN(AF88))</f>
        <v>3.43301899398511</v>
      </c>
      <c r="AH88" s="44" t="n">
        <f aca="false">IF(AE88="",NA(),AE88)</f>
        <v>76</v>
      </c>
      <c r="AI88" s="122" t="n">
        <f aca="false">IF(AE88="",NA(),AF88)</f>
        <v>30.97</v>
      </c>
      <c r="AK88" s="44" t="n">
        <f aca="false">IF(ISNUMBER(Rendimientos!D88),Rendimientos!A88,"")</f>
        <v>76</v>
      </c>
      <c r="AL88" s="122" t="n">
        <f aca="false">IF(AK88="","",Rendimientos!D88)</f>
        <v>53904</v>
      </c>
      <c r="AM88" s="44" t="n">
        <f aca="false">IF(AL88="","",LN(AL88))</f>
        <v>10.8949599656463</v>
      </c>
      <c r="AN88" s="44" t="n">
        <f aca="false">IF(AK88="",NA(),AK88)</f>
        <v>76</v>
      </c>
      <c r="AO88" s="122" t="n">
        <f aca="false">IF(AK88="",NA(),AL88)</f>
        <v>53904</v>
      </c>
      <c r="AQ88" s="55" t="n">
        <f aca="false">IF(ISNUMBER(Rendimientos!B88),Rendimientos!B88,NA())</f>
        <v>45011</v>
      </c>
      <c r="AR88" s="44" t="n">
        <f aca="false">IF(AND(ISNUMBER(Rendimientos!C88),ISNUMBER(Rendimientos!$C$13)),Rendimientos!C88/Rendimientos!$C$13*100,NA())</f>
        <v>123.88</v>
      </c>
      <c r="AS88" s="44" t="n">
        <f aca="false">IF(AND(ISNUMBER(Rendimientos!D88),ISNUMBER(Rendimientos!$D$13)),Rendimientos!D88/Rendimientos!$D$13*100,NA())</f>
        <v>103.881968006728</v>
      </c>
    </row>
    <row r="89" customFormat="false" ht="13.8" hidden="false" customHeight="false" outlineLevel="0" collapsed="false">
      <c r="AE89" s="44" t="n">
        <f aca="false">IF(ISNUMBER(Rendimientos!C89),Rendimientos!A89,"")</f>
        <v>77</v>
      </c>
      <c r="AF89" s="122" t="n">
        <f aca="false">IF(AE89="","",Rendimientos!C89)</f>
        <v>30.6</v>
      </c>
      <c r="AG89" s="44" t="n">
        <f aca="false">IF(AF89="","",LN(AF89))</f>
        <v>3.42100000895834</v>
      </c>
      <c r="AH89" s="44" t="n">
        <f aca="false">IF(AE89="",NA(),AE89)</f>
        <v>77</v>
      </c>
      <c r="AI89" s="122" t="n">
        <f aca="false">IF(AE89="",NA(),AF89)</f>
        <v>30.6</v>
      </c>
      <c r="AK89" s="44" t="n">
        <f aca="false">IF(ISNUMBER(Rendimientos!D89),Rendimientos!A89,"")</f>
        <v>77</v>
      </c>
      <c r="AL89" s="122" t="n">
        <f aca="false">IF(AK89="","",Rendimientos!D89)</f>
        <v>53498.39</v>
      </c>
      <c r="AM89" s="44" t="n">
        <f aca="false">IF(AL89="","",LN(AL89))</f>
        <v>10.8874068389733</v>
      </c>
      <c r="AN89" s="44" t="n">
        <f aca="false">IF(AK89="",NA(),AK89)</f>
        <v>77</v>
      </c>
      <c r="AO89" s="122" t="n">
        <f aca="false">IF(AK89="",NA(),AL89)</f>
        <v>53498.39</v>
      </c>
      <c r="AQ89" s="55" t="n">
        <f aca="false">IF(ISNUMBER(Rendimientos!B89),Rendimientos!B89,NA())</f>
        <v>45018</v>
      </c>
      <c r="AR89" s="44" t="n">
        <f aca="false">IF(AND(ISNUMBER(Rendimientos!C89),ISNUMBER(Rendimientos!$C$13)),Rendimientos!C89/Rendimientos!$C$13*100,NA())</f>
        <v>122.4</v>
      </c>
      <c r="AS89" s="44" t="n">
        <f aca="false">IF(AND(ISNUMBER(Rendimientos!D89),ISNUMBER(Rendimientos!$D$13)),Rendimientos!D89/Rendimientos!$D$13*100,NA())</f>
        <v>103.100290115603</v>
      </c>
    </row>
    <row r="90" customFormat="false" ht="13.8" hidden="false" customHeight="false" outlineLevel="0" collapsed="false">
      <c r="AE90" s="44" t="n">
        <f aca="false">IF(ISNUMBER(Rendimientos!C90),Rendimientos!A90,"")</f>
        <v>78</v>
      </c>
      <c r="AF90" s="122" t="n">
        <f aca="false">IF(AE90="","",Rendimientos!C90)</f>
        <v>31</v>
      </c>
      <c r="AG90" s="44" t="n">
        <f aca="false">IF(AF90="","",LN(AF90))</f>
        <v>3.43398720448515</v>
      </c>
      <c r="AH90" s="44" t="n">
        <f aca="false">IF(AE90="",NA(),AE90)</f>
        <v>78</v>
      </c>
      <c r="AI90" s="122" t="n">
        <f aca="false">IF(AE90="",NA(),AF90)</f>
        <v>31</v>
      </c>
      <c r="AK90" s="44" t="n">
        <f aca="false">IF(ISNUMBER(Rendimientos!D90),Rendimientos!A90,"")</f>
        <v>78</v>
      </c>
      <c r="AL90" s="122" t="n">
        <f aca="false">IF(AK90="","",Rendimientos!D90)</f>
        <v>54460.06</v>
      </c>
      <c r="AM90" s="44" t="n">
        <f aca="false">IF(AL90="","",LN(AL90))</f>
        <v>10.9052228679532</v>
      </c>
      <c r="AN90" s="44" t="n">
        <f aca="false">IF(AK90="",NA(),AK90)</f>
        <v>78</v>
      </c>
      <c r="AO90" s="122" t="n">
        <f aca="false">IF(AK90="",NA(),AL90)</f>
        <v>54460.06</v>
      </c>
      <c r="AQ90" s="55" t="n">
        <f aca="false">IF(ISNUMBER(Rendimientos!B90),Rendimientos!B90,NA())</f>
        <v>45025</v>
      </c>
      <c r="AR90" s="44" t="n">
        <f aca="false">IF(AND(ISNUMBER(Rendimientos!C90),ISNUMBER(Rendimientos!$C$13)),Rendimientos!C90/Rendimientos!$C$13*100,NA())</f>
        <v>124</v>
      </c>
      <c r="AS90" s="44" t="n">
        <f aca="false">IF(AND(ISNUMBER(Rendimientos!D90),ISNUMBER(Rendimientos!$D$13)),Rendimientos!D90/Rendimientos!$D$13*100,NA())</f>
        <v>104.953588055886</v>
      </c>
    </row>
    <row r="91" customFormat="false" ht="13.8" hidden="false" customHeight="false" outlineLevel="0" collapsed="false">
      <c r="AE91" s="44" t="n">
        <f aca="false">IF(ISNUMBER(Rendimientos!C91),Rendimientos!A91,"")</f>
        <v>79</v>
      </c>
      <c r="AF91" s="122" t="n">
        <f aca="false">IF(AE91="","",Rendimientos!C91)</f>
        <v>30.94</v>
      </c>
      <c r="AG91" s="44" t="n">
        <f aca="false">IF(AF91="","",LN(AF91))</f>
        <v>3.43204984514492</v>
      </c>
      <c r="AH91" s="44" t="n">
        <f aca="false">IF(AE91="",NA(),AE91)</f>
        <v>79</v>
      </c>
      <c r="AI91" s="122" t="n">
        <f aca="false">IF(AE91="",NA(),AF91)</f>
        <v>30.94</v>
      </c>
      <c r="AK91" s="44" t="n">
        <f aca="false">IF(ISNUMBER(Rendimientos!D91),Rendimientos!A91,"")</f>
        <v>79</v>
      </c>
      <c r="AL91" s="122" t="n">
        <f aca="false">IF(AK91="","",Rendimientos!D91)</f>
        <v>54175.28</v>
      </c>
      <c r="AM91" s="44" t="n">
        <f aca="false">IF(AL91="","",LN(AL91))</f>
        <v>10.8999799948268</v>
      </c>
      <c r="AN91" s="44" t="n">
        <f aca="false">IF(AK91="",NA(),AK91)</f>
        <v>79</v>
      </c>
      <c r="AO91" s="122" t="n">
        <f aca="false">IF(AK91="",NA(),AL91)</f>
        <v>54175.28</v>
      </c>
      <c r="AQ91" s="55" t="n">
        <f aca="false">IF(ISNUMBER(Rendimientos!B91),Rendimientos!B91,NA())</f>
        <v>45032</v>
      </c>
      <c r="AR91" s="44" t="n">
        <f aca="false">IF(AND(ISNUMBER(Rendimientos!C91),ISNUMBER(Rendimientos!$C$13)),Rendimientos!C91/Rendimientos!$C$13*100,NA())</f>
        <v>123.76</v>
      </c>
      <c r="AS91" s="44" t="n">
        <f aca="false">IF(AND(ISNUMBER(Rendimientos!D91),ISNUMBER(Rendimientos!$D$13)),Rendimientos!D91/Rendimientos!$D$13*100,NA())</f>
        <v>104.404769659312</v>
      </c>
    </row>
    <row r="92" customFormat="false" ht="13.8" hidden="false" customHeight="false" outlineLevel="0" collapsed="false">
      <c r="AE92" s="44" t="n">
        <f aca="false">IF(ISNUMBER(Rendimientos!C92),Rendimientos!A92,"")</f>
        <v>80</v>
      </c>
      <c r="AF92" s="122" t="n">
        <f aca="false">IF(AE92="","",Rendimientos!C92)</f>
        <v>31.13</v>
      </c>
      <c r="AG92" s="44" t="n">
        <f aca="false">IF(AF92="","",LN(AF92))</f>
        <v>3.43817198445352</v>
      </c>
      <c r="AH92" s="44" t="n">
        <f aca="false">IF(AE92="",NA(),AE92)</f>
        <v>80</v>
      </c>
      <c r="AI92" s="122" t="n">
        <f aca="false">IF(AE92="",NA(),AF92)</f>
        <v>31.13</v>
      </c>
      <c r="AK92" s="44" t="n">
        <f aca="false">IF(ISNUMBER(Rendimientos!D92),Rendimientos!A92,"")</f>
        <v>80</v>
      </c>
      <c r="AL92" s="122" t="n">
        <f aca="false">IF(AK92="","",Rendimientos!D92)</f>
        <v>55121.22</v>
      </c>
      <c r="AM92" s="44" t="n">
        <f aca="false">IF(AL92="","",LN(AL92))</f>
        <v>10.9172900389694</v>
      </c>
      <c r="AN92" s="44" t="n">
        <f aca="false">IF(AK92="",NA(),AK92)</f>
        <v>80</v>
      </c>
      <c r="AO92" s="122" t="n">
        <f aca="false">IF(AK92="",NA(),AL92)</f>
        <v>55121.22</v>
      </c>
      <c r="AQ92" s="55" t="n">
        <f aca="false">IF(ISNUMBER(Rendimientos!B92),Rendimientos!B92,NA())</f>
        <v>45039</v>
      </c>
      <c r="AR92" s="44" t="n">
        <f aca="false">IF(AND(ISNUMBER(Rendimientos!C92),ISNUMBER(Rendimientos!$C$13)),Rendimientos!C92/Rendimientos!$C$13*100,NA())</f>
        <v>124.52</v>
      </c>
      <c r="AS92" s="44" t="n">
        <f aca="false">IF(AND(ISNUMBER(Rendimientos!D92),ISNUMBER(Rendimientos!$D$13)),Rendimientos!D92/Rendimientos!$D$13*100,NA())</f>
        <v>106.22775327493</v>
      </c>
    </row>
    <row r="93" customFormat="false" ht="13.8" hidden="false" customHeight="false" outlineLevel="0" collapsed="false">
      <c r="AE93" s="44" t="n">
        <f aca="false">IF(ISNUMBER(Rendimientos!C93),Rendimientos!A93,"")</f>
        <v>81</v>
      </c>
      <c r="AF93" s="122" t="n">
        <f aca="false">IF(AE93="","",Rendimientos!C93)</f>
        <v>31.28</v>
      </c>
      <c r="AG93" s="44" t="n">
        <f aca="false">IF(AF93="","",LN(AF93))</f>
        <v>3.44297891567711</v>
      </c>
      <c r="AH93" s="44" t="n">
        <f aca="false">IF(AE93="",NA(),AE93)</f>
        <v>81</v>
      </c>
      <c r="AI93" s="122" t="n">
        <f aca="false">IF(AE93="",NA(),AF93)</f>
        <v>31.28</v>
      </c>
      <c r="AK93" s="44" t="n">
        <f aca="false">IF(ISNUMBER(Rendimientos!D93),Rendimientos!A93,"")</f>
        <v>81</v>
      </c>
      <c r="AL93" s="122" t="n">
        <f aca="false">IF(AK93="","",Rendimientos!D93)</f>
        <v>54937.39</v>
      </c>
      <c r="AM93" s="44" t="n">
        <f aca="false">IF(AL93="","",LN(AL93))</f>
        <v>10.9139494521502</v>
      </c>
      <c r="AN93" s="44" t="n">
        <f aca="false">IF(AK93="",NA(),AK93)</f>
        <v>81</v>
      </c>
      <c r="AO93" s="122" t="n">
        <f aca="false">IF(AK93="",NA(),AL93)</f>
        <v>54937.39</v>
      </c>
      <c r="AQ93" s="55" t="n">
        <f aca="false">IF(ISNUMBER(Rendimientos!B93),Rendimientos!B93,NA())</f>
        <v>45046</v>
      </c>
      <c r="AR93" s="44" t="n">
        <f aca="false">IF(AND(ISNUMBER(Rendimientos!C93),ISNUMBER(Rendimientos!$C$13)),Rendimientos!C93/Rendimientos!$C$13*100,NA())</f>
        <v>125.12</v>
      </c>
      <c r="AS93" s="44" t="n">
        <f aca="false">IF(AND(ISNUMBER(Rendimientos!D93),ISNUMBER(Rendimientos!$D$13)),Rendimientos!D93/Rendimientos!$D$13*100,NA())</f>
        <v>105.873482308421</v>
      </c>
    </row>
    <row r="94" customFormat="false" ht="13.8" hidden="false" customHeight="false" outlineLevel="0" collapsed="false">
      <c r="AE94" s="44" t="n">
        <f aca="false">IF(ISNUMBER(Rendimientos!C94),Rendimientos!A94,"")</f>
        <v>82</v>
      </c>
      <c r="AF94" s="122" t="n">
        <f aca="false">IF(AE94="","",Rendimientos!C94)</f>
        <v>30.8</v>
      </c>
      <c r="AG94" s="44" t="n">
        <f aca="false">IF(AF94="","",LN(AF94))</f>
        <v>3.42751468997953</v>
      </c>
      <c r="AH94" s="44" t="n">
        <f aca="false">IF(AE94="",NA(),AE94)</f>
        <v>82</v>
      </c>
      <c r="AI94" s="122" t="n">
        <f aca="false">IF(AE94="",NA(),AF94)</f>
        <v>30.8</v>
      </c>
      <c r="AK94" s="44" t="n">
        <f aca="false">IF(ISNUMBER(Rendimientos!D94),Rendimientos!A94,"")</f>
        <v>82</v>
      </c>
      <c r="AL94" s="122" t="n">
        <f aca="false">IF(AK94="","",Rendimientos!D94)</f>
        <v>54948.34</v>
      </c>
      <c r="AM94" s="44" t="n">
        <f aca="false">IF(AL94="","",LN(AL94))</f>
        <v>10.9141487500943</v>
      </c>
      <c r="AN94" s="44" t="n">
        <f aca="false">IF(AK94="",NA(),AK94)</f>
        <v>82</v>
      </c>
      <c r="AO94" s="122" t="n">
        <f aca="false">IF(AK94="",NA(),AL94)</f>
        <v>54948.34</v>
      </c>
      <c r="AQ94" s="55" t="n">
        <f aca="false">IF(ISNUMBER(Rendimientos!B94),Rendimientos!B94,NA())</f>
        <v>45053</v>
      </c>
      <c r="AR94" s="44" t="n">
        <f aca="false">IF(AND(ISNUMBER(Rendimientos!C94),ISNUMBER(Rendimientos!$C$13)),Rendimientos!C94/Rendimientos!$C$13*100,NA())</f>
        <v>123.2</v>
      </c>
      <c r="AS94" s="44" t="n">
        <f aca="false">IF(AND(ISNUMBER(Rendimientos!D94),ISNUMBER(Rendimientos!$D$13)),Rendimientos!D94/Rendimientos!$D$13*100,NA())</f>
        <v>105.894584778547</v>
      </c>
    </row>
    <row r="95" customFormat="false" ht="13.8" hidden="false" customHeight="false" outlineLevel="0" collapsed="false">
      <c r="AE95" s="44" t="n">
        <f aca="false">IF(ISNUMBER(Rendimientos!C95),Rendimientos!A95,"")</f>
        <v>83</v>
      </c>
      <c r="AF95" s="122" t="n">
        <f aca="false">IF(AE95="","",Rendimientos!C95)</f>
        <v>30.54</v>
      </c>
      <c r="AG95" s="44" t="n">
        <f aca="false">IF(AF95="","",LN(AF95))</f>
        <v>3.41903729979049</v>
      </c>
      <c r="AH95" s="44" t="n">
        <f aca="false">IF(AE95="",NA(),AE95)</f>
        <v>83</v>
      </c>
      <c r="AI95" s="122" t="n">
        <f aca="false">IF(AE95="",NA(),AF95)</f>
        <v>30.54</v>
      </c>
      <c r="AK95" s="44" t="n">
        <f aca="false">IF(ISNUMBER(Rendimientos!D95),Rendimientos!A95,"")</f>
        <v>83</v>
      </c>
      <c r="AL95" s="122" t="n">
        <f aca="false">IF(AK95="","",Rendimientos!D95)</f>
        <v>54296.05</v>
      </c>
      <c r="AM95" s="44" t="n">
        <f aca="false">IF(AL95="","",LN(AL95))</f>
        <v>10.9022067592613</v>
      </c>
      <c r="AN95" s="44" t="n">
        <f aca="false">IF(AK95="",NA(),AK95)</f>
        <v>83</v>
      </c>
      <c r="AO95" s="122" t="n">
        <f aca="false">IF(AK95="",NA(),AL95)</f>
        <v>54296.05</v>
      </c>
      <c r="AQ95" s="55" t="n">
        <f aca="false">IF(ISNUMBER(Rendimientos!B95),Rendimientos!B95,NA())</f>
        <v>45060</v>
      </c>
      <c r="AR95" s="44" t="n">
        <f aca="false">IF(AND(ISNUMBER(Rendimientos!C95),ISNUMBER(Rendimientos!$C$13)),Rendimientos!C95/Rendimientos!$C$13*100,NA())</f>
        <v>122.16</v>
      </c>
      <c r="AS95" s="44" t="n">
        <f aca="false">IF(AND(ISNUMBER(Rendimientos!D95),ISNUMBER(Rendimientos!$D$13)),Rendimientos!D95/Rendimientos!$D$13*100,NA())</f>
        <v>104.637513523889</v>
      </c>
    </row>
    <row r="96" customFormat="false" ht="13.8" hidden="false" customHeight="false" outlineLevel="0" collapsed="false">
      <c r="AE96" s="44" t="n">
        <f aca="false">IF(ISNUMBER(Rendimientos!C96),Rendimientos!A96,"")</f>
        <v>84</v>
      </c>
      <c r="AF96" s="122" t="n">
        <f aca="false">IF(AE96="","",Rendimientos!C96)</f>
        <v>30.3</v>
      </c>
      <c r="AG96" s="44" t="n">
        <f aca="false">IF(AF96="","",LN(AF96))</f>
        <v>3.41114771251532</v>
      </c>
      <c r="AH96" s="44" t="n">
        <f aca="false">IF(AE96="",NA(),AE96)</f>
        <v>84</v>
      </c>
      <c r="AI96" s="122" t="n">
        <f aca="false">IF(AE96="",NA(),AF96)</f>
        <v>30.3</v>
      </c>
      <c r="AK96" s="44" t="n">
        <f aca="false">IF(ISNUMBER(Rendimientos!D96),Rendimientos!A96,"")</f>
        <v>84</v>
      </c>
      <c r="AL96" s="122" t="n">
        <f aca="false">IF(AK96="","",Rendimientos!D96)</f>
        <v>54025.45</v>
      </c>
      <c r="AM96" s="44" t="n">
        <f aca="false">IF(AL96="","",LN(AL96))</f>
        <v>10.8972105108175</v>
      </c>
      <c r="AN96" s="44" t="n">
        <f aca="false">IF(AK96="",NA(),AK96)</f>
        <v>84</v>
      </c>
      <c r="AO96" s="122" t="n">
        <f aca="false">IF(AK96="",NA(),AL96)</f>
        <v>54025.45</v>
      </c>
      <c r="AQ96" s="55" t="n">
        <f aca="false">IF(ISNUMBER(Rendimientos!B96),Rendimientos!B96,NA())</f>
        <v>45067</v>
      </c>
      <c r="AR96" s="44" t="n">
        <f aca="false">IF(AND(ISNUMBER(Rendimientos!C96),ISNUMBER(Rendimientos!$C$13)),Rendimientos!C96/Rendimientos!$C$13*100,NA())</f>
        <v>121.2</v>
      </c>
      <c r="AS96" s="44" t="n">
        <f aca="false">IF(AND(ISNUMBER(Rendimientos!D96),ISNUMBER(Rendimientos!$D$13)),Rendimientos!D96/Rendimientos!$D$13*100,NA())</f>
        <v>104.116022344336</v>
      </c>
    </row>
    <row r="97" customFormat="false" ht="13.8" hidden="false" customHeight="false" outlineLevel="0" collapsed="false">
      <c r="AE97" s="44" t="n">
        <f aca="false">IF(ISNUMBER(Rendimientos!C97),Rendimientos!A97,"")</f>
        <v>85</v>
      </c>
      <c r="AF97" s="122" t="n">
        <f aca="false">IF(AE97="","",Rendimientos!C97)</f>
        <v>30.17</v>
      </c>
      <c r="AG97" s="44" t="n">
        <f aca="false">IF(AF97="","",LN(AF97))</f>
        <v>3.40684805317097</v>
      </c>
      <c r="AH97" s="44" t="n">
        <f aca="false">IF(AE97="",NA(),AE97)</f>
        <v>85</v>
      </c>
      <c r="AI97" s="122" t="n">
        <f aca="false">IF(AE97="",NA(),AF97)</f>
        <v>30.17</v>
      </c>
      <c r="AK97" s="44" t="n">
        <f aca="false">IF(ISNUMBER(Rendimientos!D97),Rendimientos!A97,"")</f>
        <v>85</v>
      </c>
      <c r="AL97" s="122" t="n">
        <f aca="false">IF(AK97="","",Rendimientos!D97)</f>
        <v>53232.71</v>
      </c>
      <c r="AM97" s="44" t="n">
        <f aca="false">IF(AL97="","",LN(AL97))</f>
        <v>10.8824283360112</v>
      </c>
      <c r="AN97" s="44" t="n">
        <f aca="false">IF(AK97="",NA(),AK97)</f>
        <v>85</v>
      </c>
      <c r="AO97" s="122" t="n">
        <f aca="false">IF(AK97="",NA(),AL97)</f>
        <v>53232.71</v>
      </c>
      <c r="AQ97" s="55" t="n">
        <f aca="false">IF(ISNUMBER(Rendimientos!B97),Rendimientos!B97,NA())</f>
        <v>45074</v>
      </c>
      <c r="AR97" s="44" t="n">
        <f aca="false">IF(AND(ISNUMBER(Rendimientos!C97),ISNUMBER(Rendimientos!$C$13)),Rendimientos!C97/Rendimientos!$C$13*100,NA())</f>
        <v>120.68</v>
      </c>
      <c r="AS97" s="44" t="n">
        <f aca="false">IF(AND(ISNUMBER(Rendimientos!D97),ISNUMBER(Rendimientos!$D$13)),Rendimientos!D97/Rendimientos!$D$13*100,NA())</f>
        <v>102.58828059386</v>
      </c>
    </row>
    <row r="98" customFormat="false" ht="13.8" hidden="false" customHeight="false" outlineLevel="0" collapsed="false">
      <c r="AE98" s="44" t="n">
        <f aca="false">IF(ISNUMBER(Rendimientos!C98),Rendimientos!A98,"")</f>
        <v>86</v>
      </c>
      <c r="AF98" s="122" t="n">
        <f aca="false">IF(AE98="","",Rendimientos!C98)</f>
        <v>30.05</v>
      </c>
      <c r="AG98" s="44" t="n">
        <f aca="false">IF(AF98="","",LN(AF98))</f>
        <v>3.40286266098122</v>
      </c>
      <c r="AH98" s="44" t="n">
        <f aca="false">IF(AE98="",NA(),AE98)</f>
        <v>86</v>
      </c>
      <c r="AI98" s="122" t="n">
        <f aca="false">IF(AE98="",NA(),AF98)</f>
        <v>30.05</v>
      </c>
      <c r="AK98" s="44" t="n">
        <f aca="false">IF(ISNUMBER(Rendimientos!D98),Rendimientos!A98,"")</f>
        <v>86</v>
      </c>
      <c r="AL98" s="122" t="n">
        <f aca="false">IF(AK98="","",Rendimientos!D98)</f>
        <v>54512.14</v>
      </c>
      <c r="AM98" s="44" t="n">
        <f aca="false">IF(AL98="","",LN(AL98))</f>
        <v>10.9061787081393</v>
      </c>
      <c r="AN98" s="44" t="n">
        <f aca="false">IF(AK98="",NA(),AK98)</f>
        <v>86</v>
      </c>
      <c r="AO98" s="122" t="n">
        <f aca="false">IF(AK98="",NA(),AL98)</f>
        <v>54512.14</v>
      </c>
      <c r="AQ98" s="55" t="n">
        <f aca="false">IF(ISNUMBER(Rendimientos!B98),Rendimientos!B98,NA())</f>
        <v>45081</v>
      </c>
      <c r="AR98" s="44" t="n">
        <f aca="false">IF(AND(ISNUMBER(Rendimientos!C98),ISNUMBER(Rendimientos!$C$13)),Rendimientos!C98/Rendimientos!$C$13*100,NA())</f>
        <v>120.2</v>
      </c>
      <c r="AS98" s="44" t="n">
        <f aca="false">IF(AND(ISNUMBER(Rendimientos!D98),ISNUMBER(Rendimientos!$D$13)),Rendimientos!D98/Rendimientos!$D$13*100,NA())</f>
        <v>105.053954872705</v>
      </c>
    </row>
    <row r="99" customFormat="false" ht="13.8" hidden="false" customHeight="false" outlineLevel="0" collapsed="false">
      <c r="AE99" s="44" t="n">
        <f aca="false">IF(ISNUMBER(Rendimientos!C99),Rendimientos!A99,"")</f>
        <v>87</v>
      </c>
      <c r="AF99" s="122" t="n">
        <f aca="false">IF(AE99="","",Rendimientos!C99)</f>
        <v>29.07</v>
      </c>
      <c r="AG99" s="44" t="n">
        <f aca="false">IF(AF99="","",LN(AF99))</f>
        <v>3.36970671457078</v>
      </c>
      <c r="AH99" s="44" t="n">
        <f aca="false">IF(AE99="",NA(),AE99)</f>
        <v>87</v>
      </c>
      <c r="AI99" s="122" t="n">
        <f aca="false">IF(AE99="",NA(),AF99)</f>
        <v>29.07</v>
      </c>
      <c r="AK99" s="44" t="n">
        <f aca="false">IF(ISNUMBER(Rendimientos!D99),Rendimientos!A99,"")</f>
        <v>87</v>
      </c>
      <c r="AL99" s="122" t="n">
        <f aca="false">IF(AK99="","",Rendimientos!D99)</f>
        <v>54842.51</v>
      </c>
      <c r="AM99" s="44" t="n">
        <f aca="false">IF(AL99="","",LN(AL99))</f>
        <v>10.9122209021402</v>
      </c>
      <c r="AN99" s="44" t="n">
        <f aca="false">IF(AK99="",NA(),AK99)</f>
        <v>87</v>
      </c>
      <c r="AO99" s="122" t="n">
        <f aca="false">IF(AK99="",NA(),AL99)</f>
        <v>54842.51</v>
      </c>
      <c r="AQ99" s="55" t="n">
        <f aca="false">IF(ISNUMBER(Rendimientos!B99),Rendimientos!B99,NA())</f>
        <v>45088</v>
      </c>
      <c r="AR99" s="44" t="n">
        <f aca="false">IF(AND(ISNUMBER(Rendimientos!C99),ISNUMBER(Rendimientos!$C$13)),Rendimientos!C99/Rendimientos!$C$13*100,NA())</f>
        <v>116.28</v>
      </c>
      <c r="AS99" s="44" t="n">
        <f aca="false">IF(AND(ISNUMBER(Rendimientos!D99),ISNUMBER(Rendimientos!$D$13)),Rendimientos!D99/Rendimientos!$D$13*100,NA())</f>
        <v>105.69063277732</v>
      </c>
    </row>
    <row r="100" customFormat="false" ht="13.8" hidden="false" customHeight="false" outlineLevel="0" collapsed="false">
      <c r="AE100" s="44" t="n">
        <f aca="false">IF(ISNUMBER(Rendimientos!C100),Rendimientos!A100,"")</f>
        <v>88</v>
      </c>
      <c r="AF100" s="122" t="n">
        <f aca="false">IF(AE100="","",Rendimientos!C100)</f>
        <v>28.86</v>
      </c>
      <c r="AG100" s="44" t="n">
        <f aca="false">IF(AF100="","",LN(AF100))</f>
        <v>3.36245655334572</v>
      </c>
      <c r="AH100" s="44" t="n">
        <f aca="false">IF(AE100="",NA(),AE100)</f>
        <v>88</v>
      </c>
      <c r="AI100" s="122" t="n">
        <f aca="false">IF(AE100="",NA(),AF100)</f>
        <v>28.86</v>
      </c>
      <c r="AK100" s="44" t="n">
        <f aca="false">IF(ISNUMBER(Rendimientos!D100),Rendimientos!A100,"")</f>
        <v>88</v>
      </c>
      <c r="AL100" s="122" t="n">
        <f aca="false">IF(AK100="","",Rendimientos!D100)</f>
        <v>53341.91</v>
      </c>
      <c r="AM100" s="44" t="n">
        <f aca="false">IF(AL100="","",LN(AL100))</f>
        <v>10.8844776051189</v>
      </c>
      <c r="AN100" s="44" t="n">
        <f aca="false">IF(AK100="",NA(),AK100)</f>
        <v>88</v>
      </c>
      <c r="AO100" s="122" t="n">
        <f aca="false">IF(AK100="",NA(),AL100)</f>
        <v>53341.91</v>
      </c>
      <c r="AQ100" s="55" t="n">
        <f aca="false">IF(ISNUMBER(Rendimientos!B100),Rendimientos!B100,NA())</f>
        <v>45095</v>
      </c>
      <c r="AR100" s="44" t="n">
        <f aca="false">IF(AND(ISNUMBER(Rendimientos!C100),ISNUMBER(Rendimientos!$C$13)),Rendimientos!C100/Rendimientos!$C$13*100,NA())</f>
        <v>115.44</v>
      </c>
      <c r="AS100" s="44" t="n">
        <f aca="false">IF(AND(ISNUMBER(Rendimientos!D100),ISNUMBER(Rendimientos!$D$13)),Rendimientos!D100/Rendimientos!$D$13*100,NA())</f>
        <v>102.798727145254</v>
      </c>
    </row>
    <row r="101" customFormat="false" ht="13.8" hidden="false" customHeight="false" outlineLevel="0" collapsed="false">
      <c r="AE101" s="44" t="n">
        <f aca="false">IF(ISNUMBER(Rendimientos!C101),Rendimientos!A101,"")</f>
        <v>89</v>
      </c>
      <c r="AF101" s="122" t="n">
        <f aca="false">IF(AE101="","",Rendimientos!C101)</f>
        <v>28.49</v>
      </c>
      <c r="AG101" s="44" t="n">
        <f aca="false">IF(AF101="","",LN(AF101))</f>
        <v>3.34955314850982</v>
      </c>
      <c r="AH101" s="44" t="n">
        <f aca="false">IF(AE101="",NA(),AE101)</f>
        <v>89</v>
      </c>
      <c r="AI101" s="122" t="n">
        <f aca="false">IF(AE101="",NA(),AF101)</f>
        <v>28.49</v>
      </c>
      <c r="AK101" s="44" t="n">
        <f aca="false">IF(ISNUMBER(Rendimientos!D101),Rendimientos!A101,"")</f>
        <v>89</v>
      </c>
      <c r="AL101" s="122" t="n">
        <f aca="false">IF(AK101="","",Rendimientos!D101)</f>
        <v>53526.1</v>
      </c>
      <c r="AM101" s="44" t="n">
        <f aca="false">IF(AL101="","",LN(AL101))</f>
        <v>10.887924664391</v>
      </c>
      <c r="AN101" s="44" t="n">
        <f aca="false">IF(AK101="",NA(),AK101)</f>
        <v>89</v>
      </c>
      <c r="AO101" s="122" t="n">
        <f aca="false">IF(AK101="",NA(),AL101)</f>
        <v>53526.1</v>
      </c>
      <c r="AQ101" s="55" t="n">
        <f aca="false">IF(ISNUMBER(Rendimientos!B101),Rendimientos!B101,NA())</f>
        <v>45102</v>
      </c>
      <c r="AR101" s="44" t="n">
        <f aca="false">IF(AND(ISNUMBER(Rendimientos!C101),ISNUMBER(Rendimientos!$C$13)),Rendimientos!C101/Rendimientos!$C$13*100,NA())</f>
        <v>113.96</v>
      </c>
      <c r="AS101" s="44" t="n">
        <f aca="false">IF(AND(ISNUMBER(Rendimientos!D101),ISNUMBER(Rendimientos!$D$13)),Rendimientos!D101/Rendimientos!$D$13*100,NA())</f>
        <v>103.153691891602</v>
      </c>
    </row>
    <row r="102" customFormat="false" ht="13.8" hidden="false" customHeight="false" outlineLevel="0" collapsed="false">
      <c r="AE102" s="44" t="n">
        <f aca="false">IF(ISNUMBER(Rendimientos!C102),Rendimientos!A102,"")</f>
        <v>90</v>
      </c>
      <c r="AF102" s="122" t="n">
        <f aca="false">IF(AE102="","",Rendimientos!C102)</f>
        <v>27.74</v>
      </c>
      <c r="AG102" s="44" t="n">
        <f aca="false">IF(AF102="","",LN(AF102))</f>
        <v>3.32287541488669</v>
      </c>
      <c r="AH102" s="44" t="n">
        <f aca="false">IF(AE102="",NA(),AE102)</f>
        <v>90</v>
      </c>
      <c r="AI102" s="122" t="n">
        <f aca="false">IF(AE102="",NA(),AF102)</f>
        <v>27.74</v>
      </c>
      <c r="AK102" s="44" t="n">
        <f aca="false">IF(ISNUMBER(Rendimientos!D102),Rendimientos!A102,"")</f>
        <v>90</v>
      </c>
      <c r="AL102" s="122" t="n">
        <f aca="false">IF(AK102="","",Rendimientos!D102)</f>
        <v>53904.29</v>
      </c>
      <c r="AM102" s="44" t="n">
        <f aca="false">IF(AL102="","",LN(AL102))</f>
        <v>10.8949653455666</v>
      </c>
      <c r="AN102" s="44" t="n">
        <f aca="false">IF(AK102="",NA(),AK102)</f>
        <v>90</v>
      </c>
      <c r="AO102" s="122" t="n">
        <f aca="false">IF(AK102="",NA(),AL102)</f>
        <v>53904.29</v>
      </c>
      <c r="AQ102" s="55" t="n">
        <f aca="false">IF(ISNUMBER(Rendimientos!B102),Rendimientos!B102,NA())</f>
        <v>45109</v>
      </c>
      <c r="AR102" s="44" t="n">
        <f aca="false">IF(AND(ISNUMBER(Rendimientos!C102),ISNUMBER(Rendimientos!$C$13)),Rendimientos!C102/Rendimientos!$C$13*100,NA())</f>
        <v>110.96</v>
      </c>
      <c r="AS102" s="44" t="n">
        <f aca="false">IF(AND(ISNUMBER(Rendimientos!D102),ISNUMBER(Rendimientos!$D$13)),Rendimientos!D102/Rendimientos!$D$13*100,NA())</f>
        <v>103.882526884932</v>
      </c>
    </row>
    <row r="103" customFormat="false" ht="13.8" hidden="false" customHeight="false" outlineLevel="0" collapsed="false">
      <c r="AE103" s="44" t="n">
        <f aca="false">IF(ISNUMBER(Rendimientos!C103),Rendimientos!A103,"")</f>
        <v>91</v>
      </c>
      <c r="AF103" s="122" t="n">
        <f aca="false">IF(AE103="","",Rendimientos!C103)</f>
        <v>27.69</v>
      </c>
      <c r="AG103" s="44" t="n">
        <f aca="false">IF(AF103="","",LN(AF103))</f>
        <v>3.32107133718287</v>
      </c>
      <c r="AH103" s="44" t="n">
        <f aca="false">IF(AE103="",NA(),AE103)</f>
        <v>91</v>
      </c>
      <c r="AI103" s="122" t="n">
        <f aca="false">IF(AE103="",NA(),AF103)</f>
        <v>27.69</v>
      </c>
      <c r="AK103" s="44" t="n">
        <f aca="false">IF(ISNUMBER(Rendimientos!D103),Rendimientos!A103,"")</f>
        <v>91</v>
      </c>
      <c r="AL103" s="122" t="n">
        <f aca="false">IF(AK103="","",Rendimientos!D103)</f>
        <v>53770.8</v>
      </c>
      <c r="AM103" s="44" t="n">
        <f aca="false">IF(AL103="","",LN(AL103))</f>
        <v>10.8924858478779</v>
      </c>
      <c r="AN103" s="44" t="n">
        <f aca="false">IF(AK103="",NA(),AK103)</f>
        <v>91</v>
      </c>
      <c r="AO103" s="122" t="n">
        <f aca="false">IF(AK103="",NA(),AL103)</f>
        <v>53770.8</v>
      </c>
      <c r="AQ103" s="55" t="n">
        <f aca="false">IF(ISNUMBER(Rendimientos!B103),Rendimientos!B103,NA())</f>
        <v>45116</v>
      </c>
      <c r="AR103" s="44" t="n">
        <f aca="false">IF(AND(ISNUMBER(Rendimientos!C103),ISNUMBER(Rendimientos!$C$13)),Rendimientos!C103/Rendimientos!$C$13*100,NA())</f>
        <v>110.76</v>
      </c>
      <c r="AS103" s="44" t="n">
        <f aca="false">IF(AND(ISNUMBER(Rendimientos!D103),ISNUMBER(Rendimientos!$D$13)),Rendimientos!D103/Rendimientos!$D$13*100,NA())</f>
        <v>103.625269466017</v>
      </c>
    </row>
    <row r="104" customFormat="false" ht="13.8" hidden="false" customHeight="false" outlineLevel="0" collapsed="false">
      <c r="AE104" s="44" t="n">
        <f aca="false">IF(ISNUMBER(Rendimientos!C104),Rendimientos!A104,"")</f>
        <v>92</v>
      </c>
      <c r="AF104" s="122" t="n">
        <f aca="false">IF(AE104="","",Rendimientos!C104)</f>
        <v>27.24</v>
      </c>
      <c r="AG104" s="44" t="n">
        <f aca="false">IF(AF104="","",LN(AF104))</f>
        <v>3.30468648128131</v>
      </c>
      <c r="AH104" s="44" t="n">
        <f aca="false">IF(AE104="",NA(),AE104)</f>
        <v>92</v>
      </c>
      <c r="AI104" s="122" t="n">
        <f aca="false">IF(AE104="",NA(),AF104)</f>
        <v>27.24</v>
      </c>
      <c r="AK104" s="44" t="n">
        <f aca="false">IF(ISNUMBER(Rendimientos!D104),Rendimientos!A104,"")</f>
        <v>92</v>
      </c>
      <c r="AL104" s="122" t="n">
        <f aca="false">IF(AK104="","",Rendimientos!D104)</f>
        <v>53702.16</v>
      </c>
      <c r="AM104" s="44" t="n">
        <f aca="false">IF(AL104="","",LN(AL104))</f>
        <v>10.8912085031517</v>
      </c>
      <c r="AN104" s="44" t="n">
        <f aca="false">IF(AK104="",NA(),AK104)</f>
        <v>92</v>
      </c>
      <c r="AO104" s="122" t="n">
        <f aca="false">IF(AK104="",NA(),AL104)</f>
        <v>53702.16</v>
      </c>
      <c r="AQ104" s="55" t="n">
        <f aca="false">IF(ISNUMBER(Rendimientos!B104),Rendimientos!B104,NA())</f>
        <v>45123</v>
      </c>
      <c r="AR104" s="44" t="n">
        <f aca="false">IF(AND(ISNUMBER(Rendimientos!C104),ISNUMBER(Rendimientos!$C$13)),Rendimientos!C104/Rendimientos!$C$13*100,NA())</f>
        <v>108.96</v>
      </c>
      <c r="AS104" s="44" t="n">
        <f aca="false">IF(AND(ISNUMBER(Rendimientos!D104),ISNUMBER(Rendimientos!$D$13)),Rendimientos!D104/Rendimientos!$D$13*100,NA())</f>
        <v>103.492988776569</v>
      </c>
    </row>
    <row r="105" customFormat="false" ht="13.8" hidden="false" customHeight="false" outlineLevel="0" collapsed="false">
      <c r="AE105" s="44" t="n">
        <f aca="false">IF(ISNUMBER(Rendimientos!C105),Rendimientos!A105,"")</f>
        <v>93</v>
      </c>
      <c r="AF105" s="122" t="n">
        <f aca="false">IF(AE105="","",Rendimientos!C105)</f>
        <v>27.38</v>
      </c>
      <c r="AG105" s="44" t="n">
        <f aca="false">IF(AF105="","",LN(AF105))</f>
        <v>3.3098128198603</v>
      </c>
      <c r="AH105" s="44" t="n">
        <f aca="false">IF(AE105="",NA(),AE105)</f>
        <v>93</v>
      </c>
      <c r="AI105" s="122" t="n">
        <f aca="false">IF(AE105="",NA(),AF105)</f>
        <v>27.38</v>
      </c>
      <c r="AK105" s="44" t="n">
        <f aca="false">IF(ISNUMBER(Rendimientos!D105),Rendimientos!A105,"")</f>
        <v>93</v>
      </c>
      <c r="AL105" s="122" t="n">
        <f aca="false">IF(AK105="","",Rendimientos!D105)</f>
        <v>54910.93</v>
      </c>
      <c r="AM105" s="44" t="n">
        <f aca="false">IF(AL105="","",LN(AL105))</f>
        <v>10.9134676969352</v>
      </c>
      <c r="AN105" s="44" t="n">
        <f aca="false">IF(AK105="",NA(),AK105)</f>
        <v>93</v>
      </c>
      <c r="AO105" s="122" t="n">
        <f aca="false">IF(AK105="",NA(),AL105)</f>
        <v>54910.93</v>
      </c>
      <c r="AQ105" s="55" t="n">
        <f aca="false">IF(ISNUMBER(Rendimientos!B105),Rendimientos!B105,NA())</f>
        <v>45130</v>
      </c>
      <c r="AR105" s="44" t="n">
        <f aca="false">IF(AND(ISNUMBER(Rendimientos!C105),ISNUMBER(Rendimientos!$C$13)),Rendimientos!C105/Rendimientos!$C$13*100,NA())</f>
        <v>109.52</v>
      </c>
      <c r="AS105" s="44" t="n">
        <f aca="false">IF(AND(ISNUMBER(Rendimientos!D105),ISNUMBER(Rendimientos!$D$13)),Rendimientos!D105/Rendimientos!$D$13*100,NA())</f>
        <v>105.822489490199</v>
      </c>
    </row>
    <row r="106" customFormat="false" ht="13.8" hidden="false" customHeight="false" outlineLevel="0" collapsed="false">
      <c r="AE106" s="44" t="n">
        <f aca="false">IF(ISNUMBER(Rendimientos!C106),Rendimientos!A106,"")</f>
        <v>94</v>
      </c>
      <c r="AF106" s="122" t="n">
        <f aca="false">IF(AE106="","",Rendimientos!C106)</f>
        <v>26.99</v>
      </c>
      <c r="AG106" s="44" t="n">
        <f aca="false">IF(AF106="","",LN(AF106))</f>
        <v>3.29546642702991</v>
      </c>
      <c r="AH106" s="44" t="n">
        <f aca="false">IF(AE106="",NA(),AE106)</f>
        <v>94</v>
      </c>
      <c r="AI106" s="122" t="n">
        <f aca="false">IF(AE106="",NA(),AF106)</f>
        <v>26.99</v>
      </c>
      <c r="AK106" s="44" t="n">
        <f aca="false">IF(ISNUMBER(Rendimientos!D106),Rendimientos!A106,"")</f>
        <v>94</v>
      </c>
      <c r="AL106" s="122" t="n">
        <f aca="false">IF(AK106="","",Rendimientos!D106)</f>
        <v>53991.42</v>
      </c>
      <c r="AM106" s="44" t="n">
        <f aca="false">IF(AL106="","",LN(AL106))</f>
        <v>10.8965804240333</v>
      </c>
      <c r="AN106" s="44" t="n">
        <f aca="false">IF(AK106="",NA(),AK106)</f>
        <v>94</v>
      </c>
      <c r="AO106" s="122" t="n">
        <f aca="false">IF(AK106="",NA(),AL106)</f>
        <v>53991.42</v>
      </c>
      <c r="AQ106" s="55" t="n">
        <f aca="false">IF(ISNUMBER(Rendimientos!B106),Rendimientos!B106,NA())</f>
        <v>45137</v>
      </c>
      <c r="AR106" s="44" t="n">
        <f aca="false">IF(AND(ISNUMBER(Rendimientos!C106),ISNUMBER(Rendimientos!$C$13)),Rendimientos!C106/Rendimientos!$C$13*100,NA())</f>
        <v>107.96</v>
      </c>
      <c r="AS106" s="44" t="n">
        <f aca="false">IF(AND(ISNUMBER(Rendimientos!D106),ISNUMBER(Rendimientos!$D$13)),Rendimientos!D106/Rendimientos!$D$13*100,NA())</f>
        <v>104.050440877817</v>
      </c>
    </row>
    <row r="107" customFormat="false" ht="13.8" hidden="false" customHeight="false" outlineLevel="0" collapsed="false">
      <c r="AE107" s="44" t="n">
        <f aca="false">IF(ISNUMBER(Rendimientos!C107),Rendimientos!A107,"")</f>
        <v>95</v>
      </c>
      <c r="AF107" s="122" t="n">
        <f aca="false">IF(AE107="","",Rendimientos!C107)</f>
        <v>27.19</v>
      </c>
      <c r="AG107" s="44" t="n">
        <f aca="false">IF(AF107="","",LN(AF107))</f>
        <v>3.30284925864438</v>
      </c>
      <c r="AH107" s="44" t="n">
        <f aca="false">IF(AE107="",NA(),AE107)</f>
        <v>95</v>
      </c>
      <c r="AI107" s="122" t="n">
        <f aca="false">IF(AE107="",NA(),AF107)</f>
        <v>27.19</v>
      </c>
      <c r="AK107" s="44" t="n">
        <f aca="false">IF(ISNUMBER(Rendimientos!D107),Rendimientos!A107,"")</f>
        <v>95</v>
      </c>
      <c r="AL107" s="122" t="n">
        <f aca="false">IF(AK107="","",Rendimientos!D107)</f>
        <v>53242.16</v>
      </c>
      <c r="AM107" s="44" t="n">
        <f aca="false">IF(AL107="","",LN(AL107))</f>
        <v>10.8826058426853</v>
      </c>
      <c r="AN107" s="44" t="n">
        <f aca="false">IF(AK107="",NA(),AK107)</f>
        <v>95</v>
      </c>
      <c r="AO107" s="122" t="n">
        <f aca="false">IF(AK107="",NA(),AL107)</f>
        <v>53242.16</v>
      </c>
      <c r="AQ107" s="55" t="n">
        <f aca="false">IF(ISNUMBER(Rendimientos!B107),Rendimientos!B107,NA())</f>
        <v>45144</v>
      </c>
      <c r="AR107" s="44" t="n">
        <f aca="false">IF(AND(ISNUMBER(Rendimientos!C107),ISNUMBER(Rendimientos!$C$13)),Rendimientos!C107/Rendimientos!$C$13*100,NA())</f>
        <v>108.76</v>
      </c>
      <c r="AS107" s="44" t="n">
        <f aca="false">IF(AND(ISNUMBER(Rendimientos!D107),ISNUMBER(Rendimientos!$D$13)),Rendimientos!D107/Rendimientos!$D$13*100,NA())</f>
        <v>102.606492314654</v>
      </c>
    </row>
    <row r="108" customFormat="false" ht="13.8" hidden="false" customHeight="false" outlineLevel="0" collapsed="false">
      <c r="AE108" s="44" t="n">
        <f aca="false">IF(ISNUMBER(Rendimientos!C108),Rendimientos!A108,"")</f>
        <v>96</v>
      </c>
      <c r="AF108" s="122" t="n">
        <f aca="false">IF(AE108="","",Rendimientos!C108)</f>
        <v>27.2</v>
      </c>
      <c r="AG108" s="44" t="n">
        <f aca="false">IF(AF108="","",LN(AF108))</f>
        <v>3.30321697330195</v>
      </c>
      <c r="AH108" s="44" t="n">
        <f aca="false">IF(AE108="",NA(),AE108)</f>
        <v>96</v>
      </c>
      <c r="AI108" s="122" t="n">
        <f aca="false">IF(AE108="",NA(),AF108)</f>
        <v>27.2</v>
      </c>
      <c r="AK108" s="44" t="n">
        <f aca="false">IF(ISNUMBER(Rendimientos!D108),Rendimientos!A108,"")</f>
        <v>96</v>
      </c>
      <c r="AL108" s="122" t="n">
        <f aca="false">IF(AK108="","",Rendimientos!D108)</f>
        <v>53194.39</v>
      </c>
      <c r="AM108" s="44" t="n">
        <f aca="false">IF(AL108="","",LN(AL108))</f>
        <v>10.8817082186416</v>
      </c>
      <c r="AN108" s="44" t="n">
        <f aca="false">IF(AK108="",NA(),AK108)</f>
        <v>96</v>
      </c>
      <c r="AO108" s="122" t="n">
        <f aca="false">IF(AK108="",NA(),AL108)</f>
        <v>53194.39</v>
      </c>
      <c r="AQ108" s="55" t="n">
        <f aca="false">IF(ISNUMBER(Rendimientos!B108),Rendimientos!B108,NA())</f>
        <v>45151</v>
      </c>
      <c r="AR108" s="44" t="n">
        <f aca="false">IF(AND(ISNUMBER(Rendimientos!C108),ISNUMBER(Rendimientos!$C$13)),Rendimientos!C108/Rendimientos!$C$13*100,NA())</f>
        <v>108.8</v>
      </c>
      <c r="AS108" s="44" t="n">
        <f aca="false">IF(AND(ISNUMBER(Rendimientos!D108),ISNUMBER(Rendimientos!$D$13)),Rendimientos!D108/Rendimientos!$D$13*100,NA())</f>
        <v>102.51443158425</v>
      </c>
    </row>
    <row r="109" customFormat="false" ht="13.8" hidden="false" customHeight="false" outlineLevel="0" collapsed="false">
      <c r="AE109" s="44" t="n">
        <f aca="false">IF(ISNUMBER(Rendimientos!C109),Rendimientos!A109,"")</f>
        <v>97</v>
      </c>
      <c r="AF109" s="122" t="n">
        <f aca="false">IF(AE109="","",Rendimientos!C109)</f>
        <v>26.49</v>
      </c>
      <c r="AG109" s="44" t="n">
        <f aca="false">IF(AF109="","",LN(AF109))</f>
        <v>3.27676730328398</v>
      </c>
      <c r="AH109" s="44" t="n">
        <f aca="false">IF(AE109="",NA(),AE109)</f>
        <v>97</v>
      </c>
      <c r="AI109" s="122" t="n">
        <f aca="false">IF(AE109="",NA(),AF109)</f>
        <v>26.49</v>
      </c>
      <c r="AK109" s="44" t="n">
        <f aca="false">IF(ISNUMBER(Rendimientos!D109),Rendimientos!A109,"")</f>
        <v>97</v>
      </c>
      <c r="AL109" s="122" t="n">
        <f aca="false">IF(AK109="","",Rendimientos!D109)</f>
        <v>53191.53</v>
      </c>
      <c r="AM109" s="44" t="n">
        <f aca="false">IF(AL109="","",LN(AL109))</f>
        <v>10.8816544521281</v>
      </c>
      <c r="AN109" s="44" t="n">
        <f aca="false">IF(AK109="",NA(),AK109)</f>
        <v>97</v>
      </c>
      <c r="AO109" s="122" t="n">
        <f aca="false">IF(AK109="",NA(),AL109)</f>
        <v>53191.53</v>
      </c>
      <c r="AQ109" s="55" t="n">
        <f aca="false">IF(ISNUMBER(Rendimientos!B109),Rendimientos!B109,NA())</f>
        <v>45158</v>
      </c>
      <c r="AR109" s="44" t="n">
        <f aca="false">IF(AND(ISNUMBER(Rendimientos!C109),ISNUMBER(Rendimientos!$C$13)),Rendimientos!C109/Rendimientos!$C$13*100,NA())</f>
        <v>105.96</v>
      </c>
      <c r="AS109" s="44" t="n">
        <f aca="false">IF(AND(ISNUMBER(Rendimientos!D109),ISNUMBER(Rendimientos!$D$13)),Rendimientos!D109/Rendimientos!$D$13*100,NA())</f>
        <v>102.508919888856</v>
      </c>
    </row>
    <row r="110" customFormat="false" ht="13.8" hidden="false" customHeight="false" outlineLevel="0" collapsed="false">
      <c r="AE110" s="44" t="n">
        <f aca="false">IF(ISNUMBER(Rendimientos!C110),Rendimientos!A110,"")</f>
        <v>98</v>
      </c>
      <c r="AF110" s="122" t="n">
        <f aca="false">IF(AE110="","",Rendimientos!C110)</f>
        <v>29.07</v>
      </c>
      <c r="AG110" s="44" t="n">
        <f aca="false">IF(AF110="","",LN(AF110))</f>
        <v>3.36970671457078</v>
      </c>
      <c r="AH110" s="44" t="n">
        <f aca="false">IF(AE110="",NA(),AE110)</f>
        <v>98</v>
      </c>
      <c r="AI110" s="122" t="n">
        <f aca="false">IF(AE110="",NA(),AF110)</f>
        <v>29.07</v>
      </c>
      <c r="AK110" s="44" t="n">
        <f aca="false">IF(ISNUMBER(Rendimientos!D110),Rendimientos!A110,"")</f>
        <v>98</v>
      </c>
      <c r="AL110" s="122" t="n">
        <f aca="false">IF(AK110="","",Rendimientos!D110)</f>
        <v>53145.36</v>
      </c>
      <c r="AM110" s="44" t="n">
        <f aca="false">IF(AL110="","",LN(AL110))</f>
        <v>10.8807860798651</v>
      </c>
      <c r="AN110" s="44" t="n">
        <f aca="false">IF(AK110="",NA(),AK110)</f>
        <v>98</v>
      </c>
      <c r="AO110" s="122" t="n">
        <f aca="false">IF(AK110="",NA(),AL110)</f>
        <v>53145.36</v>
      </c>
      <c r="AQ110" s="55" t="n">
        <f aca="false">IF(ISNUMBER(Rendimientos!B110),Rendimientos!B110,NA())</f>
        <v>45165</v>
      </c>
      <c r="AR110" s="44" t="n">
        <f aca="false">IF(AND(ISNUMBER(Rendimientos!C110),ISNUMBER(Rendimientos!$C$13)),Rendimientos!C110/Rendimientos!$C$13*100,NA())</f>
        <v>116.28</v>
      </c>
      <c r="AS110" s="44" t="n">
        <f aca="false">IF(AND(ISNUMBER(Rendimientos!D110),ISNUMBER(Rendimientos!$D$13)),Rendimientos!D110/Rendimientos!$D$13*100,NA())</f>
        <v>102.419942624407</v>
      </c>
    </row>
    <row r="111" customFormat="false" ht="13.8" hidden="false" customHeight="false" outlineLevel="0" collapsed="false">
      <c r="AE111" s="44" t="n">
        <f aca="false">IF(ISNUMBER(Rendimientos!C111),Rendimientos!A111,"")</f>
        <v>99</v>
      </c>
      <c r="AF111" s="122" t="n">
        <f aca="false">IF(AE111="","",Rendimientos!C111)</f>
        <v>28</v>
      </c>
      <c r="AG111" s="44" t="n">
        <f aca="false">IF(AF111="","",LN(AF111))</f>
        <v>3.3322045101752</v>
      </c>
      <c r="AH111" s="44" t="n">
        <f aca="false">IF(AE111="",NA(),AE111)</f>
        <v>99</v>
      </c>
      <c r="AI111" s="122" t="n">
        <f aca="false">IF(AE111="",NA(),AF111)</f>
        <v>28</v>
      </c>
      <c r="AK111" s="44" t="n">
        <f aca="false">IF(ISNUMBER(Rendimientos!D111),Rendimientos!A111,"")</f>
        <v>99</v>
      </c>
      <c r="AL111" s="122" t="n">
        <f aca="false">IF(AK111="","",Rendimientos!D111)</f>
        <v>52505.11</v>
      </c>
      <c r="AM111" s="44" t="n">
        <f aca="false">IF(AL111="","",LN(AL111))</f>
        <v>10.8686657771765</v>
      </c>
      <c r="AN111" s="44" t="n">
        <f aca="false">IF(AK111="",NA(),AK111)</f>
        <v>99</v>
      </c>
      <c r="AO111" s="122" t="n">
        <f aca="false">IF(AK111="",NA(),AL111)</f>
        <v>52505.11</v>
      </c>
      <c r="AQ111" s="55" t="n">
        <f aca="false">IF(ISNUMBER(Rendimientos!B111),Rendimientos!B111,NA())</f>
        <v>45172</v>
      </c>
      <c r="AR111" s="44" t="n">
        <f aca="false">IF(AND(ISNUMBER(Rendimientos!C111),ISNUMBER(Rendimientos!$C$13)),Rendimientos!C111/Rendimientos!$C$13*100,NA())</f>
        <v>112</v>
      </c>
      <c r="AS111" s="44" t="n">
        <f aca="false">IF(AND(ISNUMBER(Rendimientos!D111),ISNUMBER(Rendimientos!$D$13)),Rendimientos!D111/Rendimientos!$D$13*100,NA())</f>
        <v>101.186074451056</v>
      </c>
    </row>
    <row r="112" customFormat="false" ht="13.8" hidden="false" customHeight="false" outlineLevel="0" collapsed="false">
      <c r="AE112" s="44" t="n">
        <f aca="false">IF(ISNUMBER(Rendimientos!C112),Rendimientos!A112,"")</f>
        <v>100</v>
      </c>
      <c r="AF112" s="122" t="n">
        <f aca="false">IF(AE112="","",Rendimientos!C112)</f>
        <v>26</v>
      </c>
      <c r="AG112" s="44" t="n">
        <f aca="false">IF(AF112="","",LN(AF112))</f>
        <v>3.25809653802148</v>
      </c>
      <c r="AH112" s="44" t="n">
        <f aca="false">IF(AE112="",NA(),AE112)</f>
        <v>100</v>
      </c>
      <c r="AI112" s="122" t="n">
        <f aca="false">IF(AE112="",NA(),AF112)</f>
        <v>26</v>
      </c>
      <c r="AK112" s="44" t="n">
        <f aca="false">IF(ISNUMBER(Rendimientos!D112),Rendimientos!A112,"")</f>
        <v>100</v>
      </c>
      <c r="AL112" s="122" t="n">
        <f aca="false">IF(AK112="","",Rendimientos!D112)</f>
        <v>51351.6</v>
      </c>
      <c r="AM112" s="44" t="n">
        <f aca="false">IF(AL112="","",LN(AL112))</f>
        <v>10.846451373586</v>
      </c>
      <c r="AN112" s="44" t="n">
        <f aca="false">IF(AK112="",NA(),AK112)</f>
        <v>100</v>
      </c>
      <c r="AO112" s="122" t="n">
        <f aca="false">IF(AK112="",NA(),AL112)</f>
        <v>51351.6</v>
      </c>
      <c r="AQ112" s="55" t="n">
        <f aca="false">IF(ISNUMBER(Rendimientos!B112),Rendimientos!B112,NA())</f>
        <v>45179</v>
      </c>
      <c r="AR112" s="44" t="n">
        <f aca="false">IF(AND(ISNUMBER(Rendimientos!C112),ISNUMBER(Rendimientos!$C$13)),Rendimientos!C112/Rendimientos!$C$13*100,NA())</f>
        <v>104</v>
      </c>
      <c r="AS112" s="44" t="n">
        <f aca="false">IF(AND(ISNUMBER(Rendimientos!D112),ISNUMBER(Rendimientos!$D$13)),Rendimientos!D112/Rendimientos!$D$13*100,NA())</f>
        <v>98.9630689428298</v>
      </c>
    </row>
    <row r="113" customFormat="false" ht="13.8" hidden="false" customHeight="false" outlineLevel="0" collapsed="false">
      <c r="AE113" s="44" t="n">
        <f aca="false">IF(ISNUMBER(Rendimientos!C113),Rendimientos!A113,"")</f>
        <v>101</v>
      </c>
      <c r="AF113" s="122" t="n">
        <f aca="false">IF(AE113="","",Rendimientos!C113)</f>
        <v>28.35</v>
      </c>
      <c r="AG113" s="44" t="n">
        <f aca="false">IF(AF113="","",LN(AF113))</f>
        <v>3.34462703017376</v>
      </c>
      <c r="AH113" s="44" t="n">
        <f aca="false">IF(AE113="",NA(),AE113)</f>
        <v>101</v>
      </c>
      <c r="AI113" s="122" t="n">
        <f aca="false">IF(AE113="",NA(),AF113)</f>
        <v>28.35</v>
      </c>
      <c r="AK113" s="44" t="n">
        <f aca="false">IF(ISNUMBER(Rendimientos!D113),Rendimientos!A113,"")</f>
        <v>101</v>
      </c>
      <c r="AL113" s="122" t="n">
        <f aca="false">IF(AK113="","",Rendimientos!D113)</f>
        <v>51677.48</v>
      </c>
      <c r="AM113" s="44" t="n">
        <f aca="false">IF(AL113="","",LN(AL113))</f>
        <v>10.8527773756577</v>
      </c>
      <c r="AN113" s="44" t="n">
        <f aca="false">IF(AK113="",NA(),AK113)</f>
        <v>101</v>
      </c>
      <c r="AO113" s="122" t="n">
        <f aca="false">IF(AK113="",NA(),AL113)</f>
        <v>51677.48</v>
      </c>
      <c r="AQ113" s="55" t="n">
        <f aca="false">IF(ISNUMBER(Rendimientos!B113),Rendimientos!B113,NA())</f>
        <v>45186</v>
      </c>
      <c r="AR113" s="44" t="n">
        <f aca="false">IF(AND(ISNUMBER(Rendimientos!C113),ISNUMBER(Rendimientos!$C$13)),Rendimientos!C113/Rendimientos!$C$13*100,NA())</f>
        <v>113.4</v>
      </c>
      <c r="AS113" s="44" t="n">
        <f aca="false">IF(AND(ISNUMBER(Rendimientos!D113),ISNUMBER(Rendimientos!$D$13)),Rendimientos!D113/Rendimientos!$D$13*100,NA())</f>
        <v>99.5910938711104</v>
      </c>
    </row>
    <row r="114" customFormat="false" ht="13.8" hidden="false" customHeight="false" outlineLevel="0" collapsed="false">
      <c r="AE114" s="44" t="n">
        <f aca="false">IF(ISNUMBER(Rendimientos!C114),Rendimientos!A114,"")</f>
        <v>102</v>
      </c>
      <c r="AF114" s="122" t="n">
        <f aca="false">IF(AE114="","",Rendimientos!C114)</f>
        <v>31.7</v>
      </c>
      <c r="AG114" s="44" t="n">
        <f aca="false">IF(AF114="","",LN(AF114))</f>
        <v>3.45631668088324</v>
      </c>
      <c r="AH114" s="44" t="n">
        <f aca="false">IF(AE114="",NA(),AE114)</f>
        <v>102</v>
      </c>
      <c r="AI114" s="122" t="n">
        <f aca="false">IF(AE114="",NA(),AF114)</f>
        <v>31.7</v>
      </c>
      <c r="AK114" s="44" t="n">
        <f aca="false">IF(ISNUMBER(Rendimientos!D114),Rendimientos!A114,"")</f>
        <v>102</v>
      </c>
      <c r="AL114" s="122" t="n">
        <f aca="false">IF(AK114="","",Rendimientos!D114)</f>
        <v>50874.98</v>
      </c>
      <c r="AM114" s="44" t="n">
        <f aca="false">IF(AL114="","",LN(AL114))</f>
        <v>10.8371265296244</v>
      </c>
      <c r="AN114" s="44" t="n">
        <f aca="false">IF(AK114="",NA(),AK114)</f>
        <v>102</v>
      </c>
      <c r="AO114" s="122" t="n">
        <f aca="false">IF(AK114="",NA(),AL114)</f>
        <v>50874.98</v>
      </c>
      <c r="AQ114" s="55" t="n">
        <f aca="false">IF(ISNUMBER(Rendimientos!B114),Rendimientos!B114,NA())</f>
        <v>45193</v>
      </c>
      <c r="AR114" s="44" t="n">
        <f aca="false">IF(AND(ISNUMBER(Rendimientos!C114),ISNUMBER(Rendimientos!$C$13)),Rendimientos!C114/Rendimientos!$C$13*100,NA())</f>
        <v>126.8</v>
      </c>
      <c r="AS114" s="44" t="n">
        <f aca="false">IF(AND(ISNUMBER(Rendimientos!D114),ISNUMBER(Rendimientos!$D$13)),Rendimientos!D114/Rendimientos!$D$13*100,NA())</f>
        <v>98.0445429783121</v>
      </c>
    </row>
    <row r="115" customFormat="false" ht="13.8" hidden="false" customHeight="false" outlineLevel="0" collapsed="false">
      <c r="AE115" s="44" t="n">
        <f aca="false">IF(ISNUMBER(Rendimientos!C115),Rendimientos!A115,"")</f>
        <v>103</v>
      </c>
      <c r="AF115" s="122" t="n">
        <f aca="false">IF(AE115="","",Rendimientos!C115)</f>
        <v>29.34</v>
      </c>
      <c r="AG115" s="44" t="n">
        <f aca="false">IF(AF115="","",LN(AF115))</f>
        <v>3.37895177271484</v>
      </c>
      <c r="AH115" s="44" t="n">
        <f aca="false">IF(AE115="",NA(),AE115)</f>
        <v>103</v>
      </c>
      <c r="AI115" s="122" t="n">
        <f aca="false">IF(AE115="",NA(),AF115)</f>
        <v>29.34</v>
      </c>
      <c r="AK115" s="44" t="n">
        <f aca="false">IF(ISNUMBER(Rendimientos!D115),Rendimientos!A115,"")</f>
        <v>103</v>
      </c>
      <c r="AL115" s="122" t="n">
        <f aca="false">IF(AK115="","",Rendimientos!D115)</f>
        <v>49666.5</v>
      </c>
      <c r="AM115" s="44" t="n">
        <f aca="false">IF(AL115="","",LN(AL115))</f>
        <v>10.8130859405492</v>
      </c>
      <c r="AN115" s="44" t="n">
        <f aca="false">IF(AK115="",NA(),AK115)</f>
        <v>103</v>
      </c>
      <c r="AO115" s="122" t="n">
        <f aca="false">IF(AK115="",NA(),AL115)</f>
        <v>49666.5</v>
      </c>
      <c r="AQ115" s="55" t="n">
        <f aca="false">IF(ISNUMBER(Rendimientos!B115),Rendimientos!B115,NA())</f>
        <v>45200</v>
      </c>
      <c r="AR115" s="44" t="n">
        <f aca="false">IF(AND(ISNUMBER(Rendimientos!C115),ISNUMBER(Rendimientos!$C$13)),Rendimientos!C115/Rendimientos!$C$13*100,NA())</f>
        <v>117.36</v>
      </c>
      <c r="AS115" s="44" t="n">
        <f aca="false">IF(AND(ISNUMBER(Rendimientos!D115),ISNUMBER(Rendimientos!$D$13)),Rendimientos!D115/Rendimientos!$D$13*100,NA())</f>
        <v>95.7156011428867</v>
      </c>
    </row>
    <row r="116" customFormat="false" ht="13.8" hidden="false" customHeight="false" outlineLevel="0" collapsed="false">
      <c r="AE116" s="44" t="n">
        <f aca="false">IF(ISNUMBER(Rendimientos!C116),Rendimientos!A116,"")</f>
        <v>104</v>
      </c>
      <c r="AF116" s="122" t="n">
        <f aca="false">IF(AE116="","",Rendimientos!C116)</f>
        <v>29.85</v>
      </c>
      <c r="AG116" s="44" t="n">
        <f aca="false">IF(AF116="","",LN(AF116))</f>
        <v>3.39618483983861</v>
      </c>
      <c r="AH116" s="44" t="n">
        <f aca="false">IF(AE116="",NA(),AE116)</f>
        <v>104</v>
      </c>
      <c r="AI116" s="122" t="n">
        <f aca="false">IF(AE116="",NA(),AF116)</f>
        <v>29.85</v>
      </c>
      <c r="AK116" s="44" t="n">
        <f aca="false">IF(ISNUMBER(Rendimientos!D116),Rendimientos!A116,"")</f>
        <v>104</v>
      </c>
      <c r="AL116" s="122" t="n">
        <f aca="false">IF(AK116="","",Rendimientos!D116)</f>
        <v>49379.58</v>
      </c>
      <c r="AM116" s="44" t="n">
        <f aca="false">IF(AL116="","",LN(AL116))</f>
        <v>10.8072922573952</v>
      </c>
      <c r="AN116" s="44" t="n">
        <f aca="false">IF(AK116="",NA(),AK116)</f>
        <v>104</v>
      </c>
      <c r="AO116" s="122" t="n">
        <f aca="false">IF(AK116="",NA(),AL116)</f>
        <v>49379.58</v>
      </c>
      <c r="AQ116" s="55" t="n">
        <f aca="false">IF(ISNUMBER(Rendimientos!B116),Rendimientos!B116,NA())</f>
        <v>45207</v>
      </c>
      <c r="AR116" s="44" t="n">
        <f aca="false">IF(AND(ISNUMBER(Rendimientos!C116),ISNUMBER(Rendimientos!$C$13)),Rendimientos!C116/Rendimientos!$C$13*100,NA())</f>
        <v>119.4</v>
      </c>
      <c r="AS116" s="44" t="n">
        <f aca="false">IF(AND(ISNUMBER(Rendimientos!D116),ISNUMBER(Rendimientos!$D$13)),Rendimientos!D116/Rendimientos!$D$13*100,NA())</f>
        <v>95.1626586105979</v>
      </c>
    </row>
    <row r="117" customFormat="false" ht="13.8" hidden="false" customHeight="false" outlineLevel="0" collapsed="false">
      <c r="AE117" s="44" t="n">
        <f aca="false">IF(ISNUMBER(Rendimientos!C117),Rendimientos!A117,"")</f>
        <v>105</v>
      </c>
      <c r="AF117" s="122" t="n">
        <f aca="false">IF(AE117="","",Rendimientos!C117)</f>
        <v>29.05</v>
      </c>
      <c r="AG117" s="44" t="n">
        <f aca="false">IF(AF117="","",LN(AF117))</f>
        <v>3.36901848329792</v>
      </c>
      <c r="AH117" s="44" t="n">
        <f aca="false">IF(AE117="",NA(),AE117)</f>
        <v>105</v>
      </c>
      <c r="AI117" s="122" t="n">
        <f aca="false">IF(AE117="",NA(),AF117)</f>
        <v>29.05</v>
      </c>
      <c r="AK117" s="44" t="n">
        <f aca="false">IF(ISNUMBER(Rendimientos!D117),Rendimientos!A117,"")</f>
        <v>105</v>
      </c>
      <c r="AL117" s="122" t="n">
        <f aca="false">IF(AK117="","",Rendimientos!D117)</f>
        <v>48275.91</v>
      </c>
      <c r="AM117" s="44" t="n">
        <f aca="false">IF(AL117="","",LN(AL117))</f>
        <v>10.7846879574557</v>
      </c>
      <c r="AN117" s="44" t="n">
        <f aca="false">IF(AK117="",NA(),AK117)</f>
        <v>105</v>
      </c>
      <c r="AO117" s="122" t="n">
        <f aca="false">IF(AK117="",NA(),AL117)</f>
        <v>48275.91</v>
      </c>
      <c r="AQ117" s="55" t="n">
        <f aca="false">IF(ISNUMBER(Rendimientos!B117),Rendimientos!B117,NA())</f>
        <v>45214</v>
      </c>
      <c r="AR117" s="44" t="n">
        <f aca="false">IF(AND(ISNUMBER(Rendimientos!C117),ISNUMBER(Rendimientos!$C$13)),Rendimientos!C117/Rendimientos!$C$13*100,NA())</f>
        <v>116.2</v>
      </c>
      <c r="AS117" s="44" t="n">
        <f aca="false">IF(AND(ISNUMBER(Rendimientos!D117),ISNUMBER(Rendimientos!$D$13)),Rendimientos!D117/Rendimientos!$D$13*100,NA())</f>
        <v>93.0357030668538</v>
      </c>
    </row>
    <row r="118" customFormat="false" ht="13.8" hidden="false" customHeight="false" outlineLevel="0" collapsed="false">
      <c r="AE118" s="44" t="n">
        <f aca="false">IF(ISNUMBER(Rendimientos!C118),Rendimientos!A118,"")</f>
        <v>106</v>
      </c>
      <c r="AF118" s="122" t="n">
        <f aca="false">IF(AE118="","",Rendimientos!C118)</f>
        <v>32.09</v>
      </c>
      <c r="AG118" s="44" t="n">
        <f aca="false">IF(AF118="","",LN(AF118))</f>
        <v>3.46854445512177</v>
      </c>
      <c r="AH118" s="44" t="n">
        <f aca="false">IF(AE118="",NA(),AE118)</f>
        <v>106</v>
      </c>
      <c r="AI118" s="122" t="n">
        <f aca="false">IF(AE118="",NA(),AF118)</f>
        <v>32.09</v>
      </c>
      <c r="AK118" s="44" t="n">
        <f aca="false">IF(ISNUMBER(Rendimientos!D118),Rendimientos!A118,"")</f>
        <v>106</v>
      </c>
      <c r="AL118" s="122" t="n">
        <f aca="false">IF(AK118="","",Rendimientos!D118)</f>
        <v>48973.85</v>
      </c>
      <c r="AM118" s="44" t="n">
        <f aca="false">IF(AL118="","",LN(AL118))</f>
        <v>10.799041761169</v>
      </c>
      <c r="AN118" s="44" t="n">
        <f aca="false">IF(AK118="",NA(),AK118)</f>
        <v>106</v>
      </c>
      <c r="AO118" s="122" t="n">
        <f aca="false">IF(AK118="",NA(),AL118)</f>
        <v>48973.85</v>
      </c>
      <c r="AQ118" s="55" t="n">
        <f aca="false">IF(ISNUMBER(Rendimientos!B118),Rendimientos!B118,NA())</f>
        <v>45221</v>
      </c>
      <c r="AR118" s="44" t="n">
        <f aca="false">IF(AND(ISNUMBER(Rendimientos!C118),ISNUMBER(Rendimientos!$C$13)),Rendimientos!C118/Rendimientos!$C$13*100,NA())</f>
        <v>128.36</v>
      </c>
      <c r="AS118" s="44" t="n">
        <f aca="false">IF(AND(ISNUMBER(Rendimientos!D118),ISNUMBER(Rendimientos!$D$13)),Rendimientos!D118/Rendimientos!$D$13*100,NA())</f>
        <v>94.3807494595262</v>
      </c>
    </row>
    <row r="119" customFormat="false" ht="13.8" hidden="false" customHeight="false" outlineLevel="0" collapsed="false">
      <c r="AE119" s="44" t="n">
        <f aca="false">IF(ISNUMBER(Rendimientos!C119),Rendimientos!A119,"")</f>
        <v>107</v>
      </c>
      <c r="AF119" s="122" t="n">
        <f aca="false">IF(AE119="","",Rendimientos!C119)</f>
        <v>32.03</v>
      </c>
      <c r="AG119" s="44" t="n">
        <f aca="false">IF(AF119="","",LN(AF119))</f>
        <v>3.46667296362107</v>
      </c>
      <c r="AH119" s="44" t="n">
        <f aca="false">IF(AE119="",NA(),AE119)</f>
        <v>107</v>
      </c>
      <c r="AI119" s="122" t="n">
        <f aca="false">IF(AE119="",NA(),AF119)</f>
        <v>32.03</v>
      </c>
      <c r="AK119" s="44" t="n">
        <f aca="false">IF(ISNUMBER(Rendimientos!D119),Rendimientos!A119,"")</f>
        <v>107</v>
      </c>
      <c r="AL119" s="122" t="n">
        <f aca="false">IF(AK119="","",Rendimientos!D119)</f>
        <v>51266.73</v>
      </c>
      <c r="AM119" s="44" t="n">
        <f aca="false">IF(AL119="","",LN(AL119))</f>
        <v>10.8447972827554</v>
      </c>
      <c r="AN119" s="44" t="n">
        <f aca="false">IF(AK119="",NA(),AK119)</f>
        <v>107</v>
      </c>
      <c r="AO119" s="122" t="n">
        <f aca="false">IF(AK119="",NA(),AL119)</f>
        <v>51266.73</v>
      </c>
      <c r="AQ119" s="55" t="n">
        <f aca="false">IF(ISNUMBER(Rendimientos!B119),Rendimientos!B119,NA())</f>
        <v>45228</v>
      </c>
      <c r="AR119" s="44" t="n">
        <f aca="false">IF(AND(ISNUMBER(Rendimientos!C119),ISNUMBER(Rendimientos!$C$13)),Rendimientos!C119/Rendimientos!$C$13*100,NA())</f>
        <v>128.12</v>
      </c>
      <c r="AS119" s="44" t="n">
        <f aca="false">IF(AND(ISNUMBER(Rendimientos!D119),ISNUMBER(Rendimientos!$D$13)),Rendimientos!D119/Rendimientos!$D$13*100,NA())</f>
        <v>98.7995103456064</v>
      </c>
    </row>
    <row r="120" customFormat="false" ht="13.8" hidden="false" customHeight="false" outlineLevel="0" collapsed="false">
      <c r="AE120" s="44" t="n">
        <f aca="false">IF(ISNUMBER(Rendimientos!C120),Rendimientos!A120,"")</f>
        <v>108</v>
      </c>
      <c r="AF120" s="122" t="n">
        <f aca="false">IF(AE120="","",Rendimientos!C120)</f>
        <v>29.94</v>
      </c>
      <c r="AG120" s="44" t="n">
        <f aca="false">IF(AF120="","",LN(AF120))</f>
        <v>3.39919537899148</v>
      </c>
      <c r="AH120" s="44" t="n">
        <f aca="false">IF(AE120="",NA(),AE120)</f>
        <v>108</v>
      </c>
      <c r="AI120" s="122" t="n">
        <f aca="false">IF(AE120="",NA(),AF120)</f>
        <v>29.94</v>
      </c>
      <c r="AK120" s="44" t="n">
        <f aca="false">IF(ISNUMBER(Rendimientos!D120),Rendimientos!A120,"")</f>
        <v>108</v>
      </c>
      <c r="AL120" s="122" t="n">
        <f aca="false">IF(AK120="","",Rendimientos!D120)</f>
        <v>51258.24</v>
      </c>
      <c r="AM120" s="44" t="n">
        <f aca="false">IF(AL120="","",LN(AL120))</f>
        <v>10.8446316645647</v>
      </c>
      <c r="AN120" s="44" t="n">
        <f aca="false">IF(AK120="",NA(),AK120)</f>
        <v>108</v>
      </c>
      <c r="AO120" s="122" t="n">
        <f aca="false">IF(AK120="",NA(),AL120)</f>
        <v>51258.24</v>
      </c>
      <c r="AQ120" s="55" t="n">
        <f aca="false">IF(ISNUMBER(Rendimientos!B120),Rendimientos!B120,NA())</f>
        <v>45235</v>
      </c>
      <c r="AR120" s="44" t="n">
        <f aca="false">IF(AND(ISNUMBER(Rendimientos!C120),ISNUMBER(Rendimientos!$C$13)),Rendimientos!C120/Rendimientos!$C$13*100,NA())</f>
        <v>119.76</v>
      </c>
      <c r="AS120" s="44" t="n">
        <f aca="false">IF(AND(ISNUMBER(Rendimientos!D120),ISNUMBER(Rendimientos!$D$13)),Rendimientos!D120/Rendimientos!$D$13*100,NA())</f>
        <v>98.7831487043854</v>
      </c>
    </row>
    <row r="121" customFormat="false" ht="13.8" hidden="false" customHeight="false" outlineLevel="0" collapsed="false">
      <c r="AE121" s="44" t="n">
        <f aca="false">IF(ISNUMBER(Rendimientos!C121),Rendimientos!A121,"")</f>
        <v>109</v>
      </c>
      <c r="AF121" s="122" t="n">
        <f aca="false">IF(AE121="","",Rendimientos!C121)</f>
        <v>30.49</v>
      </c>
      <c r="AG121" s="44" t="n">
        <f aca="false">IF(AF121="","",LN(AF121))</f>
        <v>3.41739876100016</v>
      </c>
      <c r="AH121" s="44" t="n">
        <f aca="false">IF(AE121="",NA(),AE121)</f>
        <v>109</v>
      </c>
      <c r="AI121" s="122" t="n">
        <f aca="false">IF(AE121="",NA(),AF121)</f>
        <v>30.49</v>
      </c>
      <c r="AK121" s="44" t="n">
        <f aca="false">IF(ISNUMBER(Rendimientos!D121),Rendimientos!A121,"")</f>
        <v>109</v>
      </c>
      <c r="AL121" s="122" t="n">
        <f aca="false">IF(AK121="","",Rendimientos!D121)</f>
        <v>52685.1</v>
      </c>
      <c r="AM121" s="44" t="n">
        <f aca="false">IF(AL121="","",LN(AL121))</f>
        <v>10.8720879621053</v>
      </c>
      <c r="AN121" s="44" t="n">
        <f aca="false">IF(AK121="",NA(),AK121)</f>
        <v>109</v>
      </c>
      <c r="AO121" s="122" t="n">
        <f aca="false">IF(AK121="",NA(),AL121)</f>
        <v>52685.1</v>
      </c>
      <c r="AQ121" s="55" t="n">
        <f aca="false">IF(ISNUMBER(Rendimientos!B121),Rendimientos!B121,NA())</f>
        <v>45242</v>
      </c>
      <c r="AR121" s="44" t="n">
        <f aca="false">IF(AND(ISNUMBER(Rendimientos!C121),ISNUMBER(Rendimientos!$C$13)),Rendimientos!C121/Rendimientos!$C$13*100,NA())</f>
        <v>121.96</v>
      </c>
      <c r="AS121" s="44" t="n">
        <f aca="false">IF(AND(ISNUMBER(Rendimientos!D121),ISNUMBER(Rendimientos!$D$13)),Rendimientos!D121/Rendimientos!$D$13*100,NA())</f>
        <v>101.532945099274</v>
      </c>
    </row>
    <row r="122" customFormat="false" ht="13.8" hidden="false" customHeight="false" outlineLevel="0" collapsed="false">
      <c r="AE122" s="44" t="n">
        <f aca="false">IF(ISNUMBER(Rendimientos!C122),Rendimientos!A122,"")</f>
        <v>110</v>
      </c>
      <c r="AF122" s="122" t="n">
        <f aca="false">IF(AE122="","",Rendimientos!C122)</f>
        <v>30.3</v>
      </c>
      <c r="AG122" s="44" t="n">
        <f aca="false">IF(AF122="","",LN(AF122))</f>
        <v>3.41114771251532</v>
      </c>
      <c r="AH122" s="44" t="n">
        <f aca="false">IF(AE122="",NA(),AE122)</f>
        <v>110</v>
      </c>
      <c r="AI122" s="122" t="n">
        <f aca="false">IF(AE122="",NA(),AF122)</f>
        <v>30.3</v>
      </c>
      <c r="AK122" s="44" t="n">
        <f aca="false">IF(ISNUMBER(Rendimientos!D122),Rendimientos!A122,"")</f>
        <v>110</v>
      </c>
      <c r="AL122" s="122" t="n">
        <f aca="false">IF(AK122="","",Rendimientos!D122)</f>
        <v>52938.42</v>
      </c>
      <c r="AM122" s="44" t="n">
        <f aca="false">IF(AL122="","",LN(AL122))</f>
        <v>10.8768846302281</v>
      </c>
      <c r="AN122" s="44" t="n">
        <f aca="false">IF(AK122="",NA(),AK122)</f>
        <v>110</v>
      </c>
      <c r="AO122" s="122" t="n">
        <f aca="false">IF(AK122="",NA(),AL122)</f>
        <v>52938.42</v>
      </c>
      <c r="AQ122" s="55" t="n">
        <f aca="false">IF(ISNUMBER(Rendimientos!B122),Rendimientos!B122,NA())</f>
        <v>45249</v>
      </c>
      <c r="AR122" s="44" t="n">
        <f aca="false">IF(AND(ISNUMBER(Rendimientos!C122),ISNUMBER(Rendimientos!$C$13)),Rendimientos!C122/Rendimientos!$C$13*100,NA())</f>
        <v>121.2</v>
      </c>
      <c r="AS122" s="44" t="n">
        <f aca="false">IF(AND(ISNUMBER(Rendimientos!D122),ISNUMBER(Rendimientos!$D$13)),Rendimientos!D122/Rendimientos!$D$13*100,NA())</f>
        <v>102.021134846519</v>
      </c>
    </row>
    <row r="123" customFormat="false" ht="13.8" hidden="false" customHeight="false" outlineLevel="0" collapsed="false">
      <c r="AE123" s="44" t="n">
        <f aca="false">IF(ISNUMBER(Rendimientos!C123),Rendimientos!A123,"")</f>
        <v>111</v>
      </c>
      <c r="AF123" s="122" t="n">
        <f aca="false">IF(AE123="","",Rendimientos!C123)</f>
        <v>29.4</v>
      </c>
      <c r="AG123" s="44" t="n">
        <f aca="false">IF(AF123="","",LN(AF123))</f>
        <v>3.38099467434464</v>
      </c>
      <c r="AH123" s="44" t="n">
        <f aca="false">IF(AE123="",NA(),AE123)</f>
        <v>111</v>
      </c>
      <c r="AI123" s="122" t="n">
        <f aca="false">IF(AE123="",NA(),AF123)</f>
        <v>29.4</v>
      </c>
      <c r="AK123" s="44" t="n">
        <f aca="false">IF(ISNUMBER(Rendimientos!D123),Rendimientos!A123,"")</f>
        <v>111</v>
      </c>
      <c r="AL123" s="122" t="n">
        <f aca="false">IF(AK123="","",Rendimientos!D123)</f>
        <v>53901.43</v>
      </c>
      <c r="AM123" s="44" t="n">
        <f aca="false">IF(AL123="","",LN(AL123))</f>
        <v>10.8949122871574</v>
      </c>
      <c r="AN123" s="44" t="n">
        <f aca="false">IF(AK123="",NA(),AK123)</f>
        <v>111</v>
      </c>
      <c r="AO123" s="122" t="n">
        <f aca="false">IF(AK123="",NA(),AL123)</f>
        <v>53901.43</v>
      </c>
      <c r="AQ123" s="55" t="n">
        <f aca="false">IF(ISNUMBER(Rendimientos!B123),Rendimientos!B123,NA())</f>
        <v>45256</v>
      </c>
      <c r="AR123" s="44" t="n">
        <f aca="false">IF(AND(ISNUMBER(Rendimientos!C123),ISNUMBER(Rendimientos!$C$13)),Rendimientos!C123/Rendimientos!$C$13*100,NA())</f>
        <v>117.6</v>
      </c>
      <c r="AS123" s="44" t="n">
        <f aca="false">IF(AND(ISNUMBER(Rendimientos!D123),ISNUMBER(Rendimientos!$D$13)),Rendimientos!D123/Rendimientos!$D$13*100,NA())</f>
        <v>103.877015189539</v>
      </c>
    </row>
    <row r="124" customFormat="false" ht="13.8" hidden="false" customHeight="false" outlineLevel="0" collapsed="false">
      <c r="AE124" s="44" t="n">
        <f aca="false">IF(ISNUMBER(Rendimientos!C124),Rendimientos!A124,"")</f>
        <v>112</v>
      </c>
      <c r="AF124" s="122" t="n">
        <f aca="false">IF(AE124="","",Rendimientos!C124)</f>
        <v>31.97</v>
      </c>
      <c r="AG124" s="44" t="n">
        <f aca="false">IF(AF124="","",LN(AF124))</f>
        <v>3.46479796307175</v>
      </c>
      <c r="AH124" s="44" t="n">
        <f aca="false">IF(AE124="",NA(),AE124)</f>
        <v>112</v>
      </c>
      <c r="AI124" s="122" t="n">
        <f aca="false">IF(AE124="",NA(),AF124)</f>
        <v>31.97</v>
      </c>
      <c r="AK124" s="44" t="n">
        <f aca="false">IF(ISNUMBER(Rendimientos!D124),Rendimientos!A124,"")</f>
        <v>112</v>
      </c>
      <c r="AL124" s="122" t="n">
        <f aca="false">IF(AK124="","",Rendimientos!D124)</f>
        <v>54393.01</v>
      </c>
      <c r="AM124" s="44" t="n">
        <f aca="false">IF(AL124="","",LN(AL124))</f>
        <v>10.9039909319411</v>
      </c>
      <c r="AN124" s="44" t="n">
        <f aca="false">IF(AK124="",NA(),AK124)</f>
        <v>112</v>
      </c>
      <c r="AO124" s="122" t="n">
        <f aca="false">IF(AK124="",NA(),AL124)</f>
        <v>54393.01</v>
      </c>
      <c r="AQ124" s="55" t="n">
        <f aca="false">IF(ISNUMBER(Rendimientos!B124),Rendimientos!B124,NA())</f>
        <v>45263</v>
      </c>
      <c r="AR124" s="44" t="n">
        <f aca="false">IF(AND(ISNUMBER(Rendimientos!C124),ISNUMBER(Rendimientos!$C$13)),Rendimientos!C124/Rendimientos!$C$13*100,NA())</f>
        <v>127.88</v>
      </c>
      <c r="AS124" s="44" t="n">
        <f aca="false">IF(AND(ISNUMBER(Rendimientos!D124),ISNUMBER(Rendimientos!$D$13)),Rendimientos!D124/Rendimientos!$D$13*100,NA())</f>
        <v>104.824371560731</v>
      </c>
    </row>
    <row r="125" customFormat="false" ht="13.8" hidden="false" customHeight="false" outlineLevel="0" collapsed="false">
      <c r="AE125" s="44" t="n">
        <f aca="false">IF(ISNUMBER(Rendimientos!C125),Rendimientos!A125,"")</f>
        <v>113</v>
      </c>
      <c r="AF125" s="122" t="n">
        <f aca="false">IF(AE125="","",Rendimientos!C125)</f>
        <v>33</v>
      </c>
      <c r="AG125" s="44" t="n">
        <f aca="false">IF(AF125="","",LN(AF125))</f>
        <v>3.49650756146648</v>
      </c>
      <c r="AH125" s="44" t="n">
        <f aca="false">IF(AE125="",NA(),AE125)</f>
        <v>113</v>
      </c>
      <c r="AI125" s="122" t="n">
        <f aca="false">IF(AE125="",NA(),AF125)</f>
        <v>33</v>
      </c>
      <c r="AK125" s="44" t="n">
        <f aca="false">IF(ISNUMBER(Rendimientos!D125),Rendimientos!A125,"")</f>
        <v>113</v>
      </c>
      <c r="AL125" s="122" t="n">
        <f aca="false">IF(AK125="","",Rendimientos!D125)</f>
        <v>57130.08</v>
      </c>
      <c r="AM125" s="44" t="n">
        <f aca="false">IF(AL125="","",LN(AL125))</f>
        <v>10.9530860520326</v>
      </c>
      <c r="AN125" s="44" t="n">
        <f aca="false">IF(AK125="",NA(),AK125)</f>
        <v>113</v>
      </c>
      <c r="AO125" s="122" t="n">
        <f aca="false">IF(AK125="",NA(),AL125)</f>
        <v>57130.08</v>
      </c>
      <c r="AQ125" s="55" t="n">
        <f aca="false">IF(ISNUMBER(Rendimientos!B125),Rendimientos!B125,NA())</f>
        <v>45270</v>
      </c>
      <c r="AR125" s="44" t="n">
        <f aca="false">IF(AND(ISNUMBER(Rendimientos!C125),ISNUMBER(Rendimientos!$C$13)),Rendimientos!C125/Rendimientos!$C$13*100,NA())</f>
        <v>132</v>
      </c>
      <c r="AS125" s="44" t="n">
        <f aca="false">IF(AND(ISNUMBER(Rendimientos!D125),ISNUMBER(Rendimientos!$D$13)),Rendimientos!D125/Rendimientos!$D$13*100,NA())</f>
        <v>110.099160410764</v>
      </c>
    </row>
    <row r="126" customFormat="false" ht="13.8" hidden="false" customHeight="false" outlineLevel="0" collapsed="false">
      <c r="AE126" s="44" t="n">
        <f aca="false">IF(ISNUMBER(Rendimientos!C126),Rendimientos!A126,"")</f>
        <v>114</v>
      </c>
      <c r="AF126" s="122" t="n">
        <f aca="false">IF(AE126="","",Rendimientos!C126)</f>
        <v>35.43</v>
      </c>
      <c r="AG126" s="44" t="n">
        <f aca="false">IF(AF126="","",LN(AF126))</f>
        <v>3.56755891887738</v>
      </c>
      <c r="AH126" s="44" t="n">
        <f aca="false">IF(AE126="",NA(),AE126)</f>
        <v>114</v>
      </c>
      <c r="AI126" s="122" t="n">
        <f aca="false">IF(AE126="",NA(),AF126)</f>
        <v>35.43</v>
      </c>
      <c r="AK126" s="44" t="n">
        <f aca="false">IF(ISNUMBER(Rendimientos!D126),Rendimientos!A126,"")</f>
        <v>114</v>
      </c>
      <c r="AL126" s="122" t="n">
        <f aca="false">IF(AK126="","",Rendimientos!D126)</f>
        <v>57313.47</v>
      </c>
      <c r="AM126" s="44" t="n">
        <f aca="false">IF(AL126="","",LN(AL126))</f>
        <v>10.9562909536102</v>
      </c>
      <c r="AN126" s="44" t="n">
        <f aca="false">IF(AK126="",NA(),AK126)</f>
        <v>114</v>
      </c>
      <c r="AO126" s="122" t="n">
        <f aca="false">IF(AK126="",NA(),AL126)</f>
        <v>57313.47</v>
      </c>
      <c r="AQ126" s="55" t="n">
        <f aca="false">IF(ISNUMBER(Rendimientos!B126),Rendimientos!B126,NA())</f>
        <v>45277</v>
      </c>
      <c r="AR126" s="44" t="n">
        <f aca="false">IF(AND(ISNUMBER(Rendimientos!C126),ISNUMBER(Rendimientos!$C$13)),Rendimientos!C126/Rendimientos!$C$13*100,NA())</f>
        <v>141.72</v>
      </c>
      <c r="AS126" s="44" t="n">
        <f aca="false">IF(AND(ISNUMBER(Rendimientos!D126),ISNUMBER(Rendimientos!$D$13)),Rendimientos!D126/Rendimientos!$D$13*100,NA())</f>
        <v>110.452583424135</v>
      </c>
    </row>
    <row r="127" customFormat="false" ht="13.8" hidden="false" customHeight="false" outlineLevel="0" collapsed="false">
      <c r="AE127" s="44" t="n">
        <f aca="false">IF(ISNUMBER(Rendimientos!C127),Rendimientos!A127,"")</f>
        <v>115</v>
      </c>
      <c r="AF127" s="122" t="n">
        <f aca="false">IF(AE127="","",Rendimientos!C127)</f>
        <v>36.34</v>
      </c>
      <c r="AG127" s="44" t="n">
        <f aca="false">IF(AF127="","",LN(AF127))</f>
        <v>3.59291906296803</v>
      </c>
      <c r="AH127" s="44" t="n">
        <f aca="false">IF(AE127="",NA(),AE127)</f>
        <v>115</v>
      </c>
      <c r="AI127" s="122" t="n">
        <f aca="false">IF(AE127="",NA(),AF127)</f>
        <v>36.34</v>
      </c>
      <c r="AK127" s="44" t="n">
        <f aca="false">IF(ISNUMBER(Rendimientos!D127),Rendimientos!A127,"")</f>
        <v>115</v>
      </c>
      <c r="AL127" s="122" t="n">
        <f aca="false">IF(AK127="","",Rendimientos!D127)</f>
        <v>57386.25</v>
      </c>
      <c r="AM127" s="44" t="n">
        <f aca="false">IF(AL127="","",LN(AL127))</f>
        <v>10.9575600065734</v>
      </c>
      <c r="AN127" s="44" t="n">
        <f aca="false">IF(AK127="",NA(),AK127)</f>
        <v>115</v>
      </c>
      <c r="AO127" s="122" t="n">
        <f aca="false">IF(AK127="",NA(),AL127)</f>
        <v>57386.25</v>
      </c>
      <c r="AQ127" s="55" t="n">
        <f aca="false">IF(ISNUMBER(Rendimientos!B127),Rendimientos!B127,NA())</f>
        <v>45284</v>
      </c>
      <c r="AR127" s="44" t="n">
        <f aca="false">IF(AND(ISNUMBER(Rendimientos!C127),ISNUMBER(Rendimientos!$C$13)),Rendimientos!C127/Rendimientos!$C$13*100,NA())</f>
        <v>145.36</v>
      </c>
      <c r="AS127" s="44" t="n">
        <f aca="false">IF(AND(ISNUMBER(Rendimientos!D127),ISNUMBER(Rendimientos!$D$13)),Rendimientos!D127/Rendimientos!$D$13*100,NA())</f>
        <v>110.59284258174</v>
      </c>
    </row>
    <row r="128" customFormat="false" ht="13.8" hidden="false" customHeight="false" outlineLevel="0" collapsed="false">
      <c r="AE128" s="44" t="n">
        <f aca="false">IF(ISNUMBER(Rendimientos!C128),Rendimientos!A128,"")</f>
        <v>116</v>
      </c>
      <c r="AF128" s="122" t="n">
        <f aca="false">IF(AE128="","",Rendimientos!C128)</f>
        <v>35.78</v>
      </c>
      <c r="AG128" s="44" t="n">
        <f aca="false">IF(AF128="","",LN(AF128))</f>
        <v>3.57738907808057</v>
      </c>
      <c r="AH128" s="44" t="n">
        <f aca="false">IF(AE128="",NA(),AE128)</f>
        <v>116</v>
      </c>
      <c r="AI128" s="122" t="n">
        <f aca="false">IF(AE128="",NA(),AF128)</f>
        <v>35.78</v>
      </c>
      <c r="AK128" s="44" t="n">
        <f aca="false">IF(ISNUMBER(Rendimientos!D128),Rendimientos!A128,"")</f>
        <v>116</v>
      </c>
      <c r="AL128" s="122" t="n">
        <f aca="false">IF(AK128="","",Rendimientos!D128)</f>
        <v>56192.78</v>
      </c>
      <c r="AM128" s="44" t="n">
        <f aca="false">IF(AL128="","",LN(AL128))</f>
        <v>10.9365435578779</v>
      </c>
      <c r="AN128" s="44" t="n">
        <f aca="false">IF(AK128="",NA(),AK128)</f>
        <v>116</v>
      </c>
      <c r="AO128" s="122" t="n">
        <f aca="false">IF(AK128="",NA(),AL128)</f>
        <v>56192.78</v>
      </c>
      <c r="AQ128" s="55" t="n">
        <f aca="false">IF(ISNUMBER(Rendimientos!B128),Rendimientos!B128,NA())</f>
        <v>45291</v>
      </c>
      <c r="AR128" s="44" t="n">
        <f aca="false">IF(AND(ISNUMBER(Rendimientos!C128),ISNUMBER(Rendimientos!$C$13)),Rendimientos!C128/Rendimientos!$C$13*100,NA())</f>
        <v>143.12</v>
      </c>
      <c r="AS128" s="44" t="n">
        <f aca="false">IF(AND(ISNUMBER(Rendimientos!D128),ISNUMBER(Rendimientos!$D$13)),Rendimientos!D128/Rendimientos!$D$13*100,NA())</f>
        <v>108.2928275113</v>
      </c>
    </row>
    <row r="129" customFormat="false" ht="13.8" hidden="false" customHeight="false" outlineLevel="0" collapsed="false">
      <c r="AE129" s="44" t="n">
        <f aca="false">IF(ISNUMBER(Rendimientos!C129),Rendimientos!A129,"")</f>
        <v>117</v>
      </c>
      <c r="AF129" s="122" t="n">
        <f aca="false">IF(AE129="","",Rendimientos!C129)</f>
        <v>34.82</v>
      </c>
      <c r="AG129" s="44" t="n">
        <f aca="false">IF(AF129="","",LN(AF129))</f>
        <v>3.55019193434004</v>
      </c>
      <c r="AH129" s="44" t="n">
        <f aca="false">IF(AE129="",NA(),AE129)</f>
        <v>117</v>
      </c>
      <c r="AI129" s="122" t="n">
        <f aca="false">IF(AE129="",NA(),AF129)</f>
        <v>34.82</v>
      </c>
      <c r="AK129" s="44" t="n">
        <f aca="false">IF(ISNUMBER(Rendimientos!D129),Rendimientos!A129,"")</f>
        <v>117</v>
      </c>
      <c r="AL129" s="122" t="n">
        <f aca="false">IF(AK129="","",Rendimientos!D129)</f>
        <v>55607.07</v>
      </c>
      <c r="AM129" s="44" t="n">
        <f aca="false">IF(AL129="","",LN(AL129))</f>
        <v>10.9260656304281</v>
      </c>
      <c r="AN129" s="44" t="n">
        <f aca="false">IF(AK129="",NA(),AK129)</f>
        <v>117</v>
      </c>
      <c r="AO129" s="122" t="n">
        <f aca="false">IF(AK129="",NA(),AL129)</f>
        <v>55607.07</v>
      </c>
      <c r="AQ129" s="55" t="n">
        <f aca="false">IF(ISNUMBER(Rendimientos!B129),Rendimientos!B129,NA())</f>
        <v>45298</v>
      </c>
      <c r="AR129" s="44" t="n">
        <f aca="false">IF(AND(ISNUMBER(Rendimientos!C129),ISNUMBER(Rendimientos!$C$13)),Rendimientos!C129/Rendimientos!$C$13*100,NA())</f>
        <v>139.28</v>
      </c>
      <c r="AS129" s="44" t="n">
        <f aca="false">IF(AND(ISNUMBER(Rendimientos!D129),ISNUMBER(Rendimientos!$D$13)),Rendimientos!D129/Rendimientos!$D$13*100,NA())</f>
        <v>107.164066983673</v>
      </c>
    </row>
    <row r="130" customFormat="false" ht="13.8" hidden="false" customHeight="false" outlineLevel="0" collapsed="false">
      <c r="AE130" s="44" t="n">
        <f aca="false">IF(ISNUMBER(Rendimientos!C130),Rendimientos!A130,"")</f>
        <v>118</v>
      </c>
      <c r="AF130" s="122" t="n">
        <f aca="false">IF(AE130="","",Rendimientos!C130)</f>
        <v>34.41</v>
      </c>
      <c r="AG130" s="44" t="n">
        <f aca="false">IF(AF130="","",LN(AF130))</f>
        <v>3.53834721980939</v>
      </c>
      <c r="AH130" s="44" t="n">
        <f aca="false">IF(AE130="",NA(),AE130)</f>
        <v>118</v>
      </c>
      <c r="AI130" s="122" t="n">
        <f aca="false">IF(AE130="",NA(),AF130)</f>
        <v>34.41</v>
      </c>
      <c r="AK130" s="44" t="n">
        <f aca="false">IF(ISNUMBER(Rendimientos!D130),Rendimientos!A130,"")</f>
        <v>118</v>
      </c>
      <c r="AL130" s="122" t="n">
        <f aca="false">IF(AK130="","",Rendimientos!D130)</f>
        <v>55452.1</v>
      </c>
      <c r="AM130" s="44" t="n">
        <f aca="false">IF(AL130="","",LN(AL130))</f>
        <v>10.9232748640181</v>
      </c>
      <c r="AN130" s="44" t="n">
        <f aca="false">IF(AK130="",NA(),AK130)</f>
        <v>118</v>
      </c>
      <c r="AO130" s="122" t="n">
        <f aca="false">IF(AK130="",NA(),AL130)</f>
        <v>55452.1</v>
      </c>
      <c r="AQ130" s="55" t="n">
        <f aca="false">IF(ISNUMBER(Rendimientos!B130),Rendimientos!B130,NA())</f>
        <v>45305</v>
      </c>
      <c r="AR130" s="44" t="n">
        <f aca="false">IF(AND(ISNUMBER(Rendimientos!C130),ISNUMBER(Rendimientos!$C$13)),Rendimientos!C130/Rendimientos!$C$13*100,NA())</f>
        <v>137.64</v>
      </c>
      <c r="AS130" s="44" t="n">
        <f aca="false">IF(AND(ISNUMBER(Rendimientos!D130),ISNUMBER(Rendimientos!$D$13)),Rendimientos!D130/Rendimientos!$D$13*100,NA())</f>
        <v>106.865414034318</v>
      </c>
    </row>
    <row r="131" customFormat="false" ht="13.8" hidden="false" customHeight="false" outlineLevel="0" collapsed="false">
      <c r="AE131" s="44" t="n">
        <f aca="false">IF(ISNUMBER(Rendimientos!C131),Rendimientos!A131,"")</f>
        <v>119</v>
      </c>
      <c r="AF131" s="122" t="n">
        <f aca="false">IF(AE131="","",Rendimientos!C131)</f>
        <v>34.91</v>
      </c>
      <c r="AG131" s="44" t="n">
        <f aca="false">IF(AF131="","",LN(AF131))</f>
        <v>3.55277332111694</v>
      </c>
      <c r="AH131" s="44" t="n">
        <f aca="false">IF(AE131="",NA(),AE131)</f>
        <v>119</v>
      </c>
      <c r="AI131" s="122" t="n">
        <f aca="false">IF(AE131="",NA(),AF131)</f>
        <v>34.91</v>
      </c>
      <c r="AK131" s="44" t="n">
        <f aca="false">IF(ISNUMBER(Rendimientos!D131),Rendimientos!A131,"")</f>
        <v>119</v>
      </c>
      <c r="AL131" s="122" t="n">
        <f aca="false">IF(AK131="","",Rendimientos!D131)</f>
        <v>56855.88</v>
      </c>
      <c r="AM131" s="44" t="n">
        <f aca="false">IF(AL131="","",LN(AL131))</f>
        <v>10.9482749239093</v>
      </c>
      <c r="AN131" s="44" t="n">
        <f aca="false">IF(AK131="",NA(),AK131)</f>
        <v>119</v>
      </c>
      <c r="AO131" s="122" t="n">
        <f aca="false">IF(AK131="",NA(),AL131)</f>
        <v>56855.88</v>
      </c>
      <c r="AQ131" s="55" t="n">
        <f aca="false">IF(ISNUMBER(Rendimientos!B131),Rendimientos!B131,NA())</f>
        <v>45312</v>
      </c>
      <c r="AR131" s="44" t="n">
        <f aca="false">IF(AND(ISNUMBER(Rendimientos!C131),ISNUMBER(Rendimientos!$C$13)),Rendimientos!C131/Rendimientos!$C$13*100,NA())</f>
        <v>139.64</v>
      </c>
      <c r="AS131" s="44" t="n">
        <f aca="false">IF(AND(ISNUMBER(Rendimientos!D131),ISNUMBER(Rendimientos!$D$13)),Rendimientos!D131/Rendimientos!$D$13*100,NA())</f>
        <v>109.570731432813</v>
      </c>
    </row>
    <row r="132" customFormat="false" ht="13.8" hidden="false" customHeight="false" outlineLevel="0" collapsed="false">
      <c r="AE132" s="44" t="n">
        <f aca="false">IF(ISNUMBER(Rendimientos!C132),Rendimientos!A132,"")</f>
        <v>120</v>
      </c>
      <c r="AF132" s="122" t="n">
        <f aca="false">IF(AE132="","",Rendimientos!C132)</f>
        <v>34.89</v>
      </c>
      <c r="AG132" s="44" t="n">
        <f aca="false">IF(AF132="","",LN(AF132))</f>
        <v>3.55220025519868</v>
      </c>
      <c r="AH132" s="44" t="n">
        <f aca="false">IF(AE132="",NA(),AE132)</f>
        <v>120</v>
      </c>
      <c r="AI132" s="122" t="n">
        <f aca="false">IF(AE132="",NA(),AF132)</f>
        <v>34.89</v>
      </c>
      <c r="AK132" s="44" t="n">
        <f aca="false">IF(ISNUMBER(Rendimientos!D132),Rendimientos!A132,"")</f>
        <v>120</v>
      </c>
      <c r="AL132" s="122" t="n">
        <f aca="false">IF(AK132="","",Rendimientos!D132)</f>
        <v>58226.77</v>
      </c>
      <c r="AM132" s="44" t="n">
        <f aca="false">IF(AL132="","",LN(AL132))</f>
        <v>10.9721004936035</v>
      </c>
      <c r="AN132" s="44" t="n">
        <f aca="false">IF(AK132="",NA(),AK132)</f>
        <v>120</v>
      </c>
      <c r="AO132" s="122" t="n">
        <f aca="false">IF(AK132="",NA(),AL132)</f>
        <v>58226.77</v>
      </c>
      <c r="AQ132" s="55" t="n">
        <f aca="false">IF(ISNUMBER(Rendimientos!B132),Rendimientos!B132,NA())</f>
        <v>45319</v>
      </c>
      <c r="AR132" s="44" t="n">
        <f aca="false">IF(AND(ISNUMBER(Rendimientos!C132),ISNUMBER(Rendimientos!$C$13)),Rendimientos!C132/Rendimientos!$C$13*100,NA())</f>
        <v>139.56</v>
      </c>
      <c r="AS132" s="44" t="n">
        <f aca="false">IF(AND(ISNUMBER(Rendimientos!D132),ISNUMBER(Rendimientos!$D$13)),Rendimientos!D132/Rendimientos!$D$13*100,NA())</f>
        <v>112.212664334282</v>
      </c>
    </row>
    <row r="133" customFormat="false" ht="13.8" hidden="false" customHeight="false" outlineLevel="0" collapsed="false">
      <c r="AE133" s="44" t="n">
        <f aca="false">IF(ISNUMBER(Rendimientos!C133),Rendimientos!A133,"")</f>
        <v>121</v>
      </c>
      <c r="AF133" s="122" t="n">
        <f aca="false">IF(AE133="","",Rendimientos!C133)</f>
        <v>34.94</v>
      </c>
      <c r="AG133" s="44" t="n">
        <f aca="false">IF(AF133="","",LN(AF133))</f>
        <v>3.55363230470591</v>
      </c>
      <c r="AH133" s="44" t="n">
        <f aca="false">IF(AE133="",NA(),AE133)</f>
        <v>121</v>
      </c>
      <c r="AI133" s="122" t="n">
        <f aca="false">IF(AE133="",NA(),AF133)</f>
        <v>34.94</v>
      </c>
      <c r="AK133" s="44" t="n">
        <f aca="false">IF(ISNUMBER(Rendimientos!D133),Rendimientos!A133,"")</f>
        <v>121</v>
      </c>
      <c r="AL133" s="122" t="n">
        <f aca="false">IF(AK133="","",Rendimientos!D133)</f>
        <v>57327.5</v>
      </c>
      <c r="AM133" s="44" t="n">
        <f aca="false">IF(AL133="","",LN(AL133))</f>
        <v>10.9565357177651</v>
      </c>
      <c r="AN133" s="44" t="n">
        <f aca="false">IF(AK133="",NA(),AK133)</f>
        <v>121</v>
      </c>
      <c r="AO133" s="122" t="n">
        <f aca="false">IF(AK133="",NA(),AL133)</f>
        <v>57327.5</v>
      </c>
      <c r="AQ133" s="55" t="n">
        <f aca="false">IF(ISNUMBER(Rendimientos!B133),Rendimientos!B133,NA())</f>
        <v>45326</v>
      </c>
      <c r="AR133" s="44" t="n">
        <f aca="false">IF(AND(ISNUMBER(Rendimientos!C133),ISNUMBER(Rendimientos!$C$13)),Rendimientos!C133/Rendimientos!$C$13*100,NA())</f>
        <v>139.76</v>
      </c>
      <c r="AS133" s="44" t="n">
        <f aca="false">IF(AND(ISNUMBER(Rendimientos!D133),ISNUMBER(Rendimientos!$D$13)),Rendimientos!D133/Rendimientos!$D$13*100,NA())</f>
        <v>110.479621566223</v>
      </c>
    </row>
    <row r="134" customFormat="false" ht="13.8" hidden="false" customHeight="false" outlineLevel="0" collapsed="false">
      <c r="AE134" s="44" t="n">
        <f aca="false">IF(ISNUMBER(Rendimientos!C134),Rendimientos!A134,"")</f>
        <v>122</v>
      </c>
      <c r="AF134" s="122" t="n">
        <f aca="false">IF(AE134="","",Rendimientos!C134)</f>
        <v>34.88</v>
      </c>
      <c r="AG134" s="44" t="n">
        <f aca="false">IF(AF134="","",LN(AF134))</f>
        <v>3.55191359904078</v>
      </c>
      <c r="AH134" s="44" t="n">
        <f aca="false">IF(AE134="",NA(),AE134)</f>
        <v>122</v>
      </c>
      <c r="AI134" s="122" t="n">
        <f aca="false">IF(AE134="",NA(),AF134)</f>
        <v>34.88</v>
      </c>
      <c r="AK134" s="44" t="n">
        <f aca="false">IF(ISNUMBER(Rendimientos!D134),Rendimientos!A134,"")</f>
        <v>122</v>
      </c>
      <c r="AL134" s="122" t="n">
        <f aca="false">IF(AK134="","",Rendimientos!D134)</f>
        <v>57132.11</v>
      </c>
      <c r="AM134" s="44" t="n">
        <f aca="false">IF(AL134="","",LN(AL134))</f>
        <v>10.9531215843465</v>
      </c>
      <c r="AN134" s="44" t="n">
        <f aca="false">IF(AK134="",NA(),AK134)</f>
        <v>122</v>
      </c>
      <c r="AO134" s="122" t="n">
        <f aca="false">IF(AK134="",NA(),AL134)</f>
        <v>57132.11</v>
      </c>
      <c r="AQ134" s="55" t="n">
        <f aca="false">IF(ISNUMBER(Rendimientos!B134),Rendimientos!B134,NA())</f>
        <v>45333</v>
      </c>
      <c r="AR134" s="44" t="n">
        <f aca="false">IF(AND(ISNUMBER(Rendimientos!C134),ISNUMBER(Rendimientos!$C$13)),Rendimientos!C134/Rendimientos!$C$13*100,NA())</f>
        <v>139.52</v>
      </c>
      <c r="AS134" s="44" t="n">
        <f aca="false">IF(AND(ISNUMBER(Rendimientos!D134),ISNUMBER(Rendimientos!$D$13)),Rendimientos!D134/Rendimientos!$D$13*100,NA())</f>
        <v>110.103072558194</v>
      </c>
    </row>
    <row r="135" customFormat="false" ht="13.8" hidden="false" customHeight="false" outlineLevel="0" collapsed="false">
      <c r="AE135" s="44" t="n">
        <f aca="false">IF(ISNUMBER(Rendimientos!C135),Rendimientos!A135,"")</f>
        <v>123</v>
      </c>
      <c r="AF135" s="122" t="n">
        <f aca="false">IF(AE135="","",Rendimientos!C135)</f>
        <v>33.86</v>
      </c>
      <c r="AG135" s="44" t="n">
        <f aca="false">IF(AF135="","",LN(AF135))</f>
        <v>3.52223437670499</v>
      </c>
      <c r="AH135" s="44" t="n">
        <f aca="false">IF(AE135="",NA(),AE135)</f>
        <v>123</v>
      </c>
      <c r="AI135" s="122" t="n">
        <f aca="false">IF(AE135="",NA(),AF135)</f>
        <v>33.86</v>
      </c>
      <c r="AK135" s="44" t="n">
        <f aca="false">IF(ISNUMBER(Rendimientos!D135),Rendimientos!A135,"")</f>
        <v>123</v>
      </c>
      <c r="AL135" s="122" t="n">
        <f aca="false">IF(AK135="","",Rendimientos!D135)</f>
        <v>56659.8</v>
      </c>
      <c r="AM135" s="44" t="n">
        <f aca="false">IF(AL135="","",LN(AL135))</f>
        <v>10.9448202435512</v>
      </c>
      <c r="AN135" s="44" t="n">
        <f aca="false">IF(AK135="",NA(),AK135)</f>
        <v>123</v>
      </c>
      <c r="AO135" s="122" t="n">
        <f aca="false">IF(AK135="",NA(),AL135)</f>
        <v>56659.8</v>
      </c>
      <c r="AQ135" s="55" t="n">
        <f aca="false">IF(ISNUMBER(Rendimientos!B135),Rendimientos!B135,NA())</f>
        <v>45340</v>
      </c>
      <c r="AR135" s="44" t="n">
        <f aca="false">IF(AND(ISNUMBER(Rendimientos!C135),ISNUMBER(Rendimientos!$C$13)),Rendimientos!C135/Rendimientos!$C$13*100,NA())</f>
        <v>135.44</v>
      </c>
      <c r="AS135" s="44" t="n">
        <f aca="false">IF(AND(ISNUMBER(Rendimientos!D135),ISNUMBER(Rendimientos!$D$13)),Rendimientos!D135/Rendimientos!$D$13*100,NA())</f>
        <v>109.192852680091</v>
      </c>
    </row>
    <row r="136" customFormat="false" ht="13.8" hidden="false" customHeight="false" outlineLevel="0" collapsed="false">
      <c r="AE136" s="44" t="n">
        <f aca="false">IF(ISNUMBER(Rendimientos!C136),Rendimientos!A136,"")</f>
        <v>124</v>
      </c>
      <c r="AF136" s="122" t="n">
        <f aca="false">IF(AE136="","",Rendimientos!C136)</f>
        <v>33.3</v>
      </c>
      <c r="AG136" s="44" t="n">
        <f aca="false">IF(AF136="","",LN(AF136))</f>
        <v>3.5055573969864</v>
      </c>
      <c r="AH136" s="44" t="n">
        <f aca="false">IF(AE136="",NA(),AE136)</f>
        <v>124</v>
      </c>
      <c r="AI136" s="122" t="n">
        <f aca="false">IF(AE136="",NA(),AF136)</f>
        <v>33.3</v>
      </c>
      <c r="AK136" s="44" t="n">
        <f aca="false">IF(ISNUMBER(Rendimientos!D136),Rendimientos!A136,"")</f>
        <v>124</v>
      </c>
      <c r="AL136" s="122" t="n">
        <f aca="false">IF(AK136="","",Rendimientos!D136)</f>
        <v>55536.32</v>
      </c>
      <c r="AM136" s="44" t="n">
        <f aca="false">IF(AL136="","",LN(AL136))</f>
        <v>10.9247925001132</v>
      </c>
      <c r="AN136" s="44" t="n">
        <f aca="false">IF(AK136="",NA(),AK136)</f>
        <v>124</v>
      </c>
      <c r="AO136" s="122" t="n">
        <f aca="false">IF(AK136="",NA(),AL136)</f>
        <v>55536.32</v>
      </c>
      <c r="AQ136" s="55" t="n">
        <f aca="false">IF(ISNUMBER(Rendimientos!B136),Rendimientos!B136,NA())</f>
        <v>45347</v>
      </c>
      <c r="AR136" s="44" t="n">
        <f aca="false">IF(AND(ISNUMBER(Rendimientos!C136),ISNUMBER(Rendimientos!$C$13)),Rendimientos!C136/Rendimientos!$C$13*100,NA())</f>
        <v>133.2</v>
      </c>
      <c r="AS136" s="44" t="n">
        <f aca="false">IF(AND(ISNUMBER(Rendimientos!D136),ISNUMBER(Rendimientos!$D$13)),Rendimientos!D136/Rendimientos!$D$13*100,NA())</f>
        <v>107.027719973498</v>
      </c>
    </row>
    <row r="137" customFormat="false" ht="13.8" hidden="false" customHeight="false" outlineLevel="0" collapsed="false">
      <c r="AE137" s="44" t="n">
        <f aca="false">IF(ISNUMBER(Rendimientos!C137),Rendimientos!A137,"")</f>
        <v>125</v>
      </c>
      <c r="AF137" s="122" t="n">
        <f aca="false">IF(AE137="","",Rendimientos!C137)</f>
        <v>33.95</v>
      </c>
      <c r="AG137" s="44" t="n">
        <f aca="false">IF(AF137="","",LN(AF137))</f>
        <v>3.52488885400471</v>
      </c>
      <c r="AH137" s="44" t="n">
        <f aca="false">IF(AE137="",NA(),AE137)</f>
        <v>125</v>
      </c>
      <c r="AI137" s="122" t="n">
        <f aca="false">IF(AE137="",NA(),AF137)</f>
        <v>33.95</v>
      </c>
      <c r="AK137" s="44" t="n">
        <f aca="false">IF(ISNUMBER(Rendimientos!D137),Rendimientos!A137,"")</f>
        <v>125</v>
      </c>
      <c r="AL137" s="122" t="n">
        <f aca="false">IF(AK137="","",Rendimientos!D137)</f>
        <v>54935.99</v>
      </c>
      <c r="AM137" s="44" t="n">
        <f aca="false">IF(AL137="","",LN(AL137))</f>
        <v>10.9139239682705</v>
      </c>
      <c r="AN137" s="44" t="n">
        <f aca="false">IF(AK137="",NA(),AK137)</f>
        <v>125</v>
      </c>
      <c r="AO137" s="122" t="n">
        <f aca="false">IF(AK137="",NA(),AL137)</f>
        <v>54935.99</v>
      </c>
      <c r="AQ137" s="55" t="n">
        <f aca="false">IF(ISNUMBER(Rendimientos!B137),Rendimientos!B137,NA())</f>
        <v>45354</v>
      </c>
      <c r="AR137" s="44" t="n">
        <f aca="false">IF(AND(ISNUMBER(Rendimientos!C137),ISNUMBER(Rendimientos!$C$13)),Rendimientos!C137/Rendimientos!$C$13*100,NA())</f>
        <v>135.8</v>
      </c>
      <c r="AS137" s="44" t="n">
        <f aca="false">IF(AND(ISNUMBER(Rendimientos!D137),ISNUMBER(Rendimientos!$D$13)),Rendimientos!D137/Rendimientos!$D$13*100,NA())</f>
        <v>105.870784275711</v>
      </c>
    </row>
    <row r="138" customFormat="false" ht="13.8" hidden="false" customHeight="false" outlineLevel="0" collapsed="false">
      <c r="AE138" s="44" t="n">
        <f aca="false">IF(ISNUMBER(Rendimientos!C138),Rendimientos!A138,"")</f>
        <v>126</v>
      </c>
      <c r="AF138" s="122" t="n">
        <f aca="false">IF(AE138="","",Rendimientos!C138)</f>
        <v>32.99</v>
      </c>
      <c r="AG138" s="44" t="n">
        <f aca="false">IF(AF138="","",LN(AF138))</f>
        <v>3.49620448524049</v>
      </c>
      <c r="AH138" s="44" t="n">
        <f aca="false">IF(AE138="",NA(),AE138)</f>
        <v>126</v>
      </c>
      <c r="AI138" s="122" t="n">
        <f aca="false">IF(AE138="",NA(),AF138)</f>
        <v>32.99</v>
      </c>
      <c r="AK138" s="44" t="n">
        <f aca="false">IF(ISNUMBER(Rendimientos!D138),Rendimientos!A138,"")</f>
        <v>126</v>
      </c>
      <c r="AL138" s="122" t="n">
        <f aca="false">IF(AK138="","",Rendimientos!D138)</f>
        <v>56228.4</v>
      </c>
      <c r="AM138" s="44" t="n">
        <f aca="false">IF(AL138="","",LN(AL138))</f>
        <v>10.9371772463198</v>
      </c>
      <c r="AN138" s="44" t="n">
        <f aca="false">IF(AK138="",NA(),AK138)</f>
        <v>126</v>
      </c>
      <c r="AO138" s="122" t="n">
        <f aca="false">IF(AK138="",NA(),AL138)</f>
        <v>56228.4</v>
      </c>
      <c r="AQ138" s="55" t="n">
        <f aca="false">IF(ISNUMBER(Rendimientos!B138),Rendimientos!B138,NA())</f>
        <v>45361</v>
      </c>
      <c r="AR138" s="44" t="n">
        <f aca="false">IF(AND(ISNUMBER(Rendimientos!C138),ISNUMBER(Rendimientos!$C$13)),Rendimientos!C138/Rendimientos!$C$13*100,NA())</f>
        <v>131.96</v>
      </c>
      <c r="AS138" s="44" t="n">
        <f aca="false">IF(AND(ISNUMBER(Rendimientos!D138),ISNUMBER(Rendimientos!$D$13)),Rendimientos!D138/Rendimientos!$D$13*100,NA())</f>
        <v>108.361473172112</v>
      </c>
    </row>
    <row r="139" customFormat="false" ht="13.8" hidden="false" customHeight="false" outlineLevel="0" collapsed="false">
      <c r="AE139" s="44" t="n">
        <f aca="false">IF(ISNUMBER(Rendimientos!C139),Rendimientos!A139,"")</f>
        <v>127</v>
      </c>
      <c r="AF139" s="122" t="n">
        <f aca="false">IF(AE139="","",Rendimientos!C139)</f>
        <v>33.82</v>
      </c>
      <c r="AG139" s="44" t="n">
        <f aca="false">IF(AF139="","",LN(AF139))</f>
        <v>3.52105234347043</v>
      </c>
      <c r="AH139" s="44" t="n">
        <f aca="false">IF(AE139="",NA(),AE139)</f>
        <v>127</v>
      </c>
      <c r="AI139" s="122" t="n">
        <f aca="false">IF(AE139="",NA(),AF139)</f>
        <v>33.82</v>
      </c>
      <c r="AK139" s="44" t="n">
        <f aca="false">IF(ISNUMBER(Rendimientos!D139),Rendimientos!A139,"")</f>
        <v>127</v>
      </c>
      <c r="AL139" s="122" t="n">
        <f aca="false">IF(AK139="","",Rendimientos!D139)</f>
        <v>56610.54</v>
      </c>
      <c r="AM139" s="44" t="n">
        <f aca="false">IF(AL139="","",LN(AL139))</f>
        <v>10.9439504659359</v>
      </c>
      <c r="AN139" s="44" t="n">
        <f aca="false">IF(AK139="",NA(),AK139)</f>
        <v>127</v>
      </c>
      <c r="AO139" s="122" t="n">
        <f aca="false">IF(AK139="",NA(),AL139)</f>
        <v>56610.54</v>
      </c>
      <c r="AQ139" s="55" t="n">
        <f aca="false">IF(ISNUMBER(Rendimientos!B139),Rendimientos!B139,NA())</f>
        <v>45368</v>
      </c>
      <c r="AR139" s="44" t="n">
        <f aca="false">IF(AND(ISNUMBER(Rendimientos!C139),ISNUMBER(Rendimientos!$C$13)),Rendimientos!C139/Rendimientos!$C$13*100,NA())</f>
        <v>135.28</v>
      </c>
      <c r="AS139" s="44" t="n">
        <f aca="false">IF(AND(ISNUMBER(Rendimientos!D139),ISNUMBER(Rendimientos!$D$13)),Rendimientos!D139/Rendimientos!$D$13*100,NA())</f>
        <v>109.097920472017</v>
      </c>
    </row>
    <row r="140" customFormat="false" ht="13.8" hidden="false" customHeight="false" outlineLevel="0" collapsed="false">
      <c r="AE140" s="44" t="n">
        <f aca="false">IF(ISNUMBER(Rendimientos!C140),Rendimientos!A140,"")</f>
        <v>128</v>
      </c>
      <c r="AF140" s="122" t="n">
        <f aca="false">IF(AE140="","",Rendimientos!C140)</f>
        <v>33.96</v>
      </c>
      <c r="AG140" s="44" t="n">
        <f aca="false">IF(AF140="","",LN(AF140))</f>
        <v>3.52518336144315</v>
      </c>
      <c r="AH140" s="44" t="n">
        <f aca="false">IF(AE140="",NA(),AE140)</f>
        <v>128</v>
      </c>
      <c r="AI140" s="122" t="n">
        <f aca="false">IF(AE140="",NA(),AF140)</f>
        <v>33.96</v>
      </c>
      <c r="AK140" s="44" t="n">
        <f aca="false">IF(ISNUMBER(Rendimientos!D140),Rendimientos!A140,"")</f>
        <v>128</v>
      </c>
      <c r="AL140" s="122" t="n">
        <f aca="false">IF(AK140="","",Rendimientos!D140)</f>
        <v>57369.01</v>
      </c>
      <c r="AM140" s="44" t="n">
        <f aca="false">IF(AL140="","",LN(AL140))</f>
        <v>10.9572595410412</v>
      </c>
      <c r="AN140" s="44" t="n">
        <f aca="false">IF(AK140="",NA(),AK140)</f>
        <v>128</v>
      </c>
      <c r="AO140" s="122" t="n">
        <f aca="false">IF(AK140="",NA(),AL140)</f>
        <v>57369.01</v>
      </c>
      <c r="AQ140" s="55" t="n">
        <f aca="false">IF(ISNUMBER(Rendimientos!B140),Rendimientos!B140,NA())</f>
        <v>45375</v>
      </c>
      <c r="AR140" s="44" t="n">
        <f aca="false">IF(AND(ISNUMBER(Rendimientos!C140),ISNUMBER(Rendimientos!$C$13)),Rendimientos!C140/Rendimientos!$C$13*100,NA())</f>
        <v>135.84</v>
      </c>
      <c r="AS140" s="44" t="n">
        <f aca="false">IF(AND(ISNUMBER(Rendimientos!D140),ISNUMBER(Rendimientos!$D$13)),Rendimientos!D140/Rendimientos!$D$13*100,NA())</f>
        <v>110.55961823608</v>
      </c>
    </row>
    <row r="141" customFormat="false" ht="13.8" hidden="false" customHeight="false" outlineLevel="0" collapsed="false">
      <c r="AE141" s="44" t="n">
        <f aca="false">IF(ISNUMBER(Rendimientos!C141),Rendimientos!A141,"")</f>
        <v>129</v>
      </c>
      <c r="AF141" s="122" t="n">
        <f aca="false">IF(AE141="","",Rendimientos!C141)</f>
        <v>33.97</v>
      </c>
      <c r="AG141" s="44" t="n">
        <f aca="false">IF(AF141="","",LN(AF141))</f>
        <v>3.52547778217249</v>
      </c>
      <c r="AH141" s="44" t="n">
        <f aca="false">IF(AE141="",NA(),AE141)</f>
        <v>129</v>
      </c>
      <c r="AI141" s="122" t="n">
        <f aca="false">IF(AE141="",NA(),AF141)</f>
        <v>33.97</v>
      </c>
      <c r="AK141" s="44" t="n">
        <f aca="false">IF(ISNUMBER(Rendimientos!D141),Rendimientos!A141,"")</f>
        <v>129</v>
      </c>
      <c r="AL141" s="122" t="n">
        <f aca="false">IF(AK141="","",Rendimientos!D141)</f>
        <v>58092.44</v>
      </c>
      <c r="AM141" s="44" t="n">
        <f aca="false">IF(AL141="","",LN(AL141))</f>
        <v>10.9697908138917</v>
      </c>
      <c r="AN141" s="44" t="n">
        <f aca="false">IF(AK141="",NA(),AK141)</f>
        <v>129</v>
      </c>
      <c r="AO141" s="122" t="n">
        <f aca="false">IF(AK141="",NA(),AL141)</f>
        <v>58092.44</v>
      </c>
      <c r="AQ141" s="55" t="n">
        <f aca="false">IF(ISNUMBER(Rendimientos!B141),Rendimientos!B141,NA())</f>
        <v>45382</v>
      </c>
      <c r="AR141" s="44" t="n">
        <f aca="false">IF(AND(ISNUMBER(Rendimientos!C141),ISNUMBER(Rendimientos!$C$13)),Rendimientos!C141/Rendimientos!$C$13*100,NA())</f>
        <v>135.88</v>
      </c>
      <c r="AS141" s="44" t="n">
        <f aca="false">IF(AND(ISNUMBER(Rendimientos!D141),ISNUMBER(Rendimientos!$D$13)),Rendimientos!D141/Rendimientos!$D$13*100,NA())</f>
        <v>111.95378809574</v>
      </c>
    </row>
    <row r="142" customFormat="false" ht="13.8" hidden="false" customHeight="false" outlineLevel="0" collapsed="false">
      <c r="AE142" s="44" t="n">
        <f aca="false">IF(ISNUMBER(Rendimientos!C142),Rendimientos!A142,"")</f>
        <v>130</v>
      </c>
      <c r="AF142" s="122" t="n">
        <f aca="false">IF(AE142="","",Rendimientos!C142)</f>
        <v>34</v>
      </c>
      <c r="AG142" s="44" t="n">
        <f aca="false">IF(AF142="","",LN(AF142))</f>
        <v>3.52636052461616</v>
      </c>
      <c r="AH142" s="44" t="n">
        <f aca="false">IF(AE142="",NA(),AE142)</f>
        <v>130</v>
      </c>
      <c r="AI142" s="122" t="n">
        <f aca="false">IF(AE142="",NA(),AF142)</f>
        <v>34</v>
      </c>
      <c r="AK142" s="44" t="n">
        <f aca="false">IF(ISNUMBER(Rendimientos!D142),Rendimientos!A142,"")</f>
        <v>130</v>
      </c>
      <c r="AL142" s="122" t="n">
        <f aca="false">IF(AK142="","",Rendimientos!D142)</f>
        <v>56565.92</v>
      </c>
      <c r="AM142" s="44" t="n">
        <f aca="false">IF(AL142="","",LN(AL142))</f>
        <v>10.9431619627028</v>
      </c>
      <c r="AN142" s="44" t="n">
        <f aca="false">IF(AK142="",NA(),AK142)</f>
        <v>130</v>
      </c>
      <c r="AO142" s="122" t="n">
        <f aca="false">IF(AK142="",NA(),AL142)</f>
        <v>56565.92</v>
      </c>
      <c r="AQ142" s="55" t="n">
        <f aca="false">IF(ISNUMBER(Rendimientos!B142),Rendimientos!B142,NA())</f>
        <v>45389</v>
      </c>
      <c r="AR142" s="44" t="n">
        <f aca="false">IF(AND(ISNUMBER(Rendimientos!C142),ISNUMBER(Rendimientos!$C$13)),Rendimientos!C142/Rendimientos!$C$13*100,NA())</f>
        <v>136</v>
      </c>
      <c r="AS142" s="44" t="n">
        <f aca="false">IF(AND(ISNUMBER(Rendimientos!D142),ISNUMBER(Rendimientos!$D$13)),Rendimientos!D142/Rendimientos!$D$13*100,NA())</f>
        <v>109.011930315211</v>
      </c>
    </row>
    <row r="143" customFormat="false" ht="13.8" hidden="false" customHeight="false" outlineLevel="0" collapsed="false">
      <c r="AE143" s="44" t="n">
        <f aca="false">IF(ISNUMBER(Rendimientos!C143),Rendimientos!A143,"")</f>
        <v>131</v>
      </c>
      <c r="AF143" s="122" t="n">
        <f aca="false">IF(AE143="","",Rendimientos!C143)</f>
        <v>33.99</v>
      </c>
      <c r="AG143" s="44" t="n">
        <f aca="false">IF(AF143="","",LN(AF143))</f>
        <v>3.52606636370802</v>
      </c>
      <c r="AH143" s="44" t="n">
        <f aca="false">IF(AE143="",NA(),AE143)</f>
        <v>131</v>
      </c>
      <c r="AI143" s="122" t="n">
        <f aca="false">IF(AE143="",NA(),AF143)</f>
        <v>33.99</v>
      </c>
      <c r="AK143" s="44" t="n">
        <f aca="false">IF(ISNUMBER(Rendimientos!D143),Rendimientos!A143,"")</f>
        <v>131</v>
      </c>
      <c r="AL143" s="122" t="n">
        <f aca="false">IF(AK143="","",Rendimientos!D143)</f>
        <v>55862.85</v>
      </c>
      <c r="AM143" s="44" t="n">
        <f aca="false">IF(AL143="","",LN(AL143))</f>
        <v>10.9306548586058</v>
      </c>
      <c r="AN143" s="44" t="n">
        <f aca="false">IF(AK143="",NA(),AK143)</f>
        <v>131</v>
      </c>
      <c r="AO143" s="122" t="n">
        <f aca="false">IF(AK143="",NA(),AL143)</f>
        <v>55862.85</v>
      </c>
      <c r="AQ143" s="55" t="n">
        <f aca="false">IF(ISNUMBER(Rendimientos!B143),Rendimientos!B143,NA())</f>
        <v>45396</v>
      </c>
      <c r="AR143" s="44" t="n">
        <f aca="false">IF(AND(ISNUMBER(Rendimientos!C143),ISNUMBER(Rendimientos!$C$13)),Rendimientos!C143/Rendimientos!$C$13*100,NA())</f>
        <v>135.96</v>
      </c>
      <c r="AS143" s="44" t="n">
        <f aca="false">IF(AND(ISNUMBER(Rendimientos!D143),ISNUMBER(Rendimientos!$D$13)),Rendimientos!D143/Rendimientos!$D$13*100,NA())</f>
        <v>107.656997559822</v>
      </c>
    </row>
    <row r="144" customFormat="false" ht="13.8" hidden="false" customHeight="false" outlineLevel="0" collapsed="false">
      <c r="AE144" s="44" t="n">
        <f aca="false">IF(ISNUMBER(Rendimientos!C144),Rendimientos!A144,"")</f>
        <v>132</v>
      </c>
      <c r="AF144" s="122" t="n">
        <f aca="false">IF(AE144="","",Rendimientos!C144)</f>
        <v>33.87</v>
      </c>
      <c r="AG144" s="44" t="n">
        <f aca="false">IF(AF144="","",LN(AF144))</f>
        <v>3.52252966682968</v>
      </c>
      <c r="AH144" s="44" t="n">
        <f aca="false">IF(AE144="",NA(),AE144)</f>
        <v>132</v>
      </c>
      <c r="AI144" s="122" t="n">
        <f aca="false">IF(AE144="",NA(),AF144)</f>
        <v>33.87</v>
      </c>
      <c r="AK144" s="44" t="n">
        <f aca="false">IF(ISNUMBER(Rendimientos!D144),Rendimientos!A144,"")</f>
        <v>132</v>
      </c>
      <c r="AL144" s="122" t="n">
        <f aca="false">IF(AK144="","",Rendimientos!D144)</f>
        <v>57833.85</v>
      </c>
      <c r="AM144" s="44" t="n">
        <f aca="false">IF(AL144="","",LN(AL144))</f>
        <v>10.9653295233786</v>
      </c>
      <c r="AN144" s="44" t="n">
        <f aca="false">IF(AK144="",NA(),AK144)</f>
        <v>132</v>
      </c>
      <c r="AO144" s="122" t="n">
        <f aca="false">IF(AK144="",NA(),AL144)</f>
        <v>57833.85</v>
      </c>
      <c r="AQ144" s="55" t="n">
        <f aca="false">IF(ISNUMBER(Rendimientos!B144),Rendimientos!B144,NA())</f>
        <v>45403</v>
      </c>
      <c r="AR144" s="44" t="n">
        <f aca="false">IF(AND(ISNUMBER(Rendimientos!C144),ISNUMBER(Rendimientos!$C$13)),Rendimientos!C144/Rendimientos!$C$13*100,NA())</f>
        <v>135.48</v>
      </c>
      <c r="AS144" s="44" t="n">
        <f aca="false">IF(AND(ISNUMBER(Rendimientos!D144),ISNUMBER(Rendimientos!$D$13)),Rendimientos!D144/Rendimientos!$D$13*100,NA())</f>
        <v>111.455442182508</v>
      </c>
    </row>
    <row r="145" customFormat="false" ht="13.8" hidden="false" customHeight="false" outlineLevel="0" collapsed="false">
      <c r="AE145" s="44" t="n">
        <f aca="false">IF(ISNUMBER(Rendimientos!C145),Rendimientos!A145,"")</f>
        <v>133</v>
      </c>
      <c r="AF145" s="122" t="n">
        <f aca="false">IF(AE145="","",Rendimientos!C145)</f>
        <v>34</v>
      </c>
      <c r="AG145" s="44" t="n">
        <f aca="false">IF(AF145="","",LN(AF145))</f>
        <v>3.52636052461616</v>
      </c>
      <c r="AH145" s="44" t="n">
        <f aca="false">IF(AE145="",NA(),AE145)</f>
        <v>133</v>
      </c>
      <c r="AI145" s="122" t="n">
        <f aca="false">IF(AE145="",NA(),AF145)</f>
        <v>34</v>
      </c>
      <c r="AK145" s="44" t="n">
        <f aca="false">IF(ISNUMBER(Rendimientos!D145),Rendimientos!A145,"")</f>
        <v>133</v>
      </c>
      <c r="AL145" s="122" t="n">
        <f aca="false">IF(AK145="","",Rendimientos!D145)</f>
        <v>57135.26</v>
      </c>
      <c r="AM145" s="44" t="n">
        <f aca="false">IF(AL145="","",LN(AL145))</f>
        <v>10.9531767181962</v>
      </c>
      <c r="AN145" s="44" t="n">
        <f aca="false">IF(AK145="",NA(),AK145)</f>
        <v>133</v>
      </c>
      <c r="AO145" s="122" t="n">
        <f aca="false">IF(AK145="",NA(),AL145)</f>
        <v>57135.26</v>
      </c>
      <c r="AQ145" s="55" t="n">
        <f aca="false">IF(ISNUMBER(Rendimientos!B145),Rendimientos!B145,NA())</f>
        <v>45410</v>
      </c>
      <c r="AR145" s="44" t="n">
        <f aca="false">IF(AND(ISNUMBER(Rendimientos!C145),ISNUMBER(Rendimientos!$C$13)),Rendimientos!C145/Rendimientos!$C$13*100,NA())</f>
        <v>136</v>
      </c>
      <c r="AS145" s="44" t="n">
        <f aca="false">IF(AND(ISNUMBER(Rendimientos!D145),ISNUMBER(Rendimientos!$D$13)),Rendimientos!D145/Rendimientos!$D$13*100,NA())</f>
        <v>110.109143131792</v>
      </c>
    </row>
    <row r="146" customFormat="false" ht="13.8" hidden="false" customHeight="false" outlineLevel="0" collapsed="false">
      <c r="AE146" s="44" t="n">
        <f aca="false">IF(ISNUMBER(Rendimientos!C146),Rendimientos!A146,"")</f>
        <v>134</v>
      </c>
      <c r="AF146" s="122" t="n">
        <f aca="false">IF(AE146="","",Rendimientos!C146)</f>
        <v>32.87</v>
      </c>
      <c r="AG146" s="44" t="n">
        <f aca="false">IF(AF146="","",LN(AF146))</f>
        <v>3.49256038767613</v>
      </c>
      <c r="AH146" s="44" t="n">
        <f aca="false">IF(AE146="",NA(),AE146)</f>
        <v>134</v>
      </c>
      <c r="AI146" s="122" t="n">
        <f aca="false">IF(AE146="",NA(),AF146)</f>
        <v>32.87</v>
      </c>
      <c r="AK146" s="44" t="n">
        <f aca="false">IF(ISNUMBER(Rendimientos!D146),Rendimientos!A146,"")</f>
        <v>134</v>
      </c>
      <c r="AL146" s="122" t="n">
        <f aca="false">IF(AK146="","",Rendimientos!D146)</f>
        <v>57718.04</v>
      </c>
      <c r="AM146" s="44" t="n">
        <f aca="false">IF(AL146="","",LN(AL146))</f>
        <v>10.9633250552773</v>
      </c>
      <c r="AN146" s="44" t="n">
        <f aca="false">IF(AK146="",NA(),AK146)</f>
        <v>134</v>
      </c>
      <c r="AO146" s="122" t="n">
        <f aca="false">IF(AK146="",NA(),AL146)</f>
        <v>57718.04</v>
      </c>
      <c r="AQ146" s="55" t="n">
        <f aca="false">IF(ISNUMBER(Rendimientos!B146),Rendimientos!B146,NA())</f>
        <v>45417</v>
      </c>
      <c r="AR146" s="44" t="n">
        <f aca="false">IF(AND(ISNUMBER(Rendimientos!C146),ISNUMBER(Rendimientos!$C$13)),Rendimientos!C146/Rendimientos!$C$13*100,NA())</f>
        <v>131.48</v>
      </c>
      <c r="AS146" s="44" t="n">
        <f aca="false">IF(AND(ISNUMBER(Rendimientos!D146),ISNUMBER(Rendimientos!$D$13)),Rendimientos!D146/Rendimientos!$D$13*100,NA())</f>
        <v>111.23225706239</v>
      </c>
    </row>
    <row r="147" customFormat="false" ht="13.8" hidden="false" customHeight="false" outlineLevel="0" collapsed="false">
      <c r="AE147" s="44" t="n">
        <f aca="false">IF(ISNUMBER(Rendimientos!C147),Rendimientos!A147,"")</f>
        <v>135</v>
      </c>
      <c r="AF147" s="122" t="n">
        <f aca="false">IF(AE147="","",Rendimientos!C147)</f>
        <v>33</v>
      </c>
      <c r="AG147" s="44" t="n">
        <f aca="false">IF(AF147="","",LN(AF147))</f>
        <v>3.49650756146648</v>
      </c>
      <c r="AH147" s="44" t="n">
        <f aca="false">IF(AE147="",NA(),AE147)</f>
        <v>135</v>
      </c>
      <c r="AI147" s="122" t="n">
        <f aca="false">IF(AE147="",NA(),AF147)</f>
        <v>33</v>
      </c>
      <c r="AK147" s="44" t="n">
        <f aca="false">IF(ISNUMBER(Rendimientos!D147),Rendimientos!A147,"")</f>
        <v>135</v>
      </c>
      <c r="AL147" s="122" t="n">
        <f aca="false">IF(AK147="","",Rendimientos!D147)</f>
        <v>57583.08</v>
      </c>
      <c r="AM147" s="44" t="n">
        <f aca="false">IF(AL147="","",LN(AL147))</f>
        <v>10.960984053531</v>
      </c>
      <c r="AN147" s="44" t="n">
        <f aca="false">IF(AK147="",NA(),AK147)</f>
        <v>135</v>
      </c>
      <c r="AO147" s="122" t="n">
        <f aca="false">IF(AK147="",NA(),AL147)</f>
        <v>57583.08</v>
      </c>
      <c r="AQ147" s="55" t="n">
        <f aca="false">IF(ISNUMBER(Rendimientos!B147),Rendimientos!B147,NA())</f>
        <v>45424</v>
      </c>
      <c r="AR147" s="44" t="n">
        <f aca="false">IF(AND(ISNUMBER(Rendimientos!C147),ISNUMBER(Rendimientos!$C$13)),Rendimientos!C147/Rendimientos!$C$13*100,NA())</f>
        <v>132</v>
      </c>
      <c r="AS147" s="44" t="n">
        <f aca="false">IF(AND(ISNUMBER(Rendimientos!D147),ISNUMBER(Rendimientos!$D$13)),Rendimientos!D147/Rendimientos!$D$13*100,NA())</f>
        <v>110.972166709129</v>
      </c>
    </row>
    <row r="148" customFormat="false" ht="13.8" hidden="false" customHeight="false" outlineLevel="0" collapsed="false">
      <c r="AE148" s="44" t="n">
        <f aca="false">IF(ISNUMBER(Rendimientos!C148),Rendimientos!A148,"")</f>
        <v>136</v>
      </c>
      <c r="AF148" s="122" t="n">
        <f aca="false">IF(AE148="","",Rendimientos!C148)</f>
        <v>33.3</v>
      </c>
      <c r="AG148" s="44" t="n">
        <f aca="false">IF(AF148="","",LN(AF148))</f>
        <v>3.5055573969864</v>
      </c>
      <c r="AH148" s="44" t="n">
        <f aca="false">IF(AE148="",NA(),AE148)</f>
        <v>136</v>
      </c>
      <c r="AI148" s="122" t="n">
        <f aca="false">IF(AE148="",NA(),AF148)</f>
        <v>33.3</v>
      </c>
      <c r="AK148" s="44" t="n">
        <f aca="false">IF(ISNUMBER(Rendimientos!D148),Rendimientos!A148,"")</f>
        <v>136</v>
      </c>
      <c r="AL148" s="122" t="n">
        <f aca="false">IF(AK148="","",Rendimientos!D148)</f>
        <v>55413.12</v>
      </c>
      <c r="AM148" s="44" t="n">
        <f aca="false">IF(AL148="","",LN(AL148))</f>
        <v>10.9225716678019</v>
      </c>
      <c r="AN148" s="44" t="n">
        <f aca="false">IF(AK148="",NA(),AK148)</f>
        <v>136</v>
      </c>
      <c r="AO148" s="122" t="n">
        <f aca="false">IF(AK148="",NA(),AL148)</f>
        <v>55413.12</v>
      </c>
      <c r="AQ148" s="55" t="n">
        <f aca="false">IF(ISNUMBER(Rendimientos!B148),Rendimientos!B148,NA())</f>
        <v>45431</v>
      </c>
      <c r="AR148" s="44" t="n">
        <f aca="false">IF(AND(ISNUMBER(Rendimientos!C148),ISNUMBER(Rendimientos!$C$13)),Rendimientos!C148/Rendimientos!$C$13*100,NA())</f>
        <v>133.2</v>
      </c>
      <c r="AS148" s="44" t="n">
        <f aca="false">IF(AND(ISNUMBER(Rendimientos!D148),ISNUMBER(Rendimientos!$D$13)),Rendimientos!D148/Rendimientos!$D$13*100,NA())</f>
        <v>106.790293095002</v>
      </c>
    </row>
    <row r="149" customFormat="false" ht="13.8" hidden="false" customHeight="false" outlineLevel="0" collapsed="false">
      <c r="AE149" s="44" t="n">
        <f aca="false">IF(ISNUMBER(Rendimientos!C149),Rendimientos!A149,"")</f>
        <v>137</v>
      </c>
      <c r="AF149" s="122" t="n">
        <f aca="false">IF(AE149="","",Rendimientos!C149)</f>
        <v>32.32</v>
      </c>
      <c r="AG149" s="44" t="n">
        <f aca="false">IF(AF149="","",LN(AF149))</f>
        <v>3.47568623365289</v>
      </c>
      <c r="AH149" s="44" t="n">
        <f aca="false">IF(AE149="",NA(),AE149)</f>
        <v>137</v>
      </c>
      <c r="AI149" s="122" t="n">
        <f aca="false">IF(AE149="",NA(),AF149)</f>
        <v>32.32</v>
      </c>
      <c r="AK149" s="44" t="n">
        <f aca="false">IF(ISNUMBER(Rendimientos!D149),Rendimientos!A149,"")</f>
        <v>137</v>
      </c>
      <c r="AL149" s="122" t="n">
        <f aca="false">IF(AK149="","",Rendimientos!D149)</f>
        <v>55179.24</v>
      </c>
      <c r="AM149" s="44" t="n">
        <f aca="false">IF(AL149="","",LN(AL149))</f>
        <v>10.9183420745702</v>
      </c>
      <c r="AN149" s="44" t="n">
        <f aca="false">IF(AK149="",NA(),AK149)</f>
        <v>137</v>
      </c>
      <c r="AO149" s="122" t="n">
        <f aca="false">IF(AK149="",NA(),AL149)</f>
        <v>55179.24</v>
      </c>
      <c r="AQ149" s="55" t="n">
        <f aca="false">IF(ISNUMBER(Rendimientos!B149),Rendimientos!B149,NA())</f>
        <v>45438</v>
      </c>
      <c r="AR149" s="44" t="n">
        <f aca="false">IF(AND(ISNUMBER(Rendimientos!C149),ISNUMBER(Rendimientos!$C$13)),Rendimientos!C149/Rendimientos!$C$13*100,NA())</f>
        <v>129.28</v>
      </c>
      <c r="AS149" s="44" t="n">
        <f aca="false">IF(AND(ISNUMBER(Rendimientos!D149),ISNUMBER(Rendimientos!$D$13)),Rendimientos!D149/Rendimientos!$D$13*100,NA())</f>
        <v>106.339567459105</v>
      </c>
    </row>
    <row r="150" customFormat="false" ht="13.8" hidden="false" customHeight="false" outlineLevel="0" collapsed="false">
      <c r="AE150" s="44" t="n">
        <f aca="false">IF(ISNUMBER(Rendimientos!C150),Rendimientos!A150,"")</f>
        <v>138</v>
      </c>
      <c r="AF150" s="122" t="n">
        <f aca="false">IF(AE150="","",Rendimientos!C150)</f>
        <v>31.8</v>
      </c>
      <c r="AG150" s="44" t="n">
        <f aca="false">IF(AF150="","",LN(AF150))</f>
        <v>3.45946628978613</v>
      </c>
      <c r="AH150" s="44" t="n">
        <f aca="false">IF(AE150="",NA(),AE150)</f>
        <v>138</v>
      </c>
      <c r="AI150" s="122" t="n">
        <f aca="false">IF(AE150="",NA(),AF150)</f>
        <v>31.8</v>
      </c>
      <c r="AK150" s="44" t="n">
        <f aca="false">IF(ISNUMBER(Rendimientos!D150),Rendimientos!A150,"")</f>
        <v>138</v>
      </c>
      <c r="AL150" s="122" t="n">
        <f aca="false">IF(AK150="","",Rendimientos!D150)</f>
        <v>52977.32</v>
      </c>
      <c r="AM150" s="44" t="n">
        <f aca="false">IF(AL150="","",LN(AL150))</f>
        <v>10.8776191764201</v>
      </c>
      <c r="AN150" s="44" t="n">
        <f aca="false">IF(AK150="",NA(),AK150)</f>
        <v>138</v>
      </c>
      <c r="AO150" s="122" t="n">
        <f aca="false">IF(AK150="",NA(),AL150)</f>
        <v>52977.32</v>
      </c>
      <c r="AQ150" s="55" t="n">
        <f aca="false">IF(ISNUMBER(Rendimientos!B150),Rendimientos!B150,NA())</f>
        <v>45445</v>
      </c>
      <c r="AR150" s="44" t="n">
        <f aca="false">IF(AND(ISNUMBER(Rendimientos!C150),ISNUMBER(Rendimientos!$C$13)),Rendimientos!C150/Rendimientos!$C$13*100,NA())</f>
        <v>127.2</v>
      </c>
      <c r="AS150" s="44" t="n">
        <f aca="false">IF(AND(ISNUMBER(Rendimientos!D150),ISNUMBER(Rendimientos!$D$13)),Rendimientos!D150/Rendimientos!$D$13*100,NA())</f>
        <v>102.096101612537</v>
      </c>
    </row>
    <row r="151" customFormat="false" ht="13.8" hidden="false" customHeight="false" outlineLevel="0" collapsed="false">
      <c r="AE151" s="44" t="n">
        <f aca="false">IF(ISNUMBER(Rendimientos!C151),Rendimientos!A151,"")</f>
        <v>139</v>
      </c>
      <c r="AF151" s="122" t="n">
        <f aca="false">IF(AE151="","",Rendimientos!C151)</f>
        <v>31.3</v>
      </c>
      <c r="AG151" s="44" t="n">
        <f aca="false">IF(AF151="","",LN(AF151))</f>
        <v>3.44361809754611</v>
      </c>
      <c r="AH151" s="44" t="n">
        <f aca="false">IF(AE151="",NA(),AE151)</f>
        <v>139</v>
      </c>
      <c r="AI151" s="122" t="n">
        <f aca="false">IF(AE151="",NA(),AF151)</f>
        <v>31.3</v>
      </c>
      <c r="AK151" s="44" t="n">
        <f aca="false">IF(ISNUMBER(Rendimientos!D151),Rendimientos!A151,"")</f>
        <v>139</v>
      </c>
      <c r="AL151" s="122" t="n">
        <f aca="false">IF(AK151="","",Rendimientos!D151)</f>
        <v>52222.94</v>
      </c>
      <c r="AM151" s="44" t="n">
        <f aca="false">IF(AL151="","",LN(AL151))</f>
        <v>10.8632771409364</v>
      </c>
      <c r="AN151" s="44" t="n">
        <f aca="false">IF(AK151="",NA(),AK151)</f>
        <v>139</v>
      </c>
      <c r="AO151" s="122" t="n">
        <f aca="false">IF(AK151="",NA(),AL151)</f>
        <v>52222.94</v>
      </c>
      <c r="AQ151" s="55" t="n">
        <f aca="false">IF(ISNUMBER(Rendimientos!B151),Rendimientos!B151,NA())</f>
        <v>45452</v>
      </c>
      <c r="AR151" s="44" t="n">
        <f aca="false">IF(AND(ISNUMBER(Rendimientos!C151),ISNUMBER(Rendimientos!$C$13)),Rendimientos!C151/Rendimientos!$C$13*100,NA())</f>
        <v>125.2</v>
      </c>
      <c r="AS151" s="44" t="n">
        <f aca="false">IF(AND(ISNUMBER(Rendimientos!D151),ISNUMBER(Rendimientos!$D$13)),Rendimientos!D151/Rendimientos!$D$13*100,NA())</f>
        <v>100.64228595832</v>
      </c>
    </row>
    <row r="152" customFormat="false" ht="13.8" hidden="false" customHeight="false" outlineLevel="0" collapsed="false">
      <c r="AE152" s="44" t="n">
        <f aca="false">IF(ISNUMBER(Rendimientos!C152),Rendimientos!A152,"")</f>
        <v>140</v>
      </c>
      <c r="AF152" s="122" t="n">
        <f aca="false">IF(AE152="","",Rendimientos!C152)</f>
        <v>29.48</v>
      </c>
      <c r="AG152" s="44" t="n">
        <f aca="false">IF(AF152="","",LN(AF152))</f>
        <v>3.38371206732114</v>
      </c>
      <c r="AH152" s="44" t="n">
        <f aca="false">IF(AE152="",NA(),AE152)</f>
        <v>140</v>
      </c>
      <c r="AI152" s="122" t="n">
        <f aca="false">IF(AE152="",NA(),AF152)</f>
        <v>29.48</v>
      </c>
      <c r="AK152" s="44" t="n">
        <f aca="false">IF(ISNUMBER(Rendimientos!D152),Rendimientos!A152,"")</f>
        <v>140</v>
      </c>
      <c r="AL152" s="122" t="n">
        <f aca="false">IF(AK152="","",Rendimientos!D152)</f>
        <v>52788.5</v>
      </c>
      <c r="AM152" s="44" t="n">
        <f aca="false">IF(AL152="","",LN(AL152))</f>
        <v>10.8740486429415</v>
      </c>
      <c r="AN152" s="44" t="n">
        <f aca="false">IF(AK152="",NA(),AK152)</f>
        <v>140</v>
      </c>
      <c r="AO152" s="122" t="n">
        <f aca="false">IF(AK152="",NA(),AL152)</f>
        <v>52788.5</v>
      </c>
      <c r="AQ152" s="55" t="n">
        <f aca="false">IF(ISNUMBER(Rendimientos!B152),Rendimientos!B152,NA())</f>
        <v>45459</v>
      </c>
      <c r="AR152" s="44" t="n">
        <f aca="false">IF(AND(ISNUMBER(Rendimientos!C152),ISNUMBER(Rendimientos!$C$13)),Rendimientos!C152/Rendimientos!$C$13*100,NA())</f>
        <v>117.92</v>
      </c>
      <c r="AS152" s="44" t="n">
        <f aca="false">IF(AND(ISNUMBER(Rendimientos!D152),ISNUMBER(Rendimientos!$D$13)),Rendimientos!D152/Rendimientos!$D$13*100,NA())</f>
        <v>101.732214086583</v>
      </c>
    </row>
    <row r="153" customFormat="false" ht="13.8" hidden="false" customHeight="false" outlineLevel="0" collapsed="false">
      <c r="AE153" s="44" t="n">
        <f aca="false">IF(ISNUMBER(Rendimientos!C153),Rendimientos!A153,"")</f>
        <v>141</v>
      </c>
      <c r="AF153" s="122" t="n">
        <f aca="false">IF(AE153="","",Rendimientos!C153)</f>
        <v>30.36</v>
      </c>
      <c r="AG153" s="44" t="n">
        <f aca="false">IF(AF153="","",LN(AF153))</f>
        <v>3.41312595252743</v>
      </c>
      <c r="AH153" s="44" t="n">
        <f aca="false">IF(AE153="",NA(),AE153)</f>
        <v>141</v>
      </c>
      <c r="AI153" s="122" t="n">
        <f aca="false">IF(AE153="",NA(),AF153)</f>
        <v>30.36</v>
      </c>
      <c r="AK153" s="44" t="n">
        <f aca="false">IF(ISNUMBER(Rendimientos!D153),Rendimientos!A153,"")</f>
        <v>141</v>
      </c>
      <c r="AL153" s="122" t="n">
        <f aca="false">IF(AK153="","",Rendimientos!D153)</f>
        <v>52440.02</v>
      </c>
      <c r="AM153" s="44" t="n">
        <f aca="false">IF(AL153="","",LN(AL153))</f>
        <v>10.8674253192658</v>
      </c>
      <c r="AN153" s="44" t="n">
        <f aca="false">IF(AK153="",NA(),AK153)</f>
        <v>141</v>
      </c>
      <c r="AO153" s="122" t="n">
        <f aca="false">IF(AK153="",NA(),AL153)</f>
        <v>52440.02</v>
      </c>
      <c r="AQ153" s="55" t="n">
        <f aca="false">IF(ISNUMBER(Rendimientos!B153),Rendimientos!B153,NA())</f>
        <v>45466</v>
      </c>
      <c r="AR153" s="44" t="n">
        <f aca="false">IF(AND(ISNUMBER(Rendimientos!C153),ISNUMBER(Rendimientos!$C$13)),Rendimientos!C153/Rendimientos!$C$13*100,NA())</f>
        <v>121.44</v>
      </c>
      <c r="AS153" s="44" t="n">
        <f aca="false">IF(AND(ISNUMBER(Rendimientos!D153),ISNUMBER(Rendimientos!$D$13)),Rendimientos!D153/Rendimientos!$D$13*100,NA())</f>
        <v>101.060635201695</v>
      </c>
    </row>
    <row r="154" customFormat="false" ht="13.8" hidden="false" customHeight="false" outlineLevel="0" collapsed="false">
      <c r="AE154" s="44" t="n">
        <f aca="false">IF(ISNUMBER(Rendimientos!C154),Rendimientos!A154,"")</f>
        <v>142</v>
      </c>
      <c r="AF154" s="122" t="n">
        <f aca="false">IF(AE154="","",Rendimientos!C154)</f>
        <v>29.82</v>
      </c>
      <c r="AG154" s="44" t="n">
        <f aca="false">IF(AF154="","",LN(AF154))</f>
        <v>3.39517930933659</v>
      </c>
      <c r="AH154" s="44" t="n">
        <f aca="false">IF(AE154="",NA(),AE154)</f>
        <v>142</v>
      </c>
      <c r="AI154" s="122" t="n">
        <f aca="false">IF(AE154="",NA(),AF154)</f>
        <v>29.82</v>
      </c>
      <c r="AK154" s="44" t="n">
        <f aca="false">IF(ISNUMBER(Rendimientos!D154),Rendimientos!A154,"")</f>
        <v>142</v>
      </c>
      <c r="AL154" s="122" t="n">
        <f aca="false">IF(AK154="","",Rendimientos!D154)</f>
        <v>52333.16</v>
      </c>
      <c r="AM154" s="44" t="n">
        <f aca="false">IF(AL154="","",LN(AL154))</f>
        <v>10.8653854835549</v>
      </c>
      <c r="AN154" s="44" t="n">
        <f aca="false">IF(AK154="",NA(),AK154)</f>
        <v>142</v>
      </c>
      <c r="AO154" s="122" t="n">
        <f aca="false">IF(AK154="",NA(),AL154)</f>
        <v>52333.16</v>
      </c>
      <c r="AQ154" s="55" t="n">
        <f aca="false">IF(ISNUMBER(Rendimientos!B154),Rendimientos!B154,NA())</f>
        <v>45473</v>
      </c>
      <c r="AR154" s="44" t="n">
        <f aca="false">IF(AND(ISNUMBER(Rendimientos!C154),ISNUMBER(Rendimientos!$C$13)),Rendimientos!C154/Rendimientos!$C$13*100,NA())</f>
        <v>119.28</v>
      </c>
      <c r="AS154" s="44" t="n">
        <f aca="false">IF(AND(ISNUMBER(Rendimientos!D154),ISNUMBER(Rendimientos!$D$13)),Rendimientos!D154/Rendimientos!$D$13*100,NA())</f>
        <v>100.85469821926</v>
      </c>
    </row>
    <row r="155" customFormat="false" ht="13.8" hidden="false" customHeight="false" outlineLevel="0" collapsed="false">
      <c r="AE155" s="44" t="n">
        <f aca="false">IF(ISNUMBER(Rendimientos!C155),Rendimientos!A155,"")</f>
        <v>143</v>
      </c>
      <c r="AF155" s="122" t="n">
        <f aca="false">IF(AE155="","",Rendimientos!C155)</f>
        <v>30.8</v>
      </c>
      <c r="AG155" s="44" t="n">
        <f aca="false">IF(AF155="","",LN(AF155))</f>
        <v>3.42751468997953</v>
      </c>
      <c r="AH155" s="44" t="n">
        <f aca="false">IF(AE155="",NA(),AE155)</f>
        <v>143</v>
      </c>
      <c r="AI155" s="122" t="n">
        <f aca="false">IF(AE155="",NA(),AF155)</f>
        <v>30.8</v>
      </c>
      <c r="AK155" s="44" t="n">
        <f aca="false">IF(ISNUMBER(Rendimientos!D155),Rendimientos!A155,"")</f>
        <v>143</v>
      </c>
      <c r="AL155" s="122" t="n">
        <f aca="false">IF(AK155="","",Rendimientos!D155)</f>
        <v>54953.11</v>
      </c>
      <c r="AM155" s="44" t="n">
        <f aca="false">IF(AL155="","",LN(AL155))</f>
        <v>10.9142355551365</v>
      </c>
      <c r="AN155" s="44" t="n">
        <f aca="false">IF(AK155="",NA(),AK155)</f>
        <v>143</v>
      </c>
      <c r="AO155" s="122" t="n">
        <f aca="false">IF(AK155="",NA(),AL155)</f>
        <v>54953.11</v>
      </c>
      <c r="AQ155" s="55" t="n">
        <f aca="false">IF(ISNUMBER(Rendimientos!B155),Rendimientos!B155,NA())</f>
        <v>45480</v>
      </c>
      <c r="AR155" s="44" t="n">
        <f aca="false">IF(AND(ISNUMBER(Rendimientos!C155),ISNUMBER(Rendimientos!$C$13)),Rendimientos!C155/Rendimientos!$C$13*100,NA())</f>
        <v>123.2</v>
      </c>
      <c r="AS155" s="44" t="n">
        <f aca="false">IF(AND(ISNUMBER(Rendimientos!D155),ISNUMBER(Rendimientos!$D$13)),Rendimientos!D155/Rendimientos!$D$13*100,NA())</f>
        <v>105.903777361424</v>
      </c>
    </row>
    <row r="156" customFormat="false" ht="13.8" hidden="false" customHeight="false" outlineLevel="0" collapsed="false">
      <c r="AE156" s="44" t="n">
        <f aca="false">IF(ISNUMBER(Rendimientos!C156),Rendimientos!A156,"")</f>
        <v>144</v>
      </c>
      <c r="AF156" s="122" t="n">
        <f aca="false">IF(AE156="","",Rendimientos!C156)</f>
        <v>30.79</v>
      </c>
      <c r="AG156" s="44" t="n">
        <f aca="false">IF(AF156="","",LN(AF156))</f>
        <v>3.42718996193641</v>
      </c>
      <c r="AH156" s="44" t="n">
        <f aca="false">IF(AE156="",NA(),AE156)</f>
        <v>144</v>
      </c>
      <c r="AI156" s="122" t="n">
        <f aca="false">IF(AE156="",NA(),AF156)</f>
        <v>30.79</v>
      </c>
      <c r="AK156" s="44" t="n">
        <f aca="false">IF(ISNUMBER(Rendimientos!D156),Rendimientos!A156,"")</f>
        <v>144</v>
      </c>
      <c r="AL156" s="122" t="n">
        <f aca="false">IF(AK156="","",Rendimientos!D156)</f>
        <v>53678.52</v>
      </c>
      <c r="AM156" s="44" t="n">
        <f aca="false">IF(AL156="","",LN(AL156))</f>
        <v>10.8907682004756</v>
      </c>
      <c r="AN156" s="44" t="n">
        <f aca="false">IF(AK156="",NA(),AK156)</f>
        <v>144</v>
      </c>
      <c r="AO156" s="122" t="n">
        <f aca="false">IF(AK156="",NA(),AL156)</f>
        <v>53678.52</v>
      </c>
      <c r="AQ156" s="55" t="n">
        <f aca="false">IF(ISNUMBER(Rendimientos!B156),Rendimientos!B156,NA())</f>
        <v>45487</v>
      </c>
      <c r="AR156" s="44" t="n">
        <f aca="false">IF(AND(ISNUMBER(Rendimientos!C156),ISNUMBER(Rendimientos!$C$13)),Rendimientos!C156/Rendimientos!$C$13*100,NA())</f>
        <v>123.16</v>
      </c>
      <c r="AS156" s="44" t="n">
        <f aca="false">IF(AND(ISNUMBER(Rendimientos!D156),ISNUMBER(Rendimientos!$D$13)),Rendimientos!D156/Rendimientos!$D$13*100,NA())</f>
        <v>103.447430567092</v>
      </c>
    </row>
    <row r="157" customFormat="false" ht="13.8" hidden="false" customHeight="false" outlineLevel="0" collapsed="false">
      <c r="AE157" s="44" t="n">
        <f aca="false">IF(ISNUMBER(Rendimientos!C157),Rendimientos!A157,"")</f>
        <v>145</v>
      </c>
      <c r="AF157" s="122" t="n">
        <f aca="false">IF(AE157="","",Rendimientos!C157)</f>
        <v>29.39</v>
      </c>
      <c r="AG157" s="44" t="n">
        <f aca="false">IF(AF157="","",LN(AF157))</f>
        <v>3.38065448043083</v>
      </c>
      <c r="AH157" s="44" t="n">
        <f aca="false">IF(AE157="",NA(),AE157)</f>
        <v>145</v>
      </c>
      <c r="AI157" s="122" t="n">
        <f aca="false">IF(AE157="",NA(),AF157)</f>
        <v>29.39</v>
      </c>
      <c r="AK157" s="44" t="n">
        <f aca="false">IF(ISNUMBER(Rendimientos!D157),Rendimientos!A157,"")</f>
        <v>145</v>
      </c>
      <c r="AL157" s="122" t="n">
        <f aca="false">IF(AK157="","",Rendimientos!D157)</f>
        <v>52819.58</v>
      </c>
      <c r="AM157" s="44" t="n">
        <f aca="false">IF(AL157="","",LN(AL157))</f>
        <v>10.874637234286</v>
      </c>
      <c r="AN157" s="44" t="n">
        <f aca="false">IF(AK157="",NA(),AK157)</f>
        <v>145</v>
      </c>
      <c r="AO157" s="122" t="n">
        <f aca="false">IF(AK157="",NA(),AL157)</f>
        <v>52819.58</v>
      </c>
      <c r="AQ157" s="55" t="n">
        <f aca="false">IF(ISNUMBER(Rendimientos!B157),Rendimientos!B157,NA())</f>
        <v>45494</v>
      </c>
      <c r="AR157" s="44" t="n">
        <f aca="false">IF(AND(ISNUMBER(Rendimientos!C157),ISNUMBER(Rendimientos!$C$13)),Rendimientos!C157/Rendimientos!$C$13*100,NA())</f>
        <v>117.56</v>
      </c>
      <c r="AS157" s="44" t="n">
        <f aca="false">IF(AND(ISNUMBER(Rendimientos!D157),ISNUMBER(Rendimientos!$D$13)),Rendimientos!D157/Rendimientos!$D$13*100,NA())</f>
        <v>101.792110412749</v>
      </c>
    </row>
    <row r="158" customFormat="false" ht="13.8" hidden="false" customHeight="false" outlineLevel="0" collapsed="false">
      <c r="AE158" s="44" t="n">
        <f aca="false">IF(ISNUMBER(Rendimientos!C158),Rendimientos!A158,"")</f>
        <v>146</v>
      </c>
      <c r="AF158" s="122" t="n">
        <f aca="false">IF(AE158="","",Rendimientos!C158)</f>
        <v>31.19</v>
      </c>
      <c r="AG158" s="44" t="n">
        <f aca="false">IF(AF158="","",LN(AF158))</f>
        <v>3.44009753061971</v>
      </c>
      <c r="AH158" s="44" t="n">
        <f aca="false">IF(AE158="",NA(),AE158)</f>
        <v>146</v>
      </c>
      <c r="AI158" s="122" t="n">
        <f aca="false">IF(AE158="",NA(),AF158)</f>
        <v>31.19</v>
      </c>
      <c r="AK158" s="44" t="n">
        <f aca="false">IF(ISNUMBER(Rendimientos!D158),Rendimientos!A158,"")</f>
        <v>146</v>
      </c>
      <c r="AL158" s="122" t="n">
        <f aca="false">IF(AK158="","",Rendimientos!D158)</f>
        <v>52242.38</v>
      </c>
      <c r="AM158" s="44" t="n">
        <f aca="false">IF(AL158="","",LN(AL158))</f>
        <v>10.8636493218712</v>
      </c>
      <c r="AN158" s="44" t="n">
        <f aca="false">IF(AK158="",NA(),AK158)</f>
        <v>146</v>
      </c>
      <c r="AO158" s="122" t="n">
        <f aca="false">IF(AK158="",NA(),AL158)</f>
        <v>52242.38</v>
      </c>
      <c r="AQ158" s="55" t="n">
        <f aca="false">IF(ISNUMBER(Rendimientos!B158),Rendimientos!B158,NA())</f>
        <v>45501</v>
      </c>
      <c r="AR158" s="44" t="n">
        <f aca="false">IF(AND(ISNUMBER(Rendimientos!C158),ISNUMBER(Rendimientos!$C$13)),Rendimientos!C158/Rendimientos!$C$13*100,NA())</f>
        <v>124.76</v>
      </c>
      <c r="AS158" s="44" t="n">
        <f aca="false">IF(AND(ISNUMBER(Rendimientos!D158),ISNUMBER(Rendimientos!$D$13)),Rendimientos!D158/Rendimientos!$D$13*100,NA())</f>
        <v>100.679750069667</v>
      </c>
    </row>
    <row r="159" customFormat="false" ht="13.8" hidden="false" customHeight="false" outlineLevel="0" collapsed="false">
      <c r="AE159" s="44" t="n">
        <f aca="false">IF(ISNUMBER(Rendimientos!C159),Rendimientos!A159,"")</f>
        <v>147</v>
      </c>
      <c r="AF159" s="122" t="n">
        <f aca="false">IF(AE159="","",Rendimientos!C159)</f>
        <v>31.14</v>
      </c>
      <c r="AG159" s="44" t="n">
        <f aca="false">IF(AF159="","",LN(AF159))</f>
        <v>3.43849316640585</v>
      </c>
      <c r="AH159" s="44" t="n">
        <f aca="false">IF(AE159="",NA(),AE159)</f>
        <v>147</v>
      </c>
      <c r="AI159" s="122" t="n">
        <f aca="false">IF(AE159="",NA(),AF159)</f>
        <v>31.14</v>
      </c>
      <c r="AK159" s="44" t="n">
        <f aca="false">IF(ISNUMBER(Rendimientos!D159),Rendimientos!A159,"")</f>
        <v>147</v>
      </c>
      <c r="AL159" s="122" t="n">
        <f aca="false">IF(AK159="","",Rendimientos!D159)</f>
        <v>53051.54</v>
      </c>
      <c r="AM159" s="44" t="n">
        <f aca="false">IF(AL159="","",LN(AL159))</f>
        <v>10.8790191728385</v>
      </c>
      <c r="AN159" s="44" t="n">
        <f aca="false">IF(AK159="",NA(),AK159)</f>
        <v>147</v>
      </c>
      <c r="AO159" s="122" t="n">
        <f aca="false">IF(AK159="",NA(),AL159)</f>
        <v>53051.54</v>
      </c>
      <c r="AQ159" s="55" t="n">
        <f aca="false">IF(ISNUMBER(Rendimientos!B159),Rendimientos!B159,NA())</f>
        <v>45508</v>
      </c>
      <c r="AR159" s="44" t="n">
        <f aca="false">IF(AND(ISNUMBER(Rendimientos!C159),ISNUMBER(Rendimientos!$C$13)),Rendimientos!C159/Rendimientos!$C$13*100,NA())</f>
        <v>124.56</v>
      </c>
      <c r="AS159" s="44" t="n">
        <f aca="false">IF(AND(ISNUMBER(Rendimientos!D159),ISNUMBER(Rendimientos!$D$13)),Rendimientos!D159/Rendimientos!$D$13*100,NA())</f>
        <v>102.239135889501</v>
      </c>
    </row>
    <row r="160" customFormat="false" ht="13.8" hidden="false" customHeight="false" outlineLevel="0" collapsed="false">
      <c r="AE160" s="44" t="n">
        <f aca="false">IF(ISNUMBER(Rendimientos!C160),Rendimientos!A160,"")</f>
        <v>148</v>
      </c>
      <c r="AF160" s="122" t="n">
        <f aca="false">IF(AE160="","",Rendimientos!C160)</f>
        <v>30.98</v>
      </c>
      <c r="AG160" s="44" t="n">
        <f aca="false">IF(AF160="","",LN(AF160))</f>
        <v>3.43334183498872</v>
      </c>
      <c r="AH160" s="44" t="n">
        <f aca="false">IF(AE160="",NA(),AE160)</f>
        <v>148</v>
      </c>
      <c r="AI160" s="122" t="n">
        <f aca="false">IF(AE160="",NA(),AF160)</f>
        <v>30.98</v>
      </c>
      <c r="AK160" s="44" t="n">
        <f aca="false">IF(ISNUMBER(Rendimientos!D160),Rendimientos!A160,"")</f>
        <v>148</v>
      </c>
      <c r="AL160" s="122" t="n">
        <f aca="false">IF(AK160="","",Rendimientos!D160)</f>
        <v>54083.78</v>
      </c>
      <c r="AM160" s="44" t="n">
        <f aca="false">IF(AL160="","",LN(AL160))</f>
        <v>10.8982896047239</v>
      </c>
      <c r="AN160" s="44" t="n">
        <f aca="false">IF(AK160="",NA(),AK160)</f>
        <v>148</v>
      </c>
      <c r="AO160" s="122" t="n">
        <f aca="false">IF(AK160="",NA(),AL160)</f>
        <v>54083.78</v>
      </c>
      <c r="AQ160" s="55" t="n">
        <f aca="false">IF(ISNUMBER(Rendimientos!B160),Rendimientos!B160,NA())</f>
        <v>45515</v>
      </c>
      <c r="AR160" s="44" t="n">
        <f aca="false">IF(AND(ISNUMBER(Rendimientos!C160),ISNUMBER(Rendimientos!$C$13)),Rendimientos!C160/Rendimientos!$C$13*100,NA())</f>
        <v>123.92</v>
      </c>
      <c r="AS160" s="44" t="n">
        <f aca="false">IF(AND(ISNUMBER(Rendimientos!D160),ISNUMBER(Rendimientos!$D$13)),Rendimientos!D160/Rendimientos!$D$13*100,NA())</f>
        <v>104.228433950039</v>
      </c>
    </row>
    <row r="161" customFormat="false" ht="13.8" hidden="false" customHeight="false" outlineLevel="0" collapsed="false">
      <c r="AE161" s="44" t="n">
        <f aca="false">IF(ISNUMBER(Rendimientos!C161),Rendimientos!A161,"")</f>
        <v>149</v>
      </c>
      <c r="AF161" s="122" t="n">
        <f aca="false">IF(AE161="","",Rendimientos!C161)</f>
        <v>30.47</v>
      </c>
      <c r="AG161" s="44" t="n">
        <f aca="false">IF(AF161="","",LN(AF161))</f>
        <v>3.41674259299762</v>
      </c>
      <c r="AH161" s="44" t="n">
        <f aca="false">IF(AE161="",NA(),AE161)</f>
        <v>149</v>
      </c>
      <c r="AI161" s="122" t="n">
        <f aca="false">IF(AE161="",NA(),AF161)</f>
        <v>30.47</v>
      </c>
      <c r="AK161" s="44" t="n">
        <f aca="false">IF(ISNUMBER(Rendimientos!D161),Rendimientos!A161,"")</f>
        <v>149</v>
      </c>
      <c r="AL161" s="122" t="n">
        <f aca="false">IF(AK161="","",Rendimientos!D161)</f>
        <v>53490.92</v>
      </c>
      <c r="AM161" s="44" t="n">
        <f aca="false">IF(AL161="","",LN(AL161))</f>
        <v>10.8872671988539</v>
      </c>
      <c r="AN161" s="44" t="n">
        <f aca="false">IF(AK161="",NA(),AK161)</f>
        <v>149</v>
      </c>
      <c r="AO161" s="122" t="n">
        <f aca="false">IF(AK161="",NA(),AL161)</f>
        <v>53490.92</v>
      </c>
      <c r="AQ161" s="55" t="n">
        <f aca="false">IF(ISNUMBER(Rendimientos!B161),Rendimientos!B161,NA())</f>
        <v>45522</v>
      </c>
      <c r="AR161" s="44" t="n">
        <f aca="false">IF(AND(ISNUMBER(Rendimientos!C161),ISNUMBER(Rendimientos!$C$13)),Rendimientos!C161/Rendimientos!$C$13*100,NA())</f>
        <v>121.88</v>
      </c>
      <c r="AS161" s="44" t="n">
        <f aca="false">IF(AND(ISNUMBER(Rendimientos!D161),ISNUMBER(Rendimientos!$D$13)),Rendimientos!D161/Rendimientos!$D$13*100,NA())</f>
        <v>103.085894183928</v>
      </c>
    </row>
    <row r="162" customFormat="false" ht="13.8" hidden="false" customHeight="false" outlineLevel="0" collapsed="false">
      <c r="AE162" s="44" t="n">
        <f aca="false">IF(ISNUMBER(Rendimientos!C162),Rendimientos!A162,"")</f>
        <v>150</v>
      </c>
      <c r="AF162" s="122" t="n">
        <f aca="false">IF(AE162="","",Rendimientos!C162)</f>
        <v>30.48</v>
      </c>
      <c r="AG162" s="44" t="n">
        <f aca="false">IF(AF162="","",LN(AF162))</f>
        <v>3.41707073081845</v>
      </c>
      <c r="AH162" s="44" t="n">
        <f aca="false">IF(AE162="",NA(),AE162)</f>
        <v>150</v>
      </c>
      <c r="AI162" s="122" t="n">
        <f aca="false">IF(AE162="",NA(),AF162)</f>
        <v>30.48</v>
      </c>
      <c r="AK162" s="44" t="n">
        <f aca="false">IF(ISNUMBER(Rendimientos!D162),Rendimientos!A162,"")</f>
        <v>150</v>
      </c>
      <c r="AL162" s="122" t="n">
        <f aca="false">IF(AK162="","",Rendimientos!D162)</f>
        <v>51985.87</v>
      </c>
      <c r="AM162" s="44" t="n">
        <f aca="false">IF(AL162="","",LN(AL162))</f>
        <v>10.8587272298688</v>
      </c>
      <c r="AN162" s="44" t="n">
        <f aca="false">IF(AK162="",NA(),AK162)</f>
        <v>150</v>
      </c>
      <c r="AO162" s="122" t="n">
        <f aca="false">IF(AK162="",NA(),AL162)</f>
        <v>51985.87</v>
      </c>
      <c r="AQ162" s="55" t="n">
        <f aca="false">IF(ISNUMBER(Rendimientos!B162),Rendimientos!B162,NA())</f>
        <v>45529</v>
      </c>
      <c r="AR162" s="44" t="n">
        <f aca="false">IF(AND(ISNUMBER(Rendimientos!C162),ISNUMBER(Rendimientos!$C$13)),Rendimientos!C162/Rendimientos!$C$13*100,NA())</f>
        <v>121.92</v>
      </c>
      <c r="AS162" s="44" t="n">
        <f aca="false">IF(AND(ISNUMBER(Rendimientos!D162),ISNUMBER(Rendimientos!$D$13)),Rendimientos!D162/Rendimientos!$D$13*100,NA())</f>
        <v>100.185412662176</v>
      </c>
    </row>
    <row r="163" customFormat="false" ht="13.8" hidden="false" customHeight="false" outlineLevel="0" collapsed="false">
      <c r="AE163" s="44" t="n">
        <f aca="false">IF(ISNUMBER(Rendimientos!C163),Rendimientos!A163,"")</f>
        <v>151</v>
      </c>
      <c r="AF163" s="122" t="n">
        <f aca="false">IF(AE163="","",Rendimientos!C163)</f>
        <v>29.79</v>
      </c>
      <c r="AG163" s="44" t="n">
        <f aca="false">IF(AF163="","",LN(AF163))</f>
        <v>3.39417276672519</v>
      </c>
      <c r="AH163" s="44" t="n">
        <f aca="false">IF(AE163="",NA(),AE163)</f>
        <v>151</v>
      </c>
      <c r="AI163" s="122" t="n">
        <f aca="false">IF(AE163="",NA(),AF163)</f>
        <v>29.79</v>
      </c>
      <c r="AK163" s="44" t="n">
        <f aca="false">IF(ISNUMBER(Rendimientos!D163),Rendimientos!A163,"")</f>
        <v>151</v>
      </c>
      <c r="AL163" s="122" t="n">
        <f aca="false">IF(AK163="","",Rendimientos!D163)</f>
        <v>51083.44</v>
      </c>
      <c r="AM163" s="44" t="n">
        <f aca="false">IF(AL163="","",LN(AL163))</f>
        <v>10.8412156532195</v>
      </c>
      <c r="AN163" s="44" t="n">
        <f aca="false">IF(AK163="",NA(),AK163)</f>
        <v>151</v>
      </c>
      <c r="AO163" s="122" t="n">
        <f aca="false">IF(AK163="",NA(),AL163)</f>
        <v>51083.44</v>
      </c>
      <c r="AQ163" s="55" t="n">
        <f aca="false">IF(ISNUMBER(Rendimientos!B163),Rendimientos!B163,NA())</f>
        <v>45536</v>
      </c>
      <c r="AR163" s="44" t="n">
        <f aca="false">IF(AND(ISNUMBER(Rendimientos!C163),ISNUMBER(Rendimientos!$C$13)),Rendimientos!C163/Rendimientos!$C$13*100,NA())</f>
        <v>119.16</v>
      </c>
      <c r="AS163" s="44" t="n">
        <f aca="false">IF(AND(ISNUMBER(Rendimientos!D163),ISNUMBER(Rendimientos!$D$13)),Rendimientos!D163/Rendimientos!$D$13*100,NA())</f>
        <v>98.4462800488575</v>
      </c>
    </row>
    <row r="164" customFormat="false" ht="13.8" hidden="false" customHeight="false" outlineLevel="0" collapsed="false">
      <c r="AE164" s="44" t="n">
        <f aca="false">IF(ISNUMBER(Rendimientos!C164),Rendimientos!A164,"")</f>
        <v>152</v>
      </c>
      <c r="AF164" s="122" t="n">
        <f aca="false">IF(AE164="","",Rendimientos!C164)</f>
        <v>30</v>
      </c>
      <c r="AG164" s="44" t="n">
        <f aca="false">IF(AF164="","",LN(AF164))</f>
        <v>3.40119738166216</v>
      </c>
      <c r="AH164" s="44" t="n">
        <f aca="false">IF(AE164="",NA(),AE164)</f>
        <v>152</v>
      </c>
      <c r="AI164" s="122" t="n">
        <f aca="false">IF(AE164="",NA(),AF164)</f>
        <v>30</v>
      </c>
      <c r="AK164" s="44" t="n">
        <f aca="false">IF(ISNUMBER(Rendimientos!D164),Rendimientos!A164,"")</f>
        <v>152</v>
      </c>
      <c r="AL164" s="122" t="n">
        <f aca="false">IF(AK164="","",Rendimientos!D164)</f>
        <v>52016.85</v>
      </c>
      <c r="AM164" s="44" t="n">
        <f aca="false">IF(AL164="","",LN(AL164))</f>
        <v>10.859322983536</v>
      </c>
      <c r="AN164" s="44" t="n">
        <f aca="false">IF(AK164="",NA(),AK164)</f>
        <v>152</v>
      </c>
      <c r="AO164" s="122" t="n">
        <f aca="false">IF(AK164="",NA(),AL164)</f>
        <v>52016.85</v>
      </c>
      <c r="AQ164" s="55" t="n">
        <f aca="false">IF(ISNUMBER(Rendimientos!B164),Rendimientos!B164,NA())</f>
        <v>45543</v>
      </c>
      <c r="AR164" s="44" t="n">
        <f aca="false">IF(AND(ISNUMBER(Rendimientos!C164),ISNUMBER(Rendimientos!$C$13)),Rendimientos!C164/Rendimientos!$C$13*100,NA())</f>
        <v>120</v>
      </c>
      <c r="AS164" s="44" t="n">
        <f aca="false">IF(AND(ISNUMBER(Rendimientos!D164),ISNUMBER(Rendimientos!$D$13)),Rendimientos!D164/Rendimientos!$D$13*100,NA())</f>
        <v>100.24511627172</v>
      </c>
    </row>
    <row r="165" customFormat="false" ht="13.8" hidden="false" customHeight="false" outlineLevel="0" collapsed="false">
      <c r="AE165" s="44" t="n">
        <f aca="false">IF(ISNUMBER(Rendimientos!C165),Rendimientos!A165,"")</f>
        <v>153</v>
      </c>
      <c r="AF165" s="122" t="n">
        <f aca="false">IF(AE165="","",Rendimientos!C165)</f>
        <v>30.48</v>
      </c>
      <c r="AG165" s="44" t="n">
        <f aca="false">IF(AF165="","",LN(AF165))</f>
        <v>3.41707073081845</v>
      </c>
      <c r="AH165" s="44" t="n">
        <f aca="false">IF(AE165="",NA(),AE165)</f>
        <v>153</v>
      </c>
      <c r="AI165" s="122" t="n">
        <f aca="false">IF(AE165="",NA(),AF165)</f>
        <v>30.48</v>
      </c>
      <c r="AK165" s="44" t="n">
        <f aca="false">IF(ISNUMBER(Rendimientos!D165),Rendimientos!A165,"")</f>
        <v>153</v>
      </c>
      <c r="AL165" s="122" t="n">
        <f aca="false">IF(AK165="","",Rendimientos!D165)</f>
        <v>52190.48</v>
      </c>
      <c r="AM165" s="44" t="n">
        <f aca="false">IF(AL165="","",LN(AL165))</f>
        <v>10.8626553817594</v>
      </c>
      <c r="AN165" s="44" t="n">
        <f aca="false">IF(AK165="",NA(),AK165)</f>
        <v>153</v>
      </c>
      <c r="AO165" s="122" t="n">
        <f aca="false">IF(AK165="",NA(),AL165)</f>
        <v>52190.48</v>
      </c>
      <c r="AQ165" s="55" t="n">
        <f aca="false">IF(ISNUMBER(Rendimientos!B165),Rendimientos!B165,NA())</f>
        <v>45550</v>
      </c>
      <c r="AR165" s="44" t="n">
        <f aca="false">IF(AND(ISNUMBER(Rendimientos!C165),ISNUMBER(Rendimientos!$C$13)),Rendimientos!C165/Rendimientos!$C$13*100,NA())</f>
        <v>121.92</v>
      </c>
      <c r="AS165" s="44" t="n">
        <f aca="false">IF(AND(ISNUMBER(Rendimientos!D165),ISNUMBER(Rendimientos!$D$13)),Rendimientos!D165/Rendimientos!$D$13*100,NA())</f>
        <v>100.579730142768</v>
      </c>
    </row>
    <row r="166" customFormat="false" ht="13.8" hidden="false" customHeight="false" outlineLevel="0" collapsed="false">
      <c r="AE166" s="44" t="n">
        <f aca="false">IF(ISNUMBER(Rendimientos!C166),Rendimientos!A166,"")</f>
        <v>154</v>
      </c>
      <c r="AF166" s="122" t="n">
        <f aca="false">IF(AE166="","",Rendimientos!C166)</f>
        <v>31.04</v>
      </c>
      <c r="AG166" s="44" t="n">
        <f aca="false">IF(AF166="","",LN(AF166))</f>
        <v>3.43527669531502</v>
      </c>
      <c r="AH166" s="44" t="n">
        <f aca="false">IF(AE166="",NA(),AE166)</f>
        <v>154</v>
      </c>
      <c r="AI166" s="122" t="n">
        <f aca="false">IF(AE166="",NA(),AF166)</f>
        <v>31.04</v>
      </c>
      <c r="AK166" s="44" t="n">
        <f aca="false">IF(ISNUMBER(Rendimientos!D166),Rendimientos!A166,"")</f>
        <v>154</v>
      </c>
      <c r="AL166" s="122" t="n">
        <f aca="false">IF(AK166="","",Rendimientos!D166)</f>
        <v>52778.17</v>
      </c>
      <c r="AM166" s="44" t="n">
        <f aca="false">IF(AL166="","",LN(AL166))</f>
        <v>10.8738529372319</v>
      </c>
      <c r="AN166" s="44" t="n">
        <f aca="false">IF(AK166="",NA(),AK166)</f>
        <v>154</v>
      </c>
      <c r="AO166" s="122" t="n">
        <f aca="false">IF(AK166="",NA(),AL166)</f>
        <v>52778.17</v>
      </c>
      <c r="AQ166" s="55" t="n">
        <f aca="false">IF(ISNUMBER(Rendimientos!B166),Rendimientos!B166,NA())</f>
        <v>45557</v>
      </c>
      <c r="AR166" s="44" t="n">
        <f aca="false">IF(AND(ISNUMBER(Rendimientos!C166),ISNUMBER(Rendimientos!$C$13)),Rendimientos!C166/Rendimientos!$C$13*100,NA())</f>
        <v>124.16</v>
      </c>
      <c r="AS166" s="44" t="n">
        <f aca="false">IF(AND(ISNUMBER(Rendimientos!D166),ISNUMBER(Rendimientos!$D$13)),Rendimientos!D166/Rendimientos!$D$13*100,NA())</f>
        <v>101.712306459514</v>
      </c>
    </row>
    <row r="167" customFormat="false" ht="13.8" hidden="false" customHeight="false" outlineLevel="0" collapsed="false">
      <c r="AE167" s="44" t="n">
        <f aca="false">IF(ISNUMBER(Rendimientos!C167),Rendimientos!A167,"")</f>
        <v>155</v>
      </c>
      <c r="AF167" s="122" t="n">
        <f aca="false">IF(AE167="","",Rendimientos!C167)</f>
        <v>30.4</v>
      </c>
      <c r="AG167" s="44" t="n">
        <f aca="false">IF(AF167="","",LN(AF167))</f>
        <v>3.41444260841218</v>
      </c>
      <c r="AH167" s="44" t="n">
        <f aca="false">IF(AE167="",NA(),AE167)</f>
        <v>155</v>
      </c>
      <c r="AI167" s="122" t="n">
        <f aca="false">IF(AE167="",NA(),AF167)</f>
        <v>30.4</v>
      </c>
      <c r="AK167" s="44" t="n">
        <f aca="false">IF(ISNUMBER(Rendimientos!D167),Rendimientos!A167,"")</f>
        <v>155</v>
      </c>
      <c r="AL167" s="122" t="n">
        <f aca="false">IF(AK167="","",Rendimientos!D167)</f>
        <v>52609.87</v>
      </c>
      <c r="AM167" s="44" t="n">
        <f aca="false">IF(AL167="","",LN(AL167))</f>
        <v>10.8706590237087</v>
      </c>
      <c r="AN167" s="44" t="n">
        <f aca="false">IF(AK167="",NA(),AK167)</f>
        <v>155</v>
      </c>
      <c r="AO167" s="122" t="n">
        <f aca="false">IF(AK167="",NA(),AL167)</f>
        <v>52609.87</v>
      </c>
      <c r="AQ167" s="55" t="n">
        <f aca="false">IF(ISNUMBER(Rendimientos!B167),Rendimientos!B167,NA())</f>
        <v>45564</v>
      </c>
      <c r="AR167" s="44" t="n">
        <f aca="false">IF(AND(ISNUMBER(Rendimientos!C167),ISNUMBER(Rendimientos!$C$13)),Rendimientos!C167/Rendimientos!$C$13*100,NA())</f>
        <v>121.6</v>
      </c>
      <c r="AS167" s="44" t="n">
        <f aca="false">IF(AND(ISNUMBER(Rendimientos!D167),ISNUMBER(Rendimientos!$D$13)),Rendimientos!D167/Rendimientos!$D$13*100,NA())</f>
        <v>101.387964384427</v>
      </c>
    </row>
    <row r="168" customFormat="false" ht="13.8" hidden="false" customHeight="false" outlineLevel="0" collapsed="false">
      <c r="AE168" s="44" t="n">
        <f aca="false">IF(ISNUMBER(Rendimientos!C168),Rendimientos!A168,"")</f>
        <v>156</v>
      </c>
      <c r="AF168" s="122" t="n">
        <f aca="false">IF(AE168="","",Rendimientos!C168)</f>
        <v>30.59</v>
      </c>
      <c r="AG168" s="44" t="n">
        <f aca="false">IF(AF168="","",LN(AF168))</f>
        <v>3.42067315816281</v>
      </c>
      <c r="AH168" s="44" t="n">
        <f aca="false">IF(AE168="",NA(),AE168)</f>
        <v>156</v>
      </c>
      <c r="AI168" s="122" t="n">
        <f aca="false">IF(AE168="",NA(),AF168)</f>
        <v>30.59</v>
      </c>
      <c r="AK168" s="44" t="n">
        <f aca="false">IF(ISNUMBER(Rendimientos!D168),Rendimientos!A168,"")</f>
        <v>156</v>
      </c>
      <c r="AL168" s="122" t="n">
        <f aca="false">IF(AK168="","",Rendimientos!D168)</f>
        <v>52395.66</v>
      </c>
      <c r="AM168" s="44" t="n">
        <f aca="false">IF(AL168="","",LN(AL168))</f>
        <v>10.8665790424515</v>
      </c>
      <c r="AN168" s="44" t="n">
        <f aca="false">IF(AK168="",NA(),AK168)</f>
        <v>156</v>
      </c>
      <c r="AO168" s="122" t="n">
        <f aca="false">IF(AK168="",NA(),AL168)</f>
        <v>52395.66</v>
      </c>
      <c r="AQ168" s="55" t="n">
        <f aca="false">IF(ISNUMBER(Rendimientos!B168),Rendimientos!B168,NA())</f>
        <v>45571</v>
      </c>
      <c r="AR168" s="44" t="n">
        <f aca="false">IF(AND(ISNUMBER(Rendimientos!C168),ISNUMBER(Rendimientos!$C$13)),Rendimientos!C168/Rendimientos!$C$13*100,NA())</f>
        <v>122.36</v>
      </c>
      <c r="AS168" s="44" t="n">
        <f aca="false">IF(AND(ISNUMBER(Rendimientos!D168),ISNUMBER(Rendimientos!$D$13)),Rendimientos!D168/Rendimientos!$D$13*100,NA())</f>
        <v>100.975146108107</v>
      </c>
    </row>
    <row r="169" customFormat="false" ht="13.8" hidden="false" customHeight="false" outlineLevel="0" collapsed="false">
      <c r="AE169" s="44" t="n">
        <f aca="false">IF(ISNUMBER(Rendimientos!C169),Rendimientos!A169,"")</f>
        <v>157</v>
      </c>
      <c r="AF169" s="122" t="n">
        <f aca="false">IF(AE169="","",Rendimientos!C169)</f>
        <v>29.3</v>
      </c>
      <c r="AG169" s="44" t="n">
        <f aca="false">IF(AF169="","",LN(AF169))</f>
        <v>3.37758751602302</v>
      </c>
      <c r="AH169" s="44" t="n">
        <f aca="false">IF(AE169="",NA(),AE169)</f>
        <v>157</v>
      </c>
      <c r="AI169" s="122" t="n">
        <f aca="false">IF(AE169="",NA(),AF169)</f>
        <v>29.3</v>
      </c>
      <c r="AK169" s="44" t="n">
        <f aca="false">IF(ISNUMBER(Rendimientos!D169),Rendimientos!A169,"")</f>
        <v>157</v>
      </c>
      <c r="AL169" s="122" t="n">
        <f aca="false">IF(AK169="","",Rendimientos!D169)</f>
        <v>53027.42</v>
      </c>
      <c r="AM169" s="44" t="n">
        <f aca="false">IF(AL169="","",LN(AL169))</f>
        <v>10.8785644172411</v>
      </c>
      <c r="AN169" s="44" t="n">
        <f aca="false">IF(AK169="",NA(),AK169)</f>
        <v>157</v>
      </c>
      <c r="AO169" s="122" t="n">
        <f aca="false">IF(AK169="",NA(),AL169)</f>
        <v>53027.42</v>
      </c>
      <c r="AQ169" s="55" t="n">
        <f aca="false">IF(ISNUMBER(Rendimientos!B169),Rendimientos!B169,NA())</f>
        <v>45578</v>
      </c>
      <c r="AR169" s="44" t="n">
        <f aca="false">IF(AND(ISNUMBER(Rendimientos!C169),ISNUMBER(Rendimientos!$C$13)),Rendimientos!C169/Rendimientos!$C$13*100,NA())</f>
        <v>117.2</v>
      </c>
      <c r="AS169" s="44" t="n">
        <f aca="false">IF(AND(ISNUMBER(Rendimientos!D169),ISNUMBER(Rendimientos!$D$13)),Rendimientos!D169/Rendimientos!$D$13*100,NA())</f>
        <v>102.192652640237</v>
      </c>
    </row>
    <row r="170" customFormat="false" ht="13.8" hidden="false" customHeight="false" outlineLevel="0" collapsed="false">
      <c r="AE170" s="44" t="n">
        <f aca="false">IF(ISNUMBER(Rendimientos!C170),Rendimientos!A170,"")</f>
        <v>158</v>
      </c>
      <c r="AF170" s="122" t="n">
        <f aca="false">IF(AE170="","",Rendimientos!C170)</f>
        <v>28.91</v>
      </c>
      <c r="AG170" s="44" t="n">
        <f aca="false">IF(AF170="","",LN(AF170))</f>
        <v>3.36418755602826</v>
      </c>
      <c r="AH170" s="44" t="n">
        <f aca="false">IF(AE170="",NA(),AE170)</f>
        <v>158</v>
      </c>
      <c r="AI170" s="122" t="n">
        <f aca="false">IF(AE170="",NA(),AF170)</f>
        <v>28.91</v>
      </c>
      <c r="AK170" s="44" t="n">
        <f aca="false">IF(ISNUMBER(Rendimientos!D170),Rendimientos!A170,"")</f>
        <v>158</v>
      </c>
      <c r="AL170" s="122" t="n">
        <f aca="false">IF(AK170="","",Rendimientos!D170)</f>
        <v>51784.33</v>
      </c>
      <c r="AM170" s="44" t="n">
        <f aca="false">IF(AL170="","",LN(AL170))</f>
        <v>10.8548428728298</v>
      </c>
      <c r="AN170" s="44" t="n">
        <f aca="false">IF(AK170="",NA(),AK170)</f>
        <v>158</v>
      </c>
      <c r="AO170" s="122" t="n">
        <f aca="false">IF(AK170="",NA(),AL170)</f>
        <v>51784.33</v>
      </c>
      <c r="AQ170" s="55" t="n">
        <f aca="false">IF(ISNUMBER(Rendimientos!B170),Rendimientos!B170,NA())</f>
        <v>45585</v>
      </c>
      <c r="AR170" s="44" t="n">
        <f aca="false">IF(AND(ISNUMBER(Rendimientos!C170),ISNUMBER(Rendimientos!$C$13)),Rendimientos!C170/Rendimientos!$C$13*100,NA())</f>
        <v>115.64</v>
      </c>
      <c r="AS170" s="44" t="n">
        <f aca="false">IF(AND(ISNUMBER(Rendimientos!D170),ISNUMBER(Rendimientos!$D$13)),Rendimientos!D170/Rendimientos!$D$13*100,NA())</f>
        <v>99.7970115818836</v>
      </c>
    </row>
    <row r="171" customFormat="false" ht="13.8" hidden="false" customHeight="false" outlineLevel="0" collapsed="false">
      <c r="AE171" s="44" t="n">
        <f aca="false">IF(ISNUMBER(Rendimientos!C171),Rendimientos!A171,"")</f>
        <v>159</v>
      </c>
      <c r="AF171" s="122" t="n">
        <f aca="false">IF(AE171="","",Rendimientos!C171)</f>
        <v>28.28</v>
      </c>
      <c r="AG171" s="44" t="n">
        <f aca="false">IF(AF171="","",LN(AF171))</f>
        <v>3.34215484102837</v>
      </c>
      <c r="AH171" s="44" t="n">
        <f aca="false">IF(AE171="",NA(),AE171)</f>
        <v>159</v>
      </c>
      <c r="AI171" s="122" t="n">
        <f aca="false">IF(AE171="",NA(),AF171)</f>
        <v>28.28</v>
      </c>
      <c r="AK171" s="44" t="n">
        <f aca="false">IF(ISNUMBER(Rendimientos!D171),Rendimientos!A171,"")</f>
        <v>159</v>
      </c>
      <c r="AL171" s="122" t="n">
        <f aca="false">IF(AK171="","",Rendimientos!D171)</f>
        <v>50622.39</v>
      </c>
      <c r="AM171" s="44" t="n">
        <f aca="false">IF(AL171="","",LN(AL171))</f>
        <v>10.8321492475243</v>
      </c>
      <c r="AN171" s="44" t="n">
        <f aca="false">IF(AK171="",NA(),AK171)</f>
        <v>159</v>
      </c>
      <c r="AO171" s="122" t="n">
        <f aca="false">IF(AK171="",NA(),AL171)</f>
        <v>50622.39</v>
      </c>
      <c r="AQ171" s="55" t="n">
        <f aca="false">IF(ISNUMBER(Rendimientos!B171),Rendimientos!B171,NA())</f>
        <v>45592</v>
      </c>
      <c r="AR171" s="44" t="n">
        <f aca="false">IF(AND(ISNUMBER(Rendimientos!C171),ISNUMBER(Rendimientos!$C$13)),Rendimientos!C171/Rendimientos!$C$13*100,NA())</f>
        <v>113.12</v>
      </c>
      <c r="AS171" s="44" t="n">
        <f aca="false">IF(AND(ISNUMBER(Rendimientos!D171),ISNUMBER(Rendimientos!$D$13)),Rendimientos!D171/Rendimientos!$D$13*100,NA())</f>
        <v>97.5577600624093</v>
      </c>
    </row>
    <row r="172" customFormat="false" ht="13.8" hidden="false" customHeight="false" outlineLevel="0" collapsed="false">
      <c r="AE172" s="44" t="n">
        <f aca="false">IF(ISNUMBER(Rendimientos!C172),Rendimientos!A172,"")</f>
        <v>160</v>
      </c>
      <c r="AF172" s="122" t="n">
        <f aca="false">IF(AE172="","",Rendimientos!C172)</f>
        <v>29.59</v>
      </c>
      <c r="AG172" s="44" t="n">
        <f aca="false">IF(AF172="","",LN(AF172))</f>
        <v>3.38743646641212</v>
      </c>
      <c r="AH172" s="44" t="n">
        <f aca="false">IF(AE172="",NA(),AE172)</f>
        <v>160</v>
      </c>
      <c r="AI172" s="122" t="n">
        <f aca="false">IF(AE172="",NA(),AF172)</f>
        <v>29.59</v>
      </c>
      <c r="AK172" s="44" t="n">
        <f aca="false">IF(ISNUMBER(Rendimientos!D172),Rendimientos!A172,"")</f>
        <v>160</v>
      </c>
      <c r="AL172" s="122" t="n">
        <f aca="false">IF(AK172="","",Rendimientos!D172)</f>
        <v>51845.17</v>
      </c>
      <c r="AM172" s="44" t="n">
        <f aca="false">IF(AL172="","",LN(AL172))</f>
        <v>10.8560170559917</v>
      </c>
      <c r="AN172" s="44" t="n">
        <f aca="false">IF(AK172="",NA(),AK172)</f>
        <v>160</v>
      </c>
      <c r="AO172" s="122" t="n">
        <f aca="false">IF(AK172="",NA(),AL172)</f>
        <v>51845.17</v>
      </c>
      <c r="AQ172" s="55" t="n">
        <f aca="false">IF(ISNUMBER(Rendimientos!B172),Rendimientos!B172,NA())</f>
        <v>45599</v>
      </c>
      <c r="AR172" s="44" t="n">
        <f aca="false">IF(AND(ISNUMBER(Rendimientos!C172),ISNUMBER(Rendimientos!$C$13)),Rendimientos!C172/Rendimientos!$C$13*100,NA())</f>
        <v>118.36</v>
      </c>
      <c r="AS172" s="44" t="n">
        <f aca="false">IF(AND(ISNUMBER(Rendimientos!D172),ISNUMBER(Rendimientos!$D$13)),Rendimientos!D172/Rendimientos!$D$13*100,NA())</f>
        <v>99.914260374803</v>
      </c>
    </row>
    <row r="173" customFormat="false" ht="13.8" hidden="false" customHeight="false" outlineLevel="0" collapsed="false">
      <c r="AE173" s="44" t="n">
        <f aca="false">IF(ISNUMBER(Rendimientos!C173),Rendimientos!A173,"")</f>
        <v>161</v>
      </c>
      <c r="AF173" s="122" t="n">
        <f aca="false">IF(AE173="","",Rendimientos!C173)</f>
        <v>28.75</v>
      </c>
      <c r="AG173" s="44" t="n">
        <f aca="false">IF(AF173="","",LN(AF173))</f>
        <v>3.35863776724336</v>
      </c>
      <c r="AH173" s="44" t="n">
        <f aca="false">IF(AE173="",NA(),AE173)</f>
        <v>161</v>
      </c>
      <c r="AI173" s="122" t="n">
        <f aca="false">IF(AE173="",NA(),AF173)</f>
        <v>28.75</v>
      </c>
      <c r="AK173" s="44" t="n">
        <f aca="false">IF(ISNUMBER(Rendimientos!D173),Rendimientos!A173,"")</f>
        <v>161</v>
      </c>
      <c r="AL173" s="122" t="n">
        <f aca="false">IF(AK173="","",Rendimientos!D173)</f>
        <v>50469.4</v>
      </c>
      <c r="AM173" s="44" t="n">
        <f aca="false">IF(AL173="","",LN(AL173))</f>
        <v>10.8291224910132</v>
      </c>
      <c r="AN173" s="44" t="n">
        <f aca="false">IF(AK173="",NA(),AK173)</f>
        <v>161</v>
      </c>
      <c r="AO173" s="122" t="n">
        <f aca="false">IF(AK173="",NA(),AL173)</f>
        <v>50469.4</v>
      </c>
      <c r="AQ173" s="55" t="n">
        <f aca="false">IF(ISNUMBER(Rendimientos!B173),Rendimientos!B173,NA())</f>
        <v>45606</v>
      </c>
      <c r="AR173" s="44" t="n">
        <f aca="false">IF(AND(ISNUMBER(Rendimientos!C173),ISNUMBER(Rendimientos!$C$13)),Rendimientos!C173/Rendimientos!$C$13*100,NA())</f>
        <v>115</v>
      </c>
      <c r="AS173" s="44" t="n">
        <f aca="false">IF(AND(ISNUMBER(Rendimientos!D173),ISNUMBER(Rendimientos!$D$13)),Rendimientos!D173/Rendimientos!$D$13*100,NA())</f>
        <v>97.2629229021736</v>
      </c>
    </row>
    <row r="174" customFormat="false" ht="13.8" hidden="false" customHeight="false" outlineLevel="0" collapsed="false">
      <c r="AE174" s="44" t="n">
        <f aca="false">IF(ISNUMBER(Rendimientos!C174),Rendimientos!A174,"")</f>
        <v>162</v>
      </c>
      <c r="AF174" s="122" t="n">
        <f aca="false">IF(AE174="","",Rendimientos!C174)</f>
        <v>29.68</v>
      </c>
      <c r="AG174" s="44" t="n">
        <f aca="false">IF(AF174="","",LN(AF174))</f>
        <v>3.39047341829918</v>
      </c>
      <c r="AH174" s="44" t="n">
        <f aca="false">IF(AE174="",NA(),AE174)</f>
        <v>162</v>
      </c>
      <c r="AI174" s="122" t="n">
        <f aca="false">IF(AE174="",NA(),AF174)</f>
        <v>29.68</v>
      </c>
      <c r="AK174" s="44" t="n">
        <f aca="false">IF(ISNUMBER(Rendimientos!D174),Rendimientos!A174,"")</f>
        <v>162</v>
      </c>
      <c r="AL174" s="122" t="n">
        <f aca="false">IF(AK174="","",Rendimientos!D174)</f>
        <v>50430.02</v>
      </c>
      <c r="AM174" s="44" t="n">
        <f aca="false">IF(AL174="","",LN(AL174))</f>
        <v>10.82834191166</v>
      </c>
      <c r="AN174" s="44" t="n">
        <f aca="false">IF(AK174="",NA(),AK174)</f>
        <v>162</v>
      </c>
      <c r="AO174" s="122" t="n">
        <f aca="false">IF(AK174="",NA(),AL174)</f>
        <v>50430.02</v>
      </c>
      <c r="AQ174" s="55" t="n">
        <f aca="false">IF(ISNUMBER(Rendimientos!B174),Rendimientos!B174,NA())</f>
        <v>45613</v>
      </c>
      <c r="AR174" s="44" t="n">
        <f aca="false">IF(AND(ISNUMBER(Rendimientos!C174),ISNUMBER(Rendimientos!$C$13)),Rendimientos!C174/Rendimientos!$C$13*100,NA())</f>
        <v>118.72</v>
      </c>
      <c r="AS174" s="44" t="n">
        <f aca="false">IF(AND(ISNUMBER(Rendimientos!D174),ISNUMBER(Rendimientos!$D$13)),Rendimientos!D174/Rendimientos!$D$13*100,NA())</f>
        <v>97.1870310963687</v>
      </c>
    </row>
    <row r="175" customFormat="false" ht="13.8" hidden="false" customHeight="false" outlineLevel="0" collapsed="false">
      <c r="AE175" s="44" t="n">
        <f aca="false">IF(ISNUMBER(Rendimientos!C175),Rendimientos!A175,"")</f>
        <v>163</v>
      </c>
      <c r="AF175" s="122" t="n">
        <f aca="false">IF(AE175="","",Rendimientos!C175)</f>
        <v>30.5</v>
      </c>
      <c r="AG175" s="44" t="n">
        <f aca="false">IF(AF175="","",LN(AF175))</f>
        <v>3.41772668361337</v>
      </c>
      <c r="AH175" s="44" t="n">
        <f aca="false">IF(AE175="",NA(),AE175)</f>
        <v>163</v>
      </c>
      <c r="AI175" s="122" t="n">
        <f aca="false">IF(AE175="",NA(),AF175)</f>
        <v>30.5</v>
      </c>
      <c r="AK175" s="44" t="n">
        <f aca="false">IF(ISNUMBER(Rendimientos!D175),Rendimientos!A175,"")</f>
        <v>163</v>
      </c>
      <c r="AL175" s="122" t="n">
        <f aca="false">IF(AK175="","",Rendimientos!D175)</f>
        <v>49812.64</v>
      </c>
      <c r="AM175" s="44" t="n">
        <f aca="false">IF(AL175="","",LN(AL175))</f>
        <v>10.8160240460681</v>
      </c>
      <c r="AN175" s="44" t="n">
        <f aca="false">IF(AK175="",NA(),AK175)</f>
        <v>163</v>
      </c>
      <c r="AO175" s="122" t="n">
        <f aca="false">IF(AK175="",NA(),AL175)</f>
        <v>49812.64</v>
      </c>
      <c r="AQ175" s="55" t="n">
        <f aca="false">IF(ISNUMBER(Rendimientos!B175),Rendimientos!B175,NA())</f>
        <v>45620</v>
      </c>
      <c r="AR175" s="44" t="n">
        <f aca="false">IF(AND(ISNUMBER(Rendimientos!C175),ISNUMBER(Rendimientos!$C$13)),Rendimientos!C175/Rendimientos!$C$13*100,NA())</f>
        <v>122</v>
      </c>
      <c r="AS175" s="44" t="n">
        <f aca="false">IF(AND(ISNUMBER(Rendimientos!D175),ISNUMBER(Rendimientos!$D$13)),Rendimientos!D175/Rendimientos!$D$13*100,NA())</f>
        <v>95.9972372145048</v>
      </c>
    </row>
    <row r="176" customFormat="false" ht="13.8" hidden="false" customHeight="false" outlineLevel="0" collapsed="false">
      <c r="AE176" s="44" t="n">
        <f aca="false">IF(ISNUMBER(Rendimientos!C176),Rendimientos!A176,"")</f>
        <v>164</v>
      </c>
      <c r="AF176" s="122" t="n">
        <f aca="false">IF(AE176="","",Rendimientos!C176)</f>
        <v>30.22</v>
      </c>
      <c r="AG176" s="44" t="n">
        <f aca="false">IF(AF176="","",LN(AF176))</f>
        <v>3.40850395684459</v>
      </c>
      <c r="AH176" s="44" t="n">
        <f aca="false">IF(AE176="",NA(),AE176)</f>
        <v>164</v>
      </c>
      <c r="AI176" s="122" t="n">
        <f aca="false">IF(AE176="",NA(),AF176)</f>
        <v>30.22</v>
      </c>
      <c r="AK176" s="44" t="n">
        <f aca="false">IF(ISNUMBER(Rendimientos!D176),Rendimientos!A176,"")</f>
        <v>164</v>
      </c>
      <c r="AL176" s="122" t="n">
        <f aca="false">IF(AK176="","",Rendimientos!D176)</f>
        <v>51348.8</v>
      </c>
      <c r="AM176" s="44" t="n">
        <f aca="false">IF(AL176="","",LN(AL176))</f>
        <v>10.8463968460476</v>
      </c>
      <c r="AN176" s="44" t="n">
        <f aca="false">IF(AK176="",NA(),AK176)</f>
        <v>164</v>
      </c>
      <c r="AO176" s="122" t="n">
        <f aca="false">IF(AK176="",NA(),AL176)</f>
        <v>51348.8</v>
      </c>
      <c r="AQ176" s="55" t="n">
        <f aca="false">IF(ISNUMBER(Rendimientos!B176),Rendimientos!B176,NA())</f>
        <v>45627</v>
      </c>
      <c r="AR176" s="44" t="n">
        <f aca="false">IF(AND(ISNUMBER(Rendimientos!C176),ISNUMBER(Rendimientos!$C$13)),Rendimientos!C176/Rendimientos!$C$13*100,NA())</f>
        <v>120.88</v>
      </c>
      <c r="AS176" s="44" t="n">
        <f aca="false">IF(AND(ISNUMBER(Rendimientos!D176),ISNUMBER(Rendimientos!$D$13)),Rendimientos!D176/Rendimientos!$D$13*100,NA())</f>
        <v>98.9576728774095</v>
      </c>
    </row>
    <row r="177" customFormat="false" ht="13.8" hidden="false" customHeight="false" outlineLevel="0" collapsed="false">
      <c r="AE177" s="44" t="n">
        <f aca="false">IF(ISNUMBER(Rendimientos!C177),Rendimientos!A177,"")</f>
        <v>165</v>
      </c>
      <c r="AF177" s="122" t="n">
        <f aca="false">IF(AE177="","",Rendimientos!C177)</f>
        <v>30.07</v>
      </c>
      <c r="AG177" s="44" t="n">
        <f aca="false">IF(AF177="","",LN(AF177))</f>
        <v>3.40352799700044</v>
      </c>
      <c r="AH177" s="44" t="n">
        <f aca="false">IF(AE177="",NA(),AE177)</f>
        <v>165</v>
      </c>
      <c r="AI177" s="122" t="n">
        <f aca="false">IF(AE177="",NA(),AF177)</f>
        <v>30.07</v>
      </c>
      <c r="AK177" s="44" t="n">
        <f aca="false">IF(ISNUMBER(Rendimientos!D177),Rendimientos!A177,"")</f>
        <v>165</v>
      </c>
      <c r="AL177" s="122" t="n">
        <f aca="false">IF(AK177="","",Rendimientos!D177)</f>
        <v>51619.75</v>
      </c>
      <c r="AM177" s="44" t="n">
        <f aca="false">IF(AL177="","",LN(AL177))</f>
        <v>10.8516596301768</v>
      </c>
      <c r="AN177" s="44" t="n">
        <f aca="false">IF(AK177="",NA(),AK177)</f>
        <v>165</v>
      </c>
      <c r="AO177" s="122" t="n">
        <f aca="false">IF(AK177="",NA(),AL177)</f>
        <v>51619.75</v>
      </c>
      <c r="AQ177" s="55" t="n">
        <f aca="false">IF(ISNUMBER(Rendimientos!B177),Rendimientos!B177,NA())</f>
        <v>45634</v>
      </c>
      <c r="AR177" s="44" t="n">
        <f aca="false">IF(AND(ISNUMBER(Rendimientos!C177),ISNUMBER(Rendimientos!$C$13)),Rendimientos!C177/Rendimientos!$C$13*100,NA())</f>
        <v>120.28</v>
      </c>
      <c r="AS177" s="44" t="n">
        <f aca="false">IF(AND(ISNUMBER(Rendimientos!D177),ISNUMBER(Rendimientos!$D$13)),Rendimientos!D177/Rendimientos!$D$13*100,NA())</f>
        <v>99.4798385651399</v>
      </c>
    </row>
    <row r="178" customFormat="false" ht="13.8" hidden="false" customHeight="false" outlineLevel="0" collapsed="false">
      <c r="AE178" s="44" t="n">
        <f aca="false">IF(ISNUMBER(Rendimientos!C178),Rendimientos!A178,"")</f>
        <v>166</v>
      </c>
      <c r="AF178" s="122" t="n">
        <f aca="false">IF(AE178="","",Rendimientos!C178)</f>
        <v>29.62</v>
      </c>
      <c r="AG178" s="44" t="n">
        <f aca="false">IF(AF178="","",LN(AF178))</f>
        <v>3.38844980883965</v>
      </c>
      <c r="AH178" s="44" t="n">
        <f aca="false">IF(AE178="",NA(),AE178)</f>
        <v>166</v>
      </c>
      <c r="AI178" s="122" t="n">
        <f aca="false">IF(AE178="",NA(),AF178)</f>
        <v>29.62</v>
      </c>
      <c r="AK178" s="44" t="n">
        <f aca="false">IF(ISNUMBER(Rendimientos!D178),Rendimientos!A178,"")</f>
        <v>166</v>
      </c>
      <c r="AL178" s="122" t="n">
        <f aca="false">IF(AK178="","",Rendimientos!D178)</f>
        <v>49586.21</v>
      </c>
      <c r="AM178" s="44" t="n">
        <f aca="false">IF(AL178="","",LN(AL178))</f>
        <v>10.8114680498636</v>
      </c>
      <c r="AN178" s="44" t="n">
        <f aca="false">IF(AK178="",NA(),AK178)</f>
        <v>166</v>
      </c>
      <c r="AO178" s="122" t="n">
        <f aca="false">IF(AK178="",NA(),AL178)</f>
        <v>49586.21</v>
      </c>
      <c r="AQ178" s="55" t="n">
        <f aca="false">IF(ISNUMBER(Rendimientos!B178),Rendimientos!B178,NA())</f>
        <v>45641</v>
      </c>
      <c r="AR178" s="44" t="n">
        <f aca="false">IF(AND(ISNUMBER(Rendimientos!C178),ISNUMBER(Rendimientos!$C$13)),Rendimientos!C178/Rendimientos!$C$13*100,NA())</f>
        <v>118.48</v>
      </c>
      <c r="AS178" s="44" t="n">
        <f aca="false">IF(AND(ISNUMBER(Rendimientos!D178),ISNUMBER(Rendimientos!$D$13)),Rendimientos!D178/Rendimientos!$D$13*100,NA())</f>
        <v>95.560868966958</v>
      </c>
    </row>
    <row r="179" customFormat="false" ht="13.8" hidden="false" customHeight="false" outlineLevel="0" collapsed="false">
      <c r="AE179" s="44" t="n">
        <f aca="false">IF(ISNUMBER(Rendimientos!C179),Rendimientos!A179,"")</f>
        <v>167</v>
      </c>
      <c r="AF179" s="122" t="n">
        <f aca="false">IF(AE179="","",Rendimientos!C179)</f>
        <v>29.69</v>
      </c>
      <c r="AG179" s="44" t="n">
        <f aca="false">IF(AF179="","",LN(AF179))</f>
        <v>3.39081028877567</v>
      </c>
      <c r="AH179" s="44" t="n">
        <f aca="false">IF(AE179="",NA(),AE179)</f>
        <v>167</v>
      </c>
      <c r="AI179" s="122" t="n">
        <f aca="false">IF(AE179="",NA(),AF179)</f>
        <v>29.69</v>
      </c>
      <c r="AK179" s="44" t="n">
        <f aca="false">IF(ISNUMBER(Rendimientos!D179),Rendimientos!A179,"")</f>
        <v>167</v>
      </c>
      <c r="AL179" s="122" t="n">
        <f aca="false">IF(AK179="","",Rendimientos!D179)</f>
        <v>49290.58</v>
      </c>
      <c r="AM179" s="44" t="n">
        <f aca="false">IF(AL179="","",LN(AL179))</f>
        <v>10.8054882667229</v>
      </c>
      <c r="AN179" s="44" t="n">
        <f aca="false">IF(AK179="",NA(),AK179)</f>
        <v>167</v>
      </c>
      <c r="AO179" s="122" t="n">
        <f aca="false">IF(AK179="",NA(),AL179)</f>
        <v>49290.58</v>
      </c>
      <c r="AQ179" s="55" t="n">
        <f aca="false">IF(ISNUMBER(Rendimientos!B179),Rendimientos!B179,NA())</f>
        <v>45648</v>
      </c>
      <c r="AR179" s="44" t="n">
        <f aca="false">IF(AND(ISNUMBER(Rendimientos!C179),ISNUMBER(Rendimientos!$C$13)),Rendimientos!C179/Rendimientos!$C$13*100,NA())</f>
        <v>118.76</v>
      </c>
      <c r="AS179" s="44" t="n">
        <f aca="false">IF(AND(ISNUMBER(Rendimientos!D179),ISNUMBER(Rendimientos!$D$13)),Rendimientos!D179/Rendimientos!$D$13*100,NA())</f>
        <v>94.9911408168795</v>
      </c>
    </row>
    <row r="180" customFormat="false" ht="13.8" hidden="false" customHeight="false" outlineLevel="0" collapsed="false">
      <c r="AE180" s="44" t="n">
        <f aca="false">IF(ISNUMBER(Rendimientos!C180),Rendimientos!A180,"")</f>
        <v>168</v>
      </c>
      <c r="AF180" s="122" t="n">
        <f aca="false">IF(AE180="","",Rendimientos!C180)</f>
        <v>29.63</v>
      </c>
      <c r="AG180" s="44" t="n">
        <f aca="false">IF(AF180="","",LN(AF180))</f>
        <v>3.38878736158547</v>
      </c>
      <c r="AH180" s="44" t="n">
        <f aca="false">IF(AE180="",NA(),AE180)</f>
        <v>168</v>
      </c>
      <c r="AI180" s="122" t="n">
        <f aca="false">IF(AE180="",NA(),AF180)</f>
        <v>29.63</v>
      </c>
      <c r="AK180" s="44" t="n">
        <f aca="false">IF(ISNUMBER(Rendimientos!D180),Rendimientos!A180,"")</f>
        <v>168</v>
      </c>
      <c r="AL180" s="122" t="n">
        <f aca="false">IF(AK180="","",Rendimientos!D180)</f>
        <v>48957.24</v>
      </c>
      <c r="AM180" s="44" t="n">
        <f aca="false">IF(AL180="","",LN(AL180))</f>
        <v>10.7987025430482</v>
      </c>
      <c r="AN180" s="44" t="n">
        <f aca="false">IF(AK180="",NA(),AK180)</f>
        <v>168</v>
      </c>
      <c r="AO180" s="122" t="n">
        <f aca="false">IF(AK180="",NA(),AL180)</f>
        <v>48957.24</v>
      </c>
      <c r="AQ180" s="55" t="n">
        <f aca="false">IF(ISNUMBER(Rendimientos!B180),Rendimientos!B180,NA())</f>
        <v>45655</v>
      </c>
      <c r="AR180" s="44" t="n">
        <f aca="false">IF(AND(ISNUMBER(Rendimientos!C180),ISNUMBER(Rendimientos!$C$13)),Rendimientos!C180/Rendimientos!$C$13*100,NA())</f>
        <v>118.52</v>
      </c>
      <c r="AS180" s="44" t="n">
        <f aca="false">IF(AND(ISNUMBER(Rendimientos!D180),ISNUMBER(Rendimientos!$D$13)),Rendimientos!D180/Rendimientos!$D$13*100,NA())</f>
        <v>94.3487392285862</v>
      </c>
    </row>
    <row r="181" customFormat="false" ht="13.8" hidden="false" customHeight="false" outlineLevel="0" collapsed="false">
      <c r="AE181" s="44" t="n">
        <f aca="false">IF(ISNUMBER(Rendimientos!C181),Rendimientos!A181,"")</f>
        <v>169</v>
      </c>
      <c r="AF181" s="122" t="n">
        <f aca="false">IF(AE181="","",Rendimientos!C181)</f>
        <v>29.9</v>
      </c>
      <c r="AG181" s="44" t="n">
        <f aca="false">IF(AF181="","",LN(AF181))</f>
        <v>3.39785848039664</v>
      </c>
      <c r="AH181" s="44" t="n">
        <f aca="false">IF(AE181="",NA(),AE181)</f>
        <v>169</v>
      </c>
      <c r="AI181" s="122" t="n">
        <f aca="false">IF(AE181="",NA(),AF181)</f>
        <v>29.9</v>
      </c>
      <c r="AK181" s="44" t="n">
        <f aca="false">IF(ISNUMBER(Rendimientos!D181),Rendimientos!A181,"")</f>
        <v>169</v>
      </c>
      <c r="AL181" s="122" t="n">
        <f aca="false">IF(AK181="","",Rendimientos!D181)</f>
        <v>49596.7</v>
      </c>
      <c r="AM181" s="44" t="n">
        <f aca="false">IF(AL181="","",LN(AL181))</f>
        <v>10.8116795782416</v>
      </c>
      <c r="AN181" s="44" t="n">
        <f aca="false">IF(AK181="",NA(),AK181)</f>
        <v>169</v>
      </c>
      <c r="AO181" s="122" t="n">
        <f aca="false">IF(AK181="",NA(),AL181)</f>
        <v>49596.7</v>
      </c>
      <c r="AQ181" s="55" t="n">
        <f aca="false">IF(ISNUMBER(Rendimientos!B181),Rendimientos!B181,NA())</f>
        <v>45662</v>
      </c>
      <c r="AR181" s="44" t="n">
        <f aca="false">IF(AND(ISNUMBER(Rendimientos!C181),ISNUMBER(Rendimientos!$C$13)),Rendimientos!C181/Rendimientos!$C$13*100,NA())</f>
        <v>119.6</v>
      </c>
      <c r="AS181" s="44" t="n">
        <f aca="false">IF(AND(ISNUMBER(Rendimientos!D181),ISNUMBER(Rendimientos!$D$13)),Rendimientos!D181/Rendimientos!$D$13*100,NA())</f>
        <v>95.5810849406221</v>
      </c>
    </row>
    <row r="182" customFormat="false" ht="13.8" hidden="false" customHeight="false" outlineLevel="0" collapsed="false">
      <c r="AE182" s="44" t="n">
        <f aca="false">IF(ISNUMBER(Rendimientos!C182),Rendimientos!A182,"")</f>
        <v>170</v>
      </c>
      <c r="AF182" s="122" t="n">
        <f aca="false">IF(AE182="","",Rendimientos!C182)</f>
        <v>30.8</v>
      </c>
      <c r="AG182" s="44" t="n">
        <f aca="false">IF(AF182="","",LN(AF182))</f>
        <v>3.42751468997953</v>
      </c>
      <c r="AH182" s="44" t="n">
        <f aca="false">IF(AE182="",NA(),AE182)</f>
        <v>170</v>
      </c>
      <c r="AI182" s="122" t="n">
        <f aca="false">IF(AE182="",NA(),AF182)</f>
        <v>30.8</v>
      </c>
      <c r="AK182" s="44" t="n">
        <f aca="false">IF(ISNUMBER(Rendimientos!D182),Rendimientos!A182,"")</f>
        <v>170</v>
      </c>
      <c r="AL182" s="122" t="n">
        <f aca="false">IF(AK182="","",Rendimientos!D182)</f>
        <v>49940.89</v>
      </c>
      <c r="AM182" s="44" t="n">
        <f aca="false">IF(AL182="","",LN(AL182))</f>
        <v>10.8185953850606</v>
      </c>
      <c r="AN182" s="44" t="n">
        <f aca="false">IF(AK182="",NA(),AK182)</f>
        <v>170</v>
      </c>
      <c r="AO182" s="122" t="n">
        <f aca="false">IF(AK182="",NA(),AL182)</f>
        <v>49940.89</v>
      </c>
      <c r="AQ182" s="55" t="n">
        <f aca="false">IF(ISNUMBER(Rendimientos!B182),Rendimientos!B182,NA())</f>
        <v>45669</v>
      </c>
      <c r="AR182" s="44" t="n">
        <f aca="false">IF(AND(ISNUMBER(Rendimientos!C182),ISNUMBER(Rendimientos!$C$13)),Rendimientos!C182/Rendimientos!$C$13*100,NA())</f>
        <v>123.2</v>
      </c>
      <c r="AS182" s="44" t="n">
        <f aca="false">IF(AND(ISNUMBER(Rendimientos!D182),ISNUMBER(Rendimientos!$D$13)),Rendimientos!D182/Rendimientos!$D$13*100,NA())</f>
        <v>96.2443962824193</v>
      </c>
    </row>
    <row r="183" customFormat="false" ht="13.8" hidden="false" customHeight="false" outlineLevel="0" collapsed="false">
      <c r="AE183" s="44" t="n">
        <f aca="false">IF(ISNUMBER(Rendimientos!C183),Rendimientos!A183,"")</f>
        <v>171</v>
      </c>
      <c r="AF183" s="122" t="n">
        <f aca="false">IF(AE183="","",Rendimientos!C183)</f>
        <v>29.2</v>
      </c>
      <c r="AG183" s="44" t="n">
        <f aca="false">IF(AF183="","",LN(AF183))</f>
        <v>3.37416870927424</v>
      </c>
      <c r="AH183" s="44" t="n">
        <f aca="false">IF(AE183="",NA(),AE183)</f>
        <v>171</v>
      </c>
      <c r="AI183" s="122" t="n">
        <f aca="false">IF(AE183="",NA(),AF183)</f>
        <v>29.2</v>
      </c>
      <c r="AK183" s="44" t="n">
        <f aca="false">IF(ISNUMBER(Rendimientos!D183),Rendimientos!A183,"")</f>
        <v>171</v>
      </c>
      <c r="AL183" s="122" t="n">
        <f aca="false">IF(AK183="","",Rendimientos!D183)</f>
        <v>51357.31</v>
      </c>
      <c r="AM183" s="44" t="n">
        <f aca="false">IF(AL183="","",LN(AL183))</f>
        <v>10.8465625616028</v>
      </c>
      <c r="AN183" s="44" t="n">
        <f aca="false">IF(AK183="",NA(),AK183)</f>
        <v>171</v>
      </c>
      <c r="AO183" s="122" t="n">
        <f aca="false">IF(AK183="",NA(),AL183)</f>
        <v>51357.31</v>
      </c>
      <c r="AQ183" s="55" t="n">
        <f aca="false">IF(ISNUMBER(Rendimientos!B183),Rendimientos!B183,NA())</f>
        <v>45676</v>
      </c>
      <c r="AR183" s="44" t="n">
        <f aca="false">IF(AND(ISNUMBER(Rendimientos!C183),ISNUMBER(Rendimientos!$C$13)),Rendimientos!C183/Rendimientos!$C$13*100,NA())</f>
        <v>116.8</v>
      </c>
      <c r="AS183" s="44" t="n">
        <f aca="false">IF(AND(ISNUMBER(Rendimientos!D183),ISNUMBER(Rendimientos!$D$13)),Rendimientos!D183/Rendimientos!$D$13*100,NA())</f>
        <v>98.9740730619549</v>
      </c>
    </row>
    <row r="184" customFormat="false" ht="13.8" hidden="false" customHeight="false" outlineLevel="0" collapsed="false">
      <c r="AE184" s="44" t="n">
        <f aca="false">IF(ISNUMBER(Rendimientos!C184),Rendimientos!A184,"")</f>
        <v>172</v>
      </c>
      <c r="AF184" s="122" t="n">
        <f aca="false">IF(AE184="","",Rendimientos!C184)</f>
        <v>29.18</v>
      </c>
      <c r="AG184" s="44" t="n">
        <f aca="false">IF(AF184="","",LN(AF184))</f>
        <v>3.37348354309464</v>
      </c>
      <c r="AH184" s="44" t="n">
        <f aca="false">IF(AE184="",NA(),AE184)</f>
        <v>172</v>
      </c>
      <c r="AI184" s="122" t="n">
        <f aca="false">IF(AE184="",NA(),AF184)</f>
        <v>29.18</v>
      </c>
      <c r="AK184" s="44" t="n">
        <f aca="false">IF(ISNUMBER(Rendimientos!D184),Rendimientos!A184,"")</f>
        <v>172</v>
      </c>
      <c r="AL184" s="122" t="n">
        <f aca="false">IF(AK184="","",Rendimientos!D184)</f>
        <v>51209.53</v>
      </c>
      <c r="AM184" s="44" t="n">
        <f aca="false">IF(AL184="","",LN(AL184))</f>
        <v>10.8436809265195</v>
      </c>
      <c r="AN184" s="44" t="n">
        <f aca="false">IF(AK184="",NA(),AK184)</f>
        <v>172</v>
      </c>
      <c r="AO184" s="122" t="n">
        <f aca="false">IF(AK184="",NA(),AL184)</f>
        <v>51209.53</v>
      </c>
      <c r="AQ184" s="55" t="n">
        <f aca="false">IF(ISNUMBER(Rendimientos!B184),Rendimientos!B184,NA())</f>
        <v>45683</v>
      </c>
      <c r="AR184" s="44" t="n">
        <f aca="false">IF(AND(ISNUMBER(Rendimientos!C184),ISNUMBER(Rendimientos!$C$13)),Rendimientos!C184/Rendimientos!$C$13*100,NA())</f>
        <v>116.72</v>
      </c>
      <c r="AS184" s="44" t="n">
        <f aca="false">IF(AND(ISNUMBER(Rendimientos!D184),ISNUMBER(Rendimientos!$D$13)),Rendimientos!D184/Rendimientos!$D$13*100,NA())</f>
        <v>98.6892764377334</v>
      </c>
    </row>
    <row r="185" customFormat="false" ht="13.8" hidden="false" customHeight="false" outlineLevel="0" collapsed="false">
      <c r="AE185" s="44" t="n">
        <f aca="false">IF(ISNUMBER(Rendimientos!C185),Rendimientos!A185,"")</f>
        <v>173</v>
      </c>
      <c r="AF185" s="122" t="n">
        <f aca="false">IF(AE185="","",Rendimientos!C185)</f>
        <v>29.9</v>
      </c>
      <c r="AG185" s="44" t="n">
        <f aca="false">IF(AF185="","",LN(AF185))</f>
        <v>3.39785848039664</v>
      </c>
      <c r="AH185" s="44" t="n">
        <f aca="false">IF(AE185="",NA(),AE185)</f>
        <v>173</v>
      </c>
      <c r="AI185" s="122" t="n">
        <f aca="false">IF(AE185="",NA(),AF185)</f>
        <v>29.9</v>
      </c>
      <c r="AK185" s="44" t="n">
        <f aca="false">IF(ISNUMBER(Rendimientos!D185),Rendimientos!A185,"")</f>
        <v>173</v>
      </c>
      <c r="AL185" s="122" t="n">
        <f aca="false">IF(AK185="","",Rendimientos!D185)</f>
        <v>52817.75</v>
      </c>
      <c r="AM185" s="44" t="n">
        <f aca="false">IF(AL185="","",LN(AL185))</f>
        <v>10.8746025874429</v>
      </c>
      <c r="AN185" s="44" t="n">
        <f aca="false">IF(AK185="",NA(),AK185)</f>
        <v>173</v>
      </c>
      <c r="AO185" s="122" t="n">
        <f aca="false">IF(AK185="",NA(),AL185)</f>
        <v>52817.75</v>
      </c>
      <c r="AQ185" s="55" t="n">
        <f aca="false">IF(ISNUMBER(Rendimientos!B185),Rendimientos!B185,NA())</f>
        <v>45690</v>
      </c>
      <c r="AR185" s="44" t="n">
        <f aca="false">IF(AND(ISNUMBER(Rendimientos!C185),ISNUMBER(Rendimientos!$C$13)),Rendimientos!C185/Rendimientos!$C$13*100,NA())</f>
        <v>119.6</v>
      </c>
      <c r="AS185" s="44" t="n">
        <f aca="false">IF(AND(ISNUMBER(Rendimientos!D185),ISNUMBER(Rendimientos!$D$13)),Rendimientos!D185/Rendimientos!$D$13*100,NA())</f>
        <v>101.788583698563</v>
      </c>
    </row>
    <row r="186" customFormat="false" ht="13.8" hidden="false" customHeight="false" outlineLevel="0" collapsed="false">
      <c r="AE186" s="44" t="n">
        <f aca="false">IF(ISNUMBER(Rendimientos!C186),Rendimientos!A186,"")</f>
        <v>174</v>
      </c>
      <c r="AF186" s="122" t="n">
        <f aca="false">IF(AE186="","",Rendimientos!C186)</f>
        <v>29.17</v>
      </c>
      <c r="AG186" s="44" t="n">
        <f aca="false">IF(AF186="","",LN(AF186))</f>
        <v>3.37314078387963</v>
      </c>
      <c r="AH186" s="44" t="n">
        <f aca="false">IF(AE186="",NA(),AE186)</f>
        <v>174</v>
      </c>
      <c r="AI186" s="122" t="n">
        <f aca="false">IF(AE186="",NA(),AF186)</f>
        <v>29.17</v>
      </c>
      <c r="AK186" s="44" t="n">
        <f aca="false">IF(ISNUMBER(Rendimientos!D186),Rendimientos!A186,"")</f>
        <v>174</v>
      </c>
      <c r="AL186" s="122" t="n">
        <f aca="false">IF(AK186="","",Rendimientos!D186)</f>
        <v>54077.94</v>
      </c>
      <c r="AM186" s="44" t="n">
        <f aca="false">IF(AL186="","",LN(AL186))</f>
        <v>10.8981816182754</v>
      </c>
      <c r="AN186" s="44" t="n">
        <f aca="false">IF(AK186="",NA(),AK186)</f>
        <v>174</v>
      </c>
      <c r="AO186" s="122" t="n">
        <f aca="false">IF(AK186="",NA(),AL186)</f>
        <v>54077.94</v>
      </c>
      <c r="AQ186" s="55" t="n">
        <f aca="false">IF(ISNUMBER(Rendimientos!B186),Rendimientos!B186,NA())</f>
        <v>45697</v>
      </c>
      <c r="AR186" s="44" t="n">
        <f aca="false">IF(AND(ISNUMBER(Rendimientos!C186),ISNUMBER(Rendimientos!$C$13)),Rendimientos!C186/Rendimientos!$C$13*100,NA())</f>
        <v>116.68</v>
      </c>
      <c r="AS186" s="44" t="n">
        <f aca="false">IF(AND(ISNUMBER(Rendimientos!D186),ISNUMBER(Rendimientos!$D$13)),Rendimientos!D186/Rendimientos!$D$13*100,NA())</f>
        <v>104.217179299306</v>
      </c>
    </row>
    <row r="187" customFormat="false" ht="13.8" hidden="false" customHeight="false" outlineLevel="0" collapsed="false">
      <c r="AE187" s="44" t="n">
        <f aca="false">IF(ISNUMBER(Rendimientos!C187),Rendimientos!A187,"")</f>
        <v>175</v>
      </c>
      <c r="AF187" s="122" t="n">
        <f aca="false">IF(AE187="","",Rendimientos!C187)</f>
        <v>28.49</v>
      </c>
      <c r="AG187" s="44" t="n">
        <f aca="false">IF(AF187="","",LN(AF187))</f>
        <v>3.34955314850982</v>
      </c>
      <c r="AH187" s="44" t="n">
        <f aca="false">IF(AE187="",NA(),AE187)</f>
        <v>175</v>
      </c>
      <c r="AI187" s="122" t="n">
        <f aca="false">IF(AE187="",NA(),AF187)</f>
        <v>28.49</v>
      </c>
      <c r="AK187" s="44" t="n">
        <f aca="false">IF(ISNUMBER(Rendimientos!D187),Rendimientos!A187,"")</f>
        <v>175</v>
      </c>
      <c r="AL187" s="122" t="n">
        <f aca="false">IF(AK187="","",Rendimientos!D187)</f>
        <v>53738.75</v>
      </c>
      <c r="AM187" s="44" t="n">
        <f aca="false">IF(AL187="","",LN(AL187))</f>
        <v>10.8918896217575</v>
      </c>
      <c r="AN187" s="44" t="n">
        <f aca="false">IF(AK187="",NA(),AK187)</f>
        <v>175</v>
      </c>
      <c r="AO187" s="122" t="n">
        <f aca="false">IF(AK187="",NA(),AL187)</f>
        <v>53738.75</v>
      </c>
      <c r="AQ187" s="55" t="n">
        <f aca="false">IF(ISNUMBER(Rendimientos!B187),Rendimientos!B187,NA())</f>
        <v>45704</v>
      </c>
      <c r="AR187" s="44" t="n">
        <f aca="false">IF(AND(ISNUMBER(Rendimientos!C187),ISNUMBER(Rendimientos!$C$13)),Rendimientos!C187/Rendimientos!$C$13*100,NA())</f>
        <v>113.96</v>
      </c>
      <c r="AS187" s="44" t="n">
        <f aca="false">IF(AND(ISNUMBER(Rendimientos!D187),ISNUMBER(Rendimientos!$D$13)),Rendimientos!D187/Rendimientos!$D$13*100,NA())</f>
        <v>103.563503788616</v>
      </c>
    </row>
    <row r="188" customFormat="false" ht="13.8" hidden="false" customHeight="false" outlineLevel="0" collapsed="false">
      <c r="AE188" s="44" t="n">
        <f aca="false">IF(ISNUMBER(Rendimientos!C188),Rendimientos!A188,"")</f>
        <v>176</v>
      </c>
      <c r="AF188" s="122" t="n">
        <f aca="false">IF(AE188="","",Rendimientos!C188)</f>
        <v>27.65</v>
      </c>
      <c r="AG188" s="44" t="n">
        <f aca="false">IF(AF188="","",LN(AF188))</f>
        <v>3.31962572796834</v>
      </c>
      <c r="AH188" s="44" t="n">
        <f aca="false">IF(AE188="",NA(),AE188)</f>
        <v>176</v>
      </c>
      <c r="AI188" s="122" t="n">
        <f aca="false">IF(AE188="",NA(),AF188)</f>
        <v>27.65</v>
      </c>
      <c r="AK188" s="44" t="n">
        <f aca="false">IF(ISNUMBER(Rendimientos!D188),Rendimientos!A188,"")</f>
        <v>176</v>
      </c>
      <c r="AL188" s="122" t="n">
        <f aca="false">IF(AK188="","",Rendimientos!D188)</f>
        <v>52325.73</v>
      </c>
      <c r="AM188" s="44" t="n">
        <f aca="false">IF(AL188="","",LN(AL188))</f>
        <v>10.865243498483</v>
      </c>
      <c r="AN188" s="44" t="n">
        <f aca="false">IF(AK188="",NA(),AK188)</f>
        <v>176</v>
      </c>
      <c r="AO188" s="122" t="n">
        <f aca="false">IF(AK188="",NA(),AL188)</f>
        <v>52325.73</v>
      </c>
      <c r="AQ188" s="55" t="n">
        <f aca="false">IF(ISNUMBER(Rendimientos!B188),Rendimientos!B188,NA())</f>
        <v>45711</v>
      </c>
      <c r="AR188" s="44" t="n">
        <f aca="false">IF(AND(ISNUMBER(Rendimientos!C188),ISNUMBER(Rendimientos!$C$13)),Rendimientos!C188/Rendimientos!$C$13*100,NA())</f>
        <v>110.6</v>
      </c>
      <c r="AS188" s="44" t="n">
        <f aca="false">IF(AND(ISNUMBER(Rendimientos!D188),ISNUMBER(Rendimientos!$D$13)),Rendimientos!D188/Rendimientos!$D$13*100,NA())</f>
        <v>100.840379374234</v>
      </c>
    </row>
    <row r="189" customFormat="false" ht="13.8" hidden="false" customHeight="false" outlineLevel="0" collapsed="false">
      <c r="AE189" s="44" t="n">
        <f aca="false">IF(ISNUMBER(Rendimientos!C189),Rendimientos!A189,"")</f>
        <v>177</v>
      </c>
      <c r="AF189" s="122" t="n">
        <f aca="false">IF(AE189="","",Rendimientos!C189)</f>
        <v>27</v>
      </c>
      <c r="AG189" s="44" t="n">
        <f aca="false">IF(AF189="","",LN(AF189))</f>
        <v>3.29583686600433</v>
      </c>
      <c r="AH189" s="44" t="n">
        <f aca="false">IF(AE189="",NA(),AE189)</f>
        <v>177</v>
      </c>
      <c r="AI189" s="122" t="n">
        <f aca="false">IF(AE189="",NA(),AF189)</f>
        <v>27</v>
      </c>
      <c r="AK189" s="44" t="n">
        <f aca="false">IF(ISNUMBER(Rendimientos!D189),Rendimientos!A189,"")</f>
        <v>177</v>
      </c>
      <c r="AL189" s="122" t="n">
        <f aca="false">IF(AK189="","",Rendimientos!D189)</f>
        <v>52839.63</v>
      </c>
      <c r="AM189" s="44" t="n">
        <f aca="false">IF(AL189="","",LN(AL189))</f>
        <v>10.8750167563407</v>
      </c>
      <c r="AN189" s="44" t="n">
        <f aca="false">IF(AK189="",NA(),AK189)</f>
        <v>177</v>
      </c>
      <c r="AO189" s="122" t="n">
        <f aca="false">IF(AK189="",NA(),AL189)</f>
        <v>52839.63</v>
      </c>
      <c r="AQ189" s="55" t="n">
        <f aca="false">IF(ISNUMBER(Rendimientos!B189),Rendimientos!B189,NA())</f>
        <v>45718</v>
      </c>
      <c r="AR189" s="44" t="n">
        <f aca="false">IF(AND(ISNUMBER(Rendimientos!C189),ISNUMBER(Rendimientos!$C$13)),Rendimientos!C189/Rendimientos!$C$13*100,NA())</f>
        <v>108</v>
      </c>
      <c r="AS189" s="44" t="n">
        <f aca="false">IF(AND(ISNUMBER(Rendimientos!D189),ISNUMBER(Rendimientos!$D$13)),Rendimientos!D189/Rendimientos!$D$13*100,NA())</f>
        <v>101.830750095491</v>
      </c>
    </row>
    <row r="190" customFormat="false" ht="13.8" hidden="false" customHeight="false" outlineLevel="0" collapsed="false">
      <c r="AE190" s="44" t="n">
        <f aca="false">IF(ISNUMBER(Rendimientos!C190),Rendimientos!A190,"")</f>
        <v>178</v>
      </c>
      <c r="AF190" s="122" t="n">
        <f aca="false">IF(AE190="","",Rendimientos!C190)</f>
        <v>28.24</v>
      </c>
      <c r="AG190" s="44" t="n">
        <f aca="false">IF(AF190="","",LN(AF190))</f>
        <v>3.34073941262504</v>
      </c>
      <c r="AH190" s="44" t="n">
        <f aca="false">IF(AE190="",NA(),AE190)</f>
        <v>178</v>
      </c>
      <c r="AI190" s="122" t="n">
        <f aca="false">IF(AE190="",NA(),AF190)</f>
        <v>28.24</v>
      </c>
      <c r="AK190" s="44" t="n">
        <f aca="false">IF(ISNUMBER(Rendimientos!D190),Rendimientos!A190,"")</f>
        <v>178</v>
      </c>
      <c r="AL190" s="122" t="n">
        <f aca="false">IF(AK190="","",Rendimientos!D190)</f>
        <v>52484.28</v>
      </c>
      <c r="AM190" s="44" t="n">
        <f aca="false">IF(AL190="","",LN(AL190))</f>
        <v>10.8682689751706</v>
      </c>
      <c r="AN190" s="44" t="n">
        <f aca="false">IF(AK190="",NA(),AK190)</f>
        <v>178</v>
      </c>
      <c r="AO190" s="122" t="n">
        <f aca="false">IF(AK190="",NA(),AL190)</f>
        <v>52484.28</v>
      </c>
      <c r="AQ190" s="55" t="n">
        <f aca="false">IF(ISNUMBER(Rendimientos!B190),Rendimientos!B190,NA())</f>
        <v>45725</v>
      </c>
      <c r="AR190" s="44" t="n">
        <f aca="false">IF(AND(ISNUMBER(Rendimientos!C190),ISNUMBER(Rendimientos!$C$13)),Rendimientos!C190/Rendimientos!$C$13*100,NA())</f>
        <v>112.96</v>
      </c>
      <c r="AS190" s="44" t="n">
        <f aca="false">IF(AND(ISNUMBER(Rendimientos!D190),ISNUMBER(Rendimientos!$D$13)),Rendimientos!D190/Rendimientos!$D$13*100,NA())</f>
        <v>101.145931578661</v>
      </c>
    </row>
    <row r="191" customFormat="false" ht="13.8" hidden="false" customHeight="false" outlineLevel="0" collapsed="false">
      <c r="AE191" s="44" t="n">
        <f aca="false">IF(ISNUMBER(Rendimientos!C191),Rendimientos!A191,"")</f>
        <v>179</v>
      </c>
      <c r="AF191" s="122" t="n">
        <f aca="false">IF(AE191="","",Rendimientos!C191)</f>
        <v>27.94</v>
      </c>
      <c r="AG191" s="44" t="n">
        <f aca="false">IF(AF191="","",LN(AF191))</f>
        <v>3.33005935382882</v>
      </c>
      <c r="AH191" s="44" t="n">
        <f aca="false">IF(AE191="",NA(),AE191)</f>
        <v>179</v>
      </c>
      <c r="AI191" s="122" t="n">
        <f aca="false">IF(AE191="",NA(),AF191)</f>
        <v>27.94</v>
      </c>
      <c r="AK191" s="44" t="n">
        <f aca="false">IF(ISNUMBER(Rendimientos!D191),Rendimientos!A191,"")</f>
        <v>179</v>
      </c>
      <c r="AL191" s="122" t="n">
        <f aca="false">IF(AK191="","",Rendimientos!D191)</f>
        <v>52672.42</v>
      </c>
      <c r="AM191" s="44" t="n">
        <f aca="false">IF(AL191="","",LN(AL191))</f>
        <v>10.871847257881</v>
      </c>
      <c r="AN191" s="44" t="n">
        <f aca="false">IF(AK191="",NA(),AK191)</f>
        <v>179</v>
      </c>
      <c r="AO191" s="122" t="n">
        <f aca="false">IF(AK191="",NA(),AL191)</f>
        <v>52672.42</v>
      </c>
      <c r="AQ191" s="55" t="n">
        <f aca="false">IF(ISNUMBER(Rendimientos!B191),Rendimientos!B191,NA())</f>
        <v>45732</v>
      </c>
      <c r="AR191" s="44" t="n">
        <f aca="false">IF(AND(ISNUMBER(Rendimientos!C191),ISNUMBER(Rendimientos!$C$13)),Rendimientos!C191/Rendimientos!$C$13*100,NA())</f>
        <v>111.76</v>
      </c>
      <c r="AS191" s="44" t="n">
        <f aca="false">IF(AND(ISNUMBER(Rendimientos!D191),ISNUMBER(Rendimientos!$D$13)),Rendimientos!D191/Rendimientos!$D$13*100,NA())</f>
        <v>101.508508631585</v>
      </c>
    </row>
    <row r="192" customFormat="false" ht="13.8" hidden="false" customHeight="false" outlineLevel="0" collapsed="false">
      <c r="AE192" s="44" t="n">
        <f aca="false">IF(ISNUMBER(Rendimientos!C192),Rendimientos!A192,"")</f>
        <v>180</v>
      </c>
      <c r="AF192" s="122" t="n">
        <f aca="false">IF(AE192="","",Rendimientos!C192)</f>
        <v>27.7</v>
      </c>
      <c r="AG192" s="44" t="n">
        <f aca="false">IF(AF192="","",LN(AF192))</f>
        <v>3.32143241319329</v>
      </c>
      <c r="AH192" s="44" t="n">
        <f aca="false">IF(AE192="",NA(),AE192)</f>
        <v>180</v>
      </c>
      <c r="AI192" s="122" t="n">
        <f aca="false">IF(AE192="",NA(),AF192)</f>
        <v>27.7</v>
      </c>
      <c r="AK192" s="44" t="n">
        <f aca="false">IF(ISNUMBER(Rendimientos!D192),Rendimientos!A192,"")</f>
        <v>180</v>
      </c>
      <c r="AL192" s="122" t="n">
        <f aca="false">IF(AK192="","",Rendimientos!D192)</f>
        <v>53172.97</v>
      </c>
      <c r="AM192" s="44" t="n">
        <f aca="false">IF(AL192="","",LN(AL192))</f>
        <v>10.8813054635052</v>
      </c>
      <c r="AN192" s="44" t="n">
        <f aca="false">IF(AK192="",NA(),AK192)</f>
        <v>180</v>
      </c>
      <c r="AO192" s="122" t="n">
        <f aca="false">IF(AK192="",NA(),AL192)</f>
        <v>53172.97</v>
      </c>
      <c r="AQ192" s="55" t="n">
        <f aca="false">IF(ISNUMBER(Rendimientos!B192),Rendimientos!B192,NA())</f>
        <v>45739</v>
      </c>
      <c r="AR192" s="44" t="n">
        <f aca="false">IF(AND(ISNUMBER(Rendimientos!C192),ISNUMBER(Rendimientos!$C$13)),Rendimientos!C192/Rendimientos!$C$13*100,NA())</f>
        <v>110.8</v>
      </c>
      <c r="AS192" s="44" t="n">
        <f aca="false">IF(AND(ISNUMBER(Rendimientos!D192),ISNUMBER(Rendimientos!$D$13)),Rendimientos!D192/Rendimientos!$D$13*100,NA())</f>
        <v>102.473151683784</v>
      </c>
    </row>
    <row r="193" customFormat="false" ht="13.8" hidden="false" customHeight="false" outlineLevel="0" collapsed="false">
      <c r="AE193" s="44" t="n">
        <f aca="false">IF(ISNUMBER(Rendimientos!C193),Rendimientos!A193,"")</f>
        <v>181</v>
      </c>
      <c r="AF193" s="122" t="n">
        <f aca="false">IF(AE193="","",Rendimientos!C193)</f>
        <v>26.49</v>
      </c>
      <c r="AG193" s="44" t="n">
        <f aca="false">IF(AF193="","",LN(AF193))</f>
        <v>3.27676730328398</v>
      </c>
      <c r="AH193" s="44" t="n">
        <f aca="false">IF(AE193="",NA(),AE193)</f>
        <v>181</v>
      </c>
      <c r="AI193" s="122" t="n">
        <f aca="false">IF(AE193="",NA(),AF193)</f>
        <v>26.49</v>
      </c>
      <c r="AK193" s="44" t="n">
        <f aca="false">IF(ISNUMBER(Rendimientos!D193),Rendimientos!A193,"")</f>
        <v>181</v>
      </c>
      <c r="AL193" s="122" t="n">
        <f aca="false">IF(AK193="","",Rendimientos!D193)</f>
        <v>51452.73</v>
      </c>
      <c r="AM193" s="44" t="n">
        <f aca="false">IF(AL193="","",LN(AL193))</f>
        <v>10.848418801079</v>
      </c>
      <c r="AN193" s="44" t="n">
        <f aca="false">IF(AK193="",NA(),AK193)</f>
        <v>181</v>
      </c>
      <c r="AO193" s="122" t="n">
        <f aca="false">IF(AK193="",NA(),AL193)</f>
        <v>51452.73</v>
      </c>
      <c r="AQ193" s="55" t="n">
        <f aca="false">IF(ISNUMBER(Rendimientos!B193),Rendimientos!B193,NA())</f>
        <v>45746</v>
      </c>
      <c r="AR193" s="44" t="n">
        <f aca="false">IF(AND(ISNUMBER(Rendimientos!C193),ISNUMBER(Rendimientos!$C$13)),Rendimientos!C193/Rendimientos!$C$13*100,NA())</f>
        <v>105.96</v>
      </c>
      <c r="AS193" s="44" t="n">
        <f aca="false">IF(AND(ISNUMBER(Rendimientos!D193),ISNUMBER(Rendimientos!$D$13)),Rendimientos!D193/Rendimientos!$D$13*100,NA())</f>
        <v>99.1579632628158</v>
      </c>
    </row>
    <row r="194" customFormat="false" ht="13.8" hidden="false" customHeight="false" outlineLevel="0" collapsed="false">
      <c r="AE194" s="44" t="n">
        <f aca="false">IF(ISNUMBER(Rendimientos!C194),Rendimientos!A194,"")</f>
        <v>182</v>
      </c>
      <c r="AF194" s="122" t="n">
        <f aca="false">IF(AE194="","",Rendimientos!C194)</f>
        <v>26.89</v>
      </c>
      <c r="AG194" s="44" t="n">
        <f aca="false">IF(AF194="","",LN(AF194))</f>
        <v>3.29175447028077</v>
      </c>
      <c r="AH194" s="44" t="n">
        <f aca="false">IF(AE194="",NA(),AE194)</f>
        <v>182</v>
      </c>
      <c r="AI194" s="122" t="n">
        <f aca="false">IF(AE194="",NA(),AF194)</f>
        <v>26.89</v>
      </c>
      <c r="AK194" s="44" t="n">
        <f aca="false">IF(ISNUMBER(Rendimientos!D194),Rendimientos!A194,"")</f>
        <v>182</v>
      </c>
      <c r="AL194" s="122" t="n">
        <f aca="false">IF(AK194="","",Rendimientos!D194)</f>
        <v>51498.9</v>
      </c>
      <c r="AM194" s="44" t="n">
        <f aca="false">IF(AL194="","",LN(AL194))</f>
        <v>10.8493157272004</v>
      </c>
      <c r="AN194" s="44" t="n">
        <f aca="false">IF(AK194="",NA(),AK194)</f>
        <v>182</v>
      </c>
      <c r="AO194" s="122" t="n">
        <f aca="false">IF(AK194="",NA(),AL194)</f>
        <v>51498.9</v>
      </c>
      <c r="AQ194" s="55" t="n">
        <f aca="false">IF(ISNUMBER(Rendimientos!B194),Rendimientos!B194,NA())</f>
        <v>45753</v>
      </c>
      <c r="AR194" s="44" t="n">
        <f aca="false">IF(AND(ISNUMBER(Rendimientos!C194),ISNUMBER(Rendimientos!$C$13)),Rendimientos!C194/Rendimientos!$C$13*100,NA())</f>
        <v>107.56</v>
      </c>
      <c r="AS194" s="44" t="n">
        <f aca="false">IF(AND(ISNUMBER(Rendimientos!D194),ISNUMBER(Rendimientos!$D$13)),Rendimientos!D194/Rendimientos!$D$13*100,NA())</f>
        <v>99.246940527265</v>
      </c>
    </row>
    <row r="195" customFormat="false" ht="13.8" hidden="false" customHeight="false" outlineLevel="0" collapsed="false">
      <c r="AE195" s="44" t="n">
        <f aca="false">IF(ISNUMBER(Rendimientos!C195),Rendimientos!A195,"")</f>
        <v>183</v>
      </c>
      <c r="AF195" s="122" t="n">
        <f aca="false">IF(AE195="","",Rendimientos!C195)</f>
        <v>26.1</v>
      </c>
      <c r="AG195" s="44" t="n">
        <f aca="false">IF(AF195="","",LN(AF195))</f>
        <v>3.26193531432865</v>
      </c>
      <c r="AH195" s="44" t="n">
        <f aca="false">IF(AE195="",NA(),AE195)</f>
        <v>183</v>
      </c>
      <c r="AI195" s="122" t="n">
        <f aca="false">IF(AE195="",NA(),AF195)</f>
        <v>26.1</v>
      </c>
      <c r="AK195" s="44" t="n">
        <f aca="false">IF(ISNUMBER(Rendimientos!D195),Rendimientos!A195,"")</f>
        <v>183</v>
      </c>
      <c r="AL195" s="122" t="n">
        <f aca="false">IF(AK195="","",Rendimientos!D195)</f>
        <v>53018.57</v>
      </c>
      <c r="AM195" s="44" t="n">
        <f aca="false">IF(AL195="","",LN(AL195))</f>
        <v>10.8783975085249</v>
      </c>
      <c r="AN195" s="44" t="n">
        <f aca="false">IF(AK195="",NA(),AK195)</f>
        <v>183</v>
      </c>
      <c r="AO195" s="122" t="n">
        <f aca="false">IF(AK195="",NA(),AL195)</f>
        <v>53018.57</v>
      </c>
      <c r="AQ195" s="55" t="n">
        <f aca="false">IF(ISNUMBER(Rendimientos!B195),Rendimientos!B195,NA())</f>
        <v>45760</v>
      </c>
      <c r="AR195" s="44" t="n">
        <f aca="false">IF(AND(ISNUMBER(Rendimientos!C195),ISNUMBER(Rendimientos!$C$13)),Rendimientos!C195/Rendimientos!$C$13*100,NA())</f>
        <v>104.4</v>
      </c>
      <c r="AS195" s="44" t="n">
        <f aca="false">IF(AND(ISNUMBER(Rendimientos!D195),ISNUMBER(Rendimientos!$D$13)),Rendimientos!D195/Rendimientos!$D$13*100,NA())</f>
        <v>102.175597219176</v>
      </c>
    </row>
    <row r="196" customFormat="false" ht="13.8" hidden="false" customHeight="false" outlineLevel="0" collapsed="false">
      <c r="AE196" s="44" t="n">
        <f aca="false">IF(ISNUMBER(Rendimientos!C196),Rendimientos!A196,"")</f>
        <v>184</v>
      </c>
      <c r="AF196" s="122" t="n">
        <f aca="false">IF(AE196="","",Rendimientos!C196)</f>
        <v>25.8</v>
      </c>
      <c r="AG196" s="44" t="n">
        <f aca="false">IF(AF196="","",LN(AF196))</f>
        <v>3.25037449192757</v>
      </c>
      <c r="AH196" s="44" t="n">
        <f aca="false">IF(AE196="",NA(),AE196)</f>
        <v>184</v>
      </c>
      <c r="AI196" s="122" t="n">
        <f aca="false">IF(AE196="",NA(),AF196)</f>
        <v>25.8</v>
      </c>
      <c r="AK196" s="44" t="n">
        <f aca="false">IF(ISNUMBER(Rendimientos!D196),Rendimientos!A196,"")</f>
        <v>184</v>
      </c>
      <c r="AL196" s="122" t="n">
        <f aca="false">IF(AK196="","",Rendimientos!D196)</f>
        <v>56720.12</v>
      </c>
      <c r="AM196" s="44" t="n">
        <f aca="false">IF(AL196="","",LN(AL196))</f>
        <v>10.9458842768596</v>
      </c>
      <c r="AN196" s="44" t="n">
        <f aca="false">IF(AK196="",NA(),AK196)</f>
        <v>184</v>
      </c>
      <c r="AO196" s="122" t="n">
        <f aca="false">IF(AK196="",NA(),AL196)</f>
        <v>56720.12</v>
      </c>
      <c r="AQ196" s="55" t="n">
        <f aca="false">IF(ISNUMBER(Rendimientos!B196),Rendimientos!B196,NA())</f>
        <v>45767</v>
      </c>
      <c r="AR196" s="44" t="n">
        <f aca="false">IF(AND(ISNUMBER(Rendimientos!C196),ISNUMBER(Rendimientos!$C$13)),Rendimientos!C196/Rendimientos!$C$13*100,NA())</f>
        <v>103.2</v>
      </c>
      <c r="AS196" s="44" t="n">
        <f aca="false">IF(AND(ISNUMBER(Rendimientos!D196),ISNUMBER(Rendimientos!$D$13)),Rendimientos!D196/Rendimientos!$D$13*100,NA())</f>
        <v>109.309099346575</v>
      </c>
    </row>
    <row r="197" customFormat="false" ht="13.8" hidden="false" customHeight="false" outlineLevel="0" collapsed="false">
      <c r="AE197" s="44" t="n">
        <f aca="false">IF(ISNUMBER(Rendimientos!C197),Rendimientos!A197,"")</f>
        <v>185</v>
      </c>
      <c r="AF197" s="122" t="n">
        <f aca="false">IF(AE197="","",Rendimientos!C197)</f>
        <v>26.93</v>
      </c>
      <c r="AG197" s="44" t="n">
        <f aca="false">IF(AF197="","",LN(AF197))</f>
        <v>3.29324090682351</v>
      </c>
      <c r="AH197" s="44" t="n">
        <f aca="false">IF(AE197="",NA(),AE197)</f>
        <v>185</v>
      </c>
      <c r="AI197" s="122" t="n">
        <f aca="false">IF(AE197="",NA(),AF197)</f>
        <v>26.93</v>
      </c>
      <c r="AK197" s="44" t="n">
        <f aca="false">IF(ISNUMBER(Rendimientos!D197),Rendimientos!A197,"")</f>
        <v>185</v>
      </c>
      <c r="AL197" s="122" t="n">
        <f aca="false">IF(AK197="","",Rendimientos!D197)</f>
        <v>55811.99</v>
      </c>
      <c r="AM197" s="44" t="n">
        <f aca="false">IF(AL197="","",LN(AL197))</f>
        <v>10.9297439998391</v>
      </c>
      <c r="AN197" s="44" t="n">
        <f aca="false">IF(AK197="",NA(),AK197)</f>
        <v>185</v>
      </c>
      <c r="AO197" s="122" t="n">
        <f aca="false">IF(AK197="",NA(),AL197)</f>
        <v>55811.99</v>
      </c>
      <c r="AQ197" s="55" t="n">
        <f aca="false">IF(ISNUMBER(Rendimientos!B197),Rendimientos!B197,NA())</f>
        <v>45774</v>
      </c>
      <c r="AR197" s="44" t="n">
        <f aca="false">IF(AND(ISNUMBER(Rendimientos!C197),ISNUMBER(Rendimientos!$C$13)),Rendimientos!C197/Rendimientos!$C$13*100,NA())</f>
        <v>107.72</v>
      </c>
      <c r="AS197" s="44" t="n">
        <f aca="false">IF(AND(ISNUMBER(Rendimientos!D197),ISNUMBER(Rendimientos!$D$13)),Rendimientos!D197/Rendimientos!$D$13*100,NA())</f>
        <v>107.558981885794</v>
      </c>
    </row>
    <row r="198" customFormat="false" ht="13.8" hidden="false" customHeight="false" outlineLevel="0" collapsed="false">
      <c r="AE198" s="44" t="n">
        <f aca="false">IF(ISNUMBER(Rendimientos!C198),Rendimientos!A198,"")</f>
        <v>186</v>
      </c>
      <c r="AF198" s="122" t="n">
        <f aca="false">IF(AE198="","",Rendimientos!C198)</f>
        <v>27.84</v>
      </c>
      <c r="AG198" s="44" t="n">
        <f aca="false">IF(AF198="","",LN(AF198))</f>
        <v>3.32647383546622</v>
      </c>
      <c r="AH198" s="44" t="n">
        <f aca="false">IF(AE198="",NA(),AE198)</f>
        <v>186</v>
      </c>
      <c r="AI198" s="122" t="n">
        <f aca="false">IF(AE198="",NA(),AF198)</f>
        <v>27.84</v>
      </c>
      <c r="AK198" s="44" t="n">
        <f aca="false">IF(ISNUMBER(Rendimientos!D198),Rendimientos!A198,"")</f>
        <v>186</v>
      </c>
      <c r="AL198" s="122" t="n">
        <f aca="false">IF(AK198="","",Rendimientos!D198)</f>
        <v>56551.18</v>
      </c>
      <c r="AM198" s="44" t="n">
        <f aca="false">IF(AL198="","",LN(AL198))</f>
        <v>10.9429013478164</v>
      </c>
      <c r="AN198" s="44" t="n">
        <f aca="false">IF(AK198="",NA(),AK198)</f>
        <v>186</v>
      </c>
      <c r="AO198" s="122" t="n">
        <f aca="false">IF(AK198="",NA(),AL198)</f>
        <v>56551.18</v>
      </c>
      <c r="AQ198" s="55" t="n">
        <f aca="false">IF(ISNUMBER(Rendimientos!B198),Rendimientos!B198,NA())</f>
        <v>45781</v>
      </c>
      <c r="AR198" s="44" t="n">
        <f aca="false">IF(AND(ISNUMBER(Rendimientos!C198),ISNUMBER(Rendimientos!$C$13)),Rendimientos!C198/Rendimientos!$C$13*100,NA())</f>
        <v>111.36</v>
      </c>
      <c r="AS198" s="44" t="n">
        <f aca="false">IF(AND(ISNUMBER(Rendimientos!D198),ISNUMBER(Rendimientos!$D$13)),Rendimientos!D198/Rendimientos!$D$13*100,NA())</f>
        <v>108.983523885105</v>
      </c>
    </row>
    <row r="199" customFormat="false" ht="13.8" hidden="false" customHeight="false" outlineLevel="0" collapsed="false">
      <c r="AE199" s="44" t="n">
        <f aca="false">IF(ISNUMBER(Rendimientos!C199),Rendimientos!A199,"")</f>
        <v>187</v>
      </c>
      <c r="AF199" s="122" t="n">
        <f aca="false">IF(AE199="","",Rendimientos!C199)</f>
        <v>28</v>
      </c>
      <c r="AG199" s="44" t="n">
        <f aca="false">IF(AF199="","",LN(AF199))</f>
        <v>3.3322045101752</v>
      </c>
      <c r="AH199" s="44" t="n">
        <f aca="false">IF(AE199="",NA(),AE199)</f>
        <v>187</v>
      </c>
      <c r="AI199" s="122" t="n">
        <f aca="false">IF(AE199="",NA(),AF199)</f>
        <v>28</v>
      </c>
      <c r="AK199" s="44" t="n">
        <f aca="false">IF(ISNUMBER(Rendimientos!D199),Rendimientos!A199,"")</f>
        <v>187</v>
      </c>
      <c r="AL199" s="122" t="n">
        <f aca="false">IF(AK199="","",Rendimientos!D199)</f>
        <v>57987.14</v>
      </c>
      <c r="AM199" s="44" t="n">
        <f aca="false">IF(AL199="","",LN(AL199))</f>
        <v>10.9679765408062</v>
      </c>
      <c r="AN199" s="44" t="n">
        <f aca="false">IF(AK199="",NA(),AK199)</f>
        <v>187</v>
      </c>
      <c r="AO199" s="122" t="n">
        <f aca="false">IF(AK199="",NA(),AL199)</f>
        <v>57987.14</v>
      </c>
      <c r="AQ199" s="55" t="n">
        <f aca="false">IF(ISNUMBER(Rendimientos!B199),Rendimientos!B199,NA())</f>
        <v>45788</v>
      </c>
      <c r="AR199" s="44" t="n">
        <f aca="false">IF(AND(ISNUMBER(Rendimientos!C199),ISNUMBER(Rendimientos!$C$13)),Rendimientos!C199/Rendimientos!$C$13*100,NA())</f>
        <v>112</v>
      </c>
      <c r="AS199" s="44" t="n">
        <f aca="false">IF(AND(ISNUMBER(Rendimientos!D199),ISNUMBER(Rendimientos!$D$13)),Rendimientos!D199/Rendimientos!$D$13*100,NA())</f>
        <v>111.75085749261</v>
      </c>
    </row>
    <row r="200" customFormat="false" ht="13.8" hidden="false" customHeight="false" outlineLevel="0" collapsed="false">
      <c r="AE200" s="44" t="n">
        <f aca="false">IF(ISNUMBER(Rendimientos!C200),Rendimientos!A200,"")</f>
        <v>188</v>
      </c>
      <c r="AF200" s="122" t="n">
        <f aca="false">IF(AE200="","",Rendimientos!C200)</f>
        <v>27.34</v>
      </c>
      <c r="AG200" s="44" t="n">
        <f aca="false">IF(AF200="","",LN(AF200))</f>
        <v>3.3083508312958</v>
      </c>
      <c r="AH200" s="44" t="n">
        <f aca="false">IF(AE200="",NA(),AE200)</f>
        <v>188</v>
      </c>
      <c r="AI200" s="122" t="n">
        <f aca="false">IF(AE200="",NA(),AF200)</f>
        <v>27.34</v>
      </c>
      <c r="AK200" s="44" t="n">
        <f aca="false">IF(ISNUMBER(Rendimientos!D200),Rendimientos!A200,"")</f>
        <v>188</v>
      </c>
      <c r="AL200" s="122" t="n">
        <f aca="false">IF(AK200="","",Rendimientos!D200)</f>
        <v>58410.37</v>
      </c>
      <c r="AM200" s="44" t="n">
        <f aca="false">IF(AL200="","",LN(AL200))</f>
        <v>10.9752487215461</v>
      </c>
      <c r="AN200" s="44" t="n">
        <f aca="false">IF(AK200="",NA(),AK200)</f>
        <v>188</v>
      </c>
      <c r="AO200" s="122" t="n">
        <f aca="false">IF(AK200="",NA(),AL200)</f>
        <v>58410.37</v>
      </c>
      <c r="AQ200" s="55" t="n">
        <f aca="false">IF(ISNUMBER(Rendimientos!B200),Rendimientos!B200,NA())</f>
        <v>45795</v>
      </c>
      <c r="AR200" s="44" t="n">
        <f aca="false">IF(AND(ISNUMBER(Rendimientos!C200),ISNUMBER(Rendimientos!$C$13)),Rendimientos!C200/Rendimientos!$C$13*100,NA())</f>
        <v>109.36</v>
      </c>
      <c r="AS200" s="44" t="n">
        <f aca="false">IF(AND(ISNUMBER(Rendimientos!D200),ISNUMBER(Rendimientos!$D$13)),Rendimientos!D200/Rendimientos!$D$13*100,NA())</f>
        <v>112.566492052559</v>
      </c>
    </row>
    <row r="201" customFormat="false" ht="13.8" hidden="false" customHeight="false" outlineLevel="0" collapsed="false">
      <c r="AE201" s="44" t="n">
        <f aca="false">IF(ISNUMBER(Rendimientos!C201),Rendimientos!A201,"")</f>
        <v>189</v>
      </c>
      <c r="AF201" s="122" t="n">
        <f aca="false">IF(AE201="","",Rendimientos!C201)</f>
        <v>27.51</v>
      </c>
      <c r="AG201" s="44" t="n">
        <f aca="false">IF(AF201="","",LN(AF201))</f>
        <v>3.31454957493648</v>
      </c>
      <c r="AH201" s="44" t="n">
        <f aca="false">IF(AE201="",NA(),AE201)</f>
        <v>189</v>
      </c>
      <c r="AI201" s="122" t="n">
        <f aca="false">IF(AE201="",NA(),AF201)</f>
        <v>27.51</v>
      </c>
      <c r="AK201" s="44" t="n">
        <f aca="false">IF(ISNUMBER(Rendimientos!D201),Rendimientos!A201,"")</f>
        <v>189</v>
      </c>
      <c r="AL201" s="122" t="n">
        <f aca="false">IF(AK201="","",Rendimientos!D201)</f>
        <v>57841.69</v>
      </c>
      <c r="AM201" s="44" t="n">
        <f aca="false">IF(AL201="","",LN(AL201))</f>
        <v>10.9654650749397</v>
      </c>
      <c r="AN201" s="44" t="n">
        <f aca="false">IF(AK201="",NA(),AK201)</f>
        <v>189</v>
      </c>
      <c r="AO201" s="122" t="n">
        <f aca="false">IF(AK201="",NA(),AL201)</f>
        <v>57841.69</v>
      </c>
      <c r="AQ201" s="55" t="n">
        <f aca="false">IF(ISNUMBER(Rendimientos!B201),Rendimientos!B201,NA())</f>
        <v>45802</v>
      </c>
      <c r="AR201" s="44" t="n">
        <f aca="false">IF(AND(ISNUMBER(Rendimientos!C201),ISNUMBER(Rendimientos!$C$13)),Rendimientos!C201/Rendimientos!$C$13*100,NA())</f>
        <v>110.04</v>
      </c>
      <c r="AS201" s="44" t="n">
        <f aca="false">IF(AND(ISNUMBER(Rendimientos!D201),ISNUMBER(Rendimientos!$D$13)),Rendimientos!D201/Rendimientos!$D$13*100,NA())</f>
        <v>111.470551165685</v>
      </c>
    </row>
    <row r="202" customFormat="false" ht="13.8" hidden="false" customHeight="false" outlineLevel="0" collapsed="false">
      <c r="AE202" s="44" t="n">
        <f aca="false">IF(ISNUMBER(Rendimientos!C202),Rendimientos!A202,"")</f>
        <v>190</v>
      </c>
      <c r="AF202" s="122" t="n">
        <f aca="false">IF(AE202="","",Rendimientos!C202)</f>
        <v>27</v>
      </c>
      <c r="AG202" s="44" t="n">
        <f aca="false">IF(AF202="","",LN(AF202))</f>
        <v>3.29583686600433</v>
      </c>
      <c r="AH202" s="44" t="n">
        <f aca="false">IF(AE202="",NA(),AE202)</f>
        <v>190</v>
      </c>
      <c r="AI202" s="122" t="n">
        <f aca="false">IF(AE202="",NA(),AF202)</f>
        <v>27</v>
      </c>
      <c r="AK202" s="44" t="n">
        <f aca="false">IF(ISNUMBER(Rendimientos!D202),Rendimientos!A202,"")</f>
        <v>190</v>
      </c>
      <c r="AL202" s="122" t="n">
        <f aca="false">IF(AK202="","",Rendimientos!D202)</f>
        <v>58061.41</v>
      </c>
      <c r="AM202" s="44" t="n">
        <f aca="false">IF(AL202="","",LN(AL202))</f>
        <v>10.9692565225059</v>
      </c>
      <c r="AN202" s="44" t="n">
        <f aca="false">IF(AK202="",NA(),AK202)</f>
        <v>190</v>
      </c>
      <c r="AO202" s="122" t="n">
        <f aca="false">IF(AK202="",NA(),AL202)</f>
        <v>58061.41</v>
      </c>
      <c r="AQ202" s="55" t="n">
        <f aca="false">IF(ISNUMBER(Rendimientos!B202),Rendimientos!B202,NA())</f>
        <v>45809</v>
      </c>
      <c r="AR202" s="44" t="n">
        <f aca="false">IF(AND(ISNUMBER(Rendimientos!C202),ISNUMBER(Rendimientos!$C$13)),Rendimientos!C202/Rendimientos!$C$13*100,NA())</f>
        <v>108</v>
      </c>
      <c r="AS202" s="44" t="n">
        <f aca="false">IF(AND(ISNUMBER(Rendimientos!D202),ISNUMBER(Rendimientos!$D$13)),Rendimientos!D202/Rendimientos!$D$13*100,NA())</f>
        <v>111.893988127885</v>
      </c>
    </row>
    <row r="203" customFormat="false" ht="13.8" hidden="false" customHeight="false" outlineLevel="0" collapsed="false">
      <c r="AE203" s="44" t="n">
        <f aca="false">IF(ISNUMBER(Rendimientos!C203),Rendimientos!A203,"")</f>
        <v>191</v>
      </c>
      <c r="AF203" s="122" t="n">
        <f aca="false">IF(AE203="","",Rendimientos!C203)</f>
        <v>27.38</v>
      </c>
      <c r="AG203" s="44" t="n">
        <f aca="false">IF(AF203="","",LN(AF203))</f>
        <v>3.3098128198603</v>
      </c>
      <c r="AH203" s="44" t="n">
        <f aca="false">IF(AE203="",NA(),AE203)</f>
        <v>191</v>
      </c>
      <c r="AI203" s="122" t="n">
        <f aca="false">IF(AE203="",NA(),AF203)</f>
        <v>27.38</v>
      </c>
      <c r="AK203" s="44" t="n">
        <f aca="false">IF(ISNUMBER(Rendimientos!D203),Rendimientos!A203,"")</f>
        <v>191</v>
      </c>
      <c r="AL203" s="122" t="n">
        <f aca="false">IF(AK203="","",Rendimientos!D203)</f>
        <v>57438.57</v>
      </c>
      <c r="AM203" s="44" t="n">
        <f aca="false">IF(AL203="","",LN(AL203))</f>
        <v>10.958471307869</v>
      </c>
      <c r="AN203" s="44" t="n">
        <f aca="false">IF(AK203="",NA(),AK203)</f>
        <v>191</v>
      </c>
      <c r="AO203" s="122" t="n">
        <f aca="false">IF(AK203="",NA(),AL203)</f>
        <v>57438.57</v>
      </c>
      <c r="AQ203" s="55" t="n">
        <f aca="false">IF(ISNUMBER(Rendimientos!B203),Rendimientos!B203,NA())</f>
        <v>45816</v>
      </c>
      <c r="AR203" s="44" t="n">
        <f aca="false">IF(AND(ISNUMBER(Rendimientos!C203),ISNUMBER(Rendimientos!$C$13)),Rendimientos!C203/Rendimientos!$C$13*100,NA())</f>
        <v>109.52</v>
      </c>
      <c r="AS203" s="44" t="n">
        <f aca="false">IF(AND(ISNUMBER(Rendimientos!D203),ISNUMBER(Rendimientos!$D$13)),Rendimientos!D203/Rendimientos!$D$13*100,NA())</f>
        <v>110.693671918452</v>
      </c>
    </row>
    <row r="204" customFormat="false" ht="13.8" hidden="false" customHeight="false" outlineLevel="0" collapsed="false">
      <c r="AE204" s="44" t="n">
        <f aca="false">IF(ISNUMBER(Rendimientos!C204),Rendimientos!A204,"")</f>
        <v>192</v>
      </c>
      <c r="AF204" s="122" t="n">
        <f aca="false">IF(AE204="","",Rendimientos!C204)</f>
        <v>27.27</v>
      </c>
      <c r="AG204" s="44" t="n">
        <f aca="false">IF(AF204="","",LN(AF204))</f>
        <v>3.3057871968575</v>
      </c>
      <c r="AH204" s="44" t="n">
        <f aca="false">IF(AE204="",NA(),AE204)</f>
        <v>192</v>
      </c>
      <c r="AI204" s="122" t="n">
        <f aca="false">IF(AE204="",NA(),AF204)</f>
        <v>27.27</v>
      </c>
      <c r="AK204" s="44" t="n">
        <f aca="false">IF(ISNUMBER(Rendimientos!D204),Rendimientos!A204,"")</f>
        <v>192</v>
      </c>
      <c r="AL204" s="122" t="n">
        <f aca="false">IF(AK204="","",Rendimientos!D204)</f>
        <v>56264.69</v>
      </c>
      <c r="AM204" s="44" t="n">
        <f aca="false">IF(AL204="","",LN(AL204))</f>
        <v>10.937822441527</v>
      </c>
      <c r="AN204" s="44" t="n">
        <f aca="false">IF(AK204="",NA(),AK204)</f>
        <v>192</v>
      </c>
      <c r="AO204" s="122" t="n">
        <f aca="false">IF(AK204="",NA(),AL204)</f>
        <v>56264.69</v>
      </c>
      <c r="AQ204" s="55" t="n">
        <f aca="false">IF(ISNUMBER(Rendimientos!B204),Rendimientos!B204,NA())</f>
        <v>45823</v>
      </c>
      <c r="AR204" s="44" t="n">
        <f aca="false">IF(AND(ISNUMBER(Rendimientos!C204),ISNUMBER(Rendimientos!$C$13)),Rendimientos!C204/Rendimientos!$C$13*100,NA())</f>
        <v>109.08</v>
      </c>
      <c r="AS204" s="44" t="n">
        <f aca="false">IF(AND(ISNUMBER(Rendimientos!D204),ISNUMBER(Rendimientos!$D$13)),Rendimientos!D204/Rendimientos!$D$13*100,NA())</f>
        <v>108.431410034292</v>
      </c>
    </row>
    <row r="205" customFormat="false" ht="13.8" hidden="false" customHeight="false" outlineLevel="0" collapsed="false">
      <c r="AE205" s="44" t="n">
        <f aca="false">IF(ISNUMBER(Rendimientos!C205),Rendimientos!A205,"")</f>
        <v>193</v>
      </c>
      <c r="AF205" s="122" t="n">
        <f aca="false">IF(AE205="","",Rendimientos!C205)</f>
        <v>27.98</v>
      </c>
      <c r="AG205" s="44" t="n">
        <f aca="false">IF(AF205="","",LN(AF205))</f>
        <v>3.33148996923734</v>
      </c>
      <c r="AH205" s="44" t="n">
        <f aca="false">IF(AE205="",NA(),AE205)</f>
        <v>193</v>
      </c>
      <c r="AI205" s="122" t="n">
        <f aca="false">IF(AE205="",NA(),AF205)</f>
        <v>27.98</v>
      </c>
      <c r="AK205" s="44" t="n">
        <f aca="false">IF(ISNUMBER(Rendimientos!D205),Rendimientos!A205,"")</f>
        <v>193</v>
      </c>
      <c r="AL205" s="122" t="n">
        <f aca="false">IF(AK205="","",Rendimientos!D205)</f>
        <v>57391.51</v>
      </c>
      <c r="AM205" s="44" t="n">
        <f aca="false">IF(AL205="","",LN(AL205))</f>
        <v>10.9576516619603</v>
      </c>
      <c r="AN205" s="44" t="n">
        <f aca="false">IF(AK205="",NA(),AK205)</f>
        <v>193</v>
      </c>
      <c r="AO205" s="122" t="n">
        <f aca="false">IF(AK205="",NA(),AL205)</f>
        <v>57391.51</v>
      </c>
      <c r="AQ205" s="55" t="n">
        <f aca="false">IF(ISNUMBER(Rendimientos!B205),Rendimientos!B205,NA())</f>
        <v>45830</v>
      </c>
      <c r="AR205" s="44" t="n">
        <f aca="false">IF(AND(ISNUMBER(Rendimientos!C205),ISNUMBER(Rendimientos!$C$13)),Rendimientos!C205/Rendimientos!$C$13*100,NA())</f>
        <v>111.92</v>
      </c>
      <c r="AS205" s="44" t="n">
        <f aca="false">IF(AND(ISNUMBER(Rendimientos!D205),ISNUMBER(Rendimientos!$D$13)),Rendimientos!D205/Rendimientos!$D$13*100,NA())</f>
        <v>110.602979476065</v>
      </c>
    </row>
    <row r="206" customFormat="false" ht="13.8" hidden="false" customHeight="false" outlineLevel="0" collapsed="false">
      <c r="AE206" s="44" t="n">
        <f aca="false">IF(ISNUMBER(Rendimientos!C206),Rendimientos!A206,"")</f>
        <v>194</v>
      </c>
      <c r="AF206" s="122" t="n">
        <f aca="false">IF(AE206="","",Rendimientos!C206)</f>
        <v>27</v>
      </c>
      <c r="AG206" s="44" t="n">
        <f aca="false">IF(AF206="","",LN(AF206))</f>
        <v>3.29583686600433</v>
      </c>
      <c r="AH206" s="44" t="n">
        <f aca="false">IF(AE206="",NA(),AE206)</f>
        <v>194</v>
      </c>
      <c r="AI206" s="122" t="n">
        <f aca="false">IF(AE206="",NA(),AF206)</f>
        <v>27</v>
      </c>
      <c r="AK206" s="44" t="n">
        <f aca="false">IF(ISNUMBER(Rendimientos!D206),Rendimientos!A206,"")</f>
        <v>194</v>
      </c>
      <c r="AL206" s="122" t="n">
        <f aca="false">IF(AK206="","",Rendimientos!D206)</f>
        <v>57977.76</v>
      </c>
      <c r="AM206" s="44" t="n">
        <f aca="false">IF(AL206="","",LN(AL206))</f>
        <v>10.9678147677176</v>
      </c>
      <c r="AN206" s="44" t="n">
        <f aca="false">IF(AK206="",NA(),AK206)</f>
        <v>194</v>
      </c>
      <c r="AO206" s="122" t="n">
        <f aca="false">IF(AK206="",NA(),AL206)</f>
        <v>57977.76</v>
      </c>
      <c r="AQ206" s="55" t="n">
        <f aca="false">IF(ISNUMBER(Rendimientos!B206),Rendimientos!B206,NA())</f>
        <v>45837</v>
      </c>
      <c r="AR206" s="44" t="n">
        <f aca="false">IF(AND(ISNUMBER(Rendimientos!C206),ISNUMBER(Rendimientos!$C$13)),Rendimientos!C206/Rendimientos!$C$13*100,NA())</f>
        <v>108</v>
      </c>
      <c r="AS206" s="44" t="n">
        <f aca="false">IF(AND(ISNUMBER(Rendimientos!D206),ISNUMBER(Rendimientos!$D$13)),Rendimientos!D206/Rendimientos!$D$13*100,NA())</f>
        <v>111.732780673452</v>
      </c>
    </row>
    <row r="207" customFormat="false" ht="13.8" hidden="false" customHeight="false" outlineLevel="0" collapsed="false">
      <c r="AE207" s="44" t="n">
        <f aca="false">IF(ISNUMBER(Rendimientos!C207),Rendimientos!A207,"")</f>
        <v>195</v>
      </c>
      <c r="AF207" s="122" t="n">
        <f aca="false">IF(AE207="","",Rendimientos!C207)</f>
        <v>25.33</v>
      </c>
      <c r="AG207" s="44" t="n">
        <f aca="false">IF(AF207="","",LN(AF207))</f>
        <v>3.23198946401358</v>
      </c>
      <c r="AH207" s="44" t="n">
        <f aca="false">IF(AE207="",NA(),AE207)</f>
        <v>195</v>
      </c>
      <c r="AI207" s="122" t="n">
        <f aca="false">IF(AE207="",NA(),AF207)</f>
        <v>25.33</v>
      </c>
      <c r="AK207" s="44" t="n">
        <f aca="false">IF(ISNUMBER(Rendimientos!D207),Rendimientos!A207,"")</f>
        <v>195</v>
      </c>
      <c r="AL207" s="122" t="n">
        <f aca="false">IF(AK207="","",Rendimientos!D207)</f>
        <v>56593.65</v>
      </c>
      <c r="AM207" s="44" t="n">
        <f aca="false">IF(AL207="","",LN(AL207))</f>
        <v>10.9436520670847</v>
      </c>
      <c r="AN207" s="44" t="n">
        <f aca="false">IF(AK207="",NA(),AK207)</f>
        <v>195</v>
      </c>
      <c r="AO207" s="122" t="n">
        <f aca="false">IF(AK207="",NA(),AL207)</f>
        <v>56593.65</v>
      </c>
      <c r="AQ207" s="55" t="n">
        <f aca="false">IF(ISNUMBER(Rendimientos!B207),Rendimientos!B207,NA())</f>
        <v>45844</v>
      </c>
      <c r="AR207" s="44" t="n">
        <f aca="false">IF(AND(ISNUMBER(Rendimientos!C207),ISNUMBER(Rendimientos!$C$13)),Rendimientos!C207/Rendimientos!$C$13*100,NA())</f>
        <v>101.32</v>
      </c>
      <c r="AS207" s="44" t="n">
        <f aca="false">IF(AND(ISNUMBER(Rendimientos!D207),ISNUMBER(Rendimientos!$D$13)),Rendimientos!D207/Rendimientos!$D$13*100,NA())</f>
        <v>109.065370634535</v>
      </c>
    </row>
    <row r="208" customFormat="false" ht="13.8" hidden="false" customHeight="false" outlineLevel="0" collapsed="false">
      <c r="AE208" s="44" t="n">
        <f aca="false">IF(ISNUMBER(Rendimientos!C208),Rendimientos!A208,"")</f>
        <v>196</v>
      </c>
      <c r="AF208" s="122" t="n">
        <f aca="false">IF(AE208="","",Rendimientos!C208)</f>
        <v>25.99</v>
      </c>
      <c r="AG208" s="44" t="n">
        <f aca="false">IF(AF208="","",LN(AF208))</f>
        <v>3.2577118486534</v>
      </c>
      <c r="AH208" s="44" t="n">
        <f aca="false">IF(AE208="",NA(),AE208)</f>
        <v>196</v>
      </c>
      <c r="AI208" s="122" t="n">
        <f aca="false">IF(AE208="",NA(),AF208)</f>
        <v>25.99</v>
      </c>
      <c r="AK208" s="44" t="n">
        <f aca="false">IF(ISNUMBER(Rendimientos!D208),Rendimientos!A208,"")</f>
        <v>196</v>
      </c>
      <c r="AL208" s="122" t="n">
        <f aca="false">IF(AK208="","",Rendimientos!D208)</f>
        <v>56273.45</v>
      </c>
      <c r="AM208" s="44" t="n">
        <f aca="false">IF(AL208="","",LN(AL208))</f>
        <v>10.9379781220815</v>
      </c>
      <c r="AN208" s="44" t="n">
        <f aca="false">IF(AK208="",NA(),AK208)</f>
        <v>196</v>
      </c>
      <c r="AO208" s="122" t="n">
        <f aca="false">IF(AK208="",NA(),AL208)</f>
        <v>56273.45</v>
      </c>
      <c r="AQ208" s="55" t="n">
        <f aca="false">IF(ISNUMBER(Rendimientos!B208),Rendimientos!B208,NA())</f>
        <v>45851</v>
      </c>
      <c r="AR208" s="44" t="n">
        <f aca="false">IF(AND(ISNUMBER(Rendimientos!C208),ISNUMBER(Rendimientos!$C$13)),Rendimientos!C208/Rendimientos!$C$13*100,NA())</f>
        <v>103.96</v>
      </c>
      <c r="AS208" s="44" t="n">
        <f aca="false">IF(AND(ISNUMBER(Rendimientos!D208),ISNUMBER(Rendimientos!$D$13)),Rendimientos!D208/Rendimientos!$D$13*100,NA())</f>
        <v>108.448292010393</v>
      </c>
    </row>
    <row r="209" customFormat="false" ht="13.8" hidden="false" customHeight="false" outlineLevel="0" collapsed="false">
      <c r="AE209" s="44" t="n">
        <f aca="false">IF(ISNUMBER(Rendimientos!C209),Rendimientos!A209,"")</f>
        <v>197</v>
      </c>
      <c r="AF209" s="122" t="n">
        <f aca="false">IF(AE209="","",Rendimientos!C209)</f>
        <v>25.64</v>
      </c>
      <c r="AG209" s="44" t="n">
        <f aca="false">IF(AF209="","",LN(AF209))</f>
        <v>3.24415363205247</v>
      </c>
      <c r="AH209" s="44" t="n">
        <f aca="false">IF(AE209="",NA(),AE209)</f>
        <v>197</v>
      </c>
      <c r="AI209" s="122" t="n">
        <f aca="false">IF(AE209="",NA(),AF209)</f>
        <v>25.64</v>
      </c>
      <c r="AK209" s="44" t="n">
        <f aca="false">IF(ISNUMBER(Rendimientos!D209),Rendimientos!A209,"")</f>
        <v>197</v>
      </c>
      <c r="AL209" s="122" t="n">
        <f aca="false">IF(AK209="","",Rendimientos!D209)</f>
        <v>57323.14</v>
      </c>
      <c r="AM209" s="44" t="n">
        <f aca="false">IF(AL209="","",LN(AL209))</f>
        <v>10.9564596606232</v>
      </c>
      <c r="AN209" s="44" t="n">
        <f aca="false">IF(AK209="",NA(),AK209)</f>
        <v>197</v>
      </c>
      <c r="AO209" s="122" t="n">
        <f aca="false">IF(AK209="",NA(),AL209)</f>
        <v>57323.14</v>
      </c>
      <c r="AQ209" s="55" t="n">
        <f aca="false">IF(ISNUMBER(Rendimientos!B209),Rendimientos!B209,NA())</f>
        <v>45858</v>
      </c>
      <c r="AR209" s="44" t="n">
        <f aca="false">IF(AND(ISNUMBER(Rendimientos!C209),ISNUMBER(Rendimientos!$C$13)),Rendimientos!C209/Rendimientos!$C$13*100,NA())</f>
        <v>102.56</v>
      </c>
      <c r="AS209" s="44" t="n">
        <f aca="false">IF(AND(ISNUMBER(Rendimientos!D209),ISNUMBER(Rendimientos!$D$13)),Rendimientos!D209/Rendimientos!$D$13*100,NA())</f>
        <v>110.471219121497</v>
      </c>
    </row>
    <row r="210" customFormat="false" ht="13.8" hidden="false" customHeight="false" outlineLevel="0" collapsed="false">
      <c r="AE210" s="44" t="n">
        <f aca="false">IF(ISNUMBER(Rendimientos!C210),Rendimientos!A210,"")</f>
        <v>198</v>
      </c>
      <c r="AF210" s="122" t="n">
        <f aca="false">IF(AE210="","",Rendimientos!C210)</f>
        <v>24.9</v>
      </c>
      <c r="AG210" s="44" t="n">
        <f aca="false">IF(AF210="","",LN(AF210))</f>
        <v>3.21486780347066</v>
      </c>
      <c r="AH210" s="44" t="n">
        <f aca="false">IF(AE210="",NA(),AE210)</f>
        <v>198</v>
      </c>
      <c r="AI210" s="122" t="n">
        <f aca="false">IF(AE210="",NA(),AF210)</f>
        <v>24.9</v>
      </c>
      <c r="AK210" s="44" t="n">
        <f aca="false">IF(ISNUMBER(Rendimientos!D210),Rendimientos!A210,"")</f>
        <v>198</v>
      </c>
      <c r="AL210" s="122" t="n">
        <f aca="false">IF(AK210="","",Rendimientos!D210)</f>
        <v>56900.07</v>
      </c>
      <c r="AM210" s="44" t="n">
        <f aca="false">IF(AL210="","",LN(AL210))</f>
        <v>10.9490518503421</v>
      </c>
      <c r="AN210" s="44" t="n">
        <f aca="false">IF(AK210="",NA(),AK210)</f>
        <v>198</v>
      </c>
      <c r="AO210" s="122" t="n">
        <f aca="false">IF(AK210="",NA(),AL210)</f>
        <v>56900.07</v>
      </c>
      <c r="AQ210" s="55" t="n">
        <f aca="false">IF(ISNUMBER(Rendimientos!B210),Rendimientos!B210,NA())</f>
        <v>45865</v>
      </c>
      <c r="AR210" s="44" t="n">
        <f aca="false">IF(AND(ISNUMBER(Rendimientos!C210),ISNUMBER(Rendimientos!$C$13)),Rendimientos!C210/Rendimientos!$C$13*100,NA())</f>
        <v>99.6</v>
      </c>
      <c r="AS210" s="44" t="n">
        <f aca="false">IF(AND(ISNUMBER(Rendimientos!D210),ISNUMBER(Rendimientos!$D$13)),Rendimientos!D210/Rendimientos!$D$13*100,NA())</f>
        <v>109.655892908144</v>
      </c>
    </row>
    <row r="211" customFormat="false" ht="13.8" hidden="false" customHeight="false" outlineLevel="0" collapsed="false">
      <c r="AE211" s="44" t="n">
        <f aca="false">IF(ISNUMBER(Rendimientos!C211),Rendimientos!A211,"")</f>
        <v>199</v>
      </c>
      <c r="AF211" s="122" t="n">
        <f aca="false">IF(AE211="","",Rendimientos!C211)</f>
        <v>24.97</v>
      </c>
      <c r="AG211" s="44" t="n">
        <f aca="false">IF(AF211="","",LN(AF211))</f>
        <v>3.21767510429168</v>
      </c>
      <c r="AH211" s="44" t="n">
        <f aca="false">IF(AE211="",NA(),AE211)</f>
        <v>199</v>
      </c>
      <c r="AI211" s="122" t="n">
        <f aca="false">IF(AE211="",NA(),AF211)</f>
        <v>24.97</v>
      </c>
      <c r="AK211" s="44" t="n">
        <f aca="false">IF(ISNUMBER(Rendimientos!D211),Rendimientos!A211,"")</f>
        <v>199</v>
      </c>
      <c r="AL211" s="122" t="n">
        <f aca="false">IF(AK211="","",Rendimientos!D211)</f>
        <v>58070.17</v>
      </c>
      <c r="AM211" s="44" t="n">
        <f aca="false">IF(AL211="","",LN(AL211))</f>
        <v>10.9694073858631</v>
      </c>
      <c r="AN211" s="44" t="n">
        <f aca="false">IF(AK211="",NA(),AK211)</f>
        <v>199</v>
      </c>
      <c r="AO211" s="122" t="n">
        <f aca="false">IF(AK211="",NA(),AL211)</f>
        <v>58070.17</v>
      </c>
      <c r="AQ211" s="55" t="n">
        <f aca="false">IF(ISNUMBER(Rendimientos!B211),Rendimientos!B211,NA())</f>
        <v>45872</v>
      </c>
      <c r="AR211" s="44" t="n">
        <f aca="false">IF(AND(ISNUMBER(Rendimientos!C211),ISNUMBER(Rendimientos!$C$13)),Rendimientos!C211/Rendimientos!$C$13*100,NA())</f>
        <v>99.88</v>
      </c>
      <c r="AS211" s="44" t="n">
        <f aca="false">IF(AND(ISNUMBER(Rendimientos!D211),ISNUMBER(Rendimientos!$D$13)),Rendimientos!D211/Rendimientos!$D$13*100,NA())</f>
        <v>111.910870103986</v>
      </c>
    </row>
    <row r="212" customFormat="false" ht="13.8" hidden="false" customHeight="false" outlineLevel="0" collapsed="false">
      <c r="AE212" s="44" t="n">
        <f aca="false">IF(ISNUMBER(Rendimientos!C212),Rendimientos!A212,"")</f>
        <v>200</v>
      </c>
      <c r="AF212" s="122" t="n">
        <f aca="false">IF(AE212="","",Rendimientos!C212)</f>
        <v>25.24</v>
      </c>
      <c r="AG212" s="44" t="n">
        <f aca="false">IF(AF212="","",LN(AF212))</f>
        <v>3.22843003767301</v>
      </c>
      <c r="AH212" s="44" t="n">
        <f aca="false">IF(AE212="",NA(),AE212)</f>
        <v>200</v>
      </c>
      <c r="AI212" s="122" t="n">
        <f aca="false">IF(AE212="",NA(),AF212)</f>
        <v>25.24</v>
      </c>
      <c r="AK212" s="44" t="n">
        <f aca="false">IF(ISNUMBER(Rendimientos!D212),Rendimientos!A212,"")</f>
        <v>200</v>
      </c>
      <c r="AL212" s="122" t="n">
        <f aca="false">IF(AK212="","",Rendimientos!D212)</f>
        <v>58320.48</v>
      </c>
      <c r="AM212" s="44" t="n">
        <f aca="false">IF(AL212="","",LN(AL212))</f>
        <v>10.9737085971013</v>
      </c>
      <c r="AN212" s="44" t="n">
        <f aca="false">IF(AK212="",NA(),AK212)</f>
        <v>200</v>
      </c>
      <c r="AO212" s="122" t="n">
        <f aca="false">IF(AK212="",NA(),AL212)</f>
        <v>58320.48</v>
      </c>
      <c r="AQ212" s="55" t="n">
        <f aca="false">IF(ISNUMBER(Rendimientos!B212),Rendimientos!B212,NA())</f>
        <v>45879</v>
      </c>
      <c r="AR212" s="44" t="n">
        <f aca="false">IF(AND(ISNUMBER(Rendimientos!C212),ISNUMBER(Rendimientos!$C$13)),Rendimientos!C212/Rendimientos!$C$13*100,NA())</f>
        <v>100.96</v>
      </c>
      <c r="AS212" s="44" t="n">
        <f aca="false">IF(AND(ISNUMBER(Rendimientos!D212),ISNUMBER(Rendimientos!$D$13)),Rendimientos!D212/Rendimientos!$D$13*100,NA())</f>
        <v>112.393259080904</v>
      </c>
    </row>
    <row r="213" customFormat="false" ht="13.8" hidden="false" customHeight="false" outlineLevel="0" collapsed="false">
      <c r="AE213" s="44" t="n">
        <f aca="false">IF(ISNUMBER(Rendimientos!C213),Rendimientos!A213,"")</f>
        <v>201</v>
      </c>
      <c r="AF213" s="122" t="n">
        <f aca="false">IF(AE213="","",Rendimientos!C213)</f>
        <v>25.4</v>
      </c>
      <c r="AG213" s="44" t="n">
        <f aca="false">IF(AF213="","",LN(AF213))</f>
        <v>3.23474917402449</v>
      </c>
      <c r="AH213" s="44" t="n">
        <f aca="false">IF(AE213="",NA(),AE213)</f>
        <v>201</v>
      </c>
      <c r="AI213" s="122" t="n">
        <f aca="false">IF(AE213="",NA(),AF213)</f>
        <v>25.4</v>
      </c>
      <c r="AK213" s="44" t="n">
        <f aca="false">IF(ISNUMBER(Rendimientos!D213),Rendimientos!A213,"")</f>
        <v>201</v>
      </c>
      <c r="AL213" s="122" t="n">
        <f aca="false">IF(AK213="","",Rendimientos!D213)</f>
        <v>59225.48</v>
      </c>
      <c r="AM213" s="44" t="n">
        <f aca="false">IF(AL213="","",LN(AL213))</f>
        <v>10.9891071336797</v>
      </c>
      <c r="AN213" s="44" t="n">
        <f aca="false">IF(AK213="",NA(),AK213)</f>
        <v>201</v>
      </c>
      <c r="AO213" s="122" t="n">
        <f aca="false">IF(AK213="",NA(),AL213)</f>
        <v>59225.48</v>
      </c>
      <c r="AQ213" s="55" t="n">
        <f aca="false">IF(ISNUMBER(Rendimientos!B213),Rendimientos!B213,NA())</f>
        <v>45886</v>
      </c>
      <c r="AR213" s="44" t="n">
        <f aca="false">IF(AND(ISNUMBER(Rendimientos!C213),ISNUMBER(Rendimientos!$C$13)),Rendimientos!C213/Rendimientos!$C$13*100,NA())</f>
        <v>101.6</v>
      </c>
      <c r="AS213" s="44" t="n">
        <f aca="false">IF(AND(ISNUMBER(Rendimientos!D213),ISNUMBER(Rendimientos!$D$13)),Rendimientos!D213/Rendimientos!$D$13*100,NA())</f>
        <v>114.137344511411</v>
      </c>
    </row>
    <row r="214" customFormat="false" ht="13.8" hidden="false" customHeight="false" outlineLevel="0" collapsed="false">
      <c r="AE214" s="44" t="n">
        <f aca="false">IF(ISNUMBER(Rendimientos!C214),Rendimientos!A214,"")</f>
        <v>202</v>
      </c>
      <c r="AF214" s="122" t="n">
        <f aca="false">IF(AE214="","",Rendimientos!C214)</f>
        <v>25.73</v>
      </c>
      <c r="AG214" s="44" t="n">
        <f aca="false">IF(AF214="","",LN(AF214))</f>
        <v>3.24765762629365</v>
      </c>
      <c r="AH214" s="44" t="n">
        <f aca="false">IF(AE214="",NA(),AE214)</f>
        <v>202</v>
      </c>
      <c r="AI214" s="122" t="n">
        <f aca="false">IF(AE214="",NA(),AF214)</f>
        <v>25.73</v>
      </c>
      <c r="AK214" s="44" t="n">
        <f aca="false">IF(ISNUMBER(Rendimientos!D214),Rendimientos!A214,"")</f>
        <v>202</v>
      </c>
      <c r="AL214" s="122" t="n">
        <f aca="false">IF(AK214="","",Rendimientos!D214)</f>
        <v>58708.86</v>
      </c>
      <c r="AM214" s="44" t="n">
        <f aca="false">IF(AL214="","",LN(AL214))</f>
        <v>10.980345931394</v>
      </c>
      <c r="AN214" s="44" t="n">
        <f aca="false">IF(AK214="",NA(),AK214)</f>
        <v>202</v>
      </c>
      <c r="AO214" s="122" t="n">
        <f aca="false">IF(AK214="",NA(),AL214)</f>
        <v>58708.86</v>
      </c>
      <c r="AQ214" s="55" t="n">
        <f aca="false">IF(ISNUMBER(Rendimientos!B214),Rendimientos!B214,NA())</f>
        <v>45893</v>
      </c>
      <c r="AR214" s="44" t="n">
        <f aca="false">IF(AND(ISNUMBER(Rendimientos!C214),ISNUMBER(Rendimientos!$C$13)),Rendimientos!C214/Rendimientos!$C$13*100,NA())</f>
        <v>102.92</v>
      </c>
      <c r="AS214" s="44" t="n">
        <f aca="false">IF(AND(ISNUMBER(Rendimientos!D214),ISNUMBER(Rendimientos!$D$13)),Rendimientos!D214/Rendimientos!$D$13*100,NA())</f>
        <v>113.141731898031</v>
      </c>
    </row>
    <row r="215" customFormat="false" ht="13.8" hidden="false" customHeight="false" outlineLevel="0" collapsed="false">
      <c r="AE215" s="44" t="n">
        <f aca="false">IF(ISNUMBER(Rendimientos!C215),Rendimientos!A215,"")</f>
        <v>203</v>
      </c>
      <c r="AF215" s="122" t="n">
        <f aca="false">IF(AE215="","",Rendimientos!C215)</f>
        <v>25.2</v>
      </c>
      <c r="AG215" s="44" t="n">
        <f aca="false">IF(AF215="","",LN(AF215))</f>
        <v>3.22684399451738</v>
      </c>
      <c r="AH215" s="44" t="n">
        <f aca="false">IF(AE215="",NA(),AE215)</f>
        <v>203</v>
      </c>
      <c r="AI215" s="122" t="n">
        <f aca="false">IF(AE215="",NA(),AF215)</f>
        <v>25.2</v>
      </c>
      <c r="AK215" s="44" t="n">
        <f aca="false">IF(ISNUMBER(Rendimientos!D215),Rendimientos!A215,"")</f>
        <v>203</v>
      </c>
      <c r="AL215" s="122" t="n">
        <f aca="false">IF(AK215="","",Rendimientos!D215)</f>
        <v>60479.76</v>
      </c>
      <c r="AM215" s="44" t="n">
        <f aca="false">IF(AL215="","",LN(AL215))</f>
        <v>11.0100640425916</v>
      </c>
      <c r="AN215" s="44" t="n">
        <f aca="false">IF(AK215="",NA(),AK215)</f>
        <v>203</v>
      </c>
      <c r="AO215" s="122" t="n">
        <f aca="false">IF(AK215="",NA(),AL215)</f>
        <v>60479.76</v>
      </c>
      <c r="AQ215" s="55" t="n">
        <f aca="false">IF(ISNUMBER(Rendimientos!B215),Rendimientos!B215,NA())</f>
        <v>45900</v>
      </c>
      <c r="AR215" s="44" t="n">
        <f aca="false">IF(AND(ISNUMBER(Rendimientos!C215),ISNUMBER(Rendimientos!$C$13)),Rendimientos!C215/Rendimientos!$C$13*100,NA())</f>
        <v>100.8</v>
      </c>
      <c r="AS215" s="44" t="n">
        <f aca="false">IF(AND(ISNUMBER(Rendimientos!D215),ISNUMBER(Rendimientos!$D$13)),Rendimientos!D215/Rendimientos!$D$13*100,NA())</f>
        <v>116.554550559784</v>
      </c>
    </row>
    <row r="216" customFormat="false" ht="13.8" hidden="false" customHeight="false" outlineLevel="0" collapsed="false">
      <c r="AE216" s="44" t="n">
        <f aca="false">IF(ISNUMBER(Rendimientos!C216),Rendimientos!A216,"")</f>
        <v>204</v>
      </c>
      <c r="AF216" s="122" t="n">
        <f aca="false">IF(AE216="","",Rendimientos!C216)</f>
        <v>24.9</v>
      </c>
      <c r="AG216" s="44" t="n">
        <f aca="false">IF(AF216="","",LN(AF216))</f>
        <v>3.21486780347066</v>
      </c>
      <c r="AH216" s="44" t="n">
        <f aca="false">IF(AE216="",NA(),AE216)</f>
        <v>204</v>
      </c>
      <c r="AI216" s="122" t="n">
        <f aca="false">IF(AE216="",NA(),AF216)</f>
        <v>24.9</v>
      </c>
      <c r="AK216" s="44" t="n">
        <f aca="false">IF(ISNUMBER(Rendimientos!D216),Rendimientos!A216,"")</f>
        <v>204</v>
      </c>
      <c r="AL216" s="122" t="n">
        <f aca="false">IF(AK216="","",Rendimientos!D216)</f>
        <v>61798.94</v>
      </c>
      <c r="AM216" s="44" t="n">
        <f aca="false">IF(AL216="","",LN(AL216))</f>
        <v>11.0316414911951</v>
      </c>
      <c r="AN216" s="44" t="n">
        <f aca="false">IF(AK216="",NA(),AK216)</f>
        <v>204</v>
      </c>
      <c r="AO216" s="122" t="n">
        <f aca="false">IF(AK216="",NA(),AL216)</f>
        <v>61798.94</v>
      </c>
      <c r="AQ216" s="55" t="n">
        <f aca="false">IF(ISNUMBER(Rendimientos!B216),Rendimientos!B216,NA())</f>
        <v>45907</v>
      </c>
      <c r="AR216" s="44" t="n">
        <f aca="false">IF(AND(ISNUMBER(Rendimientos!C216),ISNUMBER(Rendimientos!$C$13)),Rendimientos!C216/Rendimientos!$C$13*100,NA())</f>
        <v>99.6</v>
      </c>
      <c r="AS216" s="44" t="n">
        <f aca="false">IF(AND(ISNUMBER(Rendimientos!D216),ISNUMBER(Rendimientos!$D$13)),Rendimientos!D216/Rendimientos!$D$13*100,NA())</f>
        <v>119.096829695936</v>
      </c>
    </row>
    <row r="217" customFormat="false" ht="13.8" hidden="false" customHeight="false" outlineLevel="0" collapsed="false">
      <c r="AE217" s="44" t="n">
        <f aca="false">IF(ISNUMBER(Rendimientos!C217),Rendimientos!A217,"")</f>
        <v>205</v>
      </c>
      <c r="AF217" s="122" t="n">
        <f aca="false">IF(AE217="","",Rendimientos!C217)</f>
        <v>24.82</v>
      </c>
      <c r="AG217" s="44" t="n">
        <f aca="false">IF(AF217="","",LN(AF217))</f>
        <v>3.21164977977646</v>
      </c>
      <c r="AH217" s="44" t="n">
        <f aca="false">IF(AE217="",NA(),AE217)</f>
        <v>205</v>
      </c>
      <c r="AI217" s="122" t="n">
        <f aca="false">IF(AE217="",NA(),AF217)</f>
        <v>24.82</v>
      </c>
      <c r="AK217" s="44" t="n">
        <f aca="false">IF(ISNUMBER(Rendimientos!D217),Rendimientos!A217,"")</f>
        <v>205</v>
      </c>
      <c r="AL217" s="122" t="n">
        <f aca="false">IF(AK217="","",Rendimientos!D217)</f>
        <v>61200.27</v>
      </c>
      <c r="AM217" s="44" t="n">
        <f aca="false">IF(AL217="","",LN(AL217))</f>
        <v>11.0219068802554</v>
      </c>
      <c r="AN217" s="44" t="n">
        <f aca="false">IF(AK217="",NA(),AK217)</f>
        <v>205</v>
      </c>
      <c r="AO217" s="122" t="n">
        <f aca="false">IF(AK217="",NA(),AL217)</f>
        <v>61200.27</v>
      </c>
      <c r="AQ217" s="55" t="n">
        <f aca="false">IF(ISNUMBER(Rendimientos!B217),Rendimientos!B217,NA())</f>
        <v>45914</v>
      </c>
      <c r="AR217" s="44" t="n">
        <f aca="false">IF(AND(ISNUMBER(Rendimientos!C217),ISNUMBER(Rendimientos!$C$13)),Rendimientos!C217/Rendimientos!$C$13*100,NA())</f>
        <v>99.28</v>
      </c>
      <c r="AS217" s="44" t="n">
        <f aca="false">IF(AND(ISNUMBER(Rendimientos!D217),ISNUMBER(Rendimientos!$D$13)),Rendimientos!D217/Rendimientos!$D$13*100,NA())</f>
        <v>117.943093094077</v>
      </c>
    </row>
    <row r="218" customFormat="false" ht="13.8" hidden="false" customHeight="false" outlineLevel="0" collapsed="false">
      <c r="AE218" s="44" t="n">
        <f aca="false">IF(ISNUMBER(Rendimientos!C218),Rendimientos!A218,"")</f>
        <v>206</v>
      </c>
      <c r="AF218" s="122" t="n">
        <f aca="false">IF(AE218="","",Rendimientos!C218)</f>
        <v>25</v>
      </c>
      <c r="AG218" s="44" t="n">
        <f aca="false">IF(AF218="","",LN(AF218))</f>
        <v>3.2188758248682</v>
      </c>
      <c r="AH218" s="44" t="n">
        <f aca="false">IF(AE218="",NA(),AE218)</f>
        <v>206</v>
      </c>
      <c r="AI218" s="122" t="n">
        <f aca="false">IF(AE218="",NA(),AF218)</f>
        <v>25</v>
      </c>
      <c r="AK218" s="44" t="n">
        <f aca="false">IF(ISNUMBER(Rendimientos!D218),Rendimientos!A218,"")</f>
        <v>206</v>
      </c>
      <c r="AL218" s="122" t="n">
        <f aca="false">IF(AK218="","",Rendimientos!D218)</f>
        <v>62307.07</v>
      </c>
      <c r="AM218" s="44" t="n">
        <f aca="false">IF(AL218="","",LN(AL218))</f>
        <v>11.0398301814829</v>
      </c>
      <c r="AN218" s="44" t="n">
        <f aca="false">IF(AK218="",NA(),AK218)</f>
        <v>206</v>
      </c>
      <c r="AO218" s="122" t="n">
        <f aca="false">IF(AK218="",NA(),AL218)</f>
        <v>62307.07</v>
      </c>
      <c r="AQ218" s="55" t="n">
        <f aca="false">IF(ISNUMBER(Rendimientos!B218),Rendimientos!B218,NA())</f>
        <v>45921</v>
      </c>
      <c r="AR218" s="44" t="n">
        <f aca="false">IF(AND(ISNUMBER(Rendimientos!C218),ISNUMBER(Rendimientos!$C$13)),Rendimientos!C218/Rendimientos!$C$13*100,NA())</f>
        <v>100</v>
      </c>
      <c r="AS218" s="44" t="n">
        <f aca="false">IF(AND(ISNUMBER(Rendimientos!D218),ISNUMBER(Rendimientos!$D$13)),Rendimientos!D218/Rendimientos!$D$13*100,NA())</f>
        <v>120.076080668095</v>
      </c>
    </row>
    <row r="219" customFormat="false" ht="13.8" hidden="false" customHeight="false" outlineLevel="0" collapsed="false">
      <c r="AE219" s="44" t="n">
        <f aca="false">IF(ISNUMBER(Rendimientos!C219),Rendimientos!A219,"")</f>
        <v>207</v>
      </c>
      <c r="AF219" s="122" t="n">
        <f aca="false">IF(AE219="","",Rendimientos!C219)</f>
        <v>24.93</v>
      </c>
      <c r="AG219" s="44" t="n">
        <f aca="false">IF(AF219="","",LN(AF219))</f>
        <v>3.21607189753547</v>
      </c>
      <c r="AH219" s="44" t="n">
        <f aca="false">IF(AE219="",NA(),AE219)</f>
        <v>207</v>
      </c>
      <c r="AI219" s="122" t="n">
        <f aca="false">IF(AE219="",NA(),AF219)</f>
        <v>24.93</v>
      </c>
      <c r="AK219" s="44" t="n">
        <f aca="false">IF(ISNUMBER(Rendimientos!D219),Rendimientos!A219,"")</f>
        <v>207</v>
      </c>
      <c r="AL219" s="122" t="n">
        <f aca="false">IF(AK219="","",Rendimientos!D219)</f>
        <v>61984.43</v>
      </c>
      <c r="AM219" s="44" t="n">
        <f aca="false">IF(AL219="","",LN(AL219))</f>
        <v>11.0346385034568</v>
      </c>
      <c r="AN219" s="44" t="n">
        <f aca="false">IF(AK219="",NA(),AK219)</f>
        <v>207</v>
      </c>
      <c r="AO219" s="122" t="n">
        <f aca="false">IF(AK219="",NA(),AL219)</f>
        <v>61984.43</v>
      </c>
      <c r="AQ219" s="55" t="n">
        <f aca="false">IF(ISNUMBER(Rendimientos!B219),Rendimientos!B219,NA())</f>
        <v>45928</v>
      </c>
      <c r="AR219" s="44" t="n">
        <f aca="false">IF(AND(ISNUMBER(Rendimientos!C219),ISNUMBER(Rendimientos!$C$13)),Rendimientos!C219/Rendimientos!$C$13*100,NA())</f>
        <v>99.72</v>
      </c>
      <c r="AS219" s="44" t="n">
        <f aca="false">IF(AND(ISNUMBER(Rendimientos!D219),ISNUMBER(Rendimientos!$D$13)),Rendimientos!D219/Rendimientos!$D$13*100,NA())</f>
        <v>119.454299758372</v>
      </c>
    </row>
    <row r="220" customFormat="false" ht="13.8" hidden="false" customHeight="false" outlineLevel="0" collapsed="false">
      <c r="AE220" s="44" t="n">
        <f aca="false">IF(ISNUMBER(Rendimientos!C220),Rendimientos!A220,"")</f>
        <v>208</v>
      </c>
      <c r="AF220" s="122" t="n">
        <f aca="false">IF(AE220="","",Rendimientos!C220)</f>
        <v>24.78</v>
      </c>
      <c r="AG220" s="44" t="n">
        <f aca="false">IF(AF220="","",LN(AF220))</f>
        <v>3.210036876201</v>
      </c>
      <c r="AH220" s="44" t="n">
        <f aca="false">IF(AE220="",NA(),AE220)</f>
        <v>208</v>
      </c>
      <c r="AI220" s="122" t="n">
        <f aca="false">IF(AE220="",NA(),AF220)</f>
        <v>24.78</v>
      </c>
      <c r="AK220" s="44" t="n">
        <f aca="false">IF(ISNUMBER(Rendimientos!D220),Rendimientos!A220,"")</f>
        <v>208</v>
      </c>
      <c r="AL220" s="122" t="n">
        <f aca="false">IF(AK220="","",Rendimientos!D220)</f>
        <v>60568.93</v>
      </c>
      <c r="AM220" s="44" t="n">
        <f aca="false">IF(AL220="","",LN(AL220))</f>
        <v>11.011537334308</v>
      </c>
      <c r="AN220" s="44" t="n">
        <f aca="false">IF(AK220="",NA(),AK220)</f>
        <v>208</v>
      </c>
      <c r="AO220" s="122" t="n">
        <f aca="false">IF(AK220="",NA(),AL220)</f>
        <v>60568.93</v>
      </c>
      <c r="AQ220" s="55" t="n">
        <f aca="false">IF(ISNUMBER(Rendimientos!B220),Rendimientos!B220,NA())</f>
        <v>45935</v>
      </c>
      <c r="AR220" s="44" t="n">
        <f aca="false">IF(AND(ISNUMBER(Rendimientos!C220),ISNUMBER(Rendimientos!$C$13)),Rendimientos!C220/Rendimientos!$C$13*100,NA())</f>
        <v>99.12</v>
      </c>
      <c r="AS220" s="44" t="n">
        <f aca="false">IF(AND(ISNUMBER(Rendimientos!D220),ISNUMBER(Rendimientos!$D$13)),Rendimientos!D220/Rendimientos!$D$13*100,NA())</f>
        <v>116.72639597176</v>
      </c>
    </row>
    <row r="221" customFormat="false" ht="13.8" hidden="false" customHeight="false" outlineLevel="0" collapsed="false">
      <c r="AE221" s="44" t="n">
        <f aca="false">IF(ISNUMBER(Rendimientos!C221),Rendimientos!A221,"")</f>
        <v>209</v>
      </c>
      <c r="AF221" s="122" t="n">
        <f aca="false">IF(AE221="","",Rendimientos!C221)</f>
        <v>25.06</v>
      </c>
      <c r="AG221" s="44" t="n">
        <f aca="false">IF(AF221="","",LN(AF221))</f>
        <v>3.22127294946792</v>
      </c>
      <c r="AH221" s="44" t="n">
        <f aca="false">IF(AE221="",NA(),AE221)</f>
        <v>209</v>
      </c>
      <c r="AI221" s="122" t="n">
        <f aca="false">IF(AE221="",NA(),AF221)</f>
        <v>25.06</v>
      </c>
      <c r="AK221" s="44" t="n">
        <f aca="false">IF(ISNUMBER(Rendimientos!D221),Rendimientos!A221,"")</f>
        <v>209</v>
      </c>
      <c r="AL221" s="122" t="n">
        <f aca="false">IF(AK221="","",Rendimientos!D221)</f>
        <v>61743.92</v>
      </c>
      <c r="AM221" s="44" t="n">
        <f aca="false">IF(AL221="","",LN(AL221))</f>
        <v>11.0307507881041</v>
      </c>
      <c r="AN221" s="44" t="n">
        <f aca="false">IF(AK221="",NA(),AK221)</f>
        <v>209</v>
      </c>
      <c r="AO221" s="122" t="n">
        <f aca="false">IF(AK221="",NA(),AL221)</f>
        <v>61743.92</v>
      </c>
      <c r="AQ221" s="55" t="n">
        <f aca="false">IF(ISNUMBER(Rendimientos!B221),Rendimientos!B221,NA())</f>
        <v>45942</v>
      </c>
      <c r="AR221" s="44" t="n">
        <f aca="false">IF(AND(ISNUMBER(Rendimientos!C221),ISNUMBER(Rendimientos!$C$13)),Rendimientos!C221/Rendimientos!$C$13*100,NA())</f>
        <v>100.24</v>
      </c>
      <c r="AS221" s="44" t="n">
        <f aca="false">IF(AND(ISNUMBER(Rendimientos!D221),ISNUMBER(Rendimientos!$D$13)),Rendimientos!D221/Rendimientos!$D$13*100,NA())</f>
        <v>118.990797010426</v>
      </c>
    </row>
    <row r="222" customFormat="false" ht="13.8" hidden="false" customHeight="false" outlineLevel="0" collapsed="false">
      <c r="AE222" s="44" t="n">
        <f aca="false">IF(ISNUMBER(Rendimientos!C222),Rendimientos!A222,"")</f>
        <v>210</v>
      </c>
      <c r="AF222" s="122" t="n">
        <f aca="false">IF(AE222="","",Rendimientos!C222)</f>
        <v>24.88</v>
      </c>
      <c r="AG222" s="44" t="n">
        <f aca="false">IF(AF222="","",LN(AF222))</f>
        <v>3.21406426787098</v>
      </c>
      <c r="AH222" s="44" t="n">
        <f aca="false">IF(AE222="",NA(),AE222)</f>
        <v>210</v>
      </c>
      <c r="AI222" s="122" t="n">
        <f aca="false">IF(AE222="",NA(),AF222)</f>
        <v>24.88</v>
      </c>
      <c r="AK222" s="44" t="n">
        <f aca="false">IF(ISNUMBER(Rendimientos!D222),Rendimientos!A222,"")</f>
        <v>210</v>
      </c>
      <c r="AL222" s="122" t="n">
        <f aca="false">IF(AK222="","",Rendimientos!D222)</f>
        <v>61145.49</v>
      </c>
      <c r="AM222" s="44" t="n">
        <f aca="false">IF(AL222="","",LN(AL222))</f>
        <v>11.0210113853292</v>
      </c>
      <c r="AN222" s="44" t="n">
        <f aca="false">IF(AK222="",NA(),AK222)</f>
        <v>210</v>
      </c>
      <c r="AO222" s="122" t="n">
        <f aca="false">IF(AK222="",NA(),AL222)</f>
        <v>61145.49</v>
      </c>
      <c r="AQ222" s="55" t="n">
        <f aca="false">IF(ISNUMBER(Rendimientos!B222),Rendimientos!B222,NA())</f>
        <v>45949</v>
      </c>
      <c r="AR222" s="44" t="n">
        <f aca="false">IF(AND(ISNUMBER(Rendimientos!C222),ISNUMBER(Rendimientos!$C$13)),Rendimientos!C222/Rendimientos!$C$13*100,NA())</f>
        <v>99.52</v>
      </c>
      <c r="AS222" s="44" t="n">
        <f aca="false">IF(AND(ISNUMBER(Rendimientos!D222),ISNUMBER(Rendimientos!$D$13)),Rendimientos!D222/Rendimientos!$D$13*100,NA())</f>
        <v>117.83752292846</v>
      </c>
    </row>
    <row r="223" customFormat="false" ht="13.8" hidden="false" customHeight="false" outlineLevel="0" collapsed="false">
      <c r="AE223" s="44" t="n">
        <f aca="false">IF(ISNUMBER(Rendimientos!C223),Rendimientos!A223,"")</f>
        <v>211</v>
      </c>
      <c r="AF223" s="122" t="n">
        <f aca="false">IF(AE223="","",Rendimientos!C223)</f>
        <v>26.45</v>
      </c>
      <c r="AG223" s="44" t="n">
        <f aca="false">IF(AF223="","",LN(AF223))</f>
        <v>3.27525615830431</v>
      </c>
      <c r="AH223" s="44" t="n">
        <f aca="false">IF(AE223="",NA(),AE223)</f>
        <v>211</v>
      </c>
      <c r="AI223" s="122" t="n">
        <f aca="false">IF(AE223="",NA(),AF223)</f>
        <v>26.45</v>
      </c>
      <c r="AK223" s="44" t="n">
        <f aca="false">IF(ISNUMBER(Rendimientos!D223),Rendimientos!A223,"")</f>
        <v>211</v>
      </c>
      <c r="AL223" s="122" t="n">
        <f aca="false">IF(AK223="","",Rendimientos!D223)</f>
        <v>62769.18</v>
      </c>
      <c r="AM223" s="44" t="n">
        <f aca="false">IF(AL223="","",LN(AL223))</f>
        <v>11.0472194676609</v>
      </c>
      <c r="AN223" s="44" t="n">
        <f aca="false">IF(AK223="",NA(),AK223)</f>
        <v>211</v>
      </c>
      <c r="AO223" s="122" t="n">
        <f aca="false">IF(AK223="",NA(),AL223)</f>
        <v>62769.18</v>
      </c>
      <c r="AQ223" s="55" t="n">
        <f aca="false">IF(ISNUMBER(Rendimientos!B223),Rendimientos!B223,NA())</f>
        <v>45956</v>
      </c>
      <c r="AR223" s="44" t="n">
        <f aca="false">IF(AND(ISNUMBER(Rendimientos!C223),ISNUMBER(Rendimientos!$C$13)),Rendimientos!C223/Rendimientos!$C$13*100,NA())</f>
        <v>105.8</v>
      </c>
      <c r="AS223" s="44" t="n">
        <f aca="false">IF(AND(ISNUMBER(Rendimientos!D223),ISNUMBER(Rendimientos!$D$13)),Rendimientos!D223/Rendimientos!$D$13*100,NA())</f>
        <v>120.966643450738</v>
      </c>
    </row>
    <row r="224" customFormat="false" ht="13.8" hidden="false" customHeight="false" outlineLevel="0" collapsed="false">
      <c r="AE224" s="44" t="n">
        <f aca="false">IF(ISNUMBER(Rendimientos!C224),Rendimientos!A224,"")</f>
        <v>212</v>
      </c>
      <c r="AF224" s="122" t="n">
        <f aca="false">IF(AE224="","",Rendimientos!C224)</f>
        <v>25.74</v>
      </c>
      <c r="AG224" s="44" t="n">
        <f aca="false">IF(AF224="","",LN(AF224))</f>
        <v>3.24804620216798</v>
      </c>
      <c r="AH224" s="44" t="n">
        <f aca="false">IF(AE224="",NA(),AE224)</f>
        <v>212</v>
      </c>
      <c r="AI224" s="122" t="n">
        <f aca="false">IF(AE224="",NA(),AF224)</f>
        <v>25.74</v>
      </c>
      <c r="AK224" s="44" t="n">
        <f aca="false">IF(ISNUMBER(Rendimientos!D224),Rendimientos!A224,"")</f>
        <v>212</v>
      </c>
      <c r="AL224" s="122" t="n">
        <f aca="false">IF(AK224="","",Rendimientos!D224)</f>
        <v>63376.13</v>
      </c>
      <c r="AM224" s="44" t="n">
        <f aca="false">IF(AL224="","",LN(AL224))</f>
        <v>11.0568425711093</v>
      </c>
      <c r="AN224" s="44" t="n">
        <f aca="false">IF(AK224="",NA(),AK224)</f>
        <v>212</v>
      </c>
      <c r="AO224" s="122" t="n">
        <f aca="false">IF(AK224="",NA(),AL224)</f>
        <v>63376.13</v>
      </c>
      <c r="AQ224" s="55" t="n">
        <f aca="false">IF(ISNUMBER(Rendimientos!B224),Rendimientos!B224,NA())</f>
        <v>45963</v>
      </c>
      <c r="AR224" s="44" t="n">
        <f aca="false">IF(AND(ISNUMBER(Rendimientos!C224),ISNUMBER(Rendimientos!$C$13)),Rendimientos!C224/Rendimientos!$C$13*100,NA())</f>
        <v>102.96</v>
      </c>
      <c r="AS224" s="44" t="n">
        <f aca="false">IF(AND(ISNUMBER(Rendimientos!D224),ISNUMBER(Rendimientos!$D$13)),Rendimientos!D224/Rendimientos!$D$13*100,NA())</f>
        <v>122.136336988911</v>
      </c>
    </row>
    <row r="225" customFormat="false" ht="13.8" hidden="false" customHeight="false" outlineLevel="0" collapsed="false">
      <c r="AE225" s="44" t="n">
        <f aca="false">IF(ISNUMBER(Rendimientos!C225),Rendimientos!A225,"")</f>
        <v>213</v>
      </c>
      <c r="AF225" s="122" t="n">
        <f aca="false">IF(AE225="","",Rendimientos!C225)</f>
        <v>27.39</v>
      </c>
      <c r="AG225" s="44" t="n">
        <f aca="false">IF(AF225="","",LN(AF225))</f>
        <v>3.31017798327499</v>
      </c>
      <c r="AH225" s="44" t="n">
        <f aca="false">IF(AE225="",NA(),AE225)</f>
        <v>213</v>
      </c>
      <c r="AI225" s="122" t="n">
        <f aca="false">IF(AE225="",NA(),AF225)</f>
        <v>27.39</v>
      </c>
      <c r="AK225" s="44" t="n">
        <f aca="false">IF(ISNUMBER(Rendimientos!D225),Rendimientos!A225,"")</f>
        <v>213</v>
      </c>
      <c r="AL225" s="122" t="n">
        <f aca="false">IF(AK225="","",Rendimientos!D225)</f>
        <v>62328.63</v>
      </c>
      <c r="AM225" s="44" t="n">
        <f aca="false">IF(AL225="","",LN(AL225))</f>
        <v>11.0401761497763</v>
      </c>
      <c r="AN225" s="44" t="n">
        <f aca="false">IF(AK225="",NA(),AK225)</f>
        <v>213</v>
      </c>
      <c r="AO225" s="122" t="n">
        <f aca="false">IF(AK225="",NA(),AL225)</f>
        <v>62328.63</v>
      </c>
      <c r="AQ225" s="55" t="n">
        <f aca="false">IF(ISNUMBER(Rendimientos!B225),Rendimientos!B225,NA())</f>
        <v>45970</v>
      </c>
      <c r="AR225" s="44" t="n">
        <f aca="false">IF(AND(ISNUMBER(Rendimientos!C225),ISNUMBER(Rendimientos!$C$13)),Rendimientos!C225/Rendimientos!$C$13*100,NA())</f>
        <v>109.56</v>
      </c>
      <c r="AS225" s="44" t="n">
        <f aca="false">IF(AND(ISNUMBER(Rendimientos!D225),ISNUMBER(Rendimientos!$D$13)),Rendimientos!D225/Rendimientos!$D$13*100,NA())</f>
        <v>120.117630371831</v>
      </c>
    </row>
    <row r="226" customFormat="false" ht="13.8" hidden="false" customHeight="false" outlineLevel="0" collapsed="false">
      <c r="AE226" s="44" t="n">
        <f aca="false">IF(ISNUMBER(Rendimientos!C226),Rendimientos!A226,"")</f>
        <v>214</v>
      </c>
      <c r="AF226" s="122" t="n">
        <f aca="false">IF(AE226="","",Rendimientos!C226)</f>
        <v>28.49</v>
      </c>
      <c r="AG226" s="44" t="n">
        <f aca="false">IF(AF226="","",LN(AF226))</f>
        <v>3.34955314850982</v>
      </c>
      <c r="AH226" s="44" t="n">
        <f aca="false">IF(AE226="",NA(),AE226)</f>
        <v>214</v>
      </c>
      <c r="AI226" s="122" t="n">
        <f aca="false">IF(AE226="",NA(),AF226)</f>
        <v>28.49</v>
      </c>
      <c r="AK226" s="44" t="n">
        <f aca="false">IF(ISNUMBER(Rendimientos!D226),Rendimientos!A226,"")</f>
        <v>214</v>
      </c>
      <c r="AL226" s="122" t="n">
        <f aca="false">IF(AK226="","",Rendimientos!D226)</f>
        <v>61877.27</v>
      </c>
      <c r="AM226" s="44" t="n">
        <f aca="false">IF(AL226="","",LN(AL226))</f>
        <v>11.0329081860667</v>
      </c>
      <c r="AN226" s="44" t="n">
        <f aca="false">IF(AK226="",NA(),AK226)</f>
        <v>214</v>
      </c>
      <c r="AO226" s="122" t="n">
        <f aca="false">IF(AK226="",NA(),AL226)</f>
        <v>61877.27</v>
      </c>
      <c r="AQ226" s="55" t="n">
        <f aca="false">IF(ISNUMBER(Rendimientos!B226),Rendimientos!B226,NA())</f>
        <v>45977</v>
      </c>
      <c r="AR226" s="44" t="n">
        <f aca="false">IF(AND(ISNUMBER(Rendimientos!C226),ISNUMBER(Rendimientos!$C$13)),Rendimientos!C226/Rendimientos!$C$13*100,NA())</f>
        <v>113.96</v>
      </c>
      <c r="AS226" s="44" t="n">
        <f aca="false">IF(AND(ISNUMBER(Rendimientos!D226),ISNUMBER(Rendimientos!$D$13)),Rendimientos!D226/Rendimientos!$D$13*100,NA())</f>
        <v>119.24778462607</v>
      </c>
    </row>
    <row r="227" customFormat="false" ht="13.8" hidden="false" customHeight="false" outlineLevel="0" collapsed="false">
      <c r="AE227" s="44" t="n">
        <f aca="false">IF(ISNUMBER(Rendimientos!C227),Rendimientos!A227,"")</f>
        <v>215</v>
      </c>
      <c r="AF227" s="122" t="n">
        <f aca="false">IF(AE227="","",Rendimientos!C227)</f>
        <v>31.05</v>
      </c>
      <c r="AG227" s="44" t="n">
        <f aca="false">IF(AF227="","",LN(AF227))</f>
        <v>3.43559880837949</v>
      </c>
      <c r="AH227" s="44" t="n">
        <f aca="false">IF(AE227="",NA(),AE227)</f>
        <v>215</v>
      </c>
      <c r="AI227" s="122" t="n">
        <f aca="false">IF(AE227="",NA(),AF227)</f>
        <v>31.05</v>
      </c>
      <c r="AK227" s="44" t="n">
        <f aca="false">IF(ISNUMBER(Rendimientos!D227),Rendimientos!A227,"")</f>
        <v>215</v>
      </c>
      <c r="AL227" s="122" t="n">
        <f aca="false">IF(AK227="","",Rendimientos!D227)</f>
        <v>63596.78</v>
      </c>
      <c r="AM227" s="44" t="n">
        <f aca="false">IF(AL227="","",LN(AL227))</f>
        <v>11.0603181191157</v>
      </c>
      <c r="AN227" s="44" t="n">
        <f aca="false">IF(AK227="",NA(),AK227)</f>
        <v>215</v>
      </c>
      <c r="AO227" s="122" t="n">
        <f aca="false">IF(AK227="",NA(),AL227)</f>
        <v>63596.78</v>
      </c>
      <c r="AQ227" s="55" t="n">
        <f aca="false">IF(ISNUMBER(Rendimientos!B227),Rendimientos!B227,NA())</f>
        <v>45984</v>
      </c>
      <c r="AR227" s="44" t="n">
        <f aca="false">IF(AND(ISNUMBER(Rendimientos!C227),ISNUMBER(Rendimientos!$C$13)),Rendimientos!C227/Rendimientos!$C$13*100,NA())</f>
        <v>124.2</v>
      </c>
      <c r="AS227" s="44" t="n">
        <f aca="false">IF(AND(ISNUMBER(Rendimientos!D227),ISNUMBER(Rendimientos!$D$13)),Rendimientos!D227/Rendimientos!$D$13*100,NA())</f>
        <v>122.561566215697</v>
      </c>
    </row>
    <row r="228" customFormat="false" ht="13.8" hidden="false" customHeight="false" outlineLevel="0" collapsed="false">
      <c r="AE228" s="44" t="n">
        <f aca="false">IF(ISNUMBER(Rendimientos!C228),Rendimientos!A228,"")</f>
        <v>216</v>
      </c>
      <c r="AF228" s="122" t="n">
        <f aca="false">IF(AE228="","",Rendimientos!C228)</f>
        <v>29</v>
      </c>
      <c r="AG228" s="44" t="n">
        <f aca="false">IF(AF228="","",LN(AF228))</f>
        <v>3.36729582998647</v>
      </c>
      <c r="AH228" s="44" t="n">
        <f aca="false">IF(AE228="",NA(),AE228)</f>
        <v>216</v>
      </c>
      <c r="AI228" s="122" t="n">
        <f aca="false">IF(AE228="",NA(),AF228)</f>
        <v>29</v>
      </c>
      <c r="AK228" s="44" t="n">
        <f aca="false">IF(ISNUMBER(Rendimientos!D228),Rendimientos!A228,"")</f>
        <v>216</v>
      </c>
      <c r="AL228" s="122" t="n">
        <f aca="false">IF(AK228="","",Rendimientos!D228)</f>
        <v>63378.3</v>
      </c>
      <c r="AM228" s="44" t="n">
        <f aca="false">IF(AL228="","",LN(AL228))</f>
        <v>11.0568768105438</v>
      </c>
      <c r="AN228" s="44" t="n">
        <f aca="false">IF(AK228="",NA(),AK228)</f>
        <v>216</v>
      </c>
      <c r="AO228" s="122" t="n">
        <f aca="false">IF(AK228="",NA(),AL228)</f>
        <v>63378.3</v>
      </c>
      <c r="AQ228" s="55" t="n">
        <f aca="false">IF(ISNUMBER(Rendimientos!B228),Rendimientos!B228,NA())</f>
        <v>45991</v>
      </c>
      <c r="AR228" s="44" t="n">
        <f aca="false">IF(AND(ISNUMBER(Rendimientos!C228),ISNUMBER(Rendimientos!$C$13)),Rendimientos!C228/Rendimientos!$C$13*100,NA())</f>
        <v>116</v>
      </c>
      <c r="AS228" s="44" t="n">
        <f aca="false">IF(AND(ISNUMBER(Rendimientos!D228),ISNUMBER(Rendimientos!$D$13)),Rendimientos!D228/Rendimientos!$D$13*100,NA())</f>
        <v>122.140518939611</v>
      </c>
    </row>
    <row r="229" customFormat="false" ht="13.8" hidden="false" customHeight="false" outlineLevel="0" collapsed="false">
      <c r="AE229" s="44" t="n">
        <f aca="false">IF(ISNUMBER(Rendimientos!C229),Rendimientos!A229,"")</f>
        <v>217</v>
      </c>
      <c r="AF229" s="122" t="n">
        <f aca="false">IF(AE229="","",Rendimientos!C229)</f>
        <v>31.4</v>
      </c>
      <c r="AG229" s="44" t="n">
        <f aca="false">IF(AF229="","",LN(AF229))</f>
        <v>3.44680789291421</v>
      </c>
      <c r="AH229" s="44" t="n">
        <f aca="false">IF(AE229="",NA(),AE229)</f>
        <v>217</v>
      </c>
      <c r="AI229" s="122" t="n">
        <f aca="false">IF(AE229="",NA(),AF229)</f>
        <v>31.4</v>
      </c>
      <c r="AK229" s="44" t="n">
        <f aca="false">IF(ISNUMBER(Rendimientos!D229),Rendimientos!A229,"")</f>
        <v>217</v>
      </c>
      <c r="AL229" s="122" t="n">
        <f aca="false">IF(AK229="","",Rendimientos!D229)</f>
        <v>64712.07</v>
      </c>
      <c r="AM229" s="44" t="n">
        <f aca="false">IF(AL229="","",LN(AL229))</f>
        <v>11.0777030164131</v>
      </c>
      <c r="AN229" s="44" t="n">
        <f aca="false">IF(AK229="",NA(),AK229)</f>
        <v>217</v>
      </c>
      <c r="AO229" s="122" t="n">
        <f aca="false">IF(AK229="",NA(),AL229)</f>
        <v>64712.07</v>
      </c>
      <c r="AQ229" s="55" t="n">
        <f aca="false">IF(ISNUMBER(Rendimientos!B229),Rendimientos!B229,NA())</f>
        <v>45998</v>
      </c>
      <c r="AR229" s="44" t="n">
        <f aca="false">IF(AND(ISNUMBER(Rendimientos!C229),ISNUMBER(Rendimientos!$C$13)),Rendimientos!C229/Rendimientos!$C$13*100,NA())</f>
        <v>125.6</v>
      </c>
      <c r="AS229" s="44" t="n">
        <f aca="false">IF(AND(ISNUMBER(Rendimientos!D229),ISNUMBER(Rendimientos!$D$13)),Rendimientos!D229/Rendimientos!$D$13*100,NA())</f>
        <v>124.710915430936</v>
      </c>
    </row>
    <row r="230" customFormat="false" ht="13.8" hidden="false" customHeight="false" outlineLevel="0" collapsed="false">
      <c r="AE230" s="44" t="n">
        <f aca="false">IF(ISNUMBER(Rendimientos!C230),Rendimientos!A230,"")</f>
        <v>218</v>
      </c>
      <c r="AF230" s="122" t="n">
        <f aca="false">IF(AE230="","",Rendimientos!C230)</f>
        <v>39.16</v>
      </c>
      <c r="AG230" s="44" t="n">
        <f aca="false">IF(AF230="","",LN(AF230))</f>
        <v>3.66765581766231</v>
      </c>
      <c r="AH230" s="44" t="n">
        <f aca="false">IF(AE230="",NA(),AE230)</f>
        <v>218</v>
      </c>
      <c r="AI230" s="122" t="n">
        <f aca="false">IF(AE230="",NA(),AF230)</f>
        <v>39.16</v>
      </c>
      <c r="AK230" s="44" t="n">
        <f aca="false">IF(ISNUMBER(Rendimientos!D230),Rendimientos!A230,"")</f>
        <v>218</v>
      </c>
      <c r="AL230" s="122" t="n">
        <f aca="false">IF(AK230="","",Rendimientos!D230)</f>
        <v>63966.98</v>
      </c>
      <c r="AM230" s="44" t="n">
        <f aca="false">IF(AL230="","",LN(AL230))</f>
        <v>11.0661222917003</v>
      </c>
      <c r="AN230" s="44" t="n">
        <f aca="false">IF(AK230="",NA(),AK230)</f>
        <v>218</v>
      </c>
      <c r="AO230" s="122" t="n">
        <f aca="false">IF(AK230="",NA(),AL230)</f>
        <v>63966.98</v>
      </c>
      <c r="AQ230" s="55" t="n">
        <f aca="false">IF(ISNUMBER(Rendimientos!B230),Rendimientos!B230,NA())</f>
        <v>46005</v>
      </c>
      <c r="AR230" s="44" t="n">
        <f aca="false">IF(AND(ISNUMBER(Rendimientos!C230),ISNUMBER(Rendimientos!$C$13)),Rendimientos!C230/Rendimientos!$C$13*100,NA())</f>
        <v>156.64</v>
      </c>
      <c r="AS230" s="44" t="n">
        <f aca="false">IF(AND(ISNUMBER(Rendimientos!D230),ISNUMBER(Rendimientos!$D$13)),Rendimientos!D230/Rendimientos!$D$13*100,NA())</f>
        <v>123.275003150917</v>
      </c>
    </row>
    <row r="231" customFormat="false" ht="13.8" hidden="false" customHeight="false" outlineLevel="0" collapsed="false">
      <c r="AE231" s="44" t="n">
        <f aca="false">IF(ISNUMBER(Rendimientos!C231),Rendimientos!A231,"")</f>
        <v>219</v>
      </c>
      <c r="AF231" s="122" t="n">
        <f aca="false">IF(AE231="","",Rendimientos!C231)</f>
        <v>39.84</v>
      </c>
      <c r="AG231" s="44" t="n">
        <f aca="false">IF(AF231="","",LN(AF231))</f>
        <v>3.6848714327164</v>
      </c>
      <c r="AH231" s="44" t="n">
        <f aca="false">IF(AE231="",NA(),AE231)</f>
        <v>219</v>
      </c>
      <c r="AI231" s="122" t="n">
        <f aca="false">IF(AE231="",NA(),AF231)</f>
        <v>39.84</v>
      </c>
      <c r="AK231" s="44" t="n">
        <f aca="false">IF(ISNUMBER(Rendimientos!D231),Rendimientos!A231,"")</f>
        <v>219</v>
      </c>
      <c r="AL231" s="122" t="n">
        <f aca="false">IF(AK231="","",Rendimientos!D231)</f>
        <v>65636.36</v>
      </c>
      <c r="AM231" s="44" t="n">
        <f aca="false">IF(AL231="","",LN(AL231))</f>
        <v>11.0918850896749</v>
      </c>
      <c r="AN231" s="44" t="n">
        <f aca="false">IF(AK231="",NA(),AK231)</f>
        <v>219</v>
      </c>
      <c r="AO231" s="122" t="n">
        <f aca="false">IF(AK231="",NA(),AL231)</f>
        <v>65636.36</v>
      </c>
      <c r="AQ231" s="55" t="n">
        <f aca="false">IF(ISNUMBER(Rendimientos!B231),Rendimientos!B231,NA())</f>
        <v>46012</v>
      </c>
      <c r="AR231" s="44" t="n">
        <f aca="false">IF(AND(ISNUMBER(Rendimientos!C231),ISNUMBER(Rendimientos!$C$13)),Rendimientos!C231/Rendimientos!$C$13*100,NA())</f>
        <v>159.36</v>
      </c>
      <c r="AS231" s="44" t="n">
        <f aca="false">IF(AND(ISNUMBER(Rendimientos!D231),ISNUMBER(Rendimientos!$D$13)),Rendimientos!D231/Rendimientos!$D$13*100,NA())</f>
        <v>126.492175897857</v>
      </c>
    </row>
    <row r="232" customFormat="false" ht="13.8" hidden="false" customHeight="false" outlineLevel="0" collapsed="false">
      <c r="AE232" s="44" t="n">
        <f aca="false">IF(ISNUMBER(Rendimientos!C232),Rendimientos!A232,"")</f>
        <v>220</v>
      </c>
      <c r="AF232" s="122" t="n">
        <f aca="false">IF(AE232="","",Rendimientos!C232)</f>
        <v>41.8</v>
      </c>
      <c r="AG232" s="44" t="n">
        <f aca="false">IF(AF232="","",LN(AF232))</f>
        <v>3.73289633953071</v>
      </c>
      <c r="AH232" s="44" t="n">
        <f aca="false">IF(AE232="",NA(),AE232)</f>
        <v>220</v>
      </c>
      <c r="AI232" s="122" t="n">
        <f aca="false">IF(AE232="",NA(),AF232)</f>
        <v>41.8</v>
      </c>
      <c r="AK232" s="44" t="n">
        <f aca="false">IF(ISNUMBER(Rendimientos!D232),Rendimientos!A232,"")</f>
        <v>220</v>
      </c>
      <c r="AL232" s="122" t="n">
        <f aca="false">IF(AK232="","",Rendimientos!D232)</f>
        <v>64141.36</v>
      </c>
      <c r="AM232" s="44" t="n">
        <f aca="false">IF(AL232="","",LN(AL232))</f>
        <v>11.0688446766394</v>
      </c>
      <c r="AN232" s="44" t="n">
        <f aca="false">IF(AK232="",NA(),AK232)</f>
        <v>220</v>
      </c>
      <c r="AO232" s="122" t="n">
        <f aca="false">IF(AK232="",NA(),AL232)</f>
        <v>64141.36</v>
      </c>
      <c r="AQ232" s="55" t="n">
        <f aca="false">IF(ISNUMBER(Rendimientos!B232),Rendimientos!B232,NA())</f>
        <v>46019</v>
      </c>
      <c r="AR232" s="44" t="n">
        <f aca="false">IF(AND(ISNUMBER(Rendimientos!C232),ISNUMBER(Rendimientos!$C$13)),Rendimientos!C232/Rendimientos!$C$13*100,NA())</f>
        <v>167.2</v>
      </c>
      <c r="AS232" s="44" t="n">
        <f aca="false">IF(AND(ISNUMBER(Rendimientos!D232),ISNUMBER(Rendimientos!$D$13)),Rendimientos!D232/Rendimientos!$D$13*100,NA())</f>
        <v>123.611062396632</v>
      </c>
    </row>
    <row r="233" customFormat="false" ht="13.8" hidden="false" customHeight="false" outlineLevel="0" collapsed="false">
      <c r="AE233" s="44" t="n">
        <f aca="false">IF(ISNUMBER(Rendimientos!C233),Rendimientos!A233,"")</f>
        <v>221</v>
      </c>
      <c r="AF233" s="122" t="n">
        <f aca="false">IF(AE233="","",Rendimientos!C233)</f>
        <v>37.17</v>
      </c>
      <c r="AG233" s="44" t="n">
        <f aca="false">IF(AF233="","",LN(AF233))</f>
        <v>3.61550198430916</v>
      </c>
      <c r="AH233" s="44" t="n">
        <f aca="false">IF(AE233="",NA(),AE233)</f>
        <v>221</v>
      </c>
      <c r="AI233" s="122" t="n">
        <f aca="false">IF(AE233="",NA(),AF233)</f>
        <v>37.17</v>
      </c>
      <c r="AK233" s="44" t="n">
        <f aca="false">IF(ISNUMBER(Rendimientos!D233),Rendimientos!A233,"")</f>
        <v>221</v>
      </c>
      <c r="AL233" s="122" t="n">
        <f aca="false">IF(AK233="","",Rendimientos!D233)</f>
        <v>66062.62</v>
      </c>
      <c r="AM233" s="44" t="n">
        <f aca="false">IF(AL233="","",LN(AL233))</f>
        <v>11.0983583590726</v>
      </c>
      <c r="AN233" s="44" t="n">
        <f aca="false">IF(AK233="",NA(),AK233)</f>
        <v>221</v>
      </c>
      <c r="AO233" s="122" t="n">
        <f aca="false">IF(AK233="",NA(),AL233)</f>
        <v>66062.62</v>
      </c>
      <c r="AQ233" s="55" t="n">
        <f aca="false">IF(ISNUMBER(Rendimientos!B233),Rendimientos!B233,NA())</f>
        <v>46026</v>
      </c>
      <c r="AR233" s="44" t="n">
        <f aca="false">IF(AND(ISNUMBER(Rendimientos!C233),ISNUMBER(Rendimientos!$C$13)),Rendimientos!C233/Rendimientos!$C$13*100,NA())</f>
        <v>148.68</v>
      </c>
      <c r="AS233" s="44" t="n">
        <f aca="false">IF(AND(ISNUMBER(Rendimientos!D233),ISNUMBER(Rendimientos!$D$13)),Rendimientos!D233/Rendimientos!$D$13*100,NA())</f>
        <v>127.313649771457</v>
      </c>
    </row>
    <row r="234" customFormat="false" ht="13.8" hidden="false" customHeight="false" outlineLevel="0" collapsed="false">
      <c r="AE234" s="44" t="n">
        <f aca="false">IF(ISNUMBER(Rendimientos!C234),Rendimientos!A234,"")</f>
        <v>222</v>
      </c>
      <c r="AF234" s="122" t="n">
        <f aca="false">IF(AE234="","",Rendimientos!C234)</f>
        <v>35.36</v>
      </c>
      <c r="AG234" s="44" t="n">
        <f aca="false">IF(AF234="","",LN(AF234))</f>
        <v>3.56558123776944</v>
      </c>
      <c r="AH234" s="44" t="n">
        <f aca="false">IF(AE234="",NA(),AE234)</f>
        <v>222</v>
      </c>
      <c r="AI234" s="122" t="n">
        <f aca="false">IF(AE234="",NA(),AF234)</f>
        <v>35.36</v>
      </c>
      <c r="AK234" s="44" t="n">
        <f aca="false">IF(ISNUMBER(Rendimientos!D234),Rendimientos!A234,"")</f>
        <v>222</v>
      </c>
      <c r="AL234" s="122" t="n">
        <f aca="false">IF(AK234="","",Rendimientos!D234)</f>
        <v>67141.11</v>
      </c>
      <c r="AM234" s="44" t="n">
        <f aca="false">IF(AL234="","",LN(AL234))</f>
        <v>11.1145518030158</v>
      </c>
      <c r="AN234" s="44" t="n">
        <f aca="false">IF(AK234="",NA(),AK234)</f>
        <v>222</v>
      </c>
      <c r="AO234" s="122" t="n">
        <f aca="false">IF(AK234="",NA(),AL234)</f>
        <v>67141.11</v>
      </c>
      <c r="AQ234" s="55" t="n">
        <f aca="false">IF(ISNUMBER(Rendimientos!B234),Rendimientos!B234,NA())</f>
        <v>46033</v>
      </c>
      <c r="AR234" s="44" t="n">
        <f aca="false">IF(AND(ISNUMBER(Rendimientos!C234),ISNUMBER(Rendimientos!$C$13)),Rendimientos!C234/Rendimientos!$C$13*100,NA())</f>
        <v>141.44</v>
      </c>
      <c r="AS234" s="44" t="n">
        <f aca="false">IF(AND(ISNUMBER(Rendimientos!D234),ISNUMBER(Rendimientos!$D$13)),Rendimientos!D234/Rendimientos!$D$13*100,NA())</f>
        <v>129.392079269743</v>
      </c>
    </row>
    <row r="235" customFormat="false" ht="13.8" hidden="false" customHeight="false" outlineLevel="0" collapsed="false">
      <c r="AE235" s="44" t="n">
        <f aca="false">IF(ISNUMBER(Rendimientos!C235),Rendimientos!A235,"")</f>
        <v>223</v>
      </c>
      <c r="AF235" s="122" t="n">
        <f aca="false">IF(AE235="","",Rendimientos!C235)</f>
        <v>34</v>
      </c>
      <c r="AG235" s="44" t="n">
        <f aca="false">IF(AF235="","",LN(AF235))</f>
        <v>3.52636052461616</v>
      </c>
      <c r="AH235" s="44" t="n">
        <f aca="false">IF(AE235="",NA(),AE235)</f>
        <v>223</v>
      </c>
      <c r="AI235" s="122" t="n">
        <f aca="false">IF(AE235="",NA(),AF235)</f>
        <v>34</v>
      </c>
      <c r="AK235" s="44" t="n">
        <f aca="false">IF(ISNUMBER(Rendimientos!D235),Rendimientos!A235,"")</f>
        <v>223</v>
      </c>
      <c r="AL235" s="122" t="n">
        <f aca="false">IF(AK235="","",Rendimientos!D235)</f>
        <v>68195.15</v>
      </c>
      <c r="AM235" s="44" t="n">
        <f aca="false">IF(AL235="","",LN(AL235))</f>
        <v>11.1301287269333</v>
      </c>
      <c r="AN235" s="44" t="n">
        <f aca="false">IF(AK235="",NA(),AK235)</f>
        <v>223</v>
      </c>
      <c r="AO235" s="122" t="n">
        <f aca="false">IF(AK235="",NA(),AL235)</f>
        <v>68195.15</v>
      </c>
      <c r="AQ235" s="55" t="n">
        <f aca="false">IF(ISNUMBER(Rendimientos!B235),Rendimientos!B235,NA())</f>
        <v>46040</v>
      </c>
      <c r="AR235" s="44" t="n">
        <f aca="false">IF(AND(ISNUMBER(Rendimientos!C235),ISNUMBER(Rendimientos!$C$13)),Rendimientos!C235/Rendimientos!$C$13*100,NA())</f>
        <v>136</v>
      </c>
      <c r="AS235" s="44" t="n">
        <f aca="false">IF(AND(ISNUMBER(Rendimientos!D235),ISNUMBER(Rendimientos!$D$13)),Rendimientos!D235/Rendimientos!$D$13*100,NA())</f>
        <v>131.423389553911</v>
      </c>
    </row>
    <row r="236" customFormat="false" ht="13.8" hidden="false" customHeight="false" outlineLevel="0" collapsed="false">
      <c r="AE236" s="44" t="n">
        <f aca="false">IF(ISNUMBER(Rendimientos!C236),Rendimientos!A236,"")</f>
        <v>224</v>
      </c>
      <c r="AF236" s="122" t="n">
        <f aca="false">IF(AE236="","",Rendimientos!C236)</f>
        <v>35.8</v>
      </c>
      <c r="AG236" s="44" t="n">
        <f aca="false">IF(AF236="","",LN(AF236))</f>
        <v>3.57794789340665</v>
      </c>
      <c r="AH236" s="44" t="n">
        <f aca="false">IF(AE236="",NA(),AE236)</f>
        <v>224</v>
      </c>
      <c r="AI236" s="122" t="n">
        <f aca="false">IF(AE236="",NA(),AF236)</f>
        <v>35.8</v>
      </c>
      <c r="AK236" s="44" t="n">
        <f aca="false">IF(ISNUMBER(Rendimientos!D236),Rendimientos!A236,"")</f>
        <v>224</v>
      </c>
      <c r="AL236" s="122" t="n">
        <f aca="false">IF(AK236="","",Rendimientos!D236)</f>
        <v>67598.95</v>
      </c>
      <c r="AM236" s="44" t="n">
        <f aca="false">IF(AL236="","",LN(AL236))</f>
        <v>11.121347729366</v>
      </c>
      <c r="AN236" s="44" t="n">
        <f aca="false">IF(AK236="",NA(),AK236)</f>
        <v>224</v>
      </c>
      <c r="AO236" s="122" t="n">
        <f aca="false">IF(AK236="",NA(),AL236)</f>
        <v>67598.95</v>
      </c>
      <c r="AQ236" s="55" t="n">
        <f aca="false">IF(ISNUMBER(Rendimientos!B236),Rendimientos!B236,NA())</f>
        <v>46047</v>
      </c>
      <c r="AR236" s="44" t="n">
        <f aca="false">IF(AND(ISNUMBER(Rendimientos!C236),ISNUMBER(Rendimientos!$C$13)),Rendimientos!C236/Rendimientos!$C$13*100,NA())</f>
        <v>143.2</v>
      </c>
      <c r="AS236" s="44" t="n">
        <f aca="false">IF(AND(ISNUMBER(Rendimientos!D236),ISNUMBER(Rendimientos!$D$13)),Rendimientos!D236/Rendimientos!$D$13*100,NA())</f>
        <v>130.27441305262</v>
      </c>
    </row>
    <row r="237" customFormat="false" ht="13.8" hidden="false" customHeight="false" outlineLevel="0" collapsed="false">
      <c r="AE237" s="44" t="n">
        <f aca="false">IF(ISNUMBER(Rendimientos!C237),Rendimientos!A237,"")</f>
        <v>225</v>
      </c>
      <c r="AF237" s="122" t="n">
        <f aca="false">IF(AE237="","",Rendimientos!C237)</f>
        <v>36</v>
      </c>
      <c r="AG237" s="44" t="n">
        <f aca="false">IF(AF237="","",LN(AF237))</f>
        <v>3.58351893845611</v>
      </c>
      <c r="AH237" s="44" t="n">
        <f aca="false">IF(AE237="",NA(),AE237)</f>
        <v>225</v>
      </c>
      <c r="AI237" s="122" t="n">
        <f aca="false">IF(AE237="",NA(),AF237)</f>
        <v>36</v>
      </c>
      <c r="AK237" s="44" t="n">
        <f aca="false">IF(ISNUMBER(Rendimientos!D237),Rendimientos!A237,"")</f>
        <v>225</v>
      </c>
      <c r="AL237" s="122" t="n">
        <f aca="false">IF(AK237="","",Rendimientos!D237)</f>
        <v>70809.57</v>
      </c>
      <c r="AM237" s="44" t="n">
        <f aca="false">IF(AL237="","",LN(AL237))</f>
        <v>11.1677494400388</v>
      </c>
      <c r="AN237" s="44" t="n">
        <f aca="false">IF(AK237="",NA(),AK237)</f>
        <v>225</v>
      </c>
      <c r="AO237" s="122" t="n">
        <f aca="false">IF(AK237="",NA(),AL237)</f>
        <v>70809.57</v>
      </c>
      <c r="AQ237" s="55" t="n">
        <f aca="false">IF(ISNUMBER(Rendimientos!B237),Rendimientos!B237,NA())</f>
        <v>46054</v>
      </c>
      <c r="AR237" s="44" t="n">
        <f aca="false">IF(AND(ISNUMBER(Rendimientos!C237),ISNUMBER(Rendimientos!$C$13)),Rendimientos!C237/Rendimientos!$C$13*100,NA())</f>
        <v>144</v>
      </c>
      <c r="AS237" s="44" t="n">
        <f aca="false">IF(AND(ISNUMBER(Rendimientos!D237),ISNUMBER(Rendimientos!$D$13)),Rendimientos!D237/Rendimientos!$D$13*100,NA())</f>
        <v>136.46181146687</v>
      </c>
    </row>
    <row r="238" customFormat="false" ht="13.8" hidden="false" customHeight="false" outlineLevel="0" collapsed="false">
      <c r="AE238" s="44" t="n">
        <f aca="false">IF(ISNUMBER(Rendimientos!C238),Rendimientos!A238,"")</f>
        <v>226</v>
      </c>
      <c r="AF238" s="122" t="n">
        <f aca="false">IF(AE238="","",Rendimientos!C238)</f>
        <v>38</v>
      </c>
      <c r="AG238" s="44" t="n">
        <f aca="false">IF(AF238="","",LN(AF238))</f>
        <v>3.63758615972639</v>
      </c>
      <c r="AH238" s="44" t="n">
        <f aca="false">IF(AE238="",NA(),AE238)</f>
        <v>226</v>
      </c>
      <c r="AI238" s="122" t="n">
        <f aca="false">IF(AE238="",NA(),AF238)</f>
        <v>38</v>
      </c>
      <c r="AK238" s="44" t="n">
        <f aca="false">IF(ISNUMBER(Rendimientos!D238),Rendimientos!A238,"")</f>
        <v>226</v>
      </c>
      <c r="AL238" s="122" t="n">
        <f aca="false">IF(AK238="","",Rendimientos!D238)</f>
        <v>71478.81</v>
      </c>
      <c r="AM238" s="44" t="n">
        <f aca="false">IF(AL238="","",LN(AL238))</f>
        <v>11.1771563211214</v>
      </c>
      <c r="AN238" s="44" t="n">
        <f aca="false">IF(AK238="",NA(),AK238)</f>
        <v>226</v>
      </c>
      <c r="AO238" s="122" t="n">
        <f aca="false">IF(AK238="",NA(),AL238)</f>
        <v>71478.81</v>
      </c>
      <c r="AQ238" s="55" t="n">
        <f aca="false">IF(ISNUMBER(Rendimientos!B238),Rendimientos!B238,NA())</f>
        <v>46061</v>
      </c>
      <c r="AR238" s="44" t="n">
        <f aca="false">IF(AND(ISNUMBER(Rendimientos!C238),ISNUMBER(Rendimientos!$C$13)),Rendimientos!C238/Rendimientos!$C$13*100,NA())</f>
        <v>152</v>
      </c>
      <c r="AS238" s="44" t="n">
        <f aca="false">IF(AND(ISNUMBER(Rendimientos!D238),ISNUMBER(Rendimientos!$D$13)),Rendimientos!D238/Rendimientos!$D$13*100,NA())</f>
        <v>137.751548188984</v>
      </c>
    </row>
    <row r="239" customFormat="false" ht="13.8" hidden="false" customHeight="false" outlineLevel="0" collapsed="false">
      <c r="AE239" s="44" t="n">
        <f aca="false">IF(ISNUMBER(Rendimientos!C239),Rendimientos!A239,"")</f>
        <v>227</v>
      </c>
      <c r="AF239" s="122" t="n">
        <f aca="false">IF(AE239="","",Rendimientos!C239)</f>
        <v>37</v>
      </c>
      <c r="AG239" s="44" t="n">
        <f aca="false">IF(AF239="","",LN(AF239))</f>
        <v>3.61091791264422</v>
      </c>
      <c r="AH239" s="44" t="n">
        <f aca="false">IF(AE239="",NA(),AE239)</f>
        <v>227</v>
      </c>
      <c r="AI239" s="122" t="n">
        <f aca="false">IF(AE239="",NA(),AF239)</f>
        <v>37</v>
      </c>
      <c r="AK239" s="44" t="n">
        <f aca="false">IF(ISNUMBER(Rendimientos!D239),Rendimientos!A239,"")</f>
        <v>227</v>
      </c>
      <c r="AL239" s="122" t="n">
        <f aca="false">IF(AK239="","",Rendimientos!D239)</f>
        <v>71436.55</v>
      </c>
      <c r="AM239" s="44" t="n">
        <f aca="false">IF(AL239="","",LN(AL239))</f>
        <v>11.176564922111</v>
      </c>
      <c r="AN239" s="44" t="n">
        <f aca="false">IF(AK239="",NA(),AK239)</f>
        <v>227</v>
      </c>
      <c r="AO239" s="122" t="n">
        <f aca="false">IF(AK239="",NA(),AL239)</f>
        <v>71436.55</v>
      </c>
      <c r="AQ239" s="55" t="n">
        <f aca="false">IF(ISNUMBER(Rendimientos!B239),Rendimientos!B239,NA())</f>
        <v>46068</v>
      </c>
      <c r="AR239" s="44" t="n">
        <f aca="false">IF(AND(ISNUMBER(Rendimientos!C239),ISNUMBER(Rendimientos!$C$13)),Rendimientos!C239/Rendimientos!$C$13*100,NA())</f>
        <v>148</v>
      </c>
      <c r="AS239" s="44" t="n">
        <f aca="false">IF(AND(ISNUMBER(Rendimientos!D239),ISNUMBER(Rendimientos!$D$13)),Rendimientos!D239/Rendimientos!$D$13*100,NA())</f>
        <v>137.670106144461</v>
      </c>
    </row>
    <row r="240" customFormat="false" ht="13.8" hidden="false" customHeight="false" outlineLevel="0" collapsed="false">
      <c r="AE240" s="44" t="n">
        <f aca="false">IF(ISNUMBER(Rendimientos!C240),Rendimientos!A240,"")</f>
        <v>228</v>
      </c>
      <c r="AF240" s="122" t="n">
        <f aca="false">IF(AE240="","",Rendimientos!C240)</f>
        <v>37.12</v>
      </c>
      <c r="AG240" s="44" t="n">
        <f aca="false">IF(AF240="","",LN(AF240))</f>
        <v>3.614155907918</v>
      </c>
      <c r="AH240" s="44" t="n">
        <f aca="false">IF(AE240="",NA(),AE240)</f>
        <v>228</v>
      </c>
      <c r="AI240" s="122" t="n">
        <f aca="false">IF(AE240="",NA(),AF240)</f>
        <v>37.12</v>
      </c>
      <c r="AK240" s="44" t="n">
        <f aca="false">IF(ISNUMBER(Rendimientos!D240),Rendimientos!A240,"")</f>
        <v>228</v>
      </c>
      <c r="AL240" s="122" t="n">
        <f aca="false">IF(AK240="","",Rendimientos!D240)</f>
        <v>71405.77</v>
      </c>
      <c r="AM240" s="44" t="n">
        <f aca="false">IF(AL240="","",LN(AL240))</f>
        <v>11.1761339573875</v>
      </c>
      <c r="AN240" s="44" t="n">
        <f aca="false">IF(AK240="",NA(),AK240)</f>
        <v>228</v>
      </c>
      <c r="AO240" s="122" t="n">
        <f aca="false">IF(AK240="",NA(),AL240)</f>
        <v>71405.77</v>
      </c>
      <c r="AQ240" s="55" t="n">
        <f aca="false">IF(ISNUMBER(Rendimientos!B240),Rendimientos!B240,NA())</f>
        <v>46075</v>
      </c>
      <c r="AR240" s="44" t="n">
        <f aca="false">IF(AND(ISNUMBER(Rendimientos!C240),ISNUMBER(Rendimientos!$C$13)),Rendimientos!C240/Rendimientos!$C$13*100,NA())</f>
        <v>148.48</v>
      </c>
      <c r="AS240" s="44" t="n">
        <f aca="false">IF(AND(ISNUMBER(Rendimientos!D240),ISNUMBER(Rendimientos!$D$13)),Rendimientos!D240/Rendimientos!$D$13*100,NA())</f>
        <v>137.610787968162</v>
      </c>
    </row>
    <row r="241" customFormat="false" ht="13.8" hidden="false" customHeight="false" outlineLevel="0" collapsed="false">
      <c r="AE241" s="44" t="n">
        <f aca="false">IF(ISNUMBER(Rendimientos!C241),Rendimientos!A241,"")</f>
        <v>229</v>
      </c>
      <c r="AF241" s="122" t="n">
        <f aca="false">IF(AE241="","",Rendimientos!C241)</f>
        <v>36.5</v>
      </c>
      <c r="AG241" s="44" t="n">
        <f aca="false">IF(AF241="","",LN(AF241))</f>
        <v>3.59731226058845</v>
      </c>
      <c r="AH241" s="44" t="n">
        <f aca="false">IF(AE241="",NA(),AE241)</f>
        <v>229</v>
      </c>
      <c r="AI241" s="122" t="n">
        <f aca="false">IF(AE241="",NA(),AF241)</f>
        <v>36.5</v>
      </c>
      <c r="AK241" s="44" t="n">
        <f aca="false">IF(ISNUMBER(Rendimientos!D241),Rendimientos!A241,"")</f>
        <v>229</v>
      </c>
      <c r="AL241" s="122" t="n">
        <f aca="false">IF(AK241="","",Rendimientos!D241)</f>
        <v>67313.5</v>
      </c>
      <c r="AM241" s="44" t="n">
        <f aca="false">IF(AL241="","",LN(AL241))</f>
        <v>11.1171160898701</v>
      </c>
      <c r="AN241" s="44" t="n">
        <f aca="false">IF(AK241="",NA(),AK241)</f>
        <v>229</v>
      </c>
      <c r="AO241" s="122" t="n">
        <f aca="false">IF(AK241="",NA(),AL241)</f>
        <v>67313.5</v>
      </c>
      <c r="AQ241" s="55" t="n">
        <f aca="false">IF(ISNUMBER(Rendimientos!B241),Rendimientos!B241,NA())</f>
        <v>46082</v>
      </c>
      <c r="AR241" s="44" t="n">
        <f aca="false">IF(AND(ISNUMBER(Rendimientos!C241),ISNUMBER(Rendimientos!$C$13)),Rendimientos!C241/Rendimientos!$C$13*100,NA())</f>
        <v>146</v>
      </c>
      <c r="AS241" s="44" t="n">
        <f aca="false">IF(AND(ISNUMBER(Rendimientos!D241),ISNUMBER(Rendimientos!$D$13)),Rendimientos!D241/Rendimientos!$D$13*100,NA())</f>
        <v>129.724303454677</v>
      </c>
    </row>
    <row r="242" customFormat="false" ht="13.8" hidden="false" customHeight="false" outlineLevel="0" collapsed="false">
      <c r="AE242" s="44" t="n">
        <f aca="false">IF(ISNUMBER(Rendimientos!C242),Rendimientos!A242,"")</f>
        <v>230</v>
      </c>
      <c r="AF242" s="122" t="n">
        <f aca="false">IF(AE242="","",Rendimientos!C242)</f>
        <v>33.5</v>
      </c>
      <c r="AG242" s="44" t="n">
        <f aca="false">IF(AF242="","",LN(AF242))</f>
        <v>3.51154543883102</v>
      </c>
      <c r="AH242" s="44" t="n">
        <f aca="false">IF(AE242="",NA(),AE242)</f>
        <v>230</v>
      </c>
      <c r="AI242" s="122" t="n">
        <f aca="false">IF(AE242="",NA(),AF242)</f>
        <v>33.5</v>
      </c>
      <c r="AK242" s="44" t="n">
        <f aca="false">IF(ISNUMBER(Rendimientos!D242),Rendimientos!A242,"")</f>
        <v>230</v>
      </c>
      <c r="AL242" s="122" t="n">
        <f aca="false">IF(AK242="","",Rendimientos!D242)</f>
        <v>65648.91</v>
      </c>
      <c r="AM242" s="44" t="n">
        <f aca="false">IF(AL242="","",LN(AL242))</f>
        <v>11.0920762763943</v>
      </c>
      <c r="AN242" s="44" t="n">
        <f aca="false">IF(AK242="",NA(),AK242)</f>
        <v>230</v>
      </c>
      <c r="AO242" s="122" t="n">
        <f aca="false">IF(AK242="",NA(),AL242)</f>
        <v>65648.91</v>
      </c>
      <c r="AQ242" s="55" t="n">
        <f aca="false">IF(ISNUMBER(Rendimientos!B242),Rendimientos!B242,NA())</f>
        <v>46089</v>
      </c>
      <c r="AR242" s="44" t="n">
        <f aca="false">IF(AND(ISNUMBER(Rendimientos!C242),ISNUMBER(Rendimientos!$C$13)),Rendimientos!C242/Rendimientos!$C$13*100,NA())</f>
        <v>134</v>
      </c>
      <c r="AS242" s="44" t="n">
        <f aca="false">IF(AND(ISNUMBER(Rendimientos!D242),ISNUMBER(Rendimientos!$D$13)),Rendimientos!D242/Rendimientos!$D$13*100,NA())</f>
        <v>126.516361833938</v>
      </c>
    </row>
    <row r="243" customFormat="false" ht="13.8" hidden="false" customHeight="false" outlineLevel="0" collapsed="false">
      <c r="AE243" s="44" t="n">
        <f aca="false">IF(ISNUMBER(Rendimientos!C243),Rendimientos!A243,"")</f>
        <v>231</v>
      </c>
      <c r="AF243" s="122" t="n">
        <f aca="false">IF(AE243="","",Rendimientos!C243)</f>
        <v>32.96</v>
      </c>
      <c r="AG243" s="44" t="n">
        <f aca="false">IF(AF243="","",LN(AF243))</f>
        <v>3.49529470504127</v>
      </c>
      <c r="AH243" s="44" t="n">
        <f aca="false">IF(AE243="",NA(),AE243)</f>
        <v>231</v>
      </c>
      <c r="AI243" s="122" t="n">
        <f aca="false">IF(AE243="",NA(),AF243)</f>
        <v>32.96</v>
      </c>
      <c r="AK243" s="44" t="n">
        <f aca="false">IF(ISNUMBER(Rendimientos!D243),Rendimientos!A243,"")</f>
        <v>231</v>
      </c>
      <c r="AL243" s="122" t="n">
        <f aca="false">IF(AK243="","",Rendimientos!D243)</f>
        <v>64134.9</v>
      </c>
      <c r="AM243" s="44" t="n">
        <f aca="false">IF(AL243="","",LN(AL243))</f>
        <v>11.0687439565217</v>
      </c>
      <c r="AN243" s="44" t="n">
        <f aca="false">IF(AK243="",NA(),AK243)</f>
        <v>231</v>
      </c>
      <c r="AO243" s="122" t="n">
        <f aca="false">IF(AK243="",NA(),AL243)</f>
        <v>64134.9</v>
      </c>
      <c r="AQ243" s="55" t="n">
        <f aca="false">IF(ISNUMBER(Rendimientos!B243),Rendimientos!B243,NA())</f>
        <v>46096</v>
      </c>
      <c r="AR243" s="44" t="n">
        <f aca="false">IF(AND(ISNUMBER(Rendimientos!C243),ISNUMBER(Rendimientos!$C$13)),Rendimientos!C243/Rendimientos!$C$13*100,NA())</f>
        <v>131.84</v>
      </c>
      <c r="AS243" s="44" t="n">
        <f aca="false">IF(AND(ISNUMBER(Rendimientos!D243),ISNUMBER(Rendimientos!$D$13)),Rendimientos!D243/Rendimientos!$D$13*100,NA())</f>
        <v>123.59861290284</v>
      </c>
    </row>
    <row r="244" customFormat="false" ht="13.8" hidden="false" customHeight="false" outlineLevel="0" collapsed="false">
      <c r="AE244" s="44" t="n">
        <f aca="false">IF(ISNUMBER(Rendimientos!C244),Rendimientos!A244,"")</f>
        <v>232</v>
      </c>
      <c r="AF244" s="122" t="n">
        <f aca="false">IF(AE244="","",Rendimientos!C244)</f>
        <v>34.2</v>
      </c>
      <c r="AG244" s="44" t="n">
        <f aca="false">IF(AF244="","",LN(AF244))</f>
        <v>3.53222564406856</v>
      </c>
      <c r="AH244" s="44" t="n">
        <f aca="false">IF(AE244="",NA(),AE244)</f>
        <v>232</v>
      </c>
      <c r="AI244" s="122" t="n">
        <f aca="false">IF(AE244="",NA(),AF244)</f>
        <v>34.2</v>
      </c>
      <c r="AK244" s="44" t="n">
        <f aca="false">IF(ISNUMBER(Rendimientos!D244),Rendimientos!A244,"")</f>
        <v>232</v>
      </c>
      <c r="AL244" s="122" t="n">
        <f aca="false">IF(AK244="","",Rendimientos!D244)</f>
        <v>66685.76</v>
      </c>
      <c r="AM244" s="44" t="n">
        <f aca="false">IF(AL244="","",LN(AL244))</f>
        <v>11.1077467158574</v>
      </c>
      <c r="AN244" s="44" t="n">
        <f aca="false">IF(AK244="",NA(),AK244)</f>
        <v>232</v>
      </c>
      <c r="AO244" s="122" t="n">
        <f aca="false">IF(AK244="",NA(),AL244)</f>
        <v>66685.76</v>
      </c>
      <c r="AQ244" s="55" t="n">
        <f aca="false">IF(ISNUMBER(Rendimientos!B244),Rendimientos!B244,NA())</f>
        <v>46103</v>
      </c>
      <c r="AR244" s="44" t="n">
        <f aca="false">IF(AND(ISNUMBER(Rendimientos!C244),ISNUMBER(Rendimientos!$C$13)),Rendimientos!C244/Rendimientos!$C$13*100,NA())</f>
        <v>136.8</v>
      </c>
      <c r="AS244" s="44" t="n">
        <f aca="false">IF(AND(ISNUMBER(Rendimientos!D244),ISNUMBER(Rendimientos!$D$13)),Rendimientos!D244/Rendimientos!$D$13*100,NA())</f>
        <v>128.514544130757</v>
      </c>
    </row>
    <row r="245" customFormat="false" ht="13.8" hidden="false" customHeight="false" outlineLevel="0" collapsed="false">
      <c r="AE245" s="44" t="n">
        <f aca="false">IF(ISNUMBER(Rendimientos!C245),Rendimientos!A245,"")</f>
        <v>233</v>
      </c>
      <c r="AF245" s="122" t="n">
        <f aca="false">IF(AE245="","",Rendimientos!C245)</f>
        <v>36.15</v>
      </c>
      <c r="AG245" s="44" t="n">
        <f aca="false">IF(AF245="","",LN(AF245))</f>
        <v>3.58767694860477</v>
      </c>
      <c r="AH245" s="44" t="n">
        <f aca="false">IF(AE245="",NA(),AE245)</f>
        <v>233</v>
      </c>
      <c r="AI245" s="122" t="n">
        <f aca="false">IF(AE245="",NA(),AF245)</f>
        <v>36.15</v>
      </c>
      <c r="AK245" s="44" t="n">
        <f aca="false">IF(ISNUMBER(Rendimientos!D245),Rendimientos!A245,"")</f>
        <v>233</v>
      </c>
      <c r="AL245" s="122" t="n">
        <f aca="false">IF(AK245="","",Rendimientos!D245)</f>
        <v>69702.02</v>
      </c>
      <c r="AM245" s="44" t="n">
        <f aca="false">IF(AL245="","",LN(AL245))</f>
        <v>11.1519845776773</v>
      </c>
      <c r="AN245" s="44" t="n">
        <f aca="false">IF(AK245="",NA(),AK245)</f>
        <v>233</v>
      </c>
      <c r="AO245" s="122" t="n">
        <f aca="false">IF(AK245="",NA(),AL245)</f>
        <v>69702.02</v>
      </c>
      <c r="AQ245" s="55" t="n">
        <f aca="false">IF(ISNUMBER(Rendimientos!B245),Rendimientos!B245,NA())</f>
        <v>46110</v>
      </c>
      <c r="AR245" s="44" t="n">
        <f aca="false">IF(AND(ISNUMBER(Rendimientos!C245),ISNUMBER(Rendimientos!$C$13)),Rendimientos!C245/Rendimientos!$C$13*100,NA())</f>
        <v>144.6</v>
      </c>
      <c r="AS245" s="44" t="n">
        <f aca="false">IF(AND(ISNUMBER(Rendimientos!D245),ISNUMBER(Rendimientos!$D$13)),Rendimientos!D245/Rendimientos!$D$13*100,NA())</f>
        <v>134.327378518187</v>
      </c>
    </row>
    <row r="246" customFormat="false" ht="13.8" hidden="false" customHeight="false" outlineLevel="0" collapsed="false">
      <c r="AE246" s="44" t="n">
        <f aca="false">IF(ISNUMBER(Rendimientos!C246),Rendimientos!A246,"")</f>
        <v>234</v>
      </c>
      <c r="AF246" s="122" t="n">
        <f aca="false">IF(AE246="","",Rendimientos!C246)</f>
        <v>34.93</v>
      </c>
      <c r="AG246" s="44" t="n">
        <f aca="false">IF(AF246="","",LN(AF246))</f>
        <v>3.55334605881874</v>
      </c>
      <c r="AH246" s="44" t="n">
        <f aca="false">IF(AE246="",NA(),AE246)</f>
        <v>234</v>
      </c>
      <c r="AI246" s="122" t="n">
        <f aca="false">IF(AE246="",NA(),AF246)</f>
        <v>34.93</v>
      </c>
      <c r="AK246" s="44" t="n">
        <f aca="false">IF(ISNUMBER(Rendimientos!D246),Rendimientos!A246,"")</f>
        <v>234</v>
      </c>
      <c r="AL246" s="122" t="n">
        <f aca="false">IF(AK246="","",Rendimientos!D246)</f>
        <v>70023.39</v>
      </c>
      <c r="AM246" s="44" t="n">
        <f aca="false">IF(AL246="","",LN(AL246))</f>
        <v>11.1565846080753</v>
      </c>
      <c r="AN246" s="44" t="n">
        <f aca="false">IF(AK246="",NA(),AK246)</f>
        <v>234</v>
      </c>
      <c r="AO246" s="122" t="n">
        <f aca="false">IF(AK246="",NA(),AL246)</f>
        <v>70023.39</v>
      </c>
      <c r="AQ246" s="55" t="n">
        <f aca="false">IF(ISNUMBER(Rendimientos!B246),Rendimientos!B246,NA())</f>
        <v>46117</v>
      </c>
      <c r="AR246" s="44" t="n">
        <f aca="false">IF(AND(ISNUMBER(Rendimientos!C246),ISNUMBER(Rendimientos!$C$13)),Rendimientos!C246/Rendimientos!$C$13*100,NA())</f>
        <v>139.72</v>
      </c>
      <c r="AS246" s="44" t="n">
        <f aca="false">IF(AND(ISNUMBER(Rendimientos!D246),ISNUMBER(Rendimientos!$D$13)),Rendimientos!D246/Rendimientos!$D$13*100,NA())</f>
        <v>134.946711926808</v>
      </c>
    </row>
    <row r="247" customFormat="false" ht="13.8" hidden="false" customHeight="false" outlineLevel="0" collapsed="false">
      <c r="AE247" s="44" t="n">
        <f aca="false">IF(ISNUMBER(Rendimientos!C247),Rendimientos!A247,"")</f>
        <v>235</v>
      </c>
      <c r="AF247" s="122" t="n">
        <f aca="false">IF(AE247="","",Rendimientos!C247)</f>
        <v>33.38</v>
      </c>
      <c r="AG247" s="44" t="n">
        <f aca="false">IF(AF247="","",LN(AF247))</f>
        <v>3.50795691823369</v>
      </c>
      <c r="AH247" s="44" t="n">
        <f aca="false">IF(AE247="",NA(),AE247)</f>
        <v>235</v>
      </c>
      <c r="AI247" s="122" t="n">
        <f aca="false">IF(AE247="",NA(),AF247)</f>
        <v>33.38</v>
      </c>
      <c r="AK247" s="44" t="n">
        <f aca="false">IF(ISNUMBER(Rendimientos!D247),Rendimientos!A247,"")</f>
        <v>235</v>
      </c>
      <c r="AL247" s="122" t="n">
        <f aca="false">IF(AK247="","",Rendimientos!D247)</f>
        <v>69825.94</v>
      </c>
      <c r="AM247" s="44" t="n">
        <f aca="false">IF(AL247="","",LN(AL247))</f>
        <v>11.1537608529498</v>
      </c>
      <c r="AN247" s="44" t="n">
        <f aca="false">IF(AK247="",NA(),AK247)</f>
        <v>235</v>
      </c>
      <c r="AO247" s="122" t="n">
        <f aca="false">IF(AK247="",NA(),AL247)</f>
        <v>69825.94</v>
      </c>
      <c r="AQ247" s="55" t="n">
        <f aca="false">IF(ISNUMBER(Rendimientos!B247),Rendimientos!B247,NA())</f>
        <v>46124</v>
      </c>
      <c r="AR247" s="44" t="n">
        <f aca="false">IF(AND(ISNUMBER(Rendimientos!C247),ISNUMBER(Rendimientos!$C$13)),Rendimientos!C247/Rendimientos!$C$13*100,NA())</f>
        <v>133.52</v>
      </c>
      <c r="AS247" s="44" t="n">
        <f aca="false">IF(AND(ISNUMBER(Rendimientos!D247),ISNUMBER(Rendimientos!$D$13)),Rendimientos!D247/Rendimientos!$D$13*100,NA())</f>
        <v>134.566192956362</v>
      </c>
    </row>
    <row r="248" customFormat="false" ht="13.8" hidden="false" customHeight="false" outlineLevel="0" collapsed="false">
      <c r="AE248" s="44" t="n">
        <f aca="false">IF(ISNUMBER(Rendimientos!C248),Rendimientos!A248,"")</f>
        <v>236</v>
      </c>
      <c r="AF248" s="122" t="n">
        <f aca="false">IF(AE248="","",Rendimientos!C248)</f>
        <v>31.63</v>
      </c>
      <c r="AG248" s="44" t="n">
        <f aca="false">IF(AF248="","",LN(AF248))</f>
        <v>3.45410603731756</v>
      </c>
      <c r="AH248" s="44" t="n">
        <f aca="false">IF(AE248="",NA(),AE248)</f>
        <v>236</v>
      </c>
      <c r="AI248" s="122" t="n">
        <f aca="false">IF(AE248="",NA(),AF248)</f>
        <v>31.63</v>
      </c>
      <c r="AK248" s="44" t="n">
        <f aca="false">IF(ISNUMBER(Rendimientos!D248),Rendimientos!A248,"")</f>
        <v>236</v>
      </c>
      <c r="AL248" s="122" t="n">
        <f aca="false">IF(AK248="","",Rendimientos!D248)</f>
        <v>69230.56</v>
      </c>
      <c r="AM248" s="44" t="n">
        <f aca="false">IF(AL248="","",LN(AL248))</f>
        <v>11.1451976626181</v>
      </c>
      <c r="AN248" s="44" t="n">
        <f aca="false">IF(AK248="",NA(),AK248)</f>
        <v>236</v>
      </c>
      <c r="AO248" s="122" t="n">
        <f aca="false">IF(AK248="",NA(),AL248)</f>
        <v>69230.56</v>
      </c>
      <c r="AQ248" s="55" t="n">
        <f aca="false">IF(ISNUMBER(Rendimientos!B248),Rendimientos!B248,NA())</f>
        <v>46131</v>
      </c>
      <c r="AR248" s="44" t="n">
        <f aca="false">IF(AND(ISNUMBER(Rendimientos!C248),ISNUMBER(Rendimientos!$C$13)),Rendimientos!C248/Rendimientos!$C$13*100,NA())</f>
        <v>126.52</v>
      </c>
      <c r="AS248" s="44" t="n">
        <f aca="false">IF(AND(ISNUMBER(Rendimientos!D248),ISNUMBER(Rendimientos!$D$13)),Rendimientos!D248/Rendimientos!$D$13*100,NA())</f>
        <v>133.418796731372</v>
      </c>
    </row>
    <row r="249" customFormat="false" ht="13.8" hidden="false" customHeight="false" outlineLevel="0" collapsed="false">
      <c r="AE249" s="44" t="n">
        <f aca="false">IF(ISNUMBER(Rendimientos!C249),Rendimientos!A249,"")</f>
        <v>237</v>
      </c>
      <c r="AF249" s="122" t="n">
        <f aca="false">IF(AE249="","",Rendimientos!C249)</f>
        <v>33.49</v>
      </c>
      <c r="AG249" s="44" t="n">
        <f aca="false">IF(AF249="","",LN(AF249))</f>
        <v>3.51124688680611</v>
      </c>
      <c r="AH249" s="44" t="n">
        <f aca="false">IF(AE249="",NA(),AE249)</f>
        <v>237</v>
      </c>
      <c r="AI249" s="122" t="n">
        <f aca="false">IF(AE249="",NA(),AF249)</f>
        <v>33.49</v>
      </c>
      <c r="AK249" s="44" t="n">
        <f aca="false">IF(ISNUMBER(Rendimientos!D249),Rendimientos!A249,"")</f>
        <v>237</v>
      </c>
      <c r="AL249" s="122" t="n">
        <f aca="false">IF(AK249="","",Rendimientos!D249)</f>
        <v>67858.09</v>
      </c>
      <c r="AM249" s="44" t="n">
        <f aca="false">IF(AL249="","",LN(AL249))</f>
        <v>11.1251738917588</v>
      </c>
      <c r="AN249" s="44" t="n">
        <f aca="false">IF(AK249="",NA(),AK249)</f>
        <v>237</v>
      </c>
      <c r="AO249" s="122" t="n">
        <f aca="false">IF(AK249="",NA(),AL249)</f>
        <v>67858.09</v>
      </c>
      <c r="AQ249" s="55" t="n">
        <f aca="false">IF(ISNUMBER(Rendimientos!B249),Rendimientos!B249,NA())</f>
        <v>46138</v>
      </c>
      <c r="AR249" s="44" t="n">
        <f aca="false">IF(AND(ISNUMBER(Rendimientos!C249),ISNUMBER(Rendimientos!$C$13)),Rendimientos!C249/Rendimientos!$C$13*100,NA())</f>
        <v>133.96</v>
      </c>
      <c r="AS249" s="44" t="n">
        <f aca="false">IF(AND(ISNUMBER(Rendimientos!D249),ISNUMBER(Rendimientos!$D$13)),Rendimientos!D249/Rendimientos!$D$13*100,NA())</f>
        <v>130.773818907274</v>
      </c>
    </row>
    <row r="250" customFormat="false" ht="13.8" hidden="false" customHeight="false" outlineLevel="0" collapsed="false">
      <c r="AE250" s="44" t="n">
        <f aca="false">IF(ISNUMBER(Rendimientos!C250),Rendimientos!A250,"")</f>
        <v>238</v>
      </c>
      <c r="AF250" s="122" t="n">
        <f aca="false">IF(AE250="","",Rendimientos!C250)</f>
        <v>31.52</v>
      </c>
      <c r="AG250" s="44" t="n">
        <f aca="false">IF(AF250="","",LN(AF250))</f>
        <v>3.45062226498968</v>
      </c>
      <c r="AH250" s="44" t="n">
        <f aca="false">IF(AE250="",NA(),AE250)</f>
        <v>238</v>
      </c>
      <c r="AI250" s="122" t="n">
        <f aca="false">IF(AE250="",NA(),AF250)</f>
        <v>31.52</v>
      </c>
      <c r="AK250" s="44" t="n">
        <f aca="false">IF(ISNUMBER(Rendimientos!D250),Rendimientos!A250,"")</f>
        <v>238</v>
      </c>
      <c r="AL250" s="122" t="n">
        <f aca="false">IF(AK250="","",Rendimientos!D250)</f>
        <v>69855.58</v>
      </c>
      <c r="AM250" s="44" t="n">
        <f aca="false">IF(AL250="","",LN(AL250))</f>
        <v>11.1541852469633</v>
      </c>
      <c r="AN250" s="44" t="n">
        <f aca="false">IF(AK250="",NA(),AK250)</f>
        <v>238</v>
      </c>
      <c r="AO250" s="122" t="n">
        <f aca="false">IF(AK250="",NA(),AL250)</f>
        <v>69855.58</v>
      </c>
      <c r="AQ250" s="55" t="n">
        <f aca="false">IF(ISNUMBER(Rendimientos!B250),Rendimientos!B250,NA())</f>
        <v>46145</v>
      </c>
      <c r="AR250" s="44" t="n">
        <f aca="false">IF(AND(ISNUMBER(Rendimientos!C250),ISNUMBER(Rendimientos!$C$13)),Rendimientos!C250/Rendimientos!$C$13*100,NA())</f>
        <v>126.08</v>
      </c>
      <c r="AS250" s="44" t="n">
        <f aca="false">IF(AND(ISNUMBER(Rendimientos!D250),ISNUMBER(Rendimientos!$D$13)),Rendimientos!D250/Rendimientos!$D$13*100,NA())</f>
        <v>134.623314163169</v>
      </c>
    </row>
    <row r="251" customFormat="false" ht="13.8" hidden="false" customHeight="false" outlineLevel="0" collapsed="false">
      <c r="AE251" s="44" t="n">
        <f aca="false">IF(ISNUMBER(Rendimientos!C251),Rendimientos!A251,"")</f>
        <v>239</v>
      </c>
      <c r="AF251" s="122" t="n">
        <f aca="false">IF(AE251="","",Rendimientos!C251)</f>
        <v>30.39</v>
      </c>
      <c r="AG251" s="44" t="n">
        <f aca="false">IF(AF251="","",LN(AF251))</f>
        <v>3.4141136069287</v>
      </c>
      <c r="AH251" s="44" t="n">
        <f aca="false">IF(AE251="",NA(),AE251)</f>
        <v>239</v>
      </c>
      <c r="AI251" s="122" t="n">
        <f aca="false">IF(AE251="",NA(),AF251)</f>
        <v>30.39</v>
      </c>
      <c r="AK251" s="44" t="n">
        <f aca="false">IF(ISNUMBER(Rendimientos!D251),Rendimientos!A251,"")</f>
        <v>239</v>
      </c>
      <c r="AL251" s="122" t="n">
        <f aca="false">IF(AK251="","",Rendimientos!D251)</f>
        <v>67976.5</v>
      </c>
      <c r="AM251" s="44" t="n">
        <f aca="false">IF(AL251="","",LN(AL251))</f>
        <v>11.1269173361936</v>
      </c>
      <c r="AN251" s="44" t="n">
        <f aca="false">IF(AK251="",NA(),AK251)</f>
        <v>239</v>
      </c>
      <c r="AO251" s="122" t="n">
        <f aca="false">IF(AK251="",NA(),AL251)</f>
        <v>67976.5</v>
      </c>
      <c r="AQ251" s="55" t="n">
        <f aca="false">IF(ISNUMBER(Rendimientos!B251),Rendimientos!B251,NA())</f>
        <v>46152</v>
      </c>
      <c r="AR251" s="44" t="n">
        <f aca="false">IF(AND(ISNUMBER(Rendimientos!C251),ISNUMBER(Rendimientos!$C$13)),Rendimientos!C251/Rendimientos!$C$13*100,NA())</f>
        <v>121.56</v>
      </c>
      <c r="AS251" s="44" t="n">
        <f aca="false">IF(AND(ISNUMBER(Rendimientos!D251),ISNUMBER(Rendimientos!$D$13)),Rendimientos!D251/Rendimientos!$D$13*100,NA())</f>
        <v>131.002014659568</v>
      </c>
    </row>
    <row r="252" customFormat="false" ht="13.8" hidden="false" customHeight="false" outlineLevel="0" collapsed="false">
      <c r="AE252" s="44" t="n">
        <f aca="false">IF(ISNUMBER(Rendimientos!C252),Rendimientos!A252,"")</f>
        <v>240</v>
      </c>
      <c r="AF252" s="122" t="n">
        <f aca="false">IF(AE252="","",Rendimientos!C252)</f>
        <v>29.01</v>
      </c>
      <c r="AG252" s="44" t="n">
        <f aca="false">IF(AF252="","",LN(AF252))</f>
        <v>3.36764059813331</v>
      </c>
      <c r="AH252" s="44" t="n">
        <f aca="false">IF(AE252="",NA(),AE252)</f>
        <v>240</v>
      </c>
      <c r="AI252" s="122" t="n">
        <f aca="false">IF(AE252="",NA(),AF252)</f>
        <v>29.01</v>
      </c>
      <c r="AK252" s="44" t="n">
        <f aca="false">IF(ISNUMBER(Rendimientos!D252),Rendimientos!A252,"")</f>
        <v>240</v>
      </c>
      <c r="AL252" s="122" t="n">
        <f aca="false">IF(AK252="","",Rendimientos!D252)</f>
        <v>68333.47</v>
      </c>
      <c r="AM252" s="44" t="n">
        <f aca="false">IF(AL252="","",LN(AL252))</f>
        <v>11.1321549694504</v>
      </c>
      <c r="AN252" s="44" t="n">
        <f aca="false">IF(AK252="",NA(),AK252)</f>
        <v>240</v>
      </c>
      <c r="AO252" s="122" t="n">
        <f aca="false">IF(AK252="",NA(),AL252)</f>
        <v>68333.47</v>
      </c>
      <c r="AQ252" s="55" t="n">
        <f aca="false">IF(ISNUMBER(Rendimientos!B252),Rendimientos!B252,NA())</f>
        <v>46159</v>
      </c>
      <c r="AR252" s="44" t="n">
        <f aca="false">IF(AND(ISNUMBER(Rendimientos!C252),ISNUMBER(Rendimientos!$C$13)),Rendimientos!C252/Rendimientos!$C$13*100,NA())</f>
        <v>116.04</v>
      </c>
      <c r="AS252" s="44" t="n">
        <f aca="false">IF(AND(ISNUMBER(Rendimientos!D252),ISNUMBER(Rendimientos!$D$13)),Rendimientos!D252/Rendimientos!$D$13*100,NA())</f>
        <v>131.689955185677</v>
      </c>
    </row>
    <row r="253" customFormat="false" ht="13.8" hidden="false" customHeight="false" outlineLevel="0" collapsed="false">
      <c r="AE253" s="44" t="n">
        <f aca="false">IF(ISNUMBER(Rendimientos!C253),Rendimientos!A253,"")</f>
        <v>241</v>
      </c>
      <c r="AF253" s="122" t="n">
        <f aca="false">IF(AE253="","",Rendimientos!C253)</f>
        <v>34.49</v>
      </c>
      <c r="AG253" s="44" t="n">
        <f aca="false">IF(AF253="","",LN(AF253))</f>
        <v>3.54066942694875</v>
      </c>
      <c r="AH253" s="44" t="n">
        <f aca="false">IF(AE253="",NA(),AE253)</f>
        <v>241</v>
      </c>
      <c r="AI253" s="122" t="n">
        <f aca="false">IF(AE253="",NA(),AF253)</f>
        <v>34.49</v>
      </c>
      <c r="AK253" s="44" t="n">
        <f aca="false">IF(ISNUMBER(Rendimientos!D253),Rendimientos!A253,"")</f>
        <v>241</v>
      </c>
      <c r="AL253" s="122" t="n">
        <f aca="false">IF(AK253="","",Rendimientos!D253)</f>
        <v>68587.74</v>
      </c>
      <c r="AM253" s="44" t="n">
        <f aca="false">IF(AL253="","",LN(AL253))</f>
        <v>11.135869080541</v>
      </c>
      <c r="AN253" s="44" t="n">
        <f aca="false">IF(AK253="",NA(),AK253)</f>
        <v>241</v>
      </c>
      <c r="AO253" s="122" t="n">
        <f aca="false">IF(AK253="",NA(),AL253)</f>
        <v>68587.74</v>
      </c>
      <c r="AQ253" s="55" t="n">
        <f aca="false">IF(ISNUMBER(Rendimientos!B253),Rendimientos!B253,NA())</f>
        <v>46166</v>
      </c>
      <c r="AR253" s="44" t="n">
        <f aca="false">IF(AND(ISNUMBER(Rendimientos!C253),ISNUMBER(Rendimientos!$C$13)),Rendimientos!C253/Rendimientos!$C$13*100,NA())</f>
        <v>137.96</v>
      </c>
      <c r="AS253" s="44" t="n">
        <f aca="false">IF(AND(ISNUMBER(Rendimientos!D253),ISNUMBER(Rendimientos!$D$13)),Rendimientos!D253/Rendimientos!$D$13*100,NA())</f>
        <v>132.179975740832</v>
      </c>
    </row>
    <row r="254" customFormat="false" ht="13.8" hidden="false" customHeight="false" outlineLevel="0" collapsed="false">
      <c r="AE254" s="44" t="n">
        <f aca="false">IF(ISNUMBER(Rendimientos!C254),Rendimientos!A254,"")</f>
        <v>242</v>
      </c>
      <c r="AF254" s="122" t="n">
        <f aca="false">IF(AE254="","",Rendimientos!C254)</f>
        <v>30.89</v>
      </c>
      <c r="AG254" s="44" t="n">
        <f aca="false">IF(AF254="","",LN(AF254))</f>
        <v>3.43043250693049</v>
      </c>
      <c r="AH254" s="44" t="n">
        <f aca="false">IF(AE254="",NA(),AE254)</f>
        <v>242</v>
      </c>
      <c r="AI254" s="122" t="n">
        <f aca="false">IF(AE254="",NA(),AF254)</f>
        <v>30.89</v>
      </c>
      <c r="AK254" s="44" t="n">
        <f aca="false">IF(ISNUMBER(Rendimientos!D254),Rendimientos!A254,"")</f>
        <v>242</v>
      </c>
      <c r="AL254" s="122" t="n">
        <f aca="false">IF(AK254="","",Rendimientos!D254)</f>
        <v>66141.38</v>
      </c>
      <c r="AM254" s="44" t="n">
        <f aca="false">IF(AL254="","",LN(AL254))</f>
        <v>11.0995498511503</v>
      </c>
      <c r="AN254" s="44" t="n">
        <f aca="false">IF(AK254="",NA(),AK254)</f>
        <v>242</v>
      </c>
      <c r="AO254" s="122" t="n">
        <f aca="false">IF(AK254="",NA(),AL254)</f>
        <v>66141.38</v>
      </c>
      <c r="AQ254" s="55" t="n">
        <f aca="false">IF(ISNUMBER(Rendimientos!B254),Rendimientos!B254,NA())</f>
        <v>46173</v>
      </c>
      <c r="AR254" s="44" t="n">
        <f aca="false">IF(AND(ISNUMBER(Rendimientos!C254),ISNUMBER(Rendimientos!$C$13)),Rendimientos!C254/Rendimientos!$C$13*100,NA())</f>
        <v>123.56</v>
      </c>
      <c r="AS254" s="44" t="n">
        <f aca="false">IF(AND(ISNUMBER(Rendimientos!D254),ISNUMBER(Rendimientos!$D$13)),Rendimientos!D254/Rendimientos!$D$13*100,NA())</f>
        <v>127.465433383067</v>
      </c>
    </row>
    <row r="255" customFormat="false" ht="13.8" hidden="false" customHeight="false" outlineLevel="0" collapsed="false">
      <c r="AE255" s="44" t="n">
        <f aca="false">IF(ISNUMBER(Rendimientos!C255),Rendimientos!A255,"")</f>
        <v>243</v>
      </c>
      <c r="AF255" s="122" t="n">
        <f aca="false">IF(AE255="","",Rendimientos!C255)</f>
        <v>31.14</v>
      </c>
      <c r="AG255" s="44" t="n">
        <f aca="false">IF(AF255="","",LN(AF255))</f>
        <v>3.43849316640585</v>
      </c>
      <c r="AH255" s="44" t="n">
        <f aca="false">IF(AE255="",NA(),AE255)</f>
        <v>243</v>
      </c>
      <c r="AI255" s="122" t="n">
        <f aca="false">IF(AE255="",NA(),AF255)</f>
        <v>31.14</v>
      </c>
      <c r="AK255" s="44" t="n">
        <f aca="false">IF(ISNUMBER(Rendimientos!D255),Rendimientos!A255,"")</f>
        <v>243</v>
      </c>
      <c r="AL255" s="122" t="n">
        <f aca="false">IF(AK255="","",Rendimientos!D255)</f>
        <v>67954.55</v>
      </c>
      <c r="AM255" s="44" t="n">
        <f aca="false">IF(AL255="","",LN(AL255))</f>
        <v>11.1265943783382</v>
      </c>
      <c r="AN255" s="44" t="n">
        <f aca="false">IF(AK255="",NA(),AK255)</f>
        <v>243</v>
      </c>
      <c r="AO255" s="122" t="n">
        <f aca="false">IF(AK255="",NA(),AL255)</f>
        <v>67954.55</v>
      </c>
      <c r="AQ255" s="55" t="n">
        <f aca="false">IF(ISNUMBER(Rendimientos!B255),Rendimientos!B255,NA())</f>
        <v>46180</v>
      </c>
      <c r="AR255" s="44" t="n">
        <f aca="false">IF(AND(ISNUMBER(Rendimientos!C255),ISNUMBER(Rendimientos!$C$13)),Rendimientos!C255/Rendimientos!$C$13*100,NA())</f>
        <v>124.56</v>
      </c>
      <c r="AS255" s="44" t="n">
        <f aca="false">IF(AND(ISNUMBER(Rendimientos!D255),ISNUMBER(Rendimientos!$D$13)),Rendimientos!D255/Rendimientos!$D$13*100,NA())</f>
        <v>130.959713361005</v>
      </c>
    </row>
    <row r="256" customFormat="false" ht="13.8" hidden="false" customHeight="false" outlineLevel="0" collapsed="false">
      <c r="AE256" s="44" t="n">
        <f aca="false">IF(ISNUMBER(Rendimientos!C256),Rendimientos!A256,"")</f>
        <v>244</v>
      </c>
      <c r="AF256" s="122" t="n">
        <f aca="false">IF(AE256="","",Rendimientos!C256)</f>
        <v>31.25</v>
      </c>
      <c r="AG256" s="44" t="n">
        <f aca="false">IF(AF256="","",LN(AF256))</f>
        <v>3.44201937618241</v>
      </c>
      <c r="AH256" s="44" t="n">
        <f aca="false">IF(AE256="",NA(),AE256)</f>
        <v>244</v>
      </c>
      <c r="AI256" s="122" t="n">
        <f aca="false">IF(AE256="",NA(),AF256)</f>
        <v>31.25</v>
      </c>
      <c r="AK256" s="44" t="n">
        <f aca="false">IF(ISNUMBER(Rendimientos!D256),Rendimientos!A256,"")</f>
        <v>244</v>
      </c>
      <c r="AL256" s="122" t="n">
        <f aca="false">IF(AK256="","",Rendimientos!D256)</f>
        <v>67705.37</v>
      </c>
      <c r="AM256" s="44" t="n">
        <f aca="false">IF(AL256="","",LN(AL256))</f>
        <v>11.1229207762864</v>
      </c>
      <c r="AN256" s="44" t="n">
        <f aca="false">IF(AK256="",NA(),AK256)</f>
        <v>244</v>
      </c>
      <c r="AO256" s="122" t="n">
        <f aca="false">IF(AK256="",NA(),AL256)</f>
        <v>67705.37</v>
      </c>
      <c r="AQ256" s="55" t="n">
        <f aca="false">IF(ISNUMBER(Rendimientos!B256),Rendimientos!B256,NA())</f>
        <v>46187</v>
      </c>
      <c r="AR256" s="44" t="n">
        <f aca="false">IF(AND(ISNUMBER(Rendimientos!C256),ISNUMBER(Rendimientos!$C$13)),Rendimientos!C256/Rendimientos!$C$13*100,NA())</f>
        <v>125</v>
      </c>
      <c r="AS256" s="44" t="n">
        <f aca="false">IF(AND(ISNUMBER(Rendimientos!D256),ISNUMBER(Rendimientos!$D$13)),Rendimientos!D256/Rendimientos!$D$13*100,NA())</f>
        <v>130.479502081918</v>
      </c>
    </row>
    <row r="257" customFormat="false" ht="13.8" hidden="false" customHeight="false" outlineLevel="0" collapsed="false">
      <c r="AE257" s="44" t="n">
        <f aca="false">IF(ISNUMBER(Rendimientos!C257),Rendimientos!A257,"")</f>
        <v>245</v>
      </c>
      <c r="AF257" s="122" t="n">
        <f aca="false">IF(AE257="","",Rendimientos!C257)</f>
        <v>29.91</v>
      </c>
      <c r="AG257" s="44" t="n">
        <f aca="false">IF(AF257="","",LN(AF257))</f>
        <v>3.39819287264186</v>
      </c>
      <c r="AH257" s="44" t="n">
        <f aca="false">IF(AE257="",NA(),AE257)</f>
        <v>245</v>
      </c>
      <c r="AI257" s="122" t="n">
        <f aca="false">IF(AE257="",NA(),AF257)</f>
        <v>29.91</v>
      </c>
      <c r="AK257" s="44" t="n">
        <f aca="false">IF(ISNUMBER(Rendimientos!D257),Rendimientos!A257,"")</f>
        <v>245</v>
      </c>
      <c r="AL257" s="122" t="n">
        <f aca="false">IF(AK257="","",Rendimientos!D257)</f>
        <v>67060.49</v>
      </c>
      <c r="AM257" s="44" t="n">
        <f aca="false">IF(AL257="","",LN(AL257))</f>
        <v>11.1133503268829</v>
      </c>
      <c r="AN257" s="44" t="n">
        <f aca="false">IF(AK257="",NA(),AK257)</f>
        <v>245</v>
      </c>
      <c r="AO257" s="122" t="n">
        <f aca="false">IF(AK257="",NA(),AL257)</f>
        <v>67060.49</v>
      </c>
      <c r="AQ257" s="55" t="n">
        <f aca="false">IF(ISNUMBER(Rendimientos!B257),Rendimientos!B257,NA())</f>
        <v>46201</v>
      </c>
      <c r="AR257" s="44" t="n">
        <f aca="false">IF(AND(ISNUMBER(Rendimientos!C257),ISNUMBER(Rendimientos!$C$13)),Rendimientos!C257/Rendimientos!$C$13*100,NA())</f>
        <v>119.64</v>
      </c>
      <c r="AS257" s="44" t="n">
        <f aca="false">IF(AND(ISNUMBER(Rendimientos!D257),ISNUMBER(Rendimientos!$D$13)),Rendimientos!D257/Rendimientos!$D$13*100,NA())</f>
        <v>129.236711128961</v>
      </c>
    </row>
    <row r="258" customFormat="false" ht="13.8" hidden="false" customHeight="false" outlineLevel="0" collapsed="false">
      <c r="AE258" s="44" t="n">
        <f aca="false">IF(ISNUMBER(Rendimientos!C258),Rendimientos!A258,"")</f>
        <v>246</v>
      </c>
      <c r="AF258" s="122" t="n">
        <f aca="false">IF(AE258="","",Rendimientos!C258)</f>
        <v>30.6</v>
      </c>
      <c r="AG258" s="44" t="n">
        <f aca="false">IF(AF258="","",LN(AF258))</f>
        <v>3.42100000895834</v>
      </c>
      <c r="AH258" s="44" t="n">
        <f aca="false">IF(AE258="",NA(),AE258)</f>
        <v>246</v>
      </c>
      <c r="AI258" s="122" t="n">
        <f aca="false">IF(AE258="",NA(),AF258)</f>
        <v>30.6</v>
      </c>
      <c r="AK258" s="44" t="n">
        <f aca="false">IF(ISNUMBER(Rendimientos!D258),Rendimientos!A258,"")</f>
        <v>246</v>
      </c>
      <c r="AL258" s="122" t="n">
        <f aca="false">IF(AK258="","",Rendimientos!D258)</f>
        <v>66496.1</v>
      </c>
      <c r="AM258" s="44" t="n">
        <f aca="false">IF(AL258="","",LN(AL258))</f>
        <v>11.1048985783076</v>
      </c>
      <c r="AN258" s="44" t="n">
        <f aca="false">IF(AK258="",NA(),AK258)</f>
        <v>246</v>
      </c>
      <c r="AO258" s="122" t="n">
        <f aca="false">IF(AK258="",NA(),AL258)</f>
        <v>66496.1</v>
      </c>
      <c r="AQ258" s="55" t="n">
        <f aca="false">IF(ISNUMBER(Rendimientos!B258),Rendimientos!B258,NA())</f>
        <v>46208</v>
      </c>
      <c r="AR258" s="44" t="n">
        <f aca="false">IF(AND(ISNUMBER(Rendimientos!C258),ISNUMBER(Rendimientos!$C$13)),Rendimientos!C258/Rendimientos!$C$13*100,NA())</f>
        <v>122.4</v>
      </c>
      <c r="AS258" s="44" t="n">
        <f aca="false">IF(AND(ISNUMBER(Rendimientos!D258),ISNUMBER(Rendimientos!$D$13)),Rendimientos!D258/Rendimientos!$D$13*100,NA())</f>
        <v>128.149037785177</v>
      </c>
    </row>
    <row r="259" customFormat="false" ht="13.8" hidden="false" customHeight="false" outlineLevel="0" collapsed="false">
      <c r="AE259" s="44" t="n">
        <f aca="false">IF(ISNUMBER(Rendimientos!C259),Rendimientos!A259,"")</f>
        <v>247</v>
      </c>
      <c r="AF259" s="122" t="n">
        <f aca="false">IF(AE259="","",Rendimientos!C259)</f>
        <v>30.27</v>
      </c>
      <c r="AG259" s="44" t="n">
        <f aca="false">IF(AF259="","",LN(AF259))</f>
        <v>3.41015712303363</v>
      </c>
      <c r="AH259" s="44" t="n">
        <f aca="false">IF(AE259="",NA(),AE259)</f>
        <v>247</v>
      </c>
      <c r="AI259" s="122" t="n">
        <f aca="false">IF(AE259="",NA(),AF259)</f>
        <v>30.27</v>
      </c>
      <c r="AK259" s="44" t="n">
        <f aca="false">IF(ISNUMBER(Rendimientos!D259),Rendimientos!A259,"")</f>
        <v>247</v>
      </c>
      <c r="AL259" s="122" t="n">
        <f aca="false">IF(AK259="","",Rendimientos!D259)</f>
        <v>66634.23</v>
      </c>
      <c r="AM259" s="44" t="n">
        <f aca="false">IF(AL259="","",LN(AL259))</f>
        <v>11.1069736884582</v>
      </c>
      <c r="AN259" s="44" t="n">
        <f aca="false">IF(AK259="",NA(),AK259)</f>
        <v>247</v>
      </c>
      <c r="AO259" s="122" t="n">
        <f aca="false">IF(AK259="",NA(),AL259)</f>
        <v>66634.23</v>
      </c>
      <c r="AQ259" s="55" t="n">
        <f aca="false">IF(ISNUMBER(Rendimientos!B259),Rendimientos!B259,NA())</f>
        <v>46215</v>
      </c>
      <c r="AR259" s="44" t="n">
        <f aca="false">IF(AND(ISNUMBER(Rendimientos!C259),ISNUMBER(Rendimientos!$C$13)),Rendimientos!C259/Rendimientos!$C$13*100,NA())</f>
        <v>121.08</v>
      </c>
      <c r="AS259" s="44" t="n">
        <f aca="false">IF(AND(ISNUMBER(Rendimientos!D259),ISNUMBER(Rendimientos!$D$13)),Rendimientos!D259/Rendimientos!$D$13*100,NA())</f>
        <v>128.415237255361</v>
      </c>
    </row>
    <row r="260" customFormat="false" ht="13.8" hidden="false" customHeight="false" outlineLevel="0" collapsed="false">
      <c r="AE260" s="44" t="n">
        <f aca="false">IF(ISNUMBER(Rendimientos!C260),Rendimientos!A260,"")</f>
        <v>248</v>
      </c>
      <c r="AF260" s="122" t="n">
        <f aca="false">IF(AE260="","",Rendimientos!C260)</f>
        <v>29.41</v>
      </c>
      <c r="AG260" s="44" t="n">
        <f aca="false">IF(AF260="","",LN(AF260))</f>
        <v>3.3813347525659</v>
      </c>
      <c r="AH260" s="44" t="n">
        <f aca="false">IF(AE260="",NA(),AE260)</f>
        <v>248</v>
      </c>
      <c r="AI260" s="122" t="n">
        <f aca="false">IF(AE260="",NA(),AF260)</f>
        <v>29.41</v>
      </c>
      <c r="AK260" s="44" t="n">
        <f aca="false">IF(ISNUMBER(Rendimientos!D260),Rendimientos!A260,"")</f>
        <v>248</v>
      </c>
      <c r="AL260" s="122" t="n">
        <f aca="false">IF(AK260="","",Rendimientos!D260)</f>
        <v>66383.26</v>
      </c>
      <c r="AM260" s="44" t="n">
        <f aca="false">IF(AL260="","",LN(AL260))</f>
        <v>11.1032001952461</v>
      </c>
      <c r="AN260" s="44" t="n">
        <f aca="false">IF(AK260="",NA(),AK260)</f>
        <v>248</v>
      </c>
      <c r="AO260" s="122" t="n">
        <f aca="false">IF(AK260="",NA(),AL260)</f>
        <v>66383.26</v>
      </c>
      <c r="AQ260" s="55" t="n">
        <f aca="false">IF(ISNUMBER(Rendimientos!B260),Rendimientos!B260,NA())</f>
        <v>46222</v>
      </c>
      <c r="AR260" s="44" t="n">
        <f aca="false">IF(AND(ISNUMBER(Rendimientos!C260),ISNUMBER(Rendimientos!$C$13)),Rendimientos!C260/Rendimientos!$C$13*100,NA())</f>
        <v>117.64</v>
      </c>
      <c r="AS260" s="44" t="n">
        <f aca="false">IF(AND(ISNUMBER(Rendimientos!D260),ISNUMBER(Rendimientos!$D$13)),Rendimientos!D260/Rendimientos!$D$13*100,NA())</f>
        <v>127.931576348737</v>
      </c>
    </row>
    <row r="261" customFormat="false" ht="13.8" hidden="false" customHeight="false" outlineLevel="0" collapsed="false">
      <c r="AE261" s="44" t="n">
        <f aca="false">IF(ISNUMBER(Rendimientos!C261),Rendimientos!A261,"")</f>
        <v>249</v>
      </c>
      <c r="AF261" s="122" t="n">
        <f aca="false">IF(AE261="","",Rendimientos!C261)</f>
        <v>29.59</v>
      </c>
      <c r="AG261" s="44" t="n">
        <f aca="false">IF(AF261="","",LN(AF261))</f>
        <v>3.38743646641212</v>
      </c>
      <c r="AH261" s="44" t="n">
        <f aca="false">IF(AE261="",NA(),AE261)</f>
        <v>249</v>
      </c>
      <c r="AI261" s="122" t="n">
        <f aca="false">IF(AE261="",NA(),AF261)</f>
        <v>29.59</v>
      </c>
      <c r="AK261" s="44" t="n">
        <f aca="false">IF(ISNUMBER(Rendimientos!D261),Rendimientos!A261,"")</f>
        <v>249</v>
      </c>
      <c r="AL261" s="122" t="n">
        <f aca="false">IF(AK261="","",Rendimientos!D261)</f>
        <v>66936.99</v>
      </c>
      <c r="AM261" s="44" t="n">
        <f aca="false">IF(AL261="","",LN(AL261))</f>
        <v>11.1115070081135</v>
      </c>
      <c r="AN261" s="44" t="n">
        <f aca="false">IF(AK261="",NA(),AK261)</f>
        <v>249</v>
      </c>
      <c r="AO261" s="122" t="n">
        <f aca="false">IF(AK261="",NA(),AL261)</f>
        <v>66936.99</v>
      </c>
      <c r="AQ261" s="55" t="n">
        <f aca="false">IF(ISNUMBER(Rendimientos!B261),Rendimientos!B261,NA())</f>
        <v>46229</v>
      </c>
      <c r="AR261" s="44" t="n">
        <f aca="false">IF(AND(ISNUMBER(Rendimientos!C261),ISNUMBER(Rendimientos!$C$13)),Rendimientos!C261/Rendimientos!$C$13*100,NA())</f>
        <v>118.36</v>
      </c>
      <c r="AS261" s="44" t="n">
        <f aca="false">IF(AND(ISNUMBER(Rendimientos!D261),ISNUMBER(Rendimientos!$D$13)),Rendimientos!D261/Rendimientos!$D$13*100,NA())</f>
        <v>128.998706100599</v>
      </c>
    </row>
    <row r="262" customFormat="false" ht="13.8" hidden="false" customHeight="false" outlineLevel="0" collapsed="false">
      <c r="AE262" s="44" t="n">
        <f aca="false">IF(ISNUMBER(Rendimientos!C262),Rendimientos!A262,"")</f>
        <v>250</v>
      </c>
      <c r="AF262" s="122" t="n">
        <f aca="false">IF(AE262="","",Rendimientos!C262)</f>
        <v>29.47</v>
      </c>
      <c r="AG262" s="44" t="n">
        <f aca="false">IF(AF262="","",LN(AF262))</f>
        <v>3.3833727967496</v>
      </c>
      <c r="AH262" s="44" t="n">
        <f aca="false">IF(AE262="",NA(),AE262)</f>
        <v>250</v>
      </c>
      <c r="AI262" s="122" t="n">
        <f aca="false">IF(AE262="",NA(),AF262)</f>
        <v>29.47</v>
      </c>
      <c r="AK262" s="44" t="n">
        <f aca="false">IF(ISNUMBER(Rendimientos!D262),Rendimientos!A262,"")</f>
        <v>250</v>
      </c>
      <c r="AL262" s="122" t="n">
        <f aca="false">IF(AK262="","",Rendimientos!D262)</f>
        <v>66938.64</v>
      </c>
      <c r="AM262" s="44" t="n">
        <f aca="false">IF(AL262="","",LN(AL262))</f>
        <v>11.1115316578574</v>
      </c>
      <c r="AN262" s="44" t="n">
        <f aca="false">IF(AK262="",NA(),AK262)</f>
        <v>250</v>
      </c>
      <c r="AO262" s="122" t="n">
        <f aca="false">IF(AK262="",NA(),AL262)</f>
        <v>66938.64</v>
      </c>
      <c r="AQ262" s="55" t="n">
        <f aca="false">IF(ISNUMBER(Rendimientos!B262),Rendimientos!B262,NA())</f>
        <v>46236</v>
      </c>
      <c r="AR262" s="44" t="n">
        <f aca="false">IF(AND(ISNUMBER(Rendimientos!C262),ISNUMBER(Rendimientos!$C$13)),Rendimientos!C262/Rendimientos!$C$13*100,NA())</f>
        <v>117.88</v>
      </c>
      <c r="AS262" s="44" t="n">
        <f aca="false">IF(AND(ISNUMBER(Rendimientos!D262),ISNUMBER(Rendimientos!$D$13)),Rendimientos!D262/Rendimientos!$D$13*100,NA())</f>
        <v>129.001885924864</v>
      </c>
    </row>
    <row r="263" customFormat="false" ht="13.8" hidden="false" customHeight="false" outlineLevel="0" collapsed="false">
      <c r="AE263" s="44" t="n">
        <f aca="false">IF(ISNUMBER(Rendimientos!C263),Rendimientos!A263,"")</f>
        <v>251</v>
      </c>
      <c r="AF263" s="122" t="n">
        <f aca="false">IF(AE263="","",Rendimientos!C263)</f>
        <v>27.5</v>
      </c>
      <c r="AG263" s="44" t="n">
        <f aca="false">IF(AF263="","",LN(AF263))</f>
        <v>3.31418600467253</v>
      </c>
      <c r="AH263" s="44" t="n">
        <f aca="false">IF(AE263="",NA(),AE263)</f>
        <v>251</v>
      </c>
      <c r="AI263" s="122" t="n">
        <f aca="false">IF(AE263="",NA(),AF263)</f>
        <v>27.5</v>
      </c>
      <c r="AK263" s="44" t="n">
        <f aca="false">IF(ISNUMBER(Rendimientos!D263),Rendimientos!A263,"")</f>
        <v>251</v>
      </c>
      <c r="AL263" s="122" t="n">
        <f aca="false">IF(AK263="","",Rendimientos!D263)</f>
        <v>64397.45</v>
      </c>
      <c r="AM263" s="44" t="n">
        <f aca="false">IF(AL263="","",LN(AL263))</f>
        <v>11.0728293150352</v>
      </c>
      <c r="AN263" s="44" t="n">
        <f aca="false">IF(AK263="",NA(),AK263)</f>
        <v>251</v>
      </c>
      <c r="AO263" s="122" t="n">
        <f aca="false">IF(AK263="",NA(),AL263)</f>
        <v>64397.45</v>
      </c>
      <c r="AQ263" s="55" t="n">
        <f aca="false">IF(ISNUMBER(Rendimientos!B263),Rendimientos!B263,NA())</f>
        <v>46243</v>
      </c>
      <c r="AR263" s="44" t="n">
        <f aca="false">IF(AND(ISNUMBER(Rendimientos!C263),ISNUMBER(Rendimientos!$C$13)),Rendimientos!C263/Rendimientos!$C$13*100,NA())</f>
        <v>110</v>
      </c>
      <c r="AS263" s="44" t="n">
        <f aca="false">IF(AND(ISNUMBER(Rendimientos!D263),ISNUMBER(Rendimientos!$D$13)),Rendimientos!D263/Rendimientos!$D$13*100,NA())</f>
        <v>124.10459039431</v>
      </c>
    </row>
    <row r="264" customFormat="false" ht="13.8" hidden="false" customHeight="false" outlineLevel="0" collapsed="false">
      <c r="AE264" s="44" t="n">
        <f aca="false">IF(ISNUMBER(Rendimientos!C264),Rendimientos!A264,"")</f>
        <v>252</v>
      </c>
      <c r="AF264" s="122" t="n">
        <f aca="false">IF(AE264="","",Rendimientos!C264)</f>
        <v>27.08</v>
      </c>
      <c r="AG264" s="44" t="n">
        <f aca="false">IF(AF264="","",LN(AF264))</f>
        <v>3.29879544804407</v>
      </c>
      <c r="AH264" s="44" t="n">
        <f aca="false">IF(AE264="",NA(),AE264)</f>
        <v>252</v>
      </c>
      <c r="AI264" s="122" t="n">
        <f aca="false">IF(AE264="",NA(),AF264)</f>
        <v>27.08</v>
      </c>
      <c r="AK264" s="44" t="n">
        <f aca="false">IF(ISNUMBER(Rendimientos!D264),Rendimientos!A264,"")</f>
        <v>252</v>
      </c>
      <c r="AL264" s="122" t="n">
        <f aca="false">IF(AK264="","",Rendimientos!D264)</f>
        <v>65729.18</v>
      </c>
      <c r="AM264" s="44" t="n">
        <f aca="false">IF(AL264="","",LN(AL264))</f>
        <v>11.0932982459022</v>
      </c>
      <c r="AN264" s="44" t="n">
        <f aca="false">IF(AK264="",NA(),AK264)</f>
        <v>252</v>
      </c>
      <c r="AO264" s="122" t="n">
        <f aca="false">IF(AK264="",NA(),AL264)</f>
        <v>65729.18</v>
      </c>
      <c r="AQ264" s="55" t="n">
        <f aca="false">IF(ISNUMBER(Rendimientos!B264),Rendimientos!B264,NA())</f>
        <v>46250</v>
      </c>
      <c r="AR264" s="44" t="n">
        <f aca="false">IF(AND(ISNUMBER(Rendimientos!C264),ISNUMBER(Rendimientos!$C$13)),Rendimientos!C264/Rendimientos!$C$13*100,NA())</f>
        <v>108.32</v>
      </c>
      <c r="AS264" s="44" t="n">
        <f aca="false">IF(AND(ISNUMBER(Rendimientos!D264),ISNUMBER(Rendimientos!$D$13)),Rendimientos!D264/Rendimientos!$D$13*100,NA())</f>
        <v>126.671055466542</v>
      </c>
    </row>
    <row r="265" customFormat="false" ht="13.8" hidden="false" customHeight="false" outlineLevel="0" collapsed="false">
      <c r="AE265" s="44" t="n">
        <f aca="false">IF(ISNUMBER(Rendimientos!C265),Rendimientos!A265,"")</f>
        <v>253</v>
      </c>
      <c r="AF265" s="122" t="n">
        <f aca="false">IF(AE265="","",Rendimientos!C265)</f>
        <v>27.07</v>
      </c>
      <c r="AG265" s="44" t="n">
        <f aca="false">IF(AF265="","",LN(AF265))</f>
        <v>3.29842610362621</v>
      </c>
      <c r="AH265" s="44" t="n">
        <f aca="false">IF(AE265="",NA(),AE265)</f>
        <v>253</v>
      </c>
      <c r="AI265" s="122" t="n">
        <f aca="false">IF(AE265="",NA(),AF265)</f>
        <v>27.07</v>
      </c>
      <c r="AK265" s="44" t="n">
        <f aca="false">IF(ISNUMBER(Rendimientos!D265),Rendimientos!A265,"")</f>
        <v>253</v>
      </c>
      <c r="AL265" s="122" t="n">
        <f aca="false">IF(AK265="","",Rendimientos!D265)</f>
        <v>65484.32</v>
      </c>
      <c r="AM265" s="44" t="n">
        <f aca="false">IF(AL265="","",LN(AL265))</f>
        <v>11.0895660036522</v>
      </c>
      <c r="AN265" s="44" t="n">
        <f aca="false">IF(AK265="",NA(),AK265)</f>
        <v>253</v>
      </c>
      <c r="AO265" s="122" t="n">
        <f aca="false">IF(AK265="",NA(),AL265)</f>
        <v>65484.32</v>
      </c>
      <c r="AQ265" s="55" t="n">
        <f aca="false">IF(ISNUMBER(Rendimientos!B265),Rendimientos!B265,NA())</f>
        <v>46257</v>
      </c>
      <c r="AR265" s="44" t="n">
        <f aca="false">IF(AND(ISNUMBER(Rendimientos!C265),ISNUMBER(Rendimientos!$C$13)),Rendimientos!C265/Rendimientos!$C$13*100,NA())</f>
        <v>108.28</v>
      </c>
      <c r="AS265" s="44" t="n">
        <f aca="false">IF(AND(ISNUMBER(Rendimientos!D265),ISNUMBER(Rendimientos!$D$13)),Rendimientos!D265/Rendimientos!$D$13*100,NA())</f>
        <v>126.199169545532</v>
      </c>
    </row>
    <row r="266" customFormat="false" ht="13.8" hidden="false" customHeight="false" outlineLevel="0" collapsed="false">
      <c r="AE266" s="44" t="n">
        <f aca="false">IF(ISNUMBER(Rendimientos!C266),Rendimientos!A266,"")</f>
        <v>254</v>
      </c>
      <c r="AF266" s="122" t="n">
        <f aca="false">IF(AE266="","",Rendimientos!C266)</f>
        <v>26</v>
      </c>
      <c r="AG266" s="44" t="n">
        <f aca="false">IF(AF266="","",LN(AF266))</f>
        <v>3.25809653802148</v>
      </c>
      <c r="AH266" s="44" t="n">
        <f aca="false">IF(AE266="",NA(),AE266)</f>
        <v>254</v>
      </c>
      <c r="AI266" s="122" t="n">
        <f aca="false">IF(AE266="",NA(),AF266)</f>
        <v>26</v>
      </c>
      <c r="AK266" s="44" t="n">
        <f aca="false">IF(ISNUMBER(Rendimientos!D266),Rendimientos!A266,"")</f>
        <v>254</v>
      </c>
      <c r="AL266" s="122" t="n">
        <f aca="false">IF(AK266="","",Rendimientos!D266)</f>
        <v>64866.61</v>
      </c>
      <c r="AM266" s="44" t="n">
        <f aca="false">IF(AL266="","",LN(AL266))</f>
        <v>11.0800882864787</v>
      </c>
      <c r="AN266" s="44" t="n">
        <f aca="false">IF(AK266="",NA(),AK266)</f>
        <v>254</v>
      </c>
      <c r="AO266" s="122" t="n">
        <f aca="false">IF(AK266="",NA(),AL266)</f>
        <v>64866.61</v>
      </c>
      <c r="AQ266" s="55" t="n">
        <f aca="false">IF(ISNUMBER(Rendimientos!B266),Rendimientos!B266,NA())</f>
        <v>46264</v>
      </c>
      <c r="AR266" s="44" t="n">
        <f aca="false">IF(AND(ISNUMBER(Rendimientos!C266),ISNUMBER(Rendimientos!$C$13)),Rendimientos!C266/Rendimientos!$C$13*100,NA())</f>
        <v>104</v>
      </c>
      <c r="AS266" s="44" t="n">
        <f aca="false">IF(AND(ISNUMBER(Rendimientos!D266),ISNUMBER(Rendimientos!$D$13)),Rendimientos!D266/Rendimientos!$D$13*100,NA())</f>
        <v>125.008739698815</v>
      </c>
    </row>
    <row r="267" customFormat="false" ht="13.8" hidden="false" customHeight="false" outlineLevel="0" collapsed="false">
      <c r="AE267" s="44" t="n">
        <f aca="false">IF(ISNUMBER(Rendimientos!C267),Rendimientos!A267,"")</f>
        <v>255</v>
      </c>
      <c r="AF267" s="122" t="n">
        <f aca="false">IF(AE267="","",Rendimientos!C267)</f>
        <v>26</v>
      </c>
      <c r="AG267" s="44" t="n">
        <f aca="false">IF(AF267="","",LN(AF267))</f>
        <v>3.25809653802148</v>
      </c>
      <c r="AH267" s="44" t="n">
        <f aca="false">IF(AE267="",NA(),AE267)</f>
        <v>255</v>
      </c>
      <c r="AI267" s="122" t="n">
        <f aca="false">IF(AE267="",NA(),AF267)</f>
        <v>26</v>
      </c>
      <c r="AK267" s="44" t="n">
        <f aca="false">IF(ISNUMBER(Rendimientos!D267),Rendimientos!A267,"")</f>
        <v>255</v>
      </c>
      <c r="AL267" s="122" t="n">
        <f aca="false">IF(AK267="","",Rendimientos!D267)</f>
        <v>63924.77</v>
      </c>
      <c r="AM267" s="44" t="n">
        <f aca="false">IF(AL267="","",LN(AL267))</f>
        <v>11.0654622021865</v>
      </c>
      <c r="AN267" s="44" t="n">
        <f aca="false">IF(AK267="",NA(),AK267)</f>
        <v>255</v>
      </c>
      <c r="AO267" s="122" t="n">
        <f aca="false">IF(AK267="",NA(),AL267)</f>
        <v>63924.77</v>
      </c>
      <c r="AQ267" s="55" t="n">
        <f aca="false">IF(ISNUMBER(Rendimientos!B267),Rendimientos!B267,NA())</f>
        <v>46271</v>
      </c>
      <c r="AR267" s="44" t="n">
        <f aca="false">IF(AND(ISNUMBER(Rendimientos!C267),ISNUMBER(Rendimientos!$C$13)),Rendimientos!C267/Rendimientos!$C$13*100,NA())</f>
        <v>104</v>
      </c>
      <c r="AS267" s="44" t="n">
        <f aca="false">IF(AND(ISNUMBER(Rendimientos!D267),ISNUMBER(Rendimientos!$D$13)),Rendimientos!D267/Rendimientos!$D$13*100,NA())</f>
        <v>123.193657464705</v>
      </c>
    </row>
    <row r="268" customFormat="false" ht="13.8" hidden="false" customHeight="false" outlineLevel="0" collapsed="false">
      <c r="AE268" s="44" t="n">
        <f aca="false">IF(ISNUMBER(Rendimientos!C268),Rendimientos!A268,"")</f>
        <v>256</v>
      </c>
      <c r="AF268" s="122" t="n">
        <f aca="false">IF(AE268="","",Rendimientos!C268)</f>
        <v>30.24</v>
      </c>
      <c r="AG268" s="44" t="n">
        <f aca="false">IF(AF268="","",LN(AF268))</f>
        <v>3.40916555131133</v>
      </c>
      <c r="AH268" s="44" t="n">
        <f aca="false">IF(AE268="",NA(),AE268)</f>
        <v>256</v>
      </c>
      <c r="AI268" s="122" t="n">
        <f aca="false">IF(AE268="",NA(),AF268)</f>
        <v>30.24</v>
      </c>
      <c r="AK268" s="44" t="n">
        <f aca="false">IF(ISNUMBER(Rendimientos!D268),Rendimientos!A268,"")</f>
        <v>256</v>
      </c>
      <c r="AL268" s="122" t="n">
        <f aca="false">IF(AK268="","",Rendimientos!D268)</f>
        <v>63375.93</v>
      </c>
      <c r="AM268" s="44" t="n">
        <f aca="false">IF(AL268="","",LN(AL268))</f>
        <v>11.056839415342</v>
      </c>
      <c r="AN268" s="44" t="n">
        <f aca="false">IF(AK268="",NA(),AK268)</f>
        <v>256</v>
      </c>
      <c r="AO268" s="122" t="n">
        <f aca="false">IF(AK268="",NA(),AL268)</f>
        <v>63375.93</v>
      </c>
      <c r="AQ268" s="55" t="n">
        <f aca="false">IF(ISNUMBER(Rendimientos!B268),Rendimientos!B268,NA())</f>
        <v>46278</v>
      </c>
      <c r="AR268" s="44" t="n">
        <f aca="false">IF(AND(ISNUMBER(Rendimientos!C268),ISNUMBER(Rendimientos!$C$13)),Rendimientos!C268/Rendimientos!$C$13*100,NA())</f>
        <v>120.96</v>
      </c>
      <c r="AS268" s="44" t="n">
        <f aca="false">IF(AND(ISNUMBER(Rendimientos!D268),ISNUMBER(Rendimientos!$D$13)),Rendimientos!D268/Rendimientos!$D$13*100,NA())</f>
        <v>122.135951555666</v>
      </c>
    </row>
    <row r="269" customFormat="false" ht="13.8" hidden="false" customHeight="false" outlineLevel="0" collapsed="false">
      <c r="AE269" s="44" t="n">
        <f aca="false">IF(ISNUMBER(Rendimientos!C269),Rendimientos!A269,"")</f>
        <v>257</v>
      </c>
      <c r="AF269" s="122" t="n">
        <f aca="false">IF(AE269="","",Rendimientos!C269)</f>
        <v>33.48</v>
      </c>
      <c r="AG269" s="44" t="n">
        <f aca="false">IF(AF269="","",LN(AF269))</f>
        <v>3.51094824562127</v>
      </c>
      <c r="AH269" s="44" t="n">
        <f aca="false">IF(AE269="",NA(),AE269)</f>
        <v>257</v>
      </c>
      <c r="AI269" s="122" t="n">
        <f aca="false">IF(AE269="",NA(),AF269)</f>
        <v>33.48</v>
      </c>
      <c r="AK269" s="44" t="n">
        <f aca="false">IF(ISNUMBER(Rendimientos!D269),Rendimientos!A269,"")</f>
        <v>257</v>
      </c>
      <c r="AL269" s="122" t="n">
        <f aca="false">IF(AK269="","",Rendimientos!D269)</f>
        <v>64992.23</v>
      </c>
      <c r="AM269" s="44" t="n">
        <f aca="false">IF(AL269="","",LN(AL269))</f>
        <v>11.0820230032709</v>
      </c>
      <c r="AN269" s="44" t="n">
        <f aca="false">IF(AK269="",NA(),AK269)</f>
        <v>257</v>
      </c>
      <c r="AO269" s="122" t="n">
        <f aca="false">IF(AK269="",NA(),AL269)</f>
        <v>64992.23</v>
      </c>
      <c r="AQ269" s="55" t="n">
        <f aca="false">IF(ISNUMBER(Rendimientos!B269),Rendimientos!B269,NA())</f>
        <v>46285</v>
      </c>
      <c r="AR269" s="44" t="n">
        <f aca="false">IF(AND(ISNUMBER(Rendimientos!C269),ISNUMBER(Rendimientos!$C$13)),Rendimientos!C269/Rendimientos!$C$13*100,NA())</f>
        <v>133.92</v>
      </c>
      <c r="AS269" s="44" t="n">
        <f aca="false">IF(AND(ISNUMBER(Rendimientos!D269),ISNUMBER(Rendimientos!$D$13)),Rendimientos!D269/Rendimientos!$D$13*100,NA())</f>
        <v>125.250830319567</v>
      </c>
    </row>
    <row r="270" customFormat="false" ht="13.8" hidden="false" customHeight="false" outlineLevel="0" collapsed="false">
      <c r="AE270" s="44" t="n">
        <f aca="false">IF(ISNUMBER(Rendimientos!C270),Rendimientos!A270,"")</f>
        <v>258</v>
      </c>
      <c r="AF270" s="122" t="n">
        <f aca="false">IF(AE270="","",Rendimientos!C270)</f>
        <v>34.1</v>
      </c>
      <c r="AG270" s="44" t="n">
        <f aca="false">IF(AF270="","",LN(AF270))</f>
        <v>3.52929738428947</v>
      </c>
      <c r="AH270" s="44" t="n">
        <f aca="false">IF(AE270="",NA(),AE270)</f>
        <v>258</v>
      </c>
      <c r="AI270" s="122" t="n">
        <f aca="false">IF(AE270="",NA(),AF270)</f>
        <v>34.1</v>
      </c>
      <c r="AK270" s="44" t="n">
        <f aca="false">IF(ISNUMBER(Rendimientos!D270),Rendimientos!A270,"")</f>
        <v>258</v>
      </c>
      <c r="AL270" s="122" t="n">
        <f aca="false">IF(AK270="","",Rendimientos!D270)</f>
        <v>64531.68</v>
      </c>
      <c r="AM270" s="44" t="n">
        <f aca="false">IF(AL270="","",LN(AL270))</f>
        <v>11.0749115449936</v>
      </c>
      <c r="AN270" s="44" t="n">
        <f aca="false">IF(AK270="",NA(),AK270)</f>
        <v>258</v>
      </c>
      <c r="AO270" s="122" t="n">
        <f aca="false">IF(AK270="",NA(),AL270)</f>
        <v>64531.68</v>
      </c>
      <c r="AQ270" s="55" t="n">
        <f aca="false">IF(ISNUMBER(Rendimientos!B270),Rendimientos!B270,NA())</f>
        <v>46292</v>
      </c>
      <c r="AR270" s="44" t="n">
        <f aca="false">IF(AND(ISNUMBER(Rendimientos!C270),ISNUMBER(Rendimientos!$C$13)),Rendimientos!C270/Rendimientos!$C$13*100,NA())</f>
        <v>136.4</v>
      </c>
      <c r="AS270" s="44" t="n">
        <f aca="false">IF(AND(ISNUMBER(Rendimientos!D270),ISNUMBER(Rendimientos!$D$13)),Rendimientos!D270/Rendimientos!$D$13*100,NA())</f>
        <v>124.363273916229</v>
      </c>
    </row>
    <row r="271" customFormat="false" ht="13.8" hidden="false" customHeight="false" outlineLevel="0" collapsed="false">
      <c r="AE271" s="44" t="n">
        <f aca="false">IF(ISNUMBER(Rendimientos!C271),Rendimientos!A271,"")</f>
        <v>259</v>
      </c>
      <c r="AF271" s="122" t="n">
        <f aca="false">IF(AE271="","",Rendimientos!C271)</f>
        <v>33.1</v>
      </c>
      <c r="AG271" s="44" t="n">
        <f aca="false">IF(AF271="","",LN(AF271))</f>
        <v>3.49953328238302</v>
      </c>
      <c r="AH271" s="44" t="n">
        <f aca="false">IF(AE271="",NA(),AE271)</f>
        <v>259</v>
      </c>
      <c r="AI271" s="122" t="n">
        <f aca="false">IF(AE271="",NA(),AF271)</f>
        <v>33.1</v>
      </c>
      <c r="AK271" s="44" t="n">
        <f aca="false">IF(ISNUMBER(Rendimientos!D271),Rendimientos!A271,"")</f>
        <v>259</v>
      </c>
      <c r="AL271" s="122" t="n">
        <f aca="false">IF(AK271="","",Rendimientos!D271)</f>
        <v>66048.57</v>
      </c>
      <c r="AM271" s="44" t="n">
        <f aca="false">IF(AL271="","",LN(AL271))</f>
        <v>11.0981456594512</v>
      </c>
      <c r="AN271" s="44" t="n">
        <f aca="false">IF(AK271="",NA(),AK271)</f>
        <v>259</v>
      </c>
      <c r="AO271" s="122" t="n">
        <f aca="false">IF(AK271="",NA(),AL271)</f>
        <v>66048.57</v>
      </c>
      <c r="AQ271" s="55" t="n">
        <f aca="false">IF(ISNUMBER(Rendimientos!B271),Rendimientos!B271,NA())</f>
        <v>46299</v>
      </c>
      <c r="AR271" s="44" t="n">
        <f aca="false">IF(AND(ISNUMBER(Rendimientos!C271),ISNUMBER(Rendimientos!$C$13)),Rendimientos!C271/Rendimientos!$C$13*100,NA())</f>
        <v>132.4</v>
      </c>
      <c r="AS271" s="44" t="n">
        <f aca="false">IF(AND(ISNUMBER(Rendimientos!D271),ISNUMBER(Rendimientos!$D$13)),Rendimientos!D271/Rendimientos!$D$13*100,NA())</f>
        <v>127.286573086045</v>
      </c>
    </row>
    <row r="272" customFormat="false" ht="13.8" hidden="false" customHeight="false" outlineLevel="0" collapsed="false">
      <c r="AE272" s="44" t="str">
        <f aca="false">IF(ISNUMBER(Rendimientos!C272),Rendimientos!A272,"")</f>
        <v/>
      </c>
      <c r="AF272" s="44" t="str">
        <f aca="false">IF(AE272="","",Rendimientos!C272)</f>
        <v/>
      </c>
      <c r="AG272" s="44" t="str">
        <f aca="false">IF(AF272="","",LN(AF272))</f>
        <v/>
      </c>
      <c r="AQ272" s="55"/>
    </row>
    <row r="273" customFormat="false" ht="13.8" hidden="false" customHeight="false" outlineLevel="0" collapsed="false">
      <c r="AE273" s="44" t="str">
        <f aca="false">IF(ISNUMBER(Rendimientos!C273),Rendimientos!A273,"")</f>
        <v/>
      </c>
      <c r="AF273" s="44" t="str">
        <f aca="false">IF(AE273="","",Rendimientos!C273)</f>
        <v/>
      </c>
      <c r="AG273" s="44" t="str">
        <f aca="false">IF(AF273="","",LN(AF273))</f>
        <v/>
      </c>
      <c r="AQ273" s="55"/>
    </row>
    <row r="274" customFormat="false" ht="13.8" hidden="false" customHeight="false" outlineLevel="0" collapsed="false">
      <c r="AE274" s="44" t="str">
        <f aca="false">IF(ISNUMBER(Rendimientos!C274),Rendimientos!A274,"")</f>
        <v/>
      </c>
      <c r="AF274" s="44" t="str">
        <f aca="false">IF(AE274="","",Rendimientos!C274)</f>
        <v/>
      </c>
      <c r="AG274" s="44" t="str">
        <f aca="false">IF(AF274="","",LN(AF274))</f>
        <v/>
      </c>
      <c r="AQ274" s="55"/>
    </row>
    <row r="275" customFormat="false" ht="13.8" hidden="false" customHeight="false" outlineLevel="0" collapsed="false">
      <c r="AE275" s="44" t="str">
        <f aca="false">IF(ISNUMBER(Rendimientos!C275),Rendimientos!A275,"")</f>
        <v/>
      </c>
      <c r="AF275" s="44" t="str">
        <f aca="false">IF(AE275="","",Rendimientos!C275)</f>
        <v/>
      </c>
      <c r="AG275" s="44" t="str">
        <f aca="false">IF(AF275="","",LN(AF275))</f>
        <v/>
      </c>
      <c r="AQ275" s="55"/>
    </row>
    <row r="276" customFormat="false" ht="13.8" hidden="false" customHeight="false" outlineLevel="0" collapsed="false">
      <c r="AE276" s="44" t="str">
        <f aca="false">IF(ISNUMBER(Rendimientos!C276),Rendimientos!A276,"")</f>
        <v/>
      </c>
      <c r="AF276" s="44" t="str">
        <f aca="false">IF(AE276="","",Rendimientos!C276)</f>
        <v/>
      </c>
      <c r="AG276" s="44" t="str">
        <f aca="false">IF(AF276="","",LN(AF276))</f>
        <v/>
      </c>
      <c r="AQ276" s="55"/>
    </row>
    <row r="277" customFormat="false" ht="13.8" hidden="false" customHeight="false" outlineLevel="0" collapsed="false">
      <c r="AE277" s="44" t="str">
        <f aca="false">IF(ISNUMBER(Rendimientos!C277),Rendimientos!A277,"")</f>
        <v/>
      </c>
      <c r="AF277" s="44" t="str">
        <f aca="false">IF(AE277="","",Rendimientos!C277)</f>
        <v/>
      </c>
      <c r="AG277" s="44" t="str">
        <f aca="false">IF(AF277="","",LN(AF277))</f>
        <v/>
      </c>
      <c r="AQ277" s="55"/>
    </row>
    <row r="278" customFormat="false" ht="13.8" hidden="false" customHeight="false" outlineLevel="0" collapsed="false">
      <c r="AE278" s="44" t="str">
        <f aca="false">IF(ISNUMBER(Rendimientos!C278),Rendimientos!A278,"")</f>
        <v/>
      </c>
      <c r="AF278" s="44" t="str">
        <f aca="false">IF(AE278="","",Rendimientos!C278)</f>
        <v/>
      </c>
      <c r="AG278" s="44" t="str">
        <f aca="false">IF(AF278="","",LN(AF278))</f>
        <v/>
      </c>
      <c r="AQ278" s="55"/>
    </row>
    <row r="279" customFormat="false" ht="13.8" hidden="false" customHeight="false" outlineLevel="0" collapsed="false">
      <c r="AE279" s="44" t="str">
        <f aca="false">IF(ISNUMBER(Rendimientos!C279),Rendimientos!A279,"")</f>
        <v/>
      </c>
      <c r="AF279" s="44" t="str">
        <f aca="false">IF(AE279="","",Rendimientos!C279)</f>
        <v/>
      </c>
      <c r="AG279" s="44" t="str">
        <f aca="false">IF(AF279="","",LN(AF279))</f>
        <v/>
      </c>
      <c r="AQ279" s="55"/>
    </row>
    <row r="280" customFormat="false" ht="13.8" hidden="false" customHeight="false" outlineLevel="0" collapsed="false">
      <c r="AE280" s="44" t="str">
        <f aca="false">IF(ISNUMBER(Rendimientos!C280),Rendimientos!A280,"")</f>
        <v/>
      </c>
      <c r="AF280" s="44" t="str">
        <f aca="false">IF(AE280="","",Rendimientos!C280)</f>
        <v/>
      </c>
      <c r="AG280" s="44" t="str">
        <f aca="false">IF(AF280="","",LN(AF280))</f>
        <v/>
      </c>
      <c r="AQ280" s="55"/>
    </row>
    <row r="281" customFormat="false" ht="13.8" hidden="false" customHeight="false" outlineLevel="0" collapsed="false">
      <c r="AE281" s="44" t="str">
        <f aca="false">IF(ISNUMBER(Rendimientos!C281),Rendimientos!A281,"")</f>
        <v/>
      </c>
      <c r="AF281" s="44" t="str">
        <f aca="false">IF(AE281="","",Rendimientos!C281)</f>
        <v/>
      </c>
      <c r="AG281" s="44" t="str">
        <f aca="false">IF(AF281="","",LN(AF281))</f>
        <v/>
      </c>
      <c r="AQ281" s="55"/>
    </row>
    <row r="282" customFormat="false" ht="13.8" hidden="false" customHeight="false" outlineLevel="0" collapsed="false">
      <c r="AE282" s="44" t="str">
        <f aca="false">IF(ISNUMBER(Rendimientos!C282),Rendimientos!A282,"")</f>
        <v/>
      </c>
      <c r="AF282" s="44" t="str">
        <f aca="false">IF(AE282="","",Rendimientos!C282)</f>
        <v/>
      </c>
      <c r="AG282" s="44" t="str">
        <f aca="false">IF(AF282="","",LN(AF282))</f>
        <v/>
      </c>
      <c r="AQ282" s="55"/>
    </row>
    <row r="283" customFormat="false" ht="13.8" hidden="false" customHeight="false" outlineLevel="0" collapsed="false">
      <c r="AE283" s="44" t="str">
        <f aca="false">IF(ISNUMBER(Rendimientos!C283),Rendimientos!A283,"")</f>
        <v/>
      </c>
      <c r="AF283" s="44" t="str">
        <f aca="false">IF(AE283="","",Rendimientos!C283)</f>
        <v/>
      </c>
      <c r="AG283" s="44" t="str">
        <f aca="false">IF(AF283="","",LN(AF283))</f>
        <v/>
      </c>
      <c r="AQ283" s="55"/>
    </row>
    <row r="284" customFormat="false" ht="13.8" hidden="false" customHeight="false" outlineLevel="0" collapsed="false">
      <c r="AE284" s="44" t="str">
        <f aca="false">IF(ISNUMBER(Rendimientos!C284),Rendimientos!A284,"")</f>
        <v/>
      </c>
      <c r="AF284" s="44" t="str">
        <f aca="false">IF(AE284="","",Rendimientos!C284)</f>
        <v/>
      </c>
      <c r="AG284" s="44" t="str">
        <f aca="false">IF(AF284="","",LN(AF284))</f>
        <v/>
      </c>
      <c r="AQ284" s="55"/>
    </row>
    <row r="285" customFormat="false" ht="13.8" hidden="false" customHeight="false" outlineLevel="0" collapsed="false">
      <c r="AE285" s="44" t="str">
        <f aca="false">IF(ISNUMBER(Rendimientos!C285),Rendimientos!A285,"")</f>
        <v/>
      </c>
      <c r="AF285" s="44" t="str">
        <f aca="false">IF(AE285="","",Rendimientos!C285)</f>
        <v/>
      </c>
      <c r="AG285" s="44" t="str">
        <f aca="false">IF(AF285="","",LN(AF285))</f>
        <v/>
      </c>
      <c r="AQ285" s="55"/>
    </row>
    <row r="286" customFormat="false" ht="13.8" hidden="false" customHeight="false" outlineLevel="0" collapsed="false">
      <c r="AE286" s="44" t="str">
        <f aca="false">IF(ISNUMBER(Rendimientos!C286),Rendimientos!A286,"")</f>
        <v/>
      </c>
      <c r="AF286" s="44" t="str">
        <f aca="false">IF(AE286="","",Rendimientos!C286)</f>
        <v/>
      </c>
      <c r="AG286" s="44" t="str">
        <f aca="false">IF(AF286="","",LN(AF286))</f>
        <v/>
      </c>
      <c r="AQ286" s="55"/>
    </row>
    <row r="287" customFormat="false" ht="13.8" hidden="false" customHeight="false" outlineLevel="0" collapsed="false">
      <c r="AE287" s="44" t="str">
        <f aca="false">IF(ISNUMBER(Rendimientos!C287),Rendimientos!A287,"")</f>
        <v/>
      </c>
      <c r="AF287" s="44" t="str">
        <f aca="false">IF(AE287="","",Rendimientos!C287)</f>
        <v/>
      </c>
      <c r="AG287" s="44" t="str">
        <f aca="false">IF(AF287="","",LN(AF287))</f>
        <v/>
      </c>
      <c r="AQ287" s="55"/>
    </row>
    <row r="288" customFormat="false" ht="13.8" hidden="false" customHeight="false" outlineLevel="0" collapsed="false">
      <c r="AE288" s="44" t="str">
        <f aca="false">IF(ISNUMBER(Rendimientos!C288),Rendimientos!A288,"")</f>
        <v/>
      </c>
      <c r="AF288" s="44" t="str">
        <f aca="false">IF(AE288="","",Rendimientos!C288)</f>
        <v/>
      </c>
      <c r="AG288" s="44" t="str">
        <f aca="false">IF(AF288="","",LN(AF288))</f>
        <v/>
      </c>
      <c r="AQ288" s="55"/>
    </row>
    <row r="289" customFormat="false" ht="13.8" hidden="false" customHeight="false" outlineLevel="0" collapsed="false">
      <c r="AE289" s="44" t="str">
        <f aca="false">IF(ISNUMBER(Rendimientos!C289),Rendimientos!A289,"")</f>
        <v/>
      </c>
      <c r="AF289" s="44" t="str">
        <f aca="false">IF(AE289="","",Rendimientos!C289)</f>
        <v/>
      </c>
      <c r="AG289" s="44" t="str">
        <f aca="false">IF(AF289="","",LN(AF289))</f>
        <v/>
      </c>
      <c r="AQ289" s="55"/>
    </row>
    <row r="290" customFormat="false" ht="13.8" hidden="false" customHeight="false" outlineLevel="0" collapsed="false">
      <c r="AE290" s="44" t="str">
        <f aca="false">IF(ISNUMBER(Rendimientos!C290),Rendimientos!A290,"")</f>
        <v/>
      </c>
      <c r="AF290" s="44" t="str">
        <f aca="false">IF(AE290="","",Rendimientos!C290)</f>
        <v/>
      </c>
      <c r="AG290" s="44" t="str">
        <f aca="false">IF(AF290="","",LN(AF290))</f>
        <v/>
      </c>
      <c r="AQ290" s="55"/>
    </row>
    <row r="291" customFormat="false" ht="13.8" hidden="false" customHeight="false" outlineLevel="0" collapsed="false">
      <c r="AE291" s="44" t="str">
        <f aca="false">IF(ISNUMBER(Rendimientos!C291),Rendimientos!A291,"")</f>
        <v/>
      </c>
      <c r="AF291" s="44" t="str">
        <f aca="false">IF(AE291="","",Rendimientos!C291)</f>
        <v/>
      </c>
      <c r="AG291" s="44" t="str">
        <f aca="false">IF(AF291="","",LN(AF291))</f>
        <v/>
      </c>
      <c r="AQ291" s="55"/>
    </row>
    <row r="292" customFormat="false" ht="13.8" hidden="false" customHeight="false" outlineLevel="0" collapsed="false">
      <c r="AE292" s="44" t="str">
        <f aca="false">IF(ISNUMBER(Rendimientos!C292),Rendimientos!A292,"")</f>
        <v/>
      </c>
      <c r="AF292" s="44" t="str">
        <f aca="false">IF(AE292="","",Rendimientos!C292)</f>
        <v/>
      </c>
      <c r="AG292" s="44" t="str">
        <f aca="false">IF(AF292="","",LN(AF292))</f>
        <v/>
      </c>
      <c r="AQ292" s="55"/>
    </row>
    <row r="293" customFormat="false" ht="13.8" hidden="false" customHeight="false" outlineLevel="0" collapsed="false">
      <c r="AE293" s="44" t="str">
        <f aca="false">IF(ISNUMBER(Rendimientos!C293),Rendimientos!A293,"")</f>
        <v/>
      </c>
      <c r="AF293" s="44" t="str">
        <f aca="false">IF(AE293="","",Rendimientos!C293)</f>
        <v/>
      </c>
      <c r="AG293" s="44" t="str">
        <f aca="false">IF(AF293="","",LN(AF293))</f>
        <v/>
      </c>
      <c r="AQ293" s="55"/>
    </row>
    <row r="294" customFormat="false" ht="13.8" hidden="false" customHeight="false" outlineLevel="0" collapsed="false">
      <c r="AE294" s="44" t="str">
        <f aca="false">IF(ISNUMBER(Rendimientos!C294),Rendimientos!A294,"")</f>
        <v/>
      </c>
      <c r="AF294" s="44" t="str">
        <f aca="false">IF(AE294="","",Rendimientos!C294)</f>
        <v/>
      </c>
      <c r="AG294" s="44" t="str">
        <f aca="false">IF(AF294="","",LN(AF294))</f>
        <v/>
      </c>
      <c r="AQ294" s="55"/>
    </row>
    <row r="295" customFormat="false" ht="13.8" hidden="false" customHeight="false" outlineLevel="0" collapsed="false">
      <c r="AE295" s="44" t="str">
        <f aca="false">IF(ISNUMBER(Rendimientos!C295),Rendimientos!A295,"")</f>
        <v/>
      </c>
      <c r="AF295" s="44" t="str">
        <f aca="false">IF(AE295="","",Rendimientos!C295)</f>
        <v/>
      </c>
      <c r="AG295" s="44" t="str">
        <f aca="false">IF(AF295="","",LN(AF295))</f>
        <v/>
      </c>
      <c r="AQ295" s="55"/>
    </row>
    <row r="296" customFormat="false" ht="13.8" hidden="false" customHeight="false" outlineLevel="0" collapsed="false">
      <c r="AE296" s="44" t="str">
        <f aca="false">IF(ISNUMBER(Rendimientos!C296),Rendimientos!A296,"")</f>
        <v/>
      </c>
      <c r="AF296" s="44" t="str">
        <f aca="false">IF(AE296="","",Rendimientos!C296)</f>
        <v/>
      </c>
      <c r="AG296" s="44" t="str">
        <f aca="false">IF(AF296="","",LN(AF296))</f>
        <v/>
      </c>
      <c r="AQ296" s="55"/>
    </row>
    <row r="297" customFormat="false" ht="13.8" hidden="false" customHeight="false" outlineLevel="0" collapsed="false">
      <c r="AE297" s="44" t="str">
        <f aca="false">IF(ISNUMBER(Rendimientos!C297),Rendimientos!A297,"")</f>
        <v/>
      </c>
      <c r="AF297" s="44" t="str">
        <f aca="false">IF(AE297="","",Rendimientos!C297)</f>
        <v/>
      </c>
      <c r="AG297" s="44" t="str">
        <f aca="false">IF(AF297="","",LN(AF297))</f>
        <v/>
      </c>
      <c r="AQ297" s="55"/>
    </row>
    <row r="298" customFormat="false" ht="13.8" hidden="false" customHeight="false" outlineLevel="0" collapsed="false">
      <c r="AE298" s="44" t="str">
        <f aca="false">IF(ISNUMBER(Rendimientos!C298),Rendimientos!A298,"")</f>
        <v/>
      </c>
      <c r="AF298" s="44" t="str">
        <f aca="false">IF(AE298="","",Rendimientos!C298)</f>
        <v/>
      </c>
      <c r="AG298" s="44" t="str">
        <f aca="false">IF(AF298="","",LN(AF298))</f>
        <v/>
      </c>
      <c r="AQ298" s="55"/>
    </row>
    <row r="299" customFormat="false" ht="13.8" hidden="false" customHeight="false" outlineLevel="0" collapsed="false">
      <c r="AE299" s="44" t="str">
        <f aca="false">IF(ISNUMBER(Rendimientos!C299),Rendimientos!A299,"")</f>
        <v/>
      </c>
      <c r="AF299" s="44" t="str">
        <f aca="false">IF(AE299="","",Rendimientos!C299)</f>
        <v/>
      </c>
      <c r="AG299" s="44" t="str">
        <f aca="false">IF(AF299="","",LN(AF299))</f>
        <v/>
      </c>
      <c r="AQ299" s="55"/>
    </row>
    <row r="300" customFormat="false" ht="13.8" hidden="false" customHeight="false" outlineLevel="0" collapsed="false">
      <c r="AE300" s="44" t="str">
        <f aca="false">IF(ISNUMBER(Rendimientos!C300),Rendimientos!A300,"")</f>
        <v/>
      </c>
      <c r="AF300" s="44" t="str">
        <f aca="false">IF(AE300="","",Rendimientos!C300)</f>
        <v/>
      </c>
      <c r="AG300" s="44" t="str">
        <f aca="false">IF(AF300="","",LN(AF300))</f>
        <v/>
      </c>
      <c r="AQ300" s="55"/>
    </row>
    <row r="301" customFormat="false" ht="13.8" hidden="false" customHeight="false" outlineLevel="0" collapsed="false">
      <c r="AE301" s="44" t="str">
        <f aca="false">IF(ISNUMBER(Rendimientos!C301),Rendimientos!A301,"")</f>
        <v/>
      </c>
      <c r="AF301" s="44" t="str">
        <f aca="false">IF(AE301="","",Rendimientos!C301)</f>
        <v/>
      </c>
      <c r="AG301" s="44" t="str">
        <f aca="false">IF(AF301="","",LN(AF301))</f>
        <v/>
      </c>
      <c r="AQ301" s="55"/>
    </row>
    <row r="302" customFormat="false" ht="13.8" hidden="false" customHeight="false" outlineLevel="0" collapsed="false">
      <c r="AE302" s="44" t="str">
        <f aca="false">IF(ISNUMBER(Rendimientos!C302),Rendimientos!A302,"")</f>
        <v/>
      </c>
      <c r="AF302" s="44" t="str">
        <f aca="false">IF(AE302="","",Rendimientos!C302)</f>
        <v/>
      </c>
      <c r="AG302" s="44" t="str">
        <f aca="false">IF(AF302="","",LN(AF302))</f>
        <v/>
      </c>
      <c r="AQ302" s="55"/>
    </row>
    <row r="303" customFormat="false" ht="13.8" hidden="false" customHeight="false" outlineLevel="0" collapsed="false">
      <c r="AE303" s="44" t="str">
        <f aca="false">IF(ISNUMBER(Rendimientos!C303),Rendimientos!A303,"")</f>
        <v/>
      </c>
      <c r="AF303" s="44" t="str">
        <f aca="false">IF(AE303="","",Rendimientos!C303)</f>
        <v/>
      </c>
      <c r="AG303" s="44" t="str">
        <f aca="false">IF(AF303="","",LN(AF303))</f>
        <v/>
      </c>
      <c r="AQ303" s="55"/>
    </row>
    <row r="304" customFormat="false" ht="13.8" hidden="false" customHeight="false" outlineLevel="0" collapsed="false">
      <c r="AE304" s="44" t="str">
        <f aca="false">IF(ISNUMBER(Rendimientos!C304),Rendimientos!A304,"")</f>
        <v/>
      </c>
      <c r="AF304" s="44" t="str">
        <f aca="false">IF(AE304="","",Rendimientos!C304)</f>
        <v/>
      </c>
      <c r="AG304" s="44" t="str">
        <f aca="false">IF(AF304="","",LN(AF304))</f>
        <v/>
      </c>
      <c r="AQ304" s="55"/>
    </row>
    <row r="305" customFormat="false" ht="13.8" hidden="false" customHeight="false" outlineLevel="0" collapsed="false">
      <c r="AE305" s="44" t="str">
        <f aca="false">IF(ISNUMBER(Rendimientos!C305),Rendimientos!A305,"")</f>
        <v/>
      </c>
      <c r="AF305" s="44" t="str">
        <f aca="false">IF(AE305="","",Rendimientos!C305)</f>
        <v/>
      </c>
      <c r="AG305" s="44" t="str">
        <f aca="false">IF(AF305="","",LN(AF305))</f>
        <v/>
      </c>
      <c r="AQ305" s="55"/>
    </row>
    <row r="306" customFormat="false" ht="13.8" hidden="false" customHeight="false" outlineLevel="0" collapsed="false">
      <c r="AE306" s="44" t="str">
        <f aca="false">IF(ISNUMBER(Rendimientos!C306),Rendimientos!A306,"")</f>
        <v/>
      </c>
      <c r="AF306" s="44" t="str">
        <f aca="false">IF(AE306="","",Rendimientos!C306)</f>
        <v/>
      </c>
      <c r="AG306" s="44" t="str">
        <f aca="false">IF(AF306="","",LN(AF306))</f>
        <v/>
      </c>
      <c r="AQ306" s="55"/>
    </row>
    <row r="307" customFormat="false" ht="13.8" hidden="false" customHeight="false" outlineLevel="0" collapsed="false">
      <c r="AE307" s="44" t="str">
        <f aca="false">IF(ISNUMBER(Rendimientos!C307),Rendimientos!A307,"")</f>
        <v/>
      </c>
      <c r="AF307" s="44" t="str">
        <f aca="false">IF(AE307="","",Rendimientos!C307)</f>
        <v/>
      </c>
      <c r="AG307" s="44" t="str">
        <f aca="false">IF(AF307="","",LN(AF307))</f>
        <v/>
      </c>
      <c r="AQ307" s="55"/>
    </row>
    <row r="308" customFormat="false" ht="13.8" hidden="false" customHeight="false" outlineLevel="0" collapsed="false">
      <c r="AE308" s="44" t="str">
        <f aca="false">IF(ISNUMBER(Rendimientos!C308),Rendimientos!A308,"")</f>
        <v/>
      </c>
      <c r="AF308" s="44" t="str">
        <f aca="false">IF(AE308="","",Rendimientos!C308)</f>
        <v/>
      </c>
      <c r="AG308" s="44" t="str">
        <f aca="false">IF(AF308="","",LN(AF308))</f>
        <v/>
      </c>
      <c r="AQ308" s="55"/>
    </row>
    <row r="309" customFormat="false" ht="13.8" hidden="false" customHeight="false" outlineLevel="0" collapsed="false">
      <c r="AE309" s="44" t="str">
        <f aca="false">IF(ISNUMBER(Rendimientos!C309),Rendimientos!A309,"")</f>
        <v/>
      </c>
      <c r="AF309" s="44" t="str">
        <f aca="false">IF(AE309="","",Rendimientos!C309)</f>
        <v/>
      </c>
      <c r="AG309" s="44" t="str">
        <f aca="false">IF(AF309="","",LN(AF309))</f>
        <v/>
      </c>
      <c r="AQ309" s="55"/>
    </row>
    <row r="310" customFormat="false" ht="13.8" hidden="false" customHeight="false" outlineLevel="0" collapsed="false">
      <c r="AE310" s="44" t="str">
        <f aca="false">IF(ISNUMBER(Rendimientos!C310),Rendimientos!A310,"")</f>
        <v/>
      </c>
      <c r="AF310" s="44" t="str">
        <f aca="false">IF(AE310="","",Rendimientos!C310)</f>
        <v/>
      </c>
      <c r="AG310" s="44" t="str">
        <f aca="false">IF(AF310="","",LN(AF310))</f>
        <v/>
      </c>
      <c r="AQ310" s="55"/>
    </row>
    <row r="311" customFormat="false" ht="13.8" hidden="false" customHeight="false" outlineLevel="0" collapsed="false">
      <c r="AE311" s="44" t="str">
        <f aca="false">IF(ISNUMBER(Rendimientos!C311),Rendimientos!A311,"")</f>
        <v/>
      </c>
      <c r="AF311" s="44" t="str">
        <f aca="false">IF(AE311="","",Rendimientos!C311)</f>
        <v/>
      </c>
      <c r="AG311" s="44" t="str">
        <f aca="false">IF(AF311="","",LN(AF311))</f>
        <v/>
      </c>
      <c r="AQ311" s="55"/>
    </row>
    <row r="312" customFormat="false" ht="13.8" hidden="false" customHeight="false" outlineLevel="0" collapsed="false">
      <c r="AE312" s="44" t="str">
        <f aca="false">IF(ISNUMBER(Rendimientos!C312),Rendimientos!A312,"")</f>
        <v/>
      </c>
      <c r="AF312" s="44" t="str">
        <f aca="false">IF(AE312="","",Rendimientos!C312)</f>
        <v/>
      </c>
      <c r="AG312" s="44" t="str">
        <f aca="false">IF(AF312="","",LN(AF312))</f>
        <v/>
      </c>
      <c r="AQ312" s="55"/>
    </row>
    <row r="313" customFormat="false" ht="13.8" hidden="false" customHeight="false" outlineLevel="0" collapsed="false">
      <c r="AE313" s="44" t="str">
        <f aca="false">IF(ISNUMBER(Rendimientos!C313),Rendimientos!A313,"")</f>
        <v/>
      </c>
      <c r="AF313" s="44" t="str">
        <f aca="false">IF(AE313="","",Rendimientos!C313)</f>
        <v/>
      </c>
      <c r="AG313" s="44" t="str">
        <f aca="false">IF(AF313="","",LN(AF313))</f>
        <v/>
      </c>
      <c r="AQ313" s="55"/>
    </row>
    <row r="314" customFormat="false" ht="13.8" hidden="false" customHeight="false" outlineLevel="0" collapsed="false">
      <c r="AE314" s="44" t="str">
        <f aca="false">IF(ISNUMBER(Rendimientos!C314),Rendimientos!A314,"")</f>
        <v/>
      </c>
      <c r="AF314" s="44" t="str">
        <f aca="false">IF(AE314="","",Rendimientos!C314)</f>
        <v/>
      </c>
      <c r="AG314" s="44" t="str">
        <f aca="false">IF(AF314="","",LN(AF314))</f>
        <v/>
      </c>
      <c r="AQ314" s="55"/>
    </row>
    <row r="315" customFormat="false" ht="13.8" hidden="false" customHeight="false" outlineLevel="0" collapsed="false">
      <c r="AE315" s="44" t="str">
        <f aca="false">IF(ISNUMBER(Rendimientos!C315),Rendimientos!A315,"")</f>
        <v/>
      </c>
      <c r="AF315" s="44" t="str">
        <f aca="false">IF(AE315="","",Rendimientos!C315)</f>
        <v/>
      </c>
      <c r="AG315" s="44" t="str">
        <f aca="false">IF(AF315="","",LN(AF315))</f>
        <v/>
      </c>
      <c r="AQ315" s="55"/>
    </row>
    <row r="316" customFormat="false" ht="13.8" hidden="false" customHeight="false" outlineLevel="0" collapsed="false">
      <c r="AE316" s="44" t="str">
        <f aca="false">IF(ISNUMBER(Rendimientos!C316),Rendimientos!A316,"")</f>
        <v/>
      </c>
      <c r="AF316" s="44" t="str">
        <f aca="false">IF(AE316="","",Rendimientos!C316)</f>
        <v/>
      </c>
      <c r="AG316" s="44" t="str">
        <f aca="false">IF(AF316="","",LN(AF316))</f>
        <v/>
      </c>
      <c r="AQ316" s="55"/>
    </row>
    <row r="317" customFormat="false" ht="13.8" hidden="false" customHeight="false" outlineLevel="0" collapsed="false">
      <c r="AE317" s="44" t="str">
        <f aca="false">IF(ISNUMBER(Rendimientos!C317),Rendimientos!A317,"")</f>
        <v/>
      </c>
      <c r="AF317" s="44" t="str">
        <f aca="false">IF(AE317="","",Rendimientos!C317)</f>
        <v/>
      </c>
      <c r="AG317" s="44" t="str">
        <f aca="false">IF(AF317="","",LN(AF317))</f>
        <v/>
      </c>
      <c r="AQ317" s="55"/>
    </row>
    <row r="318" customFormat="false" ht="13.8" hidden="false" customHeight="false" outlineLevel="0" collapsed="false">
      <c r="AE318" s="44" t="str">
        <f aca="false">IF(ISNUMBER(Rendimientos!C318),Rendimientos!A318,"")</f>
        <v/>
      </c>
      <c r="AF318" s="44" t="str">
        <f aca="false">IF(AE318="","",Rendimientos!C318)</f>
        <v/>
      </c>
      <c r="AG318" s="44" t="str">
        <f aca="false">IF(AF318="","",LN(AF318))</f>
        <v/>
      </c>
      <c r="AQ318" s="55"/>
    </row>
    <row r="319" customFormat="false" ht="13.8" hidden="false" customHeight="false" outlineLevel="0" collapsed="false">
      <c r="AE319" s="44" t="str">
        <f aca="false">IF(ISNUMBER(Rendimientos!C319),Rendimientos!A319,"")</f>
        <v/>
      </c>
      <c r="AF319" s="44" t="str">
        <f aca="false">IF(AE319="","",Rendimientos!C319)</f>
        <v/>
      </c>
      <c r="AG319" s="44" t="str">
        <f aca="false">IF(AF319="","",LN(AF319))</f>
        <v/>
      </c>
      <c r="AQ319" s="55"/>
    </row>
    <row r="320" customFormat="false" ht="13.8" hidden="false" customHeight="false" outlineLevel="0" collapsed="false">
      <c r="AE320" s="44" t="str">
        <f aca="false">IF(ISNUMBER(Rendimientos!C320),Rendimientos!A320,"")</f>
        <v/>
      </c>
      <c r="AF320" s="44" t="str">
        <f aca="false">IF(AE320="","",Rendimientos!C320)</f>
        <v/>
      </c>
      <c r="AG320" s="44" t="str">
        <f aca="false">IF(AF320="","",LN(AF320))</f>
        <v/>
      </c>
      <c r="AQ320" s="55"/>
    </row>
    <row r="321" customFormat="false" ht="13.8" hidden="false" customHeight="false" outlineLevel="0" collapsed="false">
      <c r="AE321" s="44" t="str">
        <f aca="false">IF(ISNUMBER(Rendimientos!C321),Rendimientos!A321,"")</f>
        <v/>
      </c>
      <c r="AF321" s="44" t="str">
        <f aca="false">IF(AE321="","",Rendimientos!C321)</f>
        <v/>
      </c>
      <c r="AG321" s="44" t="str">
        <f aca="false">IF(AF321="","",LN(AF321))</f>
        <v/>
      </c>
      <c r="AQ321" s="55"/>
    </row>
    <row r="322" customFormat="false" ht="13.8" hidden="false" customHeight="false" outlineLevel="0" collapsed="false">
      <c r="AE322" s="44" t="str">
        <f aca="false">IF(ISNUMBER(Rendimientos!C322),Rendimientos!A322,"")</f>
        <v/>
      </c>
      <c r="AF322" s="44" t="str">
        <f aca="false">IF(AE322="","",Rendimientos!C322)</f>
        <v/>
      </c>
      <c r="AG322" s="44" t="str">
        <f aca="false">IF(AF322="","",LN(AF322))</f>
        <v/>
      </c>
      <c r="AQ322" s="55"/>
    </row>
    <row r="323" customFormat="false" ht="13.8" hidden="false" customHeight="false" outlineLevel="0" collapsed="false">
      <c r="AE323" s="44" t="str">
        <f aca="false">IF(ISNUMBER(Rendimientos!C323),Rendimientos!A323,"")</f>
        <v/>
      </c>
      <c r="AF323" s="44" t="str">
        <f aca="false">IF(AE323="","",Rendimientos!C323)</f>
        <v/>
      </c>
      <c r="AG323" s="44" t="str">
        <f aca="false">IF(AF323="","",LN(AF323))</f>
        <v/>
      </c>
      <c r="AQ323" s="55"/>
    </row>
    <row r="324" customFormat="false" ht="13.8" hidden="false" customHeight="false" outlineLevel="0" collapsed="false">
      <c r="AE324" s="44" t="str">
        <f aca="false">IF(ISNUMBER(Rendimientos!C324),Rendimientos!A324,"")</f>
        <v/>
      </c>
      <c r="AF324" s="44" t="str">
        <f aca="false">IF(AE324="","",Rendimientos!C324)</f>
        <v/>
      </c>
      <c r="AG324" s="44" t="str">
        <f aca="false">IF(AF324="","",LN(AF324))</f>
        <v/>
      </c>
      <c r="AQ324" s="55"/>
    </row>
    <row r="325" customFormat="false" ht="13.8" hidden="false" customHeight="false" outlineLevel="0" collapsed="false">
      <c r="AE325" s="44" t="str">
        <f aca="false">IF(ISNUMBER(Rendimientos!C325),Rendimientos!A325,"")</f>
        <v/>
      </c>
      <c r="AF325" s="44" t="str">
        <f aca="false">IF(AE325="","",Rendimientos!C325)</f>
        <v/>
      </c>
      <c r="AG325" s="44" t="str">
        <f aca="false">IF(AF325="","",LN(AF325))</f>
        <v/>
      </c>
      <c r="AQ325" s="55"/>
    </row>
    <row r="326" customFormat="false" ht="13.8" hidden="false" customHeight="false" outlineLevel="0" collapsed="false">
      <c r="AE326" s="44" t="str">
        <f aca="false">IF(ISNUMBER(Rendimientos!C326),Rendimientos!A326,"")</f>
        <v/>
      </c>
      <c r="AF326" s="44" t="str">
        <f aca="false">IF(AE326="","",Rendimientos!C326)</f>
        <v/>
      </c>
      <c r="AG326" s="44" t="str">
        <f aca="false">IF(AF326="","",LN(AF326))</f>
        <v/>
      </c>
      <c r="AQ326" s="55"/>
    </row>
    <row r="327" customFormat="false" ht="13.8" hidden="false" customHeight="false" outlineLevel="0" collapsed="false">
      <c r="AE327" s="44" t="str">
        <f aca="false">IF(ISNUMBER(Rendimientos!C327),Rendimientos!A327,"")</f>
        <v/>
      </c>
      <c r="AF327" s="44" t="str">
        <f aca="false">IF(AE327="","",Rendimientos!C327)</f>
        <v/>
      </c>
      <c r="AG327" s="44" t="str">
        <f aca="false">IF(AF327="","",LN(AF327))</f>
        <v/>
      </c>
      <c r="AQ327" s="55"/>
    </row>
    <row r="328" customFormat="false" ht="13.8" hidden="false" customHeight="false" outlineLevel="0" collapsed="false">
      <c r="AE328" s="44" t="str">
        <f aca="false">IF(ISNUMBER(Rendimientos!C328),Rendimientos!A328,"")</f>
        <v/>
      </c>
      <c r="AF328" s="44" t="str">
        <f aca="false">IF(AE328="","",Rendimientos!C328)</f>
        <v/>
      </c>
      <c r="AG328" s="44" t="str">
        <f aca="false">IF(AF328="","",LN(AF328))</f>
        <v/>
      </c>
      <c r="AQ328" s="55"/>
    </row>
    <row r="329" customFormat="false" ht="13.8" hidden="false" customHeight="false" outlineLevel="0" collapsed="false">
      <c r="AE329" s="44" t="str">
        <f aca="false">IF(ISNUMBER(Rendimientos!C329),Rendimientos!A329,"")</f>
        <v/>
      </c>
      <c r="AF329" s="44" t="str">
        <f aca="false">IF(AE329="","",Rendimientos!C329)</f>
        <v/>
      </c>
      <c r="AG329" s="44" t="str">
        <f aca="false">IF(AF329="","",LN(AF329))</f>
        <v/>
      </c>
      <c r="AQ329" s="55"/>
    </row>
    <row r="330" customFormat="false" ht="13.8" hidden="false" customHeight="false" outlineLevel="0" collapsed="false">
      <c r="AE330" s="44" t="str">
        <f aca="false">IF(ISNUMBER(Rendimientos!C330),Rendimientos!A330,"")</f>
        <v/>
      </c>
      <c r="AF330" s="44" t="str">
        <f aca="false">IF(AE330="","",Rendimientos!C330)</f>
        <v/>
      </c>
      <c r="AG330" s="44" t="str">
        <f aca="false">IF(AF330="","",LN(AF330))</f>
        <v/>
      </c>
      <c r="AQ330" s="55"/>
    </row>
    <row r="331" customFormat="false" ht="13.8" hidden="false" customHeight="false" outlineLevel="0" collapsed="false">
      <c r="AE331" s="44" t="str">
        <f aca="false">IF(ISNUMBER(Rendimientos!C331),Rendimientos!A331,"")</f>
        <v/>
      </c>
      <c r="AF331" s="44" t="str">
        <f aca="false">IF(AE331="","",Rendimientos!C331)</f>
        <v/>
      </c>
      <c r="AG331" s="44" t="str">
        <f aca="false">IF(AF331="","",LN(AF331))</f>
        <v/>
      </c>
      <c r="AQ331" s="55"/>
    </row>
    <row r="332" customFormat="false" ht="13.8" hidden="false" customHeight="false" outlineLevel="0" collapsed="false">
      <c r="AE332" s="44" t="str">
        <f aca="false">IF(ISNUMBER(Rendimientos!C332),Rendimientos!A332,"")</f>
        <v/>
      </c>
      <c r="AF332" s="44" t="str">
        <f aca="false">IF(AE332="","",Rendimientos!C332)</f>
        <v/>
      </c>
      <c r="AG332" s="44" t="str">
        <f aca="false">IF(AF332="","",LN(AF332))</f>
        <v/>
      </c>
      <c r="AQ332" s="55"/>
    </row>
    <row r="333" customFormat="false" ht="13.8" hidden="false" customHeight="false" outlineLevel="0" collapsed="false">
      <c r="AE333" s="44" t="str">
        <f aca="false">IF(ISNUMBER(Rendimientos!C333),Rendimientos!A333,"")</f>
        <v/>
      </c>
      <c r="AF333" s="44" t="str">
        <f aca="false">IF(AE333="","",Rendimientos!C333)</f>
        <v/>
      </c>
      <c r="AG333" s="44" t="str">
        <f aca="false">IF(AF333="","",LN(AF333))</f>
        <v/>
      </c>
      <c r="AQ333" s="55"/>
    </row>
    <row r="334" customFormat="false" ht="13.8" hidden="false" customHeight="false" outlineLevel="0" collapsed="false">
      <c r="AE334" s="44" t="str">
        <f aca="false">IF(ISNUMBER(Rendimientos!C334),Rendimientos!A334,"")</f>
        <v/>
      </c>
      <c r="AF334" s="44" t="str">
        <f aca="false">IF(AE334="","",Rendimientos!C334)</f>
        <v/>
      </c>
      <c r="AG334" s="44" t="str">
        <f aca="false">IF(AF334="","",LN(AF334))</f>
        <v/>
      </c>
      <c r="AQ334" s="55"/>
    </row>
    <row r="335" customFormat="false" ht="13.8" hidden="false" customHeight="false" outlineLevel="0" collapsed="false">
      <c r="AE335" s="44" t="str">
        <f aca="false">IF(ISNUMBER(Rendimientos!C335),Rendimientos!A335,"")</f>
        <v/>
      </c>
      <c r="AF335" s="44" t="str">
        <f aca="false">IF(AE335="","",Rendimientos!C335)</f>
        <v/>
      </c>
      <c r="AG335" s="44" t="str">
        <f aca="false">IF(AF335="","",LN(AF335))</f>
        <v/>
      </c>
      <c r="AQ335" s="55"/>
    </row>
    <row r="336" customFormat="false" ht="13.8" hidden="false" customHeight="false" outlineLevel="0" collapsed="false">
      <c r="AE336" s="44" t="str">
        <f aca="false">IF(ISNUMBER(Rendimientos!C336),Rendimientos!A336,"")</f>
        <v/>
      </c>
      <c r="AF336" s="44" t="str">
        <f aca="false">IF(AE336="","",Rendimientos!C336)</f>
        <v/>
      </c>
      <c r="AG336" s="44" t="str">
        <f aca="false">IF(AF336="","",LN(AF336))</f>
        <v/>
      </c>
      <c r="AQ336" s="55"/>
    </row>
    <row r="337" customFormat="false" ht="13.8" hidden="false" customHeight="false" outlineLevel="0" collapsed="false">
      <c r="AE337" s="44" t="str">
        <f aca="false">IF(ISNUMBER(Rendimientos!C337),Rendimientos!A337,"")</f>
        <v/>
      </c>
      <c r="AF337" s="44" t="str">
        <f aca="false">IF(AE337="","",Rendimientos!C337)</f>
        <v/>
      </c>
      <c r="AG337" s="44" t="str">
        <f aca="false">IF(AF337="","",LN(AF337))</f>
        <v/>
      </c>
      <c r="AQ337" s="55"/>
    </row>
    <row r="338" customFormat="false" ht="13.8" hidden="false" customHeight="false" outlineLevel="0" collapsed="false">
      <c r="AE338" s="44" t="str">
        <f aca="false">IF(ISNUMBER(Rendimientos!C338),Rendimientos!A338,"")</f>
        <v/>
      </c>
      <c r="AF338" s="44" t="str">
        <f aca="false">IF(AE338="","",Rendimientos!C338)</f>
        <v/>
      </c>
      <c r="AG338" s="44" t="str">
        <f aca="false">IF(AF338="","",LN(AF338))</f>
        <v/>
      </c>
      <c r="AQ338" s="55"/>
    </row>
    <row r="339" customFormat="false" ht="13.8" hidden="false" customHeight="false" outlineLevel="0" collapsed="false">
      <c r="AE339" s="44" t="str">
        <f aca="false">IF(ISNUMBER(Rendimientos!C339),Rendimientos!A339,"")</f>
        <v/>
      </c>
      <c r="AF339" s="44" t="str">
        <f aca="false">IF(AE339="","",Rendimientos!C339)</f>
        <v/>
      </c>
      <c r="AG339" s="44" t="str">
        <f aca="false">IF(AF339="","",LN(AF339))</f>
        <v/>
      </c>
      <c r="AQ339" s="55"/>
    </row>
    <row r="340" customFormat="false" ht="13.8" hidden="false" customHeight="false" outlineLevel="0" collapsed="false">
      <c r="AE340" s="44" t="str">
        <f aca="false">IF(ISNUMBER(Rendimientos!C340),Rendimientos!A340,"")</f>
        <v/>
      </c>
      <c r="AF340" s="44" t="str">
        <f aca="false">IF(AE340="","",Rendimientos!C340)</f>
        <v/>
      </c>
      <c r="AG340" s="44" t="str">
        <f aca="false">IF(AF340="","",LN(AF340))</f>
        <v/>
      </c>
      <c r="AQ340" s="55"/>
    </row>
    <row r="341" customFormat="false" ht="13.8" hidden="false" customHeight="false" outlineLevel="0" collapsed="false">
      <c r="AE341" s="44" t="str">
        <f aca="false">IF(ISNUMBER(Rendimientos!C341),Rendimientos!A341,"")</f>
        <v/>
      </c>
      <c r="AF341" s="44" t="str">
        <f aca="false">IF(AE341="","",Rendimientos!C341)</f>
        <v/>
      </c>
      <c r="AG341" s="44" t="str">
        <f aca="false">IF(AF341="","",LN(AF341))</f>
        <v/>
      </c>
      <c r="AQ341" s="55"/>
    </row>
    <row r="342" customFormat="false" ht="13.8" hidden="false" customHeight="false" outlineLevel="0" collapsed="false">
      <c r="AE342" s="44" t="str">
        <f aca="false">IF(ISNUMBER(Rendimientos!C342),Rendimientos!A342,"")</f>
        <v/>
      </c>
      <c r="AF342" s="44" t="str">
        <f aca="false">IF(AE342="","",Rendimientos!C342)</f>
        <v/>
      </c>
      <c r="AG342" s="44" t="str">
        <f aca="false">IF(AF342="","",LN(AF342))</f>
        <v/>
      </c>
      <c r="AQ342" s="55"/>
    </row>
    <row r="343" customFormat="false" ht="13.8" hidden="false" customHeight="false" outlineLevel="0" collapsed="false">
      <c r="AE343" s="44" t="str">
        <f aca="false">IF(ISNUMBER(Rendimientos!C343),Rendimientos!A343,"")</f>
        <v/>
      </c>
      <c r="AF343" s="44" t="str">
        <f aca="false">IF(AE343="","",Rendimientos!C343)</f>
        <v/>
      </c>
      <c r="AG343" s="44" t="str">
        <f aca="false">IF(AF343="","",LN(AF343))</f>
        <v/>
      </c>
      <c r="AQ343" s="55"/>
    </row>
    <row r="344" customFormat="false" ht="13.8" hidden="false" customHeight="false" outlineLevel="0" collapsed="false">
      <c r="AE344" s="44" t="str">
        <f aca="false">IF(ISNUMBER(Rendimientos!C344),Rendimientos!A344,"")</f>
        <v/>
      </c>
      <c r="AF344" s="44" t="str">
        <f aca="false">IF(AE344="","",Rendimientos!C344)</f>
        <v/>
      </c>
      <c r="AG344" s="44" t="str">
        <f aca="false">IF(AF344="","",LN(AF344))</f>
        <v/>
      </c>
      <c r="AQ344" s="55"/>
    </row>
    <row r="345" customFormat="false" ht="13.8" hidden="false" customHeight="false" outlineLevel="0" collapsed="false">
      <c r="AE345" s="44" t="str">
        <f aca="false">IF(ISNUMBER(Rendimientos!C345),Rendimientos!A345,"")</f>
        <v/>
      </c>
      <c r="AF345" s="44" t="str">
        <f aca="false">IF(AE345="","",Rendimientos!C345)</f>
        <v/>
      </c>
      <c r="AG345" s="44" t="str">
        <f aca="false">IF(AF345="","",LN(AF345))</f>
        <v/>
      </c>
      <c r="AQ345" s="55"/>
    </row>
    <row r="346" customFormat="false" ht="13.8" hidden="false" customHeight="false" outlineLevel="0" collapsed="false">
      <c r="AE346" s="44" t="str">
        <f aca="false">IF(ISNUMBER(Rendimientos!C346),Rendimientos!A346,"")</f>
        <v/>
      </c>
      <c r="AF346" s="44" t="str">
        <f aca="false">IF(AE346="","",Rendimientos!C346)</f>
        <v/>
      </c>
      <c r="AG346" s="44" t="str">
        <f aca="false">IF(AF346="","",LN(AF346))</f>
        <v/>
      </c>
      <c r="AQ346" s="55"/>
    </row>
    <row r="347" customFormat="false" ht="13.8" hidden="false" customHeight="false" outlineLevel="0" collapsed="false">
      <c r="AE347" s="44" t="str">
        <f aca="false">IF(ISNUMBER(Rendimientos!C347),Rendimientos!A347,"")</f>
        <v/>
      </c>
      <c r="AF347" s="44" t="str">
        <f aca="false">IF(AE347="","",Rendimientos!C347)</f>
        <v/>
      </c>
      <c r="AG347" s="44" t="str">
        <f aca="false">IF(AF347="","",LN(AF347))</f>
        <v/>
      </c>
      <c r="AQ347" s="55"/>
    </row>
    <row r="348" customFormat="false" ht="13.8" hidden="false" customHeight="false" outlineLevel="0" collapsed="false">
      <c r="AE348" s="44" t="str">
        <f aca="false">IF(ISNUMBER(Rendimientos!C348),Rendimientos!A348,"")</f>
        <v/>
      </c>
      <c r="AF348" s="44" t="str">
        <f aca="false">IF(AE348="","",Rendimientos!C348)</f>
        <v/>
      </c>
      <c r="AG348" s="44" t="str">
        <f aca="false">IF(AF348="","",LN(AF348))</f>
        <v/>
      </c>
      <c r="AQ348" s="55"/>
    </row>
    <row r="349" customFormat="false" ht="13.8" hidden="false" customHeight="false" outlineLevel="0" collapsed="false">
      <c r="AE349" s="44" t="str">
        <f aca="false">IF(ISNUMBER(Rendimientos!C349),Rendimientos!A349,"")</f>
        <v/>
      </c>
      <c r="AF349" s="44" t="str">
        <f aca="false">IF(AE349="","",Rendimientos!C349)</f>
        <v/>
      </c>
      <c r="AG349" s="44" t="str">
        <f aca="false">IF(AF349="","",LN(AF349))</f>
        <v/>
      </c>
      <c r="AQ349" s="55"/>
    </row>
    <row r="350" customFormat="false" ht="13.8" hidden="false" customHeight="false" outlineLevel="0" collapsed="false">
      <c r="AE350" s="44" t="str">
        <f aca="false">IF(ISNUMBER(Rendimientos!C350),Rendimientos!A350,"")</f>
        <v/>
      </c>
      <c r="AF350" s="44" t="str">
        <f aca="false">IF(AE350="","",Rendimientos!C350)</f>
        <v/>
      </c>
      <c r="AG350" s="44" t="str">
        <f aca="false">IF(AF350="","",LN(AF350))</f>
        <v/>
      </c>
      <c r="AQ350" s="55"/>
    </row>
    <row r="351" customFormat="false" ht="13.8" hidden="false" customHeight="false" outlineLevel="0" collapsed="false">
      <c r="AE351" s="44" t="str">
        <f aca="false">IF(ISNUMBER(Rendimientos!C351),Rendimientos!A351,"")</f>
        <v/>
      </c>
      <c r="AF351" s="44" t="str">
        <f aca="false">IF(AE351="","",Rendimientos!C351)</f>
        <v/>
      </c>
      <c r="AG351" s="44" t="str">
        <f aca="false">IF(AF351="","",LN(AF351))</f>
        <v/>
      </c>
      <c r="AQ351" s="55"/>
    </row>
    <row r="352" customFormat="false" ht="13.8" hidden="false" customHeight="false" outlineLevel="0" collapsed="false">
      <c r="AE352" s="44" t="str">
        <f aca="false">IF(ISNUMBER(Rendimientos!C352),Rendimientos!A352,"")</f>
        <v/>
      </c>
      <c r="AF352" s="44" t="str">
        <f aca="false">IF(AE352="","",Rendimientos!C352)</f>
        <v/>
      </c>
      <c r="AG352" s="44" t="str">
        <f aca="false">IF(AF352="","",LN(AF352))</f>
        <v/>
      </c>
      <c r="AQ352" s="55"/>
    </row>
    <row r="353" customFormat="false" ht="13.8" hidden="false" customHeight="false" outlineLevel="0" collapsed="false">
      <c r="AE353" s="44" t="str">
        <f aca="false">IF(ISNUMBER(Rendimientos!C353),Rendimientos!A353,"")</f>
        <v/>
      </c>
      <c r="AF353" s="44" t="str">
        <f aca="false">IF(AE353="","",Rendimientos!C353)</f>
        <v/>
      </c>
      <c r="AG353" s="44" t="str">
        <f aca="false">IF(AF353="","",LN(AF353))</f>
        <v/>
      </c>
      <c r="AQ353" s="55"/>
    </row>
    <row r="354" customFormat="false" ht="13.8" hidden="false" customHeight="false" outlineLevel="0" collapsed="false">
      <c r="AE354" s="44" t="str">
        <f aca="false">IF(ISNUMBER(Rendimientos!C354),Rendimientos!A354,"")</f>
        <v/>
      </c>
      <c r="AF354" s="44" t="str">
        <f aca="false">IF(AE354="","",Rendimientos!C354)</f>
        <v/>
      </c>
      <c r="AG354" s="44" t="str">
        <f aca="false">IF(AF354="","",LN(AF354))</f>
        <v/>
      </c>
      <c r="AQ354" s="55"/>
    </row>
    <row r="355" customFormat="false" ht="13.8" hidden="false" customHeight="false" outlineLevel="0" collapsed="false">
      <c r="AE355" s="44" t="str">
        <f aca="false">IF(ISNUMBER(Rendimientos!C355),Rendimientos!A355,"")</f>
        <v/>
      </c>
      <c r="AF355" s="44" t="str">
        <f aca="false">IF(AE355="","",Rendimientos!C355)</f>
        <v/>
      </c>
      <c r="AG355" s="44" t="str">
        <f aca="false">IF(AF355="","",LN(AF355))</f>
        <v/>
      </c>
      <c r="AQ355" s="55"/>
    </row>
    <row r="356" customFormat="false" ht="13.8" hidden="false" customHeight="false" outlineLevel="0" collapsed="false">
      <c r="AE356" s="44" t="str">
        <f aca="false">IF(ISNUMBER(Rendimientos!C356),Rendimientos!A356,"")</f>
        <v/>
      </c>
      <c r="AF356" s="44" t="str">
        <f aca="false">IF(AE356="","",Rendimientos!C356)</f>
        <v/>
      </c>
      <c r="AG356" s="44" t="str">
        <f aca="false">IF(AF356="","",LN(AF356))</f>
        <v/>
      </c>
      <c r="AQ356" s="55"/>
    </row>
    <row r="357" customFormat="false" ht="13.8" hidden="false" customHeight="false" outlineLevel="0" collapsed="false">
      <c r="AE357" s="44" t="str">
        <f aca="false">IF(ISNUMBER(Rendimientos!C357),Rendimientos!A357,"")</f>
        <v/>
      </c>
      <c r="AF357" s="44" t="str">
        <f aca="false">IF(AE357="","",Rendimientos!C357)</f>
        <v/>
      </c>
      <c r="AG357" s="44" t="str">
        <f aca="false">IF(AF357="","",LN(AF357))</f>
        <v/>
      </c>
      <c r="AQ357" s="55"/>
    </row>
    <row r="358" customFormat="false" ht="13.8" hidden="false" customHeight="false" outlineLevel="0" collapsed="false">
      <c r="AE358" s="44" t="str">
        <f aca="false">IF(ISNUMBER(Rendimientos!C358),Rendimientos!A358,"")</f>
        <v/>
      </c>
      <c r="AF358" s="44" t="str">
        <f aca="false">IF(AE358="","",Rendimientos!C358)</f>
        <v/>
      </c>
      <c r="AG358" s="44" t="str">
        <f aca="false">IF(AF358="","",LN(AF358))</f>
        <v/>
      </c>
      <c r="AQ358" s="55"/>
    </row>
    <row r="359" customFormat="false" ht="13.8" hidden="false" customHeight="false" outlineLevel="0" collapsed="false">
      <c r="AE359" s="44" t="str">
        <f aca="false">IF(ISNUMBER(Rendimientos!C359),Rendimientos!A359,"")</f>
        <v/>
      </c>
      <c r="AF359" s="44" t="str">
        <f aca="false">IF(AE359="","",Rendimientos!C359)</f>
        <v/>
      </c>
      <c r="AG359" s="44" t="str">
        <f aca="false">IF(AF359="","",LN(AF359))</f>
        <v/>
      </c>
      <c r="AQ359" s="55"/>
    </row>
    <row r="360" customFormat="false" ht="13.8" hidden="false" customHeight="false" outlineLevel="0" collapsed="false">
      <c r="AE360" s="44" t="str">
        <f aca="false">IF(ISNUMBER(Rendimientos!C360),Rendimientos!A360,"")</f>
        <v/>
      </c>
      <c r="AF360" s="44" t="str">
        <f aca="false">IF(AE360="","",Rendimientos!C360)</f>
        <v/>
      </c>
      <c r="AG360" s="44" t="str">
        <f aca="false">IF(AF360="","",LN(AF360))</f>
        <v/>
      </c>
      <c r="AQ360" s="55"/>
    </row>
    <row r="361" customFormat="false" ht="13.8" hidden="false" customHeight="false" outlineLevel="0" collapsed="false">
      <c r="AE361" s="44" t="str">
        <f aca="false">IF(ISNUMBER(Rendimientos!C361),Rendimientos!A361,"")</f>
        <v/>
      </c>
      <c r="AF361" s="44" t="str">
        <f aca="false">IF(AE361="","",Rendimientos!C361)</f>
        <v/>
      </c>
      <c r="AG361" s="44" t="str">
        <f aca="false">IF(AF361="","",LN(AF361))</f>
        <v/>
      </c>
      <c r="AQ361" s="55"/>
    </row>
    <row r="362" customFormat="false" ht="13.8" hidden="false" customHeight="false" outlineLevel="0" collapsed="false">
      <c r="AE362" s="44" t="str">
        <f aca="false">IF(ISNUMBER(Rendimientos!C362),Rendimientos!A362,"")</f>
        <v/>
      </c>
      <c r="AF362" s="44" t="str">
        <f aca="false">IF(AE362="","",Rendimientos!C362)</f>
        <v/>
      </c>
      <c r="AG362" s="44" t="str">
        <f aca="false">IF(AF362="","",LN(AF362))</f>
        <v/>
      </c>
      <c r="AQ362" s="55"/>
    </row>
    <row r="363" customFormat="false" ht="13.8" hidden="false" customHeight="false" outlineLevel="0" collapsed="false">
      <c r="AE363" s="44" t="str">
        <f aca="false">IF(ISNUMBER(Rendimientos!C363),Rendimientos!A363,"")</f>
        <v/>
      </c>
      <c r="AF363" s="44" t="str">
        <f aca="false">IF(AE363="","",Rendimientos!C363)</f>
        <v/>
      </c>
      <c r="AG363" s="44" t="str">
        <f aca="false">IF(AF363="","",LN(AF363))</f>
        <v/>
      </c>
      <c r="AQ363" s="55"/>
    </row>
    <row r="364" customFormat="false" ht="13.8" hidden="false" customHeight="false" outlineLevel="0" collapsed="false">
      <c r="AE364" s="44" t="str">
        <f aca="false">IF(ISNUMBER(Rendimientos!C364),Rendimientos!A364,"")</f>
        <v/>
      </c>
      <c r="AF364" s="44" t="str">
        <f aca="false">IF(AE364="","",Rendimientos!C364)</f>
        <v/>
      </c>
      <c r="AG364" s="44" t="str">
        <f aca="false">IF(AF364="","",LN(AF364))</f>
        <v/>
      </c>
      <c r="AQ364" s="55"/>
    </row>
    <row r="365" customFormat="false" ht="13.8" hidden="false" customHeight="false" outlineLevel="0" collapsed="false">
      <c r="AE365" s="44" t="str">
        <f aca="false">IF(ISNUMBER(Rendimientos!C365),Rendimientos!A365,"")</f>
        <v/>
      </c>
      <c r="AF365" s="44" t="str">
        <f aca="false">IF(AE365="","",Rendimientos!C365)</f>
        <v/>
      </c>
      <c r="AG365" s="44" t="str">
        <f aca="false">IF(AF365="","",LN(AF365))</f>
        <v/>
      </c>
      <c r="AQ365" s="55"/>
    </row>
    <row r="366" customFormat="false" ht="13.8" hidden="false" customHeight="false" outlineLevel="0" collapsed="false">
      <c r="AE366" s="44" t="str">
        <f aca="false">IF(ISNUMBER(Rendimientos!C366),Rendimientos!A366,"")</f>
        <v/>
      </c>
      <c r="AF366" s="44" t="str">
        <f aca="false">IF(AE366="","",Rendimientos!C366)</f>
        <v/>
      </c>
      <c r="AG366" s="44" t="str">
        <f aca="false">IF(AF366="","",LN(AF366))</f>
        <v/>
      </c>
      <c r="AQ366" s="55"/>
    </row>
    <row r="367" customFormat="false" ht="13.8" hidden="false" customHeight="false" outlineLevel="0" collapsed="false">
      <c r="AE367" s="44" t="str">
        <f aca="false">IF(ISNUMBER(Rendimientos!C367),Rendimientos!A367,"")</f>
        <v/>
      </c>
      <c r="AF367" s="44" t="str">
        <f aca="false">IF(AE367="","",Rendimientos!C367)</f>
        <v/>
      </c>
      <c r="AG367" s="44" t="str">
        <f aca="false">IF(AF367="","",LN(AF367))</f>
        <v/>
      </c>
      <c r="AQ367" s="55"/>
    </row>
    <row r="368" customFormat="false" ht="13.8" hidden="false" customHeight="false" outlineLevel="0" collapsed="false">
      <c r="AE368" s="44" t="str">
        <f aca="false">IF(ISNUMBER(Rendimientos!C368),Rendimientos!A368,"")</f>
        <v/>
      </c>
      <c r="AF368" s="44" t="str">
        <f aca="false">IF(AE368="","",Rendimientos!C368)</f>
        <v/>
      </c>
      <c r="AG368" s="44" t="str">
        <f aca="false">IF(AF368="","",LN(AF368))</f>
        <v/>
      </c>
      <c r="AQ368" s="55"/>
    </row>
    <row r="369" customFormat="false" ht="13.8" hidden="false" customHeight="false" outlineLevel="0" collapsed="false">
      <c r="AE369" s="44" t="str">
        <f aca="false">IF(ISNUMBER(Rendimientos!C369),Rendimientos!A369,"")</f>
        <v/>
      </c>
      <c r="AF369" s="44" t="str">
        <f aca="false">IF(AE369="","",Rendimientos!C369)</f>
        <v/>
      </c>
      <c r="AG369" s="44" t="str">
        <f aca="false">IF(AF369="","",LN(AF369))</f>
        <v/>
      </c>
      <c r="AQ369" s="55"/>
    </row>
    <row r="370" customFormat="false" ht="13.8" hidden="false" customHeight="false" outlineLevel="0" collapsed="false">
      <c r="AE370" s="44" t="str">
        <f aca="false">IF(ISNUMBER(Rendimientos!C370),Rendimientos!A370,"")</f>
        <v/>
      </c>
      <c r="AF370" s="44" t="str">
        <f aca="false">IF(AE370="","",Rendimientos!C370)</f>
        <v/>
      </c>
      <c r="AG370" s="44" t="str">
        <f aca="false">IF(AF370="","",LN(AF370))</f>
        <v/>
      </c>
      <c r="AQ370" s="55"/>
    </row>
    <row r="371" customFormat="false" ht="13.8" hidden="false" customHeight="false" outlineLevel="0" collapsed="false">
      <c r="AE371" s="44" t="str">
        <f aca="false">IF(ISNUMBER(Rendimientos!C371),Rendimientos!A371,"")</f>
        <v/>
      </c>
      <c r="AF371" s="44" t="str">
        <f aca="false">IF(AE371="","",Rendimientos!C371)</f>
        <v/>
      </c>
      <c r="AG371" s="44" t="str">
        <f aca="false">IF(AF371="","",LN(AF371))</f>
        <v/>
      </c>
      <c r="AQ371" s="55"/>
    </row>
    <row r="372" customFormat="false" ht="13.8" hidden="false" customHeight="false" outlineLevel="0" collapsed="false">
      <c r="AE372" s="44" t="str">
        <f aca="false">IF(ISNUMBER(Rendimientos!C372),Rendimientos!A372,"")</f>
        <v/>
      </c>
      <c r="AF372" s="44" t="str">
        <f aca="false">IF(AE372="","",Rendimientos!C372)</f>
        <v/>
      </c>
      <c r="AG372" s="44" t="str">
        <f aca="false">IF(AF372="","",LN(AF372))</f>
        <v/>
      </c>
      <c r="AQ372" s="55"/>
    </row>
    <row r="373" customFormat="false" ht="13.8" hidden="false" customHeight="false" outlineLevel="0" collapsed="false">
      <c r="AE373" s="44" t="str">
        <f aca="false">IF(ISNUMBER(Rendimientos!C373),Rendimientos!A373,"")</f>
        <v/>
      </c>
      <c r="AF373" s="44" t="str">
        <f aca="false">IF(AE373="","",Rendimientos!C373)</f>
        <v/>
      </c>
      <c r="AG373" s="44" t="str">
        <f aca="false">IF(AF373="","",LN(AF373))</f>
        <v/>
      </c>
      <c r="AQ373" s="55"/>
    </row>
    <row r="374" customFormat="false" ht="13.8" hidden="false" customHeight="false" outlineLevel="0" collapsed="false">
      <c r="AE374" s="44" t="str">
        <f aca="false">IF(ISNUMBER(Rendimientos!C374),Rendimientos!A374,"")</f>
        <v/>
      </c>
      <c r="AF374" s="44" t="str">
        <f aca="false">IF(AE374="","",Rendimientos!C374)</f>
        <v/>
      </c>
      <c r="AG374" s="44" t="str">
        <f aca="false">IF(AF374="","",LN(AF374))</f>
        <v/>
      </c>
      <c r="AQ374" s="55"/>
    </row>
    <row r="375" customFormat="false" ht="13.8" hidden="false" customHeight="false" outlineLevel="0" collapsed="false">
      <c r="AE375" s="44" t="str">
        <f aca="false">IF(ISNUMBER(Rendimientos!C375),Rendimientos!A375,"")</f>
        <v/>
      </c>
      <c r="AF375" s="44" t="str">
        <f aca="false">IF(AE375="","",Rendimientos!C375)</f>
        <v/>
      </c>
      <c r="AG375" s="44" t="str">
        <f aca="false">IF(AF375="","",LN(AF375))</f>
        <v/>
      </c>
      <c r="AQ375" s="55"/>
    </row>
    <row r="376" customFormat="false" ht="13.8" hidden="false" customHeight="false" outlineLevel="0" collapsed="false">
      <c r="AE376" s="44" t="str">
        <f aca="false">IF(ISNUMBER(Rendimientos!C376),Rendimientos!A376,"")</f>
        <v/>
      </c>
      <c r="AF376" s="44" t="str">
        <f aca="false">IF(AE376="","",Rendimientos!C376)</f>
        <v/>
      </c>
      <c r="AG376" s="44" t="str">
        <f aca="false">IF(AF376="","",LN(AF376))</f>
        <v/>
      </c>
      <c r="AQ376" s="55"/>
    </row>
    <row r="377" customFormat="false" ht="13.8" hidden="false" customHeight="false" outlineLevel="0" collapsed="false">
      <c r="AE377" s="44" t="str">
        <f aca="false">IF(ISNUMBER(Rendimientos!C377),Rendimientos!A377,"")</f>
        <v/>
      </c>
      <c r="AF377" s="44" t="str">
        <f aca="false">IF(AE377="","",Rendimientos!C377)</f>
        <v/>
      </c>
      <c r="AG377" s="44" t="str">
        <f aca="false">IF(AF377="","",LN(AF377))</f>
        <v/>
      </c>
      <c r="AQ377" s="55"/>
    </row>
    <row r="378" customFormat="false" ht="13.8" hidden="false" customHeight="false" outlineLevel="0" collapsed="false">
      <c r="AE378" s="44" t="str">
        <f aca="false">IF(ISNUMBER(Rendimientos!C378),Rendimientos!A378,"")</f>
        <v/>
      </c>
      <c r="AF378" s="44" t="str">
        <f aca="false">IF(AE378="","",Rendimientos!C378)</f>
        <v/>
      </c>
      <c r="AG378" s="44" t="str">
        <f aca="false">IF(AF378="","",LN(AF378))</f>
        <v/>
      </c>
      <c r="AQ378" s="55"/>
    </row>
    <row r="379" customFormat="false" ht="13.8" hidden="false" customHeight="false" outlineLevel="0" collapsed="false">
      <c r="AE379" s="44" t="str">
        <f aca="false">IF(ISNUMBER(Rendimientos!C379),Rendimientos!A379,"")</f>
        <v/>
      </c>
      <c r="AF379" s="44" t="str">
        <f aca="false">IF(AE379="","",Rendimientos!C379)</f>
        <v/>
      </c>
      <c r="AG379" s="44" t="str">
        <f aca="false">IF(AF379="","",LN(AF379))</f>
        <v/>
      </c>
      <c r="AQ379" s="55"/>
    </row>
    <row r="380" customFormat="false" ht="13.8" hidden="false" customHeight="false" outlineLevel="0" collapsed="false">
      <c r="AE380" s="44" t="str">
        <f aca="false">IF(ISNUMBER(Rendimientos!C380),Rendimientos!A380,"")</f>
        <v/>
      </c>
      <c r="AF380" s="44" t="str">
        <f aca="false">IF(AE380="","",Rendimientos!C380)</f>
        <v/>
      </c>
      <c r="AG380" s="44" t="str">
        <f aca="false">IF(AF380="","",LN(AF380))</f>
        <v/>
      </c>
      <c r="AQ380" s="55"/>
    </row>
    <row r="381" customFormat="false" ht="13.8" hidden="false" customHeight="false" outlineLevel="0" collapsed="false">
      <c r="AE381" s="44" t="str">
        <f aca="false">IF(ISNUMBER(Rendimientos!C381),Rendimientos!A381,"")</f>
        <v/>
      </c>
      <c r="AF381" s="44" t="str">
        <f aca="false">IF(AE381="","",Rendimientos!C381)</f>
        <v/>
      </c>
      <c r="AG381" s="44" t="str">
        <f aca="false">IF(AF381="","",LN(AF381))</f>
        <v/>
      </c>
      <c r="AQ381" s="55"/>
    </row>
    <row r="382" customFormat="false" ht="13.8" hidden="false" customHeight="false" outlineLevel="0" collapsed="false">
      <c r="AE382" s="44" t="str">
        <f aca="false">IF(ISNUMBER(Rendimientos!C382),Rendimientos!A382,"")</f>
        <v/>
      </c>
      <c r="AF382" s="44" t="str">
        <f aca="false">IF(AE382="","",Rendimientos!C382)</f>
        <v/>
      </c>
      <c r="AG382" s="44" t="str">
        <f aca="false">IF(AF382="","",LN(AF382))</f>
        <v/>
      </c>
      <c r="AQ382" s="55"/>
    </row>
    <row r="383" customFormat="false" ht="13.8" hidden="false" customHeight="false" outlineLevel="0" collapsed="false">
      <c r="AE383" s="44" t="str">
        <f aca="false">IF(ISNUMBER(Rendimientos!C383),Rendimientos!A383,"")</f>
        <v/>
      </c>
      <c r="AF383" s="44" t="str">
        <f aca="false">IF(AE383="","",Rendimientos!C383)</f>
        <v/>
      </c>
      <c r="AG383" s="44" t="str">
        <f aca="false">IF(AF383="","",LN(AF383))</f>
        <v/>
      </c>
      <c r="AQ383" s="55"/>
    </row>
    <row r="384" customFormat="false" ht="13.8" hidden="false" customHeight="false" outlineLevel="0" collapsed="false">
      <c r="AE384" s="44" t="str">
        <f aca="false">IF(ISNUMBER(Rendimientos!C384),Rendimientos!A384,"")</f>
        <v/>
      </c>
      <c r="AF384" s="44" t="str">
        <f aca="false">IF(AE384="","",Rendimientos!C384)</f>
        <v/>
      </c>
      <c r="AG384" s="44" t="str">
        <f aca="false">IF(AF384="","",LN(AF384))</f>
        <v/>
      </c>
      <c r="AQ384" s="55"/>
    </row>
    <row r="385" customFormat="false" ht="13.8" hidden="false" customHeight="false" outlineLevel="0" collapsed="false">
      <c r="AE385" s="44" t="str">
        <f aca="false">IF(ISNUMBER(Rendimientos!C385),Rendimientos!A385,"")</f>
        <v/>
      </c>
      <c r="AF385" s="44" t="str">
        <f aca="false">IF(AE385="","",Rendimientos!C385)</f>
        <v/>
      </c>
      <c r="AG385" s="44" t="str">
        <f aca="false">IF(AF385="","",LN(AF385))</f>
        <v/>
      </c>
      <c r="AQ385" s="55"/>
    </row>
    <row r="386" customFormat="false" ht="13.8" hidden="false" customHeight="false" outlineLevel="0" collapsed="false">
      <c r="AE386" s="44" t="str">
        <f aca="false">IF(ISNUMBER(Rendimientos!C386),Rendimientos!A386,"")</f>
        <v/>
      </c>
      <c r="AF386" s="44" t="str">
        <f aca="false">IF(AE386="","",Rendimientos!C386)</f>
        <v/>
      </c>
      <c r="AG386" s="44" t="str">
        <f aca="false">IF(AF386="","",LN(AF386))</f>
        <v/>
      </c>
      <c r="AQ386" s="55"/>
    </row>
    <row r="387" customFormat="false" ht="13.8" hidden="false" customHeight="false" outlineLevel="0" collapsed="false">
      <c r="AE387" s="44" t="str">
        <f aca="false">IF(ISNUMBER(Rendimientos!C387),Rendimientos!A387,"")</f>
        <v/>
      </c>
      <c r="AF387" s="44" t="str">
        <f aca="false">IF(AE387="","",Rendimientos!C387)</f>
        <v/>
      </c>
      <c r="AG387" s="44" t="str">
        <f aca="false">IF(AF387="","",LN(AF387))</f>
        <v/>
      </c>
      <c r="AQ387" s="55"/>
    </row>
    <row r="388" customFormat="false" ht="13.8" hidden="false" customHeight="false" outlineLevel="0" collapsed="false">
      <c r="AE388" s="44" t="str">
        <f aca="false">IF(ISNUMBER(Rendimientos!C388),Rendimientos!A388,"")</f>
        <v/>
      </c>
      <c r="AF388" s="44" t="str">
        <f aca="false">IF(AE388="","",Rendimientos!C388)</f>
        <v/>
      </c>
      <c r="AG388" s="44" t="str">
        <f aca="false">IF(AF388="","",LN(AF388))</f>
        <v/>
      </c>
      <c r="AQ388" s="55"/>
    </row>
    <row r="389" customFormat="false" ht="13.8" hidden="false" customHeight="false" outlineLevel="0" collapsed="false">
      <c r="AE389" s="44" t="str">
        <f aca="false">IF(ISNUMBER(Rendimientos!C389),Rendimientos!A389,"")</f>
        <v/>
      </c>
      <c r="AF389" s="44" t="str">
        <f aca="false">IF(AE389="","",Rendimientos!C389)</f>
        <v/>
      </c>
      <c r="AG389" s="44" t="str">
        <f aca="false">IF(AF389="","",LN(AF389))</f>
        <v/>
      </c>
      <c r="AQ389" s="55"/>
    </row>
    <row r="390" customFormat="false" ht="13.8" hidden="false" customHeight="false" outlineLevel="0" collapsed="false">
      <c r="AE390" s="44" t="str">
        <f aca="false">IF(ISNUMBER(Rendimientos!C390),Rendimientos!A390,"")</f>
        <v/>
      </c>
      <c r="AF390" s="44" t="str">
        <f aca="false">IF(AE390="","",Rendimientos!C390)</f>
        <v/>
      </c>
      <c r="AG390" s="44" t="str">
        <f aca="false">IF(AF390="","",LN(AF390))</f>
        <v/>
      </c>
      <c r="AQ390" s="55"/>
    </row>
    <row r="391" customFormat="false" ht="13.8" hidden="false" customHeight="false" outlineLevel="0" collapsed="false">
      <c r="AE391" s="44" t="str">
        <f aca="false">IF(ISNUMBER(Rendimientos!C391),Rendimientos!A391,"")</f>
        <v/>
      </c>
      <c r="AF391" s="44" t="str">
        <f aca="false">IF(AE391="","",Rendimientos!C391)</f>
        <v/>
      </c>
      <c r="AG391" s="44" t="str">
        <f aca="false">IF(AF391="","",LN(AF391))</f>
        <v/>
      </c>
      <c r="AQ391" s="55"/>
    </row>
    <row r="392" customFormat="false" ht="13.8" hidden="false" customHeight="false" outlineLevel="0" collapsed="false">
      <c r="AE392" s="44" t="str">
        <f aca="false">IF(ISNUMBER(Rendimientos!C392),Rendimientos!A392,"")</f>
        <v/>
      </c>
      <c r="AF392" s="44" t="str">
        <f aca="false">IF(AE392="","",Rendimientos!C392)</f>
        <v/>
      </c>
      <c r="AG392" s="44" t="str">
        <f aca="false">IF(AF392="","",LN(AF392))</f>
        <v/>
      </c>
      <c r="AQ392" s="55"/>
    </row>
    <row r="393" customFormat="false" ht="13.8" hidden="false" customHeight="false" outlineLevel="0" collapsed="false">
      <c r="AE393" s="44" t="str">
        <f aca="false">IF(ISNUMBER(Rendimientos!C393),Rendimientos!A393,"")</f>
        <v/>
      </c>
      <c r="AF393" s="44" t="str">
        <f aca="false">IF(AE393="","",Rendimientos!C393)</f>
        <v/>
      </c>
      <c r="AG393" s="44" t="str">
        <f aca="false">IF(AF393="","",LN(AF393))</f>
        <v/>
      </c>
      <c r="AQ393" s="55"/>
    </row>
    <row r="394" customFormat="false" ht="13.8" hidden="false" customHeight="false" outlineLevel="0" collapsed="false">
      <c r="AE394" s="44" t="str">
        <f aca="false">IF(ISNUMBER(Rendimientos!C394),Rendimientos!A394,"")</f>
        <v/>
      </c>
      <c r="AF394" s="44" t="str">
        <f aca="false">IF(AE394="","",Rendimientos!C394)</f>
        <v/>
      </c>
      <c r="AG394" s="44" t="str">
        <f aca="false">IF(AF394="","",LN(AF394))</f>
        <v/>
      </c>
      <c r="AQ394" s="55"/>
    </row>
    <row r="395" customFormat="false" ht="13.8" hidden="false" customHeight="false" outlineLevel="0" collapsed="false">
      <c r="AE395" s="44" t="str">
        <f aca="false">IF(ISNUMBER(Rendimientos!C395),Rendimientos!A395,"")</f>
        <v/>
      </c>
      <c r="AF395" s="44" t="str">
        <f aca="false">IF(AE395="","",Rendimientos!C395)</f>
        <v/>
      </c>
      <c r="AG395" s="44" t="str">
        <f aca="false">IF(AF395="","",LN(AF395))</f>
        <v/>
      </c>
      <c r="AQ395" s="55"/>
    </row>
    <row r="396" customFormat="false" ht="13.8" hidden="false" customHeight="false" outlineLevel="0" collapsed="false">
      <c r="AE396" s="44" t="str">
        <f aca="false">IF(ISNUMBER(Rendimientos!C396),Rendimientos!A396,"")</f>
        <v/>
      </c>
      <c r="AF396" s="44" t="str">
        <f aca="false">IF(AE396="","",Rendimientos!C396)</f>
        <v/>
      </c>
      <c r="AG396" s="44" t="str">
        <f aca="false">IF(AF396="","",LN(AF396))</f>
        <v/>
      </c>
      <c r="AQ396" s="55"/>
    </row>
    <row r="397" customFormat="false" ht="13.8" hidden="false" customHeight="false" outlineLevel="0" collapsed="false">
      <c r="AE397" s="44" t="str">
        <f aca="false">IF(ISNUMBER(Rendimientos!C397),Rendimientos!A397,"")</f>
        <v/>
      </c>
      <c r="AF397" s="44" t="str">
        <f aca="false">IF(AE397="","",Rendimientos!C397)</f>
        <v/>
      </c>
      <c r="AG397" s="44" t="str">
        <f aca="false">IF(AF397="","",LN(AF397))</f>
        <v/>
      </c>
      <c r="AQ397" s="55"/>
    </row>
    <row r="398" customFormat="false" ht="13.8" hidden="false" customHeight="false" outlineLevel="0" collapsed="false">
      <c r="AE398" s="44" t="str">
        <f aca="false">IF(ISNUMBER(Rendimientos!C398),Rendimientos!A398,"")</f>
        <v/>
      </c>
      <c r="AF398" s="44" t="str">
        <f aca="false">IF(AE398="","",Rendimientos!C398)</f>
        <v/>
      </c>
      <c r="AG398" s="44" t="str">
        <f aca="false">IF(AF398="","",LN(AF398))</f>
        <v/>
      </c>
      <c r="AQ398" s="55"/>
    </row>
    <row r="399" customFormat="false" ht="13.8" hidden="false" customHeight="false" outlineLevel="0" collapsed="false">
      <c r="AE399" s="44" t="str">
        <f aca="false">IF(ISNUMBER(Rendimientos!C399),Rendimientos!A399,"")</f>
        <v/>
      </c>
      <c r="AF399" s="44" t="str">
        <f aca="false">IF(AE399="","",Rendimientos!C399)</f>
        <v/>
      </c>
      <c r="AG399" s="44" t="str">
        <f aca="false">IF(AF399="","",LN(AF399))</f>
        <v/>
      </c>
      <c r="AQ399" s="55"/>
    </row>
    <row r="400" customFormat="false" ht="13.8" hidden="false" customHeight="false" outlineLevel="0" collapsed="false">
      <c r="AE400" s="44" t="str">
        <f aca="false">IF(ISNUMBER(Rendimientos!C400),Rendimientos!A400,"")</f>
        <v/>
      </c>
      <c r="AF400" s="44" t="str">
        <f aca="false">IF(AE400="","",Rendimientos!C400)</f>
        <v/>
      </c>
      <c r="AG400" s="44" t="str">
        <f aca="false">IF(AF400="","",LN(AF400))</f>
        <v/>
      </c>
      <c r="AQ400" s="55"/>
    </row>
    <row r="401" customFormat="false" ht="13.8" hidden="false" customHeight="false" outlineLevel="0" collapsed="false">
      <c r="AE401" s="44" t="str">
        <f aca="false">IF(ISNUMBER(Rendimientos!C401),Rendimientos!A401,"")</f>
        <v/>
      </c>
      <c r="AF401" s="44" t="str">
        <f aca="false">IF(AE401="","",Rendimientos!C401)</f>
        <v/>
      </c>
      <c r="AG401" s="44" t="str">
        <f aca="false">IF(AF401="","",LN(AF401))</f>
        <v/>
      </c>
      <c r="AQ401" s="55"/>
    </row>
    <row r="402" customFormat="false" ht="13.8" hidden="false" customHeight="false" outlineLevel="0" collapsed="false">
      <c r="AE402" s="44" t="str">
        <f aca="false">IF(ISNUMBER(Rendimientos!C402),Rendimientos!A402,"")</f>
        <v/>
      </c>
      <c r="AF402" s="44" t="str">
        <f aca="false">IF(AE402="","",Rendimientos!C402)</f>
        <v/>
      </c>
      <c r="AG402" s="44" t="str">
        <f aca="false">IF(AF402="","",LN(AF402))</f>
        <v/>
      </c>
      <c r="AQ402" s="55"/>
    </row>
    <row r="403" customFormat="false" ht="13.8" hidden="false" customHeight="false" outlineLevel="0" collapsed="false">
      <c r="AE403" s="44" t="str">
        <f aca="false">IF(ISNUMBER(Rendimientos!C403),Rendimientos!A403,"")</f>
        <v/>
      </c>
      <c r="AF403" s="44" t="str">
        <f aca="false">IF(AE403="","",Rendimientos!C403)</f>
        <v/>
      </c>
      <c r="AG403" s="44" t="str">
        <f aca="false">IF(AF403="","",LN(AF403))</f>
        <v/>
      </c>
      <c r="AQ403" s="55"/>
    </row>
    <row r="404" customFormat="false" ht="13.8" hidden="false" customHeight="false" outlineLevel="0" collapsed="false">
      <c r="AE404" s="44" t="str">
        <f aca="false">IF(ISNUMBER(Rendimientos!C404),Rendimientos!A404,"")</f>
        <v/>
      </c>
      <c r="AF404" s="44" t="str">
        <f aca="false">IF(AE404="","",Rendimientos!C404)</f>
        <v/>
      </c>
      <c r="AG404" s="44" t="str">
        <f aca="false">IF(AF404="","",LN(AF404))</f>
        <v/>
      </c>
      <c r="AQ404" s="55"/>
    </row>
    <row r="405" customFormat="false" ht="13.8" hidden="false" customHeight="false" outlineLevel="0" collapsed="false">
      <c r="AE405" s="44" t="str">
        <f aca="false">IF(ISNUMBER(Rendimientos!C405),Rendimientos!A405,"")</f>
        <v/>
      </c>
      <c r="AF405" s="44" t="str">
        <f aca="false">IF(AE405="","",Rendimientos!C405)</f>
        <v/>
      </c>
      <c r="AG405" s="44" t="str">
        <f aca="false">IF(AF405="","",LN(AF405))</f>
        <v/>
      </c>
      <c r="AQ405" s="55"/>
    </row>
    <row r="406" customFormat="false" ht="13.8" hidden="false" customHeight="false" outlineLevel="0" collapsed="false">
      <c r="AE406" s="44" t="str">
        <f aca="false">IF(ISNUMBER(Rendimientos!C406),Rendimientos!A406,"")</f>
        <v/>
      </c>
      <c r="AF406" s="44" t="str">
        <f aca="false">IF(AE406="","",Rendimientos!C406)</f>
        <v/>
      </c>
      <c r="AG406" s="44" t="str">
        <f aca="false">IF(AF406="","",LN(AF406))</f>
        <v/>
      </c>
      <c r="AQ406" s="55"/>
    </row>
    <row r="407" customFormat="false" ht="13.8" hidden="false" customHeight="false" outlineLevel="0" collapsed="false">
      <c r="AE407" s="44" t="str">
        <f aca="false">IF(ISNUMBER(Rendimientos!C407),Rendimientos!A407,"")</f>
        <v/>
      </c>
      <c r="AF407" s="44" t="str">
        <f aca="false">IF(AE407="","",Rendimientos!C407)</f>
        <v/>
      </c>
      <c r="AG407" s="44" t="str">
        <f aca="false">IF(AF407="","",LN(AF407))</f>
        <v/>
      </c>
      <c r="AQ407" s="55"/>
    </row>
    <row r="408" customFormat="false" ht="13.8" hidden="false" customHeight="false" outlineLevel="0" collapsed="false">
      <c r="AE408" s="44" t="str">
        <f aca="false">IF(ISNUMBER(Rendimientos!C408),Rendimientos!A408,"")</f>
        <v/>
      </c>
      <c r="AF408" s="44" t="str">
        <f aca="false">IF(AE408="","",Rendimientos!C408)</f>
        <v/>
      </c>
      <c r="AG408" s="44" t="str">
        <f aca="false">IF(AF408="","",LN(AF408))</f>
        <v/>
      </c>
      <c r="AQ408" s="55"/>
    </row>
    <row r="409" customFormat="false" ht="13.8" hidden="false" customHeight="false" outlineLevel="0" collapsed="false">
      <c r="AE409" s="44" t="str">
        <f aca="false">IF(ISNUMBER(Rendimientos!C409),Rendimientos!A409,"")</f>
        <v/>
      </c>
      <c r="AF409" s="44" t="str">
        <f aca="false">IF(AE409="","",Rendimientos!C409)</f>
        <v/>
      </c>
      <c r="AG409" s="44" t="str">
        <f aca="false">IF(AF409="","",LN(AF409))</f>
        <v/>
      </c>
      <c r="AQ409" s="55"/>
    </row>
    <row r="410" customFormat="false" ht="13.8" hidden="false" customHeight="false" outlineLevel="0" collapsed="false">
      <c r="AE410" s="44" t="str">
        <f aca="false">IF(ISNUMBER(Rendimientos!C410),Rendimientos!A410,"")</f>
        <v/>
      </c>
      <c r="AF410" s="44" t="str">
        <f aca="false">IF(AE410="","",Rendimientos!C410)</f>
        <v/>
      </c>
      <c r="AG410" s="44" t="str">
        <f aca="false">IF(AF410="","",LN(AF410))</f>
        <v/>
      </c>
      <c r="AQ410" s="55"/>
    </row>
    <row r="411" customFormat="false" ht="13.8" hidden="false" customHeight="false" outlineLevel="0" collapsed="false">
      <c r="AE411" s="44" t="str">
        <f aca="false">IF(ISNUMBER(Rendimientos!C411),Rendimientos!A411,"")</f>
        <v/>
      </c>
      <c r="AF411" s="44" t="str">
        <f aca="false">IF(AE411="","",Rendimientos!C411)</f>
        <v/>
      </c>
      <c r="AG411" s="44" t="str">
        <f aca="false">IF(AF411="","",LN(AF411))</f>
        <v/>
      </c>
      <c r="AQ411" s="55"/>
    </row>
    <row r="412" customFormat="false" ht="13.8" hidden="false" customHeight="false" outlineLevel="0" collapsed="false">
      <c r="AE412" s="44" t="str">
        <f aca="false">IF(ISNUMBER(Rendimientos!C412),Rendimientos!A412,"")</f>
        <v/>
      </c>
      <c r="AF412" s="44" t="str">
        <f aca="false">IF(AE412="","",Rendimientos!C412)</f>
        <v/>
      </c>
      <c r="AG412" s="44" t="str">
        <f aca="false">IF(AF412="","",LN(AF412))</f>
        <v/>
      </c>
      <c r="AQ412" s="5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8"/>
  <sheetViews>
    <sheetView showFormulas="false" showGridLines="true" showRowColHeaders="true" showZeros="true" rightToLeft="false" tabSelected="false" showOutlineSymbols="true" defaultGridColor="true" view="normal" topLeftCell="A1" colorId="64" zoomScale="177" zoomScaleNormal="177" zoomScalePageLayoutView="100" workbookViewId="0">
      <selection pane="topLeft" activeCell="A58" activeCellId="0" sqref="A58"/>
    </sheetView>
  </sheetViews>
  <sheetFormatPr defaultColWidth="8.66796875" defaultRowHeight="13.5" zeroHeight="false" outlineLevelRow="0" outlineLevelCol="0"/>
  <cols>
    <col collapsed="false" customWidth="true" hidden="false" outlineLevel="0" max="1" min="1" style="44" width="66"/>
    <col collapsed="false" customWidth="true" hidden="false" outlineLevel="0" max="2" min="2" style="44" width="18"/>
    <col collapsed="false" customWidth="true" hidden="false" outlineLevel="0" max="4" min="3" style="44" width="16"/>
    <col collapsed="false" customWidth="true" hidden="false" outlineLevel="0" max="5" min="5" style="44" width="12"/>
    <col collapsed="false" customWidth="true" hidden="false" outlineLevel="0" max="7" min="6" style="44" width="14"/>
    <col collapsed="false" customWidth="true" hidden="false" outlineLevel="0" max="8" min="8" style="44" width="3"/>
    <col collapsed="false" customWidth="true" hidden="false" outlineLevel="0" max="9" min="9" style="44" width="34"/>
    <col collapsed="false" customWidth="true" hidden="false" outlineLevel="0" max="15" min="10" style="44" width="14"/>
    <col collapsed="false" customWidth="false" hidden="false" outlineLevel="0" max="16384" min="16" style="44" width="8.67"/>
  </cols>
  <sheetData>
    <row r="1" customFormat="false" ht="18" hidden="false" customHeight="true" outlineLevel="0" collapsed="false">
      <c r="A1" s="45" t="s">
        <v>1696</v>
      </c>
    </row>
    <row r="2" customFormat="false" ht="13.5" hidden="false" customHeight="false" outlineLevel="0" collapsed="false">
      <c r="A2" s="46"/>
    </row>
    <row r="4" customFormat="false" ht="13.5" hidden="false" customHeight="false" outlineLevel="0" collapsed="false">
      <c r="A4" s="49" t="s">
        <v>1697</v>
      </c>
    </row>
    <row r="5" customFormat="false" ht="13.5" hidden="false" customHeight="false" outlineLevel="0" collapsed="false">
      <c r="A5" s="117" t="s">
        <v>1698</v>
      </c>
      <c r="B5" s="117" t="n">
        <v>260</v>
      </c>
    </row>
    <row r="6" customFormat="false" ht="13.5" hidden="false" customHeight="false" outlineLevel="0" collapsed="false">
      <c r="A6" s="117" t="s">
        <v>1699</v>
      </c>
      <c r="B6" s="117" t="n">
        <v>104</v>
      </c>
    </row>
    <row r="7" customFormat="false" ht="13.5" hidden="false" customHeight="false" outlineLevel="0" collapsed="false">
      <c r="A7" s="117" t="s">
        <v>1700</v>
      </c>
      <c r="B7" s="117" t="n">
        <f aca="false">COUNT(Rendimientos!$M$13:$M$412)</f>
        <v>258</v>
      </c>
    </row>
    <row r="8" customFormat="false" ht="13.5" hidden="false" customHeight="false" outlineLevel="0" collapsed="false">
      <c r="A8" s="117"/>
      <c r="B8" s="50"/>
    </row>
    <row r="10" customFormat="false" ht="13.5" hidden="false" customHeight="false" outlineLevel="0" collapsed="false">
      <c r="A10" s="49" t="s">
        <v>1701</v>
      </c>
      <c r="I10" s="49"/>
    </row>
    <row r="11" customFormat="false" ht="13.5" hidden="false" customHeight="false" outlineLevel="0" collapsed="false">
      <c r="I11" s="46"/>
    </row>
    <row r="12" customFormat="false" ht="13.5" hidden="false" customHeight="false" outlineLevel="0" collapsed="false">
      <c r="A12" s="50" t="s">
        <v>1702</v>
      </c>
      <c r="I12" s="46"/>
    </row>
    <row r="13" customFormat="false" ht="13.5" hidden="false" customHeight="false" outlineLevel="0" collapsed="false">
      <c r="A13" s="117" t="s">
        <v>1703</v>
      </c>
      <c r="B13" s="127" t="n">
        <f aca="false">IF($B$7&gt;2,SQRT(B14),"")</f>
        <v>0.106640473567149</v>
      </c>
      <c r="I13" s="46"/>
    </row>
    <row r="14" customFormat="false" ht="13.5" hidden="false" customHeight="false" outlineLevel="0" collapsed="false">
      <c r="A14" s="117" t="s">
        <v>1704</v>
      </c>
      <c r="B14" s="127" t="n">
        <f aca="false">IF($B$7&gt;2,RSQ(Rendimientos!$M$13:$M$412,Rendimientos!$N$13:$N$412),"")</f>
        <v>0.0113721906026257</v>
      </c>
      <c r="I14" s="46"/>
    </row>
    <row r="15" customFormat="false" ht="13.5" hidden="false" customHeight="false" outlineLevel="0" collapsed="false">
      <c r="A15" s="117" t="s">
        <v>1705</v>
      </c>
      <c r="B15" s="127" t="n">
        <f aca="false">IF($B$7&gt;2,1-(1-B14)*(B7-1)/(B7-2),"")</f>
        <v>0.00751036322216725</v>
      </c>
      <c r="I15" s="46"/>
    </row>
    <row r="16" customFormat="false" ht="13.5" hidden="false" customHeight="false" outlineLevel="0" collapsed="false">
      <c r="A16" s="117" t="s">
        <v>1706</v>
      </c>
      <c r="B16" s="126" t="n">
        <f aca="false">IF($B$7&gt;2,STEYX(Rendimientos!$M$13:$M$412,Rendimientos!$N$13:$N$412),"")</f>
        <v>0.0432647256935551</v>
      </c>
    </row>
    <row r="17" customFormat="false" ht="13.5" hidden="false" customHeight="false" outlineLevel="0" collapsed="false">
      <c r="A17" s="117" t="s">
        <v>1707</v>
      </c>
      <c r="B17" s="117" t="n">
        <f aca="false">IF($B$7&gt;2,B7,"")</f>
        <v>258</v>
      </c>
    </row>
    <row r="19" customFormat="false" ht="13.5" hidden="false" customHeight="false" outlineLevel="0" collapsed="false">
      <c r="A19" s="49" t="s">
        <v>1708</v>
      </c>
    </row>
    <row r="20" customFormat="false" ht="30" hidden="false" customHeight="true" outlineLevel="0" collapsed="false">
      <c r="A20" s="132"/>
      <c r="B20" s="120" t="s">
        <v>1709</v>
      </c>
      <c r="C20" s="120" t="s">
        <v>1710</v>
      </c>
      <c r="D20" s="120" t="s">
        <v>1711</v>
      </c>
      <c r="E20" s="120" t="s">
        <v>1712</v>
      </c>
      <c r="F20" s="120" t="s">
        <v>1713</v>
      </c>
    </row>
    <row r="21" customFormat="false" ht="13.8" hidden="false" customHeight="false" outlineLevel="0" collapsed="false">
      <c r="A21" s="117" t="s">
        <v>1714</v>
      </c>
      <c r="B21" s="117" t="n">
        <f aca="false">IF($B$7&gt;2,1,"")</f>
        <v>1</v>
      </c>
      <c r="C21" s="126" t="n">
        <f aca="false">IF($B$7&gt;2,B14*DEVSQ(Rendimientos!$M$13:$M$412),"")</f>
        <v>0.00551212657547131</v>
      </c>
      <c r="D21" s="126" t="n">
        <f aca="false">IF($B$7&gt;2,C21/B21,"")</f>
        <v>0.00551212657547131</v>
      </c>
      <c r="E21" s="127" t="n">
        <f aca="false">IF($B$7&gt;2,D21/D22,"")</f>
        <v>2.94476927171084</v>
      </c>
      <c r="F21" s="126" t="n">
        <f aca="false">IF($B$7&gt;2,FDIST(E21,B21,B22),"")</f>
        <v>0.0873657708618455</v>
      </c>
    </row>
    <row r="22" customFormat="false" ht="13.8" hidden="false" customHeight="false" outlineLevel="0" collapsed="false">
      <c r="A22" s="117" t="s">
        <v>1715</v>
      </c>
      <c r="B22" s="117" t="n">
        <f aca="false">IF($B$7&gt;2,B7-2,"")</f>
        <v>256</v>
      </c>
      <c r="C22" s="126" t="n">
        <f aca="false">IF($B$7&gt;2,C23-C21,"")</f>
        <v>0.479190141270673</v>
      </c>
      <c r="D22" s="138" t="n">
        <f aca="false">IF($B$7&gt;2,C22/B22,"")</f>
        <v>0.00187183648933857</v>
      </c>
    </row>
    <row r="23" customFormat="false" ht="13.8" hidden="false" customHeight="false" outlineLevel="0" collapsed="false">
      <c r="A23" s="117" t="s">
        <v>1716</v>
      </c>
      <c r="B23" s="117" t="n">
        <f aca="false">IF($B$7&gt;2,B7-1,"")</f>
        <v>257</v>
      </c>
      <c r="C23" s="126" t="n">
        <f aca="false">IF($B$7&gt;2,DEVSQ(Rendimientos!$M$13:$M$412),"")</f>
        <v>0.484702267846145</v>
      </c>
    </row>
    <row r="24" customFormat="false" ht="13.8" hidden="false" customHeight="false" outlineLevel="0" collapsed="false"/>
    <row r="25" customFormat="false" ht="13.8" hidden="false" customHeight="false" outlineLevel="0" collapsed="false">
      <c r="A25" s="50"/>
      <c r="B25" s="50" t="s">
        <v>1717</v>
      </c>
      <c r="C25" s="50" t="s">
        <v>1706</v>
      </c>
      <c r="D25" s="50" t="s">
        <v>1718</v>
      </c>
      <c r="E25" s="50" t="s">
        <v>1719</v>
      </c>
      <c r="F25" s="50" t="s">
        <v>1720</v>
      </c>
      <c r="G25" s="50" t="s">
        <v>1721</v>
      </c>
    </row>
    <row r="26" customFormat="false" ht="13.8" hidden="false" customHeight="false" outlineLevel="0" collapsed="false">
      <c r="A26" s="117" t="s">
        <v>1722</v>
      </c>
      <c r="B26" s="126" t="n">
        <f aca="false">IF($B$7&gt;2,INTERCEPT(Rendimientos!$M$13:$M$412,Rendimientos!$N$13:$N$412),"")</f>
        <v>0.00173990937051908</v>
      </c>
      <c r="C26" s="126" t="n">
        <f aca="false">IF($B$7&gt;2,SQRT(D22*(1/B7+AVERAGE(Rendimientos!$N$13:$N$412)^2/DEVSQ(Rendimientos!$N$13:$N$412))),"")</f>
        <v>0.00269756398564703</v>
      </c>
      <c r="D26" s="127" t="n">
        <f aca="false">IF($B$7&gt;2,B26/C26,"")</f>
        <v>0.644992808243528</v>
      </c>
      <c r="E26" s="126" t="n">
        <f aca="false">IF($B$7&gt;2,TDIST(ABS(D26),B22,2),"")</f>
        <v>0.519509439748678</v>
      </c>
      <c r="F26" s="127" t="n">
        <f aca="false">IF($B$7&gt;2,B26-TINV(0.05,B22)*C26,"")</f>
        <v>-0.00357233295209112</v>
      </c>
      <c r="G26" s="127" t="n">
        <f aca="false">IF($B$7&gt;2,B26+TINV(0.05,B22)*C26,"")</f>
        <v>0.00705215169312929</v>
      </c>
    </row>
    <row r="27" customFormat="false" ht="13.8" hidden="false" customHeight="false" outlineLevel="0" collapsed="false">
      <c r="A27" s="50" t="s">
        <v>1723</v>
      </c>
      <c r="B27" s="139" t="n">
        <f aca="false">IF($B$7&gt;2,SLOPE(Rendimientos!$M$13:$M$412,Rendimientos!$N$13:$N$412),"")</f>
        <v>0.217837909377843</v>
      </c>
      <c r="C27" s="127" t="n">
        <f aca="false">IF($B$7&gt;2,SQRT(D22/DEVSQ(Rendimientos!$N$13:$N$412)),"")</f>
        <v>0.126942727113652</v>
      </c>
      <c r="D27" s="127" t="n">
        <f aca="false">IF($B$7&gt;2,B27/C27,"")</f>
        <v>1.71603300426036</v>
      </c>
      <c r="E27" s="126" t="n">
        <f aca="false">IF($B$7&gt;2,TDIST(ABS(D27),B22,2),"")</f>
        <v>0.0873657708618483</v>
      </c>
      <c r="F27" s="127" t="n">
        <f aca="false">IF($B$7&gt;2,B27-TINV(0.05,B22)*C27,"")</f>
        <v>-0.0321470886087571</v>
      </c>
      <c r="G27" s="127" t="n">
        <f aca="false">IF($B$7&gt;2,B27+TINV(0.05,B22)*C27,"")</f>
        <v>0.467822907364442</v>
      </c>
    </row>
    <row r="28" customFormat="false" ht="13.8" hidden="false" customHeight="false" outlineLevel="0" collapsed="false"/>
    <row r="29" customFormat="false" ht="13.8" hidden="false" customHeight="false" outlineLevel="0" collapsed="false">
      <c r="A29" s="49" t="s">
        <v>1724</v>
      </c>
    </row>
    <row r="30" customFormat="false" ht="13.8" hidden="false" customHeight="false" outlineLevel="0" collapsed="false">
      <c r="A30" s="117" t="s">
        <v>1725</v>
      </c>
      <c r="B30" s="127" t="n">
        <f aca="false">B27</f>
        <v>0.217837909377843</v>
      </c>
    </row>
    <row r="31" customFormat="false" ht="13.8" hidden="false" customHeight="false" outlineLevel="0" collapsed="false">
      <c r="A31" s="117" t="s">
        <v>1726</v>
      </c>
      <c r="B31" s="127" t="n">
        <f aca="false">C27</f>
        <v>0.126942727113652</v>
      </c>
    </row>
    <row r="32" customFormat="false" ht="13.8" hidden="false" customHeight="false" outlineLevel="0" collapsed="false">
      <c r="A32" s="117" t="s">
        <v>1727</v>
      </c>
      <c r="B32" s="127" t="n">
        <f aca="false">F27</f>
        <v>-0.0321470886087571</v>
      </c>
      <c r="C32" s="127" t="n">
        <f aca="false">G27</f>
        <v>0.467822907364442</v>
      </c>
    </row>
    <row r="33" customFormat="false" ht="13.8" hidden="false" customHeight="false" outlineLevel="0" collapsed="false">
      <c r="A33" s="117" t="s">
        <v>1728</v>
      </c>
      <c r="B33" s="127" t="n">
        <f aca="false">IF($B$7&gt;2,CORREL(Rendimientos!$M$13:$M$412,Rendimientos!$N$13:$N$412),"")</f>
        <v>0.106640473567149</v>
      </c>
    </row>
    <row r="34" customFormat="false" ht="13.8" hidden="false" customHeight="false" outlineLevel="0" collapsed="false">
      <c r="A34" s="117" t="s">
        <v>1604</v>
      </c>
      <c r="B34" s="127" t="n">
        <f aca="false">B14</f>
        <v>0.0113721906026257</v>
      </c>
    </row>
    <row r="35" customFormat="false" ht="13.8" hidden="false" customHeight="false" outlineLevel="0" collapsed="false">
      <c r="A35" s="117" t="s">
        <v>1729</v>
      </c>
      <c r="B35" s="127" t="n">
        <f aca="false">IF($B$7&gt;2,1-B14,"")</f>
        <v>0.988627809397374</v>
      </c>
    </row>
    <row r="36" customFormat="false" ht="13.8" hidden="false" customHeight="false" outlineLevel="0" collapsed="false">
      <c r="A36" s="117" t="s">
        <v>1730</v>
      </c>
      <c r="B36" s="126" t="n">
        <f aca="false">E27</f>
        <v>0.0873657708618483</v>
      </c>
    </row>
    <row r="37" customFormat="false" ht="13.8" hidden="false" customHeight="false" outlineLevel="0" collapsed="false">
      <c r="A37" s="117"/>
      <c r="B37" s="127"/>
    </row>
    <row r="38" customFormat="false" ht="13.8" hidden="false" customHeight="false" outlineLevel="0" collapsed="false">
      <c r="A38" s="117" t="s">
        <v>1731</v>
      </c>
      <c r="B38" s="128" t="n">
        <f aca="false">WACC!B10</f>
        <v>0.3</v>
      </c>
    </row>
    <row r="39" customFormat="false" ht="13.8" hidden="false" customHeight="false" outlineLevel="0" collapsed="false">
      <c r="A39" s="117" t="s">
        <v>1732</v>
      </c>
      <c r="B39" s="127" t="n">
        <f aca="false">WACC!B23</f>
        <v>0.396408190668009</v>
      </c>
    </row>
    <row r="40" customFormat="false" ht="13.8" hidden="false" customHeight="false" outlineLevel="0" collapsed="false">
      <c r="A40" s="117" t="s">
        <v>1733</v>
      </c>
      <c r="B40" s="127" t="n">
        <f aca="false">IF($B$7&gt;2,B30/(1+(1-B38)*B39),"")</f>
        <v>0.170520815748403</v>
      </c>
    </row>
    <row r="41" customFormat="false" ht="13.8" hidden="false" customHeight="false" outlineLevel="0" collapsed="false"/>
    <row r="42" customFormat="false" ht="13.8" hidden="false" customHeight="false" outlineLevel="0" collapsed="false">
      <c r="A42" s="49" t="s">
        <v>1734</v>
      </c>
    </row>
    <row r="43" customFormat="false" ht="13.8" hidden="false" customHeight="false" outlineLevel="0" collapsed="false">
      <c r="A43" s="117"/>
      <c r="B43" s="50"/>
    </row>
    <row r="44" customFormat="false" ht="13.8" hidden="false" customHeight="false" outlineLevel="0" collapsed="false">
      <c r="A44" s="117" t="s">
        <v>1735</v>
      </c>
      <c r="B44" s="139" t="n">
        <f aca="false">IF(B7&gt;=B6,B30,'Beta y Kd'!B11*(1+(1-B38)*B39))</f>
        <v>0.217837909377843</v>
      </c>
    </row>
    <row r="45" customFormat="false" ht="13.8" hidden="false" customHeight="false" outlineLevel="0" collapsed="false">
      <c r="A45" s="117" t="s">
        <v>1736</v>
      </c>
      <c r="B45" s="139" t="n">
        <f aca="false">IF(B7&gt;=B6,B40,'Beta y Kd'!B11)</f>
        <v>0.170520815748403</v>
      </c>
    </row>
    <row r="46" customFormat="false" ht="13.8" hidden="false" customHeight="false" outlineLevel="0" collapsed="false">
      <c r="A46" s="117" t="s">
        <v>1737</v>
      </c>
      <c r="B46" s="127" t="n">
        <f aca="false">IF(B7&gt;=B6,B31,0.1)</f>
        <v>0.126942727113652</v>
      </c>
      <c r="C46" s="46"/>
    </row>
    <row r="47" customFormat="false" ht="13.8" hidden="false" customHeight="false" outlineLevel="0" collapsed="false"/>
    <row r="48" customFormat="false" ht="13.8" hidden="false" customHeight="false" outlineLevel="0" collapsed="false">
      <c r="A48" s="49"/>
    </row>
    <row r="49" customFormat="false" ht="13.8" hidden="false" customHeight="false" outlineLevel="0" collapsed="false">
      <c r="A49" s="75" t="str">
        <f aca="false">IF(B7&lt;3,"Pega 3 a 5 años de precios semanales en Base de Datos.","La beta es "&amp;FIXED(B30,2)&amp;": cuando el IPC sube 1% en una semana, Soriana sube en promedio "&amp;FIXED(B30,2)&amp;"%, y lo mismo cuando baja. "&amp;IF(B30&lt;1,"Es menor que 1, así que es una acción defensiva: se mueve menos que el mercado, algo normal en una empresa que vende productos básicos.","Es mayor que 1: se mueve más que el mercado."))</f>
        <v>La beta es 0.22: cuando el IPC sube 1% en una semana, Soriana sube en promedio 0.22%, y lo mismo cuando baja. Es menor que 1, así que es una acción defensiva: se mueve menos que el mercado, algo normal en una empresa que vende productos básicos.</v>
      </c>
    </row>
    <row r="50" customFormat="false" ht="13.8" hidden="false" customHeight="false" outlineLevel="0" collapsed="false">
      <c r="A50" s="75" t="str">
        <f aca="false">IF(B7&lt;3,"","La R cuadrada es "&amp;FIXED(B34*100,1)&amp;"%: el mercado explica esa parte de los movimientos semanales de Soriana. El otro "&amp;FIXED(B35*100,1)&amp;"% es riesgo propio de la empresa, que un inversionista puede eliminar diversificando y que por eso no se paga en el costo del capital.")</f>
        <v>La R cuadrada es 1.1%: el mercado explica esa parte de los movimientos semanales de Soriana. El otro 98.9% es riesgo propio de la empresa, que un inversionista puede eliminar diversificando y que por eso no se paga en el costo del capital.</v>
      </c>
    </row>
    <row r="51" customFormat="false" ht="13.8" hidden="false" customHeight="false" outlineLevel="0" collapsed="false">
      <c r="A51" s="75" t="str">
        <f aca="false">IF(B7&lt;3,"",IF(B36&lt;0.05,"La beta es estadísticamente distinta de cero (probabilidad de "&amp;FIXED(B36,3)&amp;", menor a 0.05).","Ojo: la beta no es estadísticamente significativa al 95% (probabilidad de "&amp;FIXED(B36,3)&amp;", mayor a 0.05) y su intervalo va de "&amp;FIXED(B32,2)&amp;" a "&amp;FIXED(C32,2)&amp;". Hay que tomarla con cautela; con otra ventana de datos podría cambiar."))</f>
        <v>Ojo: la beta no es estadísticamente significativa al 95% (probabilidad de 0.087, mayor a 0.05) y su intervalo va de -0.03 a 0.47. Hay que tomarla con cautela; con otra ventana de datos podría cambiar.</v>
      </c>
    </row>
    <row r="52" customFormat="false" ht="13.8" hidden="false" customHeight="false" outlineLevel="0" collapsed="false">
      <c r="A52" s="75" t="str">
        <f aca="false">"Para un inversionista: la beta mide el riesgo que no se puede quitar diversificando (riesgo de mercado o sistemático). Con beta de "&amp;FIXED(B44,2)&amp;", tasa libre de riesgo de "&amp;FIXED(WACC!B5*100,2)&amp;"% y prima de mercado de "&amp;FIXED(WACC!B8*100,2)&amp;"%, el inversionista le exige a Soriana "&amp;FIXED((WACC!B5+B44*WACC!B8)*100,2)&amp;"% al año."</f>
        <v>Para un inversionista: la beta mide el riesgo que no se puede quitar diversificando (riesgo de mercado o sistemático). Con beta de 0.22, tasa libre de riesgo de 9.52% y prima de mercado de 4.23%, el inversionista le exige a Soriana 10.44% al año.</v>
      </c>
    </row>
    <row r="53" customFormat="false" ht="13.8" hidden="false" customHeight="false" outlineLevel="0" collapsed="false">
      <c r="A53" s="75" t="s">
        <v>1738</v>
      </c>
    </row>
    <row r="54" customFormat="false" ht="13.8" hidden="false" customHeight="false" outlineLevel="0" collapsed="false">
      <c r="A54" s="49" t="s">
        <v>1739</v>
      </c>
    </row>
    <row r="55" customFormat="false" ht="13.8" hidden="false" customHeight="false" outlineLevel="0" collapsed="false">
      <c r="A55" s="117" t="s">
        <v>1740</v>
      </c>
      <c r="B55" s="117" t="n">
        <f aca="false">COUNT(Rendimientos!Y13:Y512)</f>
        <v>62</v>
      </c>
    </row>
    <row r="56" customFormat="false" ht="13.8" hidden="false" customHeight="false" outlineLevel="0" collapsed="false">
      <c r="A56" s="117" t="s">
        <v>1741</v>
      </c>
      <c r="B56" s="127" t="n">
        <f aca="false">IF(B55&gt;2,SLOPE(Rendimientos!Y13:Y512,Rendimientos!Z13:Z512),"")</f>
        <v>0.122955122751594</v>
      </c>
    </row>
    <row r="57" customFormat="false" ht="13.8" hidden="false" customHeight="false" outlineLevel="0" collapsed="false">
      <c r="A57" s="117" t="s">
        <v>1742</v>
      </c>
      <c r="B57" s="127" t="n">
        <f aca="false">IF(B55&gt;2,RSQ(Rendimientos!Y13:Y512,Rendimientos!Z13:Z512),"")</f>
        <v>0.00217609356304698</v>
      </c>
    </row>
    <row r="58" customFormat="false" ht="13.5" hidden="false" customHeight="false" outlineLevel="0" collapsed="false">
      <c r="A58" s="4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E7" activeCellId="0" sqref="E7"/>
    </sheetView>
  </sheetViews>
  <sheetFormatPr defaultColWidth="10.66796875" defaultRowHeight="15" zeroHeight="false" outlineLevelRow="0" outlineLevelCol="0"/>
  <cols>
    <col collapsed="false" customWidth="true" hidden="false" outlineLevel="0" max="1" min="1" style="0" width="4.67"/>
    <col collapsed="false" customWidth="true" hidden="false" outlineLevel="0" max="2" min="2" style="0" width="22.33"/>
    <col collapsed="false" customWidth="true" hidden="false" outlineLevel="0" max="3" min="3" style="0" width="25.83"/>
    <col collapsed="false" customWidth="true" hidden="false" outlineLevel="0" max="5" min="4" style="0" width="48.16"/>
    <col collapsed="false" customWidth="true" hidden="false" outlineLevel="0" max="6" min="6" style="0" width="20.33"/>
    <col collapsed="false" customWidth="true" hidden="false" outlineLevel="0" max="7" min="7" style="0" width="11.16"/>
    <col collapsed="false" customWidth="true" hidden="false" outlineLevel="0" max="10" min="8" style="0" width="14.67"/>
  </cols>
  <sheetData>
    <row r="1" customFormat="false" ht="18.75" hidden="false" customHeight="true" outlineLevel="0" collapsed="false">
      <c r="A1" s="35"/>
    </row>
    <row r="2" customFormat="false" ht="15" hidden="false" customHeight="false" outlineLevel="0" collapsed="false">
      <c r="A2" s="140"/>
    </row>
    <row r="4" customFormat="false" ht="31.5" hidden="false" customHeight="true" outlineLevel="0" collapsed="false">
      <c r="A4" s="141" t="s">
        <v>1743</v>
      </c>
      <c r="B4" s="141" t="s">
        <v>1744</v>
      </c>
      <c r="C4" s="141" t="s">
        <v>1745</v>
      </c>
      <c r="D4" s="141" t="s">
        <v>1746</v>
      </c>
      <c r="E4" s="141" t="s">
        <v>1747</v>
      </c>
      <c r="F4" s="141" t="s">
        <v>1748</v>
      </c>
      <c r="G4" s="141" t="s">
        <v>1749</v>
      </c>
      <c r="H4" s="142" t="s">
        <v>1750</v>
      </c>
      <c r="I4" s="142" t="s">
        <v>1751</v>
      </c>
      <c r="J4" s="142" t="s">
        <v>1752</v>
      </c>
    </row>
    <row r="5" customFormat="false" ht="48" hidden="false" customHeight="true" outlineLevel="0" collapsed="false">
      <c r="A5" s="143" t="n">
        <v>1</v>
      </c>
      <c r="B5" s="144" t="s">
        <v>1753</v>
      </c>
      <c r="C5" s="144" t="s">
        <v>1754</v>
      </c>
      <c r="D5" s="144" t="s">
        <v>1755</v>
      </c>
      <c r="E5" s="144" t="s">
        <v>1756</v>
      </c>
      <c r="F5" s="144" t="s">
        <v>1442</v>
      </c>
      <c r="G5" s="143" t="s">
        <v>1757</v>
      </c>
      <c r="H5" s="145" t="n">
        <v>0.005</v>
      </c>
      <c r="I5" s="145" t="n">
        <v>0</v>
      </c>
      <c r="J5" s="145" t="n">
        <v>0</v>
      </c>
    </row>
    <row r="6" customFormat="false" ht="48" hidden="false" customHeight="true" outlineLevel="0" collapsed="false">
      <c r="A6" s="143" t="n">
        <v>2</v>
      </c>
      <c r="B6" s="144" t="s">
        <v>1753</v>
      </c>
      <c r="C6" s="144" t="s">
        <v>1758</v>
      </c>
      <c r="D6" s="144" t="s">
        <v>1759</v>
      </c>
      <c r="E6" s="144" t="s">
        <v>1760</v>
      </c>
      <c r="F6" s="144" t="s">
        <v>1761</v>
      </c>
      <c r="G6" s="143" t="s">
        <v>138</v>
      </c>
      <c r="H6" s="145" t="n">
        <v>0</v>
      </c>
      <c r="I6" s="145" t="n">
        <v>0</v>
      </c>
      <c r="J6" s="145" t="n">
        <v>0</v>
      </c>
    </row>
    <row r="7" customFormat="false" ht="31.5" hidden="false" customHeight="true" outlineLevel="0" collapsed="false">
      <c r="A7" s="143" t="n">
        <v>3</v>
      </c>
      <c r="B7" s="144" t="s">
        <v>1762</v>
      </c>
      <c r="C7" s="144" t="s">
        <v>1763</v>
      </c>
      <c r="D7" s="144" t="s">
        <v>1764</v>
      </c>
      <c r="E7" s="144" t="s">
        <v>1765</v>
      </c>
      <c r="F7" s="144" t="s">
        <v>1766</v>
      </c>
      <c r="G7" s="143" t="s">
        <v>1767</v>
      </c>
      <c r="H7" s="145" t="n">
        <v>0</v>
      </c>
      <c r="I7" s="145" t="n">
        <v>0</v>
      </c>
      <c r="J7" s="145" t="n">
        <v>0</v>
      </c>
    </row>
    <row r="8" customFormat="false" ht="31.5" hidden="false" customHeight="true" outlineLevel="0" collapsed="false">
      <c r="A8" s="143" t="n">
        <v>4</v>
      </c>
      <c r="B8" s="144" t="s">
        <v>1753</v>
      </c>
      <c r="C8" s="144" t="s">
        <v>1768</v>
      </c>
      <c r="D8" s="144" t="s">
        <v>1769</v>
      </c>
      <c r="E8" s="144" t="s">
        <v>1770</v>
      </c>
      <c r="F8" s="144" t="s">
        <v>1771</v>
      </c>
      <c r="G8" s="143" t="s">
        <v>1772</v>
      </c>
      <c r="H8" s="145" t="n">
        <v>0</v>
      </c>
      <c r="I8" s="145" t="n">
        <v>0.001</v>
      </c>
      <c r="J8" s="145" t="n">
        <v>0.01</v>
      </c>
    </row>
    <row r="9" customFormat="false" ht="31.5" hidden="false" customHeight="true" outlineLevel="0" collapsed="false">
      <c r="A9" s="143" t="n">
        <v>5</v>
      </c>
      <c r="B9" s="144" t="s">
        <v>1753</v>
      </c>
      <c r="C9" s="144" t="s">
        <v>1773</v>
      </c>
      <c r="D9" s="144" t="s">
        <v>1774</v>
      </c>
      <c r="E9" s="144" t="s">
        <v>1775</v>
      </c>
      <c r="F9" s="144" t="s">
        <v>1442</v>
      </c>
      <c r="G9" s="143" t="s">
        <v>1772</v>
      </c>
      <c r="H9" s="145" t="n">
        <v>-0.003</v>
      </c>
      <c r="I9" s="145" t="n">
        <v>0</v>
      </c>
      <c r="J9" s="145" t="n">
        <v>0</v>
      </c>
    </row>
    <row r="10" customFormat="false" ht="31.5" hidden="false" customHeight="true" outlineLevel="0" collapsed="false">
      <c r="A10" s="143" t="n">
        <v>6</v>
      </c>
      <c r="B10" s="144" t="s">
        <v>1776</v>
      </c>
      <c r="C10" s="144" t="s">
        <v>1777</v>
      </c>
      <c r="D10" s="144" t="s">
        <v>1778</v>
      </c>
      <c r="E10" s="144" t="s">
        <v>1779</v>
      </c>
      <c r="F10" s="144" t="s">
        <v>1780</v>
      </c>
      <c r="G10" s="143" t="s">
        <v>1781</v>
      </c>
      <c r="H10" s="145" t="n">
        <v>0.002</v>
      </c>
      <c r="I10" s="145" t="n">
        <v>0.0015</v>
      </c>
      <c r="J10" s="145" t="n">
        <v>0</v>
      </c>
    </row>
    <row r="11" customFormat="false" ht="31.5" hidden="false" customHeight="true" outlineLevel="0" collapsed="false">
      <c r="A11" s="143" t="n">
        <v>7</v>
      </c>
      <c r="B11" s="144" t="s">
        <v>1776</v>
      </c>
      <c r="C11" s="144" t="s">
        <v>1782</v>
      </c>
      <c r="D11" s="144" t="s">
        <v>1783</v>
      </c>
      <c r="E11" s="144" t="s">
        <v>1784</v>
      </c>
      <c r="F11" s="144" t="s">
        <v>1785</v>
      </c>
      <c r="G11" s="143" t="s">
        <v>1772</v>
      </c>
      <c r="H11" s="145" t="n">
        <v>0</v>
      </c>
      <c r="I11" s="145" t="n">
        <v>0.0005</v>
      </c>
      <c r="J11" s="145" t="n">
        <v>0</v>
      </c>
    </row>
    <row r="12" customFormat="false" ht="31.5" hidden="false" customHeight="true" outlineLevel="0" collapsed="false">
      <c r="A12" s="143" t="n">
        <v>8</v>
      </c>
      <c r="B12" s="144" t="s">
        <v>1786</v>
      </c>
      <c r="C12" s="144" t="s">
        <v>1787</v>
      </c>
      <c r="D12" s="144" t="s">
        <v>1788</v>
      </c>
      <c r="E12" s="144" t="s">
        <v>1789</v>
      </c>
      <c r="F12" s="144" t="s">
        <v>1442</v>
      </c>
      <c r="G12" s="143" t="s">
        <v>1772</v>
      </c>
      <c r="H12" s="145" t="n">
        <v>-0.002</v>
      </c>
      <c r="I12" s="145" t="n">
        <v>0</v>
      </c>
      <c r="J12" s="145" t="n">
        <v>0</v>
      </c>
    </row>
    <row r="13" customFormat="false" ht="31.5" hidden="false" customHeight="true" outlineLevel="0" collapsed="false">
      <c r="A13" s="143" t="n">
        <v>9</v>
      </c>
      <c r="B13" s="144" t="s">
        <v>1790</v>
      </c>
      <c r="C13" s="144" t="s">
        <v>1791</v>
      </c>
      <c r="D13" s="144" t="s">
        <v>1792</v>
      </c>
      <c r="E13" s="144" t="s">
        <v>1793</v>
      </c>
      <c r="F13" s="144" t="s">
        <v>1771</v>
      </c>
      <c r="G13" s="143" t="s">
        <v>1772</v>
      </c>
      <c r="H13" s="145" t="n">
        <v>0</v>
      </c>
      <c r="I13" s="145" t="n">
        <v>0.0005</v>
      </c>
      <c r="J13" s="145" t="n">
        <v>0.005</v>
      </c>
    </row>
    <row r="14" customFormat="false" ht="48" hidden="false" customHeight="true" outlineLevel="0" collapsed="false">
      <c r="A14" s="143" t="n">
        <v>10</v>
      </c>
      <c r="B14" s="144" t="s">
        <v>1794</v>
      </c>
      <c r="C14" s="144" t="s">
        <v>1795</v>
      </c>
      <c r="D14" s="144" t="s">
        <v>1796</v>
      </c>
      <c r="E14" s="144" t="s">
        <v>1797</v>
      </c>
      <c r="F14" s="144" t="s">
        <v>1442</v>
      </c>
      <c r="G14" s="143" t="s">
        <v>1772</v>
      </c>
      <c r="H14" s="145" t="n">
        <v>-0.003</v>
      </c>
      <c r="I14" s="145" t="n">
        <v>0</v>
      </c>
      <c r="J14" s="145" t="n">
        <v>0</v>
      </c>
    </row>
    <row r="15" customFormat="false" ht="48" hidden="false" customHeight="true" outlineLevel="0" collapsed="false">
      <c r="A15" s="143" t="n">
        <v>11</v>
      </c>
      <c r="B15" s="144" t="s">
        <v>1798</v>
      </c>
      <c r="C15" s="144" t="s">
        <v>1799</v>
      </c>
      <c r="D15" s="144" t="s">
        <v>1800</v>
      </c>
      <c r="E15" s="144" t="s">
        <v>1801</v>
      </c>
      <c r="F15" s="144" t="s">
        <v>1442</v>
      </c>
      <c r="G15" s="143" t="s">
        <v>1772</v>
      </c>
      <c r="H15" s="145" t="n">
        <v>-0.002</v>
      </c>
      <c r="I15" s="145" t="n">
        <v>0</v>
      </c>
      <c r="J15" s="145" t="n">
        <v>0</v>
      </c>
    </row>
    <row r="16" customFormat="false" ht="31.5" hidden="false" customHeight="true" outlineLevel="0" collapsed="false">
      <c r="A16" s="143" t="n">
        <v>12</v>
      </c>
      <c r="B16" s="144" t="s">
        <v>1802</v>
      </c>
      <c r="C16" s="144" t="s">
        <v>1803</v>
      </c>
      <c r="D16" s="144" t="s">
        <v>1804</v>
      </c>
      <c r="E16" s="144" t="s">
        <v>1805</v>
      </c>
      <c r="F16" s="144" t="s">
        <v>1785</v>
      </c>
      <c r="G16" s="143" t="s">
        <v>1772</v>
      </c>
      <c r="H16" s="145" t="n">
        <v>0</v>
      </c>
      <c r="I16" s="145" t="n">
        <v>0.0005</v>
      </c>
      <c r="J16" s="145" t="n">
        <v>0</v>
      </c>
    </row>
    <row r="17" customFormat="false" ht="48" hidden="false" customHeight="true" outlineLevel="0" collapsed="false">
      <c r="A17" s="143" t="n">
        <v>13</v>
      </c>
      <c r="B17" s="144" t="s">
        <v>1806</v>
      </c>
      <c r="C17" s="144" t="s">
        <v>1807</v>
      </c>
      <c r="D17" s="144" t="s">
        <v>1808</v>
      </c>
      <c r="E17" s="144" t="s">
        <v>1809</v>
      </c>
      <c r="F17" s="144" t="s">
        <v>1442</v>
      </c>
      <c r="G17" s="143" t="s">
        <v>1772</v>
      </c>
      <c r="H17" s="145" t="n">
        <v>-0.005</v>
      </c>
      <c r="I17" s="145" t="n">
        <v>0</v>
      </c>
      <c r="J17" s="145" t="n">
        <v>0</v>
      </c>
    </row>
    <row r="18" customFormat="false" ht="31.5" hidden="false" customHeight="true" outlineLevel="0" collapsed="false">
      <c r="A18" s="143" t="n">
        <v>14</v>
      </c>
      <c r="B18" s="144" t="s">
        <v>1810</v>
      </c>
      <c r="C18" s="144" t="s">
        <v>1811</v>
      </c>
      <c r="D18" s="144" t="s">
        <v>1812</v>
      </c>
      <c r="E18" s="144" t="s">
        <v>1813</v>
      </c>
      <c r="F18" s="144" t="s">
        <v>1814</v>
      </c>
      <c r="G18" s="143" t="s">
        <v>1772</v>
      </c>
      <c r="H18" s="145" t="n">
        <v>-0.005</v>
      </c>
      <c r="I18" s="145" t="n">
        <v>0.001</v>
      </c>
      <c r="J18" s="145" t="n">
        <v>0</v>
      </c>
    </row>
    <row r="19" customFormat="false" ht="48" hidden="false" customHeight="true" outlineLevel="0" collapsed="false">
      <c r="A19" s="143" t="n">
        <v>15</v>
      </c>
      <c r="B19" s="144" t="s">
        <v>1810</v>
      </c>
      <c r="C19" s="144" t="s">
        <v>1815</v>
      </c>
      <c r="D19" s="144" t="s">
        <v>1816</v>
      </c>
      <c r="E19" s="144" t="s">
        <v>1817</v>
      </c>
      <c r="F19" s="144" t="s">
        <v>1818</v>
      </c>
      <c r="G19" s="143" t="s">
        <v>1781</v>
      </c>
      <c r="H19" s="145" t="n">
        <v>0.002</v>
      </c>
      <c r="I19" s="145" t="n">
        <v>0</v>
      </c>
      <c r="J19" s="145" t="n">
        <v>0.01</v>
      </c>
    </row>
    <row r="20" customFormat="false" ht="48" hidden="false" customHeight="true" outlineLevel="0" collapsed="false">
      <c r="A20" s="143" t="n">
        <v>16</v>
      </c>
      <c r="B20" s="144" t="s">
        <v>1819</v>
      </c>
      <c r="C20" s="144" t="s">
        <v>1820</v>
      </c>
      <c r="D20" s="144" t="s">
        <v>1821</v>
      </c>
      <c r="E20" s="144" t="s">
        <v>1822</v>
      </c>
      <c r="F20" s="144" t="s">
        <v>1823</v>
      </c>
      <c r="G20" s="143" t="s">
        <v>1781</v>
      </c>
      <c r="H20" s="145" t="n">
        <v>0.001</v>
      </c>
      <c r="I20" s="145" t="n">
        <v>0.0002</v>
      </c>
      <c r="J20" s="145" t="n">
        <v>0</v>
      </c>
    </row>
    <row r="21" customFormat="false" ht="48" hidden="false" customHeight="true" outlineLevel="0" collapsed="false">
      <c r="A21" s="143" t="n">
        <v>17</v>
      </c>
      <c r="B21" s="144" t="s">
        <v>1819</v>
      </c>
      <c r="C21" s="144" t="s">
        <v>1824</v>
      </c>
      <c r="D21" s="144" t="s">
        <v>1825</v>
      </c>
      <c r="E21" s="144" t="s">
        <v>1826</v>
      </c>
      <c r="F21" s="144" t="s">
        <v>1827</v>
      </c>
      <c r="G21" s="143" t="s">
        <v>1757</v>
      </c>
      <c r="H21" s="145" t="n">
        <v>0.001</v>
      </c>
      <c r="I21" s="145" t="n">
        <v>0</v>
      </c>
      <c r="J21" s="145" t="n">
        <v>0</v>
      </c>
    </row>
    <row r="22" customFormat="false" ht="15" hidden="false" customHeight="false" outlineLevel="0" collapsed="false">
      <c r="A22" s="146" t="s">
        <v>1828</v>
      </c>
      <c r="B22" s="146"/>
      <c r="C22" s="146" t="s">
        <v>1829</v>
      </c>
      <c r="D22" s="146"/>
      <c r="E22" s="146"/>
      <c r="F22" s="146"/>
      <c r="G22" s="146"/>
      <c r="H22" s="147" t="n">
        <f aca="false">SUM(H5:H21)</f>
        <v>-0.009</v>
      </c>
      <c r="I22" s="147" t="n">
        <f aca="false">SUM(I5:I21)</f>
        <v>0.0052</v>
      </c>
      <c r="J22" s="147" t="n">
        <f aca="false">SUM(J5:J21)</f>
        <v>0.025</v>
      </c>
    </row>
    <row r="24" customFormat="false" ht="15" hidden="false" customHeight="false" outlineLevel="0" collapsed="false">
      <c r="A24" s="3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0.66796875" defaultRowHeight="13.5" zeroHeight="false" outlineLevelRow="0" outlineLevelCol="0"/>
  <cols>
    <col collapsed="false" customWidth="true" hidden="false" outlineLevel="0" max="1" min="1" style="44" width="61.16"/>
    <col collapsed="false" customWidth="true" hidden="false" outlineLevel="0" max="7" min="2" style="44" width="17.5"/>
    <col collapsed="false" customWidth="false" hidden="false" outlineLevel="0" max="16384" min="8" style="44" width="10.66"/>
  </cols>
  <sheetData>
    <row r="1" customFormat="false" ht="15" hidden="false" customHeight="true" outlineLevel="0" collapsed="false">
      <c r="A1" s="148" t="s">
        <v>1830</v>
      </c>
      <c r="B1" s="149"/>
      <c r="C1" s="149"/>
      <c r="D1" s="149"/>
      <c r="E1" s="149"/>
      <c r="F1" s="149"/>
      <c r="G1" s="149"/>
    </row>
    <row r="2" customFormat="false" ht="15" hidden="false" customHeight="true" outlineLevel="0" collapsed="false">
      <c r="A2" s="150"/>
      <c r="B2" s="149"/>
      <c r="C2" s="149"/>
      <c r="D2" s="149"/>
      <c r="E2" s="149"/>
      <c r="F2" s="149"/>
      <c r="G2" s="149"/>
    </row>
    <row r="3" customFormat="false" ht="15" hidden="false" customHeight="true" outlineLevel="0" collapsed="false">
      <c r="A3" s="151"/>
      <c r="B3" s="149"/>
      <c r="C3" s="149"/>
      <c r="D3" s="149"/>
      <c r="E3" s="149"/>
      <c r="F3" s="149"/>
      <c r="G3" s="149"/>
    </row>
    <row r="4" customFormat="false" ht="15" hidden="false" customHeight="true" outlineLevel="0" collapsed="false">
      <c r="A4" s="149"/>
      <c r="B4" s="149"/>
      <c r="C4" s="149"/>
      <c r="D4" s="149"/>
      <c r="E4" s="149"/>
      <c r="F4" s="149"/>
      <c r="G4" s="149"/>
    </row>
    <row r="5" customFormat="false" ht="15" hidden="false" customHeight="true" outlineLevel="0" collapsed="false">
      <c r="A5" s="61" t="s">
        <v>1831</v>
      </c>
      <c r="B5" s="61" t="s">
        <v>1428</v>
      </c>
      <c r="C5" s="61" t="s">
        <v>1429</v>
      </c>
      <c r="D5" s="61" t="s">
        <v>1430</v>
      </c>
      <c r="E5" s="61" t="s">
        <v>1431</v>
      </c>
      <c r="F5" s="61" t="s">
        <v>1432</v>
      </c>
      <c r="G5" s="61" t="s">
        <v>1433</v>
      </c>
      <c r="I5" s="75" t="s">
        <v>1832</v>
      </c>
    </row>
    <row r="6" customFormat="false" ht="15" hidden="false" customHeight="true" outlineLevel="0" collapsed="false">
      <c r="A6" s="152" t="s">
        <v>1833</v>
      </c>
      <c r="B6" s="152"/>
      <c r="C6" s="153" t="n">
        <v>0.7</v>
      </c>
      <c r="D6" s="153" t="n">
        <v>0.7</v>
      </c>
      <c r="E6" s="153" t="n">
        <v>0.75</v>
      </c>
      <c r="F6" s="153" t="n">
        <v>0.8</v>
      </c>
      <c r="G6" s="153" t="n">
        <v>0.85</v>
      </c>
    </row>
    <row r="7" customFormat="false" ht="15" hidden="false" customHeight="true" outlineLevel="0" collapsed="false">
      <c r="A7" s="152" t="s">
        <v>1834</v>
      </c>
      <c r="B7" s="152"/>
      <c r="C7" s="153" t="n">
        <f aca="false">1-C6</f>
        <v>0.3</v>
      </c>
      <c r="D7" s="153" t="n">
        <f aca="false">1-D6</f>
        <v>0.3</v>
      </c>
      <c r="E7" s="153" t="n">
        <f aca="false">1-E6</f>
        <v>0.25</v>
      </c>
      <c r="F7" s="153" t="n">
        <f aca="false">1-F6</f>
        <v>0.2</v>
      </c>
      <c r="G7" s="153" t="n">
        <f aca="false">1-G6</f>
        <v>0.15</v>
      </c>
    </row>
    <row r="8" customFormat="false" ht="15" hidden="false" customHeight="true" outlineLevel="0" collapsed="false">
      <c r="A8" s="154"/>
      <c r="B8" s="154"/>
      <c r="C8" s="154"/>
      <c r="D8" s="154"/>
      <c r="E8" s="154"/>
      <c r="F8" s="154"/>
      <c r="G8" s="154"/>
    </row>
    <row r="9" customFormat="false" ht="15" hidden="false" customHeight="true" outlineLevel="0" collapsed="false">
      <c r="A9" s="61" t="s">
        <v>1835</v>
      </c>
      <c r="B9" s="61" t="s">
        <v>1428</v>
      </c>
      <c r="C9" s="61" t="s">
        <v>1429</v>
      </c>
      <c r="D9" s="61" t="s">
        <v>1430</v>
      </c>
      <c r="E9" s="61" t="s">
        <v>1431</v>
      </c>
      <c r="F9" s="61" t="s">
        <v>1432</v>
      </c>
      <c r="G9" s="61" t="s">
        <v>1433</v>
      </c>
      <c r="I9" s="75" t="s">
        <v>1836</v>
      </c>
    </row>
    <row r="10" customFormat="false" ht="15" hidden="false" customHeight="true" outlineLevel="0" collapsed="false">
      <c r="A10" s="152" t="s">
        <v>1837</v>
      </c>
      <c r="B10" s="152"/>
      <c r="C10" s="155" t="n">
        <f aca="false">Escenarios!$E$7</f>
        <v>0.0351</v>
      </c>
      <c r="D10" s="155" t="n">
        <f aca="false">Escenarios!$E$7</f>
        <v>0.0351</v>
      </c>
      <c r="E10" s="155" t="n">
        <f aca="false">Escenarios!$E$7</f>
        <v>0.0351</v>
      </c>
      <c r="F10" s="155" t="n">
        <f aca="false">Escenarios!$E$7</f>
        <v>0.0351</v>
      </c>
      <c r="G10" s="155" t="n">
        <f aca="false">Escenarios!$E$7</f>
        <v>0.0351</v>
      </c>
    </row>
    <row r="11" customFormat="false" ht="15" hidden="false" customHeight="true" outlineLevel="0" collapsed="false">
      <c r="A11" s="152" t="s">
        <v>1838</v>
      </c>
      <c r="B11" s="152"/>
      <c r="C11" s="155" t="n">
        <v>0.014</v>
      </c>
      <c r="D11" s="155" t="n">
        <v>0.018</v>
      </c>
      <c r="E11" s="155" t="n">
        <v>0.02</v>
      </c>
      <c r="F11" s="155" t="n">
        <v>0.02</v>
      </c>
      <c r="G11" s="155" t="n">
        <v>0.02</v>
      </c>
    </row>
    <row r="12" customFormat="false" ht="15" hidden="false" customHeight="true" outlineLevel="0" collapsed="false">
      <c r="A12" s="152" t="s">
        <v>1839</v>
      </c>
      <c r="B12" s="152"/>
      <c r="C12" s="156" t="n">
        <v>0.5</v>
      </c>
      <c r="D12" s="156" t="n">
        <v>0.5</v>
      </c>
      <c r="E12" s="156" t="n">
        <v>0.5</v>
      </c>
      <c r="F12" s="156" t="n">
        <v>0.5</v>
      </c>
      <c r="G12" s="156" t="n">
        <v>0.5</v>
      </c>
    </row>
    <row r="13" customFormat="false" ht="15" hidden="false" customHeight="true" outlineLevel="0" collapsed="false">
      <c r="A13" s="152" t="s">
        <v>1840</v>
      </c>
      <c r="B13" s="152"/>
      <c r="C13" s="155" t="n">
        <v>-0.04</v>
      </c>
      <c r="D13" s="155" t="n">
        <v>-0.015</v>
      </c>
      <c r="E13" s="155" t="n">
        <v>-0.005</v>
      </c>
      <c r="F13" s="155" t="n">
        <v>0</v>
      </c>
      <c r="G13" s="155" t="n">
        <v>0</v>
      </c>
    </row>
    <row r="14" customFormat="false" ht="15" hidden="false" customHeight="true" outlineLevel="0" collapsed="false">
      <c r="A14" s="61" t="s">
        <v>1841</v>
      </c>
      <c r="B14" s="61"/>
      <c r="C14" s="157" t="n">
        <f aca="false">C10+C11*C12+C13</f>
        <v>0.0021</v>
      </c>
      <c r="D14" s="157" t="n">
        <f aca="false">D10+D11*D12+D13</f>
        <v>0.0291</v>
      </c>
      <c r="E14" s="157" t="n">
        <f aca="false">E10+E11*E12+E13</f>
        <v>0.0401</v>
      </c>
      <c r="F14" s="157" t="n">
        <f aca="false">F10+F11*F12+F13</f>
        <v>0.0451</v>
      </c>
      <c r="G14" s="157" t="n">
        <f aca="false">G10+G11*G12+G13</f>
        <v>0.0451</v>
      </c>
    </row>
    <row r="15" customFormat="false" ht="15" hidden="false" customHeight="true" outlineLevel="0" collapsed="false">
      <c r="A15" s="152" t="s">
        <v>1842</v>
      </c>
      <c r="B15" s="152"/>
      <c r="C15" s="155" t="n">
        <v>-0.03</v>
      </c>
      <c r="D15" s="155" t="n">
        <v>-0.02</v>
      </c>
      <c r="E15" s="155" t="n">
        <v>-0.0125</v>
      </c>
      <c r="F15" s="155" t="n">
        <v>-0.01</v>
      </c>
      <c r="G15" s="155" t="n">
        <v>-0.0075</v>
      </c>
    </row>
    <row r="16" customFormat="false" ht="15" hidden="false" customHeight="true" outlineLevel="0" collapsed="false">
      <c r="A16" s="152" t="s">
        <v>1843</v>
      </c>
      <c r="B16" s="152"/>
      <c r="C16" s="155" t="n">
        <v>-0.01</v>
      </c>
      <c r="D16" s="155" t="n">
        <v>-0.005</v>
      </c>
      <c r="E16" s="155" t="n">
        <v>0</v>
      </c>
      <c r="F16" s="155" t="n">
        <v>0</v>
      </c>
      <c r="G16" s="155" t="n">
        <v>0</v>
      </c>
    </row>
    <row r="17" customFormat="false" ht="15" hidden="false" customHeight="true" outlineLevel="0" collapsed="false">
      <c r="A17" s="152" t="s">
        <v>1844</v>
      </c>
      <c r="B17" s="152"/>
      <c r="C17" s="155" t="n">
        <v>-0.003</v>
      </c>
      <c r="D17" s="155" t="n">
        <v>-0.002</v>
      </c>
      <c r="E17" s="155" t="n">
        <v>-0.001</v>
      </c>
      <c r="F17" s="155" t="n">
        <v>0</v>
      </c>
      <c r="G17" s="155" t="n">
        <v>0</v>
      </c>
    </row>
    <row r="18" customFormat="false" ht="15" hidden="false" customHeight="true" outlineLevel="0" collapsed="false">
      <c r="A18" s="152" t="s">
        <v>1845</v>
      </c>
      <c r="B18" s="152"/>
      <c r="C18" s="155" t="n">
        <v>-0.002</v>
      </c>
      <c r="D18" s="155" t="n">
        <v>-0.003</v>
      </c>
      <c r="E18" s="155" t="n">
        <v>-0.001</v>
      </c>
      <c r="F18" s="155" t="n">
        <v>0</v>
      </c>
      <c r="G18" s="155" t="n">
        <v>0</v>
      </c>
    </row>
    <row r="19" customFormat="false" ht="15" hidden="false" customHeight="true" outlineLevel="0" collapsed="false">
      <c r="A19" s="152" t="s">
        <v>1846</v>
      </c>
      <c r="B19" s="152"/>
      <c r="C19" s="155" t="n">
        <v>0.002</v>
      </c>
      <c r="D19" s="155" t="n">
        <v>0.003</v>
      </c>
      <c r="E19" s="155" t="n">
        <v>0.003</v>
      </c>
      <c r="F19" s="155" t="n">
        <v>0.002</v>
      </c>
      <c r="G19" s="155" t="n">
        <v>0.002</v>
      </c>
    </row>
    <row r="20" customFormat="false" ht="15" hidden="false" customHeight="true" outlineLevel="0" collapsed="false">
      <c r="A20" s="152" t="s">
        <v>1847</v>
      </c>
      <c r="B20" s="152"/>
      <c r="C20" s="155" t="n">
        <v>0.003</v>
      </c>
      <c r="D20" s="155" t="n">
        <v>0.004</v>
      </c>
      <c r="E20" s="155" t="n">
        <v>0.005</v>
      </c>
      <c r="F20" s="155" t="n">
        <v>0.005</v>
      </c>
      <c r="G20" s="155" t="n">
        <v>0.005</v>
      </c>
    </row>
    <row r="21" customFormat="false" ht="15" hidden="false" customHeight="true" outlineLevel="0" collapsed="false">
      <c r="A21" s="152" t="s">
        <v>1848</v>
      </c>
      <c r="B21" s="152"/>
      <c r="C21" s="155" t="n">
        <v>-0.002</v>
      </c>
      <c r="D21" s="155" t="n">
        <v>-0.002</v>
      </c>
      <c r="E21" s="155" t="n">
        <v>-0.001</v>
      </c>
      <c r="F21" s="155" t="n">
        <v>0</v>
      </c>
      <c r="G21" s="155" t="n">
        <v>0</v>
      </c>
    </row>
    <row r="22" customFormat="false" ht="15" hidden="false" customHeight="true" outlineLevel="0" collapsed="false">
      <c r="A22" s="152" t="s">
        <v>1849</v>
      </c>
      <c r="B22" s="152"/>
      <c r="C22" s="155" t="n">
        <v>0.001</v>
      </c>
      <c r="D22" s="155" t="n">
        <v>0.002</v>
      </c>
      <c r="E22" s="155" t="n">
        <v>0.002</v>
      </c>
      <c r="F22" s="155" t="n">
        <v>0.002</v>
      </c>
      <c r="G22" s="155" t="n">
        <v>0.002</v>
      </c>
    </row>
    <row r="23" customFormat="false" ht="15" hidden="false" customHeight="true" outlineLevel="0" collapsed="false">
      <c r="A23" s="61" t="s">
        <v>1850</v>
      </c>
      <c r="B23" s="61"/>
      <c r="C23" s="157" t="n">
        <f aca="false">C14+SUM(C15:C22)+Escenarios!$E$8</f>
        <v>-0.0389</v>
      </c>
      <c r="D23" s="157" t="n">
        <f aca="false">D14+SUM(D15:D22)+Escenarios!$E$8</f>
        <v>0.0061</v>
      </c>
      <c r="E23" s="157" t="n">
        <f aca="false">E14+SUM(E15:E22)+Escenarios!$E$8</f>
        <v>0.0346</v>
      </c>
      <c r="F23" s="157" t="n">
        <f aca="false">F14+SUM(F15:F22)+Escenarios!$E$8</f>
        <v>0.0441</v>
      </c>
      <c r="G23" s="157" t="n">
        <f aca="false">G14+SUM(G15:G22)+Escenarios!$E$8</f>
        <v>0.0466</v>
      </c>
    </row>
    <row r="24" customFormat="false" ht="15" hidden="false" customHeight="true" outlineLevel="0" collapsed="false">
      <c r="A24" s="154"/>
      <c r="B24" s="154"/>
      <c r="C24" s="154"/>
      <c r="D24" s="154"/>
      <c r="E24" s="154"/>
      <c r="F24" s="154"/>
      <c r="G24" s="154"/>
    </row>
    <row r="25" customFormat="false" ht="15" hidden="false" customHeight="true" outlineLevel="0" collapsed="false">
      <c r="A25" s="61" t="s">
        <v>1851</v>
      </c>
      <c r="B25" s="61" t="s">
        <v>1428</v>
      </c>
      <c r="C25" s="61" t="s">
        <v>1429</v>
      </c>
      <c r="D25" s="61" t="s">
        <v>1430</v>
      </c>
      <c r="E25" s="61" t="s">
        <v>1431</v>
      </c>
      <c r="F25" s="61" t="s">
        <v>1432</v>
      </c>
      <c r="G25" s="61" t="s">
        <v>1433</v>
      </c>
    </row>
    <row r="26" customFormat="false" ht="15" hidden="false" customHeight="true" outlineLevel="0" collapsed="false">
      <c r="A26" s="152" t="s">
        <v>1852</v>
      </c>
      <c r="B26" s="158" t="n">
        <f aca="false">'MC Soriana'!G6</f>
        <v>174278</v>
      </c>
      <c r="C26" s="158" t="n">
        <f aca="false">'MC Soriana'!F6</f>
        <v>163936.6</v>
      </c>
      <c r="D26" s="158" t="n">
        <f aca="false">C26+16*('MC Soriana'!$C$6-'MC Soriana'!$B$6)</f>
        <v>153151</v>
      </c>
      <c r="E26" s="158" t="n">
        <f aca="false">D26+16*('MC Soriana'!$C$6-'MC Soriana'!$B$6)</f>
        <v>142365.4</v>
      </c>
      <c r="F26" s="158" t="n">
        <f aca="false">E26+16*('MC Soriana'!$C$6-'MC Soriana'!$B$6)</f>
        <v>131579.8</v>
      </c>
      <c r="G26" s="158" t="n">
        <f aca="false">F26+16*('MC Soriana'!$C$6-'MC Soriana'!$B$6)</f>
        <v>120794.2</v>
      </c>
    </row>
    <row r="27" customFormat="false" ht="15" hidden="false" customHeight="true" outlineLevel="0" collapsed="false">
      <c r="A27" s="152" t="s">
        <v>1853</v>
      </c>
      <c r="B27" s="152"/>
      <c r="C27" s="153" t="n">
        <f aca="false">C26/B26-1</f>
        <v>-0.0593385280987848</v>
      </c>
      <c r="D27" s="153" t="n">
        <f aca="false">D26/C26-1</f>
        <v>-0.0657912876075262</v>
      </c>
      <c r="E27" s="153" t="n">
        <f aca="false">E26/D26-1</f>
        <v>-0.0704246136166266</v>
      </c>
      <c r="F27" s="153" t="n">
        <f aca="false">F26/E26-1</f>
        <v>-0.0757599810066209</v>
      </c>
      <c r="G27" s="153" t="n">
        <f aca="false">G26/F26-1</f>
        <v>-0.0819700288342129</v>
      </c>
    </row>
    <row r="28" customFormat="false" ht="15" hidden="false" customHeight="true" outlineLevel="0" collapsed="false">
      <c r="A28" s="61" t="s">
        <v>1854</v>
      </c>
      <c r="B28" s="61"/>
      <c r="C28" s="159" t="n">
        <f aca="false">C$6*C23+C$7*C27</f>
        <v>-0.0450315584296355</v>
      </c>
      <c r="D28" s="159" t="n">
        <f aca="false">D$6*D23+D$7*D27</f>
        <v>-0.0154673862822579</v>
      </c>
      <c r="E28" s="159" t="n">
        <f aca="false">E$6*E23+E$7*E27</f>
        <v>0.00834384659584337</v>
      </c>
      <c r="F28" s="159" t="n">
        <f aca="false">F$6*F23+F$7*F27</f>
        <v>0.0201280037986758</v>
      </c>
      <c r="G28" s="159" t="n">
        <f aca="false">G$6*G23+G$7*G27</f>
        <v>0.0273144956748681</v>
      </c>
    </row>
    <row r="29" customFormat="false" ht="15" hidden="false" customHeight="true" outlineLevel="0" collapsed="false">
      <c r="A29" s="154"/>
      <c r="B29" s="154"/>
      <c r="C29" s="154"/>
      <c r="D29" s="154"/>
      <c r="E29" s="154"/>
      <c r="F29" s="154"/>
      <c r="G29" s="154"/>
    </row>
    <row r="30" customFormat="false" ht="15" hidden="false" customHeight="true" outlineLevel="0" collapsed="false">
      <c r="A30" s="61" t="s">
        <v>1855</v>
      </c>
      <c r="B30" s="61" t="s">
        <v>1428</v>
      </c>
      <c r="C30" s="61" t="s">
        <v>1429</v>
      </c>
      <c r="D30" s="61" t="s">
        <v>1430</v>
      </c>
      <c r="E30" s="61" t="s">
        <v>1431</v>
      </c>
      <c r="F30" s="61" t="s">
        <v>1432</v>
      </c>
      <c r="G30" s="61" t="s">
        <v>1433</v>
      </c>
      <c r="I30" s="75" t="s">
        <v>1856</v>
      </c>
    </row>
    <row r="31" customFormat="false" ht="15" hidden="false" customHeight="true" outlineLevel="0" collapsed="false">
      <c r="A31" s="152" t="s">
        <v>1857</v>
      </c>
      <c r="B31" s="155" t="n">
        <f aca="false">Valuación!B10</f>
        <v>0.042542883699969</v>
      </c>
      <c r="C31" s="155" t="n">
        <f aca="false">B31+SUM(C32:C39)</f>
        <v>0.043742883699969</v>
      </c>
      <c r="D31" s="155" t="n">
        <f aca="false">C31+SUM(D32:D39)</f>
        <v>0.043442883699969</v>
      </c>
      <c r="E31" s="155" t="n">
        <f aca="false">D31+SUM(E32:E39)</f>
        <v>0.043742883699969</v>
      </c>
      <c r="F31" s="155" t="n">
        <f aca="false">E31+SUM(F32:F39)</f>
        <v>0.044042883699969</v>
      </c>
      <c r="G31" s="155" t="n">
        <f aca="false">F31+SUM(G32:G39)</f>
        <v>0.044342883699969</v>
      </c>
    </row>
    <row r="32" customFormat="false" ht="15" hidden="false" customHeight="true" outlineLevel="0" collapsed="false">
      <c r="A32" s="152" t="s">
        <v>1858</v>
      </c>
      <c r="B32" s="155"/>
      <c r="C32" s="155" t="n">
        <v>0.0055</v>
      </c>
      <c r="D32" s="155" t="n">
        <v>0.003</v>
      </c>
      <c r="E32" s="155" t="n">
        <v>0.002</v>
      </c>
      <c r="F32" s="155" t="n">
        <v>0.001</v>
      </c>
      <c r="G32" s="155" t="n">
        <v>0.001</v>
      </c>
    </row>
    <row r="33" customFormat="false" ht="15" hidden="false" customHeight="true" outlineLevel="0" collapsed="false">
      <c r="A33" s="152" t="s">
        <v>1859</v>
      </c>
      <c r="B33" s="155"/>
      <c r="C33" s="155" t="n">
        <v>-0.001</v>
      </c>
      <c r="D33" s="155" t="n">
        <v>-0.0015</v>
      </c>
      <c r="E33" s="155" t="n">
        <v>-0.0015</v>
      </c>
      <c r="F33" s="155" t="n">
        <v>-0.001</v>
      </c>
      <c r="G33" s="155" t="n">
        <v>-0.001</v>
      </c>
    </row>
    <row r="34" customFormat="false" ht="15" hidden="false" customHeight="true" outlineLevel="0" collapsed="false">
      <c r="A34" s="152" t="s">
        <v>1860</v>
      </c>
      <c r="B34" s="155"/>
      <c r="C34" s="155" t="n">
        <v>-0.0015</v>
      </c>
      <c r="D34" s="155" t="n">
        <v>-0.001</v>
      </c>
      <c r="E34" s="155" t="n">
        <v>-0.001</v>
      </c>
      <c r="F34" s="155" t="n">
        <v>-0.0005</v>
      </c>
      <c r="G34" s="155" t="n">
        <v>0</v>
      </c>
    </row>
    <row r="35" customFormat="false" ht="15" hidden="false" customHeight="true" outlineLevel="0" collapsed="false">
      <c r="A35" s="152" t="s">
        <v>1861</v>
      </c>
      <c r="B35" s="155"/>
      <c r="C35" s="155" t="n">
        <v>-0.0005</v>
      </c>
      <c r="D35" s="155" t="n">
        <v>-0.0005</v>
      </c>
      <c r="E35" s="155" t="n">
        <v>0</v>
      </c>
      <c r="F35" s="155" t="n">
        <v>0</v>
      </c>
      <c r="G35" s="155" t="n">
        <v>0</v>
      </c>
    </row>
    <row r="36" customFormat="false" ht="15" hidden="false" customHeight="true" outlineLevel="0" collapsed="false">
      <c r="A36" s="152" t="s">
        <v>1862</v>
      </c>
      <c r="B36" s="155"/>
      <c r="C36" s="155" t="n">
        <v>-0.0005</v>
      </c>
      <c r="D36" s="155" t="n">
        <v>-0.0005</v>
      </c>
      <c r="E36" s="155" t="n">
        <v>0</v>
      </c>
      <c r="F36" s="155" t="n">
        <v>0</v>
      </c>
      <c r="G36" s="155" t="n">
        <v>0</v>
      </c>
    </row>
    <row r="37" customFormat="false" ht="15" hidden="false" customHeight="true" outlineLevel="0" collapsed="false">
      <c r="A37" s="152" t="s">
        <v>1863</v>
      </c>
      <c r="B37" s="155"/>
      <c r="C37" s="155" t="n">
        <v>-0.0003</v>
      </c>
      <c r="D37" s="155" t="n">
        <v>-0.0003</v>
      </c>
      <c r="E37" s="155" t="n">
        <v>-0.0002</v>
      </c>
      <c r="F37" s="155" t="n">
        <v>-0.0002</v>
      </c>
      <c r="G37" s="155" t="n">
        <v>-0.0002</v>
      </c>
    </row>
    <row r="38" customFormat="false" ht="15" hidden="false" customHeight="true" outlineLevel="0" collapsed="false">
      <c r="A38" s="152" t="s">
        <v>1864</v>
      </c>
      <c r="B38" s="155"/>
      <c r="C38" s="155" t="n">
        <v>0.0005</v>
      </c>
      <c r="D38" s="155" t="n">
        <v>0.001</v>
      </c>
      <c r="E38" s="155" t="n">
        <v>0.001</v>
      </c>
      <c r="F38" s="155" t="n">
        <v>0.001</v>
      </c>
      <c r="G38" s="155" t="n">
        <v>0.0005</v>
      </c>
    </row>
    <row r="39" customFormat="false" ht="15" hidden="false" customHeight="true" outlineLevel="0" collapsed="false">
      <c r="A39" s="152" t="s">
        <v>1865</v>
      </c>
      <c r="B39" s="155"/>
      <c r="C39" s="155" t="n">
        <v>-0.001</v>
      </c>
      <c r="D39" s="155" t="n">
        <v>-0.0005</v>
      </c>
      <c r="E39" s="155" t="n">
        <v>0</v>
      </c>
      <c r="F39" s="155" t="n">
        <v>0</v>
      </c>
      <c r="G39" s="155" t="n">
        <v>0</v>
      </c>
    </row>
    <row r="40" customFormat="false" ht="15" hidden="false" customHeight="true" outlineLevel="0" collapsed="false">
      <c r="A40" s="152" t="s">
        <v>1866</v>
      </c>
      <c r="B40" s="155"/>
      <c r="C40" s="155" t="n">
        <f aca="false">'MC Soriana'!$F$9</f>
        <v>0.0492556268703877</v>
      </c>
      <c r="D40" s="155" t="n">
        <f aca="false">'MC Soriana'!$F$9</f>
        <v>0.0492556268703877</v>
      </c>
      <c r="E40" s="155" t="n">
        <f aca="false">'MC Soriana'!$F$9</f>
        <v>0.0492556268703877</v>
      </c>
      <c r="F40" s="155" t="n">
        <f aca="false">'MC Soriana'!$F$9</f>
        <v>0.0492556268703877</v>
      </c>
      <c r="G40" s="155" t="n">
        <f aca="false">'MC Soriana'!$F$9</f>
        <v>0.0492556268703877</v>
      </c>
    </row>
    <row r="41" customFormat="false" ht="15" hidden="false" customHeight="true" outlineLevel="0" collapsed="false">
      <c r="A41" s="61" t="s">
        <v>1867</v>
      </c>
      <c r="B41" s="157"/>
      <c r="C41" s="157" t="n">
        <f aca="false">C$6*C31+C$7*C40+Escenarios!$E$9</f>
        <v>0.0453967066510946</v>
      </c>
      <c r="D41" s="157" t="n">
        <f aca="false">D$6*D31+D$7*D40+Escenarios!$E$9</f>
        <v>0.0451867066510946</v>
      </c>
      <c r="E41" s="157" t="n">
        <f aca="false">E$6*E31+E$7*E40+Escenarios!$E$9</f>
        <v>0.0451210694925737</v>
      </c>
      <c r="F41" s="157" t="n">
        <f aca="false">F$6*F31+F$7*F40+Escenarios!$E$9</f>
        <v>0.0450854323340528</v>
      </c>
      <c r="G41" s="157" t="n">
        <f aca="false">G$6*G31+G$7*G40+Escenarios!$E$9</f>
        <v>0.0450797951755318</v>
      </c>
    </row>
    <row r="42" customFormat="false" ht="15" hidden="false" customHeight="true" outlineLevel="0" collapsed="false">
      <c r="A42" s="154"/>
      <c r="B42" s="154"/>
      <c r="C42" s="154"/>
      <c r="D42" s="154"/>
      <c r="E42" s="154"/>
      <c r="F42" s="154"/>
      <c r="G42" s="154"/>
    </row>
    <row r="43" customFormat="false" ht="15" hidden="false" customHeight="true" outlineLevel="0" collapsed="false">
      <c r="A43" s="61" t="s">
        <v>1868</v>
      </c>
      <c r="B43" s="61" t="s">
        <v>1428</v>
      </c>
      <c r="C43" s="61" t="s">
        <v>1429</v>
      </c>
      <c r="D43" s="61" t="s">
        <v>1430</v>
      </c>
      <c r="E43" s="61" t="s">
        <v>1431</v>
      </c>
      <c r="F43" s="61" t="s">
        <v>1432</v>
      </c>
      <c r="G43" s="61" t="s">
        <v>1433</v>
      </c>
    </row>
    <row r="44" customFormat="false" ht="15" hidden="false" customHeight="true" outlineLevel="0" collapsed="false">
      <c r="A44" s="152" t="s">
        <v>1869</v>
      </c>
      <c r="B44" s="152"/>
      <c r="C44" s="155" t="n">
        <f aca="false">Valuación!$B$11</f>
        <v>0.0244599047967777</v>
      </c>
      <c r="D44" s="155" t="n">
        <f aca="false">Valuación!$B$11</f>
        <v>0.0244599047967777</v>
      </c>
      <c r="E44" s="155" t="n">
        <f aca="false">Valuación!$B$11</f>
        <v>0.0244599047967777</v>
      </c>
      <c r="F44" s="155" t="n">
        <f aca="false">Valuación!$B$11</f>
        <v>0.0244599047967777</v>
      </c>
      <c r="G44" s="155" t="n">
        <f aca="false">Valuación!$B$11</f>
        <v>0.0244599047967777</v>
      </c>
    </row>
    <row r="45" customFormat="false" ht="15" hidden="false" customHeight="true" outlineLevel="0" collapsed="false">
      <c r="A45" s="152" t="s">
        <v>1870</v>
      </c>
      <c r="B45" s="152"/>
      <c r="C45" s="155" t="n">
        <f aca="false">'MC Soriana'!$F$12/'MC Soriana'!$F$6</f>
        <v>0.024136242913419</v>
      </c>
      <c r="D45" s="155" t="n">
        <f aca="false">'MC Soriana'!$F$12/'MC Soriana'!$F$6</f>
        <v>0.024136242913419</v>
      </c>
      <c r="E45" s="155" t="n">
        <f aca="false">'MC Soriana'!$F$12/'MC Soriana'!$F$6</f>
        <v>0.024136242913419</v>
      </c>
      <c r="F45" s="155" t="n">
        <f aca="false">'MC Soriana'!$F$12/'MC Soriana'!$F$6</f>
        <v>0.024136242913419</v>
      </c>
      <c r="G45" s="155" t="n">
        <f aca="false">'MC Soriana'!$F$12/'MC Soriana'!$F$6</f>
        <v>0.024136242913419</v>
      </c>
    </row>
    <row r="46" customFormat="false" ht="15" hidden="false" customHeight="true" outlineLevel="0" collapsed="false">
      <c r="A46" s="152" t="s">
        <v>1871</v>
      </c>
      <c r="B46" s="152"/>
      <c r="C46" s="155" t="n">
        <f aca="false">C$6*C44+C$7*C45</f>
        <v>0.0243628062317701</v>
      </c>
      <c r="D46" s="155" t="n">
        <f aca="false">D$6*D44+D$7*D45</f>
        <v>0.0243628062317701</v>
      </c>
      <c r="E46" s="155" t="n">
        <f aca="false">E$6*E44+E$7*E45</f>
        <v>0.024378989325938</v>
      </c>
      <c r="F46" s="155" t="n">
        <f aca="false">F$6*F44+F$7*F45</f>
        <v>0.024395172420106</v>
      </c>
      <c r="G46" s="155" t="n">
        <f aca="false">G$6*G44+G$7*G45</f>
        <v>0.0244113555142739</v>
      </c>
    </row>
    <row r="47" customFormat="false" ht="15" hidden="false" customHeight="true" outlineLevel="0" collapsed="false">
      <c r="A47" s="152" t="s">
        <v>1872</v>
      </c>
      <c r="B47" s="152"/>
      <c r="C47" s="158" t="n">
        <v>4000</v>
      </c>
      <c r="D47" s="158"/>
      <c r="E47" s="158"/>
      <c r="F47" s="158"/>
      <c r="G47" s="158"/>
    </row>
    <row r="48" customFormat="false" ht="15" hidden="false" customHeight="true" outlineLevel="0" collapsed="false">
      <c r="A48" s="152" t="s">
        <v>1873</v>
      </c>
      <c r="B48" s="152"/>
      <c r="C48" s="155"/>
      <c r="D48" s="155" t="n">
        <v>0.003</v>
      </c>
      <c r="E48" s="155" t="n">
        <v>0.003</v>
      </c>
      <c r="F48" s="155" t="n">
        <v>0.003</v>
      </c>
      <c r="G48" s="155" t="n">
        <v>0.003</v>
      </c>
    </row>
    <row r="49" customFormat="false" ht="15" hidden="false" customHeight="true" outlineLevel="0" collapsed="false">
      <c r="A49" s="152" t="s">
        <v>1874</v>
      </c>
      <c r="B49" s="152"/>
      <c r="C49" s="155" t="n">
        <f aca="false">C47/C67</f>
        <v>0.0235958656470585</v>
      </c>
      <c r="D49" s="155" t="n">
        <f aca="false">Valuación!$B$12*(1+'Variables Externas'!$J$22)+D48</f>
        <v>0.0195545165197307</v>
      </c>
      <c r="E49" s="155" t="n">
        <f aca="false">Valuación!$B$12*(1+'Variables Externas'!$J$22)+E48</f>
        <v>0.0195545165197307</v>
      </c>
      <c r="F49" s="155" t="n">
        <f aca="false">Valuación!$B$12*(1+'Variables Externas'!$J$22)+F48</f>
        <v>0.0195545165197307</v>
      </c>
      <c r="G49" s="155" t="n">
        <f aca="false">Valuación!$B$12*(1+'Variables Externas'!$J$22)+G48</f>
        <v>0.0195545165197307</v>
      </c>
    </row>
    <row r="50" customFormat="false" ht="15" hidden="false" customHeight="true" outlineLevel="0" collapsed="false">
      <c r="A50" s="152" t="s">
        <v>1875</v>
      </c>
      <c r="B50" s="152"/>
      <c r="C50" s="155" t="n">
        <f aca="false">'MC Soriana'!$F$13/'MC Soriana'!$F$6</f>
        <v>0.0202932109120233</v>
      </c>
      <c r="D50" s="155" t="n">
        <f aca="false">'MC Soriana'!$F$13/'MC Soriana'!$F$6</f>
        <v>0.0202932109120233</v>
      </c>
      <c r="E50" s="155" t="n">
        <f aca="false">'MC Soriana'!$F$13/'MC Soriana'!$F$6</f>
        <v>0.0202932109120233</v>
      </c>
      <c r="F50" s="155" t="n">
        <f aca="false">'MC Soriana'!$F$13/'MC Soriana'!$F$6</f>
        <v>0.0202932109120233</v>
      </c>
      <c r="G50" s="155" t="n">
        <f aca="false">'MC Soriana'!$F$13/'MC Soriana'!$F$6</f>
        <v>0.0202932109120233</v>
      </c>
    </row>
    <row r="51" customFormat="false" ht="15" hidden="false" customHeight="true" outlineLevel="0" collapsed="false">
      <c r="A51" s="61" t="s">
        <v>1876</v>
      </c>
      <c r="B51" s="61"/>
      <c r="C51" s="157" t="n">
        <f aca="false">C$6*C49+C$7*C50</f>
        <v>0.0226050692265479</v>
      </c>
      <c r="D51" s="157" t="n">
        <f aca="false">D$6*D49+D$7*D50</f>
        <v>0.0197761248374185</v>
      </c>
      <c r="E51" s="157" t="n">
        <f aca="false">E$6*E49+E$7*E50</f>
        <v>0.0197391901178039</v>
      </c>
      <c r="F51" s="157" t="n">
        <f aca="false">F$6*F49+F$7*F50</f>
        <v>0.0197022553981892</v>
      </c>
      <c r="G51" s="157" t="n">
        <f aca="false">G$6*G49+G$7*G50</f>
        <v>0.0196653206785746</v>
      </c>
    </row>
    <row r="52" customFormat="false" ht="15" hidden="false" customHeight="true" outlineLevel="0" collapsed="false">
      <c r="A52" s="152" t="s">
        <v>1877</v>
      </c>
      <c r="B52" s="152"/>
      <c r="C52" s="155" t="n">
        <v>0</v>
      </c>
      <c r="D52" s="155" t="n">
        <v>0.005</v>
      </c>
      <c r="E52" s="155" t="n">
        <v>0.005</v>
      </c>
      <c r="F52" s="155" t="n">
        <v>0.005</v>
      </c>
      <c r="G52" s="155" t="n">
        <v>0.005</v>
      </c>
    </row>
    <row r="53" customFormat="false" ht="15" hidden="false" customHeight="true" outlineLevel="0" collapsed="false">
      <c r="A53" s="152" t="s">
        <v>1878</v>
      </c>
      <c r="B53" s="152"/>
      <c r="C53" s="155" t="n">
        <f aca="false">WACC!$B$10+C52</f>
        <v>0.3</v>
      </c>
      <c r="D53" s="155" t="n">
        <f aca="false">WACC!$B$10+D52</f>
        <v>0.305</v>
      </c>
      <c r="E53" s="155" t="n">
        <f aca="false">WACC!$B$10+E52</f>
        <v>0.305</v>
      </c>
      <c r="F53" s="155" t="n">
        <f aca="false">WACC!$B$10+F52</f>
        <v>0.305</v>
      </c>
      <c r="G53" s="155" t="n">
        <f aca="false">WACC!$B$10+G52</f>
        <v>0.305</v>
      </c>
    </row>
    <row r="54" customFormat="false" ht="15" hidden="false" customHeight="true" outlineLevel="0" collapsed="false">
      <c r="A54" s="152" t="s">
        <v>1879</v>
      </c>
      <c r="B54" s="152"/>
      <c r="C54" s="155" t="n">
        <f aca="false">'MC Soriana'!$F$10</f>
        <v>0.191734007304675</v>
      </c>
      <c r="D54" s="155" t="n">
        <f aca="false">'MC Soriana'!$F$10</f>
        <v>0.191734007304675</v>
      </c>
      <c r="E54" s="155" t="n">
        <f aca="false">'MC Soriana'!$F$10</f>
        <v>0.191734007304675</v>
      </c>
      <c r="F54" s="155" t="n">
        <f aca="false">'MC Soriana'!$F$10</f>
        <v>0.191734007304675</v>
      </c>
      <c r="G54" s="155" t="n">
        <f aca="false">'MC Soriana'!$F$10</f>
        <v>0.191734007304675</v>
      </c>
    </row>
    <row r="55" customFormat="false" ht="15" hidden="false" customHeight="true" outlineLevel="0" collapsed="false">
      <c r="A55" s="61" t="s">
        <v>1880</v>
      </c>
      <c r="B55" s="61"/>
      <c r="C55" s="157" t="n">
        <f aca="false">C$6*C53+C$7*C54</f>
        <v>0.267520202191403</v>
      </c>
      <c r="D55" s="157" t="n">
        <f aca="false">D$6*D53+D$7*D54</f>
        <v>0.271020202191403</v>
      </c>
      <c r="E55" s="157" t="n">
        <f aca="false">E$6*E53+E$7*E54</f>
        <v>0.276683501826169</v>
      </c>
      <c r="F55" s="157" t="n">
        <f aca="false">F$6*F53+F$7*F54</f>
        <v>0.282346801460935</v>
      </c>
      <c r="G55" s="157" t="n">
        <f aca="false">G$6*G53+G$7*G54</f>
        <v>0.288010101095701</v>
      </c>
    </row>
    <row r="56" customFormat="false" ht="15" hidden="false" customHeight="true" outlineLevel="0" collapsed="false">
      <c r="A56" s="152" t="s">
        <v>1467</v>
      </c>
      <c r="B56" s="160" t="n">
        <f aca="false">Datos!G18/Datos!G7*365</f>
        <v>87.4443050938019</v>
      </c>
      <c r="C56" s="160" t="n">
        <v>88</v>
      </c>
      <c r="D56" s="160" t="n">
        <v>88</v>
      </c>
      <c r="E56" s="160" t="n">
        <v>87</v>
      </c>
      <c r="F56" s="160" t="n">
        <v>87</v>
      </c>
      <c r="G56" s="160" t="n">
        <v>87</v>
      </c>
    </row>
    <row r="57" customFormat="false" ht="15" hidden="false" customHeight="true" outlineLevel="0" collapsed="false">
      <c r="A57" s="152" t="s">
        <v>1468</v>
      </c>
      <c r="B57" s="153" t="n">
        <f aca="false">(Datos!G19-Datos!G17-Datos!G18)/Datos!G6</f>
        <v>0.0391572543165366</v>
      </c>
      <c r="C57" s="153" t="n">
        <f aca="false">$B57</f>
        <v>0.0391572543165366</v>
      </c>
      <c r="D57" s="153" t="n">
        <f aca="false">$B57</f>
        <v>0.0391572543165366</v>
      </c>
      <c r="E57" s="153" t="n">
        <f aca="false">$B57</f>
        <v>0.0391572543165366</v>
      </c>
      <c r="F57" s="153" t="n">
        <f aca="false">$B57</f>
        <v>0.0391572543165366</v>
      </c>
      <c r="G57" s="153" t="n">
        <f aca="false">$B57</f>
        <v>0.0391572543165366</v>
      </c>
    </row>
    <row r="58" customFormat="false" ht="15" hidden="false" customHeight="true" outlineLevel="0" collapsed="false">
      <c r="A58" s="152" t="s">
        <v>1469</v>
      </c>
      <c r="B58" s="153" t="n">
        <f aca="false">(Datos!G21-Datos!G25-Datos!G27)/Datos!G6</f>
        <v>0.200225333070445</v>
      </c>
      <c r="C58" s="153" t="n">
        <f aca="false">$B58</f>
        <v>0.200225333070445</v>
      </c>
      <c r="D58" s="153" t="n">
        <f aca="false">$B58</f>
        <v>0.200225333070445</v>
      </c>
      <c r="E58" s="153" t="n">
        <f aca="false">$B58</f>
        <v>0.200225333070445</v>
      </c>
      <c r="F58" s="153" t="n">
        <f aca="false">$B58</f>
        <v>0.200225333070445</v>
      </c>
      <c r="G58" s="153" t="n">
        <f aca="false">$B58</f>
        <v>0.200225333070445</v>
      </c>
    </row>
    <row r="59" customFormat="false" ht="15" hidden="false" customHeight="true" outlineLevel="0" collapsed="false">
      <c r="A59" s="152" t="s">
        <v>1464</v>
      </c>
      <c r="B59" s="153" t="n">
        <f aca="false">Datos!G7/Datos!G6</f>
        <v>0.759102047714278</v>
      </c>
      <c r="C59" s="153" t="n">
        <v>0.756</v>
      </c>
      <c r="D59" s="153" t="n">
        <v>0.757</v>
      </c>
      <c r="E59" s="153" t="n">
        <v>0.758</v>
      </c>
      <c r="F59" s="153" t="n">
        <v>0.758</v>
      </c>
      <c r="G59" s="153" t="n">
        <v>0.758</v>
      </c>
    </row>
    <row r="60" customFormat="false" ht="15" hidden="false" customHeight="true" outlineLevel="0" collapsed="false">
      <c r="A60" s="152" t="s">
        <v>1465</v>
      </c>
      <c r="B60" s="153" t="n">
        <f aca="false">-B70/B67</f>
        <v>0.173900797115737</v>
      </c>
      <c r="C60" s="153" t="n">
        <f aca="false">1-C59-C46-C41</f>
        <v>0.174240487117135</v>
      </c>
      <c r="D60" s="153" t="n">
        <f aca="false">1-D59-D46-D41</f>
        <v>0.173450487117135</v>
      </c>
      <c r="E60" s="153" t="n">
        <f aca="false">1-E59-E46-E41</f>
        <v>0.172499941181488</v>
      </c>
      <c r="F60" s="153" t="n">
        <f aca="false">1-F59-F46-F41</f>
        <v>0.172519395245841</v>
      </c>
      <c r="G60" s="153" t="n">
        <f aca="false">1-G59-G46-G41</f>
        <v>0.172508849310194</v>
      </c>
    </row>
    <row r="61" customFormat="false" ht="15" hidden="false" customHeight="true" outlineLevel="0" collapsed="false">
      <c r="A61" s="152" t="s">
        <v>1466</v>
      </c>
      <c r="B61" s="155" t="n">
        <f aca="false">Datos!G10/(Datos!G25+Datos!G26+Datos!G27+Datos!G28)</f>
        <v>0.130154966550936</v>
      </c>
      <c r="C61" s="155" t="n">
        <v>0.1</v>
      </c>
      <c r="D61" s="155" t="n">
        <v>0.0975</v>
      </c>
      <c r="E61" s="155" t="n">
        <v>0.0975</v>
      </c>
      <c r="F61" s="155" t="n">
        <v>0.0975</v>
      </c>
      <c r="G61" s="155" t="n">
        <v>0.0975</v>
      </c>
    </row>
    <row r="62" customFormat="false" ht="15" hidden="false" customHeight="true" outlineLevel="0" collapsed="false">
      <c r="A62" s="152" t="s">
        <v>1881</v>
      </c>
      <c r="B62" s="161"/>
      <c r="C62" s="161" t="n">
        <v>0</v>
      </c>
      <c r="D62" s="161" t="n">
        <v>-1500</v>
      </c>
      <c r="E62" s="161" t="n">
        <v>-1500</v>
      </c>
      <c r="F62" s="161" t="n">
        <v>-1500</v>
      </c>
      <c r="G62" s="161" t="n">
        <v>-1500</v>
      </c>
    </row>
    <row r="63" customFormat="false" ht="15" hidden="false" customHeight="true" outlineLevel="0" collapsed="false">
      <c r="A63" s="152" t="s">
        <v>1470</v>
      </c>
      <c r="B63" s="153" t="n">
        <f aca="false">'Proyección Soriana'!B14</f>
        <v>0.300144057623049</v>
      </c>
      <c r="C63" s="153" t="n">
        <f aca="false">$B63</f>
        <v>0.300144057623049</v>
      </c>
      <c r="D63" s="153" t="n">
        <f aca="false">$B63</f>
        <v>0.300144057623049</v>
      </c>
      <c r="E63" s="153" t="n">
        <f aca="false">$B63</f>
        <v>0.300144057623049</v>
      </c>
      <c r="F63" s="153" t="n">
        <f aca="false">$B63</f>
        <v>0.300144057623049</v>
      </c>
      <c r="G63" s="153" t="n">
        <f aca="false">$B63</f>
        <v>0.300144057623049</v>
      </c>
    </row>
    <row r="64" customFormat="false" ht="15" hidden="false" customHeight="true" outlineLevel="0" collapsed="false">
      <c r="A64" s="154"/>
      <c r="B64" s="154"/>
      <c r="C64" s="154"/>
      <c r="D64" s="154"/>
      <c r="E64" s="154"/>
      <c r="F64" s="154"/>
      <c r="G64" s="154"/>
    </row>
    <row r="65" customFormat="false" ht="15" hidden="false" customHeight="true" outlineLevel="0" collapsed="false">
      <c r="A65" s="148" t="s">
        <v>1882</v>
      </c>
      <c r="B65" s="154"/>
      <c r="C65" s="154"/>
      <c r="D65" s="154"/>
      <c r="E65" s="154"/>
      <c r="F65" s="154"/>
      <c r="G65" s="154"/>
      <c r="I65" s="75" t="s">
        <v>1883</v>
      </c>
    </row>
    <row r="66" customFormat="false" ht="15" hidden="false" customHeight="true" outlineLevel="0" collapsed="false">
      <c r="A66" s="61" t="s">
        <v>1884</v>
      </c>
      <c r="B66" s="61" t="s">
        <v>1428</v>
      </c>
      <c r="C66" s="61" t="s">
        <v>1429</v>
      </c>
      <c r="D66" s="61" t="s">
        <v>1430</v>
      </c>
      <c r="E66" s="61" t="s">
        <v>1431</v>
      </c>
      <c r="F66" s="61" t="s">
        <v>1432</v>
      </c>
      <c r="G66" s="61" t="s">
        <v>1433</v>
      </c>
    </row>
    <row r="67" customFormat="false" ht="15" hidden="false" customHeight="true" outlineLevel="0" collapsed="false">
      <c r="A67" s="152" t="s">
        <v>1442</v>
      </c>
      <c r="B67" s="161" t="n">
        <f aca="false">Datos!G6</f>
        <v>177515</v>
      </c>
      <c r="C67" s="161" t="n">
        <f aca="false">B67*(1+C28)</f>
        <v>169521.222905363</v>
      </c>
      <c r="D67" s="161" t="n">
        <f aca="false">C67*(1+D28)</f>
        <v>166899.172667645</v>
      </c>
      <c r="E67" s="161" t="n">
        <f aca="false">D67*(1+E28)</f>
        <v>168291.753761357</v>
      </c>
      <c r="F67" s="161" t="n">
        <f aca="false">E67*(1+F28)</f>
        <v>171679.130820352</v>
      </c>
      <c r="G67" s="161" t="n">
        <f aca="false">F67*(1+G28)</f>
        <v>176368.459696609</v>
      </c>
    </row>
    <row r="68" customFormat="false" ht="15" hidden="false" customHeight="true" outlineLevel="0" collapsed="false">
      <c r="A68" s="152" t="s">
        <v>86</v>
      </c>
      <c r="B68" s="161" t="n">
        <f aca="false">-Datos!G7</f>
        <v>-134752</v>
      </c>
      <c r="C68" s="161" t="n">
        <f aca="false">-C67*C59</f>
        <v>-128158.044516455</v>
      </c>
      <c r="D68" s="161" t="n">
        <f aca="false">-D67*D59</f>
        <v>-126342.673709407</v>
      </c>
      <c r="E68" s="161" t="n">
        <f aca="false">-E67*E59</f>
        <v>-127565.149351109</v>
      </c>
      <c r="F68" s="161" t="n">
        <f aca="false">-F67*F59</f>
        <v>-130132.781161827</v>
      </c>
      <c r="G68" s="161" t="n">
        <f aca="false">-G67*G59</f>
        <v>-133687.29245003</v>
      </c>
    </row>
    <row r="69" customFormat="false" ht="15" hidden="false" customHeight="true" outlineLevel="0" collapsed="false">
      <c r="A69" s="61" t="s">
        <v>80</v>
      </c>
      <c r="B69" s="162" t="n">
        <f aca="false">B67+B68</f>
        <v>42763</v>
      </c>
      <c r="C69" s="162" t="n">
        <f aca="false">C67+C68</f>
        <v>41363.1783889086</v>
      </c>
      <c r="D69" s="162" t="n">
        <f aca="false">D67+D68</f>
        <v>40556.4989582378</v>
      </c>
      <c r="E69" s="162" t="n">
        <f aca="false">E67+E68</f>
        <v>40726.6044102485</v>
      </c>
      <c r="F69" s="162" t="n">
        <f aca="false">F67+F68</f>
        <v>41546.3496585251</v>
      </c>
      <c r="G69" s="162" t="n">
        <f aca="false">G67+G68</f>
        <v>42681.1672465795</v>
      </c>
    </row>
    <row r="70" customFormat="false" ht="15" hidden="false" customHeight="true" outlineLevel="0" collapsed="false">
      <c r="A70" s="152" t="s">
        <v>1472</v>
      </c>
      <c r="B70" s="161" t="n">
        <f aca="false">-(Datos!G8-Datos!G9-Datos!G14)</f>
        <v>-30870</v>
      </c>
      <c r="C70" s="161" t="n">
        <f aca="false">-C67*C60</f>
        <v>-29537.460455723</v>
      </c>
      <c r="D70" s="161" t="n">
        <f aca="false">-D67*D60</f>
        <v>-28948.7427986499</v>
      </c>
      <c r="E70" s="161" t="n">
        <f aca="false">-E67*E60</f>
        <v>-29030.3176251636</v>
      </c>
      <c r="F70" s="161" t="n">
        <f aca="false">-F67*F60</f>
        <v>-29617.9798254587</v>
      </c>
      <c r="G70" s="161" t="n">
        <f aca="false">-G67*G60</f>
        <v>-30425.1200368734</v>
      </c>
    </row>
    <row r="71" customFormat="false" ht="15" hidden="false" customHeight="true" outlineLevel="0" collapsed="false">
      <c r="A71" s="61" t="s">
        <v>1473</v>
      </c>
      <c r="B71" s="162" t="n">
        <f aca="false">B69+B70</f>
        <v>11893</v>
      </c>
      <c r="C71" s="162" t="n">
        <f aca="false">C69+C70</f>
        <v>11825.7179331857</v>
      </c>
      <c r="D71" s="162" t="n">
        <f aca="false">D69+D70</f>
        <v>11607.7561595879</v>
      </c>
      <c r="E71" s="162" t="n">
        <f aca="false">E69+E70</f>
        <v>11696.2867850848</v>
      </c>
      <c r="F71" s="162" t="n">
        <f aca="false">F69+F70</f>
        <v>11928.3698330664</v>
      </c>
      <c r="G71" s="162" t="n">
        <f aca="false">G69+G70</f>
        <v>12256.047209706</v>
      </c>
    </row>
    <row r="72" customFormat="false" ht="15" hidden="false" customHeight="true" outlineLevel="0" collapsed="false">
      <c r="A72" s="152" t="s">
        <v>154</v>
      </c>
      <c r="B72" s="161" t="n">
        <f aca="false">-Datos!G14</f>
        <v>-4342</v>
      </c>
      <c r="C72" s="161" t="n">
        <f aca="false">-C67*C46</f>
        <v>-4130.01270581607</v>
      </c>
      <c r="D72" s="161" t="n">
        <f aca="false">-D67*D46</f>
        <v>-4066.13220394458</v>
      </c>
      <c r="E72" s="161" t="n">
        <f aca="false">-E67*E46</f>
        <v>-4102.78286859152</v>
      </c>
      <c r="F72" s="161" t="n">
        <f aca="false">-F67*F46</f>
        <v>-4188.14199729641</v>
      </c>
      <c r="G72" s="161" t="n">
        <f aca="false">-G67*G46</f>
        <v>-4305.39317115882</v>
      </c>
    </row>
    <row r="73" customFormat="false" ht="15" hidden="false" customHeight="true" outlineLevel="0" collapsed="false">
      <c r="A73" s="61" t="s">
        <v>81</v>
      </c>
      <c r="B73" s="162" t="n">
        <f aca="false">B71+B72</f>
        <v>7551</v>
      </c>
      <c r="C73" s="162" t="n">
        <f aca="false">C71+C72</f>
        <v>7695.70522736961</v>
      </c>
      <c r="D73" s="162" t="n">
        <f aca="false">D71+D72</f>
        <v>7541.62395564329</v>
      </c>
      <c r="E73" s="162" t="n">
        <f aca="false">E71+E72</f>
        <v>7593.5039164933</v>
      </c>
      <c r="F73" s="162" t="n">
        <f aca="false">F71+F72</f>
        <v>7740.22783576996</v>
      </c>
      <c r="G73" s="162" t="n">
        <f aca="false">G71+G72</f>
        <v>7950.65403854719</v>
      </c>
    </row>
    <row r="74" customFormat="false" ht="15" hidden="false" customHeight="true" outlineLevel="0" collapsed="false">
      <c r="A74" s="152" t="s">
        <v>88</v>
      </c>
      <c r="B74" s="161" t="n">
        <f aca="false">-Datos!G10</f>
        <v>-3074</v>
      </c>
      <c r="C74" s="161" t="n">
        <f aca="false">-C61*(B91+B92)</f>
        <v>-2361.8</v>
      </c>
      <c r="D74" s="161" t="n">
        <f aca="false">-D61*(C91+C92)</f>
        <v>-2302.755</v>
      </c>
      <c r="E74" s="161" t="n">
        <f aca="false">-E61*(D91+D92)</f>
        <v>-2156.505</v>
      </c>
      <c r="F74" s="161" t="n">
        <f aca="false">-F61*(E91+E92)</f>
        <v>-2010.255</v>
      </c>
      <c r="G74" s="161" t="n">
        <f aca="false">-G61*(F91+F92)</f>
        <v>-1864.005</v>
      </c>
    </row>
    <row r="75" customFormat="false" ht="15" hidden="false" customHeight="true" outlineLevel="0" collapsed="false">
      <c r="A75" s="152" t="s">
        <v>1474</v>
      </c>
      <c r="B75" s="161" t="n">
        <f aca="false">Datos!G11-Datos!G9+Datos!G10</f>
        <v>288</v>
      </c>
      <c r="C75" s="161" t="n">
        <v>0</v>
      </c>
      <c r="D75" s="161" t="n">
        <v>0</v>
      </c>
      <c r="E75" s="161" t="n">
        <v>0</v>
      </c>
      <c r="F75" s="161" t="n">
        <v>0</v>
      </c>
      <c r="G75" s="161" t="n">
        <v>0</v>
      </c>
    </row>
    <row r="76" customFormat="false" ht="15" hidden="false" customHeight="true" outlineLevel="0" collapsed="false">
      <c r="A76" s="152" t="s">
        <v>152</v>
      </c>
      <c r="B76" s="161" t="n">
        <f aca="false">B73+B74+B75</f>
        <v>4765</v>
      </c>
      <c r="C76" s="161" t="n">
        <f aca="false">C73+C74+C75</f>
        <v>5333.90522736961</v>
      </c>
      <c r="D76" s="161" t="n">
        <f aca="false">D73+D74+D75</f>
        <v>5238.86895564329</v>
      </c>
      <c r="E76" s="161" t="n">
        <f aca="false">E73+E74+E75</f>
        <v>5436.9989164933</v>
      </c>
      <c r="F76" s="161" t="n">
        <f aca="false">F73+F74+F75</f>
        <v>5729.97283576996</v>
      </c>
      <c r="G76" s="161" t="n">
        <f aca="false">G73+G74+G75</f>
        <v>6086.64903854719</v>
      </c>
    </row>
    <row r="77" customFormat="false" ht="15" hidden="false" customHeight="true" outlineLevel="0" collapsed="false">
      <c r="A77" s="152" t="s">
        <v>153</v>
      </c>
      <c r="B77" s="161" t="n">
        <f aca="false">-Datos!G12</f>
        <v>-1433</v>
      </c>
      <c r="C77" s="161" t="n">
        <f aca="false">-C76*C55</f>
        <v>-1426.9274048957</v>
      </c>
      <c r="D77" s="161" t="n">
        <f aca="false">-D76*D55</f>
        <v>-1419.83932361271</v>
      </c>
      <c r="E77" s="161" t="n">
        <f aca="false">-E76*E55</f>
        <v>-1504.32789964045</v>
      </c>
      <c r="F77" s="161" t="n">
        <f aca="false">-F76*F55</f>
        <v>-1617.83950263769</v>
      </c>
      <c r="G77" s="161" t="n">
        <f aca="false">-G76*G55</f>
        <v>-1753.01640492603</v>
      </c>
    </row>
    <row r="78" customFormat="false" ht="15" hidden="false" customHeight="true" outlineLevel="0" collapsed="false">
      <c r="A78" s="61" t="s">
        <v>89</v>
      </c>
      <c r="B78" s="162" t="n">
        <f aca="false">B76+B77</f>
        <v>3332</v>
      </c>
      <c r="C78" s="162" t="n">
        <f aca="false">C76+C77</f>
        <v>3906.97782247391</v>
      </c>
      <c r="D78" s="162" t="n">
        <f aca="false">D76+D77</f>
        <v>3819.02963203058</v>
      </c>
      <c r="E78" s="162" t="n">
        <f aca="false">E76+E77</f>
        <v>3932.67101685285</v>
      </c>
      <c r="F78" s="162" t="n">
        <f aca="false">F76+F77</f>
        <v>4112.13333313227</v>
      </c>
      <c r="G78" s="162" t="n">
        <f aca="false">G76+G77</f>
        <v>4333.63263362116</v>
      </c>
    </row>
    <row r="79" customFormat="false" ht="15" hidden="false" customHeight="true" outlineLevel="0" collapsed="false">
      <c r="A79" s="152" t="s">
        <v>1475</v>
      </c>
      <c r="B79" s="161"/>
      <c r="C79" s="161" t="n">
        <f aca="false">-C78*C63</f>
        <v>-1172.65617668058</v>
      </c>
      <c r="D79" s="161" t="n">
        <f aca="false">-D78*D63</f>
        <v>-1146.25904994032</v>
      </c>
      <c r="E79" s="161" t="n">
        <f aca="false">-E78*E63</f>
        <v>-1180.36783629478</v>
      </c>
      <c r="F79" s="161" t="n">
        <f aca="false">-F78*F63</f>
        <v>-1234.23238409331</v>
      </c>
      <c r="G79" s="161" t="n">
        <f aca="false">-G78*G63</f>
        <v>-1300.71408290272</v>
      </c>
    </row>
    <row r="80" customFormat="false" ht="15" hidden="false" customHeight="true" outlineLevel="0" collapsed="false">
      <c r="A80" s="152" t="s">
        <v>1885</v>
      </c>
      <c r="B80" s="153" t="n">
        <f aca="false">B71/B67</f>
        <v>0.0669971551699856</v>
      </c>
      <c r="C80" s="153" t="n">
        <f aca="false">C71/C67</f>
        <v>0.0697595128828648</v>
      </c>
      <c r="D80" s="153" t="n">
        <f aca="false">D71/D67</f>
        <v>0.0695495128828648</v>
      </c>
      <c r="E80" s="153" t="n">
        <f aca="false">E71/E67</f>
        <v>0.0695000588185117</v>
      </c>
      <c r="F80" s="153" t="n">
        <f aca="false">F71/F67</f>
        <v>0.0694806047541588</v>
      </c>
      <c r="G80" s="153" t="n">
        <f aca="false">G71/G67</f>
        <v>0.0694911506898058</v>
      </c>
    </row>
    <row r="81" customFormat="false" ht="15" hidden="false" customHeight="true" outlineLevel="0" collapsed="false">
      <c r="A81" s="152" t="s">
        <v>34</v>
      </c>
      <c r="B81" s="153" t="n">
        <f aca="false">B78/B67</f>
        <v>0.0187702447680478</v>
      </c>
      <c r="C81" s="153" t="n">
        <f aca="false">C78/C67</f>
        <v>0.0230471309462828</v>
      </c>
      <c r="D81" s="153" t="n">
        <f aca="false">D78/D67</f>
        <v>0.0228822562208598</v>
      </c>
      <c r="E81" s="153" t="n">
        <f aca="false">E78/E67</f>
        <v>0.0233681741912886</v>
      </c>
      <c r="F81" s="153" t="n">
        <f aca="false">F78/F67</f>
        <v>0.02395243564831</v>
      </c>
      <c r="G81" s="153" t="n">
        <f aca="false">G78/G67</f>
        <v>0.0245714717987327</v>
      </c>
    </row>
    <row r="82" customFormat="false" ht="15" hidden="false" customHeight="true" outlineLevel="0" collapsed="false">
      <c r="A82" s="154"/>
      <c r="B82" s="154"/>
      <c r="C82" s="154"/>
      <c r="D82" s="154"/>
      <c r="E82" s="154"/>
      <c r="F82" s="154"/>
      <c r="G82" s="154"/>
    </row>
    <row r="83" customFormat="false" ht="15" hidden="false" customHeight="true" outlineLevel="0" collapsed="false">
      <c r="A83" s="61" t="s">
        <v>1886</v>
      </c>
      <c r="B83" s="61" t="s">
        <v>1428</v>
      </c>
      <c r="C83" s="61" t="s">
        <v>1429</v>
      </c>
      <c r="D83" s="61" t="s">
        <v>1430</v>
      </c>
      <c r="E83" s="61" t="s">
        <v>1431</v>
      </c>
      <c r="F83" s="61" t="s">
        <v>1432</v>
      </c>
      <c r="G83" s="61" t="s">
        <v>1433</v>
      </c>
    </row>
    <row r="84" customFormat="false" ht="15" hidden="false" customHeight="true" outlineLevel="0" collapsed="false">
      <c r="A84" s="152" t="s">
        <v>13</v>
      </c>
      <c r="B84" s="161" t="n">
        <f aca="false">Datos!G17</f>
        <v>9295</v>
      </c>
      <c r="C84" s="161" t="n">
        <f aca="false">B84+C108</f>
        <v>12424.3751978225</v>
      </c>
      <c r="D84" s="161" t="n">
        <f aca="false">C84+D108</f>
        <v>14378.0089568858</v>
      </c>
      <c r="E84" s="161" t="n">
        <f aca="false">D84+E108</f>
        <v>16690.2121510789</v>
      </c>
      <c r="F84" s="161" t="n">
        <f aca="false">E84+F108</f>
        <v>18807.3764604079</v>
      </c>
      <c r="G84" s="161" t="n">
        <f aca="false">F84+G108</f>
        <v>21085.4073805949</v>
      </c>
    </row>
    <row r="85" customFormat="false" ht="15" hidden="false" customHeight="true" outlineLevel="0" collapsed="false">
      <c r="A85" s="152" t="s">
        <v>156</v>
      </c>
      <c r="B85" s="161" t="n">
        <f aca="false">Datos!G18</f>
        <v>32283</v>
      </c>
      <c r="C85" s="161" t="n">
        <f aca="false">-C68*C56/365</f>
        <v>30898.3778560219</v>
      </c>
      <c r="D85" s="161" t="n">
        <f aca="false">-D68*D56/365</f>
        <v>30460.6994148708</v>
      </c>
      <c r="E85" s="161" t="n">
        <f aca="false">-E68*E56/365</f>
        <v>30405.9397083465</v>
      </c>
      <c r="F85" s="161" t="n">
        <f aca="false">-F68*F56/365</f>
        <v>31017.9505782984</v>
      </c>
      <c r="G85" s="161" t="n">
        <f aca="false">-G68*G56/365</f>
        <v>31865.1902552126</v>
      </c>
    </row>
    <row r="86" customFormat="false" ht="15" hidden="false" customHeight="true" outlineLevel="0" collapsed="false">
      <c r="A86" s="152" t="s">
        <v>1477</v>
      </c>
      <c r="B86" s="161" t="n">
        <f aca="false">Datos!G19-Datos!G17-Datos!G18</f>
        <v>6951</v>
      </c>
      <c r="C86" s="161" t="n">
        <f aca="false">C67*C57</f>
        <v>6637.9856373556</v>
      </c>
      <c r="D86" s="161" t="n">
        <f aca="false">D67*D57</f>
        <v>6535.31334936655</v>
      </c>
      <c r="E86" s="161" t="n">
        <f aca="false">E67*E57</f>
        <v>6589.84300140943</v>
      </c>
      <c r="F86" s="161" t="n">
        <f aca="false">F67*F57</f>
        <v>6722.48338637447</v>
      </c>
      <c r="G86" s="161" t="n">
        <f aca="false">G67*G57</f>
        <v>6906.10462975597</v>
      </c>
    </row>
    <row r="87" customFormat="false" ht="15" hidden="false" customHeight="true" outlineLevel="0" collapsed="false">
      <c r="A87" s="61" t="s">
        <v>157</v>
      </c>
      <c r="B87" s="162" t="n">
        <f aca="false">SUM(B84:B86)</f>
        <v>48529</v>
      </c>
      <c r="C87" s="162" t="n">
        <f aca="false">SUM(C84:C86)</f>
        <v>49960.7386912001</v>
      </c>
      <c r="D87" s="162" t="n">
        <f aca="false">SUM(D84:D86)</f>
        <v>51374.0217211232</v>
      </c>
      <c r="E87" s="162" t="n">
        <f aca="false">SUM(E84:E86)</f>
        <v>53685.9948608348</v>
      </c>
      <c r="F87" s="162" t="n">
        <f aca="false">SUM(F84:F86)</f>
        <v>56547.8104250808</v>
      </c>
      <c r="G87" s="162" t="n">
        <f aca="false">SUM(G84:G86)</f>
        <v>59856.7022655635</v>
      </c>
    </row>
    <row r="88" customFormat="false" ht="15" hidden="false" customHeight="true" outlineLevel="0" collapsed="false">
      <c r="A88" s="152" t="s">
        <v>1478</v>
      </c>
      <c r="B88" s="161" t="n">
        <f aca="false">Datos!G20-Datos!G19</f>
        <v>107509</v>
      </c>
      <c r="C88" s="161" t="n">
        <f aca="false">B88-C104+C72</f>
        <v>107211.026273329</v>
      </c>
      <c r="D88" s="161" t="n">
        <f aca="false">C88-D104+D72</f>
        <v>106445.512943321</v>
      </c>
      <c r="E88" s="161" t="n">
        <f aca="false">D88-E104+E72</f>
        <v>105664.672997484</v>
      </c>
      <c r="F88" s="161" t="n">
        <f aca="false">E88-F104+F72</f>
        <v>104858.997082149</v>
      </c>
      <c r="G88" s="161" t="n">
        <f aca="false">F88-G104+G72</f>
        <v>104021.94622851</v>
      </c>
    </row>
    <row r="89" customFormat="false" ht="15" hidden="false" customHeight="true" outlineLevel="0" collapsed="false">
      <c r="A89" s="61" t="s">
        <v>92</v>
      </c>
      <c r="B89" s="162" t="n">
        <f aca="false">B87+B88</f>
        <v>156038</v>
      </c>
      <c r="C89" s="162" t="n">
        <f aca="false">C87+C88</f>
        <v>157171.764964529</v>
      </c>
      <c r="D89" s="162" t="n">
        <f aca="false">D87+D88</f>
        <v>157819.534664445</v>
      </c>
      <c r="E89" s="162" t="n">
        <f aca="false">E87+E88</f>
        <v>159350.667858319</v>
      </c>
      <c r="F89" s="162" t="n">
        <f aca="false">F87+F88</f>
        <v>161406.80750723</v>
      </c>
      <c r="G89" s="162" t="n">
        <f aca="false">G87+G88</f>
        <v>163878.648494074</v>
      </c>
    </row>
    <row r="90" customFormat="false" ht="15" hidden="false" customHeight="true" outlineLevel="0" collapsed="false">
      <c r="A90" s="152" t="s">
        <v>1479</v>
      </c>
      <c r="B90" s="161" t="n">
        <f aca="false">Datos!G21-Datos!G25-Datos!G27</f>
        <v>35543</v>
      </c>
      <c r="C90" s="161" t="n">
        <f aca="false">C67*C58</f>
        <v>33942.4433187355</v>
      </c>
      <c r="D90" s="161" t="n">
        <f aca="false">D67*D58</f>
        <v>33417.4424365609</v>
      </c>
      <c r="E90" s="161" t="n">
        <f aca="false">E67*E58</f>
        <v>33696.272449877</v>
      </c>
      <c r="F90" s="161" t="n">
        <f aca="false">F67*F58</f>
        <v>34374.5111497494</v>
      </c>
      <c r="G90" s="161" t="n">
        <f aca="false">G67*G58</f>
        <v>35313.4335858749</v>
      </c>
    </row>
    <row r="91" customFormat="false" ht="15" hidden="false" customHeight="true" outlineLevel="0" collapsed="false">
      <c r="A91" s="152" t="s">
        <v>1480</v>
      </c>
      <c r="B91" s="161" t="n">
        <f aca="false">Datos!G25+Datos!G26</f>
        <v>11500</v>
      </c>
      <c r="C91" s="161" t="n">
        <f aca="false">MAX(0,B91+C62)</f>
        <v>11500</v>
      </c>
      <c r="D91" s="161" t="n">
        <f aca="false">MAX(0,C91+D62)</f>
        <v>10000</v>
      </c>
      <c r="E91" s="161" t="n">
        <f aca="false">MAX(0,D91+E62)</f>
        <v>8500</v>
      </c>
      <c r="F91" s="161" t="n">
        <f aca="false">MAX(0,E91+F62)</f>
        <v>7000</v>
      </c>
      <c r="G91" s="161" t="n">
        <f aca="false">MAX(0,F91+G62)</f>
        <v>5500</v>
      </c>
    </row>
    <row r="92" customFormat="false" ht="15" hidden="false" customHeight="true" outlineLevel="0" collapsed="false">
      <c r="A92" s="152" t="s">
        <v>1481</v>
      </c>
      <c r="B92" s="161" t="n">
        <f aca="false">Datos!G27+Datos!G28</f>
        <v>12118</v>
      </c>
      <c r="C92" s="161" t="n">
        <f aca="false">B92</f>
        <v>12118</v>
      </c>
      <c r="D92" s="161" t="n">
        <f aca="false">C92</f>
        <v>12118</v>
      </c>
      <c r="E92" s="161" t="n">
        <f aca="false">D92</f>
        <v>12118</v>
      </c>
      <c r="F92" s="161" t="n">
        <f aca="false">E92</f>
        <v>12118</v>
      </c>
      <c r="G92" s="161" t="n">
        <f aca="false">F92</f>
        <v>12118</v>
      </c>
    </row>
    <row r="93" customFormat="false" ht="15" hidden="false" customHeight="true" outlineLevel="0" collapsed="false">
      <c r="A93" s="152" t="s">
        <v>1482</v>
      </c>
      <c r="B93" s="161" t="n">
        <f aca="false">Datos!G23-Datos!G21-Datos!G26-Datos!G28</f>
        <v>12145</v>
      </c>
      <c r="C93" s="161" t="n">
        <f aca="false">B93</f>
        <v>12145</v>
      </c>
      <c r="D93" s="161" t="n">
        <f aca="false">C93</f>
        <v>12145</v>
      </c>
      <c r="E93" s="161" t="n">
        <f aca="false">D93</f>
        <v>12145</v>
      </c>
      <c r="F93" s="161" t="n">
        <f aca="false">E93</f>
        <v>12145</v>
      </c>
      <c r="G93" s="161" t="n">
        <f aca="false">F93</f>
        <v>12145</v>
      </c>
    </row>
    <row r="94" customFormat="false" ht="15" hidden="false" customHeight="true" outlineLevel="0" collapsed="false">
      <c r="A94" s="61" t="s">
        <v>93</v>
      </c>
      <c r="B94" s="162" t="n">
        <f aca="false">SUM(B90:B93)</f>
        <v>71306</v>
      </c>
      <c r="C94" s="162" t="n">
        <f aca="false">SUM(C90:C93)</f>
        <v>69705.4433187355</v>
      </c>
      <c r="D94" s="162" t="n">
        <f aca="false">SUM(D90:D93)</f>
        <v>67680.4424365609</v>
      </c>
      <c r="E94" s="162" t="n">
        <f aca="false">SUM(E90:E93)</f>
        <v>66459.272449877</v>
      </c>
      <c r="F94" s="162" t="n">
        <f aca="false">SUM(F90:F93)</f>
        <v>65637.5111497494</v>
      </c>
      <c r="G94" s="162" t="n">
        <f aca="false">SUM(G90:G93)</f>
        <v>65076.4335858749</v>
      </c>
    </row>
    <row r="95" customFormat="false" ht="15" hidden="false" customHeight="true" outlineLevel="0" collapsed="false">
      <c r="A95" s="152" t="s">
        <v>94</v>
      </c>
      <c r="B95" s="161" t="n">
        <f aca="false">Datos!G24</f>
        <v>84732</v>
      </c>
      <c r="C95" s="161" t="n">
        <f aca="false">B95+C78+C79</f>
        <v>87466.3216457933</v>
      </c>
      <c r="D95" s="161" t="n">
        <f aca="false">C95+D78+D79</f>
        <v>90139.0922278836</v>
      </c>
      <c r="E95" s="161" t="n">
        <f aca="false">D95+E78+E79</f>
        <v>92891.3954084417</v>
      </c>
      <c r="F95" s="161" t="n">
        <f aca="false">E95+F78+F79</f>
        <v>95769.2963574806</v>
      </c>
      <c r="G95" s="161" t="n">
        <f aca="false">F95+G78+G79</f>
        <v>98802.2149081991</v>
      </c>
    </row>
    <row r="96" customFormat="false" ht="15" hidden="false" customHeight="true" outlineLevel="0" collapsed="false">
      <c r="A96" s="61" t="s">
        <v>1483</v>
      </c>
      <c r="B96" s="162" t="n">
        <f aca="false">B94+B95</f>
        <v>156038</v>
      </c>
      <c r="C96" s="162" t="n">
        <f aca="false">C94+C95</f>
        <v>157171.764964529</v>
      </c>
      <c r="D96" s="162" t="n">
        <f aca="false">D94+D95</f>
        <v>157819.534664445</v>
      </c>
      <c r="E96" s="162" t="n">
        <f aca="false">E94+E95</f>
        <v>159350.667858319</v>
      </c>
      <c r="F96" s="162" t="n">
        <f aca="false">F94+F95</f>
        <v>161406.80750723</v>
      </c>
      <c r="G96" s="162" t="n">
        <f aca="false">G94+G95</f>
        <v>163878.648494074</v>
      </c>
    </row>
    <row r="97" customFormat="false" ht="15" hidden="false" customHeight="true" outlineLevel="0" collapsed="false">
      <c r="A97" s="152" t="s">
        <v>1887</v>
      </c>
      <c r="B97" s="161" t="n">
        <f aca="false">B89-B96</f>
        <v>0</v>
      </c>
      <c r="C97" s="161" t="n">
        <f aca="false">C89-C96</f>
        <v>0</v>
      </c>
      <c r="D97" s="161" t="n">
        <f aca="false">D89-D96</f>
        <v>0</v>
      </c>
      <c r="E97" s="161" t="n">
        <f aca="false">E89-E96</f>
        <v>0</v>
      </c>
      <c r="F97" s="161" t="n">
        <f aca="false">F89-F96</f>
        <v>0</v>
      </c>
      <c r="G97" s="161" t="n">
        <f aca="false">G89-G96</f>
        <v>0</v>
      </c>
    </row>
    <row r="98" customFormat="false" ht="15" hidden="false" customHeight="true" outlineLevel="0" collapsed="false">
      <c r="A98" s="154"/>
      <c r="B98" s="154"/>
      <c r="C98" s="154"/>
      <c r="D98" s="154"/>
      <c r="E98" s="154"/>
      <c r="F98" s="154"/>
      <c r="G98" s="154"/>
    </row>
    <row r="99" customFormat="false" ht="15" hidden="false" customHeight="true" outlineLevel="0" collapsed="false">
      <c r="A99" s="61" t="s">
        <v>1888</v>
      </c>
      <c r="B99" s="61" t="s">
        <v>1428</v>
      </c>
      <c r="C99" s="61" t="s">
        <v>1429</v>
      </c>
      <c r="D99" s="61" t="s">
        <v>1430</v>
      </c>
      <c r="E99" s="61" t="s">
        <v>1431</v>
      </c>
      <c r="F99" s="61" t="s">
        <v>1432</v>
      </c>
      <c r="G99" s="61" t="s">
        <v>1433</v>
      </c>
    </row>
    <row r="100" customFormat="false" ht="15" hidden="false" customHeight="true" outlineLevel="0" collapsed="false">
      <c r="A100" s="152" t="s">
        <v>89</v>
      </c>
      <c r="B100" s="152"/>
      <c r="C100" s="161" t="n">
        <f aca="false">C78</f>
        <v>3906.97782247391</v>
      </c>
      <c r="D100" s="161" t="n">
        <f aca="false">D78</f>
        <v>3819.02963203058</v>
      </c>
      <c r="E100" s="161" t="n">
        <f aca="false">E78</f>
        <v>3932.67101685285</v>
      </c>
      <c r="F100" s="161" t="n">
        <f aca="false">F78</f>
        <v>4112.13333313227</v>
      </c>
      <c r="G100" s="161" t="n">
        <f aca="false">G78</f>
        <v>4333.63263362116</v>
      </c>
    </row>
    <row r="101" customFormat="false" ht="15" hidden="false" customHeight="true" outlineLevel="0" collapsed="false">
      <c r="A101" s="152" t="s">
        <v>1445</v>
      </c>
      <c r="B101" s="152"/>
      <c r="C101" s="161" t="n">
        <f aca="false">-C72</f>
        <v>4130.01270581607</v>
      </c>
      <c r="D101" s="161" t="n">
        <f aca="false">-D72</f>
        <v>4066.13220394458</v>
      </c>
      <c r="E101" s="161" t="n">
        <f aca="false">-E72</f>
        <v>4102.78286859152</v>
      </c>
      <c r="F101" s="161" t="n">
        <f aca="false">-F72</f>
        <v>4188.14199729641</v>
      </c>
      <c r="G101" s="161" t="n">
        <f aca="false">-G72</f>
        <v>4305.39317115882</v>
      </c>
    </row>
    <row r="102" customFormat="false" ht="15" hidden="false" customHeight="true" outlineLevel="0" collapsed="false">
      <c r="A102" s="152" t="s">
        <v>1889</v>
      </c>
      <c r="B102" s="152"/>
      <c r="C102" s="161" t="n">
        <f aca="false">-(C85-B85)</f>
        <v>1384.62214397806</v>
      </c>
      <c r="D102" s="161" t="n">
        <f aca="false">-(D85-C85)</f>
        <v>437.678441151093</v>
      </c>
      <c r="E102" s="161" t="n">
        <f aca="false">-(E85-D85)</f>
        <v>54.7597065243572</v>
      </c>
      <c r="F102" s="161" t="n">
        <f aca="false">-(F85-E85)</f>
        <v>-612.010869951904</v>
      </c>
      <c r="G102" s="161" t="n">
        <f aca="false">-(G85-F85)</f>
        <v>-847.2396769142</v>
      </c>
    </row>
    <row r="103" customFormat="false" ht="15" hidden="false" customHeight="true" outlineLevel="0" collapsed="false">
      <c r="A103" s="152" t="s">
        <v>1890</v>
      </c>
      <c r="B103" s="152"/>
      <c r="C103" s="161" t="n">
        <f aca="false">-(C86-B86)</f>
        <v>313.014362644396</v>
      </c>
      <c r="D103" s="161" t="n">
        <f aca="false">-(D86-C86)</f>
        <v>102.672287989059</v>
      </c>
      <c r="E103" s="161" t="n">
        <f aca="false">-(E86-D86)</f>
        <v>-54.5296520428819</v>
      </c>
      <c r="F103" s="161" t="n">
        <f aca="false">-(F86-E86)</f>
        <v>-132.640384965046</v>
      </c>
      <c r="G103" s="161" t="n">
        <f aca="false">-(G86-F86)</f>
        <v>-183.621243381498</v>
      </c>
    </row>
    <row r="104" customFormat="false" ht="15" hidden="false" customHeight="true" outlineLevel="0" collapsed="false">
      <c r="A104" s="152" t="s">
        <v>1891</v>
      </c>
      <c r="B104" s="152"/>
      <c r="C104" s="161" t="n">
        <f aca="false">-C67*C51</f>
        <v>-3832.0389791448</v>
      </c>
      <c r="D104" s="161" t="n">
        <f aca="false">-D67*D51</f>
        <v>-3300.61887393722</v>
      </c>
      <c r="E104" s="161" t="n">
        <f aca="false">-E67*E51</f>
        <v>-3321.94292275407</v>
      </c>
      <c r="F104" s="161" t="n">
        <f aca="false">-F67*F51</f>
        <v>-3382.46608196171</v>
      </c>
      <c r="G104" s="161" t="n">
        <f aca="false">-G67*G51</f>
        <v>-3468.34231752008</v>
      </c>
    </row>
    <row r="105" customFormat="false" ht="15" hidden="false" customHeight="true" outlineLevel="0" collapsed="false">
      <c r="A105" s="152" t="s">
        <v>1488</v>
      </c>
      <c r="B105" s="152"/>
      <c r="C105" s="161" t="n">
        <f aca="false">C90-B90</f>
        <v>-1600.55668126454</v>
      </c>
      <c r="D105" s="161" t="n">
        <f aca="false">D90-C90</f>
        <v>-525.000882174521</v>
      </c>
      <c r="E105" s="161" t="n">
        <f aca="false">E90-D90</f>
        <v>278.830013316096</v>
      </c>
      <c r="F105" s="161" t="n">
        <f aca="false">F90-E90</f>
        <v>678.238699872338</v>
      </c>
      <c r="G105" s="161" t="n">
        <f aca="false">G90-F90</f>
        <v>938.922436125533</v>
      </c>
    </row>
    <row r="106" customFormat="false" ht="15" hidden="false" customHeight="true" outlineLevel="0" collapsed="false">
      <c r="A106" s="152" t="s">
        <v>1892</v>
      </c>
      <c r="B106" s="152"/>
      <c r="C106" s="161" t="n">
        <f aca="false">C79</f>
        <v>-1172.65617668058</v>
      </c>
      <c r="D106" s="161" t="n">
        <f aca="false">D79</f>
        <v>-1146.25904994032</v>
      </c>
      <c r="E106" s="161" t="n">
        <f aca="false">E79</f>
        <v>-1180.36783629478</v>
      </c>
      <c r="F106" s="161" t="n">
        <f aca="false">F79</f>
        <v>-1234.23238409331</v>
      </c>
      <c r="G106" s="161" t="n">
        <f aca="false">G79</f>
        <v>-1300.71408290272</v>
      </c>
    </row>
    <row r="107" customFormat="false" ht="15" hidden="false" customHeight="true" outlineLevel="0" collapsed="false">
      <c r="A107" s="152" t="s">
        <v>1893</v>
      </c>
      <c r="B107" s="152"/>
      <c r="C107" s="161" t="n">
        <f aca="false">C91-B91</f>
        <v>0</v>
      </c>
      <c r="D107" s="161" t="n">
        <f aca="false">D91-C91</f>
        <v>-1500</v>
      </c>
      <c r="E107" s="161" t="n">
        <f aca="false">E91-D91</f>
        <v>-1500</v>
      </c>
      <c r="F107" s="161" t="n">
        <f aca="false">F91-E91</f>
        <v>-1500</v>
      </c>
      <c r="G107" s="161" t="n">
        <f aca="false">G91-F91</f>
        <v>-1500</v>
      </c>
    </row>
    <row r="108" customFormat="false" ht="15" hidden="false" customHeight="true" outlineLevel="0" collapsed="false">
      <c r="A108" s="61" t="s">
        <v>1894</v>
      </c>
      <c r="B108" s="61"/>
      <c r="C108" s="162" t="n">
        <f aca="false">SUM(C100:C107)</f>
        <v>3129.37519782252</v>
      </c>
      <c r="D108" s="162" t="n">
        <f aca="false">SUM(D100:D107)</f>
        <v>1953.63375906326</v>
      </c>
      <c r="E108" s="162" t="n">
        <f aca="false">SUM(E100:E107)</f>
        <v>2312.2031941931</v>
      </c>
      <c r="F108" s="162" t="n">
        <f aca="false">SUM(F100:F107)</f>
        <v>2117.16430932904</v>
      </c>
      <c r="G108" s="162" t="n">
        <f aca="false">SUM(G100:G107)</f>
        <v>2278.03092018702</v>
      </c>
    </row>
    <row r="109" customFormat="false" ht="15" hidden="false" customHeight="true" outlineLevel="0" collapsed="false">
      <c r="A109" s="154"/>
      <c r="B109" s="154"/>
      <c r="C109" s="154"/>
      <c r="D109" s="154"/>
      <c r="E109" s="154"/>
      <c r="F109" s="154"/>
      <c r="G109" s="154"/>
    </row>
    <row r="110" customFormat="false" ht="15" hidden="false" customHeight="true" outlineLevel="0" collapsed="false">
      <c r="A110" s="61" t="s">
        <v>1895</v>
      </c>
      <c r="B110" s="61" t="s">
        <v>1428</v>
      </c>
      <c r="C110" s="61" t="s">
        <v>1429</v>
      </c>
      <c r="D110" s="61" t="s">
        <v>1430</v>
      </c>
      <c r="E110" s="61" t="s">
        <v>1431</v>
      </c>
      <c r="F110" s="61" t="s">
        <v>1432</v>
      </c>
      <c r="G110" s="61" t="s">
        <v>1433</v>
      </c>
      <c r="I110" s="75" t="s">
        <v>1896</v>
      </c>
    </row>
    <row r="111" customFormat="false" ht="15" hidden="false" customHeight="true" outlineLevel="0" collapsed="false">
      <c r="A111" s="152" t="s">
        <v>81</v>
      </c>
      <c r="B111" s="152"/>
      <c r="C111" s="161" t="n">
        <f aca="false">C73</f>
        <v>7695.70522736961</v>
      </c>
      <c r="D111" s="161" t="n">
        <f aca="false">D73</f>
        <v>7541.62395564329</v>
      </c>
      <c r="E111" s="161" t="n">
        <f aca="false">E73</f>
        <v>7593.5039164933</v>
      </c>
      <c r="F111" s="161" t="n">
        <f aca="false">F73</f>
        <v>7740.22783576996</v>
      </c>
      <c r="G111" s="161" t="n">
        <f aca="false">G73</f>
        <v>7950.65403854719</v>
      </c>
    </row>
    <row r="112" customFormat="false" ht="15" hidden="false" customHeight="true" outlineLevel="0" collapsed="false">
      <c r="A112" s="152" t="s">
        <v>1897</v>
      </c>
      <c r="B112" s="152"/>
      <c r="C112" s="161" t="n">
        <f aca="false">-C111*C55</f>
        <v>-2058.75661843135</v>
      </c>
      <c r="D112" s="161" t="n">
        <f aca="false">-D111*D55</f>
        <v>-2043.93244930997</v>
      </c>
      <c r="E112" s="161" t="n">
        <f aca="false">-E111*E55</f>
        <v>-2100.99725474609</v>
      </c>
      <c r="F112" s="161" t="n">
        <f aca="false">-F111*F55</f>
        <v>-2185.42857200854</v>
      </c>
      <c r="G112" s="161" t="n">
        <f aca="false">-G111*G55</f>
        <v>-2289.86867341892</v>
      </c>
    </row>
    <row r="113" customFormat="false" ht="15" hidden="false" customHeight="true" outlineLevel="0" collapsed="false">
      <c r="A113" s="152" t="s">
        <v>1898</v>
      </c>
      <c r="B113" s="152"/>
      <c r="C113" s="161" t="n">
        <f aca="false">C111+C112</f>
        <v>5636.94860893826</v>
      </c>
      <c r="D113" s="161" t="n">
        <f aca="false">D111+D112</f>
        <v>5497.69150633332</v>
      </c>
      <c r="E113" s="161" t="n">
        <f aca="false">E111+E112</f>
        <v>5492.50666174721</v>
      </c>
      <c r="F113" s="161" t="n">
        <f aca="false">F111+F112</f>
        <v>5554.79926376142</v>
      </c>
      <c r="G113" s="161" t="n">
        <f aca="false">G111+G112</f>
        <v>5660.78536512827</v>
      </c>
    </row>
    <row r="114" customFormat="false" ht="15" hidden="false" customHeight="true" outlineLevel="0" collapsed="false">
      <c r="A114" s="152" t="s">
        <v>1445</v>
      </c>
      <c r="B114" s="152"/>
      <c r="C114" s="161" t="n">
        <f aca="false">C101</f>
        <v>4130.01270581607</v>
      </c>
      <c r="D114" s="161" t="n">
        <f aca="false">D101</f>
        <v>4066.13220394458</v>
      </c>
      <c r="E114" s="161" t="n">
        <f aca="false">E101</f>
        <v>4102.78286859152</v>
      </c>
      <c r="F114" s="161" t="n">
        <f aca="false">F101</f>
        <v>4188.14199729641</v>
      </c>
      <c r="G114" s="161" t="n">
        <f aca="false">G101</f>
        <v>4305.39317115882</v>
      </c>
    </row>
    <row r="115" customFormat="false" ht="15" hidden="false" customHeight="true" outlineLevel="0" collapsed="false">
      <c r="A115" s="152" t="s">
        <v>1891</v>
      </c>
      <c r="B115" s="152"/>
      <c r="C115" s="161" t="n">
        <f aca="false">C104</f>
        <v>-3832.0389791448</v>
      </c>
      <c r="D115" s="161" t="n">
        <f aca="false">D104</f>
        <v>-3300.61887393722</v>
      </c>
      <c r="E115" s="161" t="n">
        <f aca="false">E104</f>
        <v>-3321.94292275407</v>
      </c>
      <c r="F115" s="161" t="n">
        <f aca="false">F104</f>
        <v>-3382.46608196171</v>
      </c>
      <c r="G115" s="161" t="n">
        <f aca="false">G104</f>
        <v>-3468.34231752008</v>
      </c>
    </row>
    <row r="116" customFormat="false" ht="15" hidden="false" customHeight="true" outlineLevel="0" collapsed="false">
      <c r="A116" s="152" t="s">
        <v>1899</v>
      </c>
      <c r="B116" s="152"/>
      <c r="C116" s="161" t="n">
        <f aca="false">C102+C103+C105</f>
        <v>97.0798253579187</v>
      </c>
      <c r="D116" s="161" t="n">
        <f aca="false">D102+D103+D105</f>
        <v>15.3498469656297</v>
      </c>
      <c r="E116" s="161" t="n">
        <f aca="false">E102+E103+E105</f>
        <v>279.060067797571</v>
      </c>
      <c r="F116" s="161" t="n">
        <f aca="false">F102+F103+F105</f>
        <v>-66.4125550446124</v>
      </c>
      <c r="G116" s="161" t="n">
        <f aca="false">G102+G103+G105</f>
        <v>-91.9384841701649</v>
      </c>
    </row>
    <row r="117" customFormat="false" ht="15" hidden="false" customHeight="true" outlineLevel="0" collapsed="false">
      <c r="A117" s="61" t="s">
        <v>1900</v>
      </c>
      <c r="B117" s="61"/>
      <c r="C117" s="162" t="n">
        <f aca="false">SUM(C113:C116)</f>
        <v>6032.00216096745</v>
      </c>
      <c r="D117" s="162" t="n">
        <f aca="false">SUM(D113:D116)</f>
        <v>6278.55468330631</v>
      </c>
      <c r="E117" s="162" t="n">
        <f aca="false">SUM(E113:E116)</f>
        <v>6552.40667538223</v>
      </c>
      <c r="F117" s="162" t="n">
        <f aca="false">SUM(F113:F116)</f>
        <v>6294.0626240515</v>
      </c>
      <c r="G117" s="162" t="n">
        <f aca="false">SUM(G113:G116)</f>
        <v>6405.89773459684</v>
      </c>
    </row>
    <row r="118" customFormat="false" ht="15" hidden="false" customHeight="true" outlineLevel="0" collapsed="false">
      <c r="A118" s="152" t="s">
        <v>1441</v>
      </c>
      <c r="B118" s="152"/>
      <c r="C118" s="163" t="n">
        <v>1</v>
      </c>
      <c r="D118" s="163" t="n">
        <f aca="false">C118+1</f>
        <v>2</v>
      </c>
      <c r="E118" s="163" t="n">
        <f aca="false">D118+1</f>
        <v>3</v>
      </c>
      <c r="F118" s="163" t="n">
        <f aca="false">E118+1</f>
        <v>4</v>
      </c>
      <c r="G118" s="163" t="n">
        <f aca="false">F118+1</f>
        <v>5</v>
      </c>
    </row>
    <row r="119" customFormat="false" ht="15" hidden="false" customHeight="true" outlineLevel="0" collapsed="false">
      <c r="A119" s="152" t="s">
        <v>1449</v>
      </c>
      <c r="B119" s="152"/>
      <c r="C119" s="164" t="n">
        <f aca="false">1/(1+$B$126)^C118</f>
        <v>0.912133501187888</v>
      </c>
      <c r="D119" s="164" t="n">
        <f aca="false">1/(1+$B$126)^D118</f>
        <v>0.831987523989275</v>
      </c>
      <c r="E119" s="164" t="n">
        <f aca="false">1/(1+$B$126)^E118</f>
        <v>0.758883693200979</v>
      </c>
      <c r="F119" s="164" t="n">
        <f aca="false">1/(1+$B$126)^F118</f>
        <v>0.692203240073804</v>
      </c>
      <c r="G119" s="164" t="n">
        <f aca="false">1/(1+$B$126)^G118</f>
        <v>0.631381764902119</v>
      </c>
    </row>
    <row r="120" customFormat="false" ht="15" hidden="false" customHeight="true" outlineLevel="0" collapsed="false">
      <c r="A120" s="152" t="s">
        <v>1450</v>
      </c>
      <c r="B120" s="152"/>
      <c r="C120" s="161" t="n">
        <f aca="false">C117*C119</f>
        <v>5501.99125025615</v>
      </c>
      <c r="D120" s="161" t="n">
        <f aca="false">D117*D119</f>
        <v>5223.67916519528</v>
      </c>
      <c r="E120" s="161" t="n">
        <f aca="false">E117*E119</f>
        <v>4972.51457716882</v>
      </c>
      <c r="F120" s="161" t="n">
        <f aca="false">F117*F119</f>
        <v>4356.77054159588</v>
      </c>
      <c r="G120" s="161" t="n">
        <f aca="false">G117*G119</f>
        <v>4044.56701745224</v>
      </c>
    </row>
    <row r="121" customFormat="false" ht="15" hidden="false" customHeight="true" outlineLevel="0" collapsed="false">
      <c r="A121" s="154"/>
      <c r="B121" s="154"/>
      <c r="C121" s="154"/>
      <c r="D121" s="154"/>
      <c r="E121" s="154"/>
      <c r="F121" s="154"/>
      <c r="G121" s="154"/>
    </row>
    <row r="122" customFormat="false" ht="15" hidden="false" customHeight="true" outlineLevel="0" collapsed="false">
      <c r="A122" s="61" t="s">
        <v>1901</v>
      </c>
      <c r="B122" s="61" t="s">
        <v>78</v>
      </c>
      <c r="C122" s="61"/>
      <c r="D122" s="61"/>
      <c r="E122" s="61"/>
      <c r="F122" s="61"/>
      <c r="G122" s="61"/>
      <c r="I122" s="75" t="s">
        <v>1902</v>
      </c>
    </row>
    <row r="123" customFormat="false" ht="15" hidden="false" customHeight="true" outlineLevel="0" collapsed="false">
      <c r="A123" s="152" t="s">
        <v>1903</v>
      </c>
      <c r="B123" s="155" t="n">
        <f aca="false">Escenarios!$E$11</f>
        <v>0.035</v>
      </c>
      <c r="C123" s="152"/>
      <c r="D123" s="152"/>
      <c r="E123" s="152"/>
      <c r="F123" s="152"/>
      <c r="G123" s="152"/>
    </row>
    <row r="124" customFormat="false" ht="15" hidden="false" customHeight="true" outlineLevel="0" collapsed="false">
      <c r="A124" s="152" t="s">
        <v>1904</v>
      </c>
      <c r="B124" s="155" t="n">
        <f aca="false">B220</f>
        <v>0.0963307440168374</v>
      </c>
      <c r="C124" s="152"/>
      <c r="D124" s="152"/>
      <c r="E124" s="152"/>
      <c r="F124" s="152"/>
      <c r="G124" s="152"/>
    </row>
    <row r="125" customFormat="false" ht="15" hidden="false" customHeight="true" outlineLevel="0" collapsed="false">
      <c r="A125" s="152" t="s">
        <v>1905</v>
      </c>
      <c r="B125" s="155" t="n">
        <v>0</v>
      </c>
      <c r="C125" s="152"/>
      <c r="D125" s="152"/>
      <c r="E125" s="152"/>
      <c r="F125" s="152"/>
      <c r="G125" s="152"/>
    </row>
    <row r="126" customFormat="false" ht="15" hidden="false" customHeight="true" outlineLevel="0" collapsed="false">
      <c r="A126" s="152" t="s">
        <v>1906</v>
      </c>
      <c r="B126" s="155" t="n">
        <f aca="false">B124+B125</f>
        <v>0.0963307440168374</v>
      </c>
      <c r="C126" s="152"/>
      <c r="D126" s="152"/>
      <c r="E126" s="152"/>
      <c r="F126" s="152"/>
      <c r="G126" s="152"/>
    </row>
    <row r="127" customFormat="false" ht="15" hidden="false" customHeight="true" outlineLevel="0" collapsed="false">
      <c r="A127" s="152" t="s">
        <v>1907</v>
      </c>
      <c r="B127" s="161" t="n">
        <f aca="false">G117</f>
        <v>6405.89773459684</v>
      </c>
      <c r="C127" s="152"/>
      <c r="D127" s="152"/>
      <c r="E127" s="152"/>
      <c r="F127" s="152"/>
      <c r="G127" s="152"/>
    </row>
    <row r="128" customFormat="false" ht="15" hidden="false" customHeight="true" outlineLevel="0" collapsed="false">
      <c r="A128" s="152" t="s">
        <v>1908</v>
      </c>
      <c r="B128" s="161" t="n">
        <f aca="false">B127*(1+B123)</f>
        <v>6630.10415530773</v>
      </c>
      <c r="C128" s="152"/>
      <c r="D128" s="152"/>
      <c r="E128" s="152"/>
      <c r="F128" s="152"/>
      <c r="G128" s="152"/>
    </row>
    <row r="129" customFormat="false" ht="15" hidden="false" customHeight="true" outlineLevel="0" collapsed="false">
      <c r="A129" s="61" t="s">
        <v>1909</v>
      </c>
      <c r="B129" s="162" t="n">
        <f aca="false">IF(B126&gt;B123,B128/(B126-B123),"REVISAR WACC/g")</f>
        <v>108104.088114234</v>
      </c>
      <c r="C129" s="61"/>
      <c r="D129" s="61"/>
      <c r="E129" s="61"/>
      <c r="F129" s="61"/>
      <c r="G129" s="61"/>
    </row>
    <row r="130" customFormat="false" ht="15" hidden="false" customHeight="true" outlineLevel="0" collapsed="false">
      <c r="A130" s="152" t="s">
        <v>1910</v>
      </c>
      <c r="B130" s="164" t="n">
        <f aca="false">G119</f>
        <v>0.631381764902119</v>
      </c>
      <c r="C130" s="152"/>
      <c r="D130" s="152"/>
      <c r="E130" s="152"/>
      <c r="F130" s="152"/>
      <c r="G130" s="152"/>
    </row>
    <row r="131" customFormat="false" ht="15" hidden="false" customHeight="true" outlineLevel="0" collapsed="false">
      <c r="A131" s="152" t="s">
        <v>1498</v>
      </c>
      <c r="B131" s="161" t="n">
        <f aca="false">B129*B130</f>
        <v>68254.9499466993</v>
      </c>
      <c r="C131" s="152"/>
      <c r="D131" s="152"/>
      <c r="E131" s="152"/>
      <c r="F131" s="152"/>
      <c r="G131" s="152"/>
    </row>
    <row r="132" customFormat="false" ht="15" hidden="false" customHeight="true" outlineLevel="0" collapsed="false">
      <c r="A132" s="154"/>
      <c r="B132" s="154"/>
      <c r="C132" s="154"/>
      <c r="D132" s="154"/>
      <c r="E132" s="154"/>
      <c r="F132" s="154"/>
      <c r="G132" s="154"/>
    </row>
    <row r="133" customFormat="false" ht="15" hidden="false" customHeight="true" outlineLevel="0" collapsed="false">
      <c r="A133" s="61" t="s">
        <v>1911</v>
      </c>
      <c r="B133" s="61" t="s">
        <v>78</v>
      </c>
      <c r="C133" s="61"/>
      <c r="D133" s="61"/>
      <c r="E133" s="61"/>
      <c r="F133" s="61"/>
      <c r="G133" s="61"/>
      <c r="I133" s="75" t="s">
        <v>1912</v>
      </c>
    </row>
    <row r="134" customFormat="false" ht="15" hidden="false" customHeight="true" outlineLevel="0" collapsed="false">
      <c r="A134" s="152" t="s">
        <v>1913</v>
      </c>
      <c r="B134" s="161" t="n">
        <f aca="false">SUM(C120:G120)</f>
        <v>24099.5225516684</v>
      </c>
      <c r="C134" s="152"/>
      <c r="D134" s="152"/>
      <c r="E134" s="152"/>
      <c r="F134" s="152"/>
      <c r="G134" s="152"/>
    </row>
    <row r="135" customFormat="false" ht="15" hidden="false" customHeight="true" outlineLevel="0" collapsed="false">
      <c r="A135" s="152" t="s">
        <v>1914</v>
      </c>
      <c r="B135" s="161" t="n">
        <f aca="false">B131</f>
        <v>68254.9499466993</v>
      </c>
      <c r="C135" s="152"/>
      <c r="D135" s="152"/>
      <c r="E135" s="152"/>
      <c r="F135" s="152"/>
      <c r="G135" s="152"/>
    </row>
    <row r="136" customFormat="false" ht="15" hidden="false" customHeight="true" outlineLevel="0" collapsed="false">
      <c r="A136" s="61" t="s">
        <v>1915</v>
      </c>
      <c r="B136" s="162" t="n">
        <f aca="false">B134+B135</f>
        <v>92354.4724983677</v>
      </c>
      <c r="C136" s="61"/>
      <c r="D136" s="61"/>
      <c r="E136" s="61"/>
      <c r="F136" s="61"/>
      <c r="G136" s="61"/>
    </row>
    <row r="137" customFormat="false" ht="15" hidden="false" customHeight="true" outlineLevel="0" collapsed="false">
      <c r="A137" s="152" t="s">
        <v>1461</v>
      </c>
      <c r="B137" s="153" t="n">
        <f aca="false">B135/B136</f>
        <v>0.739054082604453</v>
      </c>
      <c r="C137" s="152"/>
      <c r="D137" s="152"/>
      <c r="E137" s="152"/>
      <c r="F137" s="152"/>
      <c r="G137" s="152"/>
    </row>
    <row r="138" customFormat="false" ht="15" hidden="false" customHeight="true" outlineLevel="0" collapsed="false">
      <c r="A138" s="154"/>
      <c r="B138" s="154"/>
      <c r="C138" s="154"/>
      <c r="D138" s="154"/>
      <c r="E138" s="154"/>
      <c r="F138" s="154"/>
      <c r="G138" s="154"/>
    </row>
    <row r="139" customFormat="false" ht="15" hidden="false" customHeight="true" outlineLevel="0" collapsed="false">
      <c r="A139" s="61" t="s">
        <v>1916</v>
      </c>
      <c r="B139" s="61" t="s">
        <v>78</v>
      </c>
      <c r="C139" s="61"/>
      <c r="D139" s="61"/>
      <c r="E139" s="61"/>
      <c r="F139" s="61"/>
      <c r="G139" s="61"/>
      <c r="I139" s="75" t="s">
        <v>1917</v>
      </c>
    </row>
    <row r="140" customFormat="false" ht="15" hidden="false" customHeight="true" outlineLevel="0" collapsed="false">
      <c r="A140" s="152" t="s">
        <v>1915</v>
      </c>
      <c r="B140" s="161" t="n">
        <f aca="false">B136</f>
        <v>92354.4724983677</v>
      </c>
      <c r="C140" s="152"/>
      <c r="D140" s="152"/>
      <c r="E140" s="152"/>
      <c r="F140" s="152"/>
      <c r="G140" s="152"/>
    </row>
    <row r="141" customFormat="false" ht="15" hidden="false" customHeight="true" outlineLevel="0" collapsed="false">
      <c r="A141" s="152" t="s">
        <v>1918</v>
      </c>
      <c r="B141" s="161" t="n">
        <f aca="false">-B91</f>
        <v>-11500</v>
      </c>
      <c r="C141" s="152"/>
      <c r="D141" s="152"/>
      <c r="E141" s="152"/>
      <c r="F141" s="152"/>
      <c r="G141" s="152"/>
    </row>
    <row r="142" customFormat="false" ht="15" hidden="false" customHeight="true" outlineLevel="0" collapsed="false">
      <c r="A142" s="152" t="s">
        <v>1919</v>
      </c>
      <c r="B142" s="161" t="n">
        <f aca="false">-B92</f>
        <v>-12118</v>
      </c>
      <c r="C142" s="152"/>
      <c r="D142" s="152"/>
      <c r="E142" s="152"/>
      <c r="F142" s="152"/>
      <c r="G142" s="152"/>
    </row>
    <row r="143" customFormat="false" ht="15" hidden="false" customHeight="true" outlineLevel="0" collapsed="false">
      <c r="A143" s="152" t="s">
        <v>1504</v>
      </c>
      <c r="B143" s="161" t="n">
        <f aca="false">B84</f>
        <v>9295</v>
      </c>
      <c r="C143" s="152"/>
      <c r="D143" s="152"/>
      <c r="E143" s="152"/>
      <c r="F143" s="152"/>
      <c r="G143" s="152"/>
    </row>
    <row r="144" customFormat="false" ht="15" hidden="false" customHeight="true" outlineLevel="0" collapsed="false">
      <c r="A144" s="152" t="s">
        <v>1920</v>
      </c>
      <c r="B144" s="161" t="n">
        <f aca="false">-(B141+B142+B143)</f>
        <v>14323</v>
      </c>
      <c r="C144" s="152"/>
      <c r="D144" s="152"/>
      <c r="E144" s="152"/>
      <c r="F144" s="152"/>
      <c r="G144" s="152"/>
    </row>
    <row r="145" customFormat="false" ht="15" hidden="false" customHeight="true" outlineLevel="0" collapsed="false">
      <c r="A145" s="61" t="s">
        <v>1921</v>
      </c>
      <c r="B145" s="162" t="n">
        <f aca="false">SUM(B140:B143)</f>
        <v>78031.4724983677</v>
      </c>
      <c r="C145" s="61"/>
      <c r="D145" s="61"/>
      <c r="E145" s="61"/>
      <c r="F145" s="61"/>
      <c r="G145" s="61"/>
    </row>
    <row r="146" customFormat="false" ht="15" hidden="false" customHeight="true" outlineLevel="0" collapsed="false">
      <c r="A146" s="154"/>
      <c r="B146" s="154"/>
      <c r="C146" s="154"/>
      <c r="D146" s="154"/>
      <c r="E146" s="154"/>
      <c r="F146" s="154"/>
      <c r="G146" s="154"/>
    </row>
    <row r="147" customFormat="false" ht="15" hidden="false" customHeight="true" outlineLevel="0" collapsed="false">
      <c r="A147" s="61" t="s">
        <v>1922</v>
      </c>
      <c r="B147" s="61" t="s">
        <v>78</v>
      </c>
      <c r="C147" s="61"/>
      <c r="D147" s="61"/>
      <c r="E147" s="61"/>
      <c r="F147" s="61"/>
      <c r="G147" s="61"/>
      <c r="I147" s="75" t="s">
        <v>1923</v>
      </c>
    </row>
    <row r="148" customFormat="false" ht="15" hidden="false" customHeight="true" outlineLevel="0" collapsed="false">
      <c r="A148" s="152" t="s">
        <v>1924</v>
      </c>
      <c r="B148" s="161" t="n">
        <f aca="false">B145</f>
        <v>78031.4724983677</v>
      </c>
      <c r="C148" s="152"/>
      <c r="D148" s="152"/>
      <c r="E148" s="152"/>
      <c r="F148" s="152"/>
      <c r="G148" s="152"/>
    </row>
    <row r="149" customFormat="false" ht="15" hidden="false" customHeight="true" outlineLevel="0" collapsed="false">
      <c r="A149" s="152" t="s">
        <v>57</v>
      </c>
      <c r="B149" s="165" t="n">
        <f aca="false">Valuación!B40</f>
        <v>1800</v>
      </c>
      <c r="C149" s="152"/>
      <c r="D149" s="152"/>
      <c r="E149" s="152"/>
      <c r="F149" s="152"/>
      <c r="G149" s="152"/>
    </row>
    <row r="150" customFormat="false" ht="15" hidden="false" customHeight="true" outlineLevel="0" collapsed="false">
      <c r="A150" s="61" t="s">
        <v>1925</v>
      </c>
      <c r="B150" s="166" t="n">
        <f aca="false">B148/B149</f>
        <v>43.3508180546487</v>
      </c>
      <c r="C150" s="61"/>
      <c r="D150" s="61"/>
      <c r="E150" s="61"/>
      <c r="F150" s="61"/>
      <c r="G150" s="61"/>
    </row>
    <row r="151" customFormat="false" ht="15" hidden="false" customHeight="true" outlineLevel="0" collapsed="false">
      <c r="A151" s="152" t="s">
        <v>16</v>
      </c>
      <c r="B151" s="167" t="n">
        <f aca="false">Valuación!B42</f>
        <v>33.1</v>
      </c>
      <c r="C151" s="152"/>
      <c r="D151" s="152"/>
      <c r="E151" s="152"/>
      <c r="F151" s="152"/>
      <c r="G151" s="152"/>
    </row>
    <row r="152" customFormat="false" ht="15" hidden="false" customHeight="true" outlineLevel="0" collapsed="false">
      <c r="A152" s="152" t="s">
        <v>17</v>
      </c>
      <c r="B152" s="153" t="n">
        <f aca="false">B150/B151-1</f>
        <v>0.309692388357967</v>
      </c>
      <c r="C152" s="152"/>
      <c r="D152" s="152"/>
      <c r="E152" s="152"/>
      <c r="F152" s="152"/>
      <c r="G152" s="152"/>
    </row>
    <row r="153" customFormat="false" ht="15" hidden="false" customHeight="true" outlineLevel="0" collapsed="false">
      <c r="A153" s="152" t="s">
        <v>1926</v>
      </c>
      <c r="B153" s="167" t="n">
        <f aca="false">'Proyección Soriana'!B85</f>
        <v>50.1939335833512</v>
      </c>
      <c r="C153" s="152"/>
      <c r="D153" s="152"/>
      <c r="E153" s="152"/>
      <c r="F153" s="152"/>
      <c r="G153" s="152"/>
    </row>
    <row r="154" customFormat="false" ht="15" hidden="false" customHeight="true" outlineLevel="0" collapsed="false">
      <c r="A154" s="152" t="s">
        <v>1927</v>
      </c>
      <c r="B154" s="153" t="n">
        <f aca="false">B150/B153-1</f>
        <v>-0.136333517621984</v>
      </c>
      <c r="C154" s="152"/>
      <c r="D154" s="152"/>
      <c r="E154" s="152"/>
      <c r="F154" s="152"/>
      <c r="G154" s="152"/>
    </row>
    <row r="155" customFormat="false" ht="15" hidden="false" customHeight="true" outlineLevel="0" collapsed="false">
      <c r="A155" s="152" t="s">
        <v>1928</v>
      </c>
      <c r="B155" s="153" t="n">
        <v>0.15</v>
      </c>
      <c r="C155" s="152"/>
      <c r="D155" s="152"/>
      <c r="E155" s="152"/>
      <c r="F155" s="152"/>
      <c r="G155" s="152"/>
    </row>
    <row r="156" customFormat="false" ht="15" hidden="false" customHeight="true" outlineLevel="0" collapsed="false">
      <c r="A156" s="61" t="s">
        <v>1929</v>
      </c>
      <c r="B156" s="61" t="str">
        <f aca="false">IF(B152&gt;B155,"COMPRAR",IF(B152&lt;-B155,"VENDER","MANTENER"))</f>
        <v>COMPRAR</v>
      </c>
      <c r="C156" s="61"/>
      <c r="D156" s="61"/>
      <c r="E156" s="61"/>
      <c r="F156" s="61"/>
      <c r="G156" s="61"/>
    </row>
    <row r="157" customFormat="false" ht="15" hidden="false" customHeight="true" outlineLevel="0" collapsed="false">
      <c r="A157" s="152" t="s">
        <v>1930</v>
      </c>
      <c r="B157" s="152" t="str">
        <f aca="false" t="array" ref="B157:B157">IF(SUMPRODUCT(ABS(B97:G97))&lt;1,"PASS","FAIL")</f>
        <v>PASS</v>
      </c>
      <c r="C157" s="152"/>
      <c r="D157" s="152"/>
      <c r="E157" s="152"/>
      <c r="F157" s="152"/>
      <c r="G157" s="152"/>
    </row>
    <row r="158" customFormat="false" ht="15" hidden="false" customHeight="true" outlineLevel="0" collapsed="false">
      <c r="A158" s="152" t="s">
        <v>1931</v>
      </c>
      <c r="B158" s="152" t="str">
        <f aca="false">IF(B126&gt;B123,"PASS","FAIL")</f>
        <v>PASS</v>
      </c>
      <c r="C158" s="152"/>
      <c r="D158" s="152"/>
      <c r="E158" s="152"/>
      <c r="F158" s="152"/>
      <c r="G158" s="152"/>
    </row>
    <row r="159" customFormat="false" ht="15" hidden="false" customHeight="true" outlineLevel="0" collapsed="false">
      <c r="A159" s="154"/>
      <c r="B159" s="154"/>
      <c r="C159" s="154"/>
      <c r="D159" s="154"/>
      <c r="E159" s="154"/>
      <c r="F159" s="154"/>
      <c r="G159" s="154"/>
    </row>
    <row r="160" customFormat="false" ht="15" hidden="false" customHeight="true" outlineLevel="0" collapsed="false">
      <c r="A160" s="61" t="s">
        <v>1932</v>
      </c>
      <c r="B160" s="61"/>
      <c r="C160" s="61"/>
      <c r="D160" s="61"/>
      <c r="E160" s="61"/>
      <c r="F160" s="61"/>
      <c r="G160" s="61"/>
      <c r="I160" s="75" t="s">
        <v>1933</v>
      </c>
    </row>
    <row r="161" customFormat="false" ht="15" hidden="false" customHeight="true" outlineLevel="0" collapsed="false">
      <c r="A161" s="152" t="s">
        <v>1934</v>
      </c>
      <c r="B161" s="155" t="n">
        <v>0.005</v>
      </c>
      <c r="C161" s="152"/>
      <c r="D161" s="152"/>
      <c r="E161" s="152"/>
      <c r="F161" s="152"/>
      <c r="G161" s="152"/>
    </row>
    <row r="162" customFormat="false" ht="15" hidden="false" customHeight="true" outlineLevel="0" collapsed="false">
      <c r="A162" s="61" t="s">
        <v>1935</v>
      </c>
      <c r="B162" s="157" t="n">
        <f aca="false">$B$123-2*$B$161</f>
        <v>0.025</v>
      </c>
      <c r="C162" s="157" t="n">
        <f aca="false">B162+$B$161</f>
        <v>0.03</v>
      </c>
      <c r="D162" s="157" t="n">
        <f aca="false">C162+$B$161</f>
        <v>0.035</v>
      </c>
      <c r="E162" s="157" t="n">
        <f aca="false">D162+$B$161</f>
        <v>0.04</v>
      </c>
      <c r="F162" s="157" t="n">
        <f aca="false">E162+$B$161</f>
        <v>0.045</v>
      </c>
      <c r="G162" s="61"/>
    </row>
    <row r="163" customFormat="false" ht="15" hidden="false" customHeight="true" outlineLevel="0" collapsed="false">
      <c r="A163" s="157" t="n">
        <f aca="false">$B$126-2*$B$161</f>
        <v>0.0863307440168375</v>
      </c>
      <c r="B163" s="167" t="n">
        <f aca="false">IF($A163&lt;=B$162,"n.a.",(($B$243*(SUMPRODUCT($C$117:$G$117,(1+$A163)^(-$C$118:$G$118))+$G$117*(1+B$162)/($A163-B$162)*(1+$A163)^-5)+$B$244*(SUMPRODUCT($C$117:$G$117,(1+$A163)^(-$C$118:$G$118))+$B$236*(1+$A163)^-5))*(1+$A163)^$B$253+$B$257+$B$259+$B$260+$B$261)*(1+$B$221)^$B$254/$B$264)</f>
        <v>40.7423531457687</v>
      </c>
      <c r="C163" s="167" t="n">
        <f aca="false">IF($A163&lt;=C$162,"n.a.",(($B$243*(SUMPRODUCT($C$117:$G$117,(1+$A163)^(-$C$118:$G$118))+$G$117*(1+C$162)/($A163-C$162)*(1+$A163)^-5)+$B$244*(SUMPRODUCT($C$117:$G$117,(1+$A163)^(-$C$118:$G$118))+$B$236*(1+$A163)^-5))*(1+$A163)^$B$253+$B$257+$B$259+$B$260+$B$261)*(1+$B$221)^$B$254/$B$264)</f>
        <v>42.7217263360192</v>
      </c>
      <c r="D163" s="167" t="n">
        <f aca="false">IF($A163&lt;=D$162,"n.a.",(($B$243*(SUMPRODUCT($C$117:$G$117,(1+$A163)^(-$C$118:$G$118))+$G$117*(1+D$162)/($A163-D$162)*(1+$A163)^-5)+$B$244*(SUMPRODUCT($C$117:$G$117,(1+$A163)^(-$C$118:$G$118))+$B$236*(1+$A163)^-5))*(1+$A163)^$B$253+$B$257+$B$259+$B$260+$B$261)*(1+$B$221)^$B$254/$B$264)</f>
        <v>45.0867111569137</v>
      </c>
      <c r="E163" s="167" t="n">
        <f aca="false">IF($A163&lt;=E$162,"n.a.",(($B$243*(SUMPRODUCT($C$117:$G$117,(1+$A163)^(-$C$118:$G$118))+$G$117*(1+E$162)/($A163-E$162)*(1+$A163)^-5)+$B$244*(SUMPRODUCT($C$117:$G$117,(1+$A163)^(-$C$118:$G$118))+$B$236*(1+$A163)^-5))*(1+$A163)^$B$253+$B$257+$B$259+$B$260+$B$261)*(1+$B$221)^$B$254/$B$264)</f>
        <v>47.9621528830622</v>
      </c>
      <c r="F163" s="167" t="n">
        <f aca="false">IF($A163&lt;=F$162,"n.a.",(($B$243*(SUMPRODUCT($C$117:$G$117,(1+$A163)^(-$C$118:$G$118))+$G$117*(1+F$162)/($A163-F$162)*(1+$A163)^-5)+$B$244*(SUMPRODUCT($C$117:$G$117,(1+$A163)^(-$C$118:$G$118))+$B$236*(1+$A163)^-5))*(1+$A163)^$B$253+$B$257+$B$259+$B$260+$B$261)*(1+$B$221)^$B$254/$B$264)</f>
        <v>51.5333095774621</v>
      </c>
      <c r="G163" s="152"/>
    </row>
    <row r="164" customFormat="false" ht="15" hidden="false" customHeight="true" outlineLevel="0" collapsed="false">
      <c r="A164" s="157" t="n">
        <f aca="false">A163+$B$161</f>
        <v>0.0913307440168375</v>
      </c>
      <c r="B164" s="167" t="n">
        <f aca="false">IF($A164&lt;=B$162,"n.a.",(($B$243*(SUMPRODUCT($C$117:$G$117,(1+$A164)^(-$C$118:$G$118))+$G$117*(1+B$162)/($A164-B$162)*(1+$A164)^-5)+$B$244*(SUMPRODUCT($C$117:$G$117,(1+$A164)^(-$C$118:$G$118))+$B$236*(1+$A164)^-5))*(1+$A164)^$B$253+$B$257+$B$259+$B$260+$B$261)*(1+$B$221)^$B$254/$B$264)</f>
        <v>38.3137954961971</v>
      </c>
      <c r="C164" s="167" t="n">
        <f aca="false">IF($A164&lt;=C$162,"n.a.",(($B$243*(SUMPRODUCT($C$117:$G$117,(1+$A164)^(-$C$118:$G$118))+$G$117*(1+C$162)/($A164-C$162)*(1+$A164)^-5)+$B$244*(SUMPRODUCT($C$117:$G$117,(1+$A164)^(-$C$118:$G$118))+$B$236*(1+$A164)^-5))*(1+$A164)^$B$253+$B$257+$B$259+$B$260+$B$261)*(1+$B$221)^$B$254/$B$264)</f>
        <v>39.9679580477011</v>
      </c>
      <c r="D164" s="167" t="n">
        <f aca="false">IF($A164&lt;=D$162,"n.a.",(($B$243*(SUMPRODUCT($C$117:$G$117,(1+$A164)^(-$C$118:$G$118))+$G$117*(1+D$162)/($A164-D$162)*(1+$A164)^-5)+$B$244*(SUMPRODUCT($C$117:$G$117,(1+$A164)^(-$C$118:$G$118))+$B$236*(1+$A164)^-5))*(1+$A164)^$B$253+$B$257+$B$259+$B$260+$B$261)*(1+$B$221)^$B$254/$B$264)</f>
        <v>41.9157724194278</v>
      </c>
      <c r="E164" s="167" t="n">
        <f aca="false">IF($A164&lt;=E$162,"n.a.",(($B$243*(SUMPRODUCT($C$117:$G$117,(1+$A164)^(-$C$118:$G$118))+$G$117*(1+E$162)/($A164-E$162)*(1+$A164)^-5)+$B$244*(SUMPRODUCT($C$117:$G$117,(1+$A164)^(-$C$118:$G$118))+$B$236*(1+$A164)^-5))*(1+$A164)^$B$253+$B$257+$B$259+$B$260+$B$261)*(1+$B$221)^$B$254/$B$264)</f>
        <v>44.2430502898889</v>
      </c>
      <c r="F164" s="167" t="n">
        <f aca="false">IF($A164&lt;=F$162,"n.a.",(($B$243*(SUMPRODUCT($C$117:$G$117,(1+$A164)^(-$C$118:$G$118))+$G$117*(1+F$162)/($A164-F$162)*(1+$A164)^-5)+$B$244*(SUMPRODUCT($C$117:$G$117,(1+$A164)^(-$C$118:$G$118))+$B$236*(1+$A164)^-5))*(1+$A164)^$B$253+$B$257+$B$259+$B$260+$B$261)*(1+$B$221)^$B$254/$B$264)</f>
        <v>47.0726464200384</v>
      </c>
      <c r="G164" s="152"/>
    </row>
    <row r="165" customFormat="false" ht="15" hidden="false" customHeight="true" outlineLevel="0" collapsed="false">
      <c r="A165" s="157" t="n">
        <f aca="false">A164+$B$161</f>
        <v>0.0963307440168375</v>
      </c>
      <c r="B165" s="167" t="n">
        <f aca="false">IF($A165&lt;=B$162,"n.a.",(($B$243*(SUMPRODUCT($C$117:$G$117,(1+$A165)^(-$C$118:$G$118))+$G$117*(1+B$162)/($A165-B$162)*(1+$A165)^-5)+$B$244*(SUMPRODUCT($C$117:$G$117,(1+$A165)^(-$C$118:$G$118))+$B$236*(1+$A165)^-5))*(1+$A165)^$B$253+$B$257+$B$259+$B$260+$B$261)*(1+$B$221)^$B$254/$B$264)</f>
        <v>36.1827108555647</v>
      </c>
      <c r="C165" s="167" t="n">
        <f aca="false">IF($A165&lt;=C$162,"n.a.",(($B$243*(SUMPRODUCT($C$117:$G$117,(1+$A165)^(-$C$118:$G$118))+$G$117*(1+C$162)/($A165-C$162)*(1+$A165)^-5)+$B$244*(SUMPRODUCT($C$117:$G$117,(1+$A165)^(-$C$118:$G$118))+$B$236*(1+$A165)^-5))*(1+$A165)^$B$253+$B$257+$B$259+$B$260+$B$261)*(1+$B$221)^$B$254/$B$264)</f>
        <v>37.5823995445421</v>
      </c>
      <c r="D165" s="168" t="n">
        <f aca="false">IF($A165&lt;=D$162,"n.a.",(($B$243*(SUMPRODUCT($C$117:$G$117,(1+$A165)^(-$C$118:$G$118))+$G$117*(1+D$162)/($A165-D$162)*(1+$A165)^-5)+$B$244*(SUMPRODUCT($C$117:$G$117,(1+$A165)^(-$C$118:$G$118))+$B$236*(1+$A165)^-5))*(1+$A165)^$B$253+$B$257+$B$259+$B$260+$B$261)*(1+$B$221)^$B$254/$B$264)</f>
        <v>39.2103079806325</v>
      </c>
      <c r="E165" s="167" t="n">
        <f aca="false">IF($A165&lt;=E$162,"n.a.",(($B$243*(SUMPRODUCT($C$117:$G$117,(1+$A165)^(-$C$118:$G$118))+$G$117*(1+E$162)/($A165-E$162)*(1+$A165)^-5)+$B$244*(SUMPRODUCT($C$117:$G$117,(1+$A165)^(-$C$118:$G$118))+$B$236*(1+$A165)^-5))*(1+$A165)^$B$253+$B$257+$B$259+$B$260+$B$261)*(1+$B$221)^$B$254/$B$264)</f>
        <v>41.1272075288595</v>
      </c>
      <c r="F165" s="167" t="n">
        <f aca="false">IF($A165&lt;=F$162,"n.a.",(($B$243*(SUMPRODUCT($C$117:$G$117,(1+$A165)^(-$C$118:$G$118))+$G$117*(1+F$162)/($A165-F$162)*(1+$A165)^-5)+$B$244*(SUMPRODUCT($C$117:$G$117,(1+$A165)^(-$C$118:$G$118))+$B$236*(1+$A165)^-5))*(1+$A165)^$B$253+$B$257+$B$259+$B$260+$B$261)*(1+$B$221)^$B$254/$B$264)</f>
        <v>43.4175479038155</v>
      </c>
      <c r="G165" s="152"/>
    </row>
    <row r="166" customFormat="false" ht="15" hidden="false" customHeight="true" outlineLevel="0" collapsed="false">
      <c r="A166" s="157" t="n">
        <f aca="false">A165+$B$161</f>
        <v>0.101330744016837</v>
      </c>
      <c r="B166" s="167" t="n">
        <f aca="false">IF($A166&lt;=B$162,"n.a.",(($B$243*(SUMPRODUCT($C$117:$G$117,(1+$A166)^(-$C$118:$G$118))+$G$117*(1+B$162)/($A166-B$162)*(1+$A166)^-5)+$B$244*(SUMPRODUCT($C$117:$G$117,(1+$A166)^(-$C$118:$G$118))+$B$236*(1+$A166)^-5))*(1+$A166)^$B$253+$B$257+$B$259+$B$260+$B$261)*(1+$B$221)^$B$254/$B$264)</f>
        <v>34.2920971929088</v>
      </c>
      <c r="C166" s="167" t="n">
        <f aca="false">IF($A166&lt;=C$162,"n.a.",(($B$243*(SUMPRODUCT($C$117:$G$117,(1+$A166)^(-$C$118:$G$118))+$G$117*(1+C$162)/($A166-C$162)*(1+$A166)^-5)+$B$244*(SUMPRODUCT($C$117:$G$117,(1+$A166)^(-$C$118:$G$118))+$B$236*(1+$A166)^-5))*(1+$A166)^$B$253+$B$257+$B$259+$B$260+$B$261)*(1+$B$221)^$B$254/$B$264)</f>
        <v>35.4891966443159</v>
      </c>
      <c r="D166" s="167" t="n">
        <f aca="false">IF($A166&lt;=D$162,"n.a.",(($B$243*(SUMPRODUCT($C$117:$G$117,(1+$A166)^(-$C$118:$G$118))+$G$117*(1+D$162)/($A166-D$162)*(1+$A166)^-5)+$B$244*(SUMPRODUCT($C$117:$G$117,(1+$A166)^(-$C$118:$G$118))+$B$236*(1+$A166)^-5))*(1+$A166)^$B$253+$B$257+$B$259+$B$260+$B$261)*(1+$B$221)^$B$254/$B$264)</f>
        <v>36.866770394504</v>
      </c>
      <c r="E166" s="167" t="n">
        <f aca="false">IF($A166&lt;=E$162,"n.a.",(($B$243*(SUMPRODUCT($C$117:$G$117,(1+$A166)^(-$C$118:$G$118))+$G$117*(1+E$162)/($A166-E$162)*(1+$A166)^-5)+$B$244*(SUMPRODUCT($C$117:$G$117,(1+$A166)^(-$C$118:$G$118))+$B$236*(1+$A166)^-5))*(1+$A166)^$B$253+$B$257+$B$259+$B$260+$B$261)*(1+$B$221)^$B$254/$B$264)</f>
        <v>38.4689580430349</v>
      </c>
      <c r="F166" s="167" t="n">
        <f aca="false">IF($A166&lt;=F$162,"n.a.",(($B$243*(SUMPRODUCT($C$117:$G$117,(1+$A166)^(-$C$118:$G$118))+$G$117*(1+F$162)/($A166-F$162)*(1+$A166)^-5)+$B$244*(SUMPRODUCT($C$117:$G$117,(1+$A166)^(-$C$118:$G$118))+$B$236*(1+$A166)^-5))*(1+$A166)^$B$253+$B$257+$B$259+$B$260+$B$261)*(1+$B$221)^$B$254/$B$264)</f>
        <v>40.3555707735516</v>
      </c>
      <c r="G166" s="152"/>
    </row>
    <row r="167" customFormat="false" ht="15" hidden="false" customHeight="true" outlineLevel="0" collapsed="false">
      <c r="A167" s="157" t="n">
        <f aca="false">A166+$B$161</f>
        <v>0.106330744016837</v>
      </c>
      <c r="B167" s="167" t="n">
        <f aca="false">IF($A167&lt;=B$162,"n.a.",(($B$243*(SUMPRODUCT($C$117:$G$117,(1+$A167)^(-$C$118:$G$118))+$G$117*(1+B$162)/($A167-B$162)*(1+$A167)^-5)+$B$244*(SUMPRODUCT($C$117:$G$117,(1+$A167)^(-$C$118:$G$118))+$B$236*(1+$A167)^-5))*(1+$A167)^$B$253+$B$257+$B$259+$B$260+$B$261)*(1+$B$221)^$B$254/$B$264)</f>
        <v>32.5989173216019</v>
      </c>
      <c r="C167" s="167" t="n">
        <f aca="false">IF($A167&lt;=C$162,"n.a.",(($B$243*(SUMPRODUCT($C$117:$G$117,(1+$A167)^(-$C$118:$G$118))+$G$117*(1+C$162)/($A167-C$162)*(1+$A167)^-5)+$B$244*(SUMPRODUCT($C$117:$G$117,(1+$A167)^(-$C$118:$G$118))+$B$236*(1+$A167)^-5))*(1+$A167)^$B$253+$B$257+$B$259+$B$260+$B$261)*(1+$B$221)^$B$254/$B$264)</f>
        <v>33.6323137974818</v>
      </c>
      <c r="D167" s="167" t="n">
        <f aca="false">IF($A167&lt;=D$162,"n.a.",(($B$243*(SUMPRODUCT($C$117:$G$117,(1+$A167)^(-$C$118:$G$118))+$G$117*(1+D$162)/($A167-D$162)*(1+$A167)^-5)+$B$244*(SUMPRODUCT($C$117:$G$117,(1+$A167)^(-$C$118:$G$118))+$B$236*(1+$A167)^-5))*(1+$A167)^$B$253+$B$257+$B$259+$B$260+$B$261)*(1+$B$221)^$B$254/$B$264)</f>
        <v>34.8105841969584</v>
      </c>
      <c r="E167" s="167" t="n">
        <f aca="false">IF($A167&lt;=E$162,"n.a.",(($B$243*(SUMPRODUCT($C$117:$G$117,(1+$A167)^(-$C$118:$G$118))+$G$117*(1+E$162)/($A167-E$162)*(1+$A167)^-5)+$B$244*(SUMPRODUCT($C$117:$G$117,(1+$A167)^(-$C$118:$G$118))+$B$236*(1+$A167)^-5))*(1+$A167)^$B$253+$B$257+$B$259+$B$260+$B$261)*(1+$B$221)^$B$254/$B$264)</f>
        <v>36.166490233867</v>
      </c>
      <c r="F167" s="167" t="n">
        <f aca="false">IF($A167&lt;=F$162,"n.a.",(($B$243*(SUMPRODUCT($C$117:$G$117,(1+$A167)^(-$C$118:$G$118))+$G$117*(1+F$162)/($A167-F$162)*(1+$A167)^-5)+$B$244*(SUMPRODUCT($C$117:$G$117,(1+$A167)^(-$C$118:$G$118))+$B$236*(1+$A167)^-5))*(1+$A167)^$B$253+$B$257+$B$259+$B$260+$B$261)*(1+$B$221)^$B$254/$B$264)</f>
        <v>37.7434772406292</v>
      </c>
      <c r="G167" s="152"/>
    </row>
    <row r="168" customFormat="false" ht="15" hidden="false" customHeight="true" outlineLevel="0" collapsed="false">
      <c r="A168" s="152" t="s">
        <v>1936</v>
      </c>
      <c r="B168" s="169" t="n">
        <f aca="false">D165-B265</f>
        <v>0</v>
      </c>
      <c r="C168" s="152"/>
      <c r="D168" s="152"/>
      <c r="E168" s="152"/>
      <c r="F168" s="152"/>
      <c r="G168" s="152"/>
    </row>
    <row r="169" customFormat="false" ht="15" hidden="false" customHeight="true" outlineLevel="0" collapsed="false">
      <c r="A169" s="154"/>
      <c r="B169" s="154"/>
      <c r="C169" s="154"/>
      <c r="D169" s="154"/>
      <c r="E169" s="154"/>
      <c r="F169" s="154"/>
      <c r="G169" s="154"/>
    </row>
    <row r="170" customFormat="false" ht="15" hidden="false" customHeight="true" outlineLevel="0" collapsed="false">
      <c r="A170" s="61" t="s">
        <v>1937</v>
      </c>
      <c r="B170" s="61" t="s">
        <v>1749</v>
      </c>
      <c r="C170" s="61" t="s">
        <v>1938</v>
      </c>
      <c r="D170" s="61" t="s">
        <v>1719</v>
      </c>
      <c r="E170" s="61" t="s">
        <v>1939</v>
      </c>
      <c r="F170" s="61" t="s">
        <v>1940</v>
      </c>
      <c r="G170" s="61" t="s">
        <v>1941</v>
      </c>
    </row>
    <row r="171" customFormat="false" ht="13.5" hidden="false" customHeight="false" outlineLevel="0" collapsed="false">
      <c r="A171" s="152" t="s">
        <v>1942</v>
      </c>
      <c r="B171" s="152" t="s">
        <v>1757</v>
      </c>
      <c r="C171" s="152" t="n">
        <v>4</v>
      </c>
      <c r="D171" s="152" t="s">
        <v>1943</v>
      </c>
      <c r="E171" s="152" t="s">
        <v>1944</v>
      </c>
      <c r="F171" s="152" t="s">
        <v>1442</v>
      </c>
      <c r="G171" s="152" t="n">
        <v>11</v>
      </c>
    </row>
    <row r="172" customFormat="false" ht="13.5" hidden="false" customHeight="false" outlineLevel="0" collapsed="false">
      <c r="A172" s="152" t="s">
        <v>1945</v>
      </c>
      <c r="B172" s="152" t="s">
        <v>1781</v>
      </c>
      <c r="C172" s="152" t="n">
        <v>3</v>
      </c>
      <c r="D172" s="152" t="s">
        <v>1943</v>
      </c>
      <c r="E172" s="152" t="s">
        <v>1944</v>
      </c>
      <c r="F172" s="152" t="s">
        <v>1761</v>
      </c>
      <c r="G172" s="152" t="n">
        <v>10</v>
      </c>
    </row>
    <row r="173" customFormat="false" ht="13.5" hidden="false" customHeight="false" outlineLevel="0" collapsed="false">
      <c r="A173" s="152" t="s">
        <v>1946</v>
      </c>
      <c r="B173" s="152" t="s">
        <v>1947</v>
      </c>
      <c r="C173" s="152" t="n">
        <v>5</v>
      </c>
      <c r="D173" s="152" t="s">
        <v>1943</v>
      </c>
      <c r="E173" s="152" t="s">
        <v>1948</v>
      </c>
      <c r="F173" s="152" t="s">
        <v>1442</v>
      </c>
      <c r="G173" s="152" t="n">
        <v>13</v>
      </c>
    </row>
    <row r="174" customFormat="false" ht="13.5" hidden="false" customHeight="false" outlineLevel="0" collapsed="false">
      <c r="A174" s="152" t="s">
        <v>1949</v>
      </c>
      <c r="B174" s="152" t="s">
        <v>1757</v>
      </c>
      <c r="C174" s="152" t="n">
        <v>3</v>
      </c>
      <c r="D174" s="152" t="s">
        <v>1950</v>
      </c>
      <c r="E174" s="152" t="s">
        <v>1944</v>
      </c>
      <c r="F174" s="152" t="s">
        <v>1442</v>
      </c>
      <c r="G174" s="152" t="n">
        <v>13</v>
      </c>
    </row>
    <row r="175" customFormat="false" ht="13.5" hidden="false" customHeight="false" outlineLevel="0" collapsed="false">
      <c r="A175" s="152" t="s">
        <v>1951</v>
      </c>
      <c r="B175" s="152" t="s">
        <v>1947</v>
      </c>
      <c r="C175" s="152" t="n">
        <v>3</v>
      </c>
      <c r="D175" s="152" t="s">
        <v>1950</v>
      </c>
      <c r="E175" s="152" t="s">
        <v>1948</v>
      </c>
      <c r="F175" s="152" t="s">
        <v>1442</v>
      </c>
      <c r="G175" s="152" t="n">
        <v>17</v>
      </c>
    </row>
    <row r="176" customFormat="false" ht="13.5" hidden="false" customHeight="false" outlineLevel="0" collapsed="false">
      <c r="A176" s="152" t="s">
        <v>1952</v>
      </c>
      <c r="B176" s="152" t="s">
        <v>1947</v>
      </c>
      <c r="C176" s="152" t="n">
        <v>3</v>
      </c>
      <c r="D176" s="152" t="s">
        <v>1943</v>
      </c>
      <c r="E176" s="152" t="s">
        <v>1944</v>
      </c>
      <c r="F176" s="152" t="s">
        <v>1953</v>
      </c>
      <c r="G176" s="152" t="s">
        <v>1954</v>
      </c>
    </row>
    <row r="177" customFormat="false" ht="13.5" hidden="false" customHeight="false" outlineLevel="0" collapsed="false">
      <c r="A177" s="152" t="s">
        <v>1955</v>
      </c>
      <c r="B177" s="152" t="s">
        <v>1947</v>
      </c>
      <c r="C177" s="152" t="n">
        <v>3</v>
      </c>
      <c r="D177" s="152" t="s">
        <v>1943</v>
      </c>
      <c r="E177" s="152" t="s">
        <v>1948</v>
      </c>
      <c r="F177" s="152" t="s">
        <v>1956</v>
      </c>
      <c r="G177" s="152" t="n">
        <v>125</v>
      </c>
    </row>
    <row r="178" customFormat="false" ht="13.5" hidden="false" customHeight="false" outlineLevel="0" collapsed="false">
      <c r="A178" s="152" t="s">
        <v>1957</v>
      </c>
      <c r="B178" s="152" t="s">
        <v>1947</v>
      </c>
      <c r="C178" s="152" t="n">
        <v>3</v>
      </c>
      <c r="D178" s="152" t="s">
        <v>1950</v>
      </c>
      <c r="E178" s="152" t="s">
        <v>1948</v>
      </c>
      <c r="F178" s="152" t="s">
        <v>1771</v>
      </c>
      <c r="G178" s="152" t="n">
        <v>35</v>
      </c>
    </row>
    <row r="179" customFormat="false" ht="13.5" hidden="false" customHeight="false" outlineLevel="0" collapsed="false">
      <c r="A179" s="152" t="s">
        <v>1958</v>
      </c>
      <c r="B179" s="152" t="s">
        <v>1947</v>
      </c>
      <c r="C179" s="152" t="n">
        <v>2</v>
      </c>
      <c r="D179" s="152" t="s">
        <v>1950</v>
      </c>
      <c r="E179" s="152" t="s">
        <v>1959</v>
      </c>
      <c r="F179" s="152" t="s">
        <v>5</v>
      </c>
      <c r="G179" s="152" t="n">
        <v>125</v>
      </c>
    </row>
    <row r="180" customFormat="false" ht="13.5" hidden="false" customHeight="false" outlineLevel="0" collapsed="false">
      <c r="A180" s="152" t="s">
        <v>1960</v>
      </c>
      <c r="B180" s="152" t="s">
        <v>1947</v>
      </c>
      <c r="C180" s="152" t="n">
        <v>4</v>
      </c>
      <c r="D180" s="152" t="s">
        <v>1943</v>
      </c>
      <c r="E180" s="152" t="s">
        <v>1959</v>
      </c>
      <c r="F180" s="152" t="s">
        <v>1442</v>
      </c>
      <c r="G180" s="152" t="n">
        <v>18</v>
      </c>
    </row>
    <row r="181" customFormat="false" ht="13.5" hidden="false" customHeight="false" outlineLevel="0" collapsed="false">
      <c r="A181" s="152" t="s">
        <v>1961</v>
      </c>
      <c r="B181" s="152" t="s">
        <v>1947</v>
      </c>
      <c r="C181" s="152" t="n">
        <v>3</v>
      </c>
      <c r="D181" s="152" t="s">
        <v>1943</v>
      </c>
      <c r="E181" s="152" t="s">
        <v>1944</v>
      </c>
      <c r="F181" s="152" t="s">
        <v>1442</v>
      </c>
      <c r="G181" s="152" t="n">
        <v>18</v>
      </c>
    </row>
    <row r="182" customFormat="false" ht="13.5" hidden="false" customHeight="false" outlineLevel="0" collapsed="false">
      <c r="A182" s="152" t="s">
        <v>1962</v>
      </c>
      <c r="B182" s="152" t="s">
        <v>1947</v>
      </c>
      <c r="C182" s="152" t="n">
        <v>2</v>
      </c>
      <c r="D182" s="152" t="s">
        <v>1943</v>
      </c>
      <c r="E182" s="152" t="s">
        <v>1948</v>
      </c>
      <c r="F182" s="152" t="s">
        <v>1771</v>
      </c>
      <c r="G182" s="152" t="n">
        <v>35</v>
      </c>
    </row>
    <row r="183" customFormat="false" ht="13.5" hidden="false" customHeight="false" outlineLevel="0" collapsed="false">
      <c r="A183" s="152" t="s">
        <v>1963</v>
      </c>
      <c r="B183" s="152" t="s">
        <v>1781</v>
      </c>
      <c r="C183" s="152" t="n">
        <v>4</v>
      </c>
      <c r="D183" s="152" t="s">
        <v>1943</v>
      </c>
      <c r="E183" s="152" t="s">
        <v>1964</v>
      </c>
      <c r="F183" s="152" t="s">
        <v>1965</v>
      </c>
      <c r="G183" s="152" t="s">
        <v>1966</v>
      </c>
    </row>
    <row r="184" customFormat="false" ht="13.5" hidden="false" customHeight="false" outlineLevel="0" collapsed="false">
      <c r="A184" s="152" t="s">
        <v>1967</v>
      </c>
      <c r="B184" s="152" t="s">
        <v>1947</v>
      </c>
      <c r="C184" s="152" t="n">
        <v>3</v>
      </c>
      <c r="D184" s="152" t="s">
        <v>1943</v>
      </c>
      <c r="E184" s="152" t="s">
        <v>1959</v>
      </c>
      <c r="F184" s="152" t="s">
        <v>1785</v>
      </c>
      <c r="G184" s="152" t="n">
        <v>33</v>
      </c>
    </row>
    <row r="185" customFormat="false" ht="13.5" hidden="false" customHeight="false" outlineLevel="0" collapsed="false">
      <c r="A185" s="152" t="s">
        <v>1968</v>
      </c>
      <c r="B185" s="152" t="s">
        <v>1947</v>
      </c>
      <c r="C185" s="152" t="n">
        <v>2</v>
      </c>
      <c r="D185" s="152" t="s">
        <v>1950</v>
      </c>
      <c r="E185" s="152" t="s">
        <v>1944</v>
      </c>
      <c r="F185" s="152" t="s">
        <v>1442</v>
      </c>
      <c r="G185" s="152" t="n">
        <v>21</v>
      </c>
    </row>
    <row r="186" customFormat="false" ht="13.5" hidden="false" customHeight="false" outlineLevel="0" collapsed="false">
      <c r="A186" s="152" t="s">
        <v>1969</v>
      </c>
      <c r="B186" s="152" t="s">
        <v>1947</v>
      </c>
      <c r="C186" s="152" t="n">
        <v>2</v>
      </c>
      <c r="D186" s="152" t="s">
        <v>1950</v>
      </c>
      <c r="E186" s="152" t="s">
        <v>1959</v>
      </c>
      <c r="F186" s="152" t="s">
        <v>1439</v>
      </c>
      <c r="G186" s="152" t="n">
        <v>52</v>
      </c>
    </row>
    <row r="187" customFormat="false" ht="13.5" hidden="false" customHeight="false" outlineLevel="0" collapsed="false">
      <c r="A187" s="152" t="s">
        <v>1970</v>
      </c>
      <c r="B187" s="152" t="s">
        <v>1757</v>
      </c>
      <c r="C187" s="152" t="n">
        <v>3</v>
      </c>
      <c r="D187" s="152" t="s">
        <v>1943</v>
      </c>
      <c r="E187" s="152" t="s">
        <v>1959</v>
      </c>
      <c r="F187" s="152" t="s">
        <v>1442</v>
      </c>
      <c r="G187" s="152" t="n">
        <v>19</v>
      </c>
    </row>
    <row r="188" customFormat="false" ht="13.5" hidden="false" customHeight="false" outlineLevel="0" collapsed="false">
      <c r="A188" s="152" t="s">
        <v>1971</v>
      </c>
      <c r="B188" s="152" t="s">
        <v>1947</v>
      </c>
      <c r="C188" s="152" t="n">
        <v>3</v>
      </c>
      <c r="D188" s="152" t="s">
        <v>1943</v>
      </c>
      <c r="E188" s="152" t="s">
        <v>1948</v>
      </c>
      <c r="F188" s="152" t="s">
        <v>1972</v>
      </c>
      <c r="G188" s="152" t="n">
        <v>34</v>
      </c>
    </row>
    <row r="189" customFormat="false" ht="13.5" hidden="false" customHeight="false" outlineLevel="0" collapsed="false">
      <c r="A189" s="152" t="s">
        <v>1973</v>
      </c>
      <c r="B189" s="152" t="s">
        <v>1947</v>
      </c>
      <c r="C189" s="152" t="n">
        <v>5</v>
      </c>
      <c r="D189" s="152" t="s">
        <v>1943</v>
      </c>
      <c r="E189" s="152" t="s">
        <v>1948</v>
      </c>
      <c r="F189" s="152" t="s">
        <v>1442</v>
      </c>
      <c r="G189" s="152" t="n">
        <v>15</v>
      </c>
    </row>
    <row r="190" customFormat="false" ht="13.5" hidden="false" customHeight="false" outlineLevel="0" collapsed="false">
      <c r="A190" s="152" t="s">
        <v>1974</v>
      </c>
      <c r="B190" s="152" t="s">
        <v>1947</v>
      </c>
      <c r="C190" s="152" t="n">
        <v>5</v>
      </c>
      <c r="D190" s="152" t="s">
        <v>1943</v>
      </c>
      <c r="E190" s="152" t="s">
        <v>1964</v>
      </c>
      <c r="F190" s="152" t="s">
        <v>1975</v>
      </c>
      <c r="G190" s="152" t="s">
        <v>1976</v>
      </c>
    </row>
    <row r="191" customFormat="false" ht="13.5" hidden="false" customHeight="false" outlineLevel="0" collapsed="false">
      <c r="A191" s="152" t="s">
        <v>1977</v>
      </c>
      <c r="B191" s="152" t="s">
        <v>1781</v>
      </c>
      <c r="C191" s="152" t="n">
        <v>4</v>
      </c>
      <c r="D191" s="152" t="s">
        <v>1943</v>
      </c>
      <c r="E191" s="152" t="s">
        <v>1978</v>
      </c>
      <c r="F191" s="152" t="s">
        <v>1979</v>
      </c>
      <c r="G191" s="152" t="s">
        <v>1980</v>
      </c>
    </row>
    <row r="192" customFormat="false" ht="13.5" hidden="false" customHeight="false" outlineLevel="0" collapsed="false">
      <c r="A192" s="152" t="s">
        <v>1981</v>
      </c>
      <c r="B192" s="152" t="s">
        <v>1781</v>
      </c>
      <c r="C192" s="152" t="n">
        <v>3</v>
      </c>
      <c r="D192" s="152" t="s">
        <v>1943</v>
      </c>
      <c r="E192" s="152" t="s">
        <v>1959</v>
      </c>
      <c r="F192" s="152" t="s">
        <v>1975</v>
      </c>
      <c r="G192" s="152" t="n">
        <v>16</v>
      </c>
    </row>
    <row r="193" customFormat="false" ht="13.5" hidden="false" customHeight="false" outlineLevel="0" collapsed="false">
      <c r="A193" s="152" t="s">
        <v>1982</v>
      </c>
      <c r="B193" s="152" t="s">
        <v>1781</v>
      </c>
      <c r="C193" s="152" t="n">
        <v>2</v>
      </c>
      <c r="D193" s="152" t="s">
        <v>1943</v>
      </c>
      <c r="E193" s="152" t="s">
        <v>1959</v>
      </c>
      <c r="F193" s="152" t="s">
        <v>1972</v>
      </c>
      <c r="G193" s="152" t="s">
        <v>1983</v>
      </c>
    </row>
    <row r="194" customFormat="false" ht="13.5" hidden="false" customHeight="false" outlineLevel="0" collapsed="false">
      <c r="A194" s="152" t="s">
        <v>1984</v>
      </c>
      <c r="B194" s="152" t="s">
        <v>1757</v>
      </c>
      <c r="C194" s="152" t="n">
        <v>2</v>
      </c>
      <c r="D194" s="152" t="s">
        <v>1943</v>
      </c>
      <c r="E194" s="152" t="s">
        <v>1959</v>
      </c>
      <c r="F194" s="152" t="s">
        <v>1827</v>
      </c>
      <c r="G194" s="152" t="n">
        <v>22</v>
      </c>
    </row>
    <row r="195" customFormat="false" ht="13.5" hidden="false" customHeight="false" outlineLevel="0" collapsed="false">
      <c r="A195" s="152" t="s">
        <v>1985</v>
      </c>
      <c r="B195" s="152" t="s">
        <v>1757</v>
      </c>
      <c r="C195" s="152" t="n">
        <v>2</v>
      </c>
      <c r="D195" s="152" t="s">
        <v>1950</v>
      </c>
      <c r="E195" s="152" t="s">
        <v>1978</v>
      </c>
      <c r="F195" s="152" t="s">
        <v>1972</v>
      </c>
      <c r="G195" s="152" t="n">
        <v>38</v>
      </c>
    </row>
    <row r="196" customFormat="false" ht="13.5" hidden="false" customHeight="false" outlineLevel="0" collapsed="false">
      <c r="A196" s="152" t="s">
        <v>1986</v>
      </c>
      <c r="B196" s="152" t="s">
        <v>1757</v>
      </c>
      <c r="C196" s="152" t="n">
        <v>4</v>
      </c>
      <c r="D196" s="152" t="s">
        <v>1943</v>
      </c>
      <c r="E196" s="152" t="s">
        <v>1948</v>
      </c>
      <c r="F196" s="152" t="s">
        <v>1972</v>
      </c>
      <c r="G196" s="152" t="n">
        <v>32</v>
      </c>
    </row>
    <row r="197" customFormat="false" ht="13.5" hidden="false" customHeight="false" outlineLevel="0" collapsed="false">
      <c r="A197" s="152" t="s">
        <v>1987</v>
      </c>
      <c r="B197" s="152" t="s">
        <v>1781</v>
      </c>
      <c r="C197" s="152" t="n">
        <v>3</v>
      </c>
      <c r="D197" s="152" t="s">
        <v>1943</v>
      </c>
      <c r="E197" s="152" t="s">
        <v>1948</v>
      </c>
      <c r="F197" s="152" t="s">
        <v>99</v>
      </c>
      <c r="G197" s="152" t="n">
        <v>47</v>
      </c>
    </row>
    <row r="198" customFormat="false" ht="13.5" hidden="false" customHeight="false" outlineLevel="0" collapsed="false">
      <c r="A198" s="152" t="s">
        <v>1988</v>
      </c>
      <c r="B198" s="152" t="s">
        <v>1947</v>
      </c>
      <c r="C198" s="152" t="n">
        <v>3</v>
      </c>
      <c r="D198" s="152" t="s">
        <v>1950</v>
      </c>
      <c r="E198" s="152" t="s">
        <v>1948</v>
      </c>
      <c r="F198" s="152" t="s">
        <v>1785</v>
      </c>
      <c r="G198" s="152" t="n">
        <v>36</v>
      </c>
    </row>
    <row r="199" customFormat="false" ht="13.5" hidden="false" customHeight="false" outlineLevel="0" collapsed="false">
      <c r="A199" s="152" t="s">
        <v>1989</v>
      </c>
      <c r="B199" s="152" t="s">
        <v>1947</v>
      </c>
      <c r="C199" s="152" t="n">
        <v>3</v>
      </c>
      <c r="D199" s="152" t="s">
        <v>1943</v>
      </c>
      <c r="E199" s="152" t="s">
        <v>1944</v>
      </c>
      <c r="F199" s="152" t="s">
        <v>1442</v>
      </c>
      <c r="G199" s="152" t="n">
        <v>17</v>
      </c>
    </row>
    <row r="200" customFormat="false" ht="13.5" hidden="false" customHeight="false" outlineLevel="0" collapsed="false">
      <c r="A200" s="152" t="s">
        <v>1990</v>
      </c>
      <c r="B200" s="152" t="s">
        <v>1947</v>
      </c>
      <c r="C200" s="152" t="n">
        <v>2</v>
      </c>
      <c r="D200" s="152" t="s">
        <v>1950</v>
      </c>
      <c r="E200" s="152" t="s">
        <v>1944</v>
      </c>
      <c r="F200" s="152" t="s">
        <v>1785</v>
      </c>
      <c r="G200" s="152" t="s">
        <v>1991</v>
      </c>
    </row>
    <row r="201" customFormat="false" ht="15" hidden="false" customHeight="true" outlineLevel="0" collapsed="false">
      <c r="A201" s="154"/>
      <c r="B201" s="154"/>
      <c r="C201" s="154"/>
      <c r="D201" s="154"/>
      <c r="E201" s="154"/>
      <c r="F201" s="154"/>
      <c r="G201" s="154"/>
    </row>
    <row r="202" customFormat="false" ht="15" hidden="false" customHeight="true" outlineLevel="0" collapsed="false">
      <c r="A202" s="154"/>
      <c r="B202" s="154"/>
      <c r="C202" s="154"/>
      <c r="D202" s="154"/>
      <c r="E202" s="154"/>
      <c r="F202" s="154"/>
      <c r="G202" s="154"/>
    </row>
    <row r="203" customFormat="false" ht="15" hidden="false" customHeight="true" outlineLevel="0" collapsed="false">
      <c r="A203" s="154"/>
      <c r="B203" s="154"/>
      <c r="C203" s="154"/>
      <c r="D203" s="154"/>
      <c r="E203" s="154"/>
      <c r="F203" s="154"/>
      <c r="G203" s="154"/>
    </row>
    <row r="204" customFormat="false" ht="15" hidden="false" customHeight="true" outlineLevel="0" collapsed="false">
      <c r="A204" s="154"/>
      <c r="B204" s="154"/>
      <c r="C204" s="154"/>
      <c r="D204" s="154"/>
      <c r="E204" s="154"/>
      <c r="F204" s="154"/>
      <c r="G204" s="154"/>
    </row>
    <row r="205" customFormat="false" ht="15" hidden="false" customHeight="true" outlineLevel="0" collapsed="false">
      <c r="A205" s="61" t="s">
        <v>1992</v>
      </c>
      <c r="B205" s="61" t="s">
        <v>78</v>
      </c>
      <c r="C205" s="61"/>
      <c r="D205" s="61"/>
      <c r="E205" s="61"/>
      <c r="F205" s="61"/>
      <c r="G205" s="61"/>
      <c r="I205" s="75" t="s">
        <v>1993</v>
      </c>
    </row>
    <row r="206" customFormat="false" ht="13.5" hidden="false" customHeight="false" outlineLevel="0" collapsed="false">
      <c r="A206" s="152" t="s">
        <v>1994</v>
      </c>
      <c r="B206" s="155" t="n">
        <f aca="false">C61+Escenarios!$E$15</f>
        <v>0.1</v>
      </c>
      <c r="C206" s="152"/>
      <c r="D206" s="152"/>
      <c r="E206" s="152"/>
      <c r="F206" s="152"/>
      <c r="G206" s="152"/>
    </row>
    <row r="207" customFormat="false" ht="13.5" hidden="false" customHeight="false" outlineLevel="0" collapsed="false">
      <c r="A207" s="152" t="s">
        <v>1995</v>
      </c>
      <c r="B207" s="155" t="n">
        <f aca="false">G55</f>
        <v>0.288010101095701</v>
      </c>
      <c r="C207" s="152"/>
      <c r="D207" s="152"/>
      <c r="E207" s="152"/>
      <c r="F207" s="152"/>
      <c r="G207" s="152"/>
    </row>
    <row r="208" customFormat="false" ht="13.5" hidden="false" customHeight="false" outlineLevel="0" collapsed="false">
      <c r="A208" s="152" t="s">
        <v>1996</v>
      </c>
      <c r="B208" s="155" t="n">
        <f aca="false">B206*(1-B207)</f>
        <v>0.0711989898904299</v>
      </c>
      <c r="C208" s="152"/>
      <c r="D208" s="152"/>
      <c r="E208" s="152"/>
      <c r="F208" s="152"/>
      <c r="G208" s="152"/>
    </row>
    <row r="209" customFormat="false" ht="13.5" hidden="false" customHeight="false" outlineLevel="0" collapsed="false">
      <c r="A209" s="152" t="s">
        <v>1997</v>
      </c>
      <c r="B209" s="161" t="n">
        <f aca="false">B91+B92</f>
        <v>23618</v>
      </c>
      <c r="C209" s="152"/>
      <c r="D209" s="152"/>
      <c r="E209" s="152"/>
      <c r="F209" s="152"/>
      <c r="G209" s="152"/>
    </row>
    <row r="210" customFormat="false" ht="13.5" hidden="false" customHeight="false" outlineLevel="0" collapsed="false">
      <c r="A210" s="152" t="s">
        <v>1998</v>
      </c>
      <c r="B210" s="155" t="n">
        <f aca="false">WACC!B5+Escenarios!$E$14</f>
        <v>0.09517</v>
      </c>
      <c r="C210" s="152"/>
      <c r="D210" s="152"/>
      <c r="E210" s="152"/>
      <c r="F210" s="152"/>
      <c r="G210" s="152"/>
    </row>
    <row r="211" customFormat="false" ht="13.5" hidden="false" customHeight="false" outlineLevel="0" collapsed="false">
      <c r="A211" s="152" t="s">
        <v>1999</v>
      </c>
      <c r="B211" s="155" t="n">
        <f aca="false">WACC!B8</f>
        <v>0.0423</v>
      </c>
      <c r="C211" s="152"/>
      <c r="D211" s="152"/>
      <c r="E211" s="152"/>
      <c r="F211" s="152"/>
      <c r="G211" s="152"/>
    </row>
    <row r="212" customFormat="false" ht="13.5" hidden="false" customHeight="false" outlineLevel="0" collapsed="false">
      <c r="A212" s="152" t="s">
        <v>2000</v>
      </c>
      <c r="B212" s="169" t="n">
        <f aca="false">Escenarios!$E$16</f>
        <v>0.170520815748403</v>
      </c>
      <c r="C212" s="152"/>
      <c r="D212" s="152"/>
      <c r="E212" s="152"/>
      <c r="F212" s="152"/>
      <c r="G212" s="152"/>
    </row>
    <row r="213" customFormat="false" ht="13.5" hidden="false" customHeight="false" outlineLevel="0" collapsed="false">
      <c r="A213" s="61" t="s">
        <v>2001</v>
      </c>
      <c r="B213" s="61" t="s">
        <v>2002</v>
      </c>
      <c r="C213" s="61" t="s">
        <v>2003</v>
      </c>
      <c r="D213" s="61" t="s">
        <v>1412</v>
      </c>
      <c r="E213" s="61" t="s">
        <v>2004</v>
      </c>
      <c r="F213" s="61" t="s">
        <v>2005</v>
      </c>
      <c r="G213" s="61" t="s">
        <v>2006</v>
      </c>
    </row>
    <row r="214" customFormat="false" ht="13.5" hidden="false" customHeight="false" outlineLevel="0" collapsed="false">
      <c r="A214" s="152" t="s">
        <v>2007</v>
      </c>
      <c r="B214" s="155" t="n">
        <f aca="false">WACC!B33</f>
        <v>0.100615773284249</v>
      </c>
      <c r="C214" s="161" t="n">
        <f aca="false">SUMPRODUCT($C$117:$G$117,(1+B214)^(-$C$118:$G$118))+$G$117*(1+$B$123)/(B214-$B$123)*(1+B214)^-5+$B$141+$B$142+$B$143</f>
        <v>72076.3632308033</v>
      </c>
      <c r="D214" s="164" t="n">
        <f aca="false">$B$209/C214</f>
        <v>0.327680239975071</v>
      </c>
      <c r="E214" s="164" t="n">
        <f aca="false">$B$212*(1+(1-$B$207)*D214)</f>
        <v>0.210304178236059</v>
      </c>
      <c r="F214" s="155" t="n">
        <f aca="false">$B$210+E214*$B$211</f>
        <v>0.104065866739385</v>
      </c>
      <c r="G214" s="155" t="n">
        <f aca="false">C214/(C214+$B$209)*F214+$B$209/(C214+$B$209)*$B$208</f>
        <v>0.0959541047587302</v>
      </c>
    </row>
    <row r="215" customFormat="false" ht="13.5" hidden="false" customHeight="false" outlineLevel="0" collapsed="false">
      <c r="A215" s="152" t="n">
        <v>1</v>
      </c>
      <c r="B215" s="155" t="n">
        <f aca="false">G214</f>
        <v>0.0959541047587302</v>
      </c>
      <c r="C215" s="161" t="n">
        <f aca="false">SUMPRODUCT($C$117:$G$117,(1+B215)^(-$C$118:$G$118))+$G$117*(1+$B$123)/(B215-$B$123)*(1+B215)^-5+$B$141+$B$142+$B$143</f>
        <v>78594.8705659753</v>
      </c>
      <c r="D215" s="164" t="n">
        <f aca="false">$B$209/C215</f>
        <v>0.300503071382683</v>
      </c>
      <c r="E215" s="164" t="n">
        <f aca="false">$B$212*(1+(1-$B$207)*D215)</f>
        <v>0.207004622701123</v>
      </c>
      <c r="F215" s="155" t="n">
        <f aca="false">$B$210+E215*$B$211</f>
        <v>0.103926295540258</v>
      </c>
      <c r="G215" s="155" t="n">
        <f aca="false">C215/(C215+$B$209)*F215+$B$209/(C215+$B$209)*$B$208</f>
        <v>0.0963641020458608</v>
      </c>
    </row>
    <row r="216" customFormat="false" ht="13.5" hidden="false" customHeight="false" outlineLevel="0" collapsed="false">
      <c r="A216" s="152" t="n">
        <v>2</v>
      </c>
      <c r="B216" s="155" t="n">
        <f aca="false">G215</f>
        <v>0.0963641020458608</v>
      </c>
      <c r="C216" s="161" t="n">
        <f aca="false">SUMPRODUCT($C$117:$G$117,(1+B216)^(-$C$118:$G$118))+$G$117*(1+$B$123)/(B216-$B$123)*(1+B216)^-5+$B$141+$B$142+$B$143</f>
        <v>77981.9065658303</v>
      </c>
      <c r="D216" s="164" t="n">
        <f aca="false">$B$209/C216</f>
        <v>0.302865126541402</v>
      </c>
      <c r="E216" s="164" t="n">
        <f aca="false">$B$212*(1+(1-$B$207)*D216)</f>
        <v>0.207291397688233</v>
      </c>
      <c r="F216" s="155" t="n">
        <f aca="false">$B$210+E216*$B$211</f>
        <v>0.103938426122212</v>
      </c>
      <c r="G216" s="155" t="n">
        <f aca="false">C216/(C216+$B$209)*F216+$B$209/(C216+$B$209)*$B$208</f>
        <v>0.096327789153553</v>
      </c>
    </row>
    <row r="217" customFormat="false" ht="13.5" hidden="false" customHeight="false" outlineLevel="0" collapsed="false">
      <c r="A217" s="152" t="n">
        <v>3</v>
      </c>
      <c r="B217" s="155" t="n">
        <f aca="false">G216</f>
        <v>0.096327789153553</v>
      </c>
      <c r="C217" s="161" t="n">
        <f aca="false">SUMPRODUCT($C$117:$G$117,(1+B217)^(-$C$118:$G$118))+$G$117*(1+$B$123)/(B217-$B$123)*(1+B217)^-5+$B$141+$B$142+$B$143</f>
        <v>78035.8656577762</v>
      </c>
      <c r="D217" s="164" t="n">
        <f aca="false">$B$209/C217</f>
        <v>0.30265570582091</v>
      </c>
      <c r="E217" s="164" t="n">
        <f aca="false">$B$212*(1+(1-$B$207)*D217)</f>
        <v>0.207265972107379</v>
      </c>
      <c r="F217" s="155" t="n">
        <f aca="false">$B$210+E217*$B$211</f>
        <v>0.103937350620142</v>
      </c>
      <c r="G217" s="155" t="n">
        <f aca="false">C217/(C217+$B$209)*F217+$B$209/(C217+$B$209)*$B$208</f>
        <v>0.0963310033483383</v>
      </c>
    </row>
    <row r="218" customFormat="false" ht="13.5" hidden="false" customHeight="false" outlineLevel="0" collapsed="false">
      <c r="A218" s="152" t="n">
        <v>4</v>
      </c>
      <c r="B218" s="155" t="n">
        <f aca="false">G217</f>
        <v>0.0963310033483383</v>
      </c>
      <c r="C218" s="161" t="n">
        <f aca="false">SUMPRODUCT($C$117:$G$117,(1+B218)^(-$C$118:$G$118))+$G$117*(1+$B$123)/(B218-$B$123)*(1+B218)^-5+$B$141+$B$142+$B$143</f>
        <v>78031.0869559923</v>
      </c>
      <c r="D218" s="164" t="n">
        <f aca="false">$B$209/C218</f>
        <v>0.302674240758943</v>
      </c>
      <c r="E218" s="164" t="n">
        <f aca="false">$B$212*(1+(1-$B$207)*D218)</f>
        <v>0.207268222417494</v>
      </c>
      <c r="F218" s="155" t="n">
        <f aca="false">$B$210+E218*$B$211</f>
        <v>0.10393744580826</v>
      </c>
      <c r="G218" s="155" t="n">
        <f aca="false">C218/(C218+$B$209)*F218+$B$209/(C218+$B$209)*$B$208</f>
        <v>0.0963307188319315</v>
      </c>
    </row>
    <row r="219" customFormat="false" ht="13.5" hidden="false" customHeight="false" outlineLevel="0" collapsed="false">
      <c r="A219" s="152" t="n">
        <v>5</v>
      </c>
      <c r="B219" s="155" t="n">
        <f aca="false">G218</f>
        <v>0.0963307188319315</v>
      </c>
      <c r="C219" s="161" t="n">
        <f aca="false">SUMPRODUCT($C$117:$G$117,(1+B219)^(-$C$118:$G$118))+$G$117*(1+$B$123)/(B219-$B$123)*(1+B219)^-5+$B$141+$B$142+$B$143</f>
        <v>78031.5099403807</v>
      </c>
      <c r="D219" s="164" t="n">
        <f aca="false">$B$209/C219</f>
        <v>0.302672600056633</v>
      </c>
      <c r="E219" s="164" t="n">
        <f aca="false">$B$212*(1+(1-$B$207)*D219)</f>
        <v>0.207268023221306</v>
      </c>
      <c r="F219" s="155" t="n">
        <f aca="false">$B$210+E219*$B$211</f>
        <v>0.103937437382261</v>
      </c>
      <c r="G219" s="155" t="n">
        <f aca="false">C219/(C219+$B$209)*F219+$B$209/(C219+$B$209)*$B$208</f>
        <v>0.0963307440168374</v>
      </c>
    </row>
    <row r="220" customFormat="false" ht="13.5" hidden="false" customHeight="false" outlineLevel="0" collapsed="false">
      <c r="A220" s="61" t="s">
        <v>2008</v>
      </c>
      <c r="B220" s="157" t="n">
        <f aca="false">G219</f>
        <v>0.0963307440168374</v>
      </c>
      <c r="C220" s="61"/>
      <c r="D220" s="61"/>
      <c r="E220" s="61"/>
      <c r="F220" s="61"/>
      <c r="G220" s="61"/>
    </row>
    <row r="221" customFormat="false" ht="13.5" hidden="false" customHeight="false" outlineLevel="0" collapsed="false">
      <c r="A221" s="61" t="s">
        <v>2009</v>
      </c>
      <c r="B221" s="157" t="n">
        <f aca="false">F219</f>
        <v>0.103937437382261</v>
      </c>
      <c r="C221" s="61"/>
      <c r="D221" s="61"/>
      <c r="E221" s="61"/>
      <c r="F221" s="61"/>
      <c r="G221" s="61"/>
    </row>
    <row r="222" customFormat="false" ht="13.5" hidden="false" customHeight="false" outlineLevel="0" collapsed="false">
      <c r="A222" s="152" t="s">
        <v>2010</v>
      </c>
      <c r="B222" s="169" t="n">
        <f aca="false">(G219-G218)*10000</f>
        <v>0.000251849059801357</v>
      </c>
      <c r="C222" s="163"/>
      <c r="D222" s="163"/>
      <c r="E222" s="163"/>
      <c r="F222" s="163"/>
      <c r="G222" s="163"/>
    </row>
    <row r="223" customFormat="false" ht="13.5" hidden="false" customHeight="false" outlineLevel="0" collapsed="false">
      <c r="A223" s="170"/>
      <c r="B223" s="170"/>
      <c r="C223" s="170"/>
      <c r="D223" s="170"/>
      <c r="E223" s="170"/>
      <c r="F223" s="170"/>
      <c r="G223" s="170"/>
    </row>
    <row r="224" customFormat="false" ht="13.5" hidden="false" customHeight="false" outlineLevel="0" collapsed="false">
      <c r="A224" s="170"/>
      <c r="B224" s="170"/>
      <c r="C224" s="170"/>
      <c r="D224" s="170"/>
      <c r="E224" s="170"/>
      <c r="F224" s="170"/>
      <c r="G224" s="170"/>
    </row>
    <row r="225" customFormat="false" ht="13.5" hidden="false" customHeight="false" outlineLevel="0" collapsed="false">
      <c r="A225" s="61" t="s">
        <v>2011</v>
      </c>
      <c r="B225" s="61" t="s">
        <v>1</v>
      </c>
      <c r="C225" s="61" t="s">
        <v>2</v>
      </c>
      <c r="D225" s="61" t="s">
        <v>3</v>
      </c>
      <c r="E225" s="61" t="s">
        <v>4</v>
      </c>
      <c r="F225" s="61"/>
      <c r="G225" s="61"/>
      <c r="I225" s="75" t="s">
        <v>2012</v>
      </c>
    </row>
    <row r="226" customFormat="false" ht="13.5" hidden="false" customHeight="false" outlineLevel="0" collapsed="false">
      <c r="A226" s="152" t="s">
        <v>1409</v>
      </c>
      <c r="B226" s="161" t="n">
        <f aca="false">WACC!B18</f>
        <v>59580</v>
      </c>
      <c r="C226" s="161" t="n">
        <f aca="false">WACC!C18</f>
        <v>813622.604529617</v>
      </c>
      <c r="D226" s="161" t="n">
        <f aca="false">WACC!D18</f>
        <v>89246.0254200776</v>
      </c>
      <c r="E226" s="161" t="n">
        <f aca="false">WACC!E18</f>
        <v>34190</v>
      </c>
      <c r="F226" s="163"/>
      <c r="G226" s="163"/>
    </row>
    <row r="227" customFormat="false" ht="13.5" hidden="false" customHeight="false" outlineLevel="0" collapsed="false">
      <c r="A227" s="152" t="s">
        <v>2013</v>
      </c>
      <c r="B227" s="161" t="n">
        <f aca="false">WACC!B21</f>
        <v>23618</v>
      </c>
      <c r="C227" s="161" t="n">
        <f aca="false">WACC!C21</f>
        <v>80848.1</v>
      </c>
      <c r="D227" s="161" t="n">
        <f aca="false">WACC!D21</f>
        <v>56744.34</v>
      </c>
      <c r="E227" s="161" t="n">
        <f aca="false">WACC!E21</f>
        <v>2441.8</v>
      </c>
      <c r="F227" s="163"/>
      <c r="G227" s="163"/>
    </row>
    <row r="228" customFormat="false" ht="13.5" hidden="false" customHeight="false" outlineLevel="0" collapsed="false">
      <c r="A228" s="152" t="s">
        <v>2014</v>
      </c>
      <c r="B228" s="161" t="n">
        <f aca="false">-WACC!B22</f>
        <v>-9295</v>
      </c>
      <c r="C228" s="161" t="n">
        <f aca="false">-WACC!C22</f>
        <v>-28591.2</v>
      </c>
      <c r="D228" s="161" t="n">
        <f aca="false">-WACC!D22</f>
        <v>-14640.16</v>
      </c>
      <c r="E228" s="161" t="n">
        <f aca="false">-WACC!E22</f>
        <v>-2962.8</v>
      </c>
      <c r="F228" s="163"/>
      <c r="G228" s="163"/>
    </row>
    <row r="229" customFormat="false" ht="13.5" hidden="false" customHeight="false" outlineLevel="0" collapsed="false">
      <c r="A229" s="152" t="s">
        <v>2015</v>
      </c>
      <c r="B229" s="161" t="n">
        <f aca="false">SUM(B226:B228)</f>
        <v>73903</v>
      </c>
      <c r="C229" s="161" t="n">
        <f aca="false">SUM(C226:C228)</f>
        <v>865879.504529617</v>
      </c>
      <c r="D229" s="161" t="n">
        <f aca="false">SUM(D226:D228)</f>
        <v>131350.205420078</v>
      </c>
      <c r="E229" s="161" t="n">
        <f aca="false">SUM(E226:E228)</f>
        <v>33669</v>
      </c>
      <c r="F229" s="163"/>
      <c r="G229" s="163"/>
    </row>
    <row r="230" customFormat="false" ht="13.5" hidden="false" customHeight="false" outlineLevel="0" collapsed="false">
      <c r="A230" s="152" t="s">
        <v>2016</v>
      </c>
      <c r="B230" s="161" t="n">
        <f aca="false">Datos!G9+Datos!G14</f>
        <v>11894</v>
      </c>
      <c r="C230" s="161" t="n">
        <f aca="false">Datos!G35+Datos!G40</f>
        <v>103446.9</v>
      </c>
      <c r="D230" s="161" t="n">
        <f aca="false">Datos!G61+Datos!G66</f>
        <v>24391.15</v>
      </c>
      <c r="E230" s="161" t="n">
        <f aca="false">Datos!G87+Datos!G92</f>
        <v>5214.81481788325</v>
      </c>
      <c r="F230" s="163"/>
      <c r="G230" s="163"/>
    </row>
    <row r="231" customFormat="false" ht="13.5" hidden="false" customHeight="false" outlineLevel="0" collapsed="false">
      <c r="A231" s="61" t="s">
        <v>2017</v>
      </c>
      <c r="B231" s="171" t="n">
        <f aca="false">B229/B230</f>
        <v>6.21346897595426</v>
      </c>
      <c r="C231" s="171" t="n">
        <f aca="false">C229/C230</f>
        <v>8.37027986850855</v>
      </c>
      <c r="D231" s="171" t="n">
        <f aca="false">D229/D230</f>
        <v>5.38515836358997</v>
      </c>
      <c r="E231" s="171" t="n">
        <f aca="false">E229/E230</f>
        <v>6.45641334847373</v>
      </c>
      <c r="F231" s="172"/>
      <c r="G231" s="172"/>
    </row>
    <row r="232" customFormat="false" ht="13.5" hidden="false" customHeight="false" outlineLevel="0" collapsed="false">
      <c r="A232" s="152" t="s">
        <v>2018</v>
      </c>
      <c r="B232" s="173" t="n">
        <f aca="false">MEDIAN(C231:E231)</f>
        <v>6.45641334847373</v>
      </c>
      <c r="C232" s="152"/>
      <c r="D232" s="152"/>
      <c r="E232" s="152"/>
      <c r="F232" s="152"/>
      <c r="G232" s="152"/>
    </row>
    <row r="233" customFormat="false" ht="13.5" hidden="false" customHeight="false" outlineLevel="0" collapsed="false">
      <c r="A233" s="152" t="s">
        <v>2019</v>
      </c>
      <c r="B233" s="155" t="n">
        <v>0.1</v>
      </c>
      <c r="C233" s="152"/>
      <c r="D233" s="152"/>
      <c r="E233" s="152"/>
      <c r="F233" s="152"/>
      <c r="G233" s="152"/>
    </row>
    <row r="234" customFormat="false" ht="13.5" hidden="false" customHeight="false" outlineLevel="0" collapsed="false">
      <c r="A234" s="152" t="s">
        <v>2020</v>
      </c>
      <c r="B234" s="173" t="n">
        <f aca="false">B232*(1-B233)</f>
        <v>5.81077201362635</v>
      </c>
      <c r="C234" s="152"/>
      <c r="D234" s="152"/>
      <c r="E234" s="152"/>
      <c r="F234" s="152"/>
      <c r="G234" s="152"/>
    </row>
    <row r="235" customFormat="false" ht="13.5" hidden="false" customHeight="false" outlineLevel="0" collapsed="false">
      <c r="A235" s="152" t="s">
        <v>2021</v>
      </c>
      <c r="B235" s="161" t="n">
        <f aca="false">G71</f>
        <v>12256.047209706</v>
      </c>
      <c r="C235" s="152"/>
      <c r="D235" s="152"/>
      <c r="E235" s="152"/>
      <c r="F235" s="152"/>
      <c r="G235" s="152"/>
    </row>
    <row r="236" customFormat="false" ht="13.5" hidden="false" customHeight="false" outlineLevel="0" collapsed="false">
      <c r="A236" s="61" t="s">
        <v>2022</v>
      </c>
      <c r="B236" s="162" t="n">
        <f aca="false">B234*B235</f>
        <v>71217.0961238431</v>
      </c>
      <c r="C236" s="152"/>
      <c r="D236" s="152"/>
      <c r="E236" s="152"/>
      <c r="F236" s="152"/>
      <c r="G236" s="152"/>
    </row>
    <row r="237" customFormat="false" ht="13.5" hidden="false" customHeight="false" outlineLevel="0" collapsed="false">
      <c r="A237" s="152" t="s">
        <v>2023</v>
      </c>
      <c r="B237" s="161" t="n">
        <f aca="false">B236*G119</f>
        <v>44965.1758418759</v>
      </c>
      <c r="C237" s="152"/>
      <c r="D237" s="152"/>
      <c r="E237" s="152"/>
      <c r="F237" s="152"/>
      <c r="G237" s="152"/>
    </row>
    <row r="238" customFormat="false" ht="13.5" hidden="false" customHeight="false" outlineLevel="0" collapsed="false">
      <c r="A238" s="61" t="s">
        <v>2024</v>
      </c>
      <c r="B238" s="162" t="n">
        <f aca="false">B134+B237</f>
        <v>69064.6983935442</v>
      </c>
      <c r="C238" s="152"/>
      <c r="D238" s="152"/>
      <c r="E238" s="152"/>
      <c r="F238" s="152"/>
      <c r="G238" s="152"/>
    </row>
    <row r="239" customFormat="false" ht="13.5" hidden="false" customHeight="false" outlineLevel="0" collapsed="false">
      <c r="A239" s="152" t="s">
        <v>2025</v>
      </c>
      <c r="B239" s="161" t="n">
        <f aca="false">B238-B144</f>
        <v>54741.6983935442</v>
      </c>
      <c r="C239" s="152"/>
      <c r="D239" s="152"/>
      <c r="E239" s="152"/>
      <c r="F239" s="152"/>
      <c r="G239" s="152"/>
    </row>
    <row r="240" customFormat="false" ht="13.5" hidden="false" customHeight="false" outlineLevel="0" collapsed="false">
      <c r="A240" s="61" t="s">
        <v>2026</v>
      </c>
      <c r="B240" s="166" t="n">
        <f aca="false">B239/B149</f>
        <v>30.4120546630801</v>
      </c>
      <c r="C240" s="152"/>
      <c r="D240" s="152"/>
      <c r="E240" s="152"/>
      <c r="F240" s="152"/>
      <c r="G240" s="152"/>
    </row>
    <row r="241" customFormat="false" ht="13.5" hidden="false" customHeight="false" outlineLevel="0" collapsed="false">
      <c r="A241" s="152" t="s">
        <v>2027</v>
      </c>
      <c r="B241" s="173" t="n">
        <f aca="false">B129/G71</f>
        <v>8.82046929687269</v>
      </c>
      <c r="C241" s="152"/>
      <c r="D241" s="152"/>
      <c r="E241" s="152"/>
      <c r="F241" s="152"/>
      <c r="G241" s="152"/>
    </row>
    <row r="242" customFormat="false" ht="13.5" hidden="false" customHeight="false" outlineLevel="0" collapsed="false">
      <c r="A242" s="152" t="s">
        <v>2028</v>
      </c>
      <c r="B242" s="155" t="n">
        <f aca="false">(B236*B126-B127)/(B236+B127)</f>
        <v>0.00585519958893175</v>
      </c>
      <c r="C242" s="152"/>
      <c r="D242" s="152"/>
      <c r="E242" s="152"/>
      <c r="F242" s="152"/>
      <c r="G242" s="152"/>
    </row>
    <row r="243" customFormat="false" ht="13.5" hidden="false" customHeight="false" outlineLevel="0" collapsed="false">
      <c r="A243" s="152" t="s">
        <v>2029</v>
      </c>
      <c r="B243" s="155" t="n">
        <v>0.5</v>
      </c>
      <c r="C243" s="152"/>
      <c r="D243" s="152"/>
      <c r="E243" s="152"/>
      <c r="F243" s="152"/>
      <c r="G243" s="152"/>
    </row>
    <row r="244" customFormat="false" ht="13.5" hidden="false" customHeight="false" outlineLevel="0" collapsed="false">
      <c r="A244" s="152" t="s">
        <v>2030</v>
      </c>
      <c r="B244" s="155" t="n">
        <f aca="false">1-B243</f>
        <v>0.5</v>
      </c>
      <c r="C244" s="152"/>
      <c r="D244" s="152"/>
      <c r="E244" s="152"/>
      <c r="F244" s="152"/>
      <c r="G244" s="152"/>
    </row>
    <row r="245" customFormat="false" ht="13.5" hidden="false" customHeight="false" outlineLevel="0" collapsed="false">
      <c r="A245" s="152" t="s">
        <v>2031</v>
      </c>
      <c r="B245" s="161" t="n">
        <f aca="false">B243*B136+B244*B238</f>
        <v>80709.585445956</v>
      </c>
      <c r="C245" s="152"/>
      <c r="D245" s="152"/>
      <c r="E245" s="152"/>
      <c r="F245" s="152"/>
      <c r="G245" s="152"/>
    </row>
    <row r="246" customFormat="false" ht="13.5" hidden="false" customHeight="false" outlineLevel="0" collapsed="false">
      <c r="A246" s="61" t="s">
        <v>2032</v>
      </c>
      <c r="B246" s="166" t="n">
        <f aca="false">B243*B150+B244*B240</f>
        <v>36.8814363588644</v>
      </c>
      <c r="C246" s="152"/>
      <c r="D246" s="152"/>
      <c r="E246" s="152"/>
      <c r="F246" s="152"/>
      <c r="G246" s="152"/>
    </row>
    <row r="247" customFormat="false" ht="13.5" hidden="false" customHeight="false" outlineLevel="0" collapsed="false">
      <c r="A247" s="170"/>
      <c r="B247" s="170"/>
      <c r="C247" s="170"/>
      <c r="D247" s="170"/>
      <c r="E247" s="170"/>
      <c r="F247" s="170"/>
      <c r="G247" s="170"/>
    </row>
    <row r="248" customFormat="false" ht="13.5" hidden="false" customHeight="false" outlineLevel="0" collapsed="false">
      <c r="A248" s="170"/>
      <c r="B248" s="170"/>
      <c r="C248" s="170"/>
      <c r="D248" s="170"/>
      <c r="E248" s="170"/>
      <c r="F248" s="170"/>
      <c r="G248" s="170"/>
    </row>
    <row r="249" customFormat="false" ht="13.5" hidden="false" customHeight="false" outlineLevel="0" collapsed="false">
      <c r="A249" s="61" t="s">
        <v>2033</v>
      </c>
      <c r="B249" s="61" t="s">
        <v>78</v>
      </c>
      <c r="C249" s="61"/>
      <c r="D249" s="61"/>
      <c r="E249" s="61"/>
      <c r="F249" s="61"/>
      <c r="G249" s="61"/>
      <c r="I249" s="75" t="s">
        <v>2034</v>
      </c>
    </row>
    <row r="250" customFormat="false" ht="13.5" hidden="false" customHeight="false" outlineLevel="0" collapsed="false">
      <c r="A250" s="152" t="s">
        <v>2035</v>
      </c>
      <c r="B250" s="174" t="n">
        <f aca="false">DATE(2025,12,31)</f>
        <v>46022</v>
      </c>
      <c r="C250" s="152"/>
      <c r="D250" s="152"/>
      <c r="E250" s="152"/>
      <c r="F250" s="152"/>
      <c r="G250" s="152"/>
    </row>
    <row r="251" customFormat="false" ht="13.5" hidden="false" customHeight="false" outlineLevel="0" collapsed="false">
      <c r="A251" s="152" t="s">
        <v>2036</v>
      </c>
      <c r="B251" s="174" t="n">
        <f aca="false">DATE(2026,6,30)</f>
        <v>46203</v>
      </c>
      <c r="C251" s="152"/>
      <c r="D251" s="152"/>
      <c r="E251" s="152"/>
      <c r="F251" s="152"/>
      <c r="G251" s="152"/>
    </row>
    <row r="252" customFormat="false" ht="13.5" hidden="false" customHeight="false" outlineLevel="0" collapsed="false">
      <c r="A252" s="152" t="s">
        <v>2037</v>
      </c>
      <c r="B252" s="174" t="n">
        <f aca="false">Rendimientos!H10</f>
        <v>46302</v>
      </c>
      <c r="C252" s="152"/>
      <c r="D252" s="152"/>
      <c r="E252" s="152"/>
      <c r="F252" s="152"/>
      <c r="G252" s="152"/>
    </row>
    <row r="253" customFormat="false" ht="13.5" hidden="false" customHeight="false" outlineLevel="0" collapsed="false">
      <c r="A253" s="152" t="s">
        <v>2038</v>
      </c>
      <c r="B253" s="169" t="n">
        <f aca="false">YEARFRAC(B250,B251)</f>
        <v>0.5</v>
      </c>
      <c r="C253" s="152"/>
      <c r="D253" s="152"/>
      <c r="E253" s="152"/>
      <c r="F253" s="152"/>
      <c r="G253" s="152"/>
    </row>
    <row r="254" customFormat="false" ht="13.5" hidden="false" customHeight="false" outlineLevel="0" collapsed="false">
      <c r="A254" s="152" t="s">
        <v>2039</v>
      </c>
      <c r="B254" s="169" t="n">
        <f aca="false">YEARFRAC(B251,B252)</f>
        <v>0.269444444444444</v>
      </c>
      <c r="C254" s="152"/>
      <c r="D254" s="152"/>
      <c r="E254" s="152"/>
      <c r="F254" s="152"/>
      <c r="G254" s="152"/>
    </row>
    <row r="255" customFormat="false" ht="13.5" hidden="false" customHeight="false" outlineLevel="0" collapsed="false">
      <c r="A255" s="152" t="s">
        <v>2040</v>
      </c>
      <c r="B255" s="161" t="n">
        <f aca="false">B245</f>
        <v>80709.585445956</v>
      </c>
      <c r="C255" s="152"/>
      <c r="D255" s="152"/>
      <c r="E255" s="152"/>
      <c r="F255" s="152"/>
      <c r="G255" s="152"/>
    </row>
    <row r="256" customFormat="false" ht="13.5" hidden="false" customHeight="false" outlineLevel="0" collapsed="false">
      <c r="A256" s="152" t="s">
        <v>2041</v>
      </c>
      <c r="B256" s="161" t="n">
        <f aca="false">B255*(1+B126)^B253</f>
        <v>84507.628242876</v>
      </c>
      <c r="C256" s="152"/>
      <c r="D256" s="152"/>
      <c r="E256" s="152"/>
      <c r="F256" s="152"/>
      <c r="G256" s="152"/>
    </row>
    <row r="257" customFormat="false" ht="13.5" hidden="false" customHeight="false" outlineLevel="0" collapsed="false">
      <c r="A257" s="152" t="s">
        <v>2042</v>
      </c>
      <c r="B257" s="161" t="n">
        <f aca="false">-((Datos!E15+Datos!F15)-(Datos!E16+Datos!F16))</f>
        <v>1060.497</v>
      </c>
      <c r="C257" s="152"/>
      <c r="D257" s="152"/>
      <c r="E257" s="152"/>
      <c r="F257" s="152"/>
      <c r="G257" s="152"/>
    </row>
    <row r="258" customFormat="false" ht="13.5" hidden="false" customHeight="false" outlineLevel="0" collapsed="false">
      <c r="A258" s="152" t="s">
        <v>2043</v>
      </c>
      <c r="B258" s="161" t="n">
        <f aca="false">B256+B257</f>
        <v>85568.125242876</v>
      </c>
      <c r="C258" s="152"/>
      <c r="D258" s="152"/>
      <c r="E258" s="152"/>
      <c r="F258" s="152"/>
      <c r="G258" s="152"/>
    </row>
    <row r="259" customFormat="false" ht="13.5" hidden="false" customHeight="false" outlineLevel="0" collapsed="false">
      <c r="A259" s="152" t="s">
        <v>2044</v>
      </c>
      <c r="B259" s="161" t="n">
        <f aca="false">-(Datos!F25+Datos!F26)</f>
        <v>-11500</v>
      </c>
      <c r="C259" s="152"/>
      <c r="D259" s="152"/>
      <c r="E259" s="152"/>
      <c r="F259" s="152"/>
      <c r="G259" s="152"/>
    </row>
    <row r="260" customFormat="false" ht="13.5" hidden="false" customHeight="false" outlineLevel="0" collapsed="false">
      <c r="A260" s="152" t="s">
        <v>2045</v>
      </c>
      <c r="B260" s="161" t="n">
        <f aca="false">-(Datos!F27+Datos!F28)</f>
        <v>-12220.588</v>
      </c>
      <c r="C260" s="152"/>
      <c r="D260" s="152"/>
      <c r="E260" s="152"/>
      <c r="F260" s="152"/>
      <c r="G260" s="152"/>
    </row>
    <row r="261" customFormat="false" ht="13.5" hidden="false" customHeight="false" outlineLevel="0" collapsed="false">
      <c r="A261" s="152" t="s">
        <v>2046</v>
      </c>
      <c r="B261" s="161" t="n">
        <f aca="false">Datos!F17</f>
        <v>6875.384</v>
      </c>
      <c r="C261" s="152"/>
      <c r="D261" s="152"/>
      <c r="E261" s="152"/>
      <c r="F261" s="152"/>
      <c r="G261" s="152"/>
    </row>
    <row r="262" customFormat="false" ht="13.5" hidden="false" customHeight="false" outlineLevel="0" collapsed="false">
      <c r="A262" s="61" t="s">
        <v>2047</v>
      </c>
      <c r="B262" s="162" t="n">
        <f aca="false">SUM(B258:B261)</f>
        <v>68722.921242876</v>
      </c>
      <c r="C262" s="152"/>
      <c r="D262" s="152"/>
      <c r="E262" s="152"/>
      <c r="F262" s="152"/>
      <c r="G262" s="152"/>
    </row>
    <row r="263" customFormat="false" ht="13.5" hidden="false" customHeight="false" outlineLevel="0" collapsed="false">
      <c r="A263" s="61" t="s">
        <v>2048</v>
      </c>
      <c r="B263" s="162" t="n">
        <f aca="false">B262*(1+B221)^B254</f>
        <v>70578.5543651386</v>
      </c>
      <c r="C263" s="152"/>
      <c r="D263" s="152"/>
      <c r="E263" s="152"/>
      <c r="F263" s="152"/>
      <c r="G263" s="152"/>
    </row>
    <row r="264" customFormat="false" ht="13.5" hidden="false" customHeight="false" outlineLevel="0" collapsed="false">
      <c r="A264" s="152" t="s">
        <v>57</v>
      </c>
      <c r="B264" s="165" t="n">
        <f aca="false">B149</f>
        <v>1800</v>
      </c>
      <c r="C264" s="152"/>
      <c r="D264" s="152"/>
      <c r="E264" s="152"/>
      <c r="F264" s="152"/>
      <c r="G264" s="152"/>
    </row>
    <row r="265" customFormat="false" ht="13.5" hidden="false" customHeight="false" outlineLevel="0" collapsed="false">
      <c r="A265" s="61" t="s">
        <v>2049</v>
      </c>
      <c r="B265" s="166" t="n">
        <f aca="false">B263/B264</f>
        <v>39.2103079806326</v>
      </c>
      <c r="C265" s="152"/>
      <c r="D265" s="152"/>
      <c r="E265" s="152"/>
      <c r="F265" s="152"/>
      <c r="G265" s="152"/>
    </row>
    <row r="266" customFormat="false" ht="13.5" hidden="false" customHeight="false" outlineLevel="0" collapsed="false">
      <c r="A266" s="152" t="s">
        <v>16</v>
      </c>
      <c r="B266" s="167" t="n">
        <f aca="false">B151</f>
        <v>33.1</v>
      </c>
      <c r="C266" s="152"/>
      <c r="D266" s="152"/>
      <c r="E266" s="152"/>
      <c r="F266" s="152"/>
      <c r="G266" s="152"/>
    </row>
    <row r="267" customFormat="false" ht="13.5" hidden="false" customHeight="false" outlineLevel="0" collapsed="false">
      <c r="A267" s="152" t="s">
        <v>17</v>
      </c>
      <c r="B267" s="153" t="n">
        <f aca="false">B265/B266-1</f>
        <v>0.184601449565938</v>
      </c>
      <c r="C267" s="152"/>
      <c r="D267" s="152"/>
      <c r="E267" s="152"/>
      <c r="F267" s="152"/>
      <c r="G267" s="152"/>
    </row>
    <row r="268" customFormat="false" ht="13.5" hidden="false" customHeight="false" outlineLevel="0" collapsed="false">
      <c r="A268" s="61" t="s">
        <v>2050</v>
      </c>
      <c r="B268" s="157" t="str">
        <f aca="false">IF(B267&gt;B155,"COMPRAR",IF(B267&lt;-B155,"VENDER","MANTENER"))</f>
        <v>COMPRAR</v>
      </c>
      <c r="C268" s="152"/>
      <c r="D268" s="152"/>
      <c r="E268" s="152"/>
      <c r="F268" s="152"/>
      <c r="G268" s="152"/>
    </row>
    <row r="269" customFormat="false" ht="13.5" hidden="false" customHeight="false" outlineLevel="0" collapsed="false">
      <c r="A269" s="152" t="s">
        <v>18</v>
      </c>
      <c r="B269" s="167" t="n">
        <f aca="false">Generales!B24</f>
        <v>23.357</v>
      </c>
      <c r="C269" s="152"/>
      <c r="D269" s="152"/>
      <c r="E269" s="152"/>
      <c r="F269" s="152"/>
      <c r="G269" s="152"/>
    </row>
    <row r="270" customFormat="false" ht="13.5" hidden="false" customHeight="false" outlineLevel="0" collapsed="false">
      <c r="A270" s="152" t="s">
        <v>2051</v>
      </c>
      <c r="B270" s="153" t="n">
        <f aca="false">B265/B269-1</f>
        <v>0.678739049562553</v>
      </c>
      <c r="C270" s="152"/>
      <c r="D270" s="152"/>
      <c r="E270" s="152"/>
      <c r="F270" s="152"/>
      <c r="G270" s="15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58"/>
    <col collapsed="false" customWidth="true" hidden="false" outlineLevel="0" max="2" min="2" style="0" width="43.83"/>
    <col collapsed="false" customWidth="true" hidden="false" outlineLevel="0" max="3" min="3" style="0" width="22.5"/>
    <col collapsed="false" customWidth="true" hidden="false" outlineLevel="0" max="4" min="4" style="0" width="16"/>
    <col collapsed="false" customWidth="true" hidden="false" outlineLevel="0" max="5" min="5" style="0" width="70"/>
  </cols>
  <sheetData>
    <row r="1" customFormat="false" ht="15" hidden="false" customHeight="false" outlineLevel="0" collapsed="false">
      <c r="A1" s="175" t="s">
        <v>2052</v>
      </c>
      <c r="B1" s="175"/>
    </row>
    <row r="2" customFormat="false" ht="15" hidden="false" customHeight="false" outlineLevel="0" collapsed="false">
      <c r="A2" s="176" t="s">
        <v>46</v>
      </c>
      <c r="B2" s="177" t="s">
        <v>78</v>
      </c>
      <c r="C2" s="178"/>
      <c r="D2" s="178"/>
      <c r="E2" s="178"/>
    </row>
    <row r="3" customFormat="false" ht="15.75" hidden="false" customHeight="true" outlineLevel="0" collapsed="false">
      <c r="A3" s="179" t="s">
        <v>2053</v>
      </c>
      <c r="B3" s="180" t="s">
        <v>2054</v>
      </c>
      <c r="E3" s="181"/>
    </row>
    <row r="4" customFormat="false" ht="15.75" hidden="false" customHeight="true" outlineLevel="0" collapsed="false">
      <c r="A4" s="179" t="s">
        <v>2055</v>
      </c>
      <c r="B4" s="180" t="s">
        <v>2056</v>
      </c>
      <c r="E4" s="181"/>
    </row>
    <row r="5" customFormat="false" ht="15.75" hidden="false" customHeight="true" outlineLevel="0" collapsed="false">
      <c r="A5" s="179" t="s">
        <v>2057</v>
      </c>
      <c r="B5" s="180" t="s">
        <v>2058</v>
      </c>
      <c r="E5" s="181"/>
    </row>
    <row r="6" customFormat="false" ht="15.75" hidden="false" customHeight="true" outlineLevel="0" collapsed="false">
      <c r="A6" s="179" t="s">
        <v>2059</v>
      </c>
      <c r="B6" s="180" t="n">
        <v>215</v>
      </c>
      <c r="E6" s="181"/>
    </row>
    <row r="7" customFormat="false" ht="15.75" hidden="false" customHeight="true" outlineLevel="0" collapsed="false">
      <c r="A7" s="179" t="s">
        <v>2060</v>
      </c>
      <c r="B7" s="182" t="n">
        <v>0.87</v>
      </c>
      <c r="E7" s="181"/>
    </row>
    <row r="8" customFormat="false" ht="15.75" hidden="false" customHeight="true" outlineLevel="0" collapsed="false">
      <c r="A8" s="179" t="s">
        <v>2061</v>
      </c>
      <c r="B8" s="183" t="n">
        <v>0.4596</v>
      </c>
      <c r="E8" s="181"/>
    </row>
    <row r="9" customFormat="false" ht="15.75" hidden="false" customHeight="true" outlineLevel="0" collapsed="false">
      <c r="A9" s="179" t="s">
        <v>2062</v>
      </c>
      <c r="B9" s="183" t="n">
        <v>0.2081</v>
      </c>
      <c r="E9" s="181"/>
    </row>
    <row r="10" customFormat="false" ht="15.75" hidden="false" customHeight="true" outlineLevel="0" collapsed="false">
      <c r="A10" s="179" t="s">
        <v>2063</v>
      </c>
      <c r="B10" s="183" t="n">
        <v>0.2537</v>
      </c>
      <c r="E10" s="181"/>
    </row>
    <row r="11" customFormat="false" ht="15.75" hidden="false" customHeight="true" outlineLevel="0" collapsed="false">
      <c r="A11" s="179" t="s">
        <v>2064</v>
      </c>
      <c r="B11" s="182" t="n">
        <v>0.65</v>
      </c>
      <c r="E11" s="181"/>
    </row>
    <row r="12" customFormat="false" ht="15.75" hidden="false" customHeight="true" outlineLevel="0" collapsed="false">
      <c r="A12" s="179" t="s">
        <v>2065</v>
      </c>
      <c r="B12" s="183" t="n">
        <v>0.0581</v>
      </c>
      <c r="E12" s="181"/>
    </row>
    <row r="13" customFormat="false" ht="15.75" hidden="false" customHeight="true" outlineLevel="0" collapsed="false">
      <c r="A13" s="179" t="s">
        <v>2066</v>
      </c>
      <c r="B13" s="182" t="n">
        <v>0.69</v>
      </c>
      <c r="E13" s="181"/>
    </row>
    <row r="14" customFormat="false" ht="28.35" hidden="false" customHeight="false" outlineLevel="0" collapsed="false">
      <c r="A14" s="184" t="s">
        <v>2067</v>
      </c>
      <c r="B14" s="185" t="n">
        <f aca="false">B7/(1+(1-B10)*B8)</f>
        <v>0.647803675992488</v>
      </c>
      <c r="C14" s="186" t="n">
        <f aca="false">B14-B11</f>
        <v>-0.00219632400751191</v>
      </c>
    </row>
    <row r="15" customFormat="false" ht="31.5" hidden="false" customHeight="true" outlineLevel="0" collapsed="false">
      <c r="A15" s="187" t="s">
        <v>2068</v>
      </c>
      <c r="B15" s="188" t="n">
        <f aca="false">'Beta Regresión'!B45</f>
        <v>0.170520815748403</v>
      </c>
    </row>
    <row r="16" customFormat="false" ht="15.75" hidden="false" customHeight="true" outlineLevel="0" collapsed="false">
      <c r="A16" s="187" t="s">
        <v>2069</v>
      </c>
      <c r="B16" s="188" t="n">
        <f aca="false">IF('Beta Regresión'!B7&gt;2,'Beta Regresión'!B30,"sin datos")</f>
        <v>0.217837909377843</v>
      </c>
    </row>
    <row r="17" customFormat="false" ht="31.5" hidden="false" customHeight="true" outlineLevel="0" collapsed="false">
      <c r="A17" s="189" t="s">
        <v>2070</v>
      </c>
      <c r="B17" s="182" t="n">
        <v>0.8</v>
      </c>
    </row>
    <row r="18" customFormat="false" ht="30" hidden="false" customHeight="true" outlineLevel="0" collapsed="false">
      <c r="A18" s="190" t="s">
        <v>2071</v>
      </c>
      <c r="B18" s="191" t="n">
        <v>2</v>
      </c>
    </row>
    <row r="19" customFormat="false" ht="28.35" hidden="false" customHeight="false" outlineLevel="0" collapsed="false">
      <c r="A19" s="190" t="s">
        <v>2072</v>
      </c>
      <c r="B19" s="192" t="n">
        <f aca="false">CHOOSE(B18+1,B17,B11,B15)</f>
        <v>0.170520815748403</v>
      </c>
    </row>
    <row r="20" customFormat="false" ht="15" hidden="false" customHeight="false" outlineLevel="0" collapsed="false">
      <c r="A20" s="181"/>
    </row>
    <row r="21" customFormat="false" ht="15" hidden="false" customHeight="true" outlineLevel="0" collapsed="false">
      <c r="A21" s="193" t="s">
        <v>2073</v>
      </c>
      <c r="B21" s="193"/>
      <c r="C21" s="193"/>
    </row>
    <row r="22" customFormat="false" ht="15" hidden="false" customHeight="false" outlineLevel="0" collapsed="false">
      <c r="A22" s="190" t="s">
        <v>1395</v>
      </c>
      <c r="B22" s="190" t="s">
        <v>2074</v>
      </c>
      <c r="C22" s="190" t="s">
        <v>2075</v>
      </c>
      <c r="D22" s="178"/>
      <c r="E22" s="178"/>
    </row>
    <row r="23" customFormat="false" ht="15.75" hidden="false" customHeight="true" outlineLevel="0" collapsed="false">
      <c r="A23" s="189" t="s">
        <v>2076</v>
      </c>
      <c r="B23" s="186" t="n">
        <f aca="false">B19</f>
        <v>0.170520815748403</v>
      </c>
      <c r="C23" s="186" t="n">
        <f aca="false">B19</f>
        <v>0.170520815748403</v>
      </c>
      <c r="E23" s="181"/>
    </row>
    <row r="24" customFormat="false" ht="15.75" hidden="false" customHeight="true" outlineLevel="0" collapsed="false">
      <c r="A24" s="189" t="s">
        <v>2077</v>
      </c>
      <c r="B24" s="186" t="n">
        <f aca="false">WACC!B23</f>
        <v>0.396408190668009</v>
      </c>
      <c r="C24" s="186" t="n">
        <f aca="false">'Proyección Final Soriana'!D219</f>
        <v>0.302672600056633</v>
      </c>
      <c r="E24" s="181"/>
    </row>
    <row r="25" customFormat="false" ht="15.75" hidden="false" customHeight="true" outlineLevel="0" collapsed="false">
      <c r="A25" s="189" t="s">
        <v>2078</v>
      </c>
      <c r="B25" s="186" t="n">
        <f aca="false">WACC!B10</f>
        <v>0.3</v>
      </c>
      <c r="C25" s="186" t="n">
        <f aca="false">'Proyección Final Soriana'!B207</f>
        <v>0.288010101095701</v>
      </c>
      <c r="E25" s="181"/>
    </row>
    <row r="26" customFormat="false" ht="28.35" hidden="false" customHeight="false" outlineLevel="0" collapsed="false">
      <c r="A26" s="190" t="s">
        <v>2079</v>
      </c>
      <c r="B26" s="186" t="n">
        <f aca="false">B23*(1+(1-B25)*B24)</f>
        <v>0.217837909377843</v>
      </c>
      <c r="C26" s="186" t="n">
        <f aca="false">C23*(1+(1-C25)*C24)</f>
        <v>0.207268023221306</v>
      </c>
      <c r="E26" s="181"/>
    </row>
    <row r="27" customFormat="false" ht="15.75" hidden="false" customHeight="true" outlineLevel="0" collapsed="false">
      <c r="A27" s="189" t="s">
        <v>2080</v>
      </c>
      <c r="B27" s="194" t="n">
        <f aca="false">WACC!B5</f>
        <v>0.09517</v>
      </c>
      <c r="C27" s="194" t="n">
        <f aca="false">'Proyección Final Soriana'!B210</f>
        <v>0.09517</v>
      </c>
      <c r="E27" s="181"/>
    </row>
    <row r="28" customFormat="false" ht="15.75" hidden="false" customHeight="true" outlineLevel="0" collapsed="false">
      <c r="A28" s="189" t="s">
        <v>2081</v>
      </c>
      <c r="B28" s="194" t="n">
        <f aca="false">WACC!B8</f>
        <v>0.0423</v>
      </c>
      <c r="C28" s="194" t="n">
        <f aca="false">'Proyección Final Soriana'!B211</f>
        <v>0.0423</v>
      </c>
      <c r="E28" s="181"/>
    </row>
    <row r="29" customFormat="false" ht="15" hidden="false" customHeight="false" outlineLevel="0" collapsed="false">
      <c r="A29" s="190" t="s">
        <v>2082</v>
      </c>
      <c r="B29" s="194" t="n">
        <f aca="false">B27+B26*B28</f>
        <v>0.104384543566683</v>
      </c>
      <c r="C29" s="194" t="n">
        <f aca="false">C27+C26*C28</f>
        <v>0.103937437382261</v>
      </c>
      <c r="E29" s="181"/>
    </row>
    <row r="30" customFormat="false" ht="15.75" hidden="false" customHeight="true" outlineLevel="0" collapsed="false">
      <c r="A30" s="189" t="s">
        <v>2083</v>
      </c>
      <c r="B30" s="194" t="n">
        <f aca="false">WACC!B33</f>
        <v>0.100615773284249</v>
      </c>
      <c r="C30" s="194" t="n">
        <f aca="false">'Proyección Final Soriana'!B126</f>
        <v>0.0963307440168374</v>
      </c>
      <c r="E30" s="181"/>
    </row>
    <row r="31" customFormat="false" ht="15.75" hidden="false" customHeight="true" outlineLevel="0" collapsed="false">
      <c r="A31" s="189" t="s">
        <v>2084</v>
      </c>
      <c r="B31" s="186" t="n">
        <f aca="false">B26-WACC!B28</f>
        <v>0</v>
      </c>
      <c r="C31" s="186" t="n">
        <f aca="false">C26-'Proyección Final Soriana'!E219</f>
        <v>0</v>
      </c>
      <c r="E31" s="181"/>
    </row>
    <row r="32" customFormat="false" ht="15.75" hidden="false" customHeight="true" outlineLevel="0" collapsed="false">
      <c r="A32" s="189" t="s">
        <v>2085</v>
      </c>
      <c r="B32" s="194" t="n">
        <f aca="false">WACC!B5+B7*WACC!B8</f>
        <v>0.131971</v>
      </c>
      <c r="C32" s="180"/>
    </row>
    <row r="33" customFormat="false" ht="15" hidden="false" customHeight="false" outlineLevel="0" collapsed="false">
      <c r="A33" s="181"/>
    </row>
    <row r="34" customFormat="false" ht="15" hidden="false" customHeight="true" outlineLevel="0" collapsed="false">
      <c r="A34" s="193" t="s">
        <v>2086</v>
      </c>
      <c r="B34" s="193"/>
      <c r="C34" s="193"/>
      <c r="D34" s="193"/>
      <c r="E34" s="193"/>
    </row>
    <row r="35" customFormat="false" ht="30" hidden="false" customHeight="true" outlineLevel="0" collapsed="false">
      <c r="A35" s="190" t="s">
        <v>1395</v>
      </c>
      <c r="B35" s="190" t="s">
        <v>2087</v>
      </c>
      <c r="C35" s="190" t="s">
        <v>2088</v>
      </c>
      <c r="D35" s="190" t="s">
        <v>2089</v>
      </c>
      <c r="E35" s="190" t="s">
        <v>2090</v>
      </c>
    </row>
    <row r="36" customFormat="false" ht="15.75" hidden="false" customHeight="true" outlineLevel="0" collapsed="false">
      <c r="A36" s="189" t="s">
        <v>2091</v>
      </c>
      <c r="B36" s="186" t="n">
        <f aca="false">B17</f>
        <v>0.8</v>
      </c>
      <c r="C36" s="186" t="n">
        <f aca="false">B11</f>
        <v>0.65</v>
      </c>
      <c r="D36" s="186" t="n">
        <f aca="false">B15</f>
        <v>0.170520815748403</v>
      </c>
      <c r="E36" s="180" t="s">
        <v>2092</v>
      </c>
    </row>
    <row r="37" customFormat="false" ht="15.75" hidden="false" customHeight="true" outlineLevel="0" collapsed="false">
      <c r="A37" s="189" t="s">
        <v>2093</v>
      </c>
      <c r="B37" s="186" t="n">
        <f aca="false">B36*(1+(1-$B$25)*$B$24)</f>
        <v>1.02198858677409</v>
      </c>
      <c r="C37" s="186" t="n">
        <f aca="false">C36*(1+(1-$B$25)*$B$24)</f>
        <v>0.830365726753944</v>
      </c>
      <c r="D37" s="186" t="n">
        <f aca="false">D36*(1+(1-$B$25)*$B$24)</f>
        <v>0.217837909377843</v>
      </c>
      <c r="E37" s="180"/>
    </row>
    <row r="38" customFormat="false" ht="15.75" hidden="false" customHeight="true" outlineLevel="0" collapsed="false">
      <c r="A38" s="189" t="s">
        <v>2094</v>
      </c>
      <c r="B38" s="183" t="n">
        <f aca="false">$B$27+B37*$B$28</f>
        <v>0.138400117220544</v>
      </c>
      <c r="C38" s="183" t="n">
        <f aca="false">$B$27+C37*$B$28</f>
        <v>0.130294470241692</v>
      </c>
      <c r="D38" s="183" t="n">
        <f aca="false">$B$27+D37*$B$28</f>
        <v>0.104384543566683</v>
      </c>
      <c r="E38" s="180"/>
    </row>
    <row r="39" customFormat="false" ht="15.75" hidden="false" customHeight="true" outlineLevel="0" collapsed="false">
      <c r="A39" s="189" t="s">
        <v>2095</v>
      </c>
      <c r="B39" s="183" t="n">
        <f aca="false">WACC!$B$25*B38+WACC!$B$24*WACC!$B$32</f>
        <v>0.124975107382389</v>
      </c>
      <c r="C39" s="183" t="n">
        <f aca="false">WACC!$B$25*C38+WACC!$B$24*WACC!$B$32</f>
        <v>0.119170467282867</v>
      </c>
      <c r="D39" s="183" t="n">
        <f aca="false">WACC!$B$25*D38+WACC!$B$24*WACC!$B$32</f>
        <v>0.100615773284249</v>
      </c>
      <c r="E39" s="180"/>
    </row>
    <row r="40" customFormat="false" ht="15.75" hidden="false" customHeight="true" outlineLevel="0" collapsed="false">
      <c r="A40" s="189" t="s">
        <v>2096</v>
      </c>
      <c r="B40" s="183" t="n">
        <f aca="false">B38-WACC!$B$29</f>
        <v>0.0340155736538611</v>
      </c>
      <c r="C40" s="183" t="n">
        <f aca="false">C38-WACC!$B$29</f>
        <v>0.0259099266750091</v>
      </c>
      <c r="D40" s="183" t="n">
        <f aca="false">D38-WACC!$B$29</f>
        <v>0</v>
      </c>
      <c r="E40" s="180"/>
    </row>
    <row r="41" customFormat="false" ht="15.75" hidden="false" customHeight="true" outlineLevel="0" collapsed="false">
      <c r="A41" s="189"/>
      <c r="B41" s="194"/>
      <c r="C41" s="194"/>
      <c r="D41" s="194"/>
      <c r="E41" s="180"/>
    </row>
    <row r="42" customFormat="false" ht="15.75" hidden="false" customHeight="true" outlineLevel="0" collapsed="false">
      <c r="A42" s="189"/>
      <c r="B42" s="195"/>
      <c r="C42" s="195"/>
      <c r="D42" s="195"/>
      <c r="E42" s="180"/>
    </row>
    <row r="43" customFormat="false" ht="15.75" hidden="false" customHeight="true" outlineLevel="0" collapsed="false">
      <c r="A43" s="189"/>
      <c r="B43" s="195"/>
      <c r="C43" s="195"/>
      <c r="D43" s="195"/>
      <c r="E43" s="180"/>
    </row>
    <row r="44" customFormat="false" ht="15" hidden="false" customHeight="false" outlineLevel="0" collapsed="false">
      <c r="A44" s="190"/>
      <c r="B44" s="196"/>
      <c r="C44" s="196"/>
      <c r="D44" s="196"/>
      <c r="E44" s="180"/>
    </row>
    <row r="45" customFormat="false" ht="15" hidden="false" customHeight="false" outlineLevel="0" collapsed="false">
      <c r="A45" s="190"/>
      <c r="B45" s="196"/>
      <c r="C45" s="196"/>
      <c r="D45" s="196"/>
      <c r="E45" s="180"/>
    </row>
    <row r="46" customFormat="false" ht="15" hidden="false" customHeight="false" outlineLevel="0" collapsed="false">
      <c r="A46" s="181"/>
    </row>
    <row r="47" customFormat="false" ht="15" hidden="false" customHeight="true" outlineLevel="0" collapsed="false">
      <c r="A47" s="197" t="s">
        <v>2097</v>
      </c>
      <c r="B47" s="197"/>
      <c r="C47" s="197"/>
      <c r="D47" s="197"/>
      <c r="E47" s="197"/>
    </row>
    <row r="48" customFormat="false" ht="30" hidden="false" customHeight="true" outlineLevel="0" collapsed="false">
      <c r="A48" s="190" t="s">
        <v>2098</v>
      </c>
      <c r="B48" s="183" t="n">
        <f aca="false">'Proyección Final Soriana'!C61</f>
        <v>0.1</v>
      </c>
      <c r="C48" s="180"/>
      <c r="D48" s="180"/>
      <c r="E48" s="189" t="s">
        <v>2099</v>
      </c>
    </row>
    <row r="49" customFormat="false" ht="30" hidden="false" customHeight="true" outlineLevel="0" collapsed="false">
      <c r="A49" s="189" t="s">
        <v>2100</v>
      </c>
      <c r="B49" s="183" t="n">
        <f aca="false">(Datos!E10+Datos!F10)*2/Datos!F29</f>
        <v>0.0986484820696688</v>
      </c>
      <c r="C49" s="180"/>
      <c r="D49" s="180"/>
      <c r="E49" s="189" t="s">
        <v>2101</v>
      </c>
    </row>
    <row r="50" customFormat="false" ht="30" hidden="false" customHeight="true" outlineLevel="0" collapsed="false">
      <c r="A50" s="189" t="s">
        <v>2102</v>
      </c>
      <c r="B50" s="183" t="n">
        <f aca="false">B48-B49</f>
        <v>0.00135151793033124</v>
      </c>
      <c r="C50" s="180"/>
      <c r="D50" s="180"/>
      <c r="E50" s="189" t="s">
        <v>2103</v>
      </c>
    </row>
    <row r="51" customFormat="false" ht="30" hidden="false" customHeight="true" outlineLevel="0" collapsed="false">
      <c r="A51" s="189" t="s">
        <v>2104</v>
      </c>
      <c r="B51" s="183" t="n">
        <f aca="false">WACC!B31</f>
        <v>0.130154966550936</v>
      </c>
      <c r="C51" s="180"/>
      <c r="D51" s="180"/>
      <c r="E51" s="189" t="s">
        <v>2105</v>
      </c>
    </row>
    <row r="52" customFormat="false" ht="15" hidden="false" customHeight="false" outlineLevel="0" collapsed="false">
      <c r="A52" s="181"/>
    </row>
  </sheetData>
  <mergeCells count="4">
    <mergeCell ref="A1:B1"/>
    <mergeCell ref="A21:C21"/>
    <mergeCell ref="A34:E34"/>
    <mergeCell ref="A47:E47"/>
  </mergeCells>
  <dataValidations count="1">
    <dataValidation allowBlank="false" errorStyle="stop" operator="between" showDropDown="false" showErrorMessage="false" showInputMessage="false" sqref="B18" type="list">
      <formula1>"1,0"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1"/>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44" activeCellId="0" sqref="B44"/>
    </sheetView>
  </sheetViews>
  <sheetFormatPr defaultColWidth="8.66796875" defaultRowHeight="15" zeroHeight="false" outlineLevelRow="0" outlineLevelCol="0"/>
  <cols>
    <col collapsed="false" customWidth="true" hidden="false" outlineLevel="0" max="1" min="1" style="82" width="50.67"/>
    <col collapsed="false" customWidth="true" hidden="false" outlineLevel="0" max="2" min="2" style="82" width="14"/>
    <col collapsed="false" customWidth="true" hidden="false" outlineLevel="0" max="3" min="3" style="82" width="60"/>
    <col collapsed="false" customWidth="true" hidden="false" outlineLevel="0" max="4" min="4" style="82" width="90"/>
    <col collapsed="false" customWidth="true" hidden="false" outlineLevel="0" max="5" min="5" style="82" width="40"/>
    <col collapsed="false" customWidth="false" hidden="false" outlineLevel="0" max="16384" min="6" style="82" width="8.67"/>
  </cols>
  <sheetData>
    <row r="1" customFormat="false" ht="18.75" hidden="false" customHeight="true" outlineLevel="0" collapsed="false">
      <c r="A1" s="59" t="s">
        <v>2106</v>
      </c>
    </row>
    <row r="2" customFormat="false" ht="15" hidden="false" customHeight="false" outlineLevel="0" collapsed="false">
      <c r="A2" s="75" t="s">
        <v>2107</v>
      </c>
    </row>
    <row r="4" customFormat="false" ht="15" hidden="false" customHeight="false" outlineLevel="0" collapsed="false">
      <c r="A4" s="2"/>
    </row>
    <row r="5" customFormat="false" ht="15" hidden="false" customHeight="false" outlineLevel="0" collapsed="false">
      <c r="A5" s="198" t="s">
        <v>2108</v>
      </c>
      <c r="B5" s="198" t="s">
        <v>78</v>
      </c>
      <c r="C5" s="71" t="s">
        <v>60</v>
      </c>
      <c r="D5" s="71" t="s">
        <v>2053</v>
      </c>
      <c r="E5" s="71" t="s">
        <v>2109</v>
      </c>
    </row>
    <row r="6" customFormat="false" ht="15" hidden="false" customHeight="false" outlineLevel="0" collapsed="false">
      <c r="A6" s="199" t="s">
        <v>2110</v>
      </c>
      <c r="B6" s="200" t="n">
        <v>0.03</v>
      </c>
      <c r="C6" s="75" t="s">
        <v>2111</v>
      </c>
      <c r="D6" s="75" t="s">
        <v>2112</v>
      </c>
      <c r="E6" s="75" t="s">
        <v>2113</v>
      </c>
    </row>
    <row r="7" customFormat="false" ht="15" hidden="false" customHeight="false" outlineLevel="0" collapsed="false">
      <c r="A7" s="199" t="s">
        <v>2114</v>
      </c>
      <c r="B7" s="200" t="n">
        <v>0.04</v>
      </c>
      <c r="C7" s="75" t="s">
        <v>2111</v>
      </c>
      <c r="D7" s="75" t="s">
        <v>2115</v>
      </c>
      <c r="E7" s="75" t="s">
        <v>2116</v>
      </c>
    </row>
    <row r="8" customFormat="false" ht="15" hidden="false" customHeight="false" outlineLevel="0" collapsed="false">
      <c r="A8" s="199" t="s">
        <v>2117</v>
      </c>
      <c r="B8" s="200" t="n">
        <v>0.038</v>
      </c>
      <c r="C8" s="75" t="s">
        <v>2118</v>
      </c>
      <c r="D8" s="75" t="s">
        <v>2119</v>
      </c>
      <c r="E8" s="75" t="s">
        <v>2120</v>
      </c>
    </row>
    <row r="9" customFormat="false" ht="15" hidden="false" customHeight="false" outlineLevel="0" collapsed="false">
      <c r="A9" s="199" t="s">
        <v>2121</v>
      </c>
      <c r="B9" s="200" t="n">
        <v>0.037</v>
      </c>
      <c r="C9" s="75" t="s">
        <v>2118</v>
      </c>
      <c r="D9" s="75" t="s">
        <v>2122</v>
      </c>
      <c r="E9" s="75" t="s">
        <v>2123</v>
      </c>
    </row>
    <row r="10" customFormat="false" ht="15" hidden="false" customHeight="false" outlineLevel="0" collapsed="false">
      <c r="A10" s="199" t="s">
        <v>2124</v>
      </c>
      <c r="B10" s="200" t="n">
        <v>0.018</v>
      </c>
      <c r="C10" s="75" t="s">
        <v>2118</v>
      </c>
      <c r="D10" s="75" t="s">
        <v>2122</v>
      </c>
      <c r="E10" s="75" t="s">
        <v>2125</v>
      </c>
    </row>
    <row r="11" customFormat="false" ht="15" hidden="false" customHeight="false" outlineLevel="0" collapsed="false">
      <c r="A11" s="199" t="s">
        <v>2126</v>
      </c>
      <c r="B11" s="200" t="n">
        <v>0.02</v>
      </c>
      <c r="C11" s="75" t="s">
        <v>2127</v>
      </c>
      <c r="D11" s="75" t="s">
        <v>2128</v>
      </c>
      <c r="E11" s="75" t="s">
        <v>2129</v>
      </c>
    </row>
    <row r="12" customFormat="false" ht="15" hidden="false" customHeight="false" outlineLevel="0" collapsed="false">
      <c r="A12" s="199" t="s">
        <v>2130</v>
      </c>
      <c r="B12" s="200" t="n">
        <v>0.0915</v>
      </c>
      <c r="C12" s="75" t="s">
        <v>2118</v>
      </c>
      <c r="D12" s="75" t="s">
        <v>2122</v>
      </c>
      <c r="E12" s="75" t="s">
        <v>2131</v>
      </c>
    </row>
    <row r="13" customFormat="false" ht="15" hidden="false" customHeight="false" outlineLevel="0" collapsed="false">
      <c r="A13" s="199" t="s">
        <v>2132</v>
      </c>
      <c r="B13" s="201" t="n">
        <v>176120</v>
      </c>
      <c r="C13" s="75" t="s">
        <v>2133</v>
      </c>
      <c r="D13" s="75" t="s">
        <v>2134</v>
      </c>
      <c r="E13" s="75" t="s">
        <v>2135</v>
      </c>
    </row>
    <row r="14" customFormat="false" ht="15" hidden="false" customHeight="false" outlineLevel="0" collapsed="false">
      <c r="A14" s="199" t="s">
        <v>2136</v>
      </c>
      <c r="B14" s="201" t="n">
        <f aca="false">B15/(1-0.009)</f>
        <v>179127.144298688</v>
      </c>
      <c r="C14" s="75" t="s">
        <v>2137</v>
      </c>
      <c r="D14" s="75" t="s">
        <v>2138</v>
      </c>
      <c r="E14" s="75" t="s">
        <v>2135</v>
      </c>
    </row>
    <row r="15" customFormat="false" ht="15" hidden="false" customHeight="false" outlineLevel="0" collapsed="false">
      <c r="A15" s="199" t="s">
        <v>2139</v>
      </c>
      <c r="B15" s="201" t="n">
        <f aca="false">Datos!G6</f>
        <v>177515</v>
      </c>
      <c r="C15" s="75" t="s">
        <v>2137</v>
      </c>
      <c r="D15" s="75" t="s">
        <v>2140</v>
      </c>
      <c r="E15" s="75" t="s">
        <v>2135</v>
      </c>
    </row>
    <row r="17" customFormat="false" ht="15" hidden="false" customHeight="false" outlineLevel="0" collapsed="false">
      <c r="A17" s="71" t="s">
        <v>2141</v>
      </c>
      <c r="C17" s="71" t="s">
        <v>2142</v>
      </c>
    </row>
    <row r="18" customFormat="false" ht="15" hidden="false" customHeight="false" outlineLevel="0" collapsed="false">
      <c r="A18" s="199" t="s">
        <v>2143</v>
      </c>
      <c r="B18" s="200" t="n">
        <f aca="false">(B15/B13)^(1/2)-1</f>
        <v>0.00395255657920024</v>
      </c>
      <c r="C18" s="75" t="s">
        <v>2144</v>
      </c>
    </row>
    <row r="19" customFormat="false" ht="15" hidden="false" customHeight="false" outlineLevel="0" collapsed="false">
      <c r="A19" s="199" t="s">
        <v>2145</v>
      </c>
      <c r="B19" s="200" t="n">
        <f aca="false">IFERROR(AVERAGEIFS(Inflación!$AG$10:$AG$309,Inflación!$AF$10:$AF$309,"&gt;="&amp;DATE(2024,1,1),Inflación!$AF$10:$AF$309,"&lt;="&amp;DATE(2025,12,31))/100,"")</f>
        <v>0.0426729166666667</v>
      </c>
      <c r="C19" s="75" t="s">
        <v>2146</v>
      </c>
    </row>
    <row r="20" customFormat="false" ht="15" hidden="false" customHeight="false" outlineLevel="0" collapsed="false">
      <c r="A20" s="199" t="s">
        <v>2147</v>
      </c>
      <c r="B20" s="200" t="n">
        <f aca="false">IFERROR((1+B18)/(1+B19)-1,"")</f>
        <v>-0.0371356726242127</v>
      </c>
      <c r="C20" s="75" t="s">
        <v>2148</v>
      </c>
    </row>
    <row r="21" customFormat="false" ht="15" hidden="false" customHeight="false" outlineLevel="0" collapsed="false">
      <c r="A21" s="199" t="s">
        <v>2149</v>
      </c>
      <c r="B21" s="200" t="n">
        <f aca="false">(1+B10)*(1+B9)-1</f>
        <v>0.055666</v>
      </c>
      <c r="C21" s="75" t="s">
        <v>2150</v>
      </c>
    </row>
    <row r="22" customFormat="false" ht="15" hidden="false" customHeight="false" outlineLevel="0" collapsed="false">
      <c r="A22" s="199" t="s">
        <v>2151</v>
      </c>
      <c r="B22" s="200" t="n">
        <f aca="false">'Proyección Final Soriana'!G28</f>
        <v>0.0273144956748681</v>
      </c>
      <c r="C22" s="75" t="s">
        <v>2152</v>
      </c>
    </row>
    <row r="23" customFormat="false" ht="15" hidden="false" customHeight="false" outlineLevel="0" collapsed="false">
      <c r="A23" s="199" t="s">
        <v>2153</v>
      </c>
      <c r="B23" s="201" t="n">
        <f aca="false">-'Proyección Final Soriana'!G115-'Proyección Final Soriana'!G114-'Proyección Final Soriana'!G116</f>
        <v>-745.112369468573</v>
      </c>
      <c r="C23" s="75" t="s">
        <v>2154</v>
      </c>
    </row>
    <row r="24" customFormat="false" ht="15" hidden="false" customHeight="false" outlineLevel="0" collapsed="false">
      <c r="A24" s="199" t="s">
        <v>2155</v>
      </c>
      <c r="B24" s="200" t="n">
        <f aca="false">B23/'Proyección Final Soriana'!G113</f>
        <v>-0.131627030775382</v>
      </c>
      <c r="C24" s="75" t="s">
        <v>2156</v>
      </c>
    </row>
    <row r="25" customFormat="false" ht="15" hidden="false" customHeight="false" outlineLevel="0" collapsed="false">
      <c r="A25" s="199" t="s">
        <v>2157</v>
      </c>
      <c r="B25" s="200" t="n">
        <f aca="false">'Proyección Final Soriana'!G113/('Proyección Final Soriana'!G88+'Proyección Final Soriana'!G85+'Proyección Final Soriana'!G86-'Proyección Final Soriana'!G90)</f>
        <v>0.052668361577354</v>
      </c>
      <c r="C25" s="75" t="s">
        <v>2158</v>
      </c>
    </row>
    <row r="26" customFormat="false" ht="15" hidden="false" customHeight="false" outlineLevel="0" collapsed="false">
      <c r="A26" s="199" t="s">
        <v>2159</v>
      </c>
      <c r="B26" s="200" t="n">
        <f aca="false">B24*B25</f>
        <v>-0.00693258005023134</v>
      </c>
      <c r="C26" s="75" t="s">
        <v>2160</v>
      </c>
    </row>
    <row r="27" customFormat="false" ht="15" hidden="false" customHeight="false" outlineLevel="0" collapsed="false">
      <c r="A27" s="199" t="s">
        <v>2161</v>
      </c>
      <c r="B27" s="200" t="n">
        <f aca="false">'Proyección Final Soriana'!B242</f>
        <v>0.00585519958893175</v>
      </c>
      <c r="C27" s="75" t="s">
        <v>2162</v>
      </c>
    </row>
    <row r="29" customFormat="false" ht="15" hidden="false" customHeight="false" outlineLevel="0" collapsed="false">
      <c r="A29" s="71" t="s">
        <v>2163</v>
      </c>
    </row>
    <row r="30" customFormat="false" ht="15.75" hidden="false" customHeight="true" outlineLevel="0" collapsed="false">
      <c r="A30" s="72" t="s">
        <v>1618</v>
      </c>
      <c r="B30" s="72" t="s">
        <v>2164</v>
      </c>
      <c r="C30" s="72" t="s">
        <v>2165</v>
      </c>
      <c r="D30" s="202" t="s">
        <v>2166</v>
      </c>
    </row>
    <row r="31" customFormat="false" ht="13.5" hidden="false" customHeight="true" outlineLevel="0" collapsed="false">
      <c r="A31" s="199" t="s">
        <v>2167</v>
      </c>
      <c r="B31" s="200" t="n">
        <v>0.03</v>
      </c>
      <c r="C31" s="200" t="n">
        <f aca="false">(1+B31)/(1+Escenarios!B7)-1</f>
        <v>-0.00961538461538458</v>
      </c>
      <c r="D31" s="203" t="str">
        <f aca="false">FIXED(B31*100,1)&amp;"%: igual a la meta de Banxico. Con inflación de 4% en este escenario, Soriana se encogería cerca de 1% al año en términos reales, como ha pasado en 2023 a 2025 al perder clientes y cerrar tiendas."</f>
        <v>3.0%: igual a la meta de Banxico. Con inflación de 4% en este escenario, Soriana se encogería cerca de 1% al año en términos reales, como ha pasado en 2023 a 2025 al perder clientes y cerrar tiendas.</v>
      </c>
    </row>
    <row r="32" customFormat="false" ht="13.5" hidden="false" customHeight="true" outlineLevel="0" collapsed="false">
      <c r="A32" s="199" t="s">
        <v>2168</v>
      </c>
      <c r="B32" s="200" t="n">
        <v>0.035</v>
      </c>
      <c r="C32" s="200" t="n">
        <f aca="false">(1+B32)/(1+Escenarios!C7)-1</f>
        <v>-9.66090232827899E-005</v>
      </c>
      <c r="D32" s="203" t="str">
        <f aca="false">FIXED(B32*100,1)&amp;"%: casi igual a la inflación base del modelo y a la inflación esperada de largo plazo (3.7%). Quiere decir que Soriana no crece en términos reales: es una empresa madura que reinvierte menos de lo que se desgasta y cuyas ventas reales han caído. Queda muy por debajo del crecimiento de la economía (5.6%) y de la tasa del bono (9.15%)."</f>
        <v>3.5%: casi igual a la inflación base del modelo y a la inflación esperada de largo plazo (3.7%). Quiere decir que Soriana no crece en términos reales: es una empresa madura que reinvierte menos de lo que se desgasta y cuyas ventas reales han caído. Queda muy por debajo del crecimiento de la economía (5.6%) y de la tasa del bono (9.15%).</v>
      </c>
    </row>
    <row r="33" customFormat="false" ht="13.5" hidden="false" customHeight="true" outlineLevel="0" collapsed="false">
      <c r="A33" s="199" t="s">
        <v>2169</v>
      </c>
      <c r="B33" s="200" t="n">
        <v>0.04</v>
      </c>
      <c r="C33" s="200" t="n">
        <f aca="false">(1+B33)/(1+Escenarios!D7)-1</f>
        <v>0.00648408013161705</v>
      </c>
      <c r="D33" s="203" t="str">
        <f aca="false">FIXED(B33*100,1)&amp;"%: la inflación de largo plazo más un poco de crecimiento real, posible si Soriana recupera clientes con su canal digital y City Club, sin acercarse al crecimiento de la economía."</f>
        <v>4.0%: la inflación de largo plazo más un poco de crecimiento real, posible si Soriana recupera clientes con su canal digital y City Club, sin acercarse al crecimiento de la economía.</v>
      </c>
    </row>
    <row r="35" customFormat="false" ht="15" hidden="false" customHeight="false" outlineLevel="0" collapsed="false">
      <c r="A35" s="71" t="s">
        <v>2170</v>
      </c>
    </row>
    <row r="36" customFormat="false" ht="15" hidden="false" customHeight="false" outlineLevel="0" collapsed="false">
      <c r="A36" s="198" t="s">
        <v>2171</v>
      </c>
      <c r="B36" s="198" t="s">
        <v>78</v>
      </c>
      <c r="C36" s="198" t="s">
        <v>2172</v>
      </c>
      <c r="D36" s="71" t="s">
        <v>2173</v>
      </c>
    </row>
    <row r="37" customFormat="false" ht="15" hidden="false" customHeight="false" outlineLevel="0" collapsed="false">
      <c r="A37" s="199" t="s">
        <v>2174</v>
      </c>
      <c r="B37" s="200" t="n">
        <f aca="false">B32</f>
        <v>0.035</v>
      </c>
      <c r="C37" s="200" t="n">
        <f aca="false">'Proyección Final Soriana'!B126</f>
        <v>0.0963307440168374</v>
      </c>
      <c r="D37" s="75" t="str">
        <f aca="false">IF(B37&lt;C37,"Cumple","No cumple")</f>
        <v>Cumple</v>
      </c>
    </row>
    <row r="38" customFormat="false" ht="15" hidden="false" customHeight="false" outlineLevel="0" collapsed="false">
      <c r="A38" s="199" t="s">
        <v>2175</v>
      </c>
      <c r="B38" s="200" t="n">
        <f aca="false">B32</f>
        <v>0.035</v>
      </c>
      <c r="C38" s="200" t="n">
        <f aca="false">B12</f>
        <v>0.0915</v>
      </c>
      <c r="D38" s="75" t="str">
        <f aca="false">IF(B38&lt;C38,"Cumple","No cumple")</f>
        <v>Cumple</v>
      </c>
    </row>
    <row r="39" customFormat="false" ht="15" hidden="false" customHeight="false" outlineLevel="0" collapsed="false">
      <c r="A39" s="199" t="s">
        <v>2176</v>
      </c>
      <c r="B39" s="200" t="n">
        <f aca="false">B33</f>
        <v>0.04</v>
      </c>
      <c r="C39" s="200" t="n">
        <f aca="false">B21</f>
        <v>0.055666</v>
      </c>
      <c r="D39" s="75" t="str">
        <f aca="false">IF(B39&lt;=C39,"Cumple","No cumple")</f>
        <v>Cumple</v>
      </c>
    </row>
    <row r="40" customFormat="false" ht="15" hidden="false" customHeight="false" outlineLevel="0" collapsed="false">
      <c r="A40" s="199" t="s">
        <v>2177</v>
      </c>
      <c r="B40" s="200" t="n">
        <f aca="false">B32</f>
        <v>0.035</v>
      </c>
      <c r="C40" s="200" t="n">
        <f aca="false">B9+0.005</f>
        <v>0.042</v>
      </c>
      <c r="D40" s="75" t="str">
        <f aca="false">IF(B40&lt;=C40,"Cumple","No cumple")</f>
        <v>Cumple</v>
      </c>
    </row>
    <row r="41" customFormat="false" ht="15" hidden="false" customHeight="false" outlineLevel="0" collapsed="false">
      <c r="A41" s="199" t="s">
        <v>2178</v>
      </c>
      <c r="B41" s="199" t="n">
        <f aca="false">IF(AND(B31&lt;B32,B32&lt;B33),1,0)</f>
        <v>1</v>
      </c>
      <c r="C41" s="199" t="n">
        <v>1</v>
      </c>
      <c r="D41" s="75" t="str">
        <f aca="false">IF(B41=C41,"Cumple","No cumple")</f>
        <v>Cumple</v>
      </c>
    </row>
    <row r="43" customFormat="false" ht="15" hidden="false" customHeight="false" outlineLevel="0" collapsed="false">
      <c r="A43" s="71" t="s">
        <v>2179</v>
      </c>
    </row>
    <row r="44" customFormat="false" ht="15" hidden="false" customHeight="false" outlineLevel="0" collapsed="false">
      <c r="A44" s="199" t="s">
        <v>2180</v>
      </c>
      <c r="B44" s="200" t="n">
        <f aca="false">B6</f>
        <v>0.03</v>
      </c>
    </row>
    <row r="45" customFormat="false" ht="15" hidden="false" customHeight="false" outlineLevel="0" collapsed="false">
      <c r="A45" s="199" t="s">
        <v>2181</v>
      </c>
      <c r="B45" s="200" t="n">
        <f aca="false">B31</f>
        <v>0.03</v>
      </c>
    </row>
    <row r="46" customFormat="false" ht="15" hidden="false" customHeight="false" outlineLevel="0" collapsed="false">
      <c r="A46" s="199" t="s">
        <v>2182</v>
      </c>
      <c r="B46" s="200" t="n">
        <f aca="false">B32</f>
        <v>0.035</v>
      </c>
    </row>
    <row r="47" customFormat="false" ht="15" hidden="false" customHeight="false" outlineLevel="0" collapsed="false">
      <c r="A47" s="199" t="s">
        <v>2183</v>
      </c>
      <c r="B47" s="200" t="n">
        <f aca="false">B9</f>
        <v>0.037</v>
      </c>
    </row>
    <row r="48" customFormat="false" ht="15" hidden="false" customHeight="false" outlineLevel="0" collapsed="false">
      <c r="A48" s="199" t="s">
        <v>2184</v>
      </c>
      <c r="B48" s="200" t="n">
        <f aca="false">B33</f>
        <v>0.04</v>
      </c>
    </row>
    <row r="49" customFormat="false" ht="15" hidden="false" customHeight="false" outlineLevel="0" collapsed="false">
      <c r="A49" s="199" t="s">
        <v>2185</v>
      </c>
      <c r="B49" s="200" t="n">
        <f aca="false">B27</f>
        <v>0.00585519958893175</v>
      </c>
    </row>
    <row r="50" customFormat="false" ht="15" hidden="false" customHeight="false" outlineLevel="0" collapsed="false">
      <c r="A50" s="199" t="s">
        <v>2186</v>
      </c>
      <c r="B50" s="200" t="n">
        <f aca="false">B21</f>
        <v>0.055666</v>
      </c>
    </row>
    <row r="51" customFormat="false" ht="15" hidden="false" customHeight="false" outlineLevel="0" collapsed="false">
      <c r="A51" s="199" t="s">
        <v>2187</v>
      </c>
      <c r="B51" s="200" t="n">
        <f aca="false">B12</f>
        <v>0.0915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79"/>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D70" activeCellId="0" sqref="D70"/>
    </sheetView>
  </sheetViews>
  <sheetFormatPr defaultColWidth="8.66796875" defaultRowHeight="15" zeroHeight="false" outlineLevelRow="0" outlineLevelCol="0"/>
  <cols>
    <col collapsed="false" customWidth="true" hidden="false" outlineLevel="0" max="1" min="1" style="0" width="98.67"/>
    <col collapsed="false" customWidth="true" hidden="false" outlineLevel="0" max="2" min="2" style="0" width="11"/>
    <col collapsed="false" customWidth="true" hidden="false" outlineLevel="0" max="3" min="3" style="0" width="22"/>
    <col collapsed="false" customWidth="true" hidden="false" outlineLevel="0" max="4" min="4" style="0" width="73.51"/>
    <col collapsed="false" customWidth="true" hidden="false" outlineLevel="0" max="5" min="5" style="0" width="22.5"/>
    <col collapsed="false" customWidth="true" hidden="false" outlineLevel="0" max="6" min="6" style="0" width="19.16"/>
    <col collapsed="false" customWidth="true" hidden="false" outlineLevel="0" max="7" min="7" style="0" width="10.51"/>
    <col collapsed="false" customWidth="true" hidden="false" outlineLevel="0" max="8" min="8" style="0" width="11.5"/>
    <col collapsed="false" customWidth="true" hidden="false" outlineLevel="0" max="9" min="9" style="0" width="14.51"/>
    <col collapsed="false" customWidth="true" hidden="false" outlineLevel="0" max="10" min="10" style="0" width="17.67"/>
    <col collapsed="false" customWidth="true" hidden="false" outlineLevel="0" max="11" min="11" style="0" width="11.16"/>
    <col collapsed="false" customWidth="true" hidden="true" outlineLevel="0" max="12" min="12" style="0" width="48"/>
    <col collapsed="false" customWidth="true" hidden="false" outlineLevel="0" max="13" min="13" style="0" width="14"/>
    <col collapsed="false" customWidth="true" hidden="false" outlineLevel="0" max="14" min="14" style="0" width="14.51"/>
    <col collapsed="false" customWidth="true" hidden="false" outlineLevel="0" max="15" min="15" style="0" width="11.83"/>
    <col collapsed="false" customWidth="true" hidden="false" outlineLevel="0" max="16" min="16" style="0" width="8.34"/>
    <col collapsed="false" customWidth="true" hidden="false" outlineLevel="0" max="17" min="17" style="0" width="12.5"/>
    <col collapsed="false" customWidth="true" hidden="false" outlineLevel="0" max="18" min="18" style="0" width="15.16"/>
    <col collapsed="false" customWidth="true" hidden="false" outlineLevel="0" max="19" min="19" style="0" width="8.83"/>
  </cols>
  <sheetData>
    <row r="1" customFormat="false" ht="15.75" hidden="false" customHeight="true" outlineLevel="0" collapsed="false">
      <c r="A1" s="204" t="s">
        <v>2188</v>
      </c>
    </row>
    <row r="2" customFormat="false" ht="15" hidden="false" customHeight="false" outlineLevel="0" collapsed="false">
      <c r="A2" s="140"/>
    </row>
    <row r="3" s="205" customFormat="true" ht="15" hidden="false" customHeight="false" outlineLevel="0" collapsed="false">
      <c r="A3" s="2" t="s">
        <v>2189</v>
      </c>
    </row>
    <row r="4" customFormat="false" ht="15" hidden="false" customHeight="true" outlineLevel="0" collapsed="false">
      <c r="A4" s="206" t="s">
        <v>2190</v>
      </c>
      <c r="B4" s="206" t="s">
        <v>2191</v>
      </c>
      <c r="C4" s="206" t="s">
        <v>2192</v>
      </c>
      <c r="D4" s="206" t="s">
        <v>2193</v>
      </c>
      <c r="E4" s="206" t="s">
        <v>2194</v>
      </c>
      <c r="F4" s="206" t="s">
        <v>2195</v>
      </c>
      <c r="G4" s="206" t="s">
        <v>2196</v>
      </c>
      <c r="H4" s="206" t="s">
        <v>2197</v>
      </c>
      <c r="I4" s="206" t="s">
        <v>2198</v>
      </c>
      <c r="J4" s="206" t="s">
        <v>2199</v>
      </c>
      <c r="K4" s="206" t="s">
        <v>2200</v>
      </c>
      <c r="L4" s="206" t="s">
        <v>2201</v>
      </c>
      <c r="M4" s="206" t="s">
        <v>2202</v>
      </c>
      <c r="N4" s="206" t="s">
        <v>2203</v>
      </c>
      <c r="O4" s="206" t="s">
        <v>2204</v>
      </c>
      <c r="P4" s="206" t="s">
        <v>2205</v>
      </c>
      <c r="Q4" s="206" t="s">
        <v>2206</v>
      </c>
      <c r="R4" s="206" t="s">
        <v>2207</v>
      </c>
      <c r="S4" s="206" t="s">
        <v>2208</v>
      </c>
    </row>
    <row r="5" customFormat="false" ht="15" hidden="false" customHeight="true" outlineLevel="0" collapsed="false">
      <c r="A5" s="207" t="s">
        <v>2209</v>
      </c>
      <c r="B5" s="207" t="s">
        <v>2210</v>
      </c>
      <c r="C5" s="207" t="s">
        <v>2211</v>
      </c>
      <c r="D5" s="208" t="s">
        <v>2212</v>
      </c>
      <c r="E5" s="209" t="n">
        <v>7428.7</v>
      </c>
      <c r="F5" s="209" t="n">
        <v>16018.2</v>
      </c>
      <c r="G5" s="210" t="n">
        <v>0.064</v>
      </c>
      <c r="H5" s="210" t="n">
        <v>-0.0335</v>
      </c>
      <c r="I5" s="211" t="n">
        <v>2.5</v>
      </c>
      <c r="J5" s="212" t="s">
        <v>2213</v>
      </c>
      <c r="K5" s="212" t="n">
        <v>1</v>
      </c>
      <c r="L5" s="208" t="s">
        <v>2214</v>
      </c>
      <c r="M5" s="213" t="n">
        <v>0.5</v>
      </c>
      <c r="N5" s="213" t="n">
        <v>5.7</v>
      </c>
      <c r="O5" s="213" t="n">
        <v>8.8</v>
      </c>
      <c r="P5" s="213" t="n">
        <v>13.1</v>
      </c>
      <c r="Q5" s="213" t="n">
        <v>2</v>
      </c>
      <c r="R5" s="213" t="n">
        <v>5.17</v>
      </c>
      <c r="S5" s="213" t="n">
        <v>11.18</v>
      </c>
    </row>
    <row r="6" customFormat="false" ht="15" hidden="false" customHeight="true" outlineLevel="0" collapsed="false">
      <c r="A6" s="207" t="s">
        <v>2215</v>
      </c>
      <c r="B6" s="207" t="s">
        <v>2216</v>
      </c>
      <c r="C6" s="207" t="s">
        <v>2217</v>
      </c>
      <c r="D6" s="208" t="s">
        <v>2218</v>
      </c>
      <c r="E6" s="209" t="n">
        <v>2853.8</v>
      </c>
      <c r="F6" s="209" t="n">
        <v>8146.6</v>
      </c>
      <c r="G6" s="210" t="n">
        <v>0.059</v>
      </c>
      <c r="H6" s="210" t="n">
        <v>0.1871</v>
      </c>
      <c r="I6" s="211" t="n">
        <v>2.6</v>
      </c>
      <c r="J6" s="212" t="s">
        <v>2219</v>
      </c>
      <c r="K6" s="212" t="n">
        <v>1</v>
      </c>
      <c r="L6" s="208" t="s">
        <v>2220</v>
      </c>
      <c r="M6" s="213" t="n">
        <v>0.4</v>
      </c>
      <c r="N6" s="213" t="n">
        <v>5.3</v>
      </c>
      <c r="O6" s="213" t="n">
        <v>6.6</v>
      </c>
      <c r="P6" s="213" t="n">
        <v>4.7</v>
      </c>
      <c r="Q6" s="213" t="n">
        <v>0.8</v>
      </c>
      <c r="R6" s="213" t="n">
        <v>5.04</v>
      </c>
      <c r="S6" s="213" t="n">
        <v>6.32</v>
      </c>
    </row>
    <row r="7" customFormat="false" ht="15" hidden="false" customHeight="true" outlineLevel="0" collapsed="false">
      <c r="A7" s="207" t="s">
        <v>2221</v>
      </c>
      <c r="B7" s="207" t="s">
        <v>2210</v>
      </c>
      <c r="C7" s="207" t="s">
        <v>2222</v>
      </c>
      <c r="D7" s="208" t="s">
        <v>2223</v>
      </c>
      <c r="E7" s="209" t="n">
        <v>9571.4</v>
      </c>
      <c r="F7" s="209" t="n">
        <v>12791.2</v>
      </c>
      <c r="G7" s="210" t="n">
        <v>0.142</v>
      </c>
      <c r="H7" s="210" t="n">
        <v>0.0304</v>
      </c>
      <c r="I7" s="211" t="n">
        <v>1.6</v>
      </c>
      <c r="J7" s="212" t="s">
        <v>2224</v>
      </c>
      <c r="K7" s="212" t="n">
        <v>0</v>
      </c>
      <c r="L7" s="208" t="s">
        <v>2225</v>
      </c>
      <c r="M7" s="213" t="n">
        <v>0.8</v>
      </c>
      <c r="N7" s="213" t="n">
        <v>4.9</v>
      </c>
      <c r="O7" s="213" t="n">
        <v>5.9</v>
      </c>
      <c r="P7" s="213" t="n">
        <v>8.2</v>
      </c>
      <c r="Q7" s="213" t="n">
        <v>0.8</v>
      </c>
      <c r="R7" s="213" t="n">
        <v>4.69</v>
      </c>
      <c r="S7" s="213" t="n">
        <v>6.29</v>
      </c>
    </row>
    <row r="8" customFormat="false" ht="15" hidden="false" customHeight="true" outlineLevel="0" collapsed="false">
      <c r="A8" s="207" t="s">
        <v>2226</v>
      </c>
      <c r="B8" s="207" t="s">
        <v>2210</v>
      </c>
      <c r="C8" s="207" t="s">
        <v>2217</v>
      </c>
      <c r="D8" s="208" t="s">
        <v>2227</v>
      </c>
      <c r="E8" s="209" t="n">
        <v>52191.3</v>
      </c>
      <c r="F8" s="209" t="n">
        <v>56741.1</v>
      </c>
      <c r="G8" s="210" t="n">
        <v>0.096</v>
      </c>
      <c r="H8" s="210" t="n">
        <v>0.0287</v>
      </c>
      <c r="I8" s="211" t="n">
        <v>0.8</v>
      </c>
      <c r="J8" s="212" t="s">
        <v>2219</v>
      </c>
      <c r="K8" s="212" t="n">
        <v>1</v>
      </c>
      <c r="L8" s="208" t="s">
        <v>2228</v>
      </c>
      <c r="M8" s="213" t="n">
        <v>0.9</v>
      </c>
      <c r="N8" s="213" t="n">
        <v>9.1</v>
      </c>
      <c r="O8" s="213" t="n">
        <v>12</v>
      </c>
      <c r="P8" s="213" t="n">
        <v>17.8</v>
      </c>
      <c r="Q8" s="213" t="n">
        <v>4.3</v>
      </c>
      <c r="R8" s="213" t="n">
        <v>8.52</v>
      </c>
      <c r="S8" s="213" t="n">
        <v>16.13</v>
      </c>
    </row>
    <row r="9" customFormat="false" ht="15" hidden="false" customHeight="true" outlineLevel="0" collapsed="false">
      <c r="A9" s="207" t="s">
        <v>2229</v>
      </c>
      <c r="B9" s="207" t="s">
        <v>2210</v>
      </c>
      <c r="C9" s="207" t="s">
        <v>2211</v>
      </c>
      <c r="D9" s="208" t="s">
        <v>2230</v>
      </c>
      <c r="E9" s="209" t="n">
        <v>2140.3</v>
      </c>
      <c r="F9" s="209" t="n">
        <v>2735.8</v>
      </c>
      <c r="G9" s="210" t="n">
        <v>0.1</v>
      </c>
      <c r="H9" s="210" t="n">
        <v>0.086</v>
      </c>
      <c r="I9" s="211" t="n">
        <v>0.5</v>
      </c>
      <c r="J9" s="212" t="s">
        <v>2219</v>
      </c>
      <c r="K9" s="212" t="n">
        <v>1</v>
      </c>
      <c r="L9" s="208" t="s">
        <v>2231</v>
      </c>
      <c r="M9" s="213" t="n">
        <v>0.8</v>
      </c>
      <c r="N9" s="213" t="n">
        <v>7.4</v>
      </c>
      <c r="O9" s="213" t="n">
        <v>10.7</v>
      </c>
      <c r="P9" s="213" t="n">
        <v>14.6</v>
      </c>
      <c r="Q9" s="213" t="n">
        <v>1.4</v>
      </c>
      <c r="R9" s="213" t="n">
        <v>7.07</v>
      </c>
      <c r="S9" s="213" t="n">
        <v>13.9</v>
      </c>
    </row>
    <row r="10" customFormat="false" ht="15" hidden="false" customHeight="true" outlineLevel="0" collapsed="false">
      <c r="A10" s="207" t="s">
        <v>2232</v>
      </c>
      <c r="B10" s="207" t="s">
        <v>2216</v>
      </c>
      <c r="C10" s="207" t="s">
        <v>2217</v>
      </c>
      <c r="D10" s="208" t="s">
        <v>2233</v>
      </c>
      <c r="E10" s="209" t="n">
        <v>6909.1</v>
      </c>
      <c r="F10" s="209" t="n">
        <v>15576.1</v>
      </c>
      <c r="G10" s="210" t="n">
        <v>0.078</v>
      </c>
      <c r="H10" s="210" t="n">
        <v>0.0169</v>
      </c>
      <c r="I10" s="211" t="n">
        <v>4</v>
      </c>
      <c r="J10" s="212" t="s">
        <v>2219</v>
      </c>
      <c r="K10" s="212" t="n">
        <v>1</v>
      </c>
      <c r="L10" s="208" t="s">
        <v>2234</v>
      </c>
      <c r="M10" s="213" t="n">
        <v>0.4</v>
      </c>
      <c r="N10" s="213" t="n">
        <v>5.5</v>
      </c>
      <c r="O10" s="213" t="n">
        <v>7.6</v>
      </c>
      <c r="P10" s="213" t="n">
        <v>16.8</v>
      </c>
      <c r="Q10" s="213" t="n">
        <v>17.1</v>
      </c>
      <c r="R10" s="213" t="n">
        <v>4.77</v>
      </c>
      <c r="S10" s="213" t="n">
        <v>11.68</v>
      </c>
    </row>
    <row r="11" customFormat="false" ht="15" hidden="false" customHeight="true" outlineLevel="0" collapsed="false">
      <c r="A11" s="207" t="s">
        <v>2235</v>
      </c>
      <c r="B11" s="207" t="s">
        <v>2236</v>
      </c>
      <c r="C11" s="207" t="s">
        <v>2217</v>
      </c>
      <c r="D11" s="208" t="s">
        <v>2237</v>
      </c>
      <c r="E11" s="209" t="n">
        <v>11831.7</v>
      </c>
      <c r="F11" s="209" t="n">
        <v>17028</v>
      </c>
      <c r="G11" s="210" t="n">
        <v>0.056</v>
      </c>
      <c r="H11" s="210" t="n">
        <v>-0.016</v>
      </c>
      <c r="I11" s="211" t="n">
        <v>5.1</v>
      </c>
      <c r="J11" s="212" t="s">
        <v>2219</v>
      </c>
      <c r="K11" s="212" t="n">
        <v>1</v>
      </c>
      <c r="L11" s="208" t="s">
        <v>2238</v>
      </c>
      <c r="M11" s="213" t="n">
        <v>0.7</v>
      </c>
      <c r="N11" s="213" t="n">
        <v>9.3</v>
      </c>
      <c r="O11" s="213" t="n">
        <v>14</v>
      </c>
      <c r="P11" s="213" t="n">
        <v>21</v>
      </c>
      <c r="Q11" s="213" t="n">
        <v>2.7</v>
      </c>
      <c r="R11" s="213" t="n">
        <v>6.88</v>
      </c>
      <c r="S11" s="213" t="n">
        <v>15.27</v>
      </c>
    </row>
    <row r="12" customFormat="false" ht="15" hidden="false" customHeight="true" outlineLevel="0" collapsed="false">
      <c r="A12" s="207" t="s">
        <v>2239</v>
      </c>
      <c r="B12" s="207" t="s">
        <v>2240</v>
      </c>
      <c r="C12" s="207" t="s">
        <v>2217</v>
      </c>
      <c r="D12" s="208" t="s">
        <v>2241</v>
      </c>
      <c r="E12" s="209" t="n">
        <v>6092.8</v>
      </c>
      <c r="F12" s="209" t="n">
        <v>6992.8</v>
      </c>
      <c r="G12" s="210" t="n">
        <v>0.11</v>
      </c>
      <c r="H12" s="210" t="n">
        <v>0.0785</v>
      </c>
      <c r="I12" s="211" t="n">
        <v>3.2</v>
      </c>
      <c r="J12" s="212" t="s">
        <v>2219</v>
      </c>
      <c r="K12" s="212" t="n">
        <v>1</v>
      </c>
      <c r="L12" s="208" t="s">
        <v>2242</v>
      </c>
      <c r="M12" s="213" t="n">
        <v>0.9</v>
      </c>
      <c r="N12" s="213" t="n">
        <v>7</v>
      </c>
      <c r="O12" s="213" t="n">
        <v>10</v>
      </c>
      <c r="P12" s="213" t="n">
        <v>13.6</v>
      </c>
      <c r="Q12" s="213" t="n">
        <v>4.2</v>
      </c>
      <c r="R12" s="213" t="n">
        <v>6.49</v>
      </c>
      <c r="S12" s="213" t="n">
        <v>13.1</v>
      </c>
    </row>
    <row r="13" customFormat="false" ht="15" hidden="false" customHeight="true" outlineLevel="0" collapsed="false">
      <c r="A13" s="207" t="s">
        <v>2243</v>
      </c>
      <c r="B13" s="207" t="s">
        <v>2210</v>
      </c>
      <c r="C13" s="207" t="s">
        <v>2244</v>
      </c>
      <c r="D13" s="208" t="s">
        <v>2245</v>
      </c>
      <c r="E13" s="209" t="n">
        <v>49954.9</v>
      </c>
      <c r="F13" s="209" t="n">
        <v>48576.5</v>
      </c>
      <c r="G13" s="210" t="n">
        <v>0.118</v>
      </c>
      <c r="H13" s="210" t="n">
        <v>0.0745</v>
      </c>
      <c r="I13" s="211" t="n">
        <v>2.1</v>
      </c>
      <c r="J13" s="212" t="s">
        <v>2224</v>
      </c>
      <c r="K13" s="212" t="n">
        <v>0</v>
      </c>
      <c r="L13" s="208" t="s">
        <v>2246</v>
      </c>
      <c r="M13" s="213" t="n">
        <v>1.1</v>
      </c>
      <c r="N13" s="213" t="n">
        <v>7.5</v>
      </c>
      <c r="O13" s="213" t="n">
        <v>11.1</v>
      </c>
      <c r="P13" s="213" t="n">
        <v>25.9</v>
      </c>
      <c r="Q13" s="213" t="n">
        <v>11.6</v>
      </c>
      <c r="R13" s="213" t="n">
        <v>6.58</v>
      </c>
      <c r="S13" s="213" t="n">
        <v>20.88</v>
      </c>
    </row>
    <row r="14" customFormat="false" ht="15" hidden="false" customHeight="true" outlineLevel="0" collapsed="false">
      <c r="A14" s="207" t="s">
        <v>2247</v>
      </c>
      <c r="B14" s="207" t="s">
        <v>2236</v>
      </c>
      <c r="C14" s="207" t="s">
        <v>2222</v>
      </c>
      <c r="D14" s="208" t="s">
        <v>2248</v>
      </c>
      <c r="E14" s="209" t="n">
        <v>20976.5</v>
      </c>
      <c r="F14" s="209" t="n">
        <v>14289.2</v>
      </c>
      <c r="G14" s="210" t="n">
        <v>0.127</v>
      </c>
      <c r="H14" s="210" t="n">
        <v>0.0894</v>
      </c>
      <c r="I14" s="211" t="n">
        <v>3</v>
      </c>
      <c r="J14" s="212" t="s">
        <v>2224</v>
      </c>
      <c r="K14" s="212" t="n">
        <v>0</v>
      </c>
      <c r="L14" s="208" t="s">
        <v>2249</v>
      </c>
      <c r="M14" s="213" t="n">
        <v>1.5</v>
      </c>
      <c r="N14" s="213" t="n">
        <v>10.4</v>
      </c>
      <c r="O14" s="213" t="n">
        <v>12.8</v>
      </c>
      <c r="P14" s="213" t="n">
        <v>10.4</v>
      </c>
      <c r="Q14" s="213" t="n">
        <v>2</v>
      </c>
      <c r="R14" s="213" t="n">
        <v>9.77</v>
      </c>
      <c r="S14" s="213" t="n">
        <v>18.33</v>
      </c>
    </row>
    <row r="15" customFormat="false" ht="15" hidden="false" customHeight="false" outlineLevel="0" collapsed="false">
      <c r="A15" s="212" t="s">
        <v>2250</v>
      </c>
      <c r="B15" s="207"/>
      <c r="C15" s="207"/>
      <c r="D15" s="207"/>
      <c r="E15" s="209" t="n">
        <v>4103.2</v>
      </c>
      <c r="F15" s="209" t="n">
        <v>9502.5</v>
      </c>
      <c r="G15" s="210" t="n">
        <v>0.064</v>
      </c>
      <c r="H15" s="210" t="n">
        <v>-0.0293</v>
      </c>
      <c r="I15" s="211" t="n">
        <v>2</v>
      </c>
      <c r="J15" s="207"/>
      <c r="K15" s="207"/>
      <c r="L15" s="207"/>
      <c r="M15" s="213" t="n">
        <v>0.4</v>
      </c>
      <c r="N15" s="213" t="n">
        <v>6.3</v>
      </c>
      <c r="O15" s="213" t="n">
        <v>9.9</v>
      </c>
      <c r="P15" s="213" t="n">
        <v>15.7</v>
      </c>
      <c r="Q15" s="213" t="n">
        <v>0.8</v>
      </c>
      <c r="R15" s="213" t="n">
        <v>6.53</v>
      </c>
      <c r="S15" s="213" t="n">
        <v>15.08</v>
      </c>
    </row>
    <row r="16" customFormat="false" ht="15" hidden="false" customHeight="false" outlineLevel="0" collapsed="false">
      <c r="A16" s="140"/>
    </row>
    <row r="17" s="205" customFormat="true" ht="15" hidden="false" customHeight="false" outlineLevel="0" collapsed="false">
      <c r="A17" s="214" t="s">
        <v>2251</v>
      </c>
      <c r="B17" s="214"/>
    </row>
    <row r="18" customFormat="false" ht="15" hidden="false" customHeight="false" outlineLevel="0" collapsed="false">
      <c r="A18" s="180" t="s">
        <v>2252</v>
      </c>
      <c r="B18" s="195" t="n">
        <f aca="false">SUM(Datos!C6:F6)</f>
        <v>174278</v>
      </c>
      <c r="C18" s="140"/>
    </row>
    <row r="19" customFormat="false" ht="15" hidden="false" customHeight="false" outlineLevel="0" collapsed="false">
      <c r="A19" s="180" t="s">
        <v>2253</v>
      </c>
      <c r="B19" s="195" t="n">
        <f aca="false">SUM(Datos!C9:F9)</f>
        <v>7631</v>
      </c>
      <c r="C19" s="140"/>
    </row>
    <row r="20" customFormat="false" ht="15" hidden="false" customHeight="false" outlineLevel="0" collapsed="false">
      <c r="A20" s="180" t="s">
        <v>2254</v>
      </c>
      <c r="B20" s="195" t="n">
        <f aca="false">SUM(Datos!C14:F14)</f>
        <v>4179.871</v>
      </c>
      <c r="C20" s="140"/>
    </row>
    <row r="21" customFormat="false" ht="15" hidden="false" customHeight="false" outlineLevel="0" collapsed="false">
      <c r="A21" s="215" t="s">
        <v>2255</v>
      </c>
      <c r="B21" s="195" t="n">
        <f aca="false">B19+B20</f>
        <v>11810.871</v>
      </c>
      <c r="C21" s="140"/>
    </row>
    <row r="22" customFormat="false" ht="15" hidden="false" customHeight="false" outlineLevel="0" collapsed="false">
      <c r="A22" s="180" t="s">
        <v>2256</v>
      </c>
      <c r="B22" s="195" t="n">
        <f aca="false">SUM(Datos!C13:F13)</f>
        <v>3816</v>
      </c>
      <c r="C22" s="140"/>
    </row>
    <row r="23" customFormat="false" ht="15" hidden="false" customHeight="false" outlineLevel="0" collapsed="false">
      <c r="A23" s="180" t="s">
        <v>57</v>
      </c>
      <c r="B23" s="195" t="n">
        <f aca="false">WACC!B17</f>
        <v>1800</v>
      </c>
      <c r="C23" s="140"/>
    </row>
    <row r="24" customFormat="false" ht="15" hidden="false" customHeight="false" outlineLevel="0" collapsed="false">
      <c r="A24" s="180" t="s">
        <v>2257</v>
      </c>
      <c r="B24" s="186" t="n">
        <f aca="false">B22/B23</f>
        <v>2.12</v>
      </c>
      <c r="C24" s="140"/>
    </row>
    <row r="25" customFormat="false" ht="15" hidden="false" customHeight="false" outlineLevel="0" collapsed="false">
      <c r="A25" s="180" t="s">
        <v>2046</v>
      </c>
      <c r="B25" s="195" t="n">
        <f aca="false">Datos!F17</f>
        <v>6875.384</v>
      </c>
      <c r="C25" s="140"/>
    </row>
    <row r="26" customFormat="false" ht="15" hidden="false" customHeight="false" outlineLevel="0" collapsed="false">
      <c r="A26" s="180" t="s">
        <v>2258</v>
      </c>
      <c r="B26" s="195" t="n">
        <f aca="false">-(Datos!F25+Datos!F26)</f>
        <v>-11500</v>
      </c>
      <c r="C26" s="140"/>
    </row>
    <row r="27" customFormat="false" ht="15" hidden="false" customHeight="false" outlineLevel="0" collapsed="false">
      <c r="A27" s="180" t="s">
        <v>2259</v>
      </c>
      <c r="B27" s="195" t="n">
        <f aca="false">-(Datos!F27+Datos!F28)</f>
        <v>-12220.588</v>
      </c>
      <c r="C27" s="140"/>
    </row>
    <row r="28" customFormat="false" ht="15" hidden="false" customHeight="false" outlineLevel="0" collapsed="false">
      <c r="A28" s="180" t="s">
        <v>2260</v>
      </c>
      <c r="B28" s="195" t="n">
        <v>0</v>
      </c>
      <c r="C28" s="140"/>
    </row>
    <row r="29" customFormat="false" ht="15" hidden="false" customHeight="false" outlineLevel="0" collapsed="false">
      <c r="A29" s="180" t="s">
        <v>2261</v>
      </c>
      <c r="B29" s="195" t="n">
        <v>0</v>
      </c>
      <c r="C29" s="140"/>
    </row>
    <row r="30" customFormat="false" ht="15" hidden="false" customHeight="false" outlineLevel="0" collapsed="false">
      <c r="A30" s="215" t="s">
        <v>2262</v>
      </c>
      <c r="B30" s="195" t="n">
        <f aca="false">SUM(B25:B29)</f>
        <v>-16845.204</v>
      </c>
      <c r="C30" s="140"/>
    </row>
    <row r="32" s="205" customFormat="true" ht="13.5" hidden="false" customHeight="true" outlineLevel="0" collapsed="false">
      <c r="A32" s="216" t="s">
        <v>2263</v>
      </c>
      <c r="B32" s="216"/>
      <c r="C32" s="216"/>
      <c r="D32" s="216"/>
      <c r="E32" s="216"/>
    </row>
    <row r="33" customFormat="false" ht="13.5" hidden="false" customHeight="true" outlineLevel="0" collapsed="false">
      <c r="A33" s="217" t="s">
        <v>2264</v>
      </c>
      <c r="B33" s="217" t="s">
        <v>2265</v>
      </c>
      <c r="C33" s="217" t="s">
        <v>2266</v>
      </c>
      <c r="D33" s="217" t="s">
        <v>2267</v>
      </c>
      <c r="E33" s="217" t="s">
        <v>2173</v>
      </c>
      <c r="F33" s="218"/>
    </row>
    <row r="34" customFormat="false" ht="13.5" hidden="false" customHeight="true" outlineLevel="0" collapsed="false">
      <c r="A34" s="215" t="s">
        <v>2203</v>
      </c>
      <c r="B34" s="180" t="s">
        <v>2268</v>
      </c>
      <c r="C34" s="219" t="n">
        <f aca="false">$B$21</f>
        <v>11810.871</v>
      </c>
      <c r="D34" s="215" t="n">
        <v>1</v>
      </c>
      <c r="E34" s="215" t="s">
        <v>2269</v>
      </c>
      <c r="F34" s="181"/>
      <c r="G34" s="181"/>
      <c r="H34" s="181"/>
      <c r="I34" s="181"/>
      <c r="J34" s="181"/>
      <c r="K34" s="181"/>
      <c r="L34" s="181"/>
    </row>
    <row r="35" customFormat="false" ht="13.5" hidden="false" customHeight="true" outlineLevel="0" collapsed="false">
      <c r="A35" s="215" t="s">
        <v>2204</v>
      </c>
      <c r="B35" s="180" t="s">
        <v>2268</v>
      </c>
      <c r="C35" s="219" t="n">
        <f aca="false">$B$19</f>
        <v>7631</v>
      </c>
      <c r="D35" s="215" t="n">
        <v>1</v>
      </c>
      <c r="E35" s="215" t="s">
        <v>2269</v>
      </c>
      <c r="F35" s="181"/>
      <c r="G35" s="181"/>
      <c r="H35" s="181"/>
      <c r="I35" s="181"/>
      <c r="J35" s="181"/>
      <c r="K35" s="181"/>
      <c r="L35" s="181"/>
    </row>
    <row r="36" customFormat="false" ht="13.5" hidden="false" customHeight="true" outlineLevel="0" collapsed="false">
      <c r="A36" s="215" t="s">
        <v>2205</v>
      </c>
      <c r="B36" s="180" t="s">
        <v>2270</v>
      </c>
      <c r="C36" s="219" t="n">
        <f aca="false">$B$24</f>
        <v>2.12</v>
      </c>
      <c r="D36" s="215" t="n">
        <v>1</v>
      </c>
      <c r="E36" s="215" t="s">
        <v>2269</v>
      </c>
      <c r="F36" s="181"/>
      <c r="G36" s="181"/>
      <c r="H36" s="181"/>
      <c r="I36" s="181"/>
      <c r="J36" s="181"/>
      <c r="K36" s="181"/>
      <c r="L36" s="181"/>
    </row>
    <row r="37" customFormat="false" ht="13.5" hidden="false" customHeight="true" outlineLevel="0" collapsed="false">
      <c r="A37" s="215" t="s">
        <v>2202</v>
      </c>
      <c r="B37" s="180" t="s">
        <v>2268</v>
      </c>
      <c r="C37" s="219" t="n">
        <f aca="false">$B$18</f>
        <v>174278</v>
      </c>
      <c r="D37" s="215" t="n">
        <v>0</v>
      </c>
      <c r="E37" s="215" t="s">
        <v>2271</v>
      </c>
      <c r="F37" s="181"/>
      <c r="G37" s="181"/>
      <c r="H37" s="181"/>
      <c r="I37" s="181"/>
      <c r="J37" s="181"/>
      <c r="K37" s="181"/>
      <c r="L37" s="181"/>
    </row>
    <row r="38" customFormat="false" ht="13.5" hidden="false" customHeight="true" outlineLevel="0" collapsed="false">
      <c r="A38" s="215" t="s">
        <v>2206</v>
      </c>
      <c r="B38" s="180" t="s">
        <v>2270</v>
      </c>
      <c r="C38" s="219" t="s">
        <v>2272</v>
      </c>
      <c r="D38" s="215" t="n">
        <v>0</v>
      </c>
      <c r="E38" s="215" t="s">
        <v>2272</v>
      </c>
      <c r="F38" s="181"/>
      <c r="G38" s="181"/>
      <c r="H38" s="181"/>
      <c r="I38" s="181"/>
      <c r="J38" s="181"/>
      <c r="K38" s="181"/>
      <c r="L38" s="181"/>
    </row>
    <row r="39" customFormat="false" ht="13.5" hidden="false" customHeight="true" outlineLevel="0" collapsed="false">
      <c r="A39" s="215" t="s">
        <v>2207</v>
      </c>
      <c r="B39" s="180" t="s">
        <v>2268</v>
      </c>
      <c r="C39" s="219" t="s">
        <v>2272</v>
      </c>
      <c r="D39" s="215" t="n">
        <v>0</v>
      </c>
      <c r="E39" s="215" t="s">
        <v>2272</v>
      </c>
      <c r="F39" s="181"/>
      <c r="G39" s="181"/>
      <c r="H39" s="181"/>
      <c r="I39" s="181"/>
      <c r="J39" s="181"/>
      <c r="K39" s="181"/>
      <c r="L39" s="181"/>
    </row>
    <row r="40" customFormat="false" ht="13.5" hidden="false" customHeight="true" outlineLevel="0" collapsed="false">
      <c r="A40" s="215" t="s">
        <v>2208</v>
      </c>
      <c r="B40" s="180" t="s">
        <v>2270</v>
      </c>
      <c r="C40" s="219" t="s">
        <v>2272</v>
      </c>
      <c r="D40" s="215" t="n">
        <v>0</v>
      </c>
      <c r="E40" s="215" t="s">
        <v>2272</v>
      </c>
      <c r="F40" s="181"/>
      <c r="G40" s="181"/>
      <c r="H40" s="181"/>
      <c r="I40" s="181"/>
      <c r="J40" s="181"/>
      <c r="K40" s="181"/>
      <c r="L40" s="181"/>
    </row>
    <row r="43" s="205" customFormat="true" ht="15" hidden="false" customHeight="false" outlineLevel="0" collapsed="false">
      <c r="A43" s="220" t="s">
        <v>2273</v>
      </c>
      <c r="B43" s="220"/>
      <c r="C43" s="220"/>
      <c r="D43" s="220"/>
      <c r="E43" s="220"/>
    </row>
    <row r="44" customFormat="false" ht="15.75" hidden="false" customHeight="true" outlineLevel="0" collapsed="false">
      <c r="A44" s="206" t="s">
        <v>2274</v>
      </c>
      <c r="B44" s="221" t="s">
        <v>2275</v>
      </c>
      <c r="C44" s="221" t="s">
        <v>2276</v>
      </c>
      <c r="D44" s="221" t="s">
        <v>2277</v>
      </c>
      <c r="E44" s="221" t="s">
        <v>134</v>
      </c>
    </row>
    <row r="45" customFormat="false" ht="15" hidden="false" customHeight="false" outlineLevel="0" collapsed="false">
      <c r="A45" s="207" t="str">
        <f aca="false">A5</f>
        <v>Grupo Comercial Chedraui, S.A.B. de C.V. (BMV:CHDRAUI B)</v>
      </c>
      <c r="B45" s="222" t="n">
        <f aca="false">IF(AND($K$5=1,ISNUMBER(M5)),M5,"")</f>
        <v>0.5</v>
      </c>
      <c r="C45" s="222" t="n">
        <f aca="false">IF(AND($K$5=1,ISNUMBER(N5)),N5,"")</f>
        <v>5.7</v>
      </c>
      <c r="D45" s="222" t="n">
        <f aca="false">IF(AND($K$5=1,ISNUMBER(O5)),O5,"")</f>
        <v>8.8</v>
      </c>
      <c r="E45" s="222" t="n">
        <f aca="false">IF(AND($K$5=1,ISNUMBER(P5)),P5,"")</f>
        <v>13.1</v>
      </c>
    </row>
    <row r="46" customFormat="false" ht="15" hidden="false" customHeight="false" outlineLevel="0" collapsed="false">
      <c r="A46" s="207" t="str">
        <f aca="false">A6</f>
        <v>Grupo Mateus S.A. (BOVESPA:GMAT3)</v>
      </c>
      <c r="B46" s="222" t="n">
        <f aca="false">IF(AND($K$6=1,ISNUMBER(M6)),M6,"")</f>
        <v>0.4</v>
      </c>
      <c r="C46" s="222" t="n">
        <f aca="false">IF(AND($K$6=1,ISNUMBER(N6)),N6,"")</f>
        <v>5.3</v>
      </c>
      <c r="D46" s="222" t="n">
        <f aca="false">IF(AND($K$6=1,ISNUMBER(O6)),O6,"")</f>
        <v>6.6</v>
      </c>
      <c r="E46" s="222" t="n">
        <f aca="false">IF(AND($K$6=1,ISNUMBER(P6)),P6,"")</f>
        <v>4.7</v>
      </c>
    </row>
    <row r="47" customFormat="false" ht="15" hidden="false" customHeight="false" outlineLevel="0" collapsed="false">
      <c r="A47" s="207" t="str">
        <f aca="false">A7</f>
        <v>El Puerto de Liverpool, S.A.B. de C.V. (BMV:LIVEPOL C-1)</v>
      </c>
      <c r="B47" s="222" t="str">
        <f aca="false">IF(AND($K$7=1,ISNUMBER(M7)),M7,"")</f>
        <v/>
      </c>
      <c r="C47" s="222" t="str">
        <f aca="false">IF(AND($K$7=1,ISNUMBER(N7)),N7,"")</f>
        <v/>
      </c>
      <c r="D47" s="222" t="str">
        <f aca="false">IF(AND($K$7=1,ISNUMBER(O7)),O7,"")</f>
        <v/>
      </c>
      <c r="E47" s="222" t="str">
        <f aca="false">IF(AND($K$7=1,ISNUMBER(P7)),P7,"")</f>
        <v/>
      </c>
    </row>
    <row r="48" customFormat="false" ht="15" hidden="false" customHeight="false" outlineLevel="0" collapsed="false">
      <c r="A48" s="207" t="str">
        <f aca="false">A8</f>
        <v>Wal-Mart de México, S.A.B. de C.V. (BMV:WALMEX *)</v>
      </c>
      <c r="B48" s="222" t="n">
        <f aca="false">IF(AND($K$8=1,ISNUMBER(M8)),M8,"")</f>
        <v>0.9</v>
      </c>
      <c r="C48" s="222" t="n">
        <f aca="false">IF(AND($K$8=1,ISNUMBER(N8)),N8,"")</f>
        <v>9.1</v>
      </c>
      <c r="D48" s="222" t="n">
        <f aca="false">IF(AND($K$8=1,ISNUMBER(O8)),O8,"")</f>
        <v>12</v>
      </c>
      <c r="E48" s="222" t="n">
        <f aca="false">IF(AND($K$8=1,ISNUMBER(P8)),P8,"")</f>
        <v>17.8</v>
      </c>
    </row>
    <row r="49" customFormat="false" ht="15" hidden="false" customHeight="false" outlineLevel="0" collapsed="false">
      <c r="A49" s="207" t="str">
        <f aca="false">A9</f>
        <v>La Comer, S.A.B. de C.V. (BMV:LACOMER UBC)</v>
      </c>
      <c r="B49" s="222" t="n">
        <f aca="false">IF(AND($K$9=1,ISNUMBER(M9)),M9,"")</f>
        <v>0.8</v>
      </c>
      <c r="C49" s="222" t="n">
        <f aca="false">IF(AND($K$9=1,ISNUMBER(N9)),N9,"")</f>
        <v>7.4</v>
      </c>
      <c r="D49" s="222" t="n">
        <f aca="false">IF(AND($K$9=1,ISNUMBER(O9)),O9,"")</f>
        <v>10.7</v>
      </c>
      <c r="E49" s="222" t="n">
        <f aca="false">IF(AND($K$9=1,ISNUMBER(P9)),P9,"")</f>
        <v>14.6</v>
      </c>
    </row>
    <row r="50" customFormat="false" ht="15" hidden="false" customHeight="false" outlineLevel="0" collapsed="false">
      <c r="A50" s="207" t="str">
        <f aca="false">A10</f>
        <v>Sendas Distribuidora S.A. (BOVESPA:ASAI3)</v>
      </c>
      <c r="B50" s="222" t="n">
        <f aca="false">IF(AND($K$10=1,ISNUMBER(M10)),M10,"")</f>
        <v>0.4</v>
      </c>
      <c r="C50" s="222" t="n">
        <f aca="false">IF(AND($K$10=1,ISNUMBER(N10)),N10,"")</f>
        <v>5.5</v>
      </c>
      <c r="D50" s="222" t="n">
        <f aca="false">IF(AND($K$10=1,ISNUMBER(O10)),O10,"")</f>
        <v>7.6</v>
      </c>
      <c r="E50" s="222" t="n">
        <f aca="false">IF(AND($K$10=1,ISNUMBER(P10)),P10,"")</f>
        <v>16.8</v>
      </c>
    </row>
    <row r="51" customFormat="false" ht="15" hidden="false" customHeight="false" outlineLevel="0" collapsed="false">
      <c r="A51" s="207" t="str">
        <f aca="false">A11</f>
        <v>Cencosud S.A. (SNSE:CENCOSUD)</v>
      </c>
      <c r="B51" s="222" t="n">
        <f aca="false">IF(AND($K$11=1,ISNUMBER(M11)),M11,"")</f>
        <v>0.7</v>
      </c>
      <c r="C51" s="222" t="n">
        <f aca="false">IF(AND($K$11=1,ISNUMBER(N11)),N11,"")</f>
        <v>9.3</v>
      </c>
      <c r="D51" s="222" t="n">
        <f aca="false">IF(AND($K$11=1,ISNUMBER(O11)),O11,"")</f>
        <v>14</v>
      </c>
      <c r="E51" s="222" t="n">
        <f aca="false">IF(AND($K$11=1,ISNUMBER(P11)),P11,"")</f>
        <v>21</v>
      </c>
    </row>
    <row r="52" customFormat="false" ht="15" hidden="false" customHeight="false" outlineLevel="0" collapsed="false">
      <c r="A52" s="207" t="str">
        <f aca="false">A12</f>
        <v>InRetail Perú Corp. (BVL:INRETC1)</v>
      </c>
      <c r="B52" s="222" t="n">
        <f aca="false">IF(AND($K$12=1,ISNUMBER(M12)),M12,"")</f>
        <v>0.9</v>
      </c>
      <c r="C52" s="222" t="n">
        <f aca="false">IF(AND($K$12=1,ISNUMBER(N12)),N12,"")</f>
        <v>7</v>
      </c>
      <c r="D52" s="222" t="n">
        <f aca="false">IF(AND($K$12=1,ISNUMBER(O12)),O12,"")</f>
        <v>10</v>
      </c>
      <c r="E52" s="222" t="n">
        <f aca="false">IF(AND($K$12=1,ISNUMBER(P12)),P12,"")</f>
        <v>13.6</v>
      </c>
    </row>
    <row r="53" customFormat="false" ht="15" hidden="false" customHeight="false" outlineLevel="0" collapsed="false">
      <c r="A53" s="207" t="str">
        <f aca="false">A13</f>
        <v>Fomento Económico Mexicano, S.A.B. de C.V. (BMV:FEMSA UBD)</v>
      </c>
      <c r="B53" s="222" t="str">
        <f aca="false">IF(AND($K$13=1,ISNUMBER(M13)),M13,"")</f>
        <v/>
      </c>
      <c r="C53" s="222" t="str">
        <f aca="false">IF(AND($K$13=1,ISNUMBER(N13)),N13,"")</f>
        <v/>
      </c>
      <c r="D53" s="222" t="str">
        <f aca="false">IF(AND($K$13=1,ISNUMBER(O13)),O13,"")</f>
        <v/>
      </c>
      <c r="E53" s="222" t="str">
        <f aca="false">IF(AND($K$13=1,ISNUMBER(P13)),P13,"")</f>
        <v/>
      </c>
    </row>
    <row r="54" customFormat="false" ht="15" hidden="false" customHeight="false" outlineLevel="0" collapsed="false">
      <c r="A54" s="207" t="str">
        <f aca="false">A14</f>
        <v>Falabella S.A. (SNSE:FALABELLA)</v>
      </c>
      <c r="B54" s="213" t="str">
        <f aca="false">IF(AND($K$14=1,ISNUMBER(M14)),M14,"")</f>
        <v/>
      </c>
      <c r="C54" s="213" t="str">
        <f aca="false">IF(AND($K$14=1,ISNUMBER(N14)),N14,"")</f>
        <v/>
      </c>
      <c r="D54" s="213" t="str">
        <f aca="false">IF(AND($K$14=1,ISNUMBER(O14)),O14,"")</f>
        <v/>
      </c>
      <c r="E54" s="213" t="str">
        <f aca="false">IF(AND($K$14=1,ISNUMBER(P14)),P14,"")</f>
        <v/>
      </c>
    </row>
    <row r="55" customFormat="false" ht="15" hidden="false" customHeight="false" outlineLevel="0" collapsed="false">
      <c r="A55" s="223"/>
      <c r="B55" s="224"/>
      <c r="C55" s="224"/>
      <c r="D55" s="224"/>
      <c r="E55" s="224"/>
    </row>
    <row r="56" customFormat="false" ht="15" hidden="false" customHeight="false" outlineLevel="0" collapsed="false">
      <c r="A56" s="225" t="s">
        <v>2278</v>
      </c>
      <c r="B56" s="225"/>
      <c r="C56" s="225"/>
      <c r="D56" s="225"/>
      <c r="E56" s="225"/>
      <c r="F56" s="225"/>
      <c r="G56" s="225"/>
      <c r="H56" s="225"/>
      <c r="I56" s="225"/>
      <c r="J56" s="225"/>
    </row>
    <row r="57" customFormat="false" ht="31.5" hidden="false" customHeight="true" outlineLevel="0" collapsed="false">
      <c r="A57" s="217" t="s">
        <v>2279</v>
      </c>
      <c r="B57" s="217" t="s">
        <v>2275</v>
      </c>
      <c r="C57" s="217" t="s">
        <v>2276</v>
      </c>
      <c r="D57" s="217" t="s">
        <v>2277</v>
      </c>
      <c r="E57" s="217" t="s">
        <v>134</v>
      </c>
      <c r="F57" s="217"/>
      <c r="G57" s="217" t="s">
        <v>2280</v>
      </c>
      <c r="H57" s="217" t="s">
        <v>2281</v>
      </c>
      <c r="I57" s="217" t="s">
        <v>2282</v>
      </c>
      <c r="J57" s="217" t="s">
        <v>2283</v>
      </c>
    </row>
    <row r="58" customFormat="false" ht="15" hidden="false" customHeight="false" outlineLevel="0" collapsed="false">
      <c r="A58" s="180" t="s">
        <v>196</v>
      </c>
      <c r="B58" s="226" t="n">
        <f aca="false">MIN(B45:B54)</f>
        <v>0.4</v>
      </c>
      <c r="C58" s="226" t="n">
        <f aca="false">MIN(C45:C54)</f>
        <v>5.3</v>
      </c>
      <c r="D58" s="226" t="n">
        <f aca="false">MIN(D45:D54)</f>
        <v>6.6</v>
      </c>
      <c r="E58" s="226" t="n">
        <f aca="false">MIN(E45:E54)</f>
        <v>4.7</v>
      </c>
      <c r="F58" s="180"/>
      <c r="G58" s="196" t="n">
        <f aca="false">IF(B58*$B$18+$B$30&gt;0,(B58*$B$18+$B$30)/$B$23,"NM")</f>
        <v>29.3699977777778</v>
      </c>
      <c r="H58" s="196" t="n">
        <f aca="false">IF(C58*$B$21+$B$30&gt;0,(C58*$B$21+$B$30)/$B$23,"NM")</f>
        <v>25.4180068333333</v>
      </c>
      <c r="I58" s="196" t="n">
        <f aca="false">IF(D58*$B$19+$B$30&gt;0,(D58*$B$19+$B$30)/$B$23,"NM")</f>
        <v>18.6218866666667</v>
      </c>
      <c r="J58" s="196" t="n">
        <f aca="false">IF(E58*$B$24&gt;0,E58*$B$24,"NM")</f>
        <v>9.964</v>
      </c>
    </row>
    <row r="59" customFormat="false" ht="15" hidden="false" customHeight="false" outlineLevel="0" collapsed="false">
      <c r="A59" s="180" t="s">
        <v>2284</v>
      </c>
      <c r="B59" s="226" t="n">
        <f aca="false">PERCENTILE(B45:B54,0.25)</f>
        <v>0.45</v>
      </c>
      <c r="C59" s="226" t="n">
        <f aca="false">PERCENTILE(C45:C54,0.25)</f>
        <v>5.6</v>
      </c>
      <c r="D59" s="226" t="n">
        <f aca="false">PERCENTILE(D45:D54,0.25)</f>
        <v>8.2</v>
      </c>
      <c r="E59" s="226" t="n">
        <f aca="false">PERCENTILE(E45:E54,0.25)</f>
        <v>13.35</v>
      </c>
      <c r="F59" s="180"/>
      <c r="G59" s="196" t="n">
        <f aca="false">IF(B59*$B$18+$B$30&gt;0,(B59*$B$18+$B$30)/$B$23,"NM")</f>
        <v>34.2110533333333</v>
      </c>
      <c r="H59" s="196" t="n">
        <f aca="false">IF(C59*$B$21+$B$30&gt;0,(C59*$B$21+$B$30)/$B$23,"NM")</f>
        <v>27.3864853333333</v>
      </c>
      <c r="I59" s="196" t="n">
        <f aca="false">IF(D59*$B$19+$B$30&gt;0,(D59*$B$19+$B$30)/$B$23,"NM")</f>
        <v>25.4049977777778</v>
      </c>
      <c r="J59" s="196" t="n">
        <f aca="false">IF(E59*$B$24&gt;0,E59*$B$24,"NM")</f>
        <v>28.302</v>
      </c>
    </row>
    <row r="60" customFormat="false" ht="15" hidden="false" customHeight="false" outlineLevel="0" collapsed="false">
      <c r="A60" s="215" t="s">
        <v>1950</v>
      </c>
      <c r="B60" s="226" t="n">
        <f aca="false">AVERAGE(B45:B54)</f>
        <v>0.657142857142857</v>
      </c>
      <c r="C60" s="226" t="n">
        <f aca="false">AVERAGE(C45:C54)</f>
        <v>7.04285714285714</v>
      </c>
      <c r="D60" s="226" t="n">
        <f aca="false">AVERAGE(D45:D54)</f>
        <v>9.95714285714286</v>
      </c>
      <c r="E60" s="226" t="n">
        <f aca="false">AVERAGE(E45:E54)</f>
        <v>14.5142857142857</v>
      </c>
      <c r="F60" s="180"/>
      <c r="G60" s="196" t="n">
        <f aca="false">IF(B60*$B$18+$B$30&gt;0,(B60*$B$18+$B$30)/$B$23,"NM")</f>
        <v>54.2668549206349</v>
      </c>
      <c r="H60" s="196" t="n">
        <f aca="false">IF(C60*$B$21+$B$30&gt;0,(C60*$B$21+$B$30)/$B$23,"NM")</f>
        <v>36.853929547619</v>
      </c>
      <c r="I60" s="196" t="n">
        <f aca="false">IF(D60*$B$19+$B$30&gt;0,(D60*$B$19+$B$30)/$B$23,"NM")</f>
        <v>32.8543073015873</v>
      </c>
      <c r="J60" s="196" t="n">
        <f aca="false">IF(E60*$B$24&gt;0,E60*$B$24,"NM")</f>
        <v>30.7702857142857</v>
      </c>
    </row>
    <row r="61" customFormat="false" ht="15" hidden="false" customHeight="false" outlineLevel="0" collapsed="false">
      <c r="A61" s="180" t="s">
        <v>2285</v>
      </c>
      <c r="B61" s="226" t="n">
        <f aca="false">MEDIAN(B45:B54)</f>
        <v>0.7</v>
      </c>
      <c r="C61" s="226" t="n">
        <f aca="false">MEDIAN(C45:C54)</f>
        <v>7</v>
      </c>
      <c r="D61" s="226" t="n">
        <f aca="false">MEDIAN(D45:D54)</f>
        <v>10</v>
      </c>
      <c r="E61" s="226" t="n">
        <f aca="false">MEDIAN(E45:E54)</f>
        <v>14.6</v>
      </c>
      <c r="F61" s="180"/>
      <c r="G61" s="196" t="n">
        <f aca="false">IF(B61*$B$18+$B$30&gt;0,(B61*$B$18+$B$30)/$B$23,"NM")</f>
        <v>58.4163311111111</v>
      </c>
      <c r="H61" s="196" t="n">
        <f aca="false">IF(C61*$B$21+$B$30&gt;0,(C61*$B$21+$B$30)/$B$23,"NM")</f>
        <v>36.5727183333333</v>
      </c>
      <c r="I61" s="196" t="n">
        <f aca="false">IF(D61*$B$19+$B$30&gt;0,(D61*$B$19+$B$30)/$B$23,"NM")</f>
        <v>33.0359977777778</v>
      </c>
      <c r="J61" s="196" t="n">
        <f aca="false">IF(E61*$B$24&gt;0,E61*$B$24,"NM")</f>
        <v>30.952</v>
      </c>
    </row>
    <row r="62" customFormat="false" ht="15" hidden="false" customHeight="false" outlineLevel="0" collapsed="false">
      <c r="A62" s="180" t="s">
        <v>2286</v>
      </c>
      <c r="B62" s="226" t="n">
        <f aca="false">PERCENTILE(B45:B54,0.75)</f>
        <v>0.85</v>
      </c>
      <c r="C62" s="226" t="n">
        <f aca="false">PERCENTILE(C45:C54,0.75)</f>
        <v>8.25</v>
      </c>
      <c r="D62" s="226" t="n">
        <f aca="false">PERCENTILE(D45:D54,0.75)</f>
        <v>11.35</v>
      </c>
      <c r="E62" s="226" t="n">
        <f aca="false">PERCENTILE(E45:E54,0.75)</f>
        <v>17.3</v>
      </c>
      <c r="F62" s="180"/>
      <c r="G62" s="196" t="n">
        <f aca="false">IF(B62*$B$18+$B$30&gt;0,(B62*$B$18+$B$30)/$B$23,"NM")</f>
        <v>72.9394977777778</v>
      </c>
      <c r="H62" s="196" t="n">
        <f aca="false">IF(C62*$B$21+$B$30&gt;0,(C62*$B$21+$B$30)/$B$23,"NM")</f>
        <v>44.7747120833333</v>
      </c>
      <c r="I62" s="196" t="n">
        <f aca="false">IF(D62*$B$19+$B$30&gt;0,(D62*$B$19+$B$30)/$B$23,"NM")</f>
        <v>38.7592477777778</v>
      </c>
      <c r="J62" s="196" t="n">
        <f aca="false">IF(E62*$B$24&gt;0,E62*$B$24,"NM")</f>
        <v>36.676</v>
      </c>
    </row>
    <row r="63" customFormat="false" ht="15" hidden="false" customHeight="false" outlineLevel="0" collapsed="false">
      <c r="A63" s="180" t="s">
        <v>195</v>
      </c>
      <c r="B63" s="226" t="n">
        <f aca="false">MAX(B45:B54)</f>
        <v>0.9</v>
      </c>
      <c r="C63" s="226" t="n">
        <f aca="false">MAX(C45:C54)</f>
        <v>9.3</v>
      </c>
      <c r="D63" s="226" t="n">
        <f aca="false">MAX(D45:D54)</f>
        <v>14</v>
      </c>
      <c r="E63" s="226" t="n">
        <f aca="false">MAX(E45:E54)</f>
        <v>21</v>
      </c>
      <c r="F63" s="180"/>
      <c r="G63" s="196" t="n">
        <f aca="false">IF(B63*$B$18+$B$30&gt;0,(B63*$B$18+$B$30)/$B$23,"NM")</f>
        <v>77.7805533333333</v>
      </c>
      <c r="H63" s="196" t="n">
        <f aca="false">IF(C63*$B$21+$B$30&gt;0,(C63*$B$21+$B$30)/$B$23,"NM")</f>
        <v>51.6643868333333</v>
      </c>
      <c r="I63" s="196" t="n">
        <f aca="false">IF(D63*$B$19+$B$30&gt;0,(D63*$B$19+$B$30)/$B$23,"NM")</f>
        <v>49.9937755555556</v>
      </c>
      <c r="J63" s="196" t="n">
        <f aca="false">IF(E63*$B$24&gt;0,E63*$B$24,"NM")</f>
        <v>44.52</v>
      </c>
    </row>
    <row r="64" customFormat="false" ht="15" hidden="false" customHeight="false" outlineLevel="0" collapsed="false">
      <c r="A64" s="180" t="s">
        <v>1535</v>
      </c>
      <c r="B64" s="227" t="n">
        <f aca="false">COUNT(B45:B54)</f>
        <v>7</v>
      </c>
      <c r="C64" s="227" t="n">
        <f aca="false">COUNT(C45:C54)</f>
        <v>7</v>
      </c>
      <c r="D64" s="227" t="n">
        <f aca="false">COUNT(D45:D54)</f>
        <v>7</v>
      </c>
      <c r="E64" s="227" t="n">
        <f aca="false">COUNT(E45:E54)</f>
        <v>7</v>
      </c>
      <c r="F64" s="180"/>
      <c r="G64" s="180"/>
      <c r="H64" s="180"/>
      <c r="I64" s="180"/>
      <c r="J64" s="180"/>
    </row>
    <row r="65" customFormat="false" ht="15" hidden="false" customHeight="false" outlineLevel="0" collapsed="false">
      <c r="A65" s="140"/>
    </row>
    <row r="66" customFormat="false" ht="15.75" hidden="false" customHeight="true" outlineLevel="0" collapsed="false">
      <c r="A66" s="221" t="s">
        <v>2287</v>
      </c>
      <c r="B66" s="221" t="s">
        <v>2275</v>
      </c>
      <c r="C66" s="221" t="s">
        <v>2276</v>
      </c>
      <c r="D66" s="221" t="s">
        <v>2277</v>
      </c>
      <c r="E66" s="221" t="s">
        <v>134</v>
      </c>
    </row>
    <row r="67" customFormat="false" ht="15" hidden="false" customHeight="false" outlineLevel="0" collapsed="false">
      <c r="A67" s="228" t="s">
        <v>2288</v>
      </c>
      <c r="B67" s="229" t="n">
        <f aca="false">$B$18</f>
        <v>174278</v>
      </c>
      <c r="C67" s="229" t="n">
        <f aca="false">$B$21</f>
        <v>11810.871</v>
      </c>
      <c r="D67" s="229" t="n">
        <f aca="false">$B$19</f>
        <v>7631</v>
      </c>
      <c r="E67" s="229" t="n">
        <f aca="false">$B$24</f>
        <v>2.12</v>
      </c>
    </row>
    <row r="68" customFormat="false" ht="15" hidden="false" customHeight="false" outlineLevel="0" collapsed="false">
      <c r="A68" s="228" t="s">
        <v>2289</v>
      </c>
      <c r="B68" s="230" t="n">
        <f aca="false">B60*$B$18</f>
        <v>114525.542857143</v>
      </c>
      <c r="C68" s="230" t="n">
        <f aca="false">C60*$B$21</f>
        <v>83182.2771857143</v>
      </c>
      <c r="D68" s="230" t="n">
        <f aca="false">D60*$B$19</f>
        <v>75982.9571428572</v>
      </c>
      <c r="E68" s="228" t="s">
        <v>2290</v>
      </c>
    </row>
    <row r="69" customFormat="false" ht="15" hidden="false" customHeight="false" outlineLevel="0" collapsed="false">
      <c r="A69" s="228" t="s">
        <v>2291</v>
      </c>
      <c r="B69" s="230" t="n">
        <f aca="false">B68+$B$30</f>
        <v>97680.3388571429</v>
      </c>
      <c r="C69" s="230" t="n">
        <f aca="false">C68+$B$30</f>
        <v>66337.0731857143</v>
      </c>
      <c r="D69" s="230" t="n">
        <f aca="false">D68+$B$30</f>
        <v>59137.7531428572</v>
      </c>
      <c r="E69" s="230" t="n">
        <f aca="false">E60*$B$24*$B$23</f>
        <v>55386.5142857143</v>
      </c>
    </row>
    <row r="70" customFormat="false" ht="15" hidden="false" customHeight="false" outlineLevel="0" collapsed="false">
      <c r="A70" s="228" t="s">
        <v>2292</v>
      </c>
      <c r="B70" s="231" t="n">
        <f aca="false">G60</f>
        <v>54.2668549206349</v>
      </c>
      <c r="C70" s="231" t="n">
        <f aca="false">H60</f>
        <v>36.853929547619</v>
      </c>
      <c r="D70" s="231" t="n">
        <f aca="false">I60</f>
        <v>32.8543073015873</v>
      </c>
      <c r="E70" s="231" t="n">
        <f aca="false">J60</f>
        <v>30.7702857142857</v>
      </c>
    </row>
    <row r="72" s="205" customFormat="true" ht="15" hidden="false" customHeight="false" outlineLevel="0" collapsed="false">
      <c r="A72" s="214" t="s">
        <v>2293</v>
      </c>
      <c r="B72" s="214"/>
      <c r="C72" s="214"/>
      <c r="D72" s="214"/>
    </row>
    <row r="73" customFormat="false" ht="15" hidden="false" customHeight="false" outlineLevel="0" collapsed="false">
      <c r="A73" s="214" t="s">
        <v>2294</v>
      </c>
      <c r="B73" s="214"/>
      <c r="C73" s="214"/>
      <c r="D73" s="232" t="n">
        <f aca="false">IF((IF(AND($D$37=1,ISNUMBER(G60)),1,0)+IF(AND($D$34=1,ISNUMBER(H60)),1,0)+IF(AND($D$35=1,ISNUMBER(I60)),1,0)+IF(AND($D$36=1,ISNUMBER(J60)),1,0))=0,"NA",(IF(AND($D$37=1,ISNUMBER(G60)),G60,0)+IF(AND($D$34=1,ISNUMBER(H60)),H60,0)+IF(AND($D$35=1,ISNUMBER(I60)),I60,0)+IF(AND($D$36=1,ISNUMBER(J60)),J60,0))/(IF(AND($D$37=1,ISNUMBER(G60)),1,0)+IF(AND($D$34=1,ISNUMBER(H60)),1,0)+IF(AND($D$35=1,ISNUMBER(I60)),1,0)+IF(AND($D$36=1,ISNUMBER(J60)),1,0)))</f>
        <v>33.4928408544974</v>
      </c>
    </row>
    <row r="74" customFormat="false" ht="15" hidden="false" customHeight="false" outlineLevel="0" collapsed="false">
      <c r="A74" s="225" t="s">
        <v>2295</v>
      </c>
      <c r="B74" s="225"/>
      <c r="C74" s="225"/>
      <c r="D74" s="196" t="n">
        <f aca="false">IF((IF(AND($D$37=1,ISNUMBER(G59)),1,0)+IF(AND($D$34=1,ISNUMBER(H59)),1,0)+IF(AND($D$35=1,ISNUMBER(I59)),1,0)+IF(AND($D$36=1,ISNUMBER(J59)),1,0))=0,"NA",(IF(AND($D$37=1,ISNUMBER(G59)),G59,0)+IF(AND($D$34=1,ISNUMBER(H59)),H59,0)+IF(AND($D$35=1,ISNUMBER(I59)),I59,0)+IF(AND($D$36=1,ISNUMBER(J59)),J59,0))/(IF(AND($D$37=1,ISNUMBER(G59)),1,0)+IF(AND($D$34=1,ISNUMBER(H59)),1,0)+IF(AND($D$35=1,ISNUMBER(I59)),1,0)+IF(AND($D$36=1,ISNUMBER(J59)),1,0)))</f>
        <v>27.031161037037</v>
      </c>
    </row>
    <row r="75" customFormat="false" ht="15" hidden="false" customHeight="false" outlineLevel="0" collapsed="false">
      <c r="A75" s="225" t="s">
        <v>2296</v>
      </c>
      <c r="B75" s="225"/>
      <c r="C75" s="225"/>
      <c r="D75" s="196" t="n">
        <f aca="false">IF((IF(AND($D$37=1,ISNUMBER(G62)),1,0)+IF(AND($D$34=1,ISNUMBER(H62)),1,0)+IF(AND($D$35=1,ISNUMBER(I62)),1,0)+IF(AND($D$36=1,ISNUMBER(J62)),1,0))=0,"NA",(IF(AND($D$37=1,ISNUMBER(G62)),G62,0)+IF(AND($D$34=1,ISNUMBER(H62)),H62,0)+IF(AND($D$35=1,ISNUMBER(I62)),I62,0)+IF(AND($D$36=1,ISNUMBER(J62)),J62,0))/(IF(AND($D$37=1,ISNUMBER(G62)),1,0)+IF(AND($D$34=1,ISNUMBER(H62)),1,0)+IF(AND($D$35=1,ISNUMBER(I62)),1,0)+IF(AND($D$36=1,ISNUMBER(J62)),1,0)))</f>
        <v>40.0699866203704</v>
      </c>
    </row>
    <row r="76" customFormat="false" ht="15" hidden="false" customHeight="false" outlineLevel="0" collapsed="false">
      <c r="A76" s="225" t="s">
        <v>2297</v>
      </c>
      <c r="B76" s="225"/>
      <c r="C76" s="225"/>
      <c r="D76" s="196" t="n">
        <f aca="false">Valuación!B42</f>
        <v>33.1</v>
      </c>
    </row>
    <row r="77" customFormat="false" ht="15" hidden="false" customHeight="false" outlineLevel="0" collapsed="false">
      <c r="A77" s="225" t="s">
        <v>2298</v>
      </c>
      <c r="B77" s="225"/>
      <c r="C77" s="225"/>
      <c r="D77" s="183" t="n">
        <f aca="false">D73/D76-1</f>
        <v>0.0118683037612493</v>
      </c>
    </row>
    <row r="78" customFormat="false" ht="15" hidden="false" customHeight="false" outlineLevel="0" collapsed="false">
      <c r="A78" s="225" t="s">
        <v>2299</v>
      </c>
      <c r="B78" s="225"/>
      <c r="C78" s="225"/>
      <c r="D78" s="180" t="n">
        <f aca="false">SUM(D34:D37)</f>
        <v>3</v>
      </c>
    </row>
    <row r="79" customFormat="false" ht="15" hidden="false" customHeight="false" outlineLevel="0" collapsed="false">
      <c r="A79" s="140"/>
    </row>
  </sheetData>
  <mergeCells count="11">
    <mergeCell ref="A17:B17"/>
    <mergeCell ref="A32:E32"/>
    <mergeCell ref="A43:E43"/>
    <mergeCell ref="A56:J56"/>
    <mergeCell ref="A72:D72"/>
    <mergeCell ref="A73:C73"/>
    <mergeCell ref="A74:C74"/>
    <mergeCell ref="A75:C75"/>
    <mergeCell ref="A76:C76"/>
    <mergeCell ref="A77:C77"/>
    <mergeCell ref="A78:C7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3" activeCellId="0" sqref="A53"/>
    </sheetView>
  </sheetViews>
  <sheetFormatPr defaultColWidth="8.66796875" defaultRowHeight="15" zeroHeight="false" outlineLevelRow="0" outlineLevelCol="0"/>
  <cols>
    <col collapsed="false" customWidth="true" hidden="false" outlineLevel="0" max="1" min="1" style="0" width="46.5"/>
    <col collapsed="false" customWidth="true" hidden="false" outlineLevel="0" max="2" min="2" style="0" width="17"/>
    <col collapsed="false" customWidth="true" hidden="false" outlineLevel="0" max="3" min="3" style="0" width="31.5"/>
    <col collapsed="false" customWidth="true" hidden="false" outlineLevel="0" max="4" min="4" style="0" width="26"/>
    <col collapsed="false" customWidth="true" hidden="false" outlineLevel="0" max="5" min="5" style="0" width="16.67"/>
    <col collapsed="false" customWidth="true" hidden="false" outlineLevel="0" max="7" min="6" style="0" width="12"/>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1"/>
    <col collapsed="false" customWidth="true" hidden="false" outlineLevel="0" max="15" min="13" style="0" width="12"/>
    <col collapsed="false" customWidth="true" hidden="false" outlineLevel="0" max="16" min="16" style="0" width="50"/>
    <col collapsed="false" customWidth="true" hidden="false" outlineLevel="0" max="17" min="17" style="0" width="19.33"/>
  </cols>
  <sheetData>
    <row r="1" customFormat="false" ht="15" hidden="false" customHeight="false" outlineLevel="0" collapsed="false">
      <c r="A1" s="2" t="s">
        <v>2300</v>
      </c>
      <c r="C1" s="233"/>
    </row>
    <row r="3" customFormat="false" ht="15.75" hidden="false" customHeight="true" outlineLevel="0" collapsed="false">
      <c r="A3" s="234" t="s">
        <v>2301</v>
      </c>
      <c r="B3" s="235"/>
      <c r="C3" s="235"/>
    </row>
    <row r="4" customFormat="false" ht="15.75" hidden="false" customHeight="true" outlineLevel="0" collapsed="false">
      <c r="A4" s="235" t="s">
        <v>2302</v>
      </c>
      <c r="B4" s="235"/>
      <c r="C4" s="236" t="n">
        <f aca="false">'Proyección Final Soriana'!B252</f>
        <v>46302</v>
      </c>
    </row>
    <row r="5" customFormat="false" ht="15.75" hidden="false" customHeight="true" outlineLevel="0" collapsed="false">
      <c r="A5" s="235" t="s">
        <v>2303</v>
      </c>
      <c r="B5" s="235"/>
      <c r="C5" s="235" t="n">
        <v>3</v>
      </c>
    </row>
    <row r="6" customFormat="false" ht="15.75" hidden="false" customHeight="true" outlineLevel="0" collapsed="false">
      <c r="A6" s="235" t="s">
        <v>2304</v>
      </c>
      <c r="B6" s="235"/>
      <c r="C6" s="236" t="n">
        <f aca="false">EDATE(C4,-12*C5)</f>
        <v>45206</v>
      </c>
    </row>
    <row r="7" customFormat="false" ht="15.75" hidden="false" customHeight="true" outlineLevel="0" collapsed="false">
      <c r="A7" s="235" t="s">
        <v>2305</v>
      </c>
      <c r="B7" s="235"/>
      <c r="C7" s="235" t="s">
        <v>2306</v>
      </c>
    </row>
    <row r="8" customFormat="false" ht="15.75" hidden="false" customHeight="true" outlineLevel="0" collapsed="false">
      <c r="A8" s="235" t="s">
        <v>2307</v>
      </c>
      <c r="B8" s="235"/>
      <c r="C8" s="235" t="n">
        <v>2</v>
      </c>
    </row>
    <row r="10" customFormat="false" ht="15" hidden="false" customHeight="false" outlineLevel="0" collapsed="false">
      <c r="A10" s="215" t="s">
        <v>2308</v>
      </c>
      <c r="B10" s="180"/>
      <c r="C10" s="180"/>
      <c r="D10" s="180"/>
      <c r="E10" s="180"/>
      <c r="F10" s="180"/>
      <c r="G10" s="180"/>
      <c r="H10" s="180"/>
      <c r="I10" s="180"/>
      <c r="J10" s="180"/>
      <c r="K10" s="180"/>
      <c r="L10" s="180"/>
      <c r="M10" s="180"/>
      <c r="N10" s="180"/>
      <c r="O10" s="180"/>
      <c r="P10" s="180"/>
      <c r="Q10" s="180"/>
    </row>
    <row r="11" customFormat="false" ht="16.5" hidden="false" customHeight="true" outlineLevel="0" collapsed="false">
      <c r="A11" s="237" t="s">
        <v>2309</v>
      </c>
      <c r="B11" s="237" t="s">
        <v>2310</v>
      </c>
      <c r="C11" s="237" t="s">
        <v>2311</v>
      </c>
      <c r="D11" s="237" t="s">
        <v>2312</v>
      </c>
      <c r="E11" s="237" t="s">
        <v>2313</v>
      </c>
      <c r="F11" s="237" t="s">
        <v>2314</v>
      </c>
      <c r="G11" s="237" t="s">
        <v>2315</v>
      </c>
      <c r="H11" s="237" t="s">
        <v>2275</v>
      </c>
      <c r="I11" s="237" t="s">
        <v>2276</v>
      </c>
      <c r="J11" s="237" t="s">
        <v>2316</v>
      </c>
      <c r="K11" s="237" t="s">
        <v>2317</v>
      </c>
      <c r="L11" s="237" t="s">
        <v>2318</v>
      </c>
      <c r="M11" s="237" t="s">
        <v>2319</v>
      </c>
      <c r="N11" s="237" t="s">
        <v>2320</v>
      </c>
      <c r="O11" s="237" t="s">
        <v>2200</v>
      </c>
      <c r="P11" s="237" t="s">
        <v>1707</v>
      </c>
      <c r="Q11" s="237" t="s">
        <v>2321</v>
      </c>
    </row>
    <row r="12" customFormat="false" ht="16.5" hidden="false" customHeight="true" outlineLevel="0" collapsed="false">
      <c r="A12" s="238" t="n">
        <v>45215</v>
      </c>
      <c r="B12" s="239" t="s">
        <v>2322</v>
      </c>
      <c r="C12" s="239" t="s">
        <v>2323</v>
      </c>
      <c r="D12" s="239" t="s">
        <v>2324</v>
      </c>
      <c r="E12" s="239" t="s">
        <v>2325</v>
      </c>
      <c r="F12" s="240" t="n">
        <v>56675.3</v>
      </c>
      <c r="G12" s="240" t="n">
        <v>35348.1</v>
      </c>
      <c r="H12" s="241" t="n">
        <v>0.3</v>
      </c>
      <c r="I12" s="241" t="n">
        <v>5.2</v>
      </c>
      <c r="J12" s="242" t="s">
        <v>2326</v>
      </c>
      <c r="K12" s="242" t="str">
        <f aca="false">IF(A12&gt;=$C$6,"Sí","No")</f>
        <v>Sí</v>
      </c>
      <c r="L12" s="242" t="str">
        <f aca="false">IF(J12=$C$7,"Sí","No")</f>
        <v>No</v>
      </c>
      <c r="M12" s="242" t="str">
        <f aca="false">IF(COUNT(H12:I12)&gt;=$C$8,"Sí","No")</f>
        <v>Sí</v>
      </c>
      <c r="N12" s="242" t="s">
        <v>2327</v>
      </c>
      <c r="O12" s="243" t="n">
        <v>1</v>
      </c>
      <c r="P12" s="239" t="s">
        <v>2328</v>
      </c>
      <c r="Q12" s="239" t="s">
        <v>2329</v>
      </c>
    </row>
    <row r="13" customFormat="false" ht="16.5" hidden="false" customHeight="true" outlineLevel="0" collapsed="false">
      <c r="A13" s="238" t="n">
        <v>43657</v>
      </c>
      <c r="B13" s="239" t="s">
        <v>2330</v>
      </c>
      <c r="C13" s="239" t="s">
        <v>2331</v>
      </c>
      <c r="D13" s="239" t="s">
        <v>1947</v>
      </c>
      <c r="E13" s="239" t="s">
        <v>2332</v>
      </c>
      <c r="F13" s="240" t="n">
        <v>116983.8</v>
      </c>
      <c r="G13" s="240" t="n">
        <v>4590.5</v>
      </c>
      <c r="H13" s="241" t="n">
        <v>1.5</v>
      </c>
      <c r="I13" s="241" t="n">
        <v>11.4</v>
      </c>
      <c r="J13" s="242" t="s">
        <v>2333</v>
      </c>
      <c r="K13" s="242" t="str">
        <f aca="false">IF(A13&gt;=$C$6,"Sí","No")</f>
        <v>No</v>
      </c>
      <c r="L13" s="242" t="str">
        <f aca="false">IF(J13=$C$7,"Sí","No")</f>
        <v>No</v>
      </c>
      <c r="M13" s="242" t="str">
        <f aca="false">IF(COUNT(H13:I13)&gt;=$C$8,"Sí","No")</f>
        <v>Sí</v>
      </c>
      <c r="N13" s="242" t="s">
        <v>2334</v>
      </c>
      <c r="O13" s="243" t="n">
        <v>1</v>
      </c>
      <c r="P13" s="239" t="s">
        <v>2335</v>
      </c>
      <c r="Q13" s="239" t="s">
        <v>2336</v>
      </c>
    </row>
    <row r="14" customFormat="false" ht="16.5" hidden="false" customHeight="true" outlineLevel="0" collapsed="false">
      <c r="A14" s="238" t="n">
        <v>43642</v>
      </c>
      <c r="B14" s="239" t="s">
        <v>2337</v>
      </c>
      <c r="C14" s="239" t="s">
        <v>2323</v>
      </c>
      <c r="D14" s="239" t="s">
        <v>2338</v>
      </c>
      <c r="E14" s="239" t="s">
        <v>2339</v>
      </c>
      <c r="F14" s="240" t="n">
        <v>56675.3</v>
      </c>
      <c r="G14" s="240" t="n">
        <v>130645</v>
      </c>
      <c r="H14" s="241" t="n">
        <v>0.4</v>
      </c>
      <c r="I14" s="241" t="n">
        <v>6.3</v>
      </c>
      <c r="J14" s="242" t="s">
        <v>2326</v>
      </c>
      <c r="K14" s="242" t="str">
        <f aca="false">IF(A14&gt;=$C$6,"Sí","No")</f>
        <v>No</v>
      </c>
      <c r="L14" s="242" t="str">
        <f aca="false">IF(J14=$C$7,"Sí","No")</f>
        <v>No</v>
      </c>
      <c r="M14" s="242" t="str">
        <f aca="false">IF(COUNT(H14:I14)&gt;=$C$8,"Sí","No")</f>
        <v>Sí</v>
      </c>
      <c r="N14" s="242" t="s">
        <v>2334</v>
      </c>
      <c r="O14" s="243" t="n">
        <v>1</v>
      </c>
      <c r="P14" s="239" t="s">
        <v>2340</v>
      </c>
      <c r="Q14" s="239" t="s">
        <v>2329</v>
      </c>
    </row>
    <row r="15" customFormat="false" ht="15" hidden="false" customHeight="false" outlineLevel="0" collapsed="false">
      <c r="A15" s="2"/>
      <c r="H15" s="244" t="n">
        <v>0.7</v>
      </c>
      <c r="I15" s="244" t="n">
        <v>7.6</v>
      </c>
      <c r="J15" s="140"/>
    </row>
    <row r="16" customFormat="false" ht="15" hidden="false" customHeight="false" outlineLevel="0" collapsed="false">
      <c r="A16" s="180" t="s">
        <v>2341</v>
      </c>
      <c r="B16" s="180"/>
      <c r="C16" s="180" t="str">
        <f aca="false">COUNTIF(K12:K14,"Sí")&amp;" de "&amp;COUNTA(B12:B14)</f>
        <v>1 de 3</v>
      </c>
    </row>
    <row r="17" customFormat="false" ht="15" hidden="false" customHeight="false" outlineLevel="0" collapsed="false">
      <c r="A17" s="180" t="s">
        <v>2342</v>
      </c>
      <c r="B17" s="180"/>
      <c r="C17" s="180" t="str">
        <f aca="false">COUNTIF(L12:L14,"Sí")&amp;" de "&amp;COUNTA(B12:B14)</f>
        <v>0 de 3</v>
      </c>
    </row>
    <row r="18" customFormat="false" ht="15" hidden="false" customHeight="false" outlineLevel="0" collapsed="false">
      <c r="A18" s="180" t="s">
        <v>2343</v>
      </c>
      <c r="B18" s="180"/>
      <c r="C18" s="180" t="str">
        <f aca="false">COUNTIF(N12:N14,"Sí")&amp;" de "&amp;COUNTA(B12:B14)</f>
        <v>1 de 3</v>
      </c>
    </row>
    <row r="19" customFormat="false" ht="15" hidden="false" customHeight="false" outlineLevel="0" collapsed="false">
      <c r="A19" s="180" t="s">
        <v>2344</v>
      </c>
      <c r="B19" s="180"/>
      <c r="C19" s="245" t="n">
        <f aca="false">H12/I12</f>
        <v>0.0576923076923077</v>
      </c>
      <c r="D19" s="246" t="n">
        <f aca="false">H13/I13</f>
        <v>0.131578947368421</v>
      </c>
      <c r="E19" s="246" t="n">
        <f aca="false">H14/I14</f>
        <v>0.0634920634920635</v>
      </c>
    </row>
    <row r="21" customFormat="false" ht="15" hidden="false" customHeight="false" outlineLevel="0" collapsed="false">
      <c r="A21" s="215" t="s">
        <v>2345</v>
      </c>
      <c r="B21" s="180"/>
      <c r="C21" s="180"/>
    </row>
    <row r="22" customFormat="false" ht="15" hidden="false" customHeight="false" outlineLevel="0" collapsed="false">
      <c r="A22" s="215" t="s">
        <v>2346</v>
      </c>
      <c r="B22" s="180"/>
      <c r="C22" s="180"/>
    </row>
    <row r="23" customFormat="false" ht="15" hidden="false" customHeight="false" outlineLevel="0" collapsed="false">
      <c r="A23" s="180" t="str">
        <f aca="false">C12</f>
        <v>Almacenes Éxito S.A.</v>
      </c>
      <c r="B23" s="226" t="n">
        <f aca="false">IF($O$12=1,H12,"")</f>
        <v>0.3</v>
      </c>
      <c r="C23" s="226" t="n">
        <f aca="false">IF($O$12=1,I12,"")</f>
        <v>5.2</v>
      </c>
    </row>
    <row r="24" customFormat="false" ht="15" hidden="false" customHeight="false" outlineLevel="0" collapsed="false">
      <c r="A24" s="180" t="str">
        <f aca="false">C13</f>
        <v>InRetail Perú Corp.</v>
      </c>
      <c r="B24" s="226" t="n">
        <f aca="false">IF($O$13=1,H13,"")</f>
        <v>1.5</v>
      </c>
      <c r="C24" s="226" t="n">
        <f aca="false">IF($O$13=1,I13,"")</f>
        <v>11.4</v>
      </c>
    </row>
    <row r="25" customFormat="false" ht="15" hidden="false" customHeight="false" outlineLevel="0" collapsed="false">
      <c r="A25" s="180" t="str">
        <f aca="false">C14</f>
        <v>Almacenes Éxito S.A.</v>
      </c>
      <c r="B25" s="226" t="n">
        <f aca="false">IF($O$14=1,H14,"")</f>
        <v>0.4</v>
      </c>
      <c r="C25" s="226" t="n">
        <f aca="false">IF($O$14=1,I14,"")</f>
        <v>6.3</v>
      </c>
    </row>
    <row r="27" customFormat="false" ht="15.75" hidden="false" customHeight="true" outlineLevel="0" collapsed="false">
      <c r="A27" s="217" t="s">
        <v>2347</v>
      </c>
      <c r="B27" s="217" t="s">
        <v>2275</v>
      </c>
      <c r="C27" s="217" t="s">
        <v>2276</v>
      </c>
      <c r="D27" s="217" t="s">
        <v>2348</v>
      </c>
      <c r="E27" s="217" t="s">
        <v>2349</v>
      </c>
      <c r="F27" s="218"/>
      <c r="G27" s="218"/>
    </row>
    <row r="28" customFormat="false" ht="15" hidden="false" customHeight="false" outlineLevel="0" collapsed="false">
      <c r="A28" s="180" t="s">
        <v>196</v>
      </c>
      <c r="B28" s="226" t="n">
        <f aca="false">MIN(B23:B25)</f>
        <v>0.3</v>
      </c>
      <c r="C28" s="226" t="n">
        <f aca="false">MIN(C23:C25)</f>
        <v>5.2</v>
      </c>
      <c r="D28" s="196" t="n">
        <f aca="false">IF(B28*Multiplos!$B$18+Multiplos!$B$30&gt;0,(B28*Multiplos!$B$18+Multiplos!$B$30)/Multiplos!$B$23,"NM")</f>
        <v>19.6878866666667</v>
      </c>
      <c r="E28" s="196" t="n">
        <f aca="false">IF(C28*Multiplos!$B$21+Multiplos!$B$30&gt;0,(C28*Multiplos!$B$21+Multiplos!$B$30)/Multiplos!$B$23,"NM")</f>
        <v>24.7618473333333</v>
      </c>
    </row>
    <row r="29" customFormat="false" ht="15" hidden="false" customHeight="false" outlineLevel="0" collapsed="false">
      <c r="A29" s="180" t="s">
        <v>2284</v>
      </c>
      <c r="B29" s="226" t="n">
        <f aca="false">PERCENTILE(B23:B25,0.25)</f>
        <v>0.35</v>
      </c>
      <c r="C29" s="226" t="n">
        <f aca="false">PERCENTILE(C23:C25,0.25)</f>
        <v>5.75</v>
      </c>
      <c r="D29" s="196" t="n">
        <f aca="false">IF(B29*Multiplos!$B$18+Multiplos!$B$30&gt;0,(B29*Multiplos!$B$18+Multiplos!$B$30)/Multiplos!$B$23,"NM")</f>
        <v>24.5289422222222</v>
      </c>
      <c r="E29" s="196" t="n">
        <f aca="false">IF(C29*Multiplos!$B$21+Multiplos!$B$30&gt;0,(C29*Multiplos!$B$21+Multiplos!$B$30)/Multiplos!$B$23,"NM")</f>
        <v>28.3707245833333</v>
      </c>
    </row>
    <row r="30" customFormat="false" ht="15" hidden="false" customHeight="false" outlineLevel="0" collapsed="false">
      <c r="A30" s="215" t="s">
        <v>1950</v>
      </c>
      <c r="B30" s="226" t="n">
        <f aca="false">AVERAGE(B23:B25)</f>
        <v>0.733333333333333</v>
      </c>
      <c r="C30" s="226" t="n">
        <f aca="false">AVERAGE(C23:C25)</f>
        <v>7.63333333333333</v>
      </c>
      <c r="D30" s="196" t="n">
        <f aca="false">IF(B30*Multiplos!$B$18+Multiplos!$B$30&gt;0,(B30*Multiplos!$B$18+Multiplos!$B$30)/Multiplos!$B$23,"NM")</f>
        <v>61.6437014814815</v>
      </c>
      <c r="E30" s="196" t="n">
        <f aca="false">IF(C30*Multiplos!$B$21+Multiplos!$B$30&gt;0,(C30*Multiplos!$B$21+Multiplos!$B$30)/Multiplos!$B$23,"NM")</f>
        <v>40.7283951666667</v>
      </c>
    </row>
    <row r="31" customFormat="false" ht="15" hidden="false" customHeight="false" outlineLevel="0" collapsed="false">
      <c r="A31" s="180" t="s">
        <v>2285</v>
      </c>
      <c r="B31" s="226" t="n">
        <f aca="false">MEDIAN(B23:B25)</f>
        <v>0.4</v>
      </c>
      <c r="C31" s="226" t="n">
        <f aca="false">MEDIAN(C23:C25)</f>
        <v>6.3</v>
      </c>
      <c r="D31" s="196" t="n">
        <f aca="false">IF(B31*Multiplos!$B$18+Multiplos!$B$30&gt;0,(B31*Multiplos!$B$18+Multiplos!$B$30)/Multiplos!$B$23,"NM")</f>
        <v>29.3699977777778</v>
      </c>
      <c r="E31" s="196" t="n">
        <f aca="false">IF(C31*Multiplos!$B$21+Multiplos!$B$30&gt;0,(C31*Multiplos!$B$21+Multiplos!$B$30)/Multiplos!$B$23,"NM")</f>
        <v>31.9796018333333</v>
      </c>
    </row>
    <row r="32" customFormat="false" ht="15" hidden="false" customHeight="false" outlineLevel="0" collapsed="false">
      <c r="A32" s="180" t="s">
        <v>2286</v>
      </c>
      <c r="B32" s="226" t="n">
        <f aca="false">PERCENTILE(B23:B25,0.75)</f>
        <v>0.95</v>
      </c>
      <c r="C32" s="226" t="n">
        <f aca="false">PERCENTILE(C23:C25,0.75)</f>
        <v>8.85</v>
      </c>
      <c r="D32" s="196" t="n">
        <f aca="false">IF(B32*Multiplos!$B$18+Multiplos!$B$30&gt;0,(B32*Multiplos!$B$18+Multiplos!$B$30)/Multiplos!$B$23,"NM")</f>
        <v>82.6216088888889</v>
      </c>
      <c r="E32" s="196" t="n">
        <f aca="false">IF(C32*Multiplos!$B$21+Multiplos!$B$30&gt;0,(C32*Multiplos!$B$21+Multiplos!$B$30)/Multiplos!$B$23,"NM")</f>
        <v>48.7116690833333</v>
      </c>
    </row>
    <row r="33" customFormat="false" ht="15" hidden="false" customHeight="false" outlineLevel="0" collapsed="false">
      <c r="A33" s="180" t="s">
        <v>195</v>
      </c>
      <c r="B33" s="226" t="n">
        <f aca="false">MAX(B23:B25)</f>
        <v>1.5</v>
      </c>
      <c r="C33" s="226" t="n">
        <f aca="false">MAX(C23:C25)</f>
        <v>11.4</v>
      </c>
      <c r="D33" s="196" t="n">
        <f aca="false">IF(B33*Multiplos!$B$18+Multiplos!$B$30&gt;0,(B33*Multiplos!$B$18+Multiplos!$B$30)/Multiplos!$B$23,"NM")</f>
        <v>135.87322</v>
      </c>
      <c r="E33" s="196" t="n">
        <f aca="false">IF(C33*Multiplos!$B$21+Multiplos!$B$30&gt;0,(C33*Multiplos!$B$21+Multiplos!$B$30)/Multiplos!$B$23,"NM")</f>
        <v>65.4437363333333</v>
      </c>
    </row>
    <row r="34" customFormat="false" ht="15" hidden="false" customHeight="false" outlineLevel="0" collapsed="false">
      <c r="A34" s="0" t="s">
        <v>1535</v>
      </c>
      <c r="B34" s="247" t="n">
        <f aca="false">COUNT(B23:B25)</f>
        <v>3</v>
      </c>
      <c r="C34" s="247" t="n">
        <f aca="false">COUNT(C23:C25)</f>
        <v>3</v>
      </c>
    </row>
    <row r="36" customFormat="false" ht="31.5" hidden="false" customHeight="true" outlineLevel="0" collapsed="false">
      <c r="A36" s="217" t="s">
        <v>2287</v>
      </c>
      <c r="B36" s="217" t="s">
        <v>2275</v>
      </c>
      <c r="C36" s="217" t="s">
        <v>2276</v>
      </c>
      <c r="D36" s="218"/>
      <c r="E36" s="218"/>
      <c r="F36" s="218"/>
      <c r="G36" s="218"/>
    </row>
    <row r="37" customFormat="false" ht="15" hidden="false" customHeight="false" outlineLevel="0" collapsed="false">
      <c r="A37" s="180" t="s">
        <v>2350</v>
      </c>
      <c r="B37" s="226" t="n">
        <f aca="false">B30</f>
        <v>0.733333333333333</v>
      </c>
      <c r="C37" s="226" t="n">
        <f aca="false">C30</f>
        <v>7.63333333333333</v>
      </c>
    </row>
    <row r="38" customFormat="false" ht="15" hidden="false" customHeight="false" outlineLevel="0" collapsed="false">
      <c r="A38" s="180" t="s">
        <v>2351</v>
      </c>
      <c r="B38" s="195" t="n">
        <f aca="false">Multiplos!$B$18</f>
        <v>174278</v>
      </c>
      <c r="C38" s="195" t="n">
        <f aca="false">Multiplos!$B$21</f>
        <v>11810.871</v>
      </c>
    </row>
    <row r="39" customFormat="false" ht="15" hidden="false" customHeight="false" outlineLevel="0" collapsed="false">
      <c r="A39" s="180" t="s">
        <v>2289</v>
      </c>
      <c r="B39" s="195" t="n">
        <f aca="false">B37*B38</f>
        <v>127803.866666667</v>
      </c>
      <c r="C39" s="195" t="n">
        <f aca="false">C37*C38</f>
        <v>90156.3153</v>
      </c>
    </row>
    <row r="40" customFormat="false" ht="15" hidden="false" customHeight="false" outlineLevel="0" collapsed="false">
      <c r="A40" s="180" t="s">
        <v>2352</v>
      </c>
      <c r="B40" s="195" t="n">
        <f aca="false">Multiplos!$B$30</f>
        <v>-16845.204</v>
      </c>
      <c r="C40" s="195" t="n">
        <f aca="false">Multiplos!$B$30</f>
        <v>-16845.204</v>
      </c>
    </row>
    <row r="41" customFormat="false" ht="15" hidden="false" customHeight="false" outlineLevel="0" collapsed="false">
      <c r="A41" s="215" t="s">
        <v>2291</v>
      </c>
      <c r="B41" s="195" t="n">
        <f aca="false">B39+B40</f>
        <v>110958.662666667</v>
      </c>
      <c r="C41" s="195" t="n">
        <f aca="false">C39+C40</f>
        <v>73311.1113</v>
      </c>
    </row>
    <row r="42" customFormat="false" ht="15" hidden="false" customHeight="false" outlineLevel="0" collapsed="false">
      <c r="A42" s="215" t="s">
        <v>2292</v>
      </c>
      <c r="B42" s="196" t="n">
        <f aca="false">D30</f>
        <v>61.6437014814815</v>
      </c>
      <c r="C42" s="196" t="n">
        <f aca="false">E30</f>
        <v>40.7283951666667</v>
      </c>
    </row>
    <row r="44" customFormat="false" ht="15" hidden="false" customHeight="false" outlineLevel="0" collapsed="false">
      <c r="A44" s="215" t="s">
        <v>2353</v>
      </c>
    </row>
    <row r="45" customFormat="false" ht="15.75" hidden="false" customHeight="true" outlineLevel="0" collapsed="false">
      <c r="A45" s="248" t="s">
        <v>2264</v>
      </c>
      <c r="B45" s="217"/>
      <c r="C45" s="217" t="s">
        <v>2267</v>
      </c>
      <c r="D45" s="217" t="s">
        <v>2173</v>
      </c>
      <c r="E45" s="217" t="s">
        <v>2354</v>
      </c>
    </row>
    <row r="46" customFormat="false" ht="15" hidden="false" customHeight="false" outlineLevel="0" collapsed="false">
      <c r="A46" s="249" t="s">
        <v>2276</v>
      </c>
      <c r="B46" s="180"/>
      <c r="C46" s="215" t="n">
        <v>1</v>
      </c>
      <c r="D46" s="180" t="s">
        <v>2269</v>
      </c>
      <c r="E46" s="180" t="s">
        <v>2355</v>
      </c>
    </row>
    <row r="47" customFormat="false" ht="15" hidden="false" customHeight="false" outlineLevel="0" collapsed="false">
      <c r="A47" s="249" t="s">
        <v>2275</v>
      </c>
      <c r="B47" s="180"/>
      <c r="C47" s="215" t="n">
        <v>0</v>
      </c>
      <c r="D47" s="180" t="s">
        <v>2271</v>
      </c>
      <c r="E47" s="180" t="s">
        <v>2356</v>
      </c>
    </row>
    <row r="49" customFormat="false" ht="15" hidden="false" customHeight="false" outlineLevel="0" collapsed="false">
      <c r="A49" s="215" t="s">
        <v>2357</v>
      </c>
      <c r="B49" s="180"/>
      <c r="C49" s="180"/>
      <c r="D49" s="180"/>
      <c r="E49" s="232" t="n">
        <f aca="false">IF((C46+C47)=0,"NA",(IF(C46=1,E30,0)+IF(C47=1,D30,0))/(C46+C47))</f>
        <v>40.7283951666667</v>
      </c>
    </row>
    <row r="50" customFormat="false" ht="15" hidden="false" customHeight="false" outlineLevel="0" collapsed="false">
      <c r="A50" s="180" t="s">
        <v>2358</v>
      </c>
      <c r="B50" s="180"/>
      <c r="C50" s="180"/>
      <c r="D50" s="180"/>
      <c r="E50" s="196" t="n">
        <f aca="false">E28</f>
        <v>24.7618473333333</v>
      </c>
      <c r="F50" s="250" t="n">
        <f aca="false">E33</f>
        <v>65.4437363333333</v>
      </c>
    </row>
    <row r="52" customFormat="false" ht="15" hidden="false" customHeight="false" outlineLevel="0" collapsed="false">
      <c r="A52" s="251" t="s">
        <v>2359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selection pane="topLeft" activeCell="N35" activeCellId="0" sqref="N35"/>
    </sheetView>
  </sheetViews>
  <sheetFormatPr defaultColWidth="8.66796875" defaultRowHeight="15" zeroHeight="false" outlineLevelRow="0" outlineLevelCol="0"/>
  <cols>
    <col collapsed="false" customWidth="true" hidden="false" outlineLevel="0" max="1" min="1" style="0" width="59.5"/>
    <col collapsed="false" customWidth="true" hidden="false" outlineLevel="0" max="2" min="2" style="0" width="16"/>
    <col collapsed="false" customWidth="true" hidden="false" outlineLevel="0" max="5" min="3" style="0" width="14"/>
    <col collapsed="false" customWidth="true" hidden="false" outlineLevel="0" max="6" min="6" style="0" width="70"/>
    <col collapsed="false" customWidth="true" hidden="false" outlineLevel="0" max="7" min="7" style="0" width="16"/>
  </cols>
  <sheetData>
    <row r="1" customFormat="false" ht="15" hidden="false" customHeight="false" outlineLevel="0" collapsed="false">
      <c r="A1" s="252" t="s">
        <v>2360</v>
      </c>
      <c r="B1" s="80"/>
      <c r="C1" s="80"/>
      <c r="D1" s="80"/>
      <c r="E1" s="80"/>
      <c r="F1" s="80"/>
      <c r="G1" s="80"/>
      <c r="H1" s="80"/>
      <c r="I1" s="80"/>
    </row>
    <row r="2" customFormat="false" ht="15" hidden="false" customHeight="false" outlineLevel="0" collapsed="false">
      <c r="A2" s="253"/>
      <c r="B2" s="80"/>
      <c r="C2" s="80"/>
      <c r="D2" s="80"/>
      <c r="E2" s="80"/>
      <c r="F2" s="80"/>
      <c r="G2" s="80"/>
      <c r="H2" s="80"/>
      <c r="I2" s="80"/>
    </row>
    <row r="3" customFormat="false" ht="29.25" hidden="false" customHeight="true" outlineLevel="0" collapsed="false">
      <c r="A3" s="254" t="s">
        <v>2361</v>
      </c>
      <c r="B3" s="254" t="s">
        <v>1506</v>
      </c>
      <c r="C3" s="254" t="s">
        <v>2362</v>
      </c>
      <c r="D3" s="254" t="s">
        <v>2363</v>
      </c>
      <c r="E3" s="254" t="s">
        <v>2364</v>
      </c>
      <c r="F3" s="254" t="s">
        <v>2365</v>
      </c>
      <c r="G3" s="254" t="s">
        <v>2366</v>
      </c>
      <c r="H3" s="80"/>
      <c r="I3" s="80"/>
    </row>
    <row r="4" customFormat="false" ht="43.5" hidden="false" customHeight="true" outlineLevel="0" collapsed="false">
      <c r="A4" s="255" t="s">
        <v>2367</v>
      </c>
      <c r="B4" s="256" t="n">
        <f aca="false">'Proyección Final Soriana'!B265</f>
        <v>39.2103079806326</v>
      </c>
      <c r="C4" s="257" t="n">
        <v>0.5</v>
      </c>
      <c r="D4" s="258" t="n">
        <f aca="false">1/3</f>
        <v>0.333333333333333</v>
      </c>
      <c r="E4" s="256" t="n">
        <f aca="false">IF(ISNUMBER(B4),B4*C4,0)</f>
        <v>19.6051539903163</v>
      </c>
      <c r="F4" s="259" t="s">
        <v>2368</v>
      </c>
      <c r="G4" s="255" t="str">
        <f aca="false">IF(C4&gt;0,"Sí","No (referencia)")</f>
        <v>Sí</v>
      </c>
      <c r="H4" s="80"/>
      <c r="I4" s="80"/>
    </row>
    <row r="5" customFormat="false" ht="43.5" hidden="false" customHeight="true" outlineLevel="0" collapsed="false">
      <c r="A5" s="255" t="s">
        <v>2369</v>
      </c>
      <c r="B5" s="256" t="n">
        <f aca="false">Multiplos!D73</f>
        <v>33.4928408544974</v>
      </c>
      <c r="C5" s="257" t="n">
        <v>0.5</v>
      </c>
      <c r="D5" s="258" t="n">
        <f aca="false">1/3</f>
        <v>0.333333333333333</v>
      </c>
      <c r="E5" s="256" t="n">
        <f aca="false">IF(ISNUMBER(B5),B5*C5,0)</f>
        <v>16.7464204272487</v>
      </c>
      <c r="F5" s="259" t="s">
        <v>2370</v>
      </c>
      <c r="G5" s="255" t="str">
        <f aca="false">IF(C5&gt;0,"Sí","No (referencia)")</f>
        <v>Sí</v>
      </c>
      <c r="H5" s="80"/>
      <c r="I5" s="80"/>
    </row>
    <row r="6" customFormat="false" ht="43.5" hidden="false" customHeight="true" outlineLevel="0" collapsed="false">
      <c r="A6" s="255" t="s">
        <v>2371</v>
      </c>
      <c r="B6" s="256" t="n">
        <f aca="false">Transacciones!E49</f>
        <v>40.7283951666667</v>
      </c>
      <c r="C6" s="257" t="n">
        <v>0</v>
      </c>
      <c r="D6" s="258" t="n">
        <f aca="false">1/3</f>
        <v>0.333333333333333</v>
      </c>
      <c r="E6" s="256" t="n">
        <f aca="false">IF(ISNUMBER(B6),B6*C6,0)</f>
        <v>0</v>
      </c>
      <c r="F6" s="259" t="s">
        <v>2372</v>
      </c>
      <c r="G6" s="255" t="str">
        <f aca="false">IF(C6&gt;0,"Sí","No (referencia)")</f>
        <v>No (referencia)</v>
      </c>
      <c r="H6" s="80"/>
      <c r="I6" s="80"/>
    </row>
    <row r="7" customFormat="false" ht="15" hidden="false" customHeight="false" outlineLevel="0" collapsed="false">
      <c r="A7" s="80" t="s">
        <v>2373</v>
      </c>
      <c r="B7" s="80"/>
      <c r="C7" s="260" t="n">
        <f aca="false">SUM(C4:C6)</f>
        <v>1</v>
      </c>
      <c r="D7" s="261" t="n">
        <f aca="false">SUM(D4:D6)</f>
        <v>1</v>
      </c>
      <c r="E7" s="80"/>
      <c r="F7" s="80"/>
      <c r="G7" s="80"/>
      <c r="H7" s="80"/>
      <c r="I7" s="80"/>
    </row>
    <row r="8" customFormat="false" ht="15" hidden="false" customHeight="false" outlineLevel="0" collapsed="false">
      <c r="A8" s="80"/>
      <c r="B8" s="80"/>
      <c r="C8" s="80"/>
      <c r="D8" s="80"/>
      <c r="E8" s="80"/>
      <c r="F8" s="80"/>
      <c r="G8" s="80"/>
      <c r="H8" s="80"/>
      <c r="I8" s="80"/>
    </row>
    <row r="9" customFormat="false" ht="15" hidden="false" customHeight="false" outlineLevel="0" collapsed="false">
      <c r="A9" s="255" t="s">
        <v>2374</v>
      </c>
      <c r="B9" s="262" t="n">
        <f aca="false">IF(ABS(C7-1)&gt;0.000000001,"Los pesos deben sumar 100%",IF(SUMPRODUCT((C4:C6&gt;0)*(1-ISNUMBER(B4:B6)))&gt;0,"NA: método con peso sin precio",SUMPRODUCT(B4:B6,C4:C6)))</f>
        <v>36.351574417565</v>
      </c>
      <c r="C9" s="263"/>
      <c r="D9" s="263"/>
      <c r="E9" s="263"/>
      <c r="F9" s="264"/>
      <c r="G9" s="80"/>
      <c r="H9" s="80"/>
      <c r="I9" s="80"/>
    </row>
    <row r="10" customFormat="false" ht="15" hidden="false" customHeight="false" outlineLevel="0" collapsed="false">
      <c r="A10" s="263" t="s">
        <v>2375</v>
      </c>
      <c r="B10" s="256" t="n">
        <f aca="false">Valuación!B42</f>
        <v>33.1</v>
      </c>
      <c r="C10" s="263"/>
      <c r="D10" s="263"/>
      <c r="E10" s="263"/>
      <c r="F10" s="80"/>
      <c r="G10" s="80"/>
      <c r="H10" s="80"/>
      <c r="I10" s="80"/>
    </row>
    <row r="11" customFormat="false" ht="15" hidden="false" customHeight="false" outlineLevel="0" collapsed="false">
      <c r="A11" s="263" t="s">
        <v>2376</v>
      </c>
      <c r="B11" s="256" t="n">
        <f aca="false">B9-B10</f>
        <v>3.25157441756495</v>
      </c>
      <c r="C11" s="263"/>
      <c r="D11" s="263"/>
      <c r="E11" s="263"/>
      <c r="F11" s="80"/>
      <c r="G11" s="80"/>
      <c r="H11" s="80"/>
      <c r="I11" s="80"/>
    </row>
    <row r="12" customFormat="false" ht="15" hidden="false" customHeight="false" outlineLevel="0" collapsed="false">
      <c r="A12" s="263" t="s">
        <v>2377</v>
      </c>
      <c r="B12" s="265" t="n">
        <f aca="false">B9/B10-1</f>
        <v>0.0982348766635937</v>
      </c>
      <c r="C12" s="263"/>
      <c r="D12" s="263"/>
      <c r="E12" s="263"/>
      <c r="F12" s="80"/>
      <c r="G12" s="80"/>
      <c r="H12" s="80"/>
      <c r="I12" s="80"/>
    </row>
    <row r="13" customFormat="false" ht="15" hidden="false" customHeight="false" outlineLevel="0" collapsed="false">
      <c r="A13" s="80"/>
      <c r="B13" s="80"/>
      <c r="C13" s="80"/>
      <c r="D13" s="80"/>
      <c r="E13" s="80"/>
      <c r="F13" s="80"/>
      <c r="G13" s="80"/>
      <c r="H13" s="80"/>
      <c r="I13" s="80"/>
    </row>
    <row r="14" customFormat="false" ht="15" hidden="false" customHeight="false" outlineLevel="0" collapsed="false">
      <c r="A14" s="263" t="s">
        <v>2378</v>
      </c>
      <c r="B14" s="256" t="n">
        <f aca="false">SUMPRODUCT(B4:B6,D4:D6)/D7</f>
        <v>37.8105146672655</v>
      </c>
      <c r="C14" s="80"/>
      <c r="D14" s="80"/>
      <c r="E14" s="80"/>
      <c r="F14" s="80" t="s">
        <v>2379</v>
      </c>
      <c r="G14" s="80"/>
      <c r="H14" s="80"/>
      <c r="I14" s="80"/>
    </row>
    <row r="15" customFormat="false" ht="15" hidden="false" customHeight="false" outlineLevel="0" collapsed="false">
      <c r="A15" s="80"/>
      <c r="B15" s="80"/>
      <c r="C15" s="80"/>
      <c r="D15" s="80"/>
      <c r="E15" s="80"/>
      <c r="F15" s="80"/>
      <c r="G15" s="80"/>
      <c r="H15" s="80"/>
      <c r="I15" s="80"/>
    </row>
    <row r="16" customFormat="false" ht="15" hidden="false" customHeight="false" outlineLevel="0" collapsed="false">
      <c r="A16" s="255" t="s">
        <v>2380</v>
      </c>
      <c r="B16" s="263"/>
      <c r="C16" s="263"/>
      <c r="D16" s="263"/>
      <c r="E16" s="80"/>
      <c r="F16" s="80"/>
      <c r="G16" s="80"/>
    </row>
    <row r="17" customFormat="false" ht="15" hidden="false" customHeight="false" outlineLevel="0" collapsed="false">
      <c r="A17" s="254" t="s">
        <v>2361</v>
      </c>
      <c r="B17" s="254" t="s">
        <v>2381</v>
      </c>
      <c r="C17" s="254" t="s">
        <v>2382</v>
      </c>
      <c r="D17" s="254" t="s">
        <v>2383</v>
      </c>
      <c r="E17" s="80"/>
      <c r="F17" s="80"/>
      <c r="G17" s="80"/>
    </row>
    <row r="18" customFormat="false" ht="15" hidden="false" customHeight="false" outlineLevel="0" collapsed="false">
      <c r="A18" s="263" t="s">
        <v>2384</v>
      </c>
      <c r="B18" s="256" t="n">
        <f aca="false">MIN(Escenarios!B36:D36)</f>
        <v>32.1247976721337</v>
      </c>
      <c r="C18" s="256" t="n">
        <f aca="false">B4</f>
        <v>39.2103079806326</v>
      </c>
      <c r="D18" s="256" t="n">
        <f aca="false">MAX(Escenarios!B36:D36)</f>
        <v>47.7416662911104</v>
      </c>
      <c r="E18" s="80"/>
      <c r="F18" s="80"/>
      <c r="G18" s="80"/>
    </row>
    <row r="19" customFormat="false" ht="15" hidden="false" customHeight="false" outlineLevel="0" collapsed="false">
      <c r="A19" s="263" t="s">
        <v>2369</v>
      </c>
      <c r="B19" s="256" t="n">
        <f aca="false">Multiplos!D74</f>
        <v>27.031161037037</v>
      </c>
      <c r="C19" s="256" t="n">
        <f aca="false">B5</f>
        <v>33.4928408544974</v>
      </c>
      <c r="D19" s="256" t="n">
        <f aca="false">Multiplos!D75</f>
        <v>40.0699866203704</v>
      </c>
      <c r="E19" s="80"/>
      <c r="F19" s="80"/>
      <c r="G19" s="80"/>
    </row>
    <row r="20" customFormat="false" ht="15" hidden="false" customHeight="false" outlineLevel="0" collapsed="false">
      <c r="A20" s="263" t="s">
        <v>2385</v>
      </c>
      <c r="B20" s="256" t="n">
        <f aca="false">Transacciones!E50</f>
        <v>24.7618473333333</v>
      </c>
      <c r="C20" s="256" t="n">
        <f aca="false">B6</f>
        <v>40.7283951666667</v>
      </c>
      <c r="D20" s="256" t="n">
        <f aca="false">Transacciones!F50</f>
        <v>65.4437363333333</v>
      </c>
      <c r="E20" s="80"/>
      <c r="F20" s="80"/>
      <c r="G20" s="80"/>
    </row>
    <row r="21" customFormat="false" ht="15" hidden="false" customHeight="false" outlineLevel="0" collapsed="false">
      <c r="A21" s="80"/>
      <c r="B21" s="80"/>
      <c r="C21" s="80"/>
      <c r="D21" s="80"/>
      <c r="E21" s="80"/>
      <c r="F21" s="80"/>
      <c r="G21" s="80"/>
      <c r="H21" s="80"/>
      <c r="I21" s="8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70"/>
  <sheetViews>
    <sheetView showFormulas="false" showGridLines="true" showRowColHeaders="true" showZeros="true" rightToLeft="false" tabSelected="true" showOutlineSymbols="true" defaultGridColor="true" view="normal" topLeftCell="A1" colorId="64" zoomScale="50" zoomScaleNormal="50" zoomScalePageLayoutView="100" workbookViewId="0">
      <selection pane="topLeft" activeCell="AL48" activeCellId="0" sqref="AL48"/>
    </sheetView>
  </sheetViews>
  <sheetFormatPr defaultColWidth="8.66796875" defaultRowHeight="15" zeroHeight="false" outlineLevelRow="0" outlineLevelCol="0"/>
  <cols>
    <col collapsed="false" customWidth="true" hidden="false" outlineLevel="0" max="1" min="1" style="0" width="62"/>
    <col collapsed="false" customWidth="true" hidden="false" outlineLevel="0" max="4" min="2" style="0" width="15"/>
    <col collapsed="false" customWidth="true" hidden="false" outlineLevel="0" max="5" min="5" style="0" width="17"/>
    <col collapsed="false" customWidth="true" hidden="false" outlineLevel="0" max="15" min="6" style="0" width="13"/>
    <col collapsed="false" customWidth="true" hidden="false" outlineLevel="0" max="21" min="20" style="0" width="16"/>
    <col collapsed="false" customWidth="true" hidden="false" outlineLevel="0" max="25" min="22" style="0" width="14"/>
  </cols>
  <sheetData>
    <row r="1" customFormat="false" ht="18" hidden="false" customHeight="true" outlineLevel="0" collapsed="false">
      <c r="A1" s="59" t="s">
        <v>2386</v>
      </c>
    </row>
    <row r="2" customFormat="false" ht="15" hidden="false" customHeight="false" outlineLevel="0" collapsed="false">
      <c r="A2" s="75" t="s">
        <v>2387</v>
      </c>
    </row>
    <row r="3" customFormat="false" ht="15" hidden="false" customHeight="false" outlineLevel="0" collapsed="false">
      <c r="A3" s="75" t="s">
        <v>2388</v>
      </c>
    </row>
    <row r="4" customFormat="false" ht="15" hidden="false" customHeight="false" outlineLevel="0" collapsed="false">
      <c r="A4" s="198" t="s">
        <v>2389</v>
      </c>
      <c r="B4" s="198" t="n">
        <v>2</v>
      </c>
      <c r="C4" s="198" t="str">
        <f aca="false">CHOOSE(B4,"Conservador","Base","Optimista")</f>
        <v>Base</v>
      </c>
    </row>
    <row r="6" customFormat="false" ht="45" hidden="false" customHeight="true" outlineLevel="0" collapsed="false">
      <c r="A6" s="72" t="s">
        <v>2390</v>
      </c>
      <c r="B6" s="72" t="s">
        <v>2167</v>
      </c>
      <c r="C6" s="72" t="s">
        <v>2168</v>
      </c>
      <c r="D6" s="72" t="s">
        <v>2169</v>
      </c>
      <c r="E6" s="72" t="s">
        <v>2391</v>
      </c>
      <c r="F6" s="72" t="s">
        <v>2392</v>
      </c>
      <c r="G6" s="72" t="s">
        <v>2393</v>
      </c>
      <c r="H6" s="72" t="s">
        <v>2394</v>
      </c>
      <c r="I6" s="72" t="s">
        <v>2395</v>
      </c>
      <c r="J6" s="72" t="s">
        <v>2396</v>
      </c>
      <c r="K6" s="72" t="s">
        <v>2397</v>
      </c>
      <c r="L6" s="72" t="s">
        <v>2398</v>
      </c>
      <c r="M6" s="72" t="s">
        <v>2399</v>
      </c>
      <c r="N6" s="72" t="s">
        <v>2400</v>
      </c>
      <c r="O6" s="72" t="s">
        <v>2401</v>
      </c>
    </row>
    <row r="7" customFormat="false" ht="15" hidden="false" customHeight="false" outlineLevel="0" collapsed="false">
      <c r="A7" s="199" t="s">
        <v>2402</v>
      </c>
      <c r="B7" s="200" t="n">
        <f aca="false">Inflación!B20</f>
        <v>0.04</v>
      </c>
      <c r="C7" s="200" t="n">
        <f aca="false">Inflación!B21</f>
        <v>0.0351</v>
      </c>
      <c r="D7" s="200" t="n">
        <f aca="false">Inflación!B22</f>
        <v>0.0333</v>
      </c>
      <c r="E7" s="200" t="n">
        <f aca="false">INDEX(B7:D7,$B$4)</f>
        <v>0.0351</v>
      </c>
      <c r="F7" s="200" t="n">
        <f aca="false">B7</f>
        <v>0.04</v>
      </c>
      <c r="G7" s="200" t="n">
        <f aca="false">D7</f>
        <v>0.0333</v>
      </c>
      <c r="H7" s="200" t="n">
        <f aca="false">$C7</f>
        <v>0.0351</v>
      </c>
      <c r="I7" s="200" t="n">
        <f aca="false">$C7</f>
        <v>0.0351</v>
      </c>
      <c r="J7" s="200" t="n">
        <f aca="false">$C7</f>
        <v>0.0351</v>
      </c>
      <c r="K7" s="200" t="n">
        <f aca="false">$C7</f>
        <v>0.0351</v>
      </c>
      <c r="L7" s="200" t="n">
        <f aca="false">$C7</f>
        <v>0.0351</v>
      </c>
      <c r="M7" s="200" t="n">
        <f aca="false">$C7</f>
        <v>0.0351</v>
      </c>
      <c r="N7" s="200" t="n">
        <f aca="false">$C7</f>
        <v>0.0351</v>
      </c>
      <c r="O7" s="200" t="n">
        <f aca="false">$C7</f>
        <v>0.0351</v>
      </c>
    </row>
    <row r="8" customFormat="false" ht="15" hidden="false" customHeight="false" outlineLevel="0" collapsed="false">
      <c r="A8" s="199" t="s">
        <v>2403</v>
      </c>
      <c r="B8" s="200" t="n">
        <v>-0.01</v>
      </c>
      <c r="C8" s="200" t="n">
        <v>0</v>
      </c>
      <c r="D8" s="200" t="n">
        <v>0.01</v>
      </c>
      <c r="E8" s="200" t="n">
        <f aca="false">INDEX(B8:D8,$B$4)</f>
        <v>0</v>
      </c>
      <c r="F8" s="200" t="n">
        <f aca="false">$C8</f>
        <v>0</v>
      </c>
      <c r="G8" s="200" t="n">
        <f aca="false">$C8</f>
        <v>0</v>
      </c>
      <c r="H8" s="200" t="n">
        <f aca="false">B8</f>
        <v>-0.01</v>
      </c>
      <c r="I8" s="200" t="n">
        <f aca="false">D8</f>
        <v>0.01</v>
      </c>
      <c r="J8" s="200" t="n">
        <f aca="false">$C8</f>
        <v>0</v>
      </c>
      <c r="K8" s="200" t="n">
        <f aca="false">$C8</f>
        <v>0</v>
      </c>
      <c r="L8" s="200" t="n">
        <f aca="false">$C8</f>
        <v>0</v>
      </c>
      <c r="M8" s="200" t="n">
        <f aca="false">$C8</f>
        <v>0</v>
      </c>
      <c r="N8" s="200" t="n">
        <f aca="false">$C8</f>
        <v>0</v>
      </c>
      <c r="O8" s="200" t="n">
        <f aca="false">$C8</f>
        <v>0</v>
      </c>
    </row>
    <row r="9" customFormat="false" ht="15" hidden="false" customHeight="false" outlineLevel="0" collapsed="false">
      <c r="A9" s="199" t="s">
        <v>2404</v>
      </c>
      <c r="B9" s="200" t="n">
        <v>-0.0025</v>
      </c>
      <c r="C9" s="200" t="n">
        <v>0</v>
      </c>
      <c r="D9" s="200" t="n">
        <v>0.0025</v>
      </c>
      <c r="E9" s="200" t="n">
        <f aca="false">INDEX(B9:D9,$B$4)</f>
        <v>0</v>
      </c>
      <c r="F9" s="200" t="n">
        <f aca="false">$C9</f>
        <v>0</v>
      </c>
      <c r="G9" s="200" t="n">
        <f aca="false">$C9</f>
        <v>0</v>
      </c>
      <c r="H9" s="200" t="n">
        <f aca="false">$C9</f>
        <v>0</v>
      </c>
      <c r="I9" s="200" t="n">
        <f aca="false">$C9</f>
        <v>0</v>
      </c>
      <c r="J9" s="200" t="n">
        <f aca="false">B9</f>
        <v>-0.0025</v>
      </c>
      <c r="K9" s="200" t="n">
        <f aca="false">D9</f>
        <v>0.0025</v>
      </c>
      <c r="L9" s="200" t="n">
        <f aca="false">$C9</f>
        <v>0</v>
      </c>
      <c r="M9" s="200" t="n">
        <f aca="false">$C9</f>
        <v>0</v>
      </c>
      <c r="N9" s="200" t="n">
        <f aca="false">$C9</f>
        <v>0</v>
      </c>
      <c r="O9" s="200" t="n">
        <f aca="false">$C9</f>
        <v>0</v>
      </c>
    </row>
    <row r="10" customFormat="false" ht="15" hidden="false" customHeight="false" outlineLevel="0" collapsed="false">
      <c r="A10" s="199" t="s">
        <v>2405</v>
      </c>
      <c r="B10" s="266" t="n">
        <f aca="false">C10+'Beta Regresión'!B46</f>
        <v>0.344780636491494</v>
      </c>
      <c r="C10" s="266" t="n">
        <f aca="false">WACC!B28</f>
        <v>0.217837909377843</v>
      </c>
      <c r="D10" s="266" t="n">
        <f aca="false">C10-'Beta Regresión'!B46</f>
        <v>0.0908951822641911</v>
      </c>
      <c r="E10" s="266" t="n">
        <f aca="false">INDEX(B10:D10,$B$4)</f>
        <v>0.217837909377843</v>
      </c>
      <c r="F10" s="266" t="n">
        <f aca="false">$C10</f>
        <v>0.217837909377843</v>
      </c>
      <c r="G10" s="266" t="n">
        <f aca="false">$C10</f>
        <v>0.217837909377843</v>
      </c>
      <c r="H10" s="266" t="n">
        <f aca="false">$C10</f>
        <v>0.217837909377843</v>
      </c>
      <c r="I10" s="266" t="n">
        <f aca="false">$C10</f>
        <v>0.217837909377843</v>
      </c>
      <c r="J10" s="266" t="n">
        <f aca="false">$C10</f>
        <v>0.217837909377843</v>
      </c>
      <c r="K10" s="266" t="n">
        <f aca="false">$C10</f>
        <v>0.217837909377843</v>
      </c>
      <c r="L10" s="266" t="n">
        <f aca="false">B10</f>
        <v>0.344780636491494</v>
      </c>
      <c r="M10" s="266" t="n">
        <f aca="false">D10</f>
        <v>0.0908951822641911</v>
      </c>
      <c r="N10" s="266" t="n">
        <f aca="false">$C10</f>
        <v>0.217837909377843</v>
      </c>
      <c r="O10" s="266" t="n">
        <f aca="false">$C10</f>
        <v>0.217837909377843</v>
      </c>
    </row>
    <row r="11" customFormat="false" ht="15" hidden="false" customHeight="false" outlineLevel="0" collapsed="false">
      <c r="A11" s="199" t="s">
        <v>2406</v>
      </c>
      <c r="B11" s="200" t="n">
        <f aca="false">'Crecimiento Perpetuo'!B31</f>
        <v>0.03</v>
      </c>
      <c r="C11" s="200" t="n">
        <f aca="false">'Crecimiento Perpetuo'!B32</f>
        <v>0.035</v>
      </c>
      <c r="D11" s="200" t="n">
        <f aca="false">'Crecimiento Perpetuo'!B33</f>
        <v>0.04</v>
      </c>
      <c r="E11" s="200" t="n">
        <f aca="false">INDEX(B11:D11,$B$4)</f>
        <v>0.035</v>
      </c>
      <c r="F11" s="200" t="n">
        <f aca="false">$C11</f>
        <v>0.035</v>
      </c>
      <c r="G11" s="200" t="n">
        <f aca="false">$C11</f>
        <v>0.035</v>
      </c>
      <c r="H11" s="200" t="n">
        <f aca="false">$C11</f>
        <v>0.035</v>
      </c>
      <c r="I11" s="200" t="n">
        <f aca="false">$C11</f>
        <v>0.035</v>
      </c>
      <c r="J11" s="200" t="n">
        <f aca="false">$C11</f>
        <v>0.035</v>
      </c>
      <c r="K11" s="200" t="n">
        <f aca="false">$C11</f>
        <v>0.035</v>
      </c>
      <c r="L11" s="200" t="n">
        <f aca="false">$C11</f>
        <v>0.035</v>
      </c>
      <c r="M11" s="200" t="n">
        <f aca="false">$C11</f>
        <v>0.035</v>
      </c>
      <c r="N11" s="200" t="n">
        <f aca="false">B11</f>
        <v>0.03</v>
      </c>
      <c r="O11" s="200" t="n">
        <f aca="false">D11</f>
        <v>0.04</v>
      </c>
    </row>
    <row r="12" customFormat="false" ht="15" hidden="false" customHeight="false" outlineLevel="0" collapsed="false">
      <c r="A12" s="199" t="s">
        <v>2407</v>
      </c>
      <c r="B12" s="200" t="n">
        <f aca="false">(1+WACC!$B$5)/(1+$C$7)-1</f>
        <v>0.0580330402859628</v>
      </c>
      <c r="C12" s="200" t="n">
        <f aca="false">(1+WACC!$B$5)/(1+$C$7)-1</f>
        <v>0.0580330402859628</v>
      </c>
      <c r="D12" s="200" t="n">
        <f aca="false">(1+WACC!$B$5)/(1+$C$7)-1</f>
        <v>0.0580330402859628</v>
      </c>
      <c r="E12" s="200" t="n">
        <f aca="false">(1+WACC!$B$5)/(1+$C$7)-1</f>
        <v>0.0580330402859628</v>
      </c>
      <c r="F12" s="200" t="n">
        <f aca="false">(1+WACC!$B$5)/(1+$C$7)-1</f>
        <v>0.0580330402859628</v>
      </c>
      <c r="G12" s="200" t="n">
        <f aca="false">(1+WACC!$B$5)/(1+$C$7)-1</f>
        <v>0.0580330402859628</v>
      </c>
      <c r="H12" s="200" t="n">
        <f aca="false">(1+WACC!$B$5)/(1+$C$7)-1</f>
        <v>0.0580330402859628</v>
      </c>
      <c r="I12" s="200" t="n">
        <f aca="false">(1+WACC!$B$5)/(1+$C$7)-1</f>
        <v>0.0580330402859628</v>
      </c>
      <c r="J12" s="200" t="n">
        <f aca="false">(1+WACC!$B$5)/(1+$C$7)-1</f>
        <v>0.0580330402859628</v>
      </c>
      <c r="K12" s="200" t="n">
        <f aca="false">(1+WACC!$B$5)/(1+$C$7)-1</f>
        <v>0.0580330402859628</v>
      </c>
      <c r="L12" s="200" t="n">
        <f aca="false">(1+WACC!$B$5)/(1+$C$7)-1</f>
        <v>0.0580330402859628</v>
      </c>
      <c r="M12" s="200" t="n">
        <f aca="false">(1+WACC!$B$5)/(1+$C$7)-1</f>
        <v>0.0580330402859628</v>
      </c>
      <c r="N12" s="200" t="n">
        <f aca="false">(1+WACC!$B$5)/(1+$C$7)-1</f>
        <v>0.0580330402859628</v>
      </c>
      <c r="O12" s="200" t="n">
        <f aca="false">(1+WACC!$B$5)/(1+$C$7)-1</f>
        <v>0.0580330402859628</v>
      </c>
    </row>
    <row r="13" customFormat="false" ht="15" hidden="false" customHeight="false" outlineLevel="0" collapsed="false">
      <c r="A13" s="199" t="s">
        <v>2408</v>
      </c>
      <c r="B13" s="200" t="n">
        <f aca="false">(1+B12)*(1+B7)-1</f>
        <v>0.100354361897401</v>
      </c>
      <c r="C13" s="200" t="n">
        <f aca="false">(1+C12)*(1+C7)-1</f>
        <v>0.09517</v>
      </c>
      <c r="D13" s="200" t="n">
        <f aca="false">(1+D12)*(1+D7)-1</f>
        <v>0.0932655405274854</v>
      </c>
      <c r="E13" s="200" t="n">
        <f aca="false">(1+E12)*(1+E7)-1</f>
        <v>0.09517</v>
      </c>
      <c r="F13" s="200" t="n">
        <f aca="false">(1+F12)*(1+F7)-1</f>
        <v>0.100354361897401</v>
      </c>
      <c r="G13" s="200" t="n">
        <f aca="false">(1+G12)*(1+G7)-1</f>
        <v>0.0932655405274854</v>
      </c>
      <c r="H13" s="200" t="n">
        <f aca="false">(1+H12)*(1+H7)-1</f>
        <v>0.09517</v>
      </c>
      <c r="I13" s="200" t="n">
        <f aca="false">(1+I12)*(1+I7)-1</f>
        <v>0.09517</v>
      </c>
      <c r="J13" s="200" t="n">
        <f aca="false">(1+J12)*(1+J7)-1</f>
        <v>0.09517</v>
      </c>
      <c r="K13" s="200" t="n">
        <f aca="false">(1+K12)*(1+K7)-1</f>
        <v>0.09517</v>
      </c>
      <c r="L13" s="200" t="n">
        <f aca="false">(1+L12)*(1+L7)-1</f>
        <v>0.09517</v>
      </c>
      <c r="M13" s="200" t="n">
        <f aca="false">(1+M12)*(1+M7)-1</f>
        <v>0.09517</v>
      </c>
      <c r="N13" s="200" t="n">
        <f aca="false">(1+N12)*(1+N7)-1</f>
        <v>0.09517</v>
      </c>
      <c r="O13" s="200" t="n">
        <f aca="false">(1+O12)*(1+O7)-1</f>
        <v>0.09517</v>
      </c>
    </row>
    <row r="14" customFormat="false" ht="15" hidden="false" customHeight="false" outlineLevel="0" collapsed="false">
      <c r="A14" s="199" t="s">
        <v>2409</v>
      </c>
      <c r="B14" s="267" t="n">
        <f aca="false">B13-WACC!$B$5</f>
        <v>0.00518436189740143</v>
      </c>
      <c r="C14" s="267" t="n">
        <f aca="false">C13-WACC!$B$5</f>
        <v>0</v>
      </c>
      <c r="D14" s="267" t="n">
        <f aca="false">D13-WACC!$B$5</f>
        <v>-0.00190445947251464</v>
      </c>
      <c r="E14" s="267" t="n">
        <f aca="false">E13-WACC!$B$5</f>
        <v>0</v>
      </c>
      <c r="F14" s="267" t="n">
        <f aca="false">F13-WACC!$B$5</f>
        <v>0.00518436189740143</v>
      </c>
      <c r="G14" s="267" t="n">
        <f aca="false">G13-WACC!$B$5</f>
        <v>-0.00190445947251464</v>
      </c>
      <c r="H14" s="267" t="n">
        <f aca="false">H13-WACC!$B$5</f>
        <v>0</v>
      </c>
      <c r="I14" s="267" t="n">
        <f aca="false">I13-WACC!$B$5</f>
        <v>0</v>
      </c>
      <c r="J14" s="267" t="n">
        <f aca="false">J13-WACC!$B$5</f>
        <v>0</v>
      </c>
      <c r="K14" s="267" t="n">
        <f aca="false">K13-WACC!$B$5</f>
        <v>0</v>
      </c>
      <c r="L14" s="267" t="n">
        <f aca="false">L13-WACC!$B$5</f>
        <v>0</v>
      </c>
      <c r="M14" s="267" t="n">
        <f aca="false">M13-WACC!$B$5</f>
        <v>0</v>
      </c>
      <c r="N14" s="267" t="n">
        <f aca="false">N13-WACC!$B$5</f>
        <v>0</v>
      </c>
      <c r="O14" s="267" t="n">
        <f aca="false">O13-WACC!$B$5</f>
        <v>0</v>
      </c>
    </row>
    <row r="15" customFormat="false" ht="15" hidden="false" customHeight="false" outlineLevel="0" collapsed="false">
      <c r="A15" s="199" t="s">
        <v>2410</v>
      </c>
      <c r="B15" s="267" t="n">
        <f aca="false">B14</f>
        <v>0.00518436189740143</v>
      </c>
      <c r="C15" s="267" t="n">
        <f aca="false">C14</f>
        <v>0</v>
      </c>
      <c r="D15" s="267" t="n">
        <f aca="false">D14</f>
        <v>-0.00190445947251464</v>
      </c>
      <c r="E15" s="267" t="n">
        <f aca="false">E14</f>
        <v>0</v>
      </c>
      <c r="F15" s="267" t="n">
        <f aca="false">F14</f>
        <v>0.00518436189740143</v>
      </c>
      <c r="G15" s="267" t="n">
        <f aca="false">G14</f>
        <v>-0.00190445947251464</v>
      </c>
      <c r="H15" s="267" t="n">
        <f aca="false">H14</f>
        <v>0</v>
      </c>
      <c r="I15" s="267" t="n">
        <f aca="false">I14</f>
        <v>0</v>
      </c>
      <c r="J15" s="267" t="n">
        <f aca="false">J14</f>
        <v>0</v>
      </c>
      <c r="K15" s="267" t="n">
        <f aca="false">K14</f>
        <v>0</v>
      </c>
      <c r="L15" s="267" t="n">
        <f aca="false">L14</f>
        <v>0</v>
      </c>
      <c r="M15" s="267" t="n">
        <f aca="false">M14</f>
        <v>0</v>
      </c>
      <c r="N15" s="267" t="n">
        <f aca="false">N14</f>
        <v>0</v>
      </c>
      <c r="O15" s="267" t="n">
        <f aca="false">O14</f>
        <v>0</v>
      </c>
    </row>
    <row r="16" customFormat="false" ht="15" hidden="false" customHeight="false" outlineLevel="0" collapsed="false">
      <c r="A16" s="199" t="s">
        <v>2411</v>
      </c>
      <c r="B16" s="266" t="n">
        <f aca="false">WACC!$B$9*B10/$C$10</f>
        <v>0.269890009304152</v>
      </c>
      <c r="C16" s="266" t="n">
        <f aca="false">WACC!$B$9*C10/$C$10</f>
        <v>0.170520815748403</v>
      </c>
      <c r="D16" s="266" t="n">
        <f aca="false">WACC!$B$9*D10/$C$10</f>
        <v>0.0711516221926528</v>
      </c>
      <c r="E16" s="266" t="n">
        <f aca="false">WACC!$B$9*E10/$C$10</f>
        <v>0.170520815748403</v>
      </c>
      <c r="F16" s="266" t="n">
        <f aca="false">WACC!$B$9*F10/$C$10</f>
        <v>0.170520815748403</v>
      </c>
      <c r="G16" s="266" t="n">
        <f aca="false">WACC!$B$9*G10/$C$10</f>
        <v>0.170520815748403</v>
      </c>
      <c r="H16" s="266" t="n">
        <f aca="false">WACC!$B$9*H10/$C$10</f>
        <v>0.170520815748403</v>
      </c>
      <c r="I16" s="266" t="n">
        <f aca="false">WACC!$B$9*I10/$C$10</f>
        <v>0.170520815748403</v>
      </c>
      <c r="J16" s="266" t="n">
        <f aca="false">WACC!$B$9*J10/$C$10</f>
        <v>0.170520815748403</v>
      </c>
      <c r="K16" s="266" t="n">
        <f aca="false">WACC!$B$9*K10/$C$10</f>
        <v>0.170520815748403</v>
      </c>
      <c r="L16" s="266" t="n">
        <f aca="false">WACC!$B$9*L10/$C$10</f>
        <v>0.269890009304152</v>
      </c>
      <c r="M16" s="266" t="n">
        <f aca="false">WACC!$B$9*M10/$C$10</f>
        <v>0.0711516221926528</v>
      </c>
      <c r="N16" s="266" t="n">
        <f aca="false">WACC!$B$9*N10/$C$10</f>
        <v>0.170520815748403</v>
      </c>
      <c r="O16" s="266" t="n">
        <f aca="false">WACC!$B$9*O10/$C$10</f>
        <v>0.170520815748403</v>
      </c>
    </row>
    <row r="18" customFormat="false" ht="15" hidden="false" customHeight="false" outlineLevel="0" collapsed="false">
      <c r="A18" s="199" t="s">
        <v>2412</v>
      </c>
      <c r="B18" s="200" t="n">
        <f aca="false">$E$7</f>
        <v>0.0351</v>
      </c>
      <c r="C18" s="200" t="n">
        <f aca="false">$E$7</f>
        <v>0.0351</v>
      </c>
      <c r="D18" s="200" t="n">
        <f aca="false">$E$7</f>
        <v>0.0351</v>
      </c>
      <c r="E18" s="200" t="n">
        <f aca="false">$E$7</f>
        <v>0.0351</v>
      </c>
      <c r="F18" s="200" t="n">
        <f aca="false">$E$7</f>
        <v>0.0351</v>
      </c>
    </row>
    <row r="20" customFormat="false" ht="15" hidden="false" customHeight="false" outlineLevel="0" collapsed="false">
      <c r="A20" s="71" t="s">
        <v>2413</v>
      </c>
      <c r="T20" s="71" t="s">
        <v>2414</v>
      </c>
    </row>
    <row r="21" customFormat="false" ht="15" hidden="false" customHeight="false" outlineLevel="0" collapsed="false">
      <c r="A21" s="198" t="s">
        <v>1745</v>
      </c>
      <c r="B21" s="198" t="s">
        <v>2167</v>
      </c>
      <c r="C21" s="198" t="s">
        <v>2168</v>
      </c>
      <c r="D21" s="198" t="s">
        <v>2169</v>
      </c>
      <c r="E21" s="198" t="s">
        <v>2415</v>
      </c>
      <c r="T21" s="268" t="s">
        <v>2416</v>
      </c>
      <c r="U21" s="200" t="n">
        <f aca="false">'Proyección Final Soriana'!B162</f>
        <v>0.025</v>
      </c>
      <c r="V21" s="200" t="n">
        <f aca="false">'Proyección Final Soriana'!C162</f>
        <v>0.03</v>
      </c>
      <c r="W21" s="200" t="n">
        <f aca="false">'Proyección Final Soriana'!D162</f>
        <v>0.035</v>
      </c>
      <c r="X21" s="200" t="n">
        <f aca="false">'Proyección Final Soriana'!E162</f>
        <v>0.04</v>
      </c>
      <c r="Y21" s="200" t="n">
        <f aca="false">'Proyección Final Soriana'!F162</f>
        <v>0.045</v>
      </c>
    </row>
    <row r="22" customFormat="false" ht="15" hidden="false" customHeight="false" outlineLevel="0" collapsed="false">
      <c r="A22" s="199" t="s">
        <v>2417</v>
      </c>
      <c r="B22" s="200" t="n">
        <f aca="false">'Datos para escenarios'!S10</f>
        <v>0.04</v>
      </c>
      <c r="C22" s="200" t="n">
        <f aca="false">'Datos para escenarios'!K10</f>
        <v>0.0351</v>
      </c>
      <c r="D22" s="200" t="n">
        <f aca="false">'Datos para escenarios'!C10</f>
        <v>0.0333</v>
      </c>
      <c r="E22" s="199" t="s">
        <v>2418</v>
      </c>
      <c r="T22" s="200" t="n">
        <f aca="false">'Proyección Final Soriana'!A163</f>
        <v>0.0863307440168375</v>
      </c>
      <c r="U22" s="269" t="n">
        <f aca="false">'Proyección Final Soriana'!B163</f>
        <v>40.7423531457687</v>
      </c>
      <c r="V22" s="269" t="n">
        <f aca="false">'Proyección Final Soriana'!C163</f>
        <v>42.7217263360192</v>
      </c>
      <c r="W22" s="269" t="n">
        <f aca="false">'Proyección Final Soriana'!D163</f>
        <v>45.0867111569137</v>
      </c>
      <c r="X22" s="269" t="n">
        <f aca="false">'Proyección Final Soriana'!E163</f>
        <v>47.9621528830622</v>
      </c>
      <c r="Y22" s="269" t="n">
        <f aca="false">'Proyección Final Soriana'!F163</f>
        <v>51.5333095774621</v>
      </c>
    </row>
    <row r="23" customFormat="false" ht="15" hidden="false" customHeight="false" outlineLevel="0" collapsed="false">
      <c r="A23" s="199" t="s">
        <v>2419</v>
      </c>
      <c r="B23" s="200" t="n">
        <f aca="false">('Datos para escenarios'!W67/'Datos para escenarios'!R67)^(1/5)-1</f>
        <v>-0.00516552395306369</v>
      </c>
      <c r="C23" s="200" t="n">
        <f aca="false">('Datos para escenarios'!O67/'Datos para escenarios'!J67)^(1/5)-1</f>
        <v>-0.00129511755183964</v>
      </c>
      <c r="D23" s="200" t="n">
        <f aca="false">('Datos para escenarios'!G67/'Datos para escenarios'!B67)^(1/5)-1</f>
        <v>0.00492779622333672</v>
      </c>
      <c r="E23" s="199" t="s">
        <v>2418</v>
      </c>
      <c r="T23" s="200" t="n">
        <f aca="false">'Proyección Final Soriana'!A164</f>
        <v>0.0913307440168375</v>
      </c>
      <c r="U23" s="269" t="n">
        <f aca="false">'Proyección Final Soriana'!B164</f>
        <v>38.3137954961971</v>
      </c>
      <c r="V23" s="269" t="n">
        <f aca="false">'Proyección Final Soriana'!C164</f>
        <v>39.9679580477011</v>
      </c>
      <c r="W23" s="269" t="n">
        <f aca="false">'Proyección Final Soriana'!D164</f>
        <v>41.9157724194278</v>
      </c>
      <c r="X23" s="269" t="n">
        <f aca="false">'Proyección Final Soriana'!E164</f>
        <v>44.2430502898889</v>
      </c>
      <c r="Y23" s="269" t="n">
        <f aca="false">'Proyección Final Soriana'!F164</f>
        <v>47.0726464200384</v>
      </c>
    </row>
    <row r="24" customFormat="false" ht="15" hidden="false" customHeight="false" outlineLevel="0" collapsed="false">
      <c r="A24" s="199" t="s">
        <v>2420</v>
      </c>
      <c r="B24" s="200" t="n">
        <f aca="false">AVERAGE('Datos para escenarios'!S41:W41)</f>
        <v>0.0426739420608695</v>
      </c>
      <c r="C24" s="200" t="n">
        <f aca="false">AVERAGE('Datos para escenarios'!K41:O41)</f>
        <v>0.0451739420608695</v>
      </c>
      <c r="D24" s="200" t="n">
        <f aca="false">AVERAGE('Datos para escenarios'!C41:G41)</f>
        <v>0.0476739420608695</v>
      </c>
      <c r="E24" s="199" t="s">
        <v>2418</v>
      </c>
      <c r="T24" s="200" t="n">
        <f aca="false">'Proyección Final Soriana'!A165</f>
        <v>0.0963307440168375</v>
      </c>
      <c r="U24" s="269" t="n">
        <f aca="false">'Proyección Final Soriana'!B165</f>
        <v>36.1827108555647</v>
      </c>
      <c r="V24" s="269" t="n">
        <f aca="false">'Proyección Final Soriana'!C165</f>
        <v>37.5823995445421</v>
      </c>
      <c r="W24" s="269" t="n">
        <f aca="false">'Proyección Final Soriana'!D165</f>
        <v>39.2103079806325</v>
      </c>
      <c r="X24" s="269" t="n">
        <f aca="false">'Proyección Final Soriana'!E165</f>
        <v>41.1272075288595</v>
      </c>
      <c r="Y24" s="269" t="n">
        <f aca="false">'Proyección Final Soriana'!F165</f>
        <v>43.4175479038155</v>
      </c>
    </row>
    <row r="25" customFormat="false" ht="15" hidden="false" customHeight="false" outlineLevel="0" collapsed="false">
      <c r="A25" s="199" t="s">
        <v>2421</v>
      </c>
      <c r="B25" s="266" t="n">
        <f aca="false">'Datos para escenarios'!U219</f>
        <v>0.346553786833818</v>
      </c>
      <c r="C25" s="266" t="n">
        <f aca="false">'Datos para escenarios'!M219</f>
        <v>0.207268023221306</v>
      </c>
      <c r="D25" s="266" t="n">
        <f aca="false">'Datos para escenarios'!E219</f>
        <v>0.0829632033303984</v>
      </c>
      <c r="E25" s="199" t="s">
        <v>1564</v>
      </c>
      <c r="T25" s="200" t="n">
        <f aca="false">'Proyección Final Soriana'!A166</f>
        <v>0.101330744016837</v>
      </c>
      <c r="U25" s="269" t="n">
        <f aca="false">'Proyección Final Soriana'!B166</f>
        <v>34.2920971929088</v>
      </c>
      <c r="V25" s="269" t="n">
        <f aca="false">'Proyección Final Soriana'!C166</f>
        <v>35.4891966443159</v>
      </c>
      <c r="W25" s="269" t="n">
        <f aca="false">'Proyección Final Soriana'!D166</f>
        <v>36.866770394504</v>
      </c>
      <c r="X25" s="269" t="n">
        <f aca="false">'Proyección Final Soriana'!E166</f>
        <v>38.4689580430349</v>
      </c>
      <c r="Y25" s="269" t="n">
        <f aca="false">'Proyección Final Soriana'!F166</f>
        <v>40.3555707735516</v>
      </c>
    </row>
    <row r="26" customFormat="false" ht="15" hidden="false" customHeight="false" outlineLevel="0" collapsed="false">
      <c r="A26" s="199" t="s">
        <v>2080</v>
      </c>
      <c r="B26" s="200" t="n">
        <f aca="false">'Datos para escenarios'!R210</f>
        <v>0.100354361897401</v>
      </c>
      <c r="C26" s="200" t="n">
        <f aca="false">'Datos para escenarios'!J210</f>
        <v>0.09517</v>
      </c>
      <c r="D26" s="200" t="n">
        <f aca="false">'Datos para escenarios'!B210</f>
        <v>0.0932655405274854</v>
      </c>
      <c r="E26" s="199" t="s">
        <v>2418</v>
      </c>
      <c r="T26" s="200" t="n">
        <f aca="false">'Proyección Final Soriana'!A167</f>
        <v>0.106330744016837</v>
      </c>
      <c r="U26" s="269" t="n">
        <f aca="false">'Proyección Final Soriana'!B167</f>
        <v>32.5989173216019</v>
      </c>
      <c r="V26" s="269" t="n">
        <f aca="false">'Proyección Final Soriana'!C167</f>
        <v>33.6323137974818</v>
      </c>
      <c r="W26" s="269" t="n">
        <f aca="false">'Proyección Final Soriana'!D167</f>
        <v>34.8105841969584</v>
      </c>
      <c r="X26" s="269" t="n">
        <f aca="false">'Proyección Final Soriana'!E167</f>
        <v>36.166490233867</v>
      </c>
      <c r="Y26" s="269" t="n">
        <f aca="false">'Proyección Final Soriana'!F167</f>
        <v>37.7434772406292</v>
      </c>
    </row>
    <row r="27" customFormat="false" ht="15" hidden="false" customHeight="false" outlineLevel="0" collapsed="false">
      <c r="A27" s="199" t="s">
        <v>2422</v>
      </c>
      <c r="B27" s="200" t="n">
        <f aca="false">'Datos para escenarios'!R221</f>
        <v>0.115013587080472</v>
      </c>
      <c r="C27" s="200" t="n">
        <f aca="false">'Datos para escenarios'!J221</f>
        <v>0.103937437382261</v>
      </c>
      <c r="D27" s="200" t="n">
        <f aca="false">'Datos para escenarios'!B221</f>
        <v>0.0967748840283612</v>
      </c>
      <c r="E27" s="199" t="s">
        <v>2418</v>
      </c>
    </row>
    <row r="28" customFormat="false" ht="15" hidden="false" customHeight="false" outlineLevel="0" collapsed="false">
      <c r="A28" s="199" t="s">
        <v>2423</v>
      </c>
      <c r="B28" s="200" t="n">
        <f aca="false">'Datos para escenarios'!R126</f>
        <v>0.103571064772753</v>
      </c>
      <c r="C28" s="200" t="n">
        <f aca="false">'Datos para escenarios'!J126</f>
        <v>0.0963307440168374</v>
      </c>
      <c r="D28" s="200" t="n">
        <f aca="false">'Datos para escenarios'!B126</f>
        <v>0.0916827827066917</v>
      </c>
      <c r="E28" s="199" t="s">
        <v>2418</v>
      </c>
      <c r="T28" s="71" t="s">
        <v>2424</v>
      </c>
    </row>
    <row r="29" customFormat="false" ht="15" hidden="false" customHeight="false" outlineLevel="0" collapsed="false">
      <c r="A29" s="199" t="s">
        <v>2406</v>
      </c>
      <c r="B29" s="200" t="n">
        <f aca="false">'Datos para escenarios'!R123</f>
        <v>0.03</v>
      </c>
      <c r="C29" s="200" t="n">
        <f aca="false">'Datos para escenarios'!J123</f>
        <v>0.035</v>
      </c>
      <c r="D29" s="200" t="n">
        <f aca="false">'Datos para escenarios'!B123</f>
        <v>0.04</v>
      </c>
      <c r="E29" s="199" t="s">
        <v>2418</v>
      </c>
      <c r="T29" s="198" t="s">
        <v>1758</v>
      </c>
      <c r="U29" s="198" t="s">
        <v>2425</v>
      </c>
    </row>
    <row r="30" customFormat="false" ht="15" hidden="false" customHeight="false" outlineLevel="0" collapsed="false">
      <c r="A30" s="199" t="s">
        <v>2426</v>
      </c>
      <c r="B30" s="201" t="n">
        <f aca="false">'Datos para escenarios'!W117</f>
        <v>5988.82218494793</v>
      </c>
      <c r="C30" s="201" t="n">
        <f aca="false">'Datos para escenarios'!O117</f>
        <v>6405.89773459684</v>
      </c>
      <c r="D30" s="201" t="n">
        <f aca="false">'Datos para escenarios'!G117</f>
        <v>6908.41180131003</v>
      </c>
      <c r="E30" s="199" t="s">
        <v>2427</v>
      </c>
      <c r="T30" s="200" t="n">
        <f aca="false">D7</f>
        <v>0.0333</v>
      </c>
      <c r="U30" s="269" t="n">
        <f aca="false">'Tornado 02'!B265</f>
        <v>39.7799882589962</v>
      </c>
    </row>
    <row r="31" customFormat="false" ht="15" hidden="false" customHeight="false" outlineLevel="0" collapsed="false">
      <c r="A31" s="199" t="s">
        <v>2428</v>
      </c>
      <c r="B31" s="201" t="n">
        <f aca="false">'Datos para escenarios'!R134</f>
        <v>22298.3180942318</v>
      </c>
      <c r="C31" s="201" t="n">
        <f aca="false">'Datos para escenarios'!J134</f>
        <v>24099.5225516684</v>
      </c>
      <c r="D31" s="201" t="n">
        <f aca="false">'Datos para escenarios'!B134</f>
        <v>25962.4299500288</v>
      </c>
      <c r="E31" s="199" t="s">
        <v>2427</v>
      </c>
      <c r="T31" s="200" t="n">
        <f aca="false">C7</f>
        <v>0.0351</v>
      </c>
      <c r="U31" s="269" t="n">
        <f aca="false">C36</f>
        <v>39.2103079806326</v>
      </c>
    </row>
    <row r="32" customFormat="false" ht="15" hidden="false" customHeight="false" outlineLevel="0" collapsed="false">
      <c r="A32" s="199" t="s">
        <v>2429</v>
      </c>
      <c r="B32" s="201" t="n">
        <f aca="false">'Datos para escenarios'!R129</f>
        <v>83843.9251837619</v>
      </c>
      <c r="C32" s="201" t="n">
        <f aca="false">'Datos para escenarios'!J129</f>
        <v>108104.088114234</v>
      </c>
      <c r="D32" s="201" t="n">
        <f aca="false">'Datos para escenarios'!B129</f>
        <v>139016.28157557</v>
      </c>
      <c r="E32" s="199" t="s">
        <v>2427</v>
      </c>
      <c r="T32" s="200" t="n">
        <f aca="false">B7</f>
        <v>0.04</v>
      </c>
      <c r="U32" s="269" t="n">
        <f aca="false">'Tornado 01'!B265</f>
        <v>37.813038767038</v>
      </c>
    </row>
    <row r="33" customFormat="false" ht="15" hidden="false" customHeight="false" outlineLevel="0" collapsed="false">
      <c r="A33" s="199" t="s">
        <v>2430</v>
      </c>
      <c r="B33" s="201" t="n">
        <f aca="false">'Datos para escenarios'!R243*'Datos para escenarios'!R129+'Datos para escenarios'!R244*'Datos para escenarios'!R236</f>
        <v>75589.4318090589</v>
      </c>
      <c r="C33" s="201" t="n">
        <f aca="false">'Datos para escenarios'!J243*'Datos para escenarios'!J129+'Datos para escenarios'!J244*'Datos para escenarios'!J236</f>
        <v>89660.5921190386</v>
      </c>
      <c r="D33" s="201" t="n">
        <f aca="false">'Datos para escenarios'!B243*'Datos para escenarios'!B129+'Datos para escenarios'!B244*'Datos para escenarios'!B236</f>
        <v>107561.439239104</v>
      </c>
      <c r="E33" s="199" t="s">
        <v>2427</v>
      </c>
    </row>
    <row r="34" customFormat="false" ht="15" hidden="false" customHeight="false" outlineLevel="0" collapsed="false">
      <c r="A34" s="199" t="s">
        <v>2431</v>
      </c>
      <c r="B34" s="201" t="n">
        <f aca="false">'Datos para escenarios'!R245</f>
        <v>68478.9165095676</v>
      </c>
      <c r="C34" s="201" t="n">
        <f aca="false">'Datos para escenarios'!J245</f>
        <v>80709.585445956</v>
      </c>
      <c r="D34" s="201" t="n">
        <f aca="false">'Datos para escenarios'!B245</f>
        <v>95332.846118684</v>
      </c>
      <c r="E34" s="199" t="s">
        <v>2427</v>
      </c>
      <c r="T34" s="71" t="s">
        <v>2432</v>
      </c>
    </row>
    <row r="35" customFormat="false" ht="15" hidden="false" customHeight="false" outlineLevel="0" collapsed="false">
      <c r="A35" s="199" t="s">
        <v>2433</v>
      </c>
      <c r="B35" s="201" t="n">
        <f aca="false">'Datos para escenarios'!R263</f>
        <v>57824.6358098406</v>
      </c>
      <c r="C35" s="201" t="n">
        <f aca="false">'Datos para escenarios'!J263</f>
        <v>70578.5543651386</v>
      </c>
      <c r="D35" s="201" t="n">
        <f aca="false">'Datos para escenarios'!B263</f>
        <v>85934.9993239988</v>
      </c>
      <c r="E35" s="199" t="s">
        <v>2427</v>
      </c>
      <c r="T35" s="198" t="s">
        <v>2434</v>
      </c>
      <c r="U35" s="198" t="s">
        <v>2435</v>
      </c>
      <c r="V35" s="71" t="s">
        <v>2436</v>
      </c>
    </row>
    <row r="36" customFormat="false" ht="15" hidden="false" customHeight="false" outlineLevel="0" collapsed="false">
      <c r="A36" s="198" t="s">
        <v>2437</v>
      </c>
      <c r="B36" s="270" t="n">
        <f aca="false">'Datos para escenarios'!R265</f>
        <v>32.1247976721337</v>
      </c>
      <c r="C36" s="270" t="n">
        <f aca="false">'Datos para escenarios'!J265</f>
        <v>39.2103079806326</v>
      </c>
      <c r="D36" s="270" t="n">
        <f aca="false">'Datos para escenarios'!B265</f>
        <v>47.7416662911104</v>
      </c>
      <c r="E36" s="199" t="s">
        <v>2438</v>
      </c>
      <c r="T36" s="271" t="n">
        <v>0.2</v>
      </c>
      <c r="U36" s="200" t="n">
        <f aca="false">WACC!$B$5+T36*WACC!$B$8</f>
        <v>0.10363</v>
      </c>
      <c r="V36" s="266" t="n">
        <f aca="false">WACC!B28</f>
        <v>0.217837909377843</v>
      </c>
      <c r="W36" s="200" t="n">
        <f aca="false">WACC!B29</f>
        <v>0.104384543566683</v>
      </c>
    </row>
    <row r="37" customFormat="false" ht="15" hidden="false" customHeight="false" outlineLevel="0" collapsed="false">
      <c r="A37" s="199" t="s">
        <v>2439</v>
      </c>
      <c r="B37" s="269" t="n">
        <f aca="false">WACC!$B$13</f>
        <v>33.1</v>
      </c>
      <c r="C37" s="269" t="n">
        <f aca="false">WACC!$B$13</f>
        <v>33.1</v>
      </c>
      <c r="D37" s="269" t="n">
        <f aca="false">WACC!$B$13</f>
        <v>33.1</v>
      </c>
      <c r="E37" s="199" t="s">
        <v>2438</v>
      </c>
      <c r="T37" s="271" t="n">
        <v>0.4</v>
      </c>
      <c r="U37" s="200" t="n">
        <f aca="false">WACC!$B$5+T37*WACC!$B$8</f>
        <v>0.11209</v>
      </c>
    </row>
    <row r="38" customFormat="false" ht="15" hidden="false" customHeight="false" outlineLevel="0" collapsed="false">
      <c r="A38" s="199" t="s">
        <v>2440</v>
      </c>
      <c r="B38" s="269" t="n">
        <f aca="false">'Datos para escenarios'!R265-WACC!$B$13</f>
        <v>-0.975202327866349</v>
      </c>
      <c r="C38" s="269" t="n">
        <f aca="false">'Datos para escenarios'!J265-WACC!$B$13</f>
        <v>6.11030798063256</v>
      </c>
      <c r="D38" s="269" t="n">
        <f aca="false">'Datos para escenarios'!B265-WACC!$B$13</f>
        <v>14.6416662911104</v>
      </c>
      <c r="E38" s="199" t="s">
        <v>2438</v>
      </c>
      <c r="T38" s="271" t="n">
        <v>0.6</v>
      </c>
      <c r="U38" s="200" t="n">
        <f aca="false">WACC!$B$5+T38*WACC!$B$8</f>
        <v>0.12055</v>
      </c>
    </row>
    <row r="39" customFormat="false" ht="15" hidden="false" customHeight="false" outlineLevel="0" collapsed="false">
      <c r="A39" s="199" t="s">
        <v>2441</v>
      </c>
      <c r="B39" s="200" t="n">
        <f aca="false">'Datos para escenarios'!R265/WACC!$B$13-1</f>
        <v>-0.0294623059778353</v>
      </c>
      <c r="C39" s="200" t="n">
        <f aca="false">'Datos para escenarios'!J265/WACC!$B$13-1</f>
        <v>0.184601449565938</v>
      </c>
      <c r="D39" s="200" t="n">
        <f aca="false">'Datos para escenarios'!B265/WACC!$B$13-1</f>
        <v>0.442346413628714</v>
      </c>
      <c r="E39" s="199" t="s">
        <v>2418</v>
      </c>
      <c r="T39" s="271" t="n">
        <v>0.8</v>
      </c>
      <c r="U39" s="200" t="n">
        <f aca="false">WACC!$B$5+T39*WACC!$B$8</f>
        <v>0.12901</v>
      </c>
    </row>
    <row r="40" customFormat="false" ht="15" hidden="false" customHeight="false" outlineLevel="0" collapsed="false">
      <c r="A40" s="199" t="s">
        <v>2442</v>
      </c>
      <c r="B40" s="199" t="str">
        <f aca="false">'Datos para escenarios'!R268</f>
        <v>MANTENER</v>
      </c>
      <c r="C40" s="199" t="str">
        <f aca="false">'Datos para escenarios'!J268</f>
        <v>COMPRAR</v>
      </c>
      <c r="D40" s="199" t="str">
        <f aca="false">'Datos para escenarios'!B268</f>
        <v>COMPRAR</v>
      </c>
      <c r="E40" s="272"/>
      <c r="T40" s="271" t="n">
        <v>1</v>
      </c>
      <c r="U40" s="200" t="n">
        <f aca="false">WACC!$B$5+T40*WACC!$B$8</f>
        <v>0.13747</v>
      </c>
    </row>
    <row r="41" customFormat="false" ht="15" hidden="false" customHeight="false" outlineLevel="0" collapsed="false">
      <c r="T41" s="271" t="n">
        <v>1.2</v>
      </c>
      <c r="U41" s="200" t="n">
        <f aca="false">WACC!$B$5+T41*WACC!$B$8</f>
        <v>0.14593</v>
      </c>
    </row>
    <row r="42" customFormat="false" ht="15" hidden="false" customHeight="false" outlineLevel="0" collapsed="false">
      <c r="A42" s="71" t="s">
        <v>2443</v>
      </c>
      <c r="T42" s="271" t="n">
        <v>1.4</v>
      </c>
      <c r="U42" s="200" t="n">
        <f aca="false">WACC!$B$5+T42*WACC!$B$8</f>
        <v>0.15439</v>
      </c>
    </row>
    <row r="43" customFormat="false" ht="15" hidden="false" customHeight="false" outlineLevel="0" collapsed="false">
      <c r="A43" s="75" t="str">
        <f aca="false">"Rango de valor: "&amp;FIXED(B36,2)&amp;" (Conservador) a "&amp;FIXED(D36,2)&amp;" (Optimista) MXN por acción, con el Base en "&amp;FIXED(C36,2)&amp;" contra un precio de mercado de "&amp;FIXED(B37,2)&amp;" ("&amp;FIXED(C39*100,1)&amp;"% en el Base)."</f>
        <v>Rango de valor: 32.12 (Conservador) a 47.74 (Optimista) MXN por acción, con el Base en 39.21 contra un precio de mercado de 33.10 (18.5% en el Base).</v>
      </c>
      <c r="T43" s="271" t="n">
        <v>1.6</v>
      </c>
      <c r="U43" s="200" t="n">
        <f aca="false">WACC!$B$5+T43*WACC!$B$8</f>
        <v>0.16285</v>
      </c>
    </row>
    <row r="44" customFormat="false" ht="15" hidden="false" customHeight="false" outlineLevel="0" collapsed="false">
      <c r="A44" s="75" t="str">
        <f aca="false">"El Conservador vale "&amp;FIXED(ABS(B36/C36-1)*100,1)&amp;"% "&amp;IF(B36&lt;C36,"menos","más")&amp;" que el Base y el Optimista "&amp;FIXED(ABS(D36/C36-1)*100,1)&amp;"% "&amp;IF(D36&gt;C36,"más","menos")&amp;". La variable que más mueve el valor es: "&amp;A59&amp;" (rango de "&amp;FIXED(B59,2)&amp;" MXN en el tornado)."</f>
        <v>El Conservador vale 18.1% menos que el Base y el Optimista 21.8% más. La variable que más mueve el valor es: Margen de operación (EBIT) (rango de 4.12 MXN en el tornado).</v>
      </c>
    </row>
    <row r="45" customFormat="false" ht="15" hidden="false" customHeight="false" outlineLevel="0" collapsed="false">
      <c r="A45" s="75" t="str">
        <f aca="false">"El WACC va de "&amp;FIXED(D28*100,2)&amp;"% a "&amp;FIXED(B28*100,2)&amp;"%; como el valor terminal pesa cerca de dos tercios del EV, cambios pequeños en WACC y g dominan el resultado."</f>
        <v>El WACC va de 9.17% a 10.36%; como el valor terminal pesa cerca de dos tercios del EV, cambios pequeños en WACC y g dominan el resultado.</v>
      </c>
      <c r="T45" s="71" t="s">
        <v>2444</v>
      </c>
    </row>
    <row r="46" customFormat="false" ht="15" hidden="false" customHeight="false" outlineLevel="0" collapsed="false">
      <c r="T46" s="198" t="s">
        <v>2164</v>
      </c>
      <c r="U46" s="198" t="s">
        <v>2445</v>
      </c>
    </row>
    <row r="47" customFormat="false" ht="15" hidden="false" customHeight="false" outlineLevel="0" collapsed="false">
      <c r="A47" s="71" t="s">
        <v>2446</v>
      </c>
      <c r="T47" s="200" t="n">
        <f aca="false">'Proyección Final Soriana'!$B$123+-0.01</f>
        <v>0.025</v>
      </c>
      <c r="U47" s="201" t="n">
        <f aca="false">'Proyección Final Soriana'!$B$243*(SUMPRODUCT('Proyección Final Soriana'!$C$117:$G$117,(1+'Proyección Final Soriana'!$B$126)^(-'Proyección Final Soriana'!$C$118:$G$118))+'Proyección Final Soriana'!$G$117*(1+T47)/('Proyección Final Soriana'!$B$126-T47)*(1+'Proyección Final Soriana'!$B$126)^-5)+'Proyección Final Soriana'!$B$244*'Proyección Final Soriana'!$B$238</f>
        <v>75641.6783351675</v>
      </c>
    </row>
    <row r="48" customFormat="false" ht="30" hidden="false" customHeight="true" outlineLevel="0" collapsed="false">
      <c r="A48" s="72" t="s">
        <v>1745</v>
      </c>
      <c r="B48" s="72" t="s">
        <v>2447</v>
      </c>
      <c r="C48" s="72" t="s">
        <v>2448</v>
      </c>
      <c r="D48" s="72" t="s">
        <v>2449</v>
      </c>
      <c r="E48" s="72" t="s">
        <v>2450</v>
      </c>
      <c r="F48" s="72" t="s">
        <v>2451</v>
      </c>
      <c r="G48" s="72" t="s">
        <v>2452</v>
      </c>
      <c r="H48" s="72" t="s">
        <v>2453</v>
      </c>
      <c r="I48" s="72" t="s">
        <v>2454</v>
      </c>
      <c r="T48" s="200" t="n">
        <f aca="false">'Proyección Final Soriana'!$B$123+-0.005</f>
        <v>0.03</v>
      </c>
      <c r="U48" s="201" t="n">
        <f aca="false">'Proyección Final Soriana'!$B$243*(SUMPRODUCT('Proyección Final Soriana'!$C$117:$G$117,(1+'Proyección Final Soriana'!$B$126)^(-'Proyección Final Soriana'!$C$118:$G$118))+'Proyección Final Soriana'!$G$117*(1+T48)/('Proyección Final Soriana'!$B$126-T48)*(1+'Proyección Final Soriana'!$B$126)^-5)+'Proyección Final Soriana'!$B$244*'Proyección Final Soriana'!$B$238</f>
        <v>77984.6229102651</v>
      </c>
    </row>
    <row r="49" customFormat="false" ht="15" hidden="false" customHeight="false" outlineLevel="0" collapsed="false">
      <c r="A49" s="199" t="s">
        <v>2455</v>
      </c>
      <c r="B49" s="200" t="n">
        <f aca="false">B7</f>
        <v>0.04</v>
      </c>
      <c r="C49" s="200" t="n">
        <f aca="false">D7</f>
        <v>0.0333</v>
      </c>
      <c r="D49" s="269" t="n">
        <f aca="false">'Tornado 01'!B265</f>
        <v>37.813038767038</v>
      </c>
      <c r="E49" s="269" t="n">
        <f aca="false">'Tornado 02'!B265</f>
        <v>39.7799882589962</v>
      </c>
      <c r="F49" s="269" t="n">
        <f aca="false">D49-$C$36</f>
        <v>-1.39726921359453</v>
      </c>
      <c r="G49" s="269" t="n">
        <f aca="false">E49-$C$36</f>
        <v>0.569680278363663</v>
      </c>
      <c r="H49" s="269" t="n">
        <f aca="false">ABS(E49-D49)</f>
        <v>1.9669494919582</v>
      </c>
      <c r="I49" s="199" t="n">
        <f aca="false">RANK(H49,$H$49:$H$53)+COUNTIF($H$49:H49,H49)-1</f>
        <v>5</v>
      </c>
      <c r="T49" s="200" t="n">
        <f aca="false">'Proyección Final Soriana'!$B$123+0</f>
        <v>0.035</v>
      </c>
      <c r="U49" s="201" t="n">
        <f aca="false">'Proyección Final Soriana'!$B$243*(SUMPRODUCT('Proyección Final Soriana'!$C$117:$G$117,(1+'Proyección Final Soriana'!$B$126)^(-'Proyección Final Soriana'!$C$118:$G$118))+'Proyección Final Soriana'!$G$117*(1+T49)/('Proyección Final Soriana'!$B$126-T49)*(1+'Proyección Final Soriana'!$B$126)^-5)+'Proyección Final Soriana'!$B$244*'Proyección Final Soriana'!$B$238</f>
        <v>80709.585445956</v>
      </c>
    </row>
    <row r="50" customFormat="false" ht="15" hidden="false" customHeight="false" outlineLevel="0" collapsed="false">
      <c r="A50" s="199" t="s">
        <v>1463</v>
      </c>
      <c r="B50" s="200" t="n">
        <f aca="false">B8</f>
        <v>-0.01</v>
      </c>
      <c r="C50" s="200" t="n">
        <f aca="false">D8</f>
        <v>0.01</v>
      </c>
      <c r="D50" s="269" t="n">
        <f aca="false">'Tornado 03'!B265</f>
        <v>37.8528704224211</v>
      </c>
      <c r="E50" s="269" t="n">
        <f aca="false">'Tornado 04'!B265</f>
        <v>40.6028413849192</v>
      </c>
      <c r="F50" s="269" t="n">
        <f aca="false">D50-$C$36</f>
        <v>-1.35743755821145</v>
      </c>
      <c r="G50" s="269" t="n">
        <f aca="false">E50-$C$36</f>
        <v>1.3925334042866</v>
      </c>
      <c r="H50" s="269" t="n">
        <f aca="false">ABS(E50-D50)</f>
        <v>2.74997096249805</v>
      </c>
      <c r="I50" s="199" t="n">
        <f aca="false">RANK(H50,$H$49:$H$53)+COUNTIF($H$49:H50,H50)-1</f>
        <v>4</v>
      </c>
      <c r="T50" s="200" t="n">
        <f aca="false">'Proyección Final Soriana'!$B$123+0.005</f>
        <v>0.04</v>
      </c>
      <c r="U50" s="201" t="n">
        <f aca="false">'Proyección Final Soriana'!$B$243*(SUMPRODUCT('Proyección Final Soriana'!$C$117:$G$117,(1+'Proyección Final Soriana'!$B$126)^(-'Proyección Final Soriana'!$C$118:$G$118))+'Proyección Final Soriana'!$G$117*(1+T50)/('Proyección Final Soriana'!$B$126-T50)*(1+'Proyección Final Soriana'!$B$126)^-5)+'Proyección Final Soriana'!$B$244*'Proyección Final Soriana'!$B$238</f>
        <v>83918.2913767058</v>
      </c>
    </row>
    <row r="51" customFormat="false" ht="15" hidden="false" customHeight="false" outlineLevel="0" collapsed="false">
      <c r="A51" s="199" t="s">
        <v>2456</v>
      </c>
      <c r="B51" s="200" t="n">
        <f aca="false">B9</f>
        <v>-0.0025</v>
      </c>
      <c r="C51" s="200" t="n">
        <f aca="false">D9</f>
        <v>0.0025</v>
      </c>
      <c r="D51" s="269" t="n">
        <f aca="false">'Tornado 05'!B265</f>
        <v>37.1485211689468</v>
      </c>
      <c r="E51" s="269" t="n">
        <f aca="false">'Tornado 06'!B265</f>
        <v>41.2714034606664</v>
      </c>
      <c r="F51" s="269" t="n">
        <f aca="false">D51-$C$36</f>
        <v>-2.06178681168579</v>
      </c>
      <c r="G51" s="269" t="n">
        <f aca="false">E51-$C$36</f>
        <v>2.06109548003387</v>
      </c>
      <c r="H51" s="269" t="n">
        <f aca="false">ABS(E51-D51)</f>
        <v>4.12288229171966</v>
      </c>
      <c r="I51" s="199" t="n">
        <f aca="false">RANK(H51,$H$49:$H$53)+COUNTIF($H$49:H51,H51)-1</f>
        <v>1</v>
      </c>
      <c r="T51" s="200" t="n">
        <f aca="false">'Proyección Final Soriana'!$B$123+0.01</f>
        <v>0.045</v>
      </c>
      <c r="U51" s="201" t="n">
        <f aca="false">'Proyección Final Soriana'!$B$243*(SUMPRODUCT('Proyección Final Soriana'!$C$117:$G$117,(1+'Proyección Final Soriana'!$B$126)^(-'Proyección Final Soriana'!$C$118:$G$118))+'Proyección Final Soriana'!$G$117*(1+T51)/('Proyección Final Soriana'!$B$126-T51)*(1+'Proyección Final Soriana'!$B$126)^-5)+'Proyección Final Soriana'!$B$244*'Proyección Final Soriana'!$B$238</f>
        <v>87752.1014223887</v>
      </c>
    </row>
    <row r="52" customFormat="false" ht="15" hidden="false" customHeight="false" outlineLevel="0" collapsed="false">
      <c r="A52" s="199" t="s">
        <v>2457</v>
      </c>
      <c r="B52" s="266" t="n">
        <f aca="false">B10</f>
        <v>0.344780636491494</v>
      </c>
      <c r="C52" s="266" t="n">
        <f aca="false">D10</f>
        <v>0.0908951822641911</v>
      </c>
      <c r="D52" s="269" t="n">
        <f aca="false">'Tornado 07'!B265</f>
        <v>37.5433827719497</v>
      </c>
      <c r="E52" s="269" t="n">
        <f aca="false">'Tornado 08'!B265</f>
        <v>41.073043567039</v>
      </c>
      <c r="F52" s="269" t="n">
        <f aca="false">D52-$C$36</f>
        <v>-1.66692520868286</v>
      </c>
      <c r="G52" s="269" t="n">
        <f aca="false">E52-$C$36</f>
        <v>1.86273558640645</v>
      </c>
      <c r="H52" s="269" t="n">
        <f aca="false">ABS(E52-D52)</f>
        <v>3.52966079508931</v>
      </c>
      <c r="I52" s="199" t="n">
        <f aca="false">RANK(H52,$H$49:$H$53)+COUNTIF($H$49:H52,H52)-1</f>
        <v>2</v>
      </c>
    </row>
    <row r="53" customFormat="false" ht="15" hidden="false" customHeight="false" outlineLevel="0" collapsed="false">
      <c r="A53" s="199" t="s">
        <v>2406</v>
      </c>
      <c r="B53" s="200" t="n">
        <f aca="false">B11</f>
        <v>0.03</v>
      </c>
      <c r="C53" s="200" t="n">
        <f aca="false">D11</f>
        <v>0.04</v>
      </c>
      <c r="D53" s="269" t="n">
        <f aca="false">'Tornado 09'!B265</f>
        <v>37.724672783398</v>
      </c>
      <c r="E53" s="269" t="n">
        <f aca="false">'Tornado 10'!B265</f>
        <v>40.9382065208352</v>
      </c>
      <c r="F53" s="269" t="n">
        <f aca="false">D53-$C$36</f>
        <v>-1.48563519723453</v>
      </c>
      <c r="G53" s="269" t="n">
        <f aca="false">E53-$C$36</f>
        <v>1.72789854020261</v>
      </c>
      <c r="H53" s="269" t="n">
        <f aca="false">ABS(E53-D53)</f>
        <v>3.21353373743714</v>
      </c>
      <c r="I53" s="199" t="n">
        <f aca="false">RANK(H53,$H$49:$H$53)+COUNTIF($H$49:H53,H53)-1</f>
        <v>3</v>
      </c>
    </row>
    <row r="58" customFormat="false" ht="15" hidden="false" customHeight="false" outlineLevel="0" collapsed="false">
      <c r="A58" s="198" t="s">
        <v>2458</v>
      </c>
      <c r="B58" s="198" t="s">
        <v>2453</v>
      </c>
      <c r="C58" s="198" t="s">
        <v>2459</v>
      </c>
      <c r="D58" s="198" t="s">
        <v>2460</v>
      </c>
    </row>
    <row r="59" customFormat="false" ht="15" hidden="false" customHeight="false" outlineLevel="0" collapsed="false">
      <c r="A59" s="199" t="str">
        <f aca="false">INDEX($A$49:$A$53,MATCH(1,$I$49:$I$53,0))</f>
        <v>Margen de operación (EBIT)</v>
      </c>
      <c r="B59" s="269" t="n">
        <f aca="false">INDEX($H$49:$H$53,MATCH(1,$I$49:$I$53,0))</f>
        <v>4.12288229171966</v>
      </c>
      <c r="C59" s="269" t="n">
        <f aca="false">INDEX($F$49:$F$53,MATCH(1,$I$49:$I$53,0))</f>
        <v>-2.06178681168579</v>
      </c>
      <c r="D59" s="269" t="n">
        <f aca="false">INDEX($G$49:$G$53,MATCH(1,$I$49:$I$53,0))</f>
        <v>2.06109548003387</v>
      </c>
    </row>
    <row r="60" customFormat="false" ht="15" hidden="false" customHeight="false" outlineLevel="0" collapsed="false">
      <c r="A60" s="199" t="str">
        <f aca="false">INDEX($A$49:$A$53,MATCH(2,$I$49:$I$53,0))</f>
        <v>Beta (más o menos un error típico)</v>
      </c>
      <c r="B60" s="269" t="n">
        <f aca="false">INDEX($H$49:$H$53,MATCH(2,$I$49:$I$53,0))</f>
        <v>3.52966079508931</v>
      </c>
      <c r="C60" s="269" t="n">
        <f aca="false">INDEX($F$49:$F$53,MATCH(2,$I$49:$I$53,0))</f>
        <v>-1.66692520868286</v>
      </c>
      <c r="D60" s="269" t="n">
        <f aca="false">INDEX($G$49:$G$53,MATCH(2,$I$49:$I$53,0))</f>
        <v>1.86273558640645</v>
      </c>
    </row>
    <row r="61" customFormat="false" ht="15" hidden="false" customHeight="false" outlineLevel="0" collapsed="false">
      <c r="A61" s="199" t="str">
        <f aca="false">INDEX($A$49:$A$53,MATCH(3,$I$49:$I$53,0))</f>
        <v>Crecimiento perpetuo g</v>
      </c>
      <c r="B61" s="269" t="n">
        <f aca="false">INDEX($H$49:$H$53,MATCH(3,$I$49:$I$53,0))</f>
        <v>3.21353373743714</v>
      </c>
      <c r="C61" s="269" t="n">
        <f aca="false">INDEX($F$49:$F$53,MATCH(3,$I$49:$I$53,0))</f>
        <v>-1.48563519723453</v>
      </c>
      <c r="D61" s="269" t="n">
        <f aca="false">INDEX($G$49:$G$53,MATCH(3,$I$49:$I$53,0))</f>
        <v>1.72789854020261</v>
      </c>
    </row>
    <row r="62" customFormat="false" ht="15" hidden="false" customHeight="false" outlineLevel="0" collapsed="false">
      <c r="A62" s="199" t="str">
        <f aca="false">INDEX($A$49:$A$53,MATCH(4,$I$49:$I$53,0))</f>
        <v>Crecimiento de ventas</v>
      </c>
      <c r="B62" s="269" t="n">
        <f aca="false">INDEX($H$49:$H$53,MATCH(4,$I$49:$I$53,0))</f>
        <v>2.74997096249805</v>
      </c>
      <c r="C62" s="269" t="n">
        <f aca="false">INDEX($F$49:$F$53,MATCH(4,$I$49:$I$53,0))</f>
        <v>-1.35743755821145</v>
      </c>
      <c r="D62" s="269" t="n">
        <f aca="false">INDEX($G$49:$G$53,MATCH(4,$I$49:$I$53,0))</f>
        <v>1.3925334042866</v>
      </c>
    </row>
    <row r="63" customFormat="false" ht="15" hidden="false" customHeight="false" outlineLevel="0" collapsed="false">
      <c r="A63" s="199" t="str">
        <f aca="false">INDEX($A$49:$A$53,MATCH(5,$I$49:$I$53,0))</f>
        <v>Inflación (con su efecto en tasas)</v>
      </c>
      <c r="B63" s="269" t="n">
        <f aca="false">INDEX($H$49:$H$53,MATCH(5,$I$49:$I$53,0))</f>
        <v>1.9669494919582</v>
      </c>
      <c r="C63" s="269" t="n">
        <f aca="false">INDEX($F$49:$F$53,MATCH(5,$I$49:$I$53,0))</f>
        <v>-1.39726921359453</v>
      </c>
      <c r="D63" s="269" t="n">
        <f aca="false">INDEX($G$49:$G$53,MATCH(5,$I$49:$I$53,0))</f>
        <v>0.569680278363663</v>
      </c>
    </row>
    <row r="64" customFormat="false" ht="15" hidden="false" customHeight="false" outlineLevel="0" collapsed="false">
      <c r="A64" s="71" t="s">
        <v>2461</v>
      </c>
    </row>
    <row r="65" customFormat="false" ht="15" hidden="false" customHeight="false" outlineLevel="0" collapsed="false">
      <c r="A65" s="75" t="s">
        <v>2462</v>
      </c>
    </row>
    <row r="66" customFormat="false" ht="15" hidden="false" customHeight="false" outlineLevel="0" collapsed="false">
      <c r="A66" s="75" t="s">
        <v>2463</v>
      </c>
    </row>
    <row r="67" customFormat="false" ht="15" hidden="false" customHeight="false" outlineLevel="0" collapsed="false">
      <c r="A67" s="75" t="s">
        <v>2464</v>
      </c>
    </row>
    <row r="68" customFormat="false" ht="15" hidden="false" customHeight="false" outlineLevel="0" collapsed="false">
      <c r="A68" s="75" t="s">
        <v>2465</v>
      </c>
    </row>
    <row r="69" customFormat="false" ht="15" hidden="false" customHeight="false" outlineLevel="0" collapsed="false">
      <c r="A69" s="75" t="s">
        <v>2466</v>
      </c>
    </row>
    <row r="70" customFormat="false" ht="15" hidden="false" customHeight="false" outlineLevel="0" collapsed="false">
      <c r="A70" s="75" t="s">
        <v>2467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5" min="2" style="0" width="18"/>
    <col collapsed="false" customWidth="true" hidden="false" outlineLevel="0" max="6" min="6" style="0" width="70"/>
  </cols>
  <sheetData>
    <row r="1" customFormat="false" ht="17.35" hidden="false" customHeight="false" outlineLevel="0" collapsed="false">
      <c r="A1" s="59" t="s">
        <v>2468</v>
      </c>
    </row>
    <row r="2" customFormat="false" ht="15" hidden="false" customHeight="false" outlineLevel="0" collapsed="false">
      <c r="A2" s="75" t="s">
        <v>2469</v>
      </c>
    </row>
    <row r="4" customFormat="false" ht="15" hidden="false" customHeight="false" outlineLevel="0" collapsed="false">
      <c r="A4" s="71" t="s">
        <v>2470</v>
      </c>
    </row>
    <row r="5" customFormat="false" ht="15" hidden="false" customHeight="false" outlineLevel="0" collapsed="false">
      <c r="A5" s="71" t="s">
        <v>1395</v>
      </c>
      <c r="B5" s="71" t="s">
        <v>2471</v>
      </c>
      <c r="C5" s="71" t="s">
        <v>2167</v>
      </c>
      <c r="D5" s="71" t="s">
        <v>2168</v>
      </c>
      <c r="E5" s="71" t="s">
        <v>2169</v>
      </c>
      <c r="F5" s="71" t="s">
        <v>2142</v>
      </c>
    </row>
    <row r="6" customFormat="false" ht="15" hidden="false" customHeight="false" outlineLevel="0" collapsed="false">
      <c r="A6" s="75" t="s">
        <v>2472</v>
      </c>
      <c r="B6" s="74" t="n">
        <f aca="false">WACC!$B$13</f>
        <v>33.1</v>
      </c>
      <c r="C6" s="74" t="n">
        <f aca="false">WACC!$B$13</f>
        <v>33.1</v>
      </c>
      <c r="D6" s="74" t="n">
        <f aca="false">WACC!$B$13</f>
        <v>33.1</v>
      </c>
      <c r="E6" s="74" t="n">
        <f aca="false">WACC!$B$13</f>
        <v>33.1</v>
      </c>
      <c r="F6" s="75" t="s">
        <v>2473</v>
      </c>
    </row>
    <row r="7" customFormat="false" ht="15" hidden="false" customHeight="false" outlineLevel="0" collapsed="false">
      <c r="A7" s="75" t="s">
        <v>2474</v>
      </c>
      <c r="B7" s="273" t="n">
        <f aca="false">'Proyección Final Soriana'!B265</f>
        <v>39.2103079806326</v>
      </c>
      <c r="C7" s="74" t="n">
        <f aca="false">Escenarios!B36</f>
        <v>32.1247976721337</v>
      </c>
      <c r="D7" s="74" t="n">
        <f aca="false">Escenarios!C36</f>
        <v>39.2103079806326</v>
      </c>
      <c r="E7" s="74" t="n">
        <f aca="false">Escenarios!D36</f>
        <v>47.7416662911104</v>
      </c>
      <c r="F7" s="75" t="s">
        <v>2475</v>
      </c>
    </row>
    <row r="8" customFormat="false" ht="15" hidden="false" customHeight="false" outlineLevel="0" collapsed="false">
      <c r="A8" s="75" t="s">
        <v>2476</v>
      </c>
      <c r="B8" s="74" t="n">
        <f aca="false">B7-B6</f>
        <v>6.11030798063256</v>
      </c>
      <c r="C8" s="74" t="n">
        <f aca="false">C7-C6</f>
        <v>-0.975202327866349</v>
      </c>
      <c r="D8" s="74" t="n">
        <f aca="false">D7-D6</f>
        <v>6.11030798063256</v>
      </c>
      <c r="E8" s="74" t="n">
        <f aca="false">E7-E6</f>
        <v>14.6416662911104</v>
      </c>
      <c r="F8" s="75" t="s">
        <v>2477</v>
      </c>
    </row>
    <row r="9" customFormat="false" ht="15" hidden="false" customHeight="false" outlineLevel="0" collapsed="false">
      <c r="A9" s="75" t="s">
        <v>2441</v>
      </c>
      <c r="B9" s="76" t="n">
        <f aca="false">B7/B6-1</f>
        <v>0.184601449565938</v>
      </c>
      <c r="C9" s="76" t="n">
        <f aca="false">C7/C6-1</f>
        <v>-0.0294623059778353</v>
      </c>
      <c r="D9" s="76" t="n">
        <f aca="false">D7/D6-1</f>
        <v>0.184601449565938</v>
      </c>
      <c r="E9" s="76" t="n">
        <f aca="false">E7/E6-1</f>
        <v>0.442346413628714</v>
      </c>
      <c r="F9" s="75" t="s">
        <v>2478</v>
      </c>
    </row>
    <row r="10" customFormat="false" ht="15" hidden="false" customHeight="false" outlineLevel="0" collapsed="false">
      <c r="A10" s="75" t="s">
        <v>2479</v>
      </c>
      <c r="B10" s="274" t="n">
        <f aca="false">'Proyección Final Soriana'!B245</f>
        <v>80709.585445956</v>
      </c>
      <c r="C10" s="274" t="n">
        <f aca="false">Escenarios!B34</f>
        <v>68478.9165095676</v>
      </c>
      <c r="D10" s="274" t="n">
        <f aca="false">Escenarios!C34</f>
        <v>80709.585445956</v>
      </c>
      <c r="E10" s="274" t="n">
        <f aca="false">Escenarios!D34</f>
        <v>95332.846118684</v>
      </c>
      <c r="F10" s="75" t="s">
        <v>2480</v>
      </c>
    </row>
    <row r="11" customFormat="false" ht="15" hidden="false" customHeight="false" outlineLevel="0" collapsed="false">
      <c r="A11" s="75" t="s">
        <v>2481</v>
      </c>
      <c r="B11" s="274" t="n">
        <f aca="false">'Proyección Final Soriana'!B263</f>
        <v>70578.5543651386</v>
      </c>
      <c r="C11" s="274" t="n">
        <f aca="false">Escenarios!B35</f>
        <v>57824.6358098406</v>
      </c>
      <c r="D11" s="274" t="n">
        <f aca="false">Escenarios!C35</f>
        <v>70578.5543651386</v>
      </c>
      <c r="E11" s="274" t="n">
        <f aca="false">Escenarios!D35</f>
        <v>85934.9993239988</v>
      </c>
      <c r="F11" s="75" t="s">
        <v>2482</v>
      </c>
    </row>
    <row r="12" customFormat="false" ht="15" hidden="false" customHeight="false" outlineLevel="0" collapsed="false">
      <c r="A12" s="75" t="s">
        <v>2483</v>
      </c>
      <c r="B12" s="274" t="n">
        <f aca="false">'Proyección Final Soriana'!B243*'Proyección Final Soriana'!B129+'Proyección Final Soriana'!B244*'Proyección Final Soriana'!B236</f>
        <v>89660.5921190386</v>
      </c>
      <c r="C12" s="274" t="n">
        <f aca="false">Escenarios!B33</f>
        <v>75589.4318090589</v>
      </c>
      <c r="D12" s="274" t="n">
        <f aca="false">Escenarios!C33</f>
        <v>89660.5921190386</v>
      </c>
      <c r="E12" s="274" t="n">
        <f aca="false">Escenarios!D33</f>
        <v>107561.439239104</v>
      </c>
      <c r="F12" s="75" t="s">
        <v>2484</v>
      </c>
    </row>
    <row r="13" customFormat="false" ht="15" hidden="false" customHeight="false" outlineLevel="0" collapsed="false">
      <c r="A13" s="75" t="s">
        <v>2485</v>
      </c>
      <c r="B13" s="76" t="n">
        <f aca="false">('Proyección Final Soriana'!B243*'Proyección Final Soriana'!B131+'Proyección Final Soriana'!B244*'Proyección Final Soriana'!B237)/'Proyección Final Soriana'!B245</f>
        <v>0.701404456255005</v>
      </c>
      <c r="F13" s="75" t="s">
        <v>2486</v>
      </c>
    </row>
    <row r="14" customFormat="false" ht="15" hidden="false" customHeight="false" outlineLevel="0" collapsed="false">
      <c r="A14" s="75" t="s">
        <v>2487</v>
      </c>
      <c r="B14" s="75" t="str">
        <f aca="false">'Proyección Final Soriana'!B268</f>
        <v>COMPRAR</v>
      </c>
      <c r="C14" s="75" t="str">
        <f aca="false">Escenarios!B40</f>
        <v>MANTENER</v>
      </c>
      <c r="D14" s="75" t="str">
        <f aca="false">Escenarios!C40</f>
        <v>COMPRAR</v>
      </c>
      <c r="E14" s="75" t="str">
        <f aca="false">Escenarios!D40</f>
        <v>COMPRAR</v>
      </c>
      <c r="F14" s="75" t="s">
        <v>2488</v>
      </c>
    </row>
    <row r="15" customFormat="false" ht="15" hidden="false" customHeight="false" outlineLevel="0" collapsed="false">
      <c r="A15" s="75" t="s">
        <v>2489</v>
      </c>
      <c r="B15" s="74" t="n">
        <f aca="false">'Valuación Combinada'!B9</f>
        <v>36.351574417565</v>
      </c>
      <c r="F15" s="75" t="s">
        <v>2490</v>
      </c>
    </row>
    <row r="17" customFormat="false" ht="15" hidden="false" customHeight="false" outlineLevel="0" collapsed="false">
      <c r="A17" s="71" t="str">
        <f aca="false">"Con el escenario "&amp;Escenarios!C4&amp;", el modelo estima "&amp;FIXED(B7,2)&amp;" pesos por acción contra "&amp;FIXED(B6,2)&amp;" del mercado: una diferencia de "&amp;FIXED(B8,2)&amp;" pesos ("&amp;FIXED(B9*100,1)&amp;"%). La recomendación es "&amp;B14&amp;". En los tres escenarios el valor va de "&amp;FIXED(C7,2)&amp;" a "&amp;FIXED(E7,2)&amp;" pesos."</f>
        <v>Con el escenario Base, el modelo estima 39.21 pesos por acción contra 33.10 del mercado: una diferencia de 6.11 pesos (18.5%). La recomendación es COMPRAR. En los tres escenarios el valor va de 32.12 a 47.74 pesos.</v>
      </c>
    </row>
    <row r="19" customFormat="false" ht="15" hidden="false" customHeight="false" outlineLevel="0" collapsed="false">
      <c r="A19" s="71" t="s">
        <v>2491</v>
      </c>
    </row>
    <row r="20" customFormat="false" ht="15" hidden="false" customHeight="false" outlineLevel="0" collapsed="false">
      <c r="A20" s="71" t="s">
        <v>2492</v>
      </c>
      <c r="B20" s="71" t="s">
        <v>78</v>
      </c>
      <c r="C20" s="71" t="s">
        <v>2493</v>
      </c>
    </row>
    <row r="21" customFormat="false" ht="15" hidden="false" customHeight="false" outlineLevel="0" collapsed="false">
      <c r="A21" s="75" t="s">
        <v>2494</v>
      </c>
      <c r="B21" s="76" t="n">
        <f aca="false">'Proyección Final Soriana'!C10</f>
        <v>0.0351</v>
      </c>
      <c r="C21" s="75" t="s">
        <v>2495</v>
      </c>
    </row>
    <row r="22" customFormat="false" ht="15" hidden="false" customHeight="false" outlineLevel="0" collapsed="false">
      <c r="A22" s="75" t="s">
        <v>2496</v>
      </c>
      <c r="B22" s="76" t="n">
        <f aca="false">AVERAGE('Proyección Final Soriana'!C28:G28)</f>
        <v>-0.000942519728501209</v>
      </c>
      <c r="C22" s="75" t="s">
        <v>2497</v>
      </c>
    </row>
    <row r="23" customFormat="false" ht="15" hidden="false" customHeight="false" outlineLevel="0" collapsed="false">
      <c r="A23" s="75" t="s">
        <v>2498</v>
      </c>
      <c r="B23" s="76" t="n">
        <f aca="false">AVERAGE('Proyección Final Soriana'!C41:G41)</f>
        <v>0.0451739420608695</v>
      </c>
      <c r="C23" s="75" t="s">
        <v>2499</v>
      </c>
    </row>
    <row r="24" customFormat="false" ht="15" hidden="false" customHeight="false" outlineLevel="0" collapsed="false">
      <c r="A24" s="75" t="s">
        <v>2080</v>
      </c>
      <c r="B24" s="76" t="n">
        <f aca="false">'Proyección Final Soriana'!B210</f>
        <v>0.09517</v>
      </c>
      <c r="C24" s="75" t="s">
        <v>2500</v>
      </c>
    </row>
    <row r="25" customFormat="false" ht="15" hidden="false" customHeight="false" outlineLevel="0" collapsed="false">
      <c r="A25" s="75" t="s">
        <v>2081</v>
      </c>
      <c r="B25" s="76" t="n">
        <f aca="false">WACC!B8</f>
        <v>0.0423</v>
      </c>
      <c r="C25" s="75" t="s">
        <v>2501</v>
      </c>
    </row>
    <row r="26" customFormat="false" ht="15" hidden="false" customHeight="false" outlineLevel="0" collapsed="false">
      <c r="A26" s="75" t="s">
        <v>2502</v>
      </c>
      <c r="B26" s="275" t="n">
        <f aca="false">'Proyección Final Soriana'!E219</f>
        <v>0.207268023221306</v>
      </c>
      <c r="C26" s="75" t="s">
        <v>2503</v>
      </c>
    </row>
    <row r="27" customFormat="false" ht="15" hidden="false" customHeight="false" outlineLevel="0" collapsed="false">
      <c r="A27" s="75" t="s">
        <v>2504</v>
      </c>
      <c r="B27" s="76" t="n">
        <f aca="false">'Proyección Final Soriana'!B221</f>
        <v>0.103937437382261</v>
      </c>
      <c r="C27" s="75" t="s">
        <v>2505</v>
      </c>
    </row>
    <row r="28" customFormat="false" ht="15" hidden="false" customHeight="false" outlineLevel="0" collapsed="false">
      <c r="A28" s="75" t="s">
        <v>2506</v>
      </c>
      <c r="B28" s="76" t="n">
        <f aca="false">'Proyección Final Soriana'!B206</f>
        <v>0.1</v>
      </c>
      <c r="C28" s="75" t="s">
        <v>2507</v>
      </c>
    </row>
    <row r="29" customFormat="false" ht="15" hidden="false" customHeight="false" outlineLevel="0" collapsed="false">
      <c r="A29" s="75" t="s">
        <v>1439</v>
      </c>
      <c r="B29" s="76" t="n">
        <f aca="false">'Proyección Final Soriana'!B207</f>
        <v>0.288010101095701</v>
      </c>
      <c r="C29" s="75" t="s">
        <v>2508</v>
      </c>
    </row>
    <row r="30" customFormat="false" ht="15" hidden="false" customHeight="false" outlineLevel="0" collapsed="false">
      <c r="A30" s="75" t="s">
        <v>2509</v>
      </c>
      <c r="B30" s="274" t="n">
        <f aca="false">'Proyección Final Soriana'!B209</f>
        <v>23618</v>
      </c>
      <c r="C30" s="75" t="s">
        <v>2510</v>
      </c>
    </row>
    <row r="31" customFormat="false" ht="15" hidden="false" customHeight="false" outlineLevel="0" collapsed="false">
      <c r="A31" s="75" t="s">
        <v>2511</v>
      </c>
      <c r="B31" s="76" t="n">
        <f aca="false">'Proyección Final Soriana'!B126</f>
        <v>0.0963307440168374</v>
      </c>
      <c r="C31" s="75" t="s">
        <v>2512</v>
      </c>
    </row>
    <row r="32" customFormat="false" ht="15" hidden="false" customHeight="false" outlineLevel="0" collapsed="false">
      <c r="A32" s="75" t="s">
        <v>6</v>
      </c>
      <c r="B32" s="76" t="n">
        <f aca="false">'Proyección Final Soriana'!B123</f>
        <v>0.035</v>
      </c>
      <c r="C32" s="75" t="s">
        <v>2513</v>
      </c>
    </row>
    <row r="33" customFormat="false" ht="15" hidden="false" customHeight="false" outlineLevel="0" collapsed="false">
      <c r="A33" s="75" t="s">
        <v>2514</v>
      </c>
      <c r="B33" s="276" t="n">
        <f aca="false">'Proyección Final Soriana'!B234</f>
        <v>5.81077201362635</v>
      </c>
      <c r="C33" s="75" t="s">
        <v>2515</v>
      </c>
    </row>
    <row r="34" customFormat="false" ht="15" hidden="false" customHeight="false" outlineLevel="0" collapsed="false">
      <c r="A34" s="75" t="s">
        <v>2516</v>
      </c>
      <c r="B34" s="75" t="s">
        <v>2517</v>
      </c>
      <c r="C34" s="75" t="s">
        <v>2518</v>
      </c>
    </row>
    <row r="35" customFormat="false" ht="15" hidden="false" customHeight="false" outlineLevel="0" collapsed="false">
      <c r="A35" s="75" t="s">
        <v>57</v>
      </c>
      <c r="B35" s="274" t="n">
        <f aca="false">'Proyección Final Soriana'!B264</f>
        <v>1800</v>
      </c>
      <c r="C35" s="75" t="s">
        <v>2519</v>
      </c>
    </row>
    <row r="36" customFormat="false" ht="15" hidden="false" customHeight="false" outlineLevel="0" collapsed="false">
      <c r="A36" s="75" t="s">
        <v>2302</v>
      </c>
      <c r="B36" s="73" t="n">
        <f aca="false">'Proyección Final Soriana'!B252</f>
        <v>46302</v>
      </c>
      <c r="C36" s="75" t="s">
        <v>2520</v>
      </c>
    </row>
    <row r="38" customFormat="false" ht="15" hidden="false" customHeight="false" outlineLevel="0" collapsed="false">
      <c r="A38" s="71" t="s">
        <v>2521</v>
      </c>
    </row>
    <row r="39" customFormat="false" ht="15" hidden="false" customHeight="false" outlineLevel="0" collapsed="false">
      <c r="A39" s="71" t="s">
        <v>2522</v>
      </c>
      <c r="B39" s="277" t="n">
        <f aca="false">'Proyección Final Soriana'!B162</f>
        <v>0.025</v>
      </c>
      <c r="C39" s="277" t="n">
        <f aca="false">'Proyección Final Soriana'!C162</f>
        <v>0.03</v>
      </c>
      <c r="D39" s="277" t="n">
        <f aca="false">'Proyección Final Soriana'!D162</f>
        <v>0.035</v>
      </c>
      <c r="E39" s="277" t="n">
        <f aca="false">'Proyección Final Soriana'!E162</f>
        <v>0.04</v>
      </c>
      <c r="F39" s="277" t="n">
        <f aca="false">'Proyección Final Soriana'!F162</f>
        <v>0.045</v>
      </c>
    </row>
    <row r="40" customFormat="false" ht="15" hidden="false" customHeight="false" outlineLevel="0" collapsed="false">
      <c r="A40" s="277" t="n">
        <f aca="false">'Proyección Final Soriana'!A163</f>
        <v>0.0863307440168375</v>
      </c>
      <c r="B40" s="74" t="n">
        <f aca="false">'Proyección Final Soriana'!B163</f>
        <v>40.7423531457687</v>
      </c>
      <c r="C40" s="74" t="n">
        <f aca="false">'Proyección Final Soriana'!C163</f>
        <v>42.7217263360192</v>
      </c>
      <c r="D40" s="74" t="n">
        <f aca="false">'Proyección Final Soriana'!D163</f>
        <v>45.0867111569137</v>
      </c>
      <c r="E40" s="74" t="n">
        <f aca="false">'Proyección Final Soriana'!E163</f>
        <v>47.9621528830622</v>
      </c>
      <c r="F40" s="74" t="n">
        <f aca="false">'Proyección Final Soriana'!F163</f>
        <v>51.5333095774621</v>
      </c>
    </row>
    <row r="41" customFormat="false" ht="15" hidden="false" customHeight="false" outlineLevel="0" collapsed="false">
      <c r="A41" s="277" t="n">
        <f aca="false">'Proyección Final Soriana'!A164</f>
        <v>0.0913307440168375</v>
      </c>
      <c r="B41" s="74" t="n">
        <f aca="false">'Proyección Final Soriana'!B164</f>
        <v>38.3137954961971</v>
      </c>
      <c r="C41" s="74" t="n">
        <f aca="false">'Proyección Final Soriana'!C164</f>
        <v>39.9679580477011</v>
      </c>
      <c r="D41" s="74" t="n">
        <f aca="false">'Proyección Final Soriana'!D164</f>
        <v>41.9157724194278</v>
      </c>
      <c r="E41" s="74" t="n">
        <f aca="false">'Proyección Final Soriana'!E164</f>
        <v>44.2430502898889</v>
      </c>
      <c r="F41" s="74" t="n">
        <f aca="false">'Proyección Final Soriana'!F164</f>
        <v>47.0726464200384</v>
      </c>
    </row>
    <row r="42" customFormat="false" ht="15" hidden="false" customHeight="false" outlineLevel="0" collapsed="false">
      <c r="A42" s="277" t="n">
        <f aca="false">'Proyección Final Soriana'!A165</f>
        <v>0.0963307440168375</v>
      </c>
      <c r="B42" s="74" t="n">
        <f aca="false">'Proyección Final Soriana'!B165</f>
        <v>36.1827108555647</v>
      </c>
      <c r="C42" s="74" t="n">
        <f aca="false">'Proyección Final Soriana'!C165</f>
        <v>37.5823995445421</v>
      </c>
      <c r="D42" s="74" t="n">
        <f aca="false">'Proyección Final Soriana'!D165</f>
        <v>39.2103079806325</v>
      </c>
      <c r="E42" s="74" t="n">
        <f aca="false">'Proyección Final Soriana'!E165</f>
        <v>41.1272075288595</v>
      </c>
      <c r="F42" s="74" t="n">
        <f aca="false">'Proyección Final Soriana'!F165</f>
        <v>43.4175479038155</v>
      </c>
    </row>
    <row r="43" customFormat="false" ht="15" hidden="false" customHeight="false" outlineLevel="0" collapsed="false">
      <c r="A43" s="277" t="n">
        <f aca="false">'Proyección Final Soriana'!A166</f>
        <v>0.101330744016837</v>
      </c>
      <c r="B43" s="74" t="n">
        <f aca="false">'Proyección Final Soriana'!B166</f>
        <v>34.2920971929088</v>
      </c>
      <c r="C43" s="74" t="n">
        <f aca="false">'Proyección Final Soriana'!C166</f>
        <v>35.4891966443159</v>
      </c>
      <c r="D43" s="74" t="n">
        <f aca="false">'Proyección Final Soriana'!D166</f>
        <v>36.866770394504</v>
      </c>
      <c r="E43" s="74" t="n">
        <f aca="false">'Proyección Final Soriana'!E166</f>
        <v>38.4689580430349</v>
      </c>
      <c r="F43" s="74" t="n">
        <f aca="false">'Proyección Final Soriana'!F166</f>
        <v>40.3555707735516</v>
      </c>
    </row>
    <row r="44" customFormat="false" ht="15" hidden="false" customHeight="false" outlineLevel="0" collapsed="false">
      <c r="A44" s="277" t="n">
        <f aca="false">'Proyección Final Soriana'!A167</f>
        <v>0.106330744016837</v>
      </c>
      <c r="B44" s="74" t="n">
        <f aca="false">'Proyección Final Soriana'!B167</f>
        <v>32.5989173216019</v>
      </c>
      <c r="C44" s="74" t="n">
        <f aca="false">'Proyección Final Soriana'!C167</f>
        <v>33.6323137974818</v>
      </c>
      <c r="D44" s="74" t="n">
        <f aca="false">'Proyección Final Soriana'!D167</f>
        <v>34.8105841969584</v>
      </c>
      <c r="E44" s="74" t="n">
        <f aca="false">'Proyección Final Soriana'!E167</f>
        <v>36.166490233867</v>
      </c>
      <c r="F44" s="74" t="n">
        <f aca="false">'Proyección Final Soriana'!F167</f>
        <v>37.7434772406292</v>
      </c>
    </row>
    <row r="46" customFormat="false" ht="15" hidden="false" customHeight="false" outlineLevel="0" collapsed="false">
      <c r="A46" s="75" t="str">
        <f aca="false">"Si el WACC sube medio punto (a "&amp;FIXED('Proyección Final Soriana'!A166*100,2)&amp;"%), el valor baja a "&amp;FIXED('Proyección Final Soriana'!D166,2)&amp;" pesos; si baja medio punto, sube a "&amp;FIXED('Proyección Final Soriana'!D164,2)&amp;". Si g sube medio punto, el valor pasa a "&amp;FIXED('Proyección Final Soriana'!E165,2)&amp;"; si baja medio punto, a "&amp;FIXED('Proyección Final Soriana'!C165,2)&amp;"."</f>
        <v>Si el WACC sube medio punto (a 10.13%), el valor baja a 36.87 pesos; si baja medio punto, sube a 41.92. Si g sube medio punto, el valor pasa a 41.13; si baja medio punto, a 37.58.</v>
      </c>
    </row>
    <row r="47" customFormat="false" ht="15" hidden="false" customHeight="false" outlineLevel="0" collapsed="false">
      <c r="A47" s="75" t="str">
        <f aca="false">"Moviendo una variable a la vez (hoja Escenarios, tornado), la que más cambia el valor es "&amp;Escenarios!A59&amp;" (rango de "&amp;FIXED(Escenarios!B59,2)&amp;" pesos), seguida de "&amp;Escenarios!A60&amp;" ("&amp;FIXED(Escenarios!B60,2)&amp;") y "&amp;Escenarios!A61&amp;" ("&amp;FIXED(Escenarios!B61,2)&amp;")."</f>
        <v>Moviendo una variable a la vez (hoja Escenarios, tornado), la que más cambia el valor es Margen de operación (EBIT) (rango de 4.12 pesos), seguida de Beta (más o menos un error típico) (3.53) y Crecimiento perpetuo g (3.21).</v>
      </c>
    </row>
    <row r="49" customFormat="false" ht="15" hidden="false" customHeight="false" outlineLevel="0" collapsed="false">
      <c r="A49" s="71" t="s">
        <v>2523</v>
      </c>
    </row>
    <row r="50" customFormat="false" ht="15" hidden="false" customHeight="false" outlineLevel="0" collapsed="false">
      <c r="A50" s="75" t="str">
        <f aca="false">"La beta salió baja ("&amp;FIXED('Beta Regresión'!B30,2)&amp;") y el mercado explica muy poco de los movimientos de Soriana (R cuadrada de "&amp;FIXED('Beta Regresión'!B14*100,1)&amp;"%). Con ella el costo del capital queda en "&amp;FIXED('Proyección Final Soriana'!B221*100,2)&amp;"%, muy cerca del costo de la deuda ("&amp;FIXED('Proyección Final Soriana'!B206*100,1)&amp;"%). Un inversionista probablemente pide más rendimiento a una acción, y eso explicaría por qué el mercado paga distinto de lo que dice el modelo."</f>
        <v>La beta salió baja (0.22) y el mercado explica muy poco de los movimientos de Soriana (R cuadrada de 1.1%). Con ella el costo del capital queda en 10.39%, muy cerca del costo de la deuda (10.0%). Un inversionista probablemente pide más rendimiento a una acción, y eso explicaría por qué el mercado paga distinto de lo que dice el modelo.</v>
      </c>
    </row>
    <row r="51" customFormat="false" ht="15" hidden="false" customHeight="false" outlineLevel="0" collapsed="false">
      <c r="A51" s="75" t="str">
        <f aca="false">"El valor terminal pesa "&amp;FIXED(B13*100,0)&amp;"% del valor de la empresa: lo que se supone para después de 2030 (g y múltiplo de salida) mueve mucho el resultado."</f>
        <v>El valor terminal pesa 70% del valor de la empresa: lo que se supone para después de 2030 (g y múltiplo de salida) mueve mucho el resultado.</v>
      </c>
    </row>
    <row r="52" customFormat="false" ht="15" hidden="false" customHeight="false" outlineLevel="0" collapsed="false">
      <c r="A52" s="75" t="str">
        <f aca="false">"Los analistas que siguen a Soriana tienen un precio objetivo promedio de "&amp;FIXED(Generales!B24,2)&amp;" pesos con recomendación de venta: el mercado es más pesimista que el escenario base sobre ventas y márgenes."</f>
        <v>Los analistas que siguen a Soriana tienen un precio objetivo promedio de 23.36 pesos con recomendación de venta: el mercado es más pesimista que el escenario base sobre ventas y márgenes.</v>
      </c>
    </row>
    <row r="53" customFormat="false" ht="15" hidden="false" customHeight="false" outlineLevel="0" collapsed="false">
      <c r="A53" s="75" t="s">
        <v>2524</v>
      </c>
    </row>
    <row r="54" customFormat="false" ht="15" hidden="false" customHeight="false" outlineLevel="0" collapsed="false">
      <c r="A54" s="75" t="s">
        <v>2525</v>
      </c>
    </row>
    <row r="56" customFormat="false" ht="15" hidden="false" customHeight="false" outlineLevel="0" collapsed="false">
      <c r="A56" s="71" t="s">
        <v>2526</v>
      </c>
    </row>
    <row r="57" customFormat="false" ht="15" hidden="false" customHeight="false" outlineLevel="0" collapsed="false">
      <c r="A57" s="75" t="s">
        <v>2527</v>
      </c>
    </row>
    <row r="58" customFormat="false" ht="15" hidden="false" customHeight="false" outlineLevel="0" collapsed="false">
      <c r="A58" s="75" t="str">
        <f aca="false">"La beta depende del periodo y la frecuencia de los datos. Con datos semanales de 5 años no es estadísticamente significativa al 95% (probabilidad de "&amp;FIXED('Beta Regresión'!B36,3)&amp;"); con otra ventana podría cambiar."</f>
        <v>La beta depende del periodo y la frecuencia de los datos. Con datos semanales de 5 años no es estadísticamente significativa al 95% (probabilidad de 0.087); con otra ventana podría cambiar.</v>
      </c>
    </row>
    <row r="59" customFormat="false" ht="15" hidden="false" customHeight="false" outlineLevel="0" collapsed="false">
      <c r="A59" s="75" t="s">
        <v>2528</v>
      </c>
    </row>
    <row r="60" customFormat="false" ht="15" hidden="false" customHeight="false" outlineLevel="0" collapsed="false">
      <c r="A60" s="75" t="str">
        <f aca="false">"El valor terminal promedia dos métodos que no coinciden: con el WACC actual, el múltiplo de salida implica un crecimiento perpetuo de solo "&amp;FIXED('Proyección Final Soriana'!B242*100,2)&amp;"%, contra "&amp;FIXED('Proyección Final Soriana'!B123*100,1)&amp;"% en Gordon."</f>
        <v>El valor terminal promedia dos métodos que no coinciden: con el WACC actual, el múltiplo de salida implica un crecimiento perpetuo de solo 0.59%, contra 3.5% en Gordon.</v>
      </c>
    </row>
    <row r="61" customFormat="false" ht="15" hidden="false" customHeight="false" outlineLevel="0" collapsed="false">
      <c r="A61" s="75" t="s">
        <v>2529</v>
      </c>
    </row>
    <row r="62" customFormat="false" ht="15" hidden="false" customHeight="false" outlineLevel="0" collapsed="false">
      <c r="A62" s="75" t="s">
        <v>2530</v>
      </c>
    </row>
    <row r="63" customFormat="false" ht="15" hidden="false" customHeight="false" outlineLevel="0" collapsed="false">
      <c r="A63" s="75" t="s">
        <v>2531</v>
      </c>
    </row>
    <row r="65" customFormat="false" ht="15" hidden="false" customHeight="false" outlineLevel="0" collapsed="false">
      <c r="A65" s="71" t="s">
        <v>2532</v>
      </c>
    </row>
    <row r="66" customFormat="false" ht="15" hidden="false" customHeight="false" outlineLevel="0" collapsed="false">
      <c r="A66" s="71" t="s">
        <v>2533</v>
      </c>
      <c r="B66" s="71" t="s">
        <v>2534</v>
      </c>
      <c r="C66" s="71" t="s">
        <v>2535</v>
      </c>
      <c r="D66" s="71" t="s">
        <v>2102</v>
      </c>
      <c r="E66" s="71" t="s">
        <v>2173</v>
      </c>
    </row>
    <row r="67" customFormat="false" ht="15" hidden="false" customHeight="false" outlineLevel="0" collapsed="false">
      <c r="A67" s="75" t="s">
        <v>2536</v>
      </c>
      <c r="B67" s="275" t="n">
        <f aca="false">SUMPRODUCT(ABS('Proyección Final Soriana'!B97:G97))</f>
        <v>0</v>
      </c>
      <c r="C67" s="275" t="n">
        <v>0</v>
      </c>
      <c r="D67" s="278" t="n">
        <f aca="false">IF(AND(ISNUMBER(B67),ISNUMBER(C67)),B67-C67,"")</f>
        <v>0</v>
      </c>
      <c r="E67" s="71" t="str">
        <f aca="false">IF(D67="","Revisar",IF(ABS(D67)&lt;=0.5,"Cuadra","Revisar"))</f>
        <v>Cuadra</v>
      </c>
    </row>
    <row r="68" customFormat="false" ht="15" hidden="false" customHeight="false" outlineLevel="0" collapsed="false">
      <c r="A68" s="75" t="s">
        <v>2537</v>
      </c>
      <c r="B68" s="275" t="n">
        <f aca="false">IF('Proyección Final Soriana'!B126&gt;'Proyección Final Soriana'!B123,1,0)</f>
        <v>1</v>
      </c>
      <c r="C68" s="275" t="n">
        <v>1</v>
      </c>
      <c r="D68" s="278" t="n">
        <f aca="false">IF(AND(ISNUMBER(B68),ISNUMBER(C68)),B68-C68,"")</f>
        <v>0</v>
      </c>
      <c r="E68" s="71" t="str">
        <f aca="false">IF(D68="","Revisar",IF(ABS(D68)&lt;=0,"Cuadra","Revisar"))</f>
        <v>Cuadra</v>
      </c>
    </row>
    <row r="69" customFormat="false" ht="15" hidden="false" customHeight="false" outlineLevel="0" collapsed="false">
      <c r="A69" s="75" t="s">
        <v>2538</v>
      </c>
      <c r="B69" s="275" t="n">
        <f aca="false">'Proyección Final Soriana'!B222</f>
        <v>0.000251849059801357</v>
      </c>
      <c r="C69" s="275" t="n">
        <v>0</v>
      </c>
      <c r="D69" s="278" t="n">
        <f aca="false">IF(AND(ISNUMBER(B69),ISNUMBER(C69)),B69-C69,"")</f>
        <v>0.000251849059801357</v>
      </c>
      <c r="E69" s="71" t="str">
        <f aca="false">IF(D69="","Revisar",IF(ABS(D69)&lt;=0.01,"Cuadra","Revisar"))</f>
        <v>Cuadra</v>
      </c>
    </row>
    <row r="70" customFormat="false" ht="15" hidden="false" customHeight="false" outlineLevel="0" collapsed="false">
      <c r="A70" s="75" t="s">
        <v>2539</v>
      </c>
      <c r="B70" s="275" t="n">
        <f aca="false">'Proyección Final Soriana'!B134</f>
        <v>24099.5225516684</v>
      </c>
      <c r="C70" s="275" t="n">
        <f aca="false">SUMPRODUCT('Proyección Final Soriana'!C117:G117,'Proyección Final Soriana'!C119:G119)</f>
        <v>24099.5225516684</v>
      </c>
      <c r="D70" s="278" t="n">
        <f aca="false">IF(AND(ISNUMBER(B70),ISNUMBER(C70)),B70-C70,"")</f>
        <v>0</v>
      </c>
      <c r="E70" s="71" t="str">
        <f aca="false">IF(D70="","Revisar",IF(ABS(D70)&lt;=0.000001,"Cuadra","Revisar"))</f>
        <v>Cuadra</v>
      </c>
    </row>
    <row r="71" customFormat="false" ht="15" hidden="false" customHeight="false" outlineLevel="0" collapsed="false">
      <c r="A71" s="75" t="s">
        <v>2540</v>
      </c>
      <c r="B71" s="275" t="n">
        <f aca="false">'Proyección Final Soriana'!B129</f>
        <v>108104.088114234</v>
      </c>
      <c r="C71" s="275" t="n">
        <f aca="false">'Proyección Final Soriana'!G117*(1+'Proyección Final Soriana'!B123)/('Proyección Final Soriana'!B126-'Proyección Final Soriana'!B123)</f>
        <v>108104.088114234</v>
      </c>
      <c r="D71" s="278" t="n">
        <f aca="false">IF(AND(ISNUMBER(B71),ISNUMBER(C71)),B71-C71,"")</f>
        <v>0</v>
      </c>
      <c r="E71" s="71" t="str">
        <f aca="false">IF(D71="","Revisar",IF(ABS(D71)&lt;=0.000001,"Cuadra","Revisar"))</f>
        <v>Cuadra</v>
      </c>
    </row>
    <row r="72" customFormat="false" ht="15" hidden="false" customHeight="false" outlineLevel="0" collapsed="false">
      <c r="A72" s="75" t="s">
        <v>2541</v>
      </c>
      <c r="B72" s="275" t="n">
        <f aca="false">'Proyección Final Soriana'!B262</f>
        <v>68722.921242876</v>
      </c>
      <c r="C72" s="275" t="n">
        <f aca="false">'Proyección Final Soriana'!B258-(Datos!F25+Datos!F26)-(Datos!F27+Datos!F28)+Datos!F17</f>
        <v>68722.921242876</v>
      </c>
      <c r="D72" s="278" t="n">
        <f aca="false">IF(AND(ISNUMBER(B72),ISNUMBER(C72)),B72-C72,"")</f>
        <v>0</v>
      </c>
      <c r="E72" s="71" t="str">
        <f aca="false">IF(D72="","Revisar",IF(ABS(D72)&lt;=0.000001,"Cuadra","Revisar"))</f>
        <v>Cuadra</v>
      </c>
    </row>
    <row r="73" customFormat="false" ht="15" hidden="false" customHeight="false" outlineLevel="0" collapsed="false">
      <c r="A73" s="75" t="s">
        <v>2542</v>
      </c>
      <c r="B73" s="275" t="n">
        <f aca="false">'Proyección Final Soriana'!B265</f>
        <v>39.2103079806326</v>
      </c>
      <c r="C73" s="275" t="n">
        <f aca="false">'Proyección Final Soriana'!B263/WACC!B17</f>
        <v>39.2103079806326</v>
      </c>
      <c r="D73" s="278" t="n">
        <f aca="false">IF(AND(ISNUMBER(B73),ISNUMBER(C73)),B73-C73,"")</f>
        <v>0</v>
      </c>
      <c r="E73" s="71" t="str">
        <f aca="false">IF(D73="","Revisar",IF(ABS(D73)&lt;=0.000001,"Cuadra","Revisar"))</f>
        <v>Cuadra</v>
      </c>
    </row>
    <row r="74" customFormat="false" ht="15" hidden="false" customHeight="false" outlineLevel="0" collapsed="false">
      <c r="A74" s="75" t="s">
        <v>2543</v>
      </c>
      <c r="B74" s="275" t="n">
        <f aca="false">'Proyección Final Soriana'!D165</f>
        <v>39.2103079806325</v>
      </c>
      <c r="C74" s="275" t="n">
        <f aca="false">'Proyección Final Soriana'!B265</f>
        <v>39.2103079806326</v>
      </c>
      <c r="D74" s="278" t="n">
        <f aca="false">IF(AND(ISNUMBER(B74),ISNUMBER(C74)),B74-C74,"")</f>
        <v>0</v>
      </c>
      <c r="E74" s="71" t="str">
        <f aca="false">IF(D74="","Revisar",IF(ABS(D74)&lt;=0.000001,"Cuadra","Revisar"))</f>
        <v>Cuadra</v>
      </c>
    </row>
    <row r="75" customFormat="false" ht="15" hidden="false" customHeight="false" outlineLevel="0" collapsed="false">
      <c r="A75" s="75" t="s">
        <v>2544</v>
      </c>
      <c r="B75" s="275" t="n">
        <f aca="false">'Beta Regresión'!B30</f>
        <v>0.217837909377843</v>
      </c>
      <c r="C75" s="275" t="n">
        <f aca="false">COVAR(Rendimientos!$M$13:$M$412,Rendimientos!$N$13:$N$412)/VARP(Rendimientos!$N$13:$N$412)</f>
        <v>0.217837909377843</v>
      </c>
      <c r="D75" s="278" t="n">
        <f aca="false">IF(AND(ISNUMBER(B75),ISNUMBER(C75)),B75-C75,"")</f>
        <v>0</v>
      </c>
      <c r="E75" s="71" t="str">
        <f aca="false">IF(D75="","Revisar",IF(ABS(D75)&lt;=0.000001,"Cuadra","Revisar"))</f>
        <v>Cuadra</v>
      </c>
    </row>
    <row r="76" customFormat="false" ht="15" hidden="false" customHeight="false" outlineLevel="0" collapsed="false">
      <c r="A76" s="75" t="s">
        <v>2545</v>
      </c>
      <c r="B76" s="275" t="n">
        <f aca="false">Escenarios!C7</f>
        <v>0.0351</v>
      </c>
      <c r="C76" s="275" t="n">
        <f aca="false">ROUND(Inflación!K13,2)/100</f>
        <v>0.0351</v>
      </c>
      <c r="D76" s="278" t="n">
        <f aca="false">IF(AND(ISNUMBER(B76),ISNUMBER(C76)),B76-C76,"")</f>
        <v>0</v>
      </c>
      <c r="E76" s="71" t="str">
        <f aca="false">IF(D76="","Revisar",IF(ABS(D76)&lt;=0,"Cuadra","Revisar"))</f>
        <v>Cuadra</v>
      </c>
    </row>
    <row r="77" customFormat="false" ht="15" hidden="false" customHeight="false" outlineLevel="0" collapsed="false">
      <c r="A77" s="75" t="s">
        <v>2546</v>
      </c>
      <c r="B77" s="275" t="n">
        <f aca="false">'Datos para escenarios'!J265</f>
        <v>39.2103079806326</v>
      </c>
      <c r="C77" s="275" t="n">
        <f aca="false">IF(Escenarios!B4=2,'Proyección Final Soriana'!B265,'Datos para escenarios'!J265)</f>
        <v>39.2103079806326</v>
      </c>
      <c r="D77" s="278" t="n">
        <f aca="false">IF(AND(ISNUMBER(B77),ISNUMBER(C77)),B77-C77,"")</f>
        <v>0</v>
      </c>
      <c r="E77" s="71" t="str">
        <f aca="false">IF(D77="","Revisar",IF(ABS(D77)&lt;=0.000001,"Cuadra","Revisar"))</f>
        <v>Cuadra</v>
      </c>
    </row>
    <row r="78" customFormat="false" ht="15" hidden="false" customHeight="false" outlineLevel="0" collapsed="false">
      <c r="A78" s="75" t="s">
        <v>2547</v>
      </c>
      <c r="B78" s="275" t="n">
        <f aca="false">IF(AND(Escenarios!B36&lt;Escenarios!C36,Escenarios!C36&lt;Escenarios!D36),1,0)</f>
        <v>1</v>
      </c>
      <c r="C78" s="275" t="n">
        <v>1</v>
      </c>
      <c r="D78" s="278" t="n">
        <f aca="false">IF(AND(ISNUMBER(B78),ISNUMBER(C78)),B78-C78,"")</f>
        <v>0</v>
      </c>
      <c r="E78" s="71" t="str">
        <f aca="false">IF(D78="","Revisar",IF(ABS(D78)&lt;=0,"Cuadra","Revisar"))</f>
        <v>Cuadra</v>
      </c>
    </row>
    <row r="79" customFormat="false" ht="15" hidden="false" customHeight="false" outlineLevel="0" collapsed="false">
      <c r="A79" s="75" t="s">
        <v>2548</v>
      </c>
      <c r="B79" s="275" t="n">
        <f aca="false">IF(AND(Escenarios!B22&gt;Escenarios!C22,Escenarios!B28&gt;Escenarios!C28),1,0)</f>
        <v>1</v>
      </c>
      <c r="C79" s="275" t="n">
        <v>1</v>
      </c>
      <c r="D79" s="278" t="n">
        <f aca="false">IF(AND(ISNUMBER(B79),ISNUMBER(C79)),B79-C79,"")</f>
        <v>0</v>
      </c>
      <c r="E79" s="71" t="str">
        <f aca="false">IF(D79="","Revisar",IF(ABS(D79)&lt;=0,"Cuadra","Revisar"))</f>
        <v>Cuadra</v>
      </c>
    </row>
    <row r="80" customFormat="false" ht="15" hidden="false" customHeight="false" outlineLevel="0" collapsed="false">
      <c r="A80" s="75" t="s">
        <v>2549</v>
      </c>
      <c r="B80" s="275" t="n">
        <f aca="false">IF('Beta Regresión'!B7&gt;='Beta Regresión'!B6,1,0)</f>
        <v>1</v>
      </c>
      <c r="C80" s="275" t="n">
        <v>1</v>
      </c>
      <c r="D80" s="278" t="n">
        <f aca="false">IF(AND(ISNUMBER(B80),ISNUMBER(C80)),B80-C80,"")</f>
        <v>0</v>
      </c>
      <c r="E80" s="71" t="str">
        <f aca="false">IF(D80="","Revisar",IF(ABS(D80)&lt;=0,"Cuadra","Revisar"))</f>
        <v>Cuadra</v>
      </c>
    </row>
    <row r="81" customFormat="false" ht="15" hidden="false" customHeight="false" outlineLevel="0" collapsed="false">
      <c r="A81" s="75" t="s">
        <v>2550</v>
      </c>
      <c r="B81" s="275" t="n">
        <f aca="false">COUNTIF('Crecimiento Perpetuo'!D37:D41,"Cumple")</f>
        <v>5</v>
      </c>
      <c r="C81" s="275" t="n">
        <v>5</v>
      </c>
      <c r="D81" s="278" t="n">
        <f aca="false">IF(AND(ISNUMBER(B81),ISNUMBER(C81)),B81-C81,"")</f>
        <v>0</v>
      </c>
      <c r="E81" s="71" t="str">
        <f aca="false">IF(D81="","Revisar",IF(ABS(D81)&lt;=0,"Cuadra","Revisar"))</f>
        <v>Cuadra</v>
      </c>
    </row>
    <row r="83" customFormat="false" ht="15" hidden="false" customHeight="false" outlineLevel="0" collapsed="false">
      <c r="A83" s="71" t="s">
        <v>2551</v>
      </c>
      <c r="B83" s="71" t="str">
        <f aca="false">COUNTIF(E67:E81,"Cuadra")&amp;" de "&amp;COUNTA(A67:A81)&amp;" comprobaciones cuadran"</f>
        <v>15 de 15 comprobaciones cuadran</v>
      </c>
    </row>
    <row r="86" customFormat="false" ht="15" hidden="false" customHeight="false" outlineLevel="0" collapsed="false">
      <c r="A86" s="71" t="s">
        <v>2552</v>
      </c>
    </row>
    <row r="87" customFormat="false" ht="15" hidden="false" customHeight="false" outlineLevel="0" collapsed="false">
      <c r="A87" s="71" t="s">
        <v>2553</v>
      </c>
      <c r="B87" s="71" t="s">
        <v>2554</v>
      </c>
      <c r="C87" s="71" t="s">
        <v>2555</v>
      </c>
      <c r="D87" s="71" t="s">
        <v>2102</v>
      </c>
      <c r="E87" s="71" t="s">
        <v>2556</v>
      </c>
    </row>
    <row r="88" customFormat="false" ht="15" hidden="false" customHeight="false" outlineLevel="0" collapsed="false">
      <c r="A88" s="75" t="s">
        <v>5</v>
      </c>
      <c r="B88" s="76" t="n">
        <f aca="false">'Proyección Final Soriana'!B126</f>
        <v>0.0963307440168374</v>
      </c>
      <c r="C88" s="76"/>
      <c r="D88" s="76" t="str">
        <f aca="false">IF(C88="","",C88-B88)</f>
        <v/>
      </c>
      <c r="E88" s="279" t="str">
        <f aca="false">IF(C88="","",C88/B88-1)</f>
        <v/>
      </c>
    </row>
    <row r="89" customFormat="false" ht="15" hidden="false" customHeight="false" outlineLevel="0" collapsed="false">
      <c r="A89" s="75" t="s">
        <v>2557</v>
      </c>
      <c r="B89" s="76" t="n">
        <f aca="false">'Proyección Final Soriana'!B123</f>
        <v>0.035</v>
      </c>
      <c r="C89" s="76"/>
      <c r="D89" s="76" t="str">
        <f aca="false">IF(C89="","",C89-B89)</f>
        <v/>
      </c>
      <c r="E89" s="279" t="str">
        <f aca="false">IF(C89="","",C89/B89-1)</f>
        <v/>
      </c>
    </row>
    <row r="90" customFormat="false" ht="15" hidden="false" customHeight="false" outlineLevel="0" collapsed="false">
      <c r="A90" s="75" t="s">
        <v>2558</v>
      </c>
      <c r="B90" s="274" t="n">
        <f aca="false">B12</f>
        <v>89660.5921190386</v>
      </c>
      <c r="C90" s="274"/>
      <c r="D90" s="274" t="str">
        <f aca="false">IF(C90="","",C90-B90)</f>
        <v/>
      </c>
      <c r="E90" s="279" t="str">
        <f aca="false">IF(C90="","",C90/B90-1)</f>
        <v/>
      </c>
    </row>
    <row r="91" customFormat="false" ht="15" hidden="false" customHeight="false" outlineLevel="0" collapsed="false">
      <c r="A91" s="75" t="s">
        <v>2559</v>
      </c>
      <c r="B91" s="274" t="n">
        <f aca="false">B10</f>
        <v>80709.585445956</v>
      </c>
      <c r="C91" s="274"/>
      <c r="D91" s="274" t="str">
        <f aca="false">IF(C91="","",C91-B91)</f>
        <v/>
      </c>
      <c r="E91" s="279" t="str">
        <f aca="false">IF(C91="","",C91/B91-1)</f>
        <v/>
      </c>
    </row>
    <row r="92" customFormat="false" ht="15" hidden="false" customHeight="false" outlineLevel="0" collapsed="false">
      <c r="A92" s="75" t="s">
        <v>2560</v>
      </c>
      <c r="B92" s="274" t="n">
        <f aca="false">B11</f>
        <v>70578.5543651386</v>
      </c>
      <c r="C92" s="274"/>
      <c r="D92" s="274" t="str">
        <f aca="false">IF(C92="","",C92-B92)</f>
        <v/>
      </c>
      <c r="E92" s="279" t="str">
        <f aca="false">IF(C92="","",C92/B92-1)</f>
        <v/>
      </c>
    </row>
    <row r="93" customFormat="false" ht="15" hidden="false" customHeight="false" outlineLevel="0" collapsed="false">
      <c r="A93" s="75" t="s">
        <v>2425</v>
      </c>
      <c r="B93" s="74" t="n">
        <f aca="false">B7</f>
        <v>39.2103079806326</v>
      </c>
      <c r="C93" s="74"/>
      <c r="D93" s="74" t="str">
        <f aca="false">IF(C93="","",C93-B93)</f>
        <v/>
      </c>
      <c r="E93" s="279" t="str">
        <f aca="false">IF(C93="","",C93/B93-1)</f>
        <v/>
      </c>
    </row>
    <row r="95" customFormat="false" ht="15" hidden="false" customHeight="false" outlineLevel="0" collapsed="false">
      <c r="A95" s="75" t="s">
        <v>2561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7.35" hidden="false" customHeight="false" outlineLevel="0" collapsed="false">
      <c r="A1" s="59" t="s">
        <v>2562</v>
      </c>
    </row>
    <row r="2" customFormat="false" ht="15" hidden="false" customHeight="false" outlineLevel="0" collapsed="false">
      <c r="A2" s="75" t="s">
        <v>2563</v>
      </c>
    </row>
    <row r="4" customFormat="false" ht="15" hidden="false" customHeight="false" outlineLevel="0" collapsed="false">
      <c r="A4" s="71" t="s">
        <v>2564</v>
      </c>
    </row>
    <row r="5" customFormat="false" ht="45" hidden="false" customHeight="true" outlineLevel="0" collapsed="false">
      <c r="A5" s="203" t="str">
        <f aca="false">"Se usaron "&amp;Rendimientos!D5&amp;" semanas de precios de Soriana B y "&amp;Rendimientos!E5&amp;" del IPC (octubre 2021 a octubre 2026), "&amp;Inflación!B5&amp;" quincenas de inflación de Banxico y los estados financieros de Soriana al segundo trimestre de 2026."</f>
        <v>Se usaron 259 semanas de precios de Soriana B y 261 del IPC (octubre 2021 a octubre 2026), 113 quincenas de inflación de Banxico y los estados financieros de Soriana al segundo trimestre de 2026.</v>
      </c>
    </row>
    <row r="7" customFormat="false" ht="15" hidden="false" customHeight="false" outlineLevel="0" collapsed="false">
      <c r="A7" s="71" t="s">
        <v>1758</v>
      </c>
    </row>
    <row r="8" customFormat="false" ht="45" hidden="false" customHeight="true" outlineLevel="0" collapsed="false">
      <c r="A8" s="203" t="str">
        <f aca="false">"Los modelos de tendencia proyectan una inflación de entre "&amp;FIXED(MIN(Inflación!K12:K15),2)&amp;"% y "&amp;FIXED(MAX(Inflación!K12:K15),2)&amp;"%. La inflación viene bajando desde el pico de 2022; el escenario base usa "&amp;FIXED(Escenarios!C7*100,2)&amp;"%."</f>
        <v>Los modelos de tendencia proyectan una inflación de entre 3.33% y 3.51%. La inflación viene bajando desde el pico de 2022; el escenario base usa 3.51%.</v>
      </c>
    </row>
    <row r="10" customFormat="false" ht="15" hidden="false" customHeight="false" outlineLevel="0" collapsed="false">
      <c r="A10" s="71" t="s">
        <v>2565</v>
      </c>
    </row>
    <row r="11" customFormat="false" ht="45" hidden="false" customHeight="true" outlineLevel="0" collapsed="false">
      <c r="A11" s="203" t="str">
        <f aca="false">"La relación no es estable: en toda la muestra la correlación es "&amp;FIXED(Inflación!B30,2)&amp;", en los últimos 12 meses "&amp;FIXED(Inflación!B31,2)&amp;" y en los últimos 6 meses "&amp;FIXED(Inflación!B32,2)&amp;". Con rendimientos contra cambios de inflación es solo "&amp;FIXED(Inflación!B33,2)&amp;": la inflación por sí sola no explica el precio, porque sube las ventas de Soriana pero también sus costos y las tasas."</f>
        <v>La relación no es estable: en toda la muestra la correlación es -0.41, en los últimos 12 meses 0.46 y en los últimos 6 meses 0.56. Con rendimientos contra cambios de inflación es solo 0.14: la inflación por sí sola no explica el precio, porque sube las ventas de Soriana pero también sus costos y las tasas.</v>
      </c>
    </row>
    <row r="13" customFormat="false" ht="15" hidden="false" customHeight="false" outlineLevel="0" collapsed="false">
      <c r="A13" s="71" t="s">
        <v>2566</v>
      </c>
    </row>
    <row r="14" customFormat="false" ht="45" hidden="false" customHeight="true" outlineLevel="0" collapsed="false">
      <c r="A14" s="203" t="str">
        <f aca="false">"Soriana se mueve poco con el mercado: la correlación semanal con el IPC es "&amp;FIXED('Precio e IPC'!B18,2)&amp;" y la beta es "&amp;FIXED('Beta Regresión'!B30,2)&amp;". El mercado explica solo "&amp;FIXED('Beta Regresión'!B14*100,1)&amp;"% de sus movimientos; el resto es riesgo propio de la empresa."</f>
        <v>Soriana se mueve poco con el mercado: la correlación semanal con el IPC es 0.11 y la beta es 0.22. El mercado explica solo 1.1% de sus movimientos; el resto es riesgo propio de la empresa.</v>
      </c>
    </row>
    <row r="16" customFormat="false" ht="15" hidden="false" customHeight="false" outlineLevel="0" collapsed="false">
      <c r="A16" s="71" t="s">
        <v>2434</v>
      </c>
    </row>
    <row r="17" customFormat="false" ht="45" hidden="false" customHeight="true" outlineLevel="0" collapsed="false">
      <c r="A17" s="203" t="str">
        <f aca="false">"Una beta de "&amp;FIXED('Beta Regresión'!B30,2)&amp;" describe una acción defensiva (vende productos básicos). "&amp;IF('Beta Regresión'!B36&lt;0.05,"Es estadísticamente significativa.","No es estadísticamente significativa al 95%, así que es la parte más débil del modelo y conviene defenderla con cautela.")</f>
        <v>Una beta de 0.22 describe una acción defensiva (vende productos básicos). No es estadísticamente significativa al 95%, así que es la parte más débil del modelo y conviene defenderla con cautela.</v>
      </c>
    </row>
    <row r="19" customFormat="false" ht="15" hidden="false" customHeight="false" outlineLevel="0" collapsed="false">
      <c r="A19" s="71" t="s">
        <v>5</v>
      </c>
    </row>
    <row r="20" customFormat="false" ht="45" hidden="false" customHeight="true" outlineLevel="0" collapsed="false">
      <c r="A20" s="203" t="str">
        <f aca="false">"El costo del capital es "&amp;FIXED('Proyección Final Soriana'!B221*100,2)&amp;"% y el WACC que descuenta los flujos es "&amp;FIXED('Proyección Final Soriana'!B126*100,2)&amp;"%. Es la tasa que más pesa en el valor: medio punto más de WACC baja el valor a "&amp;FIXED('Proyección Final Soriana'!D166,2)&amp;" pesos y medio punto menos lo sube a "&amp;FIXED('Proyección Final Soriana'!D164,2)&amp;"."</f>
        <v>El costo del capital es 10.39% y el WACC que descuenta los flujos es 9.63%. Es la tasa que más pesa en el valor: medio punto más de WACC baja el valor a 36.87 pesos y medio punto menos lo sube a 41.92.</v>
      </c>
    </row>
    <row r="22" customFormat="false" ht="15" hidden="false" customHeight="false" outlineLevel="0" collapsed="false">
      <c r="A22" s="71" t="s">
        <v>2557</v>
      </c>
    </row>
    <row r="23" customFormat="false" ht="45" hidden="false" customHeight="true" outlineLevel="0" collapsed="false">
      <c r="A23" s="203" t="str">
        <f aca="false">"El g base es "&amp;FIXED('Proyección Final Soriana'!B123*100,1)&amp;"%, casi igual a la inflación esperada: Soriana es una empresa madura que no crece en términos reales (sus ventas reales bajaron "&amp;FIXED(-'Crecimiento Perpetuo'!B20*100,1)&amp;"% al año en 2023 a 2025) y reinvierte menos de lo que se desgasta."</f>
        <v>El g base es 3.5%, casi igual a la inflación esperada: Soriana es una empresa madura que no crece en términos reales (sus ventas reales bajaron 3.7% al año en 2023 a 2025) y reinvierte menos de lo que se desgasta.</v>
      </c>
    </row>
    <row r="25" customFormat="false" ht="15" hidden="false" customHeight="false" outlineLevel="0" collapsed="false">
      <c r="A25" s="71" t="s">
        <v>2567</v>
      </c>
    </row>
    <row r="26" customFormat="false" ht="45" hidden="false" customHeight="true" outlineLevel="0" collapsed="false">
      <c r="A26" s="203" t="str">
        <f aca="false">"El valor terminal (promedio de Gordon y múltiplo) es "&amp;FIXED(Validación!B12,0)&amp;" mdp y pesa "&amp;FIXED(Validación!B13*100,0)&amp;"% del valor de la empresa. El Enterprise Value es "&amp;FIXED('Proyección Final Soriana'!B245,0)&amp;" mdp al cierre de 2025, el Equity Value "&amp;FIXED('Proyección Final Soriana'!B263,0)&amp;" mdp y el valor por acción "&amp;FIXED('Proyección Final Soriana'!B265,2)&amp;" pesos."</f>
        <v>El valor terminal (promedio de Gordon y múltiplo) es 89,661 mdp y pesa 70% del valor de la empresa. El Enterprise Value es 80,710 mdp al cierre de 2025, el Equity Value 70,579 mdp y el valor por acción 39.21 pesos.</v>
      </c>
    </row>
    <row r="28" customFormat="false" ht="15" hidden="false" customHeight="false" outlineLevel="0" collapsed="false">
      <c r="A28" s="71" t="s">
        <v>2568</v>
      </c>
    </row>
    <row r="29" customFormat="false" ht="45" hidden="false" customHeight="true" outlineLevel="0" collapsed="false">
      <c r="A29" s="203" t="str">
        <f aca="false">"El valor va de "&amp;FIXED(Escenarios!B36,2)&amp;" pesos (conservador) a "&amp;FIXED(Escenarios!D36,2)&amp;" (optimista), con el base en "&amp;FIXED(Escenarios!C36,2)&amp;". Las variables que más mueven el valor son "&amp;Escenarios!A59&amp;", "&amp;Escenarios!A60&amp;" y "&amp;Escenarios!A61&amp;"."</f>
        <v>El valor va de 32.12 pesos (conservador) a 47.74 (optimista), con el base en 39.21. Las variables que más mueven el valor son Margen de operación (EBIT), Beta (más o menos un error típico) y Crecimiento perpetuo g.</v>
      </c>
    </row>
    <row r="31" customFormat="false" ht="15" hidden="false" customHeight="false" outlineLevel="0" collapsed="false">
      <c r="A31" s="71" t="s">
        <v>2569</v>
      </c>
    </row>
    <row r="32" customFormat="false" ht="45" hidden="false" customHeight="true" outlineLevel="0" collapsed="false">
      <c r="A32" s="203" t="str">
        <f aca="false">"Contra un precio de mercado de "&amp;FIXED(WACC!B13,2)&amp;" pesos, el modelo da una diferencia de "&amp;FIXED(Validación!B9*100,1)&amp;"% y recomienda "&amp;Validación!B14&amp;". "&amp;Validación!B83&amp;"."</f>
        <v>Contra un precio de mercado de 33.10 pesos, el modelo da una diferencia de 18.5% y recomienda COMPRAR. 15 de 15 comprobaciones cuadran.</v>
      </c>
    </row>
    <row r="34" customFormat="false" ht="15" hidden="false" customHeight="false" outlineLevel="0" collapsed="false">
      <c r="A34" s="71" t="s">
        <v>2570</v>
      </c>
    </row>
    <row r="35" customFormat="false" ht="45" hidden="false" customHeight="true" outlineLevel="0" collapsed="false">
      <c r="A35" s="203" t="str">
        <f aca="false">"Con los supuestos base, Soriana vale "&amp;FIXED('Proyección Final Soriana'!B265,2)&amp;" pesos por acción contra "&amp;FIXED(WACC!B13,2)&amp;" del mercado. El resultado depende sobre todo del WACC (y por lo tanto de la beta), del margen de operación y del crecimiento perpetuo. Como la beta es baja y poco significativa, una beta más alta acercaría el valor al precio de mercado; por eso la recomendación debe leerse junto con la tabla de sensibilidad y los escenarios."</f>
        <v>Con los supuestos base, Soriana vale 39.21 pesos por acción contra 33.10 del mercado. El resultado depende sobre todo del WACC (y por lo tanto de la beta), del margen de operación y del crecimiento perpetuo. Como la beta es baja y poco significativa, una beta más alta acercaría el valor al precio de mercado; por eso la recomendación debe leerse junto con la tabla de sensibilidad y los escenarios.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57" activeCellId="0" sqref="L57"/>
    </sheetView>
  </sheetViews>
  <sheetFormatPr defaultColWidth="10.66796875" defaultRowHeight="15" zeroHeight="false" outlineLevelRow="0" outlineLevelCol="0"/>
  <cols>
    <col collapsed="false" customWidth="true" hidden="false" outlineLevel="0" max="1" min="1" style="44" width="71.5"/>
    <col collapsed="false" customWidth="true" hidden="false" outlineLevel="0" max="8" min="2" style="44" width="10.33"/>
    <col collapsed="false" customWidth="true" hidden="false" outlineLevel="0" max="9" min="9" style="280" width="10.33"/>
    <col collapsed="false" customWidth="true" hidden="false" outlineLevel="0" max="16" min="10" style="44" width="10.33"/>
    <col collapsed="false" customWidth="true" hidden="false" outlineLevel="0" max="17" min="17" style="280" width="10.33"/>
    <col collapsed="false" customWidth="true" hidden="false" outlineLevel="0" max="23" min="18" style="0" width="10.33"/>
    <col collapsed="false" customWidth="false" hidden="false" outlineLevel="0" max="16384" min="24" style="44" width="10.66"/>
  </cols>
  <sheetData>
    <row r="1" s="44" customFormat="true" ht="15" hidden="false" customHeight="true" outlineLevel="0" collapsed="false">
      <c r="A1" s="281" t="s">
        <v>2571</v>
      </c>
      <c r="B1" s="149"/>
      <c r="C1" s="149"/>
      <c r="D1" s="149"/>
      <c r="E1" s="149"/>
      <c r="F1" s="149"/>
      <c r="G1" s="149"/>
      <c r="I1" s="280"/>
      <c r="Q1" s="280"/>
    </row>
    <row r="2" s="44" customFormat="true" ht="15" hidden="false" customHeight="true" outlineLevel="0" collapsed="false">
      <c r="A2" s="150"/>
      <c r="B2" s="149"/>
      <c r="C2" s="149"/>
      <c r="D2" s="149"/>
      <c r="E2" s="149"/>
      <c r="F2" s="149"/>
      <c r="G2" s="149"/>
      <c r="I2" s="280"/>
      <c r="Q2" s="280"/>
    </row>
    <row r="3" s="44" customFormat="true" ht="15" hidden="false" customHeight="true" outlineLevel="0" collapsed="false">
      <c r="A3" s="151"/>
      <c r="B3" s="149"/>
      <c r="C3" s="149"/>
      <c r="D3" s="149"/>
      <c r="E3" s="149"/>
      <c r="F3" s="149"/>
      <c r="G3" s="149"/>
      <c r="I3" s="280"/>
      <c r="Q3" s="280"/>
    </row>
    <row r="4" customFormat="false" ht="60" hidden="false" customHeight="true" outlineLevel="0" collapsed="false">
      <c r="A4" s="149"/>
      <c r="B4" s="282" t="s">
        <v>2572</v>
      </c>
      <c r="C4" s="282"/>
      <c r="D4" s="282"/>
      <c r="E4" s="282"/>
      <c r="F4" s="282"/>
      <c r="G4" s="282"/>
      <c r="J4" s="282" t="s">
        <v>2573</v>
      </c>
      <c r="K4" s="282"/>
      <c r="L4" s="282"/>
      <c r="M4" s="282"/>
      <c r="N4" s="282"/>
      <c r="O4" s="282"/>
      <c r="R4" s="282" t="s">
        <v>2574</v>
      </c>
      <c r="S4" s="282"/>
      <c r="T4" s="282"/>
      <c r="U4" s="282"/>
      <c r="V4" s="282"/>
      <c r="W4" s="282"/>
    </row>
    <row r="5" customFormat="false" ht="15" hidden="false" customHeight="true" outlineLevel="0" collapsed="false">
      <c r="A5" s="283" t="s">
        <v>2575</v>
      </c>
      <c r="B5" s="284" t="s">
        <v>1428</v>
      </c>
      <c r="C5" s="284" t="s">
        <v>1429</v>
      </c>
      <c r="D5" s="284" t="s">
        <v>1430</v>
      </c>
      <c r="E5" s="284" t="s">
        <v>1431</v>
      </c>
      <c r="F5" s="284" t="s">
        <v>1432</v>
      </c>
      <c r="G5" s="284" t="s">
        <v>1433</v>
      </c>
      <c r="J5" s="285" t="s">
        <v>1428</v>
      </c>
      <c r="K5" s="285" t="s">
        <v>1429</v>
      </c>
      <c r="L5" s="285" t="s">
        <v>1430</v>
      </c>
      <c r="M5" s="285" t="s">
        <v>1431</v>
      </c>
      <c r="N5" s="285" t="s">
        <v>1432</v>
      </c>
      <c r="O5" s="285" t="s">
        <v>1433</v>
      </c>
      <c r="R5" s="285" t="s">
        <v>1428</v>
      </c>
      <c r="S5" s="285" t="s">
        <v>1429</v>
      </c>
      <c r="T5" s="285" t="s">
        <v>1430</v>
      </c>
      <c r="U5" s="285" t="s">
        <v>1431</v>
      </c>
      <c r="V5" s="285" t="s">
        <v>1432</v>
      </c>
      <c r="W5" s="285" t="s">
        <v>1433</v>
      </c>
    </row>
    <row r="6" customFormat="false" ht="15" hidden="false" customHeight="true" outlineLevel="0" collapsed="false">
      <c r="A6" s="152" t="s">
        <v>1833</v>
      </c>
      <c r="B6" s="152"/>
      <c r="C6" s="153" t="n">
        <v>0.7</v>
      </c>
      <c r="D6" s="153" t="n">
        <v>0.7</v>
      </c>
      <c r="E6" s="153" t="n">
        <v>0.75</v>
      </c>
      <c r="F6" s="153" t="n">
        <v>0.8</v>
      </c>
      <c r="G6" s="153" t="n">
        <v>0.85</v>
      </c>
      <c r="J6" s="286"/>
      <c r="K6" s="287" t="n">
        <v>0.7</v>
      </c>
      <c r="L6" s="287" t="n">
        <v>0.7</v>
      </c>
      <c r="M6" s="287" t="n">
        <v>0.75</v>
      </c>
      <c r="N6" s="287" t="n">
        <v>0.8</v>
      </c>
      <c r="O6" s="287" t="n">
        <v>0.85</v>
      </c>
      <c r="R6" s="286"/>
      <c r="S6" s="287" t="n">
        <v>0.7</v>
      </c>
      <c r="T6" s="287" t="n">
        <v>0.7</v>
      </c>
      <c r="U6" s="287" t="n">
        <v>0.75</v>
      </c>
      <c r="V6" s="287" t="n">
        <v>0.8</v>
      </c>
      <c r="W6" s="287" t="n">
        <v>0.85</v>
      </c>
    </row>
    <row r="7" customFormat="false" ht="15" hidden="false" customHeight="true" outlineLevel="0" collapsed="false">
      <c r="A7" s="152" t="s">
        <v>1834</v>
      </c>
      <c r="B7" s="152"/>
      <c r="C7" s="153" t="n">
        <f aca="false">1-C6</f>
        <v>0.3</v>
      </c>
      <c r="D7" s="153" t="n">
        <f aca="false">1-D6</f>
        <v>0.3</v>
      </c>
      <c r="E7" s="153" t="n">
        <f aca="false">1-E6</f>
        <v>0.25</v>
      </c>
      <c r="F7" s="153" t="n">
        <f aca="false">1-F6</f>
        <v>0.2</v>
      </c>
      <c r="G7" s="153" t="n">
        <f aca="false">1-G6</f>
        <v>0.15</v>
      </c>
      <c r="J7" s="286"/>
      <c r="K7" s="287" t="n">
        <f aca="false">1-K6</f>
        <v>0.3</v>
      </c>
      <c r="L7" s="287" t="n">
        <f aca="false">1-L6</f>
        <v>0.3</v>
      </c>
      <c r="M7" s="287" t="n">
        <f aca="false">1-M6</f>
        <v>0.25</v>
      </c>
      <c r="N7" s="287" t="n">
        <f aca="false">1-N6</f>
        <v>0.2</v>
      </c>
      <c r="O7" s="287" t="n">
        <f aca="false">1-O6</f>
        <v>0.15</v>
      </c>
      <c r="R7" s="286"/>
      <c r="S7" s="287" t="n">
        <f aca="false">1-S6</f>
        <v>0.3</v>
      </c>
      <c r="T7" s="287" t="n">
        <f aca="false">1-T6</f>
        <v>0.3</v>
      </c>
      <c r="U7" s="287" t="n">
        <f aca="false">1-U6</f>
        <v>0.25</v>
      </c>
      <c r="V7" s="287" t="n">
        <f aca="false">1-V6</f>
        <v>0.2</v>
      </c>
      <c r="W7" s="287" t="n">
        <f aca="false">1-W6</f>
        <v>0.15</v>
      </c>
    </row>
    <row r="8" customFormat="false" ht="15" hidden="false" customHeight="true" outlineLevel="0" collapsed="false">
      <c r="A8" s="154"/>
      <c r="B8" s="154"/>
      <c r="C8" s="154"/>
      <c r="D8" s="154"/>
      <c r="E8" s="154"/>
      <c r="F8" s="154"/>
      <c r="G8" s="154"/>
      <c r="J8" s="288"/>
      <c r="K8" s="288"/>
      <c r="L8" s="288"/>
      <c r="M8" s="288"/>
      <c r="N8" s="288"/>
      <c r="O8" s="288"/>
      <c r="R8" s="288"/>
      <c r="S8" s="288"/>
      <c r="T8" s="288"/>
      <c r="U8" s="288"/>
      <c r="V8" s="288"/>
      <c r="W8" s="288"/>
    </row>
    <row r="9" customFormat="false" ht="15" hidden="false" customHeight="true" outlineLevel="0" collapsed="false">
      <c r="A9" s="283" t="s">
        <v>2576</v>
      </c>
      <c r="B9" s="152" t="s">
        <v>1428</v>
      </c>
      <c r="C9" s="152" t="s">
        <v>1429</v>
      </c>
      <c r="D9" s="152" t="s">
        <v>1430</v>
      </c>
      <c r="E9" s="152" t="s">
        <v>1431</v>
      </c>
      <c r="F9" s="152" t="s">
        <v>1432</v>
      </c>
      <c r="G9" s="152" t="s">
        <v>1433</v>
      </c>
      <c r="J9" s="285" t="s">
        <v>1428</v>
      </c>
      <c r="K9" s="285" t="s">
        <v>1429</v>
      </c>
      <c r="L9" s="285" t="s">
        <v>1430</v>
      </c>
      <c r="M9" s="285" t="s">
        <v>1431</v>
      </c>
      <c r="N9" s="285" t="s">
        <v>1432</v>
      </c>
      <c r="O9" s="285" t="s">
        <v>1433</v>
      </c>
      <c r="R9" s="285" t="s">
        <v>1428</v>
      </c>
      <c r="S9" s="285" t="s">
        <v>1429</v>
      </c>
      <c r="T9" s="285" t="s">
        <v>1430</v>
      </c>
      <c r="U9" s="285" t="s">
        <v>1431</v>
      </c>
      <c r="V9" s="285" t="s">
        <v>1432</v>
      </c>
      <c r="W9" s="285" t="s">
        <v>1433</v>
      </c>
    </row>
    <row r="10" customFormat="false" ht="15" hidden="false" customHeight="true" outlineLevel="0" collapsed="false">
      <c r="A10" s="152" t="s">
        <v>2577</v>
      </c>
      <c r="B10" s="152"/>
      <c r="C10" s="155" t="n">
        <f aca="false">Escenarios!$D$7</f>
        <v>0.0333</v>
      </c>
      <c r="D10" s="155" t="n">
        <f aca="false">Escenarios!$D$7</f>
        <v>0.0333</v>
      </c>
      <c r="E10" s="155" t="n">
        <f aca="false">Escenarios!$D$7</f>
        <v>0.0333</v>
      </c>
      <c r="F10" s="155" t="n">
        <f aca="false">Escenarios!$D$7</f>
        <v>0.0333</v>
      </c>
      <c r="G10" s="155" t="n">
        <f aca="false">Escenarios!$D$7</f>
        <v>0.0333</v>
      </c>
      <c r="J10" s="286"/>
      <c r="K10" s="289" t="n">
        <f aca="false">Escenarios!$C$7</f>
        <v>0.0351</v>
      </c>
      <c r="L10" s="289" t="n">
        <f aca="false">Escenarios!$C$7</f>
        <v>0.0351</v>
      </c>
      <c r="M10" s="289" t="n">
        <f aca="false">Escenarios!$C$7</f>
        <v>0.0351</v>
      </c>
      <c r="N10" s="289" t="n">
        <f aca="false">Escenarios!$C$7</f>
        <v>0.0351</v>
      </c>
      <c r="O10" s="289" t="n">
        <f aca="false">Escenarios!$C$7</f>
        <v>0.0351</v>
      </c>
      <c r="R10" s="286"/>
      <c r="S10" s="289" t="n">
        <f aca="false">Escenarios!$B$7</f>
        <v>0.04</v>
      </c>
      <c r="T10" s="289" t="n">
        <f aca="false">Escenarios!$B$7</f>
        <v>0.04</v>
      </c>
      <c r="U10" s="289" t="n">
        <f aca="false">Escenarios!$B$7</f>
        <v>0.04</v>
      </c>
      <c r="V10" s="289" t="n">
        <f aca="false">Escenarios!$B$7</f>
        <v>0.04</v>
      </c>
      <c r="W10" s="289" t="n">
        <f aca="false">Escenarios!$B$7</f>
        <v>0.04</v>
      </c>
    </row>
    <row r="11" customFormat="false" ht="15" hidden="false" customHeight="true" outlineLevel="0" collapsed="false">
      <c r="A11" s="152" t="s">
        <v>2578</v>
      </c>
      <c r="B11" s="152"/>
      <c r="C11" s="155" t="n">
        <v>0.014</v>
      </c>
      <c r="D11" s="155" t="n">
        <v>0.018</v>
      </c>
      <c r="E11" s="155" t="n">
        <v>0.02</v>
      </c>
      <c r="F11" s="155" t="n">
        <v>0.02</v>
      </c>
      <c r="G11" s="155" t="n">
        <v>0.02</v>
      </c>
      <c r="J11" s="286"/>
      <c r="K11" s="289" t="n">
        <v>0.014</v>
      </c>
      <c r="L11" s="289" t="n">
        <v>0.018</v>
      </c>
      <c r="M11" s="289" t="n">
        <v>0.02</v>
      </c>
      <c r="N11" s="289" t="n">
        <v>0.02</v>
      </c>
      <c r="O11" s="289" t="n">
        <v>0.02</v>
      </c>
      <c r="R11" s="286"/>
      <c r="S11" s="289" t="n">
        <v>0.014</v>
      </c>
      <c r="T11" s="289" t="n">
        <v>0.018</v>
      </c>
      <c r="U11" s="289" t="n">
        <v>0.02</v>
      </c>
      <c r="V11" s="289" t="n">
        <v>0.02</v>
      </c>
      <c r="W11" s="289" t="n">
        <v>0.02</v>
      </c>
    </row>
    <row r="12" customFormat="false" ht="15" hidden="false" customHeight="true" outlineLevel="0" collapsed="false">
      <c r="A12" s="152" t="s">
        <v>1839</v>
      </c>
      <c r="B12" s="152"/>
      <c r="C12" s="156" t="n">
        <v>0.5</v>
      </c>
      <c r="D12" s="156" t="n">
        <v>0.5</v>
      </c>
      <c r="E12" s="156" t="n">
        <v>0.5</v>
      </c>
      <c r="F12" s="156" t="n">
        <v>0.5</v>
      </c>
      <c r="G12" s="156" t="n">
        <v>0.5</v>
      </c>
      <c r="J12" s="286"/>
      <c r="K12" s="290" t="n">
        <v>0.5</v>
      </c>
      <c r="L12" s="290" t="n">
        <v>0.5</v>
      </c>
      <c r="M12" s="290" t="n">
        <v>0.5</v>
      </c>
      <c r="N12" s="290" t="n">
        <v>0.5</v>
      </c>
      <c r="O12" s="290" t="n">
        <v>0.5</v>
      </c>
      <c r="R12" s="286"/>
      <c r="S12" s="290" t="n">
        <v>0.5</v>
      </c>
      <c r="T12" s="290" t="n">
        <v>0.5</v>
      </c>
      <c r="U12" s="290" t="n">
        <v>0.5</v>
      </c>
      <c r="V12" s="290" t="n">
        <v>0.5</v>
      </c>
      <c r="W12" s="290" t="n">
        <v>0.5</v>
      </c>
    </row>
    <row r="13" customFormat="false" ht="15" hidden="false" customHeight="true" outlineLevel="0" collapsed="false">
      <c r="A13" s="152" t="s">
        <v>1840</v>
      </c>
      <c r="B13" s="152"/>
      <c r="C13" s="155" t="n">
        <v>-0.04</v>
      </c>
      <c r="D13" s="155" t="n">
        <v>-0.015</v>
      </c>
      <c r="E13" s="155" t="n">
        <v>-0.005</v>
      </c>
      <c r="F13" s="155" t="n">
        <v>0</v>
      </c>
      <c r="G13" s="155" t="n">
        <v>0</v>
      </c>
      <c r="J13" s="286"/>
      <c r="K13" s="289" t="n">
        <v>-0.04</v>
      </c>
      <c r="L13" s="289" t="n">
        <v>-0.015</v>
      </c>
      <c r="M13" s="289" t="n">
        <v>-0.005</v>
      </c>
      <c r="N13" s="289" t="n">
        <v>0</v>
      </c>
      <c r="O13" s="289" t="n">
        <v>0</v>
      </c>
      <c r="R13" s="286"/>
      <c r="S13" s="289" t="n">
        <v>-0.04</v>
      </c>
      <c r="T13" s="289" t="n">
        <v>-0.015</v>
      </c>
      <c r="U13" s="289" t="n">
        <v>-0.005</v>
      </c>
      <c r="V13" s="289" t="n">
        <v>0</v>
      </c>
      <c r="W13" s="289" t="n">
        <v>0</v>
      </c>
    </row>
    <row r="14" customFormat="false" ht="15" hidden="false" customHeight="true" outlineLevel="0" collapsed="false">
      <c r="A14" s="152" t="s">
        <v>2579</v>
      </c>
      <c r="B14" s="152"/>
      <c r="C14" s="155" t="n">
        <f aca="false">C10+C11*C12+C13</f>
        <v>0.000300000000000002</v>
      </c>
      <c r="D14" s="155" t="n">
        <f aca="false">D10+D11*D12+D13</f>
        <v>0.0273</v>
      </c>
      <c r="E14" s="155" t="n">
        <f aca="false">E10+E11*E12+E13</f>
        <v>0.0383</v>
      </c>
      <c r="F14" s="155" t="n">
        <f aca="false">F10+F11*F12+F13</f>
        <v>0.0433</v>
      </c>
      <c r="G14" s="155" t="n">
        <f aca="false">G10+G11*G12+G13</f>
        <v>0.0433</v>
      </c>
      <c r="J14" s="285"/>
      <c r="K14" s="291" t="n">
        <f aca="false">K10+K11*K12+K13</f>
        <v>0.0021</v>
      </c>
      <c r="L14" s="291" t="n">
        <f aca="false">L10+L11*L12+L13</f>
        <v>0.0291</v>
      </c>
      <c r="M14" s="291" t="n">
        <f aca="false">M10+M11*M12+M13</f>
        <v>0.0401</v>
      </c>
      <c r="N14" s="291" t="n">
        <f aca="false">N10+N11*N12+N13</f>
        <v>0.0451</v>
      </c>
      <c r="O14" s="291" t="n">
        <f aca="false">O10+O11*O12+O13</f>
        <v>0.0451</v>
      </c>
      <c r="R14" s="285"/>
      <c r="S14" s="291" t="n">
        <f aca="false">S10+S11*S12+S13</f>
        <v>0.007</v>
      </c>
      <c r="T14" s="291" t="n">
        <f aca="false">T10+T11*T12+T13</f>
        <v>0.034</v>
      </c>
      <c r="U14" s="291" t="n">
        <f aca="false">U10+U11*U12+U13</f>
        <v>0.045</v>
      </c>
      <c r="V14" s="291" t="n">
        <f aca="false">V10+V11*V12+V13</f>
        <v>0.05</v>
      </c>
      <c r="W14" s="291" t="n">
        <f aca="false">W10+W11*W12+W13</f>
        <v>0.05</v>
      </c>
    </row>
    <row r="15" customFormat="false" ht="15" hidden="false" customHeight="true" outlineLevel="0" collapsed="false">
      <c r="A15" s="152" t="s">
        <v>2580</v>
      </c>
      <c r="B15" s="152"/>
      <c r="C15" s="155" t="n">
        <v>-0.03</v>
      </c>
      <c r="D15" s="155" t="n">
        <v>-0.02</v>
      </c>
      <c r="E15" s="155" t="n">
        <v>-0.0125</v>
      </c>
      <c r="F15" s="155" t="n">
        <v>-0.01</v>
      </c>
      <c r="G15" s="155" t="n">
        <v>-0.0075</v>
      </c>
      <c r="J15" s="286"/>
      <c r="K15" s="289" t="n">
        <v>-0.03</v>
      </c>
      <c r="L15" s="289" t="n">
        <v>-0.02</v>
      </c>
      <c r="M15" s="289" t="n">
        <v>-0.0125</v>
      </c>
      <c r="N15" s="289" t="n">
        <v>-0.01</v>
      </c>
      <c r="O15" s="289" t="n">
        <v>-0.0075</v>
      </c>
      <c r="R15" s="286"/>
      <c r="S15" s="289" t="n">
        <v>-0.03</v>
      </c>
      <c r="T15" s="289" t="n">
        <v>-0.02</v>
      </c>
      <c r="U15" s="289" t="n">
        <v>-0.0125</v>
      </c>
      <c r="V15" s="289" t="n">
        <v>-0.01</v>
      </c>
      <c r="W15" s="289" t="n">
        <v>-0.0075</v>
      </c>
    </row>
    <row r="16" customFormat="false" ht="15" hidden="false" customHeight="true" outlineLevel="0" collapsed="false">
      <c r="A16" s="152" t="s">
        <v>2581</v>
      </c>
      <c r="B16" s="152"/>
      <c r="C16" s="155" t="n">
        <v>-0.01</v>
      </c>
      <c r="D16" s="155" t="n">
        <v>-0.005</v>
      </c>
      <c r="E16" s="155" t="n">
        <v>0</v>
      </c>
      <c r="F16" s="155" t="n">
        <v>0</v>
      </c>
      <c r="G16" s="155" t="n">
        <v>0</v>
      </c>
      <c r="J16" s="286"/>
      <c r="K16" s="289" t="n">
        <v>-0.01</v>
      </c>
      <c r="L16" s="289" t="n">
        <v>-0.005</v>
      </c>
      <c r="M16" s="289" t="n">
        <v>0</v>
      </c>
      <c r="N16" s="289" t="n">
        <v>0</v>
      </c>
      <c r="O16" s="289" t="n">
        <v>0</v>
      </c>
      <c r="R16" s="286"/>
      <c r="S16" s="289" t="n">
        <v>-0.01</v>
      </c>
      <c r="T16" s="289" t="n">
        <v>-0.005</v>
      </c>
      <c r="U16" s="289" t="n">
        <v>0</v>
      </c>
      <c r="V16" s="289" t="n">
        <v>0</v>
      </c>
      <c r="W16" s="289" t="n">
        <v>0</v>
      </c>
    </row>
    <row r="17" customFormat="false" ht="15" hidden="false" customHeight="true" outlineLevel="0" collapsed="false">
      <c r="A17" s="152" t="s">
        <v>2582</v>
      </c>
      <c r="B17" s="152"/>
      <c r="C17" s="155" t="n">
        <v>-0.003</v>
      </c>
      <c r="D17" s="155" t="n">
        <v>-0.002</v>
      </c>
      <c r="E17" s="155" t="n">
        <v>-0.001</v>
      </c>
      <c r="F17" s="155" t="n">
        <v>0</v>
      </c>
      <c r="G17" s="155" t="n">
        <v>0</v>
      </c>
      <c r="J17" s="286"/>
      <c r="K17" s="289" t="n">
        <v>-0.003</v>
      </c>
      <c r="L17" s="289" t="n">
        <v>-0.002</v>
      </c>
      <c r="M17" s="289" t="n">
        <v>-0.001</v>
      </c>
      <c r="N17" s="289" t="n">
        <v>0</v>
      </c>
      <c r="O17" s="289" t="n">
        <v>0</v>
      </c>
      <c r="R17" s="286"/>
      <c r="S17" s="289" t="n">
        <v>-0.003</v>
      </c>
      <c r="T17" s="289" t="n">
        <v>-0.002</v>
      </c>
      <c r="U17" s="289" t="n">
        <v>-0.001</v>
      </c>
      <c r="V17" s="289" t="n">
        <v>0</v>
      </c>
      <c r="W17" s="289" t="n">
        <v>0</v>
      </c>
    </row>
    <row r="18" customFormat="false" ht="15" hidden="false" customHeight="true" outlineLevel="0" collapsed="false">
      <c r="A18" s="152" t="s">
        <v>2583</v>
      </c>
      <c r="B18" s="152"/>
      <c r="C18" s="155" t="n">
        <v>-0.002</v>
      </c>
      <c r="D18" s="155" t="n">
        <v>-0.003</v>
      </c>
      <c r="E18" s="155" t="n">
        <v>-0.001</v>
      </c>
      <c r="F18" s="155" t="n">
        <v>0</v>
      </c>
      <c r="G18" s="155" t="n">
        <v>0</v>
      </c>
      <c r="J18" s="286"/>
      <c r="K18" s="289" t="n">
        <v>-0.002</v>
      </c>
      <c r="L18" s="289" t="n">
        <v>-0.003</v>
      </c>
      <c r="M18" s="289" t="n">
        <v>-0.001</v>
      </c>
      <c r="N18" s="289" t="n">
        <v>0</v>
      </c>
      <c r="O18" s="289" t="n">
        <v>0</v>
      </c>
      <c r="R18" s="286"/>
      <c r="S18" s="289" t="n">
        <v>-0.002</v>
      </c>
      <c r="T18" s="289" t="n">
        <v>-0.003</v>
      </c>
      <c r="U18" s="289" t="n">
        <v>-0.001</v>
      </c>
      <c r="V18" s="289" t="n">
        <v>0</v>
      </c>
      <c r="W18" s="289" t="n">
        <v>0</v>
      </c>
    </row>
    <row r="19" customFormat="false" ht="15" hidden="false" customHeight="true" outlineLevel="0" collapsed="false">
      <c r="A19" s="152" t="s">
        <v>2584</v>
      </c>
      <c r="B19" s="152"/>
      <c r="C19" s="155" t="n">
        <v>0.002</v>
      </c>
      <c r="D19" s="155" t="n">
        <v>0.003</v>
      </c>
      <c r="E19" s="155" t="n">
        <v>0.003</v>
      </c>
      <c r="F19" s="155" t="n">
        <v>0.002</v>
      </c>
      <c r="G19" s="155" t="n">
        <v>0.002</v>
      </c>
      <c r="J19" s="286"/>
      <c r="K19" s="289" t="n">
        <v>0.002</v>
      </c>
      <c r="L19" s="289" t="n">
        <v>0.003</v>
      </c>
      <c r="M19" s="289" t="n">
        <v>0.003</v>
      </c>
      <c r="N19" s="289" t="n">
        <v>0.002</v>
      </c>
      <c r="O19" s="289" t="n">
        <v>0.002</v>
      </c>
      <c r="R19" s="286"/>
      <c r="S19" s="289" t="n">
        <v>0.002</v>
      </c>
      <c r="T19" s="289" t="n">
        <v>0.003</v>
      </c>
      <c r="U19" s="289" t="n">
        <v>0.003</v>
      </c>
      <c r="V19" s="289" t="n">
        <v>0.002</v>
      </c>
      <c r="W19" s="289" t="n">
        <v>0.002</v>
      </c>
    </row>
    <row r="20" customFormat="false" ht="15" hidden="false" customHeight="true" outlineLevel="0" collapsed="false">
      <c r="A20" s="152" t="s">
        <v>2585</v>
      </c>
      <c r="B20" s="152"/>
      <c r="C20" s="155" t="n">
        <v>0.003</v>
      </c>
      <c r="D20" s="155" t="n">
        <v>0.004</v>
      </c>
      <c r="E20" s="155" t="n">
        <v>0.005</v>
      </c>
      <c r="F20" s="155" t="n">
        <v>0.005</v>
      </c>
      <c r="G20" s="155" t="n">
        <v>0.005</v>
      </c>
      <c r="J20" s="286"/>
      <c r="K20" s="289" t="n">
        <v>0.003</v>
      </c>
      <c r="L20" s="289" t="n">
        <v>0.004</v>
      </c>
      <c r="M20" s="289" t="n">
        <v>0.005</v>
      </c>
      <c r="N20" s="289" t="n">
        <v>0.005</v>
      </c>
      <c r="O20" s="289" t="n">
        <v>0.005</v>
      </c>
      <c r="R20" s="286"/>
      <c r="S20" s="289" t="n">
        <v>0.003</v>
      </c>
      <c r="T20" s="289" t="n">
        <v>0.004</v>
      </c>
      <c r="U20" s="289" t="n">
        <v>0.005</v>
      </c>
      <c r="V20" s="289" t="n">
        <v>0.005</v>
      </c>
      <c r="W20" s="289" t="n">
        <v>0.005</v>
      </c>
    </row>
    <row r="21" customFormat="false" ht="15" hidden="false" customHeight="true" outlineLevel="0" collapsed="false">
      <c r="A21" s="152" t="s">
        <v>2586</v>
      </c>
      <c r="B21" s="152"/>
      <c r="C21" s="155" t="n">
        <v>-0.002</v>
      </c>
      <c r="D21" s="155" t="n">
        <v>-0.002</v>
      </c>
      <c r="E21" s="155" t="n">
        <v>-0.001</v>
      </c>
      <c r="F21" s="155" t="n">
        <v>0</v>
      </c>
      <c r="G21" s="155" t="n">
        <v>0</v>
      </c>
      <c r="J21" s="286"/>
      <c r="K21" s="289" t="n">
        <v>-0.002</v>
      </c>
      <c r="L21" s="289" t="n">
        <v>-0.002</v>
      </c>
      <c r="M21" s="289" t="n">
        <v>-0.001</v>
      </c>
      <c r="N21" s="289" t="n">
        <v>0</v>
      </c>
      <c r="O21" s="289" t="n">
        <v>0</v>
      </c>
      <c r="R21" s="286"/>
      <c r="S21" s="289" t="n">
        <v>-0.002</v>
      </c>
      <c r="T21" s="289" t="n">
        <v>-0.002</v>
      </c>
      <c r="U21" s="289" t="n">
        <v>-0.001</v>
      </c>
      <c r="V21" s="289" t="n">
        <v>0</v>
      </c>
      <c r="W21" s="289" t="n">
        <v>0</v>
      </c>
    </row>
    <row r="22" customFormat="false" ht="15" hidden="false" customHeight="true" outlineLevel="0" collapsed="false">
      <c r="A22" s="152" t="s">
        <v>2587</v>
      </c>
      <c r="B22" s="152"/>
      <c r="C22" s="155" t="n">
        <v>0.001</v>
      </c>
      <c r="D22" s="155" t="n">
        <v>0.002</v>
      </c>
      <c r="E22" s="155" t="n">
        <v>0.002</v>
      </c>
      <c r="F22" s="155" t="n">
        <v>0.002</v>
      </c>
      <c r="G22" s="155" t="n">
        <v>0.002</v>
      </c>
      <c r="J22" s="286"/>
      <c r="K22" s="289" t="n">
        <v>0.001</v>
      </c>
      <c r="L22" s="289" t="n">
        <v>0.002</v>
      </c>
      <c r="M22" s="289" t="n">
        <v>0.002</v>
      </c>
      <c r="N22" s="289" t="n">
        <v>0.002</v>
      </c>
      <c r="O22" s="289" t="n">
        <v>0.002</v>
      </c>
      <c r="R22" s="286"/>
      <c r="S22" s="289" t="n">
        <v>0.001</v>
      </c>
      <c r="T22" s="289" t="n">
        <v>0.002</v>
      </c>
      <c r="U22" s="289" t="n">
        <v>0.002</v>
      </c>
      <c r="V22" s="289" t="n">
        <v>0.002</v>
      </c>
      <c r="W22" s="289" t="n">
        <v>0.002</v>
      </c>
    </row>
    <row r="23" customFormat="false" ht="15" hidden="false" customHeight="true" outlineLevel="0" collapsed="false">
      <c r="A23" s="152" t="s">
        <v>1463</v>
      </c>
      <c r="B23" s="152"/>
      <c r="C23" s="155" t="n">
        <f aca="false">C14+SUM(C15:C22)+Escenarios!$D$8</f>
        <v>-0.0307</v>
      </c>
      <c r="D23" s="155" t="n">
        <f aca="false">D14+SUM(D15:D22)+Escenarios!$D$8</f>
        <v>0.0143</v>
      </c>
      <c r="E23" s="155" t="n">
        <f aca="false">E14+SUM(E15:E22)+Escenarios!$D$8</f>
        <v>0.0428</v>
      </c>
      <c r="F23" s="155" t="n">
        <f aca="false">F14+SUM(F15:F22)+Escenarios!$D$8</f>
        <v>0.0523</v>
      </c>
      <c r="G23" s="155" t="n">
        <f aca="false">G14+SUM(G15:G22)+Escenarios!$D$8</f>
        <v>0.0548</v>
      </c>
      <c r="J23" s="285"/>
      <c r="K23" s="291" t="n">
        <f aca="false">K14+SUM(K15:K22)+Escenarios!$C$8</f>
        <v>-0.0389</v>
      </c>
      <c r="L23" s="291" t="n">
        <f aca="false">L14+SUM(L15:L22)+Escenarios!$C$8</f>
        <v>0.0061</v>
      </c>
      <c r="M23" s="291" t="n">
        <f aca="false">M14+SUM(M15:M22)+Escenarios!$C$8</f>
        <v>0.0346</v>
      </c>
      <c r="N23" s="291" t="n">
        <f aca="false">N14+SUM(N15:N22)+Escenarios!$C$8</f>
        <v>0.0441</v>
      </c>
      <c r="O23" s="291" t="n">
        <f aca="false">O14+SUM(O15:O22)+Escenarios!$C$8</f>
        <v>0.0466</v>
      </c>
      <c r="R23" s="285"/>
      <c r="S23" s="291" t="n">
        <f aca="false">S14+SUM(S15:S22)+Escenarios!$B$8</f>
        <v>-0.044</v>
      </c>
      <c r="T23" s="291" t="n">
        <f aca="false">T14+SUM(T15:T22)+Escenarios!$B$8</f>
        <v>0.001</v>
      </c>
      <c r="U23" s="291" t="n">
        <f aca="false">U14+SUM(U15:U22)+Escenarios!$B$8</f>
        <v>0.0295</v>
      </c>
      <c r="V23" s="291" t="n">
        <f aca="false">V14+SUM(V15:V22)+Escenarios!$B$8</f>
        <v>0.039</v>
      </c>
      <c r="W23" s="291" t="n">
        <f aca="false">W14+SUM(W15:W22)+Escenarios!$B$8</f>
        <v>0.0415</v>
      </c>
    </row>
    <row r="24" customFormat="false" ht="15" hidden="false" customHeight="true" outlineLevel="0" collapsed="false">
      <c r="A24" s="154"/>
      <c r="B24" s="154"/>
      <c r="C24" s="154"/>
      <c r="D24" s="154"/>
      <c r="E24" s="154"/>
      <c r="F24" s="154"/>
      <c r="G24" s="154"/>
      <c r="J24" s="288"/>
      <c r="K24" s="288"/>
      <c r="L24" s="288"/>
      <c r="M24" s="288"/>
      <c r="N24" s="288"/>
      <c r="O24" s="288"/>
      <c r="R24" s="288"/>
      <c r="S24" s="288"/>
      <c r="T24" s="288"/>
      <c r="U24" s="288"/>
      <c r="V24" s="288"/>
      <c r="W24" s="288"/>
    </row>
    <row r="25" customFormat="false" ht="15" hidden="false" customHeight="true" outlineLevel="0" collapsed="false">
      <c r="A25" s="283" t="s">
        <v>2588</v>
      </c>
      <c r="B25" s="152" t="s">
        <v>1428</v>
      </c>
      <c r="C25" s="152" t="s">
        <v>1429</v>
      </c>
      <c r="D25" s="152" t="s">
        <v>1430</v>
      </c>
      <c r="E25" s="152" t="s">
        <v>1431</v>
      </c>
      <c r="F25" s="152" t="s">
        <v>1432</v>
      </c>
      <c r="G25" s="152" t="s">
        <v>1433</v>
      </c>
      <c r="J25" s="285" t="s">
        <v>1428</v>
      </c>
      <c r="K25" s="285" t="s">
        <v>1429</v>
      </c>
      <c r="L25" s="285" t="s">
        <v>1430</v>
      </c>
      <c r="M25" s="285" t="s">
        <v>1431</v>
      </c>
      <c r="N25" s="285" t="s">
        <v>1432</v>
      </c>
      <c r="O25" s="285" t="s">
        <v>1433</v>
      </c>
      <c r="R25" s="285" t="s">
        <v>1428</v>
      </c>
      <c r="S25" s="285" t="s">
        <v>1429</v>
      </c>
      <c r="T25" s="285" t="s">
        <v>1430</v>
      </c>
      <c r="U25" s="285" t="s">
        <v>1431</v>
      </c>
      <c r="V25" s="285" t="s">
        <v>1432</v>
      </c>
      <c r="W25" s="285" t="s">
        <v>1433</v>
      </c>
    </row>
    <row r="26" customFormat="false" ht="15" hidden="false" customHeight="true" outlineLevel="0" collapsed="false">
      <c r="A26" s="152" t="s">
        <v>1442</v>
      </c>
      <c r="B26" s="158" t="n">
        <f aca="false">'MC Soriana'!G6</f>
        <v>174278</v>
      </c>
      <c r="C26" s="158" t="n">
        <f aca="false">'MC Soriana'!F6</f>
        <v>163936.6</v>
      </c>
      <c r="D26" s="158" t="n">
        <f aca="false">C26+16*('MC Soriana'!$C$6-'MC Soriana'!$B$6)</f>
        <v>153151</v>
      </c>
      <c r="E26" s="158" t="n">
        <f aca="false">D26+16*('MC Soriana'!$C$6-'MC Soriana'!$B$6)</f>
        <v>142365.4</v>
      </c>
      <c r="F26" s="158" t="n">
        <f aca="false">E26+16*('MC Soriana'!$C$6-'MC Soriana'!$B$6)</f>
        <v>131579.8</v>
      </c>
      <c r="G26" s="158" t="n">
        <f aca="false">F26+16*('MC Soriana'!$C$6-'MC Soriana'!$B$6)</f>
        <v>120794.2</v>
      </c>
      <c r="J26" s="292" t="n">
        <f aca="false">'MC Soriana'!G6</f>
        <v>174278</v>
      </c>
      <c r="K26" s="292" t="n">
        <f aca="false">'MC Soriana'!F6</f>
        <v>163936.6</v>
      </c>
      <c r="L26" s="292" t="n">
        <f aca="false">K26+16*('MC Soriana'!$C$6-'MC Soriana'!$B$6)</f>
        <v>153151</v>
      </c>
      <c r="M26" s="292" t="n">
        <f aca="false">L26+16*('MC Soriana'!$C$6-'MC Soriana'!$B$6)</f>
        <v>142365.4</v>
      </c>
      <c r="N26" s="292" t="n">
        <f aca="false">M26+16*('MC Soriana'!$C$6-'MC Soriana'!$B$6)</f>
        <v>131579.8</v>
      </c>
      <c r="O26" s="292" t="n">
        <f aca="false">N26+16*('MC Soriana'!$C$6-'MC Soriana'!$B$6)</f>
        <v>120794.2</v>
      </c>
      <c r="R26" s="292" t="n">
        <f aca="false">'MC Soriana'!G6</f>
        <v>174278</v>
      </c>
      <c r="S26" s="292" t="n">
        <f aca="false">'MC Soriana'!F6</f>
        <v>163936.6</v>
      </c>
      <c r="T26" s="292" t="n">
        <f aca="false">S26+16*('MC Soriana'!$C$6-'MC Soriana'!$B$6)</f>
        <v>153151</v>
      </c>
      <c r="U26" s="292" t="n">
        <f aca="false">T26+16*('MC Soriana'!$C$6-'MC Soriana'!$B$6)</f>
        <v>142365.4</v>
      </c>
      <c r="V26" s="292" t="n">
        <f aca="false">U26+16*('MC Soriana'!$C$6-'MC Soriana'!$B$6)</f>
        <v>131579.8</v>
      </c>
      <c r="W26" s="292" t="n">
        <f aca="false">V26+16*('MC Soriana'!$C$6-'MC Soriana'!$B$6)</f>
        <v>120794.2</v>
      </c>
    </row>
    <row r="27" customFormat="false" ht="15" hidden="false" customHeight="true" outlineLevel="0" collapsed="false">
      <c r="A27" s="152" t="s">
        <v>1463</v>
      </c>
      <c r="B27" s="152"/>
      <c r="C27" s="153" t="n">
        <f aca="false">C26/B26-1</f>
        <v>-0.0593385280987848</v>
      </c>
      <c r="D27" s="153" t="n">
        <f aca="false">D26/C26-1</f>
        <v>-0.0657912876075262</v>
      </c>
      <c r="E27" s="153" t="n">
        <f aca="false">E26/D26-1</f>
        <v>-0.0704246136166266</v>
      </c>
      <c r="F27" s="153" t="n">
        <f aca="false">F26/E26-1</f>
        <v>-0.0757599810066209</v>
      </c>
      <c r="G27" s="153" t="n">
        <f aca="false">G26/F26-1</f>
        <v>-0.0819700288342129</v>
      </c>
      <c r="J27" s="286"/>
      <c r="K27" s="287" t="n">
        <f aca="false">K26/J26-1</f>
        <v>-0.0593385280987848</v>
      </c>
      <c r="L27" s="287" t="n">
        <f aca="false">L26/K26-1</f>
        <v>-0.0657912876075262</v>
      </c>
      <c r="M27" s="287" t="n">
        <f aca="false">M26/L26-1</f>
        <v>-0.0704246136166266</v>
      </c>
      <c r="N27" s="287" t="n">
        <f aca="false">N26/M26-1</f>
        <v>-0.0757599810066209</v>
      </c>
      <c r="O27" s="287" t="n">
        <f aca="false">O26/N26-1</f>
        <v>-0.0819700288342129</v>
      </c>
      <c r="R27" s="286"/>
      <c r="S27" s="287" t="n">
        <f aca="false">S26/R26-1</f>
        <v>-0.0593385280987848</v>
      </c>
      <c r="T27" s="287" t="n">
        <f aca="false">T26/S26-1</f>
        <v>-0.0657912876075262</v>
      </c>
      <c r="U27" s="287" t="n">
        <f aca="false">U26/T26-1</f>
        <v>-0.0704246136166266</v>
      </c>
      <c r="V27" s="287" t="n">
        <f aca="false">V26/U26-1</f>
        <v>-0.0757599810066209</v>
      </c>
      <c r="W27" s="287" t="n">
        <f aca="false">W26/V26-1</f>
        <v>-0.0819700288342129</v>
      </c>
    </row>
    <row r="28" customFormat="false" ht="15" hidden="false" customHeight="true" outlineLevel="0" collapsed="false">
      <c r="A28" s="152" t="s">
        <v>2589</v>
      </c>
      <c r="B28" s="152"/>
      <c r="C28" s="153" t="n">
        <f aca="false">C$6*C23+C$7*C27</f>
        <v>-0.0392915584296354</v>
      </c>
      <c r="D28" s="153" t="n">
        <f aca="false">D$6*D23+D$7*D27</f>
        <v>-0.00972738628225785</v>
      </c>
      <c r="E28" s="153" t="n">
        <f aca="false">E$6*E23+E$7*E27</f>
        <v>0.0144938465958434</v>
      </c>
      <c r="F28" s="153" t="n">
        <f aca="false">F$6*F23+F$7*F27</f>
        <v>0.0266880037986758</v>
      </c>
      <c r="G28" s="153" t="n">
        <f aca="false">G$6*G23+G$7*G27</f>
        <v>0.0342844956748681</v>
      </c>
      <c r="J28" s="285"/>
      <c r="K28" s="293" t="n">
        <f aca="false">K$6*K23+K$7*K27</f>
        <v>-0.0450315584296355</v>
      </c>
      <c r="L28" s="293" t="n">
        <f aca="false">L$6*L23+L$7*L27</f>
        <v>-0.0154673862822579</v>
      </c>
      <c r="M28" s="293" t="n">
        <f aca="false">M$6*M23+M$7*M27</f>
        <v>0.00834384659584337</v>
      </c>
      <c r="N28" s="293" t="n">
        <f aca="false">N$6*N23+N$7*N27</f>
        <v>0.0201280037986758</v>
      </c>
      <c r="O28" s="293" t="n">
        <f aca="false">O$6*O23+O$7*O27</f>
        <v>0.0273144956748681</v>
      </c>
      <c r="R28" s="285"/>
      <c r="S28" s="293" t="n">
        <f aca="false">S$6*S23+S$7*S27</f>
        <v>-0.0486015584296355</v>
      </c>
      <c r="T28" s="293" t="n">
        <f aca="false">T$6*T23+T$7*T27</f>
        <v>-0.0190373862822579</v>
      </c>
      <c r="U28" s="293" t="n">
        <f aca="false">U$6*U23+U$7*U27</f>
        <v>0.00451884659584337</v>
      </c>
      <c r="V28" s="293" t="n">
        <f aca="false">V$6*V23+V$7*V27</f>
        <v>0.0160480037986758</v>
      </c>
      <c r="W28" s="293" t="n">
        <f aca="false">W$6*W23+W$7*W27</f>
        <v>0.0229794956748681</v>
      </c>
    </row>
    <row r="29" customFormat="false" ht="15" hidden="false" customHeight="true" outlineLevel="0" collapsed="false">
      <c r="A29" s="154"/>
      <c r="B29" s="154"/>
      <c r="C29" s="154"/>
      <c r="D29" s="154"/>
      <c r="E29" s="154"/>
      <c r="F29" s="154"/>
      <c r="G29" s="154"/>
      <c r="J29" s="288"/>
      <c r="K29" s="288"/>
      <c r="L29" s="288"/>
      <c r="M29" s="288"/>
      <c r="N29" s="288"/>
      <c r="O29" s="288"/>
      <c r="R29" s="288"/>
      <c r="S29" s="288"/>
      <c r="T29" s="288"/>
      <c r="U29" s="288"/>
      <c r="V29" s="288"/>
      <c r="W29" s="288"/>
    </row>
    <row r="30" customFormat="false" ht="15" hidden="false" customHeight="true" outlineLevel="0" collapsed="false">
      <c r="A30" s="283" t="s">
        <v>2590</v>
      </c>
      <c r="B30" s="152" t="s">
        <v>1428</v>
      </c>
      <c r="C30" s="152" t="s">
        <v>1429</v>
      </c>
      <c r="D30" s="152" t="s">
        <v>1430</v>
      </c>
      <c r="E30" s="152" t="s">
        <v>1431</v>
      </c>
      <c r="F30" s="152" t="s">
        <v>1432</v>
      </c>
      <c r="G30" s="152" t="s">
        <v>1433</v>
      </c>
      <c r="J30" s="285" t="s">
        <v>1428</v>
      </c>
      <c r="K30" s="285" t="s">
        <v>1429</v>
      </c>
      <c r="L30" s="285" t="s">
        <v>1430</v>
      </c>
      <c r="M30" s="285" t="s">
        <v>1431</v>
      </c>
      <c r="N30" s="285" t="s">
        <v>1432</v>
      </c>
      <c r="O30" s="285" t="s">
        <v>1433</v>
      </c>
      <c r="R30" s="285" t="s">
        <v>1428</v>
      </c>
      <c r="S30" s="285" t="s">
        <v>1429</v>
      </c>
      <c r="T30" s="285" t="s">
        <v>1430</v>
      </c>
      <c r="U30" s="285" t="s">
        <v>1431</v>
      </c>
      <c r="V30" s="285" t="s">
        <v>1432</v>
      </c>
      <c r="W30" s="285" t="s">
        <v>1433</v>
      </c>
    </row>
    <row r="31" customFormat="false" ht="15" hidden="false" customHeight="true" outlineLevel="0" collapsed="false">
      <c r="A31" s="152" t="s">
        <v>1435</v>
      </c>
      <c r="B31" s="155" t="n">
        <f aca="false">Valuación!B10</f>
        <v>0.042542883699969</v>
      </c>
      <c r="C31" s="155" t="n">
        <f aca="false">B31+SUM(C32:C39)</f>
        <v>0.043742883699969</v>
      </c>
      <c r="D31" s="155" t="n">
        <f aca="false">C31+SUM(D32:D39)</f>
        <v>0.043442883699969</v>
      </c>
      <c r="E31" s="155" t="n">
        <f aca="false">D31+SUM(E32:E39)</f>
        <v>0.043742883699969</v>
      </c>
      <c r="F31" s="155" t="n">
        <f aca="false">E31+SUM(F32:F39)</f>
        <v>0.044042883699969</v>
      </c>
      <c r="G31" s="155" t="n">
        <f aca="false">F31+SUM(G32:G39)</f>
        <v>0.044342883699969</v>
      </c>
      <c r="J31" s="289" t="n">
        <f aca="false">Valuación!B10</f>
        <v>0.042542883699969</v>
      </c>
      <c r="K31" s="289" t="n">
        <f aca="false">J31+SUM(K32:K39)</f>
        <v>0.043742883699969</v>
      </c>
      <c r="L31" s="289" t="n">
        <f aca="false">K31+SUM(L32:L39)</f>
        <v>0.043442883699969</v>
      </c>
      <c r="M31" s="289" t="n">
        <f aca="false">L31+SUM(M32:M39)</f>
        <v>0.043742883699969</v>
      </c>
      <c r="N31" s="289" t="n">
        <f aca="false">M31+SUM(N32:N39)</f>
        <v>0.044042883699969</v>
      </c>
      <c r="O31" s="289" t="n">
        <f aca="false">N31+SUM(O32:O39)</f>
        <v>0.044342883699969</v>
      </c>
      <c r="R31" s="289" t="n">
        <f aca="false">Valuación!B10</f>
        <v>0.042542883699969</v>
      </c>
      <c r="S31" s="289" t="n">
        <f aca="false">R31+SUM(S32:S39)</f>
        <v>0.043742883699969</v>
      </c>
      <c r="T31" s="289" t="n">
        <f aca="false">S31+SUM(T32:T39)</f>
        <v>0.043442883699969</v>
      </c>
      <c r="U31" s="289" t="n">
        <f aca="false">T31+SUM(U32:U39)</f>
        <v>0.043742883699969</v>
      </c>
      <c r="V31" s="289" t="n">
        <f aca="false">U31+SUM(V32:V39)</f>
        <v>0.044042883699969</v>
      </c>
      <c r="W31" s="289" t="n">
        <f aca="false">V31+SUM(W32:W39)</f>
        <v>0.044342883699969</v>
      </c>
    </row>
    <row r="32" customFormat="false" ht="15" hidden="false" customHeight="true" outlineLevel="0" collapsed="false">
      <c r="A32" s="152" t="s">
        <v>2591</v>
      </c>
      <c r="B32" s="155"/>
      <c r="C32" s="155" t="n">
        <v>0.0055</v>
      </c>
      <c r="D32" s="155" t="n">
        <v>0.003</v>
      </c>
      <c r="E32" s="155" t="n">
        <v>0.002</v>
      </c>
      <c r="F32" s="155" t="n">
        <v>0.001</v>
      </c>
      <c r="G32" s="155" t="n">
        <v>0.001</v>
      </c>
      <c r="J32" s="289"/>
      <c r="K32" s="289" t="n">
        <v>0.0055</v>
      </c>
      <c r="L32" s="289" t="n">
        <v>0.003</v>
      </c>
      <c r="M32" s="289" t="n">
        <v>0.002</v>
      </c>
      <c r="N32" s="289" t="n">
        <v>0.001</v>
      </c>
      <c r="O32" s="289" t="n">
        <v>0.001</v>
      </c>
      <c r="R32" s="289"/>
      <c r="S32" s="289" t="n">
        <v>0.0055</v>
      </c>
      <c r="T32" s="289" t="n">
        <v>0.003</v>
      </c>
      <c r="U32" s="289" t="n">
        <v>0.002</v>
      </c>
      <c r="V32" s="289" t="n">
        <v>0.001</v>
      </c>
      <c r="W32" s="289" t="n">
        <v>0.001</v>
      </c>
    </row>
    <row r="33" customFormat="false" ht="15" hidden="false" customHeight="true" outlineLevel="0" collapsed="false">
      <c r="A33" s="152" t="s">
        <v>2592</v>
      </c>
      <c r="B33" s="155"/>
      <c r="C33" s="155" t="n">
        <v>-0.001</v>
      </c>
      <c r="D33" s="155" t="n">
        <v>-0.0015</v>
      </c>
      <c r="E33" s="155" t="n">
        <v>-0.0015</v>
      </c>
      <c r="F33" s="155" t="n">
        <v>-0.001</v>
      </c>
      <c r="G33" s="155" t="n">
        <v>-0.001</v>
      </c>
      <c r="J33" s="289"/>
      <c r="K33" s="289" t="n">
        <v>-0.001</v>
      </c>
      <c r="L33" s="289" t="n">
        <v>-0.0015</v>
      </c>
      <c r="M33" s="289" t="n">
        <v>-0.0015</v>
      </c>
      <c r="N33" s="289" t="n">
        <v>-0.001</v>
      </c>
      <c r="O33" s="289" t="n">
        <v>-0.001</v>
      </c>
      <c r="R33" s="289"/>
      <c r="S33" s="289" t="n">
        <v>-0.001</v>
      </c>
      <c r="T33" s="289" t="n">
        <v>-0.0015</v>
      </c>
      <c r="U33" s="289" t="n">
        <v>-0.0015</v>
      </c>
      <c r="V33" s="289" t="n">
        <v>-0.001</v>
      </c>
      <c r="W33" s="289" t="n">
        <v>-0.001</v>
      </c>
    </row>
    <row r="34" customFormat="false" ht="15" hidden="false" customHeight="true" outlineLevel="0" collapsed="false">
      <c r="A34" s="152" t="s">
        <v>2593</v>
      </c>
      <c r="B34" s="155"/>
      <c r="C34" s="155" t="n">
        <v>-0.0015</v>
      </c>
      <c r="D34" s="155" t="n">
        <v>-0.001</v>
      </c>
      <c r="E34" s="155" t="n">
        <v>-0.001</v>
      </c>
      <c r="F34" s="155" t="n">
        <v>-0.0005</v>
      </c>
      <c r="G34" s="155" t="n">
        <v>0</v>
      </c>
      <c r="J34" s="289"/>
      <c r="K34" s="289" t="n">
        <v>-0.0015</v>
      </c>
      <c r="L34" s="289" t="n">
        <v>-0.001</v>
      </c>
      <c r="M34" s="289" t="n">
        <v>-0.001</v>
      </c>
      <c r="N34" s="289" t="n">
        <v>-0.0005</v>
      </c>
      <c r="O34" s="289" t="n">
        <v>0</v>
      </c>
      <c r="R34" s="289"/>
      <c r="S34" s="289" t="n">
        <v>-0.0015</v>
      </c>
      <c r="T34" s="289" t="n">
        <v>-0.001</v>
      </c>
      <c r="U34" s="289" t="n">
        <v>-0.001</v>
      </c>
      <c r="V34" s="289" t="n">
        <v>-0.0005</v>
      </c>
      <c r="W34" s="289" t="n">
        <v>0</v>
      </c>
    </row>
    <row r="35" customFormat="false" ht="15" hidden="false" customHeight="true" outlineLevel="0" collapsed="false">
      <c r="A35" s="152" t="s">
        <v>2594</v>
      </c>
      <c r="B35" s="155"/>
      <c r="C35" s="155" t="n">
        <v>-0.0005</v>
      </c>
      <c r="D35" s="155" t="n">
        <v>-0.0005</v>
      </c>
      <c r="E35" s="155" t="n">
        <v>0</v>
      </c>
      <c r="F35" s="155" t="n">
        <v>0</v>
      </c>
      <c r="G35" s="155" t="n">
        <v>0</v>
      </c>
      <c r="J35" s="289"/>
      <c r="K35" s="289" t="n">
        <v>-0.0005</v>
      </c>
      <c r="L35" s="289" t="n">
        <v>-0.0005</v>
      </c>
      <c r="M35" s="289" t="n">
        <v>0</v>
      </c>
      <c r="N35" s="289" t="n">
        <v>0</v>
      </c>
      <c r="O35" s="289" t="n">
        <v>0</v>
      </c>
      <c r="R35" s="289"/>
      <c r="S35" s="289" t="n">
        <v>-0.0005</v>
      </c>
      <c r="T35" s="289" t="n">
        <v>-0.0005</v>
      </c>
      <c r="U35" s="289" t="n">
        <v>0</v>
      </c>
      <c r="V35" s="289" t="n">
        <v>0</v>
      </c>
      <c r="W35" s="289" t="n">
        <v>0</v>
      </c>
    </row>
    <row r="36" customFormat="false" ht="15" hidden="false" customHeight="true" outlineLevel="0" collapsed="false">
      <c r="A36" s="152" t="s">
        <v>2595</v>
      </c>
      <c r="B36" s="155"/>
      <c r="C36" s="155" t="n">
        <v>-0.0005</v>
      </c>
      <c r="D36" s="155" t="n">
        <v>-0.0005</v>
      </c>
      <c r="E36" s="155" t="n">
        <v>0</v>
      </c>
      <c r="F36" s="155" t="n">
        <v>0</v>
      </c>
      <c r="G36" s="155" t="n">
        <v>0</v>
      </c>
      <c r="J36" s="289"/>
      <c r="K36" s="289" t="n">
        <v>-0.0005</v>
      </c>
      <c r="L36" s="289" t="n">
        <v>-0.0005</v>
      </c>
      <c r="M36" s="289" t="n">
        <v>0</v>
      </c>
      <c r="N36" s="289" t="n">
        <v>0</v>
      </c>
      <c r="O36" s="289" t="n">
        <v>0</v>
      </c>
      <c r="R36" s="289"/>
      <c r="S36" s="289" t="n">
        <v>-0.0005</v>
      </c>
      <c r="T36" s="289" t="n">
        <v>-0.0005</v>
      </c>
      <c r="U36" s="289" t="n">
        <v>0</v>
      </c>
      <c r="V36" s="289" t="n">
        <v>0</v>
      </c>
      <c r="W36" s="289" t="n">
        <v>0</v>
      </c>
    </row>
    <row r="37" customFormat="false" ht="15" hidden="false" customHeight="true" outlineLevel="0" collapsed="false">
      <c r="A37" s="152" t="s">
        <v>2596</v>
      </c>
      <c r="B37" s="155"/>
      <c r="C37" s="155" t="n">
        <v>-0.0003</v>
      </c>
      <c r="D37" s="155" t="n">
        <v>-0.0003</v>
      </c>
      <c r="E37" s="155" t="n">
        <v>-0.0002</v>
      </c>
      <c r="F37" s="155" t="n">
        <v>-0.0002</v>
      </c>
      <c r="G37" s="155" t="n">
        <v>-0.0002</v>
      </c>
      <c r="J37" s="289"/>
      <c r="K37" s="289" t="n">
        <v>-0.0003</v>
      </c>
      <c r="L37" s="289" t="n">
        <v>-0.0003</v>
      </c>
      <c r="M37" s="289" t="n">
        <v>-0.0002</v>
      </c>
      <c r="N37" s="289" t="n">
        <v>-0.0002</v>
      </c>
      <c r="O37" s="289" t="n">
        <v>-0.0002</v>
      </c>
      <c r="R37" s="289"/>
      <c r="S37" s="289" t="n">
        <v>-0.0003</v>
      </c>
      <c r="T37" s="289" t="n">
        <v>-0.0003</v>
      </c>
      <c r="U37" s="289" t="n">
        <v>-0.0002</v>
      </c>
      <c r="V37" s="289" t="n">
        <v>-0.0002</v>
      </c>
      <c r="W37" s="289" t="n">
        <v>-0.0002</v>
      </c>
    </row>
    <row r="38" customFormat="false" ht="15" hidden="false" customHeight="true" outlineLevel="0" collapsed="false">
      <c r="A38" s="152" t="s">
        <v>2597</v>
      </c>
      <c r="B38" s="155"/>
      <c r="C38" s="155" t="n">
        <v>0.0005</v>
      </c>
      <c r="D38" s="155" t="n">
        <v>0.001</v>
      </c>
      <c r="E38" s="155" t="n">
        <v>0.001</v>
      </c>
      <c r="F38" s="155" t="n">
        <v>0.001</v>
      </c>
      <c r="G38" s="155" t="n">
        <v>0.0005</v>
      </c>
      <c r="J38" s="289"/>
      <c r="K38" s="289" t="n">
        <v>0.0005</v>
      </c>
      <c r="L38" s="289" t="n">
        <v>0.001</v>
      </c>
      <c r="M38" s="289" t="n">
        <v>0.001</v>
      </c>
      <c r="N38" s="289" t="n">
        <v>0.001</v>
      </c>
      <c r="O38" s="289" t="n">
        <v>0.0005</v>
      </c>
      <c r="R38" s="289"/>
      <c r="S38" s="289" t="n">
        <v>0.0005</v>
      </c>
      <c r="T38" s="289" t="n">
        <v>0.001</v>
      </c>
      <c r="U38" s="289" t="n">
        <v>0.001</v>
      </c>
      <c r="V38" s="289" t="n">
        <v>0.001</v>
      </c>
      <c r="W38" s="289" t="n">
        <v>0.0005</v>
      </c>
    </row>
    <row r="39" customFormat="false" ht="15" hidden="false" customHeight="true" outlineLevel="0" collapsed="false">
      <c r="A39" s="152" t="s">
        <v>2598</v>
      </c>
      <c r="B39" s="155"/>
      <c r="C39" s="155" t="n">
        <v>-0.001</v>
      </c>
      <c r="D39" s="155" t="n">
        <v>-0.0005</v>
      </c>
      <c r="E39" s="155" t="n">
        <v>0</v>
      </c>
      <c r="F39" s="155" t="n">
        <v>0</v>
      </c>
      <c r="G39" s="155" t="n">
        <v>0</v>
      </c>
      <c r="J39" s="289"/>
      <c r="K39" s="289" t="n">
        <v>-0.001</v>
      </c>
      <c r="L39" s="289" t="n">
        <v>-0.0005</v>
      </c>
      <c r="M39" s="289" t="n">
        <v>0</v>
      </c>
      <c r="N39" s="289" t="n">
        <v>0</v>
      </c>
      <c r="O39" s="289" t="n">
        <v>0</v>
      </c>
      <c r="R39" s="289"/>
      <c r="S39" s="289" t="n">
        <v>-0.001</v>
      </c>
      <c r="T39" s="289" t="n">
        <v>-0.0005</v>
      </c>
      <c r="U39" s="289" t="n">
        <v>0</v>
      </c>
      <c r="V39" s="289" t="n">
        <v>0</v>
      </c>
      <c r="W39" s="289" t="n">
        <v>0</v>
      </c>
    </row>
    <row r="40" customFormat="false" ht="15" hidden="false" customHeight="true" outlineLevel="0" collapsed="false">
      <c r="A40" s="152" t="s">
        <v>2599</v>
      </c>
      <c r="B40" s="155"/>
      <c r="C40" s="155" t="n">
        <f aca="false">'MC Soriana'!$F$9</f>
        <v>0.0492556268703877</v>
      </c>
      <c r="D40" s="155" t="n">
        <f aca="false">'MC Soriana'!$F$9</f>
        <v>0.0492556268703877</v>
      </c>
      <c r="E40" s="155" t="n">
        <f aca="false">'MC Soriana'!$F$9</f>
        <v>0.0492556268703877</v>
      </c>
      <c r="F40" s="155" t="n">
        <f aca="false">'MC Soriana'!$F$9</f>
        <v>0.0492556268703877</v>
      </c>
      <c r="G40" s="155" t="n">
        <f aca="false">'MC Soriana'!$F$9</f>
        <v>0.0492556268703877</v>
      </c>
      <c r="J40" s="289"/>
      <c r="K40" s="289" t="n">
        <f aca="false">'MC Soriana'!$F$9</f>
        <v>0.0492556268703877</v>
      </c>
      <c r="L40" s="289" t="n">
        <f aca="false">'MC Soriana'!$F$9</f>
        <v>0.0492556268703877</v>
      </c>
      <c r="M40" s="289" t="n">
        <f aca="false">'MC Soriana'!$F$9</f>
        <v>0.0492556268703877</v>
      </c>
      <c r="N40" s="289" t="n">
        <f aca="false">'MC Soriana'!$F$9</f>
        <v>0.0492556268703877</v>
      </c>
      <c r="O40" s="289" t="n">
        <f aca="false">'MC Soriana'!$F$9</f>
        <v>0.0492556268703877</v>
      </c>
      <c r="R40" s="289"/>
      <c r="S40" s="289" t="n">
        <f aca="false">'MC Soriana'!$F$9</f>
        <v>0.0492556268703877</v>
      </c>
      <c r="T40" s="289" t="n">
        <f aca="false">'MC Soriana'!$F$9</f>
        <v>0.0492556268703877</v>
      </c>
      <c r="U40" s="289" t="n">
        <f aca="false">'MC Soriana'!$F$9</f>
        <v>0.0492556268703877</v>
      </c>
      <c r="V40" s="289" t="n">
        <f aca="false">'MC Soriana'!$F$9</f>
        <v>0.0492556268703877</v>
      </c>
      <c r="W40" s="289" t="n">
        <f aca="false">'MC Soriana'!$F$9</f>
        <v>0.0492556268703877</v>
      </c>
    </row>
    <row r="41" customFormat="false" ht="15" hidden="false" customHeight="true" outlineLevel="0" collapsed="false">
      <c r="A41" s="152" t="s">
        <v>2600</v>
      </c>
      <c r="B41" s="155"/>
      <c r="C41" s="155" t="n">
        <f aca="false">C$6*C31+C$7*C40+Escenarios!$D$9</f>
        <v>0.0478967066510946</v>
      </c>
      <c r="D41" s="155" t="n">
        <f aca="false">D$6*D31+D$7*D40+Escenarios!$D$9</f>
        <v>0.0476867066510946</v>
      </c>
      <c r="E41" s="155" t="n">
        <f aca="false">E$6*E31+E$7*E40+Escenarios!$D$9</f>
        <v>0.0476210694925737</v>
      </c>
      <c r="F41" s="155" t="n">
        <f aca="false">F$6*F31+F$7*F40+Escenarios!$D$9</f>
        <v>0.0475854323340528</v>
      </c>
      <c r="G41" s="155" t="n">
        <f aca="false">G$6*G31+G$7*G40+Escenarios!$D$9</f>
        <v>0.0475797951755318</v>
      </c>
      <c r="J41" s="291"/>
      <c r="K41" s="291" t="n">
        <f aca="false">K$6*K31+K$7*K40+Escenarios!$C$9</f>
        <v>0.0453967066510946</v>
      </c>
      <c r="L41" s="291" t="n">
        <f aca="false">L$6*L31+L$7*L40+Escenarios!$C$9</f>
        <v>0.0451867066510946</v>
      </c>
      <c r="M41" s="291" t="n">
        <f aca="false">M$6*M31+M$7*M40+Escenarios!$C$9</f>
        <v>0.0451210694925737</v>
      </c>
      <c r="N41" s="291" t="n">
        <f aca="false">N$6*N31+N$7*N40+Escenarios!$C$9</f>
        <v>0.0450854323340528</v>
      </c>
      <c r="O41" s="291" t="n">
        <f aca="false">O$6*O31+O$7*O40+Escenarios!$C$9</f>
        <v>0.0450797951755318</v>
      </c>
      <c r="R41" s="291"/>
      <c r="S41" s="291" t="n">
        <f aca="false">S$6*S31+S$7*S40+Escenarios!$B$9</f>
        <v>0.0428967066510946</v>
      </c>
      <c r="T41" s="291" t="n">
        <f aca="false">T$6*T31+T$7*T40+Escenarios!$B$9</f>
        <v>0.0426867066510946</v>
      </c>
      <c r="U41" s="291" t="n">
        <f aca="false">U$6*U31+U$7*U40+Escenarios!$B$9</f>
        <v>0.0426210694925737</v>
      </c>
      <c r="V41" s="291" t="n">
        <f aca="false">V$6*V31+V$7*V40+Escenarios!$B$9</f>
        <v>0.0425854323340528</v>
      </c>
      <c r="W41" s="291" t="n">
        <f aca="false">W$6*W31+W$7*W40+Escenarios!$B$9</f>
        <v>0.0425797951755318</v>
      </c>
    </row>
    <row r="42" customFormat="false" ht="15" hidden="false" customHeight="true" outlineLevel="0" collapsed="false">
      <c r="A42" s="154"/>
      <c r="B42" s="154"/>
      <c r="C42" s="154"/>
      <c r="D42" s="154"/>
      <c r="E42" s="154"/>
      <c r="F42" s="154"/>
      <c r="G42" s="154"/>
      <c r="J42" s="288"/>
      <c r="K42" s="288"/>
      <c r="L42" s="288"/>
      <c r="M42" s="288"/>
      <c r="N42" s="288"/>
      <c r="O42" s="288"/>
      <c r="R42" s="288"/>
      <c r="S42" s="288"/>
      <c r="T42" s="288"/>
      <c r="U42" s="288"/>
      <c r="V42" s="288"/>
      <c r="W42" s="288"/>
    </row>
    <row r="43" customFormat="false" ht="15" hidden="false" customHeight="true" outlineLevel="0" collapsed="false">
      <c r="A43" s="283" t="s">
        <v>2601</v>
      </c>
      <c r="B43" s="152" t="s">
        <v>1428</v>
      </c>
      <c r="C43" s="152" t="s">
        <v>1429</v>
      </c>
      <c r="D43" s="152" t="s">
        <v>1430</v>
      </c>
      <c r="E43" s="152" t="s">
        <v>1431</v>
      </c>
      <c r="F43" s="152" t="s">
        <v>1432</v>
      </c>
      <c r="G43" s="152" t="s">
        <v>1433</v>
      </c>
      <c r="J43" s="285" t="s">
        <v>1428</v>
      </c>
      <c r="K43" s="285" t="s">
        <v>1429</v>
      </c>
      <c r="L43" s="285" t="s">
        <v>1430</v>
      </c>
      <c r="M43" s="285" t="s">
        <v>1431</v>
      </c>
      <c r="N43" s="285" t="s">
        <v>1432</v>
      </c>
      <c r="O43" s="285" t="s">
        <v>1433</v>
      </c>
      <c r="R43" s="285" t="s">
        <v>1428</v>
      </c>
      <c r="S43" s="285" t="s">
        <v>1429</v>
      </c>
      <c r="T43" s="285" t="s">
        <v>1430</v>
      </c>
      <c r="U43" s="285" t="s">
        <v>1431</v>
      </c>
      <c r="V43" s="285" t="s">
        <v>1432</v>
      </c>
      <c r="W43" s="285" t="s">
        <v>1433</v>
      </c>
    </row>
    <row r="44" customFormat="false" ht="15" hidden="false" customHeight="true" outlineLevel="0" collapsed="false">
      <c r="A44" s="152" t="s">
        <v>2602</v>
      </c>
      <c r="B44" s="152"/>
      <c r="C44" s="155" t="n">
        <f aca="false">Valuación!$B$11</f>
        <v>0.0244599047967777</v>
      </c>
      <c r="D44" s="155" t="n">
        <f aca="false">Valuación!$B$11</f>
        <v>0.0244599047967777</v>
      </c>
      <c r="E44" s="155" t="n">
        <f aca="false">Valuación!$B$11</f>
        <v>0.0244599047967777</v>
      </c>
      <c r="F44" s="155" t="n">
        <f aca="false">Valuación!$B$11</f>
        <v>0.0244599047967777</v>
      </c>
      <c r="G44" s="155" t="n">
        <f aca="false">Valuación!$B$11</f>
        <v>0.0244599047967777</v>
      </c>
      <c r="J44" s="286"/>
      <c r="K44" s="289" t="n">
        <f aca="false">Valuación!$B$11</f>
        <v>0.0244599047967777</v>
      </c>
      <c r="L44" s="289" t="n">
        <f aca="false">Valuación!$B$11</f>
        <v>0.0244599047967777</v>
      </c>
      <c r="M44" s="289" t="n">
        <f aca="false">Valuación!$B$11</f>
        <v>0.0244599047967777</v>
      </c>
      <c r="N44" s="289" t="n">
        <f aca="false">Valuación!$B$11</f>
        <v>0.0244599047967777</v>
      </c>
      <c r="O44" s="289" t="n">
        <f aca="false">Valuación!$B$11</f>
        <v>0.0244599047967777</v>
      </c>
      <c r="R44" s="286"/>
      <c r="S44" s="289" t="n">
        <f aca="false">Valuación!$B$11</f>
        <v>0.0244599047967777</v>
      </c>
      <c r="T44" s="289" t="n">
        <f aca="false">Valuación!$B$11</f>
        <v>0.0244599047967777</v>
      </c>
      <c r="U44" s="289" t="n">
        <f aca="false">Valuación!$B$11</f>
        <v>0.0244599047967777</v>
      </c>
      <c r="V44" s="289" t="n">
        <f aca="false">Valuación!$B$11</f>
        <v>0.0244599047967777</v>
      </c>
      <c r="W44" s="289" t="n">
        <f aca="false">Valuación!$B$11</f>
        <v>0.0244599047967777</v>
      </c>
    </row>
    <row r="45" customFormat="false" ht="15" hidden="false" customHeight="true" outlineLevel="0" collapsed="false">
      <c r="A45" s="152" t="s">
        <v>2603</v>
      </c>
      <c r="B45" s="152"/>
      <c r="C45" s="155" t="n">
        <f aca="false">'MC Soriana'!$F$12/'MC Soriana'!$F$6</f>
        <v>0.024136242913419</v>
      </c>
      <c r="D45" s="155" t="n">
        <f aca="false">'MC Soriana'!$F$12/'MC Soriana'!$F$6</f>
        <v>0.024136242913419</v>
      </c>
      <c r="E45" s="155" t="n">
        <f aca="false">'MC Soriana'!$F$12/'MC Soriana'!$F$6</f>
        <v>0.024136242913419</v>
      </c>
      <c r="F45" s="155" t="n">
        <f aca="false">'MC Soriana'!$F$12/'MC Soriana'!$F$6</f>
        <v>0.024136242913419</v>
      </c>
      <c r="G45" s="155" t="n">
        <f aca="false">'MC Soriana'!$F$12/'MC Soriana'!$F$6</f>
        <v>0.024136242913419</v>
      </c>
      <c r="J45" s="286"/>
      <c r="K45" s="289" t="n">
        <f aca="false">'MC Soriana'!$F$12/'MC Soriana'!$F$6</f>
        <v>0.024136242913419</v>
      </c>
      <c r="L45" s="289" t="n">
        <f aca="false">'MC Soriana'!$F$12/'MC Soriana'!$F$6</f>
        <v>0.024136242913419</v>
      </c>
      <c r="M45" s="289" t="n">
        <f aca="false">'MC Soriana'!$F$12/'MC Soriana'!$F$6</f>
        <v>0.024136242913419</v>
      </c>
      <c r="N45" s="289" t="n">
        <f aca="false">'MC Soriana'!$F$12/'MC Soriana'!$F$6</f>
        <v>0.024136242913419</v>
      </c>
      <c r="O45" s="289" t="n">
        <f aca="false">'MC Soriana'!$F$12/'MC Soriana'!$F$6</f>
        <v>0.024136242913419</v>
      </c>
      <c r="R45" s="286"/>
      <c r="S45" s="289" t="n">
        <f aca="false">'MC Soriana'!$F$12/'MC Soriana'!$F$6</f>
        <v>0.024136242913419</v>
      </c>
      <c r="T45" s="289" t="n">
        <f aca="false">'MC Soriana'!$F$12/'MC Soriana'!$F$6</f>
        <v>0.024136242913419</v>
      </c>
      <c r="U45" s="289" t="n">
        <f aca="false">'MC Soriana'!$F$12/'MC Soriana'!$F$6</f>
        <v>0.024136242913419</v>
      </c>
      <c r="V45" s="289" t="n">
        <f aca="false">'MC Soriana'!$F$12/'MC Soriana'!$F$6</f>
        <v>0.024136242913419</v>
      </c>
      <c r="W45" s="289" t="n">
        <f aca="false">'MC Soriana'!$F$12/'MC Soriana'!$F$6</f>
        <v>0.024136242913419</v>
      </c>
    </row>
    <row r="46" customFormat="false" ht="15" hidden="false" customHeight="true" outlineLevel="0" collapsed="false">
      <c r="A46" s="152" t="s">
        <v>2604</v>
      </c>
      <c r="B46" s="152"/>
      <c r="C46" s="155" t="n">
        <f aca="false">C$6*C44+C$7*C45</f>
        <v>0.0243628062317701</v>
      </c>
      <c r="D46" s="155" t="n">
        <f aca="false">D$6*D44+D$7*D45</f>
        <v>0.0243628062317701</v>
      </c>
      <c r="E46" s="155" t="n">
        <f aca="false">E$6*E44+E$7*E45</f>
        <v>0.024378989325938</v>
      </c>
      <c r="F46" s="155" t="n">
        <f aca="false">F$6*F44+F$7*F45</f>
        <v>0.024395172420106</v>
      </c>
      <c r="G46" s="155" t="n">
        <f aca="false">G$6*G44+G$7*G45</f>
        <v>0.0244113555142739</v>
      </c>
      <c r="J46" s="286"/>
      <c r="K46" s="289" t="n">
        <f aca="false">K$6*K44+K$7*K45</f>
        <v>0.0243628062317701</v>
      </c>
      <c r="L46" s="289" t="n">
        <f aca="false">L$6*L44+L$7*L45</f>
        <v>0.0243628062317701</v>
      </c>
      <c r="M46" s="289" t="n">
        <f aca="false">M$6*M44+M$7*M45</f>
        <v>0.024378989325938</v>
      </c>
      <c r="N46" s="289" t="n">
        <f aca="false">N$6*N44+N$7*N45</f>
        <v>0.024395172420106</v>
      </c>
      <c r="O46" s="289" t="n">
        <f aca="false">O$6*O44+O$7*O45</f>
        <v>0.0244113555142739</v>
      </c>
      <c r="R46" s="286"/>
      <c r="S46" s="289" t="n">
        <f aca="false">S$6*S44+S$7*S45</f>
        <v>0.0243628062317701</v>
      </c>
      <c r="T46" s="289" t="n">
        <f aca="false">T$6*T44+T$7*T45</f>
        <v>0.0243628062317701</v>
      </c>
      <c r="U46" s="289" t="n">
        <f aca="false">U$6*U44+U$7*U45</f>
        <v>0.024378989325938</v>
      </c>
      <c r="V46" s="289" t="n">
        <f aca="false">V$6*V44+V$7*V45</f>
        <v>0.024395172420106</v>
      </c>
      <c r="W46" s="289" t="n">
        <f aca="false">W$6*W44+W$7*W45</f>
        <v>0.0244113555142739</v>
      </c>
    </row>
    <row r="47" customFormat="false" ht="15" hidden="false" customHeight="true" outlineLevel="0" collapsed="false">
      <c r="A47" s="152" t="s">
        <v>2605</v>
      </c>
      <c r="B47" s="152"/>
      <c r="C47" s="158" t="n">
        <v>4000</v>
      </c>
      <c r="D47" s="158"/>
      <c r="E47" s="158"/>
      <c r="F47" s="158"/>
      <c r="G47" s="158"/>
      <c r="J47" s="286"/>
      <c r="K47" s="292" t="n">
        <v>4000</v>
      </c>
      <c r="L47" s="292"/>
      <c r="M47" s="292"/>
      <c r="N47" s="292"/>
      <c r="O47" s="292"/>
      <c r="R47" s="286"/>
      <c r="S47" s="292" t="n">
        <v>4000</v>
      </c>
      <c r="T47" s="292"/>
      <c r="U47" s="292"/>
      <c r="V47" s="292"/>
      <c r="W47" s="292"/>
    </row>
    <row r="48" customFormat="false" ht="15" hidden="false" customHeight="true" outlineLevel="0" collapsed="false">
      <c r="A48" s="152" t="s">
        <v>2606</v>
      </c>
      <c r="B48" s="152"/>
      <c r="C48" s="155"/>
      <c r="D48" s="155" t="n">
        <v>0.003</v>
      </c>
      <c r="E48" s="155" t="n">
        <v>0.003</v>
      </c>
      <c r="F48" s="155" t="n">
        <v>0.003</v>
      </c>
      <c r="G48" s="155" t="n">
        <v>0.003</v>
      </c>
      <c r="J48" s="286"/>
      <c r="K48" s="289"/>
      <c r="L48" s="289" t="n">
        <v>0.003</v>
      </c>
      <c r="M48" s="289" t="n">
        <v>0.003</v>
      </c>
      <c r="N48" s="289" t="n">
        <v>0.003</v>
      </c>
      <c r="O48" s="289" t="n">
        <v>0.003</v>
      </c>
      <c r="R48" s="286"/>
      <c r="S48" s="289"/>
      <c r="T48" s="289" t="n">
        <v>0.003</v>
      </c>
      <c r="U48" s="289" t="n">
        <v>0.003</v>
      </c>
      <c r="V48" s="289" t="n">
        <v>0.003</v>
      </c>
      <c r="W48" s="289" t="n">
        <v>0.003</v>
      </c>
    </row>
    <row r="49" customFormat="false" ht="15" hidden="false" customHeight="true" outlineLevel="0" collapsed="false">
      <c r="A49" s="152" t="s">
        <v>1437</v>
      </c>
      <c r="B49" s="152"/>
      <c r="C49" s="155" t="n">
        <f aca="false">C47/C67</f>
        <v>0.023454886070994</v>
      </c>
      <c r="D49" s="155" t="n">
        <f aca="false">Valuación!$B$12*(1+'Variables Externas'!$J$22)+D48</f>
        <v>0.0195545165197307</v>
      </c>
      <c r="E49" s="155" t="n">
        <f aca="false">Valuación!$B$12*(1+'Variables Externas'!$J$22)+E48</f>
        <v>0.0195545165197307</v>
      </c>
      <c r="F49" s="155" t="n">
        <f aca="false">Valuación!$B$12*(1+'Variables Externas'!$J$22)+F48</f>
        <v>0.0195545165197307</v>
      </c>
      <c r="G49" s="155" t="n">
        <f aca="false">Valuación!$B$12*(1+'Variables Externas'!$J$22)+G48</f>
        <v>0.0195545165197307</v>
      </c>
      <c r="J49" s="286"/>
      <c r="K49" s="289" t="n">
        <f aca="false">K47/K67</f>
        <v>0.0235958656470585</v>
      </c>
      <c r="L49" s="289" t="n">
        <f aca="false">Valuación!$B$12*(1+'Variables Externas'!$J$22)+L48</f>
        <v>0.0195545165197307</v>
      </c>
      <c r="M49" s="289" t="n">
        <f aca="false">Valuación!$B$12*(1+'Variables Externas'!$J$22)+M48</f>
        <v>0.0195545165197307</v>
      </c>
      <c r="N49" s="289" t="n">
        <f aca="false">Valuación!$B$12*(1+'Variables Externas'!$J$22)+N48</f>
        <v>0.0195545165197307</v>
      </c>
      <c r="O49" s="289" t="n">
        <f aca="false">Valuación!$B$12*(1+'Variables Externas'!$J$22)+O48</f>
        <v>0.0195545165197307</v>
      </c>
      <c r="R49" s="286"/>
      <c r="S49" s="289" t="n">
        <f aca="false">S47/S67</f>
        <v>0.0236844060909769</v>
      </c>
      <c r="T49" s="289" t="n">
        <f aca="false">Valuación!$B$12*(1+'Variables Externas'!$J$22)+T48</f>
        <v>0.0195545165197307</v>
      </c>
      <c r="U49" s="289" t="n">
        <f aca="false">Valuación!$B$12*(1+'Variables Externas'!$J$22)+U48</f>
        <v>0.0195545165197307</v>
      </c>
      <c r="V49" s="289" t="n">
        <f aca="false">Valuación!$B$12*(1+'Variables Externas'!$J$22)+V48</f>
        <v>0.0195545165197307</v>
      </c>
      <c r="W49" s="289" t="n">
        <f aca="false">Valuación!$B$12*(1+'Variables Externas'!$J$22)+W48</f>
        <v>0.0195545165197307</v>
      </c>
    </row>
    <row r="50" customFormat="false" ht="15" hidden="false" customHeight="true" outlineLevel="0" collapsed="false">
      <c r="A50" s="152" t="s">
        <v>2607</v>
      </c>
      <c r="B50" s="152"/>
      <c r="C50" s="155" t="n">
        <f aca="false">'MC Soriana'!$F$13/'MC Soriana'!$F$6</f>
        <v>0.0202932109120233</v>
      </c>
      <c r="D50" s="155" t="n">
        <f aca="false">'MC Soriana'!$F$13/'MC Soriana'!$F$6</f>
        <v>0.0202932109120233</v>
      </c>
      <c r="E50" s="155" t="n">
        <f aca="false">'MC Soriana'!$F$13/'MC Soriana'!$F$6</f>
        <v>0.0202932109120233</v>
      </c>
      <c r="F50" s="155" t="n">
        <f aca="false">'MC Soriana'!$F$13/'MC Soriana'!$F$6</f>
        <v>0.0202932109120233</v>
      </c>
      <c r="G50" s="155" t="n">
        <f aca="false">'MC Soriana'!$F$13/'MC Soriana'!$F$6</f>
        <v>0.0202932109120233</v>
      </c>
      <c r="J50" s="286"/>
      <c r="K50" s="289" t="n">
        <f aca="false">'MC Soriana'!$F$13/'MC Soriana'!$F$6</f>
        <v>0.0202932109120233</v>
      </c>
      <c r="L50" s="289" t="n">
        <f aca="false">'MC Soriana'!$F$13/'MC Soriana'!$F$6</f>
        <v>0.0202932109120233</v>
      </c>
      <c r="M50" s="289" t="n">
        <f aca="false">'MC Soriana'!$F$13/'MC Soriana'!$F$6</f>
        <v>0.0202932109120233</v>
      </c>
      <c r="N50" s="289" t="n">
        <f aca="false">'MC Soriana'!$F$13/'MC Soriana'!$F$6</f>
        <v>0.0202932109120233</v>
      </c>
      <c r="O50" s="289" t="n">
        <f aca="false">'MC Soriana'!$F$13/'MC Soriana'!$F$6</f>
        <v>0.0202932109120233</v>
      </c>
      <c r="R50" s="286"/>
      <c r="S50" s="289" t="n">
        <f aca="false">'MC Soriana'!$F$13/'MC Soriana'!$F$6</f>
        <v>0.0202932109120233</v>
      </c>
      <c r="T50" s="289" t="n">
        <f aca="false">'MC Soriana'!$F$13/'MC Soriana'!$F$6</f>
        <v>0.0202932109120233</v>
      </c>
      <c r="U50" s="289" t="n">
        <f aca="false">'MC Soriana'!$F$13/'MC Soriana'!$F$6</f>
        <v>0.0202932109120233</v>
      </c>
      <c r="V50" s="289" t="n">
        <f aca="false">'MC Soriana'!$F$13/'MC Soriana'!$F$6</f>
        <v>0.0202932109120233</v>
      </c>
      <c r="W50" s="289" t="n">
        <f aca="false">'MC Soriana'!$F$13/'MC Soriana'!$F$6</f>
        <v>0.0202932109120233</v>
      </c>
    </row>
    <row r="51" customFormat="false" ht="15" hidden="false" customHeight="true" outlineLevel="0" collapsed="false">
      <c r="A51" s="152" t="s">
        <v>1876</v>
      </c>
      <c r="B51" s="152"/>
      <c r="C51" s="155" t="n">
        <f aca="false">C$6*C49+C$7*C50</f>
        <v>0.0225063835233028</v>
      </c>
      <c r="D51" s="155" t="n">
        <f aca="false">D$6*D49+D$7*D50</f>
        <v>0.0197761248374185</v>
      </c>
      <c r="E51" s="155" t="n">
        <f aca="false">E$6*E49+E$7*E50</f>
        <v>0.0197391901178039</v>
      </c>
      <c r="F51" s="155" t="n">
        <f aca="false">F$6*F49+F$7*F50</f>
        <v>0.0197022553981892</v>
      </c>
      <c r="G51" s="155" t="n">
        <f aca="false">G$6*G49+G$7*G50</f>
        <v>0.0196653206785746</v>
      </c>
      <c r="J51" s="285"/>
      <c r="K51" s="291" t="n">
        <f aca="false">K$6*K49+K$7*K50</f>
        <v>0.0226050692265479</v>
      </c>
      <c r="L51" s="291" t="n">
        <f aca="false">L$6*L49+L$7*L50</f>
        <v>0.0197761248374185</v>
      </c>
      <c r="M51" s="291" t="n">
        <f aca="false">M$6*M49+M$7*M50</f>
        <v>0.0197391901178039</v>
      </c>
      <c r="N51" s="291" t="n">
        <f aca="false">N$6*N49+N$7*N50</f>
        <v>0.0197022553981892</v>
      </c>
      <c r="O51" s="291" t="n">
        <f aca="false">O$6*O49+O$7*O50</f>
        <v>0.0196653206785746</v>
      </c>
      <c r="R51" s="285"/>
      <c r="S51" s="291" t="n">
        <f aca="false">S$6*S49+S$7*S50</f>
        <v>0.0226670475372909</v>
      </c>
      <c r="T51" s="291" t="n">
        <f aca="false">T$6*T49+T$7*T50</f>
        <v>0.0197761248374185</v>
      </c>
      <c r="U51" s="291" t="n">
        <f aca="false">U$6*U49+U$7*U50</f>
        <v>0.0197391901178039</v>
      </c>
      <c r="V51" s="291" t="n">
        <f aca="false">V$6*V49+V$7*V50</f>
        <v>0.0197022553981892</v>
      </c>
      <c r="W51" s="291" t="n">
        <f aca="false">W$6*W49+W$7*W50</f>
        <v>0.0196653206785746</v>
      </c>
    </row>
    <row r="52" customFormat="false" ht="15" hidden="false" customHeight="true" outlineLevel="0" collapsed="false">
      <c r="A52" s="152" t="s">
        <v>2608</v>
      </c>
      <c r="B52" s="152"/>
      <c r="C52" s="155" t="n">
        <v>0</v>
      </c>
      <c r="D52" s="155" t="n">
        <v>0.005</v>
      </c>
      <c r="E52" s="155" t="n">
        <v>0.005</v>
      </c>
      <c r="F52" s="155" t="n">
        <v>0.005</v>
      </c>
      <c r="G52" s="155" t="n">
        <v>0.005</v>
      </c>
      <c r="J52" s="286"/>
      <c r="K52" s="289" t="n">
        <v>0</v>
      </c>
      <c r="L52" s="289" t="n">
        <v>0.005</v>
      </c>
      <c r="M52" s="289" t="n">
        <v>0.005</v>
      </c>
      <c r="N52" s="289" t="n">
        <v>0.005</v>
      </c>
      <c r="O52" s="289" t="n">
        <v>0.005</v>
      </c>
      <c r="R52" s="286"/>
      <c r="S52" s="289" t="n">
        <v>0</v>
      </c>
      <c r="T52" s="289" t="n">
        <v>0.005</v>
      </c>
      <c r="U52" s="289" t="n">
        <v>0.005</v>
      </c>
      <c r="V52" s="289" t="n">
        <v>0.005</v>
      </c>
      <c r="W52" s="289" t="n">
        <v>0.005</v>
      </c>
    </row>
    <row r="53" customFormat="false" ht="15" hidden="false" customHeight="true" outlineLevel="0" collapsed="false">
      <c r="A53" s="152" t="s">
        <v>2609</v>
      </c>
      <c r="B53" s="152"/>
      <c r="C53" s="155" t="n">
        <f aca="false">WACC!$B$10+C52</f>
        <v>0.3</v>
      </c>
      <c r="D53" s="155" t="n">
        <f aca="false">WACC!$B$10+D52</f>
        <v>0.305</v>
      </c>
      <c r="E53" s="155" t="n">
        <f aca="false">WACC!$B$10+E52</f>
        <v>0.305</v>
      </c>
      <c r="F53" s="155" t="n">
        <f aca="false">WACC!$B$10+F52</f>
        <v>0.305</v>
      </c>
      <c r="G53" s="155" t="n">
        <f aca="false">WACC!$B$10+G52</f>
        <v>0.305</v>
      </c>
      <c r="J53" s="286"/>
      <c r="K53" s="289" t="n">
        <f aca="false">WACC!$B$10+K52</f>
        <v>0.3</v>
      </c>
      <c r="L53" s="289" t="n">
        <f aca="false">WACC!$B$10+L52</f>
        <v>0.305</v>
      </c>
      <c r="M53" s="289" t="n">
        <f aca="false">WACC!$B$10+M52</f>
        <v>0.305</v>
      </c>
      <c r="N53" s="289" t="n">
        <f aca="false">WACC!$B$10+N52</f>
        <v>0.305</v>
      </c>
      <c r="O53" s="289" t="n">
        <f aca="false">WACC!$B$10+O52</f>
        <v>0.305</v>
      </c>
      <c r="R53" s="286"/>
      <c r="S53" s="289" t="n">
        <f aca="false">WACC!$B$10+S52</f>
        <v>0.3</v>
      </c>
      <c r="T53" s="289" t="n">
        <f aca="false">WACC!$B$10+T52</f>
        <v>0.305</v>
      </c>
      <c r="U53" s="289" t="n">
        <f aca="false">WACC!$B$10+U52</f>
        <v>0.305</v>
      </c>
      <c r="V53" s="289" t="n">
        <f aca="false">WACC!$B$10+V52</f>
        <v>0.305</v>
      </c>
      <c r="W53" s="289" t="n">
        <f aca="false">WACC!$B$10+W52</f>
        <v>0.305</v>
      </c>
    </row>
    <row r="54" customFormat="false" ht="15" hidden="false" customHeight="true" outlineLevel="0" collapsed="false">
      <c r="A54" s="152" t="s">
        <v>2610</v>
      </c>
      <c r="B54" s="152"/>
      <c r="C54" s="155" t="n">
        <f aca="false">'MC Soriana'!$F$10</f>
        <v>0.191734007304675</v>
      </c>
      <c r="D54" s="155" t="n">
        <f aca="false">'MC Soriana'!$F$10</f>
        <v>0.191734007304675</v>
      </c>
      <c r="E54" s="155" t="n">
        <f aca="false">'MC Soriana'!$F$10</f>
        <v>0.191734007304675</v>
      </c>
      <c r="F54" s="155" t="n">
        <f aca="false">'MC Soriana'!$F$10</f>
        <v>0.191734007304675</v>
      </c>
      <c r="G54" s="155" t="n">
        <f aca="false">'MC Soriana'!$F$10</f>
        <v>0.191734007304675</v>
      </c>
      <c r="J54" s="286"/>
      <c r="K54" s="289" t="n">
        <f aca="false">'MC Soriana'!$F$10</f>
        <v>0.191734007304675</v>
      </c>
      <c r="L54" s="289" t="n">
        <f aca="false">'MC Soriana'!$F$10</f>
        <v>0.191734007304675</v>
      </c>
      <c r="M54" s="289" t="n">
        <f aca="false">'MC Soriana'!$F$10</f>
        <v>0.191734007304675</v>
      </c>
      <c r="N54" s="289" t="n">
        <f aca="false">'MC Soriana'!$F$10</f>
        <v>0.191734007304675</v>
      </c>
      <c r="O54" s="289" t="n">
        <f aca="false">'MC Soriana'!$F$10</f>
        <v>0.191734007304675</v>
      </c>
      <c r="R54" s="286"/>
      <c r="S54" s="289" t="n">
        <f aca="false">'MC Soriana'!$F$10</f>
        <v>0.191734007304675</v>
      </c>
      <c r="T54" s="289" t="n">
        <f aca="false">'MC Soriana'!$F$10</f>
        <v>0.191734007304675</v>
      </c>
      <c r="U54" s="289" t="n">
        <f aca="false">'MC Soriana'!$F$10</f>
        <v>0.191734007304675</v>
      </c>
      <c r="V54" s="289" t="n">
        <f aca="false">'MC Soriana'!$F$10</f>
        <v>0.191734007304675</v>
      </c>
      <c r="W54" s="289" t="n">
        <f aca="false">'MC Soriana'!$F$10</f>
        <v>0.191734007304675</v>
      </c>
    </row>
    <row r="55" customFormat="false" ht="15" hidden="false" customHeight="true" outlineLevel="0" collapsed="false">
      <c r="A55" s="152" t="s">
        <v>2611</v>
      </c>
      <c r="B55" s="152"/>
      <c r="C55" s="155" t="n">
        <f aca="false">C$6*C53+C$7*C54</f>
        <v>0.267520202191403</v>
      </c>
      <c r="D55" s="155" t="n">
        <f aca="false">D$6*D53+D$7*D54</f>
        <v>0.271020202191403</v>
      </c>
      <c r="E55" s="155" t="n">
        <f aca="false">E$6*E53+E$7*E54</f>
        <v>0.276683501826169</v>
      </c>
      <c r="F55" s="155" t="n">
        <f aca="false">F$6*F53+F$7*F54</f>
        <v>0.282346801460935</v>
      </c>
      <c r="G55" s="155" t="n">
        <f aca="false">G$6*G53+G$7*G54</f>
        <v>0.288010101095701</v>
      </c>
      <c r="J55" s="285"/>
      <c r="K55" s="291" t="n">
        <f aca="false">K$6*K53+K$7*K54</f>
        <v>0.267520202191403</v>
      </c>
      <c r="L55" s="291" t="n">
        <f aca="false">L$6*L53+L$7*L54</f>
        <v>0.271020202191403</v>
      </c>
      <c r="M55" s="291" t="n">
        <f aca="false">M$6*M53+M$7*M54</f>
        <v>0.276683501826169</v>
      </c>
      <c r="N55" s="291" t="n">
        <f aca="false">N$6*N53+N$7*N54</f>
        <v>0.282346801460935</v>
      </c>
      <c r="O55" s="291" t="n">
        <f aca="false">O$6*O53+O$7*O54</f>
        <v>0.288010101095701</v>
      </c>
      <c r="R55" s="285"/>
      <c r="S55" s="291" t="n">
        <f aca="false">S$6*S53+S$7*S54</f>
        <v>0.267520202191403</v>
      </c>
      <c r="T55" s="291" t="n">
        <f aca="false">T$6*T53+T$7*T54</f>
        <v>0.271020202191403</v>
      </c>
      <c r="U55" s="291" t="n">
        <f aca="false">U$6*U53+U$7*U54</f>
        <v>0.276683501826169</v>
      </c>
      <c r="V55" s="291" t="n">
        <f aca="false">V$6*V53+V$7*V54</f>
        <v>0.282346801460935</v>
      </c>
      <c r="W55" s="291" t="n">
        <f aca="false">W$6*W53+W$7*W54</f>
        <v>0.288010101095701</v>
      </c>
    </row>
    <row r="56" customFormat="false" ht="15" hidden="false" customHeight="true" outlineLevel="0" collapsed="false">
      <c r="A56" s="152" t="s">
        <v>2612</v>
      </c>
      <c r="B56" s="160" t="n">
        <f aca="false">Datos!G18/Datos!G7*365</f>
        <v>87.4443050938019</v>
      </c>
      <c r="C56" s="160" t="n">
        <v>88</v>
      </c>
      <c r="D56" s="160" t="n">
        <v>88</v>
      </c>
      <c r="E56" s="160" t="n">
        <v>87</v>
      </c>
      <c r="F56" s="160" t="n">
        <v>87</v>
      </c>
      <c r="G56" s="160" t="n">
        <v>87</v>
      </c>
      <c r="J56" s="294" t="n">
        <f aca="false">Datos!G18/Datos!G7*365</f>
        <v>87.4443050938019</v>
      </c>
      <c r="K56" s="294" t="n">
        <v>88</v>
      </c>
      <c r="L56" s="294" t="n">
        <v>88</v>
      </c>
      <c r="M56" s="294" t="n">
        <v>87</v>
      </c>
      <c r="N56" s="294" t="n">
        <v>87</v>
      </c>
      <c r="O56" s="294" t="n">
        <v>87</v>
      </c>
      <c r="R56" s="294" t="n">
        <f aca="false">Datos!G18/Datos!G7*365</f>
        <v>87.4443050938019</v>
      </c>
      <c r="S56" s="294" t="n">
        <v>88</v>
      </c>
      <c r="T56" s="294" t="n">
        <v>88</v>
      </c>
      <c r="U56" s="294" t="n">
        <v>87</v>
      </c>
      <c r="V56" s="294" t="n">
        <v>87</v>
      </c>
      <c r="W56" s="294" t="n">
        <v>87</v>
      </c>
    </row>
    <row r="57" customFormat="false" ht="15" hidden="false" customHeight="true" outlineLevel="0" collapsed="false">
      <c r="A57" s="152" t="s">
        <v>1477</v>
      </c>
      <c r="B57" s="153" t="n">
        <f aca="false">(Datos!G19-Datos!G17-Datos!G18)/Datos!G6</f>
        <v>0.0391572543165366</v>
      </c>
      <c r="C57" s="153" t="n">
        <f aca="false">$B57</f>
        <v>0.0391572543165366</v>
      </c>
      <c r="D57" s="153" t="n">
        <f aca="false">$B57</f>
        <v>0.0391572543165366</v>
      </c>
      <c r="E57" s="153" t="n">
        <f aca="false">$B57</f>
        <v>0.0391572543165366</v>
      </c>
      <c r="F57" s="153" t="n">
        <f aca="false">$B57</f>
        <v>0.0391572543165366</v>
      </c>
      <c r="G57" s="153" t="n">
        <f aca="false">$B57</f>
        <v>0.0391572543165366</v>
      </c>
      <c r="J57" s="295" t="n">
        <f aca="false">(Datos!G19-Datos!G17-Datos!G18)/Datos!G6</f>
        <v>0.0391572543165366</v>
      </c>
      <c r="K57" s="295" t="n">
        <f aca="false">$J57</f>
        <v>0.0391572543165366</v>
      </c>
      <c r="L57" s="295" t="n">
        <f aca="false">$J57</f>
        <v>0.0391572543165366</v>
      </c>
      <c r="M57" s="295" t="n">
        <f aca="false">$J57</f>
        <v>0.0391572543165366</v>
      </c>
      <c r="N57" s="295" t="n">
        <f aca="false">$J57</f>
        <v>0.0391572543165366</v>
      </c>
      <c r="O57" s="295" t="n">
        <f aca="false">$J57</f>
        <v>0.0391572543165366</v>
      </c>
      <c r="R57" s="295" t="n">
        <f aca="false">(Datos!G19-Datos!G17-Datos!G18)/Datos!G6</f>
        <v>0.0391572543165366</v>
      </c>
      <c r="S57" s="295" t="n">
        <f aca="false">$R57</f>
        <v>0.0391572543165366</v>
      </c>
      <c r="T57" s="295" t="n">
        <f aca="false">$R57</f>
        <v>0.0391572543165366</v>
      </c>
      <c r="U57" s="295" t="n">
        <f aca="false">$R57</f>
        <v>0.0391572543165366</v>
      </c>
      <c r="V57" s="295" t="n">
        <f aca="false">$R57</f>
        <v>0.0391572543165366</v>
      </c>
      <c r="W57" s="295" t="n">
        <f aca="false">$R57</f>
        <v>0.0391572543165366</v>
      </c>
    </row>
    <row r="58" customFormat="false" ht="15" hidden="false" customHeight="true" outlineLevel="0" collapsed="false">
      <c r="A58" s="152" t="s">
        <v>2613</v>
      </c>
      <c r="B58" s="153" t="n">
        <f aca="false">(Datos!G21-Datos!G25-Datos!G27)/Datos!G6</f>
        <v>0.200225333070445</v>
      </c>
      <c r="C58" s="153" t="n">
        <f aca="false">$B58</f>
        <v>0.200225333070445</v>
      </c>
      <c r="D58" s="153" t="n">
        <f aca="false">$B58</f>
        <v>0.200225333070445</v>
      </c>
      <c r="E58" s="153" t="n">
        <f aca="false">$B58</f>
        <v>0.200225333070445</v>
      </c>
      <c r="F58" s="153" t="n">
        <f aca="false">$B58</f>
        <v>0.200225333070445</v>
      </c>
      <c r="G58" s="153" t="n">
        <f aca="false">$B58</f>
        <v>0.200225333070445</v>
      </c>
      <c r="J58" s="295" t="n">
        <f aca="false">(Datos!G21-Datos!G25-Datos!G27)/Datos!G6</f>
        <v>0.200225333070445</v>
      </c>
      <c r="K58" s="295" t="n">
        <f aca="false">$J58</f>
        <v>0.200225333070445</v>
      </c>
      <c r="L58" s="295" t="n">
        <f aca="false">$J58</f>
        <v>0.200225333070445</v>
      </c>
      <c r="M58" s="295" t="n">
        <f aca="false">$J58</f>
        <v>0.200225333070445</v>
      </c>
      <c r="N58" s="295" t="n">
        <f aca="false">$J58</f>
        <v>0.200225333070445</v>
      </c>
      <c r="O58" s="295" t="n">
        <f aca="false">$J58</f>
        <v>0.200225333070445</v>
      </c>
      <c r="R58" s="295" t="n">
        <f aca="false">(Datos!G21-Datos!G25-Datos!G27)/Datos!G6</f>
        <v>0.200225333070445</v>
      </c>
      <c r="S58" s="295" t="n">
        <f aca="false">$R58</f>
        <v>0.200225333070445</v>
      </c>
      <c r="T58" s="295" t="n">
        <f aca="false">$R58</f>
        <v>0.200225333070445</v>
      </c>
      <c r="U58" s="295" t="n">
        <f aca="false">$R58</f>
        <v>0.200225333070445</v>
      </c>
      <c r="V58" s="295" t="n">
        <f aca="false">$R58</f>
        <v>0.200225333070445</v>
      </c>
      <c r="W58" s="295" t="n">
        <f aca="false">$R58</f>
        <v>0.200225333070445</v>
      </c>
    </row>
    <row r="59" customFormat="false" ht="15" hidden="false" customHeight="true" outlineLevel="0" collapsed="false">
      <c r="A59" s="152" t="s">
        <v>86</v>
      </c>
      <c r="B59" s="153" t="n">
        <f aca="false">Datos!G7/Datos!G6</f>
        <v>0.759102047714278</v>
      </c>
      <c r="C59" s="153" t="n">
        <v>0.756</v>
      </c>
      <c r="D59" s="153" t="n">
        <v>0.757</v>
      </c>
      <c r="E59" s="153" t="n">
        <v>0.758</v>
      </c>
      <c r="F59" s="153" t="n">
        <v>0.758</v>
      </c>
      <c r="G59" s="153" t="n">
        <v>0.758</v>
      </c>
      <c r="J59" s="295" t="n">
        <f aca="false">Datos!G7/Datos!G6</f>
        <v>0.759102047714278</v>
      </c>
      <c r="K59" s="295" t="n">
        <v>0.756</v>
      </c>
      <c r="L59" s="295" t="n">
        <v>0.757</v>
      </c>
      <c r="M59" s="295" t="n">
        <v>0.758</v>
      </c>
      <c r="N59" s="295" t="n">
        <v>0.758</v>
      </c>
      <c r="O59" s="295" t="n">
        <v>0.758</v>
      </c>
      <c r="R59" s="295" t="n">
        <f aca="false">Datos!G7/Datos!G6</f>
        <v>0.759102047714278</v>
      </c>
      <c r="S59" s="295" t="n">
        <v>0.756</v>
      </c>
      <c r="T59" s="295" t="n">
        <v>0.757</v>
      </c>
      <c r="U59" s="295" t="n">
        <v>0.758</v>
      </c>
      <c r="V59" s="295" t="n">
        <v>0.758</v>
      </c>
      <c r="W59" s="295" t="n">
        <v>0.758</v>
      </c>
    </row>
    <row r="60" customFormat="false" ht="15" hidden="false" customHeight="true" outlineLevel="0" collapsed="false">
      <c r="A60" s="152" t="s">
        <v>2614</v>
      </c>
      <c r="B60" s="153" t="n">
        <f aca="false">-B70/B67</f>
        <v>0.173900797115737</v>
      </c>
      <c r="C60" s="153" t="n">
        <f aca="false">1-C59-C46-C41</f>
        <v>0.171740487117135</v>
      </c>
      <c r="D60" s="153" t="n">
        <f aca="false">1-D59-D46-D41</f>
        <v>0.170950487117135</v>
      </c>
      <c r="E60" s="153" t="n">
        <f aca="false">1-E59-E46-E41</f>
        <v>0.169999941181488</v>
      </c>
      <c r="F60" s="153" t="n">
        <f aca="false">1-F59-F46-F41</f>
        <v>0.170019395245841</v>
      </c>
      <c r="G60" s="153" t="n">
        <f aca="false">1-G59-G46-G41</f>
        <v>0.170008849310194</v>
      </c>
      <c r="J60" s="295" t="n">
        <f aca="false">-J70/J67</f>
        <v>0.173900797115737</v>
      </c>
      <c r="K60" s="295" t="n">
        <f aca="false">1-K59-K46-K41</f>
        <v>0.174240487117135</v>
      </c>
      <c r="L60" s="295" t="n">
        <f aca="false">1-L59-L46-L41</f>
        <v>0.173450487117135</v>
      </c>
      <c r="M60" s="295" t="n">
        <f aca="false">1-M59-M46-M41</f>
        <v>0.172499941181488</v>
      </c>
      <c r="N60" s="295" t="n">
        <f aca="false">1-N59-N46-N41</f>
        <v>0.172519395245841</v>
      </c>
      <c r="O60" s="295" t="n">
        <f aca="false">1-O59-O46-O41</f>
        <v>0.172508849310194</v>
      </c>
      <c r="R60" s="295" t="n">
        <f aca="false">-R70/R67</f>
        <v>0.173900797115737</v>
      </c>
      <c r="S60" s="295" t="n">
        <f aca="false">1-S59-S46-S41</f>
        <v>0.176740487117135</v>
      </c>
      <c r="T60" s="295" t="n">
        <f aca="false">1-T59-T46-T41</f>
        <v>0.175950487117135</v>
      </c>
      <c r="U60" s="295" t="n">
        <f aca="false">1-U59-U46-U41</f>
        <v>0.174999941181488</v>
      </c>
      <c r="V60" s="295" t="n">
        <f aca="false">1-V59-V46-V41</f>
        <v>0.175019395245841</v>
      </c>
      <c r="W60" s="295" t="n">
        <f aca="false">1-W59-W46-W41</f>
        <v>0.175008849310194</v>
      </c>
    </row>
    <row r="61" customFormat="false" ht="15" hidden="false" customHeight="true" outlineLevel="0" collapsed="false">
      <c r="A61" s="152" t="s">
        <v>1466</v>
      </c>
      <c r="B61" s="155" t="n">
        <f aca="false">Datos!G10/(Datos!G25+Datos!G26+Datos!G27+Datos!G28)</f>
        <v>0.130154966550936</v>
      </c>
      <c r="C61" s="155" t="n">
        <v>0.1</v>
      </c>
      <c r="D61" s="155" t="n">
        <v>0.0975</v>
      </c>
      <c r="E61" s="155" t="n">
        <v>0.0975</v>
      </c>
      <c r="F61" s="155" t="n">
        <v>0.0975</v>
      </c>
      <c r="G61" s="155" t="n">
        <v>0.0975</v>
      </c>
      <c r="J61" s="296" t="n">
        <f aca="false">Datos!G10/(Datos!G25+Datos!G26+Datos!G27+Datos!G28)</f>
        <v>0.130154966550936</v>
      </c>
      <c r="K61" s="296" t="n">
        <v>0.1</v>
      </c>
      <c r="L61" s="296" t="n">
        <v>0.0975</v>
      </c>
      <c r="M61" s="296" t="n">
        <v>0.0975</v>
      </c>
      <c r="N61" s="296" t="n">
        <v>0.0975</v>
      </c>
      <c r="O61" s="296" t="n">
        <v>0.0975</v>
      </c>
      <c r="R61" s="296" t="n">
        <f aca="false">Datos!G10/(Datos!G25+Datos!G26+Datos!G27+Datos!G28)</f>
        <v>0.130154966550936</v>
      </c>
      <c r="S61" s="296" t="n">
        <v>0.1</v>
      </c>
      <c r="T61" s="296" t="n">
        <v>0.0975</v>
      </c>
      <c r="U61" s="296" t="n">
        <v>0.0975</v>
      </c>
      <c r="V61" s="296" t="n">
        <v>0.0975</v>
      </c>
      <c r="W61" s="296" t="n">
        <v>0.0975</v>
      </c>
    </row>
    <row r="62" customFormat="false" ht="15" hidden="false" customHeight="true" outlineLevel="0" collapsed="false">
      <c r="A62" s="152" t="s">
        <v>2615</v>
      </c>
      <c r="B62" s="161"/>
      <c r="C62" s="161" t="n">
        <v>0</v>
      </c>
      <c r="D62" s="161" t="n">
        <v>-1500</v>
      </c>
      <c r="E62" s="161" t="n">
        <v>-1500</v>
      </c>
      <c r="F62" s="161" t="n">
        <v>-1500</v>
      </c>
      <c r="G62" s="161" t="n">
        <v>-1500</v>
      </c>
      <c r="J62" s="297"/>
      <c r="K62" s="297" t="n">
        <v>0</v>
      </c>
      <c r="L62" s="297" t="n">
        <v>-1500</v>
      </c>
      <c r="M62" s="297" t="n">
        <v>-1500</v>
      </c>
      <c r="N62" s="297" t="n">
        <v>-1500</v>
      </c>
      <c r="O62" s="297" t="n">
        <v>-1500</v>
      </c>
      <c r="R62" s="297"/>
      <c r="S62" s="297" t="n">
        <v>0</v>
      </c>
      <c r="T62" s="297" t="n">
        <v>-1500</v>
      </c>
      <c r="U62" s="297" t="n">
        <v>-1500</v>
      </c>
      <c r="V62" s="297" t="n">
        <v>-1500</v>
      </c>
      <c r="W62" s="297" t="n">
        <v>-1500</v>
      </c>
    </row>
    <row r="63" customFormat="false" ht="15" hidden="false" customHeight="true" outlineLevel="0" collapsed="false">
      <c r="A63" s="152" t="s">
        <v>1470</v>
      </c>
      <c r="B63" s="153" t="n">
        <f aca="false">'Proyección Soriana'!B14</f>
        <v>0.300144057623049</v>
      </c>
      <c r="C63" s="153" t="n">
        <f aca="false">$B63</f>
        <v>0.300144057623049</v>
      </c>
      <c r="D63" s="153" t="n">
        <f aca="false">$B63</f>
        <v>0.300144057623049</v>
      </c>
      <c r="E63" s="153" t="n">
        <f aca="false">$B63</f>
        <v>0.300144057623049</v>
      </c>
      <c r="F63" s="153" t="n">
        <f aca="false">$B63</f>
        <v>0.300144057623049</v>
      </c>
      <c r="G63" s="153" t="n">
        <f aca="false">$B63</f>
        <v>0.300144057623049</v>
      </c>
      <c r="J63" s="295" t="n">
        <f aca="false">'Proyección Soriana'!B14</f>
        <v>0.300144057623049</v>
      </c>
      <c r="K63" s="295" t="n">
        <f aca="false">$J63</f>
        <v>0.300144057623049</v>
      </c>
      <c r="L63" s="295" t="n">
        <f aca="false">$J63</f>
        <v>0.300144057623049</v>
      </c>
      <c r="M63" s="295" t="n">
        <f aca="false">$J63</f>
        <v>0.300144057623049</v>
      </c>
      <c r="N63" s="295" t="n">
        <f aca="false">$J63</f>
        <v>0.300144057623049</v>
      </c>
      <c r="O63" s="295" t="n">
        <f aca="false">$J63</f>
        <v>0.300144057623049</v>
      </c>
      <c r="R63" s="295" t="n">
        <f aca="false">'Proyección Soriana'!B14</f>
        <v>0.300144057623049</v>
      </c>
      <c r="S63" s="295" t="n">
        <f aca="false">$R63</f>
        <v>0.300144057623049</v>
      </c>
      <c r="T63" s="295" t="n">
        <f aca="false">$R63</f>
        <v>0.300144057623049</v>
      </c>
      <c r="U63" s="295" t="n">
        <f aca="false">$R63</f>
        <v>0.300144057623049</v>
      </c>
      <c r="V63" s="295" t="n">
        <f aca="false">$R63</f>
        <v>0.300144057623049</v>
      </c>
      <c r="W63" s="295" t="n">
        <f aca="false">$R63</f>
        <v>0.300144057623049</v>
      </c>
    </row>
    <row r="64" customFormat="false" ht="15" hidden="false" customHeight="true" outlineLevel="0" collapsed="false">
      <c r="A64" s="154"/>
      <c r="B64" s="154"/>
      <c r="C64" s="154"/>
      <c r="D64" s="154"/>
      <c r="E64" s="154"/>
      <c r="F64" s="154"/>
      <c r="G64" s="154"/>
      <c r="J64" s="298"/>
      <c r="K64" s="298"/>
      <c r="L64" s="298"/>
      <c r="M64" s="298"/>
      <c r="N64" s="298"/>
      <c r="O64" s="298"/>
      <c r="R64" s="298"/>
      <c r="S64" s="298"/>
      <c r="T64" s="298"/>
      <c r="U64" s="298"/>
      <c r="V64" s="298"/>
      <c r="W64" s="298"/>
    </row>
    <row r="65" customFormat="false" ht="15" hidden="false" customHeight="true" outlineLevel="0" collapsed="false">
      <c r="A65" s="299" t="s">
        <v>2616</v>
      </c>
      <c r="B65" s="154"/>
      <c r="C65" s="154"/>
      <c r="D65" s="154"/>
      <c r="E65" s="154"/>
      <c r="F65" s="154"/>
      <c r="G65" s="154"/>
      <c r="J65" s="298"/>
      <c r="K65" s="298"/>
      <c r="L65" s="298"/>
      <c r="M65" s="298"/>
      <c r="N65" s="298"/>
      <c r="O65" s="298"/>
      <c r="R65" s="298"/>
      <c r="S65" s="298"/>
      <c r="T65" s="298"/>
      <c r="U65" s="298"/>
      <c r="V65" s="298"/>
      <c r="W65" s="298"/>
    </row>
    <row r="66" customFormat="false" ht="15" hidden="false" customHeight="true" outlineLevel="0" collapsed="false">
      <c r="A66" s="152" t="s">
        <v>2617</v>
      </c>
      <c r="B66" s="152" t="s">
        <v>1428</v>
      </c>
      <c r="C66" s="152" t="s">
        <v>1429</v>
      </c>
      <c r="D66" s="152" t="s">
        <v>1430</v>
      </c>
      <c r="E66" s="152" t="s">
        <v>1431</v>
      </c>
      <c r="F66" s="152" t="s">
        <v>1432</v>
      </c>
      <c r="G66" s="152" t="s">
        <v>1433</v>
      </c>
      <c r="J66" s="300" t="s">
        <v>1428</v>
      </c>
      <c r="K66" s="300" t="s">
        <v>1429</v>
      </c>
      <c r="L66" s="300" t="s">
        <v>1430</v>
      </c>
      <c r="M66" s="300" t="s">
        <v>1431</v>
      </c>
      <c r="N66" s="300" t="s">
        <v>1432</v>
      </c>
      <c r="O66" s="300" t="s">
        <v>1433</v>
      </c>
      <c r="R66" s="300" t="s">
        <v>1428</v>
      </c>
      <c r="S66" s="300" t="s">
        <v>1429</v>
      </c>
      <c r="T66" s="300" t="s">
        <v>1430</v>
      </c>
      <c r="U66" s="300" t="s">
        <v>1431</v>
      </c>
      <c r="V66" s="300" t="s">
        <v>1432</v>
      </c>
      <c r="W66" s="300" t="s">
        <v>1433</v>
      </c>
    </row>
    <row r="67" customFormat="false" ht="15" hidden="false" customHeight="true" outlineLevel="0" collapsed="false">
      <c r="A67" s="152" t="s">
        <v>1442</v>
      </c>
      <c r="B67" s="161" t="n">
        <f aca="false">Datos!G6</f>
        <v>177515</v>
      </c>
      <c r="C67" s="161" t="n">
        <f aca="false">B67*(1+C28)</f>
        <v>170540.159005363</v>
      </c>
      <c r="D67" s="161" t="n">
        <f aca="false">C67*(1+D28)</f>
        <v>168881.24900208</v>
      </c>
      <c r="E67" s="161" t="n">
        <f aca="false">D67*(1+E28)</f>
        <v>171328.987918031</v>
      </c>
      <c r="F67" s="161" t="n">
        <f aca="false">E67*(1+F28)</f>
        <v>175901.416598411</v>
      </c>
      <c r="G67" s="161" t="n">
        <f aca="false">F67*(1+G28)</f>
        <v>181932.107954982</v>
      </c>
      <c r="J67" s="297" t="n">
        <f aca="false">Datos!G6</f>
        <v>177515</v>
      </c>
      <c r="K67" s="297" t="n">
        <f aca="false">J67*(1+K28)</f>
        <v>169521.222905363</v>
      </c>
      <c r="L67" s="297" t="n">
        <f aca="false">K67*(1+L28)</f>
        <v>166899.172667645</v>
      </c>
      <c r="M67" s="297" t="n">
        <f aca="false">L67*(1+M28)</f>
        <v>168291.753761357</v>
      </c>
      <c r="N67" s="297" t="n">
        <f aca="false">M67*(1+N28)</f>
        <v>171679.130820352</v>
      </c>
      <c r="O67" s="297" t="n">
        <f aca="false">N67*(1+O28)</f>
        <v>176368.459696609</v>
      </c>
      <c r="R67" s="297" t="n">
        <f aca="false">Datos!G6</f>
        <v>177515</v>
      </c>
      <c r="S67" s="297" t="n">
        <f aca="false">R67*(1+S28)</f>
        <v>168887.494355363</v>
      </c>
      <c r="T67" s="297" t="n">
        <f aca="false">S67*(1+T28)</f>
        <v>165672.317887078</v>
      </c>
      <c r="U67" s="297" t="n">
        <f aca="false">T67*(1+U28)</f>
        <v>166420.965676787</v>
      </c>
      <c r="V67" s="297" t="n">
        <f aca="false">U67*(1+V28)</f>
        <v>169091.689966148</v>
      </c>
      <c r="W67" s="297" t="n">
        <f aca="false">V67*(1+W28)</f>
        <v>172977.331724381</v>
      </c>
    </row>
    <row r="68" customFormat="false" ht="15" hidden="false" customHeight="true" outlineLevel="0" collapsed="false">
      <c r="A68" s="152" t="s">
        <v>86</v>
      </c>
      <c r="B68" s="161" t="n">
        <f aca="false">-Datos!G7</f>
        <v>-134752</v>
      </c>
      <c r="C68" s="161" t="n">
        <f aca="false">-C67*C59</f>
        <v>-128928.360208055</v>
      </c>
      <c r="D68" s="161" t="n">
        <f aca="false">-D67*D59</f>
        <v>-127843.105494575</v>
      </c>
      <c r="E68" s="161" t="n">
        <f aca="false">-E67*E59</f>
        <v>-129867.372841867</v>
      </c>
      <c r="F68" s="161" t="n">
        <f aca="false">-F67*F59</f>
        <v>-133333.273781595</v>
      </c>
      <c r="G68" s="161" t="n">
        <f aca="false">-G67*G59</f>
        <v>-137904.537829876</v>
      </c>
      <c r="J68" s="297" t="n">
        <f aca="false">-Datos!G7</f>
        <v>-134752</v>
      </c>
      <c r="K68" s="297" t="n">
        <f aca="false">-K67*K59</f>
        <v>-128158.044516455</v>
      </c>
      <c r="L68" s="297" t="n">
        <f aca="false">-L67*L59</f>
        <v>-126342.673709407</v>
      </c>
      <c r="M68" s="297" t="n">
        <f aca="false">-M67*M59</f>
        <v>-127565.149351109</v>
      </c>
      <c r="N68" s="297" t="n">
        <f aca="false">-N67*N59</f>
        <v>-130132.781161827</v>
      </c>
      <c r="O68" s="297" t="n">
        <f aca="false">-O67*O59</f>
        <v>-133687.29245003</v>
      </c>
      <c r="R68" s="297" t="n">
        <f aca="false">-Datos!G7</f>
        <v>-134752</v>
      </c>
      <c r="S68" s="297" t="n">
        <f aca="false">-S67*S59</f>
        <v>-127678.945732655</v>
      </c>
      <c r="T68" s="297" t="n">
        <f aca="false">-T67*T59</f>
        <v>-125413.944640518</v>
      </c>
      <c r="U68" s="297" t="n">
        <f aca="false">-U67*U59</f>
        <v>-126147.091983005</v>
      </c>
      <c r="V68" s="297" t="n">
        <f aca="false">-V67*V59</f>
        <v>-128171.50099434</v>
      </c>
      <c r="W68" s="297" t="n">
        <f aca="false">-W67*W59</f>
        <v>-131116.817447081</v>
      </c>
    </row>
    <row r="69" customFormat="false" ht="15" hidden="false" customHeight="true" outlineLevel="0" collapsed="false">
      <c r="A69" s="152" t="s">
        <v>80</v>
      </c>
      <c r="B69" s="161" t="n">
        <f aca="false">B67+B68</f>
        <v>42763</v>
      </c>
      <c r="C69" s="161" t="n">
        <f aca="false">C67+C68</f>
        <v>41611.7987973086</v>
      </c>
      <c r="D69" s="161" t="n">
        <f aca="false">D67+D68</f>
        <v>41038.1435075055</v>
      </c>
      <c r="E69" s="161" t="n">
        <f aca="false">E67+E68</f>
        <v>41461.6150761635</v>
      </c>
      <c r="F69" s="161" t="n">
        <f aca="false">F67+F68</f>
        <v>42568.1428168154</v>
      </c>
      <c r="G69" s="161" t="n">
        <f aca="false">G67+G68</f>
        <v>44027.5701251056</v>
      </c>
      <c r="J69" s="301" t="n">
        <f aca="false">J67+J68</f>
        <v>42763</v>
      </c>
      <c r="K69" s="301" t="n">
        <f aca="false">K67+K68</f>
        <v>41363.1783889086</v>
      </c>
      <c r="L69" s="301" t="n">
        <f aca="false">L67+L68</f>
        <v>40556.4989582378</v>
      </c>
      <c r="M69" s="301" t="n">
        <f aca="false">M67+M68</f>
        <v>40726.6044102485</v>
      </c>
      <c r="N69" s="301" t="n">
        <f aca="false">N67+N68</f>
        <v>41546.3496585251</v>
      </c>
      <c r="O69" s="301" t="n">
        <f aca="false">O67+O68</f>
        <v>42681.1672465795</v>
      </c>
      <c r="R69" s="301" t="n">
        <f aca="false">R67+R68</f>
        <v>42763</v>
      </c>
      <c r="S69" s="301" t="n">
        <f aca="false">S67+S68</f>
        <v>41208.5486227086</v>
      </c>
      <c r="T69" s="301" t="n">
        <f aca="false">T67+T68</f>
        <v>40258.3732465599</v>
      </c>
      <c r="U69" s="301" t="n">
        <f aca="false">U67+U68</f>
        <v>40273.8736937825</v>
      </c>
      <c r="V69" s="301" t="n">
        <f aca="false">V67+V68</f>
        <v>40920.1889718077</v>
      </c>
      <c r="W69" s="301" t="n">
        <f aca="false">W67+W68</f>
        <v>41860.5142773001</v>
      </c>
    </row>
    <row r="70" customFormat="false" ht="15" hidden="false" customHeight="true" outlineLevel="0" collapsed="false">
      <c r="A70" s="152" t="s">
        <v>2618</v>
      </c>
      <c r="B70" s="161" t="n">
        <f aca="false">-(Datos!G8-Datos!G9-Datos!G14)</f>
        <v>-30870</v>
      </c>
      <c r="C70" s="161" t="n">
        <f aca="false">-C67*C60</f>
        <v>-29288.6499806148</v>
      </c>
      <c r="D70" s="161" t="n">
        <f aca="false">-D67*D60</f>
        <v>-28870.3317818559</v>
      </c>
      <c r="E70" s="161" t="n">
        <f aca="false">-E67*E60</f>
        <v>-29125.9178687492</v>
      </c>
      <c r="F70" s="161" t="n">
        <f aca="false">-F67*F60</f>
        <v>-29906.6524729486</v>
      </c>
      <c r="G70" s="161" t="n">
        <f aca="false">-G67*G60</f>
        <v>-30930.0683260045</v>
      </c>
      <c r="J70" s="297" t="n">
        <f aca="false">-(Datos!G8-Datos!G9-Datos!G14)</f>
        <v>-30870</v>
      </c>
      <c r="K70" s="297" t="n">
        <f aca="false">-K67*K60</f>
        <v>-29537.460455723</v>
      </c>
      <c r="L70" s="297" t="n">
        <f aca="false">-L67*L60</f>
        <v>-28948.7427986499</v>
      </c>
      <c r="M70" s="297" t="n">
        <f aca="false">-M67*M60</f>
        <v>-29030.3176251636</v>
      </c>
      <c r="N70" s="297" t="n">
        <f aca="false">-N67*N60</f>
        <v>-29617.9798254587</v>
      </c>
      <c r="O70" s="297" t="n">
        <f aca="false">-O67*O60</f>
        <v>-30425.1200368734</v>
      </c>
      <c r="R70" s="297" t="n">
        <f aca="false">-(Datos!G8-Datos!G9-Datos!G14)</f>
        <v>-30870</v>
      </c>
      <c r="S70" s="297" t="n">
        <f aca="false">-S67*S60</f>
        <v>-29849.2580203593</v>
      </c>
      <c r="T70" s="297" t="n">
        <f aca="false">-T67*T60</f>
        <v>-29150.1250340562</v>
      </c>
      <c r="U70" s="297" t="n">
        <f aca="false">-U67*U60</f>
        <v>-29123.6592048042</v>
      </c>
      <c r="V70" s="297" t="n">
        <f aca="false">-V67*V60</f>
        <v>-29594.3253189724</v>
      </c>
      <c r="W70" s="297" t="n">
        <f aca="false">-W67*W60</f>
        <v>-30272.5637818316</v>
      </c>
    </row>
    <row r="71" customFormat="false" ht="15" hidden="false" customHeight="true" outlineLevel="0" collapsed="false">
      <c r="A71" s="152" t="s">
        <v>1473</v>
      </c>
      <c r="B71" s="161" t="n">
        <f aca="false">B69+B70</f>
        <v>11893</v>
      </c>
      <c r="C71" s="161" t="n">
        <f aca="false">C69+C70</f>
        <v>12323.1488166939</v>
      </c>
      <c r="D71" s="161" t="n">
        <f aca="false">D69+D70</f>
        <v>12167.8117256497</v>
      </c>
      <c r="E71" s="161" t="n">
        <f aca="false">E69+E70</f>
        <v>12335.6972074143</v>
      </c>
      <c r="F71" s="161" t="n">
        <f aca="false">F69+F70</f>
        <v>12661.4903438668</v>
      </c>
      <c r="G71" s="161" t="n">
        <f aca="false">G69+G70</f>
        <v>13097.5017991011</v>
      </c>
      <c r="J71" s="301" t="n">
        <f aca="false">J69+J70</f>
        <v>11893</v>
      </c>
      <c r="K71" s="301" t="n">
        <f aca="false">K69+K70</f>
        <v>11825.7179331857</v>
      </c>
      <c r="L71" s="301" t="n">
        <f aca="false">L69+L70</f>
        <v>11607.7561595879</v>
      </c>
      <c r="M71" s="301" t="n">
        <f aca="false">M69+M70</f>
        <v>11696.2867850848</v>
      </c>
      <c r="N71" s="301" t="n">
        <f aca="false">N69+N70</f>
        <v>11928.3698330664</v>
      </c>
      <c r="O71" s="301" t="n">
        <f aca="false">O69+O70</f>
        <v>12256.047209706</v>
      </c>
      <c r="R71" s="301" t="n">
        <f aca="false">R69+R70</f>
        <v>11893</v>
      </c>
      <c r="S71" s="301" t="n">
        <f aca="false">S69+S70</f>
        <v>11359.2906023493</v>
      </c>
      <c r="T71" s="301" t="n">
        <f aca="false">T69+T70</f>
        <v>11108.2482125037</v>
      </c>
      <c r="U71" s="301" t="n">
        <f aca="false">U69+U70</f>
        <v>11150.2144889783</v>
      </c>
      <c r="V71" s="301" t="n">
        <f aca="false">V69+V70</f>
        <v>11325.8636528353</v>
      </c>
      <c r="W71" s="301" t="n">
        <f aca="false">W69+W70</f>
        <v>11587.9504954685</v>
      </c>
    </row>
    <row r="72" customFormat="false" ht="15" hidden="false" customHeight="true" outlineLevel="0" collapsed="false">
      <c r="A72" s="152" t="s">
        <v>154</v>
      </c>
      <c r="B72" s="161" t="n">
        <f aca="false">-Datos!G14</f>
        <v>-4342</v>
      </c>
      <c r="C72" s="161" t="n">
        <f aca="false">-C67*C46</f>
        <v>-4154.83684858293</v>
      </c>
      <c r="D72" s="161" t="n">
        <f aca="false">-D67*D46</f>
        <v>-4114.421145617</v>
      </c>
      <c r="E72" s="161" t="n">
        <f aca="false">-E67*E46</f>
        <v>-4176.82756767745</v>
      </c>
      <c r="F72" s="161" t="n">
        <f aca="false">-F67*F46</f>
        <v>-4291.14538685912</v>
      </c>
      <c r="G72" s="161" t="n">
        <f aca="false">-G67*G46</f>
        <v>-4441.20936675033</v>
      </c>
      <c r="J72" s="297" t="n">
        <f aca="false">-Datos!G14</f>
        <v>-4342</v>
      </c>
      <c r="K72" s="297" t="n">
        <f aca="false">-K67*K46</f>
        <v>-4130.01270581607</v>
      </c>
      <c r="L72" s="297" t="n">
        <f aca="false">-L67*L46</f>
        <v>-4066.13220394458</v>
      </c>
      <c r="M72" s="297" t="n">
        <f aca="false">-M67*M46</f>
        <v>-4102.78286859152</v>
      </c>
      <c r="N72" s="297" t="n">
        <f aca="false">-N67*N46</f>
        <v>-4188.14199729641</v>
      </c>
      <c r="O72" s="297" t="n">
        <f aca="false">-O67*O46</f>
        <v>-4305.39317115882</v>
      </c>
      <c r="R72" s="297" t="n">
        <f aca="false">-Datos!G14</f>
        <v>-4342</v>
      </c>
      <c r="S72" s="297" t="n">
        <f aca="false">-S67*S46</f>
        <v>-4114.57329994888</v>
      </c>
      <c r="T72" s="297" t="n">
        <f aca="false">-T67*T46</f>
        <v>-4036.24257865109</v>
      </c>
      <c r="U72" s="297" t="n">
        <f aca="false">-U67*U46</f>
        <v>-4057.1749458467</v>
      </c>
      <c r="V72" s="297" t="n">
        <f aca="false">-V67*V46</f>
        <v>-4125.02093153127</v>
      </c>
      <c r="W72" s="297" t="n">
        <f aca="false">-W67*W46</f>
        <v>-4222.61114063435</v>
      </c>
    </row>
    <row r="73" customFormat="false" ht="15" hidden="false" customHeight="true" outlineLevel="0" collapsed="false">
      <c r="A73" s="152" t="s">
        <v>1517</v>
      </c>
      <c r="B73" s="161" t="n">
        <f aca="false">B71+B72</f>
        <v>7551</v>
      </c>
      <c r="C73" s="161" t="n">
        <f aca="false">C71+C72</f>
        <v>8168.31196811093</v>
      </c>
      <c r="D73" s="161" t="n">
        <f aca="false">D71+D72</f>
        <v>8053.39058003268</v>
      </c>
      <c r="E73" s="161" t="n">
        <f aca="false">E71+E72</f>
        <v>8158.86963973687</v>
      </c>
      <c r="F73" s="161" t="n">
        <f aca="false">F71+F72</f>
        <v>8370.3449570077</v>
      </c>
      <c r="G73" s="161" t="n">
        <f aca="false">G71+G72</f>
        <v>8656.29243235078</v>
      </c>
      <c r="J73" s="301" t="n">
        <f aca="false">J71+J72</f>
        <v>7551</v>
      </c>
      <c r="K73" s="301" t="n">
        <f aca="false">K71+K72</f>
        <v>7695.70522736961</v>
      </c>
      <c r="L73" s="301" t="n">
        <f aca="false">L71+L72</f>
        <v>7541.62395564329</v>
      </c>
      <c r="M73" s="301" t="n">
        <f aca="false">M71+M72</f>
        <v>7593.5039164933</v>
      </c>
      <c r="N73" s="301" t="n">
        <f aca="false">N71+N72</f>
        <v>7740.22783576996</v>
      </c>
      <c r="O73" s="301" t="n">
        <f aca="false">O71+O72</f>
        <v>7950.65403854719</v>
      </c>
      <c r="R73" s="301" t="n">
        <f aca="false">R71+R72</f>
        <v>7551</v>
      </c>
      <c r="S73" s="301" t="n">
        <f aca="false">S71+S72</f>
        <v>7244.71730240042</v>
      </c>
      <c r="T73" s="301" t="n">
        <f aca="false">T71+T72</f>
        <v>7072.00563385258</v>
      </c>
      <c r="U73" s="301" t="n">
        <f aca="false">U71+U72</f>
        <v>7093.03954313156</v>
      </c>
      <c r="V73" s="301" t="n">
        <f aca="false">V71+V72</f>
        <v>7200.84272130401</v>
      </c>
      <c r="W73" s="301" t="n">
        <f aca="false">W71+W72</f>
        <v>7365.33935483415</v>
      </c>
    </row>
    <row r="74" customFormat="false" ht="15" hidden="false" customHeight="true" outlineLevel="0" collapsed="false">
      <c r="A74" s="152" t="s">
        <v>88</v>
      </c>
      <c r="B74" s="161" t="n">
        <f aca="false">-Datos!G10</f>
        <v>-3074</v>
      </c>
      <c r="C74" s="161" t="n">
        <f aca="false">-C61*(B91+B92)</f>
        <v>-2361.8</v>
      </c>
      <c r="D74" s="161" t="n">
        <f aca="false">-D61*(C91+C92)</f>
        <v>-2302.755</v>
      </c>
      <c r="E74" s="161" t="n">
        <f aca="false">-E61*(D91+D92)</f>
        <v>-2156.505</v>
      </c>
      <c r="F74" s="161" t="n">
        <f aca="false">-F61*(E91+E92)</f>
        <v>-2010.255</v>
      </c>
      <c r="G74" s="161" t="n">
        <f aca="false">-G61*(F91+F92)</f>
        <v>-1864.005</v>
      </c>
      <c r="J74" s="297" t="n">
        <f aca="false">-Datos!G10</f>
        <v>-3074</v>
      </c>
      <c r="K74" s="297" t="n">
        <f aca="false">-K61*(J91+J92)</f>
        <v>-2361.8</v>
      </c>
      <c r="L74" s="297" t="n">
        <f aca="false">-L61*(K91+K92)</f>
        <v>-2302.755</v>
      </c>
      <c r="M74" s="297" t="n">
        <f aca="false">-M61*(L91+L92)</f>
        <v>-2156.505</v>
      </c>
      <c r="N74" s="297" t="n">
        <f aca="false">-N61*(M91+M92)</f>
        <v>-2010.255</v>
      </c>
      <c r="O74" s="297" t="n">
        <f aca="false">-O61*(N91+N92)</f>
        <v>-1864.005</v>
      </c>
      <c r="R74" s="297" t="n">
        <f aca="false">-Datos!G10</f>
        <v>-3074</v>
      </c>
      <c r="S74" s="297" t="n">
        <f aca="false">-S61*(R91+R92)</f>
        <v>-2361.8</v>
      </c>
      <c r="T74" s="297" t="n">
        <f aca="false">-T61*(S91+S92)</f>
        <v>-2302.755</v>
      </c>
      <c r="U74" s="297" t="n">
        <f aca="false">-U61*(T91+T92)</f>
        <v>-2156.505</v>
      </c>
      <c r="V74" s="297" t="n">
        <f aca="false">-V61*(U91+U92)</f>
        <v>-2010.255</v>
      </c>
      <c r="W74" s="297" t="n">
        <f aca="false">-W61*(V91+V92)</f>
        <v>-1864.005</v>
      </c>
    </row>
    <row r="75" customFormat="false" ht="15" hidden="false" customHeight="true" outlineLevel="0" collapsed="false">
      <c r="A75" s="152" t="s">
        <v>1474</v>
      </c>
      <c r="B75" s="161" t="n">
        <f aca="false">Datos!G11-Datos!G9+Datos!G10</f>
        <v>288</v>
      </c>
      <c r="C75" s="161" t="n">
        <v>0</v>
      </c>
      <c r="D75" s="161" t="n">
        <v>0</v>
      </c>
      <c r="E75" s="161" t="n">
        <v>0</v>
      </c>
      <c r="F75" s="161" t="n">
        <v>0</v>
      </c>
      <c r="G75" s="161" t="n">
        <v>0</v>
      </c>
      <c r="J75" s="297" t="n">
        <f aca="false">Datos!G11-Datos!G9+Datos!G10</f>
        <v>288</v>
      </c>
      <c r="K75" s="297" t="n">
        <v>0</v>
      </c>
      <c r="L75" s="297" t="n">
        <v>0</v>
      </c>
      <c r="M75" s="297" t="n">
        <v>0</v>
      </c>
      <c r="N75" s="297" t="n">
        <v>0</v>
      </c>
      <c r="O75" s="297" t="n">
        <v>0</v>
      </c>
      <c r="R75" s="297" t="n">
        <f aca="false">Datos!G11-Datos!G9+Datos!G10</f>
        <v>288</v>
      </c>
      <c r="S75" s="297" t="n">
        <v>0</v>
      </c>
      <c r="T75" s="297" t="n">
        <v>0</v>
      </c>
      <c r="U75" s="297" t="n">
        <v>0</v>
      </c>
      <c r="V75" s="297" t="n">
        <v>0</v>
      </c>
      <c r="W75" s="297" t="n">
        <v>0</v>
      </c>
    </row>
    <row r="76" customFormat="false" ht="15" hidden="false" customHeight="true" outlineLevel="0" collapsed="false">
      <c r="A76" s="152" t="s">
        <v>152</v>
      </c>
      <c r="B76" s="161" t="n">
        <f aca="false">B73+B74+B75</f>
        <v>4765</v>
      </c>
      <c r="C76" s="161" t="n">
        <f aca="false">C73+C74+C75</f>
        <v>5806.51196811092</v>
      </c>
      <c r="D76" s="161" t="n">
        <f aca="false">D73+D74+D75</f>
        <v>5750.63558003268</v>
      </c>
      <c r="E76" s="161" t="n">
        <f aca="false">E73+E74+E75</f>
        <v>6002.36463973687</v>
      </c>
      <c r="F76" s="161" t="n">
        <f aca="false">F73+F74+F75</f>
        <v>6360.0899570077</v>
      </c>
      <c r="G76" s="161" t="n">
        <f aca="false">G73+G74+G75</f>
        <v>6792.28743235078</v>
      </c>
      <c r="J76" s="297" t="n">
        <f aca="false">J73+J74+J75</f>
        <v>4765</v>
      </c>
      <c r="K76" s="297" t="n">
        <f aca="false">K73+K74+K75</f>
        <v>5333.90522736961</v>
      </c>
      <c r="L76" s="297" t="n">
        <f aca="false">L73+L74+L75</f>
        <v>5238.86895564329</v>
      </c>
      <c r="M76" s="297" t="n">
        <f aca="false">M73+M74+M75</f>
        <v>5436.9989164933</v>
      </c>
      <c r="N76" s="297" t="n">
        <f aca="false">N73+N74+N75</f>
        <v>5729.97283576996</v>
      </c>
      <c r="O76" s="297" t="n">
        <f aca="false">O73+O74+O75</f>
        <v>6086.64903854719</v>
      </c>
      <c r="R76" s="297" t="n">
        <f aca="false">R73+R74+R75</f>
        <v>4765</v>
      </c>
      <c r="S76" s="297" t="n">
        <f aca="false">S73+S74+S75</f>
        <v>4882.91730240042</v>
      </c>
      <c r="T76" s="297" t="n">
        <f aca="false">T73+T74+T75</f>
        <v>4769.25063385258</v>
      </c>
      <c r="U76" s="297" t="n">
        <f aca="false">U73+U74+U75</f>
        <v>4936.53454313156</v>
      </c>
      <c r="V76" s="297" t="n">
        <f aca="false">V73+V74+V75</f>
        <v>5190.58772130401</v>
      </c>
      <c r="W76" s="297" t="n">
        <f aca="false">W73+W74+W75</f>
        <v>5501.33435483414</v>
      </c>
    </row>
    <row r="77" customFormat="false" ht="15" hidden="false" customHeight="true" outlineLevel="0" collapsed="false">
      <c r="A77" s="152" t="s">
        <v>153</v>
      </c>
      <c r="B77" s="161" t="n">
        <f aca="false">-Datos!G12</f>
        <v>-1433</v>
      </c>
      <c r="C77" s="161" t="n">
        <f aca="false">-C76*C55</f>
        <v>-1553.35925573583</v>
      </c>
      <c r="D77" s="161" t="n">
        <f aca="false">-D76*D55</f>
        <v>-1558.53841762953</v>
      </c>
      <c r="E77" s="161" t="n">
        <f aca="false">-E76*E55</f>
        <v>-1660.75526775997</v>
      </c>
      <c r="F77" s="161" t="n">
        <f aca="false">-F76*F55</f>
        <v>-1795.75105636494</v>
      </c>
      <c r="G77" s="161" t="n">
        <f aca="false">-G76*G55</f>
        <v>-1956.24739006241</v>
      </c>
      <c r="J77" s="297" t="n">
        <f aca="false">-Datos!G12</f>
        <v>-1433</v>
      </c>
      <c r="K77" s="297" t="n">
        <f aca="false">-K76*K55</f>
        <v>-1426.9274048957</v>
      </c>
      <c r="L77" s="297" t="n">
        <f aca="false">-L76*L55</f>
        <v>-1419.83932361271</v>
      </c>
      <c r="M77" s="297" t="n">
        <f aca="false">-M76*M55</f>
        <v>-1504.32789964045</v>
      </c>
      <c r="N77" s="297" t="n">
        <f aca="false">-N76*N55</f>
        <v>-1617.83950263769</v>
      </c>
      <c r="O77" s="297" t="n">
        <f aca="false">-O76*O55</f>
        <v>-1753.01640492603</v>
      </c>
      <c r="R77" s="297" t="n">
        <f aca="false">-Datos!G12</f>
        <v>-1433</v>
      </c>
      <c r="S77" s="297" t="n">
        <f aca="false">-S76*S55</f>
        <v>-1306.27902402206</v>
      </c>
      <c r="T77" s="297" t="n">
        <f aca="false">-T76*T55</f>
        <v>-1292.5632710882</v>
      </c>
      <c r="U77" s="297" t="n">
        <f aca="false">-U76*U55</f>
        <v>-1365.85766427949</v>
      </c>
      <c r="V77" s="297" t="n">
        <f aca="false">-V76*V55</f>
        <v>-1465.54584081259</v>
      </c>
      <c r="W77" s="297" t="n">
        <f aca="false">-W76*W55</f>
        <v>-1584.43986369704</v>
      </c>
    </row>
    <row r="78" customFormat="false" ht="15" hidden="false" customHeight="true" outlineLevel="0" collapsed="false">
      <c r="A78" s="152" t="s">
        <v>89</v>
      </c>
      <c r="B78" s="161" t="n">
        <f aca="false">B76+B77</f>
        <v>3332</v>
      </c>
      <c r="C78" s="161" t="n">
        <f aca="false">C76+C77</f>
        <v>4253.15271237509</v>
      </c>
      <c r="D78" s="161" t="n">
        <f aca="false">D76+D77</f>
        <v>4192.09716240315</v>
      </c>
      <c r="E78" s="161" t="n">
        <f aca="false">E76+E77</f>
        <v>4341.6093719769</v>
      </c>
      <c r="F78" s="161" t="n">
        <f aca="false">F76+F77</f>
        <v>4564.33890064276</v>
      </c>
      <c r="G78" s="161" t="n">
        <f aca="false">G76+G77</f>
        <v>4836.04004228837</v>
      </c>
      <c r="J78" s="301" t="n">
        <f aca="false">J76+J77</f>
        <v>3332</v>
      </c>
      <c r="K78" s="301" t="n">
        <f aca="false">K76+K77</f>
        <v>3906.97782247391</v>
      </c>
      <c r="L78" s="301" t="n">
        <f aca="false">L76+L77</f>
        <v>3819.02963203058</v>
      </c>
      <c r="M78" s="301" t="n">
        <f aca="false">M76+M77</f>
        <v>3932.67101685285</v>
      </c>
      <c r="N78" s="301" t="n">
        <f aca="false">N76+N77</f>
        <v>4112.13333313227</v>
      </c>
      <c r="O78" s="301" t="n">
        <f aca="false">O76+O77</f>
        <v>4333.63263362116</v>
      </c>
      <c r="R78" s="301" t="n">
        <f aca="false">R76+R77</f>
        <v>3332</v>
      </c>
      <c r="S78" s="301" t="n">
        <f aca="false">S76+S77</f>
        <v>3576.63827837836</v>
      </c>
      <c r="T78" s="301" t="n">
        <f aca="false">T76+T77</f>
        <v>3476.68736276438</v>
      </c>
      <c r="U78" s="301" t="n">
        <f aca="false">U76+U77</f>
        <v>3570.67687885207</v>
      </c>
      <c r="V78" s="301" t="n">
        <f aca="false">V76+V77</f>
        <v>3725.04188049142</v>
      </c>
      <c r="W78" s="301" t="n">
        <f aca="false">W76+W77</f>
        <v>3916.89449113711</v>
      </c>
    </row>
    <row r="79" customFormat="false" ht="15" hidden="false" customHeight="true" outlineLevel="0" collapsed="false">
      <c r="A79" s="152" t="s">
        <v>1475</v>
      </c>
      <c r="B79" s="161"/>
      <c r="C79" s="161" t="n">
        <f aca="false">-C78*C63</f>
        <v>-1276.55851278274</v>
      </c>
      <c r="D79" s="161" t="n">
        <f aca="false">-D78*D63</f>
        <v>-1258.23305227375</v>
      </c>
      <c r="E79" s="161" t="n">
        <f aca="false">-E78*E63</f>
        <v>-1303.10825351941</v>
      </c>
      <c r="F79" s="161" t="n">
        <f aca="false">-F78*F63</f>
        <v>-1369.95919800564</v>
      </c>
      <c r="G79" s="161" t="n">
        <f aca="false">-G78*G63</f>
        <v>-1451.50868111997</v>
      </c>
      <c r="J79" s="297"/>
      <c r="K79" s="297" t="n">
        <f aca="false">-K78*K63</f>
        <v>-1172.65617668058</v>
      </c>
      <c r="L79" s="297" t="n">
        <f aca="false">-L78*L63</f>
        <v>-1146.25904994032</v>
      </c>
      <c r="M79" s="297" t="n">
        <f aca="false">-M78*M63</f>
        <v>-1180.36783629478</v>
      </c>
      <c r="N79" s="297" t="n">
        <f aca="false">-N78*N63</f>
        <v>-1234.23238409331</v>
      </c>
      <c r="O79" s="297" t="n">
        <f aca="false">-O78*O63</f>
        <v>-1300.71408290272</v>
      </c>
      <c r="R79" s="297"/>
      <c r="S79" s="297" t="n">
        <f aca="false">-S78*S63</f>
        <v>-1073.5067255224</v>
      </c>
      <c r="T79" s="297" t="n">
        <f aca="false">-T78*T63</f>
        <v>-1043.50705214688</v>
      </c>
      <c r="U79" s="297" t="n">
        <f aca="false">-U78*U63</f>
        <v>-1071.71744687947</v>
      </c>
      <c r="V79" s="297" t="n">
        <f aca="false">-V78*V63</f>
        <v>-1118.04918482649</v>
      </c>
      <c r="W79" s="297" t="n">
        <f aca="false">-W78*W63</f>
        <v>-1175.63260585126</v>
      </c>
    </row>
    <row r="80" customFormat="false" ht="15" hidden="false" customHeight="true" outlineLevel="0" collapsed="false">
      <c r="A80" s="152" t="s">
        <v>1885</v>
      </c>
      <c r="B80" s="153" t="n">
        <f aca="false">B71/B67</f>
        <v>0.0669971551699856</v>
      </c>
      <c r="C80" s="153" t="n">
        <f aca="false">C71/C67</f>
        <v>0.0722595128828648</v>
      </c>
      <c r="D80" s="153" t="n">
        <f aca="false">D71/D67</f>
        <v>0.0720495128828647</v>
      </c>
      <c r="E80" s="153" t="n">
        <f aca="false">E71/E67</f>
        <v>0.0720000588185117</v>
      </c>
      <c r="F80" s="153" t="n">
        <f aca="false">F71/F67</f>
        <v>0.0719806047541587</v>
      </c>
      <c r="G80" s="153" t="n">
        <f aca="false">G71/G67</f>
        <v>0.0719911506898057</v>
      </c>
      <c r="J80" s="295" t="n">
        <f aca="false">J71/J67</f>
        <v>0.0669971551699856</v>
      </c>
      <c r="K80" s="295" t="n">
        <f aca="false">K71/K67</f>
        <v>0.0697595128828648</v>
      </c>
      <c r="L80" s="295" t="n">
        <f aca="false">L71/L67</f>
        <v>0.0695495128828648</v>
      </c>
      <c r="M80" s="295" t="n">
        <f aca="false">M71/M67</f>
        <v>0.0695000588185117</v>
      </c>
      <c r="N80" s="295" t="n">
        <f aca="false">N71/N67</f>
        <v>0.0694806047541588</v>
      </c>
      <c r="O80" s="295" t="n">
        <f aca="false">O71/O67</f>
        <v>0.0694911506898058</v>
      </c>
      <c r="R80" s="295" t="n">
        <f aca="false">R71/R67</f>
        <v>0.0669971551699856</v>
      </c>
      <c r="S80" s="295" t="n">
        <f aca="false">S71/S67</f>
        <v>0.0672595128828647</v>
      </c>
      <c r="T80" s="295" t="n">
        <f aca="false">T71/T67</f>
        <v>0.0670495128828648</v>
      </c>
      <c r="U80" s="295" t="n">
        <f aca="false">U71/U67</f>
        <v>0.0670000588185117</v>
      </c>
      <c r="V80" s="295" t="n">
        <f aca="false">V71/V67</f>
        <v>0.0669806047541588</v>
      </c>
      <c r="W80" s="295" t="n">
        <f aca="false">W71/W67</f>
        <v>0.0669911506898057</v>
      </c>
    </row>
    <row r="81" customFormat="false" ht="15" hidden="false" customHeight="true" outlineLevel="0" collapsed="false">
      <c r="A81" s="152" t="s">
        <v>34</v>
      </c>
      <c r="B81" s="153" t="n">
        <f aca="false">B78/B67</f>
        <v>0.0187702447680478</v>
      </c>
      <c r="C81" s="153" t="n">
        <f aca="false">C78/C67</f>
        <v>0.0249393030778242</v>
      </c>
      <c r="D81" s="153" t="n">
        <f aca="false">D78/D67</f>
        <v>0.0248227508215048</v>
      </c>
      <c r="E81" s="153" t="n">
        <f aca="false">E78/E67</f>
        <v>0.0253407752227782</v>
      </c>
      <c r="F81" s="153" t="n">
        <f aca="false">F78/F67</f>
        <v>0.0259482782396421</v>
      </c>
      <c r="G81" s="153" t="n">
        <f aca="false">G78/G67</f>
        <v>0.02658156439041</v>
      </c>
      <c r="J81" s="295" t="n">
        <f aca="false">J78/J67</f>
        <v>0.0187702447680478</v>
      </c>
      <c r="K81" s="295" t="n">
        <f aca="false">K78/K67</f>
        <v>0.0230471309462828</v>
      </c>
      <c r="L81" s="295" t="n">
        <f aca="false">L78/L67</f>
        <v>0.0228822562208598</v>
      </c>
      <c r="M81" s="295" t="n">
        <f aca="false">M78/M67</f>
        <v>0.0233681741912886</v>
      </c>
      <c r="N81" s="295" t="n">
        <f aca="false">N78/N67</f>
        <v>0.02395243564831</v>
      </c>
      <c r="O81" s="295" t="n">
        <f aca="false">O78/O67</f>
        <v>0.0245714717987327</v>
      </c>
      <c r="R81" s="295" t="n">
        <f aca="false">R78/R67</f>
        <v>0.0187702447680478</v>
      </c>
      <c r="S81" s="295" t="n">
        <f aca="false">S78/S67</f>
        <v>0.0211776383564114</v>
      </c>
      <c r="T81" s="295" t="n">
        <f aca="false">T78/T67</f>
        <v>0.0209853245678261</v>
      </c>
      <c r="U81" s="295" t="n">
        <f aca="false">U78/U67</f>
        <v>0.0214556913807773</v>
      </c>
      <c r="V81" s="295" t="n">
        <f aca="false">V78/V67</f>
        <v>0.0220297158378225</v>
      </c>
      <c r="W81" s="295" t="n">
        <f aca="false">W78/W67</f>
        <v>0.0226439756706285</v>
      </c>
    </row>
    <row r="82" customFormat="false" ht="15" hidden="false" customHeight="true" outlineLevel="0" collapsed="false">
      <c r="A82" s="154"/>
      <c r="B82" s="154"/>
      <c r="C82" s="154"/>
      <c r="D82" s="154"/>
      <c r="E82" s="154"/>
      <c r="F82" s="154"/>
      <c r="G82" s="154"/>
      <c r="J82" s="298"/>
      <c r="K82" s="298"/>
      <c r="L82" s="298"/>
      <c r="M82" s="298"/>
      <c r="N82" s="298"/>
      <c r="O82" s="298"/>
      <c r="R82" s="298"/>
      <c r="S82" s="298"/>
      <c r="T82" s="298"/>
      <c r="U82" s="298"/>
      <c r="V82" s="298"/>
      <c r="W82" s="298"/>
    </row>
    <row r="83" customFormat="false" ht="15" hidden="false" customHeight="true" outlineLevel="0" collapsed="false">
      <c r="A83" s="283" t="s">
        <v>2619</v>
      </c>
      <c r="B83" s="152" t="s">
        <v>1428</v>
      </c>
      <c r="C83" s="152" t="s">
        <v>1429</v>
      </c>
      <c r="D83" s="152" t="s">
        <v>1430</v>
      </c>
      <c r="E83" s="152" t="s">
        <v>1431</v>
      </c>
      <c r="F83" s="152" t="s">
        <v>1432</v>
      </c>
      <c r="G83" s="152" t="s">
        <v>1433</v>
      </c>
      <c r="J83" s="300" t="s">
        <v>1428</v>
      </c>
      <c r="K83" s="300" t="s">
        <v>1429</v>
      </c>
      <c r="L83" s="300" t="s">
        <v>1430</v>
      </c>
      <c r="M83" s="300" t="s">
        <v>1431</v>
      </c>
      <c r="N83" s="300" t="s">
        <v>1432</v>
      </c>
      <c r="O83" s="300" t="s">
        <v>1433</v>
      </c>
      <c r="R83" s="300" t="s">
        <v>1428</v>
      </c>
      <c r="S83" s="300" t="s">
        <v>1429</v>
      </c>
      <c r="T83" s="300" t="s">
        <v>1430</v>
      </c>
      <c r="U83" s="300" t="s">
        <v>1431</v>
      </c>
      <c r="V83" s="300" t="s">
        <v>1432</v>
      </c>
      <c r="W83" s="300" t="s">
        <v>1433</v>
      </c>
    </row>
    <row r="84" customFormat="false" ht="15" hidden="false" customHeight="true" outlineLevel="0" collapsed="false">
      <c r="A84" s="152" t="s">
        <v>96</v>
      </c>
      <c r="B84" s="161" t="n">
        <f aca="false">Datos!G17</f>
        <v>9295</v>
      </c>
      <c r="C84" s="161" t="n">
        <f aca="false">B84+C108</f>
        <v>12663.6667812696</v>
      </c>
      <c r="D84" s="161" t="n">
        <f aca="false">C84+D108</f>
        <v>14866.5883784664</v>
      </c>
      <c r="E84" s="161" t="n">
        <f aca="false">D84+E108</f>
        <v>17462.032686839</v>
      </c>
      <c r="F84" s="161" t="n">
        <f aca="false">E84+F108</f>
        <v>19892.2565902712</v>
      </c>
      <c r="G84" s="161" t="n">
        <f aca="false">F84+G108</f>
        <v>22522.0069789541</v>
      </c>
      <c r="J84" s="297" t="n">
        <f aca="false">Datos!G17</f>
        <v>9295</v>
      </c>
      <c r="K84" s="297" t="n">
        <f aca="false">J84+K108</f>
        <v>12424.3751978225</v>
      </c>
      <c r="L84" s="297" t="n">
        <f aca="false">K84+L108</f>
        <v>14378.0089568858</v>
      </c>
      <c r="M84" s="297" t="n">
        <f aca="false">L84+M108</f>
        <v>16690.2121510789</v>
      </c>
      <c r="N84" s="297" t="n">
        <f aca="false">M84+N108</f>
        <v>18807.3764604079</v>
      </c>
      <c r="O84" s="297" t="n">
        <f aca="false">N84+O108</f>
        <v>21085.4073805949</v>
      </c>
      <c r="R84" s="297" t="n">
        <f aca="false">Datos!G17</f>
        <v>9295</v>
      </c>
      <c r="S84" s="297" t="n">
        <f aca="false">R84+S108</f>
        <v>12195.0391230309</v>
      </c>
      <c r="T84" s="297" t="n">
        <f aca="false">S84+T108</f>
        <v>13916.3257301491</v>
      </c>
      <c r="U84" s="297" t="n">
        <f aca="false">T84+U108</f>
        <v>15976.8779478847</v>
      </c>
      <c r="V84" s="297" t="n">
        <f aca="false">U84+V108</f>
        <v>17825.0419767397</v>
      </c>
      <c r="W84" s="297" t="n">
        <f aca="false">V84+W108</f>
        <v>19811.0788243293</v>
      </c>
    </row>
    <row r="85" customFormat="false" ht="15" hidden="false" customHeight="true" outlineLevel="0" collapsed="false">
      <c r="A85" s="152" t="s">
        <v>156</v>
      </c>
      <c r="B85" s="161" t="n">
        <f aca="false">Datos!G18</f>
        <v>32283</v>
      </c>
      <c r="C85" s="161" t="n">
        <f aca="false">-C68*C56/365</f>
        <v>31084.0978035858</v>
      </c>
      <c r="D85" s="161" t="n">
        <f aca="false">-D68*D56/365</f>
        <v>30822.4473521167</v>
      </c>
      <c r="E85" s="161" t="n">
        <f aca="false">-E68*E56/365</f>
        <v>30954.6888691575</v>
      </c>
      <c r="F85" s="161" t="n">
        <f aca="false">-F68*F56/365</f>
        <v>31780.8077232844</v>
      </c>
      <c r="G85" s="161" t="n">
        <f aca="false">-G68*G56/365</f>
        <v>32870.3966882171</v>
      </c>
      <c r="J85" s="297" t="n">
        <f aca="false">Datos!G18</f>
        <v>32283</v>
      </c>
      <c r="K85" s="297" t="n">
        <f aca="false">-K68*K56/365</f>
        <v>30898.3778560219</v>
      </c>
      <c r="L85" s="297" t="n">
        <f aca="false">-L68*L56/365</f>
        <v>30460.6994148708</v>
      </c>
      <c r="M85" s="297" t="n">
        <f aca="false">-M68*M56/365</f>
        <v>30405.9397083465</v>
      </c>
      <c r="N85" s="297" t="n">
        <f aca="false">-N68*N56/365</f>
        <v>31017.9505782984</v>
      </c>
      <c r="O85" s="297" t="n">
        <f aca="false">-O68*O56/365</f>
        <v>31865.1902552126</v>
      </c>
      <c r="R85" s="297" t="n">
        <f aca="false">Datos!G18</f>
        <v>32283</v>
      </c>
      <c r="S85" s="297" t="n">
        <f aca="false">-S68*S56/365</f>
        <v>30782.8691081469</v>
      </c>
      <c r="T85" s="297" t="n">
        <f aca="false">-T68*T56/365</f>
        <v>30236.7866530563</v>
      </c>
      <c r="U85" s="297" t="n">
        <f aca="false">-U68*U56/365</f>
        <v>30067.9369932093</v>
      </c>
      <c r="V85" s="297" t="n">
        <f aca="false">-V68*V56/365</f>
        <v>30550.4673602947</v>
      </c>
      <c r="W85" s="297" t="n">
        <f aca="false">-W68*W56/365</f>
        <v>31252.5016928658</v>
      </c>
    </row>
    <row r="86" customFormat="false" ht="15" hidden="false" customHeight="true" outlineLevel="0" collapsed="false">
      <c r="A86" s="152" t="s">
        <v>1477</v>
      </c>
      <c r="B86" s="161" t="n">
        <f aca="false">Datos!G19-Datos!G17-Datos!G18</f>
        <v>6951</v>
      </c>
      <c r="C86" s="161" t="n">
        <f aca="false">C67*C57</f>
        <v>6677.88437735561</v>
      </c>
      <c r="D86" s="161" t="n">
        <f aca="false">D67*D57</f>
        <v>6612.92601646881</v>
      </c>
      <c r="E86" s="161" t="n">
        <f aca="false">E67*E57</f>
        <v>6708.77275170117</v>
      </c>
      <c r="F86" s="161" t="n">
        <f aca="false">F67*F57</f>
        <v>6887.81650438303</v>
      </c>
      <c r="G86" s="161" t="n">
        <f aca="false">G67*G57</f>
        <v>7123.96181953683</v>
      </c>
      <c r="J86" s="297" t="n">
        <f aca="false">Datos!G19-Datos!G17-Datos!G18</f>
        <v>6951</v>
      </c>
      <c r="K86" s="297" t="n">
        <f aca="false">K67*K57</f>
        <v>6637.9856373556</v>
      </c>
      <c r="L86" s="297" t="n">
        <f aca="false">L67*L57</f>
        <v>6535.31334936655</v>
      </c>
      <c r="M86" s="297" t="n">
        <f aca="false">M67*M57</f>
        <v>6589.84300140943</v>
      </c>
      <c r="N86" s="297" t="n">
        <f aca="false">N67*N57</f>
        <v>6722.48338637447</v>
      </c>
      <c r="O86" s="297" t="n">
        <f aca="false">O67*O57</f>
        <v>6906.10462975597</v>
      </c>
      <c r="R86" s="297" t="n">
        <f aca="false">Datos!G19-Datos!G17-Datos!G18</f>
        <v>6951</v>
      </c>
      <c r="S86" s="297" t="n">
        <f aca="false">S67*S57</f>
        <v>6613.17056735561</v>
      </c>
      <c r="T86" s="297" t="n">
        <f aca="false">T67*T57</f>
        <v>6487.2730847144</v>
      </c>
      <c r="U86" s="297" t="n">
        <f aca="false">U67*U57</f>
        <v>6516.58807660957</v>
      </c>
      <c r="V86" s="297" t="n">
        <f aca="false">V67*V57</f>
        <v>6621.1663068174</v>
      </c>
      <c r="W86" s="297" t="n">
        <f aca="false">W67*W57</f>
        <v>6773.3173693275</v>
      </c>
    </row>
    <row r="87" customFormat="false" ht="15" hidden="false" customHeight="true" outlineLevel="0" collapsed="false">
      <c r="A87" s="152" t="s">
        <v>157</v>
      </c>
      <c r="B87" s="161" t="n">
        <f aca="false">SUM(B84:B86)</f>
        <v>48529</v>
      </c>
      <c r="C87" s="161" t="n">
        <f aca="false">SUM(C84:C86)</f>
        <v>50425.648962211</v>
      </c>
      <c r="D87" s="161" t="n">
        <f aca="false">SUM(D84:D86)</f>
        <v>52301.9617470519</v>
      </c>
      <c r="E87" s="161" t="n">
        <f aca="false">SUM(E84:E86)</f>
        <v>55125.4943076976</v>
      </c>
      <c r="F87" s="161" t="n">
        <f aca="false">SUM(F84:F86)</f>
        <v>58560.8808179385</v>
      </c>
      <c r="G87" s="161" t="n">
        <f aca="false">SUM(G84:G86)</f>
        <v>62516.3654867081</v>
      </c>
      <c r="J87" s="301" t="n">
        <f aca="false">SUM(J84:J86)</f>
        <v>48529</v>
      </c>
      <c r="K87" s="301" t="n">
        <f aca="false">SUM(K84:K86)</f>
        <v>49960.7386912001</v>
      </c>
      <c r="L87" s="301" t="n">
        <f aca="false">SUM(L84:L86)</f>
        <v>51374.0217211232</v>
      </c>
      <c r="M87" s="301" t="n">
        <f aca="false">SUM(M84:M86)</f>
        <v>53685.9948608348</v>
      </c>
      <c r="N87" s="301" t="n">
        <f aca="false">SUM(N84:N86)</f>
        <v>56547.8104250808</v>
      </c>
      <c r="O87" s="301" t="n">
        <f aca="false">SUM(O84:O86)</f>
        <v>59856.7022655635</v>
      </c>
      <c r="R87" s="301" t="n">
        <f aca="false">SUM(R84:R86)</f>
        <v>48529</v>
      </c>
      <c r="S87" s="301" t="n">
        <f aca="false">SUM(S84:S86)</f>
        <v>49591.0787985334</v>
      </c>
      <c r="T87" s="301" t="n">
        <f aca="false">SUM(T84:T86)</f>
        <v>50640.3854679199</v>
      </c>
      <c r="U87" s="301" t="n">
        <f aca="false">SUM(U84:U86)</f>
        <v>52561.4030177036</v>
      </c>
      <c r="V87" s="301" t="n">
        <f aca="false">SUM(V84:V86)</f>
        <v>54996.6756438518</v>
      </c>
      <c r="W87" s="301" t="n">
        <f aca="false">SUM(W84:W86)</f>
        <v>57836.8978865226</v>
      </c>
    </row>
    <row r="88" customFormat="false" ht="15" hidden="false" customHeight="true" outlineLevel="0" collapsed="false">
      <c r="A88" s="152" t="s">
        <v>1478</v>
      </c>
      <c r="B88" s="161" t="n">
        <f aca="false">Datos!G20-Datos!G19</f>
        <v>107509</v>
      </c>
      <c r="C88" s="161" t="n">
        <f aca="false">B88-C104+C72</f>
        <v>107192.405376117</v>
      </c>
      <c r="D88" s="161" t="n">
        <f aca="false">C88-D104+D72</f>
        <v>106417.800893464</v>
      </c>
      <c r="E88" s="161" t="n">
        <f aca="false">D88-E104+E72</f>
        <v>105622.868790992</v>
      </c>
      <c r="F88" s="161" t="n">
        <f aca="false">E88-F104+F72</f>
        <v>104797.378038858</v>
      </c>
      <c r="G88" s="161" t="n">
        <f aca="false">F88-G104+G72</f>
        <v>103933.921916771</v>
      </c>
      <c r="J88" s="297" t="n">
        <f aca="false">Datos!G20-Datos!G19</f>
        <v>107509</v>
      </c>
      <c r="K88" s="297" t="n">
        <f aca="false">J88-K104+K72</f>
        <v>107211.026273329</v>
      </c>
      <c r="L88" s="297" t="n">
        <f aca="false">K88-L104+L72</f>
        <v>106445.512943321</v>
      </c>
      <c r="M88" s="297" t="n">
        <f aca="false">L88-M104+M72</f>
        <v>105664.672997484</v>
      </c>
      <c r="N88" s="297" t="n">
        <f aca="false">M88-N104+N72</f>
        <v>104858.997082149</v>
      </c>
      <c r="O88" s="297" t="n">
        <f aca="false">N88-O104+O72</f>
        <v>104021.94622851</v>
      </c>
      <c r="R88" s="297" t="n">
        <f aca="false">Datos!G20-Datos!G19</f>
        <v>107509</v>
      </c>
      <c r="S88" s="297" t="n">
        <f aca="false">R88-S104+S72</f>
        <v>107222.607563058</v>
      </c>
      <c r="T88" s="297" t="n">
        <f aca="false">S88-T104+T72</f>
        <v>106462.721425046</v>
      </c>
      <c r="U88" s="297" t="n">
        <f aca="false">T88-U104+U72</f>
        <v>105690.561560282</v>
      </c>
      <c r="V88" s="297" t="n">
        <f aca="false">U88-V104+V72</f>
        <v>104897.028290175</v>
      </c>
      <c r="W88" s="297" t="n">
        <f aca="false">V88-W104+W72</f>
        <v>104076.071848025</v>
      </c>
    </row>
    <row r="89" customFormat="false" ht="15" hidden="false" customHeight="true" outlineLevel="0" collapsed="false">
      <c r="A89" s="152" t="s">
        <v>92</v>
      </c>
      <c r="B89" s="161" t="n">
        <f aca="false">B87+B88</f>
        <v>156038</v>
      </c>
      <c r="C89" s="161" t="n">
        <f aca="false">C87+C88</f>
        <v>157618.054338328</v>
      </c>
      <c r="D89" s="161" t="n">
        <f aca="false">D87+D88</f>
        <v>158719.762640516</v>
      </c>
      <c r="E89" s="161" t="n">
        <f aca="false">E87+E88</f>
        <v>160748.363098689</v>
      </c>
      <c r="F89" s="161" t="n">
        <f aca="false">F87+F88</f>
        <v>163358.258856796</v>
      </c>
      <c r="G89" s="161" t="n">
        <f aca="false">G87+G88</f>
        <v>166450.287403479</v>
      </c>
      <c r="J89" s="301" t="n">
        <f aca="false">J87+J88</f>
        <v>156038</v>
      </c>
      <c r="K89" s="301" t="n">
        <f aca="false">K87+K88</f>
        <v>157171.764964529</v>
      </c>
      <c r="L89" s="301" t="n">
        <f aca="false">L87+L88</f>
        <v>157819.534664445</v>
      </c>
      <c r="M89" s="301" t="n">
        <f aca="false">M87+M88</f>
        <v>159350.667858319</v>
      </c>
      <c r="N89" s="301" t="n">
        <f aca="false">N87+N88</f>
        <v>161406.80750723</v>
      </c>
      <c r="O89" s="301" t="n">
        <f aca="false">O87+O88</f>
        <v>163878.648494074</v>
      </c>
      <c r="R89" s="301" t="n">
        <f aca="false">R87+R88</f>
        <v>156038</v>
      </c>
      <c r="S89" s="301" t="n">
        <f aca="false">S87+S88</f>
        <v>156813.686361591</v>
      </c>
      <c r="T89" s="301" t="n">
        <f aca="false">T87+T88</f>
        <v>157103.106892966</v>
      </c>
      <c r="U89" s="301" t="n">
        <f aca="false">U87+U88</f>
        <v>158251.964577986</v>
      </c>
      <c r="V89" s="301" t="n">
        <f aca="false">V87+V88</f>
        <v>159893.703934027</v>
      </c>
      <c r="W89" s="301" t="n">
        <f aca="false">W87+W88</f>
        <v>161912.969734548</v>
      </c>
    </row>
    <row r="90" customFormat="false" ht="15" hidden="false" customHeight="true" outlineLevel="0" collapsed="false">
      <c r="A90" s="152" t="s">
        <v>1479</v>
      </c>
      <c r="B90" s="161" t="n">
        <f aca="false">Datos!G21-Datos!G25-Datos!G27</f>
        <v>35543</v>
      </c>
      <c r="C90" s="161" t="n">
        <f aca="false">C67*C58</f>
        <v>34146.4601387355</v>
      </c>
      <c r="D90" s="161" t="n">
        <f aca="false">D67*D58</f>
        <v>33814.3043307943</v>
      </c>
      <c r="E90" s="161" t="n">
        <f aca="false">E67*E58</f>
        <v>34304.40367051</v>
      </c>
      <c r="F90" s="161" t="n">
        <f aca="false">F67*F58</f>
        <v>35219.9197259798</v>
      </c>
      <c r="G90" s="161" t="n">
        <f aca="false">G67*G58</f>
        <v>36427.4169114944</v>
      </c>
      <c r="J90" s="297" t="n">
        <f aca="false">Datos!G21-Datos!G25-Datos!G27</f>
        <v>35543</v>
      </c>
      <c r="K90" s="297" t="n">
        <f aca="false">K67*K58</f>
        <v>33942.4433187355</v>
      </c>
      <c r="L90" s="297" t="n">
        <f aca="false">L67*L58</f>
        <v>33417.4424365609</v>
      </c>
      <c r="M90" s="297" t="n">
        <f aca="false">M67*M58</f>
        <v>33696.272449877</v>
      </c>
      <c r="N90" s="297" t="n">
        <f aca="false">N67*N58</f>
        <v>34374.5111497494</v>
      </c>
      <c r="O90" s="297" t="n">
        <f aca="false">O67*O58</f>
        <v>35313.4335858749</v>
      </c>
      <c r="R90" s="297" t="n">
        <f aca="false">Datos!G21-Datos!G25-Datos!G27</f>
        <v>35543</v>
      </c>
      <c r="S90" s="297" t="n">
        <f aca="false">S67*S58</f>
        <v>33815.5548087355</v>
      </c>
      <c r="T90" s="297" t="n">
        <f aca="false">T67*T58</f>
        <v>33171.7950294927</v>
      </c>
      <c r="U90" s="297" t="n">
        <f aca="false">U67*U58</f>
        <v>33321.6932825398</v>
      </c>
      <c r="V90" s="297" t="n">
        <f aca="false">V67*V58</f>
        <v>33856.4399429163</v>
      </c>
      <c r="W90" s="297" t="n">
        <f aca="false">W67*W58</f>
        <v>34634.4438581509</v>
      </c>
    </row>
    <row r="91" customFormat="false" ht="15" hidden="false" customHeight="true" outlineLevel="0" collapsed="false">
      <c r="A91" s="152" t="s">
        <v>1480</v>
      </c>
      <c r="B91" s="161" t="n">
        <f aca="false">Datos!G25+Datos!G26</f>
        <v>11500</v>
      </c>
      <c r="C91" s="161" t="n">
        <f aca="false">MAX(0,B91+C62)</f>
        <v>11500</v>
      </c>
      <c r="D91" s="161" t="n">
        <f aca="false">MAX(0,C91+D62)</f>
        <v>10000</v>
      </c>
      <c r="E91" s="161" t="n">
        <f aca="false">MAX(0,D91+E62)</f>
        <v>8500</v>
      </c>
      <c r="F91" s="161" t="n">
        <f aca="false">MAX(0,E91+F62)</f>
        <v>7000</v>
      </c>
      <c r="G91" s="161" t="n">
        <f aca="false">MAX(0,F91+G62)</f>
        <v>5500</v>
      </c>
      <c r="J91" s="297" t="n">
        <f aca="false">Datos!G25+Datos!G26</f>
        <v>11500</v>
      </c>
      <c r="K91" s="297" t="n">
        <f aca="false">MAX(0,J91+K62)</f>
        <v>11500</v>
      </c>
      <c r="L91" s="297" t="n">
        <f aca="false">MAX(0,K91+L62)</f>
        <v>10000</v>
      </c>
      <c r="M91" s="297" t="n">
        <f aca="false">MAX(0,L91+M62)</f>
        <v>8500</v>
      </c>
      <c r="N91" s="297" t="n">
        <f aca="false">MAX(0,M91+N62)</f>
        <v>7000</v>
      </c>
      <c r="O91" s="297" t="n">
        <f aca="false">MAX(0,N91+O62)</f>
        <v>5500</v>
      </c>
      <c r="R91" s="297" t="n">
        <f aca="false">Datos!G25+Datos!G26</f>
        <v>11500</v>
      </c>
      <c r="S91" s="297" t="n">
        <f aca="false">MAX(0,R91+S62)</f>
        <v>11500</v>
      </c>
      <c r="T91" s="297" t="n">
        <f aca="false">MAX(0,S91+T62)</f>
        <v>10000</v>
      </c>
      <c r="U91" s="297" t="n">
        <f aca="false">MAX(0,T91+U62)</f>
        <v>8500</v>
      </c>
      <c r="V91" s="297" t="n">
        <f aca="false">MAX(0,U91+V62)</f>
        <v>7000</v>
      </c>
      <c r="W91" s="297" t="n">
        <f aca="false">MAX(0,V91+W62)</f>
        <v>5500</v>
      </c>
    </row>
    <row r="92" customFormat="false" ht="15" hidden="false" customHeight="true" outlineLevel="0" collapsed="false">
      <c r="A92" s="152" t="s">
        <v>1481</v>
      </c>
      <c r="B92" s="161" t="n">
        <f aca="false">Datos!G27+Datos!G28</f>
        <v>12118</v>
      </c>
      <c r="C92" s="161" t="n">
        <f aca="false">B92</f>
        <v>12118</v>
      </c>
      <c r="D92" s="161" t="n">
        <f aca="false">C92</f>
        <v>12118</v>
      </c>
      <c r="E92" s="161" t="n">
        <f aca="false">D92</f>
        <v>12118</v>
      </c>
      <c r="F92" s="161" t="n">
        <f aca="false">E92</f>
        <v>12118</v>
      </c>
      <c r="G92" s="161" t="n">
        <f aca="false">F92</f>
        <v>12118</v>
      </c>
      <c r="J92" s="297" t="n">
        <f aca="false">Datos!G27+Datos!G28</f>
        <v>12118</v>
      </c>
      <c r="K92" s="297" t="n">
        <f aca="false">J92</f>
        <v>12118</v>
      </c>
      <c r="L92" s="297" t="n">
        <f aca="false">K92</f>
        <v>12118</v>
      </c>
      <c r="M92" s="297" t="n">
        <f aca="false">L92</f>
        <v>12118</v>
      </c>
      <c r="N92" s="297" t="n">
        <f aca="false">M92</f>
        <v>12118</v>
      </c>
      <c r="O92" s="297" t="n">
        <f aca="false">N92</f>
        <v>12118</v>
      </c>
      <c r="R92" s="297" t="n">
        <f aca="false">Datos!G27+Datos!G28</f>
        <v>12118</v>
      </c>
      <c r="S92" s="297" t="n">
        <f aca="false">R92</f>
        <v>12118</v>
      </c>
      <c r="T92" s="297" t="n">
        <f aca="false">S92</f>
        <v>12118</v>
      </c>
      <c r="U92" s="297" t="n">
        <f aca="false">T92</f>
        <v>12118</v>
      </c>
      <c r="V92" s="297" t="n">
        <f aca="false">U92</f>
        <v>12118</v>
      </c>
      <c r="W92" s="297" t="n">
        <f aca="false">V92</f>
        <v>12118</v>
      </c>
    </row>
    <row r="93" customFormat="false" ht="15" hidden="false" customHeight="true" outlineLevel="0" collapsed="false">
      <c r="A93" s="152" t="s">
        <v>1482</v>
      </c>
      <c r="B93" s="161" t="n">
        <f aca="false">Datos!G23-Datos!G21-Datos!G26-Datos!G28</f>
        <v>12145</v>
      </c>
      <c r="C93" s="161" t="n">
        <f aca="false">B93</f>
        <v>12145</v>
      </c>
      <c r="D93" s="161" t="n">
        <f aca="false">C93</f>
        <v>12145</v>
      </c>
      <c r="E93" s="161" t="n">
        <f aca="false">D93</f>
        <v>12145</v>
      </c>
      <c r="F93" s="161" t="n">
        <f aca="false">E93</f>
        <v>12145</v>
      </c>
      <c r="G93" s="161" t="n">
        <f aca="false">F93</f>
        <v>12145</v>
      </c>
      <c r="J93" s="297" t="n">
        <f aca="false">Datos!G23-Datos!G21-Datos!G26-Datos!G28</f>
        <v>12145</v>
      </c>
      <c r="K93" s="297" t="n">
        <f aca="false">J93</f>
        <v>12145</v>
      </c>
      <c r="L93" s="297" t="n">
        <f aca="false">K93</f>
        <v>12145</v>
      </c>
      <c r="M93" s="297" t="n">
        <f aca="false">L93</f>
        <v>12145</v>
      </c>
      <c r="N93" s="297" t="n">
        <f aca="false">M93</f>
        <v>12145</v>
      </c>
      <c r="O93" s="297" t="n">
        <f aca="false">N93</f>
        <v>12145</v>
      </c>
      <c r="R93" s="297" t="n">
        <f aca="false">Datos!G23-Datos!G21-Datos!G26-Datos!G28</f>
        <v>12145</v>
      </c>
      <c r="S93" s="297" t="n">
        <f aca="false">R93</f>
        <v>12145</v>
      </c>
      <c r="T93" s="297" t="n">
        <f aca="false">S93</f>
        <v>12145</v>
      </c>
      <c r="U93" s="297" t="n">
        <f aca="false">T93</f>
        <v>12145</v>
      </c>
      <c r="V93" s="297" t="n">
        <f aca="false">U93</f>
        <v>12145</v>
      </c>
      <c r="W93" s="297" t="n">
        <f aca="false">V93</f>
        <v>12145</v>
      </c>
    </row>
    <row r="94" customFormat="false" ht="15" hidden="false" customHeight="true" outlineLevel="0" collapsed="false">
      <c r="A94" s="152" t="s">
        <v>93</v>
      </c>
      <c r="B94" s="161" t="n">
        <f aca="false">SUM(B90:B93)</f>
        <v>71306</v>
      </c>
      <c r="C94" s="161" t="n">
        <f aca="false">SUM(C90:C93)</f>
        <v>69909.4601387355</v>
      </c>
      <c r="D94" s="161" t="n">
        <f aca="false">SUM(D90:D93)</f>
        <v>68077.3043307943</v>
      </c>
      <c r="E94" s="161" t="n">
        <f aca="false">SUM(E90:E93)</f>
        <v>67067.40367051</v>
      </c>
      <c r="F94" s="161" t="n">
        <f aca="false">SUM(F90:F93)</f>
        <v>66482.9197259798</v>
      </c>
      <c r="G94" s="161" t="n">
        <f aca="false">SUM(G90:G93)</f>
        <v>66190.4169114944</v>
      </c>
      <c r="J94" s="301" t="n">
        <f aca="false">SUM(J90:J93)</f>
        <v>71306</v>
      </c>
      <c r="K94" s="301" t="n">
        <f aca="false">SUM(K90:K93)</f>
        <v>69705.4433187355</v>
      </c>
      <c r="L94" s="301" t="n">
        <f aca="false">SUM(L90:L93)</f>
        <v>67680.4424365609</v>
      </c>
      <c r="M94" s="301" t="n">
        <f aca="false">SUM(M90:M93)</f>
        <v>66459.272449877</v>
      </c>
      <c r="N94" s="301" t="n">
        <f aca="false">SUM(N90:N93)</f>
        <v>65637.5111497494</v>
      </c>
      <c r="O94" s="301" t="n">
        <f aca="false">SUM(O90:O93)</f>
        <v>65076.4335858749</v>
      </c>
      <c r="R94" s="301" t="n">
        <f aca="false">SUM(R90:R93)</f>
        <v>71306</v>
      </c>
      <c r="S94" s="301" t="n">
        <f aca="false">SUM(S90:S93)</f>
        <v>69578.5548087355</v>
      </c>
      <c r="T94" s="301" t="n">
        <f aca="false">SUM(T90:T93)</f>
        <v>67434.7950294927</v>
      </c>
      <c r="U94" s="301" t="n">
        <f aca="false">SUM(U90:U93)</f>
        <v>66084.6932825398</v>
      </c>
      <c r="V94" s="301" t="n">
        <f aca="false">SUM(V90:V93)</f>
        <v>65119.4399429163</v>
      </c>
      <c r="W94" s="301" t="n">
        <f aca="false">SUM(W90:W93)</f>
        <v>64397.4438581509</v>
      </c>
    </row>
    <row r="95" customFormat="false" ht="15" hidden="false" customHeight="true" outlineLevel="0" collapsed="false">
      <c r="A95" s="152" t="s">
        <v>94</v>
      </c>
      <c r="B95" s="161" t="n">
        <f aca="false">Datos!G24</f>
        <v>84732</v>
      </c>
      <c r="C95" s="161" t="n">
        <f aca="false">B95+C78+C79</f>
        <v>87708.5941995924</v>
      </c>
      <c r="D95" s="161" t="n">
        <f aca="false">C95+D78+D79</f>
        <v>90642.4583097218</v>
      </c>
      <c r="E95" s="161" t="n">
        <f aca="false">D95+E78+E79</f>
        <v>93680.9594281793</v>
      </c>
      <c r="F95" s="161" t="n">
        <f aca="false">E95+F78+F79</f>
        <v>96875.3391308164</v>
      </c>
      <c r="G95" s="161" t="n">
        <f aca="false">F95+G78+G79</f>
        <v>100259.870491985</v>
      </c>
      <c r="J95" s="297" t="n">
        <f aca="false">Datos!G24</f>
        <v>84732</v>
      </c>
      <c r="K95" s="297" t="n">
        <f aca="false">J95+K78+K79</f>
        <v>87466.3216457933</v>
      </c>
      <c r="L95" s="297" t="n">
        <f aca="false">K95+L78+L79</f>
        <v>90139.0922278836</v>
      </c>
      <c r="M95" s="297" t="n">
        <f aca="false">L95+M78+M79</f>
        <v>92891.3954084417</v>
      </c>
      <c r="N95" s="297" t="n">
        <f aca="false">M95+N78+N79</f>
        <v>95769.2963574806</v>
      </c>
      <c r="O95" s="297" t="n">
        <f aca="false">N95+O78+O79</f>
        <v>98802.2149081991</v>
      </c>
      <c r="R95" s="297" t="n">
        <f aca="false">Datos!G24</f>
        <v>84732</v>
      </c>
      <c r="S95" s="297" t="n">
        <f aca="false">R95+S78+S79</f>
        <v>87235.131552856</v>
      </c>
      <c r="T95" s="297" t="n">
        <f aca="false">S95+T78+T79</f>
        <v>89668.3118634735</v>
      </c>
      <c r="U95" s="297" t="n">
        <f aca="false">T95+U78+U79</f>
        <v>92167.2712954461</v>
      </c>
      <c r="V95" s="297" t="n">
        <f aca="false">U95+V78+V79</f>
        <v>94774.263991111</v>
      </c>
      <c r="W95" s="297" t="n">
        <f aca="false">V95+W78+W79</f>
        <v>97515.5258763968</v>
      </c>
    </row>
    <row r="96" customFormat="false" ht="15" hidden="false" customHeight="true" outlineLevel="0" collapsed="false">
      <c r="A96" s="152" t="s">
        <v>1483</v>
      </c>
      <c r="B96" s="161" t="n">
        <f aca="false">B94+B95</f>
        <v>156038</v>
      </c>
      <c r="C96" s="161" t="n">
        <f aca="false">C94+C95</f>
        <v>157618.054338328</v>
      </c>
      <c r="D96" s="161" t="n">
        <f aca="false">D94+D95</f>
        <v>158719.762640516</v>
      </c>
      <c r="E96" s="161" t="n">
        <f aca="false">E94+E95</f>
        <v>160748.363098689</v>
      </c>
      <c r="F96" s="161" t="n">
        <f aca="false">F94+F95</f>
        <v>163358.258856796</v>
      </c>
      <c r="G96" s="161" t="n">
        <f aca="false">G94+G95</f>
        <v>166450.287403479</v>
      </c>
      <c r="J96" s="301" t="n">
        <f aca="false">J94+J95</f>
        <v>156038</v>
      </c>
      <c r="K96" s="301" t="n">
        <f aca="false">K94+K95</f>
        <v>157171.764964529</v>
      </c>
      <c r="L96" s="301" t="n">
        <f aca="false">L94+L95</f>
        <v>157819.534664445</v>
      </c>
      <c r="M96" s="301" t="n">
        <f aca="false">M94+M95</f>
        <v>159350.667858319</v>
      </c>
      <c r="N96" s="301" t="n">
        <f aca="false">N94+N95</f>
        <v>161406.80750723</v>
      </c>
      <c r="O96" s="301" t="n">
        <f aca="false">O94+O95</f>
        <v>163878.648494074</v>
      </c>
      <c r="R96" s="301" t="n">
        <f aca="false">R94+R95</f>
        <v>156038</v>
      </c>
      <c r="S96" s="301" t="n">
        <f aca="false">S94+S95</f>
        <v>156813.686361591</v>
      </c>
      <c r="T96" s="301" t="n">
        <f aca="false">T94+T95</f>
        <v>157103.106892966</v>
      </c>
      <c r="U96" s="301" t="n">
        <f aca="false">U94+U95</f>
        <v>158251.964577986</v>
      </c>
      <c r="V96" s="301" t="n">
        <f aca="false">V94+V95</f>
        <v>159893.703934027</v>
      </c>
      <c r="W96" s="301" t="n">
        <f aca="false">W94+W95</f>
        <v>161912.969734548</v>
      </c>
    </row>
    <row r="97" customFormat="false" ht="15" hidden="false" customHeight="true" outlineLevel="0" collapsed="false">
      <c r="A97" s="152"/>
      <c r="B97" s="161" t="n">
        <f aca="false">B89-B96</f>
        <v>0</v>
      </c>
      <c r="C97" s="161" t="n">
        <f aca="false">C89-C96</f>
        <v>0</v>
      </c>
      <c r="D97" s="161" t="n">
        <f aca="false">D89-D96</f>
        <v>0</v>
      </c>
      <c r="E97" s="161" t="n">
        <f aca="false">E89-E96</f>
        <v>0</v>
      </c>
      <c r="F97" s="161" t="n">
        <f aca="false">F89-F96</f>
        <v>0</v>
      </c>
      <c r="G97" s="161" t="n">
        <f aca="false">G89-G96</f>
        <v>0</v>
      </c>
      <c r="J97" s="297" t="n">
        <f aca="false">J89-J96</f>
        <v>0</v>
      </c>
      <c r="K97" s="297" t="n">
        <f aca="false">K89-K96</f>
        <v>0</v>
      </c>
      <c r="L97" s="297" t="n">
        <f aca="false">L89-L96</f>
        <v>0</v>
      </c>
      <c r="M97" s="297" t="n">
        <f aca="false">M89-M96</f>
        <v>0</v>
      </c>
      <c r="N97" s="297" t="n">
        <f aca="false">N89-N96</f>
        <v>0</v>
      </c>
      <c r="O97" s="297" t="n">
        <f aca="false">O89-O96</f>
        <v>0</v>
      </c>
      <c r="R97" s="297" t="n">
        <f aca="false">R89-R96</f>
        <v>0</v>
      </c>
      <c r="S97" s="297" t="n">
        <f aca="false">S89-S96</f>
        <v>0</v>
      </c>
      <c r="T97" s="297" t="n">
        <f aca="false">T89-T96</f>
        <v>0</v>
      </c>
      <c r="U97" s="297" t="n">
        <f aca="false">U89-U96</f>
        <v>0</v>
      </c>
      <c r="V97" s="297" t="n">
        <f aca="false">V89-V96</f>
        <v>0</v>
      </c>
      <c r="W97" s="297" t="n">
        <f aca="false">W89-W96</f>
        <v>0</v>
      </c>
    </row>
    <row r="98" customFormat="false" ht="15" hidden="false" customHeight="true" outlineLevel="0" collapsed="false">
      <c r="A98" s="154"/>
      <c r="B98" s="154"/>
      <c r="C98" s="154"/>
      <c r="D98" s="154"/>
      <c r="E98" s="154"/>
      <c r="F98" s="154"/>
      <c r="G98" s="154"/>
      <c r="J98" s="298"/>
      <c r="K98" s="298"/>
      <c r="L98" s="298"/>
      <c r="M98" s="298"/>
      <c r="N98" s="298"/>
      <c r="O98" s="298"/>
      <c r="R98" s="298"/>
      <c r="S98" s="298"/>
      <c r="T98" s="298"/>
      <c r="U98" s="298"/>
      <c r="V98" s="298"/>
      <c r="W98" s="298"/>
    </row>
    <row r="99" customFormat="false" ht="15" hidden="false" customHeight="true" outlineLevel="0" collapsed="false">
      <c r="A99" s="283" t="s">
        <v>2620</v>
      </c>
      <c r="B99" s="152" t="s">
        <v>1428</v>
      </c>
      <c r="C99" s="152" t="s">
        <v>1429</v>
      </c>
      <c r="D99" s="152" t="s">
        <v>1430</v>
      </c>
      <c r="E99" s="152" t="s">
        <v>1431</v>
      </c>
      <c r="F99" s="152" t="s">
        <v>1432</v>
      </c>
      <c r="G99" s="152" t="s">
        <v>1433</v>
      </c>
      <c r="J99" s="300" t="s">
        <v>1428</v>
      </c>
      <c r="K99" s="300" t="s">
        <v>1429</v>
      </c>
      <c r="L99" s="300" t="s">
        <v>1430</v>
      </c>
      <c r="M99" s="300" t="s">
        <v>1431</v>
      </c>
      <c r="N99" s="300" t="s">
        <v>1432</v>
      </c>
      <c r="O99" s="300" t="s">
        <v>1433</v>
      </c>
      <c r="R99" s="300" t="s">
        <v>1428</v>
      </c>
      <c r="S99" s="300" t="s">
        <v>1429</v>
      </c>
      <c r="T99" s="300" t="s">
        <v>1430</v>
      </c>
      <c r="U99" s="300" t="s">
        <v>1431</v>
      </c>
      <c r="V99" s="300" t="s">
        <v>1432</v>
      </c>
      <c r="W99" s="300" t="s">
        <v>1433</v>
      </c>
    </row>
    <row r="100" customFormat="false" ht="15" hidden="false" customHeight="true" outlineLevel="0" collapsed="false">
      <c r="A100" s="152" t="s">
        <v>89</v>
      </c>
      <c r="B100" s="152"/>
      <c r="C100" s="161" t="n">
        <f aca="false">C78</f>
        <v>4253.15271237509</v>
      </c>
      <c r="D100" s="161" t="n">
        <f aca="false">D78</f>
        <v>4192.09716240315</v>
      </c>
      <c r="E100" s="161" t="n">
        <f aca="false">E78</f>
        <v>4341.6093719769</v>
      </c>
      <c r="F100" s="161" t="n">
        <f aca="false">F78</f>
        <v>4564.33890064276</v>
      </c>
      <c r="G100" s="161" t="n">
        <f aca="false">G78</f>
        <v>4836.04004228837</v>
      </c>
      <c r="J100" s="302"/>
      <c r="K100" s="297" t="n">
        <f aca="false">K78</f>
        <v>3906.97782247391</v>
      </c>
      <c r="L100" s="297" t="n">
        <f aca="false">L78</f>
        <v>3819.02963203058</v>
      </c>
      <c r="M100" s="297" t="n">
        <f aca="false">M78</f>
        <v>3932.67101685285</v>
      </c>
      <c r="N100" s="297" t="n">
        <f aca="false">N78</f>
        <v>4112.13333313227</v>
      </c>
      <c r="O100" s="297" t="n">
        <f aca="false">O78</f>
        <v>4333.63263362116</v>
      </c>
      <c r="R100" s="302"/>
      <c r="S100" s="297" t="n">
        <f aca="false">S78</f>
        <v>3576.63827837836</v>
      </c>
      <c r="T100" s="297" t="n">
        <f aca="false">T78</f>
        <v>3476.68736276438</v>
      </c>
      <c r="U100" s="297" t="n">
        <f aca="false">U78</f>
        <v>3570.67687885207</v>
      </c>
      <c r="V100" s="297" t="n">
        <f aca="false">V78</f>
        <v>3725.04188049142</v>
      </c>
      <c r="W100" s="297" t="n">
        <f aca="false">W78</f>
        <v>3916.89449113711</v>
      </c>
    </row>
    <row r="101" customFormat="false" ht="15" hidden="false" customHeight="true" outlineLevel="0" collapsed="false">
      <c r="A101" s="152" t="s">
        <v>154</v>
      </c>
      <c r="B101" s="152"/>
      <c r="C101" s="161" t="n">
        <f aca="false">-C72</f>
        <v>4154.83684858293</v>
      </c>
      <c r="D101" s="161" t="n">
        <f aca="false">-D72</f>
        <v>4114.421145617</v>
      </c>
      <c r="E101" s="161" t="n">
        <f aca="false">-E72</f>
        <v>4176.82756767745</v>
      </c>
      <c r="F101" s="161" t="n">
        <f aca="false">-F72</f>
        <v>4291.14538685912</v>
      </c>
      <c r="G101" s="161" t="n">
        <f aca="false">-G72</f>
        <v>4441.20936675033</v>
      </c>
      <c r="J101" s="302"/>
      <c r="K101" s="297" t="n">
        <f aca="false">-K72</f>
        <v>4130.01270581607</v>
      </c>
      <c r="L101" s="297" t="n">
        <f aca="false">-L72</f>
        <v>4066.13220394458</v>
      </c>
      <c r="M101" s="297" t="n">
        <f aca="false">-M72</f>
        <v>4102.78286859152</v>
      </c>
      <c r="N101" s="297" t="n">
        <f aca="false">-N72</f>
        <v>4188.14199729641</v>
      </c>
      <c r="O101" s="297" t="n">
        <f aca="false">-O72</f>
        <v>4305.39317115882</v>
      </c>
      <c r="R101" s="302"/>
      <c r="S101" s="297" t="n">
        <f aca="false">-S72</f>
        <v>4114.57329994888</v>
      </c>
      <c r="T101" s="297" t="n">
        <f aca="false">-T72</f>
        <v>4036.24257865109</v>
      </c>
      <c r="U101" s="297" t="n">
        <f aca="false">-U72</f>
        <v>4057.1749458467</v>
      </c>
      <c r="V101" s="297" t="n">
        <f aca="false">-V72</f>
        <v>4125.02093153127</v>
      </c>
      <c r="W101" s="297" t="n">
        <f aca="false">-W72</f>
        <v>4222.61114063435</v>
      </c>
    </row>
    <row r="102" customFormat="false" ht="15" hidden="false" customHeight="true" outlineLevel="0" collapsed="false">
      <c r="A102" s="152" t="s">
        <v>2621</v>
      </c>
      <c r="B102" s="152"/>
      <c r="C102" s="161" t="n">
        <f aca="false">-(C85-B85)</f>
        <v>1198.90219641423</v>
      </c>
      <c r="D102" s="161" t="n">
        <f aca="false">-(D85-C85)</f>
        <v>261.65045146909</v>
      </c>
      <c r="E102" s="161" t="n">
        <f aca="false">-(E85-D85)</f>
        <v>-132.241517040769</v>
      </c>
      <c r="F102" s="161" t="n">
        <f aca="false">-(F85-E85)</f>
        <v>-826.1188541269</v>
      </c>
      <c r="G102" s="161" t="n">
        <f aca="false">-(G85-F85)</f>
        <v>-1089.58896493275</v>
      </c>
      <c r="J102" s="302"/>
      <c r="K102" s="297" t="n">
        <f aca="false">-(K85-J85)</f>
        <v>1384.62214397806</v>
      </c>
      <c r="L102" s="297" t="n">
        <f aca="false">-(L85-K85)</f>
        <v>437.678441151093</v>
      </c>
      <c r="M102" s="297" t="n">
        <f aca="false">-(M85-L85)</f>
        <v>54.7597065243572</v>
      </c>
      <c r="N102" s="297" t="n">
        <f aca="false">-(N85-M85)</f>
        <v>-612.010869951904</v>
      </c>
      <c r="O102" s="297" t="n">
        <f aca="false">-(O85-N85)</f>
        <v>-847.2396769142</v>
      </c>
      <c r="R102" s="302"/>
      <c r="S102" s="297" t="n">
        <f aca="false">-(S85-R85)</f>
        <v>1500.13089185313</v>
      </c>
      <c r="T102" s="297" t="n">
        <f aca="false">-(T85-S85)</f>
        <v>546.082455090538</v>
      </c>
      <c r="U102" s="297" t="n">
        <f aca="false">-(U85-T85)</f>
        <v>168.849659847008</v>
      </c>
      <c r="V102" s="297" t="n">
        <f aca="false">-(V85-U85)</f>
        <v>-482.530367085368</v>
      </c>
      <c r="W102" s="297" t="n">
        <f aca="false">-(W85-V85)</f>
        <v>-702.034332571089</v>
      </c>
    </row>
    <row r="103" customFormat="false" ht="15" hidden="false" customHeight="true" outlineLevel="0" collapsed="false">
      <c r="A103" s="152" t="s">
        <v>2622</v>
      </c>
      <c r="B103" s="152"/>
      <c r="C103" s="161" t="n">
        <f aca="false">-(C86-B86)</f>
        <v>273.115622644395</v>
      </c>
      <c r="D103" s="161" t="n">
        <f aca="false">-(D86-C86)</f>
        <v>64.9583608867933</v>
      </c>
      <c r="E103" s="161" t="n">
        <f aca="false">-(E86-D86)</f>
        <v>-95.8467352323596</v>
      </c>
      <c r="F103" s="161" t="n">
        <f aca="false">-(F86-E86)</f>
        <v>-179.043752681854</v>
      </c>
      <c r="G103" s="161" t="n">
        <f aca="false">-(G86-F86)</f>
        <v>-236.145315153804</v>
      </c>
      <c r="J103" s="302"/>
      <c r="K103" s="297" t="n">
        <f aca="false">-(K86-J86)</f>
        <v>313.014362644396</v>
      </c>
      <c r="L103" s="297" t="n">
        <f aca="false">-(L86-K86)</f>
        <v>102.672287989059</v>
      </c>
      <c r="M103" s="297" t="n">
        <f aca="false">-(M86-L86)</f>
        <v>-54.5296520428819</v>
      </c>
      <c r="N103" s="297" t="n">
        <f aca="false">-(N86-M86)</f>
        <v>-132.640384965046</v>
      </c>
      <c r="O103" s="297" t="n">
        <f aca="false">-(O86-N86)</f>
        <v>-183.621243381498</v>
      </c>
      <c r="R103" s="302"/>
      <c r="S103" s="297" t="n">
        <f aca="false">-(S86-R86)</f>
        <v>337.829432644395</v>
      </c>
      <c r="T103" s="297" t="n">
        <f aca="false">-(T86-S86)</f>
        <v>125.897482641207</v>
      </c>
      <c r="U103" s="297" t="n">
        <f aca="false">-(U86-T86)</f>
        <v>-29.3149918951685</v>
      </c>
      <c r="V103" s="297" t="n">
        <f aca="false">-(V86-U86)</f>
        <v>-104.578230207836</v>
      </c>
      <c r="W103" s="297" t="n">
        <f aca="false">-(W86-V86)</f>
        <v>-152.151062510093</v>
      </c>
    </row>
    <row r="104" customFormat="false" ht="15" hidden="false" customHeight="true" outlineLevel="0" collapsed="false">
      <c r="A104" s="152" t="s">
        <v>99</v>
      </c>
      <c r="B104" s="152"/>
      <c r="C104" s="161" t="n">
        <f aca="false">-C67*C51</f>
        <v>-3838.24222469975</v>
      </c>
      <c r="D104" s="161" t="n">
        <f aca="false">-D67*D51</f>
        <v>-3339.8166629643</v>
      </c>
      <c r="E104" s="161" t="n">
        <f aca="false">-E67*E51</f>
        <v>-3381.89546520494</v>
      </c>
      <c r="F104" s="161" t="n">
        <f aca="false">-F67*F51</f>
        <v>-3465.65463472517</v>
      </c>
      <c r="G104" s="161" t="n">
        <f aca="false">-G67*G51</f>
        <v>-3577.75324466378</v>
      </c>
      <c r="J104" s="302"/>
      <c r="K104" s="297" t="n">
        <f aca="false">-K67*K51</f>
        <v>-3832.0389791448</v>
      </c>
      <c r="L104" s="297" t="n">
        <f aca="false">-L67*L51</f>
        <v>-3300.61887393722</v>
      </c>
      <c r="M104" s="297" t="n">
        <f aca="false">-M67*M51</f>
        <v>-3321.94292275407</v>
      </c>
      <c r="N104" s="297" t="n">
        <f aca="false">-N67*N51</f>
        <v>-3382.46608196171</v>
      </c>
      <c r="O104" s="297" t="n">
        <f aca="false">-O67*O51</f>
        <v>-3468.34231752008</v>
      </c>
      <c r="R104" s="302"/>
      <c r="S104" s="297" t="n">
        <f aca="false">-S67*S51</f>
        <v>-3828.18086300696</v>
      </c>
      <c r="T104" s="297" t="n">
        <f aca="false">-T67*T51</f>
        <v>-3276.35644063933</v>
      </c>
      <c r="U104" s="297" t="n">
        <f aca="false">-U67*U51</f>
        <v>-3285.01508108261</v>
      </c>
      <c r="V104" s="297" t="n">
        <f aca="false">-V67*V51</f>
        <v>-3331.48766142447</v>
      </c>
      <c r="W104" s="297" t="n">
        <f aca="false">-W67*W51</f>
        <v>-3401.65469848412</v>
      </c>
    </row>
    <row r="105" customFormat="false" ht="15" hidden="false" customHeight="true" outlineLevel="0" collapsed="false">
      <c r="A105" s="152" t="s">
        <v>2623</v>
      </c>
      <c r="B105" s="152"/>
      <c r="C105" s="161" t="n">
        <f aca="false">C90-B90</f>
        <v>-1396.53986126454</v>
      </c>
      <c r="D105" s="161" t="n">
        <f aca="false">D90-C90</f>
        <v>-332.155807941199</v>
      </c>
      <c r="E105" s="161" t="n">
        <f aca="false">E90-D90</f>
        <v>490.099339715685</v>
      </c>
      <c r="F105" s="161" t="n">
        <f aca="false">F90-E90</f>
        <v>915.516055469881</v>
      </c>
      <c r="G105" s="161" t="n">
        <f aca="false">G90-F90</f>
        <v>1207.49718551456</v>
      </c>
      <c r="J105" s="302"/>
      <c r="K105" s="297" t="n">
        <f aca="false">K90-J90</f>
        <v>-1600.55668126454</v>
      </c>
      <c r="L105" s="297" t="n">
        <f aca="false">L90-K90</f>
        <v>-525.000882174521</v>
      </c>
      <c r="M105" s="297" t="n">
        <f aca="false">M90-L90</f>
        <v>278.830013316096</v>
      </c>
      <c r="N105" s="297" t="n">
        <f aca="false">N90-M90</f>
        <v>678.238699872338</v>
      </c>
      <c r="O105" s="297" t="n">
        <f aca="false">O90-N90</f>
        <v>938.922436125533</v>
      </c>
      <c r="R105" s="302"/>
      <c r="S105" s="297" t="n">
        <f aca="false">S90-R90</f>
        <v>-1727.44519126453</v>
      </c>
      <c r="T105" s="297" t="n">
        <f aca="false">T90-S90</f>
        <v>-643.759779242755</v>
      </c>
      <c r="U105" s="297" t="n">
        <f aca="false">U90-T90</f>
        <v>149.898253047038</v>
      </c>
      <c r="V105" s="297" t="n">
        <f aca="false">V90-U90</f>
        <v>534.746660376513</v>
      </c>
      <c r="W105" s="297" t="n">
        <f aca="false">W90-V90</f>
        <v>778.003915234673</v>
      </c>
    </row>
    <row r="106" customFormat="false" ht="15" hidden="false" customHeight="true" outlineLevel="0" collapsed="false">
      <c r="A106" s="152" t="s">
        <v>1475</v>
      </c>
      <c r="B106" s="152"/>
      <c r="C106" s="161" t="n">
        <f aca="false">C79</f>
        <v>-1276.55851278274</v>
      </c>
      <c r="D106" s="161" t="n">
        <f aca="false">D79</f>
        <v>-1258.23305227375</v>
      </c>
      <c r="E106" s="161" t="n">
        <f aca="false">E79</f>
        <v>-1303.10825351941</v>
      </c>
      <c r="F106" s="161" t="n">
        <f aca="false">F79</f>
        <v>-1369.95919800564</v>
      </c>
      <c r="G106" s="161" t="n">
        <f aca="false">G79</f>
        <v>-1451.50868111997</v>
      </c>
      <c r="J106" s="302"/>
      <c r="K106" s="297" t="n">
        <f aca="false">K79</f>
        <v>-1172.65617668058</v>
      </c>
      <c r="L106" s="297" t="n">
        <f aca="false">L79</f>
        <v>-1146.25904994032</v>
      </c>
      <c r="M106" s="297" t="n">
        <f aca="false">M79</f>
        <v>-1180.36783629478</v>
      </c>
      <c r="N106" s="297" t="n">
        <f aca="false">N79</f>
        <v>-1234.23238409331</v>
      </c>
      <c r="O106" s="297" t="n">
        <f aca="false">O79</f>
        <v>-1300.71408290272</v>
      </c>
      <c r="R106" s="302"/>
      <c r="S106" s="297" t="n">
        <f aca="false">S79</f>
        <v>-1073.5067255224</v>
      </c>
      <c r="T106" s="297" t="n">
        <f aca="false">T79</f>
        <v>-1043.50705214688</v>
      </c>
      <c r="U106" s="297" t="n">
        <f aca="false">U79</f>
        <v>-1071.71744687947</v>
      </c>
      <c r="V106" s="297" t="n">
        <f aca="false">V79</f>
        <v>-1118.04918482649</v>
      </c>
      <c r="W106" s="297" t="n">
        <f aca="false">W79</f>
        <v>-1175.63260585126</v>
      </c>
    </row>
    <row r="107" customFormat="false" ht="15" hidden="false" customHeight="true" outlineLevel="0" collapsed="false">
      <c r="A107" s="152" t="s">
        <v>2624</v>
      </c>
      <c r="B107" s="152"/>
      <c r="C107" s="161" t="n">
        <f aca="false">C91-B91</f>
        <v>0</v>
      </c>
      <c r="D107" s="161" t="n">
        <f aca="false">D91-C91</f>
        <v>-1500</v>
      </c>
      <c r="E107" s="161" t="n">
        <f aca="false">E91-D91</f>
        <v>-1500</v>
      </c>
      <c r="F107" s="161" t="n">
        <f aca="false">F91-E91</f>
        <v>-1500</v>
      </c>
      <c r="G107" s="161" t="n">
        <f aca="false">G91-F91</f>
        <v>-1500</v>
      </c>
      <c r="J107" s="302"/>
      <c r="K107" s="297" t="n">
        <f aca="false">K91-J91</f>
        <v>0</v>
      </c>
      <c r="L107" s="297" t="n">
        <f aca="false">L91-K91</f>
        <v>-1500</v>
      </c>
      <c r="M107" s="297" t="n">
        <f aca="false">M91-L91</f>
        <v>-1500</v>
      </c>
      <c r="N107" s="297" t="n">
        <f aca="false">N91-M91</f>
        <v>-1500</v>
      </c>
      <c r="O107" s="297" t="n">
        <f aca="false">O91-N91</f>
        <v>-1500</v>
      </c>
      <c r="R107" s="302"/>
      <c r="S107" s="297" t="n">
        <f aca="false">S91-R91</f>
        <v>0</v>
      </c>
      <c r="T107" s="297" t="n">
        <f aca="false">T91-S91</f>
        <v>-1500</v>
      </c>
      <c r="U107" s="297" t="n">
        <f aca="false">U91-T91</f>
        <v>-1500</v>
      </c>
      <c r="V107" s="297" t="n">
        <f aca="false">V91-U91</f>
        <v>-1500</v>
      </c>
      <c r="W107" s="297" t="n">
        <f aca="false">W91-V91</f>
        <v>-1500</v>
      </c>
    </row>
    <row r="108" customFormat="false" ht="15" hidden="false" customHeight="true" outlineLevel="0" collapsed="false">
      <c r="A108" s="152" t="s">
        <v>1894</v>
      </c>
      <c r="B108" s="152"/>
      <c r="C108" s="161" t="n">
        <f aca="false">SUM(C100:C107)</f>
        <v>3368.66678126962</v>
      </c>
      <c r="D108" s="161" t="n">
        <f aca="false">SUM(D100:D107)</f>
        <v>2202.92159719678</v>
      </c>
      <c r="E108" s="161" t="n">
        <f aca="false">SUM(E100:E107)</f>
        <v>2595.44430837256</v>
      </c>
      <c r="F108" s="161" t="n">
        <f aca="false">SUM(F100:F107)</f>
        <v>2430.22390343219</v>
      </c>
      <c r="G108" s="161" t="n">
        <f aca="false">SUM(G100:G107)</f>
        <v>2629.75038868295</v>
      </c>
      <c r="J108" s="300"/>
      <c r="K108" s="301" t="n">
        <f aca="false">SUM(K100:K107)</f>
        <v>3129.37519782252</v>
      </c>
      <c r="L108" s="301" t="n">
        <f aca="false">SUM(L100:L107)</f>
        <v>1953.63375906326</v>
      </c>
      <c r="M108" s="301" t="n">
        <f aca="false">SUM(M100:M107)</f>
        <v>2312.2031941931</v>
      </c>
      <c r="N108" s="301" t="n">
        <f aca="false">SUM(N100:N107)</f>
        <v>2117.16430932904</v>
      </c>
      <c r="O108" s="301" t="n">
        <f aca="false">SUM(O100:O107)</f>
        <v>2278.03092018702</v>
      </c>
      <c r="R108" s="300"/>
      <c r="S108" s="301" t="n">
        <f aca="false">SUM(S100:S107)</f>
        <v>2900.03912303088</v>
      </c>
      <c r="T108" s="301" t="n">
        <f aca="false">SUM(T100:T107)</f>
        <v>1721.28660711826</v>
      </c>
      <c r="U108" s="301" t="n">
        <f aca="false">SUM(U100:U107)</f>
        <v>2060.55221773557</v>
      </c>
      <c r="V108" s="301" t="n">
        <f aca="false">SUM(V100:V107)</f>
        <v>1848.16402885504</v>
      </c>
      <c r="W108" s="301" t="n">
        <f aca="false">SUM(W100:W107)</f>
        <v>1986.03684758957</v>
      </c>
    </row>
    <row r="109" customFormat="false" ht="15" hidden="false" customHeight="true" outlineLevel="0" collapsed="false">
      <c r="A109" s="154"/>
      <c r="B109" s="154"/>
      <c r="C109" s="154"/>
      <c r="D109" s="154"/>
      <c r="E109" s="154"/>
      <c r="F109" s="154"/>
      <c r="G109" s="154"/>
      <c r="J109" s="298"/>
      <c r="K109" s="298"/>
      <c r="L109" s="298"/>
      <c r="M109" s="298"/>
      <c r="N109" s="298"/>
      <c r="O109" s="298"/>
      <c r="R109" s="298"/>
      <c r="S109" s="298"/>
      <c r="T109" s="298"/>
      <c r="U109" s="298"/>
      <c r="V109" s="298"/>
      <c r="W109" s="298"/>
    </row>
    <row r="110" customFormat="false" ht="15" hidden="false" customHeight="true" outlineLevel="0" collapsed="false">
      <c r="A110" s="283" t="s">
        <v>2625</v>
      </c>
      <c r="B110" s="152" t="s">
        <v>1428</v>
      </c>
      <c r="C110" s="152" t="s">
        <v>1429</v>
      </c>
      <c r="D110" s="152" t="s">
        <v>1430</v>
      </c>
      <c r="E110" s="152" t="s">
        <v>1431</v>
      </c>
      <c r="F110" s="152" t="s">
        <v>1432</v>
      </c>
      <c r="G110" s="152" t="s">
        <v>1433</v>
      </c>
      <c r="J110" s="300" t="s">
        <v>1428</v>
      </c>
      <c r="K110" s="300" t="s">
        <v>1429</v>
      </c>
      <c r="L110" s="300" t="s">
        <v>1430</v>
      </c>
      <c r="M110" s="300" t="s">
        <v>1431</v>
      </c>
      <c r="N110" s="300" t="s">
        <v>1432</v>
      </c>
      <c r="O110" s="300" t="s">
        <v>1433</v>
      </c>
      <c r="R110" s="300" t="s">
        <v>1428</v>
      </c>
      <c r="S110" s="300" t="s">
        <v>1429</v>
      </c>
      <c r="T110" s="300" t="s">
        <v>1430</v>
      </c>
      <c r="U110" s="300" t="s">
        <v>1431</v>
      </c>
      <c r="V110" s="300" t="s">
        <v>1432</v>
      </c>
      <c r="W110" s="300" t="s">
        <v>1433</v>
      </c>
    </row>
    <row r="111" customFormat="false" ht="15" hidden="false" customHeight="true" outlineLevel="0" collapsed="false">
      <c r="A111" s="152" t="s">
        <v>1517</v>
      </c>
      <c r="B111" s="152"/>
      <c r="C111" s="161" t="n">
        <f aca="false">C73</f>
        <v>8168.31196811093</v>
      </c>
      <c r="D111" s="161" t="n">
        <f aca="false">D73</f>
        <v>8053.39058003268</v>
      </c>
      <c r="E111" s="161" t="n">
        <f aca="false">E73</f>
        <v>8158.86963973687</v>
      </c>
      <c r="F111" s="161" t="n">
        <f aca="false">F73</f>
        <v>8370.3449570077</v>
      </c>
      <c r="G111" s="161" t="n">
        <f aca="false">G73</f>
        <v>8656.29243235078</v>
      </c>
      <c r="J111" s="302"/>
      <c r="K111" s="297" t="n">
        <f aca="false">K73</f>
        <v>7695.70522736961</v>
      </c>
      <c r="L111" s="297" t="n">
        <f aca="false">L73</f>
        <v>7541.62395564329</v>
      </c>
      <c r="M111" s="297" t="n">
        <f aca="false">M73</f>
        <v>7593.5039164933</v>
      </c>
      <c r="N111" s="297" t="n">
        <f aca="false">N73</f>
        <v>7740.22783576996</v>
      </c>
      <c r="O111" s="297" t="n">
        <f aca="false">O73</f>
        <v>7950.65403854719</v>
      </c>
      <c r="R111" s="302"/>
      <c r="S111" s="297" t="n">
        <f aca="false">S73</f>
        <v>7244.71730240042</v>
      </c>
      <c r="T111" s="297" t="n">
        <f aca="false">T73</f>
        <v>7072.00563385258</v>
      </c>
      <c r="U111" s="297" t="n">
        <f aca="false">U73</f>
        <v>7093.03954313156</v>
      </c>
      <c r="V111" s="297" t="n">
        <f aca="false">V73</f>
        <v>7200.84272130401</v>
      </c>
      <c r="W111" s="297" t="n">
        <f aca="false">W73</f>
        <v>7365.33935483415</v>
      </c>
    </row>
    <row r="112" customFormat="false" ht="15" hidden="false" customHeight="true" outlineLevel="0" collapsed="false">
      <c r="A112" s="152" t="s">
        <v>2626</v>
      </c>
      <c r="B112" s="152"/>
      <c r="C112" s="161" t="n">
        <f aca="false">-C111*C55</f>
        <v>-2185.18846927149</v>
      </c>
      <c r="D112" s="161" t="n">
        <f aca="false">-D111*D55</f>
        <v>-2182.63154332679</v>
      </c>
      <c r="E112" s="161" t="n">
        <f aca="false">-E111*E55</f>
        <v>-2257.42462286561</v>
      </c>
      <c r="F112" s="161" t="n">
        <f aca="false">-F111*F55</f>
        <v>-2363.34012573579</v>
      </c>
      <c r="G112" s="161" t="n">
        <f aca="false">-G111*G55</f>
        <v>-2493.0996585553</v>
      </c>
      <c r="J112" s="302"/>
      <c r="K112" s="297" t="n">
        <f aca="false">-K111*K55</f>
        <v>-2058.75661843135</v>
      </c>
      <c r="L112" s="297" t="n">
        <f aca="false">-L111*L55</f>
        <v>-2043.93244930997</v>
      </c>
      <c r="M112" s="297" t="n">
        <f aca="false">-M111*M55</f>
        <v>-2100.99725474609</v>
      </c>
      <c r="N112" s="297" t="n">
        <f aca="false">-N111*N55</f>
        <v>-2185.42857200854</v>
      </c>
      <c r="O112" s="297" t="n">
        <f aca="false">-O111*O55</f>
        <v>-2289.86867341892</v>
      </c>
      <c r="R112" s="302"/>
      <c r="S112" s="297" t="n">
        <f aca="false">-S111*S55</f>
        <v>-1938.10823755771</v>
      </c>
      <c r="T112" s="297" t="n">
        <f aca="false">-T111*T55</f>
        <v>-1916.65639678547</v>
      </c>
      <c r="U112" s="297" t="n">
        <f aca="false">-U111*U55</f>
        <v>-1962.52701938513</v>
      </c>
      <c r="V112" s="297" t="n">
        <f aca="false">-V111*V55</f>
        <v>-2033.13491018344</v>
      </c>
      <c r="W112" s="297" t="n">
        <f aca="false">-W111*W55</f>
        <v>-2121.29213218993</v>
      </c>
    </row>
    <row r="113" customFormat="false" ht="15" hidden="false" customHeight="true" outlineLevel="0" collapsed="false">
      <c r="A113" s="152" t="s">
        <v>2627</v>
      </c>
      <c r="B113" s="152"/>
      <c r="C113" s="161" t="n">
        <f aca="false">C111+C112</f>
        <v>5983.12349883944</v>
      </c>
      <c r="D113" s="161" t="n">
        <f aca="false">D111+D112</f>
        <v>5870.75903670588</v>
      </c>
      <c r="E113" s="161" t="n">
        <f aca="false">E111+E112</f>
        <v>5901.44501687126</v>
      </c>
      <c r="F113" s="161" t="n">
        <f aca="false">F111+F112</f>
        <v>6007.00483127191</v>
      </c>
      <c r="G113" s="161" t="n">
        <f aca="false">G111+G112</f>
        <v>6163.19277379548</v>
      </c>
      <c r="J113" s="302"/>
      <c r="K113" s="297" t="n">
        <f aca="false">K111+K112</f>
        <v>5636.94860893826</v>
      </c>
      <c r="L113" s="297" t="n">
        <f aca="false">L111+L112</f>
        <v>5497.69150633332</v>
      </c>
      <c r="M113" s="297" t="n">
        <f aca="false">M111+M112</f>
        <v>5492.50666174721</v>
      </c>
      <c r="N113" s="297" t="n">
        <f aca="false">N111+N112</f>
        <v>5554.79926376142</v>
      </c>
      <c r="O113" s="297" t="n">
        <f aca="false">O111+O112</f>
        <v>5660.78536512827</v>
      </c>
      <c r="R113" s="302"/>
      <c r="S113" s="297" t="n">
        <f aca="false">S111+S112</f>
        <v>5306.60906484271</v>
      </c>
      <c r="T113" s="297" t="n">
        <f aca="false">T111+T112</f>
        <v>5155.34923706712</v>
      </c>
      <c r="U113" s="297" t="n">
        <f aca="false">U111+U112</f>
        <v>5130.51252374643</v>
      </c>
      <c r="V113" s="297" t="n">
        <f aca="false">V111+V112</f>
        <v>5167.70781112057</v>
      </c>
      <c r="W113" s="297" t="n">
        <f aca="false">W111+W112</f>
        <v>5244.04722264422</v>
      </c>
    </row>
    <row r="114" customFormat="false" ht="15" hidden="false" customHeight="true" outlineLevel="0" collapsed="false">
      <c r="A114" s="152" t="s">
        <v>154</v>
      </c>
      <c r="B114" s="152"/>
      <c r="C114" s="161" t="n">
        <f aca="false">C101</f>
        <v>4154.83684858293</v>
      </c>
      <c r="D114" s="161" t="n">
        <f aca="false">D101</f>
        <v>4114.421145617</v>
      </c>
      <c r="E114" s="161" t="n">
        <f aca="false">E101</f>
        <v>4176.82756767745</v>
      </c>
      <c r="F114" s="161" t="n">
        <f aca="false">F101</f>
        <v>4291.14538685912</v>
      </c>
      <c r="G114" s="161" t="n">
        <f aca="false">G101</f>
        <v>4441.20936675033</v>
      </c>
      <c r="J114" s="302"/>
      <c r="K114" s="297" t="n">
        <f aca="false">K101</f>
        <v>4130.01270581607</v>
      </c>
      <c r="L114" s="297" t="n">
        <f aca="false">L101</f>
        <v>4066.13220394458</v>
      </c>
      <c r="M114" s="297" t="n">
        <f aca="false">M101</f>
        <v>4102.78286859152</v>
      </c>
      <c r="N114" s="297" t="n">
        <f aca="false">N101</f>
        <v>4188.14199729641</v>
      </c>
      <c r="O114" s="297" t="n">
        <f aca="false">O101</f>
        <v>4305.39317115882</v>
      </c>
      <c r="R114" s="302"/>
      <c r="S114" s="297" t="n">
        <f aca="false">S101</f>
        <v>4114.57329994888</v>
      </c>
      <c r="T114" s="297" t="n">
        <f aca="false">T101</f>
        <v>4036.24257865109</v>
      </c>
      <c r="U114" s="297" t="n">
        <f aca="false">U101</f>
        <v>4057.1749458467</v>
      </c>
      <c r="V114" s="297" t="n">
        <f aca="false">V101</f>
        <v>4125.02093153127</v>
      </c>
      <c r="W114" s="297" t="n">
        <f aca="false">W101</f>
        <v>4222.61114063435</v>
      </c>
    </row>
    <row r="115" customFormat="false" ht="15" hidden="false" customHeight="true" outlineLevel="0" collapsed="false">
      <c r="A115" s="152" t="s">
        <v>99</v>
      </c>
      <c r="B115" s="152"/>
      <c r="C115" s="161" t="n">
        <f aca="false">C104</f>
        <v>-3838.24222469975</v>
      </c>
      <c r="D115" s="161" t="n">
        <f aca="false">D104</f>
        <v>-3339.8166629643</v>
      </c>
      <c r="E115" s="161" t="n">
        <f aca="false">E104</f>
        <v>-3381.89546520494</v>
      </c>
      <c r="F115" s="161" t="n">
        <f aca="false">F104</f>
        <v>-3465.65463472517</v>
      </c>
      <c r="G115" s="161" t="n">
        <f aca="false">G104</f>
        <v>-3577.75324466378</v>
      </c>
      <c r="J115" s="302"/>
      <c r="K115" s="297" t="n">
        <f aca="false">K104</f>
        <v>-3832.0389791448</v>
      </c>
      <c r="L115" s="297" t="n">
        <f aca="false">L104</f>
        <v>-3300.61887393722</v>
      </c>
      <c r="M115" s="297" t="n">
        <f aca="false">M104</f>
        <v>-3321.94292275407</v>
      </c>
      <c r="N115" s="297" t="n">
        <f aca="false">N104</f>
        <v>-3382.46608196171</v>
      </c>
      <c r="O115" s="297" t="n">
        <f aca="false">O104</f>
        <v>-3468.34231752008</v>
      </c>
      <c r="R115" s="302"/>
      <c r="S115" s="297" t="n">
        <f aca="false">S104</f>
        <v>-3828.18086300696</v>
      </c>
      <c r="T115" s="297" t="n">
        <f aca="false">T104</f>
        <v>-3276.35644063933</v>
      </c>
      <c r="U115" s="297" t="n">
        <f aca="false">U104</f>
        <v>-3285.01508108261</v>
      </c>
      <c r="V115" s="297" t="n">
        <f aca="false">V104</f>
        <v>-3331.48766142447</v>
      </c>
      <c r="W115" s="297" t="n">
        <f aca="false">W104</f>
        <v>-3401.65469848412</v>
      </c>
    </row>
    <row r="116" customFormat="false" ht="15" hidden="false" customHeight="true" outlineLevel="0" collapsed="false">
      <c r="A116" s="152" t="s">
        <v>2628</v>
      </c>
      <c r="B116" s="152"/>
      <c r="C116" s="161" t="n">
        <f aca="false">C102+C103+C105</f>
        <v>75.4779577940853</v>
      </c>
      <c r="D116" s="161" t="n">
        <f aca="false">D102+D103+D105</f>
        <v>-5.54699558531593</v>
      </c>
      <c r="E116" s="161" t="n">
        <f aca="false">E102+E103+E105</f>
        <v>262.011087442556</v>
      </c>
      <c r="F116" s="161" t="n">
        <f aca="false">F102+F103+F105</f>
        <v>-89.646551338873</v>
      </c>
      <c r="G116" s="161" t="n">
        <f aca="false">G102+G103+G105</f>
        <v>-118.237094572002</v>
      </c>
      <c r="J116" s="302"/>
      <c r="K116" s="297" t="n">
        <f aca="false">K102+K103+K105</f>
        <v>97.0798253579187</v>
      </c>
      <c r="L116" s="297" t="n">
        <f aca="false">L102+L103+L105</f>
        <v>15.3498469656297</v>
      </c>
      <c r="M116" s="297" t="n">
        <f aca="false">M102+M103+M105</f>
        <v>279.060067797571</v>
      </c>
      <c r="N116" s="297" t="n">
        <f aca="false">N102+N103+N105</f>
        <v>-66.4125550446124</v>
      </c>
      <c r="O116" s="297" t="n">
        <f aca="false">O102+O103+O105</f>
        <v>-91.9384841701649</v>
      </c>
      <c r="R116" s="302"/>
      <c r="S116" s="297" t="n">
        <f aca="false">S102+S103+S105</f>
        <v>110.515133232992</v>
      </c>
      <c r="T116" s="297" t="n">
        <f aca="false">T102+T103+T105</f>
        <v>28.2201584889899</v>
      </c>
      <c r="U116" s="297" t="n">
        <f aca="false">U102+U103+U105</f>
        <v>289.432920998878</v>
      </c>
      <c r="V116" s="297" t="n">
        <f aca="false">V102+V103+V105</f>
        <v>-52.3619369166909</v>
      </c>
      <c r="W116" s="297" t="n">
        <f aca="false">W102+W103+W105</f>
        <v>-76.1814798465093</v>
      </c>
    </row>
    <row r="117" customFormat="false" ht="15" hidden="false" customHeight="true" outlineLevel="0" collapsed="false">
      <c r="A117" s="152" t="s">
        <v>2629</v>
      </c>
      <c r="B117" s="152"/>
      <c r="C117" s="161" t="n">
        <f aca="false">SUM(C113:C116)</f>
        <v>6375.1960805167</v>
      </c>
      <c r="D117" s="161" t="n">
        <f aca="false">SUM(D113:D116)</f>
        <v>6639.81652377327</v>
      </c>
      <c r="E117" s="161" t="n">
        <f aca="false">SUM(E113:E116)</f>
        <v>6958.38820678633</v>
      </c>
      <c r="F117" s="161" t="n">
        <f aca="false">SUM(F113:F116)</f>
        <v>6742.84903206698</v>
      </c>
      <c r="G117" s="161" t="n">
        <f aca="false">SUM(G113:G116)</f>
        <v>6908.41180131003</v>
      </c>
      <c r="J117" s="300"/>
      <c r="K117" s="301" t="n">
        <f aca="false">SUM(K113:K116)</f>
        <v>6032.00216096745</v>
      </c>
      <c r="L117" s="301" t="n">
        <f aca="false">SUM(L113:L116)</f>
        <v>6278.55468330631</v>
      </c>
      <c r="M117" s="301" t="n">
        <f aca="false">SUM(M113:M116)</f>
        <v>6552.40667538223</v>
      </c>
      <c r="N117" s="301" t="n">
        <f aca="false">SUM(N113:N116)</f>
        <v>6294.0626240515</v>
      </c>
      <c r="O117" s="301" t="n">
        <f aca="false">SUM(O113:O116)</f>
        <v>6405.89773459684</v>
      </c>
      <c r="R117" s="300"/>
      <c r="S117" s="301" t="n">
        <f aca="false">SUM(S113:S116)</f>
        <v>5703.51663501762</v>
      </c>
      <c r="T117" s="301" t="n">
        <f aca="false">SUM(T113:T116)</f>
        <v>5943.45553356787</v>
      </c>
      <c r="U117" s="301" t="n">
        <f aca="false">SUM(U113:U116)</f>
        <v>6192.10530950939</v>
      </c>
      <c r="V117" s="301" t="n">
        <f aca="false">SUM(V113:V116)</f>
        <v>5908.87914431068</v>
      </c>
      <c r="W117" s="301" t="n">
        <f aca="false">SUM(W113:W116)</f>
        <v>5988.82218494793</v>
      </c>
    </row>
    <row r="118" customFormat="false" ht="15" hidden="false" customHeight="true" outlineLevel="0" collapsed="false">
      <c r="A118" s="152" t="s">
        <v>2630</v>
      </c>
      <c r="B118" s="152"/>
      <c r="C118" s="163" t="n">
        <v>1</v>
      </c>
      <c r="D118" s="163" t="n">
        <f aca="false">C118+1</f>
        <v>2</v>
      </c>
      <c r="E118" s="163" t="n">
        <f aca="false">D118+1</f>
        <v>3</v>
      </c>
      <c r="F118" s="163" t="n">
        <f aca="false">E118+1</f>
        <v>4</v>
      </c>
      <c r="G118" s="163" t="n">
        <f aca="false">F118+1</f>
        <v>5</v>
      </c>
      <c r="J118" s="302"/>
      <c r="K118" s="303" t="n">
        <v>1</v>
      </c>
      <c r="L118" s="303" t="n">
        <f aca="false">K118+1</f>
        <v>2</v>
      </c>
      <c r="M118" s="303" t="n">
        <f aca="false">L118+1</f>
        <v>3</v>
      </c>
      <c r="N118" s="303" t="n">
        <f aca="false">M118+1</f>
        <v>4</v>
      </c>
      <c r="O118" s="303" t="n">
        <f aca="false">N118+1</f>
        <v>5</v>
      </c>
      <c r="R118" s="302"/>
      <c r="S118" s="303" t="n">
        <v>1</v>
      </c>
      <c r="T118" s="303" t="n">
        <f aca="false">S118+1</f>
        <v>2</v>
      </c>
      <c r="U118" s="303" t="n">
        <f aca="false">T118+1</f>
        <v>3</v>
      </c>
      <c r="V118" s="303" t="n">
        <f aca="false">U118+1</f>
        <v>4</v>
      </c>
      <c r="W118" s="303" t="n">
        <f aca="false">V118+1</f>
        <v>5</v>
      </c>
    </row>
    <row r="119" customFormat="false" ht="15" hidden="false" customHeight="true" outlineLevel="0" collapsed="false">
      <c r="A119" s="152" t="s">
        <v>2631</v>
      </c>
      <c r="B119" s="152"/>
      <c r="C119" s="164" t="n">
        <f aca="false">1/(1+$B$126)^C118</f>
        <v>0.916017011389173</v>
      </c>
      <c r="D119" s="164" t="n">
        <f aca="false">1/(1+$B$126)^D118</f>
        <v>0.839087165154353</v>
      </c>
      <c r="E119" s="164" t="n">
        <f aca="false">1/(1+$B$126)^E118</f>
        <v>0.768618117319704</v>
      </c>
      <c r="F119" s="164" t="n">
        <f aca="false">1/(1+$B$126)^F118</f>
        <v>0.704067270726768</v>
      </c>
      <c r="G119" s="164" t="n">
        <f aca="false">1/(1+$B$126)^G118</f>
        <v>0.644937597148066</v>
      </c>
      <c r="J119" s="302"/>
      <c r="K119" s="304" t="n">
        <f aca="false">1/(1+$J$126)^K118</f>
        <v>0.912133501187888</v>
      </c>
      <c r="L119" s="304" t="n">
        <f aca="false">1/(1+$J$126)^L118</f>
        <v>0.831987523989275</v>
      </c>
      <c r="M119" s="304" t="n">
        <f aca="false">1/(1+$J$126)^M118</f>
        <v>0.758883693200979</v>
      </c>
      <c r="N119" s="304" t="n">
        <f aca="false">1/(1+$J$126)^N118</f>
        <v>0.692203240073804</v>
      </c>
      <c r="O119" s="304" t="n">
        <f aca="false">1/(1+$J$126)^O118</f>
        <v>0.631381764902119</v>
      </c>
      <c r="R119" s="302"/>
      <c r="S119" s="304" t="n">
        <f aca="false">1/(1+$R$126)^S118</f>
        <v>0.906149166031206</v>
      </c>
      <c r="T119" s="304" t="n">
        <f aca="false">1/(1+$R$126)^T118</f>
        <v>0.821106311099051</v>
      </c>
      <c r="U119" s="304" t="n">
        <f aca="false">1/(1+$R$126)^U118</f>
        <v>0.744044799025365</v>
      </c>
      <c r="V119" s="304" t="n">
        <f aca="false">1/(1+$R$126)^V118</f>
        <v>0.674215574126691</v>
      </c>
      <c r="W119" s="304" t="n">
        <f aca="false">1/(1+$R$126)^W118</f>
        <v>0.610939880220152</v>
      </c>
    </row>
    <row r="120" customFormat="false" ht="15" hidden="false" customHeight="true" outlineLevel="0" collapsed="false">
      <c r="A120" s="61" t="s">
        <v>1450</v>
      </c>
      <c r="B120" s="152"/>
      <c r="C120" s="161" t="n">
        <f aca="false">C117*C119</f>
        <v>5839.78806069488</v>
      </c>
      <c r="D120" s="161" t="n">
        <f aca="false">D117*D119</f>
        <v>5571.38482407794</v>
      </c>
      <c r="E120" s="161" t="n">
        <f aca="false">E117*E119</f>
        <v>5348.34324307974</v>
      </c>
      <c r="F120" s="161" t="n">
        <f aca="false">F117*F119</f>
        <v>4747.41931493003</v>
      </c>
      <c r="G120" s="161" t="n">
        <f aca="false">G117*G119</f>
        <v>4455.49450724624</v>
      </c>
      <c r="J120" s="302"/>
      <c r="K120" s="297" t="n">
        <f aca="false">K117*K119</f>
        <v>5501.99125025615</v>
      </c>
      <c r="L120" s="297" t="n">
        <f aca="false">L117*L119</f>
        <v>5223.67916519528</v>
      </c>
      <c r="M120" s="297" t="n">
        <f aca="false">M117*M119</f>
        <v>4972.51457716882</v>
      </c>
      <c r="N120" s="297" t="n">
        <f aca="false">N117*N119</f>
        <v>4356.77054159588</v>
      </c>
      <c r="O120" s="297" t="n">
        <f aca="false">O117*O119</f>
        <v>4044.56701745224</v>
      </c>
      <c r="R120" s="302"/>
      <c r="S120" s="297" t="n">
        <f aca="false">S117*S119</f>
        <v>5168.23684226633</v>
      </c>
      <c r="T120" s="297" t="n">
        <f aca="false">T117*T119</f>
        <v>4880.20884834915</v>
      </c>
      <c r="U120" s="297" t="n">
        <f aca="false">U117*U119</f>
        <v>4607.20375055781</v>
      </c>
      <c r="V120" s="297" t="n">
        <f aca="false">V117*V119</f>
        <v>3983.85834472665</v>
      </c>
      <c r="W120" s="297" t="n">
        <f aca="false">W117*W119</f>
        <v>3658.81030833188</v>
      </c>
    </row>
    <row r="121" customFormat="false" ht="15" hidden="false" customHeight="true" outlineLevel="0" collapsed="false">
      <c r="A121" s="154"/>
      <c r="B121" s="154"/>
      <c r="C121" s="154"/>
      <c r="D121" s="154"/>
      <c r="E121" s="154"/>
      <c r="F121" s="154"/>
      <c r="G121" s="154"/>
      <c r="J121" s="298"/>
      <c r="K121" s="298"/>
      <c r="L121" s="298"/>
      <c r="M121" s="298"/>
      <c r="N121" s="298"/>
      <c r="O121" s="298"/>
      <c r="R121" s="298"/>
      <c r="S121" s="298"/>
      <c r="T121" s="298"/>
      <c r="U121" s="298"/>
      <c r="V121" s="298"/>
      <c r="W121" s="298"/>
    </row>
    <row r="122" customFormat="false" ht="15" hidden="false" customHeight="true" outlineLevel="0" collapsed="false">
      <c r="A122" s="283" t="s">
        <v>2632</v>
      </c>
      <c r="B122" s="152" t="s">
        <v>78</v>
      </c>
      <c r="C122" s="152"/>
      <c r="D122" s="152"/>
      <c r="E122" s="152"/>
      <c r="F122" s="152"/>
      <c r="G122" s="152"/>
      <c r="J122" s="300" t="s">
        <v>78</v>
      </c>
      <c r="K122" s="300"/>
      <c r="L122" s="300"/>
      <c r="M122" s="300"/>
      <c r="N122" s="300"/>
      <c r="O122" s="300"/>
      <c r="R122" s="300" t="s">
        <v>78</v>
      </c>
      <c r="S122" s="300"/>
      <c r="T122" s="300"/>
      <c r="U122" s="300"/>
      <c r="V122" s="300"/>
      <c r="W122" s="300"/>
    </row>
    <row r="123" customFormat="false" ht="15" hidden="false" customHeight="true" outlineLevel="0" collapsed="false">
      <c r="A123" s="152" t="s">
        <v>2164</v>
      </c>
      <c r="B123" s="155" t="n">
        <f aca="false">Escenarios!$D$11</f>
        <v>0.04</v>
      </c>
      <c r="C123" s="152"/>
      <c r="D123" s="152"/>
      <c r="E123" s="152"/>
      <c r="F123" s="152"/>
      <c r="G123" s="152"/>
      <c r="J123" s="296" t="n">
        <f aca="false">Escenarios!$C$11</f>
        <v>0.035</v>
      </c>
      <c r="K123" s="302"/>
      <c r="L123" s="302"/>
      <c r="M123" s="302"/>
      <c r="N123" s="302"/>
      <c r="O123" s="302"/>
      <c r="R123" s="296" t="n">
        <f aca="false">Escenarios!$B$11</f>
        <v>0.03</v>
      </c>
      <c r="S123" s="302"/>
      <c r="T123" s="302"/>
      <c r="U123" s="302"/>
      <c r="V123" s="302"/>
      <c r="W123" s="302"/>
    </row>
    <row r="124" customFormat="false" ht="15" hidden="false" customHeight="true" outlineLevel="0" collapsed="false">
      <c r="A124" s="152" t="s">
        <v>5</v>
      </c>
      <c r="B124" s="155" t="n">
        <f aca="false">B220</f>
        <v>0.0916827827066917</v>
      </c>
      <c r="C124" s="152"/>
      <c r="D124" s="152"/>
      <c r="E124" s="152"/>
      <c r="F124" s="152"/>
      <c r="G124" s="152"/>
      <c r="J124" s="296" t="n">
        <f aca="false">J220</f>
        <v>0.0963307440168374</v>
      </c>
      <c r="K124" s="302"/>
      <c r="L124" s="302"/>
      <c r="M124" s="302"/>
      <c r="N124" s="302"/>
      <c r="O124" s="302"/>
      <c r="R124" s="296" t="n">
        <f aca="false">R220</f>
        <v>0.103571064772753</v>
      </c>
      <c r="S124" s="302"/>
      <c r="T124" s="302"/>
      <c r="U124" s="302"/>
      <c r="V124" s="302"/>
      <c r="W124" s="302"/>
    </row>
    <row r="125" customFormat="false" ht="15" hidden="false" customHeight="true" outlineLevel="0" collapsed="false">
      <c r="A125" s="152"/>
      <c r="B125" s="155"/>
      <c r="C125" s="152"/>
      <c r="D125" s="152"/>
      <c r="E125" s="152"/>
      <c r="F125" s="152"/>
      <c r="G125" s="152"/>
      <c r="J125" s="296" t="n">
        <v>0</v>
      </c>
      <c r="K125" s="302"/>
      <c r="L125" s="302"/>
      <c r="M125" s="302"/>
      <c r="N125" s="302"/>
      <c r="O125" s="302"/>
      <c r="R125" s="296" t="n">
        <v>0</v>
      </c>
      <c r="S125" s="302"/>
      <c r="T125" s="302"/>
      <c r="U125" s="302"/>
      <c r="V125" s="302"/>
      <c r="W125" s="302"/>
    </row>
    <row r="126" customFormat="false" ht="15" hidden="false" customHeight="true" outlineLevel="0" collapsed="false">
      <c r="A126" s="152" t="s">
        <v>1906</v>
      </c>
      <c r="B126" s="155" t="n">
        <f aca="false">B124+B125</f>
        <v>0.0916827827066917</v>
      </c>
      <c r="C126" s="152"/>
      <c r="D126" s="152"/>
      <c r="E126" s="152"/>
      <c r="F126" s="152"/>
      <c r="G126" s="152"/>
      <c r="J126" s="296" t="n">
        <f aca="false">J124+J125</f>
        <v>0.0963307440168374</v>
      </c>
      <c r="K126" s="302"/>
      <c r="L126" s="302"/>
      <c r="M126" s="302"/>
      <c r="N126" s="302"/>
      <c r="O126" s="302"/>
      <c r="R126" s="296" t="n">
        <f aca="false">R124+R125</f>
        <v>0.103571064772753</v>
      </c>
      <c r="S126" s="302"/>
      <c r="T126" s="302"/>
      <c r="U126" s="302"/>
      <c r="V126" s="302"/>
      <c r="W126" s="302"/>
    </row>
    <row r="127" customFormat="false" ht="15" hidden="false" customHeight="true" outlineLevel="0" collapsed="false">
      <c r="A127" s="152" t="s">
        <v>2633</v>
      </c>
      <c r="B127" s="161" t="n">
        <f aca="false">G117</f>
        <v>6908.41180131003</v>
      </c>
      <c r="C127" s="152"/>
      <c r="D127" s="152"/>
      <c r="E127" s="152"/>
      <c r="F127" s="152"/>
      <c r="G127" s="152"/>
      <c r="J127" s="297" t="n">
        <f aca="false">O117</f>
        <v>6405.89773459684</v>
      </c>
      <c r="K127" s="302"/>
      <c r="L127" s="302"/>
      <c r="M127" s="302"/>
      <c r="N127" s="302"/>
      <c r="O127" s="302"/>
      <c r="R127" s="297" t="n">
        <f aca="false">W117</f>
        <v>5988.82218494793</v>
      </c>
      <c r="S127" s="302"/>
      <c r="T127" s="302"/>
      <c r="U127" s="302"/>
      <c r="V127" s="302"/>
      <c r="W127" s="302"/>
    </row>
    <row r="128" customFormat="false" ht="15" hidden="false" customHeight="true" outlineLevel="0" collapsed="false">
      <c r="A128" s="152" t="s">
        <v>2634</v>
      </c>
      <c r="B128" s="161" t="n">
        <f aca="false">B127*(1+B123)</f>
        <v>7184.74827336243</v>
      </c>
      <c r="C128" s="152"/>
      <c r="D128" s="152"/>
      <c r="E128" s="152"/>
      <c r="F128" s="152"/>
      <c r="G128" s="152"/>
      <c r="J128" s="297" t="n">
        <f aca="false">J127*(1+J123)</f>
        <v>6630.10415530773</v>
      </c>
      <c r="K128" s="302"/>
      <c r="L128" s="302"/>
      <c r="M128" s="302"/>
      <c r="N128" s="302"/>
      <c r="O128" s="302"/>
      <c r="R128" s="297" t="n">
        <f aca="false">R127*(1+R123)</f>
        <v>6168.48685049637</v>
      </c>
      <c r="S128" s="302"/>
      <c r="T128" s="302"/>
      <c r="U128" s="302"/>
      <c r="V128" s="302"/>
      <c r="W128" s="302"/>
    </row>
    <row r="129" customFormat="false" ht="15" hidden="false" customHeight="true" outlineLevel="0" collapsed="false">
      <c r="A129" s="152" t="s">
        <v>2635</v>
      </c>
      <c r="B129" s="161" t="n">
        <f aca="false">IF(B126&gt;B123,B128/(B126-B123),"REVISAR WACC/g")</f>
        <v>139016.28157557</v>
      </c>
      <c r="C129" s="152"/>
      <c r="D129" s="152"/>
      <c r="E129" s="152"/>
      <c r="F129" s="152"/>
      <c r="G129" s="152"/>
      <c r="J129" s="301" t="n">
        <f aca="false">IF(J126&gt;J123,J128/(J126-J123),"REVISAR WACC/g")</f>
        <v>108104.088114234</v>
      </c>
      <c r="K129" s="300"/>
      <c r="L129" s="300"/>
      <c r="M129" s="300"/>
      <c r="N129" s="300"/>
      <c r="O129" s="300"/>
      <c r="R129" s="301" t="n">
        <f aca="false">IF(R126&gt;R123,R128/(R126-R123),"REVISAR WACC/g")</f>
        <v>83843.9251837619</v>
      </c>
      <c r="S129" s="300"/>
      <c r="T129" s="300"/>
      <c r="U129" s="300"/>
      <c r="V129" s="300"/>
      <c r="W129" s="300"/>
    </row>
    <row r="130" customFormat="false" ht="15" hidden="false" customHeight="true" outlineLevel="0" collapsed="false">
      <c r="A130" s="152" t="s">
        <v>2636</v>
      </c>
      <c r="B130" s="164" t="n">
        <f aca="false">G119</f>
        <v>0.644937597148066</v>
      </c>
      <c r="C130" s="152"/>
      <c r="D130" s="152"/>
      <c r="E130" s="152"/>
      <c r="F130" s="152"/>
      <c r="G130" s="152"/>
      <c r="J130" s="304" t="n">
        <f aca="false">O119</f>
        <v>0.631381764902119</v>
      </c>
      <c r="K130" s="302"/>
      <c r="L130" s="302"/>
      <c r="M130" s="302"/>
      <c r="N130" s="302"/>
      <c r="O130" s="302"/>
      <c r="R130" s="304" t="n">
        <f aca="false">W119</f>
        <v>0.610939880220152</v>
      </c>
      <c r="S130" s="302"/>
      <c r="T130" s="302"/>
      <c r="U130" s="302"/>
      <c r="V130" s="302"/>
      <c r="W130" s="302"/>
    </row>
    <row r="131" customFormat="false" ht="15" hidden="false" customHeight="true" outlineLevel="0" collapsed="false">
      <c r="A131" s="152" t="s">
        <v>2637</v>
      </c>
      <c r="B131" s="161" t="n">
        <f aca="false">B129*B130</f>
        <v>89656.8266038068</v>
      </c>
      <c r="C131" s="152"/>
      <c r="D131" s="152"/>
      <c r="E131" s="152"/>
      <c r="F131" s="152"/>
      <c r="G131" s="152"/>
      <c r="J131" s="297" t="n">
        <f aca="false">J129*J130</f>
        <v>68254.9499466993</v>
      </c>
      <c r="K131" s="302"/>
      <c r="L131" s="302"/>
      <c r="M131" s="302"/>
      <c r="N131" s="302"/>
      <c r="O131" s="302"/>
      <c r="R131" s="297" t="n">
        <f aca="false">R129*R130</f>
        <v>51223.5976089548</v>
      </c>
      <c r="S131" s="302"/>
      <c r="T131" s="302"/>
      <c r="U131" s="302"/>
      <c r="V131" s="302"/>
      <c r="W131" s="302"/>
    </row>
    <row r="132" customFormat="false" ht="15" hidden="false" customHeight="true" outlineLevel="0" collapsed="false">
      <c r="A132" s="154"/>
      <c r="B132" s="154"/>
      <c r="C132" s="154"/>
      <c r="D132" s="154"/>
      <c r="E132" s="154"/>
      <c r="F132" s="154"/>
      <c r="G132" s="154"/>
      <c r="J132" s="298"/>
      <c r="K132" s="298"/>
      <c r="L132" s="298"/>
      <c r="M132" s="298"/>
      <c r="N132" s="298"/>
      <c r="O132" s="298"/>
      <c r="R132" s="298"/>
      <c r="S132" s="298"/>
      <c r="T132" s="298"/>
      <c r="U132" s="298"/>
      <c r="V132" s="298"/>
      <c r="W132" s="298"/>
    </row>
    <row r="133" customFormat="false" ht="15" hidden="false" customHeight="true" outlineLevel="0" collapsed="false">
      <c r="A133" s="283" t="s">
        <v>2638</v>
      </c>
      <c r="B133" s="152" t="s">
        <v>78</v>
      </c>
      <c r="C133" s="152"/>
      <c r="D133" s="152"/>
      <c r="E133" s="152"/>
      <c r="F133" s="152"/>
      <c r="G133" s="152"/>
      <c r="J133" s="300" t="s">
        <v>78</v>
      </c>
      <c r="K133" s="300"/>
      <c r="L133" s="300"/>
      <c r="M133" s="300"/>
      <c r="N133" s="300"/>
      <c r="O133" s="300"/>
      <c r="R133" s="300" t="s">
        <v>78</v>
      </c>
      <c r="S133" s="300"/>
      <c r="T133" s="300"/>
      <c r="U133" s="300"/>
      <c r="V133" s="300"/>
      <c r="W133" s="300"/>
    </row>
    <row r="134" customFormat="false" ht="15" hidden="false" customHeight="true" outlineLevel="0" collapsed="false">
      <c r="A134" s="152" t="s">
        <v>2639</v>
      </c>
      <c r="B134" s="161" t="n">
        <f aca="false">SUM(C120:G120)</f>
        <v>25962.4299500288</v>
      </c>
      <c r="C134" s="152"/>
      <c r="D134" s="152"/>
      <c r="E134" s="152"/>
      <c r="F134" s="152"/>
      <c r="G134" s="152"/>
      <c r="J134" s="297" t="n">
        <f aca="false">SUM(K120:O120)</f>
        <v>24099.5225516684</v>
      </c>
      <c r="K134" s="302"/>
      <c r="L134" s="302"/>
      <c r="M134" s="302"/>
      <c r="N134" s="302"/>
      <c r="O134" s="302"/>
      <c r="R134" s="297" t="n">
        <f aca="false">SUM(S120:W120)</f>
        <v>22298.3180942318</v>
      </c>
      <c r="S134" s="302"/>
      <c r="T134" s="302"/>
      <c r="U134" s="302"/>
      <c r="V134" s="302"/>
      <c r="W134" s="302"/>
    </row>
    <row r="135" customFormat="false" ht="15" hidden="false" customHeight="true" outlineLevel="0" collapsed="false">
      <c r="A135" s="152" t="s">
        <v>2640</v>
      </c>
      <c r="B135" s="161" t="n">
        <f aca="false">B131</f>
        <v>89656.8266038068</v>
      </c>
      <c r="C135" s="152"/>
      <c r="D135" s="152"/>
      <c r="E135" s="152"/>
      <c r="F135" s="152"/>
      <c r="G135" s="152"/>
      <c r="J135" s="297" t="n">
        <f aca="false">J131</f>
        <v>68254.9499466993</v>
      </c>
      <c r="K135" s="302"/>
      <c r="L135" s="302"/>
      <c r="M135" s="302"/>
      <c r="N135" s="302"/>
      <c r="O135" s="302"/>
      <c r="R135" s="297" t="n">
        <f aca="false">R131</f>
        <v>51223.5976089548</v>
      </c>
      <c r="S135" s="302"/>
      <c r="T135" s="302"/>
      <c r="U135" s="302"/>
      <c r="V135" s="302"/>
      <c r="W135" s="302"/>
    </row>
    <row r="136" customFormat="false" ht="15" hidden="false" customHeight="true" outlineLevel="0" collapsed="false">
      <c r="A136" s="152" t="s">
        <v>2641</v>
      </c>
      <c r="B136" s="161" t="n">
        <f aca="false">B134+B135</f>
        <v>115619.256553836</v>
      </c>
      <c r="C136" s="152"/>
      <c r="D136" s="152"/>
      <c r="E136" s="152"/>
      <c r="F136" s="152"/>
      <c r="G136" s="152"/>
      <c r="J136" s="301" t="n">
        <f aca="false">J134+J135</f>
        <v>92354.4724983677</v>
      </c>
      <c r="K136" s="300"/>
      <c r="L136" s="300"/>
      <c r="M136" s="300"/>
      <c r="N136" s="300"/>
      <c r="O136" s="300"/>
      <c r="R136" s="301" t="n">
        <f aca="false">R134+R135</f>
        <v>73521.9157031867</v>
      </c>
      <c r="S136" s="300"/>
      <c r="T136" s="300"/>
      <c r="U136" s="300"/>
      <c r="V136" s="300"/>
      <c r="W136" s="300"/>
    </row>
    <row r="137" customFormat="false" ht="15" hidden="false" customHeight="true" outlineLevel="0" collapsed="false">
      <c r="A137" s="152" t="s">
        <v>1461</v>
      </c>
      <c r="B137" s="153" t="n">
        <f aca="false">B135/B136</f>
        <v>0.775448911160054</v>
      </c>
      <c r="C137" s="152"/>
      <c r="D137" s="152"/>
      <c r="E137" s="152"/>
      <c r="F137" s="152"/>
      <c r="G137" s="152"/>
      <c r="J137" s="295" t="n">
        <f aca="false">J135/J136</f>
        <v>0.739054082604453</v>
      </c>
      <c r="K137" s="302"/>
      <c r="L137" s="302"/>
      <c r="M137" s="302"/>
      <c r="N137" s="302"/>
      <c r="O137" s="302"/>
      <c r="R137" s="295" t="n">
        <f aca="false">R135/R136</f>
        <v>0.696711954782955</v>
      </c>
      <c r="S137" s="302"/>
      <c r="T137" s="302"/>
      <c r="U137" s="302"/>
      <c r="V137" s="302"/>
      <c r="W137" s="302"/>
    </row>
    <row r="138" customFormat="false" ht="15" hidden="false" customHeight="true" outlineLevel="0" collapsed="false">
      <c r="A138" s="154"/>
      <c r="B138" s="154"/>
      <c r="C138" s="154"/>
      <c r="D138" s="154"/>
      <c r="E138" s="154"/>
      <c r="F138" s="154"/>
      <c r="G138" s="154"/>
      <c r="J138" s="298"/>
      <c r="K138" s="298"/>
      <c r="L138" s="298"/>
      <c r="M138" s="298"/>
      <c r="N138" s="298"/>
      <c r="O138" s="298"/>
      <c r="R138" s="298"/>
      <c r="S138" s="298"/>
      <c r="T138" s="298"/>
      <c r="U138" s="298"/>
      <c r="V138" s="298"/>
      <c r="W138" s="298"/>
    </row>
    <row r="139" customFormat="false" ht="15" hidden="false" customHeight="true" outlineLevel="0" collapsed="false">
      <c r="A139" s="283" t="s">
        <v>2642</v>
      </c>
      <c r="B139" s="152" t="s">
        <v>78</v>
      </c>
      <c r="C139" s="152"/>
      <c r="D139" s="152"/>
      <c r="E139" s="152"/>
      <c r="F139" s="152"/>
      <c r="G139" s="152"/>
      <c r="J139" s="300" t="s">
        <v>78</v>
      </c>
      <c r="K139" s="300"/>
      <c r="L139" s="300"/>
      <c r="M139" s="300"/>
      <c r="N139" s="300"/>
      <c r="O139" s="300"/>
      <c r="R139" s="300" t="s">
        <v>78</v>
      </c>
      <c r="S139" s="300"/>
      <c r="T139" s="300"/>
      <c r="U139" s="300"/>
      <c r="V139" s="300"/>
      <c r="W139" s="300"/>
    </row>
    <row r="140" customFormat="false" ht="15" hidden="false" customHeight="true" outlineLevel="0" collapsed="false">
      <c r="A140" s="152" t="s">
        <v>2268</v>
      </c>
      <c r="B140" s="161" t="n">
        <f aca="false">B136</f>
        <v>115619.256553836</v>
      </c>
      <c r="C140" s="152"/>
      <c r="D140" s="152"/>
      <c r="E140" s="152"/>
      <c r="F140" s="152"/>
      <c r="G140" s="152"/>
      <c r="J140" s="297" t="n">
        <f aca="false">J136</f>
        <v>92354.4724983677</v>
      </c>
      <c r="K140" s="302"/>
      <c r="L140" s="302"/>
      <c r="M140" s="302"/>
      <c r="N140" s="302"/>
      <c r="O140" s="302"/>
      <c r="R140" s="297" t="n">
        <f aca="false">R136</f>
        <v>73521.9157031867</v>
      </c>
      <c r="S140" s="302"/>
      <c r="T140" s="302"/>
      <c r="U140" s="302"/>
      <c r="V140" s="302"/>
      <c r="W140" s="302"/>
    </row>
    <row r="141" customFormat="false" ht="15" hidden="false" customHeight="true" outlineLevel="0" collapsed="false">
      <c r="A141" s="152" t="s">
        <v>2643</v>
      </c>
      <c r="B141" s="161" t="n">
        <f aca="false">-B91</f>
        <v>-11500</v>
      </c>
      <c r="C141" s="152"/>
      <c r="D141" s="152"/>
      <c r="E141" s="152"/>
      <c r="F141" s="152"/>
      <c r="G141" s="152"/>
      <c r="J141" s="297" t="n">
        <f aca="false">-J91</f>
        <v>-11500</v>
      </c>
      <c r="K141" s="302"/>
      <c r="L141" s="302"/>
      <c r="M141" s="302"/>
      <c r="N141" s="302"/>
      <c r="O141" s="302"/>
      <c r="R141" s="297" t="n">
        <f aca="false">-R91</f>
        <v>-11500</v>
      </c>
      <c r="S141" s="302"/>
      <c r="T141" s="302"/>
      <c r="U141" s="302"/>
      <c r="V141" s="302"/>
      <c r="W141" s="302"/>
    </row>
    <row r="142" customFormat="false" ht="15" hidden="false" customHeight="true" outlineLevel="0" collapsed="false">
      <c r="A142" s="152" t="s">
        <v>2644</v>
      </c>
      <c r="B142" s="161" t="n">
        <f aca="false">-B92</f>
        <v>-12118</v>
      </c>
      <c r="C142" s="152"/>
      <c r="D142" s="152"/>
      <c r="E142" s="152"/>
      <c r="F142" s="152"/>
      <c r="G142" s="152"/>
      <c r="J142" s="297" t="n">
        <f aca="false">-J92</f>
        <v>-12118</v>
      </c>
      <c r="K142" s="302"/>
      <c r="L142" s="302"/>
      <c r="M142" s="302"/>
      <c r="N142" s="302"/>
      <c r="O142" s="302"/>
      <c r="R142" s="297" t="n">
        <f aca="false">-R92</f>
        <v>-12118</v>
      </c>
      <c r="S142" s="302"/>
      <c r="T142" s="302"/>
      <c r="U142" s="302"/>
      <c r="V142" s="302"/>
      <c r="W142" s="302"/>
    </row>
    <row r="143" customFormat="false" ht="15" hidden="false" customHeight="true" outlineLevel="0" collapsed="false">
      <c r="A143" s="152" t="s">
        <v>2645</v>
      </c>
      <c r="B143" s="161" t="n">
        <f aca="false">B84</f>
        <v>9295</v>
      </c>
      <c r="C143" s="152"/>
      <c r="D143" s="152"/>
      <c r="E143" s="152"/>
      <c r="F143" s="152"/>
      <c r="G143" s="152"/>
      <c r="J143" s="297" t="n">
        <f aca="false">J84</f>
        <v>9295</v>
      </c>
      <c r="K143" s="302"/>
      <c r="L143" s="302"/>
      <c r="M143" s="302"/>
      <c r="N143" s="302"/>
      <c r="O143" s="302"/>
      <c r="R143" s="297" t="n">
        <f aca="false">R84</f>
        <v>9295</v>
      </c>
      <c r="S143" s="302"/>
      <c r="T143" s="302"/>
      <c r="U143" s="302"/>
      <c r="V143" s="302"/>
      <c r="W143" s="302"/>
    </row>
    <row r="144" customFormat="false" ht="15" hidden="false" customHeight="true" outlineLevel="0" collapsed="false">
      <c r="A144" s="152" t="s">
        <v>1456</v>
      </c>
      <c r="B144" s="161" t="n">
        <f aca="false">-(B141+B142+B143)</f>
        <v>14323</v>
      </c>
      <c r="C144" s="152"/>
      <c r="D144" s="152"/>
      <c r="E144" s="152"/>
      <c r="F144" s="152"/>
      <c r="G144" s="152"/>
      <c r="J144" s="297" t="n">
        <f aca="false">-(J141+J142+J143)</f>
        <v>14323</v>
      </c>
      <c r="K144" s="302"/>
      <c r="L144" s="302"/>
      <c r="M144" s="302"/>
      <c r="N144" s="302"/>
      <c r="O144" s="302"/>
      <c r="R144" s="297" t="n">
        <f aca="false">-(R141+R142+R143)</f>
        <v>14323</v>
      </c>
      <c r="S144" s="302"/>
      <c r="T144" s="302"/>
      <c r="U144" s="302"/>
      <c r="V144" s="302"/>
      <c r="W144" s="302"/>
    </row>
    <row r="145" customFormat="false" ht="15" hidden="false" customHeight="true" outlineLevel="0" collapsed="false">
      <c r="A145" s="152" t="s">
        <v>1921</v>
      </c>
      <c r="B145" s="161" t="n">
        <f aca="false">SUM(B140:B143)</f>
        <v>101296.256553836</v>
      </c>
      <c r="C145" s="152"/>
      <c r="D145" s="152"/>
      <c r="E145" s="152"/>
      <c r="F145" s="152"/>
      <c r="G145" s="152"/>
      <c r="J145" s="301" t="n">
        <f aca="false">SUM(J140:J143)</f>
        <v>78031.4724983677</v>
      </c>
      <c r="K145" s="300"/>
      <c r="L145" s="300"/>
      <c r="M145" s="300"/>
      <c r="N145" s="300"/>
      <c r="O145" s="300"/>
      <c r="R145" s="301" t="n">
        <f aca="false">SUM(R140:R143)</f>
        <v>59198.9157031867</v>
      </c>
      <c r="S145" s="300"/>
      <c r="T145" s="300"/>
      <c r="U145" s="300"/>
      <c r="V145" s="300"/>
      <c r="W145" s="300"/>
    </row>
    <row r="146" customFormat="false" ht="15" hidden="false" customHeight="true" outlineLevel="0" collapsed="false">
      <c r="A146" s="154"/>
      <c r="B146" s="154"/>
      <c r="C146" s="154"/>
      <c r="D146" s="154"/>
      <c r="E146" s="154"/>
      <c r="F146" s="154"/>
      <c r="G146" s="154"/>
      <c r="J146" s="298"/>
      <c r="K146" s="298"/>
      <c r="L146" s="298"/>
      <c r="M146" s="298"/>
      <c r="N146" s="298"/>
      <c r="O146" s="298"/>
      <c r="R146" s="298"/>
      <c r="S146" s="298"/>
      <c r="T146" s="298"/>
      <c r="U146" s="298"/>
      <c r="V146" s="298"/>
      <c r="W146" s="298"/>
    </row>
    <row r="147" customFormat="false" ht="15" hidden="false" customHeight="true" outlineLevel="0" collapsed="false">
      <c r="A147" s="283" t="s">
        <v>2646</v>
      </c>
      <c r="B147" s="152" t="s">
        <v>78</v>
      </c>
      <c r="C147" s="152"/>
      <c r="D147" s="152"/>
      <c r="E147" s="152"/>
      <c r="F147" s="152"/>
      <c r="G147" s="152"/>
      <c r="J147" s="300" t="s">
        <v>78</v>
      </c>
      <c r="K147" s="300"/>
      <c r="L147" s="300"/>
      <c r="M147" s="300"/>
      <c r="N147" s="300"/>
      <c r="O147" s="300"/>
      <c r="R147" s="300" t="s">
        <v>78</v>
      </c>
      <c r="S147" s="300"/>
      <c r="T147" s="300"/>
      <c r="U147" s="300"/>
      <c r="V147" s="300"/>
      <c r="W147" s="300"/>
    </row>
    <row r="148" customFormat="false" ht="15" hidden="false" customHeight="true" outlineLevel="0" collapsed="false">
      <c r="A148" s="152" t="s">
        <v>1924</v>
      </c>
      <c r="B148" s="161" t="n">
        <f aca="false">B145</f>
        <v>101296.256553836</v>
      </c>
      <c r="C148" s="152"/>
      <c r="D148" s="152"/>
      <c r="E148" s="152"/>
      <c r="F148" s="152"/>
      <c r="G148" s="152"/>
      <c r="J148" s="297" t="n">
        <f aca="false">J145</f>
        <v>78031.4724983677</v>
      </c>
      <c r="K148" s="302"/>
      <c r="L148" s="302"/>
      <c r="M148" s="302"/>
      <c r="N148" s="302"/>
      <c r="O148" s="302"/>
      <c r="R148" s="297" t="n">
        <f aca="false">R145</f>
        <v>59198.9157031867</v>
      </c>
      <c r="S148" s="302"/>
      <c r="T148" s="302"/>
      <c r="U148" s="302"/>
      <c r="V148" s="302"/>
      <c r="W148" s="302"/>
    </row>
    <row r="149" customFormat="false" ht="15" hidden="false" customHeight="true" outlineLevel="0" collapsed="false">
      <c r="A149" s="152" t="s">
        <v>57</v>
      </c>
      <c r="B149" s="165" t="n">
        <f aca="false">Valuación!B40</f>
        <v>1800</v>
      </c>
      <c r="C149" s="152"/>
      <c r="D149" s="152"/>
      <c r="E149" s="152"/>
      <c r="F149" s="152"/>
      <c r="G149" s="152"/>
      <c r="J149" s="305" t="n">
        <f aca="false">Valuación!B40</f>
        <v>1800</v>
      </c>
      <c r="K149" s="302"/>
      <c r="L149" s="302"/>
      <c r="M149" s="302"/>
      <c r="N149" s="302"/>
      <c r="O149" s="302"/>
      <c r="R149" s="305" t="n">
        <f aca="false">Valuación!B40</f>
        <v>1800</v>
      </c>
      <c r="S149" s="302"/>
      <c r="T149" s="302"/>
      <c r="U149" s="302"/>
      <c r="V149" s="302"/>
      <c r="W149" s="302"/>
    </row>
    <row r="150" customFormat="false" ht="15" hidden="false" customHeight="true" outlineLevel="0" collapsed="false">
      <c r="A150" s="152" t="s">
        <v>2647</v>
      </c>
      <c r="B150" s="167" t="n">
        <f aca="false">B148/B149</f>
        <v>56.2756980854642</v>
      </c>
      <c r="C150" s="152"/>
      <c r="D150" s="152"/>
      <c r="E150" s="152"/>
      <c r="F150" s="152"/>
      <c r="G150" s="152"/>
      <c r="J150" s="306" t="n">
        <f aca="false">J148/J149</f>
        <v>43.3508180546487</v>
      </c>
      <c r="K150" s="300"/>
      <c r="L150" s="300"/>
      <c r="M150" s="300"/>
      <c r="N150" s="300"/>
      <c r="O150" s="300"/>
      <c r="R150" s="306" t="n">
        <f aca="false">R148/R149</f>
        <v>32.8882865017704</v>
      </c>
      <c r="S150" s="300"/>
      <c r="T150" s="300"/>
      <c r="U150" s="300"/>
      <c r="V150" s="300"/>
      <c r="W150" s="300"/>
    </row>
    <row r="151" customFormat="false" ht="15" hidden="false" customHeight="true" outlineLevel="0" collapsed="false">
      <c r="A151" s="152" t="s">
        <v>2648</v>
      </c>
      <c r="B151" s="167" t="n">
        <f aca="false">Valuación!B42</f>
        <v>33.1</v>
      </c>
      <c r="C151" s="152"/>
      <c r="D151" s="152"/>
      <c r="E151" s="152"/>
      <c r="F151" s="152"/>
      <c r="G151" s="152"/>
      <c r="J151" s="307" t="n">
        <f aca="false">Valuación!B42</f>
        <v>33.1</v>
      </c>
      <c r="K151" s="302"/>
      <c r="L151" s="302"/>
      <c r="M151" s="302"/>
      <c r="N151" s="302"/>
      <c r="O151" s="302"/>
      <c r="R151" s="307" t="n">
        <f aca="false">Valuación!B42</f>
        <v>33.1</v>
      </c>
      <c r="S151" s="302"/>
      <c r="T151" s="302"/>
      <c r="U151" s="302"/>
      <c r="V151" s="302"/>
      <c r="W151" s="302"/>
    </row>
    <row r="152" customFormat="false" ht="15" hidden="false" customHeight="true" outlineLevel="0" collapsed="false">
      <c r="A152" s="152" t="s">
        <v>17</v>
      </c>
      <c r="B152" s="153" t="n">
        <f aca="false">B150/B151-1</f>
        <v>0.700172147597107</v>
      </c>
      <c r="C152" s="152"/>
      <c r="D152" s="152"/>
      <c r="E152" s="152"/>
      <c r="F152" s="152"/>
      <c r="G152" s="152"/>
      <c r="J152" s="295" t="n">
        <f aca="false">J150/J151-1</f>
        <v>0.309692388357967</v>
      </c>
      <c r="K152" s="302"/>
      <c r="L152" s="302"/>
      <c r="M152" s="302"/>
      <c r="N152" s="302"/>
      <c r="O152" s="302"/>
      <c r="R152" s="295" t="n">
        <f aca="false">R150/R151-1</f>
        <v>-0.00639617819424898</v>
      </c>
      <c r="S152" s="302"/>
      <c r="T152" s="302"/>
      <c r="U152" s="302"/>
      <c r="V152" s="302"/>
      <c r="W152" s="302"/>
    </row>
    <row r="153" customFormat="false" ht="15" hidden="false" customHeight="true" outlineLevel="0" collapsed="false">
      <c r="A153" s="152" t="s">
        <v>2649</v>
      </c>
      <c r="B153" s="167" t="n">
        <f aca="false">'Proyección Soriana'!B85</f>
        <v>50.1939335833512</v>
      </c>
      <c r="C153" s="152"/>
      <c r="D153" s="152"/>
      <c r="E153" s="152"/>
      <c r="F153" s="152"/>
      <c r="G153" s="152"/>
      <c r="J153" s="307" t="n">
        <f aca="false">'Proyección Soriana'!B85</f>
        <v>50.1939335833512</v>
      </c>
      <c r="K153" s="302"/>
      <c r="L153" s="302"/>
      <c r="M153" s="302"/>
      <c r="N153" s="302"/>
      <c r="O153" s="302"/>
      <c r="R153" s="307" t="n">
        <f aca="false">'Proyección Soriana'!B85</f>
        <v>50.1939335833512</v>
      </c>
      <c r="S153" s="302"/>
      <c r="T153" s="302"/>
      <c r="U153" s="302"/>
      <c r="V153" s="302"/>
      <c r="W153" s="302"/>
    </row>
    <row r="154" customFormat="false" ht="15" hidden="false" customHeight="true" outlineLevel="0" collapsed="false">
      <c r="A154" s="152" t="s">
        <v>2650</v>
      </c>
      <c r="B154" s="153" t="n">
        <f aca="false">B150/B153-1</f>
        <v>0.121165329511659</v>
      </c>
      <c r="C154" s="152"/>
      <c r="D154" s="152"/>
      <c r="E154" s="152"/>
      <c r="F154" s="152"/>
      <c r="G154" s="152"/>
      <c r="J154" s="295" t="n">
        <f aca="false">J150/J153-1</f>
        <v>-0.136333517621984</v>
      </c>
      <c r="K154" s="302"/>
      <c r="L154" s="302"/>
      <c r="M154" s="302"/>
      <c r="N154" s="302"/>
      <c r="O154" s="302"/>
      <c r="R154" s="295" t="n">
        <f aca="false">R150/R153-1</f>
        <v>-0.344775670008874</v>
      </c>
      <c r="S154" s="302"/>
      <c r="T154" s="302"/>
      <c r="U154" s="302"/>
      <c r="V154" s="302"/>
      <c r="W154" s="302"/>
    </row>
    <row r="155" customFormat="false" ht="15" hidden="false" customHeight="true" outlineLevel="0" collapsed="false">
      <c r="A155" s="152" t="s">
        <v>2651</v>
      </c>
      <c r="B155" s="153" t="n">
        <v>0.15</v>
      </c>
      <c r="C155" s="152"/>
      <c r="D155" s="152"/>
      <c r="E155" s="152"/>
      <c r="F155" s="152"/>
      <c r="G155" s="152"/>
      <c r="J155" s="295" t="n">
        <v>0.15</v>
      </c>
      <c r="K155" s="302"/>
      <c r="L155" s="302"/>
      <c r="M155" s="302"/>
      <c r="N155" s="302"/>
      <c r="O155" s="302"/>
      <c r="R155" s="295" t="n">
        <v>0.15</v>
      </c>
      <c r="S155" s="302"/>
      <c r="T155" s="302"/>
      <c r="U155" s="302"/>
      <c r="V155" s="302"/>
      <c r="W155" s="302"/>
    </row>
    <row r="156" customFormat="false" ht="15" hidden="false" customHeight="true" outlineLevel="0" collapsed="false">
      <c r="A156" s="152" t="s">
        <v>1929</v>
      </c>
      <c r="B156" s="152" t="str">
        <f aca="false">IF(B152&gt;B155,"COMPRAR",IF(B152&lt;-B155,"VENDER","MANTENER"))</f>
        <v>COMPRAR</v>
      </c>
      <c r="C156" s="152"/>
      <c r="D156" s="152"/>
      <c r="E156" s="152"/>
      <c r="F156" s="152"/>
      <c r="G156" s="152"/>
      <c r="J156" s="300" t="str">
        <f aca="false">IF(J152&gt;J155,"COMPRAR",IF(J152&lt;-J155,"VENDER","MANTENER"))</f>
        <v>COMPRAR</v>
      </c>
      <c r="K156" s="300"/>
      <c r="L156" s="300"/>
      <c r="M156" s="300"/>
      <c r="N156" s="300"/>
      <c r="O156" s="300"/>
      <c r="R156" s="300" t="str">
        <f aca="false">IF(R152&gt;R155,"COMPRAR",IF(R152&lt;-R155,"VENDER","MANTENER"))</f>
        <v>MANTENER</v>
      </c>
      <c r="S156" s="300"/>
      <c r="T156" s="300"/>
      <c r="U156" s="300"/>
      <c r="V156" s="300"/>
      <c r="W156" s="300"/>
    </row>
    <row r="157" customFormat="false" ht="15" hidden="false" customHeight="true" outlineLevel="0" collapsed="false">
      <c r="A157" s="152"/>
      <c r="B157" s="152"/>
      <c r="C157" s="152"/>
      <c r="D157" s="152"/>
      <c r="E157" s="152"/>
      <c r="F157" s="152"/>
      <c r="G157" s="152"/>
      <c r="J157" s="302" t="str">
        <f aca="false" t="array" ref="J157:J157">IF(SUMPRODUCT(ABS(J97:O97))&lt;1,"PASS","FAIL")</f>
        <v>PASS</v>
      </c>
      <c r="K157" s="302"/>
      <c r="L157" s="302"/>
      <c r="M157" s="302"/>
      <c r="N157" s="302"/>
      <c r="O157" s="302"/>
      <c r="R157" s="302" t="str">
        <f aca="false" t="array" ref="R157:R157">IF(SUMPRODUCT(ABS(R97:W97))&lt;1,"PASS","FAIL")</f>
        <v>PASS</v>
      </c>
      <c r="S157" s="302"/>
      <c r="T157" s="302"/>
      <c r="U157" s="302"/>
      <c r="V157" s="302"/>
      <c r="W157" s="302"/>
    </row>
    <row r="158" customFormat="false" ht="15" hidden="false" customHeight="true" outlineLevel="0" collapsed="false">
      <c r="A158" s="152"/>
      <c r="B158" s="152"/>
      <c r="C158" s="152"/>
      <c r="D158" s="152"/>
      <c r="E158" s="152"/>
      <c r="F158" s="152"/>
      <c r="G158" s="152"/>
      <c r="J158" s="302" t="str">
        <f aca="false">IF(J126&gt;J123,"PASS","FAIL")</f>
        <v>PASS</v>
      </c>
      <c r="K158" s="302"/>
      <c r="L158" s="302"/>
      <c r="M158" s="302"/>
      <c r="N158" s="302"/>
      <c r="O158" s="302"/>
      <c r="R158" s="302" t="str">
        <f aca="false">IF(R126&gt;R123,"PASS","FAIL")</f>
        <v>PASS</v>
      </c>
      <c r="S158" s="302"/>
      <c r="T158" s="302"/>
      <c r="U158" s="302"/>
      <c r="V158" s="302"/>
      <c r="W158" s="302"/>
    </row>
    <row r="159" customFormat="false" ht="15" hidden="false" customHeight="true" outlineLevel="0" collapsed="false">
      <c r="A159" s="154"/>
      <c r="B159" s="154"/>
      <c r="C159" s="154"/>
      <c r="D159" s="154"/>
      <c r="E159" s="154"/>
      <c r="F159" s="154"/>
      <c r="G159" s="154"/>
      <c r="J159" s="298"/>
      <c r="K159" s="298"/>
      <c r="L159" s="298"/>
      <c r="M159" s="298"/>
      <c r="N159" s="298"/>
      <c r="O159" s="298"/>
      <c r="R159" s="298"/>
      <c r="S159" s="298"/>
      <c r="T159" s="298"/>
      <c r="U159" s="298"/>
      <c r="V159" s="298"/>
      <c r="W159" s="298"/>
    </row>
    <row r="160" customFormat="false" ht="15" hidden="false" customHeight="true" outlineLevel="0" collapsed="false">
      <c r="A160" s="283" t="s">
        <v>2652</v>
      </c>
      <c r="B160" s="152"/>
      <c r="C160" s="152"/>
      <c r="D160" s="152"/>
      <c r="E160" s="152"/>
      <c r="F160" s="152"/>
      <c r="G160" s="152"/>
      <c r="J160" s="300"/>
      <c r="K160" s="300"/>
      <c r="L160" s="300"/>
      <c r="M160" s="300"/>
      <c r="N160" s="300"/>
      <c r="O160" s="300"/>
      <c r="R160" s="300"/>
      <c r="S160" s="300"/>
      <c r="T160" s="300"/>
      <c r="U160" s="300"/>
      <c r="V160" s="300"/>
      <c r="W160" s="300"/>
    </row>
    <row r="161" customFormat="false" ht="15" hidden="false" customHeight="true" outlineLevel="0" collapsed="false">
      <c r="A161" s="308" t="s">
        <v>1934</v>
      </c>
      <c r="B161" s="309" t="n">
        <v>0.005</v>
      </c>
      <c r="C161" s="308"/>
      <c r="D161" s="308"/>
      <c r="E161" s="308"/>
      <c r="F161" s="308"/>
      <c r="G161" s="152"/>
      <c r="J161" s="310" t="n">
        <v>0.005</v>
      </c>
      <c r="K161" s="311"/>
      <c r="L161" s="311"/>
      <c r="M161" s="311"/>
      <c r="N161" s="311"/>
      <c r="O161" s="302"/>
      <c r="R161" s="310" t="n">
        <v>0.005</v>
      </c>
      <c r="S161" s="311"/>
      <c r="T161" s="311"/>
      <c r="U161" s="311"/>
      <c r="V161" s="311"/>
      <c r="W161" s="302"/>
    </row>
    <row r="162" customFormat="false" ht="15" hidden="false" customHeight="true" outlineLevel="0" collapsed="false">
      <c r="A162" s="312" t="s">
        <v>2653</v>
      </c>
      <c r="B162" s="313" t="n">
        <f aca="false">$B$123-2*$B$161</f>
        <v>0.03</v>
      </c>
      <c r="C162" s="313" t="n">
        <f aca="false">B162+$B$161</f>
        <v>0.035</v>
      </c>
      <c r="D162" s="313" t="n">
        <f aca="false">C162+$B$161</f>
        <v>0.04</v>
      </c>
      <c r="E162" s="313" t="n">
        <f aca="false">D162+$B$161</f>
        <v>0.045</v>
      </c>
      <c r="F162" s="314" t="n">
        <f aca="false">E162+$B$161</f>
        <v>0.05</v>
      </c>
      <c r="G162" s="315"/>
      <c r="J162" s="316" t="n">
        <f aca="false">$J$123-2*$J$161</f>
        <v>0.025</v>
      </c>
      <c r="K162" s="317" t="n">
        <f aca="false">J162+$J$161</f>
        <v>0.03</v>
      </c>
      <c r="L162" s="317" t="n">
        <f aca="false">K162+$J$161</f>
        <v>0.035</v>
      </c>
      <c r="M162" s="317" t="n">
        <f aca="false">L162+$J$161</f>
        <v>0.04</v>
      </c>
      <c r="N162" s="318" t="n">
        <f aca="false">M162+$J$161</f>
        <v>0.045</v>
      </c>
      <c r="O162" s="319"/>
      <c r="R162" s="316" t="n">
        <f aca="false">$R$123-2*$R$161</f>
        <v>0.02</v>
      </c>
      <c r="S162" s="317" t="n">
        <f aca="false">R162+$R$161</f>
        <v>0.025</v>
      </c>
      <c r="T162" s="317" t="n">
        <f aca="false">S162+$R$161</f>
        <v>0.03</v>
      </c>
      <c r="U162" s="317" t="n">
        <f aca="false">T162+$R$161</f>
        <v>0.035</v>
      </c>
      <c r="V162" s="318" t="n">
        <f aca="false">U162+$R$161</f>
        <v>0.04</v>
      </c>
      <c r="W162" s="319"/>
    </row>
    <row r="163" customFormat="false" ht="15" hidden="false" customHeight="true" outlineLevel="0" collapsed="false">
      <c r="A163" s="320" t="n">
        <f aca="false">$B$126-2*$B$161</f>
        <v>0.0816827827066917</v>
      </c>
      <c r="B163" s="167" t="n">
        <f aca="false">IF($A163&lt;=B$162,"n.a.",(($B$243*(SUMPRODUCT($C$117:$G$117,(1+$A163)^(-$C$118:$G$118))+$G$117*(1+B$162)/($A163-B$162)*(1+$A163)^-5)+$B$244*(SUMPRODUCT($C$117:$G$117,(1+$A163)^(-$C$118:$G$118))+$B$236*(1+$A163)^-5))*(1+$A163)^$B$253+$B$257+$B$259+$B$260+$B$261)*(1+$B$221)^$B$254/$B$264)</f>
        <v>49.5604717808371</v>
      </c>
      <c r="C163" s="167" t="n">
        <f aca="false">IF($A163&lt;=C$162,"n.a.",(($B$243*(SUMPRODUCT($C$117:$G$117,(1+$A163)^(-$C$118:$G$118))+$G$117*(1+C$162)/($A163-C$162)*(1+$A163)^-5)+$B$244*(SUMPRODUCT($C$117:$G$117,(1+$A163)^(-$C$118:$G$118))+$B$236*(1+$A163)^-5))*(1+$A163)^$B$253+$B$257+$B$259+$B$260+$B$261)*(1+$B$221)^$B$254/$B$264)</f>
        <v>52.6579112143675</v>
      </c>
      <c r="D163" s="167" t="n">
        <f aca="false">IF($A163&lt;=D$162,"n.a.",(($B$243*(SUMPRODUCT($C$117:$G$117,(1+$A163)^(-$C$118:$G$118))+$G$117*(1+D$162)/($A163-D$162)*(1+$A163)^-5)+$B$244*(SUMPRODUCT($C$117:$G$117,(1+$A163)^(-$C$118:$G$118))+$B$236*(1+$A163)^-5))*(1+$A163)^$B$253+$B$257+$B$259+$B$260+$B$261)*(1+$B$221)^$B$254/$B$264)</f>
        <v>56.4984486927973</v>
      </c>
      <c r="E163" s="167" t="n">
        <f aca="false">IF($A163&lt;=E$162,"n.a.",(($B$243*(SUMPRODUCT($C$117:$G$117,(1+$A163)^(-$C$118:$G$118))+$G$117*(1+E$162)/($A163-E$162)*(1+$A163)^-5)+$B$244*(SUMPRODUCT($C$117:$G$117,(1+$A163)^(-$C$118:$G$118))+$B$236*(1+$A163)^-5))*(1+$A163)^$B$253+$B$257+$B$259+$B$260+$B$261)*(1+$B$221)^$B$254/$B$264)</f>
        <v>61.385945315286</v>
      </c>
      <c r="F163" s="321" t="n">
        <f aca="false">IF($A163&lt;=F$162,"n.a.",(($B$243*(SUMPRODUCT($C$117:$G$117,(1+$A163)^(-$C$118:$G$118))+$G$117*(1+F$162)/($A163-F$162)*(1+$A163)^-5)+$B$244*(SUMPRODUCT($C$117:$G$117,(1+$A163)^(-$C$118:$G$118))+$B$236*(1+$A163)^-5))*(1+$A163)^$B$253+$B$257+$B$259+$B$260+$B$261)*(1+$B$221)^$B$254/$B$264)</f>
        <v>67.8160768343794</v>
      </c>
      <c r="G163" s="315"/>
      <c r="I163" s="322" t="n">
        <f aca="false">$J$126-2*$J$161</f>
        <v>0.0863307440168375</v>
      </c>
      <c r="J163" s="323" t="n">
        <f aca="false" t="array" ref="J163:J163">IF($I163&lt;=J$162,"n.a.",(($J$243*(SUMPRODUCT($K$117:$O$117,(1+$I163)^(-$K$118:$O$118))+$O$117*(1+J$162)/($I163-J$162)*(1+$I163)^-5)+$J$244*(SUMPRODUCT($K$117:$O$117,(1+$I163)^(-$K$118:$O$118))+$J$236*(1+$I163)^-5))*(1+$I163)^$J$253+$J$257+$J$259+$J$260+$J$261)*(1+$J$221)^$J$254/$J$264)</f>
        <v>40.7423531457687</v>
      </c>
      <c r="K163" s="307" t="n">
        <f aca="false" t="array" ref="K163:K163">IF($I163&lt;=K$162,"n.a.",(($J$243*(SUMPRODUCT($K$117:$O$117,(1+$I163)^(-$K$118:$O$118))+$O$117*(1+K$162)/($I163-K$162)*(1+$I163)^-5)+$J$244*(SUMPRODUCT($K$117:$O$117,(1+$I163)^(-$K$118:$O$118))+$J$236*(1+$I163)^-5))*(1+$I163)^$J$253+$J$257+$J$259+$J$260+$J$261)*(1+$J$221)^$J$254/$J$264)</f>
        <v>42.7217263360192</v>
      </c>
      <c r="L163" s="307" t="n">
        <f aca="false" t="array" ref="L163:L163">IF($I163&lt;=L$162,"n.a.",(($J$243*(SUMPRODUCT($K$117:$O$117,(1+$I163)^(-$K$118:$O$118))+$O$117*(1+L$162)/($I163-L$162)*(1+$I163)^-5)+$J$244*(SUMPRODUCT($K$117:$O$117,(1+$I163)^(-$K$118:$O$118))+$J$236*(1+$I163)^-5))*(1+$I163)^$J$253+$J$257+$J$259+$J$260+$J$261)*(1+$J$221)^$J$254/$J$264)</f>
        <v>45.0867111569137</v>
      </c>
      <c r="M163" s="307" t="n">
        <f aca="false" t="array" ref="M163:M163">IF($I163&lt;=M$162,"n.a.",(($J$243*(SUMPRODUCT($K$117:$O$117,(1+$I163)^(-$K$118:$O$118))+$O$117*(1+M$162)/($I163-M$162)*(1+$I163)^-5)+$J$244*(SUMPRODUCT($K$117:$O$117,(1+$I163)^(-$K$118:$O$118))+$J$236*(1+$I163)^-5))*(1+$I163)^$J$253+$J$257+$J$259+$J$260+$J$261)*(1+$J$221)^$J$254/$J$264)</f>
        <v>47.9621528830622</v>
      </c>
      <c r="N163" s="324" t="n">
        <f aca="false" t="array" ref="N163:N163">IF($I163&lt;=N$162,"n.a.",(($J$243*(SUMPRODUCT($K$117:$O$117,(1+$I163)^(-$K$118:$O$118))+$O$117*(1+N$162)/($I163-N$162)*(1+$I163)^-5)+$J$244*(SUMPRODUCT($K$117:$O$117,(1+$I163)^(-$K$118:$O$118))+$J$236*(1+$I163)^-5))*(1+$I163)^$J$253+$J$257+$J$259+$J$260+$J$261)*(1+$J$221)^$J$254/$J$264)</f>
        <v>51.5333095774621</v>
      </c>
      <c r="O163" s="325"/>
      <c r="Q163" s="322" t="n">
        <f aca="false">$R$126-2*$R$161</f>
        <v>0.0935710647727527</v>
      </c>
      <c r="R163" s="323" t="n">
        <f aca="false" t="array" ref="R163:R163">IF($Q163&lt;=R$162,"n.a.",(($R$243*(SUMPRODUCT($S$117:$W$117,(1+$Q163)^(-$S$118:$W$118))+$W$117*(1+R$162)/($Q163-R$162)*(1+$Q163)^-5)+$R$244*(SUMPRODUCT($S$117:$W$117,(1+$Q163)^(-$S$118:$W$118))+$R$236*(1+$Q163)^-5))*(1+$Q163)^$R$253+$R$257+$R$259+$R$260+$R$261)*(1+$R$221)^$R$254/$R$264)</f>
        <v>33.4172688529556</v>
      </c>
      <c r="S163" s="307" t="n">
        <f aca="false" t="array" ref="S163:S163">IF($Q163&lt;=S$162,"n.a.",(($R$243*(SUMPRODUCT($S$117:$W$117,(1+$Q163)^(-$S$118:$W$118))+$W$117*(1+S$162)/($Q163-S$162)*(1+$Q163)^-5)+$R$244*(SUMPRODUCT($S$117:$W$117,(1+$Q163)^(-$S$118:$W$118))+$R$236*(1+$Q163)^-5))*(1+$Q163)^$R$253+$R$257+$R$259+$R$260+$R$261)*(1+$R$221)^$R$254/$R$264)</f>
        <v>34.6587377022844</v>
      </c>
      <c r="T163" s="307" t="n">
        <f aca="false" t="array" ref="T163:T163">IF($Q163&lt;=T$162,"n.a.",(($R$243*(SUMPRODUCT($S$117:$W$117,(1+$Q163)^(-$S$118:$W$118))+$W$117*(1+T$162)/($Q163-T$162)*(1+$Q163)^-5)+$R$244*(SUMPRODUCT($S$117:$W$117,(1+$Q163)^(-$S$118:$W$118))+$R$236*(1+$Q163)^-5))*(1+$Q163)^$R$253+$R$257+$R$259+$R$260+$R$261)*(1+$R$221)^$R$254/$R$264)</f>
        <v>36.095494903911</v>
      </c>
      <c r="U163" s="307" t="n">
        <f aca="false" t="array" ref="U163:U163">IF($Q163&lt;=U$162,"n.a.",(($R$243*(SUMPRODUCT($S$117:$W$117,(1+$Q163)^(-$S$118:$W$118))+$W$117*(1+U$162)/($Q163-U$162)*(1+$Q163)^-5)+$R$244*(SUMPRODUCT($S$117:$W$117,(1+$Q163)^(-$S$118:$W$118))+$R$236*(1+$Q163)^-5))*(1+$Q163)^$R$253+$R$257+$R$259+$R$260+$R$261)*(1+$R$221)^$R$254/$R$264)</f>
        <v>37.7775536391876</v>
      </c>
      <c r="V163" s="324" t="n">
        <f aca="false" t="array" ref="V163:V163">IF($Q163&lt;=V$162,"n.a.",(($R$243*(SUMPRODUCT($S$117:$W$117,(1+$Q163)^(-$S$118:$W$118))+$W$117*(1+V$162)/($Q163-V$162)*(1+$Q163)^-5)+$R$244*(SUMPRODUCT($S$117:$W$117,(1+$Q163)^(-$S$118:$W$118))+$R$236*(1+$Q163)^-5))*(1+$Q163)^$R$253+$R$257+$R$259+$R$260+$R$261)*(1+$R$221)^$R$254/$R$264)</f>
        <v>39.7735988039689</v>
      </c>
      <c r="W163" s="325"/>
    </row>
    <row r="164" customFormat="false" ht="15" hidden="false" customHeight="true" outlineLevel="0" collapsed="false">
      <c r="A164" s="320" t="n">
        <f aca="false">A163+$B$161</f>
        <v>0.0866827827066917</v>
      </c>
      <c r="B164" s="167" t="n">
        <f aca="false">IF($A164&lt;=B$162,"n.a.",(($B$243*(SUMPRODUCT($C$117:$G$117,(1+$A164)^(-$C$118:$G$118))+$G$117*(1+B$162)/($A164-B$162)*(1+$A164)^-5)+$B$244*(SUMPRODUCT($C$117:$G$117,(1+$A164)^(-$C$118:$G$118))+$B$236*(1+$A164)^-5))*(1+$A164)^$B$253+$B$257+$B$259+$B$260+$B$261)*(1+$B$221)^$B$254/$B$264)</f>
        <v>46.1309840379221</v>
      </c>
      <c r="C164" s="167" t="n">
        <f aca="false">IF($A164&lt;=C$162,"n.a.",(($B$243*(SUMPRODUCT($C$117:$G$117,(1+$A164)^(-$C$118:$G$118))+$G$117*(1+C$162)/($A164-C$162)*(1+$A164)^-5)+$B$244*(SUMPRODUCT($C$117:$G$117,(1+$A164)^(-$C$118:$G$118))+$B$236*(1+$A164)^-5))*(1+$A164)^$B$253+$B$257+$B$259+$B$260+$B$261)*(1+$B$221)^$B$254/$B$264)</f>
        <v>48.641126406375</v>
      </c>
      <c r="D164" s="167" t="n">
        <f aca="false">IF($A164&lt;=D$162,"n.a.",(($B$243*(SUMPRODUCT($C$117:$G$117,(1+$A164)^(-$C$118:$G$118))+$G$117*(1+D$162)/($A164-D$162)*(1+$A164)^-5)+$B$244*(SUMPRODUCT($C$117:$G$117,(1+$A164)^(-$C$118:$G$118))+$B$236*(1+$A164)^-5))*(1+$A164)^$B$253+$B$257+$B$259+$B$260+$B$261)*(1+$B$221)^$B$254/$B$264)</f>
        <v>51.688970733219</v>
      </c>
      <c r="E164" s="167" t="n">
        <f aca="false">IF($A164&lt;=E$162,"n.a.",(($B$243*(SUMPRODUCT($C$117:$G$117,(1+$A164)^(-$C$118:$G$118))+$G$117*(1+E$162)/($A164-E$162)*(1+$A164)^-5)+$B$244*(SUMPRODUCT($C$117:$G$117,(1+$A164)^(-$C$118:$G$118))+$B$236*(1+$A164)^-5))*(1+$A164)^$B$253+$B$257+$B$259+$B$260+$B$261)*(1+$B$221)^$B$254/$B$264)</f>
        <v>55.4680148814113</v>
      </c>
      <c r="F164" s="321" t="n">
        <f aca="false">IF($A164&lt;=F$162,"n.a.",(($B$243*(SUMPRODUCT($C$117:$G$117,(1+$A164)^(-$C$118:$G$118))+$G$117*(1+F$162)/($A164-F$162)*(1+$A164)^-5)+$B$244*(SUMPRODUCT($C$117:$G$117,(1+$A164)^(-$C$118:$G$118))+$B$236*(1+$A164)^-5))*(1+$A164)^$B$253+$B$257+$B$259+$B$260+$B$261)*(1+$B$221)^$B$254/$B$264)</f>
        <v>60.2772546334675</v>
      </c>
      <c r="G164" s="315"/>
      <c r="I164" s="322" t="n">
        <f aca="false">I163+$J$161</f>
        <v>0.0913307440168375</v>
      </c>
      <c r="J164" s="323" t="n">
        <f aca="false" t="array" ref="J164:J164">IF($I164&lt;=J$162,"n.a.",(($J$243*(SUMPRODUCT($K$117:$O$117,(1+$I164)^(-$K$118:$O$118))+$O$117*(1+J$162)/($I164-J$162)*(1+$I164)^-5)+$J$244*(SUMPRODUCT($K$117:$O$117,(1+$I164)^(-$K$118:$O$118))+$J$236*(1+$I164)^-5))*(1+$I164)^$J$253+$J$257+$J$259+$J$260+$J$261)*(1+$J$221)^$J$254/$J$264)</f>
        <v>38.3137954961971</v>
      </c>
      <c r="K164" s="307" t="n">
        <f aca="false" t="array" ref="K164:K164">IF($I164&lt;=K$162,"n.a.",(($J$243*(SUMPRODUCT($K$117:$O$117,(1+$I164)^(-$K$118:$O$118))+$O$117*(1+K$162)/($I164-K$162)*(1+$I164)^-5)+$J$244*(SUMPRODUCT($K$117:$O$117,(1+$I164)^(-$K$118:$O$118))+$J$236*(1+$I164)^-5))*(1+$I164)^$J$253+$J$257+$J$259+$J$260+$J$261)*(1+$J$221)^$J$254/$J$264)</f>
        <v>39.9679580477011</v>
      </c>
      <c r="L164" s="307" t="n">
        <f aca="false" t="array" ref="L164:L164">IF($I164&lt;=L$162,"n.a.",(($J$243*(SUMPRODUCT($K$117:$O$117,(1+$I164)^(-$K$118:$O$118))+$O$117*(1+L$162)/($I164-L$162)*(1+$I164)^-5)+$J$244*(SUMPRODUCT($K$117:$O$117,(1+$I164)^(-$K$118:$O$118))+$J$236*(1+$I164)^-5))*(1+$I164)^$J$253+$J$257+$J$259+$J$260+$J$261)*(1+$J$221)^$J$254/$J$264)</f>
        <v>41.9157724194278</v>
      </c>
      <c r="M164" s="307" t="n">
        <f aca="false" t="array" ref="M164:M164">IF($I164&lt;=M$162,"n.a.",(($J$243*(SUMPRODUCT($K$117:$O$117,(1+$I164)^(-$K$118:$O$118))+$O$117*(1+M$162)/($I164-M$162)*(1+$I164)^-5)+$J$244*(SUMPRODUCT($K$117:$O$117,(1+$I164)^(-$K$118:$O$118))+$J$236*(1+$I164)^-5))*(1+$I164)^$J$253+$J$257+$J$259+$J$260+$J$261)*(1+$J$221)^$J$254/$J$264)</f>
        <v>44.2430502898889</v>
      </c>
      <c r="N164" s="324" t="n">
        <f aca="false" t="array" ref="N164:N164">IF($I164&lt;=N$162,"n.a.",(($J$243*(SUMPRODUCT($K$117:$O$117,(1+$I164)^(-$K$118:$O$118))+$O$117*(1+N$162)/($I164-N$162)*(1+$I164)^-5)+$J$244*(SUMPRODUCT($K$117:$O$117,(1+$I164)^(-$K$118:$O$118))+$J$236*(1+$I164)^-5))*(1+$I164)^$J$253+$J$257+$J$259+$J$260+$J$261)*(1+$J$221)^$J$254/$J$264)</f>
        <v>47.0726464200384</v>
      </c>
      <c r="O164" s="325"/>
      <c r="Q164" s="322" t="n">
        <f aca="false">Q163+$R$161</f>
        <v>0.0985710647727527</v>
      </c>
      <c r="R164" s="323" t="n">
        <f aca="false" t="array" ref="R164:R164">IF($Q164&lt;=R$162,"n.a.",(($R$243*(SUMPRODUCT($S$117:$W$117,(1+$Q164)^(-$S$118:$W$118))+$W$117*(1+R$162)/($Q164-R$162)*(1+$Q164)^-5)+$R$244*(SUMPRODUCT($S$117:$W$117,(1+$Q164)^(-$S$118:$W$118))+$R$236*(1+$Q164)^-5))*(1+$Q164)^$R$253+$R$257+$R$259+$R$260+$R$261)*(1+$R$221)^$R$254/$R$264)</f>
        <v>31.6976862364702</v>
      </c>
      <c r="S164" s="307" t="n">
        <f aca="false" t="array" ref="S164:S164">IF($Q164&lt;=S$162,"n.a.",(($R$243*(SUMPRODUCT($S$117:$W$117,(1+$Q164)^(-$S$118:$W$118))+$W$117*(1+S$162)/($Q164-S$162)*(1+$Q164)^-5)+$R$244*(SUMPRODUCT($S$117:$W$117,(1+$Q164)^(-$S$118:$W$118))+$R$236*(1+$Q164)^-5))*(1+$Q164)^$R$253+$R$257+$R$259+$R$260+$R$261)*(1+$R$221)^$R$254/$R$264)</f>
        <v>32.7639878648876</v>
      </c>
      <c r="T164" s="307" t="n">
        <f aca="false" t="array" ref="T164:T164">IF($Q164&lt;=T$162,"n.a.",(($R$243*(SUMPRODUCT($S$117:$W$117,(1+$Q164)^(-$S$118:$W$118))+$W$117*(1+T$162)/($Q164-T$162)*(1+$Q164)^-5)+$R$244*(SUMPRODUCT($S$117:$W$117,(1+$Q164)^(-$S$118:$W$118))+$R$236*(1+$Q164)^-5))*(1+$Q164)^$R$253+$R$257+$R$259+$R$260+$R$261)*(1+$R$221)^$R$254/$R$264)</f>
        <v>33.9857926391219</v>
      </c>
      <c r="U164" s="307" t="n">
        <f aca="false" t="array" ref="U164:U164">IF($Q164&lt;=U$162,"n.a.",(($R$243*(SUMPRODUCT($S$117:$W$117,(1+$Q164)^(-$S$118:$W$118))+$W$117*(1+U$162)/($Q164-U$162)*(1+$Q164)^-5)+$R$244*(SUMPRODUCT($S$117:$W$117,(1+$Q164)^(-$S$118:$W$118))+$R$236*(1+$Q164)^-5))*(1+$Q164)^$R$253+$R$257+$R$259+$R$260+$R$261)*(1+$R$221)^$R$254/$R$264)</f>
        <v>35.3997925226565</v>
      </c>
      <c r="V164" s="324" t="n">
        <f aca="false" t="array" ref="V164:V164">IF($Q164&lt;=V$162,"n.a.",(($R$243*(SUMPRODUCT($S$117:$W$117,(1+$Q164)^(-$S$118:$W$118))+$W$117*(1+V$162)/($Q164-V$162)*(1+$Q164)^-5)+$R$244*(SUMPRODUCT($S$117:$W$117,(1+$Q164)^(-$S$118:$W$118))+$R$236*(1+$Q164)^-5))*(1+$Q164)^$R$253+$R$257+$R$259+$R$260+$R$261)*(1+$R$221)^$R$254/$R$264)</f>
        <v>37.0552085199362</v>
      </c>
      <c r="W164" s="325"/>
    </row>
    <row r="165" customFormat="false" ht="15" hidden="false" customHeight="true" outlineLevel="0" collapsed="false">
      <c r="A165" s="320" t="n">
        <f aca="false">A164+$B$161</f>
        <v>0.0916827827066917</v>
      </c>
      <c r="B165" s="167" t="n">
        <f aca="false">IF($A165&lt;=B$162,"n.a.",(($B$243*(SUMPRODUCT($C$117:$G$117,(1+$A165)^(-$C$118:$G$118))+$G$117*(1+B$162)/($A165-B$162)*(1+$A165)^-5)+$B$244*(SUMPRODUCT($C$117:$G$117,(1+$A165)^(-$C$118:$G$118))+$B$236*(1+$A165)^-5))*(1+$A165)^$B$253+$B$257+$B$259+$B$260+$B$261)*(1+$B$221)^$B$254/$B$264)</f>
        <v>43.2018561249726</v>
      </c>
      <c r="C165" s="167" t="n">
        <f aca="false">IF($A165&lt;=C$162,"n.a.",(($B$243*(SUMPRODUCT($C$117:$G$117,(1+$A165)^(-$C$118:$G$118))+$G$117*(1+C$162)/($A165-C$162)*(1+$A165)^-5)+$B$244*(SUMPRODUCT($C$117:$G$117,(1+$A165)^(-$C$118:$G$118))+$B$236*(1+$A165)^-5))*(1+$A165)^$B$253+$B$257+$B$259+$B$260+$B$261)*(1+$B$221)^$B$254/$B$264)</f>
        <v>45.2715324106292</v>
      </c>
      <c r="D165" s="326" t="n">
        <f aca="false">IF($A165&lt;=D$162,"n.a.",(($B$243*(SUMPRODUCT($C$117:$G$117,(1+$A165)^(-$C$118:$G$118))+$G$117*(1+D$162)/($A165-D$162)*(1+$A165)^-5)+$B$244*(SUMPRODUCT($C$117:$G$117,(1+$A165)^(-$C$118:$G$118))+$B$236*(1+$A165)^-5))*(1+$A165)^$B$253+$B$257+$B$259+$B$260+$B$261)*(1+$B$221)^$B$254/$B$264)</f>
        <v>47.7416662911104</v>
      </c>
      <c r="E165" s="167" t="n">
        <f aca="false">IF($A165&lt;=E$162,"n.a.",(($B$243*(SUMPRODUCT($C$117:$G$117,(1+$A165)^(-$C$118:$G$118))+$G$117*(1+E$162)/($A165-E$162)*(1+$A165)^-5)+$B$244*(SUMPRODUCT($C$117:$G$117,(1+$A165)^(-$C$118:$G$118))+$B$236*(1+$A165)^-5))*(1+$A165)^$B$253+$B$257+$B$259+$B$260+$B$261)*(1+$B$221)^$B$254/$B$264)</f>
        <v>50.7409318422551</v>
      </c>
      <c r="F165" s="321" t="n">
        <f aca="false">IF($A165&lt;=F$162,"n.a.",(($B$243*(SUMPRODUCT($C$117:$G$117,(1+$A165)^(-$C$118:$G$118))+$G$117*(1+F$162)/($A165-F$162)*(1+$A165)^-5)+$B$244*(SUMPRODUCT($C$117:$G$117,(1+$A165)^(-$C$118:$G$118))+$B$236*(1+$A165)^-5))*(1+$A165)^$B$253+$B$257+$B$259+$B$260+$B$261)*(1+$B$221)^$B$254/$B$264)</f>
        <v>54.4597428163265</v>
      </c>
      <c r="G165" s="315"/>
      <c r="I165" s="322" t="n">
        <f aca="false">I164+$J$161</f>
        <v>0.0963307440168375</v>
      </c>
      <c r="J165" s="323" t="n">
        <f aca="false" t="array" ref="J165:J165">IF($I165&lt;=J$162,"n.a.",(($J$243*(SUMPRODUCT($K$117:$O$117,(1+$I165)^(-$K$118:$O$118))+$O$117*(1+J$162)/($I165-J$162)*(1+$I165)^-5)+$J$244*(SUMPRODUCT($K$117:$O$117,(1+$I165)^(-$K$118:$O$118))+$J$236*(1+$I165)^-5))*(1+$I165)^$J$253+$J$257+$J$259+$J$260+$J$261)*(1+$J$221)^$J$254/$J$264)</f>
        <v>36.1827108555647</v>
      </c>
      <c r="K165" s="307" t="n">
        <f aca="false" t="array" ref="K165:K165">IF($I165&lt;=K$162,"n.a.",(($J$243*(SUMPRODUCT($K$117:$O$117,(1+$I165)^(-$K$118:$O$118))+$O$117*(1+K$162)/($I165-K$162)*(1+$I165)^-5)+$J$244*(SUMPRODUCT($K$117:$O$117,(1+$I165)^(-$K$118:$O$118))+$J$236*(1+$I165)^-5))*(1+$I165)^$J$253+$J$257+$J$259+$J$260+$J$261)*(1+$J$221)^$J$254/$J$264)</f>
        <v>37.5823995445421</v>
      </c>
      <c r="L165" s="327" t="n">
        <f aca="false" t="array" ref="L165:L165">IF($I165&lt;=L$162,"n.a.",(($J$243*(SUMPRODUCT($K$117:$O$117,(1+$I165)^(-$K$118:$O$118))+$O$117*(1+L$162)/($I165-L$162)*(1+$I165)^-5)+$J$244*(SUMPRODUCT($K$117:$O$117,(1+$I165)^(-$K$118:$O$118))+$J$236*(1+$I165)^-5))*(1+$I165)^$J$253+$J$257+$J$259+$J$260+$J$261)*(1+$J$221)^$J$254/$J$264)</f>
        <v>39.2103079806325</v>
      </c>
      <c r="M165" s="307" t="n">
        <f aca="false" t="array" ref="M165:M165">IF($I165&lt;=M$162,"n.a.",(($J$243*(SUMPRODUCT($K$117:$O$117,(1+$I165)^(-$K$118:$O$118))+$O$117*(1+M$162)/($I165-M$162)*(1+$I165)^-5)+$J$244*(SUMPRODUCT($K$117:$O$117,(1+$I165)^(-$K$118:$O$118))+$J$236*(1+$I165)^-5))*(1+$I165)^$J$253+$J$257+$J$259+$J$260+$J$261)*(1+$J$221)^$J$254/$J$264)</f>
        <v>41.1272075288595</v>
      </c>
      <c r="N165" s="324" t="n">
        <f aca="false" t="array" ref="N165:N165">IF($I165&lt;=N$162,"n.a.",(($J$243*(SUMPRODUCT($K$117:$O$117,(1+$I165)^(-$K$118:$O$118))+$O$117*(1+N$162)/($I165-N$162)*(1+$I165)^-5)+$J$244*(SUMPRODUCT($K$117:$O$117,(1+$I165)^(-$K$118:$O$118))+$J$236*(1+$I165)^-5))*(1+$I165)^$J$253+$J$257+$J$259+$J$260+$J$261)*(1+$J$221)^$J$254/$J$264)</f>
        <v>43.4175479038155</v>
      </c>
      <c r="O165" s="325"/>
      <c r="Q165" s="322" t="n">
        <f aca="false">Q164+$R$161</f>
        <v>0.103571064772753</v>
      </c>
      <c r="R165" s="323" t="n">
        <f aca="false" t="array" ref="R165:R165">IF($Q165&lt;=R$162,"n.a.",(($R$243*(SUMPRODUCT($S$117:$W$117,(1+$Q165)^(-$S$118:$W$118))+$W$117*(1+R$162)/($Q165-R$162)*(1+$Q165)^-5)+$R$244*(SUMPRODUCT($S$117:$W$117,(1+$Q165)^(-$S$118:$W$118))+$R$236*(1+$Q165)^-5))*(1+$Q165)^$R$253+$R$257+$R$259+$R$260+$R$261)*(1+$R$221)^$R$254/$R$264)</f>
        <v>30.1514016433645</v>
      </c>
      <c r="S165" s="307" t="n">
        <f aca="false" t="array" ref="S165:S165">IF($Q165&lt;=S$162,"n.a.",(($R$243*(SUMPRODUCT($S$117:$W$117,(1+$Q165)^(-$S$118:$W$118))+$W$117*(1+S$162)/($Q165-S$162)*(1+$Q165)^-5)+$R$244*(SUMPRODUCT($S$117:$W$117,(1+$Q165)^(-$S$118:$W$118))+$R$236*(1+$Q165)^-5))*(1+$Q165)^$R$253+$R$257+$R$259+$R$260+$R$261)*(1+$R$221)^$R$254/$R$264)</f>
        <v>31.0753094933776</v>
      </c>
      <c r="T165" s="327" t="n">
        <f aca="false" t="array" ref="T165:T165">IF($Q165&lt;=T$162,"n.a.",(($R$243*(SUMPRODUCT($S$117:$W$117,(1+$Q165)^(-$S$118:$W$118))+$W$117*(1+T$162)/($Q165-T$162)*(1+$Q165)^-5)+$R$244*(SUMPRODUCT($S$117:$W$117,(1+$Q165)^(-$S$118:$W$118))+$R$236*(1+$Q165)^-5))*(1+$Q165)^$R$253+$R$257+$R$259+$R$260+$R$261)*(1+$R$221)^$R$254/$R$264)</f>
        <v>32.1247976721337</v>
      </c>
      <c r="U165" s="307" t="n">
        <f aca="false" t="array" ref="U165:U165">IF($Q165&lt;=U$162,"n.a.",(($R$243*(SUMPRODUCT($S$117:$W$117,(1+$Q165)^(-$S$118:$W$118))+$W$117*(1+U$162)/($Q165-U$162)*(1+$Q165)^-5)+$R$244*(SUMPRODUCT($S$117:$W$117,(1+$Q165)^(-$S$118:$W$118))+$R$236*(1+$Q165)^-5))*(1+$Q165)^$R$253+$R$257+$R$259+$R$260+$R$261)*(1+$R$221)^$R$254/$R$264)</f>
        <v>33.3273370222889</v>
      </c>
      <c r="V165" s="324" t="n">
        <f aca="false" t="array" ref="V165:V165">IF($Q165&lt;=V$162,"n.a.",(($R$243*(SUMPRODUCT($S$117:$W$117,(1+$Q165)^(-$S$118:$W$118))+$W$117*(1+V$162)/($Q165-V$162)*(1+$Q165)^-5)+$R$244*(SUMPRODUCT($S$117:$W$117,(1+$Q165)^(-$S$118:$W$118))+$R$236*(1+$Q165)^-5))*(1+$Q165)^$R$253+$R$257+$R$259+$R$260+$R$261)*(1+$R$221)^$R$254/$R$264)</f>
        <v>34.7190409482545</v>
      </c>
      <c r="W165" s="325"/>
    </row>
    <row r="166" customFormat="false" ht="15" hidden="false" customHeight="true" outlineLevel="0" collapsed="false">
      <c r="A166" s="320" t="n">
        <f aca="false">A165+$B$161</f>
        <v>0.0966827827066917</v>
      </c>
      <c r="B166" s="167" t="n">
        <f aca="false">IF($A166&lt;=B$162,"n.a.",(($B$243*(SUMPRODUCT($C$117:$G$117,(1+$A166)^(-$C$118:$G$118))+$G$117*(1+B$162)/($A166-B$162)*(1+$A166)^-5)+$B$244*(SUMPRODUCT($C$117:$G$117,(1+$A166)^(-$C$118:$G$118))+$B$236*(1+$A166)^-5))*(1+$A166)^$B$253+$B$257+$B$259+$B$260+$B$261)*(1+$B$221)^$B$254/$B$264)</f>
        <v>40.662398045696</v>
      </c>
      <c r="C166" s="167" t="n">
        <f aca="false">IF($A166&lt;=C$162,"n.a.",(($B$243*(SUMPRODUCT($C$117:$G$117,(1+$A166)^(-$C$118:$G$118))+$G$117*(1+C$162)/($A166-C$162)*(1+$A166)^-5)+$B$244*(SUMPRODUCT($C$117:$G$117,(1+$A166)^(-$C$118:$G$118))+$B$236*(1+$A166)^-5))*(1+$A166)^$B$253+$B$257+$B$259+$B$260+$B$261)*(1+$B$221)^$B$254/$B$264)</f>
        <v>42.3937840241032</v>
      </c>
      <c r="D166" s="167" t="n">
        <f aca="false">IF($A166&lt;=D$162,"n.a.",(($B$243*(SUMPRODUCT($C$117:$G$117,(1+$A166)^(-$C$118:$G$118))+$G$117*(1+D$162)/($A166-D$162)*(1+$A166)^-5)+$B$244*(SUMPRODUCT($C$117:$G$117,(1+$A166)^(-$C$118:$G$118))+$B$236*(1+$A166)^-5))*(1+$A166)^$B$253+$B$257+$B$259+$B$260+$B$261)*(1+$B$221)^$B$254/$B$264)</f>
        <v>44.4306218338657</v>
      </c>
      <c r="E166" s="167" t="n">
        <f aca="false">IF($A166&lt;=E$162,"n.a.",(($B$243*(SUMPRODUCT($C$117:$G$117,(1+$A166)^(-$C$118:$G$118))+$G$117*(1+E$162)/($A166-E$162)*(1+$A166)^-5)+$B$244*(SUMPRODUCT($C$117:$G$117,(1+$A166)^(-$C$118:$G$118))+$B$236*(1+$A166)^-5))*(1+$A166)^$B$253+$B$257+$B$259+$B$260+$B$261)*(1+$B$221)^$B$254/$B$264)</f>
        <v>46.8615633863236</v>
      </c>
      <c r="F166" s="321" t="n">
        <f aca="false">IF($A166&lt;=F$162,"n.a.",(($B$243*(SUMPRODUCT($C$117:$G$117,(1+$A166)^(-$C$118:$G$118))+$G$117*(1+F$162)/($A166-F$162)*(1+$A166)^-5)+$B$244*(SUMPRODUCT($C$117:$G$117,(1+$A166)^(-$C$118:$G$118))+$B$236*(1+$A166)^-5))*(1+$A166)^$B$253+$B$257+$B$259+$B$260+$B$261)*(1+$B$221)^$B$254/$B$264)</f>
        <v>49.8132411527583</v>
      </c>
      <c r="G166" s="315"/>
      <c r="I166" s="322" t="n">
        <f aca="false">I165+$J$161</f>
        <v>0.101330744016837</v>
      </c>
      <c r="J166" s="323" t="n">
        <f aca="false" t="array" ref="J166:J166">IF($I166&lt;=J$162,"n.a.",(($J$243*(SUMPRODUCT($K$117:$O$117,(1+$I166)^(-$K$118:$O$118))+$O$117*(1+J$162)/($I166-J$162)*(1+$I166)^-5)+$J$244*(SUMPRODUCT($K$117:$O$117,(1+$I166)^(-$K$118:$O$118))+$J$236*(1+$I166)^-5))*(1+$I166)^$J$253+$J$257+$J$259+$J$260+$J$261)*(1+$J$221)^$J$254/$J$264)</f>
        <v>34.2920971929088</v>
      </c>
      <c r="K166" s="307" t="n">
        <f aca="false" t="array" ref="K166:K166">IF($I166&lt;=K$162,"n.a.",(($J$243*(SUMPRODUCT($K$117:$O$117,(1+$I166)^(-$K$118:$O$118))+$O$117*(1+K$162)/($I166-K$162)*(1+$I166)^-5)+$J$244*(SUMPRODUCT($K$117:$O$117,(1+$I166)^(-$K$118:$O$118))+$J$236*(1+$I166)^-5))*(1+$I166)^$J$253+$J$257+$J$259+$J$260+$J$261)*(1+$J$221)^$J$254/$J$264)</f>
        <v>35.4891966443159</v>
      </c>
      <c r="L166" s="307" t="n">
        <f aca="false" t="array" ref="L166:L166">IF($I166&lt;=L$162,"n.a.",(($J$243*(SUMPRODUCT($K$117:$O$117,(1+$I166)^(-$K$118:$O$118))+$O$117*(1+L$162)/($I166-L$162)*(1+$I166)^-5)+$J$244*(SUMPRODUCT($K$117:$O$117,(1+$I166)^(-$K$118:$O$118))+$J$236*(1+$I166)^-5))*(1+$I166)^$J$253+$J$257+$J$259+$J$260+$J$261)*(1+$J$221)^$J$254/$J$264)</f>
        <v>36.866770394504</v>
      </c>
      <c r="M166" s="307" t="n">
        <f aca="false" t="array" ref="M166:M166">IF($I166&lt;=M$162,"n.a.",(($J$243*(SUMPRODUCT($K$117:$O$117,(1+$I166)^(-$K$118:$O$118))+$O$117*(1+M$162)/($I166-M$162)*(1+$I166)^-5)+$J$244*(SUMPRODUCT($K$117:$O$117,(1+$I166)^(-$K$118:$O$118))+$J$236*(1+$I166)^-5))*(1+$I166)^$J$253+$J$257+$J$259+$J$260+$J$261)*(1+$J$221)^$J$254/$J$264)</f>
        <v>38.4689580430349</v>
      </c>
      <c r="N166" s="324" t="n">
        <f aca="false" t="array" ref="N166:N166">IF($I166&lt;=N$162,"n.a.",(($J$243*(SUMPRODUCT($K$117:$O$117,(1+$I166)^(-$K$118:$O$118))+$O$117*(1+N$162)/($I166-N$162)*(1+$I166)^-5)+$J$244*(SUMPRODUCT($K$117:$O$117,(1+$I166)^(-$K$118:$O$118))+$J$236*(1+$I166)^-5))*(1+$I166)^$J$253+$J$257+$J$259+$J$260+$J$261)*(1+$J$221)^$J$254/$J$264)</f>
        <v>40.3555707735516</v>
      </c>
      <c r="O166" s="325"/>
      <c r="Q166" s="322" t="n">
        <f aca="false">Q165+$R$161</f>
        <v>0.108571064772753</v>
      </c>
      <c r="R166" s="323" t="n">
        <f aca="false" t="array" ref="R166:R166">IF($Q166&lt;=R$162,"n.a.",(($R$243*(SUMPRODUCT($S$117:$W$117,(1+$Q166)^(-$S$118:$W$118))+$W$117*(1+R$162)/($Q166-R$162)*(1+$Q166)^-5)+$R$244*(SUMPRODUCT($S$117:$W$117,(1+$Q166)^(-$S$118:$W$118))+$R$236*(1+$Q166)^-5))*(1+$Q166)^$R$253+$R$257+$R$259+$R$260+$R$261)*(1+$R$221)^$R$254/$R$264)</f>
        <v>28.7501756234685</v>
      </c>
      <c r="S166" s="307" t="n">
        <f aca="false" t="array" ref="S166:S166">IF($Q166&lt;=S$162,"n.a.",(($R$243*(SUMPRODUCT($S$117:$W$117,(1+$Q166)^(-$S$118:$W$118))+$W$117*(1+S$162)/($Q166-S$162)*(1+$Q166)^-5)+$R$244*(SUMPRODUCT($S$117:$W$117,(1+$Q166)^(-$S$118:$W$118))+$R$236*(1+$Q166)^-5))*(1+$Q166)^$R$253+$R$257+$R$259+$R$260+$R$261)*(1+$R$221)^$R$254/$R$264)</f>
        <v>29.5569054457692</v>
      </c>
      <c r="T166" s="307" t="n">
        <f aca="false" t="array" ref="T166:T166">IF($Q166&lt;=T$162,"n.a.",(($R$243*(SUMPRODUCT($S$117:$W$117,(1+$Q166)^(-$S$118:$W$118))+$W$117*(1+T$162)/($Q166-T$162)*(1+$Q166)^-5)+$R$244*(SUMPRODUCT($S$117:$W$117,(1+$Q166)^(-$S$118:$W$118))+$R$236*(1+$Q166)^-5))*(1+$Q166)^$R$253+$R$257+$R$259+$R$260+$R$261)*(1+$R$221)^$R$254/$R$264)</f>
        <v>30.4663104481294</v>
      </c>
      <c r="U166" s="307" t="n">
        <f aca="false" t="array" ref="U166:U166">IF($Q166&lt;=U$162,"n.a.",(($R$243*(SUMPRODUCT($S$117:$W$117,(1+$Q166)^(-$S$118:$W$118))+$W$117*(1+U$162)/($Q166-U$162)*(1+$Q166)^-5)+$R$244*(SUMPRODUCT($S$117:$W$117,(1+$Q166)^(-$S$118:$W$118))+$R$236*(1+$Q166)^-5))*(1+$Q166)^$R$253+$R$257+$R$259+$R$260+$R$261)*(1+$R$221)^$R$254/$R$264)</f>
        <v>31.4993245086389</v>
      </c>
      <c r="V166" s="324" t="n">
        <f aca="false" t="array" ref="V166:V166">IF($Q166&lt;=V$162,"n.a.",(($R$243*(SUMPRODUCT($S$117:$W$117,(1+$Q166)^(-$S$118:$W$118))+$W$117*(1+V$162)/($Q166-V$162)*(1+$Q166)^-5)+$R$244*(SUMPRODUCT($S$117:$W$117,(1+$Q166)^(-$S$118:$W$118))+$R$236*(1+$Q166)^-5))*(1+$Q166)^$R$253+$R$257+$R$259+$R$260+$R$261)*(1+$R$221)^$R$254/$R$264)</f>
        <v>32.6829872522238</v>
      </c>
      <c r="W166" s="325"/>
    </row>
    <row r="167" customFormat="false" ht="15" hidden="false" customHeight="true" outlineLevel="0" collapsed="false">
      <c r="A167" s="328" t="n">
        <f aca="false">A166+$B$161</f>
        <v>0.101682782706692</v>
      </c>
      <c r="B167" s="329" t="n">
        <f aca="false">IF($A167&lt;=B$162,"n.a.",(($B$243*(SUMPRODUCT($C$117:$G$117,(1+$A167)^(-$C$118:$G$118))+$G$117*(1+B$162)/($A167-B$162)*(1+$A167)^-5)+$B$244*(SUMPRODUCT($C$117:$G$117,(1+$A167)^(-$C$118:$G$118))+$B$236*(1+$A167)^-5))*(1+$A167)^$B$253+$B$257+$B$259+$B$260+$B$261)*(1+$B$221)^$B$254/$B$264)</f>
        <v>38.432736334745</v>
      </c>
      <c r="C167" s="329" t="n">
        <f aca="false">IF($A167&lt;=C$162,"n.a.",(($B$243*(SUMPRODUCT($C$117:$G$117,(1+$A167)^(-$C$118:$G$118))+$G$117*(1+C$162)/($A167-C$162)*(1+$A167)^-5)+$B$244*(SUMPRODUCT($C$117:$G$117,(1+$A167)^(-$C$118:$G$118))+$B$236*(1+$A167)^-5))*(1+$A167)^$B$253+$B$257+$B$259+$B$260+$B$261)*(1+$B$221)^$B$254/$B$264)</f>
        <v>39.8990558634175</v>
      </c>
      <c r="D167" s="329" t="n">
        <f aca="false">IF($A167&lt;=D$162,"n.a.",(($B$243*(SUMPRODUCT($C$117:$G$117,(1+$A167)^(-$C$118:$G$118))+$G$117*(1+D$162)/($A167-D$162)*(1+$A167)^-5)+$B$244*(SUMPRODUCT($C$117:$G$117,(1+$A167)^(-$C$118:$G$118))+$B$236*(1+$A167)^-5))*(1+$A167)^$B$253+$B$257+$B$259+$B$260+$B$261)*(1+$B$221)^$B$254/$B$264)</f>
        <v>41.6030948114044</v>
      </c>
      <c r="E167" s="329" t="n">
        <f aca="false">IF($A167&lt;=E$162,"n.a.",(($B$243*(SUMPRODUCT($C$117:$G$117,(1+$A167)^(-$C$118:$G$118))+$G$117*(1+E$162)/($A167-E$162)*(1+$A167)^-5)+$B$244*(SUMPRODUCT($C$117:$G$117,(1+$A167)^(-$C$118:$G$118))+$B$236*(1+$A167)^-5))*(1+$A167)^$B$253+$B$257+$B$259+$B$260+$B$261)*(1+$B$221)^$B$254/$B$264)</f>
        <v>43.6077610163142</v>
      </c>
      <c r="F167" s="330" t="n">
        <f aca="false">IF($A167&lt;=F$162,"n.a.",(($B$243*(SUMPRODUCT($C$117:$G$117,(1+$A167)^(-$C$118:$G$118))+$G$117*(1+F$162)/($A167-F$162)*(1+$A167)^-5)+$B$244*(SUMPRODUCT($C$117:$G$117,(1+$A167)^(-$C$118:$G$118))+$B$236*(1+$A167)^-5))*(1+$A167)^$B$253+$B$257+$B$259+$B$260+$B$261)*(1+$B$221)^$B$254/$B$264)</f>
        <v>46.0003061433568</v>
      </c>
      <c r="G167" s="315"/>
      <c r="I167" s="322" t="n">
        <f aca="false">I166+$J$161</f>
        <v>0.106330744016837</v>
      </c>
      <c r="J167" s="331" t="n">
        <f aca="false" t="array" ref="J167:J167">IF($I167&lt;=J$162,"n.a.",(($J$243*(SUMPRODUCT($K$117:$O$117,(1+$I167)^(-$K$118:$O$118))+$O$117*(1+J$162)/($I167-J$162)*(1+$I167)^-5)+$J$244*(SUMPRODUCT($K$117:$O$117,(1+$I167)^(-$K$118:$O$118))+$J$236*(1+$I167)^-5))*(1+$I167)^$J$253+$J$257+$J$259+$J$260+$J$261)*(1+$J$221)^$J$254/$J$264)</f>
        <v>32.5989173216019</v>
      </c>
      <c r="K167" s="332" t="n">
        <f aca="false" t="array" ref="K167:K167">IF($I167&lt;=K$162,"n.a.",(($J$243*(SUMPRODUCT($K$117:$O$117,(1+$I167)^(-$K$118:$O$118))+$O$117*(1+K$162)/($I167-K$162)*(1+$I167)^-5)+$J$244*(SUMPRODUCT($K$117:$O$117,(1+$I167)^(-$K$118:$O$118))+$J$236*(1+$I167)^-5))*(1+$I167)^$J$253+$J$257+$J$259+$J$260+$J$261)*(1+$J$221)^$J$254/$J$264)</f>
        <v>33.6323137974818</v>
      </c>
      <c r="L167" s="332" t="n">
        <f aca="false" t="array" ref="L167:L167">IF($I167&lt;=L$162,"n.a.",(($J$243*(SUMPRODUCT($K$117:$O$117,(1+$I167)^(-$K$118:$O$118))+$O$117*(1+L$162)/($I167-L$162)*(1+$I167)^-5)+$J$244*(SUMPRODUCT($K$117:$O$117,(1+$I167)^(-$K$118:$O$118))+$J$236*(1+$I167)^-5))*(1+$I167)^$J$253+$J$257+$J$259+$J$260+$J$261)*(1+$J$221)^$J$254/$J$264)</f>
        <v>34.8105841969584</v>
      </c>
      <c r="M167" s="332" t="n">
        <f aca="false" t="array" ref="M167:M167">IF($I167&lt;=M$162,"n.a.",(($J$243*(SUMPRODUCT($K$117:$O$117,(1+$I167)^(-$K$118:$O$118))+$O$117*(1+M$162)/($I167-M$162)*(1+$I167)^-5)+$J$244*(SUMPRODUCT($K$117:$O$117,(1+$I167)^(-$K$118:$O$118))+$J$236*(1+$I167)^-5))*(1+$I167)^$J$253+$J$257+$J$259+$J$260+$J$261)*(1+$J$221)^$J$254/$J$264)</f>
        <v>36.166490233867</v>
      </c>
      <c r="N167" s="333" t="n">
        <f aca="false" t="array" ref="N167:N167">IF($I167&lt;=N$162,"n.a.",(($J$243*(SUMPRODUCT($K$117:$O$117,(1+$I167)^(-$K$118:$O$118))+$O$117*(1+N$162)/($I167-N$162)*(1+$I167)^-5)+$J$244*(SUMPRODUCT($K$117:$O$117,(1+$I167)^(-$K$118:$O$118))+$J$236*(1+$I167)^-5))*(1+$I167)^$J$253+$J$257+$J$259+$J$260+$J$261)*(1+$J$221)^$J$254/$J$264)</f>
        <v>37.7434772406292</v>
      </c>
      <c r="O167" s="325"/>
      <c r="Q167" s="322" t="n">
        <f aca="false">Q166+$R$161</f>
        <v>0.113571064772753</v>
      </c>
      <c r="R167" s="331" t="n">
        <f aca="false" t="array" ref="R167:R167">IF($Q167&lt;=R$162,"n.a.",(($R$243*(SUMPRODUCT($S$117:$W$117,(1+$Q167)^(-$S$118:$W$118))+$W$117*(1+R$162)/($Q167-R$162)*(1+$Q167)^-5)+$R$244*(SUMPRODUCT($S$117:$W$117,(1+$Q167)^(-$S$118:$W$118))+$R$236*(1+$Q167)^-5))*(1+$Q167)^$R$253+$R$257+$R$259+$R$260+$R$261)*(1+$R$221)^$R$254/$R$264)</f>
        <v>27.4717644244081</v>
      </c>
      <c r="S167" s="332" t="n">
        <f aca="false" t="array" ref="S167:S167">IF($Q167&lt;=S$162,"n.a.",(($R$243*(SUMPRODUCT($S$117:$W$117,(1+$Q167)^(-$S$118:$W$118))+$W$117*(1+S$162)/($Q167-S$162)*(1+$Q167)^-5)+$R$244*(SUMPRODUCT($S$117:$W$117,(1+$Q167)^(-$S$118:$W$118))+$R$236*(1+$Q167)^-5))*(1+$Q167)^$R$253+$R$257+$R$259+$R$260+$R$261)*(1+$R$221)^$R$254/$R$264)</f>
        <v>28.1810188912445</v>
      </c>
      <c r="T167" s="332" t="n">
        <f aca="false" t="array" ref="T167:T167">IF($Q167&lt;=T$162,"n.a.",(($R$243*(SUMPRODUCT($S$117:$W$117,(1+$Q167)^(-$S$118:$W$118))+$W$117*(1+T$162)/($Q167-T$162)*(1+$Q167)^-5)+$R$244*(SUMPRODUCT($S$117:$W$117,(1+$Q167)^(-$S$118:$W$118))+$R$236*(1+$Q167)^-5))*(1+$Q167)^$R$253+$R$257+$R$259+$R$260+$R$261)*(1+$R$221)^$R$254/$R$264)</f>
        <v>28.9751417833864</v>
      </c>
      <c r="U167" s="332" t="n">
        <f aca="false" t="array" ref="U167:U167">IF($Q167&lt;=U$162,"n.a.",(($R$243*(SUMPRODUCT($S$117:$W$117,(1+$Q167)^(-$S$118:$W$118))+$W$117*(1+U$162)/($Q167-U$162)*(1+$Q167)^-5)+$R$244*(SUMPRODUCT($S$117:$W$117,(1+$Q167)^(-$S$118:$W$118))+$R$236*(1+$Q167)^-5))*(1+$Q167)^$R$253+$R$257+$R$259+$R$260+$R$261)*(1+$R$221)^$R$254/$R$264)</f>
        <v>29.8703353297746</v>
      </c>
      <c r="V167" s="333" t="n">
        <f aca="false" t="array" ref="V167:V167">IF($Q167&lt;=V$162,"n.a.",(($R$243*(SUMPRODUCT($S$117:$W$117,(1+$Q167)^(-$S$118:$W$118))+$W$117*(1+V$162)/($Q167-V$162)*(1+$Q167)^-5)+$R$244*(SUMPRODUCT($S$117:$W$117,(1+$Q167)^(-$S$118:$W$118))+$R$236*(1+$Q167)^-5))*(1+$Q167)^$R$253+$R$257+$R$259+$R$260+$R$261)*(1+$R$221)^$R$254/$R$264)</f>
        <v>30.8872062705507</v>
      </c>
      <c r="W167" s="325"/>
    </row>
    <row r="168" customFormat="false" ht="15" hidden="false" customHeight="true" outlineLevel="0" collapsed="false">
      <c r="A168" s="284"/>
      <c r="B168" s="334" t="n">
        <f aca="false">D165-B265</f>
        <v>0</v>
      </c>
      <c r="C168" s="284"/>
      <c r="D168" s="284"/>
      <c r="E168" s="284"/>
      <c r="F168" s="284"/>
      <c r="G168" s="152"/>
      <c r="J168" s="335" t="n">
        <f aca="false">L165-J265</f>
        <v>0</v>
      </c>
      <c r="K168" s="336"/>
      <c r="L168" s="336"/>
      <c r="M168" s="336"/>
      <c r="N168" s="336"/>
      <c r="O168" s="302"/>
      <c r="R168" s="335" t="n">
        <f aca="false">T165-R265</f>
        <v>0</v>
      </c>
      <c r="S168" s="336"/>
      <c r="T168" s="336"/>
      <c r="U168" s="336"/>
      <c r="V168" s="336"/>
      <c r="W168" s="302"/>
    </row>
    <row r="169" customFormat="false" ht="15" hidden="false" customHeight="true" outlineLevel="0" collapsed="false">
      <c r="A169" s="154"/>
      <c r="B169" s="154"/>
      <c r="C169" s="154"/>
      <c r="D169" s="154"/>
      <c r="E169" s="154"/>
      <c r="F169" s="154"/>
      <c r="G169" s="154"/>
      <c r="J169" s="298"/>
      <c r="K169" s="298"/>
      <c r="L169" s="298"/>
      <c r="M169" s="298"/>
      <c r="N169" s="298"/>
      <c r="O169" s="298"/>
      <c r="R169" s="298"/>
      <c r="S169" s="298"/>
      <c r="T169" s="298"/>
      <c r="U169" s="298"/>
      <c r="V169" s="298"/>
      <c r="W169" s="298"/>
    </row>
    <row r="170" customFormat="false" ht="15" hidden="false" customHeight="true" outlineLevel="0" collapsed="false">
      <c r="A170" s="152" t="s">
        <v>2654</v>
      </c>
      <c r="B170" s="152" t="s">
        <v>1749</v>
      </c>
      <c r="C170" s="152" t="s">
        <v>1938</v>
      </c>
      <c r="D170" s="152" t="s">
        <v>1719</v>
      </c>
      <c r="E170" s="152" t="s">
        <v>1939</v>
      </c>
      <c r="F170" s="152" t="s">
        <v>1940</v>
      </c>
      <c r="G170" s="152" t="s">
        <v>1941</v>
      </c>
      <c r="J170" s="285" t="s">
        <v>1749</v>
      </c>
      <c r="K170" s="285" t="s">
        <v>1938</v>
      </c>
      <c r="L170" s="285" t="s">
        <v>1719</v>
      </c>
      <c r="M170" s="285" t="s">
        <v>1939</v>
      </c>
      <c r="N170" s="285" t="s">
        <v>1940</v>
      </c>
      <c r="O170" s="285" t="s">
        <v>1941</v>
      </c>
      <c r="R170" s="285" t="s">
        <v>1749</v>
      </c>
      <c r="S170" s="285" t="s">
        <v>1938</v>
      </c>
      <c r="T170" s="285" t="s">
        <v>1719</v>
      </c>
      <c r="U170" s="285" t="s">
        <v>1939</v>
      </c>
      <c r="V170" s="285" t="s">
        <v>1940</v>
      </c>
      <c r="W170" s="285" t="s">
        <v>1941</v>
      </c>
    </row>
    <row r="171" customFormat="false" ht="15" hidden="false" customHeight="true" outlineLevel="0" collapsed="false">
      <c r="A171" s="152" t="s">
        <v>1942</v>
      </c>
      <c r="B171" s="152" t="s">
        <v>1757</v>
      </c>
      <c r="C171" s="152" t="n">
        <v>4</v>
      </c>
      <c r="D171" s="152" t="s">
        <v>1943</v>
      </c>
      <c r="E171" s="152" t="s">
        <v>1944</v>
      </c>
      <c r="F171" s="152" t="s">
        <v>1442</v>
      </c>
      <c r="G171" s="152" t="n">
        <v>11</v>
      </c>
      <c r="J171" s="286" t="s">
        <v>1757</v>
      </c>
      <c r="K171" s="286" t="n">
        <v>4</v>
      </c>
      <c r="L171" s="286" t="s">
        <v>1943</v>
      </c>
      <c r="M171" s="286" t="s">
        <v>1944</v>
      </c>
      <c r="N171" s="286" t="s">
        <v>1442</v>
      </c>
      <c r="O171" s="286" t="n">
        <v>11</v>
      </c>
      <c r="R171" s="286" t="s">
        <v>1757</v>
      </c>
      <c r="S171" s="286" t="n">
        <v>4</v>
      </c>
      <c r="T171" s="286" t="s">
        <v>1943</v>
      </c>
      <c r="U171" s="286" t="s">
        <v>1944</v>
      </c>
      <c r="V171" s="286" t="s">
        <v>1442</v>
      </c>
      <c r="W171" s="286" t="n">
        <v>11</v>
      </c>
    </row>
    <row r="172" customFormat="false" ht="15" hidden="false" customHeight="true" outlineLevel="0" collapsed="false">
      <c r="A172" s="152" t="s">
        <v>1945</v>
      </c>
      <c r="B172" s="152" t="s">
        <v>1781</v>
      </c>
      <c r="C172" s="152" t="n">
        <v>3</v>
      </c>
      <c r="D172" s="152" t="s">
        <v>1943</v>
      </c>
      <c r="E172" s="152" t="s">
        <v>1944</v>
      </c>
      <c r="F172" s="152" t="s">
        <v>1761</v>
      </c>
      <c r="G172" s="152" t="n">
        <v>10</v>
      </c>
      <c r="J172" s="286" t="s">
        <v>1781</v>
      </c>
      <c r="K172" s="286" t="n">
        <v>3</v>
      </c>
      <c r="L172" s="286" t="s">
        <v>1943</v>
      </c>
      <c r="M172" s="286" t="s">
        <v>1944</v>
      </c>
      <c r="N172" s="286" t="s">
        <v>1761</v>
      </c>
      <c r="O172" s="286" t="n">
        <v>10</v>
      </c>
      <c r="R172" s="286" t="s">
        <v>1781</v>
      </c>
      <c r="S172" s="286" t="n">
        <v>3</v>
      </c>
      <c r="T172" s="286" t="s">
        <v>1943</v>
      </c>
      <c r="U172" s="286" t="s">
        <v>1944</v>
      </c>
      <c r="V172" s="286" t="s">
        <v>1761</v>
      </c>
      <c r="W172" s="286" t="n">
        <v>10</v>
      </c>
    </row>
    <row r="173" customFormat="false" ht="15" hidden="false" customHeight="true" outlineLevel="0" collapsed="false">
      <c r="A173" s="152" t="s">
        <v>1946</v>
      </c>
      <c r="B173" s="152" t="s">
        <v>1772</v>
      </c>
      <c r="C173" s="152" t="n">
        <v>5</v>
      </c>
      <c r="D173" s="152" t="s">
        <v>1943</v>
      </c>
      <c r="E173" s="152" t="s">
        <v>1948</v>
      </c>
      <c r="F173" s="152" t="s">
        <v>1442</v>
      </c>
      <c r="G173" s="152" t="n">
        <v>13</v>
      </c>
      <c r="J173" s="286" t="s">
        <v>1772</v>
      </c>
      <c r="K173" s="286" t="n">
        <v>5</v>
      </c>
      <c r="L173" s="286" t="s">
        <v>1943</v>
      </c>
      <c r="M173" s="286" t="s">
        <v>1948</v>
      </c>
      <c r="N173" s="286" t="s">
        <v>1442</v>
      </c>
      <c r="O173" s="286" t="n">
        <v>13</v>
      </c>
      <c r="R173" s="286" t="s">
        <v>1772</v>
      </c>
      <c r="S173" s="286" t="n">
        <v>5</v>
      </c>
      <c r="T173" s="286" t="s">
        <v>1943</v>
      </c>
      <c r="U173" s="286" t="s">
        <v>1948</v>
      </c>
      <c r="V173" s="286" t="s">
        <v>1442</v>
      </c>
      <c r="W173" s="286" t="n">
        <v>13</v>
      </c>
    </row>
    <row r="174" customFormat="false" ht="15" hidden="false" customHeight="true" outlineLevel="0" collapsed="false">
      <c r="A174" s="152" t="s">
        <v>1949</v>
      </c>
      <c r="B174" s="152" t="s">
        <v>1757</v>
      </c>
      <c r="C174" s="152" t="n">
        <v>3</v>
      </c>
      <c r="D174" s="152" t="s">
        <v>1950</v>
      </c>
      <c r="E174" s="152" t="s">
        <v>1944</v>
      </c>
      <c r="F174" s="152" t="s">
        <v>1442</v>
      </c>
      <c r="G174" s="152" t="n">
        <v>13</v>
      </c>
      <c r="J174" s="286" t="s">
        <v>1757</v>
      </c>
      <c r="K174" s="286" t="n">
        <v>3</v>
      </c>
      <c r="L174" s="286" t="s">
        <v>1950</v>
      </c>
      <c r="M174" s="286" t="s">
        <v>1944</v>
      </c>
      <c r="N174" s="286" t="s">
        <v>1442</v>
      </c>
      <c r="O174" s="286" t="n">
        <v>13</v>
      </c>
      <c r="R174" s="286" t="s">
        <v>1757</v>
      </c>
      <c r="S174" s="286" t="n">
        <v>3</v>
      </c>
      <c r="T174" s="286" t="s">
        <v>1950</v>
      </c>
      <c r="U174" s="286" t="s">
        <v>1944</v>
      </c>
      <c r="V174" s="286" t="s">
        <v>1442</v>
      </c>
      <c r="W174" s="286" t="n">
        <v>13</v>
      </c>
    </row>
    <row r="175" customFormat="false" ht="15" hidden="false" customHeight="true" outlineLevel="0" collapsed="false">
      <c r="A175" s="152" t="s">
        <v>1951</v>
      </c>
      <c r="B175" s="152" t="s">
        <v>1772</v>
      </c>
      <c r="C175" s="152" t="n">
        <v>3</v>
      </c>
      <c r="D175" s="152" t="s">
        <v>1950</v>
      </c>
      <c r="E175" s="152" t="s">
        <v>1948</v>
      </c>
      <c r="F175" s="152" t="s">
        <v>1442</v>
      </c>
      <c r="G175" s="152" t="n">
        <v>17</v>
      </c>
      <c r="J175" s="286" t="s">
        <v>1772</v>
      </c>
      <c r="K175" s="286" t="n">
        <v>3</v>
      </c>
      <c r="L175" s="286" t="s">
        <v>1950</v>
      </c>
      <c r="M175" s="286" t="s">
        <v>1948</v>
      </c>
      <c r="N175" s="286" t="s">
        <v>1442</v>
      </c>
      <c r="O175" s="286" t="n">
        <v>17</v>
      </c>
      <c r="R175" s="286" t="s">
        <v>1772</v>
      </c>
      <c r="S175" s="286" t="n">
        <v>3</v>
      </c>
      <c r="T175" s="286" t="s">
        <v>1950</v>
      </c>
      <c r="U175" s="286" t="s">
        <v>1948</v>
      </c>
      <c r="V175" s="286" t="s">
        <v>1442</v>
      </c>
      <c r="W175" s="286" t="n">
        <v>17</v>
      </c>
    </row>
    <row r="176" customFormat="false" ht="15" hidden="false" customHeight="true" outlineLevel="0" collapsed="false">
      <c r="A176" s="152" t="s">
        <v>1952</v>
      </c>
      <c r="B176" s="152" t="s">
        <v>1772</v>
      </c>
      <c r="C176" s="152" t="n">
        <v>3</v>
      </c>
      <c r="D176" s="152" t="s">
        <v>1943</v>
      </c>
      <c r="E176" s="152" t="s">
        <v>1944</v>
      </c>
      <c r="F176" s="152" t="s">
        <v>1953</v>
      </c>
      <c r="G176" s="152" t="s">
        <v>1954</v>
      </c>
      <c r="J176" s="286" t="s">
        <v>1772</v>
      </c>
      <c r="K176" s="286" t="n">
        <v>3</v>
      </c>
      <c r="L176" s="286" t="s">
        <v>1943</v>
      </c>
      <c r="M176" s="286" t="s">
        <v>1944</v>
      </c>
      <c r="N176" s="286" t="s">
        <v>1953</v>
      </c>
      <c r="O176" s="286" t="s">
        <v>1954</v>
      </c>
      <c r="R176" s="286" t="s">
        <v>1772</v>
      </c>
      <c r="S176" s="286" t="n">
        <v>3</v>
      </c>
      <c r="T176" s="286" t="s">
        <v>1943</v>
      </c>
      <c r="U176" s="286" t="s">
        <v>1944</v>
      </c>
      <c r="V176" s="286" t="s">
        <v>1953</v>
      </c>
      <c r="W176" s="286" t="s">
        <v>1954</v>
      </c>
    </row>
    <row r="177" customFormat="false" ht="15" hidden="false" customHeight="true" outlineLevel="0" collapsed="false">
      <c r="A177" s="152" t="s">
        <v>1955</v>
      </c>
      <c r="B177" s="152" t="s">
        <v>1772</v>
      </c>
      <c r="C177" s="152" t="n">
        <v>3</v>
      </c>
      <c r="D177" s="152" t="s">
        <v>1943</v>
      </c>
      <c r="E177" s="152" t="s">
        <v>1948</v>
      </c>
      <c r="F177" s="152" t="s">
        <v>1956</v>
      </c>
      <c r="G177" s="152" t="n">
        <v>125</v>
      </c>
      <c r="J177" s="286" t="s">
        <v>1772</v>
      </c>
      <c r="K177" s="286" t="n">
        <v>3</v>
      </c>
      <c r="L177" s="286" t="s">
        <v>1943</v>
      </c>
      <c r="M177" s="286" t="s">
        <v>1948</v>
      </c>
      <c r="N177" s="286" t="s">
        <v>1956</v>
      </c>
      <c r="O177" s="286" t="n">
        <v>125</v>
      </c>
      <c r="R177" s="286" t="s">
        <v>1772</v>
      </c>
      <c r="S177" s="286" t="n">
        <v>3</v>
      </c>
      <c r="T177" s="286" t="s">
        <v>1943</v>
      </c>
      <c r="U177" s="286" t="s">
        <v>1948</v>
      </c>
      <c r="V177" s="286" t="s">
        <v>1956</v>
      </c>
      <c r="W177" s="286" t="n">
        <v>125</v>
      </c>
    </row>
    <row r="178" customFormat="false" ht="15" hidden="false" customHeight="true" outlineLevel="0" collapsed="false">
      <c r="A178" s="152" t="s">
        <v>1957</v>
      </c>
      <c r="B178" s="152" t="s">
        <v>1772</v>
      </c>
      <c r="C178" s="152" t="n">
        <v>3</v>
      </c>
      <c r="D178" s="152" t="s">
        <v>1950</v>
      </c>
      <c r="E178" s="152" t="s">
        <v>1948</v>
      </c>
      <c r="F178" s="152" t="s">
        <v>1771</v>
      </c>
      <c r="G178" s="152" t="n">
        <v>35</v>
      </c>
      <c r="J178" s="286" t="s">
        <v>1772</v>
      </c>
      <c r="K178" s="286" t="n">
        <v>3</v>
      </c>
      <c r="L178" s="286" t="s">
        <v>1950</v>
      </c>
      <c r="M178" s="286" t="s">
        <v>1948</v>
      </c>
      <c r="N178" s="286" t="s">
        <v>1771</v>
      </c>
      <c r="O178" s="286" t="n">
        <v>35</v>
      </c>
      <c r="R178" s="286" t="s">
        <v>1772</v>
      </c>
      <c r="S178" s="286" t="n">
        <v>3</v>
      </c>
      <c r="T178" s="286" t="s">
        <v>1950</v>
      </c>
      <c r="U178" s="286" t="s">
        <v>1948</v>
      </c>
      <c r="V178" s="286" t="s">
        <v>1771</v>
      </c>
      <c r="W178" s="286" t="n">
        <v>35</v>
      </c>
    </row>
    <row r="179" customFormat="false" ht="15" hidden="false" customHeight="true" outlineLevel="0" collapsed="false">
      <c r="A179" s="152" t="s">
        <v>1958</v>
      </c>
      <c r="B179" s="152" t="s">
        <v>1772</v>
      </c>
      <c r="C179" s="152" t="n">
        <v>2</v>
      </c>
      <c r="D179" s="152" t="s">
        <v>1950</v>
      </c>
      <c r="E179" s="152" t="s">
        <v>1959</v>
      </c>
      <c r="F179" s="152" t="s">
        <v>5</v>
      </c>
      <c r="G179" s="152" t="n">
        <v>125</v>
      </c>
      <c r="J179" s="286" t="s">
        <v>1772</v>
      </c>
      <c r="K179" s="286" t="n">
        <v>2</v>
      </c>
      <c r="L179" s="286" t="s">
        <v>1950</v>
      </c>
      <c r="M179" s="286" t="s">
        <v>1959</v>
      </c>
      <c r="N179" s="286" t="s">
        <v>5</v>
      </c>
      <c r="O179" s="286" t="n">
        <v>125</v>
      </c>
      <c r="R179" s="286" t="s">
        <v>1772</v>
      </c>
      <c r="S179" s="286" t="n">
        <v>2</v>
      </c>
      <c r="T179" s="286" t="s">
        <v>1950</v>
      </c>
      <c r="U179" s="286" t="s">
        <v>1959</v>
      </c>
      <c r="V179" s="286" t="s">
        <v>5</v>
      </c>
      <c r="W179" s="286" t="n">
        <v>125</v>
      </c>
    </row>
    <row r="180" customFormat="false" ht="15" hidden="false" customHeight="true" outlineLevel="0" collapsed="false">
      <c r="A180" s="152" t="s">
        <v>1960</v>
      </c>
      <c r="B180" s="152" t="s">
        <v>1772</v>
      </c>
      <c r="C180" s="152" t="n">
        <v>4</v>
      </c>
      <c r="D180" s="152" t="s">
        <v>1943</v>
      </c>
      <c r="E180" s="152" t="s">
        <v>1959</v>
      </c>
      <c r="F180" s="152" t="s">
        <v>1442</v>
      </c>
      <c r="G180" s="152" t="n">
        <v>18</v>
      </c>
      <c r="J180" s="286" t="s">
        <v>1772</v>
      </c>
      <c r="K180" s="286" t="n">
        <v>4</v>
      </c>
      <c r="L180" s="286" t="s">
        <v>1943</v>
      </c>
      <c r="M180" s="286" t="s">
        <v>1959</v>
      </c>
      <c r="N180" s="286" t="s">
        <v>1442</v>
      </c>
      <c r="O180" s="286" t="n">
        <v>18</v>
      </c>
      <c r="R180" s="286" t="s">
        <v>1772</v>
      </c>
      <c r="S180" s="286" t="n">
        <v>4</v>
      </c>
      <c r="T180" s="286" t="s">
        <v>1943</v>
      </c>
      <c r="U180" s="286" t="s">
        <v>1959</v>
      </c>
      <c r="V180" s="286" t="s">
        <v>1442</v>
      </c>
      <c r="W180" s="286" t="n">
        <v>18</v>
      </c>
    </row>
    <row r="181" customFormat="false" ht="15" hidden="false" customHeight="true" outlineLevel="0" collapsed="false">
      <c r="A181" s="152" t="s">
        <v>1961</v>
      </c>
      <c r="B181" s="152" t="s">
        <v>1772</v>
      </c>
      <c r="C181" s="152" t="n">
        <v>3</v>
      </c>
      <c r="D181" s="152" t="s">
        <v>1943</v>
      </c>
      <c r="E181" s="152" t="s">
        <v>1944</v>
      </c>
      <c r="F181" s="152" t="s">
        <v>1442</v>
      </c>
      <c r="G181" s="152" t="n">
        <v>18</v>
      </c>
      <c r="J181" s="286" t="s">
        <v>1772</v>
      </c>
      <c r="K181" s="286" t="n">
        <v>3</v>
      </c>
      <c r="L181" s="286" t="s">
        <v>1943</v>
      </c>
      <c r="M181" s="286" t="s">
        <v>1944</v>
      </c>
      <c r="N181" s="286" t="s">
        <v>1442</v>
      </c>
      <c r="O181" s="286" t="n">
        <v>18</v>
      </c>
      <c r="R181" s="286" t="s">
        <v>1772</v>
      </c>
      <c r="S181" s="286" t="n">
        <v>3</v>
      </c>
      <c r="T181" s="286" t="s">
        <v>1943</v>
      </c>
      <c r="U181" s="286" t="s">
        <v>1944</v>
      </c>
      <c r="V181" s="286" t="s">
        <v>1442</v>
      </c>
      <c r="W181" s="286" t="n">
        <v>18</v>
      </c>
    </row>
    <row r="182" customFormat="false" ht="15" hidden="false" customHeight="true" outlineLevel="0" collapsed="false">
      <c r="A182" s="152" t="s">
        <v>1962</v>
      </c>
      <c r="B182" s="152" t="s">
        <v>1772</v>
      </c>
      <c r="C182" s="152" t="n">
        <v>2</v>
      </c>
      <c r="D182" s="152" t="s">
        <v>1943</v>
      </c>
      <c r="E182" s="152" t="s">
        <v>1948</v>
      </c>
      <c r="F182" s="152" t="s">
        <v>1771</v>
      </c>
      <c r="G182" s="152" t="n">
        <v>35</v>
      </c>
      <c r="J182" s="286" t="s">
        <v>1772</v>
      </c>
      <c r="K182" s="286" t="n">
        <v>2</v>
      </c>
      <c r="L182" s="286" t="s">
        <v>1943</v>
      </c>
      <c r="M182" s="286" t="s">
        <v>1948</v>
      </c>
      <c r="N182" s="286" t="s">
        <v>1771</v>
      </c>
      <c r="O182" s="286" t="n">
        <v>35</v>
      </c>
      <c r="R182" s="286" t="s">
        <v>1772</v>
      </c>
      <c r="S182" s="286" t="n">
        <v>2</v>
      </c>
      <c r="T182" s="286" t="s">
        <v>1943</v>
      </c>
      <c r="U182" s="286" t="s">
        <v>1948</v>
      </c>
      <c r="V182" s="286" t="s">
        <v>1771</v>
      </c>
      <c r="W182" s="286" t="n">
        <v>35</v>
      </c>
    </row>
    <row r="183" customFormat="false" ht="15" hidden="false" customHeight="true" outlineLevel="0" collapsed="false">
      <c r="A183" s="152" t="s">
        <v>1963</v>
      </c>
      <c r="B183" s="152" t="s">
        <v>1781</v>
      </c>
      <c r="C183" s="152" t="n">
        <v>4</v>
      </c>
      <c r="D183" s="152" t="s">
        <v>1943</v>
      </c>
      <c r="E183" s="152" t="s">
        <v>1964</v>
      </c>
      <c r="F183" s="152" t="s">
        <v>1965</v>
      </c>
      <c r="G183" s="152" t="s">
        <v>1966</v>
      </c>
      <c r="J183" s="286" t="s">
        <v>1781</v>
      </c>
      <c r="K183" s="286" t="n">
        <v>4</v>
      </c>
      <c r="L183" s="286" t="s">
        <v>1943</v>
      </c>
      <c r="M183" s="286" t="s">
        <v>1964</v>
      </c>
      <c r="N183" s="286" t="s">
        <v>1965</v>
      </c>
      <c r="O183" s="286" t="s">
        <v>1966</v>
      </c>
      <c r="R183" s="286" t="s">
        <v>1781</v>
      </c>
      <c r="S183" s="286" t="n">
        <v>4</v>
      </c>
      <c r="T183" s="286" t="s">
        <v>1943</v>
      </c>
      <c r="U183" s="286" t="s">
        <v>1964</v>
      </c>
      <c r="V183" s="286" t="s">
        <v>1965</v>
      </c>
      <c r="W183" s="286" t="s">
        <v>1966</v>
      </c>
    </row>
    <row r="184" customFormat="false" ht="15" hidden="false" customHeight="true" outlineLevel="0" collapsed="false">
      <c r="A184" s="152" t="s">
        <v>1967</v>
      </c>
      <c r="B184" s="152" t="s">
        <v>1772</v>
      </c>
      <c r="C184" s="152" t="n">
        <v>3</v>
      </c>
      <c r="D184" s="152" t="s">
        <v>1943</v>
      </c>
      <c r="E184" s="152" t="s">
        <v>1959</v>
      </c>
      <c r="F184" s="152" t="s">
        <v>1785</v>
      </c>
      <c r="G184" s="152" t="n">
        <v>33</v>
      </c>
      <c r="J184" s="286" t="s">
        <v>1772</v>
      </c>
      <c r="K184" s="286" t="n">
        <v>3</v>
      </c>
      <c r="L184" s="286" t="s">
        <v>1943</v>
      </c>
      <c r="M184" s="286" t="s">
        <v>1959</v>
      </c>
      <c r="N184" s="286" t="s">
        <v>1785</v>
      </c>
      <c r="O184" s="286" t="n">
        <v>33</v>
      </c>
      <c r="R184" s="286" t="s">
        <v>1772</v>
      </c>
      <c r="S184" s="286" t="n">
        <v>3</v>
      </c>
      <c r="T184" s="286" t="s">
        <v>1943</v>
      </c>
      <c r="U184" s="286" t="s">
        <v>1959</v>
      </c>
      <c r="V184" s="286" t="s">
        <v>1785</v>
      </c>
      <c r="W184" s="286" t="n">
        <v>33</v>
      </c>
    </row>
    <row r="185" customFormat="false" ht="15" hidden="false" customHeight="true" outlineLevel="0" collapsed="false">
      <c r="A185" s="152" t="s">
        <v>1968</v>
      </c>
      <c r="B185" s="152" t="s">
        <v>1772</v>
      </c>
      <c r="C185" s="152" t="n">
        <v>2</v>
      </c>
      <c r="D185" s="152" t="s">
        <v>1950</v>
      </c>
      <c r="E185" s="152" t="s">
        <v>1944</v>
      </c>
      <c r="F185" s="152" t="s">
        <v>1442</v>
      </c>
      <c r="G185" s="152" t="n">
        <v>21</v>
      </c>
      <c r="J185" s="286" t="s">
        <v>1772</v>
      </c>
      <c r="K185" s="286" t="n">
        <v>2</v>
      </c>
      <c r="L185" s="286" t="s">
        <v>1950</v>
      </c>
      <c r="M185" s="286" t="s">
        <v>1944</v>
      </c>
      <c r="N185" s="286" t="s">
        <v>1442</v>
      </c>
      <c r="O185" s="286" t="n">
        <v>21</v>
      </c>
      <c r="R185" s="286" t="s">
        <v>1772</v>
      </c>
      <c r="S185" s="286" t="n">
        <v>2</v>
      </c>
      <c r="T185" s="286" t="s">
        <v>1950</v>
      </c>
      <c r="U185" s="286" t="s">
        <v>1944</v>
      </c>
      <c r="V185" s="286" t="s">
        <v>1442</v>
      </c>
      <c r="W185" s="286" t="n">
        <v>21</v>
      </c>
    </row>
    <row r="186" customFormat="false" ht="15" hidden="false" customHeight="true" outlineLevel="0" collapsed="false">
      <c r="A186" s="152" t="s">
        <v>1969</v>
      </c>
      <c r="B186" s="152" t="s">
        <v>1772</v>
      </c>
      <c r="C186" s="152" t="n">
        <v>2</v>
      </c>
      <c r="D186" s="152" t="s">
        <v>1950</v>
      </c>
      <c r="E186" s="152" t="s">
        <v>1959</v>
      </c>
      <c r="F186" s="152" t="s">
        <v>1439</v>
      </c>
      <c r="G186" s="152" t="n">
        <v>52</v>
      </c>
      <c r="J186" s="286" t="s">
        <v>1772</v>
      </c>
      <c r="K186" s="286" t="n">
        <v>2</v>
      </c>
      <c r="L186" s="286" t="s">
        <v>1950</v>
      </c>
      <c r="M186" s="286" t="s">
        <v>1959</v>
      </c>
      <c r="N186" s="286" t="s">
        <v>1439</v>
      </c>
      <c r="O186" s="286" t="n">
        <v>52</v>
      </c>
      <c r="R186" s="286" t="s">
        <v>1772</v>
      </c>
      <c r="S186" s="286" t="n">
        <v>2</v>
      </c>
      <c r="T186" s="286" t="s">
        <v>1950</v>
      </c>
      <c r="U186" s="286" t="s">
        <v>1959</v>
      </c>
      <c r="V186" s="286" t="s">
        <v>1439</v>
      </c>
      <c r="W186" s="286" t="n">
        <v>52</v>
      </c>
    </row>
    <row r="187" customFormat="false" ht="15" hidden="false" customHeight="true" outlineLevel="0" collapsed="false">
      <c r="A187" s="152" t="s">
        <v>1970</v>
      </c>
      <c r="B187" s="152" t="s">
        <v>1757</v>
      </c>
      <c r="C187" s="152" t="n">
        <v>3</v>
      </c>
      <c r="D187" s="152" t="s">
        <v>1943</v>
      </c>
      <c r="E187" s="152" t="s">
        <v>1959</v>
      </c>
      <c r="F187" s="152" t="s">
        <v>1442</v>
      </c>
      <c r="G187" s="152" t="n">
        <v>19</v>
      </c>
      <c r="J187" s="286" t="s">
        <v>1757</v>
      </c>
      <c r="K187" s="286" t="n">
        <v>3</v>
      </c>
      <c r="L187" s="286" t="s">
        <v>1943</v>
      </c>
      <c r="M187" s="286" t="s">
        <v>1959</v>
      </c>
      <c r="N187" s="286" t="s">
        <v>1442</v>
      </c>
      <c r="O187" s="286" t="n">
        <v>19</v>
      </c>
      <c r="R187" s="286" t="s">
        <v>1757</v>
      </c>
      <c r="S187" s="286" t="n">
        <v>3</v>
      </c>
      <c r="T187" s="286" t="s">
        <v>1943</v>
      </c>
      <c r="U187" s="286" t="s">
        <v>1959</v>
      </c>
      <c r="V187" s="286" t="s">
        <v>1442</v>
      </c>
      <c r="W187" s="286" t="n">
        <v>19</v>
      </c>
    </row>
    <row r="188" customFormat="false" ht="15" hidden="false" customHeight="true" outlineLevel="0" collapsed="false">
      <c r="A188" s="152" t="s">
        <v>1971</v>
      </c>
      <c r="B188" s="152" t="s">
        <v>1772</v>
      </c>
      <c r="C188" s="152" t="n">
        <v>3</v>
      </c>
      <c r="D188" s="152" t="s">
        <v>1943</v>
      </c>
      <c r="E188" s="152" t="s">
        <v>1948</v>
      </c>
      <c r="F188" s="152" t="s">
        <v>1972</v>
      </c>
      <c r="G188" s="152" t="n">
        <v>34</v>
      </c>
      <c r="J188" s="286" t="s">
        <v>1772</v>
      </c>
      <c r="K188" s="286" t="n">
        <v>3</v>
      </c>
      <c r="L188" s="286" t="s">
        <v>1943</v>
      </c>
      <c r="M188" s="286" t="s">
        <v>1948</v>
      </c>
      <c r="N188" s="286" t="s">
        <v>1972</v>
      </c>
      <c r="O188" s="286" t="n">
        <v>34</v>
      </c>
      <c r="R188" s="286" t="s">
        <v>1772</v>
      </c>
      <c r="S188" s="286" t="n">
        <v>3</v>
      </c>
      <c r="T188" s="286" t="s">
        <v>1943</v>
      </c>
      <c r="U188" s="286" t="s">
        <v>1948</v>
      </c>
      <c r="V188" s="286" t="s">
        <v>1972</v>
      </c>
      <c r="W188" s="286" t="n">
        <v>34</v>
      </c>
    </row>
    <row r="189" customFormat="false" ht="15" hidden="false" customHeight="true" outlineLevel="0" collapsed="false">
      <c r="A189" s="152" t="s">
        <v>1973</v>
      </c>
      <c r="B189" s="152" t="s">
        <v>1772</v>
      </c>
      <c r="C189" s="152" t="n">
        <v>5</v>
      </c>
      <c r="D189" s="152" t="s">
        <v>1943</v>
      </c>
      <c r="E189" s="152" t="s">
        <v>1948</v>
      </c>
      <c r="F189" s="152" t="s">
        <v>1442</v>
      </c>
      <c r="G189" s="152" t="n">
        <v>15</v>
      </c>
      <c r="J189" s="286" t="s">
        <v>1772</v>
      </c>
      <c r="K189" s="286" t="n">
        <v>5</v>
      </c>
      <c r="L189" s="286" t="s">
        <v>1943</v>
      </c>
      <c r="M189" s="286" t="s">
        <v>1948</v>
      </c>
      <c r="N189" s="286" t="s">
        <v>1442</v>
      </c>
      <c r="O189" s="286" t="n">
        <v>15</v>
      </c>
      <c r="R189" s="286" t="s">
        <v>1772</v>
      </c>
      <c r="S189" s="286" t="n">
        <v>5</v>
      </c>
      <c r="T189" s="286" t="s">
        <v>1943</v>
      </c>
      <c r="U189" s="286" t="s">
        <v>1948</v>
      </c>
      <c r="V189" s="286" t="s">
        <v>1442</v>
      </c>
      <c r="W189" s="286" t="n">
        <v>15</v>
      </c>
    </row>
    <row r="190" customFormat="false" ht="15" hidden="false" customHeight="true" outlineLevel="0" collapsed="false">
      <c r="A190" s="152" t="s">
        <v>1974</v>
      </c>
      <c r="B190" s="152" t="s">
        <v>1772</v>
      </c>
      <c r="C190" s="152" t="n">
        <v>5</v>
      </c>
      <c r="D190" s="152" t="s">
        <v>1943</v>
      </c>
      <c r="E190" s="152" t="s">
        <v>1964</v>
      </c>
      <c r="F190" s="152" t="s">
        <v>1975</v>
      </c>
      <c r="G190" s="152" t="s">
        <v>1976</v>
      </c>
      <c r="J190" s="286" t="s">
        <v>1772</v>
      </c>
      <c r="K190" s="286" t="n">
        <v>5</v>
      </c>
      <c r="L190" s="286" t="s">
        <v>1943</v>
      </c>
      <c r="M190" s="286" t="s">
        <v>1964</v>
      </c>
      <c r="N190" s="286" t="s">
        <v>1975</v>
      </c>
      <c r="O190" s="286" t="s">
        <v>1976</v>
      </c>
      <c r="R190" s="286" t="s">
        <v>1772</v>
      </c>
      <c r="S190" s="286" t="n">
        <v>5</v>
      </c>
      <c r="T190" s="286" t="s">
        <v>1943</v>
      </c>
      <c r="U190" s="286" t="s">
        <v>1964</v>
      </c>
      <c r="V190" s="286" t="s">
        <v>1975</v>
      </c>
      <c r="W190" s="286" t="s">
        <v>1976</v>
      </c>
    </row>
    <row r="191" customFormat="false" ht="15" hidden="false" customHeight="true" outlineLevel="0" collapsed="false">
      <c r="A191" s="152" t="s">
        <v>1977</v>
      </c>
      <c r="B191" s="152" t="s">
        <v>1781</v>
      </c>
      <c r="C191" s="152" t="n">
        <v>4</v>
      </c>
      <c r="D191" s="152" t="s">
        <v>1943</v>
      </c>
      <c r="E191" s="152" t="s">
        <v>1978</v>
      </c>
      <c r="F191" s="152" t="s">
        <v>1979</v>
      </c>
      <c r="G191" s="152" t="s">
        <v>1980</v>
      </c>
      <c r="J191" s="286" t="s">
        <v>1781</v>
      </c>
      <c r="K191" s="286" t="n">
        <v>4</v>
      </c>
      <c r="L191" s="286" t="s">
        <v>1943</v>
      </c>
      <c r="M191" s="286" t="s">
        <v>1978</v>
      </c>
      <c r="N191" s="286" t="s">
        <v>1979</v>
      </c>
      <c r="O191" s="286" t="s">
        <v>1980</v>
      </c>
      <c r="R191" s="286" t="s">
        <v>1781</v>
      </c>
      <c r="S191" s="286" t="n">
        <v>4</v>
      </c>
      <c r="T191" s="286" t="s">
        <v>1943</v>
      </c>
      <c r="U191" s="286" t="s">
        <v>1978</v>
      </c>
      <c r="V191" s="286" t="s">
        <v>1979</v>
      </c>
      <c r="W191" s="286" t="s">
        <v>1980</v>
      </c>
    </row>
    <row r="192" customFormat="false" ht="15" hidden="false" customHeight="true" outlineLevel="0" collapsed="false">
      <c r="A192" s="152" t="s">
        <v>1981</v>
      </c>
      <c r="B192" s="152" t="s">
        <v>1781</v>
      </c>
      <c r="C192" s="152" t="n">
        <v>3</v>
      </c>
      <c r="D192" s="152" t="s">
        <v>1943</v>
      </c>
      <c r="E192" s="152" t="s">
        <v>1959</v>
      </c>
      <c r="F192" s="152" t="s">
        <v>1975</v>
      </c>
      <c r="G192" s="152" t="n">
        <v>16</v>
      </c>
      <c r="J192" s="286" t="s">
        <v>1781</v>
      </c>
      <c r="K192" s="286" t="n">
        <v>3</v>
      </c>
      <c r="L192" s="286" t="s">
        <v>1943</v>
      </c>
      <c r="M192" s="286" t="s">
        <v>1959</v>
      </c>
      <c r="N192" s="286" t="s">
        <v>1975</v>
      </c>
      <c r="O192" s="286" t="n">
        <v>16</v>
      </c>
      <c r="R192" s="286" t="s">
        <v>1781</v>
      </c>
      <c r="S192" s="286" t="n">
        <v>3</v>
      </c>
      <c r="T192" s="286" t="s">
        <v>1943</v>
      </c>
      <c r="U192" s="286" t="s">
        <v>1959</v>
      </c>
      <c r="V192" s="286" t="s">
        <v>1975</v>
      </c>
      <c r="W192" s="286" t="n">
        <v>16</v>
      </c>
    </row>
    <row r="193" customFormat="false" ht="15" hidden="false" customHeight="true" outlineLevel="0" collapsed="false">
      <c r="A193" s="152" t="s">
        <v>1982</v>
      </c>
      <c r="B193" s="152" t="s">
        <v>1781</v>
      </c>
      <c r="C193" s="152" t="n">
        <v>2</v>
      </c>
      <c r="D193" s="152" t="s">
        <v>1943</v>
      </c>
      <c r="E193" s="152" t="s">
        <v>1959</v>
      </c>
      <c r="F193" s="152" t="s">
        <v>1972</v>
      </c>
      <c r="G193" s="152" t="s">
        <v>1983</v>
      </c>
      <c r="J193" s="286" t="s">
        <v>1781</v>
      </c>
      <c r="K193" s="286" t="n">
        <v>2</v>
      </c>
      <c r="L193" s="286" t="s">
        <v>1943</v>
      </c>
      <c r="M193" s="286" t="s">
        <v>1959</v>
      </c>
      <c r="N193" s="286" t="s">
        <v>1972</v>
      </c>
      <c r="O193" s="286" t="s">
        <v>1983</v>
      </c>
      <c r="R193" s="286" t="s">
        <v>1781</v>
      </c>
      <c r="S193" s="286" t="n">
        <v>2</v>
      </c>
      <c r="T193" s="286" t="s">
        <v>1943</v>
      </c>
      <c r="U193" s="286" t="s">
        <v>1959</v>
      </c>
      <c r="V193" s="286" t="s">
        <v>1972</v>
      </c>
      <c r="W193" s="286" t="s">
        <v>1983</v>
      </c>
    </row>
    <row r="194" customFormat="false" ht="15" hidden="false" customHeight="true" outlineLevel="0" collapsed="false">
      <c r="A194" s="152" t="s">
        <v>1984</v>
      </c>
      <c r="B194" s="152" t="s">
        <v>1757</v>
      </c>
      <c r="C194" s="152" t="n">
        <v>2</v>
      </c>
      <c r="D194" s="152" t="s">
        <v>1943</v>
      </c>
      <c r="E194" s="152" t="s">
        <v>1959</v>
      </c>
      <c r="F194" s="152" t="s">
        <v>1827</v>
      </c>
      <c r="G194" s="152" t="n">
        <v>22</v>
      </c>
      <c r="J194" s="286" t="s">
        <v>1757</v>
      </c>
      <c r="K194" s="286" t="n">
        <v>2</v>
      </c>
      <c r="L194" s="286" t="s">
        <v>1943</v>
      </c>
      <c r="M194" s="286" t="s">
        <v>1959</v>
      </c>
      <c r="N194" s="286" t="s">
        <v>1827</v>
      </c>
      <c r="O194" s="286" t="n">
        <v>22</v>
      </c>
      <c r="R194" s="286" t="s">
        <v>1757</v>
      </c>
      <c r="S194" s="286" t="n">
        <v>2</v>
      </c>
      <c r="T194" s="286" t="s">
        <v>1943</v>
      </c>
      <c r="U194" s="286" t="s">
        <v>1959</v>
      </c>
      <c r="V194" s="286" t="s">
        <v>1827</v>
      </c>
      <c r="W194" s="286" t="n">
        <v>22</v>
      </c>
    </row>
    <row r="195" customFormat="false" ht="15" hidden="false" customHeight="true" outlineLevel="0" collapsed="false">
      <c r="A195" s="152" t="s">
        <v>1985</v>
      </c>
      <c r="B195" s="152" t="s">
        <v>1757</v>
      </c>
      <c r="C195" s="152" t="n">
        <v>2</v>
      </c>
      <c r="D195" s="152" t="s">
        <v>1950</v>
      </c>
      <c r="E195" s="152" t="s">
        <v>1978</v>
      </c>
      <c r="F195" s="152" t="s">
        <v>1972</v>
      </c>
      <c r="G195" s="152" t="n">
        <v>38</v>
      </c>
      <c r="J195" s="286" t="s">
        <v>1757</v>
      </c>
      <c r="K195" s="286" t="n">
        <v>2</v>
      </c>
      <c r="L195" s="286" t="s">
        <v>1950</v>
      </c>
      <c r="M195" s="286" t="s">
        <v>1978</v>
      </c>
      <c r="N195" s="286" t="s">
        <v>1972</v>
      </c>
      <c r="O195" s="286" t="n">
        <v>38</v>
      </c>
      <c r="R195" s="286" t="s">
        <v>1757</v>
      </c>
      <c r="S195" s="286" t="n">
        <v>2</v>
      </c>
      <c r="T195" s="286" t="s">
        <v>1950</v>
      </c>
      <c r="U195" s="286" t="s">
        <v>1978</v>
      </c>
      <c r="V195" s="286" t="s">
        <v>1972</v>
      </c>
      <c r="W195" s="286" t="n">
        <v>38</v>
      </c>
    </row>
    <row r="196" customFormat="false" ht="15" hidden="false" customHeight="true" outlineLevel="0" collapsed="false">
      <c r="A196" s="152" t="s">
        <v>1986</v>
      </c>
      <c r="B196" s="152" t="s">
        <v>1757</v>
      </c>
      <c r="C196" s="152" t="n">
        <v>4</v>
      </c>
      <c r="D196" s="152" t="s">
        <v>1943</v>
      </c>
      <c r="E196" s="152" t="s">
        <v>1948</v>
      </c>
      <c r="F196" s="152" t="s">
        <v>1972</v>
      </c>
      <c r="G196" s="152" t="n">
        <v>32</v>
      </c>
      <c r="J196" s="286" t="s">
        <v>1757</v>
      </c>
      <c r="K196" s="286" t="n">
        <v>4</v>
      </c>
      <c r="L196" s="286" t="s">
        <v>1943</v>
      </c>
      <c r="M196" s="286" t="s">
        <v>1948</v>
      </c>
      <c r="N196" s="286" t="s">
        <v>1972</v>
      </c>
      <c r="O196" s="286" t="n">
        <v>32</v>
      </c>
      <c r="R196" s="286" t="s">
        <v>1757</v>
      </c>
      <c r="S196" s="286" t="n">
        <v>4</v>
      </c>
      <c r="T196" s="286" t="s">
        <v>1943</v>
      </c>
      <c r="U196" s="286" t="s">
        <v>1948</v>
      </c>
      <c r="V196" s="286" t="s">
        <v>1972</v>
      </c>
      <c r="W196" s="286" t="n">
        <v>32</v>
      </c>
    </row>
    <row r="197" customFormat="false" ht="15" hidden="false" customHeight="true" outlineLevel="0" collapsed="false">
      <c r="A197" s="152" t="s">
        <v>1987</v>
      </c>
      <c r="B197" s="152" t="s">
        <v>1781</v>
      </c>
      <c r="C197" s="152" t="n">
        <v>3</v>
      </c>
      <c r="D197" s="152" t="s">
        <v>1943</v>
      </c>
      <c r="E197" s="152" t="s">
        <v>1948</v>
      </c>
      <c r="F197" s="152" t="s">
        <v>99</v>
      </c>
      <c r="G197" s="152" t="n">
        <v>47</v>
      </c>
      <c r="J197" s="286" t="s">
        <v>1781</v>
      </c>
      <c r="K197" s="286" t="n">
        <v>3</v>
      </c>
      <c r="L197" s="286" t="s">
        <v>1943</v>
      </c>
      <c r="M197" s="286" t="s">
        <v>1948</v>
      </c>
      <c r="N197" s="286" t="s">
        <v>99</v>
      </c>
      <c r="O197" s="286" t="n">
        <v>47</v>
      </c>
      <c r="R197" s="286" t="s">
        <v>1781</v>
      </c>
      <c r="S197" s="286" t="n">
        <v>3</v>
      </c>
      <c r="T197" s="286" t="s">
        <v>1943</v>
      </c>
      <c r="U197" s="286" t="s">
        <v>1948</v>
      </c>
      <c r="V197" s="286" t="s">
        <v>99</v>
      </c>
      <c r="W197" s="286" t="n">
        <v>47</v>
      </c>
    </row>
    <row r="198" customFormat="false" ht="15" hidden="false" customHeight="true" outlineLevel="0" collapsed="false">
      <c r="A198" s="152" t="s">
        <v>1988</v>
      </c>
      <c r="B198" s="152" t="s">
        <v>1772</v>
      </c>
      <c r="C198" s="152" t="n">
        <v>3</v>
      </c>
      <c r="D198" s="152" t="s">
        <v>1950</v>
      </c>
      <c r="E198" s="152" t="s">
        <v>1948</v>
      </c>
      <c r="F198" s="152" t="s">
        <v>1785</v>
      </c>
      <c r="G198" s="152" t="n">
        <v>36</v>
      </c>
      <c r="J198" s="286" t="s">
        <v>1772</v>
      </c>
      <c r="K198" s="286" t="n">
        <v>3</v>
      </c>
      <c r="L198" s="286" t="s">
        <v>1950</v>
      </c>
      <c r="M198" s="286" t="s">
        <v>1948</v>
      </c>
      <c r="N198" s="286" t="s">
        <v>1785</v>
      </c>
      <c r="O198" s="286" t="n">
        <v>36</v>
      </c>
      <c r="R198" s="286" t="s">
        <v>1772</v>
      </c>
      <c r="S198" s="286" t="n">
        <v>3</v>
      </c>
      <c r="T198" s="286" t="s">
        <v>1950</v>
      </c>
      <c r="U198" s="286" t="s">
        <v>1948</v>
      </c>
      <c r="V198" s="286" t="s">
        <v>1785</v>
      </c>
      <c r="W198" s="286" t="n">
        <v>36</v>
      </c>
    </row>
    <row r="199" customFormat="false" ht="15" hidden="false" customHeight="true" outlineLevel="0" collapsed="false">
      <c r="A199" s="152" t="s">
        <v>1989</v>
      </c>
      <c r="B199" s="152" t="s">
        <v>1772</v>
      </c>
      <c r="C199" s="152" t="n">
        <v>3</v>
      </c>
      <c r="D199" s="152" t="s">
        <v>1943</v>
      </c>
      <c r="E199" s="152" t="s">
        <v>1944</v>
      </c>
      <c r="F199" s="152" t="s">
        <v>1442</v>
      </c>
      <c r="G199" s="152" t="n">
        <v>17</v>
      </c>
      <c r="J199" s="286" t="s">
        <v>1772</v>
      </c>
      <c r="K199" s="286" t="n">
        <v>3</v>
      </c>
      <c r="L199" s="286" t="s">
        <v>1943</v>
      </c>
      <c r="M199" s="286" t="s">
        <v>1944</v>
      </c>
      <c r="N199" s="286" t="s">
        <v>1442</v>
      </c>
      <c r="O199" s="286" t="n">
        <v>17</v>
      </c>
      <c r="R199" s="286" t="s">
        <v>1772</v>
      </c>
      <c r="S199" s="286" t="n">
        <v>3</v>
      </c>
      <c r="T199" s="286" t="s">
        <v>1943</v>
      </c>
      <c r="U199" s="286" t="s">
        <v>1944</v>
      </c>
      <c r="V199" s="286" t="s">
        <v>1442</v>
      </c>
      <c r="W199" s="286" t="n">
        <v>17</v>
      </c>
    </row>
    <row r="200" customFormat="false" ht="15" hidden="false" customHeight="true" outlineLevel="0" collapsed="false">
      <c r="A200" s="152" t="s">
        <v>1990</v>
      </c>
      <c r="B200" s="152" t="s">
        <v>1772</v>
      </c>
      <c r="C200" s="152" t="n">
        <v>2</v>
      </c>
      <c r="D200" s="152" t="s">
        <v>1950</v>
      </c>
      <c r="E200" s="152" t="s">
        <v>1944</v>
      </c>
      <c r="F200" s="152" t="s">
        <v>1785</v>
      </c>
      <c r="G200" s="152" t="s">
        <v>1991</v>
      </c>
      <c r="J200" s="286" t="s">
        <v>1772</v>
      </c>
      <c r="K200" s="286" t="n">
        <v>2</v>
      </c>
      <c r="L200" s="286" t="s">
        <v>1950</v>
      </c>
      <c r="M200" s="286" t="s">
        <v>1944</v>
      </c>
      <c r="N200" s="286" t="s">
        <v>1785</v>
      </c>
      <c r="O200" s="286" t="s">
        <v>1991</v>
      </c>
      <c r="R200" s="286" t="s">
        <v>1772</v>
      </c>
      <c r="S200" s="286" t="n">
        <v>2</v>
      </c>
      <c r="T200" s="286" t="s">
        <v>1950</v>
      </c>
      <c r="U200" s="286" t="s">
        <v>1944</v>
      </c>
      <c r="V200" s="286" t="s">
        <v>1785</v>
      </c>
      <c r="W200" s="286" t="s">
        <v>1991</v>
      </c>
    </row>
    <row r="201" customFormat="false" ht="15" hidden="false" customHeight="true" outlineLevel="0" collapsed="false">
      <c r="A201" s="154"/>
      <c r="B201" s="154"/>
      <c r="C201" s="154"/>
      <c r="D201" s="154"/>
      <c r="E201" s="154"/>
      <c r="F201" s="154"/>
      <c r="G201" s="154"/>
      <c r="J201" s="288"/>
      <c r="K201" s="288"/>
      <c r="L201" s="288"/>
      <c r="M201" s="288"/>
      <c r="N201" s="288"/>
      <c r="O201" s="288"/>
      <c r="R201" s="288"/>
      <c r="S201" s="288"/>
      <c r="T201" s="288"/>
      <c r="U201" s="288"/>
      <c r="V201" s="288"/>
      <c r="W201" s="288"/>
    </row>
    <row r="202" customFormat="false" ht="15" hidden="false" customHeight="true" outlineLevel="0" collapsed="false">
      <c r="A202" s="154"/>
      <c r="B202" s="154"/>
      <c r="C202" s="154"/>
      <c r="D202" s="154"/>
      <c r="E202" s="154"/>
      <c r="F202" s="154"/>
      <c r="G202" s="154"/>
      <c r="J202" s="288"/>
      <c r="K202" s="288"/>
      <c r="L202" s="288"/>
      <c r="M202" s="288"/>
      <c r="N202" s="288"/>
      <c r="O202" s="288"/>
      <c r="R202" s="288"/>
      <c r="S202" s="288"/>
      <c r="T202" s="288"/>
      <c r="U202" s="288"/>
      <c r="V202" s="288"/>
      <c r="W202" s="288"/>
    </row>
    <row r="203" customFormat="false" ht="15" hidden="false" customHeight="true" outlineLevel="0" collapsed="false">
      <c r="A203" s="154"/>
      <c r="B203" s="154"/>
      <c r="C203" s="154"/>
      <c r="D203" s="154"/>
      <c r="E203" s="154"/>
      <c r="F203" s="154"/>
      <c r="G203" s="154"/>
      <c r="J203" s="298"/>
      <c r="K203" s="298"/>
      <c r="L203" s="298"/>
      <c r="M203" s="298"/>
      <c r="N203" s="298"/>
      <c r="O203" s="298"/>
      <c r="R203" s="298"/>
      <c r="S203" s="298"/>
      <c r="T203" s="298"/>
      <c r="U203" s="298"/>
      <c r="V203" s="298"/>
      <c r="W203" s="298"/>
    </row>
    <row r="204" customFormat="false" ht="15" hidden="false" customHeight="true" outlineLevel="0" collapsed="false">
      <c r="A204" s="154"/>
      <c r="B204" s="154"/>
      <c r="C204" s="154"/>
      <c r="D204" s="154"/>
      <c r="E204" s="154"/>
      <c r="F204" s="154"/>
      <c r="G204" s="154"/>
      <c r="J204" s="298"/>
      <c r="K204" s="298"/>
      <c r="L204" s="298"/>
      <c r="M204" s="298"/>
      <c r="N204" s="298"/>
      <c r="O204" s="298"/>
      <c r="R204" s="298"/>
      <c r="S204" s="298"/>
      <c r="T204" s="298"/>
      <c r="U204" s="298"/>
      <c r="V204" s="298"/>
      <c r="W204" s="298"/>
    </row>
    <row r="205" customFormat="false" ht="15" hidden="false" customHeight="true" outlineLevel="0" collapsed="false">
      <c r="A205" s="283" t="s">
        <v>2655</v>
      </c>
      <c r="B205" s="152" t="s">
        <v>78</v>
      </c>
      <c r="C205" s="152"/>
      <c r="D205" s="152"/>
      <c r="E205" s="152"/>
      <c r="F205" s="152"/>
      <c r="G205" s="152"/>
      <c r="J205" s="300" t="s">
        <v>78</v>
      </c>
      <c r="K205" s="300"/>
      <c r="L205" s="300"/>
      <c r="M205" s="300"/>
      <c r="N205" s="300"/>
      <c r="O205" s="300"/>
      <c r="R205" s="300" t="s">
        <v>78</v>
      </c>
      <c r="S205" s="300"/>
      <c r="T205" s="300"/>
      <c r="U205" s="300"/>
      <c r="V205" s="300"/>
      <c r="W205" s="300"/>
    </row>
    <row r="206" customFormat="false" ht="15" hidden="false" customHeight="true" outlineLevel="0" collapsed="false">
      <c r="A206" s="152" t="s">
        <v>2656</v>
      </c>
      <c r="B206" s="155" t="n">
        <f aca="false">C61+Escenarios!$D$15</f>
        <v>0.0980955405274854</v>
      </c>
      <c r="C206" s="152"/>
      <c r="D206" s="152"/>
      <c r="E206" s="152"/>
      <c r="F206" s="152"/>
      <c r="G206" s="152"/>
      <c r="J206" s="296" t="n">
        <f aca="false">K61+Escenarios!$C$15</f>
        <v>0.1</v>
      </c>
      <c r="K206" s="302"/>
      <c r="L206" s="302"/>
      <c r="M206" s="302"/>
      <c r="N206" s="302"/>
      <c r="O206" s="302"/>
      <c r="R206" s="296" t="n">
        <f aca="false">S61+Escenarios!$B$15</f>
        <v>0.105184361897401</v>
      </c>
      <c r="S206" s="302"/>
      <c r="T206" s="302"/>
      <c r="U206" s="302"/>
      <c r="V206" s="302"/>
      <c r="W206" s="302"/>
    </row>
    <row r="207" customFormat="false" ht="15" hidden="false" customHeight="true" outlineLevel="0" collapsed="false">
      <c r="A207" s="152" t="s">
        <v>1995</v>
      </c>
      <c r="B207" s="155" t="n">
        <f aca="false">G55</f>
        <v>0.288010101095701</v>
      </c>
      <c r="C207" s="152"/>
      <c r="D207" s="152"/>
      <c r="E207" s="152"/>
      <c r="F207" s="152"/>
      <c r="G207" s="152"/>
      <c r="J207" s="296" t="n">
        <f aca="false">O55</f>
        <v>0.288010101095701</v>
      </c>
      <c r="K207" s="302"/>
      <c r="L207" s="302"/>
      <c r="M207" s="302"/>
      <c r="N207" s="302"/>
      <c r="O207" s="302"/>
      <c r="R207" s="296" t="n">
        <f aca="false">W55</f>
        <v>0.288010101095701</v>
      </c>
      <c r="S207" s="302"/>
      <c r="T207" s="302"/>
      <c r="U207" s="302"/>
      <c r="V207" s="302"/>
      <c r="W207" s="302"/>
    </row>
    <row r="208" customFormat="false" ht="15" hidden="false" customHeight="true" outlineLevel="0" collapsed="false">
      <c r="A208" s="152" t="s">
        <v>1996</v>
      </c>
      <c r="B208" s="155" t="n">
        <f aca="false">B206*(1-B207)</f>
        <v>0.0698430339831269</v>
      </c>
      <c r="C208" s="152"/>
      <c r="D208" s="152"/>
      <c r="E208" s="152"/>
      <c r="F208" s="152"/>
      <c r="G208" s="152"/>
      <c r="J208" s="296" t="n">
        <f aca="false">J206*(1-J207)</f>
        <v>0.0711989898904299</v>
      </c>
      <c r="K208" s="302"/>
      <c r="L208" s="302"/>
      <c r="M208" s="302"/>
      <c r="N208" s="302"/>
      <c r="O208" s="302"/>
      <c r="R208" s="296" t="n">
        <f aca="false">R206*(1-R207)</f>
        <v>0.074890203193644</v>
      </c>
      <c r="S208" s="302"/>
      <c r="T208" s="302"/>
      <c r="U208" s="302"/>
      <c r="V208" s="302"/>
      <c r="W208" s="302"/>
    </row>
    <row r="209" customFormat="false" ht="15" hidden="false" customHeight="true" outlineLevel="0" collapsed="false">
      <c r="A209" s="152" t="s">
        <v>2657</v>
      </c>
      <c r="B209" s="161" t="n">
        <f aca="false">B91+B92</f>
        <v>23618</v>
      </c>
      <c r="C209" s="152"/>
      <c r="D209" s="152"/>
      <c r="E209" s="152"/>
      <c r="F209" s="152"/>
      <c r="G209" s="152"/>
      <c r="J209" s="297" t="n">
        <f aca="false">J91+J92</f>
        <v>23618</v>
      </c>
      <c r="K209" s="302"/>
      <c r="L209" s="302"/>
      <c r="M209" s="302"/>
      <c r="N209" s="302"/>
      <c r="O209" s="302"/>
      <c r="R209" s="297" t="n">
        <f aca="false">R91+R92</f>
        <v>23618</v>
      </c>
      <c r="S209" s="302"/>
      <c r="T209" s="302"/>
      <c r="U209" s="302"/>
      <c r="V209" s="302"/>
      <c r="W209" s="302"/>
    </row>
    <row r="210" customFormat="false" ht="15" hidden="false" customHeight="true" outlineLevel="0" collapsed="false">
      <c r="A210" s="152" t="s">
        <v>2080</v>
      </c>
      <c r="B210" s="155" t="n">
        <f aca="false">WACC!B5+Escenarios!$D$14</f>
        <v>0.0932655405274854</v>
      </c>
      <c r="C210" s="152"/>
      <c r="D210" s="152"/>
      <c r="E210" s="152"/>
      <c r="F210" s="152"/>
      <c r="G210" s="152"/>
      <c r="J210" s="296" t="n">
        <f aca="false">WACC!B5+Escenarios!$C$14</f>
        <v>0.09517</v>
      </c>
      <c r="K210" s="302"/>
      <c r="L210" s="302"/>
      <c r="M210" s="302"/>
      <c r="N210" s="302"/>
      <c r="O210" s="302"/>
      <c r="R210" s="296" t="n">
        <f aca="false">WACC!B5+Escenarios!$B$14</f>
        <v>0.100354361897401</v>
      </c>
      <c r="S210" s="302"/>
      <c r="T210" s="302"/>
      <c r="U210" s="302"/>
      <c r="V210" s="302"/>
      <c r="W210" s="302"/>
    </row>
    <row r="211" customFormat="false" ht="15" hidden="false" customHeight="true" outlineLevel="0" collapsed="false">
      <c r="A211" s="152" t="s">
        <v>2081</v>
      </c>
      <c r="B211" s="155" t="n">
        <f aca="false">WACC!B8</f>
        <v>0.0423</v>
      </c>
      <c r="C211" s="152"/>
      <c r="D211" s="152"/>
      <c r="E211" s="152"/>
      <c r="F211" s="152"/>
      <c r="G211" s="152"/>
      <c r="J211" s="296" t="n">
        <f aca="false">WACC!B8</f>
        <v>0.0423</v>
      </c>
      <c r="K211" s="302"/>
      <c r="L211" s="302"/>
      <c r="M211" s="302"/>
      <c r="N211" s="302"/>
      <c r="O211" s="302"/>
      <c r="R211" s="296" t="n">
        <f aca="false">WACC!B8</f>
        <v>0.0423</v>
      </c>
      <c r="S211" s="302"/>
      <c r="T211" s="302"/>
      <c r="U211" s="302"/>
      <c r="V211" s="302"/>
      <c r="W211" s="302"/>
    </row>
    <row r="212" customFormat="false" ht="15" hidden="false" customHeight="true" outlineLevel="0" collapsed="false">
      <c r="A212" s="152" t="s">
        <v>2658</v>
      </c>
      <c r="B212" s="169" t="n">
        <f aca="false">Escenarios!$D$16</f>
        <v>0.0711516221926528</v>
      </c>
      <c r="C212" s="152"/>
      <c r="D212" s="152"/>
      <c r="E212" s="152"/>
      <c r="F212" s="152"/>
      <c r="G212" s="152"/>
      <c r="J212" s="337" t="n">
        <f aca="false">Escenarios!$C$16</f>
        <v>0.170520815748403</v>
      </c>
      <c r="K212" s="302"/>
      <c r="L212" s="302"/>
      <c r="M212" s="302"/>
      <c r="N212" s="302"/>
      <c r="O212" s="302"/>
      <c r="R212" s="337" t="n">
        <f aca="false">Escenarios!$B$16</f>
        <v>0.269890009304152</v>
      </c>
      <c r="S212" s="302"/>
      <c r="T212" s="302"/>
      <c r="U212" s="302"/>
      <c r="V212" s="302"/>
      <c r="W212" s="302"/>
    </row>
    <row r="213" customFormat="false" ht="15" hidden="false" customHeight="true" outlineLevel="0" collapsed="false">
      <c r="A213" s="152" t="s">
        <v>2001</v>
      </c>
      <c r="B213" s="152" t="s">
        <v>2002</v>
      </c>
      <c r="C213" s="152" t="s">
        <v>2003</v>
      </c>
      <c r="D213" s="152" t="s">
        <v>1412</v>
      </c>
      <c r="E213" s="152" t="s">
        <v>2004</v>
      </c>
      <c r="F213" s="152" t="s">
        <v>2005</v>
      </c>
      <c r="G213" s="152" t="s">
        <v>2006</v>
      </c>
      <c r="J213" s="300" t="s">
        <v>2002</v>
      </c>
      <c r="K213" s="300" t="s">
        <v>2003</v>
      </c>
      <c r="L213" s="300" t="s">
        <v>1412</v>
      </c>
      <c r="M213" s="300" t="s">
        <v>2004</v>
      </c>
      <c r="N213" s="300" t="s">
        <v>2005</v>
      </c>
      <c r="O213" s="300" t="s">
        <v>2006</v>
      </c>
      <c r="R213" s="300" t="s">
        <v>2002</v>
      </c>
      <c r="S213" s="300" t="s">
        <v>2003</v>
      </c>
      <c r="T213" s="300" t="s">
        <v>1412</v>
      </c>
      <c r="U213" s="300" t="s">
        <v>2004</v>
      </c>
      <c r="V213" s="300" t="s">
        <v>2005</v>
      </c>
      <c r="W213" s="300" t="s">
        <v>2006</v>
      </c>
    </row>
    <row r="214" customFormat="false" ht="15" hidden="false" customHeight="true" outlineLevel="0" collapsed="false">
      <c r="A214" s="152" t="s">
        <v>2007</v>
      </c>
      <c r="B214" s="155" t="n">
        <f aca="false">WACC!B33</f>
        <v>0.100615773284249</v>
      </c>
      <c r="C214" s="161" t="n">
        <f aca="false">SUMPRODUCT($C$117:$G$117,(1+B214)^(-$C$118:$G$118))+$G$117*(1+$B$123)/(B214-$B$123)*(1+B214)^-5+$B$141+$B$142+$B$143</f>
        <v>84434.3762161952</v>
      </c>
      <c r="D214" s="164" t="n">
        <f aca="false">$B$209/C214</f>
        <v>0.279720192869381</v>
      </c>
      <c r="E214" s="164" t="n">
        <f aca="false">$B$212*(1+(1-$B$207)*D214)</f>
        <v>0.0853220335388173</v>
      </c>
      <c r="F214" s="155" t="n">
        <f aca="false">$B$210+E214*$B$211</f>
        <v>0.0968746625461773</v>
      </c>
      <c r="G214" s="155" t="n">
        <f aca="false">C214/(C214+$B$209)*F214+$B$209/(C214+$B$209)*$B$208</f>
        <v>0.0909661112883621</v>
      </c>
      <c r="J214" s="296" t="n">
        <f aca="false">WACC!B33</f>
        <v>0.100615773284249</v>
      </c>
      <c r="K214" s="297" t="n">
        <f aca="false" t="array" ref="K214:K214">SUMPRODUCT($K$117:$O$117,(1+J214)^(-$K$118:$O$118))+$O$117*(1+$J$123)/(J214-$J$123)*(1+J214)^-5+$J$141+$J$142+$J$143</f>
        <v>72076.3632308033</v>
      </c>
      <c r="L214" s="304" t="n">
        <f aca="false">$J$209/K214</f>
        <v>0.327680239975071</v>
      </c>
      <c r="M214" s="304" t="n">
        <f aca="false">$J$212*(1+(1-$J$207)*L214)</f>
        <v>0.210304178236059</v>
      </c>
      <c r="N214" s="296" t="n">
        <f aca="false">$J$210+M214*$J$211</f>
        <v>0.104065866739385</v>
      </c>
      <c r="O214" s="296" t="n">
        <f aca="false">K214/(K214+$J$209)*N214+$J$209/(K214+$J$209)*$J$208</f>
        <v>0.0959541047587302</v>
      </c>
      <c r="R214" s="296" t="n">
        <f aca="false">WACC!B33</f>
        <v>0.100615773284249</v>
      </c>
      <c r="S214" s="297" t="n">
        <f aca="false" t="array" ref="S214:S214">SUMPRODUCT($S$117:$W$117,(1+R214)^(-$S$118:$W$118))+$W$117*(1+$R$123)/(R214-$R$123)*(1+R214)^-5+$R$141+$R$142+$R$143</f>
        <v>62232.6672316822</v>
      </c>
      <c r="T214" s="304" t="n">
        <f aca="false">$R$209/S214</f>
        <v>0.379511292872504</v>
      </c>
      <c r="U214" s="304" t="n">
        <f aca="false">$R$212*(1+(1-$R$207)*T214)</f>
        <v>0.342816504817676</v>
      </c>
      <c r="V214" s="296" t="n">
        <f aca="false">$R$210+U214*$R$211</f>
        <v>0.114855500051189</v>
      </c>
      <c r="W214" s="296" t="n">
        <f aca="false">S214/(S214+$R$209)*V214+$R$209/(S214+$R$209)*$R$208</f>
        <v>0.103860822763076</v>
      </c>
    </row>
    <row r="215" customFormat="false" ht="15" hidden="false" customHeight="true" outlineLevel="0" collapsed="false">
      <c r="A215" s="152" t="n">
        <v>1</v>
      </c>
      <c r="B215" s="155" t="n">
        <f aca="false">G214</f>
        <v>0.0909661112883621</v>
      </c>
      <c r="C215" s="161" t="n">
        <f aca="false">SUMPRODUCT($C$117:$G$117,(1+B215)^(-$C$118:$G$118))+$G$117*(1+$B$123)/(B215-$B$123)*(1+B215)^-5+$B$141+$B$142+$B$143</f>
        <v>102904.850196994</v>
      </c>
      <c r="D215" s="164" t="n">
        <f aca="false">$B$209/C215</f>
        <v>0.229512991416706</v>
      </c>
      <c r="E215" s="164" t="n">
        <f aca="false">$B$212*(1+(1-$B$207)*D215)</f>
        <v>0.082778575056875</v>
      </c>
      <c r="F215" s="155" t="n">
        <f aca="false">$B$210+E215*$B$211</f>
        <v>0.0967670742523912</v>
      </c>
      <c r="G215" s="155" t="n">
        <f aca="false">C215/(C215+$B$209)*F215+$B$209/(C215+$B$209)*$B$208</f>
        <v>0.0917411680062909</v>
      </c>
      <c r="I215" s="280" t="n">
        <v>1</v>
      </c>
      <c r="J215" s="296" t="n">
        <f aca="false">O214</f>
        <v>0.0959541047587302</v>
      </c>
      <c r="K215" s="297" t="n">
        <f aca="false" t="array" ref="K215:K215">SUMPRODUCT($K$117:$O$117,(1+J215)^(-$K$118:$O$118))+$O$117*(1+$J$123)/(J215-$J$123)*(1+J215)^-5+$J$141+$J$142+$J$143</f>
        <v>78594.8705659753</v>
      </c>
      <c r="L215" s="304" t="n">
        <f aca="false">$J$209/K215</f>
        <v>0.300503071382683</v>
      </c>
      <c r="M215" s="304" t="n">
        <f aca="false">$J$212*(1+(1-$J$207)*L215)</f>
        <v>0.207004622701123</v>
      </c>
      <c r="N215" s="296" t="n">
        <f aca="false">$J$210+M215*$J$211</f>
        <v>0.103926295540258</v>
      </c>
      <c r="O215" s="296" t="n">
        <f aca="false">K215/(K215+$J$209)*N215+$J$209/(K215+$J$209)*$J$208</f>
        <v>0.0963641020458608</v>
      </c>
      <c r="Q215" s="280" t="n">
        <v>1</v>
      </c>
      <c r="R215" s="296" t="n">
        <f aca="false">W214</f>
        <v>0.103860822763076</v>
      </c>
      <c r="S215" s="297" t="n">
        <f aca="false" t="array" ref="S215:S215">SUMPRODUCT($S$117:$W$117,(1+R215)^(-$S$118:$W$118))+$W$117*(1+$R$123)/(R215-$R$123)*(1+R215)^-5+$R$141+$R$142+$R$143</f>
        <v>58914.5069280509</v>
      </c>
      <c r="T215" s="304" t="n">
        <f aca="false">$R$209/S215</f>
        <v>0.400885982612795</v>
      </c>
      <c r="U215" s="304" t="n">
        <f aca="false">$R$212*(1+(1-$R$207)*T215)</f>
        <v>0.346923842977892</v>
      </c>
      <c r="V215" s="296" t="n">
        <f aca="false">$R$210+U215*$R$211</f>
        <v>0.115029240455366</v>
      </c>
      <c r="W215" s="296" t="n">
        <f aca="false">S215/(S215+$R$209)*V215+$R$209/(S215+$R$209)*$R$208</f>
        <v>0.103542811442931</v>
      </c>
    </row>
    <row r="216" customFormat="false" ht="15" hidden="false" customHeight="true" outlineLevel="0" collapsed="false">
      <c r="A216" s="152" t="n">
        <v>2</v>
      </c>
      <c r="B216" s="155" t="n">
        <f aca="false">G215</f>
        <v>0.0917411680062909</v>
      </c>
      <c r="C216" s="161" t="n">
        <f aca="false">SUMPRODUCT($C$117:$G$117,(1+B216)^(-$C$118:$G$118))+$G$117*(1+$B$123)/(B216-$B$123)*(1+B216)^-5+$B$141+$B$142+$B$143</f>
        <v>101167.169664111</v>
      </c>
      <c r="D216" s="164" t="n">
        <f aca="false">$B$209/C216</f>
        <v>0.233455181937134</v>
      </c>
      <c r="E216" s="164" t="n">
        <f aca="false">$B$212*(1+(1-$B$207)*D216)</f>
        <v>0.0829782834179568</v>
      </c>
      <c r="F216" s="155" t="n">
        <f aca="false">$B$210+E216*$B$211</f>
        <v>0.0967755219160649</v>
      </c>
      <c r="G216" s="155" t="n">
        <f aca="false">C216/(C216+$B$209)*F216+$B$209/(C216+$B$209)*$B$208</f>
        <v>0.0916780291473944</v>
      </c>
      <c r="I216" s="280" t="n">
        <v>2</v>
      </c>
      <c r="J216" s="296" t="n">
        <f aca="false">O215</f>
        <v>0.0963641020458608</v>
      </c>
      <c r="K216" s="297" t="n">
        <f aca="false" t="array" ref="K216:K216">SUMPRODUCT($K$117:$O$117,(1+J216)^(-$K$118:$O$118))+$O$117*(1+$J$123)/(J216-$J$123)*(1+J216)^-5+$J$141+$J$142+$J$143</f>
        <v>77981.9065658303</v>
      </c>
      <c r="L216" s="304" t="n">
        <f aca="false">$J$209/K216</f>
        <v>0.302865126541402</v>
      </c>
      <c r="M216" s="304" t="n">
        <f aca="false">$J$212*(1+(1-$J$207)*L216)</f>
        <v>0.207291397688233</v>
      </c>
      <c r="N216" s="296" t="n">
        <f aca="false">$J$210+M216*$J$211</f>
        <v>0.103938426122212</v>
      </c>
      <c r="O216" s="296" t="n">
        <f aca="false">K216/(K216+$J$209)*N216+$J$209/(K216+$J$209)*$J$208</f>
        <v>0.096327789153553</v>
      </c>
      <c r="Q216" s="280" t="n">
        <v>2</v>
      </c>
      <c r="R216" s="296" t="n">
        <f aca="false">W215</f>
        <v>0.103542811442931</v>
      </c>
      <c r="S216" s="297" t="n">
        <f aca="false" t="array" ref="S216:S216">SUMPRODUCT($S$117:$W$117,(1+R216)^(-$S$118:$W$118))+$W$117*(1+$R$123)/(R216-$R$123)*(1+R216)^-5+$R$141+$R$142+$R$143</f>
        <v>59226.7671135376</v>
      </c>
      <c r="T216" s="304" t="n">
        <f aca="false">$R$209/S216</f>
        <v>0.398772398883841</v>
      </c>
      <c r="U216" s="304" t="n">
        <f aca="false">$R$212*(1+(1-$R$207)*T216)</f>
        <v>0.346517698925734</v>
      </c>
      <c r="V216" s="296" t="n">
        <f aca="false">$R$210+U216*$R$211</f>
        <v>0.11501206056196</v>
      </c>
      <c r="W216" s="296" t="n">
        <f aca="false">S216/(S216+$R$209)*V216+$R$209/(S216+$R$209)*$R$208</f>
        <v>0.103573824203275</v>
      </c>
    </row>
    <row r="217" customFormat="false" ht="15" hidden="false" customHeight="true" outlineLevel="0" collapsed="false">
      <c r="A217" s="152" t="n">
        <v>3</v>
      </c>
      <c r="B217" s="155" t="n">
        <f aca="false">G216</f>
        <v>0.0916780291473944</v>
      </c>
      <c r="C217" s="161" t="n">
        <f aca="false">SUMPRODUCT($C$117:$G$117,(1+B217)^(-$C$118:$G$118))+$G$117*(1+$B$123)/(B217-$B$123)*(1+B217)^-5+$B$141+$B$142+$B$143</f>
        <v>101306.779255275</v>
      </c>
      <c r="D217" s="164" t="n">
        <f aca="false">$B$209/C217</f>
        <v>0.233133460303647</v>
      </c>
      <c r="E217" s="164" t="n">
        <f aca="false">$B$212*(1+(1-$B$207)*D217)</f>
        <v>0.0829619852457058</v>
      </c>
      <c r="F217" s="155" t="n">
        <f aca="false">$B$210+E217*$B$211</f>
        <v>0.0967748325033787</v>
      </c>
      <c r="G217" s="155" t="n">
        <f aca="false">C217/(C217+$B$209)*F217+$B$209/(C217+$B$209)*$B$208</f>
        <v>0.091683166772663</v>
      </c>
      <c r="I217" s="280" t="n">
        <v>3</v>
      </c>
      <c r="J217" s="296" t="n">
        <f aca="false">O216</f>
        <v>0.096327789153553</v>
      </c>
      <c r="K217" s="297" t="n">
        <f aca="false" t="array" ref="K217:K217">SUMPRODUCT($K$117:$O$117,(1+J217)^(-$K$118:$O$118))+$O$117*(1+$J$123)/(J217-$J$123)*(1+J217)^-5+$J$141+$J$142+$J$143</f>
        <v>78035.8656577762</v>
      </c>
      <c r="L217" s="304" t="n">
        <f aca="false">$J$209/K217</f>
        <v>0.30265570582091</v>
      </c>
      <c r="M217" s="304" t="n">
        <f aca="false">$J$212*(1+(1-$J$207)*L217)</f>
        <v>0.207265972107379</v>
      </c>
      <c r="N217" s="296" t="n">
        <f aca="false">$J$210+M217*$J$211</f>
        <v>0.103937350620142</v>
      </c>
      <c r="O217" s="296" t="n">
        <f aca="false">K217/(K217+$J$209)*N217+$J$209/(K217+$J$209)*$J$208</f>
        <v>0.0963310033483383</v>
      </c>
      <c r="Q217" s="280" t="n">
        <v>3</v>
      </c>
      <c r="R217" s="296" t="n">
        <f aca="false">W216</f>
        <v>0.103573824203275</v>
      </c>
      <c r="S217" s="297" t="n">
        <f aca="false" t="array" ref="S217:S217">SUMPRODUCT($S$117:$W$117,(1+R217)^(-$S$118:$W$118))+$W$117*(1+$R$123)/(R217-$R$123)*(1+R217)^-5+$R$141+$R$142+$R$143</f>
        <v>59196.1966713166</v>
      </c>
      <c r="T217" s="304" t="n">
        <f aca="false">$R$209/S217</f>
        <v>0.398978335232203</v>
      </c>
      <c r="U217" s="304" t="n">
        <f aca="false">$R$212*(1+(1-$R$207)*T217)</f>
        <v>0.346557271440352</v>
      </c>
      <c r="V217" s="296" t="n">
        <f aca="false">$R$210+U217*$R$211</f>
        <v>0.115013734479328</v>
      </c>
      <c r="W217" s="296" t="n">
        <f aca="false">S217/(S217+$R$209)*V217+$R$209/(S217+$R$209)*$R$208</f>
        <v>0.103570798364565</v>
      </c>
    </row>
    <row r="218" customFormat="false" ht="15" hidden="false" customHeight="true" outlineLevel="0" collapsed="false">
      <c r="A218" s="152" t="n">
        <v>4</v>
      </c>
      <c r="B218" s="155" t="n">
        <f aca="false">G217</f>
        <v>0.091683166772663</v>
      </c>
      <c r="C218" s="161" t="n">
        <f aca="false">SUMPRODUCT($C$117:$G$117,(1+B218)^(-$C$118:$G$118))+$G$117*(1+$B$123)/(B218-$B$123)*(1+B218)^-5+$B$141+$B$142+$B$143</f>
        <v>101295.40645184</v>
      </c>
      <c r="D218" s="164" t="n">
        <f aca="false">$B$209/C218</f>
        <v>0.233159635044546</v>
      </c>
      <c r="E218" s="164" t="n">
        <f aca="false">$B$212*(1+(1-$B$207)*D218)</f>
        <v>0.0829633112380898</v>
      </c>
      <c r="F218" s="155" t="n">
        <f aca="false">$B$210+E218*$B$211</f>
        <v>0.0967748885928566</v>
      </c>
      <c r="G218" s="155" t="n">
        <f aca="false">C218/(C218+$B$209)*F218+$B$209/(C218+$B$209)*$B$208</f>
        <v>0.0916827486837762</v>
      </c>
      <c r="I218" s="280" t="n">
        <v>4</v>
      </c>
      <c r="J218" s="296" t="n">
        <f aca="false">O217</f>
        <v>0.0963310033483383</v>
      </c>
      <c r="K218" s="297" t="n">
        <f aca="false" t="array" ref="K218:K218">SUMPRODUCT($K$117:$O$117,(1+J218)^(-$K$118:$O$118))+$O$117*(1+$J$123)/(J218-$J$123)*(1+J218)^-5+$J$141+$J$142+$J$143</f>
        <v>78031.0869559923</v>
      </c>
      <c r="L218" s="304" t="n">
        <f aca="false">$J$209/K218</f>
        <v>0.302674240758943</v>
      </c>
      <c r="M218" s="304" t="n">
        <f aca="false">$J$212*(1+(1-$J$207)*L218)</f>
        <v>0.207268222417494</v>
      </c>
      <c r="N218" s="296" t="n">
        <f aca="false">$J$210+M218*$J$211</f>
        <v>0.10393744580826</v>
      </c>
      <c r="O218" s="296" t="n">
        <f aca="false">K218/(K218+$J$209)*N218+$J$209/(K218+$J$209)*$J$208</f>
        <v>0.0963307188319315</v>
      </c>
      <c r="Q218" s="280" t="n">
        <v>4</v>
      </c>
      <c r="R218" s="296" t="n">
        <f aca="false">W217</f>
        <v>0.103570798364565</v>
      </c>
      <c r="S218" s="297" t="n">
        <f aca="false" t="array" ref="S218:S218">SUMPRODUCT($S$117:$W$117,(1+R218)^(-$S$118:$W$118))+$W$117*(1+$R$123)/(R218-$R$123)*(1+R218)^-5+$R$141+$R$142+$R$143</f>
        <v>59199.1782218751</v>
      </c>
      <c r="T218" s="304" t="n">
        <f aca="false">$R$209/S218</f>
        <v>0.398958240796538</v>
      </c>
      <c r="U218" s="304" t="n">
        <f aca="false">$R$212*(1+(1-$R$207)*T218)</f>
        <v>0.346553410114484</v>
      </c>
      <c r="V218" s="296" t="n">
        <f aca="false">$R$210+U218*$R$211</f>
        <v>0.115013571145244</v>
      </c>
      <c r="W218" s="296" t="n">
        <f aca="false">S218/(S218+$R$209)*V218+$R$209/(S218+$R$209)*$R$208</f>
        <v>0.103571093574442</v>
      </c>
    </row>
    <row r="219" customFormat="false" ht="15" hidden="false" customHeight="true" outlineLevel="0" collapsed="false">
      <c r="A219" s="152" t="n">
        <v>5</v>
      </c>
      <c r="B219" s="155" t="n">
        <f aca="false">G218</f>
        <v>0.0916827486837762</v>
      </c>
      <c r="C219" s="161" t="n">
        <f aca="false">SUMPRODUCT($C$117:$G$117,(1+B219)^(-$C$118:$G$118))+$G$117*(1+$B$123)/(B219-$B$123)*(1+B219)^-5+$B$141+$B$142+$B$143</f>
        <v>101296.331861685</v>
      </c>
      <c r="D219" s="164" t="n">
        <f aca="false">$B$209/C219</f>
        <v>0.233157504975099</v>
      </c>
      <c r="E219" s="164" t="n">
        <f aca="false">$B$212*(1+(1-$B$207)*D219)</f>
        <v>0.0829632033303984</v>
      </c>
      <c r="F219" s="155" t="n">
        <f aca="false">$B$210+E219*$B$211</f>
        <v>0.0967748840283612</v>
      </c>
      <c r="G219" s="155" t="n">
        <f aca="false">C219/(C219+$B$209)*F219+$B$209/(C219+$B$209)*$B$208</f>
        <v>0.0916827827066917</v>
      </c>
      <c r="I219" s="280" t="n">
        <v>5</v>
      </c>
      <c r="J219" s="296" t="n">
        <f aca="false">O218</f>
        <v>0.0963307188319315</v>
      </c>
      <c r="K219" s="297" t="n">
        <f aca="false" t="array" ref="K219:K219">SUMPRODUCT($K$117:$O$117,(1+J219)^(-$K$118:$O$118))+$O$117*(1+$J$123)/(J219-$J$123)*(1+J219)^-5+$J$141+$J$142+$J$143</f>
        <v>78031.5099403807</v>
      </c>
      <c r="L219" s="304" t="n">
        <f aca="false">$J$209/K219</f>
        <v>0.302672600056633</v>
      </c>
      <c r="M219" s="304" t="n">
        <f aca="false">$J$212*(1+(1-$J$207)*L219)</f>
        <v>0.207268023221306</v>
      </c>
      <c r="N219" s="296" t="n">
        <f aca="false">$J$210+M219*$J$211</f>
        <v>0.103937437382261</v>
      </c>
      <c r="O219" s="296" t="n">
        <f aca="false">K219/(K219+$J$209)*N219+$J$209/(K219+$J$209)*$J$208</f>
        <v>0.0963307440168374</v>
      </c>
      <c r="Q219" s="280" t="n">
        <v>5</v>
      </c>
      <c r="R219" s="296" t="n">
        <f aca="false">W218</f>
        <v>0.103571093574442</v>
      </c>
      <c r="S219" s="297" t="n">
        <f aca="false" t="array" ref="S219:S219">SUMPRODUCT($S$117:$W$117,(1+R219)^(-$S$118:$W$118))+$W$117*(1+$R$123)/(R219-$R$123)*(1+R219)^-5+$R$141+$R$142+$R$143</f>
        <v>59198.8873221086</v>
      </c>
      <c r="T219" s="304" t="n">
        <f aca="false">$R$209/S219</f>
        <v>0.398960201253302</v>
      </c>
      <c r="U219" s="304" t="n">
        <f aca="false">$R$212*(1+(1-$R$207)*T219)</f>
        <v>0.346553786833818</v>
      </c>
      <c r="V219" s="296" t="n">
        <f aca="false">$R$210+U219*$R$211</f>
        <v>0.115013587080472</v>
      </c>
      <c r="W219" s="296" t="n">
        <f aca="false">S219/(S219+$R$209)*V219+$R$209/(S219+$R$209)*$R$208</f>
        <v>0.103571064772753</v>
      </c>
    </row>
    <row r="220" customFormat="false" ht="15" hidden="false" customHeight="true" outlineLevel="0" collapsed="false">
      <c r="A220" s="152" t="s">
        <v>2008</v>
      </c>
      <c r="B220" s="155" t="n">
        <f aca="false">G219</f>
        <v>0.0916827827066917</v>
      </c>
      <c r="C220" s="152"/>
      <c r="D220" s="152"/>
      <c r="E220" s="152"/>
      <c r="F220" s="152"/>
      <c r="G220" s="152"/>
      <c r="J220" s="338" t="n">
        <f aca="false">O219</f>
        <v>0.0963307440168374</v>
      </c>
      <c r="K220" s="300"/>
      <c r="L220" s="300"/>
      <c r="M220" s="300"/>
      <c r="N220" s="300"/>
      <c r="O220" s="300"/>
      <c r="R220" s="338" t="n">
        <f aca="false">W219</f>
        <v>0.103571064772753</v>
      </c>
      <c r="S220" s="300"/>
      <c r="T220" s="300"/>
      <c r="U220" s="300"/>
      <c r="V220" s="300"/>
      <c r="W220" s="300"/>
    </row>
    <row r="221" customFormat="false" ht="15" hidden="false" customHeight="true" outlineLevel="0" collapsed="false">
      <c r="A221" s="152" t="s">
        <v>2009</v>
      </c>
      <c r="B221" s="155" t="n">
        <f aca="false">F219</f>
        <v>0.0967748840283612</v>
      </c>
      <c r="C221" s="152"/>
      <c r="D221" s="152"/>
      <c r="E221" s="152"/>
      <c r="F221" s="152"/>
      <c r="G221" s="152"/>
      <c r="J221" s="338" t="n">
        <f aca="false">N219</f>
        <v>0.103937437382261</v>
      </c>
      <c r="K221" s="300"/>
      <c r="L221" s="300"/>
      <c r="M221" s="300"/>
      <c r="N221" s="300"/>
      <c r="O221" s="300"/>
      <c r="R221" s="338" t="n">
        <f aca="false">V219</f>
        <v>0.115013587080472</v>
      </c>
      <c r="S221" s="300"/>
      <c r="T221" s="300"/>
      <c r="U221" s="300"/>
      <c r="V221" s="300"/>
      <c r="W221" s="300"/>
    </row>
    <row r="222" customFormat="false" ht="15" hidden="false" customHeight="true" outlineLevel="0" collapsed="false">
      <c r="A222" s="152" t="s">
        <v>2010</v>
      </c>
      <c r="B222" s="169" t="n">
        <f aca="false">(G219-G218)*10000</f>
        <v>0.000340229155543215</v>
      </c>
      <c r="C222" s="163"/>
      <c r="D222" s="163"/>
      <c r="E222" s="163"/>
      <c r="F222" s="163"/>
      <c r="G222" s="163"/>
      <c r="J222" s="337" t="n">
        <f aca="false">(O219-O218)*10000</f>
        <v>0.000251849059801357</v>
      </c>
      <c r="K222" s="303"/>
      <c r="L222" s="303"/>
      <c r="M222" s="303"/>
      <c r="N222" s="303"/>
      <c r="O222" s="303"/>
      <c r="R222" s="337" t="n">
        <f aca="false">(W219-W218)*10000</f>
        <v>-0.000288016897831422</v>
      </c>
      <c r="S222" s="303"/>
      <c r="T222" s="303"/>
      <c r="U222" s="303"/>
      <c r="V222" s="303"/>
      <c r="W222" s="303"/>
    </row>
    <row r="223" customFormat="false" ht="15" hidden="false" customHeight="true" outlineLevel="0" collapsed="false">
      <c r="A223" s="170"/>
      <c r="B223" s="170"/>
      <c r="C223" s="170"/>
      <c r="D223" s="170"/>
      <c r="E223" s="170"/>
      <c r="F223" s="170"/>
      <c r="G223" s="170"/>
      <c r="J223" s="339"/>
      <c r="K223" s="339"/>
      <c r="L223" s="339"/>
      <c r="M223" s="339"/>
      <c r="N223" s="339"/>
      <c r="O223" s="339"/>
      <c r="R223" s="339"/>
      <c r="S223" s="339"/>
      <c r="T223" s="339"/>
      <c r="U223" s="339"/>
      <c r="V223" s="339"/>
      <c r="W223" s="339"/>
    </row>
    <row r="224" customFormat="false" ht="15" hidden="false" customHeight="true" outlineLevel="0" collapsed="false">
      <c r="A224" s="170"/>
      <c r="B224" s="170"/>
      <c r="C224" s="170"/>
      <c r="D224" s="170"/>
      <c r="E224" s="170"/>
      <c r="F224" s="170"/>
      <c r="G224" s="170"/>
      <c r="J224" s="339"/>
      <c r="K224" s="339"/>
      <c r="L224" s="339"/>
      <c r="M224" s="339"/>
      <c r="N224" s="339"/>
      <c r="O224" s="339"/>
      <c r="R224" s="339"/>
      <c r="S224" s="339"/>
      <c r="T224" s="339"/>
      <c r="U224" s="339"/>
      <c r="V224" s="339"/>
      <c r="W224" s="339"/>
    </row>
    <row r="225" customFormat="false" ht="15" hidden="false" customHeight="true" outlineLevel="0" collapsed="false">
      <c r="A225" s="283" t="s">
        <v>2659</v>
      </c>
      <c r="B225" s="152" t="s">
        <v>1</v>
      </c>
      <c r="C225" s="152" t="s">
        <v>2</v>
      </c>
      <c r="D225" s="152" t="s">
        <v>3</v>
      </c>
      <c r="E225" s="152" t="s">
        <v>4</v>
      </c>
      <c r="F225" s="152"/>
      <c r="G225" s="152"/>
      <c r="J225" s="300" t="s">
        <v>1</v>
      </c>
      <c r="K225" s="300" t="s">
        <v>2</v>
      </c>
      <c r="L225" s="300" t="s">
        <v>3</v>
      </c>
      <c r="M225" s="300" t="s">
        <v>4</v>
      </c>
      <c r="N225" s="300"/>
      <c r="O225" s="300"/>
      <c r="R225" s="300" t="s">
        <v>1</v>
      </c>
      <c r="S225" s="300" t="s">
        <v>2</v>
      </c>
      <c r="T225" s="300" t="s">
        <v>3</v>
      </c>
      <c r="U225" s="300" t="s">
        <v>4</v>
      </c>
      <c r="V225" s="300"/>
      <c r="W225" s="300"/>
    </row>
    <row r="226" customFormat="false" ht="15" hidden="false" customHeight="true" outlineLevel="0" collapsed="false">
      <c r="A226" s="152" t="s">
        <v>2660</v>
      </c>
      <c r="B226" s="161" t="n">
        <f aca="false">WACC!B18</f>
        <v>59580</v>
      </c>
      <c r="C226" s="161" t="n">
        <f aca="false">WACC!C18</f>
        <v>813622.604529617</v>
      </c>
      <c r="D226" s="161" t="n">
        <f aca="false">WACC!D18</f>
        <v>89246.0254200776</v>
      </c>
      <c r="E226" s="161" t="n">
        <f aca="false">WACC!E18</f>
        <v>34190</v>
      </c>
      <c r="F226" s="163"/>
      <c r="G226" s="163"/>
      <c r="J226" s="297" t="n">
        <f aca="false">WACC!B18</f>
        <v>59580</v>
      </c>
      <c r="K226" s="297" t="n">
        <f aca="false">WACC!C18</f>
        <v>813622.604529617</v>
      </c>
      <c r="L226" s="297" t="n">
        <f aca="false">WACC!D18</f>
        <v>89246.0254200776</v>
      </c>
      <c r="M226" s="297" t="n">
        <f aca="false">WACC!E18</f>
        <v>34190</v>
      </c>
      <c r="N226" s="303"/>
      <c r="O226" s="303"/>
      <c r="R226" s="297" t="n">
        <f aca="false">WACC!B18</f>
        <v>59580</v>
      </c>
      <c r="S226" s="297" t="n">
        <f aca="false">WACC!C18</f>
        <v>813622.604529617</v>
      </c>
      <c r="T226" s="297" t="n">
        <f aca="false">WACC!D18</f>
        <v>89246.0254200776</v>
      </c>
      <c r="U226" s="297" t="n">
        <f aca="false">WACC!E18</f>
        <v>34190</v>
      </c>
      <c r="V226" s="303"/>
      <c r="W226" s="303"/>
    </row>
    <row r="227" customFormat="false" ht="15" hidden="false" customHeight="true" outlineLevel="0" collapsed="false">
      <c r="A227" s="152" t="s">
        <v>2657</v>
      </c>
      <c r="B227" s="161" t="n">
        <f aca="false">WACC!B21</f>
        <v>23618</v>
      </c>
      <c r="C227" s="161" t="n">
        <f aca="false">WACC!C21</f>
        <v>80848.1</v>
      </c>
      <c r="D227" s="161" t="n">
        <f aca="false">WACC!D21</f>
        <v>56744.34</v>
      </c>
      <c r="E227" s="161" t="n">
        <f aca="false">WACC!E21</f>
        <v>2441.8</v>
      </c>
      <c r="F227" s="163"/>
      <c r="G227" s="163"/>
      <c r="J227" s="297" t="n">
        <f aca="false">WACC!B21</f>
        <v>23618</v>
      </c>
      <c r="K227" s="297" t="n">
        <f aca="false">WACC!C21</f>
        <v>80848.1</v>
      </c>
      <c r="L227" s="297" t="n">
        <f aca="false">WACC!D21</f>
        <v>56744.34</v>
      </c>
      <c r="M227" s="297" t="n">
        <f aca="false">WACC!E21</f>
        <v>2441.8</v>
      </c>
      <c r="N227" s="303"/>
      <c r="O227" s="303"/>
      <c r="R227" s="297" t="n">
        <f aca="false">WACC!B21</f>
        <v>23618</v>
      </c>
      <c r="S227" s="297" t="n">
        <f aca="false">WACC!C21</f>
        <v>80848.1</v>
      </c>
      <c r="T227" s="297" t="n">
        <f aca="false">WACC!D21</f>
        <v>56744.34</v>
      </c>
      <c r="U227" s="297" t="n">
        <f aca="false">WACC!E21</f>
        <v>2441.8</v>
      </c>
      <c r="V227" s="303"/>
      <c r="W227" s="303"/>
    </row>
    <row r="228" customFormat="false" ht="15" hidden="false" customHeight="true" outlineLevel="0" collapsed="false">
      <c r="A228" s="152" t="s">
        <v>13</v>
      </c>
      <c r="B228" s="161" t="n">
        <f aca="false">-WACC!B22</f>
        <v>-9295</v>
      </c>
      <c r="C228" s="161" t="n">
        <f aca="false">-WACC!C22</f>
        <v>-28591.2</v>
      </c>
      <c r="D228" s="161" t="n">
        <f aca="false">-WACC!D22</f>
        <v>-14640.16</v>
      </c>
      <c r="E228" s="161" t="n">
        <f aca="false">-WACC!E22</f>
        <v>-2962.8</v>
      </c>
      <c r="F228" s="163"/>
      <c r="G228" s="163"/>
      <c r="J228" s="297" t="n">
        <f aca="false">-WACC!B22</f>
        <v>-9295</v>
      </c>
      <c r="K228" s="297" t="n">
        <f aca="false">-WACC!C22</f>
        <v>-28591.2</v>
      </c>
      <c r="L228" s="297" t="n">
        <f aca="false">-WACC!D22</f>
        <v>-14640.16</v>
      </c>
      <c r="M228" s="297" t="n">
        <f aca="false">-WACC!E22</f>
        <v>-2962.8</v>
      </c>
      <c r="N228" s="303"/>
      <c r="O228" s="303"/>
      <c r="R228" s="297" t="n">
        <f aca="false">-WACC!B22</f>
        <v>-9295</v>
      </c>
      <c r="S228" s="297" t="n">
        <f aca="false">-WACC!C22</f>
        <v>-28591.2</v>
      </c>
      <c r="T228" s="297" t="n">
        <f aca="false">-WACC!D22</f>
        <v>-14640.16</v>
      </c>
      <c r="U228" s="297" t="n">
        <f aca="false">-WACC!E22</f>
        <v>-2962.8</v>
      </c>
      <c r="V228" s="303"/>
      <c r="W228" s="303"/>
    </row>
    <row r="229" customFormat="false" ht="15" hidden="false" customHeight="true" outlineLevel="0" collapsed="false">
      <c r="A229" s="152" t="s">
        <v>2015</v>
      </c>
      <c r="B229" s="161" t="n">
        <f aca="false">SUM(B226:B228)</f>
        <v>73903</v>
      </c>
      <c r="C229" s="161" t="n">
        <f aca="false">SUM(C226:C228)</f>
        <v>865879.504529617</v>
      </c>
      <c r="D229" s="161" t="n">
        <f aca="false">SUM(D226:D228)</f>
        <v>131350.205420078</v>
      </c>
      <c r="E229" s="161" t="n">
        <f aca="false">SUM(E226:E228)</f>
        <v>33669</v>
      </c>
      <c r="F229" s="163"/>
      <c r="G229" s="163"/>
      <c r="J229" s="297" t="n">
        <f aca="false">SUM(J226:J228)</f>
        <v>73903</v>
      </c>
      <c r="K229" s="297" t="n">
        <f aca="false">SUM(K226:K228)</f>
        <v>865879.504529617</v>
      </c>
      <c r="L229" s="297" t="n">
        <f aca="false">SUM(L226:L228)</f>
        <v>131350.205420078</v>
      </c>
      <c r="M229" s="297" t="n">
        <f aca="false">SUM(M226:M228)</f>
        <v>33669</v>
      </c>
      <c r="N229" s="303"/>
      <c r="O229" s="303"/>
      <c r="R229" s="297" t="n">
        <f aca="false">SUM(R226:R228)</f>
        <v>73903</v>
      </c>
      <c r="S229" s="297" t="n">
        <f aca="false">SUM(S226:S228)</f>
        <v>865879.504529617</v>
      </c>
      <c r="T229" s="297" t="n">
        <f aca="false">SUM(T226:T228)</f>
        <v>131350.205420078</v>
      </c>
      <c r="U229" s="297" t="n">
        <f aca="false">SUM(U226:U228)</f>
        <v>33669</v>
      </c>
      <c r="V229" s="303"/>
      <c r="W229" s="303"/>
    </row>
    <row r="230" customFormat="false" ht="15" hidden="false" customHeight="true" outlineLevel="0" collapsed="false">
      <c r="A230" s="152" t="s">
        <v>2661</v>
      </c>
      <c r="B230" s="161" t="n">
        <f aca="false">Datos!G9+Datos!G14</f>
        <v>11894</v>
      </c>
      <c r="C230" s="161" t="n">
        <f aca="false">Datos!G35+Datos!G40</f>
        <v>103446.9</v>
      </c>
      <c r="D230" s="161" t="n">
        <f aca="false">Datos!G61+Datos!G66</f>
        <v>24391.15</v>
      </c>
      <c r="E230" s="161" t="n">
        <f aca="false">Datos!G87+Datos!G92</f>
        <v>5214.81481788325</v>
      </c>
      <c r="F230" s="163"/>
      <c r="G230" s="163"/>
      <c r="J230" s="297" t="n">
        <f aca="false">Datos!G9+Datos!G14</f>
        <v>11894</v>
      </c>
      <c r="K230" s="297" t="n">
        <f aca="false">Datos!G35+Datos!G40</f>
        <v>103446.9</v>
      </c>
      <c r="L230" s="297" t="n">
        <f aca="false">Datos!G61+Datos!G66</f>
        <v>24391.15</v>
      </c>
      <c r="M230" s="297" t="n">
        <f aca="false">Datos!G87+Datos!G92</f>
        <v>5214.81481788325</v>
      </c>
      <c r="N230" s="303"/>
      <c r="O230" s="303"/>
      <c r="R230" s="297" t="n">
        <f aca="false">Datos!G9+Datos!G14</f>
        <v>11894</v>
      </c>
      <c r="S230" s="297" t="n">
        <f aca="false">Datos!G35+Datos!G40</f>
        <v>103446.9</v>
      </c>
      <c r="T230" s="297" t="n">
        <f aca="false">Datos!G61+Datos!G66</f>
        <v>24391.15</v>
      </c>
      <c r="U230" s="297" t="n">
        <f aca="false">Datos!G87+Datos!G92</f>
        <v>5214.81481788325</v>
      </c>
      <c r="V230" s="303"/>
      <c r="W230" s="303"/>
    </row>
    <row r="231" customFormat="false" ht="15" hidden="false" customHeight="true" outlineLevel="0" collapsed="false">
      <c r="A231" s="152" t="s">
        <v>2017</v>
      </c>
      <c r="B231" s="173" t="n">
        <f aca="false">B229/B230</f>
        <v>6.21346897595426</v>
      </c>
      <c r="C231" s="173" t="n">
        <f aca="false">C229/C230</f>
        <v>8.37027986850855</v>
      </c>
      <c r="D231" s="173" t="n">
        <f aca="false">D229/D230</f>
        <v>5.38515836358997</v>
      </c>
      <c r="E231" s="173" t="n">
        <f aca="false">E229/E230</f>
        <v>6.45641334847373</v>
      </c>
      <c r="F231" s="163"/>
      <c r="G231" s="163"/>
      <c r="J231" s="340" t="n">
        <f aca="false">J229/J230</f>
        <v>6.21346897595426</v>
      </c>
      <c r="K231" s="340" t="n">
        <f aca="false">K229/K230</f>
        <v>8.37027986850855</v>
      </c>
      <c r="L231" s="340" t="n">
        <f aca="false">L229/L230</f>
        <v>5.38515836358997</v>
      </c>
      <c r="M231" s="340" t="n">
        <f aca="false">M229/M230</f>
        <v>6.45641334847373</v>
      </c>
      <c r="N231" s="341"/>
      <c r="O231" s="341"/>
      <c r="R231" s="340" t="n">
        <f aca="false">R229/R230</f>
        <v>6.21346897595426</v>
      </c>
      <c r="S231" s="340" t="n">
        <f aca="false">S229/S230</f>
        <v>8.37027986850855</v>
      </c>
      <c r="T231" s="340" t="n">
        <f aca="false">T229/T230</f>
        <v>5.38515836358997</v>
      </c>
      <c r="U231" s="340" t="n">
        <f aca="false">U229/U230</f>
        <v>6.45641334847373</v>
      </c>
      <c r="V231" s="341"/>
      <c r="W231" s="341"/>
    </row>
    <row r="232" customFormat="false" ht="15" hidden="false" customHeight="true" outlineLevel="0" collapsed="false">
      <c r="A232" s="152" t="s">
        <v>2018</v>
      </c>
      <c r="B232" s="173" t="n">
        <f aca="false">MEDIAN(C231:E231)</f>
        <v>6.45641334847373</v>
      </c>
      <c r="C232" s="152"/>
      <c r="D232" s="152"/>
      <c r="E232" s="152"/>
      <c r="F232" s="152"/>
      <c r="G232" s="152"/>
      <c r="J232" s="342" t="n">
        <f aca="false">MEDIAN(K231:M231)</f>
        <v>6.45641334847373</v>
      </c>
      <c r="K232" s="302"/>
      <c r="L232" s="302"/>
      <c r="M232" s="302"/>
      <c r="N232" s="302"/>
      <c r="O232" s="302"/>
      <c r="R232" s="342" t="n">
        <f aca="false">MEDIAN(S231:U231)</f>
        <v>6.45641334847373</v>
      </c>
      <c r="S232" s="302"/>
      <c r="T232" s="302"/>
      <c r="U232" s="302"/>
      <c r="V232" s="302"/>
      <c r="W232" s="302"/>
    </row>
    <row r="233" customFormat="false" ht="15" hidden="false" customHeight="true" outlineLevel="0" collapsed="false">
      <c r="A233" s="152" t="s">
        <v>2662</v>
      </c>
      <c r="B233" s="155" t="n">
        <v>0.1</v>
      </c>
      <c r="C233" s="152"/>
      <c r="D233" s="152"/>
      <c r="E233" s="152"/>
      <c r="F233" s="152"/>
      <c r="G233" s="152"/>
      <c r="J233" s="296" t="n">
        <v>0.1</v>
      </c>
      <c r="K233" s="302"/>
      <c r="L233" s="302"/>
      <c r="M233" s="302"/>
      <c r="N233" s="302"/>
      <c r="O233" s="302"/>
      <c r="R233" s="296" t="n">
        <v>0.1</v>
      </c>
      <c r="S233" s="302"/>
      <c r="T233" s="302"/>
      <c r="U233" s="302"/>
      <c r="V233" s="302"/>
      <c r="W233" s="302"/>
    </row>
    <row r="234" customFormat="false" ht="15" hidden="false" customHeight="true" outlineLevel="0" collapsed="false">
      <c r="A234" s="152" t="s">
        <v>2020</v>
      </c>
      <c r="B234" s="173" t="n">
        <f aca="false">B232*(1-B233)</f>
        <v>5.81077201362635</v>
      </c>
      <c r="C234" s="152"/>
      <c r="D234" s="152"/>
      <c r="E234" s="152"/>
      <c r="F234" s="152"/>
      <c r="G234" s="152"/>
      <c r="J234" s="342" t="n">
        <f aca="false">J232*(1-J233)</f>
        <v>5.81077201362635</v>
      </c>
      <c r="K234" s="302"/>
      <c r="L234" s="302"/>
      <c r="M234" s="302"/>
      <c r="N234" s="302"/>
      <c r="O234" s="302"/>
      <c r="R234" s="342" t="n">
        <f aca="false">R232*(1-R233)</f>
        <v>5.81077201362635</v>
      </c>
      <c r="S234" s="302"/>
      <c r="T234" s="302"/>
      <c r="U234" s="302"/>
      <c r="V234" s="302"/>
      <c r="W234" s="302"/>
    </row>
    <row r="235" customFormat="false" ht="15" hidden="false" customHeight="true" outlineLevel="0" collapsed="false">
      <c r="A235" s="152" t="s">
        <v>2663</v>
      </c>
      <c r="B235" s="161" t="n">
        <f aca="false">G71</f>
        <v>13097.5017991011</v>
      </c>
      <c r="C235" s="152"/>
      <c r="D235" s="152"/>
      <c r="E235" s="152"/>
      <c r="F235" s="152"/>
      <c r="G235" s="152"/>
      <c r="J235" s="297" t="n">
        <f aca="false">O71</f>
        <v>12256.047209706</v>
      </c>
      <c r="K235" s="302"/>
      <c r="L235" s="302"/>
      <c r="M235" s="302"/>
      <c r="N235" s="302"/>
      <c r="O235" s="302"/>
      <c r="R235" s="297" t="n">
        <f aca="false">W71</f>
        <v>11587.9504954685</v>
      </c>
      <c r="S235" s="302"/>
      <c r="T235" s="302"/>
      <c r="U235" s="302"/>
      <c r="V235" s="302"/>
      <c r="W235" s="302"/>
    </row>
    <row r="236" customFormat="false" ht="15" hidden="false" customHeight="true" outlineLevel="0" collapsed="false">
      <c r="A236" s="152" t="s">
        <v>2664</v>
      </c>
      <c r="B236" s="161" t="n">
        <f aca="false">B234*B235</f>
        <v>76106.5969026376</v>
      </c>
      <c r="C236" s="152"/>
      <c r="D236" s="152"/>
      <c r="E236" s="152"/>
      <c r="F236" s="152"/>
      <c r="G236" s="152"/>
      <c r="J236" s="301" t="n">
        <f aca="false">J234*J235</f>
        <v>71217.0961238431</v>
      </c>
      <c r="K236" s="302"/>
      <c r="L236" s="302"/>
      <c r="M236" s="302"/>
      <c r="N236" s="302"/>
      <c r="O236" s="302"/>
      <c r="R236" s="301" t="n">
        <f aca="false">R234*R235</f>
        <v>67334.938434356</v>
      </c>
      <c r="S236" s="302"/>
      <c r="T236" s="302"/>
      <c r="U236" s="302"/>
      <c r="V236" s="302"/>
      <c r="W236" s="302"/>
    </row>
    <row r="237" customFormat="false" ht="15" hidden="false" customHeight="true" outlineLevel="0" collapsed="false">
      <c r="A237" s="152" t="s">
        <v>2023</v>
      </c>
      <c r="B237" s="161" t="n">
        <f aca="false">B236*G119</f>
        <v>49084.0057335035</v>
      </c>
      <c r="C237" s="152"/>
      <c r="D237" s="152"/>
      <c r="E237" s="152"/>
      <c r="F237" s="152"/>
      <c r="G237" s="152"/>
      <c r="J237" s="297" t="n">
        <f aca="false">J236*O119</f>
        <v>44965.1758418759</v>
      </c>
      <c r="K237" s="302"/>
      <c r="L237" s="302"/>
      <c r="M237" s="302"/>
      <c r="N237" s="302"/>
      <c r="O237" s="302"/>
      <c r="R237" s="297" t="n">
        <f aca="false">R236*W119</f>
        <v>41137.5992217167</v>
      </c>
      <c r="S237" s="302"/>
      <c r="T237" s="302"/>
      <c r="U237" s="302"/>
      <c r="V237" s="302"/>
      <c r="W237" s="302"/>
    </row>
    <row r="238" customFormat="false" ht="15" hidden="false" customHeight="true" outlineLevel="0" collapsed="false">
      <c r="A238" s="152" t="s">
        <v>2024</v>
      </c>
      <c r="B238" s="161" t="n">
        <f aca="false">B134+B237</f>
        <v>75046.4356835324</v>
      </c>
      <c r="C238" s="152"/>
      <c r="D238" s="152"/>
      <c r="E238" s="152"/>
      <c r="F238" s="152"/>
      <c r="G238" s="152"/>
      <c r="J238" s="301" t="n">
        <f aca="false">J134+J237</f>
        <v>69064.6983935442</v>
      </c>
      <c r="K238" s="302"/>
      <c r="L238" s="302"/>
      <c r="M238" s="302"/>
      <c r="N238" s="302"/>
      <c r="O238" s="302"/>
      <c r="R238" s="301" t="n">
        <f aca="false">R134+R237</f>
        <v>63435.9173159486</v>
      </c>
      <c r="S238" s="302"/>
      <c r="T238" s="302"/>
      <c r="U238" s="302"/>
      <c r="V238" s="302"/>
      <c r="W238" s="302"/>
    </row>
    <row r="239" customFormat="false" ht="15" hidden="false" customHeight="true" outlineLevel="0" collapsed="false">
      <c r="A239" s="152" t="s">
        <v>2025</v>
      </c>
      <c r="B239" s="161" t="n">
        <f aca="false">B238-B144</f>
        <v>60723.4356835324</v>
      </c>
      <c r="C239" s="152"/>
      <c r="D239" s="152"/>
      <c r="E239" s="152"/>
      <c r="F239" s="152"/>
      <c r="G239" s="152"/>
      <c r="J239" s="297" t="n">
        <f aca="false">J238-J144</f>
        <v>54741.6983935442</v>
      </c>
      <c r="K239" s="302"/>
      <c r="L239" s="302"/>
      <c r="M239" s="302"/>
      <c r="N239" s="302"/>
      <c r="O239" s="302"/>
      <c r="R239" s="297" t="n">
        <f aca="false">R238-R144</f>
        <v>49112.9173159486</v>
      </c>
      <c r="S239" s="302"/>
      <c r="T239" s="302"/>
      <c r="U239" s="302"/>
      <c r="V239" s="302"/>
      <c r="W239" s="302"/>
    </row>
    <row r="240" customFormat="false" ht="15" hidden="false" customHeight="true" outlineLevel="0" collapsed="false">
      <c r="A240" s="152" t="s">
        <v>2665</v>
      </c>
      <c r="B240" s="167" t="n">
        <f aca="false">B239/B149</f>
        <v>33.7352420464069</v>
      </c>
      <c r="C240" s="152"/>
      <c r="D240" s="152"/>
      <c r="E240" s="152"/>
      <c r="F240" s="152"/>
      <c r="G240" s="152"/>
      <c r="J240" s="306" t="n">
        <f aca="false">J239/J149</f>
        <v>30.4120546630801</v>
      </c>
      <c r="K240" s="302"/>
      <c r="L240" s="302"/>
      <c r="M240" s="302"/>
      <c r="N240" s="302"/>
      <c r="O240" s="302"/>
      <c r="R240" s="306" t="n">
        <f aca="false">R239/R149</f>
        <v>27.2849540644159</v>
      </c>
      <c r="S240" s="302"/>
      <c r="T240" s="302"/>
      <c r="U240" s="302"/>
      <c r="V240" s="302"/>
      <c r="W240" s="302"/>
    </row>
    <row r="241" customFormat="false" ht="15" hidden="false" customHeight="true" outlineLevel="0" collapsed="false">
      <c r="A241" s="152" t="s">
        <v>2027</v>
      </c>
      <c r="B241" s="173" t="n">
        <f aca="false">B129/G71</f>
        <v>10.6139539973272</v>
      </c>
      <c r="C241" s="152"/>
      <c r="D241" s="152"/>
      <c r="E241" s="152"/>
      <c r="F241" s="152"/>
      <c r="G241" s="152"/>
      <c r="J241" s="342" t="n">
        <f aca="false">J129/O71</f>
        <v>8.82046929687269</v>
      </c>
      <c r="K241" s="302"/>
      <c r="L241" s="302"/>
      <c r="M241" s="302"/>
      <c r="N241" s="302"/>
      <c r="O241" s="302"/>
      <c r="R241" s="342" t="n">
        <f aca="false">R129/W71</f>
        <v>7.23544040135046</v>
      </c>
      <c r="S241" s="302"/>
      <c r="T241" s="302"/>
      <c r="U241" s="302"/>
      <c r="V241" s="302"/>
      <c r="W241" s="302"/>
    </row>
    <row r="242" customFormat="false" ht="15" hidden="false" customHeight="true" outlineLevel="0" collapsed="false">
      <c r="A242" s="152" t="s">
        <v>2666</v>
      </c>
      <c r="B242" s="155" t="n">
        <f aca="false">(B236*B126-B127)/(B236+B127)</f>
        <v>0.000834220054198121</v>
      </c>
      <c r="C242" s="152"/>
      <c r="D242" s="152"/>
      <c r="E242" s="152"/>
      <c r="F242" s="152"/>
      <c r="G242" s="152"/>
      <c r="J242" s="296" t="n">
        <f aca="false">(J236*J126-J127)/(J236+J127)</f>
        <v>0.00585519958893175</v>
      </c>
      <c r="K242" s="302"/>
      <c r="L242" s="302"/>
      <c r="M242" s="302"/>
      <c r="N242" s="302"/>
      <c r="O242" s="302"/>
      <c r="R242" s="296" t="n">
        <f aca="false">(R236*R126-R127)/(R236+R127)</f>
        <v>0.0134353322413568</v>
      </c>
      <c r="S242" s="302"/>
      <c r="T242" s="302"/>
      <c r="U242" s="302"/>
      <c r="V242" s="302"/>
      <c r="W242" s="302"/>
    </row>
    <row r="243" customFormat="false" ht="15" hidden="false" customHeight="true" outlineLevel="0" collapsed="false">
      <c r="A243" s="152" t="s">
        <v>2029</v>
      </c>
      <c r="B243" s="155" t="n">
        <v>0.5</v>
      </c>
      <c r="C243" s="152"/>
      <c r="D243" s="152"/>
      <c r="E243" s="152"/>
      <c r="F243" s="152"/>
      <c r="G243" s="152"/>
      <c r="J243" s="296" t="n">
        <v>0.5</v>
      </c>
      <c r="K243" s="302"/>
      <c r="L243" s="302"/>
      <c r="M243" s="302"/>
      <c r="N243" s="302"/>
      <c r="O243" s="302"/>
      <c r="R243" s="296" t="n">
        <v>0.5</v>
      </c>
      <c r="S243" s="302"/>
      <c r="T243" s="302"/>
      <c r="U243" s="302"/>
      <c r="V243" s="302"/>
      <c r="W243" s="302"/>
    </row>
    <row r="244" customFormat="false" ht="15" hidden="false" customHeight="true" outlineLevel="0" collapsed="false">
      <c r="A244" s="152" t="s">
        <v>2030</v>
      </c>
      <c r="B244" s="155" t="n">
        <f aca="false">1-B243</f>
        <v>0.5</v>
      </c>
      <c r="C244" s="152"/>
      <c r="D244" s="152"/>
      <c r="E244" s="152"/>
      <c r="F244" s="152"/>
      <c r="G244" s="152"/>
      <c r="J244" s="296" t="n">
        <f aca="false">1-J243</f>
        <v>0.5</v>
      </c>
      <c r="K244" s="302"/>
      <c r="L244" s="302"/>
      <c r="M244" s="302"/>
      <c r="N244" s="302"/>
      <c r="O244" s="302"/>
      <c r="R244" s="296" t="n">
        <f aca="false">1-R243</f>
        <v>0.5</v>
      </c>
      <c r="S244" s="302"/>
      <c r="T244" s="302"/>
      <c r="U244" s="302"/>
      <c r="V244" s="302"/>
      <c r="W244" s="302"/>
    </row>
    <row r="245" customFormat="false" ht="15" hidden="false" customHeight="true" outlineLevel="0" collapsed="false">
      <c r="A245" s="152" t="s">
        <v>2667</v>
      </c>
      <c r="B245" s="161" t="n">
        <f aca="false">B243*B136+B244*B238</f>
        <v>95332.846118684</v>
      </c>
      <c r="C245" s="152"/>
      <c r="D245" s="152"/>
      <c r="E245" s="152"/>
      <c r="F245" s="152"/>
      <c r="G245" s="152"/>
      <c r="J245" s="297" t="n">
        <f aca="false">J243*J136+J244*J238</f>
        <v>80709.585445956</v>
      </c>
      <c r="K245" s="302"/>
      <c r="L245" s="302"/>
      <c r="M245" s="302"/>
      <c r="N245" s="302"/>
      <c r="O245" s="302"/>
      <c r="R245" s="297" t="n">
        <f aca="false">R243*R136+R244*R238</f>
        <v>68478.9165095676</v>
      </c>
      <c r="S245" s="302"/>
      <c r="T245" s="302"/>
      <c r="U245" s="302"/>
      <c r="V245" s="302"/>
      <c r="W245" s="302"/>
    </row>
    <row r="246" customFormat="false" ht="15" hidden="false" customHeight="true" outlineLevel="0" collapsed="false">
      <c r="A246" s="152" t="s">
        <v>2668</v>
      </c>
      <c r="B246" s="167" t="n">
        <f aca="false">B243*B150+B244*B240</f>
        <v>45.0054700659356</v>
      </c>
      <c r="C246" s="152"/>
      <c r="D246" s="152"/>
      <c r="E246" s="152"/>
      <c r="F246" s="152"/>
      <c r="G246" s="152"/>
      <c r="J246" s="306" t="n">
        <f aca="false">J243*J150+J244*J240</f>
        <v>36.8814363588644</v>
      </c>
      <c r="K246" s="302"/>
      <c r="L246" s="302"/>
      <c r="M246" s="302"/>
      <c r="N246" s="302"/>
      <c r="O246" s="302"/>
      <c r="R246" s="306" t="n">
        <f aca="false">R243*R150+R244*R240</f>
        <v>30.0866202830931</v>
      </c>
      <c r="S246" s="302"/>
      <c r="T246" s="302"/>
      <c r="U246" s="302"/>
      <c r="V246" s="302"/>
      <c r="W246" s="302"/>
    </row>
    <row r="247" customFormat="false" ht="15" hidden="false" customHeight="true" outlineLevel="0" collapsed="false">
      <c r="A247" s="170"/>
      <c r="B247" s="170"/>
      <c r="C247" s="170"/>
      <c r="D247" s="170"/>
      <c r="E247" s="170"/>
      <c r="F247" s="170"/>
      <c r="G247" s="170"/>
      <c r="J247" s="339"/>
      <c r="K247" s="339"/>
      <c r="L247" s="339"/>
      <c r="M247" s="339"/>
      <c r="N247" s="339"/>
      <c r="O247" s="339"/>
      <c r="R247" s="339"/>
      <c r="S247" s="339"/>
      <c r="T247" s="339"/>
      <c r="U247" s="339"/>
      <c r="V247" s="339"/>
      <c r="W247" s="339"/>
    </row>
    <row r="248" customFormat="false" ht="15" hidden="false" customHeight="true" outlineLevel="0" collapsed="false">
      <c r="A248" s="170"/>
      <c r="B248" s="170"/>
      <c r="C248" s="170"/>
      <c r="D248" s="170"/>
      <c r="E248" s="170"/>
      <c r="F248" s="170"/>
      <c r="G248" s="170"/>
      <c r="J248" s="339"/>
      <c r="K248" s="339"/>
      <c r="L248" s="339"/>
      <c r="M248" s="339"/>
      <c r="N248" s="339"/>
      <c r="O248" s="339"/>
      <c r="R248" s="339"/>
      <c r="S248" s="339"/>
      <c r="T248" s="339"/>
      <c r="U248" s="339"/>
      <c r="V248" s="339"/>
      <c r="W248" s="339"/>
    </row>
    <row r="249" customFormat="false" ht="15" hidden="false" customHeight="true" outlineLevel="0" collapsed="false">
      <c r="A249" s="283" t="s">
        <v>2669</v>
      </c>
      <c r="B249" s="152"/>
      <c r="C249" s="152"/>
      <c r="D249" s="152"/>
      <c r="E249" s="152"/>
      <c r="F249" s="152"/>
      <c r="G249" s="152"/>
      <c r="J249" s="300" t="s">
        <v>78</v>
      </c>
      <c r="K249" s="300"/>
      <c r="L249" s="300"/>
      <c r="M249" s="300"/>
      <c r="N249" s="300"/>
      <c r="O249" s="300"/>
      <c r="R249" s="300" t="s">
        <v>78</v>
      </c>
      <c r="S249" s="300"/>
      <c r="T249" s="300"/>
      <c r="U249" s="300"/>
      <c r="V249" s="300"/>
      <c r="W249" s="300"/>
    </row>
    <row r="250" customFormat="false" ht="15" hidden="false" customHeight="true" outlineLevel="0" collapsed="false">
      <c r="A250" s="152" t="s">
        <v>2035</v>
      </c>
      <c r="B250" s="174" t="n">
        <f aca="false">DATE(2025,12,31)</f>
        <v>46022</v>
      </c>
      <c r="C250" s="152"/>
      <c r="D250" s="152"/>
      <c r="E250" s="152"/>
      <c r="F250" s="152"/>
      <c r="G250" s="152"/>
      <c r="J250" s="343" t="n">
        <f aca="false">DATE(2025,12,31)</f>
        <v>46022</v>
      </c>
      <c r="K250" s="302"/>
      <c r="L250" s="302"/>
      <c r="M250" s="302"/>
      <c r="N250" s="302"/>
      <c r="O250" s="302"/>
      <c r="R250" s="343" t="n">
        <f aca="false">DATE(2025,12,31)</f>
        <v>46022</v>
      </c>
      <c r="S250" s="302"/>
      <c r="T250" s="302"/>
      <c r="U250" s="302"/>
      <c r="V250" s="302"/>
      <c r="W250" s="302"/>
    </row>
    <row r="251" customFormat="false" ht="15" hidden="false" customHeight="true" outlineLevel="0" collapsed="false">
      <c r="A251" s="152" t="s">
        <v>2670</v>
      </c>
      <c r="B251" s="174" t="n">
        <f aca="false">DATE(2026,6,30)</f>
        <v>46203</v>
      </c>
      <c r="C251" s="152"/>
      <c r="D251" s="152"/>
      <c r="E251" s="152"/>
      <c r="F251" s="152"/>
      <c r="G251" s="152"/>
      <c r="J251" s="343" t="n">
        <f aca="false">DATE(2026,6,30)</f>
        <v>46203</v>
      </c>
      <c r="K251" s="302"/>
      <c r="L251" s="302"/>
      <c r="M251" s="302"/>
      <c r="N251" s="302"/>
      <c r="O251" s="302"/>
      <c r="R251" s="343" t="n">
        <f aca="false">DATE(2026,6,30)</f>
        <v>46203</v>
      </c>
      <c r="S251" s="302"/>
      <c r="T251" s="302"/>
      <c r="U251" s="302"/>
      <c r="V251" s="302"/>
      <c r="W251" s="302"/>
    </row>
    <row r="252" customFormat="false" ht="15" hidden="false" customHeight="true" outlineLevel="0" collapsed="false">
      <c r="A252" s="152" t="s">
        <v>2037</v>
      </c>
      <c r="B252" s="174" t="n">
        <f aca="false">Rendimientos!H10</f>
        <v>46302</v>
      </c>
      <c r="C252" s="152"/>
      <c r="D252" s="152"/>
      <c r="E252" s="152"/>
      <c r="F252" s="152"/>
      <c r="G252" s="152"/>
      <c r="J252" s="343" t="n">
        <f aca="false">Rendimientos!H10</f>
        <v>46302</v>
      </c>
      <c r="K252" s="302"/>
      <c r="L252" s="302"/>
      <c r="M252" s="302"/>
      <c r="N252" s="302"/>
      <c r="O252" s="302"/>
      <c r="R252" s="343" t="n">
        <f aca="false">Rendimientos!H10</f>
        <v>46302</v>
      </c>
      <c r="S252" s="302"/>
      <c r="T252" s="302"/>
      <c r="U252" s="302"/>
      <c r="V252" s="302"/>
      <c r="W252" s="302"/>
    </row>
    <row r="253" customFormat="false" ht="15" hidden="false" customHeight="true" outlineLevel="0" collapsed="false">
      <c r="A253" s="152" t="s">
        <v>2038</v>
      </c>
      <c r="B253" s="169" t="n">
        <f aca="false">YEARFRAC(B250,B251)</f>
        <v>0.5</v>
      </c>
      <c r="C253" s="152"/>
      <c r="D253" s="152"/>
      <c r="E253" s="152"/>
      <c r="F253" s="152"/>
      <c r="G253" s="152"/>
      <c r="J253" s="337" t="n">
        <f aca="false">YEARFRAC(J250,J251)</f>
        <v>0.5</v>
      </c>
      <c r="K253" s="302"/>
      <c r="L253" s="302"/>
      <c r="M253" s="302"/>
      <c r="N253" s="302"/>
      <c r="O253" s="302"/>
      <c r="R253" s="337" t="n">
        <f aca="false">YEARFRAC(R250,R251)</f>
        <v>0.5</v>
      </c>
      <c r="S253" s="302"/>
      <c r="T253" s="302"/>
      <c r="U253" s="302"/>
      <c r="V253" s="302"/>
      <c r="W253" s="302"/>
    </row>
    <row r="254" customFormat="false" ht="15" hidden="false" customHeight="true" outlineLevel="0" collapsed="false">
      <c r="A254" s="152" t="s">
        <v>2039</v>
      </c>
      <c r="B254" s="169" t="n">
        <f aca="false">YEARFRAC(B251,B252)</f>
        <v>0.269444444444444</v>
      </c>
      <c r="C254" s="152"/>
      <c r="D254" s="152"/>
      <c r="E254" s="152"/>
      <c r="F254" s="152"/>
      <c r="G254" s="152"/>
      <c r="J254" s="337" t="n">
        <f aca="false">YEARFRAC(J251,J252)</f>
        <v>0.269444444444444</v>
      </c>
      <c r="K254" s="302"/>
      <c r="L254" s="302"/>
      <c r="M254" s="302"/>
      <c r="N254" s="302"/>
      <c r="O254" s="302"/>
      <c r="R254" s="337" t="n">
        <f aca="false">YEARFRAC(R251,R252)</f>
        <v>0.269444444444444</v>
      </c>
      <c r="S254" s="302"/>
      <c r="T254" s="302"/>
      <c r="U254" s="302"/>
      <c r="V254" s="302"/>
      <c r="W254" s="302"/>
    </row>
    <row r="255" customFormat="false" ht="15" hidden="false" customHeight="true" outlineLevel="0" collapsed="false">
      <c r="A255" s="152" t="s">
        <v>2040</v>
      </c>
      <c r="B255" s="161" t="n">
        <f aca="false">B245</f>
        <v>95332.846118684</v>
      </c>
      <c r="C255" s="152"/>
      <c r="D255" s="152"/>
      <c r="E255" s="152"/>
      <c r="F255" s="152"/>
      <c r="G255" s="152"/>
      <c r="J255" s="297" t="n">
        <f aca="false">J245</f>
        <v>80709.585445956</v>
      </c>
      <c r="K255" s="302"/>
      <c r="L255" s="302"/>
      <c r="M255" s="302"/>
      <c r="N255" s="302"/>
      <c r="O255" s="302"/>
      <c r="R255" s="297" t="n">
        <f aca="false">R245</f>
        <v>68478.9165095676</v>
      </c>
      <c r="S255" s="302"/>
      <c r="T255" s="302"/>
      <c r="U255" s="302"/>
      <c r="V255" s="302"/>
      <c r="W255" s="302"/>
    </row>
    <row r="256" customFormat="false" ht="15" hidden="false" customHeight="true" outlineLevel="0" collapsed="false">
      <c r="A256" s="152" t="s">
        <v>2671</v>
      </c>
      <c r="B256" s="161" t="n">
        <f aca="false">B255*(1+B126)^B253</f>
        <v>99607.2131390383</v>
      </c>
      <c r="C256" s="152"/>
      <c r="D256" s="152"/>
      <c r="E256" s="152"/>
      <c r="F256" s="152"/>
      <c r="G256" s="152"/>
      <c r="J256" s="297" t="n">
        <f aca="false">J255*(1+J126)^J253</f>
        <v>84507.628242876</v>
      </c>
      <c r="K256" s="302"/>
      <c r="L256" s="302"/>
      <c r="M256" s="302"/>
      <c r="N256" s="302"/>
      <c r="O256" s="302"/>
      <c r="R256" s="297" t="n">
        <f aca="false">R255*(1+R126)^R253</f>
        <v>71937.7802161301</v>
      </c>
      <c r="S256" s="302"/>
      <c r="T256" s="302"/>
      <c r="U256" s="302"/>
      <c r="V256" s="302"/>
      <c r="W256" s="302"/>
    </row>
    <row r="257" customFormat="false" ht="15" hidden="false" customHeight="true" outlineLevel="0" collapsed="false">
      <c r="A257" s="152" t="s">
        <v>2672</v>
      </c>
      <c r="B257" s="161" t="n">
        <f aca="false">-((Datos!E15+Datos!F15)-(Datos!E16+Datos!F16))</f>
        <v>1060.497</v>
      </c>
      <c r="C257" s="152"/>
      <c r="D257" s="152"/>
      <c r="E257" s="152"/>
      <c r="F257" s="152"/>
      <c r="G257" s="152"/>
      <c r="J257" s="297" t="n">
        <f aca="false">-((Datos!E15+Datos!F15)-(Datos!E16+Datos!F16))</f>
        <v>1060.497</v>
      </c>
      <c r="K257" s="302"/>
      <c r="L257" s="302"/>
      <c r="M257" s="302"/>
      <c r="N257" s="302"/>
      <c r="O257" s="302"/>
      <c r="R257" s="297" t="n">
        <f aca="false">-((Datos!E15+Datos!F15)-(Datos!E16+Datos!F16))</f>
        <v>1060.497</v>
      </c>
      <c r="S257" s="302"/>
      <c r="T257" s="302"/>
      <c r="U257" s="302"/>
      <c r="V257" s="302"/>
      <c r="W257" s="302"/>
    </row>
    <row r="258" customFormat="false" ht="15" hidden="false" customHeight="true" outlineLevel="0" collapsed="false">
      <c r="A258" s="152" t="s">
        <v>2043</v>
      </c>
      <c r="B258" s="161" t="n">
        <f aca="false">B256+B257</f>
        <v>100667.710139038</v>
      </c>
      <c r="C258" s="152"/>
      <c r="D258" s="152"/>
      <c r="E258" s="152"/>
      <c r="F258" s="152"/>
      <c r="G258" s="152"/>
      <c r="J258" s="297" t="n">
        <f aca="false">J256+J257</f>
        <v>85568.125242876</v>
      </c>
      <c r="K258" s="302"/>
      <c r="L258" s="302"/>
      <c r="M258" s="302"/>
      <c r="N258" s="302"/>
      <c r="O258" s="302"/>
      <c r="R258" s="297" t="n">
        <f aca="false">R256+R257</f>
        <v>72998.2772161301</v>
      </c>
      <c r="S258" s="302"/>
      <c r="T258" s="302"/>
      <c r="U258" s="302"/>
      <c r="V258" s="302"/>
      <c r="W258" s="302"/>
    </row>
    <row r="259" customFormat="false" ht="15" hidden="false" customHeight="true" outlineLevel="0" collapsed="false">
      <c r="A259" s="152" t="s">
        <v>2258</v>
      </c>
      <c r="B259" s="161" t="n">
        <f aca="false">-(Datos!F25+Datos!F26)</f>
        <v>-11500</v>
      </c>
      <c r="C259" s="152"/>
      <c r="D259" s="152"/>
      <c r="E259" s="152"/>
      <c r="F259" s="152"/>
      <c r="G259" s="152"/>
      <c r="J259" s="297" t="n">
        <f aca="false">-(Datos!F25+Datos!F26)</f>
        <v>-11500</v>
      </c>
      <c r="K259" s="302"/>
      <c r="L259" s="302"/>
      <c r="M259" s="302"/>
      <c r="N259" s="302"/>
      <c r="O259" s="302"/>
      <c r="R259" s="297" t="n">
        <f aca="false">-(Datos!F25+Datos!F26)</f>
        <v>-11500</v>
      </c>
      <c r="S259" s="302"/>
      <c r="T259" s="302"/>
      <c r="U259" s="302"/>
      <c r="V259" s="302"/>
      <c r="W259" s="302"/>
    </row>
    <row r="260" customFormat="false" ht="15" hidden="false" customHeight="true" outlineLevel="0" collapsed="false">
      <c r="A260" s="152" t="s">
        <v>2259</v>
      </c>
      <c r="B260" s="161" t="n">
        <f aca="false">-(Datos!F27+Datos!F28)</f>
        <v>-12220.588</v>
      </c>
      <c r="C260" s="152"/>
      <c r="D260" s="152"/>
      <c r="E260" s="152"/>
      <c r="F260" s="152"/>
      <c r="G260" s="152"/>
      <c r="J260" s="297" t="n">
        <f aca="false">-(Datos!F27+Datos!F28)</f>
        <v>-12220.588</v>
      </c>
      <c r="K260" s="302"/>
      <c r="L260" s="302"/>
      <c r="M260" s="302"/>
      <c r="N260" s="302"/>
      <c r="O260" s="302"/>
      <c r="R260" s="297" t="n">
        <f aca="false">-(Datos!F27+Datos!F28)</f>
        <v>-12220.588</v>
      </c>
      <c r="S260" s="302"/>
      <c r="T260" s="302"/>
      <c r="U260" s="302"/>
      <c r="V260" s="302"/>
      <c r="W260" s="302"/>
    </row>
    <row r="261" customFormat="false" ht="15" hidden="false" customHeight="true" outlineLevel="0" collapsed="false">
      <c r="A261" s="152" t="s">
        <v>2046</v>
      </c>
      <c r="B261" s="161" t="n">
        <f aca="false">Datos!F17</f>
        <v>6875.384</v>
      </c>
      <c r="C261" s="152"/>
      <c r="D261" s="152"/>
      <c r="E261" s="152"/>
      <c r="F261" s="152"/>
      <c r="G261" s="152"/>
      <c r="J261" s="297" t="n">
        <f aca="false">Datos!F17</f>
        <v>6875.384</v>
      </c>
      <c r="K261" s="302"/>
      <c r="L261" s="302"/>
      <c r="M261" s="302"/>
      <c r="N261" s="302"/>
      <c r="O261" s="302"/>
      <c r="R261" s="297" t="n">
        <f aca="false">Datos!F17</f>
        <v>6875.384</v>
      </c>
      <c r="S261" s="302"/>
      <c r="T261" s="302"/>
      <c r="U261" s="302"/>
      <c r="V261" s="302"/>
      <c r="W261" s="302"/>
    </row>
    <row r="262" customFormat="false" ht="15" hidden="false" customHeight="true" outlineLevel="0" collapsed="false">
      <c r="A262" s="152" t="s">
        <v>2047</v>
      </c>
      <c r="B262" s="161" t="n">
        <f aca="false">SUM(B258:B261)</f>
        <v>83822.5061390383</v>
      </c>
      <c r="C262" s="152"/>
      <c r="D262" s="152"/>
      <c r="E262" s="152"/>
      <c r="F262" s="152"/>
      <c r="G262" s="152"/>
      <c r="J262" s="301" t="n">
        <f aca="false">SUM(J258:J261)</f>
        <v>68722.921242876</v>
      </c>
      <c r="K262" s="302"/>
      <c r="L262" s="302"/>
      <c r="M262" s="302"/>
      <c r="N262" s="302"/>
      <c r="O262" s="302"/>
      <c r="R262" s="301" t="n">
        <f aca="false">SUM(R258:R261)</f>
        <v>56153.0732161301</v>
      </c>
      <c r="S262" s="302"/>
      <c r="T262" s="302"/>
      <c r="U262" s="302"/>
      <c r="V262" s="302"/>
      <c r="W262" s="302"/>
    </row>
    <row r="263" customFormat="false" ht="15" hidden="false" customHeight="true" outlineLevel="0" collapsed="false">
      <c r="A263" s="152" t="s">
        <v>2673</v>
      </c>
      <c r="B263" s="161" t="n">
        <f aca="false">B262*(1+B221)^B254</f>
        <v>85934.9993239988</v>
      </c>
      <c r="C263" s="152"/>
      <c r="D263" s="152"/>
      <c r="E263" s="152"/>
      <c r="F263" s="152"/>
      <c r="G263" s="152"/>
      <c r="J263" s="301" t="n">
        <f aca="false">J262*(1+J221)^J254</f>
        <v>70578.5543651386</v>
      </c>
      <c r="K263" s="302"/>
      <c r="L263" s="302"/>
      <c r="M263" s="302"/>
      <c r="N263" s="302"/>
      <c r="O263" s="302"/>
      <c r="R263" s="301" t="n">
        <f aca="false">R262*(1+R221)^R254</f>
        <v>57824.6358098406</v>
      </c>
      <c r="S263" s="302"/>
      <c r="T263" s="302"/>
      <c r="U263" s="302"/>
      <c r="V263" s="302"/>
      <c r="W263" s="302"/>
    </row>
    <row r="264" customFormat="false" ht="15" hidden="false" customHeight="true" outlineLevel="0" collapsed="false">
      <c r="A264" s="152" t="s">
        <v>57</v>
      </c>
      <c r="B264" s="165" t="n">
        <f aca="false">B149</f>
        <v>1800</v>
      </c>
      <c r="C264" s="152"/>
      <c r="D264" s="152"/>
      <c r="E264" s="152"/>
      <c r="F264" s="152"/>
      <c r="G264" s="152"/>
      <c r="J264" s="305" t="n">
        <f aca="false">J149</f>
        <v>1800</v>
      </c>
      <c r="K264" s="302"/>
      <c r="L264" s="302"/>
      <c r="M264" s="302"/>
      <c r="N264" s="302"/>
      <c r="O264" s="302"/>
      <c r="R264" s="305" t="n">
        <f aca="false">R149</f>
        <v>1800</v>
      </c>
      <c r="S264" s="302"/>
      <c r="T264" s="302"/>
      <c r="U264" s="302"/>
      <c r="V264" s="302"/>
      <c r="W264" s="302"/>
    </row>
    <row r="265" customFormat="false" ht="15" hidden="false" customHeight="true" outlineLevel="0" collapsed="false">
      <c r="A265" s="152" t="s">
        <v>2049</v>
      </c>
      <c r="B265" s="167" t="n">
        <f aca="false">B263/B264</f>
        <v>47.7416662911104</v>
      </c>
      <c r="C265" s="152"/>
      <c r="D265" s="152"/>
      <c r="E265" s="152"/>
      <c r="F265" s="152"/>
      <c r="G265" s="152"/>
      <c r="J265" s="306" t="n">
        <f aca="false">J263/J264</f>
        <v>39.2103079806326</v>
      </c>
      <c r="K265" s="302"/>
      <c r="L265" s="302"/>
      <c r="M265" s="302"/>
      <c r="N265" s="302"/>
      <c r="O265" s="302"/>
      <c r="R265" s="306" t="n">
        <f aca="false">R263/R264</f>
        <v>32.1247976721337</v>
      </c>
      <c r="S265" s="302"/>
      <c r="T265" s="302"/>
      <c r="U265" s="302"/>
      <c r="V265" s="302"/>
      <c r="W265" s="302"/>
    </row>
    <row r="266" customFormat="false" ht="15" hidden="false" customHeight="true" outlineLevel="0" collapsed="false">
      <c r="A266" s="152" t="s">
        <v>16</v>
      </c>
      <c r="B266" s="167" t="n">
        <f aca="false">B151</f>
        <v>33.1</v>
      </c>
      <c r="C266" s="152"/>
      <c r="D266" s="152"/>
      <c r="E266" s="152"/>
      <c r="F266" s="152"/>
      <c r="G266" s="152"/>
      <c r="J266" s="307" t="n">
        <f aca="false">J151</f>
        <v>33.1</v>
      </c>
      <c r="K266" s="302"/>
      <c r="L266" s="302"/>
      <c r="M266" s="302"/>
      <c r="N266" s="302"/>
      <c r="O266" s="302"/>
      <c r="R266" s="307" t="n">
        <f aca="false">R151</f>
        <v>33.1</v>
      </c>
      <c r="S266" s="302"/>
      <c r="T266" s="302"/>
      <c r="U266" s="302"/>
      <c r="V266" s="302"/>
      <c r="W266" s="302"/>
    </row>
    <row r="267" customFormat="false" ht="15" hidden="false" customHeight="true" outlineLevel="0" collapsed="false">
      <c r="A267" s="152" t="s">
        <v>17</v>
      </c>
      <c r="B267" s="153" t="n">
        <f aca="false">B265/B266-1</f>
        <v>0.442346413628714</v>
      </c>
      <c r="C267" s="152"/>
      <c r="D267" s="152"/>
      <c r="E267" s="152"/>
      <c r="F267" s="152"/>
      <c r="G267" s="152"/>
      <c r="J267" s="295" t="n">
        <f aca="false">J265/J266-1</f>
        <v>0.184601449565938</v>
      </c>
      <c r="K267" s="302"/>
      <c r="L267" s="302"/>
      <c r="M267" s="302"/>
      <c r="N267" s="302"/>
      <c r="O267" s="302"/>
      <c r="R267" s="295" t="n">
        <f aca="false">R265/R266-1</f>
        <v>-0.0294623059778353</v>
      </c>
      <c r="S267" s="302"/>
      <c r="T267" s="302"/>
      <c r="U267" s="302"/>
      <c r="V267" s="302"/>
      <c r="W267" s="302"/>
    </row>
    <row r="268" customFormat="false" ht="15" hidden="false" customHeight="true" outlineLevel="0" collapsed="false">
      <c r="A268" s="152" t="s">
        <v>2050</v>
      </c>
      <c r="B268" s="155" t="str">
        <f aca="false">IF(B267&gt;B155,"COMPRAR",IF(B267&lt;-B155,"VENDER","MANTENER"))</f>
        <v>COMPRAR</v>
      </c>
      <c r="C268" s="152"/>
      <c r="D268" s="152"/>
      <c r="E268" s="152"/>
      <c r="F268" s="152"/>
      <c r="G268" s="152"/>
      <c r="J268" s="338" t="str">
        <f aca="false">IF(J267&gt;J155,"COMPRAR",IF(J267&lt;-J155,"VENDER","MANTENER"))</f>
        <v>COMPRAR</v>
      </c>
      <c r="K268" s="302"/>
      <c r="L268" s="302"/>
      <c r="M268" s="302"/>
      <c r="N268" s="302"/>
      <c r="O268" s="302"/>
      <c r="R268" s="338" t="str">
        <f aca="false">IF(R267&gt;R155,"COMPRAR",IF(R267&lt;-R155,"VENDER","MANTENER"))</f>
        <v>MANTENER</v>
      </c>
      <c r="S268" s="302"/>
      <c r="T268" s="302"/>
      <c r="U268" s="302"/>
      <c r="V268" s="302"/>
      <c r="W268" s="302"/>
    </row>
    <row r="269" customFormat="false" ht="15" hidden="false" customHeight="true" outlineLevel="0" collapsed="false">
      <c r="A269" s="152" t="s">
        <v>18</v>
      </c>
      <c r="B269" s="167" t="n">
        <f aca="false">Generales!B24</f>
        <v>23.357</v>
      </c>
      <c r="C269" s="152"/>
      <c r="D269" s="152"/>
      <c r="E269" s="152"/>
      <c r="F269" s="152"/>
      <c r="G269" s="152"/>
      <c r="J269" s="307" t="n">
        <f aca="false">Generales!B24</f>
        <v>23.357</v>
      </c>
      <c r="K269" s="302"/>
      <c r="L269" s="302"/>
      <c r="M269" s="302"/>
      <c r="N269" s="302"/>
      <c r="O269" s="302"/>
      <c r="R269" s="307" t="n">
        <f aca="false">Generales!B24</f>
        <v>23.357</v>
      </c>
      <c r="S269" s="302"/>
      <c r="T269" s="302"/>
      <c r="U269" s="302"/>
      <c r="V269" s="302"/>
      <c r="W269" s="302"/>
    </row>
    <row r="270" customFormat="false" ht="15" hidden="false" customHeight="true" outlineLevel="0" collapsed="false">
      <c r="A270" s="152" t="s">
        <v>2051</v>
      </c>
      <c r="B270" s="153" t="n">
        <f aca="false">B265/B269-1</f>
        <v>1.04399821428738</v>
      </c>
      <c r="C270" s="152"/>
      <c r="D270" s="152"/>
      <c r="E270" s="152"/>
      <c r="F270" s="152"/>
      <c r="G270" s="152"/>
      <c r="J270" s="295" t="n">
        <f aca="false">J265/J269-1</f>
        <v>0.678739049562553</v>
      </c>
      <c r="K270" s="302"/>
      <c r="L270" s="302"/>
      <c r="M270" s="302"/>
      <c r="N270" s="302"/>
      <c r="O270" s="302"/>
      <c r="R270" s="295" t="n">
        <f aca="false">R265/R269-1</f>
        <v>0.37538201276421</v>
      </c>
      <c r="S270" s="302"/>
      <c r="T270" s="302"/>
      <c r="U270" s="302"/>
      <c r="V270" s="302"/>
      <c r="W270" s="302"/>
    </row>
  </sheetData>
  <mergeCells count="3">
    <mergeCell ref="B4:G4"/>
    <mergeCell ref="J4:O4"/>
    <mergeCell ref="R4:W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6796875" defaultRowHeight="15" zeroHeight="false" outlineLevelRow="0" outlineLevelCol="0"/>
  <cols>
    <col collapsed="false" customWidth="true" hidden="false" outlineLevel="0" max="1" min="1" style="0" width="61.16"/>
    <col collapsed="false" customWidth="true" hidden="false" outlineLevel="0" max="7" min="2" style="0" width="17.5"/>
  </cols>
  <sheetData>
    <row r="1" customFormat="false" ht="15" hidden="false" customHeight="true" outlineLevel="0" collapsed="false">
      <c r="A1" s="344" t="s">
        <v>2674</v>
      </c>
      <c r="B1" s="345"/>
      <c r="C1" s="345"/>
      <c r="D1" s="345"/>
      <c r="E1" s="345"/>
      <c r="F1" s="345"/>
      <c r="G1" s="345"/>
    </row>
    <row r="2" customFormat="false" ht="15" hidden="false" customHeight="true" outlineLevel="0" collapsed="false">
      <c r="A2" s="346" t="s">
        <v>2675</v>
      </c>
      <c r="B2" s="345"/>
      <c r="C2" s="345"/>
      <c r="D2" s="345"/>
      <c r="E2" s="345"/>
      <c r="F2" s="345"/>
      <c r="G2" s="345"/>
    </row>
    <row r="3" customFormat="false" ht="15" hidden="false" customHeight="true" outlineLevel="0" collapsed="false">
      <c r="A3" s="347"/>
      <c r="B3" s="345"/>
      <c r="C3" s="345"/>
      <c r="D3" s="345"/>
      <c r="E3" s="345"/>
      <c r="F3" s="345"/>
      <c r="G3" s="345"/>
    </row>
    <row r="4" customFormat="false" ht="15" hidden="false" customHeight="true" outlineLevel="0" collapsed="false">
      <c r="A4" s="345"/>
      <c r="B4" s="345"/>
      <c r="C4" s="345"/>
      <c r="D4" s="345"/>
      <c r="E4" s="345"/>
      <c r="F4" s="345"/>
      <c r="G4" s="345"/>
    </row>
    <row r="5" customFormat="false" ht="15" hidden="false" customHeight="true" outlineLevel="0" collapsed="false">
      <c r="A5" s="285" t="s">
        <v>1831</v>
      </c>
      <c r="B5" s="285" t="s">
        <v>1428</v>
      </c>
      <c r="C5" s="285" t="s">
        <v>1429</v>
      </c>
      <c r="D5" s="285" t="s">
        <v>1430</v>
      </c>
      <c r="E5" s="285" t="s">
        <v>1431</v>
      </c>
      <c r="F5" s="285" t="s">
        <v>1432</v>
      </c>
      <c r="G5" s="285" t="s">
        <v>1433</v>
      </c>
    </row>
    <row r="6" customFormat="false" ht="15" hidden="false" customHeight="true" outlineLevel="0" collapsed="false">
      <c r="A6" s="286" t="s">
        <v>1833</v>
      </c>
      <c r="B6" s="286"/>
      <c r="C6" s="287" t="n">
        <v>0.7</v>
      </c>
      <c r="D6" s="287" t="n">
        <v>0.7</v>
      </c>
      <c r="E6" s="287" t="n">
        <v>0.75</v>
      </c>
      <c r="F6" s="287" t="n">
        <v>0.8</v>
      </c>
      <c r="G6" s="287" t="n">
        <v>0.85</v>
      </c>
    </row>
    <row r="7" customFormat="false" ht="15" hidden="false" customHeight="true" outlineLevel="0" collapsed="false">
      <c r="A7" s="286" t="s">
        <v>1834</v>
      </c>
      <c r="B7" s="286"/>
      <c r="C7" s="287" t="n">
        <f aca="false">1-C6</f>
        <v>0.3</v>
      </c>
      <c r="D7" s="287" t="n">
        <f aca="false">1-D6</f>
        <v>0.3</v>
      </c>
      <c r="E7" s="287" t="n">
        <f aca="false">1-E6</f>
        <v>0.25</v>
      </c>
      <c r="F7" s="287" t="n">
        <f aca="false">1-F6</f>
        <v>0.2</v>
      </c>
      <c r="G7" s="287" t="n">
        <f aca="false">1-G6</f>
        <v>0.15</v>
      </c>
    </row>
    <row r="8" customFormat="false" ht="15" hidden="false" customHeight="true" outlineLevel="0" collapsed="false">
      <c r="A8" s="288"/>
      <c r="B8" s="288"/>
      <c r="C8" s="288"/>
      <c r="D8" s="288"/>
      <c r="E8" s="288"/>
      <c r="F8" s="288"/>
      <c r="G8" s="288"/>
    </row>
    <row r="9" customFormat="false" ht="15" hidden="false" customHeight="true" outlineLevel="0" collapsed="false">
      <c r="A9" s="285" t="s">
        <v>1835</v>
      </c>
      <c r="B9" s="285" t="s">
        <v>1428</v>
      </c>
      <c r="C9" s="285" t="s">
        <v>1429</v>
      </c>
      <c r="D9" s="285" t="s">
        <v>1430</v>
      </c>
      <c r="E9" s="285" t="s">
        <v>1431</v>
      </c>
      <c r="F9" s="285" t="s">
        <v>1432</v>
      </c>
      <c r="G9" s="285" t="s">
        <v>1433</v>
      </c>
    </row>
    <row r="10" customFormat="false" ht="15" hidden="false" customHeight="true" outlineLevel="0" collapsed="false">
      <c r="A10" s="286" t="s">
        <v>1837</v>
      </c>
      <c r="B10" s="286"/>
      <c r="C10" s="289" t="n">
        <f aca="false">Escenarios!$F$7</f>
        <v>0.04</v>
      </c>
      <c r="D10" s="289" t="n">
        <f aca="false">Escenarios!$F$7</f>
        <v>0.04</v>
      </c>
      <c r="E10" s="289" t="n">
        <f aca="false">Escenarios!$F$7</f>
        <v>0.04</v>
      </c>
      <c r="F10" s="289" t="n">
        <f aca="false">Escenarios!$F$7</f>
        <v>0.04</v>
      </c>
      <c r="G10" s="289" t="n">
        <f aca="false">Escenarios!$F$7</f>
        <v>0.04</v>
      </c>
    </row>
    <row r="11" customFormat="false" ht="15" hidden="false" customHeight="true" outlineLevel="0" collapsed="false">
      <c r="A11" s="286" t="s">
        <v>1838</v>
      </c>
      <c r="B11" s="286"/>
      <c r="C11" s="289" t="n">
        <v>0.014</v>
      </c>
      <c r="D11" s="289" t="n">
        <v>0.018</v>
      </c>
      <c r="E11" s="289" t="n">
        <v>0.02</v>
      </c>
      <c r="F11" s="289" t="n">
        <v>0.02</v>
      </c>
      <c r="G11" s="289" t="n">
        <v>0.02</v>
      </c>
    </row>
    <row r="12" customFormat="false" ht="15" hidden="false" customHeight="true" outlineLevel="0" collapsed="false">
      <c r="A12" s="286" t="s">
        <v>1839</v>
      </c>
      <c r="B12" s="286"/>
      <c r="C12" s="290" t="n">
        <v>0.5</v>
      </c>
      <c r="D12" s="290" t="n">
        <v>0.5</v>
      </c>
      <c r="E12" s="290" t="n">
        <v>0.5</v>
      </c>
      <c r="F12" s="290" t="n">
        <v>0.5</v>
      </c>
      <c r="G12" s="290" t="n">
        <v>0.5</v>
      </c>
    </row>
    <row r="13" customFormat="false" ht="15" hidden="false" customHeight="true" outlineLevel="0" collapsed="false">
      <c r="A13" s="286" t="s">
        <v>1840</v>
      </c>
      <c r="B13" s="286"/>
      <c r="C13" s="289" t="n">
        <v>-0.04</v>
      </c>
      <c r="D13" s="289" t="n">
        <v>-0.015</v>
      </c>
      <c r="E13" s="289" t="n">
        <v>-0.005</v>
      </c>
      <c r="F13" s="289" t="n">
        <v>0</v>
      </c>
      <c r="G13" s="289" t="n">
        <v>0</v>
      </c>
    </row>
    <row r="14" customFormat="false" ht="15" hidden="false" customHeight="true" outlineLevel="0" collapsed="false">
      <c r="A14" s="285" t="s">
        <v>1841</v>
      </c>
      <c r="B14" s="285"/>
      <c r="C14" s="291" t="n">
        <f aca="false">C10+C11*C12+C13</f>
        <v>0.007</v>
      </c>
      <c r="D14" s="291" t="n">
        <f aca="false">D10+D11*D12+D13</f>
        <v>0.034</v>
      </c>
      <c r="E14" s="291" t="n">
        <f aca="false">E10+E11*E12+E13</f>
        <v>0.045</v>
      </c>
      <c r="F14" s="291" t="n">
        <f aca="false">F10+F11*F12+F13</f>
        <v>0.05</v>
      </c>
      <c r="G14" s="291" t="n">
        <f aca="false">G10+G11*G12+G13</f>
        <v>0.05</v>
      </c>
    </row>
    <row r="15" customFormat="false" ht="15" hidden="false" customHeight="true" outlineLevel="0" collapsed="false">
      <c r="A15" s="286" t="s">
        <v>2676</v>
      </c>
      <c r="B15" s="286"/>
      <c r="C15" s="289" t="n">
        <v>-0.03</v>
      </c>
      <c r="D15" s="289" t="n">
        <v>-0.02</v>
      </c>
      <c r="E15" s="289" t="n">
        <v>-0.0125</v>
      </c>
      <c r="F15" s="289" t="n">
        <v>-0.01</v>
      </c>
      <c r="G15" s="289" t="n">
        <v>-0.0075</v>
      </c>
    </row>
    <row r="16" customFormat="false" ht="15" hidden="false" customHeight="true" outlineLevel="0" collapsed="false">
      <c r="A16" s="286" t="s">
        <v>2677</v>
      </c>
      <c r="B16" s="286"/>
      <c r="C16" s="289" t="n">
        <v>-0.01</v>
      </c>
      <c r="D16" s="289" t="n">
        <v>-0.005</v>
      </c>
      <c r="E16" s="289" t="n">
        <v>0</v>
      </c>
      <c r="F16" s="289" t="n">
        <v>0</v>
      </c>
      <c r="G16" s="289" t="n">
        <v>0</v>
      </c>
    </row>
    <row r="17" customFormat="false" ht="15" hidden="false" customHeight="true" outlineLevel="0" collapsed="false">
      <c r="A17" s="286" t="s">
        <v>2678</v>
      </c>
      <c r="B17" s="286"/>
      <c r="C17" s="289" t="n">
        <v>-0.003</v>
      </c>
      <c r="D17" s="289" t="n">
        <v>-0.002</v>
      </c>
      <c r="E17" s="289" t="n">
        <v>-0.001</v>
      </c>
      <c r="F17" s="289" t="n">
        <v>0</v>
      </c>
      <c r="G17" s="289" t="n">
        <v>0</v>
      </c>
    </row>
    <row r="18" customFormat="false" ht="15" hidden="false" customHeight="true" outlineLevel="0" collapsed="false">
      <c r="A18" s="286" t="s">
        <v>2679</v>
      </c>
      <c r="B18" s="286"/>
      <c r="C18" s="289" t="n">
        <v>-0.002</v>
      </c>
      <c r="D18" s="289" t="n">
        <v>-0.003</v>
      </c>
      <c r="E18" s="289" t="n">
        <v>-0.001</v>
      </c>
      <c r="F18" s="289" t="n">
        <v>0</v>
      </c>
      <c r="G18" s="289" t="n">
        <v>0</v>
      </c>
    </row>
    <row r="19" customFormat="false" ht="15" hidden="false" customHeight="true" outlineLevel="0" collapsed="false">
      <c r="A19" s="286" t="s">
        <v>2680</v>
      </c>
      <c r="B19" s="286"/>
      <c r="C19" s="289" t="n">
        <v>0.002</v>
      </c>
      <c r="D19" s="289" t="n">
        <v>0.003</v>
      </c>
      <c r="E19" s="289" t="n">
        <v>0.003</v>
      </c>
      <c r="F19" s="289" t="n">
        <v>0.002</v>
      </c>
      <c r="G19" s="289" t="n">
        <v>0.002</v>
      </c>
    </row>
    <row r="20" customFormat="false" ht="15" hidden="false" customHeight="true" outlineLevel="0" collapsed="false">
      <c r="A20" s="286" t="s">
        <v>2681</v>
      </c>
      <c r="B20" s="286"/>
      <c r="C20" s="289" t="n">
        <v>0.003</v>
      </c>
      <c r="D20" s="289" t="n">
        <v>0.004</v>
      </c>
      <c r="E20" s="289" t="n">
        <v>0.005</v>
      </c>
      <c r="F20" s="289" t="n">
        <v>0.005</v>
      </c>
      <c r="G20" s="289" t="n">
        <v>0.005</v>
      </c>
    </row>
    <row r="21" customFormat="false" ht="15" hidden="false" customHeight="true" outlineLevel="0" collapsed="false">
      <c r="A21" s="286" t="s">
        <v>2682</v>
      </c>
      <c r="B21" s="286"/>
      <c r="C21" s="289" t="n">
        <v>-0.002</v>
      </c>
      <c r="D21" s="289" t="n">
        <v>-0.002</v>
      </c>
      <c r="E21" s="289" t="n">
        <v>-0.001</v>
      </c>
      <c r="F21" s="289" t="n">
        <v>0</v>
      </c>
      <c r="G21" s="289" t="n">
        <v>0</v>
      </c>
    </row>
    <row r="22" customFormat="false" ht="15" hidden="false" customHeight="true" outlineLevel="0" collapsed="false">
      <c r="A22" s="286" t="s">
        <v>2683</v>
      </c>
      <c r="B22" s="286"/>
      <c r="C22" s="289" t="n">
        <v>0.001</v>
      </c>
      <c r="D22" s="289" t="n">
        <v>0.002</v>
      </c>
      <c r="E22" s="289" t="n">
        <v>0.002</v>
      </c>
      <c r="F22" s="289" t="n">
        <v>0.002</v>
      </c>
      <c r="G22" s="289" t="n">
        <v>0.002</v>
      </c>
    </row>
    <row r="23" customFormat="false" ht="15" hidden="false" customHeight="true" outlineLevel="0" collapsed="false">
      <c r="A23" s="285" t="s">
        <v>1850</v>
      </c>
      <c r="B23" s="285"/>
      <c r="C23" s="291" t="n">
        <f aca="false">C14+SUM(C15:C22)+Escenarios!$F$8</f>
        <v>-0.034</v>
      </c>
      <c r="D23" s="291" t="n">
        <f aca="false">D14+SUM(D15:D22)+Escenarios!$F$8</f>
        <v>0.011</v>
      </c>
      <c r="E23" s="291" t="n">
        <f aca="false">E14+SUM(E15:E22)+Escenarios!$F$8</f>
        <v>0.0395</v>
      </c>
      <c r="F23" s="291" t="n">
        <f aca="false">F14+SUM(F15:F22)+Escenarios!$F$8</f>
        <v>0.049</v>
      </c>
      <c r="G23" s="291" t="n">
        <f aca="false">G14+SUM(G15:G22)+Escenarios!$F$8</f>
        <v>0.0515</v>
      </c>
    </row>
    <row r="24" customFormat="false" ht="15" hidden="false" customHeight="true" outlineLevel="0" collapsed="false">
      <c r="A24" s="288"/>
      <c r="B24" s="288"/>
      <c r="C24" s="288"/>
      <c r="D24" s="288"/>
      <c r="E24" s="288"/>
      <c r="F24" s="288"/>
      <c r="G24" s="288"/>
    </row>
    <row r="25" customFormat="false" ht="15" hidden="false" customHeight="true" outlineLevel="0" collapsed="false">
      <c r="A25" s="285" t="s">
        <v>1851</v>
      </c>
      <c r="B25" s="285" t="s">
        <v>1428</v>
      </c>
      <c r="C25" s="285" t="s">
        <v>1429</v>
      </c>
      <c r="D25" s="285" t="s">
        <v>1430</v>
      </c>
      <c r="E25" s="285" t="s">
        <v>1431</v>
      </c>
      <c r="F25" s="285" t="s">
        <v>1432</v>
      </c>
      <c r="G25" s="285" t="s">
        <v>1433</v>
      </c>
    </row>
    <row r="26" customFormat="false" ht="15" hidden="false" customHeight="true" outlineLevel="0" collapsed="false">
      <c r="A26" s="286" t="s">
        <v>1852</v>
      </c>
      <c r="B26" s="292" t="n">
        <f aca="false">'MC Soriana'!G6</f>
        <v>174278</v>
      </c>
      <c r="C26" s="292" t="n">
        <f aca="false">'MC Soriana'!F6</f>
        <v>163936.6</v>
      </c>
      <c r="D26" s="292" t="n">
        <f aca="false">C26+16*('MC Soriana'!$C$6-'MC Soriana'!$B$6)</f>
        <v>153151</v>
      </c>
      <c r="E26" s="292" t="n">
        <f aca="false">D26+16*('MC Soriana'!$C$6-'MC Soriana'!$B$6)</f>
        <v>142365.4</v>
      </c>
      <c r="F26" s="292" t="n">
        <f aca="false">E26+16*('MC Soriana'!$C$6-'MC Soriana'!$B$6)</f>
        <v>131579.8</v>
      </c>
      <c r="G26" s="292" t="n">
        <f aca="false">F26+16*('MC Soriana'!$C$6-'MC Soriana'!$B$6)</f>
        <v>120794.2</v>
      </c>
    </row>
    <row r="27" customFormat="false" ht="15" hidden="false" customHeight="true" outlineLevel="0" collapsed="false">
      <c r="A27" s="286" t="s">
        <v>1853</v>
      </c>
      <c r="B27" s="286"/>
      <c r="C27" s="287" t="n">
        <f aca="false">C26/B26-1</f>
        <v>-0.0593385280987848</v>
      </c>
      <c r="D27" s="287" t="n">
        <f aca="false">D26/C26-1</f>
        <v>-0.0657912876075262</v>
      </c>
      <c r="E27" s="287" t="n">
        <f aca="false">E26/D26-1</f>
        <v>-0.0704246136166266</v>
      </c>
      <c r="F27" s="287" t="n">
        <f aca="false">F26/E26-1</f>
        <v>-0.0757599810066209</v>
      </c>
      <c r="G27" s="287" t="n">
        <f aca="false">G26/F26-1</f>
        <v>-0.0819700288342129</v>
      </c>
    </row>
    <row r="28" customFormat="false" ht="15" hidden="false" customHeight="true" outlineLevel="0" collapsed="false">
      <c r="A28" s="285" t="s">
        <v>1854</v>
      </c>
      <c r="B28" s="285"/>
      <c r="C28" s="293" t="n">
        <f aca="false">C$6*C23+C$7*C27</f>
        <v>-0.0416015584296355</v>
      </c>
      <c r="D28" s="293" t="n">
        <f aca="false">D$6*D23+D$7*D27</f>
        <v>-0.0120373862822579</v>
      </c>
      <c r="E28" s="293" t="n">
        <f aca="false">E$6*E23+E$7*E27</f>
        <v>0.0120188465958434</v>
      </c>
      <c r="F28" s="293" t="n">
        <f aca="false">F$6*F23+F$7*F27</f>
        <v>0.0240480037986758</v>
      </c>
      <c r="G28" s="293" t="n">
        <f aca="false">G$6*G23+G$7*G27</f>
        <v>0.0314794956748681</v>
      </c>
    </row>
    <row r="29" customFormat="false" ht="15" hidden="false" customHeight="true" outlineLevel="0" collapsed="false">
      <c r="A29" s="288"/>
      <c r="B29" s="288"/>
      <c r="C29" s="288"/>
      <c r="D29" s="288"/>
      <c r="E29" s="288"/>
      <c r="F29" s="288"/>
      <c r="G29" s="288"/>
    </row>
    <row r="30" customFormat="false" ht="15" hidden="false" customHeight="true" outlineLevel="0" collapsed="false">
      <c r="A30" s="285" t="s">
        <v>1855</v>
      </c>
      <c r="B30" s="285" t="s">
        <v>1428</v>
      </c>
      <c r="C30" s="285" t="s">
        <v>1429</v>
      </c>
      <c r="D30" s="285" t="s">
        <v>1430</v>
      </c>
      <c r="E30" s="285" t="s">
        <v>1431</v>
      </c>
      <c r="F30" s="285" t="s">
        <v>1432</v>
      </c>
      <c r="G30" s="285" t="s">
        <v>1433</v>
      </c>
    </row>
    <row r="31" customFormat="false" ht="15" hidden="false" customHeight="true" outlineLevel="0" collapsed="false">
      <c r="A31" s="286" t="s">
        <v>1857</v>
      </c>
      <c r="B31" s="289" t="n">
        <f aca="false">Valuación!B10</f>
        <v>0.042542883699969</v>
      </c>
      <c r="C31" s="289" t="n">
        <f aca="false">B31+SUM(C32:C39)</f>
        <v>0.043742883699969</v>
      </c>
      <c r="D31" s="289" t="n">
        <f aca="false">C31+SUM(D32:D39)</f>
        <v>0.043442883699969</v>
      </c>
      <c r="E31" s="289" t="n">
        <f aca="false">D31+SUM(E32:E39)</f>
        <v>0.043742883699969</v>
      </c>
      <c r="F31" s="289" t="n">
        <f aca="false">E31+SUM(F32:F39)</f>
        <v>0.044042883699969</v>
      </c>
      <c r="G31" s="289" t="n">
        <f aca="false">F31+SUM(G32:G39)</f>
        <v>0.044342883699969</v>
      </c>
    </row>
    <row r="32" customFormat="false" ht="15" hidden="false" customHeight="true" outlineLevel="0" collapsed="false">
      <c r="A32" s="286" t="s">
        <v>2684</v>
      </c>
      <c r="B32" s="289"/>
      <c r="C32" s="289" t="n">
        <v>0.0055</v>
      </c>
      <c r="D32" s="289" t="n">
        <v>0.003</v>
      </c>
      <c r="E32" s="289" t="n">
        <v>0.002</v>
      </c>
      <c r="F32" s="289" t="n">
        <v>0.001</v>
      </c>
      <c r="G32" s="289" t="n">
        <v>0.001</v>
      </c>
    </row>
    <row r="33" customFormat="false" ht="15" hidden="false" customHeight="true" outlineLevel="0" collapsed="false">
      <c r="A33" s="286" t="s">
        <v>2685</v>
      </c>
      <c r="B33" s="289"/>
      <c r="C33" s="289" t="n">
        <v>-0.001</v>
      </c>
      <c r="D33" s="289" t="n">
        <v>-0.0015</v>
      </c>
      <c r="E33" s="289" t="n">
        <v>-0.0015</v>
      </c>
      <c r="F33" s="289" t="n">
        <v>-0.001</v>
      </c>
      <c r="G33" s="289" t="n">
        <v>-0.001</v>
      </c>
    </row>
    <row r="34" customFormat="false" ht="15" hidden="false" customHeight="true" outlineLevel="0" collapsed="false">
      <c r="A34" s="286" t="s">
        <v>2686</v>
      </c>
      <c r="B34" s="289"/>
      <c r="C34" s="289" t="n">
        <v>-0.0015</v>
      </c>
      <c r="D34" s="289" t="n">
        <v>-0.001</v>
      </c>
      <c r="E34" s="289" t="n">
        <v>-0.001</v>
      </c>
      <c r="F34" s="289" t="n">
        <v>-0.0005</v>
      </c>
      <c r="G34" s="289" t="n">
        <v>0</v>
      </c>
    </row>
    <row r="35" customFormat="false" ht="15" hidden="false" customHeight="true" outlineLevel="0" collapsed="false">
      <c r="A35" s="286" t="s">
        <v>2687</v>
      </c>
      <c r="B35" s="289"/>
      <c r="C35" s="289" t="n">
        <v>-0.0005</v>
      </c>
      <c r="D35" s="289" t="n">
        <v>-0.0005</v>
      </c>
      <c r="E35" s="289" t="n">
        <v>0</v>
      </c>
      <c r="F35" s="289" t="n">
        <v>0</v>
      </c>
      <c r="G35" s="289" t="n">
        <v>0</v>
      </c>
    </row>
    <row r="36" customFormat="false" ht="15" hidden="false" customHeight="true" outlineLevel="0" collapsed="false">
      <c r="A36" s="286" t="s">
        <v>2688</v>
      </c>
      <c r="B36" s="289"/>
      <c r="C36" s="289" t="n">
        <v>-0.0005</v>
      </c>
      <c r="D36" s="289" t="n">
        <v>-0.0005</v>
      </c>
      <c r="E36" s="289" t="n">
        <v>0</v>
      </c>
      <c r="F36" s="289" t="n">
        <v>0</v>
      </c>
      <c r="G36" s="289" t="n">
        <v>0</v>
      </c>
    </row>
    <row r="37" customFormat="false" ht="15" hidden="false" customHeight="true" outlineLevel="0" collapsed="false">
      <c r="A37" s="286" t="s">
        <v>2689</v>
      </c>
      <c r="B37" s="289"/>
      <c r="C37" s="289" t="n">
        <v>-0.0003</v>
      </c>
      <c r="D37" s="289" t="n">
        <v>-0.0003</v>
      </c>
      <c r="E37" s="289" t="n">
        <v>-0.0002</v>
      </c>
      <c r="F37" s="289" t="n">
        <v>-0.0002</v>
      </c>
      <c r="G37" s="289" t="n">
        <v>-0.0002</v>
      </c>
    </row>
    <row r="38" customFormat="false" ht="15" hidden="false" customHeight="true" outlineLevel="0" collapsed="false">
      <c r="A38" s="286" t="s">
        <v>2690</v>
      </c>
      <c r="B38" s="289"/>
      <c r="C38" s="289" t="n">
        <v>0.0005</v>
      </c>
      <c r="D38" s="289" t="n">
        <v>0.001</v>
      </c>
      <c r="E38" s="289" t="n">
        <v>0.001</v>
      </c>
      <c r="F38" s="289" t="n">
        <v>0.001</v>
      </c>
      <c r="G38" s="289" t="n">
        <v>0.0005</v>
      </c>
    </row>
    <row r="39" customFormat="false" ht="15" hidden="false" customHeight="true" outlineLevel="0" collapsed="false">
      <c r="A39" s="286" t="s">
        <v>2691</v>
      </c>
      <c r="B39" s="289"/>
      <c r="C39" s="289" t="n">
        <v>-0.001</v>
      </c>
      <c r="D39" s="289" t="n">
        <v>-0.0005</v>
      </c>
      <c r="E39" s="289" t="n">
        <v>0</v>
      </c>
      <c r="F39" s="289" t="n">
        <v>0</v>
      </c>
      <c r="G39" s="289" t="n">
        <v>0</v>
      </c>
    </row>
    <row r="40" customFormat="false" ht="15" hidden="false" customHeight="true" outlineLevel="0" collapsed="false">
      <c r="A40" s="286" t="s">
        <v>1866</v>
      </c>
      <c r="B40" s="289"/>
      <c r="C40" s="289" t="n">
        <f aca="false">'MC Soriana'!$F$9</f>
        <v>0.0492556268703877</v>
      </c>
      <c r="D40" s="289" t="n">
        <f aca="false">'MC Soriana'!$F$9</f>
        <v>0.0492556268703877</v>
      </c>
      <c r="E40" s="289" t="n">
        <f aca="false">'MC Soriana'!$F$9</f>
        <v>0.0492556268703877</v>
      </c>
      <c r="F40" s="289" t="n">
        <f aca="false">'MC Soriana'!$F$9</f>
        <v>0.0492556268703877</v>
      </c>
      <c r="G40" s="289" t="n">
        <f aca="false">'MC Soriana'!$F$9</f>
        <v>0.0492556268703877</v>
      </c>
    </row>
    <row r="41" customFormat="false" ht="15" hidden="false" customHeight="true" outlineLevel="0" collapsed="false">
      <c r="A41" s="285" t="s">
        <v>1867</v>
      </c>
      <c r="B41" s="291"/>
      <c r="C41" s="291" t="n">
        <f aca="false">C$6*C31+C$7*C40+Escenarios!$F$9</f>
        <v>0.0453967066510946</v>
      </c>
      <c r="D41" s="291" t="n">
        <f aca="false">D$6*D31+D$7*D40+Escenarios!$F$9</f>
        <v>0.0451867066510946</v>
      </c>
      <c r="E41" s="291" t="n">
        <f aca="false">E$6*E31+E$7*E40+Escenarios!$F$9</f>
        <v>0.0451210694925737</v>
      </c>
      <c r="F41" s="291" t="n">
        <f aca="false">F$6*F31+F$7*F40+Escenarios!$F$9</f>
        <v>0.0450854323340528</v>
      </c>
      <c r="G41" s="291" t="n">
        <f aca="false">G$6*G31+G$7*G40+Escenarios!$F$9</f>
        <v>0.0450797951755318</v>
      </c>
    </row>
    <row r="42" customFormat="false" ht="15" hidden="false" customHeight="true" outlineLevel="0" collapsed="false">
      <c r="A42" s="288"/>
      <c r="B42" s="288"/>
      <c r="C42" s="288"/>
      <c r="D42" s="288"/>
      <c r="E42" s="288"/>
      <c r="F42" s="288"/>
      <c r="G42" s="288"/>
    </row>
    <row r="43" customFormat="false" ht="15" hidden="false" customHeight="true" outlineLevel="0" collapsed="false">
      <c r="A43" s="285" t="s">
        <v>1868</v>
      </c>
      <c r="B43" s="285" t="s">
        <v>1428</v>
      </c>
      <c r="C43" s="285" t="s">
        <v>1429</v>
      </c>
      <c r="D43" s="285" t="s">
        <v>1430</v>
      </c>
      <c r="E43" s="285" t="s">
        <v>1431</v>
      </c>
      <c r="F43" s="285" t="s">
        <v>1432</v>
      </c>
      <c r="G43" s="285" t="s">
        <v>1433</v>
      </c>
    </row>
    <row r="44" customFormat="false" ht="15" hidden="false" customHeight="true" outlineLevel="0" collapsed="false">
      <c r="A44" s="286" t="s">
        <v>1869</v>
      </c>
      <c r="B44" s="286"/>
      <c r="C44" s="289" t="n">
        <f aca="false">Valuación!$B$11</f>
        <v>0.0244599047967777</v>
      </c>
      <c r="D44" s="289" t="n">
        <f aca="false">Valuación!$B$11</f>
        <v>0.0244599047967777</v>
      </c>
      <c r="E44" s="289" t="n">
        <f aca="false">Valuación!$B$11</f>
        <v>0.0244599047967777</v>
      </c>
      <c r="F44" s="289" t="n">
        <f aca="false">Valuación!$B$11</f>
        <v>0.0244599047967777</v>
      </c>
      <c r="G44" s="289" t="n">
        <f aca="false">Valuación!$B$11</f>
        <v>0.0244599047967777</v>
      </c>
    </row>
    <row r="45" customFormat="false" ht="15" hidden="false" customHeight="true" outlineLevel="0" collapsed="false">
      <c r="A45" s="286" t="s">
        <v>1870</v>
      </c>
      <c r="B45" s="286"/>
      <c r="C45" s="289" t="n">
        <f aca="false">'MC Soriana'!$F$12/'MC Soriana'!$F$6</f>
        <v>0.024136242913419</v>
      </c>
      <c r="D45" s="289" t="n">
        <f aca="false">'MC Soriana'!$F$12/'MC Soriana'!$F$6</f>
        <v>0.024136242913419</v>
      </c>
      <c r="E45" s="289" t="n">
        <f aca="false">'MC Soriana'!$F$12/'MC Soriana'!$F$6</f>
        <v>0.024136242913419</v>
      </c>
      <c r="F45" s="289" t="n">
        <f aca="false">'MC Soriana'!$F$12/'MC Soriana'!$F$6</f>
        <v>0.024136242913419</v>
      </c>
      <c r="G45" s="289" t="n">
        <f aca="false">'MC Soriana'!$F$12/'MC Soriana'!$F$6</f>
        <v>0.024136242913419</v>
      </c>
    </row>
    <row r="46" customFormat="false" ht="15" hidden="false" customHeight="true" outlineLevel="0" collapsed="false">
      <c r="A46" s="286" t="s">
        <v>1871</v>
      </c>
      <c r="B46" s="286"/>
      <c r="C46" s="289" t="n">
        <f aca="false">C$6*C44+C$7*C45</f>
        <v>0.0243628062317701</v>
      </c>
      <c r="D46" s="289" t="n">
        <f aca="false">D$6*D44+D$7*D45</f>
        <v>0.0243628062317701</v>
      </c>
      <c r="E46" s="289" t="n">
        <f aca="false">E$6*E44+E$7*E45</f>
        <v>0.024378989325938</v>
      </c>
      <c r="F46" s="289" t="n">
        <f aca="false">F$6*F44+F$7*F45</f>
        <v>0.024395172420106</v>
      </c>
      <c r="G46" s="289" t="n">
        <f aca="false">G$6*G44+G$7*G45</f>
        <v>0.0244113555142739</v>
      </c>
    </row>
    <row r="47" customFormat="false" ht="15" hidden="false" customHeight="true" outlineLevel="0" collapsed="false">
      <c r="A47" s="286" t="s">
        <v>1872</v>
      </c>
      <c r="B47" s="286"/>
      <c r="C47" s="292" t="n">
        <v>4000</v>
      </c>
      <c r="D47" s="292"/>
      <c r="E47" s="292"/>
      <c r="F47" s="292"/>
      <c r="G47" s="292"/>
    </row>
    <row r="48" customFormat="false" ht="15" hidden="false" customHeight="true" outlineLevel="0" collapsed="false">
      <c r="A48" s="286" t="s">
        <v>1873</v>
      </c>
      <c r="B48" s="286"/>
      <c r="C48" s="289"/>
      <c r="D48" s="289" t="n">
        <v>0.003</v>
      </c>
      <c r="E48" s="289" t="n">
        <v>0.003</v>
      </c>
      <c r="F48" s="289" t="n">
        <v>0.003</v>
      </c>
      <c r="G48" s="289" t="n">
        <v>0.003</v>
      </c>
    </row>
    <row r="49" customFormat="false" ht="15" hidden="false" customHeight="true" outlineLevel="0" collapsed="false">
      <c r="A49" s="286" t="s">
        <v>1874</v>
      </c>
      <c r="B49" s="286"/>
      <c r="C49" s="289" t="n">
        <f aca="false">C47/C67</f>
        <v>0.0235114187034295</v>
      </c>
      <c r="D49" s="289" t="n">
        <f aca="false">Valuación!$B$12*(1+'Variables Externas'!$J$22)+D48</f>
        <v>0.0195545165197307</v>
      </c>
      <c r="E49" s="289" t="n">
        <f aca="false">Valuación!$B$12*(1+'Variables Externas'!$J$22)+E48</f>
        <v>0.0195545165197307</v>
      </c>
      <c r="F49" s="289" t="n">
        <f aca="false">Valuación!$B$12*(1+'Variables Externas'!$J$22)+F48</f>
        <v>0.0195545165197307</v>
      </c>
      <c r="G49" s="289" t="n">
        <f aca="false">Valuación!$B$12*(1+'Variables Externas'!$J$22)+G48</f>
        <v>0.0195545165197307</v>
      </c>
    </row>
    <row r="50" customFormat="false" ht="15" hidden="false" customHeight="true" outlineLevel="0" collapsed="false">
      <c r="A50" s="286" t="s">
        <v>1875</v>
      </c>
      <c r="B50" s="286"/>
      <c r="C50" s="289" t="n">
        <f aca="false">'MC Soriana'!$F$13/'MC Soriana'!$F$6</f>
        <v>0.0202932109120233</v>
      </c>
      <c r="D50" s="289" t="n">
        <f aca="false">'MC Soriana'!$F$13/'MC Soriana'!$F$6</f>
        <v>0.0202932109120233</v>
      </c>
      <c r="E50" s="289" t="n">
        <f aca="false">'MC Soriana'!$F$13/'MC Soriana'!$F$6</f>
        <v>0.0202932109120233</v>
      </c>
      <c r="F50" s="289" t="n">
        <f aca="false">'MC Soriana'!$F$13/'MC Soriana'!$F$6</f>
        <v>0.0202932109120233</v>
      </c>
      <c r="G50" s="289" t="n">
        <f aca="false">'MC Soriana'!$F$13/'MC Soriana'!$F$6</f>
        <v>0.0202932109120233</v>
      </c>
    </row>
    <row r="51" customFormat="false" ht="15" hidden="false" customHeight="true" outlineLevel="0" collapsed="false">
      <c r="A51" s="285" t="s">
        <v>1876</v>
      </c>
      <c r="B51" s="285"/>
      <c r="C51" s="291" t="n">
        <f aca="false">C$6*C49+C$7*C50</f>
        <v>0.0225459563660076</v>
      </c>
      <c r="D51" s="291" t="n">
        <f aca="false">D$6*D49+D$7*D50</f>
        <v>0.0197761248374185</v>
      </c>
      <c r="E51" s="291" t="n">
        <f aca="false">E$6*E49+E$7*E50</f>
        <v>0.0197391901178039</v>
      </c>
      <c r="F51" s="291" t="n">
        <f aca="false">F$6*F49+F$7*F50</f>
        <v>0.0197022553981892</v>
      </c>
      <c r="G51" s="291" t="n">
        <f aca="false">G$6*G49+G$7*G50</f>
        <v>0.0196653206785746</v>
      </c>
    </row>
    <row r="52" customFormat="false" ht="15" hidden="false" customHeight="true" outlineLevel="0" collapsed="false">
      <c r="A52" s="286" t="s">
        <v>1877</v>
      </c>
      <c r="B52" s="286"/>
      <c r="C52" s="289" t="n">
        <v>0</v>
      </c>
      <c r="D52" s="289" t="n">
        <v>0.005</v>
      </c>
      <c r="E52" s="289" t="n">
        <v>0.005</v>
      </c>
      <c r="F52" s="289" t="n">
        <v>0.005</v>
      </c>
      <c r="G52" s="289" t="n">
        <v>0.005</v>
      </c>
    </row>
    <row r="53" customFormat="false" ht="15" hidden="false" customHeight="true" outlineLevel="0" collapsed="false">
      <c r="A53" s="286" t="s">
        <v>1878</v>
      </c>
      <c r="B53" s="286"/>
      <c r="C53" s="289" t="n">
        <f aca="false">WACC!$B$10+C52</f>
        <v>0.3</v>
      </c>
      <c r="D53" s="289" t="n">
        <f aca="false">WACC!$B$10+D52</f>
        <v>0.305</v>
      </c>
      <c r="E53" s="289" t="n">
        <f aca="false">WACC!$B$10+E52</f>
        <v>0.305</v>
      </c>
      <c r="F53" s="289" t="n">
        <f aca="false">WACC!$B$10+F52</f>
        <v>0.305</v>
      </c>
      <c r="G53" s="289" t="n">
        <f aca="false">WACC!$B$10+G52</f>
        <v>0.305</v>
      </c>
    </row>
    <row r="54" customFormat="false" ht="15" hidden="false" customHeight="true" outlineLevel="0" collapsed="false">
      <c r="A54" s="286" t="s">
        <v>1879</v>
      </c>
      <c r="B54" s="286"/>
      <c r="C54" s="289" t="n">
        <f aca="false">'MC Soriana'!$F$10</f>
        <v>0.191734007304675</v>
      </c>
      <c r="D54" s="289" t="n">
        <f aca="false">'MC Soriana'!$F$10</f>
        <v>0.191734007304675</v>
      </c>
      <c r="E54" s="289" t="n">
        <f aca="false">'MC Soriana'!$F$10</f>
        <v>0.191734007304675</v>
      </c>
      <c r="F54" s="289" t="n">
        <f aca="false">'MC Soriana'!$F$10</f>
        <v>0.191734007304675</v>
      </c>
      <c r="G54" s="289" t="n">
        <f aca="false">'MC Soriana'!$F$10</f>
        <v>0.191734007304675</v>
      </c>
    </row>
    <row r="55" customFormat="false" ht="15" hidden="false" customHeight="true" outlineLevel="0" collapsed="false">
      <c r="A55" s="285" t="s">
        <v>1880</v>
      </c>
      <c r="B55" s="285"/>
      <c r="C55" s="291" t="n">
        <f aca="false">C$6*C53+C$7*C54</f>
        <v>0.267520202191403</v>
      </c>
      <c r="D55" s="291" t="n">
        <f aca="false">D$6*D53+D$7*D54</f>
        <v>0.271020202191403</v>
      </c>
      <c r="E55" s="291" t="n">
        <f aca="false">E$6*E53+E$7*E54</f>
        <v>0.276683501826169</v>
      </c>
      <c r="F55" s="291" t="n">
        <f aca="false">F$6*F53+F$7*F54</f>
        <v>0.282346801460935</v>
      </c>
      <c r="G55" s="291" t="n">
        <f aca="false">G$6*G53+G$7*G54</f>
        <v>0.288010101095701</v>
      </c>
    </row>
    <row r="56" customFormat="false" ht="15" hidden="false" customHeight="true" outlineLevel="0" collapsed="false">
      <c r="A56" s="286" t="s">
        <v>1467</v>
      </c>
      <c r="B56" s="294" t="n">
        <f aca="false">Datos!G18/Datos!G7*365</f>
        <v>87.4443050938019</v>
      </c>
      <c r="C56" s="294" t="n">
        <v>88</v>
      </c>
      <c r="D56" s="294" t="n">
        <v>88</v>
      </c>
      <c r="E56" s="294" t="n">
        <v>87</v>
      </c>
      <c r="F56" s="294" t="n">
        <v>87</v>
      </c>
      <c r="G56" s="294" t="n">
        <v>87</v>
      </c>
    </row>
    <row r="57" customFormat="false" ht="15" hidden="false" customHeight="true" outlineLevel="0" collapsed="false">
      <c r="A57" s="286" t="s">
        <v>1468</v>
      </c>
      <c r="B57" s="295" t="n">
        <f aca="false">(Datos!G19-Datos!G17-Datos!G18)/Datos!G6</f>
        <v>0.0391572543165366</v>
      </c>
      <c r="C57" s="295" t="n">
        <f aca="false">$B57</f>
        <v>0.0391572543165366</v>
      </c>
      <c r="D57" s="295" t="n">
        <f aca="false">$B57</f>
        <v>0.0391572543165366</v>
      </c>
      <c r="E57" s="295" t="n">
        <f aca="false">$B57</f>
        <v>0.0391572543165366</v>
      </c>
      <c r="F57" s="295" t="n">
        <f aca="false">$B57</f>
        <v>0.0391572543165366</v>
      </c>
      <c r="G57" s="295" t="n">
        <f aca="false">$B57</f>
        <v>0.0391572543165366</v>
      </c>
    </row>
    <row r="58" customFormat="false" ht="15" hidden="false" customHeight="true" outlineLevel="0" collapsed="false">
      <c r="A58" s="286" t="s">
        <v>1469</v>
      </c>
      <c r="B58" s="295" t="n">
        <f aca="false">(Datos!G21-Datos!G25-Datos!G27)/Datos!G6</f>
        <v>0.200225333070445</v>
      </c>
      <c r="C58" s="295" t="n">
        <f aca="false">$B58</f>
        <v>0.200225333070445</v>
      </c>
      <c r="D58" s="295" t="n">
        <f aca="false">$B58</f>
        <v>0.200225333070445</v>
      </c>
      <c r="E58" s="295" t="n">
        <f aca="false">$B58</f>
        <v>0.200225333070445</v>
      </c>
      <c r="F58" s="295" t="n">
        <f aca="false">$B58</f>
        <v>0.200225333070445</v>
      </c>
      <c r="G58" s="295" t="n">
        <f aca="false">$B58</f>
        <v>0.200225333070445</v>
      </c>
    </row>
    <row r="59" customFormat="false" ht="15" hidden="false" customHeight="true" outlineLevel="0" collapsed="false">
      <c r="A59" s="286" t="s">
        <v>1464</v>
      </c>
      <c r="B59" s="295" t="n">
        <f aca="false">Datos!G7/Datos!G6</f>
        <v>0.759102047714278</v>
      </c>
      <c r="C59" s="295" t="n">
        <v>0.756</v>
      </c>
      <c r="D59" s="295" t="n">
        <v>0.757</v>
      </c>
      <c r="E59" s="295" t="n">
        <v>0.758</v>
      </c>
      <c r="F59" s="295" t="n">
        <v>0.758</v>
      </c>
      <c r="G59" s="295" t="n">
        <v>0.758</v>
      </c>
    </row>
    <row r="60" customFormat="false" ht="15" hidden="false" customHeight="true" outlineLevel="0" collapsed="false">
      <c r="A60" s="286" t="s">
        <v>1465</v>
      </c>
      <c r="B60" s="295" t="n">
        <f aca="false">-B70/B67</f>
        <v>0.173900797115737</v>
      </c>
      <c r="C60" s="295" t="n">
        <f aca="false">1-C59-C46-C41</f>
        <v>0.174240487117135</v>
      </c>
      <c r="D60" s="295" t="n">
        <f aca="false">1-D59-D46-D41</f>
        <v>0.173450487117135</v>
      </c>
      <c r="E60" s="295" t="n">
        <f aca="false">1-E59-E46-E41</f>
        <v>0.172499941181488</v>
      </c>
      <c r="F60" s="295" t="n">
        <f aca="false">1-F59-F46-F41</f>
        <v>0.172519395245841</v>
      </c>
      <c r="G60" s="295" t="n">
        <f aca="false">1-G59-G46-G41</f>
        <v>0.172508849310194</v>
      </c>
    </row>
    <row r="61" customFormat="false" ht="15" hidden="false" customHeight="true" outlineLevel="0" collapsed="false">
      <c r="A61" s="286" t="s">
        <v>1466</v>
      </c>
      <c r="B61" s="296" t="n">
        <f aca="false">Datos!G10/(Datos!G25+Datos!G26+Datos!G27+Datos!G28)</f>
        <v>0.130154966550936</v>
      </c>
      <c r="C61" s="296" t="n">
        <v>0.1</v>
      </c>
      <c r="D61" s="296" t="n">
        <v>0.0975</v>
      </c>
      <c r="E61" s="296" t="n">
        <v>0.0975</v>
      </c>
      <c r="F61" s="296" t="n">
        <v>0.0975</v>
      </c>
      <c r="G61" s="296" t="n">
        <v>0.0975</v>
      </c>
    </row>
    <row r="62" customFormat="false" ht="15" hidden="false" customHeight="true" outlineLevel="0" collapsed="false">
      <c r="A62" s="286" t="s">
        <v>1881</v>
      </c>
      <c r="B62" s="297"/>
      <c r="C62" s="297" t="n">
        <v>0</v>
      </c>
      <c r="D62" s="297" t="n">
        <v>-1500</v>
      </c>
      <c r="E62" s="297" t="n">
        <v>-1500</v>
      </c>
      <c r="F62" s="297" t="n">
        <v>-1500</v>
      </c>
      <c r="G62" s="297" t="n">
        <v>-1500</v>
      </c>
    </row>
    <row r="63" customFormat="false" ht="15" hidden="false" customHeight="true" outlineLevel="0" collapsed="false">
      <c r="A63" s="286" t="s">
        <v>1470</v>
      </c>
      <c r="B63" s="295" t="n">
        <f aca="false">'Proyección Soriana'!B14</f>
        <v>0.300144057623049</v>
      </c>
      <c r="C63" s="295" t="n">
        <f aca="false">$B63</f>
        <v>0.300144057623049</v>
      </c>
      <c r="D63" s="295" t="n">
        <f aca="false">$B63</f>
        <v>0.300144057623049</v>
      </c>
      <c r="E63" s="295" t="n">
        <f aca="false">$B63</f>
        <v>0.300144057623049</v>
      </c>
      <c r="F63" s="295" t="n">
        <f aca="false">$B63</f>
        <v>0.300144057623049</v>
      </c>
      <c r="G63" s="295" t="n">
        <f aca="false">$B63</f>
        <v>0.300144057623049</v>
      </c>
    </row>
    <row r="64" customFormat="false" ht="15" hidden="false" customHeight="true" outlineLevel="0" collapsed="false">
      <c r="A64" s="298"/>
      <c r="B64" s="298"/>
      <c r="C64" s="298"/>
      <c r="D64" s="298"/>
      <c r="E64" s="298"/>
      <c r="F64" s="298"/>
      <c r="G64" s="298"/>
    </row>
    <row r="65" customFormat="false" ht="15" hidden="false" customHeight="true" outlineLevel="0" collapsed="false">
      <c r="A65" s="348" t="s">
        <v>1882</v>
      </c>
      <c r="B65" s="298"/>
      <c r="C65" s="298"/>
      <c r="D65" s="298"/>
      <c r="E65" s="298"/>
      <c r="F65" s="298"/>
      <c r="G65" s="298"/>
    </row>
    <row r="66" customFormat="false" ht="15" hidden="false" customHeight="true" outlineLevel="0" collapsed="false">
      <c r="A66" s="285" t="s">
        <v>1884</v>
      </c>
      <c r="B66" s="300" t="s">
        <v>1428</v>
      </c>
      <c r="C66" s="300" t="s">
        <v>1429</v>
      </c>
      <c r="D66" s="300" t="s">
        <v>1430</v>
      </c>
      <c r="E66" s="300" t="s">
        <v>1431</v>
      </c>
      <c r="F66" s="300" t="s">
        <v>1432</v>
      </c>
      <c r="G66" s="300" t="s">
        <v>1433</v>
      </c>
    </row>
    <row r="67" customFormat="false" ht="15" hidden="false" customHeight="true" outlineLevel="0" collapsed="false">
      <c r="A67" s="286" t="s">
        <v>1442</v>
      </c>
      <c r="B67" s="297" t="n">
        <f aca="false">Datos!G6</f>
        <v>177515</v>
      </c>
      <c r="C67" s="297" t="n">
        <f aca="false">B67*(1+C28)</f>
        <v>170130.099355363</v>
      </c>
      <c r="D67" s="297" t="n">
        <f aca="false">C67*(1+D28)</f>
        <v>168082.177631184</v>
      </c>
      <c r="E67" s="297" t="n">
        <f aca="false">D67*(1+E28)</f>
        <v>170102.331539628</v>
      </c>
      <c r="F67" s="297" t="n">
        <f aca="false">E67*(1+F28)</f>
        <v>174192.953054657</v>
      </c>
      <c r="G67" s="297" t="n">
        <f aca="false">F67*(1+G28)</f>
        <v>179676.459366934</v>
      </c>
    </row>
    <row r="68" customFormat="false" ht="15" hidden="false" customHeight="true" outlineLevel="0" collapsed="false">
      <c r="A68" s="286" t="s">
        <v>86</v>
      </c>
      <c r="B68" s="297" t="n">
        <f aca="false">-Datos!G7</f>
        <v>-134752</v>
      </c>
      <c r="C68" s="297" t="n">
        <f aca="false">-C67*C59</f>
        <v>-128618.355112655</v>
      </c>
      <c r="D68" s="297" t="n">
        <f aca="false">-D67*D59</f>
        <v>-127238.208466806</v>
      </c>
      <c r="E68" s="297" t="n">
        <f aca="false">-E67*E59</f>
        <v>-128937.567307038</v>
      </c>
      <c r="F68" s="297" t="n">
        <f aca="false">-F67*F59</f>
        <v>-132038.25841543</v>
      </c>
      <c r="G68" s="297" t="n">
        <f aca="false">-G67*G59</f>
        <v>-136194.756200136</v>
      </c>
    </row>
    <row r="69" customFormat="false" ht="15" hidden="false" customHeight="true" outlineLevel="0" collapsed="false">
      <c r="A69" s="285" t="s">
        <v>80</v>
      </c>
      <c r="B69" s="301" t="n">
        <f aca="false">B67+B68</f>
        <v>42763</v>
      </c>
      <c r="C69" s="301" t="n">
        <f aca="false">C67+C68</f>
        <v>41511.7442427086</v>
      </c>
      <c r="D69" s="301" t="n">
        <f aca="false">D67+D68</f>
        <v>40843.9691643777</v>
      </c>
      <c r="E69" s="301" t="n">
        <f aca="false">E67+E68</f>
        <v>41164.7642325901</v>
      </c>
      <c r="F69" s="301" t="n">
        <f aca="false">F67+F68</f>
        <v>42154.694639227</v>
      </c>
      <c r="G69" s="301" t="n">
        <f aca="false">G67+G68</f>
        <v>43481.7031667979</v>
      </c>
    </row>
    <row r="70" customFormat="false" ht="15" hidden="false" customHeight="true" outlineLevel="0" collapsed="false">
      <c r="A70" s="286" t="s">
        <v>1472</v>
      </c>
      <c r="B70" s="297" t="n">
        <f aca="false">-(Datos!G8-Datos!G9-Datos!G14)</f>
        <v>-30870</v>
      </c>
      <c r="C70" s="297" t="n">
        <f aca="false">-C67*C60</f>
        <v>-29643.5513849651</v>
      </c>
      <c r="D70" s="297" t="n">
        <f aca="false">-D67*D60</f>
        <v>-29153.9355858377</v>
      </c>
      <c r="E70" s="297" t="n">
        <f aca="false">-E67*E60</f>
        <v>-29342.6421854199</v>
      </c>
      <c r="F70" s="297" t="n">
        <f aca="false">-F67*F60</f>
        <v>-30051.6629170766</v>
      </c>
      <c r="G70" s="297" t="n">
        <f aca="false">-G67*G60</f>
        <v>-30995.7792535196</v>
      </c>
    </row>
    <row r="71" customFormat="false" ht="15" hidden="false" customHeight="true" outlineLevel="0" collapsed="false">
      <c r="A71" s="285" t="s">
        <v>1473</v>
      </c>
      <c r="B71" s="301" t="n">
        <f aca="false">B69+B70</f>
        <v>11893</v>
      </c>
      <c r="C71" s="301" t="n">
        <f aca="false">C69+C70</f>
        <v>11868.1928577435</v>
      </c>
      <c r="D71" s="301" t="n">
        <f aca="false">D69+D70</f>
        <v>11690.03357854</v>
      </c>
      <c r="E71" s="301" t="n">
        <f aca="false">E69+E70</f>
        <v>11822.1220471701</v>
      </c>
      <c r="F71" s="301" t="n">
        <f aca="false">F69+F70</f>
        <v>12103.0317221503</v>
      </c>
      <c r="G71" s="301" t="n">
        <f aca="false">G69+G70</f>
        <v>12485.9239132783</v>
      </c>
    </row>
    <row r="72" customFormat="false" ht="15" hidden="false" customHeight="true" outlineLevel="0" collapsed="false">
      <c r="A72" s="286" t="s">
        <v>154</v>
      </c>
      <c r="B72" s="297" t="n">
        <f aca="false">-Datos!G14</f>
        <v>-4342</v>
      </c>
      <c r="C72" s="297" t="n">
        <f aca="false">-C67*C46</f>
        <v>-4144.84664478651</v>
      </c>
      <c r="D72" s="297" t="n">
        <f aca="false">-D67*D46</f>
        <v>-4094.9535246425</v>
      </c>
      <c r="E72" s="297" t="n">
        <f aca="false">-E67*E46</f>
        <v>-4146.92292492177</v>
      </c>
      <c r="F72" s="297" t="n">
        <f aca="false">-F67*F46</f>
        <v>-4249.46712413578</v>
      </c>
      <c r="G72" s="297" t="n">
        <f aca="false">-G67*G46</f>
        <v>-4386.14592715221</v>
      </c>
    </row>
    <row r="73" customFormat="false" ht="15" hidden="false" customHeight="true" outlineLevel="0" collapsed="false">
      <c r="A73" s="285" t="s">
        <v>81</v>
      </c>
      <c r="B73" s="301" t="n">
        <f aca="false">B71+B72</f>
        <v>7551</v>
      </c>
      <c r="C73" s="301" t="n">
        <f aca="false">C71+C72</f>
        <v>7723.34621295701</v>
      </c>
      <c r="D73" s="301" t="n">
        <f aca="false">D71+D72</f>
        <v>7595.08005389749</v>
      </c>
      <c r="E73" s="301" t="n">
        <f aca="false">E71+E72</f>
        <v>7675.19912224838</v>
      </c>
      <c r="F73" s="301" t="n">
        <f aca="false">F71+F72</f>
        <v>7853.56459801456</v>
      </c>
      <c r="G73" s="301" t="n">
        <f aca="false">G71+G72</f>
        <v>8099.77798612612</v>
      </c>
    </row>
    <row r="74" customFormat="false" ht="15" hidden="false" customHeight="true" outlineLevel="0" collapsed="false">
      <c r="A74" s="286" t="s">
        <v>88</v>
      </c>
      <c r="B74" s="297" t="n">
        <f aca="false">-Datos!G10</f>
        <v>-3074</v>
      </c>
      <c r="C74" s="297" t="n">
        <f aca="false">-C61*(B91+B92)</f>
        <v>-2361.8</v>
      </c>
      <c r="D74" s="297" t="n">
        <f aca="false">-D61*(C91+C92)</f>
        <v>-2302.755</v>
      </c>
      <c r="E74" s="297" t="n">
        <f aca="false">-E61*(D91+D92)</f>
        <v>-2156.505</v>
      </c>
      <c r="F74" s="297" t="n">
        <f aca="false">-F61*(E91+E92)</f>
        <v>-2010.255</v>
      </c>
      <c r="G74" s="297" t="n">
        <f aca="false">-G61*(F91+F92)</f>
        <v>-1864.005</v>
      </c>
    </row>
    <row r="75" customFormat="false" ht="15" hidden="false" customHeight="true" outlineLevel="0" collapsed="false">
      <c r="A75" s="286" t="s">
        <v>1474</v>
      </c>
      <c r="B75" s="297" t="n">
        <f aca="false">Datos!G11-Datos!G9+Datos!G10</f>
        <v>288</v>
      </c>
      <c r="C75" s="297" t="n">
        <v>0</v>
      </c>
      <c r="D75" s="297" t="n">
        <v>0</v>
      </c>
      <c r="E75" s="297" t="n">
        <v>0</v>
      </c>
      <c r="F75" s="297" t="n">
        <v>0</v>
      </c>
      <c r="G75" s="297" t="n">
        <v>0</v>
      </c>
    </row>
    <row r="76" customFormat="false" ht="15" hidden="false" customHeight="true" outlineLevel="0" collapsed="false">
      <c r="A76" s="286" t="s">
        <v>152</v>
      </c>
      <c r="B76" s="297" t="n">
        <f aca="false">B73+B74+B75</f>
        <v>4765</v>
      </c>
      <c r="C76" s="297" t="n">
        <f aca="false">C73+C74+C75</f>
        <v>5361.54621295701</v>
      </c>
      <c r="D76" s="297" t="n">
        <f aca="false">D73+D74+D75</f>
        <v>5292.32505389749</v>
      </c>
      <c r="E76" s="297" t="n">
        <f aca="false">E73+E74+E75</f>
        <v>5518.69412224838</v>
      </c>
      <c r="F76" s="297" t="n">
        <f aca="false">F73+F74+F75</f>
        <v>5843.30959801456</v>
      </c>
      <c r="G76" s="297" t="n">
        <f aca="false">G73+G74+G75</f>
        <v>6235.77298612612</v>
      </c>
    </row>
    <row r="77" customFormat="false" ht="15" hidden="false" customHeight="true" outlineLevel="0" collapsed="false">
      <c r="A77" s="286" t="s">
        <v>153</v>
      </c>
      <c r="B77" s="297" t="n">
        <f aca="false">-Datos!G12</f>
        <v>-1433</v>
      </c>
      <c r="C77" s="297" t="n">
        <f aca="false">-C76*C55</f>
        <v>-1434.32192694881</v>
      </c>
      <c r="D77" s="297" t="n">
        <f aca="false">-D76*D55</f>
        <v>-1434.32700616992</v>
      </c>
      <c r="E77" s="297" t="n">
        <f aca="false">-E76*E55</f>
        <v>-1526.93161525118</v>
      </c>
      <c r="F77" s="297" t="n">
        <f aca="false">-F76*F55</f>
        <v>-1649.83977494539</v>
      </c>
      <c r="G77" s="297" t="n">
        <f aca="false">-G76*G55</f>
        <v>-1795.96560814403</v>
      </c>
    </row>
    <row r="78" customFormat="false" ht="15" hidden="false" customHeight="true" outlineLevel="0" collapsed="false">
      <c r="A78" s="285" t="s">
        <v>89</v>
      </c>
      <c r="B78" s="301" t="n">
        <f aca="false">B76+B77</f>
        <v>3332</v>
      </c>
      <c r="C78" s="301" t="n">
        <f aca="false">C76+C77</f>
        <v>3927.2242860082</v>
      </c>
      <c r="D78" s="301" t="n">
        <f aca="false">D76+D77</f>
        <v>3857.99804772757</v>
      </c>
      <c r="E78" s="301" t="n">
        <f aca="false">E76+E77</f>
        <v>3991.7625069972</v>
      </c>
      <c r="F78" s="301" t="n">
        <f aca="false">F76+F77</f>
        <v>4193.46982306917</v>
      </c>
      <c r="G78" s="301" t="n">
        <f aca="false">G76+G77</f>
        <v>4439.8073779821</v>
      </c>
    </row>
    <row r="79" customFormat="false" ht="15" hidden="false" customHeight="true" outlineLevel="0" collapsed="false">
      <c r="A79" s="286" t="s">
        <v>1475</v>
      </c>
      <c r="B79" s="297"/>
      <c r="C79" s="297" t="n">
        <f aca="false">-C78*C63</f>
        <v>-1178.73303239828</v>
      </c>
      <c r="D79" s="297" t="n">
        <f aca="false">-D78*D63</f>
        <v>-1157.95518834675</v>
      </c>
      <c r="E79" s="297" t="n">
        <f aca="false">-E78*E63</f>
        <v>-1198.10379591769</v>
      </c>
      <c r="F79" s="297" t="n">
        <f aca="false">-F78*F63</f>
        <v>-1258.64504821579</v>
      </c>
      <c r="G79" s="297" t="n">
        <f aca="false">-G78*G63</f>
        <v>-1332.5818014923</v>
      </c>
    </row>
    <row r="80" customFormat="false" ht="15" hidden="false" customHeight="true" outlineLevel="0" collapsed="false">
      <c r="A80" s="286" t="s">
        <v>1885</v>
      </c>
      <c r="B80" s="295" t="n">
        <f aca="false">B71/B67</f>
        <v>0.0669971551699856</v>
      </c>
      <c r="C80" s="295" t="n">
        <f aca="false">C71/C67</f>
        <v>0.0697595128828648</v>
      </c>
      <c r="D80" s="295" t="n">
        <f aca="false">D71/D67</f>
        <v>0.0695495128828648</v>
      </c>
      <c r="E80" s="295" t="n">
        <f aca="false">E71/E67</f>
        <v>0.0695000588185117</v>
      </c>
      <c r="F80" s="295" t="n">
        <f aca="false">F71/F67</f>
        <v>0.0694806047541587</v>
      </c>
      <c r="G80" s="295" t="n">
        <f aca="false">G71/G67</f>
        <v>0.0694911506898057</v>
      </c>
    </row>
    <row r="81" customFormat="false" ht="15" hidden="false" customHeight="true" outlineLevel="0" collapsed="false">
      <c r="A81" s="286" t="s">
        <v>34</v>
      </c>
      <c r="B81" s="295" t="n">
        <f aca="false">B78/B67</f>
        <v>0.0187702447680478</v>
      </c>
      <c r="C81" s="295" t="n">
        <f aca="false">C78/C67</f>
        <v>0.0230836536326539</v>
      </c>
      <c r="D81" s="295" t="n">
        <f aca="false">D78/D67</f>
        <v>0.0229530465519849</v>
      </c>
      <c r="E81" s="295" t="n">
        <f aca="false">E78/E67</f>
        <v>0.0234668300596882</v>
      </c>
      <c r="F81" s="295" t="n">
        <f aca="false">F78/F67</f>
        <v>0.0240737053338396</v>
      </c>
      <c r="G81" s="295" t="n">
        <f aca="false">G78/G67</f>
        <v>0.0247100115041513</v>
      </c>
    </row>
    <row r="82" customFormat="false" ht="15" hidden="false" customHeight="true" outlineLevel="0" collapsed="false">
      <c r="A82" s="298"/>
      <c r="B82" s="298"/>
      <c r="C82" s="298"/>
      <c r="D82" s="298"/>
      <c r="E82" s="298"/>
      <c r="F82" s="298"/>
      <c r="G82" s="298"/>
    </row>
    <row r="83" customFormat="false" ht="15" hidden="false" customHeight="true" outlineLevel="0" collapsed="false">
      <c r="A83" s="285" t="s">
        <v>1886</v>
      </c>
      <c r="B83" s="300" t="s">
        <v>1428</v>
      </c>
      <c r="C83" s="300" t="s">
        <v>1429</v>
      </c>
      <c r="D83" s="300" t="s">
        <v>1430</v>
      </c>
      <c r="E83" s="300" t="s">
        <v>1431</v>
      </c>
      <c r="F83" s="300" t="s">
        <v>1432</v>
      </c>
      <c r="G83" s="300" t="s">
        <v>1433</v>
      </c>
    </row>
    <row r="84" customFormat="false" ht="15" hidden="false" customHeight="true" outlineLevel="0" collapsed="false">
      <c r="A84" s="286" t="s">
        <v>13</v>
      </c>
      <c r="B84" s="297" t="n">
        <f aca="false">Datos!G17</f>
        <v>9295</v>
      </c>
      <c r="C84" s="297" t="n">
        <f aca="false">B84+C108</f>
        <v>12436.7634940874</v>
      </c>
      <c r="D84" s="297" t="n">
        <f aca="false">C84+D108</f>
        <v>14410.6386172578</v>
      </c>
      <c r="E84" s="297" t="n">
        <f aca="false">D84+E108</f>
        <v>16762.4654766839</v>
      </c>
      <c r="F84" s="297" t="n">
        <f aca="false">E84+F108</f>
        <v>18934.563034826</v>
      </c>
      <c r="G84" s="297" t="n">
        <f aca="false">F84+G108</f>
        <v>21287.0303039485</v>
      </c>
    </row>
    <row r="85" customFormat="false" ht="15" hidden="false" customHeight="true" outlineLevel="0" collapsed="false">
      <c r="A85" s="286" t="s">
        <v>156</v>
      </c>
      <c r="B85" s="297" t="n">
        <f aca="false">Datos!G18</f>
        <v>32283</v>
      </c>
      <c r="C85" s="297" t="n">
        <f aca="false">-C68*C56/365</f>
        <v>31009.3568490784</v>
      </c>
      <c r="D85" s="297" t="n">
        <f aca="false">-D68*D56/365</f>
        <v>30676.6091645998</v>
      </c>
      <c r="E85" s="297" t="n">
        <f aca="false">-E68*E56/365</f>
        <v>30733.063988253</v>
      </c>
      <c r="F85" s="297" t="n">
        <f aca="false">-F68*F56/365</f>
        <v>31472.1328277874</v>
      </c>
      <c r="G85" s="297" t="n">
        <f aca="false">-G68*G56/365</f>
        <v>32462.8596970186</v>
      </c>
    </row>
    <row r="86" customFormat="false" ht="15" hidden="false" customHeight="true" outlineLevel="0" collapsed="false">
      <c r="A86" s="286" t="s">
        <v>1477</v>
      </c>
      <c r="B86" s="297" t="n">
        <f aca="false">Datos!G19-Datos!G17-Datos!G18</f>
        <v>6951</v>
      </c>
      <c r="C86" s="297" t="n">
        <f aca="false">C67*C57</f>
        <v>6661.8275673556</v>
      </c>
      <c r="D86" s="297" t="n">
        <f aca="false">D67*D57</f>
        <v>6581.63657558155</v>
      </c>
      <c r="E86" s="297" t="n">
        <f aca="false">E67*E57</f>
        <v>6660.74025593306</v>
      </c>
      <c r="F86" s="297" t="n">
        <f aca="false">F67*F57</f>
        <v>6820.91776290973</v>
      </c>
      <c r="G86" s="297" t="n">
        <f aca="false">G67*G57</f>
        <v>7035.63681412588</v>
      </c>
    </row>
    <row r="87" customFormat="false" ht="15" hidden="false" customHeight="true" outlineLevel="0" collapsed="false">
      <c r="A87" s="285" t="s">
        <v>157</v>
      </c>
      <c r="B87" s="301" t="n">
        <f aca="false">SUM(B84:B86)</f>
        <v>48529</v>
      </c>
      <c r="C87" s="301" t="n">
        <f aca="false">SUM(C84:C86)</f>
        <v>50107.9479105213</v>
      </c>
      <c r="D87" s="301" t="n">
        <f aca="false">SUM(D84:D86)</f>
        <v>51668.8843574392</v>
      </c>
      <c r="E87" s="301" t="n">
        <f aca="false">SUM(E84:E86)</f>
        <v>54156.2697208699</v>
      </c>
      <c r="F87" s="301" t="n">
        <f aca="false">SUM(F84:F86)</f>
        <v>57227.6136255231</v>
      </c>
      <c r="G87" s="301" t="n">
        <f aca="false">SUM(G84:G86)</f>
        <v>60785.526815093</v>
      </c>
    </row>
    <row r="88" customFormat="false" ht="15" hidden="false" customHeight="true" outlineLevel="0" collapsed="false">
      <c r="A88" s="286" t="s">
        <v>1478</v>
      </c>
      <c r="B88" s="297" t="n">
        <f aca="false">Datos!G20-Datos!G19</f>
        <v>107509</v>
      </c>
      <c r="C88" s="297" t="n">
        <f aca="false">B88-C104+C72</f>
        <v>107199.899151824</v>
      </c>
      <c r="D88" s="297" t="n">
        <f aca="false">C88-D104+D72</f>
        <v>106428.959754961</v>
      </c>
      <c r="E88" s="297" t="n">
        <f aca="false">D88-E104+E72</f>
        <v>105639.719091782</v>
      </c>
      <c r="F88" s="297" t="n">
        <f aca="false">E88-F104+F72</f>
        <v>104822.246017294</v>
      </c>
      <c r="G88" s="297" t="n">
        <f aca="false">F88-G104+G72</f>
        <v>103969.495281983</v>
      </c>
    </row>
    <row r="89" customFormat="false" ht="15" hidden="false" customHeight="true" outlineLevel="0" collapsed="false">
      <c r="A89" s="285" t="s">
        <v>92</v>
      </c>
      <c r="B89" s="301" t="n">
        <f aca="false">B87+B88</f>
        <v>156038</v>
      </c>
      <c r="C89" s="301" t="n">
        <f aca="false">C87+C88</f>
        <v>157307.847062345</v>
      </c>
      <c r="D89" s="301" t="n">
        <f aca="false">D87+D88</f>
        <v>158097.8441124</v>
      </c>
      <c r="E89" s="301" t="n">
        <f aca="false">E87+E88</f>
        <v>159795.988812652</v>
      </c>
      <c r="F89" s="301" t="n">
        <f aca="false">F87+F88</f>
        <v>162049.859642817</v>
      </c>
      <c r="G89" s="301" t="n">
        <f aca="false">G87+G88</f>
        <v>164755.022097076</v>
      </c>
    </row>
    <row r="90" customFormat="false" ht="15" hidden="false" customHeight="true" outlineLevel="0" collapsed="false">
      <c r="A90" s="286" t="s">
        <v>1479</v>
      </c>
      <c r="B90" s="297" t="n">
        <f aca="false">Datos!G21-Datos!G25-Datos!G27</f>
        <v>35543</v>
      </c>
      <c r="C90" s="297" t="n">
        <f aca="false">C67*C58</f>
        <v>34064.3558087355</v>
      </c>
      <c r="D90" s="297" t="n">
        <f aca="false">D67*D58</f>
        <v>33654.3099994094</v>
      </c>
      <c r="E90" s="297" t="n">
        <f aca="false">E67*E58</f>
        <v>34058.7959885813</v>
      </c>
      <c r="F90" s="297" t="n">
        <f aca="false">F67*F58</f>
        <v>34877.842043893</v>
      </c>
      <c r="G90" s="297" t="n">
        <f aca="false">G67*G58</f>
        <v>35975.7789216625</v>
      </c>
    </row>
    <row r="91" customFormat="false" ht="15" hidden="false" customHeight="true" outlineLevel="0" collapsed="false">
      <c r="A91" s="286" t="s">
        <v>1480</v>
      </c>
      <c r="B91" s="297" t="n">
        <f aca="false">Datos!G25+Datos!G26</f>
        <v>11500</v>
      </c>
      <c r="C91" s="297" t="n">
        <f aca="false">MAX(0,B91+C62)</f>
        <v>11500</v>
      </c>
      <c r="D91" s="297" t="n">
        <f aca="false">MAX(0,C91+D62)</f>
        <v>10000</v>
      </c>
      <c r="E91" s="297" t="n">
        <f aca="false">MAX(0,D91+E62)</f>
        <v>8500</v>
      </c>
      <c r="F91" s="297" t="n">
        <f aca="false">MAX(0,E91+F62)</f>
        <v>7000</v>
      </c>
      <c r="G91" s="297" t="n">
        <f aca="false">MAX(0,F91+G62)</f>
        <v>5500</v>
      </c>
    </row>
    <row r="92" customFormat="false" ht="15" hidden="false" customHeight="true" outlineLevel="0" collapsed="false">
      <c r="A92" s="286" t="s">
        <v>1481</v>
      </c>
      <c r="B92" s="297" t="n">
        <f aca="false">Datos!G27+Datos!G28</f>
        <v>12118</v>
      </c>
      <c r="C92" s="297" t="n">
        <f aca="false">B92</f>
        <v>12118</v>
      </c>
      <c r="D92" s="297" t="n">
        <f aca="false">C92</f>
        <v>12118</v>
      </c>
      <c r="E92" s="297" t="n">
        <f aca="false">D92</f>
        <v>12118</v>
      </c>
      <c r="F92" s="297" t="n">
        <f aca="false">E92</f>
        <v>12118</v>
      </c>
      <c r="G92" s="297" t="n">
        <f aca="false">F92</f>
        <v>12118</v>
      </c>
    </row>
    <row r="93" customFormat="false" ht="15" hidden="false" customHeight="true" outlineLevel="0" collapsed="false">
      <c r="A93" s="286" t="s">
        <v>1482</v>
      </c>
      <c r="B93" s="297" t="n">
        <f aca="false">Datos!G23-Datos!G21-Datos!G26-Datos!G28</f>
        <v>12145</v>
      </c>
      <c r="C93" s="297" t="n">
        <f aca="false">B93</f>
        <v>12145</v>
      </c>
      <c r="D93" s="297" t="n">
        <f aca="false">C93</f>
        <v>12145</v>
      </c>
      <c r="E93" s="297" t="n">
        <f aca="false">D93</f>
        <v>12145</v>
      </c>
      <c r="F93" s="297" t="n">
        <f aca="false">E93</f>
        <v>12145</v>
      </c>
      <c r="G93" s="297" t="n">
        <f aca="false">F93</f>
        <v>12145</v>
      </c>
    </row>
    <row r="94" customFormat="false" ht="15" hidden="false" customHeight="true" outlineLevel="0" collapsed="false">
      <c r="A94" s="285" t="s">
        <v>93</v>
      </c>
      <c r="B94" s="301" t="n">
        <f aca="false">SUM(B90:B93)</f>
        <v>71306</v>
      </c>
      <c r="C94" s="301" t="n">
        <f aca="false">SUM(C90:C93)</f>
        <v>69827.3558087355</v>
      </c>
      <c r="D94" s="301" t="n">
        <f aca="false">SUM(D90:D93)</f>
        <v>67917.3099994095</v>
      </c>
      <c r="E94" s="301" t="n">
        <f aca="false">SUM(E90:E93)</f>
        <v>66821.7959885813</v>
      </c>
      <c r="F94" s="301" t="n">
        <f aca="false">SUM(F90:F93)</f>
        <v>66140.842043893</v>
      </c>
      <c r="G94" s="301" t="n">
        <f aca="false">SUM(G90:G93)</f>
        <v>65738.7789216625</v>
      </c>
    </row>
    <row r="95" customFormat="false" ht="15" hidden="false" customHeight="true" outlineLevel="0" collapsed="false">
      <c r="A95" s="286" t="s">
        <v>94</v>
      </c>
      <c r="B95" s="297" t="n">
        <f aca="false">Datos!G24</f>
        <v>84732</v>
      </c>
      <c r="C95" s="297" t="n">
        <f aca="false">B95+C78+C79</f>
        <v>87480.4912536099</v>
      </c>
      <c r="D95" s="297" t="n">
        <f aca="false">C95+D78+D79</f>
        <v>90180.5341129907</v>
      </c>
      <c r="E95" s="297" t="n">
        <f aca="false">D95+E78+E79</f>
        <v>92974.1928240702</v>
      </c>
      <c r="F95" s="297" t="n">
        <f aca="false">E95+F78+F79</f>
        <v>95909.0175989236</v>
      </c>
      <c r="G95" s="297" t="n">
        <f aca="false">F95+G78+G79</f>
        <v>99016.2431754134</v>
      </c>
    </row>
    <row r="96" customFormat="false" ht="15" hidden="false" customHeight="true" outlineLevel="0" collapsed="false">
      <c r="A96" s="285" t="s">
        <v>1483</v>
      </c>
      <c r="B96" s="301" t="n">
        <f aca="false">B94+B95</f>
        <v>156038</v>
      </c>
      <c r="C96" s="301" t="n">
        <f aca="false">C94+C95</f>
        <v>157307.847062345</v>
      </c>
      <c r="D96" s="301" t="n">
        <f aca="false">D94+D95</f>
        <v>158097.8441124</v>
      </c>
      <c r="E96" s="301" t="n">
        <f aca="false">E94+E95</f>
        <v>159795.988812652</v>
      </c>
      <c r="F96" s="301" t="n">
        <f aca="false">F94+F95</f>
        <v>162049.859642817</v>
      </c>
      <c r="G96" s="301" t="n">
        <f aca="false">G94+G95</f>
        <v>164755.022097076</v>
      </c>
    </row>
    <row r="97" customFormat="false" ht="15" hidden="false" customHeight="true" outlineLevel="0" collapsed="false">
      <c r="A97" s="286" t="s">
        <v>1484</v>
      </c>
      <c r="B97" s="297" t="n">
        <f aca="false">B89-B96</f>
        <v>0</v>
      </c>
      <c r="C97" s="297" t="n">
        <f aca="false">C89-C96</f>
        <v>0</v>
      </c>
      <c r="D97" s="297" t="n">
        <f aca="false">D89-D96</f>
        <v>0</v>
      </c>
      <c r="E97" s="297" t="n">
        <f aca="false">E89-E96</f>
        <v>0</v>
      </c>
      <c r="F97" s="297" t="n">
        <f aca="false">F89-F96</f>
        <v>0</v>
      </c>
      <c r="G97" s="297" t="n">
        <f aca="false">G89-G96</f>
        <v>0</v>
      </c>
    </row>
    <row r="98" customFormat="false" ht="15" hidden="false" customHeight="true" outlineLevel="0" collapsed="false">
      <c r="A98" s="298"/>
      <c r="B98" s="298"/>
      <c r="C98" s="298"/>
      <c r="D98" s="298"/>
      <c r="E98" s="298"/>
      <c r="F98" s="298"/>
      <c r="G98" s="298"/>
    </row>
    <row r="99" customFormat="false" ht="15" hidden="false" customHeight="true" outlineLevel="0" collapsed="false">
      <c r="A99" s="285" t="s">
        <v>1888</v>
      </c>
      <c r="B99" s="300" t="s">
        <v>1428</v>
      </c>
      <c r="C99" s="300" t="s">
        <v>1429</v>
      </c>
      <c r="D99" s="300" t="s">
        <v>1430</v>
      </c>
      <c r="E99" s="300" t="s">
        <v>1431</v>
      </c>
      <c r="F99" s="300" t="s">
        <v>1432</v>
      </c>
      <c r="G99" s="300" t="s">
        <v>1433</v>
      </c>
    </row>
    <row r="100" customFormat="false" ht="15" hidden="false" customHeight="true" outlineLevel="0" collapsed="false">
      <c r="A100" s="286" t="s">
        <v>89</v>
      </c>
      <c r="B100" s="302"/>
      <c r="C100" s="297" t="n">
        <f aca="false">C78</f>
        <v>3927.2242860082</v>
      </c>
      <c r="D100" s="297" t="n">
        <f aca="false">D78</f>
        <v>3857.99804772757</v>
      </c>
      <c r="E100" s="297" t="n">
        <f aca="false">E78</f>
        <v>3991.7625069972</v>
      </c>
      <c r="F100" s="297" t="n">
        <f aca="false">F78</f>
        <v>4193.46982306917</v>
      </c>
      <c r="G100" s="297" t="n">
        <f aca="false">G78</f>
        <v>4439.8073779821</v>
      </c>
    </row>
    <row r="101" customFormat="false" ht="15" hidden="false" customHeight="true" outlineLevel="0" collapsed="false">
      <c r="A101" s="286" t="s">
        <v>1445</v>
      </c>
      <c r="B101" s="302"/>
      <c r="C101" s="297" t="n">
        <f aca="false">-C72</f>
        <v>4144.84664478651</v>
      </c>
      <c r="D101" s="297" t="n">
        <f aca="false">-D72</f>
        <v>4094.9535246425</v>
      </c>
      <c r="E101" s="297" t="n">
        <f aca="false">-E72</f>
        <v>4146.92292492177</v>
      </c>
      <c r="F101" s="297" t="n">
        <f aca="false">-F72</f>
        <v>4249.46712413578</v>
      </c>
      <c r="G101" s="297" t="n">
        <f aca="false">-G72</f>
        <v>4386.14592715221</v>
      </c>
    </row>
    <row r="102" customFormat="false" ht="15" hidden="false" customHeight="true" outlineLevel="0" collapsed="false">
      <c r="A102" s="286" t="s">
        <v>1486</v>
      </c>
      <c r="B102" s="302"/>
      <c r="C102" s="297" t="n">
        <f aca="false">-(C85-B85)</f>
        <v>1273.64315092162</v>
      </c>
      <c r="D102" s="297" t="n">
        <f aca="false">-(D85-C85)</f>
        <v>332.747684478531</v>
      </c>
      <c r="E102" s="297" t="n">
        <f aca="false">-(E85-D85)</f>
        <v>-56.4548236531118</v>
      </c>
      <c r="F102" s="297" t="n">
        <f aca="false">-(F85-E85)</f>
        <v>-739.068839534459</v>
      </c>
      <c r="G102" s="297" t="n">
        <f aca="false">-(G85-F85)</f>
        <v>-990.726869231203</v>
      </c>
    </row>
    <row r="103" customFormat="false" ht="15" hidden="false" customHeight="true" outlineLevel="0" collapsed="false">
      <c r="A103" s="286" t="s">
        <v>1487</v>
      </c>
      <c r="B103" s="302"/>
      <c r="C103" s="297" t="n">
        <f aca="false">-(C86-B86)</f>
        <v>289.172432644396</v>
      </c>
      <c r="D103" s="297" t="n">
        <f aca="false">-(D86-C86)</f>
        <v>80.1909917740541</v>
      </c>
      <c r="E103" s="297" t="n">
        <f aca="false">-(E86-D86)</f>
        <v>-79.1036803515062</v>
      </c>
      <c r="F103" s="297" t="n">
        <f aca="false">-(F86-E86)</f>
        <v>-160.177506976672</v>
      </c>
      <c r="G103" s="297" t="n">
        <f aca="false">-(G86-F86)</f>
        <v>-214.719051216147</v>
      </c>
    </row>
    <row r="104" customFormat="false" ht="15" hidden="false" customHeight="true" outlineLevel="0" collapsed="false">
      <c r="A104" s="286" t="s">
        <v>1446</v>
      </c>
      <c r="B104" s="302"/>
      <c r="C104" s="297" t="n">
        <f aca="false">-C67*C51</f>
        <v>-3835.74579661056</v>
      </c>
      <c r="D104" s="297" t="n">
        <f aca="false">-D67*D51</f>
        <v>-3324.01412777944</v>
      </c>
      <c r="E104" s="297" t="n">
        <f aca="false">-E67*E51</f>
        <v>-3357.68226174243</v>
      </c>
      <c r="F104" s="297" t="n">
        <f aca="false">-F67*F51</f>
        <v>-3431.99404964764</v>
      </c>
      <c r="G104" s="297" t="n">
        <f aca="false">-G67*G51</f>
        <v>-3533.39519184163</v>
      </c>
    </row>
    <row r="105" customFormat="false" ht="15" hidden="false" customHeight="true" outlineLevel="0" collapsed="false">
      <c r="A105" s="286" t="s">
        <v>1488</v>
      </c>
      <c r="B105" s="302"/>
      <c r="C105" s="297" t="n">
        <f aca="false">C90-B90</f>
        <v>-1478.64419126454</v>
      </c>
      <c r="D105" s="297" t="n">
        <f aca="false">D90-C90</f>
        <v>-410.045809326017</v>
      </c>
      <c r="E105" s="297" t="n">
        <f aca="false">E90-D90</f>
        <v>404.485989171852</v>
      </c>
      <c r="F105" s="297" t="n">
        <f aca="false">F90-E90</f>
        <v>819.046055311737</v>
      </c>
      <c r="G105" s="297" t="n">
        <f aca="false">G90-F90</f>
        <v>1097.93687776945</v>
      </c>
    </row>
    <row r="106" customFormat="false" ht="15" hidden="false" customHeight="true" outlineLevel="0" collapsed="false">
      <c r="A106" s="286" t="s">
        <v>2692</v>
      </c>
      <c r="B106" s="302"/>
      <c r="C106" s="297" t="n">
        <f aca="false">C79</f>
        <v>-1178.73303239828</v>
      </c>
      <c r="D106" s="297" t="n">
        <f aca="false">D79</f>
        <v>-1157.95518834675</v>
      </c>
      <c r="E106" s="297" t="n">
        <f aca="false">E79</f>
        <v>-1198.10379591769</v>
      </c>
      <c r="F106" s="297" t="n">
        <f aca="false">F79</f>
        <v>-1258.64504821579</v>
      </c>
      <c r="G106" s="297" t="n">
        <f aca="false">G79</f>
        <v>-1332.5818014923</v>
      </c>
    </row>
    <row r="107" customFormat="false" ht="15" hidden="false" customHeight="true" outlineLevel="0" collapsed="false">
      <c r="A107" s="286" t="s">
        <v>2693</v>
      </c>
      <c r="B107" s="302"/>
      <c r="C107" s="297" t="n">
        <f aca="false">C91-B91</f>
        <v>0</v>
      </c>
      <c r="D107" s="297" t="n">
        <f aca="false">D91-C91</f>
        <v>-1500</v>
      </c>
      <c r="E107" s="297" t="n">
        <f aca="false">E91-D91</f>
        <v>-1500</v>
      </c>
      <c r="F107" s="297" t="n">
        <f aca="false">F91-E91</f>
        <v>-1500</v>
      </c>
      <c r="G107" s="297" t="n">
        <f aca="false">G91-F91</f>
        <v>-1500</v>
      </c>
    </row>
    <row r="108" customFormat="false" ht="15" hidden="false" customHeight="true" outlineLevel="0" collapsed="false">
      <c r="A108" s="285" t="s">
        <v>1894</v>
      </c>
      <c r="B108" s="300"/>
      <c r="C108" s="301" t="n">
        <f aca="false">SUM(C100:C107)</f>
        <v>3141.76349408735</v>
      </c>
      <c r="D108" s="301" t="n">
        <f aca="false">SUM(D100:D107)</f>
        <v>1973.87512317043</v>
      </c>
      <c r="E108" s="301" t="n">
        <f aca="false">SUM(E100:E107)</f>
        <v>2351.82685942608</v>
      </c>
      <c r="F108" s="301" t="n">
        <f aca="false">SUM(F100:F107)</f>
        <v>2172.09755814213</v>
      </c>
      <c r="G108" s="301" t="n">
        <f aca="false">SUM(G100:G107)</f>
        <v>2352.46726912248</v>
      </c>
    </row>
    <row r="109" customFormat="false" ht="15" hidden="false" customHeight="true" outlineLevel="0" collapsed="false">
      <c r="A109" s="298"/>
      <c r="B109" s="298"/>
      <c r="C109" s="298"/>
      <c r="D109" s="298"/>
      <c r="E109" s="298"/>
      <c r="F109" s="298"/>
      <c r="G109" s="298"/>
    </row>
    <row r="110" customFormat="false" ht="15" hidden="false" customHeight="true" outlineLevel="0" collapsed="false">
      <c r="A110" s="285" t="s">
        <v>1895</v>
      </c>
      <c r="B110" s="300" t="s">
        <v>1428</v>
      </c>
      <c r="C110" s="300" t="s">
        <v>1429</v>
      </c>
      <c r="D110" s="300" t="s">
        <v>1430</v>
      </c>
      <c r="E110" s="300" t="s">
        <v>1431</v>
      </c>
      <c r="F110" s="300" t="s">
        <v>1432</v>
      </c>
      <c r="G110" s="300" t="s">
        <v>1433</v>
      </c>
    </row>
    <row r="111" customFormat="false" ht="15" hidden="false" customHeight="true" outlineLevel="0" collapsed="false">
      <c r="A111" s="286" t="s">
        <v>81</v>
      </c>
      <c r="B111" s="302"/>
      <c r="C111" s="297" t="n">
        <f aca="false">C73</f>
        <v>7723.34621295701</v>
      </c>
      <c r="D111" s="297" t="n">
        <f aca="false">D73</f>
        <v>7595.08005389749</v>
      </c>
      <c r="E111" s="297" t="n">
        <f aca="false">E73</f>
        <v>7675.19912224838</v>
      </c>
      <c r="F111" s="297" t="n">
        <f aca="false">F73</f>
        <v>7853.56459801456</v>
      </c>
      <c r="G111" s="297" t="n">
        <f aca="false">G73</f>
        <v>8099.77798612612</v>
      </c>
    </row>
    <row r="112" customFormat="false" ht="15" hidden="false" customHeight="true" outlineLevel="0" collapsed="false">
      <c r="A112" s="286" t="s">
        <v>1443</v>
      </c>
      <c r="B112" s="302"/>
      <c r="C112" s="297" t="n">
        <f aca="false">-C111*C55</f>
        <v>-2066.15114048446</v>
      </c>
      <c r="D112" s="297" t="n">
        <f aca="false">-D111*D55</f>
        <v>-2058.42013186719</v>
      </c>
      <c r="E112" s="297" t="n">
        <f aca="false">-E111*E55</f>
        <v>-2123.60097035682</v>
      </c>
      <c r="F112" s="297" t="n">
        <f aca="false">-F111*F55</f>
        <v>-2217.42884431625</v>
      </c>
      <c r="G112" s="297" t="n">
        <f aca="false">-G111*G55</f>
        <v>-2332.81787663692</v>
      </c>
    </row>
    <row r="113" customFormat="false" ht="15" hidden="false" customHeight="true" outlineLevel="0" collapsed="false">
      <c r="A113" s="286" t="s">
        <v>2694</v>
      </c>
      <c r="B113" s="302"/>
      <c r="C113" s="297" t="n">
        <f aca="false">C111+C112</f>
        <v>5657.19507247255</v>
      </c>
      <c r="D113" s="297" t="n">
        <f aca="false">D111+D112</f>
        <v>5536.6599220303</v>
      </c>
      <c r="E113" s="297" t="n">
        <f aca="false">E111+E112</f>
        <v>5551.59815189156</v>
      </c>
      <c r="F113" s="297" t="n">
        <f aca="false">F111+F112</f>
        <v>5636.13575369831</v>
      </c>
      <c r="G113" s="297" t="n">
        <f aca="false">G111+G112</f>
        <v>5766.9601094892</v>
      </c>
    </row>
    <row r="114" customFormat="false" ht="15" hidden="false" customHeight="true" outlineLevel="0" collapsed="false">
      <c r="A114" s="286" t="s">
        <v>1445</v>
      </c>
      <c r="B114" s="302"/>
      <c r="C114" s="297" t="n">
        <f aca="false">C101</f>
        <v>4144.84664478651</v>
      </c>
      <c r="D114" s="297" t="n">
        <f aca="false">D101</f>
        <v>4094.9535246425</v>
      </c>
      <c r="E114" s="297" t="n">
        <f aca="false">E101</f>
        <v>4146.92292492177</v>
      </c>
      <c r="F114" s="297" t="n">
        <f aca="false">F101</f>
        <v>4249.46712413578</v>
      </c>
      <c r="G114" s="297" t="n">
        <f aca="false">G101</f>
        <v>4386.14592715221</v>
      </c>
    </row>
    <row r="115" customFormat="false" ht="15" hidden="false" customHeight="true" outlineLevel="0" collapsed="false">
      <c r="A115" s="286" t="s">
        <v>1446</v>
      </c>
      <c r="B115" s="302"/>
      <c r="C115" s="297" t="n">
        <f aca="false">C104</f>
        <v>-3835.74579661056</v>
      </c>
      <c r="D115" s="297" t="n">
        <f aca="false">D104</f>
        <v>-3324.01412777944</v>
      </c>
      <c r="E115" s="297" t="n">
        <f aca="false">E104</f>
        <v>-3357.68226174243</v>
      </c>
      <c r="F115" s="297" t="n">
        <f aca="false">F104</f>
        <v>-3431.99404964764</v>
      </c>
      <c r="G115" s="297" t="n">
        <f aca="false">G104</f>
        <v>-3533.39519184163</v>
      </c>
    </row>
    <row r="116" customFormat="false" ht="15" hidden="false" customHeight="true" outlineLevel="0" collapsed="false">
      <c r="A116" s="286" t="s">
        <v>1447</v>
      </c>
      <c r="B116" s="302"/>
      <c r="C116" s="297" t="n">
        <f aca="false">C102+C103+C105</f>
        <v>84.1713923014804</v>
      </c>
      <c r="D116" s="297" t="n">
        <f aca="false">D102+D103+D105</f>
        <v>2.89286692656788</v>
      </c>
      <c r="E116" s="297" t="n">
        <f aca="false">E102+E103+E105</f>
        <v>268.927485167234</v>
      </c>
      <c r="F116" s="297" t="n">
        <f aca="false">F102+F103+F105</f>
        <v>-80.2002911993932</v>
      </c>
      <c r="G116" s="297" t="n">
        <f aca="false">G102+G103+G105</f>
        <v>-107.509042677895</v>
      </c>
    </row>
    <row r="117" customFormat="false" ht="15" hidden="false" customHeight="true" outlineLevel="0" collapsed="false">
      <c r="A117" s="285" t="s">
        <v>2695</v>
      </c>
      <c r="B117" s="300"/>
      <c r="C117" s="301" t="n">
        <f aca="false">SUM(C113:C116)</f>
        <v>6050.46731294998</v>
      </c>
      <c r="D117" s="301" t="n">
        <f aca="false">SUM(D113:D116)</f>
        <v>6310.49218581992</v>
      </c>
      <c r="E117" s="301" t="n">
        <f aca="false">SUM(E113:E116)</f>
        <v>6609.76630023814</v>
      </c>
      <c r="F117" s="301" t="n">
        <f aca="false">SUM(F113:F116)</f>
        <v>6373.40853698706</v>
      </c>
      <c r="G117" s="301" t="n">
        <f aca="false">SUM(G113:G116)</f>
        <v>6512.20180212189</v>
      </c>
    </row>
    <row r="118" customFormat="false" ht="15" hidden="false" customHeight="true" outlineLevel="0" collapsed="false">
      <c r="A118" s="286" t="s">
        <v>1441</v>
      </c>
      <c r="B118" s="302"/>
      <c r="C118" s="303" t="n">
        <v>1</v>
      </c>
      <c r="D118" s="303" t="n">
        <f aca="false">C118+1</f>
        <v>2</v>
      </c>
      <c r="E118" s="303" t="n">
        <f aca="false">D118+1</f>
        <v>3</v>
      </c>
      <c r="F118" s="303" t="n">
        <f aca="false">E118+1</f>
        <v>4</v>
      </c>
      <c r="G118" s="303" t="n">
        <f aca="false">F118+1</f>
        <v>5</v>
      </c>
    </row>
    <row r="119" customFormat="false" ht="15" hidden="false" customHeight="true" outlineLevel="0" collapsed="false">
      <c r="A119" s="286" t="s">
        <v>1449</v>
      </c>
      <c r="B119" s="302"/>
      <c r="C119" s="304" t="n">
        <f aca="false">1/(1+$B$126)^C118</f>
        <v>0.908399708562818</v>
      </c>
      <c r="D119" s="304" t="n">
        <f aca="false">1/(1+$B$126)^D118</f>
        <v>0.825190030517012</v>
      </c>
      <c r="E119" s="304" t="n">
        <f aca="false">1/(1+$B$126)^E118</f>
        <v>0.749602383230597</v>
      </c>
      <c r="F119" s="304" t="n">
        <f aca="false">1/(1+$B$126)^F118</f>
        <v>0.680938586464668</v>
      </c>
      <c r="G119" s="304" t="n">
        <f aca="false">1/(1+$B$126)^G118</f>
        <v>0.618564413493681</v>
      </c>
    </row>
    <row r="120" customFormat="false" ht="15" hidden="false" customHeight="true" outlineLevel="0" collapsed="false">
      <c r="A120" s="286" t="s">
        <v>1450</v>
      </c>
      <c r="B120" s="302"/>
      <c r="C120" s="297" t="n">
        <f aca="false">C117*C119</f>
        <v>5496.24274375262</v>
      </c>
      <c r="D120" s="297" t="n">
        <f aca="false">D117*D119</f>
        <v>5207.35523939411</v>
      </c>
      <c r="E120" s="297" t="n">
        <f aca="false">E117*E119</f>
        <v>4954.69657125579</v>
      </c>
      <c r="F120" s="297" t="n">
        <f aca="false">F117*F119</f>
        <v>4339.89980013782</v>
      </c>
      <c r="G120" s="297" t="n">
        <f aca="false">G117*G119</f>
        <v>4028.21628828202</v>
      </c>
    </row>
    <row r="121" customFormat="false" ht="15" hidden="false" customHeight="true" outlineLevel="0" collapsed="false">
      <c r="A121" s="298"/>
      <c r="B121" s="298"/>
      <c r="C121" s="298"/>
      <c r="D121" s="298"/>
      <c r="E121" s="298"/>
      <c r="F121" s="298"/>
      <c r="G121" s="298"/>
    </row>
    <row r="122" customFormat="false" ht="15" hidden="false" customHeight="true" outlineLevel="0" collapsed="false">
      <c r="A122" s="285" t="s">
        <v>1901</v>
      </c>
      <c r="B122" s="300" t="s">
        <v>78</v>
      </c>
      <c r="C122" s="300"/>
      <c r="D122" s="300"/>
      <c r="E122" s="300"/>
      <c r="F122" s="300"/>
      <c r="G122" s="300"/>
    </row>
    <row r="123" customFormat="false" ht="15" hidden="false" customHeight="true" outlineLevel="0" collapsed="false">
      <c r="A123" s="286" t="s">
        <v>1903</v>
      </c>
      <c r="B123" s="296" t="n">
        <f aca="false">Escenarios!$F$11</f>
        <v>0.035</v>
      </c>
      <c r="C123" s="302"/>
      <c r="D123" s="302"/>
      <c r="E123" s="302"/>
      <c r="F123" s="302"/>
      <c r="G123" s="302"/>
    </row>
    <row r="124" customFormat="false" ht="15" hidden="false" customHeight="true" outlineLevel="0" collapsed="false">
      <c r="A124" s="286" t="s">
        <v>1904</v>
      </c>
      <c r="B124" s="296" t="n">
        <f aca="false">B220</f>
        <v>0.100836989018968</v>
      </c>
      <c r="C124" s="302"/>
      <c r="D124" s="302"/>
      <c r="E124" s="302"/>
      <c r="F124" s="302"/>
      <c r="G124" s="302"/>
    </row>
    <row r="125" customFormat="false" ht="15" hidden="false" customHeight="true" outlineLevel="0" collapsed="false">
      <c r="A125" s="286" t="s">
        <v>1905</v>
      </c>
      <c r="B125" s="296" t="n">
        <v>0</v>
      </c>
      <c r="C125" s="302"/>
      <c r="D125" s="302"/>
      <c r="E125" s="302"/>
      <c r="F125" s="302"/>
      <c r="G125" s="302"/>
    </row>
    <row r="126" customFormat="false" ht="15" hidden="false" customHeight="true" outlineLevel="0" collapsed="false">
      <c r="A126" s="286" t="s">
        <v>1906</v>
      </c>
      <c r="B126" s="296" t="n">
        <f aca="false">B124+B125</f>
        <v>0.100836989018968</v>
      </c>
      <c r="C126" s="302"/>
      <c r="D126" s="302"/>
      <c r="E126" s="302"/>
      <c r="F126" s="302"/>
      <c r="G126" s="302"/>
    </row>
    <row r="127" customFormat="false" ht="15" hidden="false" customHeight="true" outlineLevel="0" collapsed="false">
      <c r="A127" s="286" t="s">
        <v>1907</v>
      </c>
      <c r="B127" s="297" t="n">
        <f aca="false">G117</f>
        <v>6512.20180212189</v>
      </c>
      <c r="C127" s="302"/>
      <c r="D127" s="302"/>
      <c r="E127" s="302"/>
      <c r="F127" s="302"/>
      <c r="G127" s="302"/>
    </row>
    <row r="128" customFormat="false" ht="15" hidden="false" customHeight="true" outlineLevel="0" collapsed="false">
      <c r="A128" s="286" t="s">
        <v>2696</v>
      </c>
      <c r="B128" s="297" t="n">
        <f aca="false">B127*(1+B123)</f>
        <v>6740.12886519615</v>
      </c>
      <c r="C128" s="302"/>
      <c r="D128" s="302"/>
      <c r="E128" s="302"/>
      <c r="F128" s="302"/>
      <c r="G128" s="302"/>
    </row>
    <row r="129" customFormat="false" ht="15" hidden="false" customHeight="true" outlineLevel="0" collapsed="false">
      <c r="A129" s="285" t="s">
        <v>2697</v>
      </c>
      <c r="B129" s="301" t="n">
        <f aca="false">IF(B126&gt;B123,B128/(B126-B123),"REVISAR WACC/g")</f>
        <v>102376.01940232</v>
      </c>
      <c r="C129" s="300"/>
      <c r="D129" s="300"/>
      <c r="E129" s="300"/>
      <c r="F129" s="300"/>
      <c r="G129" s="300"/>
    </row>
    <row r="130" customFormat="false" ht="15" hidden="false" customHeight="true" outlineLevel="0" collapsed="false">
      <c r="A130" s="286" t="s">
        <v>1910</v>
      </c>
      <c r="B130" s="304" t="n">
        <f aca="false">G119</f>
        <v>0.618564413493681</v>
      </c>
      <c r="C130" s="302"/>
      <c r="D130" s="302"/>
      <c r="E130" s="302"/>
      <c r="F130" s="302"/>
      <c r="G130" s="302"/>
    </row>
    <row r="131" customFormat="false" ht="15" hidden="false" customHeight="true" outlineLevel="0" collapsed="false">
      <c r="A131" s="286" t="s">
        <v>1498</v>
      </c>
      <c r="B131" s="297" t="n">
        <f aca="false">B129*B130</f>
        <v>63326.1623974139</v>
      </c>
      <c r="C131" s="302"/>
      <c r="D131" s="302"/>
      <c r="E131" s="302"/>
      <c r="F131" s="302"/>
      <c r="G131" s="302"/>
    </row>
    <row r="132" customFormat="false" ht="15" hidden="false" customHeight="true" outlineLevel="0" collapsed="false">
      <c r="A132" s="298"/>
      <c r="B132" s="298"/>
      <c r="C132" s="298"/>
      <c r="D132" s="298"/>
      <c r="E132" s="298"/>
      <c r="F132" s="298"/>
      <c r="G132" s="298"/>
    </row>
    <row r="133" customFormat="false" ht="15" hidden="false" customHeight="true" outlineLevel="0" collapsed="false">
      <c r="A133" s="285" t="s">
        <v>1911</v>
      </c>
      <c r="B133" s="300" t="s">
        <v>78</v>
      </c>
      <c r="C133" s="300"/>
      <c r="D133" s="300"/>
      <c r="E133" s="300"/>
      <c r="F133" s="300"/>
      <c r="G133" s="300"/>
    </row>
    <row r="134" customFormat="false" ht="15" hidden="false" customHeight="true" outlineLevel="0" collapsed="false">
      <c r="A134" s="286" t="s">
        <v>1913</v>
      </c>
      <c r="B134" s="297" t="n">
        <f aca="false">SUM(C120:G120)</f>
        <v>24026.4106428224</v>
      </c>
      <c r="C134" s="302"/>
      <c r="D134" s="302"/>
      <c r="E134" s="302"/>
      <c r="F134" s="302"/>
      <c r="G134" s="302"/>
    </row>
    <row r="135" customFormat="false" ht="15" hidden="false" customHeight="true" outlineLevel="0" collapsed="false">
      <c r="A135" s="286" t="s">
        <v>1914</v>
      </c>
      <c r="B135" s="297" t="n">
        <f aca="false">B131</f>
        <v>63326.1623974139</v>
      </c>
      <c r="C135" s="302"/>
      <c r="D135" s="302"/>
      <c r="E135" s="302"/>
      <c r="F135" s="302"/>
      <c r="G135" s="302"/>
    </row>
    <row r="136" customFormat="false" ht="15" hidden="false" customHeight="true" outlineLevel="0" collapsed="false">
      <c r="A136" s="285" t="s">
        <v>1915</v>
      </c>
      <c r="B136" s="301" t="n">
        <f aca="false">B134+B135</f>
        <v>87352.5730402362</v>
      </c>
      <c r="C136" s="300"/>
      <c r="D136" s="300"/>
      <c r="E136" s="300"/>
      <c r="F136" s="300"/>
      <c r="G136" s="300"/>
    </row>
    <row r="137" customFormat="false" ht="15" hidden="false" customHeight="true" outlineLevel="0" collapsed="false">
      <c r="A137" s="286" t="s">
        <v>1461</v>
      </c>
      <c r="B137" s="295" t="n">
        <f aca="false">B135/B136</f>
        <v>0.724949022031036</v>
      </c>
      <c r="C137" s="302"/>
      <c r="D137" s="302"/>
      <c r="E137" s="302"/>
      <c r="F137" s="302"/>
      <c r="G137" s="302"/>
    </row>
    <row r="138" customFormat="false" ht="15" hidden="false" customHeight="true" outlineLevel="0" collapsed="false">
      <c r="A138" s="298"/>
      <c r="B138" s="298"/>
      <c r="C138" s="298"/>
      <c r="D138" s="298"/>
      <c r="E138" s="298"/>
      <c r="F138" s="298"/>
      <c r="G138" s="298"/>
    </row>
    <row r="139" customFormat="false" ht="15" hidden="false" customHeight="true" outlineLevel="0" collapsed="false">
      <c r="A139" s="285" t="s">
        <v>1916</v>
      </c>
      <c r="B139" s="300" t="s">
        <v>78</v>
      </c>
      <c r="C139" s="300"/>
      <c r="D139" s="300"/>
      <c r="E139" s="300"/>
      <c r="F139" s="300"/>
      <c r="G139" s="300"/>
    </row>
    <row r="140" customFormat="false" ht="15" hidden="false" customHeight="true" outlineLevel="0" collapsed="false">
      <c r="A140" s="286" t="s">
        <v>1915</v>
      </c>
      <c r="B140" s="297" t="n">
        <f aca="false">B136</f>
        <v>87352.5730402362</v>
      </c>
      <c r="C140" s="302"/>
      <c r="D140" s="302"/>
      <c r="E140" s="302"/>
      <c r="F140" s="302"/>
      <c r="G140" s="302"/>
    </row>
    <row r="141" customFormat="false" ht="15" hidden="false" customHeight="true" outlineLevel="0" collapsed="false">
      <c r="A141" s="286" t="s">
        <v>1502</v>
      </c>
      <c r="B141" s="297" t="n">
        <f aca="false">-B91</f>
        <v>-11500</v>
      </c>
      <c r="C141" s="302"/>
      <c r="D141" s="302"/>
      <c r="E141" s="302"/>
      <c r="F141" s="302"/>
      <c r="G141" s="302"/>
    </row>
    <row r="142" customFormat="false" ht="15" hidden="false" customHeight="true" outlineLevel="0" collapsed="false">
      <c r="A142" s="286" t="s">
        <v>1503</v>
      </c>
      <c r="B142" s="297" t="n">
        <f aca="false">-B92</f>
        <v>-12118</v>
      </c>
      <c r="C142" s="302"/>
      <c r="D142" s="302"/>
      <c r="E142" s="302"/>
      <c r="F142" s="302"/>
      <c r="G142" s="302"/>
    </row>
    <row r="143" customFormat="false" ht="15" hidden="false" customHeight="true" outlineLevel="0" collapsed="false">
      <c r="A143" s="286" t="s">
        <v>1504</v>
      </c>
      <c r="B143" s="297" t="n">
        <f aca="false">B84</f>
        <v>9295</v>
      </c>
      <c r="C143" s="302"/>
      <c r="D143" s="302"/>
      <c r="E143" s="302"/>
      <c r="F143" s="302"/>
      <c r="G143" s="302"/>
    </row>
    <row r="144" customFormat="false" ht="15" hidden="false" customHeight="true" outlineLevel="0" collapsed="false">
      <c r="A144" s="286" t="s">
        <v>1920</v>
      </c>
      <c r="B144" s="297" t="n">
        <f aca="false">-(B141+B142+B143)</f>
        <v>14323</v>
      </c>
      <c r="C144" s="302"/>
      <c r="D144" s="302"/>
      <c r="E144" s="302"/>
      <c r="F144" s="302"/>
      <c r="G144" s="302"/>
    </row>
    <row r="145" customFormat="false" ht="15" hidden="false" customHeight="true" outlineLevel="0" collapsed="false">
      <c r="A145" s="285" t="s">
        <v>1921</v>
      </c>
      <c r="B145" s="301" t="n">
        <f aca="false">SUM(B140:B143)</f>
        <v>73029.5730402362</v>
      </c>
      <c r="C145" s="300"/>
      <c r="D145" s="300"/>
      <c r="E145" s="300"/>
      <c r="F145" s="300"/>
      <c r="G145" s="300"/>
    </row>
    <row r="146" customFormat="false" ht="15" hidden="false" customHeight="true" outlineLevel="0" collapsed="false">
      <c r="A146" s="298"/>
      <c r="B146" s="298"/>
      <c r="C146" s="298"/>
      <c r="D146" s="298"/>
      <c r="E146" s="298"/>
      <c r="F146" s="298"/>
      <c r="G146" s="298"/>
    </row>
    <row r="147" customFormat="false" ht="15" hidden="false" customHeight="true" outlineLevel="0" collapsed="false">
      <c r="A147" s="285" t="s">
        <v>1922</v>
      </c>
      <c r="B147" s="300" t="s">
        <v>78</v>
      </c>
      <c r="C147" s="300"/>
      <c r="D147" s="300"/>
      <c r="E147" s="300"/>
      <c r="F147" s="300"/>
      <c r="G147" s="300"/>
    </row>
    <row r="148" customFormat="false" ht="15" hidden="false" customHeight="true" outlineLevel="0" collapsed="false">
      <c r="A148" s="286" t="s">
        <v>1924</v>
      </c>
      <c r="B148" s="297" t="n">
        <f aca="false">B145</f>
        <v>73029.5730402362</v>
      </c>
      <c r="C148" s="302"/>
      <c r="D148" s="302"/>
      <c r="E148" s="302"/>
      <c r="F148" s="302"/>
      <c r="G148" s="302"/>
    </row>
    <row r="149" customFormat="false" ht="15" hidden="false" customHeight="true" outlineLevel="0" collapsed="false">
      <c r="A149" s="286" t="s">
        <v>57</v>
      </c>
      <c r="B149" s="305" t="n">
        <f aca="false">Valuación!B40</f>
        <v>1800</v>
      </c>
      <c r="C149" s="302"/>
      <c r="D149" s="302"/>
      <c r="E149" s="302"/>
      <c r="F149" s="302"/>
      <c r="G149" s="302"/>
    </row>
    <row r="150" customFormat="false" ht="15" hidden="false" customHeight="true" outlineLevel="0" collapsed="false">
      <c r="A150" s="285" t="s">
        <v>1925</v>
      </c>
      <c r="B150" s="306" t="n">
        <f aca="false">B148/B149</f>
        <v>40.5719850223535</v>
      </c>
      <c r="C150" s="300"/>
      <c r="D150" s="300"/>
      <c r="E150" s="300"/>
      <c r="F150" s="300"/>
      <c r="G150" s="300"/>
    </row>
    <row r="151" customFormat="false" ht="15" hidden="false" customHeight="true" outlineLevel="0" collapsed="false">
      <c r="A151" s="286" t="s">
        <v>16</v>
      </c>
      <c r="B151" s="307" t="n">
        <f aca="false">Valuación!B42</f>
        <v>33.1</v>
      </c>
      <c r="C151" s="302"/>
      <c r="D151" s="302"/>
      <c r="E151" s="302"/>
      <c r="F151" s="302"/>
      <c r="G151" s="302"/>
    </row>
    <row r="152" customFormat="false" ht="15" hidden="false" customHeight="true" outlineLevel="0" collapsed="false">
      <c r="A152" s="286" t="s">
        <v>17</v>
      </c>
      <c r="B152" s="295" t="n">
        <f aca="false">B150/B151-1</f>
        <v>0.225739728772008</v>
      </c>
      <c r="C152" s="302"/>
      <c r="D152" s="302"/>
      <c r="E152" s="302"/>
      <c r="F152" s="302"/>
      <c r="G152" s="302"/>
    </row>
    <row r="153" customFormat="false" ht="15" hidden="false" customHeight="true" outlineLevel="0" collapsed="false">
      <c r="A153" s="286" t="s">
        <v>1926</v>
      </c>
      <c r="B153" s="307" t="n">
        <f aca="false">'Proyección Soriana'!B85</f>
        <v>50.1939335833512</v>
      </c>
      <c r="C153" s="302"/>
      <c r="D153" s="302"/>
      <c r="E153" s="302"/>
      <c r="F153" s="302"/>
      <c r="G153" s="302"/>
    </row>
    <row r="154" customFormat="false" ht="15" hidden="false" customHeight="true" outlineLevel="0" collapsed="false">
      <c r="A154" s="286" t="s">
        <v>1927</v>
      </c>
      <c r="B154" s="295" t="n">
        <f aca="false">B150/B153-1</f>
        <v>-0.191695447518965</v>
      </c>
      <c r="C154" s="302"/>
      <c r="D154" s="302"/>
      <c r="E154" s="302"/>
      <c r="F154" s="302"/>
      <c r="G154" s="302"/>
    </row>
    <row r="155" customFormat="false" ht="15" hidden="false" customHeight="true" outlineLevel="0" collapsed="false">
      <c r="A155" s="286" t="s">
        <v>2698</v>
      </c>
      <c r="B155" s="295" t="n">
        <v>0.15</v>
      </c>
      <c r="C155" s="302"/>
      <c r="D155" s="302"/>
      <c r="E155" s="302"/>
      <c r="F155" s="302"/>
      <c r="G155" s="302"/>
    </row>
    <row r="156" customFormat="false" ht="15" hidden="false" customHeight="true" outlineLevel="0" collapsed="false">
      <c r="A156" s="285" t="s">
        <v>1929</v>
      </c>
      <c r="B156" s="300" t="str">
        <f aca="false">IF(B152&gt;B155,"COMPRAR",IF(B152&lt;-B155,"VENDER","MANTENER"))</f>
        <v>COMPRAR</v>
      </c>
      <c r="C156" s="300"/>
      <c r="D156" s="300"/>
      <c r="E156" s="300"/>
      <c r="F156" s="300"/>
      <c r="G156" s="300"/>
    </row>
    <row r="157" customFormat="false" ht="15" hidden="false" customHeight="true" outlineLevel="0" collapsed="false">
      <c r="A157" s="286" t="s">
        <v>1930</v>
      </c>
      <c r="B157" s="302" t="str">
        <f aca="false" t="array" ref="B157:B157">IF(SUMPRODUCT(ABS(B97:G97))&lt;1,"PASS","FAIL")</f>
        <v>PASS</v>
      </c>
      <c r="C157" s="302"/>
      <c r="D157" s="302"/>
      <c r="E157" s="302"/>
      <c r="F157" s="302"/>
      <c r="G157" s="302"/>
    </row>
    <row r="158" customFormat="false" ht="15" hidden="false" customHeight="true" outlineLevel="0" collapsed="false">
      <c r="A158" s="286" t="s">
        <v>1931</v>
      </c>
      <c r="B158" s="302" t="str">
        <f aca="false">IF(B126&gt;B123,"PASS","FAIL")</f>
        <v>PASS</v>
      </c>
      <c r="C158" s="302"/>
      <c r="D158" s="302"/>
      <c r="E158" s="302"/>
      <c r="F158" s="302"/>
      <c r="G158" s="302"/>
    </row>
    <row r="159" customFormat="false" ht="15" hidden="false" customHeight="true" outlineLevel="0" collapsed="false">
      <c r="A159" s="298"/>
      <c r="B159" s="298"/>
      <c r="C159" s="298"/>
      <c r="D159" s="298"/>
      <c r="E159" s="298"/>
      <c r="F159" s="298"/>
      <c r="G159" s="298"/>
    </row>
    <row r="160" customFormat="false" ht="15" hidden="false" customHeight="true" outlineLevel="0" collapsed="false">
      <c r="A160" s="285" t="s">
        <v>1932</v>
      </c>
      <c r="B160" s="300"/>
      <c r="C160" s="300"/>
      <c r="D160" s="300"/>
      <c r="E160" s="300"/>
      <c r="F160" s="300"/>
      <c r="G160" s="300"/>
    </row>
    <row r="161" customFormat="false" ht="15" hidden="false" customHeight="true" outlineLevel="0" collapsed="false">
      <c r="A161" s="286" t="s">
        <v>1934</v>
      </c>
      <c r="B161" s="296" t="n">
        <v>0.005</v>
      </c>
      <c r="C161" s="302"/>
      <c r="D161" s="302"/>
      <c r="E161" s="302"/>
      <c r="F161" s="302"/>
      <c r="G161" s="302"/>
    </row>
    <row r="162" customFormat="false" ht="15" hidden="false" customHeight="true" outlineLevel="0" collapsed="false">
      <c r="A162" s="285" t="s">
        <v>2699</v>
      </c>
      <c r="B162" s="338" t="n">
        <f aca="false">$B$123-2*$B$161</f>
        <v>0.025</v>
      </c>
      <c r="C162" s="338" t="n">
        <f aca="false">B162+$B$161</f>
        <v>0.03</v>
      </c>
      <c r="D162" s="338" t="n">
        <f aca="false">C162+$B$161</f>
        <v>0.035</v>
      </c>
      <c r="E162" s="338" t="n">
        <f aca="false">D162+$B$161</f>
        <v>0.04</v>
      </c>
      <c r="F162" s="338" t="n">
        <f aca="false">E162+$B$161</f>
        <v>0.045</v>
      </c>
      <c r="G162" s="300"/>
    </row>
    <row r="163" customFormat="false" ht="15" hidden="false" customHeight="true" outlineLevel="0" collapsed="false">
      <c r="A163" s="338" t="n">
        <f aca="false">$B$126-2*$B$161</f>
        <v>0.0908369890189675</v>
      </c>
      <c r="B163" s="307" t="n">
        <f aca="false">IF($A163&lt;=B$162,"n.a.",(($B$243*(SUMPRODUCT($C$117:$G$117,(1+$A163)^(-$C$118:$G$118))+$G$117*(1+B$162)/($A163-B$162)*(1+$A163)^-5)+$B$244*(SUMPRODUCT($C$117:$G$117,(1+$A163)^(-$C$118:$G$118))+$B$236*(1+$A163)^-5))*(1+$A163)^$B$253+$B$257+$B$259+$B$260+$B$261)*(1+$B$221)^$B$254/$B$264)</f>
        <v>39.2936593245633</v>
      </c>
      <c r="C163" s="307" t="n">
        <f aca="false">IF($A163&lt;=C$162,"n.a.",(($B$243*(SUMPRODUCT($C$117:$G$117,(1+$A163)^(-$C$118:$G$118))+$G$117*(1+C$162)/($A163-C$162)*(1+$A163)^-5)+$B$244*(SUMPRODUCT($C$117:$G$117,(1+$A163)^(-$C$118:$G$118))+$B$236*(1+$A163)^-5))*(1+$A163)^$B$253+$B$257+$B$259+$B$260+$B$261)*(1+$B$221)^$B$254/$B$264)</f>
        <v>41.0065467626446</v>
      </c>
      <c r="D163" s="307" t="n">
        <f aca="false">IF($A163&lt;=D$162,"n.a.",(($B$243*(SUMPRODUCT($C$117:$G$117,(1+$A163)^(-$C$118:$G$118))+$G$117*(1+D$162)/($A163-D$162)*(1+$A163)^-5)+$B$244*(SUMPRODUCT($C$117:$G$117,(1+$A163)^(-$C$118:$G$118))+$B$236*(1+$A163)^-5))*(1+$A163)^$B$253+$B$257+$B$259+$B$260+$B$261)*(1+$B$221)^$B$254/$B$264)</f>
        <v>43.026199925056</v>
      </c>
      <c r="E163" s="307" t="n">
        <f aca="false">IF($A163&lt;=E$162,"n.a.",(($B$243*(SUMPRODUCT($C$117:$G$117,(1+$A163)^(-$C$118:$G$118))+$G$117*(1+E$162)/($A163-E$162)*(1+$A163)^-5)+$B$244*(SUMPRODUCT($C$117:$G$117,(1+$A163)^(-$C$118:$G$118))+$B$236*(1+$A163)^-5))*(1+$A163)^$B$253+$B$257+$B$259+$B$260+$B$261)*(1+$B$221)^$B$254/$B$264)</f>
        <v>45.4431333358427</v>
      </c>
      <c r="F163" s="307" t="n">
        <f aca="false">IF($A163&lt;=F$162,"n.a.",(($B$243*(SUMPRODUCT($C$117:$G$117,(1+$A163)^(-$C$118:$G$118))+$G$117*(1+F$162)/($A163-F$162)*(1+$A163)^-5)+$B$244*(SUMPRODUCT($C$117:$G$117,(1+$A163)^(-$C$118:$G$118))+$B$236*(1+$A163)^-5))*(1+$A163)^$B$253+$B$257+$B$259+$B$260+$B$261)*(1+$B$221)^$B$254/$B$264)</f>
        <v>48.3873556158409</v>
      </c>
      <c r="G163" s="302"/>
    </row>
    <row r="164" customFormat="false" ht="15" hidden="false" customHeight="true" outlineLevel="0" collapsed="false">
      <c r="A164" s="338" t="n">
        <f aca="false">A163+$B$161</f>
        <v>0.0958369890189675</v>
      </c>
      <c r="B164" s="307" t="n">
        <f aca="false">IF($A164&lt;=B$162,"n.a.",(($B$243*(SUMPRODUCT($C$117:$G$117,(1+$A164)^(-$C$118:$G$118))+$G$117*(1+B$162)/($A164-B$162)*(1+$A164)^-5)+$B$244*(SUMPRODUCT($C$117:$G$117,(1+$A164)^(-$C$118:$G$118))+$B$236*(1+$A164)^-5))*(1+$A164)^$B$253+$B$257+$B$259+$B$260+$B$261)*(1+$B$221)^$B$254/$B$264)</f>
        <v>37.0975544380879</v>
      </c>
      <c r="C164" s="307" t="n">
        <f aca="false">IF($A164&lt;=C$162,"n.a.",(($B$243*(SUMPRODUCT($C$117:$G$117,(1+$A164)^(-$C$118:$G$118))+$G$117*(1+C$162)/($A164-C$162)*(1+$A164)^-5)+$B$244*(SUMPRODUCT($C$117:$G$117,(1+$A164)^(-$C$118:$G$118))+$B$236*(1+$A164)^-5))*(1+$A164)^$B$253+$B$257+$B$259+$B$260+$B$261)*(1+$B$221)^$B$254/$B$264)</f>
        <v>38.545276172038</v>
      </c>
      <c r="D164" s="307" t="n">
        <f aca="false">IF($A164&lt;=D$162,"n.a.",(($B$243*(SUMPRODUCT($C$117:$G$117,(1+$A164)^(-$C$118:$G$118))+$G$117*(1+D$162)/($A164-D$162)*(1+$A164)^-5)+$B$244*(SUMPRODUCT($C$117:$G$117,(1+$A164)^(-$C$118:$G$118))+$B$236*(1+$A164)^-5))*(1+$A164)^$B$253+$B$257+$B$259+$B$260+$B$261)*(1+$B$221)^$B$254/$B$264)</f>
        <v>40.2309652606017</v>
      </c>
      <c r="E164" s="307" t="n">
        <f aca="false">IF($A164&lt;=E$162,"n.a.",(($B$243*(SUMPRODUCT($C$117:$G$117,(1+$A164)^(-$C$118:$G$118))+$G$117*(1+E$162)/($A164-E$162)*(1+$A164)^-5)+$B$244*(SUMPRODUCT($C$117:$G$117,(1+$A164)^(-$C$118:$G$118))+$B$236*(1+$A164)^-5))*(1+$A164)^$B$253+$B$257+$B$259+$B$260+$B$261)*(1+$B$221)^$B$254/$B$264)</f>
        <v>42.2185490462435</v>
      </c>
      <c r="F164" s="307" t="n">
        <f aca="false">IF($A164&lt;=F$162,"n.a.",(($B$243*(SUMPRODUCT($C$117:$G$117,(1+$A164)^(-$C$118:$G$118))+$G$117*(1+F$162)/($A164-F$162)*(1+$A164)^-5)+$B$244*(SUMPRODUCT($C$117:$G$117,(1+$A164)^(-$C$118:$G$118))+$B$236*(1+$A164)^-5))*(1+$A164)^$B$253+$B$257+$B$259+$B$260+$B$261)*(1+$B$221)^$B$254/$B$264)</f>
        <v>44.5971048040649</v>
      </c>
      <c r="G164" s="302"/>
    </row>
    <row r="165" customFormat="false" ht="15" hidden="false" customHeight="true" outlineLevel="0" collapsed="false">
      <c r="A165" s="338" t="n">
        <f aca="false">A164+$B$161</f>
        <v>0.100836989018968</v>
      </c>
      <c r="B165" s="307" t="n">
        <f aca="false">IF($A165&lt;=B$162,"n.a.",(($B$243*(SUMPRODUCT($C$117:$G$117,(1+$A165)^(-$C$118:$G$118))+$G$117*(1+B$162)/($A165-B$162)*(1+$A165)^-5)+$B$244*(SUMPRODUCT($C$117:$G$117,(1+$A165)^(-$C$118:$G$118))+$B$236*(1+$A165)^-5))*(1+$A165)^$B$253+$B$257+$B$259+$B$260+$B$261)*(1+$B$221)^$B$254/$B$264)</f>
        <v>35.1512450390715</v>
      </c>
      <c r="C165" s="307" t="n">
        <f aca="false">IF($A165&lt;=C$162,"n.a.",(($B$243*(SUMPRODUCT($C$117:$G$117,(1+$A165)^(-$C$118:$G$118))+$G$117*(1+C$162)/($A165-C$162)*(1+$A165)^-5)+$B$244*(SUMPRODUCT($C$117:$G$117,(1+$A165)^(-$C$118:$G$118))+$B$236*(1+$A165)^-5))*(1+$A165)^$B$253+$B$257+$B$259+$B$260+$B$261)*(1+$B$221)^$B$254/$B$264)</f>
        <v>36.3882010903229</v>
      </c>
      <c r="D165" s="327" t="n">
        <f aca="false">IF($A165&lt;=D$162,"n.a.",(($B$243*(SUMPRODUCT($C$117:$G$117,(1+$A165)^(-$C$118:$G$118))+$G$117*(1+D$162)/($A165-D$162)*(1+$A165)^-5)+$B$244*(SUMPRODUCT($C$117:$G$117,(1+$A165)^(-$C$118:$G$118))+$B$236*(1+$A165)^-5))*(1+$A165)^$B$253+$B$257+$B$259+$B$260+$B$261)*(1+$B$221)^$B$254/$B$264)</f>
        <v>37.813038767038</v>
      </c>
      <c r="E165" s="307" t="n">
        <f aca="false">IF($A165&lt;=E$162,"n.a.",(($B$243*(SUMPRODUCT($C$117:$G$117,(1+$A165)^(-$C$118:$G$118))+$G$117*(1+E$162)/($A165-E$162)*(1+$A165)^-5)+$B$244*(SUMPRODUCT($C$117:$G$117,(1+$A165)^(-$C$118:$G$118))+$B$236*(1+$A165)^-5))*(1+$A165)^$B$253+$B$257+$B$259+$B$260+$B$261)*(1+$B$221)^$B$254/$B$264)</f>
        <v>39.4720822615773</v>
      </c>
      <c r="F165" s="307" t="n">
        <f aca="false">IF($A165&lt;=F$162,"n.a.",(($B$243*(SUMPRODUCT($C$117:$G$117,(1+$A165)^(-$C$118:$G$118))+$G$117*(1+F$162)/($A165-F$162)*(1+$A165)^-5)+$B$244*(SUMPRODUCT($C$117:$G$117,(1+$A165)^(-$C$118:$G$118))+$B$236*(1+$A165)^-5))*(1+$A165)^$B$253+$B$257+$B$259+$B$260+$B$261)*(1+$B$221)^$B$254/$B$264)</f>
        <v>41.4282484204451</v>
      </c>
      <c r="G165" s="302"/>
    </row>
    <row r="166" customFormat="false" ht="15" hidden="false" customHeight="true" outlineLevel="0" collapsed="false">
      <c r="A166" s="338" t="n">
        <f aca="false">A165+$B$161</f>
        <v>0.105836989018968</v>
      </c>
      <c r="B166" s="307" t="n">
        <f aca="false">IF($A166&lt;=B$162,"n.a.",(($B$243*(SUMPRODUCT($C$117:$G$117,(1+$A166)^(-$C$118:$G$118))+$G$117*(1+B$162)/($A166-B$162)*(1+$A166)^-5)+$B$244*(SUMPRODUCT($C$117:$G$117,(1+$A166)^(-$C$118:$G$118))+$B$236*(1+$A166)^-5))*(1+$A166)^$B$253+$B$257+$B$259+$B$260+$B$261)*(1+$B$221)^$B$254/$B$264)</f>
        <v>33.4097301904418</v>
      </c>
      <c r="C166" s="307" t="n">
        <f aca="false">IF($A166&lt;=C$162,"n.a.",(($B$243*(SUMPRODUCT($C$117:$G$117,(1+$A166)^(-$C$118:$G$118))+$G$117*(1+C$162)/($A166-C$162)*(1+$A166)^-5)+$B$244*(SUMPRODUCT($C$117:$G$117,(1+$A166)^(-$C$118:$G$118))+$B$236*(1+$A166)^-5))*(1+$A166)^$B$253+$B$257+$B$259+$B$260+$B$261)*(1+$B$221)^$B$254/$B$264)</f>
        <v>34.4766109625882</v>
      </c>
      <c r="D166" s="307" t="n">
        <f aca="false">IF($A166&lt;=D$162,"n.a.",(($B$243*(SUMPRODUCT($C$117:$G$117,(1+$A166)^(-$C$118:$G$118))+$G$117*(1+D$162)/($A166-D$162)*(1+$A166)^-5)+$B$244*(SUMPRODUCT($C$117:$G$117,(1+$A166)^(-$C$118:$G$118))+$B$236*(1+$A166)^-5))*(1+$A166)^$B$253+$B$257+$B$259+$B$260+$B$261)*(1+$B$221)^$B$254/$B$264)</f>
        <v>35.6941024237153</v>
      </c>
      <c r="E166" s="307" t="n">
        <f aca="false">IF($A166&lt;=E$162,"n.a.",(($B$243*(SUMPRODUCT($C$117:$G$117,(1+$A166)^(-$C$118:$G$118))+$G$117*(1+E$162)/($A166-E$162)*(1+$A166)^-5)+$B$244*(SUMPRODUCT($C$117:$G$117,(1+$A166)^(-$C$118:$G$118))+$B$236*(1+$A166)^-5))*(1+$A166)^$B$253+$B$257+$B$259+$B$260+$B$261)*(1+$B$221)^$B$254/$B$264)</f>
        <v>37.0965190278765</v>
      </c>
      <c r="F166" s="307" t="n">
        <f aca="false">IF($A166&lt;=F$162,"n.a.",(($B$243*(SUMPRODUCT($C$117:$G$117,(1+$A166)^(-$C$118:$G$118))+$G$117*(1+F$162)/($A166-F$162)*(1+$A166)^-5)+$B$244*(SUMPRODUCT($C$117:$G$117,(1+$A166)^(-$C$118:$G$118))+$B$236*(1+$A166)^-5))*(1+$A166)^$B$253+$B$257+$B$259+$B$260+$B$261)*(1+$B$221)^$B$254/$B$264)</f>
        <v>38.7294560155702</v>
      </c>
      <c r="G166" s="302"/>
    </row>
    <row r="167" customFormat="false" ht="15" hidden="false" customHeight="true" outlineLevel="0" collapsed="false">
      <c r="A167" s="338" t="n">
        <f aca="false">A166+$B$161</f>
        <v>0.110836989018968</v>
      </c>
      <c r="B167" s="307" t="n">
        <f aca="false">IF($A167&lt;=B$162,"n.a.",(($B$243*(SUMPRODUCT($C$117:$G$117,(1+$A167)^(-$C$118:$G$118))+$G$117*(1+B$162)/($A167-B$162)*(1+$A167)^-5)+$B$244*(SUMPRODUCT($C$117:$G$117,(1+$A167)^(-$C$118:$G$118))+$B$236*(1+$A167)^-5))*(1+$A167)^$B$253+$B$257+$B$259+$B$260+$B$261)*(1+$B$221)^$B$254/$B$264)</f>
        <v>31.8384453951374</v>
      </c>
      <c r="C167" s="307" t="n">
        <f aca="false">IF($A167&lt;=C$162,"n.a.",(($B$243*(SUMPRODUCT($C$117:$G$117,(1+$A167)^(-$C$118:$G$118))+$G$117*(1+C$162)/($A167-C$162)*(1+$A167)^-5)+$B$244*(SUMPRODUCT($C$117:$G$117,(1+$A167)^(-$C$118:$G$118))+$B$236*(1+$A167)^-5))*(1+$A167)^$B$253+$B$257+$B$259+$B$260+$B$261)*(1+$B$221)^$B$254/$B$264)</f>
        <v>32.766268588133</v>
      </c>
      <c r="D167" s="307" t="n">
        <f aca="false">IF($A167&lt;=D$162,"n.a.",(($B$243*(SUMPRODUCT($C$117:$G$117,(1+$A167)^(-$C$118:$G$118))+$G$117*(1+D$162)/($A167-D$162)*(1+$A167)^-5)+$B$244*(SUMPRODUCT($C$117:$G$117,(1+$A167)^(-$C$118:$G$118))+$B$236*(1+$A167)^-5))*(1+$A167)^$B$253+$B$257+$B$259+$B$260+$B$261)*(1+$B$221)^$B$254/$B$264)</f>
        <v>33.816436194455</v>
      </c>
      <c r="E167" s="307" t="n">
        <f aca="false">IF($A167&lt;=E$162,"n.a.",(($B$243*(SUMPRODUCT($C$117:$G$117,(1+$A167)^(-$C$118:$G$118))+$G$117*(1+E$162)/($A167-E$162)*(1+$A167)^-5)+$B$244*(SUMPRODUCT($C$117:$G$117,(1+$A167)^(-$C$118:$G$118))+$B$236*(1+$A167)^-5))*(1+$A167)^$B$253+$B$257+$B$259+$B$260+$B$261)*(1+$B$221)^$B$254/$B$264)</f>
        <v>35.0148551057612</v>
      </c>
      <c r="F167" s="307" t="n">
        <f aca="false">IF($A167&lt;=F$162,"n.a.",(($B$243*(SUMPRODUCT($C$117:$G$117,(1+$A167)^(-$C$118:$G$118))+$G$117*(1+F$162)/($A167-F$162)*(1+$A167)^-5)+$B$244*(SUMPRODUCT($C$117:$G$117,(1+$A167)^(-$C$118:$G$118))+$B$236*(1+$A167)^-5))*(1+$A167)^$B$253+$B$257+$B$259+$B$260+$B$261)*(1+$B$221)^$B$254/$B$264)</f>
        <v>36.3953022247914</v>
      </c>
      <c r="G167" s="302"/>
    </row>
    <row r="168" customFormat="false" ht="15" hidden="false" customHeight="true" outlineLevel="0" collapsed="false">
      <c r="A168" s="302" t="s">
        <v>1936</v>
      </c>
      <c r="B168" s="337" t="n">
        <f aca="false">D165-B265</f>
        <v>0</v>
      </c>
      <c r="C168" s="302"/>
      <c r="D168" s="302"/>
      <c r="E168" s="302"/>
      <c r="F168" s="302"/>
      <c r="G168" s="302"/>
    </row>
    <row r="169" customFormat="false" ht="15" hidden="false" customHeight="true" outlineLevel="0" collapsed="false">
      <c r="A169" s="298"/>
      <c r="B169" s="298"/>
      <c r="C169" s="298"/>
      <c r="D169" s="298"/>
      <c r="E169" s="298"/>
      <c r="F169" s="298"/>
      <c r="G169" s="298"/>
    </row>
    <row r="170" customFormat="false" ht="15" hidden="false" customHeight="true" outlineLevel="0" collapsed="false">
      <c r="A170" s="285" t="s">
        <v>1937</v>
      </c>
      <c r="B170" s="285" t="s">
        <v>1749</v>
      </c>
      <c r="C170" s="285" t="s">
        <v>1938</v>
      </c>
      <c r="D170" s="285" t="s">
        <v>1719</v>
      </c>
      <c r="E170" s="285" t="s">
        <v>1939</v>
      </c>
      <c r="F170" s="285" t="s">
        <v>1940</v>
      </c>
      <c r="G170" s="285" t="s">
        <v>1941</v>
      </c>
    </row>
    <row r="171" customFormat="false" ht="15" hidden="false" customHeight="false" outlineLevel="0" collapsed="false">
      <c r="A171" s="286" t="s">
        <v>1942</v>
      </c>
      <c r="B171" s="286" t="s">
        <v>1757</v>
      </c>
      <c r="C171" s="286" t="n">
        <v>4</v>
      </c>
      <c r="D171" s="286" t="s">
        <v>1943</v>
      </c>
      <c r="E171" s="286" t="s">
        <v>1944</v>
      </c>
      <c r="F171" s="286" t="s">
        <v>1442</v>
      </c>
      <c r="G171" s="286" t="n">
        <v>11</v>
      </c>
    </row>
    <row r="172" customFormat="false" ht="15" hidden="false" customHeight="false" outlineLevel="0" collapsed="false">
      <c r="A172" s="286" t="s">
        <v>1945</v>
      </c>
      <c r="B172" s="286" t="s">
        <v>1781</v>
      </c>
      <c r="C172" s="286" t="n">
        <v>3</v>
      </c>
      <c r="D172" s="286" t="s">
        <v>1943</v>
      </c>
      <c r="E172" s="286" t="s">
        <v>1944</v>
      </c>
      <c r="F172" s="286" t="s">
        <v>1761</v>
      </c>
      <c r="G172" s="286" t="n">
        <v>10</v>
      </c>
    </row>
    <row r="173" customFormat="false" ht="15" hidden="false" customHeight="false" outlineLevel="0" collapsed="false">
      <c r="A173" s="286" t="s">
        <v>1946</v>
      </c>
      <c r="B173" s="286" t="s">
        <v>1772</v>
      </c>
      <c r="C173" s="286" t="n">
        <v>5</v>
      </c>
      <c r="D173" s="286" t="s">
        <v>1943</v>
      </c>
      <c r="E173" s="286" t="s">
        <v>1948</v>
      </c>
      <c r="F173" s="286" t="s">
        <v>1442</v>
      </c>
      <c r="G173" s="286" t="n">
        <v>13</v>
      </c>
    </row>
    <row r="174" customFormat="false" ht="15" hidden="false" customHeight="false" outlineLevel="0" collapsed="false">
      <c r="A174" s="286" t="s">
        <v>1949</v>
      </c>
      <c r="B174" s="286" t="s">
        <v>1757</v>
      </c>
      <c r="C174" s="286" t="n">
        <v>3</v>
      </c>
      <c r="D174" s="286" t="s">
        <v>1950</v>
      </c>
      <c r="E174" s="286" t="s">
        <v>1944</v>
      </c>
      <c r="F174" s="286" t="s">
        <v>1442</v>
      </c>
      <c r="G174" s="286" t="n">
        <v>13</v>
      </c>
    </row>
    <row r="175" customFormat="false" ht="15" hidden="false" customHeight="false" outlineLevel="0" collapsed="false">
      <c r="A175" s="286" t="s">
        <v>1951</v>
      </c>
      <c r="B175" s="286" t="s">
        <v>1772</v>
      </c>
      <c r="C175" s="286" t="n">
        <v>3</v>
      </c>
      <c r="D175" s="286" t="s">
        <v>1950</v>
      </c>
      <c r="E175" s="286" t="s">
        <v>1948</v>
      </c>
      <c r="F175" s="286" t="s">
        <v>1442</v>
      </c>
      <c r="G175" s="286" t="n">
        <v>17</v>
      </c>
    </row>
    <row r="176" customFormat="false" ht="15" hidden="false" customHeight="false" outlineLevel="0" collapsed="false">
      <c r="A176" s="286" t="s">
        <v>1952</v>
      </c>
      <c r="B176" s="286" t="s">
        <v>1772</v>
      </c>
      <c r="C176" s="286" t="n">
        <v>3</v>
      </c>
      <c r="D176" s="286" t="s">
        <v>1943</v>
      </c>
      <c r="E176" s="286" t="s">
        <v>1944</v>
      </c>
      <c r="F176" s="286" t="s">
        <v>1953</v>
      </c>
      <c r="G176" s="286" t="s">
        <v>1954</v>
      </c>
    </row>
    <row r="177" customFormat="false" ht="15" hidden="false" customHeight="false" outlineLevel="0" collapsed="false">
      <c r="A177" s="286" t="s">
        <v>1955</v>
      </c>
      <c r="B177" s="286" t="s">
        <v>1772</v>
      </c>
      <c r="C177" s="286" t="n">
        <v>3</v>
      </c>
      <c r="D177" s="286" t="s">
        <v>1943</v>
      </c>
      <c r="E177" s="286" t="s">
        <v>1948</v>
      </c>
      <c r="F177" s="286" t="s">
        <v>1956</v>
      </c>
      <c r="G177" s="286" t="n">
        <v>125</v>
      </c>
    </row>
    <row r="178" customFormat="false" ht="15" hidden="false" customHeight="false" outlineLevel="0" collapsed="false">
      <c r="A178" s="286" t="s">
        <v>1957</v>
      </c>
      <c r="B178" s="286" t="s">
        <v>1772</v>
      </c>
      <c r="C178" s="286" t="n">
        <v>3</v>
      </c>
      <c r="D178" s="286" t="s">
        <v>1950</v>
      </c>
      <c r="E178" s="286" t="s">
        <v>1948</v>
      </c>
      <c r="F178" s="286" t="s">
        <v>1771</v>
      </c>
      <c r="G178" s="286" t="n">
        <v>35</v>
      </c>
    </row>
    <row r="179" customFormat="false" ht="15" hidden="false" customHeight="false" outlineLevel="0" collapsed="false">
      <c r="A179" s="286" t="s">
        <v>1958</v>
      </c>
      <c r="B179" s="286" t="s">
        <v>1772</v>
      </c>
      <c r="C179" s="286" t="n">
        <v>2</v>
      </c>
      <c r="D179" s="286" t="s">
        <v>1950</v>
      </c>
      <c r="E179" s="286" t="s">
        <v>1959</v>
      </c>
      <c r="F179" s="286" t="s">
        <v>5</v>
      </c>
      <c r="G179" s="286" t="n">
        <v>125</v>
      </c>
    </row>
    <row r="180" customFormat="false" ht="15" hidden="false" customHeight="false" outlineLevel="0" collapsed="false">
      <c r="A180" s="286" t="s">
        <v>1960</v>
      </c>
      <c r="B180" s="286" t="s">
        <v>1772</v>
      </c>
      <c r="C180" s="286" t="n">
        <v>4</v>
      </c>
      <c r="D180" s="286" t="s">
        <v>1943</v>
      </c>
      <c r="E180" s="286" t="s">
        <v>1959</v>
      </c>
      <c r="F180" s="286" t="s">
        <v>1442</v>
      </c>
      <c r="G180" s="286" t="n">
        <v>18</v>
      </c>
    </row>
    <row r="181" customFormat="false" ht="15" hidden="false" customHeight="false" outlineLevel="0" collapsed="false">
      <c r="A181" s="286" t="s">
        <v>1961</v>
      </c>
      <c r="B181" s="286" t="s">
        <v>1772</v>
      </c>
      <c r="C181" s="286" t="n">
        <v>3</v>
      </c>
      <c r="D181" s="286" t="s">
        <v>1943</v>
      </c>
      <c r="E181" s="286" t="s">
        <v>1944</v>
      </c>
      <c r="F181" s="286" t="s">
        <v>1442</v>
      </c>
      <c r="G181" s="286" t="n">
        <v>18</v>
      </c>
    </row>
    <row r="182" customFormat="false" ht="15" hidden="false" customHeight="false" outlineLevel="0" collapsed="false">
      <c r="A182" s="286" t="s">
        <v>1962</v>
      </c>
      <c r="B182" s="286" t="s">
        <v>1772</v>
      </c>
      <c r="C182" s="286" t="n">
        <v>2</v>
      </c>
      <c r="D182" s="286" t="s">
        <v>1943</v>
      </c>
      <c r="E182" s="286" t="s">
        <v>1948</v>
      </c>
      <c r="F182" s="286" t="s">
        <v>1771</v>
      </c>
      <c r="G182" s="286" t="n">
        <v>35</v>
      </c>
    </row>
    <row r="183" customFormat="false" ht="15" hidden="false" customHeight="false" outlineLevel="0" collapsed="false">
      <c r="A183" s="286" t="s">
        <v>1963</v>
      </c>
      <c r="B183" s="286" t="s">
        <v>1781</v>
      </c>
      <c r="C183" s="286" t="n">
        <v>4</v>
      </c>
      <c r="D183" s="286" t="s">
        <v>1943</v>
      </c>
      <c r="E183" s="286" t="s">
        <v>1964</v>
      </c>
      <c r="F183" s="286" t="s">
        <v>1965</v>
      </c>
      <c r="G183" s="286" t="s">
        <v>1966</v>
      </c>
    </row>
    <row r="184" customFormat="false" ht="15" hidden="false" customHeight="false" outlineLevel="0" collapsed="false">
      <c r="A184" s="286" t="s">
        <v>1967</v>
      </c>
      <c r="B184" s="286" t="s">
        <v>1772</v>
      </c>
      <c r="C184" s="286" t="n">
        <v>3</v>
      </c>
      <c r="D184" s="286" t="s">
        <v>1943</v>
      </c>
      <c r="E184" s="286" t="s">
        <v>1959</v>
      </c>
      <c r="F184" s="286" t="s">
        <v>1785</v>
      </c>
      <c r="G184" s="286" t="n">
        <v>33</v>
      </c>
    </row>
    <row r="185" customFormat="false" ht="15" hidden="false" customHeight="false" outlineLevel="0" collapsed="false">
      <c r="A185" s="286" t="s">
        <v>1968</v>
      </c>
      <c r="B185" s="286" t="s">
        <v>1772</v>
      </c>
      <c r="C185" s="286" t="n">
        <v>2</v>
      </c>
      <c r="D185" s="286" t="s">
        <v>1950</v>
      </c>
      <c r="E185" s="286" t="s">
        <v>1944</v>
      </c>
      <c r="F185" s="286" t="s">
        <v>1442</v>
      </c>
      <c r="G185" s="286" t="n">
        <v>21</v>
      </c>
    </row>
    <row r="186" customFormat="false" ht="15" hidden="false" customHeight="false" outlineLevel="0" collapsed="false">
      <c r="A186" s="286" t="s">
        <v>1969</v>
      </c>
      <c r="B186" s="286" t="s">
        <v>1772</v>
      </c>
      <c r="C186" s="286" t="n">
        <v>2</v>
      </c>
      <c r="D186" s="286" t="s">
        <v>1950</v>
      </c>
      <c r="E186" s="286" t="s">
        <v>1959</v>
      </c>
      <c r="F186" s="286" t="s">
        <v>1439</v>
      </c>
      <c r="G186" s="286" t="n">
        <v>52</v>
      </c>
    </row>
    <row r="187" customFormat="false" ht="15" hidden="false" customHeight="false" outlineLevel="0" collapsed="false">
      <c r="A187" s="286" t="s">
        <v>1970</v>
      </c>
      <c r="B187" s="286" t="s">
        <v>1757</v>
      </c>
      <c r="C187" s="286" t="n">
        <v>3</v>
      </c>
      <c r="D187" s="286" t="s">
        <v>1943</v>
      </c>
      <c r="E187" s="286" t="s">
        <v>1959</v>
      </c>
      <c r="F187" s="286" t="s">
        <v>1442</v>
      </c>
      <c r="G187" s="286" t="n">
        <v>19</v>
      </c>
    </row>
    <row r="188" customFormat="false" ht="15" hidden="false" customHeight="false" outlineLevel="0" collapsed="false">
      <c r="A188" s="286" t="s">
        <v>1971</v>
      </c>
      <c r="B188" s="286" t="s">
        <v>1772</v>
      </c>
      <c r="C188" s="286" t="n">
        <v>3</v>
      </c>
      <c r="D188" s="286" t="s">
        <v>1943</v>
      </c>
      <c r="E188" s="286" t="s">
        <v>1948</v>
      </c>
      <c r="F188" s="286" t="s">
        <v>1972</v>
      </c>
      <c r="G188" s="286" t="n">
        <v>34</v>
      </c>
    </row>
    <row r="189" customFormat="false" ht="15" hidden="false" customHeight="false" outlineLevel="0" collapsed="false">
      <c r="A189" s="286" t="s">
        <v>1973</v>
      </c>
      <c r="B189" s="286" t="s">
        <v>1772</v>
      </c>
      <c r="C189" s="286" t="n">
        <v>5</v>
      </c>
      <c r="D189" s="286" t="s">
        <v>1943</v>
      </c>
      <c r="E189" s="286" t="s">
        <v>1948</v>
      </c>
      <c r="F189" s="286" t="s">
        <v>1442</v>
      </c>
      <c r="G189" s="286" t="n">
        <v>15</v>
      </c>
    </row>
    <row r="190" customFormat="false" ht="15" hidden="false" customHeight="false" outlineLevel="0" collapsed="false">
      <c r="A190" s="286" t="s">
        <v>1974</v>
      </c>
      <c r="B190" s="286" t="s">
        <v>1772</v>
      </c>
      <c r="C190" s="286" t="n">
        <v>5</v>
      </c>
      <c r="D190" s="286" t="s">
        <v>1943</v>
      </c>
      <c r="E190" s="286" t="s">
        <v>1964</v>
      </c>
      <c r="F190" s="286" t="s">
        <v>1975</v>
      </c>
      <c r="G190" s="286" t="s">
        <v>1976</v>
      </c>
    </row>
    <row r="191" customFormat="false" ht="15" hidden="false" customHeight="false" outlineLevel="0" collapsed="false">
      <c r="A191" s="286" t="s">
        <v>1977</v>
      </c>
      <c r="B191" s="286" t="s">
        <v>1781</v>
      </c>
      <c r="C191" s="286" t="n">
        <v>4</v>
      </c>
      <c r="D191" s="286" t="s">
        <v>1943</v>
      </c>
      <c r="E191" s="286" t="s">
        <v>1978</v>
      </c>
      <c r="F191" s="286" t="s">
        <v>1979</v>
      </c>
      <c r="G191" s="286" t="s">
        <v>1980</v>
      </c>
    </row>
    <row r="192" customFormat="false" ht="15" hidden="false" customHeight="false" outlineLevel="0" collapsed="false">
      <c r="A192" s="286" t="s">
        <v>1981</v>
      </c>
      <c r="B192" s="286" t="s">
        <v>1781</v>
      </c>
      <c r="C192" s="286" t="n">
        <v>3</v>
      </c>
      <c r="D192" s="286" t="s">
        <v>1943</v>
      </c>
      <c r="E192" s="286" t="s">
        <v>1959</v>
      </c>
      <c r="F192" s="286" t="s">
        <v>1975</v>
      </c>
      <c r="G192" s="286" t="n">
        <v>16</v>
      </c>
    </row>
    <row r="193" customFormat="false" ht="15" hidden="false" customHeight="false" outlineLevel="0" collapsed="false">
      <c r="A193" s="286" t="s">
        <v>1982</v>
      </c>
      <c r="B193" s="286" t="s">
        <v>1781</v>
      </c>
      <c r="C193" s="286" t="n">
        <v>2</v>
      </c>
      <c r="D193" s="286" t="s">
        <v>1943</v>
      </c>
      <c r="E193" s="286" t="s">
        <v>1959</v>
      </c>
      <c r="F193" s="286" t="s">
        <v>1972</v>
      </c>
      <c r="G193" s="286" t="s">
        <v>1983</v>
      </c>
    </row>
    <row r="194" customFormat="false" ht="15" hidden="false" customHeight="false" outlineLevel="0" collapsed="false">
      <c r="A194" s="286" t="s">
        <v>1984</v>
      </c>
      <c r="B194" s="286" t="s">
        <v>1757</v>
      </c>
      <c r="C194" s="286" t="n">
        <v>2</v>
      </c>
      <c r="D194" s="286" t="s">
        <v>1943</v>
      </c>
      <c r="E194" s="286" t="s">
        <v>1959</v>
      </c>
      <c r="F194" s="286" t="s">
        <v>1827</v>
      </c>
      <c r="G194" s="286" t="n">
        <v>22</v>
      </c>
    </row>
    <row r="195" customFormat="false" ht="15" hidden="false" customHeight="false" outlineLevel="0" collapsed="false">
      <c r="A195" s="286" t="s">
        <v>1985</v>
      </c>
      <c r="B195" s="286" t="s">
        <v>1757</v>
      </c>
      <c r="C195" s="286" t="n">
        <v>2</v>
      </c>
      <c r="D195" s="286" t="s">
        <v>1950</v>
      </c>
      <c r="E195" s="286" t="s">
        <v>1978</v>
      </c>
      <c r="F195" s="286" t="s">
        <v>1972</v>
      </c>
      <c r="G195" s="286" t="n">
        <v>38</v>
      </c>
    </row>
    <row r="196" customFormat="false" ht="15" hidden="false" customHeight="false" outlineLevel="0" collapsed="false">
      <c r="A196" s="286" t="s">
        <v>1986</v>
      </c>
      <c r="B196" s="286" t="s">
        <v>1757</v>
      </c>
      <c r="C196" s="286" t="n">
        <v>4</v>
      </c>
      <c r="D196" s="286" t="s">
        <v>1943</v>
      </c>
      <c r="E196" s="286" t="s">
        <v>1948</v>
      </c>
      <c r="F196" s="286" t="s">
        <v>1972</v>
      </c>
      <c r="G196" s="286" t="n">
        <v>32</v>
      </c>
    </row>
    <row r="197" customFormat="false" ht="15" hidden="false" customHeight="false" outlineLevel="0" collapsed="false">
      <c r="A197" s="286" t="s">
        <v>1987</v>
      </c>
      <c r="B197" s="286" t="s">
        <v>1781</v>
      </c>
      <c r="C197" s="286" t="n">
        <v>3</v>
      </c>
      <c r="D197" s="286" t="s">
        <v>1943</v>
      </c>
      <c r="E197" s="286" t="s">
        <v>1948</v>
      </c>
      <c r="F197" s="286" t="s">
        <v>99</v>
      </c>
      <c r="G197" s="286" t="n">
        <v>47</v>
      </c>
    </row>
    <row r="198" customFormat="false" ht="15" hidden="false" customHeight="false" outlineLevel="0" collapsed="false">
      <c r="A198" s="286" t="s">
        <v>1988</v>
      </c>
      <c r="B198" s="286" t="s">
        <v>1772</v>
      </c>
      <c r="C198" s="286" t="n">
        <v>3</v>
      </c>
      <c r="D198" s="286" t="s">
        <v>1950</v>
      </c>
      <c r="E198" s="286" t="s">
        <v>1948</v>
      </c>
      <c r="F198" s="286" t="s">
        <v>1785</v>
      </c>
      <c r="G198" s="286" t="n">
        <v>36</v>
      </c>
    </row>
    <row r="199" customFormat="false" ht="15" hidden="false" customHeight="false" outlineLevel="0" collapsed="false">
      <c r="A199" s="286" t="s">
        <v>1989</v>
      </c>
      <c r="B199" s="286" t="s">
        <v>1772</v>
      </c>
      <c r="C199" s="286" t="n">
        <v>3</v>
      </c>
      <c r="D199" s="286" t="s">
        <v>1943</v>
      </c>
      <c r="E199" s="286" t="s">
        <v>1944</v>
      </c>
      <c r="F199" s="286" t="s">
        <v>1442</v>
      </c>
      <c r="G199" s="286" t="n">
        <v>17</v>
      </c>
    </row>
    <row r="200" customFormat="false" ht="15" hidden="false" customHeight="false" outlineLevel="0" collapsed="false">
      <c r="A200" s="286" t="s">
        <v>1990</v>
      </c>
      <c r="B200" s="286" t="s">
        <v>1772</v>
      </c>
      <c r="C200" s="286" t="n">
        <v>2</v>
      </c>
      <c r="D200" s="286" t="s">
        <v>1950</v>
      </c>
      <c r="E200" s="286" t="s">
        <v>1944</v>
      </c>
      <c r="F200" s="286" t="s">
        <v>1785</v>
      </c>
      <c r="G200" s="286" t="s">
        <v>1991</v>
      </c>
    </row>
    <row r="201" customFormat="false" ht="15" hidden="false" customHeight="true" outlineLevel="0" collapsed="false">
      <c r="A201" s="288"/>
      <c r="B201" s="288"/>
      <c r="C201" s="288"/>
      <c r="D201" s="288"/>
      <c r="E201" s="288"/>
      <c r="F201" s="288"/>
      <c r="G201" s="288"/>
    </row>
    <row r="202" customFormat="false" ht="15" hidden="false" customHeight="true" outlineLevel="0" collapsed="false">
      <c r="A202" s="288"/>
      <c r="B202" s="288"/>
      <c r="C202" s="288"/>
      <c r="D202" s="288"/>
      <c r="E202" s="288"/>
      <c r="F202" s="288"/>
      <c r="G202" s="288"/>
    </row>
    <row r="203" customFormat="false" ht="15" hidden="false" customHeight="true" outlineLevel="0" collapsed="false">
      <c r="A203" s="298"/>
      <c r="B203" s="298"/>
      <c r="C203" s="298"/>
      <c r="D203" s="298"/>
      <c r="E203" s="298"/>
      <c r="F203" s="298"/>
      <c r="G203" s="298"/>
    </row>
    <row r="204" customFormat="false" ht="15" hidden="false" customHeight="true" outlineLevel="0" collapsed="false">
      <c r="A204" s="298"/>
      <c r="B204" s="298"/>
      <c r="C204" s="298"/>
      <c r="D204" s="298"/>
      <c r="E204" s="298"/>
      <c r="F204" s="298"/>
      <c r="G204" s="298"/>
    </row>
    <row r="205" customFormat="false" ht="15" hidden="false" customHeight="true" outlineLevel="0" collapsed="false">
      <c r="A205" s="285" t="s">
        <v>1992</v>
      </c>
      <c r="B205" s="300" t="s">
        <v>78</v>
      </c>
      <c r="C205" s="300"/>
      <c r="D205" s="300"/>
      <c r="E205" s="300"/>
      <c r="F205" s="300"/>
      <c r="G205" s="300"/>
    </row>
    <row r="206" customFormat="false" ht="15" hidden="false" customHeight="false" outlineLevel="0" collapsed="false">
      <c r="A206" s="286" t="s">
        <v>1994</v>
      </c>
      <c r="B206" s="296" t="n">
        <f aca="false">C61+Escenarios!$F$15</f>
        <v>0.105184361897401</v>
      </c>
      <c r="C206" s="302"/>
      <c r="D206" s="302"/>
      <c r="E206" s="302"/>
      <c r="F206" s="302"/>
      <c r="G206" s="302"/>
    </row>
    <row r="207" customFormat="false" ht="15" hidden="false" customHeight="false" outlineLevel="0" collapsed="false">
      <c r="A207" s="286" t="s">
        <v>1995</v>
      </c>
      <c r="B207" s="296" t="n">
        <f aca="false">G55</f>
        <v>0.288010101095701</v>
      </c>
      <c r="C207" s="302"/>
      <c r="D207" s="302"/>
      <c r="E207" s="302"/>
      <c r="F207" s="302"/>
      <c r="G207" s="302"/>
    </row>
    <row r="208" customFormat="false" ht="15" hidden="false" customHeight="false" outlineLevel="0" collapsed="false">
      <c r="A208" s="286" t="s">
        <v>1996</v>
      </c>
      <c r="B208" s="296" t="n">
        <f aca="false">B206*(1-B207)</f>
        <v>0.074890203193644</v>
      </c>
      <c r="C208" s="302"/>
      <c r="D208" s="302"/>
      <c r="E208" s="302"/>
      <c r="F208" s="302"/>
      <c r="G208" s="302"/>
    </row>
    <row r="209" customFormat="false" ht="15" hidden="false" customHeight="false" outlineLevel="0" collapsed="false">
      <c r="A209" s="286" t="s">
        <v>1997</v>
      </c>
      <c r="B209" s="297" t="n">
        <f aca="false">B91+B92</f>
        <v>23618</v>
      </c>
      <c r="C209" s="302"/>
      <c r="D209" s="302"/>
      <c r="E209" s="302"/>
      <c r="F209" s="302"/>
      <c r="G209" s="302"/>
    </row>
    <row r="210" customFormat="false" ht="15" hidden="false" customHeight="false" outlineLevel="0" collapsed="false">
      <c r="A210" s="286" t="s">
        <v>1998</v>
      </c>
      <c r="B210" s="296" t="n">
        <f aca="false">WACC!B5+Escenarios!$F$14</f>
        <v>0.100354361897401</v>
      </c>
      <c r="C210" s="302"/>
      <c r="D210" s="302"/>
      <c r="E210" s="302"/>
      <c r="F210" s="302"/>
      <c r="G210" s="302"/>
    </row>
    <row r="211" customFormat="false" ht="15" hidden="false" customHeight="false" outlineLevel="0" collapsed="false">
      <c r="A211" s="286" t="s">
        <v>1999</v>
      </c>
      <c r="B211" s="296" t="n">
        <f aca="false">WACC!B8</f>
        <v>0.0423</v>
      </c>
      <c r="C211" s="302"/>
      <c r="D211" s="302"/>
      <c r="E211" s="302"/>
      <c r="F211" s="302"/>
      <c r="G211" s="302"/>
    </row>
    <row r="212" customFormat="false" ht="15" hidden="false" customHeight="false" outlineLevel="0" collapsed="false">
      <c r="A212" s="286" t="s">
        <v>2700</v>
      </c>
      <c r="B212" s="337" t="n">
        <f aca="false">Escenarios!$F$16</f>
        <v>0.170520815748403</v>
      </c>
      <c r="C212" s="302"/>
      <c r="D212" s="302"/>
      <c r="E212" s="302"/>
      <c r="F212" s="302"/>
      <c r="G212" s="302"/>
    </row>
    <row r="213" customFormat="false" ht="15" hidden="false" customHeight="false" outlineLevel="0" collapsed="false">
      <c r="A213" s="285" t="s">
        <v>2001</v>
      </c>
      <c r="B213" s="300" t="s">
        <v>2002</v>
      </c>
      <c r="C213" s="300" t="s">
        <v>2003</v>
      </c>
      <c r="D213" s="300" t="s">
        <v>1412</v>
      </c>
      <c r="E213" s="300" t="s">
        <v>2004</v>
      </c>
      <c r="F213" s="300" t="s">
        <v>2005</v>
      </c>
      <c r="G213" s="300" t="s">
        <v>2006</v>
      </c>
    </row>
    <row r="214" customFormat="false" ht="15" hidden="false" customHeight="false" outlineLevel="0" collapsed="false">
      <c r="A214" s="286" t="s">
        <v>2007</v>
      </c>
      <c r="B214" s="296" t="n">
        <f aca="false">WACC!B33</f>
        <v>0.100615773284249</v>
      </c>
      <c r="C214" s="297" t="n">
        <f aca="false">SUMPRODUCT($C$117:$G$117,(1+B214)^(-$C$118:$G$118))+$G$117*(1+$B$123)/(B214-$B$123)*(1+B214)^-5+$B$141+$B$142+$B$143</f>
        <v>73320.6767498426</v>
      </c>
      <c r="D214" s="304" t="n">
        <f aca="false">$B$209/C214</f>
        <v>0.322119230849171</v>
      </c>
      <c r="E214" s="304" t="n">
        <f aca="false">$B$212*(1+(1-$B$207)*D214)</f>
        <v>0.20962902113208</v>
      </c>
      <c r="F214" s="296" t="n">
        <f aca="false">$B$210+E214*$B$211</f>
        <v>0.109221669491288</v>
      </c>
      <c r="G214" s="296" t="n">
        <f aca="false">C214/(C214+$B$209)*F214+$B$209/(C214+$B$209)*$B$208</f>
        <v>0.100857200342301</v>
      </c>
    </row>
    <row r="215" customFormat="false" ht="15" hidden="false" customHeight="false" outlineLevel="0" collapsed="false">
      <c r="A215" s="286" t="n">
        <v>1</v>
      </c>
      <c r="B215" s="296" t="n">
        <f aca="false">G214</f>
        <v>0.100857200342301</v>
      </c>
      <c r="C215" s="297" t="n">
        <f aca="false">SUMPRODUCT($C$117:$G$117,(1+B215)^(-$C$118:$G$118))+$G$117*(1+$B$123)/(B215-$B$123)*(1+B215)^-5+$B$141+$B$142+$B$143</f>
        <v>73003.0737704103</v>
      </c>
      <c r="D215" s="304" t="n">
        <f aca="false">$B$209/C215</f>
        <v>0.323520624272301</v>
      </c>
      <c r="E215" s="304" t="n">
        <f aca="false">$B$212*(1+(1-$B$207)*D215)</f>
        <v>0.209799163044038</v>
      </c>
      <c r="F215" s="296" t="n">
        <f aca="false">$B$210+E215*$B$211</f>
        <v>0.109228866494164</v>
      </c>
      <c r="G215" s="296" t="n">
        <f aca="false">C215/(C215+$B$209)*F215+$B$209/(C215+$B$209)*$B$208</f>
        <v>0.100835143280543</v>
      </c>
    </row>
    <row r="216" customFormat="false" ht="15" hidden="false" customHeight="false" outlineLevel="0" collapsed="false">
      <c r="A216" s="286" t="n">
        <v>2</v>
      </c>
      <c r="B216" s="296" t="n">
        <f aca="false">G215</f>
        <v>0.100835143280543</v>
      </c>
      <c r="C216" s="297" t="n">
        <f aca="false">SUMPRODUCT($C$117:$G$117,(1+B216)^(-$C$118:$G$118))+$G$117*(1+$B$123)/(B216-$B$123)*(1+B216)^-5+$B$141+$B$142+$B$143</f>
        <v>73031.9938160242</v>
      </c>
      <c r="D216" s="304" t="n">
        <f aca="false">$B$209/C216</f>
        <v>0.323392512869037</v>
      </c>
      <c r="E216" s="304" t="n">
        <f aca="false">$B$212*(1+(1-$B$207)*D216)</f>
        <v>0.209783609154077</v>
      </c>
      <c r="F216" s="296" t="n">
        <f aca="false">$B$210+E216*$B$211</f>
        <v>0.109228208564619</v>
      </c>
      <c r="G216" s="296" t="n">
        <f aca="false">C216/(C216+$B$209)*F216+$B$209/(C216+$B$209)*$B$208</f>
        <v>0.100837157734389</v>
      </c>
    </row>
    <row r="217" customFormat="false" ht="15" hidden="false" customHeight="false" outlineLevel="0" collapsed="false">
      <c r="A217" s="286" t="n">
        <v>3</v>
      </c>
      <c r="B217" s="296" t="n">
        <f aca="false">G216</f>
        <v>0.100837157734389</v>
      </c>
      <c r="C217" s="297" t="n">
        <f aca="false">SUMPRODUCT($C$117:$G$117,(1+B217)^(-$C$118:$G$118))+$G$117*(1+$B$123)/(B217-$B$123)*(1+B217)^-5+$B$141+$B$142+$B$143</f>
        <v>73029.3517685089</v>
      </c>
      <c r="D217" s="304" t="n">
        <f aca="false">$B$209/C217</f>
        <v>0.323404212526289</v>
      </c>
      <c r="E217" s="304" t="n">
        <f aca="false">$B$212*(1+(1-$B$207)*D217)</f>
        <v>0.209785029598916</v>
      </c>
      <c r="F217" s="296" t="n">
        <f aca="false">$B$210+E217*$B$211</f>
        <v>0.109228268649436</v>
      </c>
      <c r="G217" s="296" t="n">
        <f aca="false">C217/(C217+$B$209)*F217+$B$209/(C217+$B$209)*$B$208</f>
        <v>0.100836973750043</v>
      </c>
    </row>
    <row r="218" customFormat="false" ht="15" hidden="false" customHeight="false" outlineLevel="0" collapsed="false">
      <c r="A218" s="286" t="n">
        <v>4</v>
      </c>
      <c r="B218" s="296" t="n">
        <f aca="false">G217</f>
        <v>0.100836973750043</v>
      </c>
      <c r="C218" s="297" t="n">
        <f aca="false">SUMPRODUCT($C$117:$G$117,(1+B218)^(-$C$118:$G$118))+$G$117*(1+$B$123)/(B218-$B$123)*(1+B218)^-5+$B$141+$B$142+$B$143</f>
        <v>73029.593065618</v>
      </c>
      <c r="D218" s="304" t="n">
        <f aca="false">$B$209/C218</f>
        <v>0.323403143966295</v>
      </c>
      <c r="E218" s="304" t="n">
        <f aca="false">$B$212*(1+(1-$B$207)*D218)</f>
        <v>0.20978489986601</v>
      </c>
      <c r="F218" s="296" t="n">
        <f aca="false">$B$210+E218*$B$211</f>
        <v>0.109228263161734</v>
      </c>
      <c r="G218" s="296" t="n">
        <f aca="false">C218/(C218+$B$209)*F218+$B$209/(C218+$B$209)*$B$208</f>
        <v>0.100836990553675</v>
      </c>
    </row>
    <row r="219" customFormat="false" ht="15" hidden="false" customHeight="false" outlineLevel="0" collapsed="false">
      <c r="A219" s="286" t="n">
        <v>5</v>
      </c>
      <c r="B219" s="296" t="n">
        <f aca="false">G218</f>
        <v>0.100836990553675</v>
      </c>
      <c r="C219" s="297" t="n">
        <f aca="false">SUMPRODUCT($C$117:$G$117,(1+B219)^(-$C$118:$G$118))+$G$117*(1+$B$123)/(B219-$B$123)*(1+B219)^-5+$B$141+$B$142+$B$143</f>
        <v>73029.5710274493</v>
      </c>
      <c r="D219" s="304" t="n">
        <f aca="false">$B$209/C219</f>
        <v>0.323403241559817</v>
      </c>
      <c r="E219" s="304" t="n">
        <f aca="false">$B$212*(1+(1-$B$207)*D219)</f>
        <v>0.209784911714752</v>
      </c>
      <c r="F219" s="296" t="n">
        <f aca="false">$B$210+E219*$B$211</f>
        <v>0.109228263662935</v>
      </c>
      <c r="G219" s="296" t="n">
        <f aca="false">C219/(C219+$B$209)*F219+$B$209/(C219+$B$209)*$B$208</f>
        <v>0.100836989018968</v>
      </c>
    </row>
    <row r="220" customFormat="false" ht="15" hidden="false" customHeight="false" outlineLevel="0" collapsed="false">
      <c r="A220" s="285" t="s">
        <v>2008</v>
      </c>
      <c r="B220" s="338" t="n">
        <f aca="false">G219</f>
        <v>0.100836989018968</v>
      </c>
      <c r="C220" s="300"/>
      <c r="D220" s="300"/>
      <c r="E220" s="300"/>
      <c r="F220" s="300"/>
      <c r="G220" s="300"/>
    </row>
    <row r="221" customFormat="false" ht="15" hidden="false" customHeight="false" outlineLevel="0" collapsed="false">
      <c r="A221" s="285" t="s">
        <v>2009</v>
      </c>
      <c r="B221" s="338" t="n">
        <f aca="false">F219</f>
        <v>0.109228263662935</v>
      </c>
      <c r="C221" s="300"/>
      <c r="D221" s="300"/>
      <c r="E221" s="300"/>
      <c r="F221" s="300"/>
      <c r="G221" s="300"/>
    </row>
    <row r="222" customFormat="false" ht="15" hidden="false" customHeight="false" outlineLevel="0" collapsed="false">
      <c r="A222" s="286" t="s">
        <v>2010</v>
      </c>
      <c r="B222" s="337" t="n">
        <f aca="false">(G219-G218)*10000</f>
        <v>-1.53470729180594E-005</v>
      </c>
      <c r="C222" s="303"/>
      <c r="D222" s="303"/>
      <c r="E222" s="303"/>
      <c r="F222" s="303"/>
      <c r="G222" s="303"/>
    </row>
    <row r="223" customFormat="false" ht="15" hidden="false" customHeight="false" outlineLevel="0" collapsed="false">
      <c r="A223" s="339"/>
      <c r="B223" s="339"/>
      <c r="C223" s="339"/>
      <c r="D223" s="339"/>
      <c r="E223" s="339"/>
      <c r="F223" s="339"/>
      <c r="G223" s="339"/>
    </row>
    <row r="224" customFormat="false" ht="15" hidden="false" customHeight="false" outlineLevel="0" collapsed="false">
      <c r="A224" s="339"/>
      <c r="B224" s="339"/>
      <c r="C224" s="339"/>
      <c r="D224" s="339"/>
      <c r="E224" s="339"/>
      <c r="F224" s="339"/>
      <c r="G224" s="339"/>
    </row>
    <row r="225" customFormat="false" ht="15" hidden="false" customHeight="false" outlineLevel="0" collapsed="false">
      <c r="A225" s="285" t="s">
        <v>2011</v>
      </c>
      <c r="B225" s="300" t="s">
        <v>1</v>
      </c>
      <c r="C225" s="300" t="s">
        <v>2</v>
      </c>
      <c r="D225" s="300" t="s">
        <v>3</v>
      </c>
      <c r="E225" s="300" t="s">
        <v>4</v>
      </c>
      <c r="F225" s="300"/>
      <c r="G225" s="300"/>
    </row>
    <row r="226" customFormat="false" ht="15" hidden="false" customHeight="false" outlineLevel="0" collapsed="false">
      <c r="A226" s="286" t="s">
        <v>1409</v>
      </c>
      <c r="B226" s="297" t="n">
        <f aca="false">WACC!B18</f>
        <v>59580</v>
      </c>
      <c r="C226" s="297" t="n">
        <f aca="false">WACC!C18</f>
        <v>813622.604529617</v>
      </c>
      <c r="D226" s="297" t="n">
        <f aca="false">WACC!D18</f>
        <v>89246.0254200776</v>
      </c>
      <c r="E226" s="297" t="n">
        <f aca="false">WACC!E18</f>
        <v>34190</v>
      </c>
      <c r="F226" s="303"/>
      <c r="G226" s="303"/>
    </row>
    <row r="227" customFormat="false" ht="15" hidden="false" customHeight="false" outlineLevel="0" collapsed="false">
      <c r="A227" s="286" t="s">
        <v>2013</v>
      </c>
      <c r="B227" s="297" t="n">
        <f aca="false">WACC!B21</f>
        <v>23618</v>
      </c>
      <c r="C227" s="297" t="n">
        <f aca="false">WACC!C21</f>
        <v>80848.1</v>
      </c>
      <c r="D227" s="297" t="n">
        <f aca="false">WACC!D21</f>
        <v>56744.34</v>
      </c>
      <c r="E227" s="297" t="n">
        <f aca="false">WACC!E21</f>
        <v>2441.8</v>
      </c>
      <c r="F227" s="303"/>
      <c r="G227" s="303"/>
    </row>
    <row r="228" customFormat="false" ht="15" hidden="false" customHeight="false" outlineLevel="0" collapsed="false">
      <c r="A228" s="286" t="s">
        <v>2701</v>
      </c>
      <c r="B228" s="297" t="n">
        <f aca="false">-WACC!B22</f>
        <v>-9295</v>
      </c>
      <c r="C228" s="297" t="n">
        <f aca="false">-WACC!C22</f>
        <v>-28591.2</v>
      </c>
      <c r="D228" s="297" t="n">
        <f aca="false">-WACC!D22</f>
        <v>-14640.16</v>
      </c>
      <c r="E228" s="297" t="n">
        <f aca="false">-WACC!E22</f>
        <v>-2962.8</v>
      </c>
      <c r="F228" s="303"/>
      <c r="G228" s="303"/>
    </row>
    <row r="229" customFormat="false" ht="15" hidden="false" customHeight="false" outlineLevel="0" collapsed="false">
      <c r="A229" s="286" t="s">
        <v>2015</v>
      </c>
      <c r="B229" s="297" t="n">
        <f aca="false">SUM(B226:B228)</f>
        <v>73903</v>
      </c>
      <c r="C229" s="297" t="n">
        <f aca="false">SUM(C226:C228)</f>
        <v>865879.504529617</v>
      </c>
      <c r="D229" s="297" t="n">
        <f aca="false">SUM(D226:D228)</f>
        <v>131350.205420078</v>
      </c>
      <c r="E229" s="297" t="n">
        <f aca="false">SUM(E226:E228)</f>
        <v>33669</v>
      </c>
      <c r="F229" s="303"/>
      <c r="G229" s="303"/>
    </row>
    <row r="230" customFormat="false" ht="15" hidden="false" customHeight="false" outlineLevel="0" collapsed="false">
      <c r="A230" s="286" t="s">
        <v>2016</v>
      </c>
      <c r="B230" s="297" t="n">
        <f aca="false">Datos!G9+Datos!G14</f>
        <v>11894</v>
      </c>
      <c r="C230" s="297" t="n">
        <f aca="false">Datos!G35+Datos!G40</f>
        <v>103446.9</v>
      </c>
      <c r="D230" s="297" t="n">
        <f aca="false">Datos!G61+Datos!G66</f>
        <v>24391.15</v>
      </c>
      <c r="E230" s="297" t="n">
        <f aca="false">Datos!G87+Datos!G92</f>
        <v>5214.81481788325</v>
      </c>
      <c r="F230" s="303"/>
      <c r="G230" s="303"/>
    </row>
    <row r="231" customFormat="false" ht="15" hidden="false" customHeight="false" outlineLevel="0" collapsed="false">
      <c r="A231" s="285" t="s">
        <v>2017</v>
      </c>
      <c r="B231" s="340" t="n">
        <f aca="false">B229/B230</f>
        <v>6.21346897595426</v>
      </c>
      <c r="C231" s="340" t="n">
        <f aca="false">C229/C230</f>
        <v>8.37027986850855</v>
      </c>
      <c r="D231" s="340" t="n">
        <f aca="false">D229/D230</f>
        <v>5.38515836358997</v>
      </c>
      <c r="E231" s="340" t="n">
        <f aca="false">E229/E230</f>
        <v>6.45641334847373</v>
      </c>
      <c r="F231" s="341"/>
      <c r="G231" s="341"/>
    </row>
    <row r="232" customFormat="false" ht="15" hidden="false" customHeight="false" outlineLevel="0" collapsed="false">
      <c r="A232" s="286" t="s">
        <v>2018</v>
      </c>
      <c r="B232" s="342" t="n">
        <f aca="false">MEDIAN(C231:E231)</f>
        <v>6.45641334847373</v>
      </c>
      <c r="C232" s="302"/>
      <c r="D232" s="302"/>
      <c r="E232" s="302"/>
      <c r="F232" s="302"/>
      <c r="G232" s="302"/>
    </row>
    <row r="233" customFormat="false" ht="15" hidden="false" customHeight="false" outlineLevel="0" collapsed="false">
      <c r="A233" s="286" t="s">
        <v>2702</v>
      </c>
      <c r="B233" s="296" t="n">
        <v>0.1</v>
      </c>
      <c r="C233" s="302"/>
      <c r="D233" s="302"/>
      <c r="E233" s="302"/>
      <c r="F233" s="302"/>
      <c r="G233" s="302"/>
    </row>
    <row r="234" customFormat="false" ht="15" hidden="false" customHeight="false" outlineLevel="0" collapsed="false">
      <c r="A234" s="286" t="s">
        <v>2020</v>
      </c>
      <c r="B234" s="342" t="n">
        <f aca="false">B232*(1-B233)</f>
        <v>5.81077201362635</v>
      </c>
      <c r="C234" s="302"/>
      <c r="D234" s="302"/>
      <c r="E234" s="302"/>
      <c r="F234" s="302"/>
      <c r="G234" s="302"/>
    </row>
    <row r="235" customFormat="false" ht="15" hidden="false" customHeight="false" outlineLevel="0" collapsed="false">
      <c r="A235" s="286" t="s">
        <v>2021</v>
      </c>
      <c r="B235" s="297" t="n">
        <f aca="false">G71</f>
        <v>12485.9239132783</v>
      </c>
      <c r="C235" s="302"/>
      <c r="D235" s="302"/>
      <c r="E235" s="302"/>
      <c r="F235" s="302"/>
      <c r="G235" s="302"/>
    </row>
    <row r="236" customFormat="false" ht="15" hidden="false" customHeight="false" outlineLevel="0" collapsed="false">
      <c r="A236" s="285" t="s">
        <v>2022</v>
      </c>
      <c r="B236" s="301" t="n">
        <f aca="false">B234*B235</f>
        <v>72552.8572395458</v>
      </c>
      <c r="C236" s="302"/>
      <c r="D236" s="302"/>
      <c r="E236" s="302"/>
      <c r="F236" s="302"/>
      <c r="G236" s="302"/>
    </row>
    <row r="237" customFormat="false" ht="15" hidden="false" customHeight="false" outlineLevel="0" collapsed="false">
      <c r="A237" s="286" t="s">
        <v>2023</v>
      </c>
      <c r="B237" s="297" t="n">
        <f aca="false">B236*G119</f>
        <v>44878.6155856704</v>
      </c>
      <c r="C237" s="302"/>
      <c r="D237" s="302"/>
      <c r="E237" s="302"/>
      <c r="F237" s="302"/>
      <c r="G237" s="302"/>
    </row>
    <row r="238" customFormat="false" ht="15" hidden="false" customHeight="false" outlineLevel="0" collapsed="false">
      <c r="A238" s="285" t="s">
        <v>2024</v>
      </c>
      <c r="B238" s="301" t="n">
        <f aca="false">B134+B237</f>
        <v>68905.0262284928</v>
      </c>
      <c r="C238" s="302"/>
      <c r="D238" s="302"/>
      <c r="E238" s="302"/>
      <c r="F238" s="302"/>
      <c r="G238" s="302"/>
    </row>
    <row r="239" customFormat="false" ht="15" hidden="false" customHeight="false" outlineLevel="0" collapsed="false">
      <c r="A239" s="286" t="s">
        <v>2025</v>
      </c>
      <c r="B239" s="297" t="n">
        <f aca="false">B238-B144</f>
        <v>54582.0262284928</v>
      </c>
      <c r="C239" s="302"/>
      <c r="D239" s="302"/>
      <c r="E239" s="302"/>
      <c r="F239" s="302"/>
      <c r="G239" s="302"/>
    </row>
    <row r="240" customFormat="false" ht="15" hidden="false" customHeight="false" outlineLevel="0" collapsed="false">
      <c r="A240" s="285" t="s">
        <v>2026</v>
      </c>
      <c r="B240" s="306" t="n">
        <f aca="false">B239/B149</f>
        <v>30.3233479047182</v>
      </c>
      <c r="C240" s="302"/>
      <c r="D240" s="302"/>
      <c r="E240" s="302"/>
      <c r="F240" s="302"/>
      <c r="G240" s="302"/>
    </row>
    <row r="241" customFormat="false" ht="15" hidden="false" customHeight="false" outlineLevel="0" collapsed="false">
      <c r="A241" s="286" t="s">
        <v>2027</v>
      </c>
      <c r="B241" s="342" t="n">
        <f aca="false">B129/G71</f>
        <v>8.19931469336017</v>
      </c>
      <c r="C241" s="302"/>
      <c r="D241" s="302"/>
      <c r="E241" s="302"/>
      <c r="F241" s="302"/>
      <c r="G241" s="302"/>
    </row>
    <row r="242" customFormat="false" ht="15" hidden="false" customHeight="false" outlineLevel="0" collapsed="false">
      <c r="A242" s="286" t="s">
        <v>2028</v>
      </c>
      <c r="B242" s="296" t="n">
        <f aca="false">(B236*B126-B127)/(B236+B127)</f>
        <v>0.0101664360512688</v>
      </c>
      <c r="C242" s="302"/>
      <c r="D242" s="302"/>
      <c r="E242" s="302"/>
      <c r="F242" s="302"/>
      <c r="G242" s="302"/>
    </row>
    <row r="243" customFormat="false" ht="15" hidden="false" customHeight="false" outlineLevel="0" collapsed="false">
      <c r="A243" s="286" t="s">
        <v>2029</v>
      </c>
      <c r="B243" s="296" t="n">
        <v>0.5</v>
      </c>
      <c r="C243" s="302"/>
      <c r="D243" s="302"/>
      <c r="E243" s="302"/>
      <c r="F243" s="302"/>
      <c r="G243" s="302"/>
    </row>
    <row r="244" customFormat="false" ht="15" hidden="false" customHeight="false" outlineLevel="0" collapsed="false">
      <c r="A244" s="286" t="s">
        <v>2030</v>
      </c>
      <c r="B244" s="296" t="n">
        <f aca="false">1-B243</f>
        <v>0.5</v>
      </c>
      <c r="C244" s="302"/>
      <c r="D244" s="302"/>
      <c r="E244" s="302"/>
      <c r="F244" s="302"/>
      <c r="G244" s="302"/>
    </row>
    <row r="245" customFormat="false" ht="15" hidden="false" customHeight="false" outlineLevel="0" collapsed="false">
      <c r="A245" s="286" t="s">
        <v>2031</v>
      </c>
      <c r="B245" s="297" t="n">
        <f aca="false">B243*B136+B244*B238</f>
        <v>78128.7996343645</v>
      </c>
      <c r="C245" s="302"/>
      <c r="D245" s="302"/>
      <c r="E245" s="302"/>
      <c r="F245" s="302"/>
      <c r="G245" s="302"/>
    </row>
    <row r="246" customFormat="false" ht="15" hidden="false" customHeight="false" outlineLevel="0" collapsed="false">
      <c r="A246" s="285" t="s">
        <v>2032</v>
      </c>
      <c r="B246" s="306" t="n">
        <f aca="false">B243*B150+B244*B240</f>
        <v>35.4476664635358</v>
      </c>
      <c r="C246" s="302"/>
      <c r="D246" s="302"/>
      <c r="E246" s="302"/>
      <c r="F246" s="302"/>
      <c r="G246" s="302"/>
    </row>
    <row r="247" customFormat="false" ht="15" hidden="false" customHeight="false" outlineLevel="0" collapsed="false">
      <c r="A247" s="339"/>
      <c r="B247" s="339"/>
      <c r="C247" s="339"/>
      <c r="D247" s="339"/>
      <c r="E247" s="339"/>
      <c r="F247" s="339"/>
      <c r="G247" s="339"/>
    </row>
    <row r="248" customFormat="false" ht="15" hidden="false" customHeight="false" outlineLevel="0" collapsed="false">
      <c r="A248" s="339"/>
      <c r="B248" s="339"/>
      <c r="C248" s="339"/>
      <c r="D248" s="339"/>
      <c r="E248" s="339"/>
      <c r="F248" s="339"/>
      <c r="G248" s="339"/>
    </row>
    <row r="249" customFormat="false" ht="15" hidden="false" customHeight="false" outlineLevel="0" collapsed="false">
      <c r="A249" s="285" t="s">
        <v>2033</v>
      </c>
      <c r="B249" s="300" t="s">
        <v>78</v>
      </c>
      <c r="C249" s="300"/>
      <c r="D249" s="300"/>
      <c r="E249" s="300"/>
      <c r="F249" s="300"/>
      <c r="G249" s="300"/>
    </row>
    <row r="250" customFormat="false" ht="15" hidden="false" customHeight="false" outlineLevel="0" collapsed="false">
      <c r="A250" s="286" t="s">
        <v>2035</v>
      </c>
      <c r="B250" s="343" t="n">
        <f aca="false">DATE(2025,12,31)</f>
        <v>46022</v>
      </c>
      <c r="C250" s="302"/>
      <c r="D250" s="302"/>
      <c r="E250" s="302"/>
      <c r="F250" s="302"/>
      <c r="G250" s="302"/>
    </row>
    <row r="251" customFormat="false" ht="15" hidden="false" customHeight="false" outlineLevel="0" collapsed="false">
      <c r="A251" s="286" t="s">
        <v>2036</v>
      </c>
      <c r="B251" s="343" t="n">
        <f aca="false">DATE(2026,6,30)</f>
        <v>46203</v>
      </c>
      <c r="C251" s="302"/>
      <c r="D251" s="302"/>
      <c r="E251" s="302"/>
      <c r="F251" s="302"/>
      <c r="G251" s="302"/>
    </row>
    <row r="252" customFormat="false" ht="15" hidden="false" customHeight="false" outlineLevel="0" collapsed="false">
      <c r="A252" s="286" t="s">
        <v>2037</v>
      </c>
      <c r="B252" s="343" t="n">
        <f aca="false">Rendimientos!H10</f>
        <v>46302</v>
      </c>
      <c r="C252" s="302"/>
      <c r="D252" s="302"/>
      <c r="E252" s="302"/>
      <c r="F252" s="302"/>
      <c r="G252" s="302"/>
    </row>
    <row r="253" customFormat="false" ht="15" hidden="false" customHeight="false" outlineLevel="0" collapsed="false">
      <c r="A253" s="286" t="s">
        <v>2038</v>
      </c>
      <c r="B253" s="337" t="n">
        <f aca="false">YEARFRAC(B250,B251)</f>
        <v>0.5</v>
      </c>
      <c r="C253" s="302"/>
      <c r="D253" s="302"/>
      <c r="E253" s="302"/>
      <c r="F253" s="302"/>
      <c r="G253" s="302"/>
    </row>
    <row r="254" customFormat="false" ht="15" hidden="false" customHeight="false" outlineLevel="0" collapsed="false">
      <c r="A254" s="286" t="s">
        <v>2039</v>
      </c>
      <c r="B254" s="337" t="n">
        <f aca="false">YEARFRAC(B251,B252)</f>
        <v>0.269444444444444</v>
      </c>
      <c r="C254" s="302"/>
      <c r="D254" s="302"/>
      <c r="E254" s="302"/>
      <c r="F254" s="302"/>
      <c r="G254" s="302"/>
    </row>
    <row r="255" customFormat="false" ht="15" hidden="false" customHeight="false" outlineLevel="0" collapsed="false">
      <c r="A255" s="286" t="s">
        <v>2040</v>
      </c>
      <c r="B255" s="297" t="n">
        <f aca="false">B245</f>
        <v>78128.7996343645</v>
      </c>
      <c r="C255" s="302"/>
      <c r="D255" s="302"/>
      <c r="E255" s="302"/>
      <c r="F255" s="302"/>
      <c r="G255" s="302"/>
    </row>
    <row r="256" customFormat="false" ht="15" hidden="false" customHeight="false" outlineLevel="0" collapsed="false">
      <c r="A256" s="286" t="s">
        <v>2671</v>
      </c>
      <c r="B256" s="297" t="n">
        <f aca="false">B255*(1+B126)^B253</f>
        <v>81973.3452899115</v>
      </c>
      <c r="C256" s="302"/>
      <c r="D256" s="302"/>
      <c r="E256" s="302"/>
      <c r="F256" s="302"/>
      <c r="G256" s="302"/>
    </row>
    <row r="257" customFormat="false" ht="15" hidden="false" customHeight="false" outlineLevel="0" collapsed="false">
      <c r="A257" s="286" t="s">
        <v>2672</v>
      </c>
      <c r="B257" s="297" t="n">
        <f aca="false">-((Datos!E15+Datos!F15)-(Datos!E16+Datos!F16))</f>
        <v>1060.497</v>
      </c>
      <c r="C257" s="302"/>
      <c r="D257" s="302"/>
      <c r="E257" s="302"/>
      <c r="F257" s="302"/>
      <c r="G257" s="302"/>
    </row>
    <row r="258" customFormat="false" ht="15" hidden="false" customHeight="false" outlineLevel="0" collapsed="false">
      <c r="A258" s="286" t="s">
        <v>2043</v>
      </c>
      <c r="B258" s="297" t="n">
        <f aca="false">B256+B257</f>
        <v>83033.8422899115</v>
      </c>
      <c r="C258" s="302"/>
      <c r="D258" s="302"/>
      <c r="E258" s="302"/>
      <c r="F258" s="302"/>
      <c r="G258" s="302"/>
    </row>
    <row r="259" customFormat="false" ht="15" hidden="false" customHeight="false" outlineLevel="0" collapsed="false">
      <c r="A259" s="286" t="s">
        <v>2258</v>
      </c>
      <c r="B259" s="297" t="n">
        <f aca="false">-(Datos!F25+Datos!F26)</f>
        <v>-11500</v>
      </c>
      <c r="C259" s="302"/>
      <c r="D259" s="302"/>
      <c r="E259" s="302"/>
      <c r="F259" s="302"/>
      <c r="G259" s="302"/>
    </row>
    <row r="260" customFormat="false" ht="15" hidden="false" customHeight="false" outlineLevel="0" collapsed="false">
      <c r="A260" s="286" t="s">
        <v>2259</v>
      </c>
      <c r="B260" s="297" t="n">
        <f aca="false">-(Datos!F27+Datos!F28)</f>
        <v>-12220.588</v>
      </c>
      <c r="C260" s="302"/>
      <c r="D260" s="302"/>
      <c r="E260" s="302"/>
      <c r="F260" s="302"/>
      <c r="G260" s="302"/>
    </row>
    <row r="261" customFormat="false" ht="15" hidden="false" customHeight="false" outlineLevel="0" collapsed="false">
      <c r="A261" s="286" t="s">
        <v>2046</v>
      </c>
      <c r="B261" s="297" t="n">
        <f aca="false">Datos!F17</f>
        <v>6875.384</v>
      </c>
      <c r="C261" s="302"/>
      <c r="D261" s="302"/>
      <c r="E261" s="302"/>
      <c r="F261" s="302"/>
      <c r="G261" s="302"/>
    </row>
    <row r="262" customFormat="false" ht="15" hidden="false" customHeight="false" outlineLevel="0" collapsed="false">
      <c r="A262" s="285" t="s">
        <v>2047</v>
      </c>
      <c r="B262" s="301" t="n">
        <f aca="false">SUM(B258:B261)</f>
        <v>66188.6382899115</v>
      </c>
      <c r="C262" s="302"/>
      <c r="D262" s="302"/>
      <c r="E262" s="302"/>
      <c r="F262" s="302"/>
      <c r="G262" s="302"/>
    </row>
    <row r="263" customFormat="false" ht="15" hidden="false" customHeight="false" outlineLevel="0" collapsed="false">
      <c r="A263" s="285" t="s">
        <v>2673</v>
      </c>
      <c r="B263" s="301" t="n">
        <f aca="false">B262*(1+B221)^B254</f>
        <v>68063.4697806684</v>
      </c>
      <c r="C263" s="302"/>
      <c r="D263" s="302"/>
      <c r="E263" s="302"/>
      <c r="F263" s="302"/>
      <c r="G263" s="302"/>
    </row>
    <row r="264" customFormat="false" ht="15" hidden="false" customHeight="false" outlineLevel="0" collapsed="false">
      <c r="A264" s="286" t="s">
        <v>57</v>
      </c>
      <c r="B264" s="305" t="n">
        <f aca="false">B149</f>
        <v>1800</v>
      </c>
      <c r="C264" s="302"/>
      <c r="D264" s="302"/>
      <c r="E264" s="302"/>
      <c r="F264" s="302"/>
      <c r="G264" s="302"/>
    </row>
    <row r="265" customFormat="false" ht="15" hidden="false" customHeight="false" outlineLevel="0" collapsed="false">
      <c r="A265" s="285" t="s">
        <v>2049</v>
      </c>
      <c r="B265" s="306" t="n">
        <f aca="false">B263/B264</f>
        <v>37.813038767038</v>
      </c>
      <c r="C265" s="302"/>
      <c r="D265" s="302"/>
      <c r="E265" s="302"/>
      <c r="F265" s="302"/>
      <c r="G265" s="302"/>
    </row>
    <row r="266" customFormat="false" ht="15" hidden="false" customHeight="false" outlineLevel="0" collapsed="false">
      <c r="A266" s="286" t="s">
        <v>16</v>
      </c>
      <c r="B266" s="307" t="n">
        <f aca="false">B151</f>
        <v>33.1</v>
      </c>
      <c r="C266" s="302"/>
      <c r="D266" s="302"/>
      <c r="E266" s="302"/>
      <c r="F266" s="302"/>
      <c r="G266" s="302"/>
    </row>
    <row r="267" customFormat="false" ht="15" hidden="false" customHeight="false" outlineLevel="0" collapsed="false">
      <c r="A267" s="286" t="s">
        <v>17</v>
      </c>
      <c r="B267" s="295" t="n">
        <f aca="false">B265/B266-1</f>
        <v>0.142387878158248</v>
      </c>
      <c r="C267" s="302"/>
      <c r="D267" s="302"/>
      <c r="E267" s="302"/>
      <c r="F267" s="302"/>
      <c r="G267" s="302"/>
    </row>
    <row r="268" customFormat="false" ht="15" hidden="false" customHeight="false" outlineLevel="0" collapsed="false">
      <c r="A268" s="285" t="s">
        <v>2050</v>
      </c>
      <c r="B268" s="338" t="str">
        <f aca="false">IF(B267&gt;B155,"COMPRAR",IF(B267&lt;-B155,"VENDER","MANTENER"))</f>
        <v>MANTENER</v>
      </c>
      <c r="C268" s="302"/>
      <c r="D268" s="302"/>
      <c r="E268" s="302"/>
      <c r="F268" s="302"/>
      <c r="G268" s="302"/>
    </row>
    <row r="269" customFormat="false" ht="15" hidden="false" customHeight="false" outlineLevel="0" collapsed="false">
      <c r="A269" s="286" t="s">
        <v>18</v>
      </c>
      <c r="B269" s="307" t="n">
        <f aca="false">Generales!B24</f>
        <v>23.357</v>
      </c>
      <c r="C269" s="302"/>
      <c r="D269" s="302"/>
      <c r="E269" s="302"/>
      <c r="F269" s="302"/>
      <c r="G269" s="302"/>
    </row>
    <row r="270" customFormat="false" ht="15" hidden="false" customHeight="false" outlineLevel="0" collapsed="false">
      <c r="A270" s="286" t="s">
        <v>2051</v>
      </c>
      <c r="B270" s="295" t="n">
        <f aca="false">B265/B269-1</f>
        <v>0.618916760159183</v>
      </c>
      <c r="C270" s="302"/>
      <c r="D270" s="302"/>
      <c r="E270" s="302"/>
      <c r="F270" s="302"/>
      <c r="G270" s="30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6796875" defaultRowHeight="15" zeroHeight="false" outlineLevelRow="0" outlineLevelCol="0"/>
  <cols>
    <col collapsed="false" customWidth="true" hidden="false" outlineLevel="0" max="1" min="1" style="0" width="61.16"/>
    <col collapsed="false" customWidth="true" hidden="false" outlineLevel="0" max="7" min="2" style="0" width="17.5"/>
  </cols>
  <sheetData>
    <row r="1" customFormat="false" ht="15" hidden="false" customHeight="true" outlineLevel="0" collapsed="false">
      <c r="A1" s="344" t="s">
        <v>2703</v>
      </c>
      <c r="B1" s="345"/>
      <c r="C1" s="345"/>
      <c r="D1" s="345"/>
      <c r="E1" s="345"/>
      <c r="F1" s="345"/>
      <c r="G1" s="345"/>
    </row>
    <row r="2" customFormat="false" ht="15" hidden="false" customHeight="true" outlineLevel="0" collapsed="false">
      <c r="A2" s="346" t="s">
        <v>2675</v>
      </c>
      <c r="B2" s="345"/>
      <c r="C2" s="345"/>
      <c r="D2" s="345"/>
      <c r="E2" s="345"/>
      <c r="F2" s="345"/>
      <c r="G2" s="345"/>
    </row>
    <row r="3" customFormat="false" ht="15" hidden="false" customHeight="true" outlineLevel="0" collapsed="false">
      <c r="A3" s="347"/>
      <c r="B3" s="345"/>
      <c r="C3" s="345"/>
      <c r="D3" s="345"/>
      <c r="E3" s="345"/>
      <c r="F3" s="345"/>
      <c r="G3" s="345"/>
    </row>
    <row r="4" customFormat="false" ht="15" hidden="false" customHeight="true" outlineLevel="0" collapsed="false">
      <c r="A4" s="345"/>
      <c r="B4" s="345"/>
      <c r="C4" s="345"/>
      <c r="D4" s="345"/>
      <c r="E4" s="345"/>
      <c r="F4" s="345"/>
      <c r="G4" s="345"/>
    </row>
    <row r="5" customFormat="false" ht="15" hidden="false" customHeight="true" outlineLevel="0" collapsed="false">
      <c r="A5" s="285" t="s">
        <v>1831</v>
      </c>
      <c r="B5" s="285" t="s">
        <v>1428</v>
      </c>
      <c r="C5" s="285" t="s">
        <v>1429</v>
      </c>
      <c r="D5" s="285" t="s">
        <v>1430</v>
      </c>
      <c r="E5" s="285" t="s">
        <v>1431</v>
      </c>
      <c r="F5" s="285" t="s">
        <v>1432</v>
      </c>
      <c r="G5" s="285" t="s">
        <v>1433</v>
      </c>
    </row>
    <row r="6" customFormat="false" ht="15" hidden="false" customHeight="true" outlineLevel="0" collapsed="false">
      <c r="A6" s="286" t="s">
        <v>1833</v>
      </c>
      <c r="B6" s="286"/>
      <c r="C6" s="287" t="n">
        <v>0.7</v>
      </c>
      <c r="D6" s="287" t="n">
        <v>0.7</v>
      </c>
      <c r="E6" s="287" t="n">
        <v>0.75</v>
      </c>
      <c r="F6" s="287" t="n">
        <v>0.8</v>
      </c>
      <c r="G6" s="287" t="n">
        <v>0.85</v>
      </c>
    </row>
    <row r="7" customFormat="false" ht="15" hidden="false" customHeight="true" outlineLevel="0" collapsed="false">
      <c r="A7" s="286" t="s">
        <v>1834</v>
      </c>
      <c r="B7" s="286"/>
      <c r="C7" s="287" t="n">
        <f aca="false">1-C6</f>
        <v>0.3</v>
      </c>
      <c r="D7" s="287" t="n">
        <f aca="false">1-D6</f>
        <v>0.3</v>
      </c>
      <c r="E7" s="287" t="n">
        <f aca="false">1-E6</f>
        <v>0.25</v>
      </c>
      <c r="F7" s="287" t="n">
        <f aca="false">1-F6</f>
        <v>0.2</v>
      </c>
      <c r="G7" s="287" t="n">
        <f aca="false">1-G6</f>
        <v>0.15</v>
      </c>
    </row>
    <row r="8" customFormat="false" ht="15" hidden="false" customHeight="true" outlineLevel="0" collapsed="false">
      <c r="A8" s="288"/>
      <c r="B8" s="288"/>
      <c r="C8" s="288"/>
      <c r="D8" s="288"/>
      <c r="E8" s="288"/>
      <c r="F8" s="288"/>
      <c r="G8" s="288"/>
    </row>
    <row r="9" customFormat="false" ht="15" hidden="false" customHeight="true" outlineLevel="0" collapsed="false">
      <c r="A9" s="285" t="s">
        <v>1835</v>
      </c>
      <c r="B9" s="285" t="s">
        <v>1428</v>
      </c>
      <c r="C9" s="285" t="s">
        <v>1429</v>
      </c>
      <c r="D9" s="285" t="s">
        <v>1430</v>
      </c>
      <c r="E9" s="285" t="s">
        <v>1431</v>
      </c>
      <c r="F9" s="285" t="s">
        <v>1432</v>
      </c>
      <c r="G9" s="285" t="s">
        <v>1433</v>
      </c>
    </row>
    <row r="10" customFormat="false" ht="15" hidden="false" customHeight="true" outlineLevel="0" collapsed="false">
      <c r="A10" s="286" t="s">
        <v>1837</v>
      </c>
      <c r="B10" s="286"/>
      <c r="C10" s="289" t="n">
        <f aca="false">Escenarios!$G$7</f>
        <v>0.0333</v>
      </c>
      <c r="D10" s="289" t="n">
        <f aca="false">Escenarios!$G$7</f>
        <v>0.0333</v>
      </c>
      <c r="E10" s="289" t="n">
        <f aca="false">Escenarios!$G$7</f>
        <v>0.0333</v>
      </c>
      <c r="F10" s="289" t="n">
        <f aca="false">Escenarios!$G$7</f>
        <v>0.0333</v>
      </c>
      <c r="G10" s="289" t="n">
        <f aca="false">Escenarios!$G$7</f>
        <v>0.0333</v>
      </c>
    </row>
    <row r="11" customFormat="false" ht="15" hidden="false" customHeight="true" outlineLevel="0" collapsed="false">
      <c r="A11" s="286" t="s">
        <v>1838</v>
      </c>
      <c r="B11" s="286"/>
      <c r="C11" s="289" t="n">
        <v>0.014</v>
      </c>
      <c r="D11" s="289" t="n">
        <v>0.018</v>
      </c>
      <c r="E11" s="289" t="n">
        <v>0.02</v>
      </c>
      <c r="F11" s="289" t="n">
        <v>0.02</v>
      </c>
      <c r="G11" s="289" t="n">
        <v>0.02</v>
      </c>
    </row>
    <row r="12" customFormat="false" ht="15" hidden="false" customHeight="true" outlineLevel="0" collapsed="false">
      <c r="A12" s="286" t="s">
        <v>1839</v>
      </c>
      <c r="B12" s="286"/>
      <c r="C12" s="290" t="n">
        <v>0.5</v>
      </c>
      <c r="D12" s="290" t="n">
        <v>0.5</v>
      </c>
      <c r="E12" s="290" t="n">
        <v>0.5</v>
      </c>
      <c r="F12" s="290" t="n">
        <v>0.5</v>
      </c>
      <c r="G12" s="290" t="n">
        <v>0.5</v>
      </c>
    </row>
    <row r="13" customFormat="false" ht="15" hidden="false" customHeight="true" outlineLevel="0" collapsed="false">
      <c r="A13" s="286" t="s">
        <v>1840</v>
      </c>
      <c r="B13" s="286"/>
      <c r="C13" s="289" t="n">
        <v>-0.04</v>
      </c>
      <c r="D13" s="289" t="n">
        <v>-0.015</v>
      </c>
      <c r="E13" s="289" t="n">
        <v>-0.005</v>
      </c>
      <c r="F13" s="289" t="n">
        <v>0</v>
      </c>
      <c r="G13" s="289" t="n">
        <v>0</v>
      </c>
    </row>
    <row r="14" customFormat="false" ht="15" hidden="false" customHeight="true" outlineLevel="0" collapsed="false">
      <c r="A14" s="285" t="s">
        <v>1841</v>
      </c>
      <c r="B14" s="285"/>
      <c r="C14" s="291" t="n">
        <f aca="false">C10+C11*C12+C13</f>
        <v>0.000300000000000002</v>
      </c>
      <c r="D14" s="291" t="n">
        <f aca="false">D10+D11*D12+D13</f>
        <v>0.0273</v>
      </c>
      <c r="E14" s="291" t="n">
        <f aca="false">E10+E11*E12+E13</f>
        <v>0.0383</v>
      </c>
      <c r="F14" s="291" t="n">
        <f aca="false">F10+F11*F12+F13</f>
        <v>0.0433</v>
      </c>
      <c r="G14" s="291" t="n">
        <f aca="false">G10+G11*G12+G13</f>
        <v>0.0433</v>
      </c>
    </row>
    <row r="15" customFormat="false" ht="15" hidden="false" customHeight="true" outlineLevel="0" collapsed="false">
      <c r="A15" s="286" t="s">
        <v>2676</v>
      </c>
      <c r="B15" s="286"/>
      <c r="C15" s="289" t="n">
        <v>-0.03</v>
      </c>
      <c r="D15" s="289" t="n">
        <v>-0.02</v>
      </c>
      <c r="E15" s="289" t="n">
        <v>-0.0125</v>
      </c>
      <c r="F15" s="289" t="n">
        <v>-0.01</v>
      </c>
      <c r="G15" s="289" t="n">
        <v>-0.0075</v>
      </c>
    </row>
    <row r="16" customFormat="false" ht="15" hidden="false" customHeight="true" outlineLevel="0" collapsed="false">
      <c r="A16" s="286" t="s">
        <v>2677</v>
      </c>
      <c r="B16" s="286"/>
      <c r="C16" s="289" t="n">
        <v>-0.01</v>
      </c>
      <c r="D16" s="289" t="n">
        <v>-0.005</v>
      </c>
      <c r="E16" s="289" t="n">
        <v>0</v>
      </c>
      <c r="F16" s="289" t="n">
        <v>0</v>
      </c>
      <c r="G16" s="289" t="n">
        <v>0</v>
      </c>
    </row>
    <row r="17" customFormat="false" ht="15" hidden="false" customHeight="true" outlineLevel="0" collapsed="false">
      <c r="A17" s="286" t="s">
        <v>2678</v>
      </c>
      <c r="B17" s="286"/>
      <c r="C17" s="289" t="n">
        <v>-0.003</v>
      </c>
      <c r="D17" s="289" t="n">
        <v>-0.002</v>
      </c>
      <c r="E17" s="289" t="n">
        <v>-0.001</v>
      </c>
      <c r="F17" s="289" t="n">
        <v>0</v>
      </c>
      <c r="G17" s="289" t="n">
        <v>0</v>
      </c>
    </row>
    <row r="18" customFormat="false" ht="15" hidden="false" customHeight="true" outlineLevel="0" collapsed="false">
      <c r="A18" s="286" t="s">
        <v>2679</v>
      </c>
      <c r="B18" s="286"/>
      <c r="C18" s="289" t="n">
        <v>-0.002</v>
      </c>
      <c r="D18" s="289" t="n">
        <v>-0.003</v>
      </c>
      <c r="E18" s="289" t="n">
        <v>-0.001</v>
      </c>
      <c r="F18" s="289" t="n">
        <v>0</v>
      </c>
      <c r="G18" s="289" t="n">
        <v>0</v>
      </c>
    </row>
    <row r="19" customFormat="false" ht="15" hidden="false" customHeight="true" outlineLevel="0" collapsed="false">
      <c r="A19" s="286" t="s">
        <v>2680</v>
      </c>
      <c r="B19" s="286"/>
      <c r="C19" s="289" t="n">
        <v>0.002</v>
      </c>
      <c r="D19" s="289" t="n">
        <v>0.003</v>
      </c>
      <c r="E19" s="289" t="n">
        <v>0.003</v>
      </c>
      <c r="F19" s="289" t="n">
        <v>0.002</v>
      </c>
      <c r="G19" s="289" t="n">
        <v>0.002</v>
      </c>
    </row>
    <row r="20" customFormat="false" ht="15" hidden="false" customHeight="true" outlineLevel="0" collapsed="false">
      <c r="A20" s="286" t="s">
        <v>2681</v>
      </c>
      <c r="B20" s="286"/>
      <c r="C20" s="289" t="n">
        <v>0.003</v>
      </c>
      <c r="D20" s="289" t="n">
        <v>0.004</v>
      </c>
      <c r="E20" s="289" t="n">
        <v>0.005</v>
      </c>
      <c r="F20" s="289" t="n">
        <v>0.005</v>
      </c>
      <c r="G20" s="289" t="n">
        <v>0.005</v>
      </c>
    </row>
    <row r="21" customFormat="false" ht="15" hidden="false" customHeight="true" outlineLevel="0" collapsed="false">
      <c r="A21" s="286" t="s">
        <v>2682</v>
      </c>
      <c r="B21" s="286"/>
      <c r="C21" s="289" t="n">
        <v>-0.002</v>
      </c>
      <c r="D21" s="289" t="n">
        <v>-0.002</v>
      </c>
      <c r="E21" s="289" t="n">
        <v>-0.001</v>
      </c>
      <c r="F21" s="289" t="n">
        <v>0</v>
      </c>
      <c r="G21" s="289" t="n">
        <v>0</v>
      </c>
    </row>
    <row r="22" customFormat="false" ht="15" hidden="false" customHeight="true" outlineLevel="0" collapsed="false">
      <c r="A22" s="286" t="s">
        <v>2683</v>
      </c>
      <c r="B22" s="286"/>
      <c r="C22" s="289" t="n">
        <v>0.001</v>
      </c>
      <c r="D22" s="289" t="n">
        <v>0.002</v>
      </c>
      <c r="E22" s="289" t="n">
        <v>0.002</v>
      </c>
      <c r="F22" s="289" t="n">
        <v>0.002</v>
      </c>
      <c r="G22" s="289" t="n">
        <v>0.002</v>
      </c>
    </row>
    <row r="23" customFormat="false" ht="15" hidden="false" customHeight="true" outlineLevel="0" collapsed="false">
      <c r="A23" s="285" t="s">
        <v>1850</v>
      </c>
      <c r="B23" s="285"/>
      <c r="C23" s="291" t="n">
        <f aca="false">C14+SUM(C15:C22)+Escenarios!$G$8</f>
        <v>-0.0407</v>
      </c>
      <c r="D23" s="291" t="n">
        <f aca="false">D14+SUM(D15:D22)+Escenarios!$G$8</f>
        <v>0.00430000000000001</v>
      </c>
      <c r="E23" s="291" t="n">
        <f aca="false">E14+SUM(E15:E22)+Escenarios!$G$8</f>
        <v>0.0328</v>
      </c>
      <c r="F23" s="291" t="n">
        <f aca="false">F14+SUM(F15:F22)+Escenarios!$G$8</f>
        <v>0.0423</v>
      </c>
      <c r="G23" s="291" t="n">
        <f aca="false">G14+SUM(G15:G22)+Escenarios!$G$8</f>
        <v>0.0448</v>
      </c>
    </row>
    <row r="24" customFormat="false" ht="15" hidden="false" customHeight="true" outlineLevel="0" collapsed="false">
      <c r="A24" s="288"/>
      <c r="B24" s="288"/>
      <c r="C24" s="288"/>
      <c r="D24" s="288"/>
      <c r="E24" s="288"/>
      <c r="F24" s="288"/>
      <c r="G24" s="288"/>
    </row>
    <row r="25" customFormat="false" ht="15" hidden="false" customHeight="true" outlineLevel="0" collapsed="false">
      <c r="A25" s="285" t="s">
        <v>1851</v>
      </c>
      <c r="B25" s="285" t="s">
        <v>1428</v>
      </c>
      <c r="C25" s="285" t="s">
        <v>1429</v>
      </c>
      <c r="D25" s="285" t="s">
        <v>1430</v>
      </c>
      <c r="E25" s="285" t="s">
        <v>1431</v>
      </c>
      <c r="F25" s="285" t="s">
        <v>1432</v>
      </c>
      <c r="G25" s="285" t="s">
        <v>1433</v>
      </c>
    </row>
    <row r="26" customFormat="false" ht="15" hidden="false" customHeight="true" outlineLevel="0" collapsed="false">
      <c r="A26" s="286" t="s">
        <v>1852</v>
      </c>
      <c r="B26" s="292" t="n">
        <f aca="false">'MC Soriana'!G6</f>
        <v>174278</v>
      </c>
      <c r="C26" s="292" t="n">
        <f aca="false">'MC Soriana'!F6</f>
        <v>163936.6</v>
      </c>
      <c r="D26" s="292" t="n">
        <f aca="false">C26+16*('MC Soriana'!$C$6-'MC Soriana'!$B$6)</f>
        <v>153151</v>
      </c>
      <c r="E26" s="292" t="n">
        <f aca="false">D26+16*('MC Soriana'!$C$6-'MC Soriana'!$B$6)</f>
        <v>142365.4</v>
      </c>
      <c r="F26" s="292" t="n">
        <f aca="false">E26+16*('MC Soriana'!$C$6-'MC Soriana'!$B$6)</f>
        <v>131579.8</v>
      </c>
      <c r="G26" s="292" t="n">
        <f aca="false">F26+16*('MC Soriana'!$C$6-'MC Soriana'!$B$6)</f>
        <v>120794.2</v>
      </c>
    </row>
    <row r="27" customFormat="false" ht="15" hidden="false" customHeight="true" outlineLevel="0" collapsed="false">
      <c r="A27" s="286" t="s">
        <v>1853</v>
      </c>
      <c r="B27" s="286"/>
      <c r="C27" s="287" t="n">
        <f aca="false">C26/B26-1</f>
        <v>-0.0593385280987848</v>
      </c>
      <c r="D27" s="287" t="n">
        <f aca="false">D26/C26-1</f>
        <v>-0.0657912876075262</v>
      </c>
      <c r="E27" s="287" t="n">
        <f aca="false">E26/D26-1</f>
        <v>-0.0704246136166266</v>
      </c>
      <c r="F27" s="287" t="n">
        <f aca="false">F26/E26-1</f>
        <v>-0.0757599810066209</v>
      </c>
      <c r="G27" s="287" t="n">
        <f aca="false">G26/F26-1</f>
        <v>-0.0819700288342129</v>
      </c>
    </row>
    <row r="28" customFormat="false" ht="15" hidden="false" customHeight="true" outlineLevel="0" collapsed="false">
      <c r="A28" s="285" t="s">
        <v>1854</v>
      </c>
      <c r="B28" s="285"/>
      <c r="C28" s="293" t="n">
        <f aca="false">C$6*C23+C$7*C27</f>
        <v>-0.0462915584296355</v>
      </c>
      <c r="D28" s="293" t="n">
        <f aca="false">D$6*D23+D$7*D27</f>
        <v>-0.0167273862822579</v>
      </c>
      <c r="E28" s="293" t="n">
        <f aca="false">E$6*E23+E$7*E27</f>
        <v>0.00699384659584337</v>
      </c>
      <c r="F28" s="293" t="n">
        <f aca="false">F$6*F23+F$7*F27</f>
        <v>0.0186880037986758</v>
      </c>
      <c r="G28" s="293" t="n">
        <f aca="false">G$6*G23+G$7*G27</f>
        <v>0.0257844956748681</v>
      </c>
    </row>
    <row r="29" customFormat="false" ht="15" hidden="false" customHeight="true" outlineLevel="0" collapsed="false">
      <c r="A29" s="288"/>
      <c r="B29" s="288"/>
      <c r="C29" s="288"/>
      <c r="D29" s="288"/>
      <c r="E29" s="288"/>
      <c r="F29" s="288"/>
      <c r="G29" s="288"/>
    </row>
    <row r="30" customFormat="false" ht="15" hidden="false" customHeight="true" outlineLevel="0" collapsed="false">
      <c r="A30" s="285" t="s">
        <v>1855</v>
      </c>
      <c r="B30" s="285" t="s">
        <v>1428</v>
      </c>
      <c r="C30" s="285" t="s">
        <v>1429</v>
      </c>
      <c r="D30" s="285" t="s">
        <v>1430</v>
      </c>
      <c r="E30" s="285" t="s">
        <v>1431</v>
      </c>
      <c r="F30" s="285" t="s">
        <v>1432</v>
      </c>
      <c r="G30" s="285" t="s">
        <v>1433</v>
      </c>
    </row>
    <row r="31" customFormat="false" ht="15" hidden="false" customHeight="true" outlineLevel="0" collapsed="false">
      <c r="A31" s="286" t="s">
        <v>1857</v>
      </c>
      <c r="B31" s="289" t="n">
        <f aca="false">Valuación!B10</f>
        <v>0.042542883699969</v>
      </c>
      <c r="C31" s="289" t="n">
        <f aca="false">B31+SUM(C32:C39)</f>
        <v>0.043742883699969</v>
      </c>
      <c r="D31" s="289" t="n">
        <f aca="false">C31+SUM(D32:D39)</f>
        <v>0.043442883699969</v>
      </c>
      <c r="E31" s="289" t="n">
        <f aca="false">D31+SUM(E32:E39)</f>
        <v>0.043742883699969</v>
      </c>
      <c r="F31" s="289" t="n">
        <f aca="false">E31+SUM(F32:F39)</f>
        <v>0.044042883699969</v>
      </c>
      <c r="G31" s="289" t="n">
        <f aca="false">F31+SUM(G32:G39)</f>
        <v>0.044342883699969</v>
      </c>
    </row>
    <row r="32" customFormat="false" ht="15" hidden="false" customHeight="true" outlineLevel="0" collapsed="false">
      <c r="A32" s="286" t="s">
        <v>2684</v>
      </c>
      <c r="B32" s="289"/>
      <c r="C32" s="289" t="n">
        <v>0.0055</v>
      </c>
      <c r="D32" s="289" t="n">
        <v>0.003</v>
      </c>
      <c r="E32" s="289" t="n">
        <v>0.002</v>
      </c>
      <c r="F32" s="289" t="n">
        <v>0.001</v>
      </c>
      <c r="G32" s="289" t="n">
        <v>0.001</v>
      </c>
    </row>
    <row r="33" customFormat="false" ht="15" hidden="false" customHeight="true" outlineLevel="0" collapsed="false">
      <c r="A33" s="286" t="s">
        <v>2685</v>
      </c>
      <c r="B33" s="289"/>
      <c r="C33" s="289" t="n">
        <v>-0.001</v>
      </c>
      <c r="D33" s="289" t="n">
        <v>-0.0015</v>
      </c>
      <c r="E33" s="289" t="n">
        <v>-0.0015</v>
      </c>
      <c r="F33" s="289" t="n">
        <v>-0.001</v>
      </c>
      <c r="G33" s="289" t="n">
        <v>-0.001</v>
      </c>
    </row>
    <row r="34" customFormat="false" ht="15" hidden="false" customHeight="true" outlineLevel="0" collapsed="false">
      <c r="A34" s="286" t="s">
        <v>2686</v>
      </c>
      <c r="B34" s="289"/>
      <c r="C34" s="289" t="n">
        <v>-0.0015</v>
      </c>
      <c r="D34" s="289" t="n">
        <v>-0.001</v>
      </c>
      <c r="E34" s="289" t="n">
        <v>-0.001</v>
      </c>
      <c r="F34" s="289" t="n">
        <v>-0.0005</v>
      </c>
      <c r="G34" s="289" t="n">
        <v>0</v>
      </c>
    </row>
    <row r="35" customFormat="false" ht="15" hidden="false" customHeight="true" outlineLevel="0" collapsed="false">
      <c r="A35" s="286" t="s">
        <v>2687</v>
      </c>
      <c r="B35" s="289"/>
      <c r="C35" s="289" t="n">
        <v>-0.0005</v>
      </c>
      <c r="D35" s="289" t="n">
        <v>-0.0005</v>
      </c>
      <c r="E35" s="289" t="n">
        <v>0</v>
      </c>
      <c r="F35" s="289" t="n">
        <v>0</v>
      </c>
      <c r="G35" s="289" t="n">
        <v>0</v>
      </c>
    </row>
    <row r="36" customFormat="false" ht="15" hidden="false" customHeight="true" outlineLevel="0" collapsed="false">
      <c r="A36" s="286" t="s">
        <v>2688</v>
      </c>
      <c r="B36" s="289"/>
      <c r="C36" s="289" t="n">
        <v>-0.0005</v>
      </c>
      <c r="D36" s="289" t="n">
        <v>-0.0005</v>
      </c>
      <c r="E36" s="289" t="n">
        <v>0</v>
      </c>
      <c r="F36" s="289" t="n">
        <v>0</v>
      </c>
      <c r="G36" s="289" t="n">
        <v>0</v>
      </c>
    </row>
    <row r="37" customFormat="false" ht="15" hidden="false" customHeight="true" outlineLevel="0" collapsed="false">
      <c r="A37" s="286" t="s">
        <v>2689</v>
      </c>
      <c r="B37" s="289"/>
      <c r="C37" s="289" t="n">
        <v>-0.0003</v>
      </c>
      <c r="D37" s="289" t="n">
        <v>-0.0003</v>
      </c>
      <c r="E37" s="289" t="n">
        <v>-0.0002</v>
      </c>
      <c r="F37" s="289" t="n">
        <v>-0.0002</v>
      </c>
      <c r="G37" s="289" t="n">
        <v>-0.0002</v>
      </c>
    </row>
    <row r="38" customFormat="false" ht="15" hidden="false" customHeight="true" outlineLevel="0" collapsed="false">
      <c r="A38" s="286" t="s">
        <v>2690</v>
      </c>
      <c r="B38" s="289"/>
      <c r="C38" s="289" t="n">
        <v>0.0005</v>
      </c>
      <c r="D38" s="289" t="n">
        <v>0.001</v>
      </c>
      <c r="E38" s="289" t="n">
        <v>0.001</v>
      </c>
      <c r="F38" s="289" t="n">
        <v>0.001</v>
      </c>
      <c r="G38" s="289" t="n">
        <v>0.0005</v>
      </c>
    </row>
    <row r="39" customFormat="false" ht="15" hidden="false" customHeight="true" outlineLevel="0" collapsed="false">
      <c r="A39" s="286" t="s">
        <v>2691</v>
      </c>
      <c r="B39" s="289"/>
      <c r="C39" s="289" t="n">
        <v>-0.001</v>
      </c>
      <c r="D39" s="289" t="n">
        <v>-0.0005</v>
      </c>
      <c r="E39" s="289" t="n">
        <v>0</v>
      </c>
      <c r="F39" s="289" t="n">
        <v>0</v>
      </c>
      <c r="G39" s="289" t="n">
        <v>0</v>
      </c>
    </row>
    <row r="40" customFormat="false" ht="15" hidden="false" customHeight="true" outlineLevel="0" collapsed="false">
      <c r="A40" s="286" t="s">
        <v>1866</v>
      </c>
      <c r="B40" s="289"/>
      <c r="C40" s="289" t="n">
        <f aca="false">'MC Soriana'!$F$9</f>
        <v>0.0492556268703877</v>
      </c>
      <c r="D40" s="289" t="n">
        <f aca="false">'MC Soriana'!$F$9</f>
        <v>0.0492556268703877</v>
      </c>
      <c r="E40" s="289" t="n">
        <f aca="false">'MC Soriana'!$F$9</f>
        <v>0.0492556268703877</v>
      </c>
      <c r="F40" s="289" t="n">
        <f aca="false">'MC Soriana'!$F$9</f>
        <v>0.0492556268703877</v>
      </c>
      <c r="G40" s="289" t="n">
        <f aca="false">'MC Soriana'!$F$9</f>
        <v>0.0492556268703877</v>
      </c>
    </row>
    <row r="41" customFormat="false" ht="15" hidden="false" customHeight="true" outlineLevel="0" collapsed="false">
      <c r="A41" s="285" t="s">
        <v>1867</v>
      </c>
      <c r="B41" s="291"/>
      <c r="C41" s="291" t="n">
        <f aca="false">C$6*C31+C$7*C40+Escenarios!$G$9</f>
        <v>0.0453967066510946</v>
      </c>
      <c r="D41" s="291" t="n">
        <f aca="false">D$6*D31+D$7*D40+Escenarios!$G$9</f>
        <v>0.0451867066510946</v>
      </c>
      <c r="E41" s="291" t="n">
        <f aca="false">E$6*E31+E$7*E40+Escenarios!$G$9</f>
        <v>0.0451210694925737</v>
      </c>
      <c r="F41" s="291" t="n">
        <f aca="false">F$6*F31+F$7*F40+Escenarios!$G$9</f>
        <v>0.0450854323340528</v>
      </c>
      <c r="G41" s="291" t="n">
        <f aca="false">G$6*G31+G$7*G40+Escenarios!$G$9</f>
        <v>0.0450797951755318</v>
      </c>
    </row>
    <row r="42" customFormat="false" ht="15" hidden="false" customHeight="true" outlineLevel="0" collapsed="false">
      <c r="A42" s="288"/>
      <c r="B42" s="288"/>
      <c r="C42" s="288"/>
      <c r="D42" s="288"/>
      <c r="E42" s="288"/>
      <c r="F42" s="288"/>
      <c r="G42" s="288"/>
    </row>
    <row r="43" customFormat="false" ht="15" hidden="false" customHeight="true" outlineLevel="0" collapsed="false">
      <c r="A43" s="285" t="s">
        <v>1868</v>
      </c>
      <c r="B43" s="285" t="s">
        <v>1428</v>
      </c>
      <c r="C43" s="285" t="s">
        <v>1429</v>
      </c>
      <c r="D43" s="285" t="s">
        <v>1430</v>
      </c>
      <c r="E43" s="285" t="s">
        <v>1431</v>
      </c>
      <c r="F43" s="285" t="s">
        <v>1432</v>
      </c>
      <c r="G43" s="285" t="s">
        <v>1433</v>
      </c>
    </row>
    <row r="44" customFormat="false" ht="15" hidden="false" customHeight="true" outlineLevel="0" collapsed="false">
      <c r="A44" s="286" t="s">
        <v>1869</v>
      </c>
      <c r="B44" s="286"/>
      <c r="C44" s="289" t="n">
        <f aca="false">Valuación!$B$11</f>
        <v>0.0244599047967777</v>
      </c>
      <c r="D44" s="289" t="n">
        <f aca="false">Valuación!$B$11</f>
        <v>0.0244599047967777</v>
      </c>
      <c r="E44" s="289" t="n">
        <f aca="false">Valuación!$B$11</f>
        <v>0.0244599047967777</v>
      </c>
      <c r="F44" s="289" t="n">
        <f aca="false">Valuación!$B$11</f>
        <v>0.0244599047967777</v>
      </c>
      <c r="G44" s="289" t="n">
        <f aca="false">Valuación!$B$11</f>
        <v>0.0244599047967777</v>
      </c>
    </row>
    <row r="45" customFormat="false" ht="15" hidden="false" customHeight="true" outlineLevel="0" collapsed="false">
      <c r="A45" s="286" t="s">
        <v>1870</v>
      </c>
      <c r="B45" s="286"/>
      <c r="C45" s="289" t="n">
        <f aca="false">'MC Soriana'!$F$12/'MC Soriana'!$F$6</f>
        <v>0.024136242913419</v>
      </c>
      <c r="D45" s="289" t="n">
        <f aca="false">'MC Soriana'!$F$12/'MC Soriana'!$F$6</f>
        <v>0.024136242913419</v>
      </c>
      <c r="E45" s="289" t="n">
        <f aca="false">'MC Soriana'!$F$12/'MC Soriana'!$F$6</f>
        <v>0.024136242913419</v>
      </c>
      <c r="F45" s="289" t="n">
        <f aca="false">'MC Soriana'!$F$12/'MC Soriana'!$F$6</f>
        <v>0.024136242913419</v>
      </c>
      <c r="G45" s="289" t="n">
        <f aca="false">'MC Soriana'!$F$12/'MC Soriana'!$F$6</f>
        <v>0.024136242913419</v>
      </c>
    </row>
    <row r="46" customFormat="false" ht="15" hidden="false" customHeight="true" outlineLevel="0" collapsed="false">
      <c r="A46" s="286" t="s">
        <v>1871</v>
      </c>
      <c r="B46" s="286"/>
      <c r="C46" s="289" t="n">
        <f aca="false">C$6*C44+C$7*C45</f>
        <v>0.0243628062317701</v>
      </c>
      <c r="D46" s="289" t="n">
        <f aca="false">D$6*D44+D$7*D45</f>
        <v>0.0243628062317701</v>
      </c>
      <c r="E46" s="289" t="n">
        <f aca="false">E$6*E44+E$7*E45</f>
        <v>0.024378989325938</v>
      </c>
      <c r="F46" s="289" t="n">
        <f aca="false">F$6*F44+F$7*F45</f>
        <v>0.024395172420106</v>
      </c>
      <c r="G46" s="289" t="n">
        <f aca="false">G$6*G44+G$7*G45</f>
        <v>0.0244113555142739</v>
      </c>
    </row>
    <row r="47" customFormat="false" ht="15" hidden="false" customHeight="true" outlineLevel="0" collapsed="false">
      <c r="A47" s="286" t="s">
        <v>1872</v>
      </c>
      <c r="B47" s="286"/>
      <c r="C47" s="292" t="n">
        <v>4000</v>
      </c>
      <c r="D47" s="292"/>
      <c r="E47" s="292"/>
      <c r="F47" s="292"/>
      <c r="G47" s="292"/>
    </row>
    <row r="48" customFormat="false" ht="15" hidden="false" customHeight="true" outlineLevel="0" collapsed="false">
      <c r="A48" s="286" t="s">
        <v>1873</v>
      </c>
      <c r="B48" s="286"/>
      <c r="C48" s="289"/>
      <c r="D48" s="289" t="n">
        <v>0.003</v>
      </c>
      <c r="E48" s="289" t="n">
        <v>0.003</v>
      </c>
      <c r="F48" s="289" t="n">
        <v>0.003</v>
      </c>
      <c r="G48" s="289" t="n">
        <v>0.003</v>
      </c>
    </row>
    <row r="49" customFormat="false" ht="15" hidden="false" customHeight="true" outlineLevel="0" collapsed="false">
      <c r="A49" s="286" t="s">
        <v>1874</v>
      </c>
      <c r="B49" s="286"/>
      <c r="C49" s="289" t="n">
        <f aca="false">C47/C67</f>
        <v>0.023627039525174</v>
      </c>
      <c r="D49" s="289" t="n">
        <f aca="false">Valuación!$B$12*(1+'Variables Externas'!$J$22)+D48</f>
        <v>0.0195545165197307</v>
      </c>
      <c r="E49" s="289" t="n">
        <f aca="false">Valuación!$B$12*(1+'Variables Externas'!$J$22)+E48</f>
        <v>0.0195545165197307</v>
      </c>
      <c r="F49" s="289" t="n">
        <f aca="false">Valuación!$B$12*(1+'Variables Externas'!$J$22)+F48</f>
        <v>0.0195545165197307</v>
      </c>
      <c r="G49" s="289" t="n">
        <f aca="false">Valuación!$B$12*(1+'Variables Externas'!$J$22)+G48</f>
        <v>0.0195545165197307</v>
      </c>
    </row>
    <row r="50" customFormat="false" ht="15" hidden="false" customHeight="true" outlineLevel="0" collapsed="false">
      <c r="A50" s="286" t="s">
        <v>1875</v>
      </c>
      <c r="B50" s="286"/>
      <c r="C50" s="289" t="n">
        <f aca="false">'MC Soriana'!$F$13/'MC Soriana'!$F$6</f>
        <v>0.0202932109120233</v>
      </c>
      <c r="D50" s="289" t="n">
        <f aca="false">'MC Soriana'!$F$13/'MC Soriana'!$F$6</f>
        <v>0.0202932109120233</v>
      </c>
      <c r="E50" s="289" t="n">
        <f aca="false">'MC Soriana'!$F$13/'MC Soriana'!$F$6</f>
        <v>0.0202932109120233</v>
      </c>
      <c r="F50" s="289" t="n">
        <f aca="false">'MC Soriana'!$F$13/'MC Soriana'!$F$6</f>
        <v>0.0202932109120233</v>
      </c>
      <c r="G50" s="289" t="n">
        <f aca="false">'MC Soriana'!$F$13/'MC Soriana'!$F$6</f>
        <v>0.0202932109120233</v>
      </c>
    </row>
    <row r="51" customFormat="false" ht="15" hidden="false" customHeight="true" outlineLevel="0" collapsed="false">
      <c r="A51" s="285" t="s">
        <v>1876</v>
      </c>
      <c r="B51" s="285"/>
      <c r="C51" s="291" t="n">
        <f aca="false">C$6*C49+C$7*C50</f>
        <v>0.0226268909412288</v>
      </c>
      <c r="D51" s="291" t="n">
        <f aca="false">D$6*D49+D$7*D50</f>
        <v>0.0197761248374185</v>
      </c>
      <c r="E51" s="291" t="n">
        <f aca="false">E$6*E49+E$7*E50</f>
        <v>0.0197391901178039</v>
      </c>
      <c r="F51" s="291" t="n">
        <f aca="false">F$6*F49+F$7*F50</f>
        <v>0.0197022553981892</v>
      </c>
      <c r="G51" s="291" t="n">
        <f aca="false">G$6*G49+G$7*G50</f>
        <v>0.0196653206785746</v>
      </c>
    </row>
    <row r="52" customFormat="false" ht="15" hidden="false" customHeight="true" outlineLevel="0" collapsed="false">
      <c r="A52" s="286" t="s">
        <v>1877</v>
      </c>
      <c r="B52" s="286"/>
      <c r="C52" s="289" t="n">
        <v>0</v>
      </c>
      <c r="D52" s="289" t="n">
        <v>0.005</v>
      </c>
      <c r="E52" s="289" t="n">
        <v>0.005</v>
      </c>
      <c r="F52" s="289" t="n">
        <v>0.005</v>
      </c>
      <c r="G52" s="289" t="n">
        <v>0.005</v>
      </c>
    </row>
    <row r="53" customFormat="false" ht="15" hidden="false" customHeight="true" outlineLevel="0" collapsed="false">
      <c r="A53" s="286" t="s">
        <v>1878</v>
      </c>
      <c r="B53" s="286"/>
      <c r="C53" s="289" t="n">
        <f aca="false">WACC!$B$10+C52</f>
        <v>0.3</v>
      </c>
      <c r="D53" s="289" t="n">
        <f aca="false">WACC!$B$10+D52</f>
        <v>0.305</v>
      </c>
      <c r="E53" s="289" t="n">
        <f aca="false">WACC!$B$10+E52</f>
        <v>0.305</v>
      </c>
      <c r="F53" s="289" t="n">
        <f aca="false">WACC!$B$10+F52</f>
        <v>0.305</v>
      </c>
      <c r="G53" s="289" t="n">
        <f aca="false">WACC!$B$10+G52</f>
        <v>0.305</v>
      </c>
    </row>
    <row r="54" customFormat="false" ht="15" hidden="false" customHeight="true" outlineLevel="0" collapsed="false">
      <c r="A54" s="286" t="s">
        <v>1879</v>
      </c>
      <c r="B54" s="286"/>
      <c r="C54" s="289" t="n">
        <f aca="false">'MC Soriana'!$F$10</f>
        <v>0.191734007304675</v>
      </c>
      <c r="D54" s="289" t="n">
        <f aca="false">'MC Soriana'!$F$10</f>
        <v>0.191734007304675</v>
      </c>
      <c r="E54" s="289" t="n">
        <f aca="false">'MC Soriana'!$F$10</f>
        <v>0.191734007304675</v>
      </c>
      <c r="F54" s="289" t="n">
        <f aca="false">'MC Soriana'!$F$10</f>
        <v>0.191734007304675</v>
      </c>
      <c r="G54" s="289" t="n">
        <f aca="false">'MC Soriana'!$F$10</f>
        <v>0.191734007304675</v>
      </c>
    </row>
    <row r="55" customFormat="false" ht="15" hidden="false" customHeight="true" outlineLevel="0" collapsed="false">
      <c r="A55" s="285" t="s">
        <v>1880</v>
      </c>
      <c r="B55" s="285"/>
      <c r="C55" s="291" t="n">
        <f aca="false">C$6*C53+C$7*C54</f>
        <v>0.267520202191403</v>
      </c>
      <c r="D55" s="291" t="n">
        <f aca="false">D$6*D53+D$7*D54</f>
        <v>0.271020202191403</v>
      </c>
      <c r="E55" s="291" t="n">
        <f aca="false">E$6*E53+E$7*E54</f>
        <v>0.276683501826169</v>
      </c>
      <c r="F55" s="291" t="n">
        <f aca="false">F$6*F53+F$7*F54</f>
        <v>0.282346801460935</v>
      </c>
      <c r="G55" s="291" t="n">
        <f aca="false">G$6*G53+G$7*G54</f>
        <v>0.288010101095701</v>
      </c>
    </row>
    <row r="56" customFormat="false" ht="15" hidden="false" customHeight="true" outlineLevel="0" collapsed="false">
      <c r="A56" s="286" t="s">
        <v>1467</v>
      </c>
      <c r="B56" s="294" t="n">
        <f aca="false">Datos!G18/Datos!G7*365</f>
        <v>87.4443050938019</v>
      </c>
      <c r="C56" s="294" t="n">
        <v>88</v>
      </c>
      <c r="D56" s="294" t="n">
        <v>88</v>
      </c>
      <c r="E56" s="294" t="n">
        <v>87</v>
      </c>
      <c r="F56" s="294" t="n">
        <v>87</v>
      </c>
      <c r="G56" s="294" t="n">
        <v>87</v>
      </c>
    </row>
    <row r="57" customFormat="false" ht="15" hidden="false" customHeight="true" outlineLevel="0" collapsed="false">
      <c r="A57" s="286" t="s">
        <v>1468</v>
      </c>
      <c r="B57" s="295" t="n">
        <f aca="false">(Datos!G19-Datos!G17-Datos!G18)/Datos!G6</f>
        <v>0.0391572543165366</v>
      </c>
      <c r="C57" s="295" t="n">
        <f aca="false">$B57</f>
        <v>0.0391572543165366</v>
      </c>
      <c r="D57" s="295" t="n">
        <f aca="false">$B57</f>
        <v>0.0391572543165366</v>
      </c>
      <c r="E57" s="295" t="n">
        <f aca="false">$B57</f>
        <v>0.0391572543165366</v>
      </c>
      <c r="F57" s="295" t="n">
        <f aca="false">$B57</f>
        <v>0.0391572543165366</v>
      </c>
      <c r="G57" s="295" t="n">
        <f aca="false">$B57</f>
        <v>0.0391572543165366</v>
      </c>
    </row>
    <row r="58" customFormat="false" ht="15" hidden="false" customHeight="true" outlineLevel="0" collapsed="false">
      <c r="A58" s="286" t="s">
        <v>1469</v>
      </c>
      <c r="B58" s="295" t="n">
        <f aca="false">(Datos!G21-Datos!G25-Datos!G27)/Datos!G6</f>
        <v>0.200225333070445</v>
      </c>
      <c r="C58" s="295" t="n">
        <f aca="false">$B58</f>
        <v>0.200225333070445</v>
      </c>
      <c r="D58" s="295" t="n">
        <f aca="false">$B58</f>
        <v>0.200225333070445</v>
      </c>
      <c r="E58" s="295" t="n">
        <f aca="false">$B58</f>
        <v>0.200225333070445</v>
      </c>
      <c r="F58" s="295" t="n">
        <f aca="false">$B58</f>
        <v>0.200225333070445</v>
      </c>
      <c r="G58" s="295" t="n">
        <f aca="false">$B58</f>
        <v>0.200225333070445</v>
      </c>
    </row>
    <row r="59" customFormat="false" ht="15" hidden="false" customHeight="true" outlineLevel="0" collapsed="false">
      <c r="A59" s="286" t="s">
        <v>1464</v>
      </c>
      <c r="B59" s="295" t="n">
        <f aca="false">Datos!G7/Datos!G6</f>
        <v>0.759102047714278</v>
      </c>
      <c r="C59" s="295" t="n">
        <v>0.756</v>
      </c>
      <c r="D59" s="295" t="n">
        <v>0.757</v>
      </c>
      <c r="E59" s="295" t="n">
        <v>0.758</v>
      </c>
      <c r="F59" s="295" t="n">
        <v>0.758</v>
      </c>
      <c r="G59" s="295" t="n">
        <v>0.758</v>
      </c>
    </row>
    <row r="60" customFormat="false" ht="15" hidden="false" customHeight="true" outlineLevel="0" collapsed="false">
      <c r="A60" s="286" t="s">
        <v>1465</v>
      </c>
      <c r="B60" s="295" t="n">
        <f aca="false">-B70/B67</f>
        <v>0.173900797115737</v>
      </c>
      <c r="C60" s="295" t="n">
        <f aca="false">1-C59-C46-C41</f>
        <v>0.174240487117135</v>
      </c>
      <c r="D60" s="295" t="n">
        <f aca="false">1-D59-D46-D41</f>
        <v>0.173450487117135</v>
      </c>
      <c r="E60" s="295" t="n">
        <f aca="false">1-E59-E46-E41</f>
        <v>0.172499941181488</v>
      </c>
      <c r="F60" s="295" t="n">
        <f aca="false">1-F59-F46-F41</f>
        <v>0.172519395245841</v>
      </c>
      <c r="G60" s="295" t="n">
        <f aca="false">1-G59-G46-G41</f>
        <v>0.172508849310194</v>
      </c>
    </row>
    <row r="61" customFormat="false" ht="15" hidden="false" customHeight="true" outlineLevel="0" collapsed="false">
      <c r="A61" s="286" t="s">
        <v>1466</v>
      </c>
      <c r="B61" s="296" t="n">
        <f aca="false">Datos!G10/(Datos!G25+Datos!G26+Datos!G27+Datos!G28)</f>
        <v>0.130154966550936</v>
      </c>
      <c r="C61" s="296" t="n">
        <v>0.1</v>
      </c>
      <c r="D61" s="296" t="n">
        <v>0.0975</v>
      </c>
      <c r="E61" s="296" t="n">
        <v>0.0975</v>
      </c>
      <c r="F61" s="296" t="n">
        <v>0.0975</v>
      </c>
      <c r="G61" s="296" t="n">
        <v>0.0975</v>
      </c>
    </row>
    <row r="62" customFormat="false" ht="15" hidden="false" customHeight="true" outlineLevel="0" collapsed="false">
      <c r="A62" s="286" t="s">
        <v>1881</v>
      </c>
      <c r="B62" s="297"/>
      <c r="C62" s="297" t="n">
        <v>0</v>
      </c>
      <c r="D62" s="297" t="n">
        <v>-1500</v>
      </c>
      <c r="E62" s="297" t="n">
        <v>-1500</v>
      </c>
      <c r="F62" s="297" t="n">
        <v>-1500</v>
      </c>
      <c r="G62" s="297" t="n">
        <v>-1500</v>
      </c>
    </row>
    <row r="63" customFormat="false" ht="15" hidden="false" customHeight="true" outlineLevel="0" collapsed="false">
      <c r="A63" s="286" t="s">
        <v>1470</v>
      </c>
      <c r="B63" s="295" t="n">
        <f aca="false">'Proyección Soriana'!B14</f>
        <v>0.300144057623049</v>
      </c>
      <c r="C63" s="295" t="n">
        <f aca="false">$B63</f>
        <v>0.300144057623049</v>
      </c>
      <c r="D63" s="295" t="n">
        <f aca="false">$B63</f>
        <v>0.300144057623049</v>
      </c>
      <c r="E63" s="295" t="n">
        <f aca="false">$B63</f>
        <v>0.300144057623049</v>
      </c>
      <c r="F63" s="295" t="n">
        <f aca="false">$B63</f>
        <v>0.300144057623049</v>
      </c>
      <c r="G63" s="295" t="n">
        <f aca="false">$B63</f>
        <v>0.300144057623049</v>
      </c>
    </row>
    <row r="64" customFormat="false" ht="15" hidden="false" customHeight="true" outlineLevel="0" collapsed="false">
      <c r="A64" s="298"/>
      <c r="B64" s="298"/>
      <c r="C64" s="298"/>
      <c r="D64" s="298"/>
      <c r="E64" s="298"/>
      <c r="F64" s="298"/>
      <c r="G64" s="298"/>
    </row>
    <row r="65" customFormat="false" ht="15" hidden="false" customHeight="true" outlineLevel="0" collapsed="false">
      <c r="A65" s="348" t="s">
        <v>1882</v>
      </c>
      <c r="B65" s="298"/>
      <c r="C65" s="298"/>
      <c r="D65" s="298"/>
      <c r="E65" s="298"/>
      <c r="F65" s="298"/>
      <c r="G65" s="298"/>
    </row>
    <row r="66" customFormat="false" ht="15" hidden="false" customHeight="true" outlineLevel="0" collapsed="false">
      <c r="A66" s="285" t="s">
        <v>1884</v>
      </c>
      <c r="B66" s="300" t="s">
        <v>1428</v>
      </c>
      <c r="C66" s="300" t="s">
        <v>1429</v>
      </c>
      <c r="D66" s="300" t="s">
        <v>1430</v>
      </c>
      <c r="E66" s="300" t="s">
        <v>1431</v>
      </c>
      <c r="F66" s="300" t="s">
        <v>1432</v>
      </c>
      <c r="G66" s="300" t="s">
        <v>1433</v>
      </c>
    </row>
    <row r="67" customFormat="false" ht="15" hidden="false" customHeight="true" outlineLevel="0" collapsed="false">
      <c r="A67" s="286" t="s">
        <v>1442</v>
      </c>
      <c r="B67" s="297" t="n">
        <f aca="false">Datos!G6</f>
        <v>177515</v>
      </c>
      <c r="C67" s="297" t="n">
        <f aca="false">B67*(1+C28)</f>
        <v>169297.554005363</v>
      </c>
      <c r="D67" s="297" t="n">
        <f aca="false">C67*(1+D28)</f>
        <v>166465.648422874</v>
      </c>
      <c r="E67" s="297" t="n">
        <f aca="false">D67*(1+E28)</f>
        <v>167629.883631421</v>
      </c>
      <c r="F67" s="297" t="n">
        <f aca="false">E67*(1+F28)</f>
        <v>170762.551533497</v>
      </c>
      <c r="G67" s="297" t="n">
        <f aca="false">F67*(1+G28)</f>
        <v>175165.577804942</v>
      </c>
    </row>
    <row r="68" customFormat="false" ht="15" hidden="false" customHeight="true" outlineLevel="0" collapsed="false">
      <c r="A68" s="286" t="s">
        <v>86</v>
      </c>
      <c r="B68" s="297" t="n">
        <f aca="false">-Datos!G7</f>
        <v>-134752</v>
      </c>
      <c r="C68" s="297" t="n">
        <f aca="false">-C67*C59</f>
        <v>-127988.950828055</v>
      </c>
      <c r="D68" s="297" t="n">
        <f aca="false">-D67*D59</f>
        <v>-126014.495856116</v>
      </c>
      <c r="E68" s="297" t="n">
        <f aca="false">-E67*E59</f>
        <v>-127063.451792617</v>
      </c>
      <c r="F68" s="297" t="n">
        <f aca="false">-F67*F59</f>
        <v>-129438.014062391</v>
      </c>
      <c r="G68" s="297" t="n">
        <f aca="false">-G67*G59</f>
        <v>-132775.507976146</v>
      </c>
    </row>
    <row r="69" customFormat="false" ht="15" hidden="false" customHeight="true" outlineLevel="0" collapsed="false">
      <c r="A69" s="285" t="s">
        <v>80</v>
      </c>
      <c r="B69" s="301" t="n">
        <f aca="false">B67+B68</f>
        <v>42763</v>
      </c>
      <c r="C69" s="301" t="n">
        <f aca="false">C67+C68</f>
        <v>41308.6031773086</v>
      </c>
      <c r="D69" s="301" t="n">
        <f aca="false">D67+D68</f>
        <v>40451.1525667584</v>
      </c>
      <c r="E69" s="301" t="n">
        <f aca="false">E67+E68</f>
        <v>40566.431838804</v>
      </c>
      <c r="F69" s="301" t="n">
        <f aca="false">F67+F68</f>
        <v>41324.5374711063</v>
      </c>
      <c r="G69" s="301" t="n">
        <f aca="false">G67+G68</f>
        <v>42390.0698287959</v>
      </c>
    </row>
    <row r="70" customFormat="false" ht="15" hidden="false" customHeight="true" outlineLevel="0" collapsed="false">
      <c r="A70" s="286" t="s">
        <v>1472</v>
      </c>
      <c r="B70" s="297" t="n">
        <f aca="false">-(Datos!G8-Datos!G9-Datos!G14)</f>
        <v>-30870</v>
      </c>
      <c r="C70" s="297" t="n">
        <f aca="false">-C67*C60</f>
        <v>-29498.488277634</v>
      </c>
      <c r="D70" s="297" t="n">
        <f aca="false">-D67*D60</f>
        <v>-28873.5478072173</v>
      </c>
      <c r="E70" s="297" t="n">
        <f aca="false">-E67*E60</f>
        <v>-28916.1450666799</v>
      </c>
      <c r="F70" s="297" t="n">
        <f aca="false">-F67*F60</f>
        <v>-29459.8521211957</v>
      </c>
      <c r="G70" s="297" t="n">
        <f aca="false">-G67*G60</f>
        <v>-30217.6122658858</v>
      </c>
    </row>
    <row r="71" customFormat="false" ht="15" hidden="false" customHeight="true" outlineLevel="0" collapsed="false">
      <c r="A71" s="285" t="s">
        <v>1473</v>
      </c>
      <c r="B71" s="301" t="n">
        <f aca="false">B69+B70</f>
        <v>11893</v>
      </c>
      <c r="C71" s="301" t="n">
        <f aca="false">C69+C70</f>
        <v>11810.1148996746</v>
      </c>
      <c r="D71" s="301" t="n">
        <f aca="false">D69+D70</f>
        <v>11577.6047595411</v>
      </c>
      <c r="E71" s="301" t="n">
        <f aca="false">E69+E70</f>
        <v>11650.2867721241</v>
      </c>
      <c r="F71" s="301" t="n">
        <f aca="false">F69+F70</f>
        <v>11864.6853499106</v>
      </c>
      <c r="G71" s="301" t="n">
        <f aca="false">G69+G70</f>
        <v>12172.4575629101</v>
      </c>
    </row>
    <row r="72" customFormat="false" ht="15" hidden="false" customHeight="true" outlineLevel="0" collapsed="false">
      <c r="A72" s="286" t="s">
        <v>154</v>
      </c>
      <c r="B72" s="297" t="n">
        <f aca="false">-Datos!G14</f>
        <v>-4342</v>
      </c>
      <c r="C72" s="297" t="n">
        <f aca="false">-C67*C46</f>
        <v>-4124.5635037453</v>
      </c>
      <c r="D72" s="297" t="n">
        <f aca="false">-D67*D46</f>
        <v>-4055.57033677245</v>
      </c>
      <c r="E72" s="297" t="n">
        <f aca="false">-E67*E46</f>
        <v>-4086.64714375866</v>
      </c>
      <c r="F72" s="297" t="n">
        <f aca="false">-F67*F46</f>
        <v>-4165.78188755689</v>
      </c>
      <c r="G72" s="297" t="n">
        <f aca="false">-G67*G46</f>
        <v>-4276.02919365964</v>
      </c>
    </row>
    <row r="73" customFormat="false" ht="15" hidden="false" customHeight="true" outlineLevel="0" collapsed="false">
      <c r="A73" s="285" t="s">
        <v>81</v>
      </c>
      <c r="B73" s="301" t="n">
        <f aca="false">B71+B72</f>
        <v>7551</v>
      </c>
      <c r="C73" s="301" t="n">
        <f aca="false">C71+C72</f>
        <v>7685.55139592932</v>
      </c>
      <c r="D73" s="301" t="n">
        <f aca="false">D71+D72</f>
        <v>7522.03442276867</v>
      </c>
      <c r="E73" s="301" t="n">
        <f aca="false">E71+E72</f>
        <v>7563.6396283654</v>
      </c>
      <c r="F73" s="301" t="n">
        <f aca="false">F71+F72</f>
        <v>7698.90346235367</v>
      </c>
      <c r="G73" s="301" t="n">
        <f aca="false">G71+G72</f>
        <v>7896.42836925045</v>
      </c>
    </row>
    <row r="74" customFormat="false" ht="15" hidden="false" customHeight="true" outlineLevel="0" collapsed="false">
      <c r="A74" s="286" t="s">
        <v>88</v>
      </c>
      <c r="B74" s="297" t="n">
        <f aca="false">-Datos!G10</f>
        <v>-3074</v>
      </c>
      <c r="C74" s="297" t="n">
        <f aca="false">-C61*(B91+B92)</f>
        <v>-2361.8</v>
      </c>
      <c r="D74" s="297" t="n">
        <f aca="false">-D61*(C91+C92)</f>
        <v>-2302.755</v>
      </c>
      <c r="E74" s="297" t="n">
        <f aca="false">-E61*(D91+D92)</f>
        <v>-2156.505</v>
      </c>
      <c r="F74" s="297" t="n">
        <f aca="false">-F61*(E91+E92)</f>
        <v>-2010.255</v>
      </c>
      <c r="G74" s="297" t="n">
        <f aca="false">-G61*(F91+F92)</f>
        <v>-1864.005</v>
      </c>
    </row>
    <row r="75" customFormat="false" ht="15" hidden="false" customHeight="true" outlineLevel="0" collapsed="false">
      <c r="A75" s="286" t="s">
        <v>1474</v>
      </c>
      <c r="B75" s="297" t="n">
        <f aca="false">Datos!G11-Datos!G9+Datos!G10</f>
        <v>288</v>
      </c>
      <c r="C75" s="297" t="n">
        <v>0</v>
      </c>
      <c r="D75" s="297" t="n">
        <v>0</v>
      </c>
      <c r="E75" s="297" t="n">
        <v>0</v>
      </c>
      <c r="F75" s="297" t="n">
        <v>0</v>
      </c>
      <c r="G75" s="297" t="n">
        <v>0</v>
      </c>
    </row>
    <row r="76" customFormat="false" ht="15" hidden="false" customHeight="true" outlineLevel="0" collapsed="false">
      <c r="A76" s="286" t="s">
        <v>152</v>
      </c>
      <c r="B76" s="297" t="n">
        <f aca="false">B73+B74+B75</f>
        <v>4765</v>
      </c>
      <c r="C76" s="297" t="n">
        <f aca="false">C73+C74+C75</f>
        <v>5323.75139592932</v>
      </c>
      <c r="D76" s="297" t="n">
        <f aca="false">D73+D74+D75</f>
        <v>5219.27942276866</v>
      </c>
      <c r="E76" s="297" t="n">
        <f aca="false">E73+E74+E75</f>
        <v>5407.1346283654</v>
      </c>
      <c r="F76" s="297" t="n">
        <f aca="false">F73+F74+F75</f>
        <v>5688.64846235367</v>
      </c>
      <c r="G76" s="297" t="n">
        <f aca="false">G73+G74+G75</f>
        <v>6032.42336925045</v>
      </c>
    </row>
    <row r="77" customFormat="false" ht="15" hidden="false" customHeight="true" outlineLevel="0" collapsed="false">
      <c r="A77" s="286" t="s">
        <v>153</v>
      </c>
      <c r="B77" s="297" t="n">
        <f aca="false">-Datos!G12</f>
        <v>-1433</v>
      </c>
      <c r="C77" s="297" t="n">
        <f aca="false">-C76*C55</f>
        <v>-1424.21104985577</v>
      </c>
      <c r="D77" s="297" t="n">
        <f aca="false">-D76*D55</f>
        <v>-1414.53016445219</v>
      </c>
      <c r="E77" s="297" t="n">
        <f aca="false">-E76*E55</f>
        <v>-1496.06494382168</v>
      </c>
      <c r="F77" s="297" t="n">
        <f aca="false">-F76*F55</f>
        <v>-1606.17169798122</v>
      </c>
      <c r="G77" s="297" t="n">
        <f aca="false">-G76*G55</f>
        <v>-1737.39886442989</v>
      </c>
    </row>
    <row r="78" customFormat="false" ht="15" hidden="false" customHeight="true" outlineLevel="0" collapsed="false">
      <c r="A78" s="285" t="s">
        <v>89</v>
      </c>
      <c r="B78" s="301" t="n">
        <f aca="false">B76+B77</f>
        <v>3332</v>
      </c>
      <c r="C78" s="301" t="n">
        <f aca="false">C76+C77</f>
        <v>3899.54034607355</v>
      </c>
      <c r="D78" s="301" t="n">
        <f aca="false">D76+D77</f>
        <v>3804.74925831647</v>
      </c>
      <c r="E78" s="301" t="n">
        <f aca="false">E76+E77</f>
        <v>3911.06968454372</v>
      </c>
      <c r="F78" s="301" t="n">
        <f aca="false">F76+F77</f>
        <v>4082.47676437244</v>
      </c>
      <c r="G78" s="301" t="n">
        <f aca="false">G76+G77</f>
        <v>4295.02450482056</v>
      </c>
    </row>
    <row r="79" customFormat="false" ht="15" hidden="false" customHeight="true" outlineLevel="0" collapsed="false">
      <c r="A79" s="286" t="s">
        <v>1475</v>
      </c>
      <c r="B79" s="297"/>
      <c r="C79" s="297" t="n">
        <f aca="false">-C78*C63</f>
        <v>-1170.4238623353</v>
      </c>
      <c r="D79" s="297" t="n">
        <f aca="false">-D78*D63</f>
        <v>-1141.97288062939</v>
      </c>
      <c r="E79" s="297" t="n">
        <f aca="false">-E78*E63</f>
        <v>-1173.88432476545</v>
      </c>
      <c r="F79" s="297" t="n">
        <f aca="false">-F78*F63</f>
        <v>-1225.33114121056</v>
      </c>
      <c r="G79" s="297" t="n">
        <f aca="false">-G78*G63</f>
        <v>-1289.12608246727</v>
      </c>
    </row>
    <row r="80" customFormat="false" ht="15" hidden="false" customHeight="true" outlineLevel="0" collapsed="false">
      <c r="A80" s="286" t="s">
        <v>1885</v>
      </c>
      <c r="B80" s="295" t="n">
        <f aca="false">B71/B67</f>
        <v>0.0669971551699856</v>
      </c>
      <c r="C80" s="295" t="n">
        <f aca="false">C71/C67</f>
        <v>0.0697595128828647</v>
      </c>
      <c r="D80" s="295" t="n">
        <f aca="false">D71/D67</f>
        <v>0.0695495128828647</v>
      </c>
      <c r="E80" s="295" t="n">
        <f aca="false">E71/E67</f>
        <v>0.0695000588185117</v>
      </c>
      <c r="F80" s="295" t="n">
        <f aca="false">F71/F67</f>
        <v>0.0694806047541587</v>
      </c>
      <c r="G80" s="295" t="n">
        <f aca="false">G71/G67</f>
        <v>0.0694911506898057</v>
      </c>
    </row>
    <row r="81" customFormat="false" ht="15" hidden="false" customHeight="true" outlineLevel="0" collapsed="false">
      <c r="A81" s="286" t="s">
        <v>34</v>
      </c>
      <c r="B81" s="295" t="n">
        <f aca="false">B78/B67</f>
        <v>0.0187702447680478</v>
      </c>
      <c r="C81" s="295" t="n">
        <f aca="false">C78/C67</f>
        <v>0.0230336484716726</v>
      </c>
      <c r="D81" s="295" t="n">
        <f aca="false">D78/D67</f>
        <v>0.0228560624631169</v>
      </c>
      <c r="E81" s="295" t="n">
        <f aca="false">E78/E67</f>
        <v>0.0233315778775057</v>
      </c>
      <c r="F81" s="295" t="n">
        <f aca="false">F78/F67</f>
        <v>0.0239073305458991</v>
      </c>
      <c r="G81" s="295" t="n">
        <f aca="false">G78/G67</f>
        <v>0.0245197975460872</v>
      </c>
    </row>
    <row r="82" customFormat="false" ht="15" hidden="false" customHeight="true" outlineLevel="0" collapsed="false">
      <c r="A82" s="298"/>
      <c r="B82" s="298"/>
      <c r="C82" s="298"/>
      <c r="D82" s="298"/>
      <c r="E82" s="298"/>
      <c r="F82" s="298"/>
      <c r="G82" s="298"/>
    </row>
    <row r="83" customFormat="false" ht="15" hidden="false" customHeight="true" outlineLevel="0" collapsed="false">
      <c r="A83" s="285" t="s">
        <v>1886</v>
      </c>
      <c r="B83" s="300" t="s">
        <v>1428</v>
      </c>
      <c r="C83" s="300" t="s">
        <v>1429</v>
      </c>
      <c r="D83" s="300" t="s">
        <v>1430</v>
      </c>
      <c r="E83" s="300" t="s">
        <v>1431</v>
      </c>
      <c r="F83" s="300" t="s">
        <v>1432</v>
      </c>
      <c r="G83" s="300" t="s">
        <v>1433</v>
      </c>
    </row>
    <row r="84" customFormat="false" ht="15" hidden="false" customHeight="true" outlineLevel="0" collapsed="false">
      <c r="A84" s="286" t="s">
        <v>13</v>
      </c>
      <c r="B84" s="297" t="n">
        <f aca="false">Datos!G17</f>
        <v>9295</v>
      </c>
      <c r="C84" s="297" t="n">
        <f aca="false">B84+C108</f>
        <v>12419.824395113</v>
      </c>
      <c r="D84" s="297" t="n">
        <f aca="false">C84+D108</f>
        <v>14366.0290533719</v>
      </c>
      <c r="E84" s="297" t="n">
        <f aca="false">D84+E108</f>
        <v>16663.7246232357</v>
      </c>
      <c r="F84" s="297" t="n">
        <f aca="false">E84+F108</f>
        <v>18760.8259768433</v>
      </c>
      <c r="G84" s="297" t="n">
        <f aca="false">F84+G108</f>
        <v>21011.7410677827</v>
      </c>
    </row>
    <row r="85" customFormat="false" ht="15" hidden="false" customHeight="true" outlineLevel="0" collapsed="false">
      <c r="A85" s="286" t="s">
        <v>156</v>
      </c>
      <c r="B85" s="297" t="n">
        <f aca="false">Datos!G18</f>
        <v>32283</v>
      </c>
      <c r="C85" s="297" t="n">
        <f aca="false">-C68*C56/365</f>
        <v>30857.6100626543</v>
      </c>
      <c r="D85" s="297" t="n">
        <f aca="false">-D68*D56/365</f>
        <v>30381.5770831183</v>
      </c>
      <c r="E85" s="297" t="n">
        <f aca="false">-E68*E56/365</f>
        <v>30286.3570026239</v>
      </c>
      <c r="F85" s="297" t="n">
        <f aca="false">-F68*F56/365</f>
        <v>30852.348557337</v>
      </c>
      <c r="G85" s="297" t="n">
        <f aca="false">-G68*G56/365</f>
        <v>31647.8608052731</v>
      </c>
    </row>
    <row r="86" customFormat="false" ht="15" hidden="false" customHeight="true" outlineLevel="0" collapsed="false">
      <c r="A86" s="286" t="s">
        <v>1477</v>
      </c>
      <c r="B86" s="297" t="n">
        <f aca="false">Datos!G19-Datos!G17-Datos!G18</f>
        <v>6951</v>
      </c>
      <c r="C86" s="297" t="n">
        <f aca="false">C67*C57</f>
        <v>6629.2273773556</v>
      </c>
      <c r="D86" s="297" t="n">
        <f aca="false">D67*D57</f>
        <v>6518.33773026166</v>
      </c>
      <c r="E86" s="297" t="n">
        <f aca="false">E67*E57</f>
        <v>6563.92598440701</v>
      </c>
      <c r="F86" s="297" t="n">
        <f aca="false">F67*F57</f>
        <v>6686.59265813783</v>
      </c>
      <c r="G86" s="297" t="n">
        <f aca="false">G67*G57</f>
        <v>6859.00307761119</v>
      </c>
    </row>
    <row r="87" customFormat="false" ht="15" hidden="false" customHeight="true" outlineLevel="0" collapsed="false">
      <c r="A87" s="285" t="s">
        <v>157</v>
      </c>
      <c r="B87" s="301" t="n">
        <f aca="false">SUM(B84:B86)</f>
        <v>48529</v>
      </c>
      <c r="C87" s="301" t="n">
        <f aca="false">SUM(C84:C86)</f>
        <v>49906.6618351229</v>
      </c>
      <c r="D87" s="301" t="n">
        <f aca="false">SUM(D84:D86)</f>
        <v>51265.9438667519</v>
      </c>
      <c r="E87" s="301" t="n">
        <f aca="false">SUM(E84:E86)</f>
        <v>53514.0076102665</v>
      </c>
      <c r="F87" s="301" t="n">
        <f aca="false">SUM(F84:F86)</f>
        <v>56299.7671923181</v>
      </c>
      <c r="G87" s="301" t="n">
        <f aca="false">SUM(G84:G86)</f>
        <v>59518.604950667</v>
      </c>
    </row>
    <row r="88" customFormat="false" ht="15" hidden="false" customHeight="true" outlineLevel="0" collapsed="false">
      <c r="A88" s="286" t="s">
        <v>1478</v>
      </c>
      <c r="B88" s="297" t="n">
        <f aca="false">Datos!G20-Datos!G19</f>
        <v>107509</v>
      </c>
      <c r="C88" s="297" t="n">
        <f aca="false">B88-C104+C72</f>
        <v>107215.113787351</v>
      </c>
      <c r="D88" s="297" t="n">
        <f aca="false">C88-D104+D72</f>
        <v>106451.588894931</v>
      </c>
      <c r="E88" s="297" t="n">
        <f aca="false">D88-E104+E72</f>
        <v>105673.819893598</v>
      </c>
      <c r="F88" s="297" t="n">
        <f aca="false">E88-F104+F72</f>
        <v>104872.445408801</v>
      </c>
      <c r="G88" s="297" t="n">
        <f aca="false">F88-G104+G72</f>
        <v>104041.103474523</v>
      </c>
    </row>
    <row r="89" customFormat="false" ht="15" hidden="false" customHeight="true" outlineLevel="0" collapsed="false">
      <c r="A89" s="285" t="s">
        <v>92</v>
      </c>
      <c r="B89" s="301" t="n">
        <f aca="false">B87+B88</f>
        <v>156038</v>
      </c>
      <c r="C89" s="301" t="n">
        <f aca="false">C87+C88</f>
        <v>157121.775622474</v>
      </c>
      <c r="D89" s="301" t="n">
        <f aca="false">D87+D88</f>
        <v>157717.532761683</v>
      </c>
      <c r="E89" s="301" t="n">
        <f aca="false">E87+E88</f>
        <v>159187.827503865</v>
      </c>
      <c r="F89" s="301" t="n">
        <f aca="false">F87+F88</f>
        <v>161172.212601119</v>
      </c>
      <c r="G89" s="301" t="n">
        <f aca="false">G87+G88</f>
        <v>163559.70842519</v>
      </c>
    </row>
    <row r="90" customFormat="false" ht="15" hidden="false" customHeight="true" outlineLevel="0" collapsed="false">
      <c r="A90" s="286" t="s">
        <v>1479</v>
      </c>
      <c r="B90" s="297" t="n">
        <f aca="false">Datos!G21-Datos!G25-Datos!G27</f>
        <v>35543</v>
      </c>
      <c r="C90" s="297" t="n">
        <f aca="false">C67*C58</f>
        <v>33897.6591387355</v>
      </c>
      <c r="D90" s="297" t="n">
        <f aca="false">D67*D58</f>
        <v>33330.6399002575</v>
      </c>
      <c r="E90" s="297" t="n">
        <f aca="false">E67*E58</f>
        <v>33563.7492826612</v>
      </c>
      <c r="F90" s="297" t="n">
        <f aca="false">F67*F58</f>
        <v>34190.9887567534</v>
      </c>
      <c r="G90" s="297" t="n">
        <f aca="false">G67*G58</f>
        <v>35072.5861584714</v>
      </c>
    </row>
    <row r="91" customFormat="false" ht="15" hidden="false" customHeight="true" outlineLevel="0" collapsed="false">
      <c r="A91" s="286" t="s">
        <v>1480</v>
      </c>
      <c r="B91" s="297" t="n">
        <f aca="false">Datos!G25+Datos!G26</f>
        <v>11500</v>
      </c>
      <c r="C91" s="297" t="n">
        <f aca="false">MAX(0,B91+C62)</f>
        <v>11500</v>
      </c>
      <c r="D91" s="297" t="n">
        <f aca="false">MAX(0,C91+D62)</f>
        <v>10000</v>
      </c>
      <c r="E91" s="297" t="n">
        <f aca="false">MAX(0,D91+E62)</f>
        <v>8500</v>
      </c>
      <c r="F91" s="297" t="n">
        <f aca="false">MAX(0,E91+F62)</f>
        <v>7000</v>
      </c>
      <c r="G91" s="297" t="n">
        <f aca="false">MAX(0,F91+G62)</f>
        <v>5500</v>
      </c>
    </row>
    <row r="92" customFormat="false" ht="15" hidden="false" customHeight="true" outlineLevel="0" collapsed="false">
      <c r="A92" s="286" t="s">
        <v>1481</v>
      </c>
      <c r="B92" s="297" t="n">
        <f aca="false">Datos!G27+Datos!G28</f>
        <v>12118</v>
      </c>
      <c r="C92" s="297" t="n">
        <f aca="false">B92</f>
        <v>12118</v>
      </c>
      <c r="D92" s="297" t="n">
        <f aca="false">C92</f>
        <v>12118</v>
      </c>
      <c r="E92" s="297" t="n">
        <f aca="false">D92</f>
        <v>12118</v>
      </c>
      <c r="F92" s="297" t="n">
        <f aca="false">E92</f>
        <v>12118</v>
      </c>
      <c r="G92" s="297" t="n">
        <f aca="false">F92</f>
        <v>12118</v>
      </c>
    </row>
    <row r="93" customFormat="false" ht="15" hidden="false" customHeight="true" outlineLevel="0" collapsed="false">
      <c r="A93" s="286" t="s">
        <v>1482</v>
      </c>
      <c r="B93" s="297" t="n">
        <f aca="false">Datos!G23-Datos!G21-Datos!G26-Datos!G28</f>
        <v>12145</v>
      </c>
      <c r="C93" s="297" t="n">
        <f aca="false">B93</f>
        <v>12145</v>
      </c>
      <c r="D93" s="297" t="n">
        <f aca="false">C93</f>
        <v>12145</v>
      </c>
      <c r="E93" s="297" t="n">
        <f aca="false">D93</f>
        <v>12145</v>
      </c>
      <c r="F93" s="297" t="n">
        <f aca="false">E93</f>
        <v>12145</v>
      </c>
      <c r="G93" s="297" t="n">
        <f aca="false">F93</f>
        <v>12145</v>
      </c>
    </row>
    <row r="94" customFormat="false" ht="15" hidden="false" customHeight="true" outlineLevel="0" collapsed="false">
      <c r="A94" s="285" t="s">
        <v>93</v>
      </c>
      <c r="B94" s="301" t="n">
        <f aca="false">SUM(B90:B93)</f>
        <v>71306</v>
      </c>
      <c r="C94" s="301" t="n">
        <f aca="false">SUM(C90:C93)</f>
        <v>69660.6591387355</v>
      </c>
      <c r="D94" s="301" t="n">
        <f aca="false">SUM(D90:D93)</f>
        <v>67593.6399002575</v>
      </c>
      <c r="E94" s="301" t="n">
        <f aca="false">SUM(E90:E93)</f>
        <v>66326.7492826612</v>
      </c>
      <c r="F94" s="301" t="n">
        <f aca="false">SUM(F90:F93)</f>
        <v>65453.9887567534</v>
      </c>
      <c r="G94" s="301" t="n">
        <f aca="false">SUM(G90:G93)</f>
        <v>64835.5861584714</v>
      </c>
    </row>
    <row r="95" customFormat="false" ht="15" hidden="false" customHeight="true" outlineLevel="0" collapsed="false">
      <c r="A95" s="286" t="s">
        <v>94</v>
      </c>
      <c r="B95" s="297" t="n">
        <f aca="false">Datos!G24</f>
        <v>84732</v>
      </c>
      <c r="C95" s="297" t="n">
        <f aca="false">B95+C78+C79</f>
        <v>87461.1164837383</v>
      </c>
      <c r="D95" s="297" t="n">
        <f aca="false">C95+D78+D79</f>
        <v>90123.8928614253</v>
      </c>
      <c r="E95" s="297" t="n">
        <f aca="false">D95+E78+E79</f>
        <v>92861.0782212036</v>
      </c>
      <c r="F95" s="297" t="n">
        <f aca="false">E95+F78+F79</f>
        <v>95718.2238443655</v>
      </c>
      <c r="G95" s="297" t="n">
        <f aca="false">F95+G78+G79</f>
        <v>98724.1222667188</v>
      </c>
    </row>
    <row r="96" customFormat="false" ht="15" hidden="false" customHeight="true" outlineLevel="0" collapsed="false">
      <c r="A96" s="285" t="s">
        <v>1483</v>
      </c>
      <c r="B96" s="301" t="n">
        <f aca="false">B94+B95</f>
        <v>156038</v>
      </c>
      <c r="C96" s="301" t="n">
        <f aca="false">C94+C95</f>
        <v>157121.775622474</v>
      </c>
      <c r="D96" s="301" t="n">
        <f aca="false">D94+D95</f>
        <v>157717.532761683</v>
      </c>
      <c r="E96" s="301" t="n">
        <f aca="false">E94+E95</f>
        <v>159187.827503865</v>
      </c>
      <c r="F96" s="301" t="n">
        <f aca="false">F94+F95</f>
        <v>161172.212601119</v>
      </c>
      <c r="G96" s="301" t="n">
        <f aca="false">G94+G95</f>
        <v>163559.70842519</v>
      </c>
    </row>
    <row r="97" customFormat="false" ht="15" hidden="false" customHeight="true" outlineLevel="0" collapsed="false">
      <c r="A97" s="286" t="s">
        <v>1484</v>
      </c>
      <c r="B97" s="297" t="n">
        <f aca="false">B89-B96</f>
        <v>0</v>
      </c>
      <c r="C97" s="297" t="n">
        <f aca="false">C89-C96</f>
        <v>0</v>
      </c>
      <c r="D97" s="297" t="n">
        <f aca="false">D89-D96</f>
        <v>0</v>
      </c>
      <c r="E97" s="297" t="n">
        <f aca="false">E89-E96</f>
        <v>0</v>
      </c>
      <c r="F97" s="297" t="n">
        <f aca="false">F89-F96</f>
        <v>0</v>
      </c>
      <c r="G97" s="297" t="n">
        <f aca="false">G89-G96</f>
        <v>0</v>
      </c>
    </row>
    <row r="98" customFormat="false" ht="15" hidden="false" customHeight="true" outlineLevel="0" collapsed="false">
      <c r="A98" s="298"/>
      <c r="B98" s="298"/>
      <c r="C98" s="298"/>
      <c r="D98" s="298"/>
      <c r="E98" s="298"/>
      <c r="F98" s="298"/>
      <c r="G98" s="298"/>
    </row>
    <row r="99" customFormat="false" ht="15" hidden="false" customHeight="true" outlineLevel="0" collapsed="false">
      <c r="A99" s="285" t="s">
        <v>1888</v>
      </c>
      <c r="B99" s="300" t="s">
        <v>1428</v>
      </c>
      <c r="C99" s="300" t="s">
        <v>1429</v>
      </c>
      <c r="D99" s="300" t="s">
        <v>1430</v>
      </c>
      <c r="E99" s="300" t="s">
        <v>1431</v>
      </c>
      <c r="F99" s="300" t="s">
        <v>1432</v>
      </c>
      <c r="G99" s="300" t="s">
        <v>1433</v>
      </c>
    </row>
    <row r="100" customFormat="false" ht="15" hidden="false" customHeight="true" outlineLevel="0" collapsed="false">
      <c r="A100" s="286" t="s">
        <v>89</v>
      </c>
      <c r="B100" s="302"/>
      <c r="C100" s="297" t="n">
        <f aca="false">C78</f>
        <v>3899.54034607355</v>
      </c>
      <c r="D100" s="297" t="n">
        <f aca="false">D78</f>
        <v>3804.74925831647</v>
      </c>
      <c r="E100" s="297" t="n">
        <f aca="false">E78</f>
        <v>3911.06968454372</v>
      </c>
      <c r="F100" s="297" t="n">
        <f aca="false">F78</f>
        <v>4082.47676437244</v>
      </c>
      <c r="G100" s="297" t="n">
        <f aca="false">G78</f>
        <v>4295.02450482056</v>
      </c>
    </row>
    <row r="101" customFormat="false" ht="15" hidden="false" customHeight="true" outlineLevel="0" collapsed="false">
      <c r="A101" s="286" t="s">
        <v>1445</v>
      </c>
      <c r="B101" s="302"/>
      <c r="C101" s="297" t="n">
        <f aca="false">-C72</f>
        <v>4124.5635037453</v>
      </c>
      <c r="D101" s="297" t="n">
        <f aca="false">-D72</f>
        <v>4055.57033677245</v>
      </c>
      <c r="E101" s="297" t="n">
        <f aca="false">-E72</f>
        <v>4086.64714375866</v>
      </c>
      <c r="F101" s="297" t="n">
        <f aca="false">-F72</f>
        <v>4165.78188755689</v>
      </c>
      <c r="G101" s="297" t="n">
        <f aca="false">-G72</f>
        <v>4276.02919365964</v>
      </c>
    </row>
    <row r="102" customFormat="false" ht="15" hidden="false" customHeight="true" outlineLevel="0" collapsed="false">
      <c r="A102" s="286" t="s">
        <v>1486</v>
      </c>
      <c r="B102" s="302"/>
      <c r="C102" s="297" t="n">
        <f aca="false">-(C85-B85)</f>
        <v>1425.38993734574</v>
      </c>
      <c r="D102" s="297" t="n">
        <f aca="false">-(D85-C85)</f>
        <v>476.032979535954</v>
      </c>
      <c r="E102" s="297" t="n">
        <f aca="false">-(E85-D85)</f>
        <v>95.2200804944478</v>
      </c>
      <c r="F102" s="297" t="n">
        <f aca="false">-(F85-E85)</f>
        <v>-565.991554713091</v>
      </c>
      <c r="G102" s="297" t="n">
        <f aca="false">-(G85-F85)</f>
        <v>-795.512247936178</v>
      </c>
    </row>
    <row r="103" customFormat="false" ht="15" hidden="false" customHeight="true" outlineLevel="0" collapsed="false">
      <c r="A103" s="286" t="s">
        <v>1487</v>
      </c>
      <c r="B103" s="302"/>
      <c r="C103" s="297" t="n">
        <f aca="false">-(C86-B86)</f>
        <v>321.772622644396</v>
      </c>
      <c r="D103" s="297" t="n">
        <f aca="false">-(D86-C86)</f>
        <v>110.889647093947</v>
      </c>
      <c r="E103" s="297" t="n">
        <f aca="false">-(E86-D86)</f>
        <v>-45.5882541453484</v>
      </c>
      <c r="F103" s="297" t="n">
        <f aca="false">-(F86-E86)</f>
        <v>-122.666673730825</v>
      </c>
      <c r="G103" s="297" t="n">
        <f aca="false">-(G86-F86)</f>
        <v>-172.41041947336</v>
      </c>
    </row>
    <row r="104" customFormat="false" ht="15" hidden="false" customHeight="true" outlineLevel="0" collapsed="false">
      <c r="A104" s="286" t="s">
        <v>1446</v>
      </c>
      <c r="B104" s="302"/>
      <c r="C104" s="297" t="n">
        <f aca="false">-C67*C51</f>
        <v>-3830.67729109615</v>
      </c>
      <c r="D104" s="297" t="n">
        <f aca="false">-D67*D51</f>
        <v>-3292.04544435258</v>
      </c>
      <c r="E104" s="297" t="n">
        <f aca="false">-E67*E51</f>
        <v>-3308.87814242596</v>
      </c>
      <c r="F104" s="297" t="n">
        <f aca="false">-F67*F51</f>
        <v>-3364.40740275941</v>
      </c>
      <c r="G104" s="297" t="n">
        <f aca="false">-G67*G51</f>
        <v>-3444.68725938199</v>
      </c>
    </row>
    <row r="105" customFormat="false" ht="15" hidden="false" customHeight="true" outlineLevel="0" collapsed="false">
      <c r="A105" s="286" t="s">
        <v>1488</v>
      </c>
      <c r="B105" s="302"/>
      <c r="C105" s="297" t="n">
        <f aca="false">C90-B90</f>
        <v>-1645.34086126454</v>
      </c>
      <c r="D105" s="297" t="n">
        <f aca="false">D90-C90</f>
        <v>-567.019238477937</v>
      </c>
      <c r="E105" s="297" t="n">
        <f aca="false">E90-D90</f>
        <v>233.109382403694</v>
      </c>
      <c r="F105" s="297" t="n">
        <f aca="false">F90-E90</f>
        <v>627.239474092181</v>
      </c>
      <c r="G105" s="297" t="n">
        <f aca="false">G90-F90</f>
        <v>881.597401717969</v>
      </c>
    </row>
    <row r="106" customFormat="false" ht="15" hidden="false" customHeight="true" outlineLevel="0" collapsed="false">
      <c r="A106" s="286" t="s">
        <v>2692</v>
      </c>
      <c r="B106" s="302"/>
      <c r="C106" s="297" t="n">
        <f aca="false">C79</f>
        <v>-1170.4238623353</v>
      </c>
      <c r="D106" s="297" t="n">
        <f aca="false">D79</f>
        <v>-1141.97288062939</v>
      </c>
      <c r="E106" s="297" t="n">
        <f aca="false">E79</f>
        <v>-1173.88432476545</v>
      </c>
      <c r="F106" s="297" t="n">
        <f aca="false">F79</f>
        <v>-1225.33114121056</v>
      </c>
      <c r="G106" s="297" t="n">
        <f aca="false">G79</f>
        <v>-1289.12608246727</v>
      </c>
    </row>
    <row r="107" customFormat="false" ht="15" hidden="false" customHeight="true" outlineLevel="0" collapsed="false">
      <c r="A107" s="286" t="s">
        <v>2693</v>
      </c>
      <c r="B107" s="302"/>
      <c r="C107" s="297" t="n">
        <f aca="false">C91-B91</f>
        <v>0</v>
      </c>
      <c r="D107" s="297" t="n">
        <f aca="false">D91-C91</f>
        <v>-1500</v>
      </c>
      <c r="E107" s="297" t="n">
        <f aca="false">E91-D91</f>
        <v>-1500</v>
      </c>
      <c r="F107" s="297" t="n">
        <f aca="false">F91-E91</f>
        <v>-1500</v>
      </c>
      <c r="G107" s="297" t="n">
        <f aca="false">G91-F91</f>
        <v>-1500</v>
      </c>
    </row>
    <row r="108" customFormat="false" ht="15" hidden="false" customHeight="true" outlineLevel="0" collapsed="false">
      <c r="A108" s="285" t="s">
        <v>1894</v>
      </c>
      <c r="B108" s="300"/>
      <c r="C108" s="301" t="n">
        <f aca="false">SUM(C100:C107)</f>
        <v>3124.82439511299</v>
      </c>
      <c r="D108" s="301" t="n">
        <f aca="false">SUM(D100:D107)</f>
        <v>1946.20465825892</v>
      </c>
      <c r="E108" s="301" t="n">
        <f aca="false">SUM(E100:E107)</f>
        <v>2297.69556986376</v>
      </c>
      <c r="F108" s="301" t="n">
        <f aca="false">SUM(F100:F107)</f>
        <v>2097.10135360763</v>
      </c>
      <c r="G108" s="301" t="n">
        <f aca="false">SUM(G100:G107)</f>
        <v>2250.91509093937</v>
      </c>
    </row>
    <row r="109" customFormat="false" ht="15" hidden="false" customHeight="true" outlineLevel="0" collapsed="false">
      <c r="A109" s="298"/>
      <c r="B109" s="298"/>
      <c r="C109" s="298"/>
      <c r="D109" s="298"/>
      <c r="E109" s="298"/>
      <c r="F109" s="298"/>
      <c r="G109" s="298"/>
    </row>
    <row r="110" customFormat="false" ht="15" hidden="false" customHeight="true" outlineLevel="0" collapsed="false">
      <c r="A110" s="285" t="s">
        <v>1895</v>
      </c>
      <c r="B110" s="300" t="s">
        <v>1428</v>
      </c>
      <c r="C110" s="300" t="s">
        <v>1429</v>
      </c>
      <c r="D110" s="300" t="s">
        <v>1430</v>
      </c>
      <c r="E110" s="300" t="s">
        <v>1431</v>
      </c>
      <c r="F110" s="300" t="s">
        <v>1432</v>
      </c>
      <c r="G110" s="300" t="s">
        <v>1433</v>
      </c>
    </row>
    <row r="111" customFormat="false" ht="15" hidden="false" customHeight="true" outlineLevel="0" collapsed="false">
      <c r="A111" s="286" t="s">
        <v>81</v>
      </c>
      <c r="B111" s="302"/>
      <c r="C111" s="297" t="n">
        <f aca="false">C73</f>
        <v>7685.55139592932</v>
      </c>
      <c r="D111" s="297" t="n">
        <f aca="false">D73</f>
        <v>7522.03442276867</v>
      </c>
      <c r="E111" s="297" t="n">
        <f aca="false">E73</f>
        <v>7563.6396283654</v>
      </c>
      <c r="F111" s="297" t="n">
        <f aca="false">F73</f>
        <v>7698.90346235367</v>
      </c>
      <c r="G111" s="297" t="n">
        <f aca="false">G73</f>
        <v>7896.42836925045</v>
      </c>
    </row>
    <row r="112" customFormat="false" ht="15" hidden="false" customHeight="true" outlineLevel="0" collapsed="false">
      <c r="A112" s="286" t="s">
        <v>1443</v>
      </c>
      <c r="B112" s="302"/>
      <c r="C112" s="297" t="n">
        <f aca="false">-C111*C55</f>
        <v>-2056.04026339143</v>
      </c>
      <c r="D112" s="297" t="n">
        <f aca="false">-D111*D55</f>
        <v>-2038.62329014945</v>
      </c>
      <c r="E112" s="297" t="n">
        <f aca="false">-E111*E55</f>
        <v>-2092.73429892732</v>
      </c>
      <c r="F112" s="297" t="n">
        <f aca="false">-F111*F55</f>
        <v>-2173.76076735208</v>
      </c>
      <c r="G112" s="297" t="n">
        <f aca="false">-G111*G55</f>
        <v>-2274.25113292279</v>
      </c>
    </row>
    <row r="113" customFormat="false" ht="15" hidden="false" customHeight="true" outlineLevel="0" collapsed="false">
      <c r="A113" s="286" t="s">
        <v>2694</v>
      </c>
      <c r="B113" s="302"/>
      <c r="C113" s="297" t="n">
        <f aca="false">C111+C112</f>
        <v>5629.51113253789</v>
      </c>
      <c r="D113" s="297" t="n">
        <f aca="false">D111+D112</f>
        <v>5483.41113261921</v>
      </c>
      <c r="E113" s="297" t="n">
        <f aca="false">E111+E112</f>
        <v>5470.90532943808</v>
      </c>
      <c r="F113" s="297" t="n">
        <f aca="false">F111+F112</f>
        <v>5525.14269500159</v>
      </c>
      <c r="G113" s="297" t="n">
        <f aca="false">G111+G112</f>
        <v>5622.17723632767</v>
      </c>
    </row>
    <row r="114" customFormat="false" ht="15" hidden="false" customHeight="true" outlineLevel="0" collapsed="false">
      <c r="A114" s="286" t="s">
        <v>1445</v>
      </c>
      <c r="B114" s="302"/>
      <c r="C114" s="297" t="n">
        <f aca="false">C101</f>
        <v>4124.5635037453</v>
      </c>
      <c r="D114" s="297" t="n">
        <f aca="false">D101</f>
        <v>4055.57033677245</v>
      </c>
      <c r="E114" s="297" t="n">
        <f aca="false">E101</f>
        <v>4086.64714375866</v>
      </c>
      <c r="F114" s="297" t="n">
        <f aca="false">F101</f>
        <v>4165.78188755689</v>
      </c>
      <c r="G114" s="297" t="n">
        <f aca="false">G101</f>
        <v>4276.02919365964</v>
      </c>
    </row>
    <row r="115" customFormat="false" ht="15" hidden="false" customHeight="true" outlineLevel="0" collapsed="false">
      <c r="A115" s="286" t="s">
        <v>1446</v>
      </c>
      <c r="B115" s="302"/>
      <c r="C115" s="297" t="n">
        <f aca="false">C104</f>
        <v>-3830.67729109615</v>
      </c>
      <c r="D115" s="297" t="n">
        <f aca="false">D104</f>
        <v>-3292.04544435258</v>
      </c>
      <c r="E115" s="297" t="n">
        <f aca="false">E104</f>
        <v>-3308.87814242596</v>
      </c>
      <c r="F115" s="297" t="n">
        <f aca="false">F104</f>
        <v>-3364.40740275941</v>
      </c>
      <c r="G115" s="297" t="n">
        <f aca="false">G104</f>
        <v>-3444.68725938199</v>
      </c>
    </row>
    <row r="116" customFormat="false" ht="15" hidden="false" customHeight="true" outlineLevel="0" collapsed="false">
      <c r="A116" s="286" t="s">
        <v>1447</v>
      </c>
      <c r="B116" s="302"/>
      <c r="C116" s="297" t="n">
        <f aca="false">C102+C103+C105</f>
        <v>101.821698725595</v>
      </c>
      <c r="D116" s="297" t="n">
        <f aca="false">D102+D103+D105</f>
        <v>19.9033881519645</v>
      </c>
      <c r="E116" s="297" t="n">
        <f aca="false">E102+E103+E105</f>
        <v>282.741208752794</v>
      </c>
      <c r="F116" s="297" t="n">
        <f aca="false">F102+F103+F105</f>
        <v>-61.4187543517355</v>
      </c>
      <c r="G116" s="297" t="n">
        <f aca="false">G102+G103+G105</f>
        <v>-86.3252656915693</v>
      </c>
    </row>
    <row r="117" customFormat="false" ht="15" hidden="false" customHeight="true" outlineLevel="0" collapsed="false">
      <c r="A117" s="285" t="s">
        <v>2695</v>
      </c>
      <c r="B117" s="300"/>
      <c r="C117" s="301" t="n">
        <f aca="false">SUM(C113:C116)</f>
        <v>6025.21904391264</v>
      </c>
      <c r="D117" s="301" t="n">
        <f aca="false">SUM(D113:D116)</f>
        <v>6266.83941319105</v>
      </c>
      <c r="E117" s="301" t="n">
        <f aca="false">SUM(E113:E116)</f>
        <v>6531.41553952356</v>
      </c>
      <c r="F117" s="301" t="n">
        <f aca="false">SUM(F113:F116)</f>
        <v>6265.09842544734</v>
      </c>
      <c r="G117" s="301" t="n">
        <f aca="false">SUM(G113:G116)</f>
        <v>6367.19390491375</v>
      </c>
    </row>
    <row r="118" customFormat="false" ht="15" hidden="false" customHeight="true" outlineLevel="0" collapsed="false">
      <c r="A118" s="286" t="s">
        <v>1441</v>
      </c>
      <c r="B118" s="302"/>
      <c r="C118" s="303" t="n">
        <v>1</v>
      </c>
      <c r="D118" s="303" t="n">
        <f aca="false">C118+1</f>
        <v>2</v>
      </c>
      <c r="E118" s="303" t="n">
        <f aca="false">D118+1</f>
        <v>3</v>
      </c>
      <c r="F118" s="303" t="n">
        <f aca="false">E118+1</f>
        <v>4</v>
      </c>
      <c r="G118" s="303" t="n">
        <f aca="false">F118+1</f>
        <v>5</v>
      </c>
    </row>
    <row r="119" customFormat="false" ht="15" hidden="false" customHeight="true" outlineLevel="0" collapsed="false">
      <c r="A119" s="286" t="s">
        <v>1449</v>
      </c>
      <c r="B119" s="302"/>
      <c r="C119" s="304" t="n">
        <f aca="false">1/(1+$B$126)^C118</f>
        <v>0.913517358234533</v>
      </c>
      <c r="D119" s="304" t="n">
        <f aca="false">1/(1+$B$126)^D118</f>
        <v>0.834513963795801</v>
      </c>
      <c r="E119" s="304" t="n">
        <f aca="false">1/(1+$B$126)^E118</f>
        <v>0.762342991616569</v>
      </c>
      <c r="F119" s="304" t="n">
        <f aca="false">1/(1+$B$126)^F118</f>
        <v>0.696413555770179</v>
      </c>
      <c r="G119" s="304" t="n">
        <f aca="false">1/(1+$B$126)^G118</f>
        <v>0.636185871705892</v>
      </c>
    </row>
    <row r="120" customFormat="false" ht="15" hidden="false" customHeight="true" outlineLevel="0" collapsed="false">
      <c r="A120" s="286" t="s">
        <v>1450</v>
      </c>
      <c r="B120" s="302"/>
      <c r="C120" s="297" t="n">
        <f aca="false">C117*C119</f>
        <v>5504.14218377948</v>
      </c>
      <c r="D120" s="297" t="n">
        <f aca="false">D117*D119</f>
        <v>5229.76499917381</v>
      </c>
      <c r="E120" s="297" t="n">
        <f aca="false">E117*E119</f>
        <v>4979.17886189134</v>
      </c>
      <c r="F120" s="297" t="n">
        <f aca="false">F117*F119</f>
        <v>4363.09947171593</v>
      </c>
      <c r="G120" s="297" t="n">
        <f aca="false">G117*G119</f>
        <v>4050.71880471799</v>
      </c>
    </row>
    <row r="121" customFormat="false" ht="15" hidden="false" customHeight="true" outlineLevel="0" collapsed="false">
      <c r="A121" s="298"/>
      <c r="B121" s="298"/>
      <c r="C121" s="298"/>
      <c r="D121" s="298"/>
      <c r="E121" s="298"/>
      <c r="F121" s="298"/>
      <c r="G121" s="298"/>
    </row>
    <row r="122" customFormat="false" ht="15" hidden="false" customHeight="true" outlineLevel="0" collapsed="false">
      <c r="A122" s="285" t="s">
        <v>1901</v>
      </c>
      <c r="B122" s="300" t="s">
        <v>78</v>
      </c>
      <c r="C122" s="300"/>
      <c r="D122" s="300"/>
      <c r="E122" s="300"/>
      <c r="F122" s="300"/>
      <c r="G122" s="300"/>
    </row>
    <row r="123" customFormat="false" ht="15" hidden="false" customHeight="true" outlineLevel="0" collapsed="false">
      <c r="A123" s="286" t="s">
        <v>1903</v>
      </c>
      <c r="B123" s="296" t="n">
        <f aca="false">Escenarios!$G$11</f>
        <v>0.035</v>
      </c>
      <c r="C123" s="302"/>
      <c r="D123" s="302"/>
      <c r="E123" s="302"/>
      <c r="F123" s="302"/>
      <c r="G123" s="302"/>
    </row>
    <row r="124" customFormat="false" ht="15" hidden="false" customHeight="true" outlineLevel="0" collapsed="false">
      <c r="A124" s="286" t="s">
        <v>1904</v>
      </c>
      <c r="B124" s="296" t="n">
        <f aca="false">B220</f>
        <v>0.0946699490555968</v>
      </c>
      <c r="C124" s="302"/>
      <c r="D124" s="302"/>
      <c r="E124" s="302"/>
      <c r="F124" s="302"/>
      <c r="G124" s="302"/>
    </row>
    <row r="125" customFormat="false" ht="15" hidden="false" customHeight="true" outlineLevel="0" collapsed="false">
      <c r="A125" s="286" t="s">
        <v>1905</v>
      </c>
      <c r="B125" s="296" t="n">
        <v>0</v>
      </c>
      <c r="C125" s="302"/>
      <c r="D125" s="302"/>
      <c r="E125" s="302"/>
      <c r="F125" s="302"/>
      <c r="G125" s="302"/>
    </row>
    <row r="126" customFormat="false" ht="15" hidden="false" customHeight="true" outlineLevel="0" collapsed="false">
      <c r="A126" s="286" t="s">
        <v>1906</v>
      </c>
      <c r="B126" s="296" t="n">
        <f aca="false">B124+B125</f>
        <v>0.0946699490555968</v>
      </c>
      <c r="C126" s="302"/>
      <c r="D126" s="302"/>
      <c r="E126" s="302"/>
      <c r="F126" s="302"/>
      <c r="G126" s="302"/>
    </row>
    <row r="127" customFormat="false" ht="15" hidden="false" customHeight="true" outlineLevel="0" collapsed="false">
      <c r="A127" s="286" t="s">
        <v>1907</v>
      </c>
      <c r="B127" s="297" t="n">
        <f aca="false">G117</f>
        <v>6367.19390491375</v>
      </c>
      <c r="C127" s="302"/>
      <c r="D127" s="302"/>
      <c r="E127" s="302"/>
      <c r="F127" s="302"/>
      <c r="G127" s="302"/>
    </row>
    <row r="128" customFormat="false" ht="15" hidden="false" customHeight="true" outlineLevel="0" collapsed="false">
      <c r="A128" s="286" t="s">
        <v>2696</v>
      </c>
      <c r="B128" s="297" t="n">
        <f aca="false">B127*(1+B123)</f>
        <v>6590.04569158573</v>
      </c>
      <c r="C128" s="302"/>
      <c r="D128" s="302"/>
      <c r="E128" s="302"/>
      <c r="F128" s="302"/>
      <c r="G128" s="302"/>
    </row>
    <row r="129" customFormat="false" ht="15" hidden="false" customHeight="true" outlineLevel="0" collapsed="false">
      <c r="A129" s="285" t="s">
        <v>2697</v>
      </c>
      <c r="B129" s="301" t="n">
        <f aca="false">IF(B126&gt;B123,B128/(B126-B123),"REVISAR WACC/g")</f>
        <v>110441.617529211</v>
      </c>
      <c r="C129" s="300"/>
      <c r="D129" s="300"/>
      <c r="E129" s="300"/>
      <c r="F129" s="300"/>
      <c r="G129" s="300"/>
    </row>
    <row r="130" customFormat="false" ht="15" hidden="false" customHeight="true" outlineLevel="0" collapsed="false">
      <c r="A130" s="286" t="s">
        <v>1910</v>
      </c>
      <c r="B130" s="304" t="n">
        <f aca="false">G119</f>
        <v>0.636185871705892</v>
      </c>
      <c r="C130" s="302"/>
      <c r="D130" s="302"/>
      <c r="E130" s="302"/>
      <c r="F130" s="302"/>
      <c r="G130" s="302"/>
    </row>
    <row r="131" customFormat="false" ht="15" hidden="false" customHeight="true" outlineLevel="0" collapsed="false">
      <c r="A131" s="286" t="s">
        <v>1498</v>
      </c>
      <c r="B131" s="297" t="n">
        <f aca="false">B129*B130</f>
        <v>70261.3967204298</v>
      </c>
      <c r="C131" s="302"/>
      <c r="D131" s="302"/>
      <c r="E131" s="302"/>
      <c r="F131" s="302"/>
      <c r="G131" s="302"/>
    </row>
    <row r="132" customFormat="false" ht="15" hidden="false" customHeight="true" outlineLevel="0" collapsed="false">
      <c r="A132" s="298"/>
      <c r="B132" s="298"/>
      <c r="C132" s="298"/>
      <c r="D132" s="298"/>
      <c r="E132" s="298"/>
      <c r="F132" s="298"/>
      <c r="G132" s="298"/>
    </row>
    <row r="133" customFormat="false" ht="15" hidden="false" customHeight="true" outlineLevel="0" collapsed="false">
      <c r="A133" s="285" t="s">
        <v>1911</v>
      </c>
      <c r="B133" s="300" t="s">
        <v>78</v>
      </c>
      <c r="C133" s="300"/>
      <c r="D133" s="300"/>
      <c r="E133" s="300"/>
      <c r="F133" s="300"/>
      <c r="G133" s="300"/>
    </row>
    <row r="134" customFormat="false" ht="15" hidden="false" customHeight="true" outlineLevel="0" collapsed="false">
      <c r="A134" s="286" t="s">
        <v>1913</v>
      </c>
      <c r="B134" s="297" t="n">
        <f aca="false">SUM(C120:G120)</f>
        <v>24126.9043212786</v>
      </c>
      <c r="C134" s="302"/>
      <c r="D134" s="302"/>
      <c r="E134" s="302"/>
      <c r="F134" s="302"/>
      <c r="G134" s="302"/>
    </row>
    <row r="135" customFormat="false" ht="15" hidden="false" customHeight="true" outlineLevel="0" collapsed="false">
      <c r="A135" s="286" t="s">
        <v>1914</v>
      </c>
      <c r="B135" s="297" t="n">
        <f aca="false">B131</f>
        <v>70261.3967204298</v>
      </c>
      <c r="C135" s="302"/>
      <c r="D135" s="302"/>
      <c r="E135" s="302"/>
      <c r="F135" s="302"/>
      <c r="G135" s="302"/>
    </row>
    <row r="136" customFormat="false" ht="15" hidden="false" customHeight="true" outlineLevel="0" collapsed="false">
      <c r="A136" s="285" t="s">
        <v>1915</v>
      </c>
      <c r="B136" s="301" t="n">
        <f aca="false">B134+B135</f>
        <v>94388.3010417083</v>
      </c>
      <c r="C136" s="300"/>
      <c r="D136" s="300"/>
      <c r="E136" s="300"/>
      <c r="F136" s="300"/>
      <c r="G136" s="300"/>
    </row>
    <row r="137" customFormat="false" ht="15" hidden="false" customHeight="true" outlineLevel="0" collapsed="false">
      <c r="A137" s="286" t="s">
        <v>1461</v>
      </c>
      <c r="B137" s="295" t="n">
        <f aca="false">B135/B136</f>
        <v>0.744386708363176</v>
      </c>
      <c r="C137" s="302"/>
      <c r="D137" s="302"/>
      <c r="E137" s="302"/>
      <c r="F137" s="302"/>
      <c r="G137" s="302"/>
    </row>
    <row r="138" customFormat="false" ht="15" hidden="false" customHeight="true" outlineLevel="0" collapsed="false">
      <c r="A138" s="298"/>
      <c r="B138" s="298"/>
      <c r="C138" s="298"/>
      <c r="D138" s="298"/>
      <c r="E138" s="298"/>
      <c r="F138" s="298"/>
      <c r="G138" s="298"/>
    </row>
    <row r="139" customFormat="false" ht="15" hidden="false" customHeight="true" outlineLevel="0" collapsed="false">
      <c r="A139" s="285" t="s">
        <v>1916</v>
      </c>
      <c r="B139" s="300" t="s">
        <v>78</v>
      </c>
      <c r="C139" s="300"/>
      <c r="D139" s="300"/>
      <c r="E139" s="300"/>
      <c r="F139" s="300"/>
      <c r="G139" s="300"/>
    </row>
    <row r="140" customFormat="false" ht="15" hidden="false" customHeight="true" outlineLevel="0" collapsed="false">
      <c r="A140" s="286" t="s">
        <v>1915</v>
      </c>
      <c r="B140" s="297" t="n">
        <f aca="false">B136</f>
        <v>94388.3010417083</v>
      </c>
      <c r="C140" s="302"/>
      <c r="D140" s="302"/>
      <c r="E140" s="302"/>
      <c r="F140" s="302"/>
      <c r="G140" s="302"/>
    </row>
    <row r="141" customFormat="false" ht="15" hidden="false" customHeight="true" outlineLevel="0" collapsed="false">
      <c r="A141" s="286" t="s">
        <v>1502</v>
      </c>
      <c r="B141" s="297" t="n">
        <f aca="false">-B91</f>
        <v>-11500</v>
      </c>
      <c r="C141" s="302"/>
      <c r="D141" s="302"/>
      <c r="E141" s="302"/>
      <c r="F141" s="302"/>
      <c r="G141" s="302"/>
    </row>
    <row r="142" customFormat="false" ht="15" hidden="false" customHeight="true" outlineLevel="0" collapsed="false">
      <c r="A142" s="286" t="s">
        <v>1503</v>
      </c>
      <c r="B142" s="297" t="n">
        <f aca="false">-B92</f>
        <v>-12118</v>
      </c>
      <c r="C142" s="302"/>
      <c r="D142" s="302"/>
      <c r="E142" s="302"/>
      <c r="F142" s="302"/>
      <c r="G142" s="302"/>
    </row>
    <row r="143" customFormat="false" ht="15" hidden="false" customHeight="true" outlineLevel="0" collapsed="false">
      <c r="A143" s="286" t="s">
        <v>1504</v>
      </c>
      <c r="B143" s="297" t="n">
        <f aca="false">B84</f>
        <v>9295</v>
      </c>
      <c r="C143" s="302"/>
      <c r="D143" s="302"/>
      <c r="E143" s="302"/>
      <c r="F143" s="302"/>
      <c r="G143" s="302"/>
    </row>
    <row r="144" customFormat="false" ht="15" hidden="false" customHeight="true" outlineLevel="0" collapsed="false">
      <c r="A144" s="286" t="s">
        <v>1920</v>
      </c>
      <c r="B144" s="297" t="n">
        <f aca="false">-(B141+B142+B143)</f>
        <v>14323</v>
      </c>
      <c r="C144" s="302"/>
      <c r="D144" s="302"/>
      <c r="E144" s="302"/>
      <c r="F144" s="302"/>
      <c r="G144" s="302"/>
    </row>
    <row r="145" customFormat="false" ht="15" hidden="false" customHeight="true" outlineLevel="0" collapsed="false">
      <c r="A145" s="285" t="s">
        <v>1921</v>
      </c>
      <c r="B145" s="301" t="n">
        <f aca="false">SUM(B140:B143)</f>
        <v>80065.3010417083</v>
      </c>
      <c r="C145" s="300"/>
      <c r="D145" s="300"/>
      <c r="E145" s="300"/>
      <c r="F145" s="300"/>
      <c r="G145" s="300"/>
    </row>
    <row r="146" customFormat="false" ht="15" hidden="false" customHeight="true" outlineLevel="0" collapsed="false">
      <c r="A146" s="298"/>
      <c r="B146" s="298"/>
      <c r="C146" s="298"/>
      <c r="D146" s="298"/>
      <c r="E146" s="298"/>
      <c r="F146" s="298"/>
      <c r="G146" s="298"/>
    </row>
    <row r="147" customFormat="false" ht="15" hidden="false" customHeight="true" outlineLevel="0" collapsed="false">
      <c r="A147" s="285" t="s">
        <v>1922</v>
      </c>
      <c r="B147" s="300" t="s">
        <v>78</v>
      </c>
      <c r="C147" s="300"/>
      <c r="D147" s="300"/>
      <c r="E147" s="300"/>
      <c r="F147" s="300"/>
      <c r="G147" s="300"/>
    </row>
    <row r="148" customFormat="false" ht="15" hidden="false" customHeight="true" outlineLevel="0" collapsed="false">
      <c r="A148" s="286" t="s">
        <v>1924</v>
      </c>
      <c r="B148" s="297" t="n">
        <f aca="false">B145</f>
        <v>80065.3010417083</v>
      </c>
      <c r="C148" s="302"/>
      <c r="D148" s="302"/>
      <c r="E148" s="302"/>
      <c r="F148" s="302"/>
      <c r="G148" s="302"/>
    </row>
    <row r="149" customFormat="false" ht="15" hidden="false" customHeight="true" outlineLevel="0" collapsed="false">
      <c r="A149" s="286" t="s">
        <v>57</v>
      </c>
      <c r="B149" s="305" t="n">
        <f aca="false">Valuación!B40</f>
        <v>1800</v>
      </c>
      <c r="C149" s="302"/>
      <c r="D149" s="302"/>
      <c r="E149" s="302"/>
      <c r="F149" s="302"/>
      <c r="G149" s="302"/>
    </row>
    <row r="150" customFormat="false" ht="15" hidden="false" customHeight="true" outlineLevel="0" collapsed="false">
      <c r="A150" s="285" t="s">
        <v>1925</v>
      </c>
      <c r="B150" s="306" t="n">
        <f aca="false">B148/B149</f>
        <v>44.4807228009491</v>
      </c>
      <c r="C150" s="300"/>
      <c r="D150" s="300"/>
      <c r="E150" s="300"/>
      <c r="F150" s="300"/>
      <c r="G150" s="300"/>
    </row>
    <row r="151" customFormat="false" ht="15" hidden="false" customHeight="true" outlineLevel="0" collapsed="false">
      <c r="A151" s="286" t="s">
        <v>16</v>
      </c>
      <c r="B151" s="307" t="n">
        <f aca="false">Valuación!B42</f>
        <v>33.1</v>
      </c>
      <c r="C151" s="302"/>
      <c r="D151" s="302"/>
      <c r="E151" s="302"/>
      <c r="F151" s="302"/>
      <c r="G151" s="302"/>
    </row>
    <row r="152" customFormat="false" ht="15" hidden="false" customHeight="true" outlineLevel="0" collapsed="false">
      <c r="A152" s="286" t="s">
        <v>17</v>
      </c>
      <c r="B152" s="295" t="n">
        <f aca="false">B150/B151-1</f>
        <v>0.343828483412359</v>
      </c>
      <c r="C152" s="302"/>
      <c r="D152" s="302"/>
      <c r="E152" s="302"/>
      <c r="F152" s="302"/>
      <c r="G152" s="302"/>
    </row>
    <row r="153" customFormat="false" ht="15" hidden="false" customHeight="true" outlineLevel="0" collapsed="false">
      <c r="A153" s="286" t="s">
        <v>1926</v>
      </c>
      <c r="B153" s="307" t="n">
        <f aca="false">'Proyección Soriana'!B85</f>
        <v>50.1939335833512</v>
      </c>
      <c r="C153" s="302"/>
      <c r="D153" s="302"/>
      <c r="E153" s="302"/>
      <c r="F153" s="302"/>
      <c r="G153" s="302"/>
    </row>
    <row r="154" customFormat="false" ht="15" hidden="false" customHeight="true" outlineLevel="0" collapsed="false">
      <c r="A154" s="286" t="s">
        <v>1927</v>
      </c>
      <c r="B154" s="295" t="n">
        <f aca="false">B150/B153-1</f>
        <v>-0.113822734632161</v>
      </c>
      <c r="C154" s="302"/>
      <c r="D154" s="302"/>
      <c r="E154" s="302"/>
      <c r="F154" s="302"/>
      <c r="G154" s="302"/>
    </row>
    <row r="155" customFormat="false" ht="15" hidden="false" customHeight="true" outlineLevel="0" collapsed="false">
      <c r="A155" s="286" t="s">
        <v>2698</v>
      </c>
      <c r="B155" s="295" t="n">
        <v>0.15</v>
      </c>
      <c r="C155" s="302"/>
      <c r="D155" s="302"/>
      <c r="E155" s="302"/>
      <c r="F155" s="302"/>
      <c r="G155" s="302"/>
    </row>
    <row r="156" customFormat="false" ht="15" hidden="false" customHeight="true" outlineLevel="0" collapsed="false">
      <c r="A156" s="285" t="s">
        <v>1929</v>
      </c>
      <c r="B156" s="300" t="str">
        <f aca="false">IF(B152&gt;B155,"COMPRAR",IF(B152&lt;-B155,"VENDER","MANTENER"))</f>
        <v>COMPRAR</v>
      </c>
      <c r="C156" s="300"/>
      <c r="D156" s="300"/>
      <c r="E156" s="300"/>
      <c r="F156" s="300"/>
      <c r="G156" s="300"/>
    </row>
    <row r="157" customFormat="false" ht="15" hidden="false" customHeight="true" outlineLevel="0" collapsed="false">
      <c r="A157" s="286" t="s">
        <v>1930</v>
      </c>
      <c r="B157" s="302" t="str">
        <f aca="false" t="array" ref="B157:B157">IF(SUMPRODUCT(ABS(B97:G97))&lt;1,"PASS","FAIL")</f>
        <v>PASS</v>
      </c>
      <c r="C157" s="302"/>
      <c r="D157" s="302"/>
      <c r="E157" s="302"/>
      <c r="F157" s="302"/>
      <c r="G157" s="302"/>
    </row>
    <row r="158" customFormat="false" ht="15" hidden="false" customHeight="true" outlineLevel="0" collapsed="false">
      <c r="A158" s="286" t="s">
        <v>1931</v>
      </c>
      <c r="B158" s="302" t="str">
        <f aca="false">IF(B126&gt;B123,"PASS","FAIL")</f>
        <v>PASS</v>
      </c>
      <c r="C158" s="302"/>
      <c r="D158" s="302"/>
      <c r="E158" s="302"/>
      <c r="F158" s="302"/>
      <c r="G158" s="302"/>
    </row>
    <row r="159" customFormat="false" ht="15" hidden="false" customHeight="true" outlineLevel="0" collapsed="false">
      <c r="A159" s="298"/>
      <c r="B159" s="298"/>
      <c r="C159" s="298"/>
      <c r="D159" s="298"/>
      <c r="E159" s="298"/>
      <c r="F159" s="298"/>
      <c r="G159" s="298"/>
    </row>
    <row r="160" customFormat="false" ht="15" hidden="false" customHeight="true" outlineLevel="0" collapsed="false">
      <c r="A160" s="285" t="s">
        <v>1932</v>
      </c>
      <c r="B160" s="300"/>
      <c r="C160" s="300"/>
      <c r="D160" s="300"/>
      <c r="E160" s="300"/>
      <c r="F160" s="300"/>
      <c r="G160" s="300"/>
    </row>
    <row r="161" customFormat="false" ht="15" hidden="false" customHeight="true" outlineLevel="0" collapsed="false">
      <c r="A161" s="286" t="s">
        <v>1934</v>
      </c>
      <c r="B161" s="296" t="n">
        <v>0.005</v>
      </c>
      <c r="C161" s="302"/>
      <c r="D161" s="302"/>
      <c r="E161" s="302"/>
      <c r="F161" s="302"/>
      <c r="G161" s="302"/>
    </row>
    <row r="162" customFormat="false" ht="15" hidden="false" customHeight="true" outlineLevel="0" collapsed="false">
      <c r="A162" s="285" t="s">
        <v>2699</v>
      </c>
      <c r="B162" s="338" t="n">
        <f aca="false">$B$123-2*$B$161</f>
        <v>0.025</v>
      </c>
      <c r="C162" s="338" t="n">
        <f aca="false">B162+$B$161</f>
        <v>0.03</v>
      </c>
      <c r="D162" s="338" t="n">
        <f aca="false">C162+$B$161</f>
        <v>0.035</v>
      </c>
      <c r="E162" s="338" t="n">
        <f aca="false">D162+$B$161</f>
        <v>0.04</v>
      </c>
      <c r="F162" s="338" t="n">
        <f aca="false">E162+$B$161</f>
        <v>0.045</v>
      </c>
      <c r="G162" s="300"/>
    </row>
    <row r="163" customFormat="false" ht="15" hidden="false" customHeight="true" outlineLevel="0" collapsed="false">
      <c r="A163" s="338" t="n">
        <f aca="false">$B$126-2*$B$161</f>
        <v>0.0846699490555968</v>
      </c>
      <c r="B163" s="307" t="n">
        <f aca="false">IF($A163&lt;=B$162,"n.a.",(($B$243*(SUMPRODUCT($C$117:$G$117,(1+$A163)^(-$C$118:$G$118))+$G$117*(1+B$162)/($A163-B$162)*(1+$A163)^-5)+$B$244*(SUMPRODUCT($C$117:$G$117,(1+$A163)^(-$C$118:$G$118))+$B$236*(1+$A163)^-5))*(1+$A163)^$B$253+$B$257+$B$259+$B$260+$B$261)*(1+$B$221)^$B$254/$B$264)</f>
        <v>41.3328832125929</v>
      </c>
      <c r="C163" s="307" t="n">
        <f aca="false">IF($A163&lt;=C$162,"n.a.",(($B$243*(SUMPRODUCT($C$117:$G$117,(1+$A163)^(-$C$118:$G$118))+$G$117*(1+C$162)/($A163-C$162)*(1+$A163)^-5)+$B$244*(SUMPRODUCT($C$117:$G$117,(1+$A163)^(-$C$118:$G$118))+$B$236*(1+$A163)^-5))*(1+$A163)^$B$253+$B$257+$B$259+$B$260+$B$261)*(1+$B$221)^$B$254/$B$264)</f>
        <v>43.4266799565608</v>
      </c>
      <c r="D163" s="307" t="n">
        <f aca="false">IF($A163&lt;=D$162,"n.a.",(($B$243*(SUMPRODUCT($C$117:$G$117,(1+$A163)^(-$C$118:$G$118))+$G$117*(1+D$162)/($A163-D$162)*(1+$A163)^-5)+$B$244*(SUMPRODUCT($C$117:$G$117,(1+$A163)^(-$C$118:$G$118))+$B$236*(1+$A163)^-5))*(1+$A163)^$B$253+$B$257+$B$259+$B$260+$B$261)*(1+$B$221)^$B$254/$B$264)</f>
        <v>45.9420186557308</v>
      </c>
      <c r="E163" s="307" t="n">
        <f aca="false">IF($A163&lt;=E$162,"n.a.",(($B$243*(SUMPRODUCT($C$117:$G$117,(1+$A163)^(-$C$118:$G$118))+$G$117*(1+E$162)/($A163-E$162)*(1+$A163)^-5)+$B$244*(SUMPRODUCT($C$117:$G$117,(1+$A163)^(-$C$118:$G$118))+$B$236*(1+$A163)^-5))*(1+$A163)^$B$253+$B$257+$B$259+$B$260+$B$261)*(1+$B$221)^$B$254/$B$264)</f>
        <v>49.0204515048491</v>
      </c>
      <c r="F163" s="307" t="n">
        <f aca="false">IF($A163&lt;=F$162,"n.a.",(($B$243*(SUMPRODUCT($C$117:$G$117,(1+$A163)^(-$C$118:$G$118))+$G$117*(1+F$162)/($A163-F$162)*(1+$A163)^-5)+$B$244*(SUMPRODUCT($C$117:$G$117,(1+$A163)^(-$C$118:$G$118))+$B$236*(1+$A163)^-5))*(1+$A163)^$B$253+$B$257+$B$259+$B$260+$B$261)*(1+$B$221)^$B$254/$B$264)</f>
        <v>52.8748956477566</v>
      </c>
      <c r="G163" s="302"/>
    </row>
    <row r="164" customFormat="false" ht="15" hidden="false" customHeight="true" outlineLevel="0" collapsed="false">
      <c r="A164" s="338" t="n">
        <f aca="false">A163+$B$161</f>
        <v>0.0896699490555969</v>
      </c>
      <c r="B164" s="307" t="n">
        <f aca="false">IF($A164&lt;=B$162,"n.a.",(($B$243*(SUMPRODUCT($C$117:$G$117,(1+$A164)^(-$C$118:$G$118))+$G$117*(1+B$162)/($A164-B$162)*(1+$A164)^-5)+$B$244*(SUMPRODUCT($C$117:$G$117,(1+$A164)^(-$C$118:$G$118))+$B$236*(1+$A164)^-5))*(1+$A164)^$B$253+$B$257+$B$259+$B$260+$B$261)*(1+$B$221)^$B$254/$B$264)</f>
        <v>38.8061760260647</v>
      </c>
      <c r="C164" s="307" t="n">
        <f aca="false">IF($A164&lt;=C$162,"n.a.",(($B$243*(SUMPRODUCT($C$117:$G$117,(1+$A164)^(-$C$118:$G$118))+$G$117*(1+C$162)/($A164-C$162)*(1+$A164)^-5)+$B$244*(SUMPRODUCT($C$117:$G$117,(1+$A164)^(-$C$118:$G$118))+$B$236*(1+$A164)^-5))*(1+$A164)^$B$253+$B$257+$B$259+$B$260+$B$261)*(1+$B$221)^$B$254/$B$264)</f>
        <v>40.5479423507586</v>
      </c>
      <c r="D164" s="307" t="n">
        <f aca="false">IF($A164&lt;=D$162,"n.a.",(($B$243*(SUMPRODUCT($C$117:$G$117,(1+$A164)^(-$C$118:$G$118))+$G$117*(1+D$162)/($A164-D$162)*(1+$A164)^-5)+$B$244*(SUMPRODUCT($C$117:$G$117,(1+$A164)^(-$C$118:$G$118))+$B$236*(1+$A164)^-5))*(1+$A164)^$B$253+$B$257+$B$259+$B$260+$B$261)*(1+$B$221)^$B$254/$B$264)</f>
        <v>42.6083053368329</v>
      </c>
      <c r="E164" s="307" t="n">
        <f aca="false">IF($A164&lt;=E$162,"n.a.",(($B$243*(SUMPRODUCT($C$117:$G$117,(1+$A164)^(-$C$118:$G$118))+$G$117*(1+E$162)/($A164-E$162)*(1+$A164)^-5)+$B$244*(SUMPRODUCT($C$117:$G$117,(1+$A164)^(-$C$118:$G$118))+$B$236*(1+$A164)^-5))*(1+$A164)^$B$253+$B$257+$B$259+$B$260+$B$261)*(1+$B$221)^$B$254/$B$264)</f>
        <v>45.0834790938559</v>
      </c>
      <c r="F164" s="307" t="n">
        <f aca="false">IF($A164&lt;=F$162,"n.a.",(($B$243*(SUMPRODUCT($C$117:$G$117,(1+$A164)^(-$C$118:$G$118))+$G$117*(1+F$162)/($A164-F$162)*(1+$A164)^-5)+$B$244*(SUMPRODUCT($C$117:$G$117,(1+$A164)^(-$C$118:$G$118))+$B$236*(1+$A164)^-5))*(1+$A164)^$B$253+$B$257+$B$259+$B$260+$B$261)*(1+$B$221)^$B$254/$B$264)</f>
        <v>48.112755510352</v>
      </c>
      <c r="G164" s="302"/>
    </row>
    <row r="165" customFormat="false" ht="15" hidden="false" customHeight="true" outlineLevel="0" collapsed="false">
      <c r="A165" s="338" t="n">
        <f aca="false">A164+$B$161</f>
        <v>0.0946699490555969</v>
      </c>
      <c r="B165" s="307" t="n">
        <f aca="false">IF($A165&lt;=B$162,"n.a.",(($B$243*(SUMPRODUCT($C$117:$G$117,(1+$A165)^(-$C$118:$G$118))+$G$117*(1+B$162)/($A165-B$162)*(1+$A165)^-5)+$B$244*(SUMPRODUCT($C$117:$G$117,(1+$A165)^(-$C$118:$G$118))+$B$236*(1+$A165)^-5))*(1+$A165)^$B$253+$B$257+$B$259+$B$260+$B$261)*(1+$B$221)^$B$254/$B$264)</f>
        <v>36.5978566720503</v>
      </c>
      <c r="C165" s="307" t="n">
        <f aca="false">IF($A165&lt;=C$162,"n.a.",(($B$243*(SUMPRODUCT($C$117:$G$117,(1+$A165)^(-$C$118:$G$118))+$G$117*(1+C$162)/($A165-C$162)*(1+$A165)^-5)+$B$244*(SUMPRODUCT($C$117:$G$117,(1+$A165)^(-$C$118:$G$118))+$B$236*(1+$A165)^-5))*(1+$A165)^$B$253+$B$257+$B$259+$B$260+$B$261)*(1+$B$221)^$B$254/$B$264)</f>
        <v>38.0659081585145</v>
      </c>
      <c r="D165" s="327" t="n">
        <f aca="false">IF($A165&lt;=D$162,"n.a.",(($B$243*(SUMPRODUCT($C$117:$G$117,(1+$A165)^(-$C$118:$G$118))+$G$117*(1+D$162)/($A165-D$162)*(1+$A165)^-5)+$B$244*(SUMPRODUCT($C$117:$G$117,(1+$A165)^(-$C$118:$G$118))+$B$236*(1+$A165)^-5))*(1+$A165)^$B$253+$B$257+$B$259+$B$260+$B$261)*(1+$B$221)^$B$254/$B$264)</f>
        <v>39.7799882589962</v>
      </c>
      <c r="E165" s="307" t="n">
        <f aca="false">IF($A165&lt;=E$162,"n.a.",(($B$243*(SUMPRODUCT($C$117:$G$117,(1+$A165)^(-$C$118:$G$118))+$G$117*(1+E$162)/($A165-E$162)*(1+$A165)^-5)+$B$244*(SUMPRODUCT($C$117:$G$117,(1+$A165)^(-$C$118:$G$118))+$B$236*(1+$A165)^-5))*(1+$A165)^$B$253+$B$257+$B$259+$B$260+$B$261)*(1+$B$221)^$B$254/$B$264)</f>
        <v>41.8076007717248</v>
      </c>
      <c r="F165" s="307" t="n">
        <f aca="false">IF($A165&lt;=F$162,"n.a.",(($B$243*(SUMPRODUCT($C$117:$G$117,(1+$A165)^(-$C$118:$G$118))+$G$117*(1+F$162)/($A165-F$162)*(1+$A165)^-5)+$B$244*(SUMPRODUCT($C$117:$G$117,(1+$A165)^(-$C$118:$G$118))+$B$236*(1+$A165)^-5))*(1+$A165)^$B$253+$B$257+$B$259+$B$260+$B$261)*(1+$B$221)^$B$254/$B$264)</f>
        <v>44.2434304361278</v>
      </c>
      <c r="G165" s="302"/>
    </row>
    <row r="166" customFormat="false" ht="15" hidden="false" customHeight="true" outlineLevel="0" collapsed="false">
      <c r="A166" s="338" t="n">
        <f aca="false">A165+$B$161</f>
        <v>0.0996699490555969</v>
      </c>
      <c r="B166" s="307" t="n">
        <f aca="false">IF($A166&lt;=B$162,"n.a.",(($B$243*(SUMPRODUCT($C$117:$G$117,(1+$A166)^(-$C$118:$G$118))+$G$117*(1+B$162)/($A166-B$162)*(1+$A166)^-5)+$B$244*(SUMPRODUCT($C$117:$G$117,(1+$A166)^(-$C$118:$G$118))+$B$236*(1+$A166)^-5))*(1+$A166)^$B$253+$B$257+$B$259+$B$260+$B$261)*(1+$B$221)^$B$254/$B$264)</f>
        <v>34.645463344697</v>
      </c>
      <c r="C166" s="307" t="n">
        <f aca="false">IF($A166&lt;=C$162,"n.a.",(($B$243*(SUMPRODUCT($C$117:$G$117,(1+$A166)^(-$C$118:$G$118))+$G$117*(1+C$162)/($A166-C$162)*(1+$A166)^-5)+$B$244*(SUMPRODUCT($C$117:$G$117,(1+$A166)^(-$C$118:$G$118))+$B$236*(1+$A166)^-5))*(1+$A166)^$B$253+$B$257+$B$259+$B$260+$B$261)*(1+$B$221)^$B$254/$B$264)</f>
        <v>35.896790550188</v>
      </c>
      <c r="D166" s="307" t="n">
        <f aca="false">IF($A166&lt;=D$162,"n.a.",(($B$243*(SUMPRODUCT($C$117:$G$117,(1+$A166)^(-$C$118:$G$118))+$G$117*(1+D$162)/($A166-D$162)*(1+$A166)^-5)+$B$244*(SUMPRODUCT($C$117:$G$117,(1+$A166)^(-$C$118:$G$118))+$B$236*(1+$A166)^-5))*(1+$A166)^$B$253+$B$257+$B$259+$B$260+$B$261)*(1+$B$221)^$B$254/$B$264)</f>
        <v>37.3416121412112</v>
      </c>
      <c r="E166" s="307" t="n">
        <f aca="false">IF($A166&lt;=E$162,"n.a.",(($B$243*(SUMPRODUCT($C$117:$G$117,(1+$A166)^(-$C$118:$G$118))+$G$117*(1+E$162)/($A166-E$162)*(1+$A166)^-5)+$B$244*(SUMPRODUCT($C$117:$G$117,(1+$A166)^(-$C$118:$G$118))+$B$236*(1+$A166)^-5))*(1+$A166)^$B$253+$B$257+$B$259+$B$260+$B$261)*(1+$B$221)^$B$254/$B$264)</f>
        <v>39.0285692818521</v>
      </c>
      <c r="F166" s="307" t="n">
        <f aca="false">IF($A166&lt;=F$162,"n.a.",(($B$243*(SUMPRODUCT($C$117:$G$117,(1+$A166)^(-$C$118:$G$118))+$G$117*(1+F$162)/($A166-F$162)*(1+$A166)^-5)+$B$244*(SUMPRODUCT($C$117:$G$117,(1+$A166)^(-$C$118:$G$118))+$B$236*(1+$A166)^-5))*(1+$A166)^$B$253+$B$257+$B$259+$B$260+$B$261)*(1+$B$221)^$B$254/$B$264)</f>
        <v>41.0240976155857</v>
      </c>
      <c r="G166" s="302"/>
    </row>
    <row r="167" customFormat="false" ht="15" hidden="false" customHeight="true" outlineLevel="0" collapsed="false">
      <c r="A167" s="338" t="n">
        <f aca="false">A166+$B$161</f>
        <v>0.104669949055597</v>
      </c>
      <c r="B167" s="307" t="n">
        <f aca="false">IF($A167&lt;=B$162,"n.a.",(($B$243*(SUMPRODUCT($C$117:$G$117,(1+$A167)^(-$C$118:$G$118))+$G$117*(1+B$162)/($A167-B$162)*(1+$A167)^-5)+$B$244*(SUMPRODUCT($C$117:$G$117,(1+$A167)^(-$C$118:$G$118))+$B$236*(1+$A167)^-5))*(1+$A167)^$B$253+$B$257+$B$259+$B$260+$B$261)*(1+$B$221)^$B$254/$B$264)</f>
        <v>32.9021603986939</v>
      </c>
      <c r="C167" s="307" t="n">
        <f aca="false">IF($A167&lt;=C$162,"n.a.",(($B$243*(SUMPRODUCT($C$117:$G$117,(1+$A167)^(-$C$118:$G$118))+$G$117*(1+C$162)/($A167-C$162)*(1+$A167)^-5)+$B$244*(SUMPRODUCT($C$117:$G$117,(1+$A167)^(-$C$118:$G$118))+$B$236*(1+$A167)^-5))*(1+$A167)^$B$253+$B$257+$B$259+$B$260+$B$261)*(1+$B$221)^$B$254/$B$264)</f>
        <v>33.9791864319953</v>
      </c>
      <c r="D167" s="307" t="n">
        <f aca="false">IF($A167&lt;=D$162,"n.a.",(($B$243*(SUMPRODUCT($C$117:$G$117,(1+$A167)^(-$C$118:$G$118))+$G$117*(1+D$162)/($A167-D$162)*(1+$A167)^-5)+$B$244*(SUMPRODUCT($C$117:$G$117,(1+$A167)^(-$C$118:$G$118))+$B$236*(1+$A167)^-5))*(1+$A167)^$B$253+$B$257+$B$259+$B$260+$B$261)*(1+$B$221)^$B$254/$B$264)</f>
        <v>35.2108022199758</v>
      </c>
      <c r="E167" s="307" t="n">
        <f aca="false">IF($A167&lt;=E$162,"n.a.",(($B$243*(SUMPRODUCT($C$117:$G$117,(1+$A167)^(-$C$118:$G$118))+$G$117*(1+E$162)/($A167-E$162)*(1+$A167)^-5)+$B$244*(SUMPRODUCT($C$117:$G$117,(1+$A167)^(-$C$118:$G$118))+$B$236*(1+$A167)^-5))*(1+$A167)^$B$253+$B$257+$B$259+$B$260+$B$261)*(1+$B$221)^$B$254/$B$264)</f>
        <v>36.6328643908539</v>
      </c>
      <c r="F167" s="307" t="n">
        <f aca="false">IF($A167&lt;=F$162,"n.a.",(($B$243*(SUMPRODUCT($C$117:$G$117,(1+$A167)^(-$C$118:$G$118))+$G$117*(1+F$162)/($A167-F$162)*(1+$A167)^-5)+$B$244*(SUMPRODUCT($C$117:$G$117,(1+$A167)^(-$C$118:$G$118))+$B$236*(1+$A167)^-5))*(1+$A167)^$B$253+$B$257+$B$259+$B$260+$B$261)*(1+$B$221)^$B$254/$B$264)</f>
        <v>38.2932478932204</v>
      </c>
      <c r="G167" s="302"/>
    </row>
    <row r="168" customFormat="false" ht="15" hidden="false" customHeight="true" outlineLevel="0" collapsed="false">
      <c r="A168" s="302" t="s">
        <v>1936</v>
      </c>
      <c r="B168" s="337" t="n">
        <f aca="false">D165-B265</f>
        <v>0</v>
      </c>
      <c r="C168" s="302"/>
      <c r="D168" s="302"/>
      <c r="E168" s="302"/>
      <c r="F168" s="302"/>
      <c r="G168" s="302"/>
    </row>
    <row r="169" customFormat="false" ht="15" hidden="false" customHeight="true" outlineLevel="0" collapsed="false">
      <c r="A169" s="298"/>
      <c r="B169" s="298"/>
      <c r="C169" s="298"/>
      <c r="D169" s="298"/>
      <c r="E169" s="298"/>
      <c r="F169" s="298"/>
      <c r="G169" s="298"/>
    </row>
    <row r="170" customFormat="false" ht="15" hidden="false" customHeight="true" outlineLevel="0" collapsed="false">
      <c r="A170" s="285" t="s">
        <v>1937</v>
      </c>
      <c r="B170" s="285" t="s">
        <v>1749</v>
      </c>
      <c r="C170" s="285" t="s">
        <v>1938</v>
      </c>
      <c r="D170" s="285" t="s">
        <v>1719</v>
      </c>
      <c r="E170" s="285" t="s">
        <v>1939</v>
      </c>
      <c r="F170" s="285" t="s">
        <v>1940</v>
      </c>
      <c r="G170" s="285" t="s">
        <v>1941</v>
      </c>
    </row>
    <row r="171" customFormat="false" ht="15" hidden="false" customHeight="false" outlineLevel="0" collapsed="false">
      <c r="A171" s="286" t="s">
        <v>1942</v>
      </c>
      <c r="B171" s="286" t="s">
        <v>1757</v>
      </c>
      <c r="C171" s="286" t="n">
        <v>4</v>
      </c>
      <c r="D171" s="286" t="s">
        <v>1943</v>
      </c>
      <c r="E171" s="286" t="s">
        <v>1944</v>
      </c>
      <c r="F171" s="286" t="s">
        <v>1442</v>
      </c>
      <c r="G171" s="286" t="n">
        <v>11</v>
      </c>
    </row>
    <row r="172" customFormat="false" ht="15" hidden="false" customHeight="false" outlineLevel="0" collapsed="false">
      <c r="A172" s="286" t="s">
        <v>1945</v>
      </c>
      <c r="B172" s="286" t="s">
        <v>1781</v>
      </c>
      <c r="C172" s="286" t="n">
        <v>3</v>
      </c>
      <c r="D172" s="286" t="s">
        <v>1943</v>
      </c>
      <c r="E172" s="286" t="s">
        <v>1944</v>
      </c>
      <c r="F172" s="286" t="s">
        <v>1761</v>
      </c>
      <c r="G172" s="286" t="n">
        <v>10</v>
      </c>
    </row>
    <row r="173" customFormat="false" ht="15" hidden="false" customHeight="false" outlineLevel="0" collapsed="false">
      <c r="A173" s="286" t="s">
        <v>1946</v>
      </c>
      <c r="B173" s="286" t="s">
        <v>1772</v>
      </c>
      <c r="C173" s="286" t="n">
        <v>5</v>
      </c>
      <c r="D173" s="286" t="s">
        <v>1943</v>
      </c>
      <c r="E173" s="286" t="s">
        <v>1948</v>
      </c>
      <c r="F173" s="286" t="s">
        <v>1442</v>
      </c>
      <c r="G173" s="286" t="n">
        <v>13</v>
      </c>
    </row>
    <row r="174" customFormat="false" ht="15" hidden="false" customHeight="false" outlineLevel="0" collapsed="false">
      <c r="A174" s="286" t="s">
        <v>1949</v>
      </c>
      <c r="B174" s="286" t="s">
        <v>1757</v>
      </c>
      <c r="C174" s="286" t="n">
        <v>3</v>
      </c>
      <c r="D174" s="286" t="s">
        <v>1950</v>
      </c>
      <c r="E174" s="286" t="s">
        <v>1944</v>
      </c>
      <c r="F174" s="286" t="s">
        <v>1442</v>
      </c>
      <c r="G174" s="286" t="n">
        <v>13</v>
      </c>
    </row>
    <row r="175" customFormat="false" ht="15" hidden="false" customHeight="false" outlineLevel="0" collapsed="false">
      <c r="A175" s="286" t="s">
        <v>1951</v>
      </c>
      <c r="B175" s="286" t="s">
        <v>1772</v>
      </c>
      <c r="C175" s="286" t="n">
        <v>3</v>
      </c>
      <c r="D175" s="286" t="s">
        <v>1950</v>
      </c>
      <c r="E175" s="286" t="s">
        <v>1948</v>
      </c>
      <c r="F175" s="286" t="s">
        <v>1442</v>
      </c>
      <c r="G175" s="286" t="n">
        <v>17</v>
      </c>
    </row>
    <row r="176" customFormat="false" ht="15" hidden="false" customHeight="false" outlineLevel="0" collapsed="false">
      <c r="A176" s="286" t="s">
        <v>1952</v>
      </c>
      <c r="B176" s="286" t="s">
        <v>1772</v>
      </c>
      <c r="C176" s="286" t="n">
        <v>3</v>
      </c>
      <c r="D176" s="286" t="s">
        <v>1943</v>
      </c>
      <c r="E176" s="286" t="s">
        <v>1944</v>
      </c>
      <c r="F176" s="286" t="s">
        <v>1953</v>
      </c>
      <c r="G176" s="286" t="s">
        <v>1954</v>
      </c>
    </row>
    <row r="177" customFormat="false" ht="15" hidden="false" customHeight="false" outlineLevel="0" collapsed="false">
      <c r="A177" s="286" t="s">
        <v>1955</v>
      </c>
      <c r="B177" s="286" t="s">
        <v>1772</v>
      </c>
      <c r="C177" s="286" t="n">
        <v>3</v>
      </c>
      <c r="D177" s="286" t="s">
        <v>1943</v>
      </c>
      <c r="E177" s="286" t="s">
        <v>1948</v>
      </c>
      <c r="F177" s="286" t="s">
        <v>1956</v>
      </c>
      <c r="G177" s="286" t="n">
        <v>125</v>
      </c>
    </row>
    <row r="178" customFormat="false" ht="15" hidden="false" customHeight="false" outlineLevel="0" collapsed="false">
      <c r="A178" s="286" t="s">
        <v>1957</v>
      </c>
      <c r="B178" s="286" t="s">
        <v>1772</v>
      </c>
      <c r="C178" s="286" t="n">
        <v>3</v>
      </c>
      <c r="D178" s="286" t="s">
        <v>1950</v>
      </c>
      <c r="E178" s="286" t="s">
        <v>1948</v>
      </c>
      <c r="F178" s="286" t="s">
        <v>1771</v>
      </c>
      <c r="G178" s="286" t="n">
        <v>35</v>
      </c>
    </row>
    <row r="179" customFormat="false" ht="15" hidden="false" customHeight="false" outlineLevel="0" collapsed="false">
      <c r="A179" s="286" t="s">
        <v>1958</v>
      </c>
      <c r="B179" s="286" t="s">
        <v>1772</v>
      </c>
      <c r="C179" s="286" t="n">
        <v>2</v>
      </c>
      <c r="D179" s="286" t="s">
        <v>1950</v>
      </c>
      <c r="E179" s="286" t="s">
        <v>1959</v>
      </c>
      <c r="F179" s="286" t="s">
        <v>5</v>
      </c>
      <c r="G179" s="286" t="n">
        <v>125</v>
      </c>
    </row>
    <row r="180" customFormat="false" ht="15" hidden="false" customHeight="false" outlineLevel="0" collapsed="false">
      <c r="A180" s="286" t="s">
        <v>1960</v>
      </c>
      <c r="B180" s="286" t="s">
        <v>1772</v>
      </c>
      <c r="C180" s="286" t="n">
        <v>4</v>
      </c>
      <c r="D180" s="286" t="s">
        <v>1943</v>
      </c>
      <c r="E180" s="286" t="s">
        <v>1959</v>
      </c>
      <c r="F180" s="286" t="s">
        <v>1442</v>
      </c>
      <c r="G180" s="286" t="n">
        <v>18</v>
      </c>
    </row>
    <row r="181" customFormat="false" ht="15" hidden="false" customHeight="false" outlineLevel="0" collapsed="false">
      <c r="A181" s="286" t="s">
        <v>1961</v>
      </c>
      <c r="B181" s="286" t="s">
        <v>1772</v>
      </c>
      <c r="C181" s="286" t="n">
        <v>3</v>
      </c>
      <c r="D181" s="286" t="s">
        <v>1943</v>
      </c>
      <c r="E181" s="286" t="s">
        <v>1944</v>
      </c>
      <c r="F181" s="286" t="s">
        <v>1442</v>
      </c>
      <c r="G181" s="286" t="n">
        <v>18</v>
      </c>
    </row>
    <row r="182" customFormat="false" ht="15" hidden="false" customHeight="false" outlineLevel="0" collapsed="false">
      <c r="A182" s="286" t="s">
        <v>1962</v>
      </c>
      <c r="B182" s="286" t="s">
        <v>1772</v>
      </c>
      <c r="C182" s="286" t="n">
        <v>2</v>
      </c>
      <c r="D182" s="286" t="s">
        <v>1943</v>
      </c>
      <c r="E182" s="286" t="s">
        <v>1948</v>
      </c>
      <c r="F182" s="286" t="s">
        <v>1771</v>
      </c>
      <c r="G182" s="286" t="n">
        <v>35</v>
      </c>
    </row>
    <row r="183" customFormat="false" ht="15" hidden="false" customHeight="false" outlineLevel="0" collapsed="false">
      <c r="A183" s="286" t="s">
        <v>1963</v>
      </c>
      <c r="B183" s="286" t="s">
        <v>1781</v>
      </c>
      <c r="C183" s="286" t="n">
        <v>4</v>
      </c>
      <c r="D183" s="286" t="s">
        <v>1943</v>
      </c>
      <c r="E183" s="286" t="s">
        <v>1964</v>
      </c>
      <c r="F183" s="286" t="s">
        <v>1965</v>
      </c>
      <c r="G183" s="286" t="s">
        <v>1966</v>
      </c>
    </row>
    <row r="184" customFormat="false" ht="15" hidden="false" customHeight="false" outlineLevel="0" collapsed="false">
      <c r="A184" s="286" t="s">
        <v>1967</v>
      </c>
      <c r="B184" s="286" t="s">
        <v>1772</v>
      </c>
      <c r="C184" s="286" t="n">
        <v>3</v>
      </c>
      <c r="D184" s="286" t="s">
        <v>1943</v>
      </c>
      <c r="E184" s="286" t="s">
        <v>1959</v>
      </c>
      <c r="F184" s="286" t="s">
        <v>1785</v>
      </c>
      <c r="G184" s="286" t="n">
        <v>33</v>
      </c>
    </row>
    <row r="185" customFormat="false" ht="15" hidden="false" customHeight="false" outlineLevel="0" collapsed="false">
      <c r="A185" s="286" t="s">
        <v>1968</v>
      </c>
      <c r="B185" s="286" t="s">
        <v>1772</v>
      </c>
      <c r="C185" s="286" t="n">
        <v>2</v>
      </c>
      <c r="D185" s="286" t="s">
        <v>1950</v>
      </c>
      <c r="E185" s="286" t="s">
        <v>1944</v>
      </c>
      <c r="F185" s="286" t="s">
        <v>1442</v>
      </c>
      <c r="G185" s="286" t="n">
        <v>21</v>
      </c>
    </row>
    <row r="186" customFormat="false" ht="15" hidden="false" customHeight="false" outlineLevel="0" collapsed="false">
      <c r="A186" s="286" t="s">
        <v>1969</v>
      </c>
      <c r="B186" s="286" t="s">
        <v>1772</v>
      </c>
      <c r="C186" s="286" t="n">
        <v>2</v>
      </c>
      <c r="D186" s="286" t="s">
        <v>1950</v>
      </c>
      <c r="E186" s="286" t="s">
        <v>1959</v>
      </c>
      <c r="F186" s="286" t="s">
        <v>1439</v>
      </c>
      <c r="G186" s="286" t="n">
        <v>52</v>
      </c>
    </row>
    <row r="187" customFormat="false" ht="15" hidden="false" customHeight="false" outlineLevel="0" collapsed="false">
      <c r="A187" s="286" t="s">
        <v>1970</v>
      </c>
      <c r="B187" s="286" t="s">
        <v>1757</v>
      </c>
      <c r="C187" s="286" t="n">
        <v>3</v>
      </c>
      <c r="D187" s="286" t="s">
        <v>1943</v>
      </c>
      <c r="E187" s="286" t="s">
        <v>1959</v>
      </c>
      <c r="F187" s="286" t="s">
        <v>1442</v>
      </c>
      <c r="G187" s="286" t="n">
        <v>19</v>
      </c>
    </row>
    <row r="188" customFormat="false" ht="15" hidden="false" customHeight="false" outlineLevel="0" collapsed="false">
      <c r="A188" s="286" t="s">
        <v>1971</v>
      </c>
      <c r="B188" s="286" t="s">
        <v>1772</v>
      </c>
      <c r="C188" s="286" t="n">
        <v>3</v>
      </c>
      <c r="D188" s="286" t="s">
        <v>1943</v>
      </c>
      <c r="E188" s="286" t="s">
        <v>1948</v>
      </c>
      <c r="F188" s="286" t="s">
        <v>1972</v>
      </c>
      <c r="G188" s="286" t="n">
        <v>34</v>
      </c>
    </row>
    <row r="189" customFormat="false" ht="15" hidden="false" customHeight="false" outlineLevel="0" collapsed="false">
      <c r="A189" s="286" t="s">
        <v>1973</v>
      </c>
      <c r="B189" s="286" t="s">
        <v>1772</v>
      </c>
      <c r="C189" s="286" t="n">
        <v>5</v>
      </c>
      <c r="D189" s="286" t="s">
        <v>1943</v>
      </c>
      <c r="E189" s="286" t="s">
        <v>1948</v>
      </c>
      <c r="F189" s="286" t="s">
        <v>1442</v>
      </c>
      <c r="G189" s="286" t="n">
        <v>15</v>
      </c>
    </row>
    <row r="190" customFormat="false" ht="15" hidden="false" customHeight="false" outlineLevel="0" collapsed="false">
      <c r="A190" s="286" t="s">
        <v>1974</v>
      </c>
      <c r="B190" s="286" t="s">
        <v>1772</v>
      </c>
      <c r="C190" s="286" t="n">
        <v>5</v>
      </c>
      <c r="D190" s="286" t="s">
        <v>1943</v>
      </c>
      <c r="E190" s="286" t="s">
        <v>1964</v>
      </c>
      <c r="F190" s="286" t="s">
        <v>1975</v>
      </c>
      <c r="G190" s="286" t="s">
        <v>1976</v>
      </c>
    </row>
    <row r="191" customFormat="false" ht="15" hidden="false" customHeight="false" outlineLevel="0" collapsed="false">
      <c r="A191" s="286" t="s">
        <v>1977</v>
      </c>
      <c r="B191" s="286" t="s">
        <v>1781</v>
      </c>
      <c r="C191" s="286" t="n">
        <v>4</v>
      </c>
      <c r="D191" s="286" t="s">
        <v>1943</v>
      </c>
      <c r="E191" s="286" t="s">
        <v>1978</v>
      </c>
      <c r="F191" s="286" t="s">
        <v>1979</v>
      </c>
      <c r="G191" s="286" t="s">
        <v>1980</v>
      </c>
    </row>
    <row r="192" customFormat="false" ht="15" hidden="false" customHeight="false" outlineLevel="0" collapsed="false">
      <c r="A192" s="286" t="s">
        <v>1981</v>
      </c>
      <c r="B192" s="286" t="s">
        <v>1781</v>
      </c>
      <c r="C192" s="286" t="n">
        <v>3</v>
      </c>
      <c r="D192" s="286" t="s">
        <v>1943</v>
      </c>
      <c r="E192" s="286" t="s">
        <v>1959</v>
      </c>
      <c r="F192" s="286" t="s">
        <v>1975</v>
      </c>
      <c r="G192" s="286" t="n">
        <v>16</v>
      </c>
    </row>
    <row r="193" customFormat="false" ht="15" hidden="false" customHeight="false" outlineLevel="0" collapsed="false">
      <c r="A193" s="286" t="s">
        <v>1982</v>
      </c>
      <c r="B193" s="286" t="s">
        <v>1781</v>
      </c>
      <c r="C193" s="286" t="n">
        <v>2</v>
      </c>
      <c r="D193" s="286" t="s">
        <v>1943</v>
      </c>
      <c r="E193" s="286" t="s">
        <v>1959</v>
      </c>
      <c r="F193" s="286" t="s">
        <v>1972</v>
      </c>
      <c r="G193" s="286" t="s">
        <v>1983</v>
      </c>
    </row>
    <row r="194" customFormat="false" ht="15" hidden="false" customHeight="false" outlineLevel="0" collapsed="false">
      <c r="A194" s="286" t="s">
        <v>1984</v>
      </c>
      <c r="B194" s="286" t="s">
        <v>1757</v>
      </c>
      <c r="C194" s="286" t="n">
        <v>2</v>
      </c>
      <c r="D194" s="286" t="s">
        <v>1943</v>
      </c>
      <c r="E194" s="286" t="s">
        <v>1959</v>
      </c>
      <c r="F194" s="286" t="s">
        <v>1827</v>
      </c>
      <c r="G194" s="286" t="n">
        <v>22</v>
      </c>
    </row>
    <row r="195" customFormat="false" ht="15" hidden="false" customHeight="false" outlineLevel="0" collapsed="false">
      <c r="A195" s="286" t="s">
        <v>1985</v>
      </c>
      <c r="B195" s="286" t="s">
        <v>1757</v>
      </c>
      <c r="C195" s="286" t="n">
        <v>2</v>
      </c>
      <c r="D195" s="286" t="s">
        <v>1950</v>
      </c>
      <c r="E195" s="286" t="s">
        <v>1978</v>
      </c>
      <c r="F195" s="286" t="s">
        <v>1972</v>
      </c>
      <c r="G195" s="286" t="n">
        <v>38</v>
      </c>
    </row>
    <row r="196" customFormat="false" ht="15" hidden="false" customHeight="false" outlineLevel="0" collapsed="false">
      <c r="A196" s="286" t="s">
        <v>1986</v>
      </c>
      <c r="B196" s="286" t="s">
        <v>1757</v>
      </c>
      <c r="C196" s="286" t="n">
        <v>4</v>
      </c>
      <c r="D196" s="286" t="s">
        <v>1943</v>
      </c>
      <c r="E196" s="286" t="s">
        <v>1948</v>
      </c>
      <c r="F196" s="286" t="s">
        <v>1972</v>
      </c>
      <c r="G196" s="286" t="n">
        <v>32</v>
      </c>
    </row>
    <row r="197" customFormat="false" ht="15" hidden="false" customHeight="false" outlineLevel="0" collapsed="false">
      <c r="A197" s="286" t="s">
        <v>1987</v>
      </c>
      <c r="B197" s="286" t="s">
        <v>1781</v>
      </c>
      <c r="C197" s="286" t="n">
        <v>3</v>
      </c>
      <c r="D197" s="286" t="s">
        <v>1943</v>
      </c>
      <c r="E197" s="286" t="s">
        <v>1948</v>
      </c>
      <c r="F197" s="286" t="s">
        <v>99</v>
      </c>
      <c r="G197" s="286" t="n">
        <v>47</v>
      </c>
    </row>
    <row r="198" customFormat="false" ht="15" hidden="false" customHeight="false" outlineLevel="0" collapsed="false">
      <c r="A198" s="286" t="s">
        <v>1988</v>
      </c>
      <c r="B198" s="286" t="s">
        <v>1772</v>
      </c>
      <c r="C198" s="286" t="n">
        <v>3</v>
      </c>
      <c r="D198" s="286" t="s">
        <v>1950</v>
      </c>
      <c r="E198" s="286" t="s">
        <v>1948</v>
      </c>
      <c r="F198" s="286" t="s">
        <v>1785</v>
      </c>
      <c r="G198" s="286" t="n">
        <v>36</v>
      </c>
    </row>
    <row r="199" customFormat="false" ht="15" hidden="false" customHeight="false" outlineLevel="0" collapsed="false">
      <c r="A199" s="286" t="s">
        <v>1989</v>
      </c>
      <c r="B199" s="286" t="s">
        <v>1772</v>
      </c>
      <c r="C199" s="286" t="n">
        <v>3</v>
      </c>
      <c r="D199" s="286" t="s">
        <v>1943</v>
      </c>
      <c r="E199" s="286" t="s">
        <v>1944</v>
      </c>
      <c r="F199" s="286" t="s">
        <v>1442</v>
      </c>
      <c r="G199" s="286" t="n">
        <v>17</v>
      </c>
    </row>
    <row r="200" customFormat="false" ht="15" hidden="false" customHeight="false" outlineLevel="0" collapsed="false">
      <c r="A200" s="286" t="s">
        <v>1990</v>
      </c>
      <c r="B200" s="286" t="s">
        <v>1772</v>
      </c>
      <c r="C200" s="286" t="n">
        <v>2</v>
      </c>
      <c r="D200" s="286" t="s">
        <v>1950</v>
      </c>
      <c r="E200" s="286" t="s">
        <v>1944</v>
      </c>
      <c r="F200" s="286" t="s">
        <v>1785</v>
      </c>
      <c r="G200" s="286" t="s">
        <v>1991</v>
      </c>
    </row>
    <row r="201" customFormat="false" ht="15" hidden="false" customHeight="true" outlineLevel="0" collapsed="false">
      <c r="A201" s="288"/>
      <c r="B201" s="288"/>
      <c r="C201" s="288"/>
      <c r="D201" s="288"/>
      <c r="E201" s="288"/>
      <c r="F201" s="288"/>
      <c r="G201" s="288"/>
    </row>
    <row r="202" customFormat="false" ht="15" hidden="false" customHeight="true" outlineLevel="0" collapsed="false">
      <c r="A202" s="288"/>
      <c r="B202" s="288"/>
      <c r="C202" s="288"/>
      <c r="D202" s="288"/>
      <c r="E202" s="288"/>
      <c r="F202" s="288"/>
      <c r="G202" s="288"/>
    </row>
    <row r="203" customFormat="false" ht="15" hidden="false" customHeight="true" outlineLevel="0" collapsed="false">
      <c r="A203" s="298"/>
      <c r="B203" s="298"/>
      <c r="C203" s="298"/>
      <c r="D203" s="298"/>
      <c r="E203" s="298"/>
      <c r="F203" s="298"/>
      <c r="G203" s="298"/>
    </row>
    <row r="204" customFormat="false" ht="15" hidden="false" customHeight="true" outlineLevel="0" collapsed="false">
      <c r="A204" s="298"/>
      <c r="B204" s="298"/>
      <c r="C204" s="298"/>
      <c r="D204" s="298"/>
      <c r="E204" s="298"/>
      <c r="F204" s="298"/>
      <c r="G204" s="298"/>
    </row>
    <row r="205" customFormat="false" ht="15" hidden="false" customHeight="true" outlineLevel="0" collapsed="false">
      <c r="A205" s="285" t="s">
        <v>1992</v>
      </c>
      <c r="B205" s="300" t="s">
        <v>78</v>
      </c>
      <c r="C205" s="300"/>
      <c r="D205" s="300"/>
      <c r="E205" s="300"/>
      <c r="F205" s="300"/>
      <c r="G205" s="300"/>
    </row>
    <row r="206" customFormat="false" ht="15" hidden="false" customHeight="false" outlineLevel="0" collapsed="false">
      <c r="A206" s="286" t="s">
        <v>1994</v>
      </c>
      <c r="B206" s="296" t="n">
        <f aca="false">C61+Escenarios!$G$15</f>
        <v>0.0980955405274854</v>
      </c>
      <c r="C206" s="302"/>
      <c r="D206" s="302"/>
      <c r="E206" s="302"/>
      <c r="F206" s="302"/>
      <c r="G206" s="302"/>
    </row>
    <row r="207" customFormat="false" ht="15" hidden="false" customHeight="false" outlineLevel="0" collapsed="false">
      <c r="A207" s="286" t="s">
        <v>1995</v>
      </c>
      <c r="B207" s="296" t="n">
        <f aca="false">G55</f>
        <v>0.288010101095701</v>
      </c>
      <c r="C207" s="302"/>
      <c r="D207" s="302"/>
      <c r="E207" s="302"/>
      <c r="F207" s="302"/>
      <c r="G207" s="302"/>
    </row>
    <row r="208" customFormat="false" ht="15" hidden="false" customHeight="false" outlineLevel="0" collapsed="false">
      <c r="A208" s="286" t="s">
        <v>1996</v>
      </c>
      <c r="B208" s="296" t="n">
        <f aca="false">B206*(1-B207)</f>
        <v>0.0698430339831269</v>
      </c>
      <c r="C208" s="302"/>
      <c r="D208" s="302"/>
      <c r="E208" s="302"/>
      <c r="F208" s="302"/>
      <c r="G208" s="302"/>
    </row>
    <row r="209" customFormat="false" ht="15" hidden="false" customHeight="false" outlineLevel="0" collapsed="false">
      <c r="A209" s="286" t="s">
        <v>1997</v>
      </c>
      <c r="B209" s="297" t="n">
        <f aca="false">B91+B92</f>
        <v>23618</v>
      </c>
      <c r="C209" s="302"/>
      <c r="D209" s="302"/>
      <c r="E209" s="302"/>
      <c r="F209" s="302"/>
      <c r="G209" s="302"/>
    </row>
    <row r="210" customFormat="false" ht="15" hidden="false" customHeight="false" outlineLevel="0" collapsed="false">
      <c r="A210" s="286" t="s">
        <v>1998</v>
      </c>
      <c r="B210" s="296" t="n">
        <f aca="false">WACC!B5+Escenarios!$G$14</f>
        <v>0.0932655405274854</v>
      </c>
      <c r="C210" s="302"/>
      <c r="D210" s="302"/>
      <c r="E210" s="302"/>
      <c r="F210" s="302"/>
      <c r="G210" s="302"/>
    </row>
    <row r="211" customFormat="false" ht="15" hidden="false" customHeight="false" outlineLevel="0" collapsed="false">
      <c r="A211" s="286" t="s">
        <v>1999</v>
      </c>
      <c r="B211" s="296" t="n">
        <f aca="false">WACC!B8</f>
        <v>0.0423</v>
      </c>
      <c r="C211" s="302"/>
      <c r="D211" s="302"/>
      <c r="E211" s="302"/>
      <c r="F211" s="302"/>
      <c r="G211" s="302"/>
    </row>
    <row r="212" customFormat="false" ht="15" hidden="false" customHeight="false" outlineLevel="0" collapsed="false">
      <c r="A212" s="286" t="s">
        <v>2700</v>
      </c>
      <c r="B212" s="337" t="n">
        <f aca="false">Escenarios!$G$16</f>
        <v>0.170520815748403</v>
      </c>
      <c r="C212" s="302"/>
      <c r="D212" s="302"/>
      <c r="E212" s="302"/>
      <c r="F212" s="302"/>
      <c r="G212" s="302"/>
    </row>
    <row r="213" customFormat="false" ht="15" hidden="false" customHeight="false" outlineLevel="0" collapsed="false">
      <c r="A213" s="285" t="s">
        <v>2001</v>
      </c>
      <c r="B213" s="300" t="s">
        <v>2002</v>
      </c>
      <c r="C213" s="300" t="s">
        <v>2003</v>
      </c>
      <c r="D213" s="300" t="s">
        <v>1412</v>
      </c>
      <c r="E213" s="300" t="s">
        <v>2004</v>
      </c>
      <c r="F213" s="300" t="s">
        <v>2005</v>
      </c>
      <c r="G213" s="300" t="s">
        <v>2006</v>
      </c>
    </row>
    <row r="214" customFormat="false" ht="15" hidden="false" customHeight="false" outlineLevel="0" collapsed="false">
      <c r="A214" s="286" t="s">
        <v>2007</v>
      </c>
      <c r="B214" s="296" t="n">
        <f aca="false">WACC!B33</f>
        <v>0.100615773284249</v>
      </c>
      <c r="C214" s="297" t="n">
        <f aca="false">SUMPRODUCT($C$117:$G$117,(1+B214)^(-$C$118:$G$118))+$G$117*(1+$B$123)/(B214-$B$123)*(1+B214)^-5+$B$141+$B$142+$B$143</f>
        <v>71623.0673650022</v>
      </c>
      <c r="D214" s="304" t="n">
        <f aca="false">$B$209/C214</f>
        <v>0.329754098349894</v>
      </c>
      <c r="E214" s="304" t="n">
        <f aca="false">$B$212*(1+(1-$B$207)*D214)</f>
        <v>0.210555963511485</v>
      </c>
      <c r="F214" s="296" t="n">
        <f aca="false">$B$210+E214*$B$211</f>
        <v>0.102172057784021</v>
      </c>
      <c r="G214" s="296" t="n">
        <f aca="false">C214/(C214+$B$209)*F214+$B$209/(C214+$B$209)*$B$208</f>
        <v>0.0941550656895993</v>
      </c>
    </row>
    <row r="215" customFormat="false" ht="15" hidden="false" customHeight="false" outlineLevel="0" collapsed="false">
      <c r="A215" s="286" t="n">
        <v>1</v>
      </c>
      <c r="B215" s="296" t="n">
        <f aca="false">G214</f>
        <v>0.0941550656895993</v>
      </c>
      <c r="C215" s="297" t="n">
        <f aca="false">SUMPRODUCT($C$117:$G$117,(1+B215)^(-$C$118:$G$118))+$G$117*(1+$B$123)/(B215-$B$123)*(1+B215)^-5+$B$141+$B$142+$B$143</f>
        <v>80876.0702761715</v>
      </c>
      <c r="D215" s="304" t="n">
        <f aca="false">$B$209/C215</f>
        <v>0.292027047300276</v>
      </c>
      <c r="E215" s="304" t="n">
        <f aca="false">$B$212*(1+(1-$B$207)*D215)</f>
        <v>0.205975556259551</v>
      </c>
      <c r="F215" s="296" t="n">
        <f aca="false">$B$210+E215*$B$211</f>
        <v>0.101978306557264</v>
      </c>
      <c r="G215" s="296" t="n">
        <f aca="false">C215/(C215+$B$209)*F215+$B$209/(C215+$B$209)*$B$208</f>
        <v>0.0947150152944198</v>
      </c>
    </row>
    <row r="216" customFormat="false" ht="15" hidden="false" customHeight="false" outlineLevel="0" collapsed="false">
      <c r="A216" s="286" t="n">
        <v>2</v>
      </c>
      <c r="B216" s="296" t="n">
        <f aca="false">G215</f>
        <v>0.0947150152944198</v>
      </c>
      <c r="C216" s="297" t="n">
        <f aca="false">SUMPRODUCT($C$117:$G$117,(1+B216)^(-$C$118:$G$118))+$G$117*(1+$B$123)/(B216-$B$123)*(1+B216)^-5+$B$141+$B$142+$B$143</f>
        <v>79995.00117319</v>
      </c>
      <c r="D216" s="304" t="n">
        <f aca="false">$B$209/C216</f>
        <v>0.295243448385816</v>
      </c>
      <c r="E216" s="304" t="n">
        <f aca="false">$B$212*(1+(1-$B$207)*D216)</f>
        <v>0.206366056615329</v>
      </c>
      <c r="F216" s="296" t="n">
        <f aca="false">$B$210+E216*$B$211</f>
        <v>0.101994824722314</v>
      </c>
      <c r="G216" s="296" t="n">
        <f aca="false">C216/(C216+$B$209)*F216+$B$209/(C216+$B$209)*$B$208</f>
        <v>0.0946660051236146</v>
      </c>
    </row>
    <row r="217" customFormat="false" ht="15" hidden="false" customHeight="false" outlineLevel="0" collapsed="false">
      <c r="A217" s="286" t="n">
        <v>3</v>
      </c>
      <c r="B217" s="296" t="n">
        <f aca="false">G216</f>
        <v>0.0946660051236146</v>
      </c>
      <c r="C217" s="297" t="n">
        <f aca="false">SUMPRODUCT($C$117:$G$117,(1+B217)^(-$C$118:$G$118))+$G$117*(1+$B$123)/(B217-$B$123)*(1+B217)^-5+$B$141+$B$142+$B$143</f>
        <v>80071.4583179994</v>
      </c>
      <c r="D217" s="304" t="n">
        <f aca="false">$B$209/C217</f>
        <v>0.294961531813276</v>
      </c>
      <c r="E217" s="304" t="n">
        <f aca="false">$B$212*(1+(1-$B$207)*D217)</f>
        <v>0.206331829378443</v>
      </c>
      <c r="F217" s="296" t="n">
        <f aca="false">$B$210+E217*$B$211</f>
        <v>0.101993376910194</v>
      </c>
      <c r="G217" s="296" t="n">
        <f aca="false">C217/(C217+$B$209)*F217+$B$209/(C217+$B$209)*$B$208</f>
        <v>0.0946702911156596</v>
      </c>
    </row>
    <row r="218" customFormat="false" ht="15" hidden="false" customHeight="false" outlineLevel="0" collapsed="false">
      <c r="A218" s="286" t="n">
        <v>4</v>
      </c>
      <c r="B218" s="296" t="n">
        <f aca="false">G217</f>
        <v>0.0946702911156596</v>
      </c>
      <c r="C218" s="297" t="n">
        <f aca="false">SUMPRODUCT($C$117:$G$117,(1+B218)^(-$C$118:$G$118))+$G$117*(1+$B$123)/(B218-$B$123)*(1+B218)^-5+$B$141+$B$142+$B$143</f>
        <v>80064.7670549964</v>
      </c>
      <c r="D218" s="304" t="n">
        <f aca="false">$B$209/C218</f>
        <v>0.294986182671047</v>
      </c>
      <c r="E218" s="304" t="n">
        <f aca="false">$B$212*(1+(1-$B$207)*D218)</f>
        <v>0.206334822216859</v>
      </c>
      <c r="F218" s="296" t="n">
        <f aca="false">$B$210+E218*$B$211</f>
        <v>0.101993503507258</v>
      </c>
      <c r="G218" s="296" t="n">
        <f aca="false">C218/(C218+$B$209)*F218+$B$209/(C218+$B$209)*$B$208</f>
        <v>0.0946699162729578</v>
      </c>
    </row>
    <row r="219" customFormat="false" ht="15" hidden="false" customHeight="false" outlineLevel="0" collapsed="false">
      <c r="A219" s="286" t="n">
        <v>5</v>
      </c>
      <c r="B219" s="296" t="n">
        <f aca="false">G218</f>
        <v>0.0946699162729578</v>
      </c>
      <c r="C219" s="297" t="n">
        <f aca="false">SUMPRODUCT($C$117:$G$117,(1+B219)^(-$C$118:$G$118))+$G$117*(1+$B$123)/(B219-$B$123)*(1+B219)^-5+$B$141+$B$142+$B$143</f>
        <v>80065.3522186954</v>
      </c>
      <c r="D219" s="304" t="n">
        <f aca="false">$B$209/C219</f>
        <v>0.294984026742159</v>
      </c>
      <c r="E219" s="304" t="n">
        <f aca="false">$B$212*(1+(1-$B$207)*D219)</f>
        <v>0.206334560467476</v>
      </c>
      <c r="F219" s="296" t="n">
        <f aca="false">$B$210+E219*$B$211</f>
        <v>0.10199349243526</v>
      </c>
      <c r="G219" s="296" t="n">
        <f aca="false">C219/(C219+$B$209)*F219+$B$209/(C219+$B$209)*$B$208</f>
        <v>0.0946699490555968</v>
      </c>
    </row>
    <row r="220" customFormat="false" ht="15" hidden="false" customHeight="false" outlineLevel="0" collapsed="false">
      <c r="A220" s="285" t="s">
        <v>2008</v>
      </c>
      <c r="B220" s="338" t="n">
        <f aca="false">G219</f>
        <v>0.0946699490555968</v>
      </c>
      <c r="C220" s="300"/>
      <c r="D220" s="300"/>
      <c r="E220" s="300"/>
      <c r="F220" s="300"/>
      <c r="G220" s="300"/>
    </row>
    <row r="221" customFormat="false" ht="15" hidden="false" customHeight="false" outlineLevel="0" collapsed="false">
      <c r="A221" s="285" t="s">
        <v>2009</v>
      </c>
      <c r="B221" s="338" t="n">
        <f aca="false">F219</f>
        <v>0.10199349243526</v>
      </c>
      <c r="C221" s="300"/>
      <c r="D221" s="300"/>
      <c r="E221" s="300"/>
      <c r="F221" s="300"/>
      <c r="G221" s="300"/>
    </row>
    <row r="222" customFormat="false" ht="15" hidden="false" customHeight="false" outlineLevel="0" collapsed="false">
      <c r="A222" s="286" t="s">
        <v>2010</v>
      </c>
      <c r="B222" s="337" t="n">
        <f aca="false">(G219-G218)*10000</f>
        <v>0.000327826390061903</v>
      </c>
      <c r="C222" s="303"/>
      <c r="D222" s="303"/>
      <c r="E222" s="303"/>
      <c r="F222" s="303"/>
      <c r="G222" s="303"/>
    </row>
    <row r="223" customFormat="false" ht="15" hidden="false" customHeight="false" outlineLevel="0" collapsed="false">
      <c r="A223" s="339"/>
      <c r="B223" s="339"/>
      <c r="C223" s="339"/>
      <c r="D223" s="339"/>
      <c r="E223" s="339"/>
      <c r="F223" s="339"/>
      <c r="G223" s="339"/>
    </row>
    <row r="224" customFormat="false" ht="15" hidden="false" customHeight="false" outlineLevel="0" collapsed="false">
      <c r="A224" s="339"/>
      <c r="B224" s="339"/>
      <c r="C224" s="339"/>
      <c r="D224" s="339"/>
      <c r="E224" s="339"/>
      <c r="F224" s="339"/>
      <c r="G224" s="339"/>
    </row>
    <row r="225" customFormat="false" ht="15" hidden="false" customHeight="false" outlineLevel="0" collapsed="false">
      <c r="A225" s="285" t="s">
        <v>2011</v>
      </c>
      <c r="B225" s="300" t="s">
        <v>1</v>
      </c>
      <c r="C225" s="300" t="s">
        <v>2</v>
      </c>
      <c r="D225" s="300" t="s">
        <v>3</v>
      </c>
      <c r="E225" s="300" t="s">
        <v>4</v>
      </c>
      <c r="F225" s="300"/>
      <c r="G225" s="300"/>
    </row>
    <row r="226" customFormat="false" ht="15" hidden="false" customHeight="false" outlineLevel="0" collapsed="false">
      <c r="A226" s="286" t="s">
        <v>1409</v>
      </c>
      <c r="B226" s="297" t="n">
        <f aca="false">WACC!B18</f>
        <v>59580</v>
      </c>
      <c r="C226" s="297" t="n">
        <f aca="false">WACC!C18</f>
        <v>813622.604529617</v>
      </c>
      <c r="D226" s="297" t="n">
        <f aca="false">WACC!D18</f>
        <v>89246.0254200776</v>
      </c>
      <c r="E226" s="297" t="n">
        <f aca="false">WACC!E18</f>
        <v>34190</v>
      </c>
      <c r="F226" s="303"/>
      <c r="G226" s="303"/>
    </row>
    <row r="227" customFormat="false" ht="15" hidden="false" customHeight="false" outlineLevel="0" collapsed="false">
      <c r="A227" s="286" t="s">
        <v>2013</v>
      </c>
      <c r="B227" s="297" t="n">
        <f aca="false">WACC!B21</f>
        <v>23618</v>
      </c>
      <c r="C227" s="297" t="n">
        <f aca="false">WACC!C21</f>
        <v>80848.1</v>
      </c>
      <c r="D227" s="297" t="n">
        <f aca="false">WACC!D21</f>
        <v>56744.34</v>
      </c>
      <c r="E227" s="297" t="n">
        <f aca="false">WACC!E21</f>
        <v>2441.8</v>
      </c>
      <c r="F227" s="303"/>
      <c r="G227" s="303"/>
    </row>
    <row r="228" customFormat="false" ht="15" hidden="false" customHeight="false" outlineLevel="0" collapsed="false">
      <c r="A228" s="286" t="s">
        <v>2701</v>
      </c>
      <c r="B228" s="297" t="n">
        <f aca="false">-WACC!B22</f>
        <v>-9295</v>
      </c>
      <c r="C228" s="297" t="n">
        <f aca="false">-WACC!C22</f>
        <v>-28591.2</v>
      </c>
      <c r="D228" s="297" t="n">
        <f aca="false">-WACC!D22</f>
        <v>-14640.16</v>
      </c>
      <c r="E228" s="297" t="n">
        <f aca="false">-WACC!E22</f>
        <v>-2962.8</v>
      </c>
      <c r="F228" s="303"/>
      <c r="G228" s="303"/>
    </row>
    <row r="229" customFormat="false" ht="15" hidden="false" customHeight="false" outlineLevel="0" collapsed="false">
      <c r="A229" s="286" t="s">
        <v>2015</v>
      </c>
      <c r="B229" s="297" t="n">
        <f aca="false">SUM(B226:B228)</f>
        <v>73903</v>
      </c>
      <c r="C229" s="297" t="n">
        <f aca="false">SUM(C226:C228)</f>
        <v>865879.504529617</v>
      </c>
      <c r="D229" s="297" t="n">
        <f aca="false">SUM(D226:D228)</f>
        <v>131350.205420078</v>
      </c>
      <c r="E229" s="297" t="n">
        <f aca="false">SUM(E226:E228)</f>
        <v>33669</v>
      </c>
      <c r="F229" s="303"/>
      <c r="G229" s="303"/>
    </row>
    <row r="230" customFormat="false" ht="15" hidden="false" customHeight="false" outlineLevel="0" collapsed="false">
      <c r="A230" s="286" t="s">
        <v>2016</v>
      </c>
      <c r="B230" s="297" t="n">
        <f aca="false">Datos!G9+Datos!G14</f>
        <v>11894</v>
      </c>
      <c r="C230" s="297" t="n">
        <f aca="false">Datos!G35+Datos!G40</f>
        <v>103446.9</v>
      </c>
      <c r="D230" s="297" t="n">
        <f aca="false">Datos!G61+Datos!G66</f>
        <v>24391.15</v>
      </c>
      <c r="E230" s="297" t="n">
        <f aca="false">Datos!G87+Datos!G92</f>
        <v>5214.81481788325</v>
      </c>
      <c r="F230" s="303"/>
      <c r="G230" s="303"/>
    </row>
    <row r="231" customFormat="false" ht="15" hidden="false" customHeight="false" outlineLevel="0" collapsed="false">
      <c r="A231" s="285" t="s">
        <v>2017</v>
      </c>
      <c r="B231" s="340" t="n">
        <f aca="false">B229/B230</f>
        <v>6.21346897595426</v>
      </c>
      <c r="C231" s="340" t="n">
        <f aca="false">C229/C230</f>
        <v>8.37027986850855</v>
      </c>
      <c r="D231" s="340" t="n">
        <f aca="false">D229/D230</f>
        <v>5.38515836358997</v>
      </c>
      <c r="E231" s="340" t="n">
        <f aca="false">E229/E230</f>
        <v>6.45641334847373</v>
      </c>
      <c r="F231" s="341"/>
      <c r="G231" s="341"/>
    </row>
    <row r="232" customFormat="false" ht="15" hidden="false" customHeight="false" outlineLevel="0" collapsed="false">
      <c r="A232" s="286" t="s">
        <v>2018</v>
      </c>
      <c r="B232" s="342" t="n">
        <f aca="false">MEDIAN(C231:E231)</f>
        <v>6.45641334847373</v>
      </c>
      <c r="C232" s="302"/>
      <c r="D232" s="302"/>
      <c r="E232" s="302"/>
      <c r="F232" s="302"/>
      <c r="G232" s="302"/>
    </row>
    <row r="233" customFormat="false" ht="15" hidden="false" customHeight="false" outlineLevel="0" collapsed="false">
      <c r="A233" s="286" t="s">
        <v>2702</v>
      </c>
      <c r="B233" s="296" t="n">
        <v>0.1</v>
      </c>
      <c r="C233" s="302"/>
      <c r="D233" s="302"/>
      <c r="E233" s="302"/>
      <c r="F233" s="302"/>
      <c r="G233" s="302"/>
    </row>
    <row r="234" customFormat="false" ht="15" hidden="false" customHeight="false" outlineLevel="0" collapsed="false">
      <c r="A234" s="286" t="s">
        <v>2020</v>
      </c>
      <c r="B234" s="342" t="n">
        <f aca="false">B232*(1-B233)</f>
        <v>5.81077201362635</v>
      </c>
      <c r="C234" s="302"/>
      <c r="D234" s="302"/>
      <c r="E234" s="302"/>
      <c r="F234" s="302"/>
      <c r="G234" s="302"/>
    </row>
    <row r="235" customFormat="false" ht="15" hidden="false" customHeight="false" outlineLevel="0" collapsed="false">
      <c r="A235" s="286" t="s">
        <v>2021</v>
      </c>
      <c r="B235" s="297" t="n">
        <f aca="false">G71</f>
        <v>12172.4575629101</v>
      </c>
      <c r="C235" s="302"/>
      <c r="D235" s="302"/>
      <c r="E235" s="302"/>
      <c r="F235" s="302"/>
      <c r="G235" s="302"/>
    </row>
    <row r="236" customFormat="false" ht="15" hidden="false" customHeight="false" outlineLevel="0" collapsed="false">
      <c r="A236" s="285" t="s">
        <v>2022</v>
      </c>
      <c r="B236" s="301" t="n">
        <f aca="false">B234*B235</f>
        <v>70731.3757436124</v>
      </c>
      <c r="C236" s="302"/>
      <c r="D236" s="302"/>
      <c r="E236" s="302"/>
      <c r="F236" s="302"/>
      <c r="G236" s="302"/>
    </row>
    <row r="237" customFormat="false" ht="15" hidden="false" customHeight="false" outlineLevel="0" collapsed="false">
      <c r="A237" s="286" t="s">
        <v>2023</v>
      </c>
      <c r="B237" s="297" t="n">
        <f aca="false">B236*G119</f>
        <v>44998.301934407</v>
      </c>
      <c r="C237" s="302"/>
      <c r="D237" s="302"/>
      <c r="E237" s="302"/>
      <c r="F237" s="302"/>
      <c r="G237" s="302"/>
    </row>
    <row r="238" customFormat="false" ht="15" hidden="false" customHeight="false" outlineLevel="0" collapsed="false">
      <c r="A238" s="285" t="s">
        <v>2024</v>
      </c>
      <c r="B238" s="301" t="n">
        <f aca="false">B134+B237</f>
        <v>69125.2062556856</v>
      </c>
      <c r="C238" s="302"/>
      <c r="D238" s="302"/>
      <c r="E238" s="302"/>
      <c r="F238" s="302"/>
      <c r="G238" s="302"/>
    </row>
    <row r="239" customFormat="false" ht="15" hidden="false" customHeight="false" outlineLevel="0" collapsed="false">
      <c r="A239" s="286" t="s">
        <v>2025</v>
      </c>
      <c r="B239" s="297" t="n">
        <f aca="false">B238-B144</f>
        <v>54802.2062556856</v>
      </c>
      <c r="C239" s="302"/>
      <c r="D239" s="302"/>
      <c r="E239" s="302"/>
      <c r="F239" s="302"/>
      <c r="G239" s="302"/>
    </row>
    <row r="240" customFormat="false" ht="15" hidden="false" customHeight="false" outlineLevel="0" collapsed="false">
      <c r="A240" s="285" t="s">
        <v>2026</v>
      </c>
      <c r="B240" s="306" t="n">
        <f aca="false">B239/B149</f>
        <v>30.4456701420475</v>
      </c>
      <c r="C240" s="302"/>
      <c r="D240" s="302"/>
      <c r="E240" s="302"/>
      <c r="F240" s="302"/>
      <c r="G240" s="302"/>
    </row>
    <row r="241" customFormat="false" ht="15" hidden="false" customHeight="false" outlineLevel="0" collapsed="false">
      <c r="A241" s="286" t="s">
        <v>2027</v>
      </c>
      <c r="B241" s="342" t="n">
        <f aca="false">B129/G71</f>
        <v>9.07307476394335</v>
      </c>
      <c r="C241" s="302"/>
      <c r="D241" s="302"/>
      <c r="E241" s="302"/>
      <c r="F241" s="302"/>
      <c r="G241" s="302"/>
    </row>
    <row r="242" customFormat="false" ht="15" hidden="false" customHeight="false" outlineLevel="0" collapsed="false">
      <c r="A242" s="286" t="s">
        <v>2028</v>
      </c>
      <c r="B242" s="296" t="n">
        <f aca="false">(B236*B126-B127)/(B236+B127)</f>
        <v>0.00426651019423427</v>
      </c>
      <c r="C242" s="302"/>
      <c r="D242" s="302"/>
      <c r="E242" s="302"/>
      <c r="F242" s="302"/>
      <c r="G242" s="302"/>
    </row>
    <row r="243" customFormat="false" ht="15" hidden="false" customHeight="false" outlineLevel="0" collapsed="false">
      <c r="A243" s="286" t="s">
        <v>2029</v>
      </c>
      <c r="B243" s="296" t="n">
        <v>0.5</v>
      </c>
      <c r="C243" s="302"/>
      <c r="D243" s="302"/>
      <c r="E243" s="302"/>
      <c r="F243" s="302"/>
      <c r="G243" s="302"/>
    </row>
    <row r="244" customFormat="false" ht="15" hidden="false" customHeight="false" outlineLevel="0" collapsed="false">
      <c r="A244" s="286" t="s">
        <v>2030</v>
      </c>
      <c r="B244" s="296" t="n">
        <f aca="false">1-B243</f>
        <v>0.5</v>
      </c>
      <c r="C244" s="302"/>
      <c r="D244" s="302"/>
      <c r="E244" s="302"/>
      <c r="F244" s="302"/>
      <c r="G244" s="302"/>
    </row>
    <row r="245" customFormat="false" ht="15" hidden="false" customHeight="false" outlineLevel="0" collapsed="false">
      <c r="A245" s="286" t="s">
        <v>2031</v>
      </c>
      <c r="B245" s="297" t="n">
        <f aca="false">B243*B136+B244*B238</f>
        <v>81756.753648697</v>
      </c>
      <c r="C245" s="302"/>
      <c r="D245" s="302"/>
      <c r="E245" s="302"/>
      <c r="F245" s="302"/>
      <c r="G245" s="302"/>
    </row>
    <row r="246" customFormat="false" ht="15" hidden="false" customHeight="false" outlineLevel="0" collapsed="false">
      <c r="A246" s="285" t="s">
        <v>2032</v>
      </c>
      <c r="B246" s="306" t="n">
        <f aca="false">B243*B150+B244*B240</f>
        <v>37.4631964714983</v>
      </c>
      <c r="C246" s="302"/>
      <c r="D246" s="302"/>
      <c r="E246" s="302"/>
      <c r="F246" s="302"/>
      <c r="G246" s="302"/>
    </row>
    <row r="247" customFormat="false" ht="15" hidden="false" customHeight="false" outlineLevel="0" collapsed="false">
      <c r="A247" s="339"/>
      <c r="B247" s="339"/>
      <c r="C247" s="339"/>
      <c r="D247" s="339"/>
      <c r="E247" s="339"/>
      <c r="F247" s="339"/>
      <c r="G247" s="339"/>
    </row>
    <row r="248" customFormat="false" ht="15" hidden="false" customHeight="false" outlineLevel="0" collapsed="false">
      <c r="A248" s="339"/>
      <c r="B248" s="339"/>
      <c r="C248" s="339"/>
      <c r="D248" s="339"/>
      <c r="E248" s="339"/>
      <c r="F248" s="339"/>
      <c r="G248" s="339"/>
    </row>
    <row r="249" customFormat="false" ht="15" hidden="false" customHeight="false" outlineLevel="0" collapsed="false">
      <c r="A249" s="285" t="s">
        <v>2033</v>
      </c>
      <c r="B249" s="300" t="s">
        <v>78</v>
      </c>
      <c r="C249" s="300"/>
      <c r="D249" s="300"/>
      <c r="E249" s="300"/>
      <c r="F249" s="300"/>
      <c r="G249" s="300"/>
    </row>
    <row r="250" customFormat="false" ht="15" hidden="false" customHeight="false" outlineLevel="0" collapsed="false">
      <c r="A250" s="286" t="s">
        <v>2035</v>
      </c>
      <c r="B250" s="343" t="n">
        <f aca="false">DATE(2025,12,31)</f>
        <v>46022</v>
      </c>
      <c r="C250" s="302"/>
      <c r="D250" s="302"/>
      <c r="E250" s="302"/>
      <c r="F250" s="302"/>
      <c r="G250" s="302"/>
    </row>
    <row r="251" customFormat="false" ht="15" hidden="false" customHeight="false" outlineLevel="0" collapsed="false">
      <c r="A251" s="286" t="s">
        <v>2036</v>
      </c>
      <c r="B251" s="343" t="n">
        <f aca="false">DATE(2026,6,30)</f>
        <v>46203</v>
      </c>
      <c r="C251" s="302"/>
      <c r="D251" s="302"/>
      <c r="E251" s="302"/>
      <c r="F251" s="302"/>
      <c r="G251" s="302"/>
    </row>
    <row r="252" customFormat="false" ht="15" hidden="false" customHeight="false" outlineLevel="0" collapsed="false">
      <c r="A252" s="286" t="s">
        <v>2037</v>
      </c>
      <c r="B252" s="343" t="n">
        <f aca="false">Rendimientos!H10</f>
        <v>46302</v>
      </c>
      <c r="C252" s="302"/>
      <c r="D252" s="302"/>
      <c r="E252" s="302"/>
      <c r="F252" s="302"/>
      <c r="G252" s="302"/>
    </row>
    <row r="253" customFormat="false" ht="15" hidden="false" customHeight="false" outlineLevel="0" collapsed="false">
      <c r="A253" s="286" t="s">
        <v>2038</v>
      </c>
      <c r="B253" s="337" t="n">
        <f aca="false">YEARFRAC(B250,B251)</f>
        <v>0.5</v>
      </c>
      <c r="C253" s="302"/>
      <c r="D253" s="302"/>
      <c r="E253" s="302"/>
      <c r="F253" s="302"/>
      <c r="G253" s="302"/>
    </row>
    <row r="254" customFormat="false" ht="15" hidden="false" customHeight="false" outlineLevel="0" collapsed="false">
      <c r="A254" s="286" t="s">
        <v>2039</v>
      </c>
      <c r="B254" s="337" t="n">
        <f aca="false">YEARFRAC(B251,B252)</f>
        <v>0.269444444444444</v>
      </c>
      <c r="C254" s="302"/>
      <c r="D254" s="302"/>
      <c r="E254" s="302"/>
      <c r="F254" s="302"/>
      <c r="G254" s="302"/>
    </row>
    <row r="255" customFormat="false" ht="15" hidden="false" customHeight="false" outlineLevel="0" collapsed="false">
      <c r="A255" s="286" t="s">
        <v>2040</v>
      </c>
      <c r="B255" s="297" t="n">
        <f aca="false">B245</f>
        <v>81756.753648697</v>
      </c>
      <c r="C255" s="302"/>
      <c r="D255" s="302"/>
      <c r="E255" s="302"/>
      <c r="F255" s="302"/>
      <c r="G255" s="302"/>
    </row>
    <row r="256" customFormat="false" ht="15" hidden="false" customHeight="false" outlineLevel="0" collapsed="false">
      <c r="A256" s="286" t="s">
        <v>2671</v>
      </c>
      <c r="B256" s="297" t="n">
        <f aca="false">B255*(1+B126)^B253</f>
        <v>85539.2102751783</v>
      </c>
      <c r="C256" s="302"/>
      <c r="D256" s="302"/>
      <c r="E256" s="302"/>
      <c r="F256" s="302"/>
      <c r="G256" s="302"/>
    </row>
    <row r="257" customFormat="false" ht="15" hidden="false" customHeight="false" outlineLevel="0" collapsed="false">
      <c r="A257" s="286" t="s">
        <v>2672</v>
      </c>
      <c r="B257" s="297" t="n">
        <f aca="false">-((Datos!E15+Datos!F15)-(Datos!E16+Datos!F16))</f>
        <v>1060.497</v>
      </c>
      <c r="C257" s="302"/>
      <c r="D257" s="302"/>
      <c r="E257" s="302"/>
      <c r="F257" s="302"/>
      <c r="G257" s="302"/>
    </row>
    <row r="258" customFormat="false" ht="15" hidden="false" customHeight="false" outlineLevel="0" collapsed="false">
      <c r="A258" s="286" t="s">
        <v>2043</v>
      </c>
      <c r="B258" s="297" t="n">
        <f aca="false">B256+B257</f>
        <v>86599.7072751783</v>
      </c>
      <c r="C258" s="302"/>
      <c r="D258" s="302"/>
      <c r="E258" s="302"/>
      <c r="F258" s="302"/>
      <c r="G258" s="302"/>
    </row>
    <row r="259" customFormat="false" ht="15" hidden="false" customHeight="false" outlineLevel="0" collapsed="false">
      <c r="A259" s="286" t="s">
        <v>2258</v>
      </c>
      <c r="B259" s="297" t="n">
        <f aca="false">-(Datos!F25+Datos!F26)</f>
        <v>-11500</v>
      </c>
      <c r="C259" s="302"/>
      <c r="D259" s="302"/>
      <c r="E259" s="302"/>
      <c r="F259" s="302"/>
      <c r="G259" s="302"/>
    </row>
    <row r="260" customFormat="false" ht="15" hidden="false" customHeight="false" outlineLevel="0" collapsed="false">
      <c r="A260" s="286" t="s">
        <v>2259</v>
      </c>
      <c r="B260" s="297" t="n">
        <f aca="false">-(Datos!F27+Datos!F28)</f>
        <v>-12220.588</v>
      </c>
      <c r="C260" s="302"/>
      <c r="D260" s="302"/>
      <c r="E260" s="302"/>
      <c r="F260" s="302"/>
      <c r="G260" s="302"/>
    </row>
    <row r="261" customFormat="false" ht="15" hidden="false" customHeight="false" outlineLevel="0" collapsed="false">
      <c r="A261" s="286" t="s">
        <v>2046</v>
      </c>
      <c r="B261" s="297" t="n">
        <f aca="false">Datos!F17</f>
        <v>6875.384</v>
      </c>
      <c r="C261" s="302"/>
      <c r="D261" s="302"/>
      <c r="E261" s="302"/>
      <c r="F261" s="302"/>
      <c r="G261" s="302"/>
    </row>
    <row r="262" customFormat="false" ht="15" hidden="false" customHeight="false" outlineLevel="0" collapsed="false">
      <c r="A262" s="285" t="s">
        <v>2047</v>
      </c>
      <c r="B262" s="301" t="n">
        <f aca="false">SUM(B258:B261)</f>
        <v>69754.5032751783</v>
      </c>
      <c r="C262" s="302"/>
      <c r="D262" s="302"/>
      <c r="E262" s="302"/>
      <c r="F262" s="302"/>
      <c r="G262" s="302"/>
    </row>
    <row r="263" customFormat="false" ht="15" hidden="false" customHeight="false" outlineLevel="0" collapsed="false">
      <c r="A263" s="285" t="s">
        <v>2673</v>
      </c>
      <c r="B263" s="301" t="n">
        <f aca="false">B262*(1+B221)^B254</f>
        <v>71603.9788661932</v>
      </c>
      <c r="C263" s="302"/>
      <c r="D263" s="302"/>
      <c r="E263" s="302"/>
      <c r="F263" s="302"/>
      <c r="G263" s="302"/>
    </row>
    <row r="264" customFormat="false" ht="15" hidden="false" customHeight="false" outlineLevel="0" collapsed="false">
      <c r="A264" s="286" t="s">
        <v>57</v>
      </c>
      <c r="B264" s="305" t="n">
        <f aca="false">B149</f>
        <v>1800</v>
      </c>
      <c r="C264" s="302"/>
      <c r="D264" s="302"/>
      <c r="E264" s="302"/>
      <c r="F264" s="302"/>
      <c r="G264" s="302"/>
    </row>
    <row r="265" customFormat="false" ht="15" hidden="false" customHeight="false" outlineLevel="0" collapsed="false">
      <c r="A265" s="285" t="s">
        <v>2049</v>
      </c>
      <c r="B265" s="306" t="n">
        <f aca="false">B263/B264</f>
        <v>39.7799882589962</v>
      </c>
      <c r="C265" s="302"/>
      <c r="D265" s="302"/>
      <c r="E265" s="302"/>
      <c r="F265" s="302"/>
      <c r="G265" s="302"/>
    </row>
    <row r="266" customFormat="false" ht="15" hidden="false" customHeight="false" outlineLevel="0" collapsed="false">
      <c r="A266" s="286" t="s">
        <v>16</v>
      </c>
      <c r="B266" s="307" t="n">
        <f aca="false">B151</f>
        <v>33.1</v>
      </c>
      <c r="C266" s="302"/>
      <c r="D266" s="302"/>
      <c r="E266" s="302"/>
      <c r="F266" s="302"/>
      <c r="G266" s="302"/>
    </row>
    <row r="267" customFormat="false" ht="15" hidden="false" customHeight="false" outlineLevel="0" collapsed="false">
      <c r="A267" s="286" t="s">
        <v>17</v>
      </c>
      <c r="B267" s="295" t="n">
        <f aca="false">B265/B266-1</f>
        <v>0.201812334108647</v>
      </c>
      <c r="C267" s="302"/>
      <c r="D267" s="302"/>
      <c r="E267" s="302"/>
      <c r="F267" s="302"/>
      <c r="G267" s="302"/>
    </row>
    <row r="268" customFormat="false" ht="15" hidden="false" customHeight="false" outlineLevel="0" collapsed="false">
      <c r="A268" s="285" t="s">
        <v>2050</v>
      </c>
      <c r="B268" s="338" t="str">
        <f aca="false">IF(B267&gt;B155,"COMPRAR",IF(B267&lt;-B155,"VENDER","MANTENER"))</f>
        <v>COMPRAR</v>
      </c>
      <c r="C268" s="302"/>
      <c r="D268" s="302"/>
      <c r="E268" s="302"/>
      <c r="F268" s="302"/>
      <c r="G268" s="302"/>
    </row>
    <row r="269" customFormat="false" ht="15" hidden="false" customHeight="false" outlineLevel="0" collapsed="false">
      <c r="A269" s="286" t="s">
        <v>18</v>
      </c>
      <c r="B269" s="307" t="n">
        <f aca="false">Generales!B24</f>
        <v>23.357</v>
      </c>
      <c r="C269" s="302"/>
      <c r="D269" s="302"/>
      <c r="E269" s="302"/>
      <c r="F269" s="302"/>
      <c r="G269" s="302"/>
    </row>
    <row r="270" customFormat="false" ht="15" hidden="false" customHeight="false" outlineLevel="0" collapsed="false">
      <c r="A270" s="286" t="s">
        <v>2051</v>
      </c>
      <c r="B270" s="295" t="n">
        <f aca="false">B265/B269-1</f>
        <v>0.703129180074334</v>
      </c>
      <c r="C270" s="302"/>
      <c r="D270" s="302"/>
      <c r="E270" s="302"/>
      <c r="F270" s="302"/>
      <c r="G270" s="30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6796875" defaultRowHeight="15" zeroHeight="false" outlineLevelRow="0" outlineLevelCol="0"/>
  <cols>
    <col collapsed="false" customWidth="true" hidden="false" outlineLevel="0" max="1" min="1" style="0" width="61.16"/>
    <col collapsed="false" customWidth="true" hidden="false" outlineLevel="0" max="7" min="2" style="0" width="17.5"/>
  </cols>
  <sheetData>
    <row r="1" customFormat="false" ht="15" hidden="false" customHeight="true" outlineLevel="0" collapsed="false">
      <c r="A1" s="344" t="s">
        <v>2704</v>
      </c>
      <c r="B1" s="345"/>
      <c r="C1" s="345"/>
      <c r="D1" s="345"/>
      <c r="E1" s="345"/>
      <c r="F1" s="345"/>
      <c r="G1" s="345"/>
    </row>
    <row r="2" customFormat="false" ht="15" hidden="false" customHeight="true" outlineLevel="0" collapsed="false">
      <c r="A2" s="346" t="s">
        <v>2675</v>
      </c>
      <c r="B2" s="345"/>
      <c r="C2" s="345"/>
      <c r="D2" s="345"/>
      <c r="E2" s="345"/>
      <c r="F2" s="345"/>
      <c r="G2" s="345"/>
    </row>
    <row r="3" customFormat="false" ht="15" hidden="false" customHeight="true" outlineLevel="0" collapsed="false">
      <c r="A3" s="347"/>
      <c r="B3" s="345"/>
      <c r="C3" s="345"/>
      <c r="D3" s="345"/>
      <c r="E3" s="345"/>
      <c r="F3" s="345"/>
      <c r="G3" s="345"/>
    </row>
    <row r="4" customFormat="false" ht="15" hidden="false" customHeight="true" outlineLevel="0" collapsed="false">
      <c r="A4" s="345"/>
      <c r="B4" s="345"/>
      <c r="C4" s="345"/>
      <c r="D4" s="345"/>
      <c r="E4" s="345"/>
      <c r="F4" s="345"/>
      <c r="G4" s="345"/>
    </row>
    <row r="5" customFormat="false" ht="15" hidden="false" customHeight="true" outlineLevel="0" collapsed="false">
      <c r="A5" s="285" t="s">
        <v>1831</v>
      </c>
      <c r="B5" s="285" t="s">
        <v>1428</v>
      </c>
      <c r="C5" s="285" t="s">
        <v>1429</v>
      </c>
      <c r="D5" s="285" t="s">
        <v>1430</v>
      </c>
      <c r="E5" s="285" t="s">
        <v>1431</v>
      </c>
      <c r="F5" s="285" t="s">
        <v>1432</v>
      </c>
      <c r="G5" s="285" t="s">
        <v>1433</v>
      </c>
    </row>
    <row r="6" customFormat="false" ht="15" hidden="false" customHeight="true" outlineLevel="0" collapsed="false">
      <c r="A6" s="286" t="s">
        <v>1833</v>
      </c>
      <c r="B6" s="286"/>
      <c r="C6" s="287" t="n">
        <v>0.7</v>
      </c>
      <c r="D6" s="287" t="n">
        <v>0.7</v>
      </c>
      <c r="E6" s="287" t="n">
        <v>0.75</v>
      </c>
      <c r="F6" s="287" t="n">
        <v>0.8</v>
      </c>
      <c r="G6" s="287" t="n">
        <v>0.85</v>
      </c>
    </row>
    <row r="7" customFormat="false" ht="15" hidden="false" customHeight="true" outlineLevel="0" collapsed="false">
      <c r="A7" s="286" t="s">
        <v>1834</v>
      </c>
      <c r="B7" s="286"/>
      <c r="C7" s="287" t="n">
        <f aca="false">1-C6</f>
        <v>0.3</v>
      </c>
      <c r="D7" s="287" t="n">
        <f aca="false">1-D6</f>
        <v>0.3</v>
      </c>
      <c r="E7" s="287" t="n">
        <f aca="false">1-E6</f>
        <v>0.25</v>
      </c>
      <c r="F7" s="287" t="n">
        <f aca="false">1-F6</f>
        <v>0.2</v>
      </c>
      <c r="G7" s="287" t="n">
        <f aca="false">1-G6</f>
        <v>0.15</v>
      </c>
    </row>
    <row r="8" customFormat="false" ht="15" hidden="false" customHeight="true" outlineLevel="0" collapsed="false">
      <c r="A8" s="288"/>
      <c r="B8" s="288"/>
      <c r="C8" s="288"/>
      <c r="D8" s="288"/>
      <c r="E8" s="288"/>
      <c r="F8" s="288"/>
      <c r="G8" s="288"/>
    </row>
    <row r="9" customFormat="false" ht="15" hidden="false" customHeight="true" outlineLevel="0" collapsed="false">
      <c r="A9" s="285" t="s">
        <v>1835</v>
      </c>
      <c r="B9" s="285" t="s">
        <v>1428</v>
      </c>
      <c r="C9" s="285" t="s">
        <v>1429</v>
      </c>
      <c r="D9" s="285" t="s">
        <v>1430</v>
      </c>
      <c r="E9" s="285" t="s">
        <v>1431</v>
      </c>
      <c r="F9" s="285" t="s">
        <v>1432</v>
      </c>
      <c r="G9" s="285" t="s">
        <v>1433</v>
      </c>
    </row>
    <row r="10" customFormat="false" ht="15" hidden="false" customHeight="true" outlineLevel="0" collapsed="false">
      <c r="A10" s="286" t="s">
        <v>1837</v>
      </c>
      <c r="B10" s="286"/>
      <c r="C10" s="289" t="n">
        <f aca="false">Escenarios!$H$7</f>
        <v>0.0351</v>
      </c>
      <c r="D10" s="289" t="n">
        <f aca="false">Escenarios!$H$7</f>
        <v>0.0351</v>
      </c>
      <c r="E10" s="289" t="n">
        <f aca="false">Escenarios!$H$7</f>
        <v>0.0351</v>
      </c>
      <c r="F10" s="289" t="n">
        <f aca="false">Escenarios!$H$7</f>
        <v>0.0351</v>
      </c>
      <c r="G10" s="289" t="n">
        <f aca="false">Escenarios!$H$7</f>
        <v>0.0351</v>
      </c>
    </row>
    <row r="11" customFormat="false" ht="15" hidden="false" customHeight="true" outlineLevel="0" collapsed="false">
      <c r="A11" s="286" t="s">
        <v>1838</v>
      </c>
      <c r="B11" s="286"/>
      <c r="C11" s="289" t="n">
        <v>0.014</v>
      </c>
      <c r="D11" s="289" t="n">
        <v>0.018</v>
      </c>
      <c r="E11" s="289" t="n">
        <v>0.02</v>
      </c>
      <c r="F11" s="289" t="n">
        <v>0.02</v>
      </c>
      <c r="G11" s="289" t="n">
        <v>0.02</v>
      </c>
    </row>
    <row r="12" customFormat="false" ht="15" hidden="false" customHeight="true" outlineLevel="0" collapsed="false">
      <c r="A12" s="286" t="s">
        <v>1839</v>
      </c>
      <c r="B12" s="286"/>
      <c r="C12" s="290" t="n">
        <v>0.5</v>
      </c>
      <c r="D12" s="290" t="n">
        <v>0.5</v>
      </c>
      <c r="E12" s="290" t="n">
        <v>0.5</v>
      </c>
      <c r="F12" s="290" t="n">
        <v>0.5</v>
      </c>
      <c r="G12" s="290" t="n">
        <v>0.5</v>
      </c>
    </row>
    <row r="13" customFormat="false" ht="15" hidden="false" customHeight="true" outlineLevel="0" collapsed="false">
      <c r="A13" s="286" t="s">
        <v>1840</v>
      </c>
      <c r="B13" s="286"/>
      <c r="C13" s="289" t="n">
        <v>-0.04</v>
      </c>
      <c r="D13" s="289" t="n">
        <v>-0.015</v>
      </c>
      <c r="E13" s="289" t="n">
        <v>-0.005</v>
      </c>
      <c r="F13" s="289" t="n">
        <v>0</v>
      </c>
      <c r="G13" s="289" t="n">
        <v>0</v>
      </c>
    </row>
    <row r="14" customFormat="false" ht="15" hidden="false" customHeight="true" outlineLevel="0" collapsed="false">
      <c r="A14" s="285" t="s">
        <v>1841</v>
      </c>
      <c r="B14" s="285"/>
      <c r="C14" s="291" t="n">
        <f aca="false">C10+C11*C12+C13</f>
        <v>0.0021</v>
      </c>
      <c r="D14" s="291" t="n">
        <f aca="false">D10+D11*D12+D13</f>
        <v>0.0291</v>
      </c>
      <c r="E14" s="291" t="n">
        <f aca="false">E10+E11*E12+E13</f>
        <v>0.0401</v>
      </c>
      <c r="F14" s="291" t="n">
        <f aca="false">F10+F11*F12+F13</f>
        <v>0.0451</v>
      </c>
      <c r="G14" s="291" t="n">
        <f aca="false">G10+G11*G12+G13</f>
        <v>0.0451</v>
      </c>
    </row>
    <row r="15" customFormat="false" ht="15" hidden="false" customHeight="true" outlineLevel="0" collapsed="false">
      <c r="A15" s="286" t="s">
        <v>2676</v>
      </c>
      <c r="B15" s="286"/>
      <c r="C15" s="289" t="n">
        <v>-0.03</v>
      </c>
      <c r="D15" s="289" t="n">
        <v>-0.02</v>
      </c>
      <c r="E15" s="289" t="n">
        <v>-0.0125</v>
      </c>
      <c r="F15" s="289" t="n">
        <v>-0.01</v>
      </c>
      <c r="G15" s="289" t="n">
        <v>-0.0075</v>
      </c>
    </row>
    <row r="16" customFormat="false" ht="15" hidden="false" customHeight="true" outlineLevel="0" collapsed="false">
      <c r="A16" s="286" t="s">
        <v>2677</v>
      </c>
      <c r="B16" s="286"/>
      <c r="C16" s="289" t="n">
        <v>-0.01</v>
      </c>
      <c r="D16" s="289" t="n">
        <v>-0.005</v>
      </c>
      <c r="E16" s="289" t="n">
        <v>0</v>
      </c>
      <c r="F16" s="289" t="n">
        <v>0</v>
      </c>
      <c r="G16" s="289" t="n">
        <v>0</v>
      </c>
    </row>
    <row r="17" customFormat="false" ht="15" hidden="false" customHeight="true" outlineLevel="0" collapsed="false">
      <c r="A17" s="286" t="s">
        <v>2678</v>
      </c>
      <c r="B17" s="286"/>
      <c r="C17" s="289" t="n">
        <v>-0.003</v>
      </c>
      <c r="D17" s="289" t="n">
        <v>-0.002</v>
      </c>
      <c r="E17" s="289" t="n">
        <v>-0.001</v>
      </c>
      <c r="F17" s="289" t="n">
        <v>0</v>
      </c>
      <c r="G17" s="289" t="n">
        <v>0</v>
      </c>
    </row>
    <row r="18" customFormat="false" ht="15" hidden="false" customHeight="true" outlineLevel="0" collapsed="false">
      <c r="A18" s="286" t="s">
        <v>2679</v>
      </c>
      <c r="B18" s="286"/>
      <c r="C18" s="289" t="n">
        <v>-0.002</v>
      </c>
      <c r="D18" s="289" t="n">
        <v>-0.003</v>
      </c>
      <c r="E18" s="289" t="n">
        <v>-0.001</v>
      </c>
      <c r="F18" s="289" t="n">
        <v>0</v>
      </c>
      <c r="G18" s="289" t="n">
        <v>0</v>
      </c>
    </row>
    <row r="19" customFormat="false" ht="15" hidden="false" customHeight="true" outlineLevel="0" collapsed="false">
      <c r="A19" s="286" t="s">
        <v>2680</v>
      </c>
      <c r="B19" s="286"/>
      <c r="C19" s="289" t="n">
        <v>0.002</v>
      </c>
      <c r="D19" s="289" t="n">
        <v>0.003</v>
      </c>
      <c r="E19" s="289" t="n">
        <v>0.003</v>
      </c>
      <c r="F19" s="289" t="n">
        <v>0.002</v>
      </c>
      <c r="G19" s="289" t="n">
        <v>0.002</v>
      </c>
    </row>
    <row r="20" customFormat="false" ht="15" hidden="false" customHeight="true" outlineLevel="0" collapsed="false">
      <c r="A20" s="286" t="s">
        <v>2681</v>
      </c>
      <c r="B20" s="286"/>
      <c r="C20" s="289" t="n">
        <v>0.003</v>
      </c>
      <c r="D20" s="289" t="n">
        <v>0.004</v>
      </c>
      <c r="E20" s="289" t="n">
        <v>0.005</v>
      </c>
      <c r="F20" s="289" t="n">
        <v>0.005</v>
      </c>
      <c r="G20" s="289" t="n">
        <v>0.005</v>
      </c>
    </row>
    <row r="21" customFormat="false" ht="15" hidden="false" customHeight="true" outlineLevel="0" collapsed="false">
      <c r="A21" s="286" t="s">
        <v>2682</v>
      </c>
      <c r="B21" s="286"/>
      <c r="C21" s="289" t="n">
        <v>-0.002</v>
      </c>
      <c r="D21" s="289" t="n">
        <v>-0.002</v>
      </c>
      <c r="E21" s="289" t="n">
        <v>-0.001</v>
      </c>
      <c r="F21" s="289" t="n">
        <v>0</v>
      </c>
      <c r="G21" s="289" t="n">
        <v>0</v>
      </c>
    </row>
    <row r="22" customFormat="false" ht="15" hidden="false" customHeight="true" outlineLevel="0" collapsed="false">
      <c r="A22" s="286" t="s">
        <v>2683</v>
      </c>
      <c r="B22" s="286"/>
      <c r="C22" s="289" t="n">
        <v>0.001</v>
      </c>
      <c r="D22" s="289" t="n">
        <v>0.002</v>
      </c>
      <c r="E22" s="289" t="n">
        <v>0.002</v>
      </c>
      <c r="F22" s="289" t="n">
        <v>0.002</v>
      </c>
      <c r="G22" s="289" t="n">
        <v>0.002</v>
      </c>
    </row>
    <row r="23" customFormat="false" ht="15" hidden="false" customHeight="true" outlineLevel="0" collapsed="false">
      <c r="A23" s="285" t="s">
        <v>1850</v>
      </c>
      <c r="B23" s="285"/>
      <c r="C23" s="291" t="n">
        <f aca="false">C14+SUM(C15:C22)+Escenarios!$H$8</f>
        <v>-0.0489</v>
      </c>
      <c r="D23" s="291" t="n">
        <f aca="false">D14+SUM(D15:D22)+Escenarios!$H$8</f>
        <v>-0.0039</v>
      </c>
      <c r="E23" s="291" t="n">
        <f aca="false">E14+SUM(E15:E22)+Escenarios!$H$8</f>
        <v>0.0246</v>
      </c>
      <c r="F23" s="291" t="n">
        <f aca="false">F14+SUM(F15:F22)+Escenarios!$H$8</f>
        <v>0.0341</v>
      </c>
      <c r="G23" s="291" t="n">
        <f aca="false">G14+SUM(G15:G22)+Escenarios!$H$8</f>
        <v>0.0366</v>
      </c>
    </row>
    <row r="24" customFormat="false" ht="15" hidden="false" customHeight="true" outlineLevel="0" collapsed="false">
      <c r="A24" s="288"/>
      <c r="B24" s="288"/>
      <c r="C24" s="288"/>
      <c r="D24" s="288"/>
      <c r="E24" s="288"/>
      <c r="F24" s="288"/>
      <c r="G24" s="288"/>
    </row>
    <row r="25" customFormat="false" ht="15" hidden="false" customHeight="true" outlineLevel="0" collapsed="false">
      <c r="A25" s="285" t="s">
        <v>1851</v>
      </c>
      <c r="B25" s="285" t="s">
        <v>1428</v>
      </c>
      <c r="C25" s="285" t="s">
        <v>1429</v>
      </c>
      <c r="D25" s="285" t="s">
        <v>1430</v>
      </c>
      <c r="E25" s="285" t="s">
        <v>1431</v>
      </c>
      <c r="F25" s="285" t="s">
        <v>1432</v>
      </c>
      <c r="G25" s="285" t="s">
        <v>1433</v>
      </c>
    </row>
    <row r="26" customFormat="false" ht="15" hidden="false" customHeight="true" outlineLevel="0" collapsed="false">
      <c r="A26" s="286" t="s">
        <v>1852</v>
      </c>
      <c r="B26" s="292" t="n">
        <f aca="false">'MC Soriana'!G6</f>
        <v>174278</v>
      </c>
      <c r="C26" s="292" t="n">
        <f aca="false">'MC Soriana'!F6</f>
        <v>163936.6</v>
      </c>
      <c r="D26" s="292" t="n">
        <f aca="false">C26+16*('MC Soriana'!$C$6-'MC Soriana'!$B$6)</f>
        <v>153151</v>
      </c>
      <c r="E26" s="292" t="n">
        <f aca="false">D26+16*('MC Soriana'!$C$6-'MC Soriana'!$B$6)</f>
        <v>142365.4</v>
      </c>
      <c r="F26" s="292" t="n">
        <f aca="false">E26+16*('MC Soriana'!$C$6-'MC Soriana'!$B$6)</f>
        <v>131579.8</v>
      </c>
      <c r="G26" s="292" t="n">
        <f aca="false">F26+16*('MC Soriana'!$C$6-'MC Soriana'!$B$6)</f>
        <v>120794.2</v>
      </c>
    </row>
    <row r="27" customFormat="false" ht="15" hidden="false" customHeight="true" outlineLevel="0" collapsed="false">
      <c r="A27" s="286" t="s">
        <v>1853</v>
      </c>
      <c r="B27" s="286"/>
      <c r="C27" s="287" t="n">
        <f aca="false">C26/B26-1</f>
        <v>-0.0593385280987848</v>
      </c>
      <c r="D27" s="287" t="n">
        <f aca="false">D26/C26-1</f>
        <v>-0.0657912876075262</v>
      </c>
      <c r="E27" s="287" t="n">
        <f aca="false">E26/D26-1</f>
        <v>-0.0704246136166266</v>
      </c>
      <c r="F27" s="287" t="n">
        <f aca="false">F26/E26-1</f>
        <v>-0.0757599810066209</v>
      </c>
      <c r="G27" s="287" t="n">
        <f aca="false">G26/F26-1</f>
        <v>-0.0819700288342129</v>
      </c>
    </row>
    <row r="28" customFormat="false" ht="15" hidden="false" customHeight="true" outlineLevel="0" collapsed="false">
      <c r="A28" s="285" t="s">
        <v>1854</v>
      </c>
      <c r="B28" s="285"/>
      <c r="C28" s="293" t="n">
        <f aca="false">C$6*C23+C$7*C27</f>
        <v>-0.0520315584296355</v>
      </c>
      <c r="D28" s="293" t="n">
        <f aca="false">D$6*D23+D$7*D27</f>
        <v>-0.0224673862822579</v>
      </c>
      <c r="E28" s="293" t="n">
        <f aca="false">E$6*E23+E$7*E27</f>
        <v>0.000843846595843363</v>
      </c>
      <c r="F28" s="293" t="n">
        <f aca="false">F$6*F23+F$7*F27</f>
        <v>0.0121280037986758</v>
      </c>
      <c r="G28" s="293" t="n">
        <f aca="false">G$6*G23+G$7*G27</f>
        <v>0.0188144956748681</v>
      </c>
    </row>
    <row r="29" customFormat="false" ht="15" hidden="false" customHeight="true" outlineLevel="0" collapsed="false">
      <c r="A29" s="288"/>
      <c r="B29" s="288"/>
      <c r="C29" s="288"/>
      <c r="D29" s="288"/>
      <c r="E29" s="288"/>
      <c r="F29" s="288"/>
      <c r="G29" s="288"/>
    </row>
    <row r="30" customFormat="false" ht="15" hidden="false" customHeight="true" outlineLevel="0" collapsed="false">
      <c r="A30" s="285" t="s">
        <v>1855</v>
      </c>
      <c r="B30" s="285" t="s">
        <v>1428</v>
      </c>
      <c r="C30" s="285" t="s">
        <v>1429</v>
      </c>
      <c r="D30" s="285" t="s">
        <v>1430</v>
      </c>
      <c r="E30" s="285" t="s">
        <v>1431</v>
      </c>
      <c r="F30" s="285" t="s">
        <v>1432</v>
      </c>
      <c r="G30" s="285" t="s">
        <v>1433</v>
      </c>
    </row>
    <row r="31" customFormat="false" ht="15" hidden="false" customHeight="true" outlineLevel="0" collapsed="false">
      <c r="A31" s="286" t="s">
        <v>1857</v>
      </c>
      <c r="B31" s="289" t="n">
        <f aca="false">Valuación!B10</f>
        <v>0.042542883699969</v>
      </c>
      <c r="C31" s="289" t="n">
        <f aca="false">B31+SUM(C32:C39)</f>
        <v>0.043742883699969</v>
      </c>
      <c r="D31" s="289" t="n">
        <f aca="false">C31+SUM(D32:D39)</f>
        <v>0.043442883699969</v>
      </c>
      <c r="E31" s="289" t="n">
        <f aca="false">D31+SUM(E32:E39)</f>
        <v>0.043742883699969</v>
      </c>
      <c r="F31" s="289" t="n">
        <f aca="false">E31+SUM(F32:F39)</f>
        <v>0.044042883699969</v>
      </c>
      <c r="G31" s="289" t="n">
        <f aca="false">F31+SUM(G32:G39)</f>
        <v>0.044342883699969</v>
      </c>
    </row>
    <row r="32" customFormat="false" ht="15" hidden="false" customHeight="true" outlineLevel="0" collapsed="false">
      <c r="A32" s="286" t="s">
        <v>2684</v>
      </c>
      <c r="B32" s="289"/>
      <c r="C32" s="289" t="n">
        <v>0.0055</v>
      </c>
      <c r="D32" s="289" t="n">
        <v>0.003</v>
      </c>
      <c r="E32" s="289" t="n">
        <v>0.002</v>
      </c>
      <c r="F32" s="289" t="n">
        <v>0.001</v>
      </c>
      <c r="G32" s="289" t="n">
        <v>0.001</v>
      </c>
    </row>
    <row r="33" customFormat="false" ht="15" hidden="false" customHeight="true" outlineLevel="0" collapsed="false">
      <c r="A33" s="286" t="s">
        <v>2685</v>
      </c>
      <c r="B33" s="289"/>
      <c r="C33" s="289" t="n">
        <v>-0.001</v>
      </c>
      <c r="D33" s="289" t="n">
        <v>-0.0015</v>
      </c>
      <c r="E33" s="289" t="n">
        <v>-0.0015</v>
      </c>
      <c r="F33" s="289" t="n">
        <v>-0.001</v>
      </c>
      <c r="G33" s="289" t="n">
        <v>-0.001</v>
      </c>
    </row>
    <row r="34" customFormat="false" ht="15" hidden="false" customHeight="true" outlineLevel="0" collapsed="false">
      <c r="A34" s="286" t="s">
        <v>2686</v>
      </c>
      <c r="B34" s="289"/>
      <c r="C34" s="289" t="n">
        <v>-0.0015</v>
      </c>
      <c r="D34" s="289" t="n">
        <v>-0.001</v>
      </c>
      <c r="E34" s="289" t="n">
        <v>-0.001</v>
      </c>
      <c r="F34" s="289" t="n">
        <v>-0.0005</v>
      </c>
      <c r="G34" s="289" t="n">
        <v>0</v>
      </c>
    </row>
    <row r="35" customFormat="false" ht="15" hidden="false" customHeight="true" outlineLevel="0" collapsed="false">
      <c r="A35" s="286" t="s">
        <v>2687</v>
      </c>
      <c r="B35" s="289"/>
      <c r="C35" s="289" t="n">
        <v>-0.0005</v>
      </c>
      <c r="D35" s="289" t="n">
        <v>-0.0005</v>
      </c>
      <c r="E35" s="289" t="n">
        <v>0</v>
      </c>
      <c r="F35" s="289" t="n">
        <v>0</v>
      </c>
      <c r="G35" s="289" t="n">
        <v>0</v>
      </c>
    </row>
    <row r="36" customFormat="false" ht="15" hidden="false" customHeight="true" outlineLevel="0" collapsed="false">
      <c r="A36" s="286" t="s">
        <v>2688</v>
      </c>
      <c r="B36" s="289"/>
      <c r="C36" s="289" t="n">
        <v>-0.0005</v>
      </c>
      <c r="D36" s="289" t="n">
        <v>-0.0005</v>
      </c>
      <c r="E36" s="289" t="n">
        <v>0</v>
      </c>
      <c r="F36" s="289" t="n">
        <v>0</v>
      </c>
      <c r="G36" s="289" t="n">
        <v>0</v>
      </c>
    </row>
    <row r="37" customFormat="false" ht="15" hidden="false" customHeight="true" outlineLevel="0" collapsed="false">
      <c r="A37" s="286" t="s">
        <v>2689</v>
      </c>
      <c r="B37" s="289"/>
      <c r="C37" s="289" t="n">
        <v>-0.0003</v>
      </c>
      <c r="D37" s="289" t="n">
        <v>-0.0003</v>
      </c>
      <c r="E37" s="289" t="n">
        <v>-0.0002</v>
      </c>
      <c r="F37" s="289" t="n">
        <v>-0.0002</v>
      </c>
      <c r="G37" s="289" t="n">
        <v>-0.0002</v>
      </c>
    </row>
    <row r="38" customFormat="false" ht="15" hidden="false" customHeight="true" outlineLevel="0" collapsed="false">
      <c r="A38" s="286" t="s">
        <v>2690</v>
      </c>
      <c r="B38" s="289"/>
      <c r="C38" s="289" t="n">
        <v>0.0005</v>
      </c>
      <c r="D38" s="289" t="n">
        <v>0.001</v>
      </c>
      <c r="E38" s="289" t="n">
        <v>0.001</v>
      </c>
      <c r="F38" s="289" t="n">
        <v>0.001</v>
      </c>
      <c r="G38" s="289" t="n">
        <v>0.0005</v>
      </c>
    </row>
    <row r="39" customFormat="false" ht="15" hidden="false" customHeight="true" outlineLevel="0" collapsed="false">
      <c r="A39" s="286" t="s">
        <v>2691</v>
      </c>
      <c r="B39" s="289"/>
      <c r="C39" s="289" t="n">
        <v>-0.001</v>
      </c>
      <c r="D39" s="289" t="n">
        <v>-0.0005</v>
      </c>
      <c r="E39" s="289" t="n">
        <v>0</v>
      </c>
      <c r="F39" s="289" t="n">
        <v>0</v>
      </c>
      <c r="G39" s="289" t="n">
        <v>0</v>
      </c>
    </row>
    <row r="40" customFormat="false" ht="15" hidden="false" customHeight="true" outlineLevel="0" collapsed="false">
      <c r="A40" s="286" t="s">
        <v>1866</v>
      </c>
      <c r="B40" s="289"/>
      <c r="C40" s="289" t="n">
        <f aca="false">'MC Soriana'!$F$9</f>
        <v>0.0492556268703877</v>
      </c>
      <c r="D40" s="289" t="n">
        <f aca="false">'MC Soriana'!$F$9</f>
        <v>0.0492556268703877</v>
      </c>
      <c r="E40" s="289" t="n">
        <f aca="false">'MC Soriana'!$F$9</f>
        <v>0.0492556268703877</v>
      </c>
      <c r="F40" s="289" t="n">
        <f aca="false">'MC Soriana'!$F$9</f>
        <v>0.0492556268703877</v>
      </c>
      <c r="G40" s="289" t="n">
        <f aca="false">'MC Soriana'!$F$9</f>
        <v>0.0492556268703877</v>
      </c>
    </row>
    <row r="41" customFormat="false" ht="15" hidden="false" customHeight="true" outlineLevel="0" collapsed="false">
      <c r="A41" s="285" t="s">
        <v>1867</v>
      </c>
      <c r="B41" s="291"/>
      <c r="C41" s="291" t="n">
        <f aca="false">C$6*C31+C$7*C40+Escenarios!$H$9</f>
        <v>0.0453967066510946</v>
      </c>
      <c r="D41" s="291" t="n">
        <f aca="false">D$6*D31+D$7*D40+Escenarios!$H$9</f>
        <v>0.0451867066510946</v>
      </c>
      <c r="E41" s="291" t="n">
        <f aca="false">E$6*E31+E$7*E40+Escenarios!$H$9</f>
        <v>0.0451210694925737</v>
      </c>
      <c r="F41" s="291" t="n">
        <f aca="false">F$6*F31+F$7*F40+Escenarios!$H$9</f>
        <v>0.0450854323340528</v>
      </c>
      <c r="G41" s="291" t="n">
        <f aca="false">G$6*G31+G$7*G40+Escenarios!$H$9</f>
        <v>0.0450797951755318</v>
      </c>
    </row>
    <row r="42" customFormat="false" ht="15" hidden="false" customHeight="true" outlineLevel="0" collapsed="false">
      <c r="A42" s="288"/>
      <c r="B42" s="288"/>
      <c r="C42" s="288"/>
      <c r="D42" s="288"/>
      <c r="E42" s="288"/>
      <c r="F42" s="288"/>
      <c r="G42" s="288"/>
    </row>
    <row r="43" customFormat="false" ht="15" hidden="false" customHeight="true" outlineLevel="0" collapsed="false">
      <c r="A43" s="285" t="s">
        <v>1868</v>
      </c>
      <c r="B43" s="285" t="s">
        <v>1428</v>
      </c>
      <c r="C43" s="285" t="s">
        <v>1429</v>
      </c>
      <c r="D43" s="285" t="s">
        <v>1430</v>
      </c>
      <c r="E43" s="285" t="s">
        <v>1431</v>
      </c>
      <c r="F43" s="285" t="s">
        <v>1432</v>
      </c>
      <c r="G43" s="285" t="s">
        <v>1433</v>
      </c>
    </row>
    <row r="44" customFormat="false" ht="15" hidden="false" customHeight="true" outlineLevel="0" collapsed="false">
      <c r="A44" s="286" t="s">
        <v>1869</v>
      </c>
      <c r="B44" s="286"/>
      <c r="C44" s="289" t="n">
        <f aca="false">Valuación!$B$11</f>
        <v>0.0244599047967777</v>
      </c>
      <c r="D44" s="289" t="n">
        <f aca="false">Valuación!$B$11</f>
        <v>0.0244599047967777</v>
      </c>
      <c r="E44" s="289" t="n">
        <f aca="false">Valuación!$B$11</f>
        <v>0.0244599047967777</v>
      </c>
      <c r="F44" s="289" t="n">
        <f aca="false">Valuación!$B$11</f>
        <v>0.0244599047967777</v>
      </c>
      <c r="G44" s="289" t="n">
        <f aca="false">Valuación!$B$11</f>
        <v>0.0244599047967777</v>
      </c>
    </row>
    <row r="45" customFormat="false" ht="15" hidden="false" customHeight="true" outlineLevel="0" collapsed="false">
      <c r="A45" s="286" t="s">
        <v>1870</v>
      </c>
      <c r="B45" s="286"/>
      <c r="C45" s="289" t="n">
        <f aca="false">'MC Soriana'!$F$12/'MC Soriana'!$F$6</f>
        <v>0.024136242913419</v>
      </c>
      <c r="D45" s="289" t="n">
        <f aca="false">'MC Soriana'!$F$12/'MC Soriana'!$F$6</f>
        <v>0.024136242913419</v>
      </c>
      <c r="E45" s="289" t="n">
        <f aca="false">'MC Soriana'!$F$12/'MC Soriana'!$F$6</f>
        <v>0.024136242913419</v>
      </c>
      <c r="F45" s="289" t="n">
        <f aca="false">'MC Soriana'!$F$12/'MC Soriana'!$F$6</f>
        <v>0.024136242913419</v>
      </c>
      <c r="G45" s="289" t="n">
        <f aca="false">'MC Soriana'!$F$12/'MC Soriana'!$F$6</f>
        <v>0.024136242913419</v>
      </c>
    </row>
    <row r="46" customFormat="false" ht="15" hidden="false" customHeight="true" outlineLevel="0" collapsed="false">
      <c r="A46" s="286" t="s">
        <v>1871</v>
      </c>
      <c r="B46" s="286"/>
      <c r="C46" s="289" t="n">
        <f aca="false">C$6*C44+C$7*C45</f>
        <v>0.0243628062317701</v>
      </c>
      <c r="D46" s="289" t="n">
        <f aca="false">D$6*D44+D$7*D45</f>
        <v>0.0243628062317701</v>
      </c>
      <c r="E46" s="289" t="n">
        <f aca="false">E$6*E44+E$7*E45</f>
        <v>0.024378989325938</v>
      </c>
      <c r="F46" s="289" t="n">
        <f aca="false">F$6*F44+F$7*F45</f>
        <v>0.024395172420106</v>
      </c>
      <c r="G46" s="289" t="n">
        <f aca="false">G$6*G44+G$7*G45</f>
        <v>0.0244113555142739</v>
      </c>
    </row>
    <row r="47" customFormat="false" ht="15" hidden="false" customHeight="true" outlineLevel="0" collapsed="false">
      <c r="A47" s="286" t="s">
        <v>1872</v>
      </c>
      <c r="B47" s="286"/>
      <c r="C47" s="292" t="n">
        <v>4000</v>
      </c>
      <c r="D47" s="292"/>
      <c r="E47" s="292"/>
      <c r="F47" s="292"/>
      <c r="G47" s="292"/>
    </row>
    <row r="48" customFormat="false" ht="15" hidden="false" customHeight="true" outlineLevel="0" collapsed="false">
      <c r="A48" s="286" t="s">
        <v>1873</v>
      </c>
      <c r="B48" s="286"/>
      <c r="C48" s="289"/>
      <c r="D48" s="289" t="n">
        <v>0.003</v>
      </c>
      <c r="E48" s="289" t="n">
        <v>0.003</v>
      </c>
      <c r="F48" s="289" t="n">
        <v>0.003</v>
      </c>
      <c r="G48" s="289" t="n">
        <v>0.003</v>
      </c>
    </row>
    <row r="49" customFormat="false" ht="15" hidden="false" customHeight="true" outlineLevel="0" collapsed="false">
      <c r="A49" s="286" t="s">
        <v>1874</v>
      </c>
      <c r="B49" s="286"/>
      <c r="C49" s="289" t="n">
        <f aca="false">C47/C67</f>
        <v>0.0237701025227669</v>
      </c>
      <c r="D49" s="289" t="n">
        <f aca="false">Valuación!$B$12*(1+'Variables Externas'!$J$22)+D48</f>
        <v>0.0195545165197307</v>
      </c>
      <c r="E49" s="289" t="n">
        <f aca="false">Valuación!$B$12*(1+'Variables Externas'!$J$22)+E48</f>
        <v>0.0195545165197307</v>
      </c>
      <c r="F49" s="289" t="n">
        <f aca="false">Valuación!$B$12*(1+'Variables Externas'!$J$22)+F48</f>
        <v>0.0195545165197307</v>
      </c>
      <c r="G49" s="289" t="n">
        <f aca="false">Valuación!$B$12*(1+'Variables Externas'!$J$22)+G48</f>
        <v>0.0195545165197307</v>
      </c>
    </row>
    <row r="50" customFormat="false" ht="15" hidden="false" customHeight="true" outlineLevel="0" collapsed="false">
      <c r="A50" s="286" t="s">
        <v>1875</v>
      </c>
      <c r="B50" s="286"/>
      <c r="C50" s="289" t="n">
        <f aca="false">'MC Soriana'!$F$13/'MC Soriana'!$F$6</f>
        <v>0.0202932109120233</v>
      </c>
      <c r="D50" s="289" t="n">
        <f aca="false">'MC Soriana'!$F$13/'MC Soriana'!$F$6</f>
        <v>0.0202932109120233</v>
      </c>
      <c r="E50" s="289" t="n">
        <f aca="false">'MC Soriana'!$F$13/'MC Soriana'!$F$6</f>
        <v>0.0202932109120233</v>
      </c>
      <c r="F50" s="289" t="n">
        <f aca="false">'MC Soriana'!$F$13/'MC Soriana'!$F$6</f>
        <v>0.0202932109120233</v>
      </c>
      <c r="G50" s="289" t="n">
        <f aca="false">'MC Soriana'!$F$13/'MC Soriana'!$F$6</f>
        <v>0.0202932109120233</v>
      </c>
    </row>
    <row r="51" customFormat="false" ht="15" hidden="false" customHeight="true" outlineLevel="0" collapsed="false">
      <c r="A51" s="285" t="s">
        <v>1876</v>
      </c>
      <c r="B51" s="285"/>
      <c r="C51" s="291" t="n">
        <f aca="false">C$6*C49+C$7*C50</f>
        <v>0.0227270350395438</v>
      </c>
      <c r="D51" s="291" t="n">
        <f aca="false">D$6*D49+D$7*D50</f>
        <v>0.0197761248374185</v>
      </c>
      <c r="E51" s="291" t="n">
        <f aca="false">E$6*E49+E$7*E50</f>
        <v>0.0197391901178039</v>
      </c>
      <c r="F51" s="291" t="n">
        <f aca="false">F$6*F49+F$7*F50</f>
        <v>0.0197022553981892</v>
      </c>
      <c r="G51" s="291" t="n">
        <f aca="false">G$6*G49+G$7*G50</f>
        <v>0.0196653206785746</v>
      </c>
    </row>
    <row r="52" customFormat="false" ht="15" hidden="false" customHeight="true" outlineLevel="0" collapsed="false">
      <c r="A52" s="286" t="s">
        <v>1877</v>
      </c>
      <c r="B52" s="286"/>
      <c r="C52" s="289" t="n">
        <v>0</v>
      </c>
      <c r="D52" s="289" t="n">
        <v>0.005</v>
      </c>
      <c r="E52" s="289" t="n">
        <v>0.005</v>
      </c>
      <c r="F52" s="289" t="n">
        <v>0.005</v>
      </c>
      <c r="G52" s="289" t="n">
        <v>0.005</v>
      </c>
    </row>
    <row r="53" customFormat="false" ht="15" hidden="false" customHeight="true" outlineLevel="0" collapsed="false">
      <c r="A53" s="286" t="s">
        <v>1878</v>
      </c>
      <c r="B53" s="286"/>
      <c r="C53" s="289" t="n">
        <f aca="false">WACC!$B$10+C52</f>
        <v>0.3</v>
      </c>
      <c r="D53" s="289" t="n">
        <f aca="false">WACC!$B$10+D52</f>
        <v>0.305</v>
      </c>
      <c r="E53" s="289" t="n">
        <f aca="false">WACC!$B$10+E52</f>
        <v>0.305</v>
      </c>
      <c r="F53" s="289" t="n">
        <f aca="false">WACC!$B$10+F52</f>
        <v>0.305</v>
      </c>
      <c r="G53" s="289" t="n">
        <f aca="false">WACC!$B$10+G52</f>
        <v>0.305</v>
      </c>
    </row>
    <row r="54" customFormat="false" ht="15" hidden="false" customHeight="true" outlineLevel="0" collapsed="false">
      <c r="A54" s="286" t="s">
        <v>1879</v>
      </c>
      <c r="B54" s="286"/>
      <c r="C54" s="289" t="n">
        <f aca="false">'MC Soriana'!$F$10</f>
        <v>0.191734007304675</v>
      </c>
      <c r="D54" s="289" t="n">
        <f aca="false">'MC Soriana'!$F$10</f>
        <v>0.191734007304675</v>
      </c>
      <c r="E54" s="289" t="n">
        <f aca="false">'MC Soriana'!$F$10</f>
        <v>0.191734007304675</v>
      </c>
      <c r="F54" s="289" t="n">
        <f aca="false">'MC Soriana'!$F$10</f>
        <v>0.191734007304675</v>
      </c>
      <c r="G54" s="289" t="n">
        <f aca="false">'MC Soriana'!$F$10</f>
        <v>0.191734007304675</v>
      </c>
    </row>
    <row r="55" customFormat="false" ht="15" hidden="false" customHeight="true" outlineLevel="0" collapsed="false">
      <c r="A55" s="285" t="s">
        <v>1880</v>
      </c>
      <c r="B55" s="285"/>
      <c r="C55" s="291" t="n">
        <f aca="false">C$6*C53+C$7*C54</f>
        <v>0.267520202191403</v>
      </c>
      <c r="D55" s="291" t="n">
        <f aca="false">D$6*D53+D$7*D54</f>
        <v>0.271020202191403</v>
      </c>
      <c r="E55" s="291" t="n">
        <f aca="false">E$6*E53+E$7*E54</f>
        <v>0.276683501826169</v>
      </c>
      <c r="F55" s="291" t="n">
        <f aca="false">F$6*F53+F$7*F54</f>
        <v>0.282346801460935</v>
      </c>
      <c r="G55" s="291" t="n">
        <f aca="false">G$6*G53+G$7*G54</f>
        <v>0.288010101095701</v>
      </c>
    </row>
    <row r="56" customFormat="false" ht="15" hidden="false" customHeight="true" outlineLevel="0" collapsed="false">
      <c r="A56" s="286" t="s">
        <v>1467</v>
      </c>
      <c r="B56" s="294" t="n">
        <f aca="false">Datos!G18/Datos!G7*365</f>
        <v>87.4443050938019</v>
      </c>
      <c r="C56" s="294" t="n">
        <v>88</v>
      </c>
      <c r="D56" s="294" t="n">
        <v>88</v>
      </c>
      <c r="E56" s="294" t="n">
        <v>87</v>
      </c>
      <c r="F56" s="294" t="n">
        <v>87</v>
      </c>
      <c r="G56" s="294" t="n">
        <v>87</v>
      </c>
    </row>
    <row r="57" customFormat="false" ht="15" hidden="false" customHeight="true" outlineLevel="0" collapsed="false">
      <c r="A57" s="286" t="s">
        <v>1468</v>
      </c>
      <c r="B57" s="295" t="n">
        <f aca="false">(Datos!G19-Datos!G17-Datos!G18)/Datos!G6</f>
        <v>0.0391572543165366</v>
      </c>
      <c r="C57" s="295" t="n">
        <f aca="false">$B57</f>
        <v>0.0391572543165366</v>
      </c>
      <c r="D57" s="295" t="n">
        <f aca="false">$B57</f>
        <v>0.0391572543165366</v>
      </c>
      <c r="E57" s="295" t="n">
        <f aca="false">$B57</f>
        <v>0.0391572543165366</v>
      </c>
      <c r="F57" s="295" t="n">
        <f aca="false">$B57</f>
        <v>0.0391572543165366</v>
      </c>
      <c r="G57" s="295" t="n">
        <f aca="false">$B57</f>
        <v>0.0391572543165366</v>
      </c>
    </row>
    <row r="58" customFormat="false" ht="15" hidden="false" customHeight="true" outlineLevel="0" collapsed="false">
      <c r="A58" s="286" t="s">
        <v>1469</v>
      </c>
      <c r="B58" s="295" t="n">
        <f aca="false">(Datos!G21-Datos!G25-Datos!G27)/Datos!G6</f>
        <v>0.200225333070445</v>
      </c>
      <c r="C58" s="295" t="n">
        <f aca="false">$B58</f>
        <v>0.200225333070445</v>
      </c>
      <c r="D58" s="295" t="n">
        <f aca="false">$B58</f>
        <v>0.200225333070445</v>
      </c>
      <c r="E58" s="295" t="n">
        <f aca="false">$B58</f>
        <v>0.200225333070445</v>
      </c>
      <c r="F58" s="295" t="n">
        <f aca="false">$B58</f>
        <v>0.200225333070445</v>
      </c>
      <c r="G58" s="295" t="n">
        <f aca="false">$B58</f>
        <v>0.200225333070445</v>
      </c>
    </row>
    <row r="59" customFormat="false" ht="15" hidden="false" customHeight="true" outlineLevel="0" collapsed="false">
      <c r="A59" s="286" t="s">
        <v>1464</v>
      </c>
      <c r="B59" s="295" t="n">
        <f aca="false">Datos!G7/Datos!G6</f>
        <v>0.759102047714278</v>
      </c>
      <c r="C59" s="295" t="n">
        <v>0.756</v>
      </c>
      <c r="D59" s="295" t="n">
        <v>0.757</v>
      </c>
      <c r="E59" s="295" t="n">
        <v>0.758</v>
      </c>
      <c r="F59" s="295" t="n">
        <v>0.758</v>
      </c>
      <c r="G59" s="295" t="n">
        <v>0.758</v>
      </c>
    </row>
    <row r="60" customFormat="false" ht="15" hidden="false" customHeight="true" outlineLevel="0" collapsed="false">
      <c r="A60" s="286" t="s">
        <v>1465</v>
      </c>
      <c r="B60" s="295" t="n">
        <f aca="false">-B70/B67</f>
        <v>0.173900797115737</v>
      </c>
      <c r="C60" s="295" t="n">
        <f aca="false">1-C59-C46-C41</f>
        <v>0.174240487117135</v>
      </c>
      <c r="D60" s="295" t="n">
        <f aca="false">1-D59-D46-D41</f>
        <v>0.173450487117135</v>
      </c>
      <c r="E60" s="295" t="n">
        <f aca="false">1-E59-E46-E41</f>
        <v>0.172499941181488</v>
      </c>
      <c r="F60" s="295" t="n">
        <f aca="false">1-F59-F46-F41</f>
        <v>0.172519395245841</v>
      </c>
      <c r="G60" s="295" t="n">
        <f aca="false">1-G59-G46-G41</f>
        <v>0.172508849310194</v>
      </c>
    </row>
    <row r="61" customFormat="false" ht="15" hidden="false" customHeight="true" outlineLevel="0" collapsed="false">
      <c r="A61" s="286" t="s">
        <v>1466</v>
      </c>
      <c r="B61" s="296" t="n">
        <f aca="false">Datos!G10/(Datos!G25+Datos!G26+Datos!G27+Datos!G28)</f>
        <v>0.130154966550936</v>
      </c>
      <c r="C61" s="296" t="n">
        <v>0.1</v>
      </c>
      <c r="D61" s="296" t="n">
        <v>0.0975</v>
      </c>
      <c r="E61" s="296" t="n">
        <v>0.0975</v>
      </c>
      <c r="F61" s="296" t="n">
        <v>0.0975</v>
      </c>
      <c r="G61" s="296" t="n">
        <v>0.0975</v>
      </c>
    </row>
    <row r="62" customFormat="false" ht="15" hidden="false" customHeight="true" outlineLevel="0" collapsed="false">
      <c r="A62" s="286" t="s">
        <v>1881</v>
      </c>
      <c r="B62" s="297"/>
      <c r="C62" s="297" t="n">
        <v>0</v>
      </c>
      <c r="D62" s="297" t="n">
        <v>-1500</v>
      </c>
      <c r="E62" s="297" t="n">
        <v>-1500</v>
      </c>
      <c r="F62" s="297" t="n">
        <v>-1500</v>
      </c>
      <c r="G62" s="297" t="n">
        <v>-1500</v>
      </c>
    </row>
    <row r="63" customFormat="false" ht="15" hidden="false" customHeight="true" outlineLevel="0" collapsed="false">
      <c r="A63" s="286" t="s">
        <v>1470</v>
      </c>
      <c r="B63" s="295" t="n">
        <f aca="false">'Proyección Soriana'!B14</f>
        <v>0.300144057623049</v>
      </c>
      <c r="C63" s="295" t="n">
        <f aca="false">$B63</f>
        <v>0.300144057623049</v>
      </c>
      <c r="D63" s="295" t="n">
        <f aca="false">$B63</f>
        <v>0.300144057623049</v>
      </c>
      <c r="E63" s="295" t="n">
        <f aca="false">$B63</f>
        <v>0.300144057623049</v>
      </c>
      <c r="F63" s="295" t="n">
        <f aca="false">$B63</f>
        <v>0.300144057623049</v>
      </c>
      <c r="G63" s="295" t="n">
        <f aca="false">$B63</f>
        <v>0.300144057623049</v>
      </c>
    </row>
    <row r="64" customFormat="false" ht="15" hidden="false" customHeight="true" outlineLevel="0" collapsed="false">
      <c r="A64" s="298"/>
      <c r="B64" s="298"/>
      <c r="C64" s="298"/>
      <c r="D64" s="298"/>
      <c r="E64" s="298"/>
      <c r="F64" s="298"/>
      <c r="G64" s="298"/>
    </row>
    <row r="65" customFormat="false" ht="15" hidden="false" customHeight="true" outlineLevel="0" collapsed="false">
      <c r="A65" s="348" t="s">
        <v>1882</v>
      </c>
      <c r="B65" s="298"/>
      <c r="C65" s="298"/>
      <c r="D65" s="298"/>
      <c r="E65" s="298"/>
      <c r="F65" s="298"/>
      <c r="G65" s="298"/>
    </row>
    <row r="66" customFormat="false" ht="15" hidden="false" customHeight="true" outlineLevel="0" collapsed="false">
      <c r="A66" s="285" t="s">
        <v>1884</v>
      </c>
      <c r="B66" s="300" t="s">
        <v>1428</v>
      </c>
      <c r="C66" s="300" t="s">
        <v>1429</v>
      </c>
      <c r="D66" s="300" t="s">
        <v>1430</v>
      </c>
      <c r="E66" s="300" t="s">
        <v>1431</v>
      </c>
      <c r="F66" s="300" t="s">
        <v>1432</v>
      </c>
      <c r="G66" s="300" t="s">
        <v>1433</v>
      </c>
    </row>
    <row r="67" customFormat="false" ht="15" hidden="false" customHeight="true" outlineLevel="0" collapsed="false">
      <c r="A67" s="286" t="s">
        <v>1442</v>
      </c>
      <c r="B67" s="297" t="n">
        <f aca="false">Datos!G6</f>
        <v>177515</v>
      </c>
      <c r="C67" s="297" t="n">
        <f aca="false">B67*(1+C28)</f>
        <v>168278.617905363</v>
      </c>
      <c r="D67" s="297" t="n">
        <f aca="false">C67*(1+D28)</f>
        <v>164497.837193839</v>
      </c>
      <c r="E67" s="297" t="n">
        <f aca="false">D67*(1+E28)</f>
        <v>164636.648133779</v>
      </c>
      <c r="F67" s="297" t="n">
        <f aca="false">E67*(1+F28)</f>
        <v>166633.362027746</v>
      </c>
      <c r="G67" s="297" t="n">
        <f aca="false">F67*(1+G28)</f>
        <v>169768.484696906</v>
      </c>
    </row>
    <row r="68" customFormat="false" ht="15" hidden="false" customHeight="true" outlineLevel="0" collapsed="false">
      <c r="A68" s="286" t="s">
        <v>86</v>
      </c>
      <c r="B68" s="297" t="n">
        <f aca="false">-Datos!G7</f>
        <v>-134752</v>
      </c>
      <c r="C68" s="297" t="n">
        <f aca="false">-C67*C59</f>
        <v>-127218.635136455</v>
      </c>
      <c r="D68" s="297" t="n">
        <f aca="false">-D67*D59</f>
        <v>-124524.862755736</v>
      </c>
      <c r="E68" s="297" t="n">
        <f aca="false">-E67*E59</f>
        <v>-124794.579285404</v>
      </c>
      <c r="F68" s="297" t="n">
        <f aca="false">-F67*F59</f>
        <v>-126308.088417032</v>
      </c>
      <c r="G68" s="297" t="n">
        <f aca="false">-G67*G59</f>
        <v>-128684.511400255</v>
      </c>
    </row>
    <row r="69" customFormat="false" ht="15" hidden="false" customHeight="true" outlineLevel="0" collapsed="false">
      <c r="A69" s="285" t="s">
        <v>80</v>
      </c>
      <c r="B69" s="301" t="n">
        <f aca="false">B67+B68</f>
        <v>42763</v>
      </c>
      <c r="C69" s="301" t="n">
        <f aca="false">C67+C68</f>
        <v>41059.9827689086</v>
      </c>
      <c r="D69" s="301" t="n">
        <f aca="false">D67+D68</f>
        <v>39972.9744381029</v>
      </c>
      <c r="E69" s="301" t="n">
        <f aca="false">E67+E68</f>
        <v>39842.0688483744</v>
      </c>
      <c r="F69" s="301" t="n">
        <f aca="false">F67+F68</f>
        <v>40325.2736107146</v>
      </c>
      <c r="G69" s="301" t="n">
        <f aca="false">G67+G68</f>
        <v>41083.9732966513</v>
      </c>
    </row>
    <row r="70" customFormat="false" ht="15" hidden="false" customHeight="true" outlineLevel="0" collapsed="false">
      <c r="A70" s="286" t="s">
        <v>1472</v>
      </c>
      <c r="B70" s="297" t="n">
        <f aca="false">-(Datos!G8-Datos!G9-Datos!G14)</f>
        <v>-30870</v>
      </c>
      <c r="C70" s="297" t="n">
        <f aca="false">-C67*C60</f>
        <v>-29320.9483552288</v>
      </c>
      <c r="D70" s="297" t="n">
        <f aca="false">-D67*D60</f>
        <v>-28532.2299909866</v>
      </c>
      <c r="E70" s="297" t="n">
        <f aca="false">-E67*E60</f>
        <v>-28399.8121193942</v>
      </c>
      <c r="F70" s="297" t="n">
        <f aca="false">-F67*F60</f>
        <v>-28747.4868448081</v>
      </c>
      <c r="G70" s="297" t="n">
        <f aca="false">-G67*G60</f>
        <v>-29286.5659441986</v>
      </c>
    </row>
    <row r="71" customFormat="false" ht="15" hidden="false" customHeight="true" outlineLevel="0" collapsed="false">
      <c r="A71" s="285" t="s">
        <v>1473</v>
      </c>
      <c r="B71" s="301" t="n">
        <f aca="false">B69+B70</f>
        <v>11893</v>
      </c>
      <c r="C71" s="301" t="n">
        <f aca="false">C69+C70</f>
        <v>11739.0344136799</v>
      </c>
      <c r="D71" s="301" t="n">
        <f aca="false">D69+D70</f>
        <v>11440.7444471163</v>
      </c>
      <c r="E71" s="301" t="n">
        <f aca="false">E69+E70</f>
        <v>11442.2567289802</v>
      </c>
      <c r="F71" s="301" t="n">
        <f aca="false">F69+F70</f>
        <v>11577.7867659065</v>
      </c>
      <c r="G71" s="301" t="n">
        <f aca="false">G69+G70</f>
        <v>11797.4073524527</v>
      </c>
    </row>
    <row r="72" customFormat="false" ht="15" hidden="false" customHeight="true" outlineLevel="0" collapsed="false">
      <c r="A72" s="286" t="s">
        <v>154</v>
      </c>
      <c r="B72" s="297" t="n">
        <f aca="false">-Datos!G14</f>
        <v>-4342</v>
      </c>
      <c r="C72" s="297" t="n">
        <f aca="false">-C67*C46</f>
        <v>-4099.73936097845</v>
      </c>
      <c r="D72" s="297" t="n">
        <f aca="false">-D67*D46</f>
        <v>-4007.62893309877</v>
      </c>
      <c r="E72" s="297" t="n">
        <f aca="false">-E67*E46</f>
        <v>-4013.67508751161</v>
      </c>
      <c r="F72" s="297" t="n">
        <f aca="false">-F67*F46</f>
        <v>-4065.04959760881</v>
      </c>
      <c r="G72" s="297" t="n">
        <f aca="false">-G67*G46</f>
        <v>-4144.27883505575</v>
      </c>
    </row>
    <row r="73" customFormat="false" ht="15" hidden="false" customHeight="true" outlineLevel="0" collapsed="false">
      <c r="A73" s="285" t="s">
        <v>81</v>
      </c>
      <c r="B73" s="301" t="n">
        <f aca="false">B71+B72</f>
        <v>7551</v>
      </c>
      <c r="C73" s="301" t="n">
        <f aca="false">C71+C72</f>
        <v>7639.29505270142</v>
      </c>
      <c r="D73" s="301" t="n">
        <f aca="false">D71+D72</f>
        <v>7433.11551401753</v>
      </c>
      <c r="E73" s="301" t="n">
        <f aca="false">E71+E72</f>
        <v>7428.58164146862</v>
      </c>
      <c r="F73" s="301" t="n">
        <f aca="false">F71+F72</f>
        <v>7512.73716829767</v>
      </c>
      <c r="G73" s="301" t="n">
        <f aca="false">G71+G72</f>
        <v>7653.12851739693</v>
      </c>
    </row>
    <row r="74" customFormat="false" ht="15" hidden="false" customHeight="true" outlineLevel="0" collapsed="false">
      <c r="A74" s="286" t="s">
        <v>88</v>
      </c>
      <c r="B74" s="297" t="n">
        <f aca="false">-Datos!G10</f>
        <v>-3074</v>
      </c>
      <c r="C74" s="297" t="n">
        <f aca="false">-C61*(B91+B92)</f>
        <v>-2361.8</v>
      </c>
      <c r="D74" s="297" t="n">
        <f aca="false">-D61*(C91+C92)</f>
        <v>-2302.755</v>
      </c>
      <c r="E74" s="297" t="n">
        <f aca="false">-E61*(D91+D92)</f>
        <v>-2156.505</v>
      </c>
      <c r="F74" s="297" t="n">
        <f aca="false">-F61*(E91+E92)</f>
        <v>-2010.255</v>
      </c>
      <c r="G74" s="297" t="n">
        <f aca="false">-G61*(F91+F92)</f>
        <v>-1864.005</v>
      </c>
    </row>
    <row r="75" customFormat="false" ht="15" hidden="false" customHeight="true" outlineLevel="0" collapsed="false">
      <c r="A75" s="286" t="s">
        <v>1474</v>
      </c>
      <c r="B75" s="297" t="n">
        <f aca="false">Datos!G11-Datos!G9+Datos!G10</f>
        <v>288</v>
      </c>
      <c r="C75" s="297" t="n">
        <v>0</v>
      </c>
      <c r="D75" s="297" t="n">
        <v>0</v>
      </c>
      <c r="E75" s="297" t="n">
        <v>0</v>
      </c>
      <c r="F75" s="297" t="n">
        <v>0</v>
      </c>
      <c r="G75" s="297" t="n">
        <v>0</v>
      </c>
    </row>
    <row r="76" customFormat="false" ht="15" hidden="false" customHeight="true" outlineLevel="0" collapsed="false">
      <c r="A76" s="286" t="s">
        <v>152</v>
      </c>
      <c r="B76" s="297" t="n">
        <f aca="false">B73+B74+B75</f>
        <v>4765</v>
      </c>
      <c r="C76" s="297" t="n">
        <f aca="false">C73+C74+C75</f>
        <v>5277.49505270142</v>
      </c>
      <c r="D76" s="297" t="n">
        <f aca="false">D73+D74+D75</f>
        <v>5130.36051401753</v>
      </c>
      <c r="E76" s="297" t="n">
        <f aca="false">E73+E74+E75</f>
        <v>5272.07664146862</v>
      </c>
      <c r="F76" s="297" t="n">
        <f aca="false">F73+F74+F75</f>
        <v>5502.48216829767</v>
      </c>
      <c r="G76" s="297" t="n">
        <f aca="false">G73+G74+G75</f>
        <v>5789.12351739693</v>
      </c>
    </row>
    <row r="77" customFormat="false" ht="15" hidden="false" customHeight="true" outlineLevel="0" collapsed="false">
      <c r="A77" s="286" t="s">
        <v>153</v>
      </c>
      <c r="B77" s="297" t="n">
        <f aca="false">-Datos!G12</f>
        <v>-1433</v>
      </c>
      <c r="C77" s="297" t="n">
        <f aca="false">-C76*C55</f>
        <v>-1411.83654356281</v>
      </c>
      <c r="D77" s="297" t="n">
        <f aca="false">-D76*D55</f>
        <v>-1390.43134382382</v>
      </c>
      <c r="E77" s="297" t="n">
        <f aca="false">-E76*E55</f>
        <v>-1458.69662705749</v>
      </c>
      <c r="F77" s="297" t="n">
        <f aca="false">-F76*F55</f>
        <v>-1553.60824031468</v>
      </c>
      <c r="G77" s="297" t="n">
        <f aca="false">-G76*G55</f>
        <v>-1667.32604950099</v>
      </c>
    </row>
    <row r="78" customFormat="false" ht="15" hidden="false" customHeight="true" outlineLevel="0" collapsed="false">
      <c r="A78" s="285" t="s">
        <v>89</v>
      </c>
      <c r="B78" s="301" t="n">
        <f aca="false">B76+B77</f>
        <v>3332</v>
      </c>
      <c r="C78" s="301" t="n">
        <f aca="false">C76+C77</f>
        <v>3865.65850913861</v>
      </c>
      <c r="D78" s="301" t="n">
        <f aca="false">D76+D77</f>
        <v>3739.92917019371</v>
      </c>
      <c r="E78" s="301" t="n">
        <f aca="false">E76+E77</f>
        <v>3813.38001441114</v>
      </c>
      <c r="F78" s="301" t="n">
        <f aca="false">F76+F77</f>
        <v>3948.87392798299</v>
      </c>
      <c r="G78" s="301" t="n">
        <f aca="false">G76+G77</f>
        <v>4121.79746789594</v>
      </c>
    </row>
    <row r="79" customFormat="false" ht="15" hidden="false" customHeight="true" outlineLevel="0" collapsed="false">
      <c r="A79" s="286" t="s">
        <v>1475</v>
      </c>
      <c r="B79" s="297"/>
      <c r="C79" s="297" t="n">
        <f aca="false">-C78*C63</f>
        <v>-1160.25443031793</v>
      </c>
      <c r="D79" s="297" t="n">
        <f aca="false">-D78*D63</f>
        <v>-1122.51751636474</v>
      </c>
      <c r="E79" s="297" t="n">
        <f aca="false">-E78*E63</f>
        <v>-1144.563350784</v>
      </c>
      <c r="F79" s="297" t="n">
        <f aca="false">-F78*F63</f>
        <v>-1185.23104378668</v>
      </c>
      <c r="G79" s="297" t="n">
        <f aca="false">-G78*G63</f>
        <v>-1237.1330167147</v>
      </c>
    </row>
    <row r="80" customFormat="false" ht="15" hidden="false" customHeight="true" outlineLevel="0" collapsed="false">
      <c r="A80" s="286" t="s">
        <v>1885</v>
      </c>
      <c r="B80" s="295" t="n">
        <f aca="false">B71/B67</f>
        <v>0.0669971551699856</v>
      </c>
      <c r="C80" s="295" t="n">
        <f aca="false">C71/C67</f>
        <v>0.0697595128828648</v>
      </c>
      <c r="D80" s="295" t="n">
        <f aca="false">D71/D67</f>
        <v>0.0695495128828648</v>
      </c>
      <c r="E80" s="295" t="n">
        <f aca="false">E71/E67</f>
        <v>0.0695000588185117</v>
      </c>
      <c r="F80" s="295" t="n">
        <f aca="false">F71/F67</f>
        <v>0.0694806047541587</v>
      </c>
      <c r="G80" s="295" t="n">
        <f aca="false">G71/G67</f>
        <v>0.0694911506898057</v>
      </c>
    </row>
    <row r="81" customFormat="false" ht="15" hidden="false" customHeight="true" outlineLevel="0" collapsed="false">
      <c r="A81" s="286" t="s">
        <v>34</v>
      </c>
      <c r="B81" s="295" t="n">
        <f aca="false">B78/B67</f>
        <v>0.0187702447680478</v>
      </c>
      <c r="C81" s="295" t="n">
        <f aca="false">C78/C67</f>
        <v>0.0229717747700577</v>
      </c>
      <c r="D81" s="295" t="n">
        <f aca="false">D78/D67</f>
        <v>0.0227354306536365</v>
      </c>
      <c r="E81" s="295" t="n">
        <f aca="false">E78/E67</f>
        <v>0.0231624007026218</v>
      </c>
      <c r="F81" s="295" t="n">
        <f aca="false">F78/F67</f>
        <v>0.0236979790837171</v>
      </c>
      <c r="G81" s="295" t="n">
        <f aca="false">G78/G67</f>
        <v>0.0242789318362282</v>
      </c>
    </row>
    <row r="82" customFormat="false" ht="15" hidden="false" customHeight="true" outlineLevel="0" collapsed="false">
      <c r="A82" s="298"/>
      <c r="B82" s="298"/>
      <c r="C82" s="298"/>
      <c r="D82" s="298"/>
      <c r="E82" s="298"/>
      <c r="F82" s="298"/>
      <c r="G82" s="298"/>
    </row>
    <row r="83" customFormat="false" ht="15" hidden="false" customHeight="true" outlineLevel="0" collapsed="false">
      <c r="A83" s="285" t="s">
        <v>1886</v>
      </c>
      <c r="B83" s="300" t="s">
        <v>1428</v>
      </c>
      <c r="C83" s="300" t="s">
        <v>1429</v>
      </c>
      <c r="D83" s="300" t="s">
        <v>1430</v>
      </c>
      <c r="E83" s="300" t="s">
        <v>1431</v>
      </c>
      <c r="F83" s="300" t="s">
        <v>1432</v>
      </c>
      <c r="G83" s="300" t="s">
        <v>1433</v>
      </c>
    </row>
    <row r="84" customFormat="false" ht="15" hidden="false" customHeight="true" outlineLevel="0" collapsed="false">
      <c r="A84" s="286" t="s">
        <v>13</v>
      </c>
      <c r="B84" s="297" t="n">
        <f aca="false">Datos!G17</f>
        <v>9295</v>
      </c>
      <c r="C84" s="297" t="n">
        <f aca="false">B84+C108</f>
        <v>12399.0929605474</v>
      </c>
      <c r="D84" s="297" t="n">
        <f aca="false">C84+D108</f>
        <v>14311.4981489431</v>
      </c>
      <c r="E84" s="297" t="n">
        <f aca="false">D84+E108</f>
        <v>16543.4292236848</v>
      </c>
      <c r="F84" s="297" t="n">
        <f aca="false">E84+F108</f>
        <v>18549.9212883087</v>
      </c>
      <c r="G84" s="297" t="n">
        <f aca="false">F84+G108</f>
        <v>20678.8459996107</v>
      </c>
    </row>
    <row r="85" customFormat="false" ht="15" hidden="false" customHeight="true" outlineLevel="0" collapsed="false">
      <c r="A85" s="286" t="s">
        <v>156</v>
      </c>
      <c r="B85" s="297" t="n">
        <f aca="false">Datos!G18</f>
        <v>32283</v>
      </c>
      <c r="C85" s="297" t="n">
        <f aca="false">-C68*C56/365</f>
        <v>30671.8901150904</v>
      </c>
      <c r="D85" s="297" t="n">
        <f aca="false">-D68*D56/365</f>
        <v>30022.4326643967</v>
      </c>
      <c r="E85" s="297" t="n">
        <f aca="false">-E68*E56/365</f>
        <v>29745.5572543292</v>
      </c>
      <c r="F85" s="297" t="n">
        <f aca="false">-F68*F56/365</f>
        <v>30106.3114857035</v>
      </c>
      <c r="G85" s="297" t="n">
        <f aca="false">-G68*G56/365</f>
        <v>30672.7465529375</v>
      </c>
    </row>
    <row r="86" customFormat="false" ht="15" hidden="false" customHeight="true" outlineLevel="0" collapsed="false">
      <c r="A86" s="286" t="s">
        <v>1477</v>
      </c>
      <c r="B86" s="297" t="n">
        <f aca="false">Datos!G19-Datos!G17-Datos!G18</f>
        <v>6951</v>
      </c>
      <c r="C86" s="297" t="n">
        <f aca="false">C67*C57</f>
        <v>6589.32863735561</v>
      </c>
      <c r="D86" s="297" t="n">
        <f aca="false">D67*D57</f>
        <v>6441.28364551939</v>
      </c>
      <c r="E86" s="297" t="n">
        <f aca="false">E67*E57</f>
        <v>6446.71910079653</v>
      </c>
      <c r="F86" s="297" t="n">
        <f aca="false">F67*F57</f>
        <v>6524.90493453998</v>
      </c>
      <c r="G86" s="297" t="n">
        <f aca="false">G67*G57</f>
        <v>6647.66773020981</v>
      </c>
    </row>
    <row r="87" customFormat="false" ht="15" hidden="false" customHeight="true" outlineLevel="0" collapsed="false">
      <c r="A87" s="285" t="s">
        <v>157</v>
      </c>
      <c r="B87" s="301" t="n">
        <f aca="false">SUM(B84:B86)</f>
        <v>48529</v>
      </c>
      <c r="C87" s="301" t="n">
        <f aca="false">SUM(C84:C86)</f>
        <v>49660.3117129934</v>
      </c>
      <c r="D87" s="301" t="n">
        <f aca="false">SUM(D84:D86)</f>
        <v>50775.2144588592</v>
      </c>
      <c r="E87" s="301" t="n">
        <f aca="false">SUM(E84:E86)</f>
        <v>52735.7055788105</v>
      </c>
      <c r="F87" s="301" t="n">
        <f aca="false">SUM(F84:F86)</f>
        <v>55181.1377085521</v>
      </c>
      <c r="G87" s="301" t="n">
        <f aca="false">SUM(G84:G86)</f>
        <v>57999.260282758</v>
      </c>
    </row>
    <row r="88" customFormat="false" ht="15" hidden="false" customHeight="true" outlineLevel="0" collapsed="false">
      <c r="A88" s="286" t="s">
        <v>1478</v>
      </c>
      <c r="B88" s="297" t="n">
        <f aca="false">Datos!G20-Datos!G19</f>
        <v>107509</v>
      </c>
      <c r="C88" s="297" t="n">
        <f aca="false">B88-C104+C72</f>
        <v>107233.734684563</v>
      </c>
      <c r="D88" s="297" t="n">
        <f aca="false">C88-D104+D72</f>
        <v>106479.235515295</v>
      </c>
      <c r="E88" s="297" t="n">
        <f aca="false">D88-E104+E72</f>
        <v>105715.354525654</v>
      </c>
      <c r="F88" s="297" t="n">
        <f aca="false">E88-F104+F72</f>
        <v>104933.357984574</v>
      </c>
      <c r="G88" s="297" t="n">
        <f aca="false">F88-G104+G72</f>
        <v>104127.630842199</v>
      </c>
    </row>
    <row r="89" customFormat="false" ht="15" hidden="false" customHeight="true" outlineLevel="0" collapsed="false">
      <c r="A89" s="285" t="s">
        <v>92</v>
      </c>
      <c r="B89" s="301" t="n">
        <f aca="false">B87+B88</f>
        <v>156038</v>
      </c>
      <c r="C89" s="301" t="n">
        <f aca="false">C87+C88</f>
        <v>156894.046397556</v>
      </c>
      <c r="D89" s="301" t="n">
        <f aca="false">D87+D88</f>
        <v>157254.449974154</v>
      </c>
      <c r="E89" s="301" t="n">
        <f aca="false">E87+E88</f>
        <v>158451.060104464</v>
      </c>
      <c r="F89" s="301" t="n">
        <f aca="false">F87+F88</f>
        <v>160114.495693127</v>
      </c>
      <c r="G89" s="301" t="n">
        <f aca="false">G87+G88</f>
        <v>162126.891124957</v>
      </c>
    </row>
    <row r="90" customFormat="false" ht="15" hidden="false" customHeight="true" outlineLevel="0" collapsed="false">
      <c r="A90" s="286" t="s">
        <v>1479</v>
      </c>
      <c r="B90" s="297" t="n">
        <f aca="false">Datos!G21-Datos!G25-Datos!G27</f>
        <v>35543</v>
      </c>
      <c r="C90" s="297" t="n">
        <f aca="false">C67*C58</f>
        <v>33693.6423187355</v>
      </c>
      <c r="D90" s="297" t="n">
        <f aca="false">D67*D58</f>
        <v>32936.6342415042</v>
      </c>
      <c r="E90" s="297" t="n">
        <f aca="false">E67*E58</f>
        <v>32964.4277081874</v>
      </c>
      <c r="F90" s="297" t="n">
        <f aca="false">F67*F58</f>
        <v>33364.2204126535</v>
      </c>
      <c r="G90" s="297" t="n">
        <f aca="false">G67*G58</f>
        <v>33991.9513933027</v>
      </c>
    </row>
    <row r="91" customFormat="false" ht="15" hidden="false" customHeight="true" outlineLevel="0" collapsed="false">
      <c r="A91" s="286" t="s">
        <v>1480</v>
      </c>
      <c r="B91" s="297" t="n">
        <f aca="false">Datos!G25+Datos!G26</f>
        <v>11500</v>
      </c>
      <c r="C91" s="297" t="n">
        <f aca="false">MAX(0,B91+C62)</f>
        <v>11500</v>
      </c>
      <c r="D91" s="297" t="n">
        <f aca="false">MAX(0,C91+D62)</f>
        <v>10000</v>
      </c>
      <c r="E91" s="297" t="n">
        <f aca="false">MAX(0,D91+E62)</f>
        <v>8500</v>
      </c>
      <c r="F91" s="297" t="n">
        <f aca="false">MAX(0,E91+F62)</f>
        <v>7000</v>
      </c>
      <c r="G91" s="297" t="n">
        <f aca="false">MAX(0,F91+G62)</f>
        <v>5500</v>
      </c>
    </row>
    <row r="92" customFormat="false" ht="15" hidden="false" customHeight="true" outlineLevel="0" collapsed="false">
      <c r="A92" s="286" t="s">
        <v>1481</v>
      </c>
      <c r="B92" s="297" t="n">
        <f aca="false">Datos!G27+Datos!G28</f>
        <v>12118</v>
      </c>
      <c r="C92" s="297" t="n">
        <f aca="false">B92</f>
        <v>12118</v>
      </c>
      <c r="D92" s="297" t="n">
        <f aca="false">C92</f>
        <v>12118</v>
      </c>
      <c r="E92" s="297" t="n">
        <f aca="false">D92</f>
        <v>12118</v>
      </c>
      <c r="F92" s="297" t="n">
        <f aca="false">E92</f>
        <v>12118</v>
      </c>
      <c r="G92" s="297" t="n">
        <f aca="false">F92</f>
        <v>12118</v>
      </c>
    </row>
    <row r="93" customFormat="false" ht="15" hidden="false" customHeight="true" outlineLevel="0" collapsed="false">
      <c r="A93" s="286" t="s">
        <v>1482</v>
      </c>
      <c r="B93" s="297" t="n">
        <f aca="false">Datos!G23-Datos!G21-Datos!G26-Datos!G28</f>
        <v>12145</v>
      </c>
      <c r="C93" s="297" t="n">
        <f aca="false">B93</f>
        <v>12145</v>
      </c>
      <c r="D93" s="297" t="n">
        <f aca="false">C93</f>
        <v>12145</v>
      </c>
      <c r="E93" s="297" t="n">
        <f aca="false">D93</f>
        <v>12145</v>
      </c>
      <c r="F93" s="297" t="n">
        <f aca="false">E93</f>
        <v>12145</v>
      </c>
      <c r="G93" s="297" t="n">
        <f aca="false">F93</f>
        <v>12145</v>
      </c>
    </row>
    <row r="94" customFormat="false" ht="15" hidden="false" customHeight="true" outlineLevel="0" collapsed="false">
      <c r="A94" s="285" t="s">
        <v>93</v>
      </c>
      <c r="B94" s="301" t="n">
        <f aca="false">SUM(B90:B93)</f>
        <v>71306</v>
      </c>
      <c r="C94" s="301" t="n">
        <f aca="false">SUM(C90:C93)</f>
        <v>69456.6423187355</v>
      </c>
      <c r="D94" s="301" t="n">
        <f aca="false">SUM(D90:D93)</f>
        <v>67199.6342415042</v>
      </c>
      <c r="E94" s="301" t="n">
        <f aca="false">SUM(E90:E93)</f>
        <v>65727.4277081874</v>
      </c>
      <c r="F94" s="301" t="n">
        <f aca="false">SUM(F90:F93)</f>
        <v>64627.2204126535</v>
      </c>
      <c r="G94" s="301" t="n">
        <f aca="false">SUM(G90:G93)</f>
        <v>63754.9513933027</v>
      </c>
    </row>
    <row r="95" customFormat="false" ht="15" hidden="false" customHeight="true" outlineLevel="0" collapsed="false">
      <c r="A95" s="286" t="s">
        <v>94</v>
      </c>
      <c r="B95" s="297" t="n">
        <f aca="false">Datos!G24</f>
        <v>84732</v>
      </c>
      <c r="C95" s="297" t="n">
        <f aca="false">B95+C78+C79</f>
        <v>87437.4040788207</v>
      </c>
      <c r="D95" s="297" t="n">
        <f aca="false">C95+D78+D79</f>
        <v>90054.8157326496</v>
      </c>
      <c r="E95" s="297" t="n">
        <f aca="false">D95+E78+E79</f>
        <v>92723.6323962768</v>
      </c>
      <c r="F95" s="297" t="n">
        <f aca="false">E95+F78+F79</f>
        <v>95487.2752804731</v>
      </c>
      <c r="G95" s="297" t="n">
        <f aca="false">F95+G78+G79</f>
        <v>98371.9397316543</v>
      </c>
    </row>
    <row r="96" customFormat="false" ht="15" hidden="false" customHeight="true" outlineLevel="0" collapsed="false">
      <c r="A96" s="285" t="s">
        <v>1483</v>
      </c>
      <c r="B96" s="301" t="n">
        <f aca="false">B94+B95</f>
        <v>156038</v>
      </c>
      <c r="C96" s="301" t="n">
        <f aca="false">C94+C95</f>
        <v>156894.046397556</v>
      </c>
      <c r="D96" s="301" t="n">
        <f aca="false">D94+D95</f>
        <v>157254.449974154</v>
      </c>
      <c r="E96" s="301" t="n">
        <f aca="false">E94+E95</f>
        <v>158451.060104464</v>
      </c>
      <c r="F96" s="301" t="n">
        <f aca="false">F94+F95</f>
        <v>160114.495693127</v>
      </c>
      <c r="G96" s="301" t="n">
        <f aca="false">G94+G95</f>
        <v>162126.891124957</v>
      </c>
    </row>
    <row r="97" customFormat="false" ht="15" hidden="false" customHeight="true" outlineLevel="0" collapsed="false">
      <c r="A97" s="286" t="s">
        <v>1484</v>
      </c>
      <c r="B97" s="297" t="n">
        <f aca="false">B89-B96</f>
        <v>0</v>
      </c>
      <c r="C97" s="297" t="n">
        <f aca="false">C89-C96</f>
        <v>0</v>
      </c>
      <c r="D97" s="297" t="n">
        <f aca="false">D89-D96</f>
        <v>0</v>
      </c>
      <c r="E97" s="297" t="n">
        <f aca="false">E89-E96</f>
        <v>0</v>
      </c>
      <c r="F97" s="297" t="n">
        <f aca="false">F89-F96</f>
        <v>0</v>
      </c>
      <c r="G97" s="297" t="n">
        <f aca="false">G89-G96</f>
        <v>0</v>
      </c>
    </row>
    <row r="98" customFormat="false" ht="15" hidden="false" customHeight="true" outlineLevel="0" collapsed="false">
      <c r="A98" s="298"/>
      <c r="B98" s="298"/>
      <c r="C98" s="298"/>
      <c r="D98" s="298"/>
      <c r="E98" s="298"/>
      <c r="F98" s="298"/>
      <c r="G98" s="298"/>
    </row>
    <row r="99" customFormat="false" ht="15" hidden="false" customHeight="true" outlineLevel="0" collapsed="false">
      <c r="A99" s="285" t="s">
        <v>1888</v>
      </c>
      <c r="B99" s="300" t="s">
        <v>1428</v>
      </c>
      <c r="C99" s="300" t="s">
        <v>1429</v>
      </c>
      <c r="D99" s="300" t="s">
        <v>1430</v>
      </c>
      <c r="E99" s="300" t="s">
        <v>1431</v>
      </c>
      <c r="F99" s="300" t="s">
        <v>1432</v>
      </c>
      <c r="G99" s="300" t="s">
        <v>1433</v>
      </c>
    </row>
    <row r="100" customFormat="false" ht="15" hidden="false" customHeight="true" outlineLevel="0" collapsed="false">
      <c r="A100" s="286" t="s">
        <v>89</v>
      </c>
      <c r="B100" s="302"/>
      <c r="C100" s="297" t="n">
        <f aca="false">C78</f>
        <v>3865.65850913861</v>
      </c>
      <c r="D100" s="297" t="n">
        <f aca="false">D78</f>
        <v>3739.92917019371</v>
      </c>
      <c r="E100" s="297" t="n">
        <f aca="false">E78</f>
        <v>3813.38001441114</v>
      </c>
      <c r="F100" s="297" t="n">
        <f aca="false">F78</f>
        <v>3948.87392798299</v>
      </c>
      <c r="G100" s="297" t="n">
        <f aca="false">G78</f>
        <v>4121.79746789594</v>
      </c>
    </row>
    <row r="101" customFormat="false" ht="15" hidden="false" customHeight="true" outlineLevel="0" collapsed="false">
      <c r="A101" s="286" t="s">
        <v>1445</v>
      </c>
      <c r="B101" s="302"/>
      <c r="C101" s="297" t="n">
        <f aca="false">-C72</f>
        <v>4099.73936097845</v>
      </c>
      <c r="D101" s="297" t="n">
        <f aca="false">-D72</f>
        <v>4007.62893309877</v>
      </c>
      <c r="E101" s="297" t="n">
        <f aca="false">-E72</f>
        <v>4013.67508751161</v>
      </c>
      <c r="F101" s="297" t="n">
        <f aca="false">-F72</f>
        <v>4065.04959760881</v>
      </c>
      <c r="G101" s="297" t="n">
        <f aca="false">-G72</f>
        <v>4144.27883505575</v>
      </c>
    </row>
    <row r="102" customFormat="false" ht="15" hidden="false" customHeight="true" outlineLevel="0" collapsed="false">
      <c r="A102" s="286" t="s">
        <v>1486</v>
      </c>
      <c r="B102" s="302"/>
      <c r="C102" s="297" t="n">
        <f aca="false">-(C85-B85)</f>
        <v>1611.10988490957</v>
      </c>
      <c r="D102" s="297" t="n">
        <f aca="false">-(D85-C85)</f>
        <v>649.457450693772</v>
      </c>
      <c r="E102" s="297" t="n">
        <f aca="false">-(E85-D85)</f>
        <v>276.875410067438</v>
      </c>
      <c r="F102" s="297" t="n">
        <f aca="false">-(F85-E85)</f>
        <v>-360.754231374231</v>
      </c>
      <c r="G102" s="297" t="n">
        <f aca="false">-(G85-F85)</f>
        <v>-566.435067234004</v>
      </c>
    </row>
    <row r="103" customFormat="false" ht="15" hidden="false" customHeight="true" outlineLevel="0" collapsed="false">
      <c r="A103" s="286" t="s">
        <v>1487</v>
      </c>
      <c r="B103" s="302"/>
      <c r="C103" s="297" t="n">
        <f aca="false">-(C86-B86)</f>
        <v>361.671362644395</v>
      </c>
      <c r="D103" s="297" t="n">
        <f aca="false">-(D86-C86)</f>
        <v>148.044991836213</v>
      </c>
      <c r="E103" s="297" t="n">
        <f aca="false">-(E86-D86)</f>
        <v>-5.43545527713286</v>
      </c>
      <c r="F103" s="297" t="n">
        <f aca="false">-(F86-E86)</f>
        <v>-78.185833743456</v>
      </c>
      <c r="G103" s="297" t="n">
        <f aca="false">-(G86-F86)</f>
        <v>-122.762795669829</v>
      </c>
    </row>
    <row r="104" customFormat="false" ht="15" hidden="false" customHeight="true" outlineLevel="0" collapsed="false">
      <c r="A104" s="286" t="s">
        <v>1446</v>
      </c>
      <c r="B104" s="302"/>
      <c r="C104" s="297" t="n">
        <f aca="false">-C67*C51</f>
        <v>-3824.4740455412</v>
      </c>
      <c r="D104" s="297" t="n">
        <f aca="false">-D67*D51</f>
        <v>-3253.1297638307</v>
      </c>
      <c r="E104" s="297" t="n">
        <f aca="false">-E67*E51</f>
        <v>-3249.79409787064</v>
      </c>
      <c r="F104" s="297" t="n">
        <f aca="false">-F67*F51</f>
        <v>-3283.05305652959</v>
      </c>
      <c r="G104" s="297" t="n">
        <f aca="false">-G67*G51</f>
        <v>-3338.55169268035</v>
      </c>
    </row>
    <row r="105" customFormat="false" ht="15" hidden="false" customHeight="true" outlineLevel="0" collapsed="false">
      <c r="A105" s="286" t="s">
        <v>1488</v>
      </c>
      <c r="B105" s="302"/>
      <c r="C105" s="297" t="n">
        <f aca="false">C90-B90</f>
        <v>-1849.35768126453</v>
      </c>
      <c r="D105" s="297" t="n">
        <f aca="false">D90-C90</f>
        <v>-757.008077231265</v>
      </c>
      <c r="E105" s="297" t="n">
        <f aca="false">E90-D90</f>
        <v>27.7934666832298</v>
      </c>
      <c r="F105" s="297" t="n">
        <f aca="false">F90-E90</f>
        <v>399.792704466068</v>
      </c>
      <c r="G105" s="297" t="n">
        <f aca="false">G90-F90</f>
        <v>627.730980649219</v>
      </c>
    </row>
    <row r="106" customFormat="false" ht="15" hidden="false" customHeight="true" outlineLevel="0" collapsed="false">
      <c r="A106" s="286" t="s">
        <v>2692</v>
      </c>
      <c r="B106" s="302"/>
      <c r="C106" s="297" t="n">
        <f aca="false">C79</f>
        <v>-1160.25443031793</v>
      </c>
      <c r="D106" s="297" t="n">
        <f aca="false">D79</f>
        <v>-1122.51751636474</v>
      </c>
      <c r="E106" s="297" t="n">
        <f aca="false">E79</f>
        <v>-1144.563350784</v>
      </c>
      <c r="F106" s="297" t="n">
        <f aca="false">F79</f>
        <v>-1185.23104378668</v>
      </c>
      <c r="G106" s="297" t="n">
        <f aca="false">G79</f>
        <v>-1237.1330167147</v>
      </c>
    </row>
    <row r="107" customFormat="false" ht="15" hidden="false" customHeight="true" outlineLevel="0" collapsed="false">
      <c r="A107" s="286" t="s">
        <v>2693</v>
      </c>
      <c r="B107" s="302"/>
      <c r="C107" s="297" t="n">
        <f aca="false">C91-B91</f>
        <v>0</v>
      </c>
      <c r="D107" s="297" t="n">
        <f aca="false">D91-C91</f>
        <v>-1500</v>
      </c>
      <c r="E107" s="297" t="n">
        <f aca="false">E91-D91</f>
        <v>-1500</v>
      </c>
      <c r="F107" s="297" t="n">
        <f aca="false">F91-E91</f>
        <v>-1500</v>
      </c>
      <c r="G107" s="297" t="n">
        <f aca="false">G91-F91</f>
        <v>-1500</v>
      </c>
    </row>
    <row r="108" customFormat="false" ht="15" hidden="false" customHeight="true" outlineLevel="0" collapsed="false">
      <c r="A108" s="285" t="s">
        <v>1894</v>
      </c>
      <c r="B108" s="300"/>
      <c r="C108" s="301" t="n">
        <f aca="false">SUM(C100:C107)</f>
        <v>3104.09296054737</v>
      </c>
      <c r="D108" s="301" t="n">
        <f aca="false">SUM(D100:D107)</f>
        <v>1912.40518839575</v>
      </c>
      <c r="E108" s="301" t="n">
        <f aca="false">SUM(E100:E107)</f>
        <v>2231.93107474164</v>
      </c>
      <c r="F108" s="301" t="n">
        <f aca="false">SUM(F100:F107)</f>
        <v>2006.49206462392</v>
      </c>
      <c r="G108" s="301" t="n">
        <f aca="false">SUM(G100:G107)</f>
        <v>2128.92471130203</v>
      </c>
    </row>
    <row r="109" customFormat="false" ht="15" hidden="false" customHeight="true" outlineLevel="0" collapsed="false">
      <c r="A109" s="298"/>
      <c r="B109" s="298"/>
      <c r="C109" s="298"/>
      <c r="D109" s="298"/>
      <c r="E109" s="298"/>
      <c r="F109" s="298"/>
      <c r="G109" s="298"/>
    </row>
    <row r="110" customFormat="false" ht="15" hidden="false" customHeight="true" outlineLevel="0" collapsed="false">
      <c r="A110" s="285" t="s">
        <v>1895</v>
      </c>
      <c r="B110" s="300" t="s">
        <v>1428</v>
      </c>
      <c r="C110" s="300" t="s">
        <v>1429</v>
      </c>
      <c r="D110" s="300" t="s">
        <v>1430</v>
      </c>
      <c r="E110" s="300" t="s">
        <v>1431</v>
      </c>
      <c r="F110" s="300" t="s">
        <v>1432</v>
      </c>
      <c r="G110" s="300" t="s">
        <v>1433</v>
      </c>
    </row>
    <row r="111" customFormat="false" ht="15" hidden="false" customHeight="true" outlineLevel="0" collapsed="false">
      <c r="A111" s="286" t="s">
        <v>81</v>
      </c>
      <c r="B111" s="302"/>
      <c r="C111" s="297" t="n">
        <f aca="false">C73</f>
        <v>7639.29505270142</v>
      </c>
      <c r="D111" s="297" t="n">
        <f aca="false">D73</f>
        <v>7433.11551401753</v>
      </c>
      <c r="E111" s="297" t="n">
        <f aca="false">E73</f>
        <v>7428.58164146862</v>
      </c>
      <c r="F111" s="297" t="n">
        <f aca="false">F73</f>
        <v>7512.73716829767</v>
      </c>
      <c r="G111" s="297" t="n">
        <f aca="false">G73</f>
        <v>7653.12851739693</v>
      </c>
    </row>
    <row r="112" customFormat="false" ht="15" hidden="false" customHeight="true" outlineLevel="0" collapsed="false">
      <c r="A112" s="286" t="s">
        <v>1443</v>
      </c>
      <c r="B112" s="302"/>
      <c r="C112" s="297" t="n">
        <f aca="false">-C111*C55</f>
        <v>-2043.66575709847</v>
      </c>
      <c r="D112" s="297" t="n">
        <f aca="false">-D111*D55</f>
        <v>-2014.52446952108</v>
      </c>
      <c r="E112" s="297" t="n">
        <f aca="false">-E111*E55</f>
        <v>-2055.36598216313</v>
      </c>
      <c r="F112" s="297" t="n">
        <f aca="false">-F111*F55</f>
        <v>-2121.19730968553</v>
      </c>
      <c r="G112" s="297" t="n">
        <f aca="false">-G111*G55</f>
        <v>-2204.17831799388</v>
      </c>
    </row>
    <row r="113" customFormat="false" ht="15" hidden="false" customHeight="true" outlineLevel="0" collapsed="false">
      <c r="A113" s="286" t="s">
        <v>2694</v>
      </c>
      <c r="B113" s="302"/>
      <c r="C113" s="297" t="n">
        <f aca="false">C111+C112</f>
        <v>5595.62929560296</v>
      </c>
      <c r="D113" s="297" t="n">
        <f aca="false">D111+D112</f>
        <v>5418.59104449645</v>
      </c>
      <c r="E113" s="297" t="n">
        <f aca="false">E111+E112</f>
        <v>5373.21565930549</v>
      </c>
      <c r="F113" s="297" t="n">
        <f aca="false">F111+F112</f>
        <v>5391.53985861214</v>
      </c>
      <c r="G113" s="297" t="n">
        <f aca="false">G111+G112</f>
        <v>5448.95019940305</v>
      </c>
    </row>
    <row r="114" customFormat="false" ht="15" hidden="false" customHeight="true" outlineLevel="0" collapsed="false">
      <c r="A114" s="286" t="s">
        <v>1445</v>
      </c>
      <c r="B114" s="302"/>
      <c r="C114" s="297" t="n">
        <f aca="false">C101</f>
        <v>4099.73936097845</v>
      </c>
      <c r="D114" s="297" t="n">
        <f aca="false">D101</f>
        <v>4007.62893309877</v>
      </c>
      <c r="E114" s="297" t="n">
        <f aca="false">E101</f>
        <v>4013.67508751161</v>
      </c>
      <c r="F114" s="297" t="n">
        <f aca="false">F101</f>
        <v>4065.04959760881</v>
      </c>
      <c r="G114" s="297" t="n">
        <f aca="false">G101</f>
        <v>4144.27883505575</v>
      </c>
    </row>
    <row r="115" customFormat="false" ht="15" hidden="false" customHeight="true" outlineLevel="0" collapsed="false">
      <c r="A115" s="286" t="s">
        <v>1446</v>
      </c>
      <c r="B115" s="302"/>
      <c r="C115" s="297" t="n">
        <f aca="false">C104</f>
        <v>-3824.4740455412</v>
      </c>
      <c r="D115" s="297" t="n">
        <f aca="false">D104</f>
        <v>-3253.1297638307</v>
      </c>
      <c r="E115" s="297" t="n">
        <f aca="false">E104</f>
        <v>-3249.79409787064</v>
      </c>
      <c r="F115" s="297" t="n">
        <f aca="false">F104</f>
        <v>-3283.05305652959</v>
      </c>
      <c r="G115" s="297" t="n">
        <f aca="false">G104</f>
        <v>-3338.55169268035</v>
      </c>
    </row>
    <row r="116" customFormat="false" ht="15" hidden="false" customHeight="true" outlineLevel="0" collapsed="false">
      <c r="A116" s="286" t="s">
        <v>1447</v>
      </c>
      <c r="B116" s="302"/>
      <c r="C116" s="297" t="n">
        <f aca="false">C102+C103+C105</f>
        <v>123.423566289434</v>
      </c>
      <c r="D116" s="297" t="n">
        <f aca="false">D102+D103+D105</f>
        <v>40.4943652987195</v>
      </c>
      <c r="E116" s="297" t="n">
        <f aca="false">E102+E103+E105</f>
        <v>299.233421473535</v>
      </c>
      <c r="F116" s="297" t="n">
        <f aca="false">F102+F103+F105</f>
        <v>-39.1473606516183</v>
      </c>
      <c r="G116" s="297" t="n">
        <f aca="false">G102+G103+G105</f>
        <v>-61.4668822546137</v>
      </c>
    </row>
    <row r="117" customFormat="false" ht="15" hidden="false" customHeight="true" outlineLevel="0" collapsed="false">
      <c r="A117" s="285" t="s">
        <v>2695</v>
      </c>
      <c r="B117" s="300"/>
      <c r="C117" s="301" t="n">
        <f aca="false">SUM(C113:C116)</f>
        <v>5994.31817732964</v>
      </c>
      <c r="D117" s="301" t="n">
        <f aca="false">SUM(D113:D116)</f>
        <v>6213.58457906323</v>
      </c>
      <c r="E117" s="301" t="n">
        <f aca="false">SUM(E113:E116)</f>
        <v>6436.33007042</v>
      </c>
      <c r="F117" s="301" t="n">
        <f aca="false">SUM(F113:F116)</f>
        <v>6134.38903903975</v>
      </c>
      <c r="G117" s="301" t="n">
        <f aca="false">SUM(G113:G116)</f>
        <v>6193.21045952383</v>
      </c>
    </row>
    <row r="118" customFormat="false" ht="15" hidden="false" customHeight="true" outlineLevel="0" collapsed="false">
      <c r="A118" s="286" t="s">
        <v>1441</v>
      </c>
      <c r="B118" s="302"/>
      <c r="C118" s="303" t="n">
        <v>1</v>
      </c>
      <c r="D118" s="303" t="n">
        <f aca="false">C118+1</f>
        <v>2</v>
      </c>
      <c r="E118" s="303" t="n">
        <f aca="false">D118+1</f>
        <v>3</v>
      </c>
      <c r="F118" s="303" t="n">
        <f aca="false">E118+1</f>
        <v>4</v>
      </c>
      <c r="G118" s="303" t="n">
        <f aca="false">F118+1</f>
        <v>5</v>
      </c>
    </row>
    <row r="119" customFormat="false" ht="15" hidden="false" customHeight="true" outlineLevel="0" collapsed="false">
      <c r="A119" s="286" t="s">
        <v>1449</v>
      </c>
      <c r="B119" s="302"/>
      <c r="C119" s="304" t="n">
        <f aca="false">1/(1+$B$126)^C118</f>
        <v>0.912258933358138</v>
      </c>
      <c r="D119" s="304" t="n">
        <f aca="false">1/(1+$B$126)^D118</f>
        <v>0.832216361491728</v>
      </c>
      <c r="E119" s="304" t="n">
        <f aca="false">1/(1+$B$126)^E118</f>
        <v>0.759196810257635</v>
      </c>
      <c r="F119" s="304" t="n">
        <f aca="false">1/(1+$B$126)^F118</f>
        <v>0.692584072334531</v>
      </c>
      <c r="G119" s="304" t="n">
        <f aca="false">1/(1+$B$126)^G118</f>
        <v>0.631816007088735</v>
      </c>
    </row>
    <row r="120" customFormat="false" ht="15" hidden="false" customHeight="true" outlineLevel="0" collapsed="false">
      <c r="A120" s="286" t="s">
        <v>1450</v>
      </c>
      <c r="B120" s="302"/>
      <c r="C120" s="297" t="n">
        <f aca="false">C117*C119</f>
        <v>5468.37030666004</v>
      </c>
      <c r="D120" s="297" t="n">
        <f aca="false">D117*D119</f>
        <v>5171.04675020911</v>
      </c>
      <c r="E120" s="297" t="n">
        <f aca="false">E117*E119</f>
        <v>4886.44125922816</v>
      </c>
      <c r="F120" s="297" t="n">
        <f aca="false">F117*F119</f>
        <v>4248.58014194246</v>
      </c>
      <c r="G120" s="297" t="n">
        <f aca="false">G117*G119</f>
        <v>3912.96950359654</v>
      </c>
    </row>
    <row r="121" customFormat="false" ht="15" hidden="false" customHeight="true" outlineLevel="0" collapsed="false">
      <c r="A121" s="298"/>
      <c r="B121" s="298"/>
      <c r="C121" s="298"/>
      <c r="D121" s="298"/>
      <c r="E121" s="298"/>
      <c r="F121" s="298"/>
      <c r="G121" s="298"/>
    </row>
    <row r="122" customFormat="false" ht="15" hidden="false" customHeight="true" outlineLevel="0" collapsed="false">
      <c r="A122" s="285" t="s">
        <v>1901</v>
      </c>
      <c r="B122" s="300" t="s">
        <v>78</v>
      </c>
      <c r="C122" s="300"/>
      <c r="D122" s="300"/>
      <c r="E122" s="300"/>
      <c r="F122" s="300"/>
      <c r="G122" s="300"/>
    </row>
    <row r="123" customFormat="false" ht="15" hidden="false" customHeight="true" outlineLevel="0" collapsed="false">
      <c r="A123" s="286" t="s">
        <v>1903</v>
      </c>
      <c r="B123" s="296" t="n">
        <f aca="false">Escenarios!$H$11</f>
        <v>0.035</v>
      </c>
      <c r="C123" s="302"/>
      <c r="D123" s="302"/>
      <c r="E123" s="302"/>
      <c r="F123" s="302"/>
      <c r="G123" s="302"/>
    </row>
    <row r="124" customFormat="false" ht="15" hidden="false" customHeight="true" outlineLevel="0" collapsed="false">
      <c r="A124" s="286" t="s">
        <v>1904</v>
      </c>
      <c r="B124" s="296" t="n">
        <f aca="false">B220</f>
        <v>0.0961800026653353</v>
      </c>
      <c r="C124" s="302"/>
      <c r="D124" s="302"/>
      <c r="E124" s="302"/>
      <c r="F124" s="302"/>
      <c r="G124" s="302"/>
    </row>
    <row r="125" customFormat="false" ht="15" hidden="false" customHeight="true" outlineLevel="0" collapsed="false">
      <c r="A125" s="286" t="s">
        <v>1905</v>
      </c>
      <c r="B125" s="296" t="n">
        <v>0</v>
      </c>
      <c r="C125" s="302"/>
      <c r="D125" s="302"/>
      <c r="E125" s="302"/>
      <c r="F125" s="302"/>
      <c r="G125" s="302"/>
    </row>
    <row r="126" customFormat="false" ht="15" hidden="false" customHeight="true" outlineLevel="0" collapsed="false">
      <c r="A126" s="286" t="s">
        <v>1906</v>
      </c>
      <c r="B126" s="296" t="n">
        <f aca="false">B124+B125</f>
        <v>0.0961800026653353</v>
      </c>
      <c r="C126" s="302"/>
      <c r="D126" s="302"/>
      <c r="E126" s="302"/>
      <c r="F126" s="302"/>
      <c r="G126" s="302"/>
    </row>
    <row r="127" customFormat="false" ht="15" hidden="false" customHeight="true" outlineLevel="0" collapsed="false">
      <c r="A127" s="286" t="s">
        <v>1907</v>
      </c>
      <c r="B127" s="297" t="n">
        <f aca="false">G117</f>
        <v>6193.21045952383</v>
      </c>
      <c r="C127" s="302"/>
      <c r="D127" s="302"/>
      <c r="E127" s="302"/>
      <c r="F127" s="302"/>
      <c r="G127" s="302"/>
    </row>
    <row r="128" customFormat="false" ht="15" hidden="false" customHeight="true" outlineLevel="0" collapsed="false">
      <c r="A128" s="286" t="s">
        <v>2696</v>
      </c>
      <c r="B128" s="297" t="n">
        <f aca="false">B127*(1+B123)</f>
        <v>6409.97282560717</v>
      </c>
      <c r="C128" s="302"/>
      <c r="D128" s="302"/>
      <c r="E128" s="302"/>
      <c r="F128" s="302"/>
      <c r="G128" s="302"/>
    </row>
    <row r="129" customFormat="false" ht="15" hidden="false" customHeight="true" outlineLevel="0" collapsed="false">
      <c r="A129" s="285" t="s">
        <v>2697</v>
      </c>
      <c r="B129" s="301" t="n">
        <f aca="false">IF(B126&gt;B123,B128/(B126-B123),"REVISAR WACC/g")</f>
        <v>104772.352833503</v>
      </c>
      <c r="C129" s="300"/>
      <c r="D129" s="300"/>
      <c r="E129" s="300"/>
      <c r="F129" s="300"/>
      <c r="G129" s="300"/>
    </row>
    <row r="130" customFormat="false" ht="15" hidden="false" customHeight="true" outlineLevel="0" collapsed="false">
      <c r="A130" s="286" t="s">
        <v>1910</v>
      </c>
      <c r="B130" s="304" t="n">
        <f aca="false">G119</f>
        <v>0.631816007088735</v>
      </c>
      <c r="C130" s="302"/>
      <c r="D130" s="302"/>
      <c r="E130" s="302"/>
      <c r="F130" s="302"/>
      <c r="G130" s="302"/>
    </row>
    <row r="131" customFormat="false" ht="15" hidden="false" customHeight="true" outlineLevel="0" collapsed="false">
      <c r="A131" s="286" t="s">
        <v>1498</v>
      </c>
      <c r="B131" s="297" t="n">
        <f aca="false">B129*B130</f>
        <v>66196.849620556</v>
      </c>
      <c r="C131" s="302"/>
      <c r="D131" s="302"/>
      <c r="E131" s="302"/>
      <c r="F131" s="302"/>
      <c r="G131" s="302"/>
    </row>
    <row r="132" customFormat="false" ht="15" hidden="false" customHeight="true" outlineLevel="0" collapsed="false">
      <c r="A132" s="298"/>
      <c r="B132" s="298"/>
      <c r="C132" s="298"/>
      <c r="D132" s="298"/>
      <c r="E132" s="298"/>
      <c r="F132" s="298"/>
      <c r="G132" s="298"/>
    </row>
    <row r="133" customFormat="false" ht="15" hidden="false" customHeight="true" outlineLevel="0" collapsed="false">
      <c r="A133" s="285" t="s">
        <v>1911</v>
      </c>
      <c r="B133" s="300" t="s">
        <v>78</v>
      </c>
      <c r="C133" s="300"/>
      <c r="D133" s="300"/>
      <c r="E133" s="300"/>
      <c r="F133" s="300"/>
      <c r="G133" s="300"/>
    </row>
    <row r="134" customFormat="false" ht="15" hidden="false" customHeight="true" outlineLevel="0" collapsed="false">
      <c r="A134" s="286" t="s">
        <v>1913</v>
      </c>
      <c r="B134" s="297" t="n">
        <f aca="false">SUM(C120:G120)</f>
        <v>23687.4079616363</v>
      </c>
      <c r="C134" s="302"/>
      <c r="D134" s="302"/>
      <c r="E134" s="302"/>
      <c r="F134" s="302"/>
      <c r="G134" s="302"/>
    </row>
    <row r="135" customFormat="false" ht="15" hidden="false" customHeight="true" outlineLevel="0" collapsed="false">
      <c r="A135" s="286" t="s">
        <v>1914</v>
      </c>
      <c r="B135" s="297" t="n">
        <f aca="false">B131</f>
        <v>66196.849620556</v>
      </c>
      <c r="C135" s="302"/>
      <c r="D135" s="302"/>
      <c r="E135" s="302"/>
      <c r="F135" s="302"/>
      <c r="G135" s="302"/>
    </row>
    <row r="136" customFormat="false" ht="15" hidden="false" customHeight="true" outlineLevel="0" collapsed="false">
      <c r="A136" s="285" t="s">
        <v>1915</v>
      </c>
      <c r="B136" s="301" t="n">
        <f aca="false">B134+B135</f>
        <v>89884.2575821924</v>
      </c>
      <c r="C136" s="300"/>
      <c r="D136" s="300"/>
      <c r="E136" s="300"/>
      <c r="F136" s="300"/>
      <c r="G136" s="300"/>
    </row>
    <row r="137" customFormat="false" ht="15" hidden="false" customHeight="true" outlineLevel="0" collapsed="false">
      <c r="A137" s="286" t="s">
        <v>1461</v>
      </c>
      <c r="B137" s="295" t="n">
        <f aca="false">B135/B136</f>
        <v>0.736467668546119</v>
      </c>
      <c r="C137" s="302"/>
      <c r="D137" s="302"/>
      <c r="E137" s="302"/>
      <c r="F137" s="302"/>
      <c r="G137" s="302"/>
    </row>
    <row r="138" customFormat="false" ht="15" hidden="false" customHeight="true" outlineLevel="0" collapsed="false">
      <c r="A138" s="298"/>
      <c r="B138" s="298"/>
      <c r="C138" s="298"/>
      <c r="D138" s="298"/>
      <c r="E138" s="298"/>
      <c r="F138" s="298"/>
      <c r="G138" s="298"/>
    </row>
    <row r="139" customFormat="false" ht="15" hidden="false" customHeight="true" outlineLevel="0" collapsed="false">
      <c r="A139" s="285" t="s">
        <v>1916</v>
      </c>
      <c r="B139" s="300" t="s">
        <v>78</v>
      </c>
      <c r="C139" s="300"/>
      <c r="D139" s="300"/>
      <c r="E139" s="300"/>
      <c r="F139" s="300"/>
      <c r="G139" s="300"/>
    </row>
    <row r="140" customFormat="false" ht="15" hidden="false" customHeight="true" outlineLevel="0" collapsed="false">
      <c r="A140" s="286" t="s">
        <v>1915</v>
      </c>
      <c r="B140" s="297" t="n">
        <f aca="false">B136</f>
        <v>89884.2575821924</v>
      </c>
      <c r="C140" s="302"/>
      <c r="D140" s="302"/>
      <c r="E140" s="302"/>
      <c r="F140" s="302"/>
      <c r="G140" s="302"/>
    </row>
    <row r="141" customFormat="false" ht="15" hidden="false" customHeight="true" outlineLevel="0" collapsed="false">
      <c r="A141" s="286" t="s">
        <v>1502</v>
      </c>
      <c r="B141" s="297" t="n">
        <f aca="false">-B91</f>
        <v>-11500</v>
      </c>
      <c r="C141" s="302"/>
      <c r="D141" s="302"/>
      <c r="E141" s="302"/>
      <c r="F141" s="302"/>
      <c r="G141" s="302"/>
    </row>
    <row r="142" customFormat="false" ht="15" hidden="false" customHeight="true" outlineLevel="0" collapsed="false">
      <c r="A142" s="286" t="s">
        <v>1503</v>
      </c>
      <c r="B142" s="297" t="n">
        <f aca="false">-B92</f>
        <v>-12118</v>
      </c>
      <c r="C142" s="302"/>
      <c r="D142" s="302"/>
      <c r="E142" s="302"/>
      <c r="F142" s="302"/>
      <c r="G142" s="302"/>
    </row>
    <row r="143" customFormat="false" ht="15" hidden="false" customHeight="true" outlineLevel="0" collapsed="false">
      <c r="A143" s="286" t="s">
        <v>1504</v>
      </c>
      <c r="B143" s="297" t="n">
        <f aca="false">B84</f>
        <v>9295</v>
      </c>
      <c r="C143" s="302"/>
      <c r="D143" s="302"/>
      <c r="E143" s="302"/>
      <c r="F143" s="302"/>
      <c r="G143" s="302"/>
    </row>
    <row r="144" customFormat="false" ht="15" hidden="false" customHeight="true" outlineLevel="0" collapsed="false">
      <c r="A144" s="286" t="s">
        <v>1920</v>
      </c>
      <c r="B144" s="297" t="n">
        <f aca="false">-(B141+B142+B143)</f>
        <v>14323</v>
      </c>
      <c r="C144" s="302"/>
      <c r="D144" s="302"/>
      <c r="E144" s="302"/>
      <c r="F144" s="302"/>
      <c r="G144" s="302"/>
    </row>
    <row r="145" customFormat="false" ht="15" hidden="false" customHeight="true" outlineLevel="0" collapsed="false">
      <c r="A145" s="285" t="s">
        <v>1921</v>
      </c>
      <c r="B145" s="301" t="n">
        <f aca="false">SUM(B140:B143)</f>
        <v>75561.2575821924</v>
      </c>
      <c r="C145" s="300"/>
      <c r="D145" s="300"/>
      <c r="E145" s="300"/>
      <c r="F145" s="300"/>
      <c r="G145" s="300"/>
    </row>
    <row r="146" customFormat="false" ht="15" hidden="false" customHeight="true" outlineLevel="0" collapsed="false">
      <c r="A146" s="298"/>
      <c r="B146" s="298"/>
      <c r="C146" s="298"/>
      <c r="D146" s="298"/>
      <c r="E146" s="298"/>
      <c r="F146" s="298"/>
      <c r="G146" s="298"/>
    </row>
    <row r="147" customFormat="false" ht="15" hidden="false" customHeight="true" outlineLevel="0" collapsed="false">
      <c r="A147" s="285" t="s">
        <v>1922</v>
      </c>
      <c r="B147" s="300" t="s">
        <v>78</v>
      </c>
      <c r="C147" s="300"/>
      <c r="D147" s="300"/>
      <c r="E147" s="300"/>
      <c r="F147" s="300"/>
      <c r="G147" s="300"/>
    </row>
    <row r="148" customFormat="false" ht="15" hidden="false" customHeight="true" outlineLevel="0" collapsed="false">
      <c r="A148" s="286" t="s">
        <v>1924</v>
      </c>
      <c r="B148" s="297" t="n">
        <f aca="false">B145</f>
        <v>75561.2575821924</v>
      </c>
      <c r="C148" s="302"/>
      <c r="D148" s="302"/>
      <c r="E148" s="302"/>
      <c r="F148" s="302"/>
      <c r="G148" s="302"/>
    </row>
    <row r="149" customFormat="false" ht="15" hidden="false" customHeight="true" outlineLevel="0" collapsed="false">
      <c r="A149" s="286" t="s">
        <v>57</v>
      </c>
      <c r="B149" s="305" t="n">
        <f aca="false">Valuación!B40</f>
        <v>1800</v>
      </c>
      <c r="C149" s="302"/>
      <c r="D149" s="302"/>
      <c r="E149" s="302"/>
      <c r="F149" s="302"/>
      <c r="G149" s="302"/>
    </row>
    <row r="150" customFormat="false" ht="15" hidden="false" customHeight="true" outlineLevel="0" collapsed="false">
      <c r="A150" s="285" t="s">
        <v>1925</v>
      </c>
      <c r="B150" s="306" t="n">
        <f aca="false">B148/B149</f>
        <v>41.9784764345513</v>
      </c>
      <c r="C150" s="300"/>
      <c r="D150" s="300"/>
      <c r="E150" s="300"/>
      <c r="F150" s="300"/>
      <c r="G150" s="300"/>
    </row>
    <row r="151" customFormat="false" ht="15" hidden="false" customHeight="true" outlineLevel="0" collapsed="false">
      <c r="A151" s="286" t="s">
        <v>16</v>
      </c>
      <c r="B151" s="307" t="n">
        <f aca="false">Valuación!B42</f>
        <v>33.1</v>
      </c>
      <c r="C151" s="302"/>
      <c r="D151" s="302"/>
      <c r="E151" s="302"/>
      <c r="F151" s="302"/>
      <c r="G151" s="302"/>
    </row>
    <row r="152" customFormat="false" ht="15" hidden="false" customHeight="true" outlineLevel="0" collapsed="false">
      <c r="A152" s="286" t="s">
        <v>17</v>
      </c>
      <c r="B152" s="295" t="n">
        <f aca="false">B150/B151-1</f>
        <v>0.268231916451701</v>
      </c>
      <c r="C152" s="302"/>
      <c r="D152" s="302"/>
      <c r="E152" s="302"/>
      <c r="F152" s="302"/>
      <c r="G152" s="302"/>
    </row>
    <row r="153" customFormat="false" ht="15" hidden="false" customHeight="true" outlineLevel="0" collapsed="false">
      <c r="A153" s="286" t="s">
        <v>1926</v>
      </c>
      <c r="B153" s="307" t="n">
        <f aca="false">'Proyección Soriana'!B85</f>
        <v>50.1939335833512</v>
      </c>
      <c r="C153" s="302"/>
      <c r="D153" s="302"/>
      <c r="E153" s="302"/>
      <c r="F153" s="302"/>
      <c r="G153" s="302"/>
    </row>
    <row r="154" customFormat="false" ht="15" hidden="false" customHeight="true" outlineLevel="0" collapsed="false">
      <c r="A154" s="286" t="s">
        <v>1927</v>
      </c>
      <c r="B154" s="295" t="n">
        <f aca="false">B150/B153-1</f>
        <v>-0.163674304090103</v>
      </c>
      <c r="C154" s="302"/>
      <c r="D154" s="302"/>
      <c r="E154" s="302"/>
      <c r="F154" s="302"/>
      <c r="G154" s="302"/>
    </row>
    <row r="155" customFormat="false" ht="15" hidden="false" customHeight="true" outlineLevel="0" collapsed="false">
      <c r="A155" s="286" t="s">
        <v>2698</v>
      </c>
      <c r="B155" s="295" t="n">
        <v>0.15</v>
      </c>
      <c r="C155" s="302"/>
      <c r="D155" s="302"/>
      <c r="E155" s="302"/>
      <c r="F155" s="302"/>
      <c r="G155" s="302"/>
    </row>
    <row r="156" customFormat="false" ht="15" hidden="false" customHeight="true" outlineLevel="0" collapsed="false">
      <c r="A156" s="285" t="s">
        <v>1929</v>
      </c>
      <c r="B156" s="300" t="str">
        <f aca="false">IF(B152&gt;B155,"COMPRAR",IF(B152&lt;-B155,"VENDER","MANTENER"))</f>
        <v>COMPRAR</v>
      </c>
      <c r="C156" s="300"/>
      <c r="D156" s="300"/>
      <c r="E156" s="300"/>
      <c r="F156" s="300"/>
      <c r="G156" s="300"/>
    </row>
    <row r="157" customFormat="false" ht="15" hidden="false" customHeight="true" outlineLevel="0" collapsed="false">
      <c r="A157" s="286" t="s">
        <v>1930</v>
      </c>
      <c r="B157" s="302" t="str">
        <f aca="false" t="array" ref="B157:B157">IF(SUMPRODUCT(ABS(B97:G97))&lt;1,"PASS","FAIL")</f>
        <v>PASS</v>
      </c>
      <c r="C157" s="302"/>
      <c r="D157" s="302"/>
      <c r="E157" s="302"/>
      <c r="F157" s="302"/>
      <c r="G157" s="302"/>
    </row>
    <row r="158" customFormat="false" ht="15" hidden="false" customHeight="true" outlineLevel="0" collapsed="false">
      <c r="A158" s="286" t="s">
        <v>1931</v>
      </c>
      <c r="B158" s="302" t="str">
        <f aca="false">IF(B126&gt;B123,"PASS","FAIL")</f>
        <v>PASS</v>
      </c>
      <c r="C158" s="302"/>
      <c r="D158" s="302"/>
      <c r="E158" s="302"/>
      <c r="F158" s="302"/>
      <c r="G158" s="302"/>
    </row>
    <row r="159" customFormat="false" ht="15" hidden="false" customHeight="true" outlineLevel="0" collapsed="false">
      <c r="A159" s="298"/>
      <c r="B159" s="298"/>
      <c r="C159" s="298"/>
      <c r="D159" s="298"/>
      <c r="E159" s="298"/>
      <c r="F159" s="298"/>
      <c r="G159" s="298"/>
    </row>
    <row r="160" customFormat="false" ht="15" hidden="false" customHeight="true" outlineLevel="0" collapsed="false">
      <c r="A160" s="285" t="s">
        <v>1932</v>
      </c>
      <c r="B160" s="300"/>
      <c r="C160" s="300"/>
      <c r="D160" s="300"/>
      <c r="E160" s="300"/>
      <c r="F160" s="300"/>
      <c r="G160" s="300"/>
    </row>
    <row r="161" customFormat="false" ht="15" hidden="false" customHeight="true" outlineLevel="0" collapsed="false">
      <c r="A161" s="286" t="s">
        <v>1934</v>
      </c>
      <c r="B161" s="296" t="n">
        <v>0.005</v>
      </c>
      <c r="C161" s="302"/>
      <c r="D161" s="302"/>
      <c r="E161" s="302"/>
      <c r="F161" s="302"/>
      <c r="G161" s="302"/>
    </row>
    <row r="162" customFormat="false" ht="15" hidden="false" customHeight="true" outlineLevel="0" collapsed="false">
      <c r="A162" s="285" t="s">
        <v>2699</v>
      </c>
      <c r="B162" s="338" t="n">
        <f aca="false">$B$123-2*$B$161</f>
        <v>0.025</v>
      </c>
      <c r="C162" s="338" t="n">
        <f aca="false">B162+$B$161</f>
        <v>0.03</v>
      </c>
      <c r="D162" s="338" t="n">
        <f aca="false">C162+$B$161</f>
        <v>0.035</v>
      </c>
      <c r="E162" s="338" t="n">
        <f aca="false">D162+$B$161</f>
        <v>0.04</v>
      </c>
      <c r="F162" s="338" t="n">
        <f aca="false">E162+$B$161</f>
        <v>0.045</v>
      </c>
      <c r="G162" s="300"/>
    </row>
    <row r="163" customFormat="false" ht="15" hidden="false" customHeight="true" outlineLevel="0" collapsed="false">
      <c r="A163" s="338" t="n">
        <f aca="false">$B$126-2*$B$161</f>
        <v>0.0861800026653353</v>
      </c>
      <c r="B163" s="307" t="n">
        <f aca="false">IF($A163&lt;=B$162,"n.a.",(($B$243*(SUMPRODUCT($C$117:$G$117,(1+$A163)^(-$C$118:$G$118))+$G$117*(1+B$162)/($A163-B$162)*(1+$A163)^-5)+$B$244*(SUMPRODUCT($C$117:$G$117,(1+$A163)^(-$C$118:$G$118))+$B$236*(1+$A163)^-5))*(1+$A163)^$B$253+$B$257+$B$259+$B$260+$B$261)*(1+$B$221)^$B$254/$B$264)</f>
        <v>39.3374596625486</v>
      </c>
      <c r="C163" s="307" t="n">
        <f aca="false">IF($A163&lt;=C$162,"n.a.",(($B$243*(SUMPRODUCT($C$117:$G$117,(1+$A163)^(-$C$118:$G$118))+$G$117*(1+C$162)/($A163-C$162)*(1+$A163)^-5)+$B$244*(SUMPRODUCT($C$117:$G$117,(1+$A163)^(-$C$118:$G$118))+$B$236*(1+$A163)^-5))*(1+$A163)^$B$253+$B$257+$B$259+$B$260+$B$261)*(1+$B$221)^$B$254/$B$264)</f>
        <v>41.2619348590983</v>
      </c>
      <c r="D163" s="307" t="n">
        <f aca="false">IF($A163&lt;=D$162,"n.a.",(($B$243*(SUMPRODUCT($C$117:$G$117,(1+$A163)^(-$C$118:$G$118))+$G$117*(1+D$162)/($A163-D$162)*(1+$A163)^-5)+$B$244*(SUMPRODUCT($C$117:$G$117,(1+$A163)^(-$C$118:$G$118))+$B$236*(1+$A163)^-5))*(1+$A163)^$B$253+$B$257+$B$259+$B$260+$B$261)*(1+$B$221)^$B$254/$B$264)</f>
        <v>43.5624309810734</v>
      </c>
      <c r="E163" s="307" t="n">
        <f aca="false">IF($A163&lt;=E$162,"n.a.",(($B$243*(SUMPRODUCT($C$117:$G$117,(1+$A163)^(-$C$118:$G$118))+$G$117*(1+E$162)/($A163-E$162)*(1+$A163)^-5)+$B$244*(SUMPRODUCT($C$117:$G$117,(1+$A163)^(-$C$118:$G$118))+$B$236*(1+$A163)^-5))*(1+$A163)^$B$253+$B$257+$B$259+$B$260+$B$261)*(1+$B$221)^$B$254/$B$264)</f>
        <v>46.3610856108873</v>
      </c>
      <c r="F163" s="307" t="n">
        <f aca="false">IF($A163&lt;=F$162,"n.a.",(($B$243*(SUMPRODUCT($C$117:$G$117,(1+$A163)^(-$C$118:$G$118))+$G$117*(1+F$162)/($A163-F$162)*(1+$A163)^-5)+$B$244*(SUMPRODUCT($C$117:$G$117,(1+$A163)^(-$C$118:$G$118))+$B$236*(1+$A163)^-5))*(1+$A163)^$B$253+$B$257+$B$259+$B$260+$B$261)*(1+$B$221)^$B$254/$B$264)</f>
        <v>49.8393552112387</v>
      </c>
      <c r="G163" s="302"/>
    </row>
    <row r="164" customFormat="false" ht="15" hidden="false" customHeight="true" outlineLevel="0" collapsed="false">
      <c r="A164" s="338" t="n">
        <f aca="false">A163+$B$161</f>
        <v>0.0911800026653353</v>
      </c>
      <c r="B164" s="307" t="n">
        <f aca="false">IF($A164&lt;=B$162,"n.a.",(($B$243*(SUMPRODUCT($C$117:$G$117,(1+$A164)^(-$C$118:$G$118))+$G$117*(1+B$162)/($A164-B$162)*(1+$A164)^-5)+$B$244*(SUMPRODUCT($C$117:$G$117,(1+$A164)^(-$C$118:$G$118))+$B$236*(1+$A164)^-5))*(1+$A164)^$B$253+$B$257+$B$259+$B$260+$B$261)*(1+$B$221)^$B$254/$B$264)</f>
        <v>36.9794285863782</v>
      </c>
      <c r="C164" s="307" t="n">
        <f aca="false">IF($A164&lt;=C$162,"n.a.",(($B$243*(SUMPRODUCT($C$117:$G$117,(1+$A164)^(-$C$118:$G$118))+$G$117*(1+C$162)/($A164-C$162)*(1+$A164)^-5)+$B$244*(SUMPRODUCT($C$117:$G$117,(1+$A164)^(-$C$118:$G$118))+$B$236*(1+$A164)^-5))*(1+$A164)^$B$253+$B$257+$B$259+$B$260+$B$261)*(1+$B$221)^$B$254/$B$264)</f>
        <v>38.5870589826697</v>
      </c>
      <c r="D164" s="307" t="n">
        <f aca="false">IF($A164&lt;=D$162,"n.a.",(($B$243*(SUMPRODUCT($C$117:$G$117,(1+$A164)^(-$C$118:$G$118))+$G$117*(1+D$162)/($A164-D$162)*(1+$A164)^-5)+$B$244*(SUMPRODUCT($C$117:$G$117,(1+$A164)^(-$C$118:$G$118))+$B$236*(1+$A164)^-5))*(1+$A164)^$B$253+$B$257+$B$259+$B$260+$B$261)*(1+$B$221)^$B$254/$B$264)</f>
        <v>40.4808464312968</v>
      </c>
      <c r="E164" s="307" t="n">
        <f aca="false">IF($A164&lt;=E$162,"n.a.",(($B$243*(SUMPRODUCT($C$117:$G$117,(1+$A164)^(-$C$118:$G$118))+$G$117*(1+E$162)/($A164-E$162)*(1+$A164)^-5)+$B$244*(SUMPRODUCT($C$117:$G$117,(1+$A164)^(-$C$118:$G$118))+$B$236*(1+$A164)^-5))*(1+$A164)^$B$253+$B$257+$B$259+$B$260+$B$261)*(1+$B$221)^$B$254/$B$264)</f>
        <v>42.7446587626912</v>
      </c>
      <c r="F164" s="307" t="n">
        <f aca="false">IF($A164&lt;=F$162,"n.a.",(($B$243*(SUMPRODUCT($C$117:$G$117,(1+$A164)^(-$C$118:$G$118))+$G$117*(1+F$162)/($A164-F$162)*(1+$A164)^-5)+$B$244*(SUMPRODUCT($C$117:$G$117,(1+$A164)^(-$C$118:$G$118))+$B$236*(1+$A164)^-5))*(1+$A164)^$B$253+$B$257+$B$259+$B$260+$B$261)*(1+$B$221)^$B$254/$B$264)</f>
        <v>45.4986859491604</v>
      </c>
      <c r="G164" s="302"/>
    </row>
    <row r="165" customFormat="false" ht="15" hidden="false" customHeight="true" outlineLevel="0" collapsed="false">
      <c r="A165" s="338" t="n">
        <f aca="false">A164+$B$161</f>
        <v>0.0961800026653353</v>
      </c>
      <c r="B165" s="307" t="n">
        <f aca="false">IF($A165&lt;=B$162,"n.a.",(($B$243*(SUMPRODUCT($C$117:$G$117,(1+$A165)^(-$C$118:$G$118))+$G$117*(1+B$162)/($A165-B$162)*(1+$A165)^-5)+$B$244*(SUMPRODUCT($C$117:$G$117,(1+$A165)^(-$C$118:$G$118))+$B$236*(1+$A165)^-5))*(1+$A165)^$B$253+$B$257+$B$259+$B$260+$B$261)*(1+$B$221)^$B$254/$B$264)</f>
        <v>34.9109168379619</v>
      </c>
      <c r="C165" s="307" t="n">
        <f aca="false">IF($A165&lt;=C$162,"n.a.",(($B$243*(SUMPRODUCT($C$117:$G$117,(1+$A165)^(-$C$118:$G$118))+$G$117*(1+C$162)/($A165-C$162)*(1+$A165)^-5)+$B$244*(SUMPRODUCT($C$117:$G$117,(1+$A165)^(-$C$118:$G$118))+$B$236*(1+$A165)^-5))*(1+$A165)^$B$253+$B$257+$B$259+$B$260+$B$261)*(1+$B$221)^$B$254/$B$264)</f>
        <v>36.2707590930966</v>
      </c>
      <c r="D165" s="327" t="n">
        <f aca="false">IF($A165&lt;=D$162,"n.a.",(($B$243*(SUMPRODUCT($C$117:$G$117,(1+$A165)^(-$C$118:$G$118))+$G$117*(1+D$162)/($A165-D$162)*(1+$A165)^-5)+$B$244*(SUMPRODUCT($C$117:$G$117,(1+$A165)^(-$C$118:$G$118))+$B$236*(1+$A165)^-5))*(1+$A165)^$B$253+$B$257+$B$259+$B$260+$B$261)*(1+$B$221)^$B$254/$B$264)</f>
        <v>37.8528704224211</v>
      </c>
      <c r="E165" s="307" t="n">
        <f aca="false">IF($A165&lt;=E$162,"n.a.",(($B$243*(SUMPRODUCT($C$117:$G$117,(1+$A165)^(-$C$118:$G$118))+$G$117*(1+E$162)/($A165-E$162)*(1+$A165)^-5)+$B$244*(SUMPRODUCT($C$117:$G$117,(1+$A165)^(-$C$118:$G$118))+$B$236*(1+$A165)^-5))*(1+$A165)^$B$253+$B$257+$B$259+$B$260+$B$261)*(1+$B$221)^$B$254/$B$264)</f>
        <v>39.716596428546</v>
      </c>
      <c r="F165" s="307" t="n">
        <f aca="false">IF($A165&lt;=F$162,"n.a.",(($B$243*(SUMPRODUCT($C$117:$G$117,(1+$A165)^(-$C$118:$G$118))+$G$117*(1+F$162)/($A165-F$162)*(1+$A165)^-5)+$B$244*(SUMPRODUCT($C$117:$G$117,(1+$A165)^(-$C$118:$G$118))+$B$236*(1+$A165)^-5))*(1+$A165)^$B$253+$B$257+$B$259+$B$260+$B$261)*(1+$B$221)^$B$254/$B$264)</f>
        <v>41.944473647853</v>
      </c>
      <c r="G165" s="302"/>
    </row>
    <row r="166" customFormat="false" ht="15" hidden="false" customHeight="true" outlineLevel="0" collapsed="false">
      <c r="A166" s="338" t="n">
        <f aca="false">A165+$B$161</f>
        <v>0.101180002665335</v>
      </c>
      <c r="B166" s="307" t="n">
        <f aca="false">IF($A166&lt;=B$162,"n.a.",(($B$243*(SUMPRODUCT($C$117:$G$117,(1+$A166)^(-$C$118:$G$118))+$G$117*(1+B$162)/($A166-B$162)*(1+$A166)^-5)+$B$244*(SUMPRODUCT($C$117:$G$117,(1+$A166)^(-$C$118:$G$118))+$B$236*(1+$A166)^-5))*(1+$A166)^$B$253+$B$257+$B$259+$B$260+$B$261)*(1+$B$221)^$B$254/$B$264)</f>
        <v>33.0763278905759</v>
      </c>
      <c r="C166" s="307" t="n">
        <f aca="false">IF($A166&lt;=C$162,"n.a.",(($B$243*(SUMPRODUCT($C$117:$G$117,(1+$A166)^(-$C$118:$G$118))+$G$117*(1+C$162)/($A166-C$162)*(1+$A166)^-5)+$B$244*(SUMPRODUCT($C$117:$G$117,(1+$A166)^(-$C$118:$G$118))+$B$236*(1+$A166)^-5))*(1+$A166)^$B$253+$B$257+$B$259+$B$260+$B$261)*(1+$B$221)^$B$254/$B$264)</f>
        <v>34.2389987443541</v>
      </c>
      <c r="D166" s="307" t="n">
        <f aca="false">IF($A166&lt;=D$162,"n.a.",(($B$243*(SUMPRODUCT($C$117:$G$117,(1+$A166)^(-$C$118:$G$118))+$G$117*(1+D$162)/($A166-D$162)*(1+$A166)^-5)+$B$244*(SUMPRODUCT($C$117:$G$117,(1+$A166)^(-$C$118:$G$118))+$B$236*(1+$A166)^-5))*(1+$A166)^$B$253+$B$257+$B$259+$B$260+$B$261)*(1+$B$221)^$B$254/$B$264)</f>
        <v>35.5773527058616</v>
      </c>
      <c r="E166" s="307" t="n">
        <f aca="false">IF($A166&lt;=E$162,"n.a.",(($B$243*(SUMPRODUCT($C$117:$G$117,(1+$A166)^(-$C$118:$G$118))+$G$117*(1+E$162)/($A166-E$162)*(1+$A166)^-5)+$B$244*(SUMPRODUCT($C$117:$G$117,(1+$A166)^(-$C$118:$G$118))+$B$236*(1+$A166)^-5))*(1+$A166)^$B$253+$B$257+$B$259+$B$260+$B$261)*(1+$B$221)^$B$254/$B$264)</f>
        <v>37.1344634348096</v>
      </c>
      <c r="F166" s="307" t="n">
        <f aca="false">IF($A166&lt;=F$162,"n.a.",(($B$243*(SUMPRODUCT($C$117:$G$117,(1+$A166)^(-$C$118:$G$118))+$G$117*(1+F$162)/($A166-F$162)*(1+$A166)^-5)+$B$244*(SUMPRODUCT($C$117:$G$117,(1+$A166)^(-$C$118:$G$118))+$B$236*(1+$A166)^-5))*(1+$A166)^$B$253+$B$257+$B$259+$B$260+$B$261)*(1+$B$221)^$B$254/$B$264)</f>
        <v>38.9687387517026</v>
      </c>
      <c r="G166" s="302"/>
    </row>
    <row r="167" customFormat="false" ht="15" hidden="false" customHeight="true" outlineLevel="0" collapsed="false">
      <c r="A167" s="338" t="n">
        <f aca="false">A166+$B$161</f>
        <v>0.106180002665335</v>
      </c>
      <c r="B167" s="307" t="n">
        <f aca="false">IF($A167&lt;=B$162,"n.a.",(($B$243*(SUMPRODUCT($C$117:$G$117,(1+$A167)^(-$C$118:$G$118))+$G$117*(1+B$162)/($A167-B$162)*(1+$A167)^-5)+$B$244*(SUMPRODUCT($C$117:$G$117,(1+$A167)^(-$C$118:$G$118))+$B$236*(1+$A167)^-5))*(1+$A167)^$B$253+$B$257+$B$259+$B$260+$B$261)*(1+$B$221)^$B$254/$B$264)</f>
        <v>31.4337114923935</v>
      </c>
      <c r="C167" s="307" t="n">
        <f aca="false">IF($A167&lt;=C$162,"n.a.",(($B$243*(SUMPRODUCT($C$117:$G$117,(1+$A167)^(-$C$118:$G$118))+$G$117*(1+C$162)/($A167-C$162)*(1+$A167)^-5)+$B$244*(SUMPRODUCT($C$117:$G$117,(1+$A167)^(-$C$118:$G$118))+$B$236*(1+$A167)^-5))*(1+$A167)^$B$253+$B$257+$B$259+$B$260+$B$261)*(1+$B$221)^$B$254/$B$264)</f>
        <v>32.4371240215033</v>
      </c>
      <c r="D167" s="307" t="n">
        <f aca="false">IF($A167&lt;=D$162,"n.a.",(($B$243*(SUMPRODUCT($C$117:$G$117,(1+$A167)^(-$C$118:$G$118))+$G$117*(1+D$162)/($A167-D$162)*(1+$A167)^-5)+$B$244*(SUMPRODUCT($C$117:$G$117,(1+$A167)^(-$C$118:$G$118))+$B$236*(1+$A167)^-5))*(1+$A167)^$B$253+$B$257+$B$259+$B$260+$B$261)*(1+$B$221)^$B$254/$B$264)</f>
        <v>33.5815048691768</v>
      </c>
      <c r="E167" s="307" t="n">
        <f aca="false">IF($A167&lt;=E$162,"n.a.",(($B$243*(SUMPRODUCT($C$117:$G$117,(1+$A167)^(-$C$118:$G$118))+$G$117*(1+E$162)/($A167-E$162)*(1+$A167)^-5)+$B$244*(SUMPRODUCT($C$117:$G$117,(1+$A167)^(-$C$118:$G$118))+$B$236*(1+$A167)^-5))*(1+$A167)^$B$253+$B$257+$B$259+$B$260+$B$261)*(1+$B$221)^$B$254/$B$264)</f>
        <v>34.8988051489422</v>
      </c>
      <c r="F167" s="307" t="n">
        <f aca="false">IF($A167&lt;=F$162,"n.a.",(($B$243*(SUMPRODUCT($C$117:$G$117,(1+$A167)^(-$C$118:$G$118))+$G$117*(1+F$162)/($A167-F$162)*(1+$A167)^-5)+$B$244*(SUMPRODUCT($C$117:$G$117,(1+$A167)^(-$C$118:$G$118))+$B$236*(1+$A167)^-5))*(1+$A167)^$B$253+$B$257+$B$259+$B$260+$B$261)*(1+$B$221)^$B$254/$B$264)</f>
        <v>36.4314209276251</v>
      </c>
      <c r="G167" s="302"/>
    </row>
    <row r="168" customFormat="false" ht="15" hidden="false" customHeight="true" outlineLevel="0" collapsed="false">
      <c r="A168" s="302" t="s">
        <v>1936</v>
      </c>
      <c r="B168" s="337" t="n">
        <f aca="false">D165-B265</f>
        <v>0</v>
      </c>
      <c r="C168" s="302"/>
      <c r="D168" s="302"/>
      <c r="E168" s="302"/>
      <c r="F168" s="302"/>
      <c r="G168" s="302"/>
    </row>
    <row r="169" customFormat="false" ht="15" hidden="false" customHeight="true" outlineLevel="0" collapsed="false">
      <c r="A169" s="298"/>
      <c r="B169" s="298"/>
      <c r="C169" s="298"/>
      <c r="D169" s="298"/>
      <c r="E169" s="298"/>
      <c r="F169" s="298"/>
      <c r="G169" s="298"/>
    </row>
    <row r="170" customFormat="false" ht="15" hidden="false" customHeight="true" outlineLevel="0" collapsed="false">
      <c r="A170" s="285" t="s">
        <v>1937</v>
      </c>
      <c r="B170" s="285" t="s">
        <v>1749</v>
      </c>
      <c r="C170" s="285" t="s">
        <v>1938</v>
      </c>
      <c r="D170" s="285" t="s">
        <v>1719</v>
      </c>
      <c r="E170" s="285" t="s">
        <v>1939</v>
      </c>
      <c r="F170" s="285" t="s">
        <v>1940</v>
      </c>
      <c r="G170" s="285" t="s">
        <v>1941</v>
      </c>
    </row>
    <row r="171" customFormat="false" ht="15" hidden="false" customHeight="false" outlineLevel="0" collapsed="false">
      <c r="A171" s="286" t="s">
        <v>1942</v>
      </c>
      <c r="B171" s="286" t="s">
        <v>1757</v>
      </c>
      <c r="C171" s="286" t="n">
        <v>4</v>
      </c>
      <c r="D171" s="286" t="s">
        <v>1943</v>
      </c>
      <c r="E171" s="286" t="s">
        <v>1944</v>
      </c>
      <c r="F171" s="286" t="s">
        <v>1442</v>
      </c>
      <c r="G171" s="286" t="n">
        <v>11</v>
      </c>
    </row>
    <row r="172" customFormat="false" ht="15" hidden="false" customHeight="false" outlineLevel="0" collapsed="false">
      <c r="A172" s="286" t="s">
        <v>1945</v>
      </c>
      <c r="B172" s="286" t="s">
        <v>1781</v>
      </c>
      <c r="C172" s="286" t="n">
        <v>3</v>
      </c>
      <c r="D172" s="286" t="s">
        <v>1943</v>
      </c>
      <c r="E172" s="286" t="s">
        <v>1944</v>
      </c>
      <c r="F172" s="286" t="s">
        <v>1761</v>
      </c>
      <c r="G172" s="286" t="n">
        <v>10</v>
      </c>
    </row>
    <row r="173" customFormat="false" ht="15" hidden="false" customHeight="false" outlineLevel="0" collapsed="false">
      <c r="A173" s="286" t="s">
        <v>1946</v>
      </c>
      <c r="B173" s="286" t="s">
        <v>1772</v>
      </c>
      <c r="C173" s="286" t="n">
        <v>5</v>
      </c>
      <c r="D173" s="286" t="s">
        <v>1943</v>
      </c>
      <c r="E173" s="286" t="s">
        <v>1948</v>
      </c>
      <c r="F173" s="286" t="s">
        <v>1442</v>
      </c>
      <c r="G173" s="286" t="n">
        <v>13</v>
      </c>
    </row>
    <row r="174" customFormat="false" ht="15" hidden="false" customHeight="false" outlineLevel="0" collapsed="false">
      <c r="A174" s="286" t="s">
        <v>1949</v>
      </c>
      <c r="B174" s="286" t="s">
        <v>1757</v>
      </c>
      <c r="C174" s="286" t="n">
        <v>3</v>
      </c>
      <c r="D174" s="286" t="s">
        <v>1950</v>
      </c>
      <c r="E174" s="286" t="s">
        <v>1944</v>
      </c>
      <c r="F174" s="286" t="s">
        <v>1442</v>
      </c>
      <c r="G174" s="286" t="n">
        <v>13</v>
      </c>
    </row>
    <row r="175" customFormat="false" ht="15" hidden="false" customHeight="false" outlineLevel="0" collapsed="false">
      <c r="A175" s="286" t="s">
        <v>1951</v>
      </c>
      <c r="B175" s="286" t="s">
        <v>1772</v>
      </c>
      <c r="C175" s="286" t="n">
        <v>3</v>
      </c>
      <c r="D175" s="286" t="s">
        <v>1950</v>
      </c>
      <c r="E175" s="286" t="s">
        <v>1948</v>
      </c>
      <c r="F175" s="286" t="s">
        <v>1442</v>
      </c>
      <c r="G175" s="286" t="n">
        <v>17</v>
      </c>
    </row>
    <row r="176" customFormat="false" ht="15" hidden="false" customHeight="false" outlineLevel="0" collapsed="false">
      <c r="A176" s="286" t="s">
        <v>1952</v>
      </c>
      <c r="B176" s="286" t="s">
        <v>1772</v>
      </c>
      <c r="C176" s="286" t="n">
        <v>3</v>
      </c>
      <c r="D176" s="286" t="s">
        <v>1943</v>
      </c>
      <c r="E176" s="286" t="s">
        <v>1944</v>
      </c>
      <c r="F176" s="286" t="s">
        <v>1953</v>
      </c>
      <c r="G176" s="286" t="s">
        <v>1954</v>
      </c>
    </row>
    <row r="177" customFormat="false" ht="15" hidden="false" customHeight="false" outlineLevel="0" collapsed="false">
      <c r="A177" s="286" t="s">
        <v>1955</v>
      </c>
      <c r="B177" s="286" t="s">
        <v>1772</v>
      </c>
      <c r="C177" s="286" t="n">
        <v>3</v>
      </c>
      <c r="D177" s="286" t="s">
        <v>1943</v>
      </c>
      <c r="E177" s="286" t="s">
        <v>1948</v>
      </c>
      <c r="F177" s="286" t="s">
        <v>1956</v>
      </c>
      <c r="G177" s="286" t="n">
        <v>125</v>
      </c>
    </row>
    <row r="178" customFormat="false" ht="15" hidden="false" customHeight="false" outlineLevel="0" collapsed="false">
      <c r="A178" s="286" t="s">
        <v>1957</v>
      </c>
      <c r="B178" s="286" t="s">
        <v>1772</v>
      </c>
      <c r="C178" s="286" t="n">
        <v>3</v>
      </c>
      <c r="D178" s="286" t="s">
        <v>1950</v>
      </c>
      <c r="E178" s="286" t="s">
        <v>1948</v>
      </c>
      <c r="F178" s="286" t="s">
        <v>1771</v>
      </c>
      <c r="G178" s="286" t="n">
        <v>35</v>
      </c>
    </row>
    <row r="179" customFormat="false" ht="15" hidden="false" customHeight="false" outlineLevel="0" collapsed="false">
      <c r="A179" s="286" t="s">
        <v>1958</v>
      </c>
      <c r="B179" s="286" t="s">
        <v>1772</v>
      </c>
      <c r="C179" s="286" t="n">
        <v>2</v>
      </c>
      <c r="D179" s="286" t="s">
        <v>1950</v>
      </c>
      <c r="E179" s="286" t="s">
        <v>1959</v>
      </c>
      <c r="F179" s="286" t="s">
        <v>5</v>
      </c>
      <c r="G179" s="286" t="n">
        <v>125</v>
      </c>
    </row>
    <row r="180" customFormat="false" ht="15" hidden="false" customHeight="false" outlineLevel="0" collapsed="false">
      <c r="A180" s="286" t="s">
        <v>1960</v>
      </c>
      <c r="B180" s="286" t="s">
        <v>1772</v>
      </c>
      <c r="C180" s="286" t="n">
        <v>4</v>
      </c>
      <c r="D180" s="286" t="s">
        <v>1943</v>
      </c>
      <c r="E180" s="286" t="s">
        <v>1959</v>
      </c>
      <c r="F180" s="286" t="s">
        <v>1442</v>
      </c>
      <c r="G180" s="286" t="n">
        <v>18</v>
      </c>
    </row>
    <row r="181" customFormat="false" ht="15" hidden="false" customHeight="false" outlineLevel="0" collapsed="false">
      <c r="A181" s="286" t="s">
        <v>1961</v>
      </c>
      <c r="B181" s="286" t="s">
        <v>1772</v>
      </c>
      <c r="C181" s="286" t="n">
        <v>3</v>
      </c>
      <c r="D181" s="286" t="s">
        <v>1943</v>
      </c>
      <c r="E181" s="286" t="s">
        <v>1944</v>
      </c>
      <c r="F181" s="286" t="s">
        <v>1442</v>
      </c>
      <c r="G181" s="286" t="n">
        <v>18</v>
      </c>
    </row>
    <row r="182" customFormat="false" ht="15" hidden="false" customHeight="false" outlineLevel="0" collapsed="false">
      <c r="A182" s="286" t="s">
        <v>1962</v>
      </c>
      <c r="B182" s="286" t="s">
        <v>1772</v>
      </c>
      <c r="C182" s="286" t="n">
        <v>2</v>
      </c>
      <c r="D182" s="286" t="s">
        <v>1943</v>
      </c>
      <c r="E182" s="286" t="s">
        <v>1948</v>
      </c>
      <c r="F182" s="286" t="s">
        <v>1771</v>
      </c>
      <c r="G182" s="286" t="n">
        <v>35</v>
      </c>
    </row>
    <row r="183" customFormat="false" ht="15" hidden="false" customHeight="false" outlineLevel="0" collapsed="false">
      <c r="A183" s="286" t="s">
        <v>1963</v>
      </c>
      <c r="B183" s="286" t="s">
        <v>1781</v>
      </c>
      <c r="C183" s="286" t="n">
        <v>4</v>
      </c>
      <c r="D183" s="286" t="s">
        <v>1943</v>
      </c>
      <c r="E183" s="286" t="s">
        <v>1964</v>
      </c>
      <c r="F183" s="286" t="s">
        <v>1965</v>
      </c>
      <c r="G183" s="286" t="s">
        <v>1966</v>
      </c>
    </row>
    <row r="184" customFormat="false" ht="15" hidden="false" customHeight="false" outlineLevel="0" collapsed="false">
      <c r="A184" s="286" t="s">
        <v>1967</v>
      </c>
      <c r="B184" s="286" t="s">
        <v>1772</v>
      </c>
      <c r="C184" s="286" t="n">
        <v>3</v>
      </c>
      <c r="D184" s="286" t="s">
        <v>1943</v>
      </c>
      <c r="E184" s="286" t="s">
        <v>1959</v>
      </c>
      <c r="F184" s="286" t="s">
        <v>1785</v>
      </c>
      <c r="G184" s="286" t="n">
        <v>33</v>
      </c>
    </row>
    <row r="185" customFormat="false" ht="15" hidden="false" customHeight="false" outlineLevel="0" collapsed="false">
      <c r="A185" s="286" t="s">
        <v>1968</v>
      </c>
      <c r="B185" s="286" t="s">
        <v>1772</v>
      </c>
      <c r="C185" s="286" t="n">
        <v>2</v>
      </c>
      <c r="D185" s="286" t="s">
        <v>1950</v>
      </c>
      <c r="E185" s="286" t="s">
        <v>1944</v>
      </c>
      <c r="F185" s="286" t="s">
        <v>1442</v>
      </c>
      <c r="G185" s="286" t="n">
        <v>21</v>
      </c>
    </row>
    <row r="186" customFormat="false" ht="15" hidden="false" customHeight="false" outlineLevel="0" collapsed="false">
      <c r="A186" s="286" t="s">
        <v>1969</v>
      </c>
      <c r="B186" s="286" t="s">
        <v>1772</v>
      </c>
      <c r="C186" s="286" t="n">
        <v>2</v>
      </c>
      <c r="D186" s="286" t="s">
        <v>1950</v>
      </c>
      <c r="E186" s="286" t="s">
        <v>1959</v>
      </c>
      <c r="F186" s="286" t="s">
        <v>1439</v>
      </c>
      <c r="G186" s="286" t="n">
        <v>52</v>
      </c>
    </row>
    <row r="187" customFormat="false" ht="15" hidden="false" customHeight="false" outlineLevel="0" collapsed="false">
      <c r="A187" s="286" t="s">
        <v>1970</v>
      </c>
      <c r="B187" s="286" t="s">
        <v>1757</v>
      </c>
      <c r="C187" s="286" t="n">
        <v>3</v>
      </c>
      <c r="D187" s="286" t="s">
        <v>1943</v>
      </c>
      <c r="E187" s="286" t="s">
        <v>1959</v>
      </c>
      <c r="F187" s="286" t="s">
        <v>1442</v>
      </c>
      <c r="G187" s="286" t="n">
        <v>19</v>
      </c>
    </row>
    <row r="188" customFormat="false" ht="15" hidden="false" customHeight="false" outlineLevel="0" collapsed="false">
      <c r="A188" s="286" t="s">
        <v>1971</v>
      </c>
      <c r="B188" s="286" t="s">
        <v>1772</v>
      </c>
      <c r="C188" s="286" t="n">
        <v>3</v>
      </c>
      <c r="D188" s="286" t="s">
        <v>1943</v>
      </c>
      <c r="E188" s="286" t="s">
        <v>1948</v>
      </c>
      <c r="F188" s="286" t="s">
        <v>1972</v>
      </c>
      <c r="G188" s="286" t="n">
        <v>34</v>
      </c>
    </row>
    <row r="189" customFormat="false" ht="15" hidden="false" customHeight="false" outlineLevel="0" collapsed="false">
      <c r="A189" s="286" t="s">
        <v>1973</v>
      </c>
      <c r="B189" s="286" t="s">
        <v>1772</v>
      </c>
      <c r="C189" s="286" t="n">
        <v>5</v>
      </c>
      <c r="D189" s="286" t="s">
        <v>1943</v>
      </c>
      <c r="E189" s="286" t="s">
        <v>1948</v>
      </c>
      <c r="F189" s="286" t="s">
        <v>1442</v>
      </c>
      <c r="G189" s="286" t="n">
        <v>15</v>
      </c>
    </row>
    <row r="190" customFormat="false" ht="15" hidden="false" customHeight="false" outlineLevel="0" collapsed="false">
      <c r="A190" s="286" t="s">
        <v>1974</v>
      </c>
      <c r="B190" s="286" t="s">
        <v>1772</v>
      </c>
      <c r="C190" s="286" t="n">
        <v>5</v>
      </c>
      <c r="D190" s="286" t="s">
        <v>1943</v>
      </c>
      <c r="E190" s="286" t="s">
        <v>1964</v>
      </c>
      <c r="F190" s="286" t="s">
        <v>1975</v>
      </c>
      <c r="G190" s="286" t="s">
        <v>1976</v>
      </c>
    </row>
    <row r="191" customFormat="false" ht="15" hidden="false" customHeight="false" outlineLevel="0" collapsed="false">
      <c r="A191" s="286" t="s">
        <v>1977</v>
      </c>
      <c r="B191" s="286" t="s">
        <v>1781</v>
      </c>
      <c r="C191" s="286" t="n">
        <v>4</v>
      </c>
      <c r="D191" s="286" t="s">
        <v>1943</v>
      </c>
      <c r="E191" s="286" t="s">
        <v>1978</v>
      </c>
      <c r="F191" s="286" t="s">
        <v>1979</v>
      </c>
      <c r="G191" s="286" t="s">
        <v>1980</v>
      </c>
    </row>
    <row r="192" customFormat="false" ht="15" hidden="false" customHeight="false" outlineLevel="0" collapsed="false">
      <c r="A192" s="286" t="s">
        <v>1981</v>
      </c>
      <c r="B192" s="286" t="s">
        <v>1781</v>
      </c>
      <c r="C192" s="286" t="n">
        <v>3</v>
      </c>
      <c r="D192" s="286" t="s">
        <v>1943</v>
      </c>
      <c r="E192" s="286" t="s">
        <v>1959</v>
      </c>
      <c r="F192" s="286" t="s">
        <v>1975</v>
      </c>
      <c r="G192" s="286" t="n">
        <v>16</v>
      </c>
    </row>
    <row r="193" customFormat="false" ht="15" hidden="false" customHeight="false" outlineLevel="0" collapsed="false">
      <c r="A193" s="286" t="s">
        <v>1982</v>
      </c>
      <c r="B193" s="286" t="s">
        <v>1781</v>
      </c>
      <c r="C193" s="286" t="n">
        <v>2</v>
      </c>
      <c r="D193" s="286" t="s">
        <v>1943</v>
      </c>
      <c r="E193" s="286" t="s">
        <v>1959</v>
      </c>
      <c r="F193" s="286" t="s">
        <v>1972</v>
      </c>
      <c r="G193" s="286" t="s">
        <v>1983</v>
      </c>
    </row>
    <row r="194" customFormat="false" ht="15" hidden="false" customHeight="false" outlineLevel="0" collapsed="false">
      <c r="A194" s="286" t="s">
        <v>1984</v>
      </c>
      <c r="B194" s="286" t="s">
        <v>1757</v>
      </c>
      <c r="C194" s="286" t="n">
        <v>2</v>
      </c>
      <c r="D194" s="286" t="s">
        <v>1943</v>
      </c>
      <c r="E194" s="286" t="s">
        <v>1959</v>
      </c>
      <c r="F194" s="286" t="s">
        <v>1827</v>
      </c>
      <c r="G194" s="286" t="n">
        <v>22</v>
      </c>
    </row>
    <row r="195" customFormat="false" ht="15" hidden="false" customHeight="false" outlineLevel="0" collapsed="false">
      <c r="A195" s="286" t="s">
        <v>1985</v>
      </c>
      <c r="B195" s="286" t="s">
        <v>1757</v>
      </c>
      <c r="C195" s="286" t="n">
        <v>2</v>
      </c>
      <c r="D195" s="286" t="s">
        <v>1950</v>
      </c>
      <c r="E195" s="286" t="s">
        <v>1978</v>
      </c>
      <c r="F195" s="286" t="s">
        <v>1972</v>
      </c>
      <c r="G195" s="286" t="n">
        <v>38</v>
      </c>
    </row>
    <row r="196" customFormat="false" ht="15" hidden="false" customHeight="false" outlineLevel="0" collapsed="false">
      <c r="A196" s="286" t="s">
        <v>1986</v>
      </c>
      <c r="B196" s="286" t="s">
        <v>1757</v>
      </c>
      <c r="C196" s="286" t="n">
        <v>4</v>
      </c>
      <c r="D196" s="286" t="s">
        <v>1943</v>
      </c>
      <c r="E196" s="286" t="s">
        <v>1948</v>
      </c>
      <c r="F196" s="286" t="s">
        <v>1972</v>
      </c>
      <c r="G196" s="286" t="n">
        <v>32</v>
      </c>
    </row>
    <row r="197" customFormat="false" ht="15" hidden="false" customHeight="false" outlineLevel="0" collapsed="false">
      <c r="A197" s="286" t="s">
        <v>1987</v>
      </c>
      <c r="B197" s="286" t="s">
        <v>1781</v>
      </c>
      <c r="C197" s="286" t="n">
        <v>3</v>
      </c>
      <c r="D197" s="286" t="s">
        <v>1943</v>
      </c>
      <c r="E197" s="286" t="s">
        <v>1948</v>
      </c>
      <c r="F197" s="286" t="s">
        <v>99</v>
      </c>
      <c r="G197" s="286" t="n">
        <v>47</v>
      </c>
    </row>
    <row r="198" customFormat="false" ht="15" hidden="false" customHeight="false" outlineLevel="0" collapsed="false">
      <c r="A198" s="286" t="s">
        <v>1988</v>
      </c>
      <c r="B198" s="286" t="s">
        <v>1772</v>
      </c>
      <c r="C198" s="286" t="n">
        <v>3</v>
      </c>
      <c r="D198" s="286" t="s">
        <v>1950</v>
      </c>
      <c r="E198" s="286" t="s">
        <v>1948</v>
      </c>
      <c r="F198" s="286" t="s">
        <v>1785</v>
      </c>
      <c r="G198" s="286" t="n">
        <v>36</v>
      </c>
    </row>
    <row r="199" customFormat="false" ht="15" hidden="false" customHeight="false" outlineLevel="0" collapsed="false">
      <c r="A199" s="286" t="s">
        <v>1989</v>
      </c>
      <c r="B199" s="286" t="s">
        <v>1772</v>
      </c>
      <c r="C199" s="286" t="n">
        <v>3</v>
      </c>
      <c r="D199" s="286" t="s">
        <v>1943</v>
      </c>
      <c r="E199" s="286" t="s">
        <v>1944</v>
      </c>
      <c r="F199" s="286" t="s">
        <v>1442</v>
      </c>
      <c r="G199" s="286" t="n">
        <v>17</v>
      </c>
    </row>
    <row r="200" customFormat="false" ht="15" hidden="false" customHeight="false" outlineLevel="0" collapsed="false">
      <c r="A200" s="286" t="s">
        <v>1990</v>
      </c>
      <c r="B200" s="286" t="s">
        <v>1772</v>
      </c>
      <c r="C200" s="286" t="n">
        <v>2</v>
      </c>
      <c r="D200" s="286" t="s">
        <v>1950</v>
      </c>
      <c r="E200" s="286" t="s">
        <v>1944</v>
      </c>
      <c r="F200" s="286" t="s">
        <v>1785</v>
      </c>
      <c r="G200" s="286" t="s">
        <v>1991</v>
      </c>
    </row>
    <row r="201" customFormat="false" ht="15" hidden="false" customHeight="true" outlineLevel="0" collapsed="false">
      <c r="A201" s="288"/>
      <c r="B201" s="288"/>
      <c r="C201" s="288"/>
      <c r="D201" s="288"/>
      <c r="E201" s="288"/>
      <c r="F201" s="288"/>
      <c r="G201" s="288"/>
    </row>
    <row r="202" customFormat="false" ht="15" hidden="false" customHeight="true" outlineLevel="0" collapsed="false">
      <c r="A202" s="288"/>
      <c r="B202" s="288"/>
      <c r="C202" s="288"/>
      <c r="D202" s="288"/>
      <c r="E202" s="288"/>
      <c r="F202" s="288"/>
      <c r="G202" s="288"/>
    </row>
    <row r="203" customFormat="false" ht="15" hidden="false" customHeight="true" outlineLevel="0" collapsed="false">
      <c r="A203" s="298"/>
      <c r="B203" s="298"/>
      <c r="C203" s="298"/>
      <c r="D203" s="298"/>
      <c r="E203" s="298"/>
      <c r="F203" s="298"/>
      <c r="G203" s="298"/>
    </row>
    <row r="204" customFormat="false" ht="15" hidden="false" customHeight="true" outlineLevel="0" collapsed="false">
      <c r="A204" s="298"/>
      <c r="B204" s="298"/>
      <c r="C204" s="298"/>
      <c r="D204" s="298"/>
      <c r="E204" s="298"/>
      <c r="F204" s="298"/>
      <c r="G204" s="298"/>
    </row>
    <row r="205" customFormat="false" ht="15" hidden="false" customHeight="true" outlineLevel="0" collapsed="false">
      <c r="A205" s="285" t="s">
        <v>1992</v>
      </c>
      <c r="B205" s="300" t="s">
        <v>78</v>
      </c>
      <c r="C205" s="300"/>
      <c r="D205" s="300"/>
      <c r="E205" s="300"/>
      <c r="F205" s="300"/>
      <c r="G205" s="300"/>
    </row>
    <row r="206" customFormat="false" ht="15" hidden="false" customHeight="false" outlineLevel="0" collapsed="false">
      <c r="A206" s="286" t="s">
        <v>1994</v>
      </c>
      <c r="B206" s="296" t="n">
        <f aca="false">C61+Escenarios!$H$15</f>
        <v>0.1</v>
      </c>
      <c r="C206" s="302"/>
      <c r="D206" s="302"/>
      <c r="E206" s="302"/>
      <c r="F206" s="302"/>
      <c r="G206" s="302"/>
    </row>
    <row r="207" customFormat="false" ht="15" hidden="false" customHeight="false" outlineLevel="0" collapsed="false">
      <c r="A207" s="286" t="s">
        <v>1995</v>
      </c>
      <c r="B207" s="296" t="n">
        <f aca="false">G55</f>
        <v>0.288010101095701</v>
      </c>
      <c r="C207" s="302"/>
      <c r="D207" s="302"/>
      <c r="E207" s="302"/>
      <c r="F207" s="302"/>
      <c r="G207" s="302"/>
    </row>
    <row r="208" customFormat="false" ht="15" hidden="false" customHeight="false" outlineLevel="0" collapsed="false">
      <c r="A208" s="286" t="s">
        <v>1996</v>
      </c>
      <c r="B208" s="296" t="n">
        <f aca="false">B206*(1-B207)</f>
        <v>0.0711989898904299</v>
      </c>
      <c r="C208" s="302"/>
      <c r="D208" s="302"/>
      <c r="E208" s="302"/>
      <c r="F208" s="302"/>
      <c r="G208" s="302"/>
    </row>
    <row r="209" customFormat="false" ht="15" hidden="false" customHeight="false" outlineLevel="0" collapsed="false">
      <c r="A209" s="286" t="s">
        <v>1997</v>
      </c>
      <c r="B209" s="297" t="n">
        <f aca="false">B91+B92</f>
        <v>23618</v>
      </c>
      <c r="C209" s="302"/>
      <c r="D209" s="302"/>
      <c r="E209" s="302"/>
      <c r="F209" s="302"/>
      <c r="G209" s="302"/>
    </row>
    <row r="210" customFormat="false" ht="15" hidden="false" customHeight="false" outlineLevel="0" collapsed="false">
      <c r="A210" s="286" t="s">
        <v>1998</v>
      </c>
      <c r="B210" s="296" t="n">
        <f aca="false">WACC!B5+Escenarios!$H$14</f>
        <v>0.09517</v>
      </c>
      <c r="C210" s="302"/>
      <c r="D210" s="302"/>
      <c r="E210" s="302"/>
      <c r="F210" s="302"/>
      <c r="G210" s="302"/>
    </row>
    <row r="211" customFormat="false" ht="15" hidden="false" customHeight="false" outlineLevel="0" collapsed="false">
      <c r="A211" s="286" t="s">
        <v>1999</v>
      </c>
      <c r="B211" s="296" t="n">
        <f aca="false">WACC!B8</f>
        <v>0.0423</v>
      </c>
      <c r="C211" s="302"/>
      <c r="D211" s="302"/>
      <c r="E211" s="302"/>
      <c r="F211" s="302"/>
      <c r="G211" s="302"/>
    </row>
    <row r="212" customFormat="false" ht="15" hidden="false" customHeight="false" outlineLevel="0" collapsed="false">
      <c r="A212" s="286" t="s">
        <v>2700</v>
      </c>
      <c r="B212" s="337" t="n">
        <f aca="false">Escenarios!$H$16</f>
        <v>0.170520815748403</v>
      </c>
      <c r="C212" s="302"/>
      <c r="D212" s="302"/>
      <c r="E212" s="302"/>
      <c r="F212" s="302"/>
      <c r="G212" s="302"/>
    </row>
    <row r="213" customFormat="false" ht="15" hidden="false" customHeight="false" outlineLevel="0" collapsed="false">
      <c r="A213" s="285" t="s">
        <v>2001</v>
      </c>
      <c r="B213" s="300" t="s">
        <v>2002</v>
      </c>
      <c r="C213" s="300" t="s">
        <v>2003</v>
      </c>
      <c r="D213" s="300" t="s">
        <v>1412</v>
      </c>
      <c r="E213" s="300" t="s">
        <v>2004</v>
      </c>
      <c r="F213" s="300" t="s">
        <v>2005</v>
      </c>
      <c r="G213" s="300" t="s">
        <v>2006</v>
      </c>
    </row>
    <row r="214" customFormat="false" ht="15" hidden="false" customHeight="false" outlineLevel="0" collapsed="false">
      <c r="A214" s="286" t="s">
        <v>2007</v>
      </c>
      <c r="B214" s="296" t="n">
        <f aca="false">WACC!B33</f>
        <v>0.100615773284249</v>
      </c>
      <c r="C214" s="297" t="n">
        <f aca="false">SUMPRODUCT($C$117:$G$117,(1+B214)^(-$C$118:$G$118))+$G$117*(1+$B$123)/(B214-$B$123)*(1+B214)^-5+$B$141+$B$142+$B$143</f>
        <v>69583.6382895622</v>
      </c>
      <c r="D214" s="304" t="n">
        <f aca="false">$B$209/C214</f>
        <v>0.339418871742767</v>
      </c>
      <c r="E214" s="304" t="n">
        <f aca="false">$B$212*(1+(1-$B$207)*D214)</f>
        <v>0.211729354935023</v>
      </c>
      <c r="F214" s="296" t="n">
        <f aca="false">$B$210+E214*$B$211</f>
        <v>0.104126151713751</v>
      </c>
      <c r="G214" s="296" t="n">
        <f aca="false">C214/(C214+$B$209)*F214+$B$209/(C214+$B$209)*$B$208</f>
        <v>0.0957821598889822</v>
      </c>
    </row>
    <row r="215" customFormat="false" ht="15" hidden="false" customHeight="false" outlineLevel="0" collapsed="false">
      <c r="A215" s="286" t="n">
        <v>1</v>
      </c>
      <c r="B215" s="296" t="n">
        <f aca="false">G214</f>
        <v>0.0957821598889822</v>
      </c>
      <c r="C215" s="297" t="n">
        <f aca="false">SUMPRODUCT($C$117:$G$117,(1+B215)^(-$C$118:$G$118))+$G$117*(1+$B$123)/(B215-$B$123)*(1+B215)^-5+$B$141+$B$142+$B$143</f>
        <v>76139.9327716883</v>
      </c>
      <c r="D215" s="304" t="n">
        <f aca="false">$B$209/C215</f>
        <v>0.310192025921805</v>
      </c>
      <c r="E215" s="304" t="n">
        <f aca="false">$B$212*(1+(1-$B$207)*D215)</f>
        <v>0.208180949935825</v>
      </c>
      <c r="F215" s="296" t="n">
        <f aca="false">$B$210+E215*$B$211</f>
        <v>0.103976054182285</v>
      </c>
      <c r="G215" s="296" t="n">
        <f aca="false">C215/(C215+$B$209)*F215+$B$209/(C215+$B$209)*$B$208</f>
        <v>0.0962159825475137</v>
      </c>
    </row>
    <row r="216" customFormat="false" ht="15" hidden="false" customHeight="false" outlineLevel="0" collapsed="false">
      <c r="A216" s="286" t="n">
        <v>2</v>
      </c>
      <c r="B216" s="296" t="n">
        <f aca="false">G215</f>
        <v>0.0962159825475137</v>
      </c>
      <c r="C216" s="297" t="n">
        <f aca="false">SUMPRODUCT($C$117:$G$117,(1+B216)^(-$C$118:$G$118))+$G$117*(1+$B$123)/(B216-$B$123)*(1+B216)^-5+$B$141+$B$142+$B$143</f>
        <v>75509.2938225482</v>
      </c>
      <c r="D216" s="304" t="n">
        <f aca="false">$B$209/C216</f>
        <v>0.3127826894462</v>
      </c>
      <c r="E216" s="304" t="n">
        <f aca="false">$B$212*(1+(1-$B$207)*D216)</f>
        <v>0.208495480058491</v>
      </c>
      <c r="F216" s="296" t="n">
        <f aca="false">$B$210+E216*$B$211</f>
        <v>0.103989358806474</v>
      </c>
      <c r="G216" s="296" t="n">
        <f aca="false">C216/(C216+$B$209)*F216+$B$209/(C216+$B$209)*$B$208</f>
        <v>0.0961767483417368</v>
      </c>
    </row>
    <row r="217" customFormat="false" ht="15" hidden="false" customHeight="false" outlineLevel="0" collapsed="false">
      <c r="A217" s="286" t="n">
        <v>3</v>
      </c>
      <c r="B217" s="296" t="n">
        <f aca="false">G216</f>
        <v>0.0961767483417368</v>
      </c>
      <c r="C217" s="297" t="n">
        <f aca="false">SUMPRODUCT($C$117:$G$117,(1+B217)^(-$C$118:$G$118))+$G$117*(1+$B$123)/(B217-$B$123)*(1+B217)^-5+$B$141+$B$142+$B$143</f>
        <v>75565.9606305461</v>
      </c>
      <c r="D217" s="304" t="n">
        <f aca="false">$B$209/C217</f>
        <v>0.312548134145639</v>
      </c>
      <c r="E217" s="304" t="n">
        <f aca="false">$B$212*(1+(1-$B$207)*D217)</f>
        <v>0.208467002910933</v>
      </c>
      <c r="F217" s="296" t="n">
        <f aca="false">$B$210+E217*$B$211</f>
        <v>0.103988154223132</v>
      </c>
      <c r="G217" s="296" t="n">
        <f aca="false">C217/(C217+$B$209)*F217+$B$209/(C217+$B$209)*$B$208</f>
        <v>0.0961802941791641</v>
      </c>
    </row>
    <row r="218" customFormat="false" ht="15" hidden="false" customHeight="false" outlineLevel="0" collapsed="false">
      <c r="A218" s="286" t="n">
        <v>4</v>
      </c>
      <c r="B218" s="296" t="n">
        <f aca="false">G217</f>
        <v>0.0961802941791641</v>
      </c>
      <c r="C218" s="297" t="n">
        <f aca="false">SUMPRODUCT($C$117:$G$117,(1+B218)^(-$C$118:$G$118))+$G$117*(1+$B$123)/(B218-$B$123)*(1+B218)^-5+$B$141+$B$142+$B$143</f>
        <v>75560.8363197425</v>
      </c>
      <c r="D218" s="304" t="n">
        <f aca="false">$B$209/C218</f>
        <v>0.312569330228934</v>
      </c>
      <c r="E218" s="304" t="n">
        <f aca="false">$B$212*(1+(1-$B$207)*D218)</f>
        <v>0.208469576308294</v>
      </c>
      <c r="F218" s="296" t="n">
        <f aca="false">$B$210+E218*$B$211</f>
        <v>0.103988263077841</v>
      </c>
      <c r="G218" s="296" t="n">
        <f aca="false">C218/(C218+$B$209)*F218+$B$209/(C218+$B$209)*$B$208</f>
        <v>0.0961799737000181</v>
      </c>
    </row>
    <row r="219" customFormat="false" ht="15" hidden="false" customHeight="false" outlineLevel="0" collapsed="false">
      <c r="A219" s="286" t="n">
        <v>5</v>
      </c>
      <c r="B219" s="296" t="n">
        <f aca="false">G218</f>
        <v>0.0961799737000181</v>
      </c>
      <c r="C219" s="297" t="n">
        <f aca="false">SUMPRODUCT($C$117:$G$117,(1+B219)^(-$C$118:$G$118))+$G$117*(1+$B$123)/(B219-$B$123)*(1+B219)^-5+$B$141+$B$142+$B$143</f>
        <v>75561.2994397754</v>
      </c>
      <c r="D219" s="304" t="n">
        <f aca="false">$B$209/C219</f>
        <v>0.312567414471535</v>
      </c>
      <c r="E219" s="304" t="n">
        <f aca="false">$B$212*(1+(1-$B$207)*D219)</f>
        <v>0.208469343717916</v>
      </c>
      <c r="F219" s="296" t="n">
        <f aca="false">$B$210+E219*$B$211</f>
        <v>0.103988253239268</v>
      </c>
      <c r="G219" s="296" t="n">
        <f aca="false">C219/(C219+$B$209)*F219+$B$209/(C219+$B$209)*$B$208</f>
        <v>0.0961800026653353</v>
      </c>
    </row>
    <row r="220" customFormat="false" ht="15" hidden="false" customHeight="false" outlineLevel="0" collapsed="false">
      <c r="A220" s="285" t="s">
        <v>2008</v>
      </c>
      <c r="B220" s="338" t="n">
        <f aca="false">G219</f>
        <v>0.0961800026653353</v>
      </c>
      <c r="C220" s="300"/>
      <c r="D220" s="300"/>
      <c r="E220" s="300"/>
      <c r="F220" s="300"/>
      <c r="G220" s="300"/>
    </row>
    <row r="221" customFormat="false" ht="15" hidden="false" customHeight="false" outlineLevel="0" collapsed="false">
      <c r="A221" s="285" t="s">
        <v>2009</v>
      </c>
      <c r="B221" s="338" t="n">
        <f aca="false">F219</f>
        <v>0.103988253239268</v>
      </c>
      <c r="C221" s="300"/>
      <c r="D221" s="300"/>
      <c r="E221" s="300"/>
      <c r="F221" s="300"/>
      <c r="G221" s="300"/>
    </row>
    <row r="222" customFormat="false" ht="15" hidden="false" customHeight="false" outlineLevel="0" collapsed="false">
      <c r="A222" s="286" t="s">
        <v>2010</v>
      </c>
      <c r="B222" s="337" t="n">
        <f aca="false">(G219-G218)*10000</f>
        <v>0.000289653172280691</v>
      </c>
      <c r="C222" s="303"/>
      <c r="D222" s="303"/>
      <c r="E222" s="303"/>
      <c r="F222" s="303"/>
      <c r="G222" s="303"/>
    </row>
    <row r="223" customFormat="false" ht="15" hidden="false" customHeight="false" outlineLevel="0" collapsed="false">
      <c r="A223" s="339"/>
      <c r="B223" s="339"/>
      <c r="C223" s="339"/>
      <c r="D223" s="339"/>
      <c r="E223" s="339"/>
      <c r="F223" s="339"/>
      <c r="G223" s="339"/>
    </row>
    <row r="224" customFormat="false" ht="15" hidden="false" customHeight="false" outlineLevel="0" collapsed="false">
      <c r="A224" s="339"/>
      <c r="B224" s="339"/>
      <c r="C224" s="339"/>
      <c r="D224" s="339"/>
      <c r="E224" s="339"/>
      <c r="F224" s="339"/>
      <c r="G224" s="339"/>
    </row>
    <row r="225" customFormat="false" ht="15" hidden="false" customHeight="false" outlineLevel="0" collapsed="false">
      <c r="A225" s="285" t="s">
        <v>2011</v>
      </c>
      <c r="B225" s="300" t="s">
        <v>1</v>
      </c>
      <c r="C225" s="300" t="s">
        <v>2</v>
      </c>
      <c r="D225" s="300" t="s">
        <v>3</v>
      </c>
      <c r="E225" s="300" t="s">
        <v>4</v>
      </c>
      <c r="F225" s="300"/>
      <c r="G225" s="300"/>
    </row>
    <row r="226" customFormat="false" ht="15" hidden="false" customHeight="false" outlineLevel="0" collapsed="false">
      <c r="A226" s="286" t="s">
        <v>1409</v>
      </c>
      <c r="B226" s="297" t="n">
        <f aca="false">WACC!B18</f>
        <v>59580</v>
      </c>
      <c r="C226" s="297" t="n">
        <f aca="false">WACC!C18</f>
        <v>813622.604529617</v>
      </c>
      <c r="D226" s="297" t="n">
        <f aca="false">WACC!D18</f>
        <v>89246.0254200776</v>
      </c>
      <c r="E226" s="297" t="n">
        <f aca="false">WACC!E18</f>
        <v>34190</v>
      </c>
      <c r="F226" s="303"/>
      <c r="G226" s="303"/>
    </row>
    <row r="227" customFormat="false" ht="15" hidden="false" customHeight="false" outlineLevel="0" collapsed="false">
      <c r="A227" s="286" t="s">
        <v>2013</v>
      </c>
      <c r="B227" s="297" t="n">
        <f aca="false">WACC!B21</f>
        <v>23618</v>
      </c>
      <c r="C227" s="297" t="n">
        <f aca="false">WACC!C21</f>
        <v>80848.1</v>
      </c>
      <c r="D227" s="297" t="n">
        <f aca="false">WACC!D21</f>
        <v>56744.34</v>
      </c>
      <c r="E227" s="297" t="n">
        <f aca="false">WACC!E21</f>
        <v>2441.8</v>
      </c>
      <c r="F227" s="303"/>
      <c r="G227" s="303"/>
    </row>
    <row r="228" customFormat="false" ht="15" hidden="false" customHeight="false" outlineLevel="0" collapsed="false">
      <c r="A228" s="286" t="s">
        <v>2701</v>
      </c>
      <c r="B228" s="297" t="n">
        <f aca="false">-WACC!B22</f>
        <v>-9295</v>
      </c>
      <c r="C228" s="297" t="n">
        <f aca="false">-WACC!C22</f>
        <v>-28591.2</v>
      </c>
      <c r="D228" s="297" t="n">
        <f aca="false">-WACC!D22</f>
        <v>-14640.16</v>
      </c>
      <c r="E228" s="297" t="n">
        <f aca="false">-WACC!E22</f>
        <v>-2962.8</v>
      </c>
      <c r="F228" s="303"/>
      <c r="G228" s="303"/>
    </row>
    <row r="229" customFormat="false" ht="15" hidden="false" customHeight="false" outlineLevel="0" collapsed="false">
      <c r="A229" s="286" t="s">
        <v>2015</v>
      </c>
      <c r="B229" s="297" t="n">
        <f aca="false">SUM(B226:B228)</f>
        <v>73903</v>
      </c>
      <c r="C229" s="297" t="n">
        <f aca="false">SUM(C226:C228)</f>
        <v>865879.504529617</v>
      </c>
      <c r="D229" s="297" t="n">
        <f aca="false">SUM(D226:D228)</f>
        <v>131350.205420078</v>
      </c>
      <c r="E229" s="297" t="n">
        <f aca="false">SUM(E226:E228)</f>
        <v>33669</v>
      </c>
      <c r="F229" s="303"/>
      <c r="G229" s="303"/>
    </row>
    <row r="230" customFormat="false" ht="15" hidden="false" customHeight="false" outlineLevel="0" collapsed="false">
      <c r="A230" s="286" t="s">
        <v>2016</v>
      </c>
      <c r="B230" s="297" t="n">
        <f aca="false">Datos!G9+Datos!G14</f>
        <v>11894</v>
      </c>
      <c r="C230" s="297" t="n">
        <f aca="false">Datos!G35+Datos!G40</f>
        <v>103446.9</v>
      </c>
      <c r="D230" s="297" t="n">
        <f aca="false">Datos!G61+Datos!G66</f>
        <v>24391.15</v>
      </c>
      <c r="E230" s="297" t="n">
        <f aca="false">Datos!G87+Datos!G92</f>
        <v>5214.81481788325</v>
      </c>
      <c r="F230" s="303"/>
      <c r="G230" s="303"/>
    </row>
    <row r="231" customFormat="false" ht="15" hidden="false" customHeight="false" outlineLevel="0" collapsed="false">
      <c r="A231" s="285" t="s">
        <v>2017</v>
      </c>
      <c r="B231" s="340" t="n">
        <f aca="false">B229/B230</f>
        <v>6.21346897595426</v>
      </c>
      <c r="C231" s="340" t="n">
        <f aca="false">C229/C230</f>
        <v>8.37027986850855</v>
      </c>
      <c r="D231" s="340" t="n">
        <f aca="false">D229/D230</f>
        <v>5.38515836358997</v>
      </c>
      <c r="E231" s="340" t="n">
        <f aca="false">E229/E230</f>
        <v>6.45641334847373</v>
      </c>
      <c r="F231" s="341"/>
      <c r="G231" s="341"/>
    </row>
    <row r="232" customFormat="false" ht="15" hidden="false" customHeight="false" outlineLevel="0" collapsed="false">
      <c r="A232" s="286" t="s">
        <v>2018</v>
      </c>
      <c r="B232" s="342" t="n">
        <f aca="false">MEDIAN(C231:E231)</f>
        <v>6.45641334847373</v>
      </c>
      <c r="C232" s="302"/>
      <c r="D232" s="302"/>
      <c r="E232" s="302"/>
      <c r="F232" s="302"/>
      <c r="G232" s="302"/>
    </row>
    <row r="233" customFormat="false" ht="15" hidden="false" customHeight="false" outlineLevel="0" collapsed="false">
      <c r="A233" s="286" t="s">
        <v>2702</v>
      </c>
      <c r="B233" s="296" t="n">
        <v>0.1</v>
      </c>
      <c r="C233" s="302"/>
      <c r="D233" s="302"/>
      <c r="E233" s="302"/>
      <c r="F233" s="302"/>
      <c r="G233" s="302"/>
    </row>
    <row r="234" customFormat="false" ht="15" hidden="false" customHeight="false" outlineLevel="0" collapsed="false">
      <c r="A234" s="286" t="s">
        <v>2020</v>
      </c>
      <c r="B234" s="342" t="n">
        <f aca="false">B232*(1-B233)</f>
        <v>5.81077201362635</v>
      </c>
      <c r="C234" s="302"/>
      <c r="D234" s="302"/>
      <c r="E234" s="302"/>
      <c r="F234" s="302"/>
      <c r="G234" s="302"/>
    </row>
    <row r="235" customFormat="false" ht="15" hidden="false" customHeight="false" outlineLevel="0" collapsed="false">
      <c r="A235" s="286" t="s">
        <v>2021</v>
      </c>
      <c r="B235" s="297" t="n">
        <f aca="false">G71</f>
        <v>11797.4073524527</v>
      </c>
      <c r="C235" s="302"/>
      <c r="D235" s="302"/>
      <c r="E235" s="302"/>
      <c r="F235" s="302"/>
      <c r="G235" s="302"/>
    </row>
    <row r="236" customFormat="false" ht="15" hidden="false" customHeight="false" outlineLevel="0" collapsed="false">
      <c r="A236" s="285" t="s">
        <v>2022</v>
      </c>
      <c r="B236" s="301" t="n">
        <f aca="false">B234*B235</f>
        <v>68552.0444769818</v>
      </c>
      <c r="C236" s="302"/>
      <c r="D236" s="302"/>
      <c r="E236" s="302"/>
      <c r="F236" s="302"/>
      <c r="G236" s="302"/>
    </row>
    <row r="237" customFormat="false" ht="15" hidden="false" customHeight="false" outlineLevel="0" collapsed="false">
      <c r="A237" s="286" t="s">
        <v>2023</v>
      </c>
      <c r="B237" s="297" t="n">
        <f aca="false">B236*G119</f>
        <v>43312.279019216</v>
      </c>
      <c r="C237" s="302"/>
      <c r="D237" s="302"/>
      <c r="E237" s="302"/>
      <c r="F237" s="302"/>
      <c r="G237" s="302"/>
    </row>
    <row r="238" customFormat="false" ht="15" hidden="false" customHeight="false" outlineLevel="0" collapsed="false">
      <c r="A238" s="285" t="s">
        <v>2024</v>
      </c>
      <c r="B238" s="301" t="n">
        <f aca="false">B134+B237</f>
        <v>66999.6869808523</v>
      </c>
      <c r="C238" s="302"/>
      <c r="D238" s="302"/>
      <c r="E238" s="302"/>
      <c r="F238" s="302"/>
      <c r="G238" s="302"/>
    </row>
    <row r="239" customFormat="false" ht="15" hidden="false" customHeight="false" outlineLevel="0" collapsed="false">
      <c r="A239" s="286" t="s">
        <v>2025</v>
      </c>
      <c r="B239" s="297" t="n">
        <f aca="false">B238-B144</f>
        <v>52676.6869808523</v>
      </c>
      <c r="C239" s="302"/>
      <c r="D239" s="302"/>
      <c r="E239" s="302"/>
      <c r="F239" s="302"/>
      <c r="G239" s="302"/>
    </row>
    <row r="240" customFormat="false" ht="15" hidden="false" customHeight="false" outlineLevel="0" collapsed="false">
      <c r="A240" s="285" t="s">
        <v>2026</v>
      </c>
      <c r="B240" s="306" t="n">
        <f aca="false">B239/B149</f>
        <v>29.2648261004735</v>
      </c>
      <c r="C240" s="302"/>
      <c r="D240" s="302"/>
      <c r="E240" s="302"/>
      <c r="F240" s="302"/>
      <c r="G240" s="302"/>
    </row>
    <row r="241" customFormat="false" ht="15" hidden="false" customHeight="false" outlineLevel="0" collapsed="false">
      <c r="A241" s="286" t="s">
        <v>2027</v>
      </c>
      <c r="B241" s="342" t="n">
        <f aca="false">B129/G71</f>
        <v>8.88096424098817</v>
      </c>
      <c r="C241" s="302"/>
      <c r="D241" s="302"/>
      <c r="E241" s="302"/>
      <c r="F241" s="302"/>
      <c r="G241" s="302"/>
    </row>
    <row r="242" customFormat="false" ht="15" hidden="false" customHeight="false" outlineLevel="0" collapsed="false">
      <c r="A242" s="286" t="s">
        <v>2028</v>
      </c>
      <c r="B242" s="296" t="n">
        <f aca="false">(B236*B126-B127)/(B236+B127)</f>
        <v>0.00535318745419165</v>
      </c>
      <c r="C242" s="302"/>
      <c r="D242" s="302"/>
      <c r="E242" s="302"/>
      <c r="F242" s="302"/>
      <c r="G242" s="302"/>
    </row>
    <row r="243" customFormat="false" ht="15" hidden="false" customHeight="false" outlineLevel="0" collapsed="false">
      <c r="A243" s="286" t="s">
        <v>2029</v>
      </c>
      <c r="B243" s="296" t="n">
        <v>0.5</v>
      </c>
      <c r="C243" s="302"/>
      <c r="D243" s="302"/>
      <c r="E243" s="302"/>
      <c r="F243" s="302"/>
      <c r="G243" s="302"/>
    </row>
    <row r="244" customFormat="false" ht="15" hidden="false" customHeight="false" outlineLevel="0" collapsed="false">
      <c r="A244" s="286" t="s">
        <v>2030</v>
      </c>
      <c r="B244" s="296" t="n">
        <f aca="false">1-B243</f>
        <v>0.5</v>
      </c>
      <c r="C244" s="302"/>
      <c r="D244" s="302"/>
      <c r="E244" s="302"/>
      <c r="F244" s="302"/>
      <c r="G244" s="302"/>
    </row>
    <row r="245" customFormat="false" ht="15" hidden="false" customHeight="false" outlineLevel="0" collapsed="false">
      <c r="A245" s="286" t="s">
        <v>2031</v>
      </c>
      <c r="B245" s="297" t="n">
        <f aca="false">B243*B136+B244*B238</f>
        <v>78441.9722815223</v>
      </c>
      <c r="C245" s="302"/>
      <c r="D245" s="302"/>
      <c r="E245" s="302"/>
      <c r="F245" s="302"/>
      <c r="G245" s="302"/>
    </row>
    <row r="246" customFormat="false" ht="15" hidden="false" customHeight="false" outlineLevel="0" collapsed="false">
      <c r="A246" s="285" t="s">
        <v>2032</v>
      </c>
      <c r="B246" s="306" t="n">
        <f aca="false">B243*B150+B244*B240</f>
        <v>35.6216512675124</v>
      </c>
      <c r="C246" s="302"/>
      <c r="D246" s="302"/>
      <c r="E246" s="302"/>
      <c r="F246" s="302"/>
      <c r="G246" s="302"/>
    </row>
    <row r="247" customFormat="false" ht="15" hidden="false" customHeight="false" outlineLevel="0" collapsed="false">
      <c r="A247" s="339"/>
      <c r="B247" s="339"/>
      <c r="C247" s="339"/>
      <c r="D247" s="339"/>
      <c r="E247" s="339"/>
      <c r="F247" s="339"/>
      <c r="G247" s="339"/>
    </row>
    <row r="248" customFormat="false" ht="15" hidden="false" customHeight="false" outlineLevel="0" collapsed="false">
      <c r="A248" s="339"/>
      <c r="B248" s="339"/>
      <c r="C248" s="339"/>
      <c r="D248" s="339"/>
      <c r="E248" s="339"/>
      <c r="F248" s="339"/>
      <c r="G248" s="339"/>
    </row>
    <row r="249" customFormat="false" ht="15" hidden="false" customHeight="false" outlineLevel="0" collapsed="false">
      <c r="A249" s="285" t="s">
        <v>2033</v>
      </c>
      <c r="B249" s="300" t="s">
        <v>78</v>
      </c>
      <c r="C249" s="300"/>
      <c r="D249" s="300"/>
      <c r="E249" s="300"/>
      <c r="F249" s="300"/>
      <c r="G249" s="300"/>
    </row>
    <row r="250" customFormat="false" ht="15" hidden="false" customHeight="false" outlineLevel="0" collapsed="false">
      <c r="A250" s="286" t="s">
        <v>2035</v>
      </c>
      <c r="B250" s="343" t="n">
        <f aca="false">DATE(2025,12,31)</f>
        <v>46022</v>
      </c>
      <c r="C250" s="302"/>
      <c r="D250" s="302"/>
      <c r="E250" s="302"/>
      <c r="F250" s="302"/>
      <c r="G250" s="302"/>
    </row>
    <row r="251" customFormat="false" ht="15" hidden="false" customHeight="false" outlineLevel="0" collapsed="false">
      <c r="A251" s="286" t="s">
        <v>2036</v>
      </c>
      <c r="B251" s="343" t="n">
        <f aca="false">DATE(2026,6,30)</f>
        <v>46203</v>
      </c>
      <c r="C251" s="302"/>
      <c r="D251" s="302"/>
      <c r="E251" s="302"/>
      <c r="F251" s="302"/>
      <c r="G251" s="302"/>
    </row>
    <row r="252" customFormat="false" ht="15" hidden="false" customHeight="false" outlineLevel="0" collapsed="false">
      <c r="A252" s="286" t="s">
        <v>2037</v>
      </c>
      <c r="B252" s="343" t="n">
        <f aca="false">Rendimientos!H10</f>
        <v>46302</v>
      </c>
      <c r="C252" s="302"/>
      <c r="D252" s="302"/>
      <c r="E252" s="302"/>
      <c r="F252" s="302"/>
      <c r="G252" s="302"/>
    </row>
    <row r="253" customFormat="false" ht="15" hidden="false" customHeight="false" outlineLevel="0" collapsed="false">
      <c r="A253" s="286" t="s">
        <v>2038</v>
      </c>
      <c r="B253" s="337" t="n">
        <f aca="false">YEARFRAC(B250,B251)</f>
        <v>0.5</v>
      </c>
      <c r="C253" s="302"/>
      <c r="D253" s="302"/>
      <c r="E253" s="302"/>
      <c r="F253" s="302"/>
      <c r="G253" s="302"/>
    </row>
    <row r="254" customFormat="false" ht="15" hidden="false" customHeight="false" outlineLevel="0" collapsed="false">
      <c r="A254" s="286" t="s">
        <v>2039</v>
      </c>
      <c r="B254" s="337" t="n">
        <f aca="false">YEARFRAC(B251,B252)</f>
        <v>0.269444444444444</v>
      </c>
      <c r="C254" s="302"/>
      <c r="D254" s="302"/>
      <c r="E254" s="302"/>
      <c r="F254" s="302"/>
      <c r="G254" s="302"/>
    </row>
    <row r="255" customFormat="false" ht="15" hidden="false" customHeight="false" outlineLevel="0" collapsed="false">
      <c r="A255" s="286" t="s">
        <v>2040</v>
      </c>
      <c r="B255" s="297" t="n">
        <f aca="false">B245</f>
        <v>78441.9722815223</v>
      </c>
      <c r="C255" s="302"/>
      <c r="D255" s="302"/>
      <c r="E255" s="302"/>
      <c r="F255" s="302"/>
      <c r="G255" s="302"/>
    </row>
    <row r="256" customFormat="false" ht="15" hidden="false" customHeight="false" outlineLevel="0" collapsed="false">
      <c r="A256" s="286" t="s">
        <v>2671</v>
      </c>
      <c r="B256" s="297" t="n">
        <f aca="false">B255*(1+B126)^B253</f>
        <v>82127.6587212733</v>
      </c>
      <c r="C256" s="302"/>
      <c r="D256" s="302"/>
      <c r="E256" s="302"/>
      <c r="F256" s="302"/>
      <c r="G256" s="302"/>
    </row>
    <row r="257" customFormat="false" ht="15" hidden="false" customHeight="false" outlineLevel="0" collapsed="false">
      <c r="A257" s="286" t="s">
        <v>2672</v>
      </c>
      <c r="B257" s="297" t="n">
        <f aca="false">-((Datos!E15+Datos!F15)-(Datos!E16+Datos!F16))</f>
        <v>1060.497</v>
      </c>
      <c r="C257" s="302"/>
      <c r="D257" s="302"/>
      <c r="E257" s="302"/>
      <c r="F257" s="302"/>
      <c r="G257" s="302"/>
    </row>
    <row r="258" customFormat="false" ht="15" hidden="false" customHeight="false" outlineLevel="0" collapsed="false">
      <c r="A258" s="286" t="s">
        <v>2043</v>
      </c>
      <c r="B258" s="297" t="n">
        <f aca="false">B256+B257</f>
        <v>83188.1557212733</v>
      </c>
      <c r="C258" s="302"/>
      <c r="D258" s="302"/>
      <c r="E258" s="302"/>
      <c r="F258" s="302"/>
      <c r="G258" s="302"/>
    </row>
    <row r="259" customFormat="false" ht="15" hidden="false" customHeight="false" outlineLevel="0" collapsed="false">
      <c r="A259" s="286" t="s">
        <v>2258</v>
      </c>
      <c r="B259" s="297" t="n">
        <f aca="false">-(Datos!F25+Datos!F26)</f>
        <v>-11500</v>
      </c>
      <c r="C259" s="302"/>
      <c r="D259" s="302"/>
      <c r="E259" s="302"/>
      <c r="F259" s="302"/>
      <c r="G259" s="302"/>
    </row>
    <row r="260" customFormat="false" ht="15" hidden="false" customHeight="false" outlineLevel="0" collapsed="false">
      <c r="A260" s="286" t="s">
        <v>2259</v>
      </c>
      <c r="B260" s="297" t="n">
        <f aca="false">-(Datos!F27+Datos!F28)</f>
        <v>-12220.588</v>
      </c>
      <c r="C260" s="302"/>
      <c r="D260" s="302"/>
      <c r="E260" s="302"/>
      <c r="F260" s="302"/>
      <c r="G260" s="302"/>
    </row>
    <row r="261" customFormat="false" ht="15" hidden="false" customHeight="false" outlineLevel="0" collapsed="false">
      <c r="A261" s="286" t="s">
        <v>2046</v>
      </c>
      <c r="B261" s="297" t="n">
        <f aca="false">Datos!F17</f>
        <v>6875.384</v>
      </c>
      <c r="C261" s="302"/>
      <c r="D261" s="302"/>
      <c r="E261" s="302"/>
      <c r="F261" s="302"/>
      <c r="G261" s="302"/>
    </row>
    <row r="262" customFormat="false" ht="15" hidden="false" customHeight="false" outlineLevel="0" collapsed="false">
      <c r="A262" s="285" t="s">
        <v>2047</v>
      </c>
      <c r="B262" s="301" t="n">
        <f aca="false">SUM(B258:B261)</f>
        <v>66342.9517212733</v>
      </c>
      <c r="C262" s="302"/>
      <c r="D262" s="302"/>
      <c r="E262" s="302"/>
      <c r="F262" s="302"/>
      <c r="G262" s="302"/>
    </row>
    <row r="263" customFormat="false" ht="15" hidden="false" customHeight="false" outlineLevel="0" collapsed="false">
      <c r="A263" s="285" t="s">
        <v>2673</v>
      </c>
      <c r="B263" s="301" t="n">
        <f aca="false">B262*(1+B221)^B254</f>
        <v>68135.166760358</v>
      </c>
      <c r="C263" s="302"/>
      <c r="D263" s="302"/>
      <c r="E263" s="302"/>
      <c r="F263" s="302"/>
      <c r="G263" s="302"/>
    </row>
    <row r="264" customFormat="false" ht="15" hidden="false" customHeight="false" outlineLevel="0" collapsed="false">
      <c r="A264" s="286" t="s">
        <v>57</v>
      </c>
      <c r="B264" s="305" t="n">
        <f aca="false">B149</f>
        <v>1800</v>
      </c>
      <c r="C264" s="302"/>
      <c r="D264" s="302"/>
      <c r="E264" s="302"/>
      <c r="F264" s="302"/>
      <c r="G264" s="302"/>
    </row>
    <row r="265" customFormat="false" ht="15" hidden="false" customHeight="false" outlineLevel="0" collapsed="false">
      <c r="A265" s="285" t="s">
        <v>2049</v>
      </c>
      <c r="B265" s="306" t="n">
        <f aca="false">B263/B264</f>
        <v>37.8528704224211</v>
      </c>
      <c r="C265" s="302"/>
      <c r="D265" s="302"/>
      <c r="E265" s="302"/>
      <c r="F265" s="302"/>
      <c r="G265" s="302"/>
    </row>
    <row r="266" customFormat="false" ht="15" hidden="false" customHeight="false" outlineLevel="0" collapsed="false">
      <c r="A266" s="286" t="s">
        <v>16</v>
      </c>
      <c r="B266" s="307" t="n">
        <f aca="false">B151</f>
        <v>33.1</v>
      </c>
      <c r="C266" s="302"/>
      <c r="D266" s="302"/>
      <c r="E266" s="302"/>
      <c r="F266" s="302"/>
      <c r="G266" s="302"/>
    </row>
    <row r="267" customFormat="false" ht="15" hidden="false" customHeight="false" outlineLevel="0" collapsed="false">
      <c r="A267" s="286" t="s">
        <v>17</v>
      </c>
      <c r="B267" s="295" t="n">
        <f aca="false">B265/B266-1</f>
        <v>0.143591251432662</v>
      </c>
      <c r="C267" s="302"/>
      <c r="D267" s="302"/>
      <c r="E267" s="302"/>
      <c r="F267" s="302"/>
      <c r="G267" s="302"/>
    </row>
    <row r="268" customFormat="false" ht="15" hidden="false" customHeight="false" outlineLevel="0" collapsed="false">
      <c r="A268" s="285" t="s">
        <v>2050</v>
      </c>
      <c r="B268" s="338" t="str">
        <f aca="false">IF(B267&gt;B155,"COMPRAR",IF(B267&lt;-B155,"VENDER","MANTENER"))</f>
        <v>MANTENER</v>
      </c>
      <c r="C268" s="302"/>
      <c r="D268" s="302"/>
      <c r="E268" s="302"/>
      <c r="F268" s="302"/>
      <c r="G268" s="302"/>
    </row>
    <row r="269" customFormat="false" ht="15" hidden="false" customHeight="false" outlineLevel="0" collapsed="false">
      <c r="A269" s="286" t="s">
        <v>18</v>
      </c>
      <c r="B269" s="307" t="n">
        <f aca="false">Generales!B24</f>
        <v>23.357</v>
      </c>
      <c r="C269" s="302"/>
      <c r="D269" s="302"/>
      <c r="E269" s="302"/>
      <c r="F269" s="302"/>
      <c r="G269" s="302"/>
    </row>
    <row r="270" customFormat="false" ht="15" hidden="false" customHeight="false" outlineLevel="0" collapsed="false">
      <c r="A270" s="286" t="s">
        <v>2051</v>
      </c>
      <c r="B270" s="295" t="n">
        <f aca="false">B265/B269-1</f>
        <v>0.620622101400912</v>
      </c>
      <c r="C270" s="302"/>
      <c r="D270" s="302"/>
      <c r="E270" s="302"/>
      <c r="F270" s="302"/>
      <c r="G270" s="30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6796875" defaultRowHeight="15" zeroHeight="false" outlineLevelRow="0" outlineLevelCol="0"/>
  <cols>
    <col collapsed="false" customWidth="true" hidden="false" outlineLevel="0" max="1" min="1" style="0" width="61.16"/>
    <col collapsed="false" customWidth="true" hidden="false" outlineLevel="0" max="7" min="2" style="0" width="17.5"/>
  </cols>
  <sheetData>
    <row r="1" customFormat="false" ht="15" hidden="false" customHeight="true" outlineLevel="0" collapsed="false">
      <c r="A1" s="344" t="s">
        <v>2705</v>
      </c>
      <c r="B1" s="345"/>
      <c r="C1" s="345"/>
      <c r="D1" s="345"/>
      <c r="E1" s="345"/>
      <c r="F1" s="345"/>
      <c r="G1" s="345"/>
    </row>
    <row r="2" customFormat="false" ht="15" hidden="false" customHeight="true" outlineLevel="0" collapsed="false">
      <c r="A2" s="346" t="s">
        <v>2675</v>
      </c>
      <c r="B2" s="345"/>
      <c r="C2" s="345"/>
      <c r="D2" s="345"/>
      <c r="E2" s="345"/>
      <c r="F2" s="345"/>
      <c r="G2" s="345"/>
    </row>
    <row r="3" customFormat="false" ht="15" hidden="false" customHeight="true" outlineLevel="0" collapsed="false">
      <c r="A3" s="347"/>
      <c r="B3" s="345"/>
      <c r="C3" s="345"/>
      <c r="D3" s="345"/>
      <c r="E3" s="345"/>
      <c r="F3" s="345"/>
      <c r="G3" s="345"/>
    </row>
    <row r="4" customFormat="false" ht="15" hidden="false" customHeight="true" outlineLevel="0" collapsed="false">
      <c r="A4" s="345"/>
      <c r="B4" s="345"/>
      <c r="C4" s="345"/>
      <c r="D4" s="345"/>
      <c r="E4" s="345"/>
      <c r="F4" s="345"/>
      <c r="G4" s="345"/>
    </row>
    <row r="5" customFormat="false" ht="15" hidden="false" customHeight="true" outlineLevel="0" collapsed="false">
      <c r="A5" s="285" t="s">
        <v>1831</v>
      </c>
      <c r="B5" s="285" t="s">
        <v>1428</v>
      </c>
      <c r="C5" s="285" t="s">
        <v>1429</v>
      </c>
      <c r="D5" s="285" t="s">
        <v>1430</v>
      </c>
      <c r="E5" s="285" t="s">
        <v>1431</v>
      </c>
      <c r="F5" s="285" t="s">
        <v>1432</v>
      </c>
      <c r="G5" s="285" t="s">
        <v>1433</v>
      </c>
    </row>
    <row r="6" customFormat="false" ht="15" hidden="false" customHeight="true" outlineLevel="0" collapsed="false">
      <c r="A6" s="286" t="s">
        <v>1833</v>
      </c>
      <c r="B6" s="286"/>
      <c r="C6" s="287" t="n">
        <v>0.7</v>
      </c>
      <c r="D6" s="287" t="n">
        <v>0.7</v>
      </c>
      <c r="E6" s="287" t="n">
        <v>0.75</v>
      </c>
      <c r="F6" s="287" t="n">
        <v>0.8</v>
      </c>
      <c r="G6" s="287" t="n">
        <v>0.85</v>
      </c>
    </row>
    <row r="7" customFormat="false" ht="15" hidden="false" customHeight="true" outlineLevel="0" collapsed="false">
      <c r="A7" s="286" t="s">
        <v>1834</v>
      </c>
      <c r="B7" s="286"/>
      <c r="C7" s="287" t="n">
        <f aca="false">1-C6</f>
        <v>0.3</v>
      </c>
      <c r="D7" s="287" t="n">
        <f aca="false">1-D6</f>
        <v>0.3</v>
      </c>
      <c r="E7" s="287" t="n">
        <f aca="false">1-E6</f>
        <v>0.25</v>
      </c>
      <c r="F7" s="287" t="n">
        <f aca="false">1-F6</f>
        <v>0.2</v>
      </c>
      <c r="G7" s="287" t="n">
        <f aca="false">1-G6</f>
        <v>0.15</v>
      </c>
    </row>
    <row r="8" customFormat="false" ht="15" hidden="false" customHeight="true" outlineLevel="0" collapsed="false">
      <c r="A8" s="288"/>
      <c r="B8" s="288"/>
      <c r="C8" s="288"/>
      <c r="D8" s="288"/>
      <c r="E8" s="288"/>
      <c r="F8" s="288"/>
      <c r="G8" s="288"/>
    </row>
    <row r="9" customFormat="false" ht="15" hidden="false" customHeight="true" outlineLevel="0" collapsed="false">
      <c r="A9" s="285" t="s">
        <v>1835</v>
      </c>
      <c r="B9" s="285" t="s">
        <v>1428</v>
      </c>
      <c r="C9" s="285" t="s">
        <v>1429</v>
      </c>
      <c r="D9" s="285" t="s">
        <v>1430</v>
      </c>
      <c r="E9" s="285" t="s">
        <v>1431</v>
      </c>
      <c r="F9" s="285" t="s">
        <v>1432</v>
      </c>
      <c r="G9" s="285" t="s">
        <v>1433</v>
      </c>
    </row>
    <row r="10" customFormat="false" ht="15" hidden="false" customHeight="true" outlineLevel="0" collapsed="false">
      <c r="A10" s="286" t="s">
        <v>1837</v>
      </c>
      <c r="B10" s="286"/>
      <c r="C10" s="289" t="n">
        <f aca="false">Escenarios!$I$7</f>
        <v>0.0351</v>
      </c>
      <c r="D10" s="289" t="n">
        <f aca="false">Escenarios!$I$7</f>
        <v>0.0351</v>
      </c>
      <c r="E10" s="289" t="n">
        <f aca="false">Escenarios!$I$7</f>
        <v>0.0351</v>
      </c>
      <c r="F10" s="289" t="n">
        <f aca="false">Escenarios!$I$7</f>
        <v>0.0351</v>
      </c>
      <c r="G10" s="289" t="n">
        <f aca="false">Escenarios!$I$7</f>
        <v>0.0351</v>
      </c>
    </row>
    <row r="11" customFormat="false" ht="15" hidden="false" customHeight="true" outlineLevel="0" collapsed="false">
      <c r="A11" s="286" t="s">
        <v>1838</v>
      </c>
      <c r="B11" s="286"/>
      <c r="C11" s="289" t="n">
        <v>0.014</v>
      </c>
      <c r="D11" s="289" t="n">
        <v>0.018</v>
      </c>
      <c r="E11" s="289" t="n">
        <v>0.02</v>
      </c>
      <c r="F11" s="289" t="n">
        <v>0.02</v>
      </c>
      <c r="G11" s="289" t="n">
        <v>0.02</v>
      </c>
    </row>
    <row r="12" customFormat="false" ht="15" hidden="false" customHeight="true" outlineLevel="0" collapsed="false">
      <c r="A12" s="286" t="s">
        <v>1839</v>
      </c>
      <c r="B12" s="286"/>
      <c r="C12" s="290" t="n">
        <v>0.5</v>
      </c>
      <c r="D12" s="290" t="n">
        <v>0.5</v>
      </c>
      <c r="E12" s="290" t="n">
        <v>0.5</v>
      </c>
      <c r="F12" s="290" t="n">
        <v>0.5</v>
      </c>
      <c r="G12" s="290" t="n">
        <v>0.5</v>
      </c>
    </row>
    <row r="13" customFormat="false" ht="15" hidden="false" customHeight="true" outlineLevel="0" collapsed="false">
      <c r="A13" s="286" t="s">
        <v>1840</v>
      </c>
      <c r="B13" s="286"/>
      <c r="C13" s="289" t="n">
        <v>-0.04</v>
      </c>
      <c r="D13" s="289" t="n">
        <v>-0.015</v>
      </c>
      <c r="E13" s="289" t="n">
        <v>-0.005</v>
      </c>
      <c r="F13" s="289" t="n">
        <v>0</v>
      </c>
      <c r="G13" s="289" t="n">
        <v>0</v>
      </c>
    </row>
    <row r="14" customFormat="false" ht="15" hidden="false" customHeight="true" outlineLevel="0" collapsed="false">
      <c r="A14" s="285" t="s">
        <v>1841</v>
      </c>
      <c r="B14" s="285"/>
      <c r="C14" s="291" t="n">
        <f aca="false">C10+C11*C12+C13</f>
        <v>0.0021</v>
      </c>
      <c r="D14" s="291" t="n">
        <f aca="false">D10+D11*D12+D13</f>
        <v>0.0291</v>
      </c>
      <c r="E14" s="291" t="n">
        <f aca="false">E10+E11*E12+E13</f>
        <v>0.0401</v>
      </c>
      <c r="F14" s="291" t="n">
        <f aca="false">F10+F11*F12+F13</f>
        <v>0.0451</v>
      </c>
      <c r="G14" s="291" t="n">
        <f aca="false">G10+G11*G12+G13</f>
        <v>0.0451</v>
      </c>
    </row>
    <row r="15" customFormat="false" ht="15" hidden="false" customHeight="true" outlineLevel="0" collapsed="false">
      <c r="A15" s="286" t="s">
        <v>2676</v>
      </c>
      <c r="B15" s="286"/>
      <c r="C15" s="289" t="n">
        <v>-0.03</v>
      </c>
      <c r="D15" s="289" t="n">
        <v>-0.02</v>
      </c>
      <c r="E15" s="289" t="n">
        <v>-0.0125</v>
      </c>
      <c r="F15" s="289" t="n">
        <v>-0.01</v>
      </c>
      <c r="G15" s="289" t="n">
        <v>-0.0075</v>
      </c>
    </row>
    <row r="16" customFormat="false" ht="15" hidden="false" customHeight="true" outlineLevel="0" collapsed="false">
      <c r="A16" s="286" t="s">
        <v>2677</v>
      </c>
      <c r="B16" s="286"/>
      <c r="C16" s="289" t="n">
        <v>-0.01</v>
      </c>
      <c r="D16" s="289" t="n">
        <v>-0.005</v>
      </c>
      <c r="E16" s="289" t="n">
        <v>0</v>
      </c>
      <c r="F16" s="289" t="n">
        <v>0</v>
      </c>
      <c r="G16" s="289" t="n">
        <v>0</v>
      </c>
    </row>
    <row r="17" customFormat="false" ht="15" hidden="false" customHeight="true" outlineLevel="0" collapsed="false">
      <c r="A17" s="286" t="s">
        <v>2678</v>
      </c>
      <c r="B17" s="286"/>
      <c r="C17" s="289" t="n">
        <v>-0.003</v>
      </c>
      <c r="D17" s="289" t="n">
        <v>-0.002</v>
      </c>
      <c r="E17" s="289" t="n">
        <v>-0.001</v>
      </c>
      <c r="F17" s="289" t="n">
        <v>0</v>
      </c>
      <c r="G17" s="289" t="n">
        <v>0</v>
      </c>
    </row>
    <row r="18" customFormat="false" ht="15" hidden="false" customHeight="true" outlineLevel="0" collapsed="false">
      <c r="A18" s="286" t="s">
        <v>2679</v>
      </c>
      <c r="B18" s="286"/>
      <c r="C18" s="289" t="n">
        <v>-0.002</v>
      </c>
      <c r="D18" s="289" t="n">
        <v>-0.003</v>
      </c>
      <c r="E18" s="289" t="n">
        <v>-0.001</v>
      </c>
      <c r="F18" s="289" t="n">
        <v>0</v>
      </c>
      <c r="G18" s="289" t="n">
        <v>0</v>
      </c>
    </row>
    <row r="19" customFormat="false" ht="15" hidden="false" customHeight="true" outlineLevel="0" collapsed="false">
      <c r="A19" s="286" t="s">
        <v>2680</v>
      </c>
      <c r="B19" s="286"/>
      <c r="C19" s="289" t="n">
        <v>0.002</v>
      </c>
      <c r="D19" s="289" t="n">
        <v>0.003</v>
      </c>
      <c r="E19" s="289" t="n">
        <v>0.003</v>
      </c>
      <c r="F19" s="289" t="n">
        <v>0.002</v>
      </c>
      <c r="G19" s="289" t="n">
        <v>0.002</v>
      </c>
    </row>
    <row r="20" customFormat="false" ht="15" hidden="false" customHeight="true" outlineLevel="0" collapsed="false">
      <c r="A20" s="286" t="s">
        <v>2681</v>
      </c>
      <c r="B20" s="286"/>
      <c r="C20" s="289" t="n">
        <v>0.003</v>
      </c>
      <c r="D20" s="289" t="n">
        <v>0.004</v>
      </c>
      <c r="E20" s="289" t="n">
        <v>0.005</v>
      </c>
      <c r="F20" s="289" t="n">
        <v>0.005</v>
      </c>
      <c r="G20" s="289" t="n">
        <v>0.005</v>
      </c>
    </row>
    <row r="21" customFormat="false" ht="15" hidden="false" customHeight="true" outlineLevel="0" collapsed="false">
      <c r="A21" s="286" t="s">
        <v>2682</v>
      </c>
      <c r="B21" s="286"/>
      <c r="C21" s="289" t="n">
        <v>-0.002</v>
      </c>
      <c r="D21" s="289" t="n">
        <v>-0.002</v>
      </c>
      <c r="E21" s="289" t="n">
        <v>-0.001</v>
      </c>
      <c r="F21" s="289" t="n">
        <v>0</v>
      </c>
      <c r="G21" s="289" t="n">
        <v>0</v>
      </c>
    </row>
    <row r="22" customFormat="false" ht="15" hidden="false" customHeight="true" outlineLevel="0" collapsed="false">
      <c r="A22" s="286" t="s">
        <v>2683</v>
      </c>
      <c r="B22" s="286"/>
      <c r="C22" s="289" t="n">
        <v>0.001</v>
      </c>
      <c r="D22" s="289" t="n">
        <v>0.002</v>
      </c>
      <c r="E22" s="289" t="n">
        <v>0.002</v>
      </c>
      <c r="F22" s="289" t="n">
        <v>0.002</v>
      </c>
      <c r="G22" s="289" t="n">
        <v>0.002</v>
      </c>
    </row>
    <row r="23" customFormat="false" ht="15" hidden="false" customHeight="true" outlineLevel="0" collapsed="false">
      <c r="A23" s="285" t="s">
        <v>1850</v>
      </c>
      <c r="B23" s="285"/>
      <c r="C23" s="291" t="n">
        <f aca="false">C14+SUM(C15:C22)+Escenarios!$I$8</f>
        <v>-0.0289</v>
      </c>
      <c r="D23" s="291" t="n">
        <f aca="false">D14+SUM(D15:D22)+Escenarios!$I$8</f>
        <v>0.0161</v>
      </c>
      <c r="E23" s="291" t="n">
        <f aca="false">E14+SUM(E15:E22)+Escenarios!$I$8</f>
        <v>0.0446</v>
      </c>
      <c r="F23" s="291" t="n">
        <f aca="false">F14+SUM(F15:F22)+Escenarios!$I$8</f>
        <v>0.0541</v>
      </c>
      <c r="G23" s="291" t="n">
        <f aca="false">G14+SUM(G15:G22)+Escenarios!$I$8</f>
        <v>0.0566</v>
      </c>
    </row>
    <row r="24" customFormat="false" ht="15" hidden="false" customHeight="true" outlineLevel="0" collapsed="false">
      <c r="A24" s="288"/>
      <c r="B24" s="288"/>
      <c r="C24" s="288"/>
      <c r="D24" s="288"/>
      <c r="E24" s="288"/>
      <c r="F24" s="288"/>
      <c r="G24" s="288"/>
    </row>
    <row r="25" customFormat="false" ht="15" hidden="false" customHeight="true" outlineLevel="0" collapsed="false">
      <c r="A25" s="285" t="s">
        <v>1851</v>
      </c>
      <c r="B25" s="285" t="s">
        <v>1428</v>
      </c>
      <c r="C25" s="285" t="s">
        <v>1429</v>
      </c>
      <c r="D25" s="285" t="s">
        <v>1430</v>
      </c>
      <c r="E25" s="285" t="s">
        <v>1431</v>
      </c>
      <c r="F25" s="285" t="s">
        <v>1432</v>
      </c>
      <c r="G25" s="285" t="s">
        <v>1433</v>
      </c>
    </row>
    <row r="26" customFormat="false" ht="15" hidden="false" customHeight="true" outlineLevel="0" collapsed="false">
      <c r="A26" s="286" t="s">
        <v>1852</v>
      </c>
      <c r="B26" s="292" t="n">
        <f aca="false">'MC Soriana'!G6</f>
        <v>174278</v>
      </c>
      <c r="C26" s="292" t="n">
        <f aca="false">'MC Soriana'!F6</f>
        <v>163936.6</v>
      </c>
      <c r="D26" s="292" t="n">
        <f aca="false">C26+16*('MC Soriana'!$C$6-'MC Soriana'!$B$6)</f>
        <v>153151</v>
      </c>
      <c r="E26" s="292" t="n">
        <f aca="false">D26+16*('MC Soriana'!$C$6-'MC Soriana'!$B$6)</f>
        <v>142365.4</v>
      </c>
      <c r="F26" s="292" t="n">
        <f aca="false">E26+16*('MC Soriana'!$C$6-'MC Soriana'!$B$6)</f>
        <v>131579.8</v>
      </c>
      <c r="G26" s="292" t="n">
        <f aca="false">F26+16*('MC Soriana'!$C$6-'MC Soriana'!$B$6)</f>
        <v>120794.2</v>
      </c>
    </row>
    <row r="27" customFormat="false" ht="15" hidden="false" customHeight="true" outlineLevel="0" collapsed="false">
      <c r="A27" s="286" t="s">
        <v>1853</v>
      </c>
      <c r="B27" s="286"/>
      <c r="C27" s="287" t="n">
        <f aca="false">C26/B26-1</f>
        <v>-0.0593385280987848</v>
      </c>
      <c r="D27" s="287" t="n">
        <f aca="false">D26/C26-1</f>
        <v>-0.0657912876075262</v>
      </c>
      <c r="E27" s="287" t="n">
        <f aca="false">E26/D26-1</f>
        <v>-0.0704246136166266</v>
      </c>
      <c r="F27" s="287" t="n">
        <f aca="false">F26/E26-1</f>
        <v>-0.0757599810066209</v>
      </c>
      <c r="G27" s="287" t="n">
        <f aca="false">G26/F26-1</f>
        <v>-0.0819700288342129</v>
      </c>
    </row>
    <row r="28" customFormat="false" ht="15" hidden="false" customHeight="true" outlineLevel="0" collapsed="false">
      <c r="A28" s="285" t="s">
        <v>1854</v>
      </c>
      <c r="B28" s="285"/>
      <c r="C28" s="293" t="n">
        <f aca="false">C$6*C23+C$7*C27</f>
        <v>-0.0380315584296354</v>
      </c>
      <c r="D28" s="293" t="n">
        <f aca="false">D$6*D23+D$7*D27</f>
        <v>-0.00846738628225785</v>
      </c>
      <c r="E28" s="293" t="n">
        <f aca="false">E$6*E23+E$7*E27</f>
        <v>0.0158438465958434</v>
      </c>
      <c r="F28" s="293" t="n">
        <f aca="false">F$6*F23+F$7*F27</f>
        <v>0.0281280037986758</v>
      </c>
      <c r="G28" s="293" t="n">
        <f aca="false">G$6*G23+G$7*G27</f>
        <v>0.0358144956748681</v>
      </c>
    </row>
    <row r="29" customFormat="false" ht="15" hidden="false" customHeight="true" outlineLevel="0" collapsed="false">
      <c r="A29" s="288"/>
      <c r="B29" s="288"/>
      <c r="C29" s="288"/>
      <c r="D29" s="288"/>
      <c r="E29" s="288"/>
      <c r="F29" s="288"/>
      <c r="G29" s="288"/>
    </row>
    <row r="30" customFormat="false" ht="15" hidden="false" customHeight="true" outlineLevel="0" collapsed="false">
      <c r="A30" s="285" t="s">
        <v>1855</v>
      </c>
      <c r="B30" s="285" t="s">
        <v>1428</v>
      </c>
      <c r="C30" s="285" t="s">
        <v>1429</v>
      </c>
      <c r="D30" s="285" t="s">
        <v>1430</v>
      </c>
      <c r="E30" s="285" t="s">
        <v>1431</v>
      </c>
      <c r="F30" s="285" t="s">
        <v>1432</v>
      </c>
      <c r="G30" s="285" t="s">
        <v>1433</v>
      </c>
    </row>
    <row r="31" customFormat="false" ht="15" hidden="false" customHeight="true" outlineLevel="0" collapsed="false">
      <c r="A31" s="286" t="s">
        <v>1857</v>
      </c>
      <c r="B31" s="289" t="n">
        <f aca="false">Valuación!B10</f>
        <v>0.042542883699969</v>
      </c>
      <c r="C31" s="289" t="n">
        <f aca="false">B31+SUM(C32:C39)</f>
        <v>0.043742883699969</v>
      </c>
      <c r="D31" s="289" t="n">
        <f aca="false">C31+SUM(D32:D39)</f>
        <v>0.043442883699969</v>
      </c>
      <c r="E31" s="289" t="n">
        <f aca="false">D31+SUM(E32:E39)</f>
        <v>0.043742883699969</v>
      </c>
      <c r="F31" s="289" t="n">
        <f aca="false">E31+SUM(F32:F39)</f>
        <v>0.044042883699969</v>
      </c>
      <c r="G31" s="289" t="n">
        <f aca="false">F31+SUM(G32:G39)</f>
        <v>0.044342883699969</v>
      </c>
    </row>
    <row r="32" customFormat="false" ht="15" hidden="false" customHeight="true" outlineLevel="0" collapsed="false">
      <c r="A32" s="286" t="s">
        <v>2684</v>
      </c>
      <c r="B32" s="289"/>
      <c r="C32" s="289" t="n">
        <v>0.0055</v>
      </c>
      <c r="D32" s="289" t="n">
        <v>0.003</v>
      </c>
      <c r="E32" s="289" t="n">
        <v>0.002</v>
      </c>
      <c r="F32" s="289" t="n">
        <v>0.001</v>
      </c>
      <c r="G32" s="289" t="n">
        <v>0.001</v>
      </c>
    </row>
    <row r="33" customFormat="false" ht="15" hidden="false" customHeight="true" outlineLevel="0" collapsed="false">
      <c r="A33" s="286" t="s">
        <v>2685</v>
      </c>
      <c r="B33" s="289"/>
      <c r="C33" s="289" t="n">
        <v>-0.001</v>
      </c>
      <c r="D33" s="289" t="n">
        <v>-0.0015</v>
      </c>
      <c r="E33" s="289" t="n">
        <v>-0.0015</v>
      </c>
      <c r="F33" s="289" t="n">
        <v>-0.001</v>
      </c>
      <c r="G33" s="289" t="n">
        <v>-0.001</v>
      </c>
    </row>
    <row r="34" customFormat="false" ht="15" hidden="false" customHeight="true" outlineLevel="0" collapsed="false">
      <c r="A34" s="286" t="s">
        <v>2686</v>
      </c>
      <c r="B34" s="289"/>
      <c r="C34" s="289" t="n">
        <v>-0.0015</v>
      </c>
      <c r="D34" s="289" t="n">
        <v>-0.001</v>
      </c>
      <c r="E34" s="289" t="n">
        <v>-0.001</v>
      </c>
      <c r="F34" s="289" t="n">
        <v>-0.0005</v>
      </c>
      <c r="G34" s="289" t="n">
        <v>0</v>
      </c>
    </row>
    <row r="35" customFormat="false" ht="15" hidden="false" customHeight="true" outlineLevel="0" collapsed="false">
      <c r="A35" s="286" t="s">
        <v>2687</v>
      </c>
      <c r="B35" s="289"/>
      <c r="C35" s="289" t="n">
        <v>-0.0005</v>
      </c>
      <c r="D35" s="289" t="n">
        <v>-0.0005</v>
      </c>
      <c r="E35" s="289" t="n">
        <v>0</v>
      </c>
      <c r="F35" s="289" t="n">
        <v>0</v>
      </c>
      <c r="G35" s="289" t="n">
        <v>0</v>
      </c>
    </row>
    <row r="36" customFormat="false" ht="15" hidden="false" customHeight="true" outlineLevel="0" collapsed="false">
      <c r="A36" s="286" t="s">
        <v>2688</v>
      </c>
      <c r="B36" s="289"/>
      <c r="C36" s="289" t="n">
        <v>-0.0005</v>
      </c>
      <c r="D36" s="289" t="n">
        <v>-0.0005</v>
      </c>
      <c r="E36" s="289" t="n">
        <v>0</v>
      </c>
      <c r="F36" s="289" t="n">
        <v>0</v>
      </c>
      <c r="G36" s="289" t="n">
        <v>0</v>
      </c>
    </row>
    <row r="37" customFormat="false" ht="15" hidden="false" customHeight="true" outlineLevel="0" collapsed="false">
      <c r="A37" s="286" t="s">
        <v>2689</v>
      </c>
      <c r="B37" s="289"/>
      <c r="C37" s="289" t="n">
        <v>-0.0003</v>
      </c>
      <c r="D37" s="289" t="n">
        <v>-0.0003</v>
      </c>
      <c r="E37" s="289" t="n">
        <v>-0.0002</v>
      </c>
      <c r="F37" s="289" t="n">
        <v>-0.0002</v>
      </c>
      <c r="G37" s="289" t="n">
        <v>-0.0002</v>
      </c>
    </row>
    <row r="38" customFormat="false" ht="15" hidden="false" customHeight="true" outlineLevel="0" collapsed="false">
      <c r="A38" s="286" t="s">
        <v>2690</v>
      </c>
      <c r="B38" s="289"/>
      <c r="C38" s="289" t="n">
        <v>0.0005</v>
      </c>
      <c r="D38" s="289" t="n">
        <v>0.001</v>
      </c>
      <c r="E38" s="289" t="n">
        <v>0.001</v>
      </c>
      <c r="F38" s="289" t="n">
        <v>0.001</v>
      </c>
      <c r="G38" s="289" t="n">
        <v>0.0005</v>
      </c>
    </row>
    <row r="39" customFormat="false" ht="15" hidden="false" customHeight="true" outlineLevel="0" collapsed="false">
      <c r="A39" s="286" t="s">
        <v>2691</v>
      </c>
      <c r="B39" s="289"/>
      <c r="C39" s="289" t="n">
        <v>-0.001</v>
      </c>
      <c r="D39" s="289" t="n">
        <v>-0.0005</v>
      </c>
      <c r="E39" s="289" t="n">
        <v>0</v>
      </c>
      <c r="F39" s="289" t="n">
        <v>0</v>
      </c>
      <c r="G39" s="289" t="n">
        <v>0</v>
      </c>
    </row>
    <row r="40" customFormat="false" ht="15" hidden="false" customHeight="true" outlineLevel="0" collapsed="false">
      <c r="A40" s="286" t="s">
        <v>1866</v>
      </c>
      <c r="B40" s="289"/>
      <c r="C40" s="289" t="n">
        <f aca="false">'MC Soriana'!$F$9</f>
        <v>0.0492556268703877</v>
      </c>
      <c r="D40" s="289" t="n">
        <f aca="false">'MC Soriana'!$F$9</f>
        <v>0.0492556268703877</v>
      </c>
      <c r="E40" s="289" t="n">
        <f aca="false">'MC Soriana'!$F$9</f>
        <v>0.0492556268703877</v>
      </c>
      <c r="F40" s="289" t="n">
        <f aca="false">'MC Soriana'!$F$9</f>
        <v>0.0492556268703877</v>
      </c>
      <c r="G40" s="289" t="n">
        <f aca="false">'MC Soriana'!$F$9</f>
        <v>0.0492556268703877</v>
      </c>
    </row>
    <row r="41" customFormat="false" ht="15" hidden="false" customHeight="true" outlineLevel="0" collapsed="false">
      <c r="A41" s="285" t="s">
        <v>1867</v>
      </c>
      <c r="B41" s="291"/>
      <c r="C41" s="291" t="n">
        <f aca="false">C$6*C31+C$7*C40+Escenarios!$I$9</f>
        <v>0.0453967066510946</v>
      </c>
      <c r="D41" s="291" t="n">
        <f aca="false">D$6*D31+D$7*D40+Escenarios!$I$9</f>
        <v>0.0451867066510946</v>
      </c>
      <c r="E41" s="291" t="n">
        <f aca="false">E$6*E31+E$7*E40+Escenarios!$I$9</f>
        <v>0.0451210694925737</v>
      </c>
      <c r="F41" s="291" t="n">
        <f aca="false">F$6*F31+F$7*F40+Escenarios!$I$9</f>
        <v>0.0450854323340528</v>
      </c>
      <c r="G41" s="291" t="n">
        <f aca="false">G$6*G31+G$7*G40+Escenarios!$I$9</f>
        <v>0.0450797951755318</v>
      </c>
    </row>
    <row r="42" customFormat="false" ht="15" hidden="false" customHeight="true" outlineLevel="0" collapsed="false">
      <c r="A42" s="288"/>
      <c r="B42" s="288"/>
      <c r="C42" s="288"/>
      <c r="D42" s="288"/>
      <c r="E42" s="288"/>
      <c r="F42" s="288"/>
      <c r="G42" s="288"/>
    </row>
    <row r="43" customFormat="false" ht="15" hidden="false" customHeight="true" outlineLevel="0" collapsed="false">
      <c r="A43" s="285" t="s">
        <v>1868</v>
      </c>
      <c r="B43" s="285" t="s">
        <v>1428</v>
      </c>
      <c r="C43" s="285" t="s">
        <v>1429</v>
      </c>
      <c r="D43" s="285" t="s">
        <v>1430</v>
      </c>
      <c r="E43" s="285" t="s">
        <v>1431</v>
      </c>
      <c r="F43" s="285" t="s">
        <v>1432</v>
      </c>
      <c r="G43" s="285" t="s">
        <v>1433</v>
      </c>
    </row>
    <row r="44" customFormat="false" ht="15" hidden="false" customHeight="true" outlineLevel="0" collapsed="false">
      <c r="A44" s="286" t="s">
        <v>1869</v>
      </c>
      <c r="B44" s="286"/>
      <c r="C44" s="289" t="n">
        <f aca="false">Valuación!$B$11</f>
        <v>0.0244599047967777</v>
      </c>
      <c r="D44" s="289" t="n">
        <f aca="false">Valuación!$B$11</f>
        <v>0.0244599047967777</v>
      </c>
      <c r="E44" s="289" t="n">
        <f aca="false">Valuación!$B$11</f>
        <v>0.0244599047967777</v>
      </c>
      <c r="F44" s="289" t="n">
        <f aca="false">Valuación!$B$11</f>
        <v>0.0244599047967777</v>
      </c>
      <c r="G44" s="289" t="n">
        <f aca="false">Valuación!$B$11</f>
        <v>0.0244599047967777</v>
      </c>
    </row>
    <row r="45" customFormat="false" ht="15" hidden="false" customHeight="true" outlineLevel="0" collapsed="false">
      <c r="A45" s="286" t="s">
        <v>1870</v>
      </c>
      <c r="B45" s="286"/>
      <c r="C45" s="289" t="n">
        <f aca="false">'MC Soriana'!$F$12/'MC Soriana'!$F$6</f>
        <v>0.024136242913419</v>
      </c>
      <c r="D45" s="289" t="n">
        <f aca="false">'MC Soriana'!$F$12/'MC Soriana'!$F$6</f>
        <v>0.024136242913419</v>
      </c>
      <c r="E45" s="289" t="n">
        <f aca="false">'MC Soriana'!$F$12/'MC Soriana'!$F$6</f>
        <v>0.024136242913419</v>
      </c>
      <c r="F45" s="289" t="n">
        <f aca="false">'MC Soriana'!$F$12/'MC Soriana'!$F$6</f>
        <v>0.024136242913419</v>
      </c>
      <c r="G45" s="289" t="n">
        <f aca="false">'MC Soriana'!$F$12/'MC Soriana'!$F$6</f>
        <v>0.024136242913419</v>
      </c>
    </row>
    <row r="46" customFormat="false" ht="15" hidden="false" customHeight="true" outlineLevel="0" collapsed="false">
      <c r="A46" s="286" t="s">
        <v>1871</v>
      </c>
      <c r="B46" s="286"/>
      <c r="C46" s="289" t="n">
        <f aca="false">C$6*C44+C$7*C45</f>
        <v>0.0243628062317701</v>
      </c>
      <c r="D46" s="289" t="n">
        <f aca="false">D$6*D44+D$7*D45</f>
        <v>0.0243628062317701</v>
      </c>
      <c r="E46" s="289" t="n">
        <f aca="false">E$6*E44+E$7*E45</f>
        <v>0.024378989325938</v>
      </c>
      <c r="F46" s="289" t="n">
        <f aca="false">F$6*F44+F$7*F45</f>
        <v>0.024395172420106</v>
      </c>
      <c r="G46" s="289" t="n">
        <f aca="false">G$6*G44+G$7*G45</f>
        <v>0.0244113555142739</v>
      </c>
    </row>
    <row r="47" customFormat="false" ht="15" hidden="false" customHeight="true" outlineLevel="0" collapsed="false">
      <c r="A47" s="286" t="s">
        <v>1872</v>
      </c>
      <c r="B47" s="286"/>
      <c r="C47" s="292" t="n">
        <v>4000</v>
      </c>
      <c r="D47" s="292"/>
      <c r="E47" s="292"/>
      <c r="F47" s="292"/>
      <c r="G47" s="292"/>
    </row>
    <row r="48" customFormat="false" ht="15" hidden="false" customHeight="true" outlineLevel="0" collapsed="false">
      <c r="A48" s="286" t="s">
        <v>1873</v>
      </c>
      <c r="B48" s="286"/>
      <c r="C48" s="289"/>
      <c r="D48" s="289" t="n">
        <v>0.003</v>
      </c>
      <c r="E48" s="289" t="n">
        <v>0.003</v>
      </c>
      <c r="F48" s="289" t="n">
        <v>0.003</v>
      </c>
      <c r="G48" s="289" t="n">
        <v>0.003</v>
      </c>
    </row>
    <row r="49" customFormat="false" ht="15" hidden="false" customHeight="true" outlineLevel="0" collapsed="false">
      <c r="A49" s="286" t="s">
        <v>1874</v>
      </c>
      <c r="B49" s="286"/>
      <c r="C49" s="289" t="n">
        <f aca="false">C47/C67</f>
        <v>0.0234241645263234</v>
      </c>
      <c r="D49" s="289" t="n">
        <f aca="false">Valuación!$B$12*(1+'Variables Externas'!$J$22)+D48</f>
        <v>0.0195545165197307</v>
      </c>
      <c r="E49" s="289" t="n">
        <f aca="false">Valuación!$B$12*(1+'Variables Externas'!$J$22)+E48</f>
        <v>0.0195545165197307</v>
      </c>
      <c r="F49" s="289" t="n">
        <f aca="false">Valuación!$B$12*(1+'Variables Externas'!$J$22)+F48</f>
        <v>0.0195545165197307</v>
      </c>
      <c r="G49" s="289" t="n">
        <f aca="false">Valuación!$B$12*(1+'Variables Externas'!$J$22)+G48</f>
        <v>0.0195545165197307</v>
      </c>
    </row>
    <row r="50" customFormat="false" ht="15" hidden="false" customHeight="true" outlineLevel="0" collapsed="false">
      <c r="A50" s="286" t="s">
        <v>1875</v>
      </c>
      <c r="B50" s="286"/>
      <c r="C50" s="289" t="n">
        <f aca="false">'MC Soriana'!$F$13/'MC Soriana'!$F$6</f>
        <v>0.0202932109120233</v>
      </c>
      <c r="D50" s="289" t="n">
        <f aca="false">'MC Soriana'!$F$13/'MC Soriana'!$F$6</f>
        <v>0.0202932109120233</v>
      </c>
      <c r="E50" s="289" t="n">
        <f aca="false">'MC Soriana'!$F$13/'MC Soriana'!$F$6</f>
        <v>0.0202932109120233</v>
      </c>
      <c r="F50" s="289" t="n">
        <f aca="false">'MC Soriana'!$F$13/'MC Soriana'!$F$6</f>
        <v>0.0202932109120233</v>
      </c>
      <c r="G50" s="289" t="n">
        <f aca="false">'MC Soriana'!$F$13/'MC Soriana'!$F$6</f>
        <v>0.0202932109120233</v>
      </c>
    </row>
    <row r="51" customFormat="false" ht="15" hidden="false" customHeight="true" outlineLevel="0" collapsed="false">
      <c r="A51" s="285" t="s">
        <v>1876</v>
      </c>
      <c r="B51" s="285"/>
      <c r="C51" s="291" t="n">
        <f aca="false">C$6*C49+C$7*C50</f>
        <v>0.0224848784420334</v>
      </c>
      <c r="D51" s="291" t="n">
        <f aca="false">D$6*D49+D$7*D50</f>
        <v>0.0197761248374185</v>
      </c>
      <c r="E51" s="291" t="n">
        <f aca="false">E$6*E49+E$7*E50</f>
        <v>0.0197391901178039</v>
      </c>
      <c r="F51" s="291" t="n">
        <f aca="false">F$6*F49+F$7*F50</f>
        <v>0.0197022553981892</v>
      </c>
      <c r="G51" s="291" t="n">
        <f aca="false">G$6*G49+G$7*G50</f>
        <v>0.0196653206785746</v>
      </c>
    </row>
    <row r="52" customFormat="false" ht="15" hidden="false" customHeight="true" outlineLevel="0" collapsed="false">
      <c r="A52" s="286" t="s">
        <v>1877</v>
      </c>
      <c r="B52" s="286"/>
      <c r="C52" s="289" t="n">
        <v>0</v>
      </c>
      <c r="D52" s="289" t="n">
        <v>0.005</v>
      </c>
      <c r="E52" s="289" t="n">
        <v>0.005</v>
      </c>
      <c r="F52" s="289" t="n">
        <v>0.005</v>
      </c>
      <c r="G52" s="289" t="n">
        <v>0.005</v>
      </c>
    </row>
    <row r="53" customFormat="false" ht="15" hidden="false" customHeight="true" outlineLevel="0" collapsed="false">
      <c r="A53" s="286" t="s">
        <v>1878</v>
      </c>
      <c r="B53" s="286"/>
      <c r="C53" s="289" t="n">
        <f aca="false">WACC!$B$10+C52</f>
        <v>0.3</v>
      </c>
      <c r="D53" s="289" t="n">
        <f aca="false">WACC!$B$10+D52</f>
        <v>0.305</v>
      </c>
      <c r="E53" s="289" t="n">
        <f aca="false">WACC!$B$10+E52</f>
        <v>0.305</v>
      </c>
      <c r="F53" s="289" t="n">
        <f aca="false">WACC!$B$10+F52</f>
        <v>0.305</v>
      </c>
      <c r="G53" s="289" t="n">
        <f aca="false">WACC!$B$10+G52</f>
        <v>0.305</v>
      </c>
    </row>
    <row r="54" customFormat="false" ht="15" hidden="false" customHeight="true" outlineLevel="0" collapsed="false">
      <c r="A54" s="286" t="s">
        <v>1879</v>
      </c>
      <c r="B54" s="286"/>
      <c r="C54" s="289" t="n">
        <f aca="false">'MC Soriana'!$F$10</f>
        <v>0.191734007304675</v>
      </c>
      <c r="D54" s="289" t="n">
        <f aca="false">'MC Soriana'!$F$10</f>
        <v>0.191734007304675</v>
      </c>
      <c r="E54" s="289" t="n">
        <f aca="false">'MC Soriana'!$F$10</f>
        <v>0.191734007304675</v>
      </c>
      <c r="F54" s="289" t="n">
        <f aca="false">'MC Soriana'!$F$10</f>
        <v>0.191734007304675</v>
      </c>
      <c r="G54" s="289" t="n">
        <f aca="false">'MC Soriana'!$F$10</f>
        <v>0.191734007304675</v>
      </c>
    </row>
    <row r="55" customFormat="false" ht="15" hidden="false" customHeight="true" outlineLevel="0" collapsed="false">
      <c r="A55" s="285" t="s">
        <v>1880</v>
      </c>
      <c r="B55" s="285"/>
      <c r="C55" s="291" t="n">
        <f aca="false">C$6*C53+C$7*C54</f>
        <v>0.267520202191403</v>
      </c>
      <c r="D55" s="291" t="n">
        <f aca="false">D$6*D53+D$7*D54</f>
        <v>0.271020202191403</v>
      </c>
      <c r="E55" s="291" t="n">
        <f aca="false">E$6*E53+E$7*E54</f>
        <v>0.276683501826169</v>
      </c>
      <c r="F55" s="291" t="n">
        <f aca="false">F$6*F53+F$7*F54</f>
        <v>0.282346801460935</v>
      </c>
      <c r="G55" s="291" t="n">
        <f aca="false">G$6*G53+G$7*G54</f>
        <v>0.288010101095701</v>
      </c>
    </row>
    <row r="56" customFormat="false" ht="15" hidden="false" customHeight="true" outlineLevel="0" collapsed="false">
      <c r="A56" s="286" t="s">
        <v>1467</v>
      </c>
      <c r="B56" s="294" t="n">
        <f aca="false">Datos!G18/Datos!G7*365</f>
        <v>87.4443050938019</v>
      </c>
      <c r="C56" s="294" t="n">
        <v>88</v>
      </c>
      <c r="D56" s="294" t="n">
        <v>88</v>
      </c>
      <c r="E56" s="294" t="n">
        <v>87</v>
      </c>
      <c r="F56" s="294" t="n">
        <v>87</v>
      </c>
      <c r="G56" s="294" t="n">
        <v>87</v>
      </c>
    </row>
    <row r="57" customFormat="false" ht="15" hidden="false" customHeight="true" outlineLevel="0" collapsed="false">
      <c r="A57" s="286" t="s">
        <v>1468</v>
      </c>
      <c r="B57" s="295" t="n">
        <f aca="false">(Datos!G19-Datos!G17-Datos!G18)/Datos!G6</f>
        <v>0.0391572543165366</v>
      </c>
      <c r="C57" s="295" t="n">
        <f aca="false">$B57</f>
        <v>0.0391572543165366</v>
      </c>
      <c r="D57" s="295" t="n">
        <f aca="false">$B57</f>
        <v>0.0391572543165366</v>
      </c>
      <c r="E57" s="295" t="n">
        <f aca="false">$B57</f>
        <v>0.0391572543165366</v>
      </c>
      <c r="F57" s="295" t="n">
        <f aca="false">$B57</f>
        <v>0.0391572543165366</v>
      </c>
      <c r="G57" s="295" t="n">
        <f aca="false">$B57</f>
        <v>0.0391572543165366</v>
      </c>
    </row>
    <row r="58" customFormat="false" ht="15" hidden="false" customHeight="true" outlineLevel="0" collapsed="false">
      <c r="A58" s="286" t="s">
        <v>1469</v>
      </c>
      <c r="B58" s="295" t="n">
        <f aca="false">(Datos!G21-Datos!G25-Datos!G27)/Datos!G6</f>
        <v>0.200225333070445</v>
      </c>
      <c r="C58" s="295" t="n">
        <f aca="false">$B58</f>
        <v>0.200225333070445</v>
      </c>
      <c r="D58" s="295" t="n">
        <f aca="false">$B58</f>
        <v>0.200225333070445</v>
      </c>
      <c r="E58" s="295" t="n">
        <f aca="false">$B58</f>
        <v>0.200225333070445</v>
      </c>
      <c r="F58" s="295" t="n">
        <f aca="false">$B58</f>
        <v>0.200225333070445</v>
      </c>
      <c r="G58" s="295" t="n">
        <f aca="false">$B58</f>
        <v>0.200225333070445</v>
      </c>
    </row>
    <row r="59" customFormat="false" ht="15" hidden="false" customHeight="true" outlineLevel="0" collapsed="false">
      <c r="A59" s="286" t="s">
        <v>1464</v>
      </c>
      <c r="B59" s="295" t="n">
        <f aca="false">Datos!G7/Datos!G6</f>
        <v>0.759102047714278</v>
      </c>
      <c r="C59" s="295" t="n">
        <v>0.756</v>
      </c>
      <c r="D59" s="295" t="n">
        <v>0.757</v>
      </c>
      <c r="E59" s="295" t="n">
        <v>0.758</v>
      </c>
      <c r="F59" s="295" t="n">
        <v>0.758</v>
      </c>
      <c r="G59" s="295" t="n">
        <v>0.758</v>
      </c>
    </row>
    <row r="60" customFormat="false" ht="15" hidden="false" customHeight="true" outlineLevel="0" collapsed="false">
      <c r="A60" s="286" t="s">
        <v>1465</v>
      </c>
      <c r="B60" s="295" t="n">
        <f aca="false">-B70/B67</f>
        <v>0.173900797115737</v>
      </c>
      <c r="C60" s="295" t="n">
        <f aca="false">1-C59-C46-C41</f>
        <v>0.174240487117135</v>
      </c>
      <c r="D60" s="295" t="n">
        <f aca="false">1-D59-D46-D41</f>
        <v>0.173450487117135</v>
      </c>
      <c r="E60" s="295" t="n">
        <f aca="false">1-E59-E46-E41</f>
        <v>0.172499941181488</v>
      </c>
      <c r="F60" s="295" t="n">
        <f aca="false">1-F59-F46-F41</f>
        <v>0.172519395245841</v>
      </c>
      <c r="G60" s="295" t="n">
        <f aca="false">1-G59-G46-G41</f>
        <v>0.172508849310194</v>
      </c>
    </row>
    <row r="61" customFormat="false" ht="15" hidden="false" customHeight="true" outlineLevel="0" collapsed="false">
      <c r="A61" s="286" t="s">
        <v>1466</v>
      </c>
      <c r="B61" s="296" t="n">
        <f aca="false">Datos!G10/(Datos!G25+Datos!G26+Datos!G27+Datos!G28)</f>
        <v>0.130154966550936</v>
      </c>
      <c r="C61" s="296" t="n">
        <v>0.1</v>
      </c>
      <c r="D61" s="296" t="n">
        <v>0.0975</v>
      </c>
      <c r="E61" s="296" t="n">
        <v>0.0975</v>
      </c>
      <c r="F61" s="296" t="n">
        <v>0.0975</v>
      </c>
      <c r="G61" s="296" t="n">
        <v>0.0975</v>
      </c>
    </row>
    <row r="62" customFormat="false" ht="15" hidden="false" customHeight="true" outlineLevel="0" collapsed="false">
      <c r="A62" s="286" t="s">
        <v>1881</v>
      </c>
      <c r="B62" s="297"/>
      <c r="C62" s="297" t="n">
        <v>0</v>
      </c>
      <c r="D62" s="297" t="n">
        <v>-1500</v>
      </c>
      <c r="E62" s="297" t="n">
        <v>-1500</v>
      </c>
      <c r="F62" s="297" t="n">
        <v>-1500</v>
      </c>
      <c r="G62" s="297" t="n">
        <v>-1500</v>
      </c>
    </row>
    <row r="63" customFormat="false" ht="15" hidden="false" customHeight="true" outlineLevel="0" collapsed="false">
      <c r="A63" s="286" t="s">
        <v>1470</v>
      </c>
      <c r="B63" s="295" t="n">
        <f aca="false">'Proyección Soriana'!B14</f>
        <v>0.300144057623049</v>
      </c>
      <c r="C63" s="295" t="n">
        <f aca="false">$B63</f>
        <v>0.300144057623049</v>
      </c>
      <c r="D63" s="295" t="n">
        <f aca="false">$B63</f>
        <v>0.300144057623049</v>
      </c>
      <c r="E63" s="295" t="n">
        <f aca="false">$B63</f>
        <v>0.300144057623049</v>
      </c>
      <c r="F63" s="295" t="n">
        <f aca="false">$B63</f>
        <v>0.300144057623049</v>
      </c>
      <c r="G63" s="295" t="n">
        <f aca="false">$B63</f>
        <v>0.300144057623049</v>
      </c>
    </row>
    <row r="64" customFormat="false" ht="15" hidden="false" customHeight="true" outlineLevel="0" collapsed="false">
      <c r="A64" s="298"/>
      <c r="B64" s="298"/>
      <c r="C64" s="298"/>
      <c r="D64" s="298"/>
      <c r="E64" s="298"/>
      <c r="F64" s="298"/>
      <c r="G64" s="298"/>
    </row>
    <row r="65" customFormat="false" ht="15" hidden="false" customHeight="true" outlineLevel="0" collapsed="false">
      <c r="A65" s="348" t="s">
        <v>1882</v>
      </c>
      <c r="B65" s="298"/>
      <c r="C65" s="298"/>
      <c r="D65" s="298"/>
      <c r="E65" s="298"/>
      <c r="F65" s="298"/>
      <c r="G65" s="298"/>
    </row>
    <row r="66" customFormat="false" ht="15" hidden="false" customHeight="true" outlineLevel="0" collapsed="false">
      <c r="A66" s="285" t="s">
        <v>1884</v>
      </c>
      <c r="B66" s="300" t="s">
        <v>1428</v>
      </c>
      <c r="C66" s="300" t="s">
        <v>1429</v>
      </c>
      <c r="D66" s="300" t="s">
        <v>1430</v>
      </c>
      <c r="E66" s="300" t="s">
        <v>1431</v>
      </c>
      <c r="F66" s="300" t="s">
        <v>1432</v>
      </c>
      <c r="G66" s="300" t="s">
        <v>1433</v>
      </c>
    </row>
    <row r="67" customFormat="false" ht="15" hidden="false" customHeight="true" outlineLevel="0" collapsed="false">
      <c r="A67" s="286" t="s">
        <v>1442</v>
      </c>
      <c r="B67" s="297" t="n">
        <f aca="false">Datos!G6</f>
        <v>177515</v>
      </c>
      <c r="C67" s="297" t="n">
        <f aca="false">B67*(1+C28)</f>
        <v>170763.827905363</v>
      </c>
      <c r="D67" s="297" t="n">
        <f aca="false">C67*(1+D28)</f>
        <v>169317.904611452</v>
      </c>
      <c r="E67" s="297" t="n">
        <f aca="false">D67*(1+E28)</f>
        <v>172000.551518045</v>
      </c>
      <c r="F67" s="297" t="n">
        <f aca="false">E67*(1+F28)</f>
        <v>176838.583684519</v>
      </c>
      <c r="G67" s="297" t="n">
        <f aca="false">F67*(1+G28)</f>
        <v>183171.968375038</v>
      </c>
    </row>
    <row r="68" customFormat="false" ht="15" hidden="false" customHeight="true" outlineLevel="0" collapsed="false">
      <c r="A68" s="286" t="s">
        <v>86</v>
      </c>
      <c r="B68" s="297" t="n">
        <f aca="false">-Datos!G7</f>
        <v>-134752</v>
      </c>
      <c r="C68" s="297" t="n">
        <f aca="false">-C67*C59</f>
        <v>-129097.453896455</v>
      </c>
      <c r="D68" s="297" t="n">
        <f aca="false">-D67*D59</f>
        <v>-128173.653790869</v>
      </c>
      <c r="E68" s="297" t="n">
        <f aca="false">-E67*E59</f>
        <v>-130376.418050678</v>
      </c>
      <c r="F68" s="297" t="n">
        <f aca="false">-F67*F59</f>
        <v>-134043.646432865</v>
      </c>
      <c r="G68" s="297" t="n">
        <f aca="false">-G67*G59</f>
        <v>-138844.352028279</v>
      </c>
    </row>
    <row r="69" customFormat="false" ht="15" hidden="false" customHeight="true" outlineLevel="0" collapsed="false">
      <c r="A69" s="285" t="s">
        <v>80</v>
      </c>
      <c r="B69" s="301" t="n">
        <f aca="false">B67+B68</f>
        <v>42763</v>
      </c>
      <c r="C69" s="301" t="n">
        <f aca="false">C67+C68</f>
        <v>41666.3740089086</v>
      </c>
      <c r="D69" s="301" t="n">
        <f aca="false">D67+D68</f>
        <v>41144.2508205827</v>
      </c>
      <c r="E69" s="301" t="n">
        <f aca="false">E67+E68</f>
        <v>41624.1334673669</v>
      </c>
      <c r="F69" s="301" t="n">
        <f aca="false">F67+F68</f>
        <v>42794.9372516536</v>
      </c>
      <c r="G69" s="301" t="n">
        <f aca="false">G67+G68</f>
        <v>44327.6163467592</v>
      </c>
    </row>
    <row r="70" customFormat="false" ht="15" hidden="false" customHeight="true" outlineLevel="0" collapsed="false">
      <c r="A70" s="286" t="s">
        <v>1472</v>
      </c>
      <c r="B70" s="297" t="n">
        <f aca="false">-(Datos!G8-Datos!G9-Datos!G14)</f>
        <v>-30870</v>
      </c>
      <c r="C70" s="297" t="n">
        <f aca="false">-C67*C60</f>
        <v>-29753.9725562171</v>
      </c>
      <c r="D70" s="297" t="n">
        <f aca="false">-D67*D60</f>
        <v>-29368.2730325089</v>
      </c>
      <c r="E70" s="297" t="n">
        <f aca="false">-E67*E60</f>
        <v>-29670.0850200463</v>
      </c>
      <c r="F70" s="297" t="n">
        <f aca="false">-F67*F60</f>
        <v>-30508.0855133843</v>
      </c>
      <c r="G70" s="297" t="n">
        <f aca="false">-G67*G60</f>
        <v>-31598.7854902611</v>
      </c>
    </row>
    <row r="71" customFormat="false" ht="15" hidden="false" customHeight="true" outlineLevel="0" collapsed="false">
      <c r="A71" s="285" t="s">
        <v>1473</v>
      </c>
      <c r="B71" s="301" t="n">
        <f aca="false">B69+B70</f>
        <v>11893</v>
      </c>
      <c r="C71" s="301" t="n">
        <f aca="false">C69+C70</f>
        <v>11912.4014526915</v>
      </c>
      <c r="D71" s="301" t="n">
        <f aca="false">D69+D70</f>
        <v>11775.9777880738</v>
      </c>
      <c r="E71" s="301" t="n">
        <f aca="false">E69+E70</f>
        <v>11954.0484473206</v>
      </c>
      <c r="F71" s="301" t="n">
        <f aca="false">F69+F70</f>
        <v>12286.8517382693</v>
      </c>
      <c r="G71" s="301" t="n">
        <f aca="false">G69+G70</f>
        <v>12728.8308564981</v>
      </c>
    </row>
    <row r="72" customFormat="false" ht="15" hidden="false" customHeight="true" outlineLevel="0" collapsed="false">
      <c r="A72" s="286" t="s">
        <v>154</v>
      </c>
      <c r="B72" s="297" t="n">
        <f aca="false">-Datos!G14</f>
        <v>-4342</v>
      </c>
      <c r="C72" s="297" t="n">
        <f aca="false">-C67*C46</f>
        <v>-4160.2860506537</v>
      </c>
      <c r="D72" s="297" t="n">
        <f aca="false">-D67*D46</f>
        <v>-4125.05930161813</v>
      </c>
      <c r="E72" s="297" t="n">
        <f aca="false">-E67*E46</f>
        <v>-4193.19960951388</v>
      </c>
      <c r="F72" s="297" t="n">
        <f aca="false">-F67*F46</f>
        <v>-4314.00773951118</v>
      </c>
      <c r="G72" s="297" t="n">
        <f aca="false">-G67*G46</f>
        <v>-4471.47604025239</v>
      </c>
    </row>
    <row r="73" customFormat="false" ht="15" hidden="false" customHeight="true" outlineLevel="0" collapsed="false">
      <c r="A73" s="285" t="s">
        <v>81</v>
      </c>
      <c r="B73" s="301" t="n">
        <f aca="false">B71+B72</f>
        <v>7551</v>
      </c>
      <c r="C73" s="301" t="n">
        <f aca="false">C71+C72</f>
        <v>7752.11540203778</v>
      </c>
      <c r="D73" s="301" t="n">
        <f aca="false">D71+D72</f>
        <v>7650.91848645569</v>
      </c>
      <c r="E73" s="301" t="n">
        <f aca="false">E71+E72</f>
        <v>7760.84883780672</v>
      </c>
      <c r="F73" s="301" t="n">
        <f aca="false">F71+F72</f>
        <v>7972.8439987581</v>
      </c>
      <c r="G73" s="301" t="n">
        <f aca="false">G71+G72</f>
        <v>8257.3548162457</v>
      </c>
    </row>
    <row r="74" customFormat="false" ht="15" hidden="false" customHeight="true" outlineLevel="0" collapsed="false">
      <c r="A74" s="286" t="s">
        <v>88</v>
      </c>
      <c r="B74" s="297" t="n">
        <f aca="false">-Datos!G10</f>
        <v>-3074</v>
      </c>
      <c r="C74" s="297" t="n">
        <f aca="false">-C61*(B91+B92)</f>
        <v>-2361.8</v>
      </c>
      <c r="D74" s="297" t="n">
        <f aca="false">-D61*(C91+C92)</f>
        <v>-2302.755</v>
      </c>
      <c r="E74" s="297" t="n">
        <f aca="false">-E61*(D91+D92)</f>
        <v>-2156.505</v>
      </c>
      <c r="F74" s="297" t="n">
        <f aca="false">-F61*(E91+E92)</f>
        <v>-2010.255</v>
      </c>
      <c r="G74" s="297" t="n">
        <f aca="false">-G61*(F91+F92)</f>
        <v>-1864.005</v>
      </c>
    </row>
    <row r="75" customFormat="false" ht="15" hidden="false" customHeight="true" outlineLevel="0" collapsed="false">
      <c r="A75" s="286" t="s">
        <v>1474</v>
      </c>
      <c r="B75" s="297" t="n">
        <f aca="false">Datos!G11-Datos!G9+Datos!G10</f>
        <v>288</v>
      </c>
      <c r="C75" s="297" t="n">
        <v>0</v>
      </c>
      <c r="D75" s="297" t="n">
        <v>0</v>
      </c>
      <c r="E75" s="297" t="n">
        <v>0</v>
      </c>
      <c r="F75" s="297" t="n">
        <v>0</v>
      </c>
      <c r="G75" s="297" t="n">
        <v>0</v>
      </c>
    </row>
    <row r="76" customFormat="false" ht="15" hidden="false" customHeight="true" outlineLevel="0" collapsed="false">
      <c r="A76" s="286" t="s">
        <v>152</v>
      </c>
      <c r="B76" s="297" t="n">
        <f aca="false">B73+B74+B75</f>
        <v>4765</v>
      </c>
      <c r="C76" s="297" t="n">
        <f aca="false">C73+C74+C75</f>
        <v>5390.31540203778</v>
      </c>
      <c r="D76" s="297" t="n">
        <f aca="false">D73+D74+D75</f>
        <v>5348.16348645569</v>
      </c>
      <c r="E76" s="297" t="n">
        <f aca="false">E73+E74+E75</f>
        <v>5604.34383780672</v>
      </c>
      <c r="F76" s="297" t="n">
        <f aca="false">F73+F74+F75</f>
        <v>5962.5889987581</v>
      </c>
      <c r="G76" s="297" t="n">
        <f aca="false">G73+G74+G75</f>
        <v>6393.3498162457</v>
      </c>
    </row>
    <row r="77" customFormat="false" ht="15" hidden="false" customHeight="true" outlineLevel="0" collapsed="false">
      <c r="A77" s="286" t="s">
        <v>153</v>
      </c>
      <c r="B77" s="297" t="n">
        <f aca="false">-Datos!G12</f>
        <v>-1433</v>
      </c>
      <c r="C77" s="297" t="n">
        <f aca="false">-C76*C55</f>
        <v>-1442.01826622858</v>
      </c>
      <c r="D77" s="297" t="n">
        <f aca="false">-D76*D55</f>
        <v>-1449.4603494519</v>
      </c>
      <c r="E77" s="297" t="n">
        <f aca="false">-E76*E55</f>
        <v>-1550.62947848227</v>
      </c>
      <c r="F77" s="297" t="n">
        <f aca="false">-F76*F55</f>
        <v>-1683.51793222551</v>
      </c>
      <c r="G77" s="297" t="n">
        <f aca="false">-G76*G55</f>
        <v>-1841.34932691711</v>
      </c>
    </row>
    <row r="78" customFormat="false" ht="15" hidden="false" customHeight="true" outlineLevel="0" collapsed="false">
      <c r="A78" s="285" t="s">
        <v>89</v>
      </c>
      <c r="B78" s="301" t="n">
        <f aca="false">B76+B77</f>
        <v>3332</v>
      </c>
      <c r="C78" s="301" t="n">
        <f aca="false">C76+C77</f>
        <v>3948.29713580921</v>
      </c>
      <c r="D78" s="301" t="n">
        <f aca="false">D76+D77</f>
        <v>3898.70313700379</v>
      </c>
      <c r="E78" s="301" t="n">
        <f aca="false">E76+E77</f>
        <v>4053.71435932444</v>
      </c>
      <c r="F78" s="301" t="n">
        <f aca="false">F76+F77</f>
        <v>4279.07106653259</v>
      </c>
      <c r="G78" s="301" t="n">
        <f aca="false">G76+G77</f>
        <v>4552.00048932859</v>
      </c>
    </row>
    <row r="79" customFormat="false" ht="15" hidden="false" customHeight="true" outlineLevel="0" collapsed="false">
      <c r="A79" s="286" t="s">
        <v>1475</v>
      </c>
      <c r="B79" s="297"/>
      <c r="C79" s="297" t="n">
        <f aca="false">-C78*C63</f>
        <v>-1185.05792304324</v>
      </c>
      <c r="D79" s="297" t="n">
        <f aca="false">-D78*D63</f>
        <v>-1170.17257900803</v>
      </c>
      <c r="E79" s="297" t="n">
        <f aca="false">-E78*E63</f>
        <v>-1216.69827625246</v>
      </c>
      <c r="F79" s="297" t="n">
        <f aca="false">-F78*F63</f>
        <v>-1284.33775276648</v>
      </c>
      <c r="G79" s="297" t="n">
        <f aca="false">-G78*G63</f>
        <v>-1366.25589716919</v>
      </c>
    </row>
    <row r="80" customFormat="false" ht="15" hidden="false" customHeight="true" outlineLevel="0" collapsed="false">
      <c r="A80" s="286" t="s">
        <v>1885</v>
      </c>
      <c r="B80" s="295" t="n">
        <f aca="false">B71/B67</f>
        <v>0.0669971551699856</v>
      </c>
      <c r="C80" s="295" t="n">
        <f aca="false">C71/C67</f>
        <v>0.0697595128828648</v>
      </c>
      <c r="D80" s="295" t="n">
        <f aca="false">D71/D67</f>
        <v>0.0695495128828648</v>
      </c>
      <c r="E80" s="295" t="n">
        <f aca="false">E71/E67</f>
        <v>0.0695000588185118</v>
      </c>
      <c r="F80" s="295" t="n">
        <f aca="false">F71/F67</f>
        <v>0.0694806047541587</v>
      </c>
      <c r="G80" s="295" t="n">
        <f aca="false">G71/G67</f>
        <v>0.0694911506898057</v>
      </c>
    </row>
    <row r="81" customFormat="false" ht="15" hidden="false" customHeight="true" outlineLevel="0" collapsed="false">
      <c r="A81" s="286" t="s">
        <v>34</v>
      </c>
      <c r="B81" s="295" t="n">
        <f aca="false">B78/B67</f>
        <v>0.0187702447680478</v>
      </c>
      <c r="C81" s="295" t="n">
        <f aca="false">C78/C67</f>
        <v>0.0231213904270015</v>
      </c>
      <c r="D81" s="295" t="n">
        <f aca="false">D78/D67</f>
        <v>0.0230259354198275</v>
      </c>
      <c r="E81" s="295" t="n">
        <f aca="false">E78/E67</f>
        <v>0.0235680311693603</v>
      </c>
      <c r="F81" s="295" t="n">
        <f aca="false">F78/F67</f>
        <v>0.0241976099184694</v>
      </c>
      <c r="G81" s="295" t="n">
        <f aca="false">G78/G67</f>
        <v>0.0248509667156523</v>
      </c>
    </row>
    <row r="82" customFormat="false" ht="15" hidden="false" customHeight="true" outlineLevel="0" collapsed="false">
      <c r="A82" s="298"/>
      <c r="B82" s="298"/>
      <c r="C82" s="298"/>
      <c r="D82" s="298"/>
      <c r="E82" s="298"/>
      <c r="F82" s="298"/>
      <c r="G82" s="298"/>
    </row>
    <row r="83" customFormat="false" ht="15" hidden="false" customHeight="true" outlineLevel="0" collapsed="false">
      <c r="A83" s="285" t="s">
        <v>1886</v>
      </c>
      <c r="B83" s="300" t="s">
        <v>1428</v>
      </c>
      <c r="C83" s="300" t="s">
        <v>1429</v>
      </c>
      <c r="D83" s="300" t="s">
        <v>1430</v>
      </c>
      <c r="E83" s="300" t="s">
        <v>1431</v>
      </c>
      <c r="F83" s="300" t="s">
        <v>1432</v>
      </c>
      <c r="G83" s="300" t="s">
        <v>1433</v>
      </c>
    </row>
    <row r="84" customFormat="false" ht="15" hidden="false" customHeight="true" outlineLevel="0" collapsed="false">
      <c r="A84" s="286" t="s">
        <v>13</v>
      </c>
      <c r="B84" s="297" t="n">
        <f aca="false">Datos!G17</f>
        <v>9295</v>
      </c>
      <c r="C84" s="297" t="n">
        <f aca="false">B84+C108</f>
        <v>12449.6574350977</v>
      </c>
      <c r="D84" s="297" t="n">
        <f aca="false">C84+D108</f>
        <v>14444.6275979475</v>
      </c>
      <c r="E84" s="297" t="n">
        <f aca="false">D84+E108</f>
        <v>16837.8987422798</v>
      </c>
      <c r="F84" s="297" t="n">
        <f aca="false">E84+F108</f>
        <v>19067.6669104575</v>
      </c>
      <c r="G84" s="297" t="n">
        <f aca="false">F84+G108</f>
        <v>21498.5803775023</v>
      </c>
    </row>
    <row r="85" customFormat="false" ht="15" hidden="false" customHeight="true" outlineLevel="0" collapsed="false">
      <c r="A85" s="286" t="s">
        <v>156</v>
      </c>
      <c r="B85" s="297" t="n">
        <f aca="false">Datos!G18</f>
        <v>32283</v>
      </c>
      <c r="C85" s="297" t="n">
        <f aca="false">-C68*C56/365</f>
        <v>31124.8655969534</v>
      </c>
      <c r="D85" s="297" t="n">
        <f aca="false">-D68*D56/365</f>
        <v>30902.1411879355</v>
      </c>
      <c r="E85" s="297" t="n">
        <f aca="false">-E68*E56/365</f>
        <v>31076.0229326274</v>
      </c>
      <c r="F85" s="297" t="n">
        <f aca="false">-F68*F56/365</f>
        <v>31950.1294237241</v>
      </c>
      <c r="G85" s="297" t="n">
        <f aca="false">-G68*G56/365</f>
        <v>33094.4071957815</v>
      </c>
    </row>
    <row r="86" customFormat="false" ht="15" hidden="false" customHeight="true" outlineLevel="0" collapsed="false">
      <c r="A86" s="286" t="s">
        <v>1477</v>
      </c>
      <c r="B86" s="297" t="n">
        <f aca="false">Datos!G19-Datos!G17-Datos!G18</f>
        <v>6951</v>
      </c>
      <c r="C86" s="297" t="n">
        <f aca="false">C67*C57</f>
        <v>6686.6426373556</v>
      </c>
      <c r="D86" s="297" t="n">
        <f aca="false">D67*D57</f>
        <v>6630.0242512137</v>
      </c>
      <c r="E86" s="297" t="n">
        <f aca="false">E67*E57</f>
        <v>6735.06933837665</v>
      </c>
      <c r="F86" s="297" t="n">
        <f aca="false">F67*F57</f>
        <v>6924.51339431085</v>
      </c>
      <c r="G86" s="297" t="n">
        <f aca="false">G67*G57</f>
        <v>7172.51134932197</v>
      </c>
    </row>
    <row r="87" customFormat="false" ht="15" hidden="false" customHeight="true" outlineLevel="0" collapsed="false">
      <c r="A87" s="285" t="s">
        <v>157</v>
      </c>
      <c r="B87" s="301" t="n">
        <f aca="false">SUM(B84:B86)</f>
        <v>48529</v>
      </c>
      <c r="C87" s="301" t="n">
        <f aca="false">SUM(C84:C86)</f>
        <v>50261.1656694067</v>
      </c>
      <c r="D87" s="301" t="n">
        <f aca="false">SUM(D84:D86)</f>
        <v>51976.7930370967</v>
      </c>
      <c r="E87" s="301" t="n">
        <f aca="false">SUM(E84:E86)</f>
        <v>54648.9910132838</v>
      </c>
      <c r="F87" s="301" t="n">
        <f aca="false">SUM(F84:F86)</f>
        <v>57942.3097284924</v>
      </c>
      <c r="G87" s="301" t="n">
        <f aca="false">SUM(G84:G86)</f>
        <v>61765.4989226058</v>
      </c>
    </row>
    <row r="88" customFormat="false" ht="15" hidden="false" customHeight="true" outlineLevel="0" collapsed="false">
      <c r="A88" s="286" t="s">
        <v>1478</v>
      </c>
      <c r="B88" s="297" t="n">
        <f aca="false">Datos!G20-Datos!G19</f>
        <v>107509</v>
      </c>
      <c r="C88" s="297" t="n">
        <f aca="false">B88-C104+C72</f>
        <v>107188.317862095</v>
      </c>
      <c r="D88" s="297" t="n">
        <f aca="false">C88-D104+D72</f>
        <v>106411.710579283</v>
      </c>
      <c r="E88" s="297" t="n">
        <f aca="false">D88-E104+E72</f>
        <v>105613.662556551</v>
      </c>
      <c r="F88" s="297" t="n">
        <f aca="false">E88-F104+F72</f>
        <v>104783.773757046</v>
      </c>
      <c r="G88" s="297" t="n">
        <f aca="false">F88-G104+G72</f>
        <v>103914.433214214</v>
      </c>
    </row>
    <row r="89" customFormat="false" ht="15" hidden="false" customHeight="true" outlineLevel="0" collapsed="false">
      <c r="A89" s="285" t="s">
        <v>92</v>
      </c>
      <c r="B89" s="301" t="n">
        <f aca="false">B87+B88</f>
        <v>156038</v>
      </c>
      <c r="C89" s="301" t="n">
        <f aca="false">C87+C88</f>
        <v>157449.483531501</v>
      </c>
      <c r="D89" s="301" t="n">
        <f aca="false">D87+D88</f>
        <v>158388.503616379</v>
      </c>
      <c r="E89" s="301" t="n">
        <f aca="false">E87+E88</f>
        <v>160262.653569834</v>
      </c>
      <c r="F89" s="301" t="n">
        <f aca="false">F87+F88</f>
        <v>162726.083485538</v>
      </c>
      <c r="G89" s="301" t="n">
        <f aca="false">G87+G88</f>
        <v>165679.93213682</v>
      </c>
    </row>
    <row r="90" customFormat="false" ht="15" hidden="false" customHeight="true" outlineLevel="0" collapsed="false">
      <c r="A90" s="286" t="s">
        <v>1479</v>
      </c>
      <c r="B90" s="297" t="n">
        <f aca="false">Datos!G21-Datos!G25-Datos!G27</f>
        <v>35543</v>
      </c>
      <c r="C90" s="297" t="n">
        <f aca="false">C67*C58</f>
        <v>34191.2443187355</v>
      </c>
      <c r="D90" s="297" t="n">
        <f aca="false">D67*D58</f>
        <v>33901.7338456177</v>
      </c>
      <c r="E90" s="297" t="n">
        <f aca="false">E67*E58</f>
        <v>34438.8677160008</v>
      </c>
      <c r="F90" s="297" t="n">
        <f aca="false">F67*F58</f>
        <v>35407.5643179385</v>
      </c>
      <c r="G90" s="297" t="n">
        <f aca="false">G67*G58</f>
        <v>36675.6683770609</v>
      </c>
    </row>
    <row r="91" customFormat="false" ht="15" hidden="false" customHeight="true" outlineLevel="0" collapsed="false">
      <c r="A91" s="286" t="s">
        <v>1480</v>
      </c>
      <c r="B91" s="297" t="n">
        <f aca="false">Datos!G25+Datos!G26</f>
        <v>11500</v>
      </c>
      <c r="C91" s="297" t="n">
        <f aca="false">MAX(0,B91+C62)</f>
        <v>11500</v>
      </c>
      <c r="D91" s="297" t="n">
        <f aca="false">MAX(0,C91+D62)</f>
        <v>10000</v>
      </c>
      <c r="E91" s="297" t="n">
        <f aca="false">MAX(0,D91+E62)</f>
        <v>8500</v>
      </c>
      <c r="F91" s="297" t="n">
        <f aca="false">MAX(0,E91+F62)</f>
        <v>7000</v>
      </c>
      <c r="G91" s="297" t="n">
        <f aca="false">MAX(0,F91+G62)</f>
        <v>5500</v>
      </c>
    </row>
    <row r="92" customFormat="false" ht="15" hidden="false" customHeight="true" outlineLevel="0" collapsed="false">
      <c r="A92" s="286" t="s">
        <v>1481</v>
      </c>
      <c r="B92" s="297" t="n">
        <f aca="false">Datos!G27+Datos!G28</f>
        <v>12118</v>
      </c>
      <c r="C92" s="297" t="n">
        <f aca="false">B92</f>
        <v>12118</v>
      </c>
      <c r="D92" s="297" t="n">
        <f aca="false">C92</f>
        <v>12118</v>
      </c>
      <c r="E92" s="297" t="n">
        <f aca="false">D92</f>
        <v>12118</v>
      </c>
      <c r="F92" s="297" t="n">
        <f aca="false">E92</f>
        <v>12118</v>
      </c>
      <c r="G92" s="297" t="n">
        <f aca="false">F92</f>
        <v>12118</v>
      </c>
    </row>
    <row r="93" customFormat="false" ht="15" hidden="false" customHeight="true" outlineLevel="0" collapsed="false">
      <c r="A93" s="286" t="s">
        <v>1482</v>
      </c>
      <c r="B93" s="297" t="n">
        <f aca="false">Datos!G23-Datos!G21-Datos!G26-Datos!G28</f>
        <v>12145</v>
      </c>
      <c r="C93" s="297" t="n">
        <f aca="false">B93</f>
        <v>12145</v>
      </c>
      <c r="D93" s="297" t="n">
        <f aca="false">C93</f>
        <v>12145</v>
      </c>
      <c r="E93" s="297" t="n">
        <f aca="false">D93</f>
        <v>12145</v>
      </c>
      <c r="F93" s="297" t="n">
        <f aca="false">E93</f>
        <v>12145</v>
      </c>
      <c r="G93" s="297" t="n">
        <f aca="false">F93</f>
        <v>12145</v>
      </c>
    </row>
    <row r="94" customFormat="false" ht="15" hidden="false" customHeight="true" outlineLevel="0" collapsed="false">
      <c r="A94" s="285" t="s">
        <v>93</v>
      </c>
      <c r="B94" s="301" t="n">
        <f aca="false">SUM(B90:B93)</f>
        <v>71306</v>
      </c>
      <c r="C94" s="301" t="n">
        <f aca="false">SUM(C90:C93)</f>
        <v>69954.2443187355</v>
      </c>
      <c r="D94" s="301" t="n">
        <f aca="false">SUM(D90:D93)</f>
        <v>68164.7338456177</v>
      </c>
      <c r="E94" s="301" t="n">
        <f aca="false">SUM(E90:E93)</f>
        <v>67201.8677160008</v>
      </c>
      <c r="F94" s="301" t="n">
        <f aca="false">SUM(F90:F93)</f>
        <v>66670.5643179385</v>
      </c>
      <c r="G94" s="301" t="n">
        <f aca="false">SUM(G90:G93)</f>
        <v>66438.6683770609</v>
      </c>
    </row>
    <row r="95" customFormat="false" ht="15" hidden="false" customHeight="true" outlineLevel="0" collapsed="false">
      <c r="A95" s="286" t="s">
        <v>94</v>
      </c>
      <c r="B95" s="297" t="n">
        <f aca="false">Datos!G24</f>
        <v>84732</v>
      </c>
      <c r="C95" s="297" t="n">
        <f aca="false">B95+C78+C79</f>
        <v>87495.239212766</v>
      </c>
      <c r="D95" s="297" t="n">
        <f aca="false">C95+D78+D79</f>
        <v>90223.7697707617</v>
      </c>
      <c r="E95" s="297" t="n">
        <f aca="false">D95+E78+E79</f>
        <v>93060.7858538337</v>
      </c>
      <c r="F95" s="297" t="n">
        <f aca="false">E95+F78+F79</f>
        <v>96055.5191675998</v>
      </c>
      <c r="G95" s="297" t="n">
        <f aca="false">F95+G78+G79</f>
        <v>99241.2637597592</v>
      </c>
    </row>
    <row r="96" customFormat="false" ht="15" hidden="false" customHeight="true" outlineLevel="0" collapsed="false">
      <c r="A96" s="285" t="s">
        <v>1483</v>
      </c>
      <c r="B96" s="301" t="n">
        <f aca="false">B94+B95</f>
        <v>156038</v>
      </c>
      <c r="C96" s="301" t="n">
        <f aca="false">C94+C95</f>
        <v>157449.483531501</v>
      </c>
      <c r="D96" s="301" t="n">
        <f aca="false">D94+D95</f>
        <v>158388.503616379</v>
      </c>
      <c r="E96" s="301" t="n">
        <f aca="false">E94+E95</f>
        <v>160262.653569834</v>
      </c>
      <c r="F96" s="301" t="n">
        <f aca="false">F94+F95</f>
        <v>162726.083485538</v>
      </c>
      <c r="G96" s="301" t="n">
        <f aca="false">G94+G95</f>
        <v>165679.93213682</v>
      </c>
    </row>
    <row r="97" customFormat="false" ht="15" hidden="false" customHeight="true" outlineLevel="0" collapsed="false">
      <c r="A97" s="286" t="s">
        <v>1484</v>
      </c>
      <c r="B97" s="297" t="n">
        <f aca="false">B89-B96</f>
        <v>0</v>
      </c>
      <c r="C97" s="297" t="n">
        <f aca="false">C89-C96</f>
        <v>0</v>
      </c>
      <c r="D97" s="297" t="n">
        <f aca="false">D89-D96</f>
        <v>0</v>
      </c>
      <c r="E97" s="297" t="n">
        <f aca="false">E89-E96</f>
        <v>0</v>
      </c>
      <c r="F97" s="297" t="n">
        <f aca="false">F89-F96</f>
        <v>0</v>
      </c>
      <c r="G97" s="297" t="n">
        <f aca="false">G89-G96</f>
        <v>0</v>
      </c>
    </row>
    <row r="98" customFormat="false" ht="15" hidden="false" customHeight="true" outlineLevel="0" collapsed="false">
      <c r="A98" s="298"/>
      <c r="B98" s="298"/>
      <c r="C98" s="298"/>
      <c r="D98" s="298"/>
      <c r="E98" s="298"/>
      <c r="F98" s="298"/>
      <c r="G98" s="298"/>
    </row>
    <row r="99" customFormat="false" ht="15" hidden="false" customHeight="true" outlineLevel="0" collapsed="false">
      <c r="A99" s="285" t="s">
        <v>1888</v>
      </c>
      <c r="B99" s="300" t="s">
        <v>1428</v>
      </c>
      <c r="C99" s="300" t="s">
        <v>1429</v>
      </c>
      <c r="D99" s="300" t="s">
        <v>1430</v>
      </c>
      <c r="E99" s="300" t="s">
        <v>1431</v>
      </c>
      <c r="F99" s="300" t="s">
        <v>1432</v>
      </c>
      <c r="G99" s="300" t="s">
        <v>1433</v>
      </c>
    </row>
    <row r="100" customFormat="false" ht="15" hidden="false" customHeight="true" outlineLevel="0" collapsed="false">
      <c r="A100" s="286" t="s">
        <v>89</v>
      </c>
      <c r="B100" s="302"/>
      <c r="C100" s="297" t="n">
        <f aca="false">C78</f>
        <v>3948.29713580921</v>
      </c>
      <c r="D100" s="297" t="n">
        <f aca="false">D78</f>
        <v>3898.70313700379</v>
      </c>
      <c r="E100" s="297" t="n">
        <f aca="false">E78</f>
        <v>4053.71435932444</v>
      </c>
      <c r="F100" s="297" t="n">
        <f aca="false">F78</f>
        <v>4279.07106653259</v>
      </c>
      <c r="G100" s="297" t="n">
        <f aca="false">G78</f>
        <v>4552.00048932859</v>
      </c>
    </row>
    <row r="101" customFormat="false" ht="15" hidden="false" customHeight="true" outlineLevel="0" collapsed="false">
      <c r="A101" s="286" t="s">
        <v>1445</v>
      </c>
      <c r="B101" s="302"/>
      <c r="C101" s="297" t="n">
        <f aca="false">-C72</f>
        <v>4160.2860506537</v>
      </c>
      <c r="D101" s="297" t="n">
        <f aca="false">-D72</f>
        <v>4125.05930161813</v>
      </c>
      <c r="E101" s="297" t="n">
        <f aca="false">-E72</f>
        <v>4193.19960951388</v>
      </c>
      <c r="F101" s="297" t="n">
        <f aca="false">-F72</f>
        <v>4314.00773951118</v>
      </c>
      <c r="G101" s="297" t="n">
        <f aca="false">-G72</f>
        <v>4471.47604025239</v>
      </c>
    </row>
    <row r="102" customFormat="false" ht="15" hidden="false" customHeight="true" outlineLevel="0" collapsed="false">
      <c r="A102" s="286" t="s">
        <v>1486</v>
      </c>
      <c r="B102" s="302"/>
      <c r="C102" s="297" t="n">
        <f aca="false">-(C85-B85)</f>
        <v>1158.13440304656</v>
      </c>
      <c r="D102" s="297" t="n">
        <f aca="false">-(D85-C85)</f>
        <v>222.724409017945</v>
      </c>
      <c r="E102" s="297" t="n">
        <f aca="false">-(E85-D85)</f>
        <v>-173.881744691898</v>
      </c>
      <c r="F102" s="297" t="n">
        <f aca="false">-(F85-E85)</f>
        <v>-874.106491096674</v>
      </c>
      <c r="G102" s="297" t="n">
        <f aca="false">-(G85-F85)</f>
        <v>-1144.27777205744</v>
      </c>
    </row>
    <row r="103" customFormat="false" ht="15" hidden="false" customHeight="true" outlineLevel="0" collapsed="false">
      <c r="A103" s="286" t="s">
        <v>1487</v>
      </c>
      <c r="B103" s="302"/>
      <c r="C103" s="297" t="n">
        <f aca="false">-(C86-B86)</f>
        <v>264.357362644396</v>
      </c>
      <c r="D103" s="297" t="n">
        <f aca="false">-(D86-C86)</f>
        <v>56.6183861419049</v>
      </c>
      <c r="E103" s="297" t="n">
        <f aca="false">-(E86-D86)</f>
        <v>-105.045087162952</v>
      </c>
      <c r="F103" s="297" t="n">
        <f aca="false">-(F86-E86)</f>
        <v>-189.444055934203</v>
      </c>
      <c r="G103" s="297" t="n">
        <f aca="false">-(G86-F86)</f>
        <v>-247.997955011111</v>
      </c>
    </row>
    <row r="104" customFormat="false" ht="15" hidden="false" customHeight="true" outlineLevel="0" collapsed="false">
      <c r="A104" s="286" t="s">
        <v>1446</v>
      </c>
      <c r="B104" s="302"/>
      <c r="C104" s="297" t="n">
        <f aca="false">-C67*C51</f>
        <v>-3839.6039127484</v>
      </c>
      <c r="D104" s="297" t="n">
        <f aca="false">-D67*D51</f>
        <v>-3348.45201880618</v>
      </c>
      <c r="E104" s="297" t="n">
        <f aca="false">-E67*E51</f>
        <v>-3395.15158678181</v>
      </c>
      <c r="F104" s="297" t="n">
        <f aca="false">-F67*F51</f>
        <v>-3484.11894000645</v>
      </c>
      <c r="G104" s="297" t="n">
        <f aca="false">-G67*G51</f>
        <v>-3602.13549742085</v>
      </c>
    </row>
    <row r="105" customFormat="false" ht="15" hidden="false" customHeight="true" outlineLevel="0" collapsed="false">
      <c r="A105" s="286" t="s">
        <v>1488</v>
      </c>
      <c r="B105" s="302"/>
      <c r="C105" s="297" t="n">
        <f aca="false">C90-B90</f>
        <v>-1351.75568126453</v>
      </c>
      <c r="D105" s="297" t="n">
        <f aca="false">D90-C90</f>
        <v>-289.510473117785</v>
      </c>
      <c r="E105" s="297" t="n">
        <f aca="false">E90-D90</f>
        <v>537.133870383077</v>
      </c>
      <c r="F105" s="297" t="n">
        <f aca="false">F90-E90</f>
        <v>968.696601937758</v>
      </c>
      <c r="G105" s="297" t="n">
        <f aca="false">G90-F90</f>
        <v>1268.10405912242</v>
      </c>
    </row>
    <row r="106" customFormat="false" ht="15" hidden="false" customHeight="true" outlineLevel="0" collapsed="false">
      <c r="A106" s="286" t="s">
        <v>2692</v>
      </c>
      <c r="B106" s="302"/>
      <c r="C106" s="297" t="n">
        <f aca="false">C79</f>
        <v>-1185.05792304324</v>
      </c>
      <c r="D106" s="297" t="n">
        <f aca="false">D79</f>
        <v>-1170.17257900803</v>
      </c>
      <c r="E106" s="297" t="n">
        <f aca="false">E79</f>
        <v>-1216.69827625246</v>
      </c>
      <c r="F106" s="297" t="n">
        <f aca="false">F79</f>
        <v>-1284.33775276648</v>
      </c>
      <c r="G106" s="297" t="n">
        <f aca="false">G79</f>
        <v>-1366.25589716919</v>
      </c>
    </row>
    <row r="107" customFormat="false" ht="15" hidden="false" customHeight="true" outlineLevel="0" collapsed="false">
      <c r="A107" s="286" t="s">
        <v>2693</v>
      </c>
      <c r="B107" s="302"/>
      <c r="C107" s="297" t="n">
        <f aca="false">C91-B91</f>
        <v>0</v>
      </c>
      <c r="D107" s="297" t="n">
        <f aca="false">D91-C91</f>
        <v>-1500</v>
      </c>
      <c r="E107" s="297" t="n">
        <f aca="false">E91-D91</f>
        <v>-1500</v>
      </c>
      <c r="F107" s="297" t="n">
        <f aca="false">F91-E91</f>
        <v>-1500</v>
      </c>
      <c r="G107" s="297" t="n">
        <f aca="false">G91-F91</f>
        <v>-1500</v>
      </c>
    </row>
    <row r="108" customFormat="false" ht="15" hidden="false" customHeight="true" outlineLevel="0" collapsed="false">
      <c r="A108" s="285" t="s">
        <v>1894</v>
      </c>
      <c r="B108" s="300"/>
      <c r="C108" s="301" t="n">
        <f aca="false">SUM(C100:C107)</f>
        <v>3154.65743509769</v>
      </c>
      <c r="D108" s="301" t="n">
        <f aca="false">SUM(D100:D107)</f>
        <v>1994.97016284977</v>
      </c>
      <c r="E108" s="301" t="n">
        <f aca="false">SUM(E100:E107)</f>
        <v>2393.27114433228</v>
      </c>
      <c r="F108" s="301" t="n">
        <f aca="false">SUM(F100:F107)</f>
        <v>2229.76816817772</v>
      </c>
      <c r="G108" s="301" t="n">
        <f aca="false">SUM(G100:G107)</f>
        <v>2430.91346704482</v>
      </c>
    </row>
    <row r="109" customFormat="false" ht="15" hidden="false" customHeight="true" outlineLevel="0" collapsed="false">
      <c r="A109" s="298"/>
      <c r="B109" s="298"/>
      <c r="C109" s="298"/>
      <c r="D109" s="298"/>
      <c r="E109" s="298"/>
      <c r="F109" s="298"/>
      <c r="G109" s="298"/>
    </row>
    <row r="110" customFormat="false" ht="15" hidden="false" customHeight="true" outlineLevel="0" collapsed="false">
      <c r="A110" s="285" t="s">
        <v>1895</v>
      </c>
      <c r="B110" s="300" t="s">
        <v>1428</v>
      </c>
      <c r="C110" s="300" t="s">
        <v>1429</v>
      </c>
      <c r="D110" s="300" t="s">
        <v>1430</v>
      </c>
      <c r="E110" s="300" t="s">
        <v>1431</v>
      </c>
      <c r="F110" s="300" t="s">
        <v>1432</v>
      </c>
      <c r="G110" s="300" t="s">
        <v>1433</v>
      </c>
    </row>
    <row r="111" customFormat="false" ht="15" hidden="false" customHeight="true" outlineLevel="0" collapsed="false">
      <c r="A111" s="286" t="s">
        <v>81</v>
      </c>
      <c r="B111" s="302"/>
      <c r="C111" s="297" t="n">
        <f aca="false">C73</f>
        <v>7752.11540203778</v>
      </c>
      <c r="D111" s="297" t="n">
        <f aca="false">D73</f>
        <v>7650.91848645569</v>
      </c>
      <c r="E111" s="297" t="n">
        <f aca="false">E73</f>
        <v>7760.84883780672</v>
      </c>
      <c r="F111" s="297" t="n">
        <f aca="false">F73</f>
        <v>7972.8439987581</v>
      </c>
      <c r="G111" s="297" t="n">
        <f aca="false">G73</f>
        <v>8257.3548162457</v>
      </c>
    </row>
    <row r="112" customFormat="false" ht="15" hidden="false" customHeight="true" outlineLevel="0" collapsed="false">
      <c r="A112" s="286" t="s">
        <v>1443</v>
      </c>
      <c r="B112" s="302"/>
      <c r="C112" s="297" t="n">
        <f aca="false">-C111*C55</f>
        <v>-2073.84747976423</v>
      </c>
      <c r="D112" s="297" t="n">
        <f aca="false">-D111*D55</f>
        <v>-2073.55347514916</v>
      </c>
      <c r="E112" s="297" t="n">
        <f aca="false">-E111*E55</f>
        <v>-2147.29883358792</v>
      </c>
      <c r="F112" s="297" t="n">
        <f aca="false">-F111*F55</f>
        <v>-2251.10700159636</v>
      </c>
      <c r="G112" s="297" t="n">
        <f aca="false">-G111*G55</f>
        <v>-2378.20159541</v>
      </c>
    </row>
    <row r="113" customFormat="false" ht="15" hidden="false" customHeight="true" outlineLevel="0" collapsed="false">
      <c r="A113" s="286" t="s">
        <v>2694</v>
      </c>
      <c r="B113" s="302"/>
      <c r="C113" s="297" t="n">
        <f aca="false">C111+C112</f>
        <v>5678.26792227355</v>
      </c>
      <c r="D113" s="297" t="n">
        <f aca="false">D111+D112</f>
        <v>5577.36501130653</v>
      </c>
      <c r="E113" s="297" t="n">
        <f aca="false">E111+E112</f>
        <v>5613.5500042188</v>
      </c>
      <c r="F113" s="297" t="n">
        <f aca="false">F111+F112</f>
        <v>5721.73699716174</v>
      </c>
      <c r="G113" s="297" t="n">
        <f aca="false">G111+G112</f>
        <v>5879.1532208357</v>
      </c>
    </row>
    <row r="114" customFormat="false" ht="15" hidden="false" customHeight="true" outlineLevel="0" collapsed="false">
      <c r="A114" s="286" t="s">
        <v>1445</v>
      </c>
      <c r="B114" s="302"/>
      <c r="C114" s="297" t="n">
        <f aca="false">C101</f>
        <v>4160.2860506537</v>
      </c>
      <c r="D114" s="297" t="n">
        <f aca="false">D101</f>
        <v>4125.05930161813</v>
      </c>
      <c r="E114" s="297" t="n">
        <f aca="false">E101</f>
        <v>4193.19960951388</v>
      </c>
      <c r="F114" s="297" t="n">
        <f aca="false">F101</f>
        <v>4314.00773951118</v>
      </c>
      <c r="G114" s="297" t="n">
        <f aca="false">G101</f>
        <v>4471.47604025239</v>
      </c>
    </row>
    <row r="115" customFormat="false" ht="15" hidden="false" customHeight="true" outlineLevel="0" collapsed="false">
      <c r="A115" s="286" t="s">
        <v>1446</v>
      </c>
      <c r="B115" s="302"/>
      <c r="C115" s="297" t="n">
        <f aca="false">C104</f>
        <v>-3839.6039127484</v>
      </c>
      <c r="D115" s="297" t="n">
        <f aca="false">D104</f>
        <v>-3348.45201880618</v>
      </c>
      <c r="E115" s="297" t="n">
        <f aca="false">E104</f>
        <v>-3395.15158678181</v>
      </c>
      <c r="F115" s="297" t="n">
        <f aca="false">F104</f>
        <v>-3484.11894000645</v>
      </c>
      <c r="G115" s="297" t="n">
        <f aca="false">G104</f>
        <v>-3602.13549742085</v>
      </c>
    </row>
    <row r="116" customFormat="false" ht="15" hidden="false" customHeight="true" outlineLevel="0" collapsed="false">
      <c r="A116" s="286" t="s">
        <v>1447</v>
      </c>
      <c r="B116" s="302"/>
      <c r="C116" s="297" t="n">
        <f aca="false">C102+C103+C105</f>
        <v>70.7360844264204</v>
      </c>
      <c r="D116" s="297" t="n">
        <f aca="false">D102+D103+D105</f>
        <v>-10.1676779579357</v>
      </c>
      <c r="E116" s="297" t="n">
        <f aca="false">E102+E103+E105</f>
        <v>258.207038528227</v>
      </c>
      <c r="F116" s="297" t="n">
        <f aca="false">F102+F103+F105</f>
        <v>-94.8539450931194</v>
      </c>
      <c r="G116" s="297" t="n">
        <f aca="false">G102+G103+G105</f>
        <v>-124.17166794613</v>
      </c>
    </row>
    <row r="117" customFormat="false" ht="15" hidden="false" customHeight="true" outlineLevel="0" collapsed="false">
      <c r="A117" s="285" t="s">
        <v>2695</v>
      </c>
      <c r="B117" s="300"/>
      <c r="C117" s="301" t="n">
        <f aca="false">SUM(C113:C116)</f>
        <v>6069.68614460528</v>
      </c>
      <c r="D117" s="301" t="n">
        <f aca="false">SUM(D113:D116)</f>
        <v>6343.80461616054</v>
      </c>
      <c r="E117" s="301" t="n">
        <f aca="false">SUM(E113:E116)</f>
        <v>6669.8050654791</v>
      </c>
      <c r="F117" s="301" t="n">
        <f aca="false">SUM(F113:F116)</f>
        <v>6456.77185157335</v>
      </c>
      <c r="G117" s="301" t="n">
        <f aca="false">SUM(G113:G116)</f>
        <v>6624.32209572111</v>
      </c>
    </row>
    <row r="118" customFormat="false" ht="15" hidden="false" customHeight="true" outlineLevel="0" collapsed="false">
      <c r="A118" s="286" t="s">
        <v>1441</v>
      </c>
      <c r="B118" s="302"/>
      <c r="C118" s="303" t="n">
        <v>1</v>
      </c>
      <c r="D118" s="303" t="n">
        <f aca="false">C118+1</f>
        <v>2</v>
      </c>
      <c r="E118" s="303" t="n">
        <f aca="false">D118+1</f>
        <v>3</v>
      </c>
      <c r="F118" s="303" t="n">
        <f aca="false">E118+1</f>
        <v>4</v>
      </c>
      <c r="G118" s="303" t="n">
        <f aca="false">F118+1</f>
        <v>5</v>
      </c>
    </row>
    <row r="119" customFormat="false" ht="15" hidden="false" customHeight="true" outlineLevel="0" collapsed="false">
      <c r="A119" s="286" t="s">
        <v>1449</v>
      </c>
      <c r="B119" s="302"/>
      <c r="C119" s="304" t="n">
        <f aca="false">1/(1+$B$126)^C118</f>
        <v>0.912011219996489</v>
      </c>
      <c r="D119" s="304" t="n">
        <f aca="false">1/(1+$B$126)^D118</f>
        <v>0.831764465399484</v>
      </c>
      <c r="E119" s="304" t="n">
        <f aca="false">1/(1+$B$126)^E118</f>
        <v>0.75857852483871</v>
      </c>
      <c r="F119" s="304" t="n">
        <f aca="false">1/(1+$B$126)^F118</f>
        <v>0.691832125901289</v>
      </c>
      <c r="G119" s="304" t="n">
        <f aca="false">1/(1+$B$126)^G118</f>
        <v>0.630958661175999</v>
      </c>
    </row>
    <row r="120" customFormat="false" ht="15" hidden="false" customHeight="true" outlineLevel="0" collapsed="false">
      <c r="A120" s="286" t="s">
        <v>1450</v>
      </c>
      <c r="B120" s="302"/>
      <c r="C120" s="297" t="n">
        <f aca="false">C117*C119</f>
        <v>5535.62186573724</v>
      </c>
      <c r="D120" s="297" t="n">
        <f aca="false">D117*D119</f>
        <v>5276.55125515955</v>
      </c>
      <c r="E120" s="297" t="n">
        <f aca="false">E117*E119</f>
        <v>5059.57088753289</v>
      </c>
      <c r="F120" s="297" t="n">
        <f aca="false">F117*F119</f>
        <v>4467.00219653359</v>
      </c>
      <c r="G120" s="297" t="n">
        <f aca="false">G117*G119</f>
        <v>4179.67340071478</v>
      </c>
    </row>
    <row r="121" customFormat="false" ht="15" hidden="false" customHeight="true" outlineLevel="0" collapsed="false">
      <c r="A121" s="298"/>
      <c r="B121" s="298"/>
      <c r="C121" s="298"/>
      <c r="D121" s="298"/>
      <c r="E121" s="298"/>
      <c r="F121" s="298"/>
      <c r="G121" s="298"/>
    </row>
    <row r="122" customFormat="false" ht="15" hidden="false" customHeight="true" outlineLevel="0" collapsed="false">
      <c r="A122" s="285" t="s">
        <v>1901</v>
      </c>
      <c r="B122" s="300" t="s">
        <v>78</v>
      </c>
      <c r="C122" s="300"/>
      <c r="D122" s="300"/>
      <c r="E122" s="300"/>
      <c r="F122" s="300"/>
      <c r="G122" s="300"/>
    </row>
    <row r="123" customFormat="false" ht="15" hidden="false" customHeight="true" outlineLevel="0" collapsed="false">
      <c r="A123" s="286" t="s">
        <v>1903</v>
      </c>
      <c r="B123" s="296" t="n">
        <f aca="false">Escenarios!$I$11</f>
        <v>0.035</v>
      </c>
      <c r="C123" s="302"/>
      <c r="D123" s="302"/>
      <c r="E123" s="302"/>
      <c r="F123" s="302"/>
      <c r="G123" s="302"/>
    </row>
    <row r="124" customFormat="false" ht="15" hidden="false" customHeight="true" outlineLevel="0" collapsed="false">
      <c r="A124" s="286" t="s">
        <v>1904</v>
      </c>
      <c r="B124" s="296" t="n">
        <f aca="false">B220</f>
        <v>0.0964777385127455</v>
      </c>
      <c r="C124" s="302"/>
      <c r="D124" s="302"/>
      <c r="E124" s="302"/>
      <c r="F124" s="302"/>
      <c r="G124" s="302"/>
    </row>
    <row r="125" customFormat="false" ht="15" hidden="false" customHeight="true" outlineLevel="0" collapsed="false">
      <c r="A125" s="286" t="s">
        <v>1905</v>
      </c>
      <c r="B125" s="296" t="n">
        <v>0</v>
      </c>
      <c r="C125" s="302"/>
      <c r="D125" s="302"/>
      <c r="E125" s="302"/>
      <c r="F125" s="302"/>
      <c r="G125" s="302"/>
    </row>
    <row r="126" customFormat="false" ht="15" hidden="false" customHeight="true" outlineLevel="0" collapsed="false">
      <c r="A126" s="286" t="s">
        <v>1906</v>
      </c>
      <c r="B126" s="296" t="n">
        <f aca="false">B124+B125</f>
        <v>0.0964777385127455</v>
      </c>
      <c r="C126" s="302"/>
      <c r="D126" s="302"/>
      <c r="E126" s="302"/>
      <c r="F126" s="302"/>
      <c r="G126" s="302"/>
    </row>
    <row r="127" customFormat="false" ht="15" hidden="false" customHeight="true" outlineLevel="0" collapsed="false">
      <c r="A127" s="286" t="s">
        <v>1907</v>
      </c>
      <c r="B127" s="297" t="n">
        <f aca="false">G117</f>
        <v>6624.32209572111</v>
      </c>
      <c r="C127" s="302"/>
      <c r="D127" s="302"/>
      <c r="E127" s="302"/>
      <c r="F127" s="302"/>
      <c r="G127" s="302"/>
    </row>
    <row r="128" customFormat="false" ht="15" hidden="false" customHeight="true" outlineLevel="0" collapsed="false">
      <c r="A128" s="286" t="s">
        <v>2696</v>
      </c>
      <c r="B128" s="297" t="n">
        <f aca="false">B127*(1+B123)</f>
        <v>6856.17336907135</v>
      </c>
      <c r="C128" s="302"/>
      <c r="D128" s="302"/>
      <c r="E128" s="302"/>
      <c r="F128" s="302"/>
      <c r="G128" s="302"/>
    </row>
    <row r="129" customFormat="false" ht="15" hidden="false" customHeight="true" outlineLevel="0" collapsed="false">
      <c r="A129" s="285" t="s">
        <v>2697</v>
      </c>
      <c r="B129" s="301" t="n">
        <f aca="false">IF(B126&gt;B123,B128/(B126-B123),"REVISAR WACC/g")</f>
        <v>111522.862339023</v>
      </c>
      <c r="C129" s="300"/>
      <c r="D129" s="300"/>
      <c r="E129" s="300"/>
      <c r="F129" s="300"/>
      <c r="G129" s="300"/>
    </row>
    <row r="130" customFormat="false" ht="15" hidden="false" customHeight="true" outlineLevel="0" collapsed="false">
      <c r="A130" s="286" t="s">
        <v>1910</v>
      </c>
      <c r="B130" s="304" t="n">
        <f aca="false">G119</f>
        <v>0.630958661175999</v>
      </c>
      <c r="C130" s="302"/>
      <c r="D130" s="302"/>
      <c r="E130" s="302"/>
      <c r="F130" s="302"/>
      <c r="G130" s="302"/>
    </row>
    <row r="131" customFormat="false" ht="15" hidden="false" customHeight="true" outlineLevel="0" collapsed="false">
      <c r="A131" s="286" t="s">
        <v>1498</v>
      </c>
      <c r="B131" s="297" t="n">
        <f aca="false">B129*B130</f>
        <v>70366.315911945</v>
      </c>
      <c r="C131" s="302"/>
      <c r="D131" s="302"/>
      <c r="E131" s="302"/>
      <c r="F131" s="302"/>
      <c r="G131" s="302"/>
    </row>
    <row r="132" customFormat="false" ht="15" hidden="false" customHeight="true" outlineLevel="0" collapsed="false">
      <c r="A132" s="298"/>
      <c r="B132" s="298"/>
      <c r="C132" s="298"/>
      <c r="D132" s="298"/>
      <c r="E132" s="298"/>
      <c r="F132" s="298"/>
      <c r="G132" s="298"/>
    </row>
    <row r="133" customFormat="false" ht="15" hidden="false" customHeight="true" outlineLevel="0" collapsed="false">
      <c r="A133" s="285" t="s">
        <v>1911</v>
      </c>
      <c r="B133" s="300" t="s">
        <v>78</v>
      </c>
      <c r="C133" s="300"/>
      <c r="D133" s="300"/>
      <c r="E133" s="300"/>
      <c r="F133" s="300"/>
      <c r="G133" s="300"/>
    </row>
    <row r="134" customFormat="false" ht="15" hidden="false" customHeight="true" outlineLevel="0" collapsed="false">
      <c r="A134" s="286" t="s">
        <v>1913</v>
      </c>
      <c r="B134" s="297" t="n">
        <f aca="false">SUM(C120:G120)</f>
        <v>24518.4196056781</v>
      </c>
      <c r="C134" s="302"/>
      <c r="D134" s="302"/>
      <c r="E134" s="302"/>
      <c r="F134" s="302"/>
      <c r="G134" s="302"/>
    </row>
    <row r="135" customFormat="false" ht="15" hidden="false" customHeight="true" outlineLevel="0" collapsed="false">
      <c r="A135" s="286" t="s">
        <v>1914</v>
      </c>
      <c r="B135" s="297" t="n">
        <f aca="false">B131</f>
        <v>70366.315911945</v>
      </c>
      <c r="C135" s="302"/>
      <c r="D135" s="302"/>
      <c r="E135" s="302"/>
      <c r="F135" s="302"/>
      <c r="G135" s="302"/>
    </row>
    <row r="136" customFormat="false" ht="15" hidden="false" customHeight="true" outlineLevel="0" collapsed="false">
      <c r="A136" s="285" t="s">
        <v>1915</v>
      </c>
      <c r="B136" s="301" t="n">
        <f aca="false">B134+B135</f>
        <v>94884.7355176231</v>
      </c>
      <c r="C136" s="300"/>
      <c r="D136" s="300"/>
      <c r="E136" s="300"/>
      <c r="F136" s="300"/>
      <c r="G136" s="300"/>
    </row>
    <row r="137" customFormat="false" ht="15" hidden="false" customHeight="true" outlineLevel="0" collapsed="false">
      <c r="A137" s="286" t="s">
        <v>1461</v>
      </c>
      <c r="B137" s="295" t="n">
        <f aca="false">B135/B136</f>
        <v>0.741597850571821</v>
      </c>
      <c r="C137" s="302"/>
      <c r="D137" s="302"/>
      <c r="E137" s="302"/>
      <c r="F137" s="302"/>
      <c r="G137" s="302"/>
    </row>
    <row r="138" customFormat="false" ht="15" hidden="false" customHeight="true" outlineLevel="0" collapsed="false">
      <c r="A138" s="298"/>
      <c r="B138" s="298"/>
      <c r="C138" s="298"/>
      <c r="D138" s="298"/>
      <c r="E138" s="298"/>
      <c r="F138" s="298"/>
      <c r="G138" s="298"/>
    </row>
    <row r="139" customFormat="false" ht="15" hidden="false" customHeight="true" outlineLevel="0" collapsed="false">
      <c r="A139" s="285" t="s">
        <v>1916</v>
      </c>
      <c r="B139" s="300" t="s">
        <v>78</v>
      </c>
      <c r="C139" s="300"/>
      <c r="D139" s="300"/>
      <c r="E139" s="300"/>
      <c r="F139" s="300"/>
      <c r="G139" s="300"/>
    </row>
    <row r="140" customFormat="false" ht="15" hidden="false" customHeight="true" outlineLevel="0" collapsed="false">
      <c r="A140" s="286" t="s">
        <v>1915</v>
      </c>
      <c r="B140" s="297" t="n">
        <f aca="false">B136</f>
        <v>94884.7355176231</v>
      </c>
      <c r="C140" s="302"/>
      <c r="D140" s="302"/>
      <c r="E140" s="302"/>
      <c r="F140" s="302"/>
      <c r="G140" s="302"/>
    </row>
    <row r="141" customFormat="false" ht="15" hidden="false" customHeight="true" outlineLevel="0" collapsed="false">
      <c r="A141" s="286" t="s">
        <v>1502</v>
      </c>
      <c r="B141" s="297" t="n">
        <f aca="false">-B91</f>
        <v>-11500</v>
      </c>
      <c r="C141" s="302"/>
      <c r="D141" s="302"/>
      <c r="E141" s="302"/>
      <c r="F141" s="302"/>
      <c r="G141" s="302"/>
    </row>
    <row r="142" customFormat="false" ht="15" hidden="false" customHeight="true" outlineLevel="0" collapsed="false">
      <c r="A142" s="286" t="s">
        <v>1503</v>
      </c>
      <c r="B142" s="297" t="n">
        <f aca="false">-B92</f>
        <v>-12118</v>
      </c>
      <c r="C142" s="302"/>
      <c r="D142" s="302"/>
      <c r="E142" s="302"/>
      <c r="F142" s="302"/>
      <c r="G142" s="302"/>
    </row>
    <row r="143" customFormat="false" ht="15" hidden="false" customHeight="true" outlineLevel="0" collapsed="false">
      <c r="A143" s="286" t="s">
        <v>1504</v>
      </c>
      <c r="B143" s="297" t="n">
        <f aca="false">B84</f>
        <v>9295</v>
      </c>
      <c r="C143" s="302"/>
      <c r="D143" s="302"/>
      <c r="E143" s="302"/>
      <c r="F143" s="302"/>
      <c r="G143" s="302"/>
    </row>
    <row r="144" customFormat="false" ht="15" hidden="false" customHeight="true" outlineLevel="0" collapsed="false">
      <c r="A144" s="286" t="s">
        <v>1920</v>
      </c>
      <c r="B144" s="297" t="n">
        <f aca="false">-(B141+B142+B143)</f>
        <v>14323</v>
      </c>
      <c r="C144" s="302"/>
      <c r="D144" s="302"/>
      <c r="E144" s="302"/>
      <c r="F144" s="302"/>
      <c r="G144" s="302"/>
    </row>
    <row r="145" customFormat="false" ht="15" hidden="false" customHeight="true" outlineLevel="0" collapsed="false">
      <c r="A145" s="285" t="s">
        <v>1921</v>
      </c>
      <c r="B145" s="301" t="n">
        <f aca="false">SUM(B140:B143)</f>
        <v>80561.7355176231</v>
      </c>
      <c r="C145" s="300"/>
      <c r="D145" s="300"/>
      <c r="E145" s="300"/>
      <c r="F145" s="300"/>
      <c r="G145" s="300"/>
    </row>
    <row r="146" customFormat="false" ht="15" hidden="false" customHeight="true" outlineLevel="0" collapsed="false">
      <c r="A146" s="298"/>
      <c r="B146" s="298"/>
      <c r="C146" s="298"/>
      <c r="D146" s="298"/>
      <c r="E146" s="298"/>
      <c r="F146" s="298"/>
      <c r="G146" s="298"/>
    </row>
    <row r="147" customFormat="false" ht="15" hidden="false" customHeight="true" outlineLevel="0" collapsed="false">
      <c r="A147" s="285" t="s">
        <v>1922</v>
      </c>
      <c r="B147" s="300" t="s">
        <v>78</v>
      </c>
      <c r="C147" s="300"/>
      <c r="D147" s="300"/>
      <c r="E147" s="300"/>
      <c r="F147" s="300"/>
      <c r="G147" s="300"/>
    </row>
    <row r="148" customFormat="false" ht="15" hidden="false" customHeight="true" outlineLevel="0" collapsed="false">
      <c r="A148" s="286" t="s">
        <v>1924</v>
      </c>
      <c r="B148" s="297" t="n">
        <f aca="false">B145</f>
        <v>80561.7355176231</v>
      </c>
      <c r="C148" s="302"/>
      <c r="D148" s="302"/>
      <c r="E148" s="302"/>
      <c r="F148" s="302"/>
      <c r="G148" s="302"/>
    </row>
    <row r="149" customFormat="false" ht="15" hidden="false" customHeight="true" outlineLevel="0" collapsed="false">
      <c r="A149" s="286" t="s">
        <v>57</v>
      </c>
      <c r="B149" s="305" t="n">
        <f aca="false">Valuación!B40</f>
        <v>1800</v>
      </c>
      <c r="C149" s="302"/>
      <c r="D149" s="302"/>
      <c r="E149" s="302"/>
      <c r="F149" s="302"/>
      <c r="G149" s="302"/>
    </row>
    <row r="150" customFormat="false" ht="15" hidden="false" customHeight="true" outlineLevel="0" collapsed="false">
      <c r="A150" s="285" t="s">
        <v>1925</v>
      </c>
      <c r="B150" s="306" t="n">
        <f aca="false">B148/B149</f>
        <v>44.7565197320128</v>
      </c>
      <c r="C150" s="300"/>
      <c r="D150" s="300"/>
      <c r="E150" s="300"/>
      <c r="F150" s="300"/>
      <c r="G150" s="300"/>
    </row>
    <row r="151" customFormat="false" ht="15" hidden="false" customHeight="true" outlineLevel="0" collapsed="false">
      <c r="A151" s="286" t="s">
        <v>16</v>
      </c>
      <c r="B151" s="307" t="n">
        <f aca="false">Valuación!B42</f>
        <v>33.1</v>
      </c>
      <c r="C151" s="302"/>
      <c r="D151" s="302"/>
      <c r="E151" s="302"/>
      <c r="F151" s="302"/>
      <c r="G151" s="302"/>
    </row>
    <row r="152" customFormat="false" ht="15" hidden="false" customHeight="true" outlineLevel="0" collapsed="false">
      <c r="A152" s="286" t="s">
        <v>17</v>
      </c>
      <c r="B152" s="295" t="n">
        <f aca="false">B150/B151-1</f>
        <v>0.352160716979239</v>
      </c>
      <c r="C152" s="302"/>
      <c r="D152" s="302"/>
      <c r="E152" s="302"/>
      <c r="F152" s="302"/>
      <c r="G152" s="302"/>
    </row>
    <row r="153" customFormat="false" ht="15" hidden="false" customHeight="true" outlineLevel="0" collapsed="false">
      <c r="A153" s="286" t="s">
        <v>1926</v>
      </c>
      <c r="B153" s="307" t="n">
        <f aca="false">'Proyección Soriana'!B85</f>
        <v>50.1939335833512</v>
      </c>
      <c r="C153" s="302"/>
      <c r="D153" s="302"/>
      <c r="E153" s="302"/>
      <c r="F153" s="302"/>
      <c r="G153" s="302"/>
    </row>
    <row r="154" customFormat="false" ht="15" hidden="false" customHeight="true" outlineLevel="0" collapsed="false">
      <c r="A154" s="286" t="s">
        <v>1927</v>
      </c>
      <c r="B154" s="295" t="n">
        <f aca="false">B150/B153-1</f>
        <v>-0.108328107864053</v>
      </c>
      <c r="C154" s="302"/>
      <c r="D154" s="302"/>
      <c r="E154" s="302"/>
      <c r="F154" s="302"/>
      <c r="G154" s="302"/>
    </row>
    <row r="155" customFormat="false" ht="15" hidden="false" customHeight="true" outlineLevel="0" collapsed="false">
      <c r="A155" s="286" t="s">
        <v>2698</v>
      </c>
      <c r="B155" s="295" t="n">
        <v>0.15</v>
      </c>
      <c r="C155" s="302"/>
      <c r="D155" s="302"/>
      <c r="E155" s="302"/>
      <c r="F155" s="302"/>
      <c r="G155" s="302"/>
    </row>
    <row r="156" customFormat="false" ht="15" hidden="false" customHeight="true" outlineLevel="0" collapsed="false">
      <c r="A156" s="285" t="s">
        <v>1929</v>
      </c>
      <c r="B156" s="300" t="str">
        <f aca="false">IF(B152&gt;B155,"COMPRAR",IF(B152&lt;-B155,"VENDER","MANTENER"))</f>
        <v>COMPRAR</v>
      </c>
      <c r="C156" s="300"/>
      <c r="D156" s="300"/>
      <c r="E156" s="300"/>
      <c r="F156" s="300"/>
      <c r="G156" s="300"/>
    </row>
    <row r="157" customFormat="false" ht="15" hidden="false" customHeight="true" outlineLevel="0" collapsed="false">
      <c r="A157" s="286" t="s">
        <v>1930</v>
      </c>
      <c r="B157" s="302" t="str">
        <f aca="false" t="array" ref="B157:B157">IF(SUMPRODUCT(ABS(B97:G97))&lt;1,"PASS","FAIL")</f>
        <v>PASS</v>
      </c>
      <c r="C157" s="302"/>
      <c r="D157" s="302"/>
      <c r="E157" s="302"/>
      <c r="F157" s="302"/>
      <c r="G157" s="302"/>
    </row>
    <row r="158" customFormat="false" ht="15" hidden="false" customHeight="true" outlineLevel="0" collapsed="false">
      <c r="A158" s="286" t="s">
        <v>1931</v>
      </c>
      <c r="B158" s="302" t="str">
        <f aca="false">IF(B126&gt;B123,"PASS","FAIL")</f>
        <v>PASS</v>
      </c>
      <c r="C158" s="302"/>
      <c r="D158" s="302"/>
      <c r="E158" s="302"/>
      <c r="F158" s="302"/>
      <c r="G158" s="302"/>
    </row>
    <row r="159" customFormat="false" ht="15" hidden="false" customHeight="true" outlineLevel="0" collapsed="false">
      <c r="A159" s="298"/>
      <c r="B159" s="298"/>
      <c r="C159" s="298"/>
      <c r="D159" s="298"/>
      <c r="E159" s="298"/>
      <c r="F159" s="298"/>
      <c r="G159" s="298"/>
    </row>
    <row r="160" customFormat="false" ht="15" hidden="false" customHeight="true" outlineLevel="0" collapsed="false">
      <c r="A160" s="285" t="s">
        <v>1932</v>
      </c>
      <c r="B160" s="300"/>
      <c r="C160" s="300"/>
      <c r="D160" s="300"/>
      <c r="E160" s="300"/>
      <c r="F160" s="300"/>
      <c r="G160" s="300"/>
    </row>
    <row r="161" customFormat="false" ht="15" hidden="false" customHeight="true" outlineLevel="0" collapsed="false">
      <c r="A161" s="286" t="s">
        <v>1934</v>
      </c>
      <c r="B161" s="296" t="n">
        <v>0.005</v>
      </c>
      <c r="C161" s="302"/>
      <c r="D161" s="302"/>
      <c r="E161" s="302"/>
      <c r="F161" s="302"/>
      <c r="G161" s="302"/>
    </row>
    <row r="162" customFormat="false" ht="15" hidden="false" customHeight="true" outlineLevel="0" collapsed="false">
      <c r="A162" s="285" t="s">
        <v>2699</v>
      </c>
      <c r="B162" s="338" t="n">
        <f aca="false">$B$123-2*$B$161</f>
        <v>0.025</v>
      </c>
      <c r="C162" s="338" t="n">
        <f aca="false">B162+$B$161</f>
        <v>0.03</v>
      </c>
      <c r="D162" s="338" t="n">
        <f aca="false">C162+$B$161</f>
        <v>0.035</v>
      </c>
      <c r="E162" s="338" t="n">
        <f aca="false">D162+$B$161</f>
        <v>0.04</v>
      </c>
      <c r="F162" s="338" t="n">
        <f aca="false">E162+$B$161</f>
        <v>0.045</v>
      </c>
      <c r="G162" s="300"/>
    </row>
    <row r="163" customFormat="false" ht="15" hidden="false" customHeight="true" outlineLevel="0" collapsed="false">
      <c r="A163" s="338" t="n">
        <f aca="false">$B$126-2*$B$161</f>
        <v>0.0864777385127455</v>
      </c>
      <c r="B163" s="307" t="n">
        <f aca="false">IF($A163&lt;=B$162,"n.a.",(($B$243*(SUMPRODUCT($C$117:$G$117,(1+$A163)^(-$C$118:$G$118))+$G$117*(1+B$162)/($A163-B$162)*(1+$A163)^-5)+$B$244*(SUMPRODUCT($C$117:$G$117,(1+$A163)^(-$C$118:$G$118))+$B$236*(1+$A163)^-5))*(1+$A163)^$B$253+$B$257+$B$259+$B$260+$B$261)*(1+$B$221)^$B$254/$B$264)</f>
        <v>42.1836234424833</v>
      </c>
      <c r="C163" s="307" t="n">
        <f aca="false">IF($A163&lt;=C$162,"n.a.",(($B$243*(SUMPRODUCT($C$117:$G$117,(1+$A163)^(-$C$118:$G$118))+$G$117*(1+C$162)/($A163-C$162)*(1+$A163)^-5)+$B$244*(SUMPRODUCT($C$117:$G$117,(1+$A163)^(-$C$118:$G$118))+$B$236*(1+$A163)^-5))*(1+$A163)^$B$253+$B$257+$B$259+$B$260+$B$261)*(1+$B$221)^$B$254/$B$264)</f>
        <v>44.2192908419617</v>
      </c>
      <c r="D163" s="307" t="n">
        <f aca="false">IF($A163&lt;=D$162,"n.a.",(($B$243*(SUMPRODUCT($C$117:$G$117,(1+$A163)^(-$C$118:$G$118))+$G$117*(1+D$162)/($A163-D$162)*(1+$A163)^-5)+$B$244*(SUMPRODUCT($C$117:$G$117,(1+$A163)^(-$C$118:$G$118))+$B$236*(1+$A163)^-5))*(1+$A163)^$B$253+$B$257+$B$259+$B$260+$B$261)*(1+$B$221)^$B$254/$B$264)</f>
        <v>46.6504044009433</v>
      </c>
      <c r="E163" s="307" t="n">
        <f aca="false">IF($A163&lt;=E$162,"n.a.",(($B$243*(SUMPRODUCT($C$117:$G$117,(1+$A163)^(-$C$118:$G$118))+$G$117*(1+E$162)/($A163-E$162)*(1+$A163)^-5)+$B$244*(SUMPRODUCT($C$117:$G$117,(1+$A163)^(-$C$118:$G$118))+$B$236*(1+$A163)^-5))*(1+$A163)^$B$253+$B$257+$B$259+$B$260+$B$261)*(1+$B$221)^$B$254/$B$264)</f>
        <v>49.6045884957934</v>
      </c>
      <c r="F163" s="307" t="n">
        <f aca="false">IF($A163&lt;=F$162,"n.a.",(($B$243*(SUMPRODUCT($C$117:$G$117,(1+$A163)^(-$C$118:$G$118))+$G$117*(1+F$162)/($A163-F$162)*(1+$A163)^-5)+$B$244*(SUMPRODUCT($C$117:$G$117,(1+$A163)^(-$C$118:$G$118))+$B$236*(1+$A163)^-5))*(1+$A163)^$B$253+$B$257+$B$259+$B$260+$B$261)*(1+$B$221)^$B$254/$B$264)</f>
        <v>53.2710062371193</v>
      </c>
      <c r="G163" s="302"/>
    </row>
    <row r="164" customFormat="false" ht="15" hidden="false" customHeight="true" outlineLevel="0" collapsed="false">
      <c r="A164" s="338" t="n">
        <f aca="false">A163+$B$161</f>
        <v>0.0914777385127455</v>
      </c>
      <c r="B164" s="307" t="n">
        <f aca="false">IF($A164&lt;=B$162,"n.a.",(($B$243*(SUMPRODUCT($C$117:$G$117,(1+$A164)^(-$C$118:$G$118))+$G$117*(1+B$162)/($A164-B$162)*(1+$A164)^-5)+$B$244*(SUMPRODUCT($C$117:$G$117,(1+$A164)^(-$C$118:$G$118))+$B$236*(1+$A164)^-5))*(1+$A164)^$B$253+$B$257+$B$259+$B$260+$B$261)*(1+$B$221)^$B$254/$B$264)</f>
        <v>39.6827070222495</v>
      </c>
      <c r="C164" s="307" t="n">
        <f aca="false">IF($A164&lt;=C$162,"n.a.",(($B$243*(SUMPRODUCT($C$117:$G$117,(1+$A164)^(-$C$118:$G$118))+$G$117*(1+C$162)/($A164-C$162)*(1+$A164)^-5)+$B$244*(SUMPRODUCT($C$117:$G$117,(1+$A164)^(-$C$118:$G$118))+$B$236*(1+$A164)^-5))*(1+$A164)^$B$253+$B$257+$B$259+$B$260+$B$261)*(1+$B$221)^$B$254/$B$264)</f>
        <v>41.3845861323719</v>
      </c>
      <c r="D164" s="307" t="n">
        <f aca="false">IF($A164&lt;=D$162,"n.a.",(($B$243*(SUMPRODUCT($C$117:$G$117,(1+$A164)^(-$C$118:$G$118))+$G$117*(1+D$162)/($A164-D$162)*(1+$A164)^-5)+$B$244*(SUMPRODUCT($C$117:$G$117,(1+$A164)^(-$C$118:$G$118))+$B$236*(1+$A164)^-5))*(1+$A164)^$B$253+$B$257+$B$259+$B$260+$B$261)*(1+$B$221)^$B$254/$B$264)</f>
        <v>43.3878015131982</v>
      </c>
      <c r="E164" s="307" t="n">
        <f aca="false">IF($A164&lt;=E$162,"n.a.",(($B$243*(SUMPRODUCT($C$117:$G$117,(1+$A164)^(-$C$118:$G$118))+$G$117*(1+E$162)/($A164-E$162)*(1+$A164)^-5)+$B$244*(SUMPRODUCT($C$117:$G$117,(1+$A164)^(-$C$118:$G$118))+$B$236*(1+$A164)^-5))*(1+$A164)^$B$253+$B$257+$B$259+$B$260+$B$261)*(1+$B$221)^$B$254/$B$264)</f>
        <v>45.7801589656659</v>
      </c>
      <c r="F164" s="307" t="n">
        <f aca="false">IF($A164&lt;=F$162,"n.a.",(($B$243*(SUMPRODUCT($C$117:$G$117,(1+$A164)^(-$C$118:$G$118))+$G$117*(1+F$162)/($A164-F$162)*(1+$A164)^-5)+$B$244*(SUMPRODUCT($C$117:$G$117,(1+$A164)^(-$C$118:$G$118))+$B$236*(1+$A164)^-5))*(1+$A164)^$B$253+$B$257+$B$259+$B$260+$B$261)*(1+$B$221)^$B$254/$B$264)</f>
        <v>48.6872483153862</v>
      </c>
      <c r="G164" s="302"/>
    </row>
    <row r="165" customFormat="false" ht="15" hidden="false" customHeight="true" outlineLevel="0" collapsed="false">
      <c r="A165" s="338" t="n">
        <f aca="false">A164+$B$161</f>
        <v>0.0964777385127455</v>
      </c>
      <c r="B165" s="307" t="n">
        <f aca="false">IF($A165&lt;=B$162,"n.a.",(($B$243*(SUMPRODUCT($C$117:$G$117,(1+$A165)^(-$C$118:$G$118))+$G$117*(1+B$162)/($A165-B$162)*(1+$A165)^-5)+$B$244*(SUMPRODUCT($C$117:$G$117,(1+$A165)^(-$C$118:$G$118))+$B$236*(1+$A165)^-5))*(1+$A165)^$B$253+$B$257+$B$259+$B$260+$B$261)*(1+$B$221)^$B$254/$B$264)</f>
        <v>37.4874195497552</v>
      </c>
      <c r="C165" s="307" t="n">
        <f aca="false">IF($A165&lt;=C$162,"n.a.",(($B$243*(SUMPRODUCT($C$117:$G$117,(1+$A165)^(-$C$118:$G$118))+$G$117*(1+C$162)/($A165-C$162)*(1+$A165)^-5)+$B$244*(SUMPRODUCT($C$117:$G$117,(1+$A165)^(-$C$118:$G$118))+$B$236*(1+$A165)^-5))*(1+$A165)^$B$253+$B$257+$B$259+$B$260+$B$261)*(1+$B$221)^$B$254/$B$264)</f>
        <v>38.9279701252113</v>
      </c>
      <c r="D165" s="327" t="n">
        <f aca="false">IF($A165&lt;=D$162,"n.a.",(($B$243*(SUMPRODUCT($C$117:$G$117,(1+$A165)^(-$C$118:$G$118))+$G$117*(1+D$162)/($A165-D$162)*(1+$A165)^-5)+$B$244*(SUMPRODUCT($C$117:$G$117,(1+$A165)^(-$C$118:$G$118))+$B$236*(1+$A165)^-5))*(1+$A165)^$B$253+$B$257+$B$259+$B$260+$B$261)*(1+$B$221)^$B$254/$B$264)</f>
        <v>40.6028413849191</v>
      </c>
      <c r="E165" s="307" t="n">
        <f aca="false">IF($A165&lt;=E$162,"n.a.",(($B$243*(SUMPRODUCT($C$117:$G$117,(1+$A165)^(-$C$118:$G$118))+$G$117*(1+E$162)/($A165-E$162)*(1+$A165)^-5)+$B$244*(SUMPRODUCT($C$117:$G$117,(1+$A165)^(-$C$118:$G$118))+$B$236*(1+$A165)^-5))*(1+$A165)^$B$253+$B$257+$B$259+$B$260+$B$261)*(1+$B$221)^$B$254/$B$264)</f>
        <v>42.5742668806523</v>
      </c>
      <c r="F165" s="307" t="n">
        <f aca="false">IF($A165&lt;=F$162,"n.a.",(($B$243*(SUMPRODUCT($C$117:$G$117,(1+$A165)^(-$C$118:$G$118))+$G$117*(1+F$162)/($A165-F$162)*(1+$A165)^-5)+$B$244*(SUMPRODUCT($C$117:$G$117,(1+$A165)^(-$C$118:$G$118))+$B$236*(1+$A165)^-5))*(1+$A165)^$B$253+$B$257+$B$259+$B$260+$B$261)*(1+$B$221)^$B$254/$B$264)</f>
        <v>44.9286589853876</v>
      </c>
      <c r="G165" s="302"/>
    </row>
    <row r="166" customFormat="false" ht="15" hidden="false" customHeight="true" outlineLevel="0" collapsed="false">
      <c r="A166" s="338" t="n">
        <f aca="false">A165+$B$161</f>
        <v>0.101477738512746</v>
      </c>
      <c r="B166" s="307" t="n">
        <f aca="false">IF($A166&lt;=B$162,"n.a.",(($B$243*(SUMPRODUCT($C$117:$G$117,(1+$A166)^(-$C$118:$G$118))+$G$117*(1+B$162)/($A166-B$162)*(1+$A166)^-5)+$B$244*(SUMPRODUCT($C$117:$G$117,(1+$A166)^(-$C$118:$G$118))+$B$236*(1+$A166)^-5))*(1+$A166)^$B$253+$B$257+$B$259+$B$260+$B$261)*(1+$B$221)^$B$254/$B$264)</f>
        <v>35.5393178556266</v>
      </c>
      <c r="C166" s="307" t="n">
        <f aca="false">IF($A166&lt;=C$162,"n.a.",(($B$243*(SUMPRODUCT($C$117:$G$117,(1+$A166)^(-$C$118:$G$118))+$G$117*(1+C$162)/($A166-C$162)*(1+$A166)^-5)+$B$244*(SUMPRODUCT($C$117:$G$117,(1+$A166)^(-$C$118:$G$118))+$B$236*(1+$A166)^-5))*(1+$A166)^$B$253+$B$257+$B$259+$B$260+$B$261)*(1+$B$221)^$B$254/$B$264)</f>
        <v>36.7717245274835</v>
      </c>
      <c r="D166" s="307" t="n">
        <f aca="false">IF($A166&lt;=D$162,"n.a.",(($B$243*(SUMPRODUCT($C$117:$G$117,(1+$A166)^(-$C$118:$G$118))+$G$117*(1+D$162)/($A166-D$162)*(1+$A166)^-5)+$B$244*(SUMPRODUCT($C$117:$G$117,(1+$A166)^(-$C$118:$G$118))+$B$236*(1+$A166)^-5))*(1+$A166)^$B$253+$B$257+$B$259+$B$260+$B$261)*(1+$B$221)^$B$254/$B$264)</f>
        <v>38.1895175706925</v>
      </c>
      <c r="E166" s="307" t="n">
        <f aca="false">IF($A166&lt;=E$162,"n.a.",(($B$243*(SUMPRODUCT($C$117:$G$117,(1+$A166)^(-$C$118:$G$118))+$G$117*(1+E$162)/($A166-E$162)*(1+$A166)^-5)+$B$244*(SUMPRODUCT($C$117:$G$117,(1+$A166)^(-$C$118:$G$118))+$B$236*(1+$A166)^-5))*(1+$A166)^$B$253+$B$257+$B$259+$B$260+$B$261)*(1+$B$221)^$B$254/$B$264)</f>
        <v>39.8379295464627</v>
      </c>
      <c r="F166" s="307" t="n">
        <f aca="false">IF($A166&lt;=F$162,"n.a.",(($B$243*(SUMPRODUCT($C$117:$G$117,(1+$A166)^(-$C$118:$G$118))+$G$117*(1+F$162)/($A166-F$162)*(1+$A166)^-5)+$B$244*(SUMPRODUCT($C$117:$G$117,(1+$A166)^(-$C$118:$G$118))+$B$236*(1+$A166)^-5))*(1+$A166)^$B$253+$B$257+$B$259+$B$260+$B$261)*(1+$B$221)^$B$254/$B$264)</f>
        <v>41.7782108532612</v>
      </c>
      <c r="G166" s="302"/>
    </row>
    <row r="167" customFormat="false" ht="15" hidden="false" customHeight="true" outlineLevel="0" collapsed="false">
      <c r="A167" s="338" t="n">
        <f aca="false">A166+$B$161</f>
        <v>0.106477738512746</v>
      </c>
      <c r="B167" s="307" t="n">
        <f aca="false">IF($A167&lt;=B$162,"n.a.",(($B$243*(SUMPRODUCT($C$117:$G$117,(1+$A167)^(-$C$118:$G$118))+$G$117*(1+B$162)/($A167-B$162)*(1+$A167)^-5)+$B$244*(SUMPRODUCT($C$117:$G$117,(1+$A167)^(-$C$118:$G$118))+$B$236*(1+$A167)^-5))*(1+$A167)^$B$253+$B$257+$B$259+$B$260+$B$261)*(1+$B$221)^$B$254/$B$264)</f>
        <v>33.7942503585206</v>
      </c>
      <c r="C167" s="307" t="n">
        <f aca="false">IF($A167&lt;=C$162,"n.a.",(($B$243*(SUMPRODUCT($C$117:$G$117,(1+$A167)^(-$C$118:$G$118))+$G$117*(1+C$162)/($A167-C$162)*(1+$A167)^-5)+$B$244*(SUMPRODUCT($C$117:$G$117,(1+$A167)^(-$C$118:$G$118))+$B$236*(1+$A167)^-5))*(1+$A167)^$B$253+$B$257+$B$259+$B$260+$B$261)*(1+$B$221)^$B$254/$B$264)</f>
        <v>34.8583971265874</v>
      </c>
      <c r="D167" s="307" t="n">
        <f aca="false">IF($A167&lt;=D$162,"n.a.",(($B$243*(SUMPRODUCT($C$117:$G$117,(1+$A167)^(-$C$118:$G$118))+$G$117*(1+D$162)/($A167-D$162)*(1+$A167)^-5)+$B$244*(SUMPRODUCT($C$117:$G$117,(1+$A167)^(-$C$118:$G$118))+$B$236*(1+$A167)^-5))*(1+$A167)^$B$253+$B$257+$B$259+$B$260+$B$261)*(1+$B$221)^$B$254/$B$264)</f>
        <v>36.0714219635759</v>
      </c>
      <c r="E167" s="307" t="n">
        <f aca="false">IF($A167&lt;=E$162,"n.a.",(($B$243*(SUMPRODUCT($C$117:$G$117,(1+$A167)^(-$C$118:$G$118))+$G$117*(1+E$162)/($A167-E$162)*(1+$A167)^-5)+$B$244*(SUMPRODUCT($C$117:$G$117,(1+$A167)^(-$C$118:$G$118))+$B$236*(1+$A167)^-5))*(1+$A167)^$B$253+$B$257+$B$259+$B$260+$B$261)*(1+$B$221)^$B$254/$B$264)</f>
        <v>37.466917634279</v>
      </c>
      <c r="F167" s="307" t="n">
        <f aca="false">IF($A167&lt;=F$162,"n.a.",(($B$243*(SUMPRODUCT($C$117:$G$117,(1+$A167)^(-$C$118:$G$118))+$G$117*(1+F$162)/($A167-F$162)*(1+$A167)^-5)+$B$244*(SUMPRODUCT($C$117:$G$117,(1+$A167)^(-$C$118:$G$118))+$B$236*(1+$A167)^-5))*(1+$A167)^$B$253+$B$257+$B$259+$B$260+$B$261)*(1+$B$221)^$B$254/$B$264)</f>
        <v>39.0894053356688</v>
      </c>
      <c r="G167" s="302"/>
    </row>
    <row r="168" customFormat="false" ht="15" hidden="false" customHeight="true" outlineLevel="0" collapsed="false">
      <c r="A168" s="302" t="s">
        <v>1936</v>
      </c>
      <c r="B168" s="337" t="n">
        <f aca="false">D165-B265</f>
        <v>0</v>
      </c>
      <c r="C168" s="302"/>
      <c r="D168" s="302"/>
      <c r="E168" s="302"/>
      <c r="F168" s="302"/>
      <c r="G168" s="302"/>
    </row>
    <row r="169" customFormat="false" ht="15" hidden="false" customHeight="true" outlineLevel="0" collapsed="false">
      <c r="A169" s="298"/>
      <c r="B169" s="298"/>
      <c r="C169" s="298"/>
      <c r="D169" s="298"/>
      <c r="E169" s="298"/>
      <c r="F169" s="298"/>
      <c r="G169" s="298"/>
    </row>
    <row r="170" customFormat="false" ht="15" hidden="false" customHeight="true" outlineLevel="0" collapsed="false">
      <c r="A170" s="285" t="s">
        <v>1937</v>
      </c>
      <c r="B170" s="285" t="s">
        <v>1749</v>
      </c>
      <c r="C170" s="285" t="s">
        <v>1938</v>
      </c>
      <c r="D170" s="285" t="s">
        <v>1719</v>
      </c>
      <c r="E170" s="285" t="s">
        <v>1939</v>
      </c>
      <c r="F170" s="285" t="s">
        <v>1940</v>
      </c>
      <c r="G170" s="285" t="s">
        <v>1941</v>
      </c>
    </row>
    <row r="171" customFormat="false" ht="15" hidden="false" customHeight="false" outlineLevel="0" collapsed="false">
      <c r="A171" s="286" t="s">
        <v>1942</v>
      </c>
      <c r="B171" s="286" t="s">
        <v>1757</v>
      </c>
      <c r="C171" s="286" t="n">
        <v>4</v>
      </c>
      <c r="D171" s="286" t="s">
        <v>1943</v>
      </c>
      <c r="E171" s="286" t="s">
        <v>1944</v>
      </c>
      <c r="F171" s="286" t="s">
        <v>1442</v>
      </c>
      <c r="G171" s="286" t="n">
        <v>11</v>
      </c>
    </row>
    <row r="172" customFormat="false" ht="15" hidden="false" customHeight="false" outlineLevel="0" collapsed="false">
      <c r="A172" s="286" t="s">
        <v>1945</v>
      </c>
      <c r="B172" s="286" t="s">
        <v>1781</v>
      </c>
      <c r="C172" s="286" t="n">
        <v>3</v>
      </c>
      <c r="D172" s="286" t="s">
        <v>1943</v>
      </c>
      <c r="E172" s="286" t="s">
        <v>1944</v>
      </c>
      <c r="F172" s="286" t="s">
        <v>1761</v>
      </c>
      <c r="G172" s="286" t="n">
        <v>10</v>
      </c>
    </row>
    <row r="173" customFormat="false" ht="15" hidden="false" customHeight="false" outlineLevel="0" collapsed="false">
      <c r="A173" s="286" t="s">
        <v>1946</v>
      </c>
      <c r="B173" s="286" t="s">
        <v>1772</v>
      </c>
      <c r="C173" s="286" t="n">
        <v>5</v>
      </c>
      <c r="D173" s="286" t="s">
        <v>1943</v>
      </c>
      <c r="E173" s="286" t="s">
        <v>1948</v>
      </c>
      <c r="F173" s="286" t="s">
        <v>1442</v>
      </c>
      <c r="G173" s="286" t="n">
        <v>13</v>
      </c>
    </row>
    <row r="174" customFormat="false" ht="15" hidden="false" customHeight="false" outlineLevel="0" collapsed="false">
      <c r="A174" s="286" t="s">
        <v>1949</v>
      </c>
      <c r="B174" s="286" t="s">
        <v>1757</v>
      </c>
      <c r="C174" s="286" t="n">
        <v>3</v>
      </c>
      <c r="D174" s="286" t="s">
        <v>1950</v>
      </c>
      <c r="E174" s="286" t="s">
        <v>1944</v>
      </c>
      <c r="F174" s="286" t="s">
        <v>1442</v>
      </c>
      <c r="G174" s="286" t="n">
        <v>13</v>
      </c>
    </row>
    <row r="175" customFormat="false" ht="15" hidden="false" customHeight="false" outlineLevel="0" collapsed="false">
      <c r="A175" s="286" t="s">
        <v>1951</v>
      </c>
      <c r="B175" s="286" t="s">
        <v>1772</v>
      </c>
      <c r="C175" s="286" t="n">
        <v>3</v>
      </c>
      <c r="D175" s="286" t="s">
        <v>1950</v>
      </c>
      <c r="E175" s="286" t="s">
        <v>1948</v>
      </c>
      <c r="F175" s="286" t="s">
        <v>1442</v>
      </c>
      <c r="G175" s="286" t="n">
        <v>17</v>
      </c>
    </row>
    <row r="176" customFormat="false" ht="15" hidden="false" customHeight="false" outlineLevel="0" collapsed="false">
      <c r="A176" s="286" t="s">
        <v>1952</v>
      </c>
      <c r="B176" s="286" t="s">
        <v>1772</v>
      </c>
      <c r="C176" s="286" t="n">
        <v>3</v>
      </c>
      <c r="D176" s="286" t="s">
        <v>1943</v>
      </c>
      <c r="E176" s="286" t="s">
        <v>1944</v>
      </c>
      <c r="F176" s="286" t="s">
        <v>1953</v>
      </c>
      <c r="G176" s="286" t="s">
        <v>1954</v>
      </c>
    </row>
    <row r="177" customFormat="false" ht="15" hidden="false" customHeight="false" outlineLevel="0" collapsed="false">
      <c r="A177" s="286" t="s">
        <v>1955</v>
      </c>
      <c r="B177" s="286" t="s">
        <v>1772</v>
      </c>
      <c r="C177" s="286" t="n">
        <v>3</v>
      </c>
      <c r="D177" s="286" t="s">
        <v>1943</v>
      </c>
      <c r="E177" s="286" t="s">
        <v>1948</v>
      </c>
      <c r="F177" s="286" t="s">
        <v>1956</v>
      </c>
      <c r="G177" s="286" t="n">
        <v>125</v>
      </c>
    </row>
    <row r="178" customFormat="false" ht="15" hidden="false" customHeight="false" outlineLevel="0" collapsed="false">
      <c r="A178" s="286" t="s">
        <v>1957</v>
      </c>
      <c r="B178" s="286" t="s">
        <v>1772</v>
      </c>
      <c r="C178" s="286" t="n">
        <v>3</v>
      </c>
      <c r="D178" s="286" t="s">
        <v>1950</v>
      </c>
      <c r="E178" s="286" t="s">
        <v>1948</v>
      </c>
      <c r="F178" s="286" t="s">
        <v>1771</v>
      </c>
      <c r="G178" s="286" t="n">
        <v>35</v>
      </c>
    </row>
    <row r="179" customFormat="false" ht="15" hidden="false" customHeight="false" outlineLevel="0" collapsed="false">
      <c r="A179" s="286" t="s">
        <v>1958</v>
      </c>
      <c r="B179" s="286" t="s">
        <v>1772</v>
      </c>
      <c r="C179" s="286" t="n">
        <v>2</v>
      </c>
      <c r="D179" s="286" t="s">
        <v>1950</v>
      </c>
      <c r="E179" s="286" t="s">
        <v>1959</v>
      </c>
      <c r="F179" s="286" t="s">
        <v>5</v>
      </c>
      <c r="G179" s="286" t="n">
        <v>125</v>
      </c>
    </row>
    <row r="180" customFormat="false" ht="15" hidden="false" customHeight="false" outlineLevel="0" collapsed="false">
      <c r="A180" s="286" t="s">
        <v>1960</v>
      </c>
      <c r="B180" s="286" t="s">
        <v>1772</v>
      </c>
      <c r="C180" s="286" t="n">
        <v>4</v>
      </c>
      <c r="D180" s="286" t="s">
        <v>1943</v>
      </c>
      <c r="E180" s="286" t="s">
        <v>1959</v>
      </c>
      <c r="F180" s="286" t="s">
        <v>1442</v>
      </c>
      <c r="G180" s="286" t="n">
        <v>18</v>
      </c>
    </row>
    <row r="181" customFormat="false" ht="15" hidden="false" customHeight="false" outlineLevel="0" collapsed="false">
      <c r="A181" s="286" t="s">
        <v>1961</v>
      </c>
      <c r="B181" s="286" t="s">
        <v>1772</v>
      </c>
      <c r="C181" s="286" t="n">
        <v>3</v>
      </c>
      <c r="D181" s="286" t="s">
        <v>1943</v>
      </c>
      <c r="E181" s="286" t="s">
        <v>1944</v>
      </c>
      <c r="F181" s="286" t="s">
        <v>1442</v>
      </c>
      <c r="G181" s="286" t="n">
        <v>18</v>
      </c>
    </row>
    <row r="182" customFormat="false" ht="15" hidden="false" customHeight="false" outlineLevel="0" collapsed="false">
      <c r="A182" s="286" t="s">
        <v>1962</v>
      </c>
      <c r="B182" s="286" t="s">
        <v>1772</v>
      </c>
      <c r="C182" s="286" t="n">
        <v>2</v>
      </c>
      <c r="D182" s="286" t="s">
        <v>1943</v>
      </c>
      <c r="E182" s="286" t="s">
        <v>1948</v>
      </c>
      <c r="F182" s="286" t="s">
        <v>1771</v>
      </c>
      <c r="G182" s="286" t="n">
        <v>35</v>
      </c>
    </row>
    <row r="183" customFormat="false" ht="15" hidden="false" customHeight="false" outlineLevel="0" collapsed="false">
      <c r="A183" s="286" t="s">
        <v>1963</v>
      </c>
      <c r="B183" s="286" t="s">
        <v>1781</v>
      </c>
      <c r="C183" s="286" t="n">
        <v>4</v>
      </c>
      <c r="D183" s="286" t="s">
        <v>1943</v>
      </c>
      <c r="E183" s="286" t="s">
        <v>1964</v>
      </c>
      <c r="F183" s="286" t="s">
        <v>1965</v>
      </c>
      <c r="G183" s="286" t="s">
        <v>1966</v>
      </c>
    </row>
    <row r="184" customFormat="false" ht="15" hidden="false" customHeight="false" outlineLevel="0" collapsed="false">
      <c r="A184" s="286" t="s">
        <v>1967</v>
      </c>
      <c r="B184" s="286" t="s">
        <v>1772</v>
      </c>
      <c r="C184" s="286" t="n">
        <v>3</v>
      </c>
      <c r="D184" s="286" t="s">
        <v>1943</v>
      </c>
      <c r="E184" s="286" t="s">
        <v>1959</v>
      </c>
      <c r="F184" s="286" t="s">
        <v>1785</v>
      </c>
      <c r="G184" s="286" t="n">
        <v>33</v>
      </c>
    </row>
    <row r="185" customFormat="false" ht="15" hidden="false" customHeight="false" outlineLevel="0" collapsed="false">
      <c r="A185" s="286" t="s">
        <v>1968</v>
      </c>
      <c r="B185" s="286" t="s">
        <v>1772</v>
      </c>
      <c r="C185" s="286" t="n">
        <v>2</v>
      </c>
      <c r="D185" s="286" t="s">
        <v>1950</v>
      </c>
      <c r="E185" s="286" t="s">
        <v>1944</v>
      </c>
      <c r="F185" s="286" t="s">
        <v>1442</v>
      </c>
      <c r="G185" s="286" t="n">
        <v>21</v>
      </c>
    </row>
    <row r="186" customFormat="false" ht="15" hidden="false" customHeight="false" outlineLevel="0" collapsed="false">
      <c r="A186" s="286" t="s">
        <v>1969</v>
      </c>
      <c r="B186" s="286" t="s">
        <v>1772</v>
      </c>
      <c r="C186" s="286" t="n">
        <v>2</v>
      </c>
      <c r="D186" s="286" t="s">
        <v>1950</v>
      </c>
      <c r="E186" s="286" t="s">
        <v>1959</v>
      </c>
      <c r="F186" s="286" t="s">
        <v>1439</v>
      </c>
      <c r="G186" s="286" t="n">
        <v>52</v>
      </c>
    </row>
    <row r="187" customFormat="false" ht="15" hidden="false" customHeight="false" outlineLevel="0" collapsed="false">
      <c r="A187" s="286" t="s">
        <v>1970</v>
      </c>
      <c r="B187" s="286" t="s">
        <v>1757</v>
      </c>
      <c r="C187" s="286" t="n">
        <v>3</v>
      </c>
      <c r="D187" s="286" t="s">
        <v>1943</v>
      </c>
      <c r="E187" s="286" t="s">
        <v>1959</v>
      </c>
      <c r="F187" s="286" t="s">
        <v>1442</v>
      </c>
      <c r="G187" s="286" t="n">
        <v>19</v>
      </c>
    </row>
    <row r="188" customFormat="false" ht="15" hidden="false" customHeight="false" outlineLevel="0" collapsed="false">
      <c r="A188" s="286" t="s">
        <v>1971</v>
      </c>
      <c r="B188" s="286" t="s">
        <v>1772</v>
      </c>
      <c r="C188" s="286" t="n">
        <v>3</v>
      </c>
      <c r="D188" s="286" t="s">
        <v>1943</v>
      </c>
      <c r="E188" s="286" t="s">
        <v>1948</v>
      </c>
      <c r="F188" s="286" t="s">
        <v>1972</v>
      </c>
      <c r="G188" s="286" t="n">
        <v>34</v>
      </c>
    </row>
    <row r="189" customFormat="false" ht="15" hidden="false" customHeight="false" outlineLevel="0" collapsed="false">
      <c r="A189" s="286" t="s">
        <v>1973</v>
      </c>
      <c r="B189" s="286" t="s">
        <v>1772</v>
      </c>
      <c r="C189" s="286" t="n">
        <v>5</v>
      </c>
      <c r="D189" s="286" t="s">
        <v>1943</v>
      </c>
      <c r="E189" s="286" t="s">
        <v>1948</v>
      </c>
      <c r="F189" s="286" t="s">
        <v>1442</v>
      </c>
      <c r="G189" s="286" t="n">
        <v>15</v>
      </c>
    </row>
    <row r="190" customFormat="false" ht="15" hidden="false" customHeight="false" outlineLevel="0" collapsed="false">
      <c r="A190" s="286" t="s">
        <v>1974</v>
      </c>
      <c r="B190" s="286" t="s">
        <v>1772</v>
      </c>
      <c r="C190" s="286" t="n">
        <v>5</v>
      </c>
      <c r="D190" s="286" t="s">
        <v>1943</v>
      </c>
      <c r="E190" s="286" t="s">
        <v>1964</v>
      </c>
      <c r="F190" s="286" t="s">
        <v>1975</v>
      </c>
      <c r="G190" s="286" t="s">
        <v>1976</v>
      </c>
    </row>
    <row r="191" customFormat="false" ht="15" hidden="false" customHeight="false" outlineLevel="0" collapsed="false">
      <c r="A191" s="286" t="s">
        <v>1977</v>
      </c>
      <c r="B191" s="286" t="s">
        <v>1781</v>
      </c>
      <c r="C191" s="286" t="n">
        <v>4</v>
      </c>
      <c r="D191" s="286" t="s">
        <v>1943</v>
      </c>
      <c r="E191" s="286" t="s">
        <v>1978</v>
      </c>
      <c r="F191" s="286" t="s">
        <v>1979</v>
      </c>
      <c r="G191" s="286" t="s">
        <v>1980</v>
      </c>
    </row>
    <row r="192" customFormat="false" ht="15" hidden="false" customHeight="false" outlineLevel="0" collapsed="false">
      <c r="A192" s="286" t="s">
        <v>1981</v>
      </c>
      <c r="B192" s="286" t="s">
        <v>1781</v>
      </c>
      <c r="C192" s="286" t="n">
        <v>3</v>
      </c>
      <c r="D192" s="286" t="s">
        <v>1943</v>
      </c>
      <c r="E192" s="286" t="s">
        <v>1959</v>
      </c>
      <c r="F192" s="286" t="s">
        <v>1975</v>
      </c>
      <c r="G192" s="286" t="n">
        <v>16</v>
      </c>
    </row>
    <row r="193" customFormat="false" ht="15" hidden="false" customHeight="false" outlineLevel="0" collapsed="false">
      <c r="A193" s="286" t="s">
        <v>1982</v>
      </c>
      <c r="B193" s="286" t="s">
        <v>1781</v>
      </c>
      <c r="C193" s="286" t="n">
        <v>2</v>
      </c>
      <c r="D193" s="286" t="s">
        <v>1943</v>
      </c>
      <c r="E193" s="286" t="s">
        <v>1959</v>
      </c>
      <c r="F193" s="286" t="s">
        <v>1972</v>
      </c>
      <c r="G193" s="286" t="s">
        <v>1983</v>
      </c>
    </row>
    <row r="194" customFormat="false" ht="15" hidden="false" customHeight="false" outlineLevel="0" collapsed="false">
      <c r="A194" s="286" t="s">
        <v>1984</v>
      </c>
      <c r="B194" s="286" t="s">
        <v>1757</v>
      </c>
      <c r="C194" s="286" t="n">
        <v>2</v>
      </c>
      <c r="D194" s="286" t="s">
        <v>1943</v>
      </c>
      <c r="E194" s="286" t="s">
        <v>1959</v>
      </c>
      <c r="F194" s="286" t="s">
        <v>1827</v>
      </c>
      <c r="G194" s="286" t="n">
        <v>22</v>
      </c>
    </row>
    <row r="195" customFormat="false" ht="15" hidden="false" customHeight="false" outlineLevel="0" collapsed="false">
      <c r="A195" s="286" t="s">
        <v>1985</v>
      </c>
      <c r="B195" s="286" t="s">
        <v>1757</v>
      </c>
      <c r="C195" s="286" t="n">
        <v>2</v>
      </c>
      <c r="D195" s="286" t="s">
        <v>1950</v>
      </c>
      <c r="E195" s="286" t="s">
        <v>1978</v>
      </c>
      <c r="F195" s="286" t="s">
        <v>1972</v>
      </c>
      <c r="G195" s="286" t="n">
        <v>38</v>
      </c>
    </row>
    <row r="196" customFormat="false" ht="15" hidden="false" customHeight="false" outlineLevel="0" collapsed="false">
      <c r="A196" s="286" t="s">
        <v>1986</v>
      </c>
      <c r="B196" s="286" t="s">
        <v>1757</v>
      </c>
      <c r="C196" s="286" t="n">
        <v>4</v>
      </c>
      <c r="D196" s="286" t="s">
        <v>1943</v>
      </c>
      <c r="E196" s="286" t="s">
        <v>1948</v>
      </c>
      <c r="F196" s="286" t="s">
        <v>1972</v>
      </c>
      <c r="G196" s="286" t="n">
        <v>32</v>
      </c>
    </row>
    <row r="197" customFormat="false" ht="15" hidden="false" customHeight="false" outlineLevel="0" collapsed="false">
      <c r="A197" s="286" t="s">
        <v>1987</v>
      </c>
      <c r="B197" s="286" t="s">
        <v>1781</v>
      </c>
      <c r="C197" s="286" t="n">
        <v>3</v>
      </c>
      <c r="D197" s="286" t="s">
        <v>1943</v>
      </c>
      <c r="E197" s="286" t="s">
        <v>1948</v>
      </c>
      <c r="F197" s="286" t="s">
        <v>99</v>
      </c>
      <c r="G197" s="286" t="n">
        <v>47</v>
      </c>
    </row>
    <row r="198" customFormat="false" ht="15" hidden="false" customHeight="false" outlineLevel="0" collapsed="false">
      <c r="A198" s="286" t="s">
        <v>1988</v>
      </c>
      <c r="B198" s="286" t="s">
        <v>1772</v>
      </c>
      <c r="C198" s="286" t="n">
        <v>3</v>
      </c>
      <c r="D198" s="286" t="s">
        <v>1950</v>
      </c>
      <c r="E198" s="286" t="s">
        <v>1948</v>
      </c>
      <c r="F198" s="286" t="s">
        <v>1785</v>
      </c>
      <c r="G198" s="286" t="n">
        <v>36</v>
      </c>
    </row>
    <row r="199" customFormat="false" ht="15" hidden="false" customHeight="false" outlineLevel="0" collapsed="false">
      <c r="A199" s="286" t="s">
        <v>1989</v>
      </c>
      <c r="B199" s="286" t="s">
        <v>1772</v>
      </c>
      <c r="C199" s="286" t="n">
        <v>3</v>
      </c>
      <c r="D199" s="286" t="s">
        <v>1943</v>
      </c>
      <c r="E199" s="286" t="s">
        <v>1944</v>
      </c>
      <c r="F199" s="286" t="s">
        <v>1442</v>
      </c>
      <c r="G199" s="286" t="n">
        <v>17</v>
      </c>
    </row>
    <row r="200" customFormat="false" ht="15" hidden="false" customHeight="false" outlineLevel="0" collapsed="false">
      <c r="A200" s="286" t="s">
        <v>1990</v>
      </c>
      <c r="B200" s="286" t="s">
        <v>1772</v>
      </c>
      <c r="C200" s="286" t="n">
        <v>2</v>
      </c>
      <c r="D200" s="286" t="s">
        <v>1950</v>
      </c>
      <c r="E200" s="286" t="s">
        <v>1944</v>
      </c>
      <c r="F200" s="286" t="s">
        <v>1785</v>
      </c>
      <c r="G200" s="286" t="s">
        <v>1991</v>
      </c>
    </row>
    <row r="201" customFormat="false" ht="15" hidden="false" customHeight="true" outlineLevel="0" collapsed="false">
      <c r="A201" s="288"/>
      <c r="B201" s="288"/>
      <c r="C201" s="288"/>
      <c r="D201" s="288"/>
      <c r="E201" s="288"/>
      <c r="F201" s="288"/>
      <c r="G201" s="288"/>
    </row>
    <row r="202" customFormat="false" ht="15" hidden="false" customHeight="true" outlineLevel="0" collapsed="false">
      <c r="A202" s="288"/>
      <c r="B202" s="288"/>
      <c r="C202" s="288"/>
      <c r="D202" s="288"/>
      <c r="E202" s="288"/>
      <c r="F202" s="288"/>
      <c r="G202" s="288"/>
    </row>
    <row r="203" customFormat="false" ht="15" hidden="false" customHeight="true" outlineLevel="0" collapsed="false">
      <c r="A203" s="298"/>
      <c r="B203" s="298"/>
      <c r="C203" s="298"/>
      <c r="D203" s="298"/>
      <c r="E203" s="298"/>
      <c r="F203" s="298"/>
      <c r="G203" s="298"/>
    </row>
    <row r="204" customFormat="false" ht="15" hidden="false" customHeight="true" outlineLevel="0" collapsed="false">
      <c r="A204" s="298"/>
      <c r="B204" s="298"/>
      <c r="C204" s="298"/>
      <c r="D204" s="298"/>
      <c r="E204" s="298"/>
      <c r="F204" s="298"/>
      <c r="G204" s="298"/>
    </row>
    <row r="205" customFormat="false" ht="15" hidden="false" customHeight="true" outlineLevel="0" collapsed="false">
      <c r="A205" s="285" t="s">
        <v>1992</v>
      </c>
      <c r="B205" s="300" t="s">
        <v>78</v>
      </c>
      <c r="C205" s="300"/>
      <c r="D205" s="300"/>
      <c r="E205" s="300"/>
      <c r="F205" s="300"/>
      <c r="G205" s="300"/>
    </row>
    <row r="206" customFormat="false" ht="15" hidden="false" customHeight="false" outlineLevel="0" collapsed="false">
      <c r="A206" s="286" t="s">
        <v>1994</v>
      </c>
      <c r="B206" s="296" t="n">
        <f aca="false">C61+Escenarios!$I$15</f>
        <v>0.1</v>
      </c>
      <c r="C206" s="302"/>
      <c r="D206" s="302"/>
      <c r="E206" s="302"/>
      <c r="F206" s="302"/>
      <c r="G206" s="302"/>
    </row>
    <row r="207" customFormat="false" ht="15" hidden="false" customHeight="false" outlineLevel="0" collapsed="false">
      <c r="A207" s="286" t="s">
        <v>1995</v>
      </c>
      <c r="B207" s="296" t="n">
        <f aca="false">G55</f>
        <v>0.288010101095701</v>
      </c>
      <c r="C207" s="302"/>
      <c r="D207" s="302"/>
      <c r="E207" s="302"/>
      <c r="F207" s="302"/>
      <c r="G207" s="302"/>
    </row>
    <row r="208" customFormat="false" ht="15" hidden="false" customHeight="false" outlineLevel="0" collapsed="false">
      <c r="A208" s="286" t="s">
        <v>1996</v>
      </c>
      <c r="B208" s="296" t="n">
        <f aca="false">B206*(1-B207)</f>
        <v>0.0711989898904299</v>
      </c>
      <c r="C208" s="302"/>
      <c r="D208" s="302"/>
      <c r="E208" s="302"/>
      <c r="F208" s="302"/>
      <c r="G208" s="302"/>
    </row>
    <row r="209" customFormat="false" ht="15" hidden="false" customHeight="false" outlineLevel="0" collapsed="false">
      <c r="A209" s="286" t="s">
        <v>1997</v>
      </c>
      <c r="B209" s="297" t="n">
        <f aca="false">B91+B92</f>
        <v>23618</v>
      </c>
      <c r="C209" s="302"/>
      <c r="D209" s="302"/>
      <c r="E209" s="302"/>
      <c r="F209" s="302"/>
      <c r="G209" s="302"/>
    </row>
    <row r="210" customFormat="false" ht="15" hidden="false" customHeight="false" outlineLevel="0" collapsed="false">
      <c r="A210" s="286" t="s">
        <v>1998</v>
      </c>
      <c r="B210" s="296" t="n">
        <f aca="false">WACC!B5+Escenarios!$I$14</f>
        <v>0.09517</v>
      </c>
      <c r="C210" s="302"/>
      <c r="D210" s="302"/>
      <c r="E210" s="302"/>
      <c r="F210" s="302"/>
      <c r="G210" s="302"/>
    </row>
    <row r="211" customFormat="false" ht="15" hidden="false" customHeight="false" outlineLevel="0" collapsed="false">
      <c r="A211" s="286" t="s">
        <v>1999</v>
      </c>
      <c r="B211" s="296" t="n">
        <f aca="false">WACC!B8</f>
        <v>0.0423</v>
      </c>
      <c r="C211" s="302"/>
      <c r="D211" s="302"/>
      <c r="E211" s="302"/>
      <c r="F211" s="302"/>
      <c r="G211" s="302"/>
    </row>
    <row r="212" customFormat="false" ht="15" hidden="false" customHeight="false" outlineLevel="0" collapsed="false">
      <c r="A212" s="286" t="s">
        <v>2700</v>
      </c>
      <c r="B212" s="337" t="n">
        <f aca="false">Escenarios!$I$16</f>
        <v>0.170520815748403</v>
      </c>
      <c r="C212" s="302"/>
      <c r="D212" s="302"/>
      <c r="E212" s="302"/>
      <c r="F212" s="302"/>
      <c r="G212" s="302"/>
    </row>
    <row r="213" customFormat="false" ht="15" hidden="false" customHeight="false" outlineLevel="0" collapsed="false">
      <c r="A213" s="285" t="s">
        <v>2001</v>
      </c>
      <c r="B213" s="300" t="s">
        <v>2002</v>
      </c>
      <c r="C213" s="300" t="s">
        <v>2003</v>
      </c>
      <c r="D213" s="300" t="s">
        <v>1412</v>
      </c>
      <c r="E213" s="300" t="s">
        <v>2004</v>
      </c>
      <c r="F213" s="300" t="s">
        <v>2005</v>
      </c>
      <c r="G213" s="300" t="s">
        <v>2006</v>
      </c>
    </row>
    <row r="214" customFormat="false" ht="15" hidden="false" customHeight="false" outlineLevel="0" collapsed="false">
      <c r="A214" s="286" t="s">
        <v>2007</v>
      </c>
      <c r="B214" s="296" t="n">
        <f aca="false">WACC!B33</f>
        <v>0.100615773284249</v>
      </c>
      <c r="C214" s="297" t="n">
        <f aca="false">SUMPRODUCT($C$117:$G$117,(1+B214)^(-$C$118:$G$118))+$G$117*(1+$B$123)/(B214-$B$123)*(1+B214)^-5+$B$141+$B$142+$B$143</f>
        <v>74631.9647803604</v>
      </c>
      <c r="D214" s="304" t="n">
        <f aca="false">$B$209/C214</f>
        <v>0.316459576932043</v>
      </c>
      <c r="E214" s="304" t="n">
        <f aca="false">$B$212*(1+(1-$B$207)*D214)</f>
        <v>0.208941887652939</v>
      </c>
      <c r="F214" s="296" t="n">
        <f aca="false">$B$210+E214*$B$211</f>
        <v>0.104008241847719</v>
      </c>
      <c r="G214" s="296" t="n">
        <f aca="false">C214/(C214+$B$209)*F214+$B$209/(C214+$B$209)*$B$208</f>
        <v>0.096121328967297</v>
      </c>
    </row>
    <row r="215" customFormat="false" ht="15" hidden="false" customHeight="false" outlineLevel="0" collapsed="false">
      <c r="A215" s="286" t="n">
        <v>1</v>
      </c>
      <c r="B215" s="296" t="n">
        <f aca="false">G214</f>
        <v>0.096121328967297</v>
      </c>
      <c r="C215" s="297" t="n">
        <f aca="false">SUMPRODUCT($C$117:$G$117,(1+B215)^(-$C$118:$G$118))+$G$117*(1+$B$123)/(B215-$B$123)*(1+B215)^-5+$B$141+$B$142+$B$143</f>
        <v>81109.9773390635</v>
      </c>
      <c r="D215" s="304" t="n">
        <f aca="false">$B$209/C215</f>
        <v>0.291184892103592</v>
      </c>
      <c r="E215" s="304" t="n">
        <f aca="false">$B$212*(1+(1-$B$207)*D215)</f>
        <v>0.205873310956438</v>
      </c>
      <c r="F215" s="296" t="n">
        <f aca="false">$B$210+E215*$B$211</f>
        <v>0.103878441053457</v>
      </c>
      <c r="G215" s="296" t="n">
        <f aca="false">C215/(C215+$B$209)*F215+$B$209/(C215+$B$209)*$B$208</f>
        <v>0.0965086503138772</v>
      </c>
    </row>
    <row r="216" customFormat="false" ht="15" hidden="false" customHeight="false" outlineLevel="0" collapsed="false">
      <c r="A216" s="286" t="n">
        <v>2</v>
      </c>
      <c r="B216" s="296" t="n">
        <f aca="false">G215</f>
        <v>0.0965086503138772</v>
      </c>
      <c r="C216" s="297" t="n">
        <f aca="false">SUMPRODUCT($C$117:$G$117,(1+B216)^(-$C$118:$G$118))+$G$117*(1+$B$123)/(B216-$B$123)*(1+B216)^-5+$B$141+$B$142+$B$143</f>
        <v>80514.4849647723</v>
      </c>
      <c r="D216" s="304" t="n">
        <f aca="false">$B$209/C216</f>
        <v>0.293338521762061</v>
      </c>
      <c r="E216" s="304" t="n">
        <f aca="false">$B$212*(1+(1-$B$207)*D216)</f>
        <v>0.206134781191486</v>
      </c>
      <c r="F216" s="296" t="n">
        <f aca="false">$B$210+E216*$B$211</f>
        <v>0.1038895012444</v>
      </c>
      <c r="G216" s="296" t="n">
        <f aca="false">C216/(C216+$B$209)*F216+$B$209/(C216+$B$209)*$B$208</f>
        <v>0.0964750570638038</v>
      </c>
    </row>
    <row r="217" customFormat="false" ht="15" hidden="false" customHeight="false" outlineLevel="0" collapsed="false">
      <c r="A217" s="286" t="n">
        <v>3</v>
      </c>
      <c r="B217" s="296" t="n">
        <f aca="false">G216</f>
        <v>0.0964750570638038</v>
      </c>
      <c r="C217" s="297" t="n">
        <f aca="false">SUMPRODUCT($C$117:$G$117,(1+B217)^(-$C$118:$G$118))+$G$117*(1+$B$123)/(B217-$B$123)*(1+B217)^-5+$B$141+$B$142+$B$143</f>
        <v>80565.8365112892</v>
      </c>
      <c r="D217" s="304" t="n">
        <f aca="false">$B$209/C217</f>
        <v>0.293151551857723</v>
      </c>
      <c r="E217" s="304" t="n">
        <f aca="false">$B$212*(1+(1-$B$207)*D217)</f>
        <v>0.206112081343979</v>
      </c>
      <c r="F217" s="296" t="n">
        <f aca="false">$B$210+E217*$B$211</f>
        <v>0.10388854104085</v>
      </c>
      <c r="G217" s="296" t="n">
        <f aca="false">C217/(C217+$B$209)*F217+$B$209/(C217+$B$209)*$B$208</f>
        <v>0.0964779690661182</v>
      </c>
    </row>
    <row r="218" customFormat="false" ht="15" hidden="false" customHeight="false" outlineLevel="0" collapsed="false">
      <c r="A218" s="286" t="n">
        <v>4</v>
      </c>
      <c r="B218" s="296" t="n">
        <f aca="false">G217</f>
        <v>0.0964779690661182</v>
      </c>
      <c r="C218" s="297" t="n">
        <f aca="false">SUMPRODUCT($C$117:$G$117,(1+B218)^(-$C$118:$G$118))+$G$117*(1+$B$123)/(B218-$B$123)*(1+B218)^-5+$B$141+$B$142+$B$143</f>
        <v>80561.3829272108</v>
      </c>
      <c r="D218" s="304" t="n">
        <f aca="false">$B$209/C218</f>
        <v>0.293167757824359</v>
      </c>
      <c r="E218" s="304" t="n">
        <f aca="false">$B$212*(1+(1-$B$207)*D218)</f>
        <v>0.206114048895776</v>
      </c>
      <c r="F218" s="296" t="n">
        <f aca="false">$B$210+E218*$B$211</f>
        <v>0.103888624268291</v>
      </c>
      <c r="G218" s="296" t="n">
        <f aca="false">C218/(C218+$B$209)*F218+$B$209/(C218+$B$209)*$B$208</f>
        <v>0.0964777166295336</v>
      </c>
    </row>
    <row r="219" customFormat="false" ht="15" hidden="false" customHeight="false" outlineLevel="0" collapsed="false">
      <c r="A219" s="286" t="n">
        <v>5</v>
      </c>
      <c r="B219" s="296" t="n">
        <f aca="false">G218</f>
        <v>0.0964777166295336</v>
      </c>
      <c r="C219" s="297" t="n">
        <f aca="false">SUMPRODUCT($C$117:$G$117,(1+B219)^(-$C$118:$G$118))+$G$117*(1+$B$123)/(B219-$B$123)*(1+B219)^-5+$B$141+$B$142+$B$143</f>
        <v>80561.768984244</v>
      </c>
      <c r="D219" s="304" t="n">
        <f aca="false">$B$209/C219</f>
        <v>0.293166352946136</v>
      </c>
      <c r="E219" s="304" t="n">
        <f aca="false">$B$212*(1+(1-$B$207)*D219)</f>
        <v>0.206113878330778</v>
      </c>
      <c r="F219" s="296" t="n">
        <f aca="false">$B$210+E219*$B$211</f>
        <v>0.103888617053392</v>
      </c>
      <c r="G219" s="296" t="n">
        <f aca="false">C219/(C219+$B$209)*F219+$B$209/(C219+$B$209)*$B$208</f>
        <v>0.0964777385127455</v>
      </c>
    </row>
    <row r="220" customFormat="false" ht="15" hidden="false" customHeight="false" outlineLevel="0" collapsed="false">
      <c r="A220" s="285" t="s">
        <v>2008</v>
      </c>
      <c r="B220" s="338" t="n">
        <f aca="false">G219</f>
        <v>0.0964777385127455</v>
      </c>
      <c r="C220" s="300"/>
      <c r="D220" s="300"/>
      <c r="E220" s="300"/>
      <c r="F220" s="300"/>
      <c r="G220" s="300"/>
    </row>
    <row r="221" customFormat="false" ht="15" hidden="false" customHeight="false" outlineLevel="0" collapsed="false">
      <c r="A221" s="285" t="s">
        <v>2009</v>
      </c>
      <c r="B221" s="338" t="n">
        <f aca="false">F219</f>
        <v>0.103888617053392</v>
      </c>
      <c r="C221" s="300"/>
      <c r="D221" s="300"/>
      <c r="E221" s="300"/>
      <c r="F221" s="300"/>
      <c r="G221" s="300"/>
    </row>
    <row r="222" customFormat="false" ht="15" hidden="false" customHeight="false" outlineLevel="0" collapsed="false">
      <c r="A222" s="286" t="s">
        <v>2010</v>
      </c>
      <c r="B222" s="337" t="n">
        <f aca="false">(G219-G218)*10000</f>
        <v>0.000218832118537016</v>
      </c>
      <c r="C222" s="303"/>
      <c r="D222" s="303"/>
      <c r="E222" s="303"/>
      <c r="F222" s="303"/>
      <c r="G222" s="303"/>
    </row>
    <row r="223" customFormat="false" ht="15" hidden="false" customHeight="false" outlineLevel="0" collapsed="false">
      <c r="A223" s="339"/>
      <c r="B223" s="339"/>
      <c r="C223" s="339"/>
      <c r="D223" s="339"/>
      <c r="E223" s="339"/>
      <c r="F223" s="339"/>
      <c r="G223" s="339"/>
    </row>
    <row r="224" customFormat="false" ht="15" hidden="false" customHeight="false" outlineLevel="0" collapsed="false">
      <c r="A224" s="339"/>
      <c r="B224" s="339"/>
      <c r="C224" s="339"/>
      <c r="D224" s="339"/>
      <c r="E224" s="339"/>
      <c r="F224" s="339"/>
      <c r="G224" s="339"/>
    </row>
    <row r="225" customFormat="false" ht="15" hidden="false" customHeight="false" outlineLevel="0" collapsed="false">
      <c r="A225" s="285" t="s">
        <v>2011</v>
      </c>
      <c r="B225" s="300" t="s">
        <v>1</v>
      </c>
      <c r="C225" s="300" t="s">
        <v>2</v>
      </c>
      <c r="D225" s="300" t="s">
        <v>3</v>
      </c>
      <c r="E225" s="300" t="s">
        <v>4</v>
      </c>
      <c r="F225" s="300"/>
      <c r="G225" s="300"/>
    </row>
    <row r="226" customFormat="false" ht="15" hidden="false" customHeight="false" outlineLevel="0" collapsed="false">
      <c r="A226" s="286" t="s">
        <v>1409</v>
      </c>
      <c r="B226" s="297" t="n">
        <f aca="false">WACC!B18</f>
        <v>59580</v>
      </c>
      <c r="C226" s="297" t="n">
        <f aca="false">WACC!C18</f>
        <v>813622.604529617</v>
      </c>
      <c r="D226" s="297" t="n">
        <f aca="false">WACC!D18</f>
        <v>89246.0254200776</v>
      </c>
      <c r="E226" s="297" t="n">
        <f aca="false">WACC!E18</f>
        <v>34190</v>
      </c>
      <c r="F226" s="303"/>
      <c r="G226" s="303"/>
    </row>
    <row r="227" customFormat="false" ht="15" hidden="false" customHeight="false" outlineLevel="0" collapsed="false">
      <c r="A227" s="286" t="s">
        <v>2013</v>
      </c>
      <c r="B227" s="297" t="n">
        <f aca="false">WACC!B21</f>
        <v>23618</v>
      </c>
      <c r="C227" s="297" t="n">
        <f aca="false">WACC!C21</f>
        <v>80848.1</v>
      </c>
      <c r="D227" s="297" t="n">
        <f aca="false">WACC!D21</f>
        <v>56744.34</v>
      </c>
      <c r="E227" s="297" t="n">
        <f aca="false">WACC!E21</f>
        <v>2441.8</v>
      </c>
      <c r="F227" s="303"/>
      <c r="G227" s="303"/>
    </row>
    <row r="228" customFormat="false" ht="15" hidden="false" customHeight="false" outlineLevel="0" collapsed="false">
      <c r="A228" s="286" t="s">
        <v>2701</v>
      </c>
      <c r="B228" s="297" t="n">
        <f aca="false">-WACC!B22</f>
        <v>-9295</v>
      </c>
      <c r="C228" s="297" t="n">
        <f aca="false">-WACC!C22</f>
        <v>-28591.2</v>
      </c>
      <c r="D228" s="297" t="n">
        <f aca="false">-WACC!D22</f>
        <v>-14640.16</v>
      </c>
      <c r="E228" s="297" t="n">
        <f aca="false">-WACC!E22</f>
        <v>-2962.8</v>
      </c>
      <c r="F228" s="303"/>
      <c r="G228" s="303"/>
    </row>
    <row r="229" customFormat="false" ht="15" hidden="false" customHeight="false" outlineLevel="0" collapsed="false">
      <c r="A229" s="286" t="s">
        <v>2015</v>
      </c>
      <c r="B229" s="297" t="n">
        <f aca="false">SUM(B226:B228)</f>
        <v>73903</v>
      </c>
      <c r="C229" s="297" t="n">
        <f aca="false">SUM(C226:C228)</f>
        <v>865879.504529617</v>
      </c>
      <c r="D229" s="297" t="n">
        <f aca="false">SUM(D226:D228)</f>
        <v>131350.205420078</v>
      </c>
      <c r="E229" s="297" t="n">
        <f aca="false">SUM(E226:E228)</f>
        <v>33669</v>
      </c>
      <c r="F229" s="303"/>
      <c r="G229" s="303"/>
    </row>
    <row r="230" customFormat="false" ht="15" hidden="false" customHeight="false" outlineLevel="0" collapsed="false">
      <c r="A230" s="286" t="s">
        <v>2016</v>
      </c>
      <c r="B230" s="297" t="n">
        <f aca="false">Datos!G9+Datos!G14</f>
        <v>11894</v>
      </c>
      <c r="C230" s="297" t="n">
        <f aca="false">Datos!G35+Datos!G40</f>
        <v>103446.9</v>
      </c>
      <c r="D230" s="297" t="n">
        <f aca="false">Datos!G61+Datos!G66</f>
        <v>24391.15</v>
      </c>
      <c r="E230" s="297" t="n">
        <f aca="false">Datos!G87+Datos!G92</f>
        <v>5214.81481788325</v>
      </c>
      <c r="F230" s="303"/>
      <c r="G230" s="303"/>
    </row>
    <row r="231" customFormat="false" ht="15" hidden="false" customHeight="false" outlineLevel="0" collapsed="false">
      <c r="A231" s="285" t="s">
        <v>2017</v>
      </c>
      <c r="B231" s="340" t="n">
        <f aca="false">B229/B230</f>
        <v>6.21346897595426</v>
      </c>
      <c r="C231" s="340" t="n">
        <f aca="false">C229/C230</f>
        <v>8.37027986850855</v>
      </c>
      <c r="D231" s="340" t="n">
        <f aca="false">D229/D230</f>
        <v>5.38515836358997</v>
      </c>
      <c r="E231" s="340" t="n">
        <f aca="false">E229/E230</f>
        <v>6.45641334847373</v>
      </c>
      <c r="F231" s="341"/>
      <c r="G231" s="341"/>
    </row>
    <row r="232" customFormat="false" ht="15" hidden="false" customHeight="false" outlineLevel="0" collapsed="false">
      <c r="A232" s="286" t="s">
        <v>2018</v>
      </c>
      <c r="B232" s="342" t="n">
        <f aca="false">MEDIAN(C231:E231)</f>
        <v>6.45641334847373</v>
      </c>
      <c r="C232" s="302"/>
      <c r="D232" s="302"/>
      <c r="E232" s="302"/>
      <c r="F232" s="302"/>
      <c r="G232" s="302"/>
    </row>
    <row r="233" customFormat="false" ht="15" hidden="false" customHeight="false" outlineLevel="0" collapsed="false">
      <c r="A233" s="286" t="s">
        <v>2702</v>
      </c>
      <c r="B233" s="296" t="n">
        <v>0.1</v>
      </c>
      <c r="C233" s="302"/>
      <c r="D233" s="302"/>
      <c r="E233" s="302"/>
      <c r="F233" s="302"/>
      <c r="G233" s="302"/>
    </row>
    <row r="234" customFormat="false" ht="15" hidden="false" customHeight="false" outlineLevel="0" collapsed="false">
      <c r="A234" s="286" t="s">
        <v>2020</v>
      </c>
      <c r="B234" s="342" t="n">
        <f aca="false">B232*(1-B233)</f>
        <v>5.81077201362635</v>
      </c>
      <c r="C234" s="302"/>
      <c r="D234" s="302"/>
      <c r="E234" s="302"/>
      <c r="F234" s="302"/>
      <c r="G234" s="302"/>
    </row>
    <row r="235" customFormat="false" ht="15" hidden="false" customHeight="false" outlineLevel="0" collapsed="false">
      <c r="A235" s="286" t="s">
        <v>2021</v>
      </c>
      <c r="B235" s="297" t="n">
        <f aca="false">G71</f>
        <v>12728.8308564981</v>
      </c>
      <c r="C235" s="302"/>
      <c r="D235" s="302"/>
      <c r="E235" s="302"/>
      <c r="F235" s="302"/>
      <c r="G235" s="302"/>
    </row>
    <row r="236" customFormat="false" ht="15" hidden="false" customHeight="false" outlineLevel="0" collapsed="false">
      <c r="A236" s="285" t="s">
        <v>2022</v>
      </c>
      <c r="B236" s="301" t="n">
        <f aca="false">B234*B235</f>
        <v>73964.3341071227</v>
      </c>
      <c r="C236" s="302"/>
      <c r="D236" s="302"/>
      <c r="E236" s="302"/>
      <c r="F236" s="302"/>
      <c r="G236" s="302"/>
    </row>
    <row r="237" customFormat="false" ht="15" hidden="false" customHeight="false" outlineLevel="0" collapsed="false">
      <c r="A237" s="286" t="s">
        <v>2023</v>
      </c>
      <c r="B237" s="297" t="n">
        <f aca="false">B236*G119</f>
        <v>46668.4372230044</v>
      </c>
      <c r="C237" s="302"/>
      <c r="D237" s="302"/>
      <c r="E237" s="302"/>
      <c r="F237" s="302"/>
      <c r="G237" s="302"/>
    </row>
    <row r="238" customFormat="false" ht="15" hidden="false" customHeight="false" outlineLevel="0" collapsed="false">
      <c r="A238" s="285" t="s">
        <v>2024</v>
      </c>
      <c r="B238" s="301" t="n">
        <f aca="false">B134+B237</f>
        <v>71186.8568286824</v>
      </c>
      <c r="C238" s="302"/>
      <c r="D238" s="302"/>
      <c r="E238" s="302"/>
      <c r="F238" s="302"/>
      <c r="G238" s="302"/>
    </row>
    <row r="239" customFormat="false" ht="15" hidden="false" customHeight="false" outlineLevel="0" collapsed="false">
      <c r="A239" s="286" t="s">
        <v>2025</v>
      </c>
      <c r="B239" s="297" t="n">
        <f aca="false">B238-B144</f>
        <v>56863.8568286824</v>
      </c>
      <c r="C239" s="302"/>
      <c r="D239" s="302"/>
      <c r="E239" s="302"/>
      <c r="F239" s="302"/>
      <c r="G239" s="302"/>
    </row>
    <row r="240" customFormat="false" ht="15" hidden="false" customHeight="false" outlineLevel="0" collapsed="false">
      <c r="A240" s="285" t="s">
        <v>2026</v>
      </c>
      <c r="B240" s="306" t="n">
        <f aca="false">B239/B149</f>
        <v>31.5910315714902</v>
      </c>
      <c r="C240" s="302"/>
      <c r="D240" s="302"/>
      <c r="E240" s="302"/>
      <c r="F240" s="302"/>
      <c r="G240" s="302"/>
    </row>
    <row r="241" customFormat="false" ht="15" hidden="false" customHeight="false" outlineLevel="0" collapsed="false">
      <c r="A241" s="286" t="s">
        <v>2027</v>
      </c>
      <c r="B241" s="342" t="n">
        <f aca="false">B129/G71</f>
        <v>8.76143799821883</v>
      </c>
      <c r="C241" s="302"/>
      <c r="D241" s="302"/>
      <c r="E241" s="302"/>
      <c r="F241" s="302"/>
      <c r="G241" s="302"/>
    </row>
    <row r="242" customFormat="false" ht="15" hidden="false" customHeight="false" outlineLevel="0" collapsed="false">
      <c r="A242" s="286" t="s">
        <v>2028</v>
      </c>
      <c r="B242" s="296" t="n">
        <f aca="false">(B236*B126-B127)/(B236+B127)</f>
        <v>0.00634815883078538</v>
      </c>
      <c r="C242" s="302"/>
      <c r="D242" s="302"/>
      <c r="E242" s="302"/>
      <c r="F242" s="302"/>
      <c r="G242" s="302"/>
    </row>
    <row r="243" customFormat="false" ht="15" hidden="false" customHeight="false" outlineLevel="0" collapsed="false">
      <c r="A243" s="286" t="s">
        <v>2029</v>
      </c>
      <c r="B243" s="296" t="n">
        <v>0.5</v>
      </c>
      <c r="C243" s="302"/>
      <c r="D243" s="302"/>
      <c r="E243" s="302"/>
      <c r="F243" s="302"/>
      <c r="G243" s="302"/>
    </row>
    <row r="244" customFormat="false" ht="15" hidden="false" customHeight="false" outlineLevel="0" collapsed="false">
      <c r="A244" s="286" t="s">
        <v>2030</v>
      </c>
      <c r="B244" s="296" t="n">
        <f aca="false">1-B243</f>
        <v>0.5</v>
      </c>
      <c r="C244" s="302"/>
      <c r="D244" s="302"/>
      <c r="E244" s="302"/>
      <c r="F244" s="302"/>
      <c r="G244" s="302"/>
    </row>
    <row r="245" customFormat="false" ht="15" hidden="false" customHeight="false" outlineLevel="0" collapsed="false">
      <c r="A245" s="286" t="s">
        <v>2031</v>
      </c>
      <c r="B245" s="297" t="n">
        <f aca="false">B243*B136+B244*B238</f>
        <v>83035.7961731528</v>
      </c>
      <c r="C245" s="302"/>
      <c r="D245" s="302"/>
      <c r="E245" s="302"/>
      <c r="F245" s="302"/>
      <c r="G245" s="302"/>
    </row>
    <row r="246" customFormat="false" ht="15" hidden="false" customHeight="false" outlineLevel="0" collapsed="false">
      <c r="A246" s="285" t="s">
        <v>2032</v>
      </c>
      <c r="B246" s="306" t="n">
        <f aca="false">B243*B150+B244*B240</f>
        <v>38.1737756517515</v>
      </c>
      <c r="C246" s="302"/>
      <c r="D246" s="302"/>
      <c r="E246" s="302"/>
      <c r="F246" s="302"/>
      <c r="G246" s="302"/>
    </row>
    <row r="247" customFormat="false" ht="15" hidden="false" customHeight="false" outlineLevel="0" collapsed="false">
      <c r="A247" s="339"/>
      <c r="B247" s="339"/>
      <c r="C247" s="339"/>
      <c r="D247" s="339"/>
      <c r="E247" s="339"/>
      <c r="F247" s="339"/>
      <c r="G247" s="339"/>
    </row>
    <row r="248" customFormat="false" ht="15" hidden="false" customHeight="false" outlineLevel="0" collapsed="false">
      <c r="A248" s="339"/>
      <c r="B248" s="339"/>
      <c r="C248" s="339"/>
      <c r="D248" s="339"/>
      <c r="E248" s="339"/>
      <c r="F248" s="339"/>
      <c r="G248" s="339"/>
    </row>
    <row r="249" customFormat="false" ht="15" hidden="false" customHeight="false" outlineLevel="0" collapsed="false">
      <c r="A249" s="285" t="s">
        <v>2033</v>
      </c>
      <c r="B249" s="300" t="s">
        <v>78</v>
      </c>
      <c r="C249" s="300"/>
      <c r="D249" s="300"/>
      <c r="E249" s="300"/>
      <c r="F249" s="300"/>
      <c r="G249" s="300"/>
    </row>
    <row r="250" customFormat="false" ht="15" hidden="false" customHeight="false" outlineLevel="0" collapsed="false">
      <c r="A250" s="286" t="s">
        <v>2035</v>
      </c>
      <c r="B250" s="343" t="n">
        <f aca="false">DATE(2025,12,31)</f>
        <v>46022</v>
      </c>
      <c r="C250" s="302"/>
      <c r="D250" s="302"/>
      <c r="E250" s="302"/>
      <c r="F250" s="302"/>
      <c r="G250" s="302"/>
    </row>
    <row r="251" customFormat="false" ht="15" hidden="false" customHeight="false" outlineLevel="0" collapsed="false">
      <c r="A251" s="286" t="s">
        <v>2036</v>
      </c>
      <c r="B251" s="343" t="n">
        <f aca="false">DATE(2026,6,30)</f>
        <v>46203</v>
      </c>
      <c r="C251" s="302"/>
      <c r="D251" s="302"/>
      <c r="E251" s="302"/>
      <c r="F251" s="302"/>
      <c r="G251" s="302"/>
    </row>
    <row r="252" customFormat="false" ht="15" hidden="false" customHeight="false" outlineLevel="0" collapsed="false">
      <c r="A252" s="286" t="s">
        <v>2037</v>
      </c>
      <c r="B252" s="343" t="n">
        <f aca="false">Rendimientos!H10</f>
        <v>46302</v>
      </c>
      <c r="C252" s="302"/>
      <c r="D252" s="302"/>
      <c r="E252" s="302"/>
      <c r="F252" s="302"/>
      <c r="G252" s="302"/>
    </row>
    <row r="253" customFormat="false" ht="15" hidden="false" customHeight="false" outlineLevel="0" collapsed="false">
      <c r="A253" s="286" t="s">
        <v>2038</v>
      </c>
      <c r="B253" s="337" t="n">
        <f aca="false">YEARFRAC(B250,B251)</f>
        <v>0.5</v>
      </c>
      <c r="C253" s="302"/>
      <c r="D253" s="302"/>
      <c r="E253" s="302"/>
      <c r="F253" s="302"/>
      <c r="G253" s="302"/>
    </row>
    <row r="254" customFormat="false" ht="15" hidden="false" customHeight="false" outlineLevel="0" collapsed="false">
      <c r="A254" s="286" t="s">
        <v>2039</v>
      </c>
      <c r="B254" s="337" t="n">
        <f aca="false">YEARFRAC(B251,B252)</f>
        <v>0.269444444444444</v>
      </c>
      <c r="C254" s="302"/>
      <c r="D254" s="302"/>
      <c r="E254" s="302"/>
      <c r="F254" s="302"/>
      <c r="G254" s="302"/>
    </row>
    <row r="255" customFormat="false" ht="15" hidden="false" customHeight="false" outlineLevel="0" collapsed="false">
      <c r="A255" s="286" t="s">
        <v>2040</v>
      </c>
      <c r="B255" s="297" t="n">
        <f aca="false">B245</f>
        <v>83035.7961731528</v>
      </c>
      <c r="C255" s="302"/>
      <c r="D255" s="302"/>
      <c r="E255" s="302"/>
      <c r="F255" s="302"/>
      <c r="G255" s="302"/>
    </row>
    <row r="256" customFormat="false" ht="15" hidden="false" customHeight="false" outlineLevel="0" collapsed="false">
      <c r="A256" s="286" t="s">
        <v>2671</v>
      </c>
      <c r="B256" s="297" t="n">
        <f aca="false">B255*(1+B126)^B253</f>
        <v>86949.1345383223</v>
      </c>
      <c r="C256" s="302"/>
      <c r="D256" s="302"/>
      <c r="E256" s="302"/>
      <c r="F256" s="302"/>
      <c r="G256" s="302"/>
    </row>
    <row r="257" customFormat="false" ht="15" hidden="false" customHeight="false" outlineLevel="0" collapsed="false">
      <c r="A257" s="286" t="s">
        <v>2672</v>
      </c>
      <c r="B257" s="297" t="n">
        <f aca="false">-((Datos!E15+Datos!F15)-(Datos!E16+Datos!F16))</f>
        <v>1060.497</v>
      </c>
      <c r="C257" s="302"/>
      <c r="D257" s="302"/>
      <c r="E257" s="302"/>
      <c r="F257" s="302"/>
      <c r="G257" s="302"/>
    </row>
    <row r="258" customFormat="false" ht="15" hidden="false" customHeight="false" outlineLevel="0" collapsed="false">
      <c r="A258" s="286" t="s">
        <v>2043</v>
      </c>
      <c r="B258" s="297" t="n">
        <f aca="false">B256+B257</f>
        <v>88009.6315383223</v>
      </c>
      <c r="C258" s="302"/>
      <c r="D258" s="302"/>
      <c r="E258" s="302"/>
      <c r="F258" s="302"/>
      <c r="G258" s="302"/>
    </row>
    <row r="259" customFormat="false" ht="15" hidden="false" customHeight="false" outlineLevel="0" collapsed="false">
      <c r="A259" s="286" t="s">
        <v>2258</v>
      </c>
      <c r="B259" s="297" t="n">
        <f aca="false">-(Datos!F25+Datos!F26)</f>
        <v>-11500</v>
      </c>
      <c r="C259" s="302"/>
      <c r="D259" s="302"/>
      <c r="E259" s="302"/>
      <c r="F259" s="302"/>
      <c r="G259" s="302"/>
    </row>
    <row r="260" customFormat="false" ht="15" hidden="false" customHeight="false" outlineLevel="0" collapsed="false">
      <c r="A260" s="286" t="s">
        <v>2259</v>
      </c>
      <c r="B260" s="297" t="n">
        <f aca="false">-(Datos!F27+Datos!F28)</f>
        <v>-12220.588</v>
      </c>
      <c r="C260" s="302"/>
      <c r="D260" s="302"/>
      <c r="E260" s="302"/>
      <c r="F260" s="302"/>
      <c r="G260" s="302"/>
    </row>
    <row r="261" customFormat="false" ht="15" hidden="false" customHeight="false" outlineLevel="0" collapsed="false">
      <c r="A261" s="286" t="s">
        <v>2046</v>
      </c>
      <c r="B261" s="297" t="n">
        <f aca="false">Datos!F17</f>
        <v>6875.384</v>
      </c>
      <c r="C261" s="302"/>
      <c r="D261" s="302"/>
      <c r="E261" s="302"/>
      <c r="F261" s="302"/>
      <c r="G261" s="302"/>
    </row>
    <row r="262" customFormat="false" ht="15" hidden="false" customHeight="false" outlineLevel="0" collapsed="false">
      <c r="A262" s="285" t="s">
        <v>2047</v>
      </c>
      <c r="B262" s="301" t="n">
        <f aca="false">SUM(B258:B261)</f>
        <v>71164.4275383223</v>
      </c>
      <c r="C262" s="302"/>
      <c r="D262" s="302"/>
      <c r="E262" s="302"/>
      <c r="F262" s="302"/>
      <c r="G262" s="302"/>
    </row>
    <row r="263" customFormat="false" ht="15" hidden="false" customHeight="false" outlineLevel="0" collapsed="false">
      <c r="A263" s="285" t="s">
        <v>2673</v>
      </c>
      <c r="B263" s="301" t="n">
        <f aca="false">B262*(1+B221)^B254</f>
        <v>73085.1144928545</v>
      </c>
      <c r="C263" s="302"/>
      <c r="D263" s="302"/>
      <c r="E263" s="302"/>
      <c r="F263" s="302"/>
      <c r="G263" s="302"/>
    </row>
    <row r="264" customFormat="false" ht="15" hidden="false" customHeight="false" outlineLevel="0" collapsed="false">
      <c r="A264" s="286" t="s">
        <v>57</v>
      </c>
      <c r="B264" s="305" t="n">
        <f aca="false">B149</f>
        <v>1800</v>
      </c>
      <c r="C264" s="302"/>
      <c r="D264" s="302"/>
      <c r="E264" s="302"/>
      <c r="F264" s="302"/>
      <c r="G264" s="302"/>
    </row>
    <row r="265" customFormat="false" ht="15" hidden="false" customHeight="false" outlineLevel="0" collapsed="false">
      <c r="A265" s="285" t="s">
        <v>2049</v>
      </c>
      <c r="B265" s="306" t="n">
        <f aca="false">B263/B264</f>
        <v>40.6028413849192</v>
      </c>
      <c r="C265" s="302"/>
      <c r="D265" s="302"/>
      <c r="E265" s="302"/>
      <c r="F265" s="302"/>
      <c r="G265" s="302"/>
    </row>
    <row r="266" customFormat="false" ht="15" hidden="false" customHeight="false" outlineLevel="0" collapsed="false">
      <c r="A266" s="286" t="s">
        <v>16</v>
      </c>
      <c r="B266" s="307" t="n">
        <f aca="false">B151</f>
        <v>33.1</v>
      </c>
      <c r="C266" s="302"/>
      <c r="D266" s="302"/>
      <c r="E266" s="302"/>
      <c r="F266" s="302"/>
      <c r="G266" s="302"/>
    </row>
    <row r="267" customFormat="false" ht="15" hidden="false" customHeight="false" outlineLevel="0" collapsed="false">
      <c r="A267" s="286" t="s">
        <v>17</v>
      </c>
      <c r="B267" s="295" t="n">
        <f aca="false">B265/B266-1</f>
        <v>0.226671945163721</v>
      </c>
      <c r="C267" s="302"/>
      <c r="D267" s="302"/>
      <c r="E267" s="302"/>
      <c r="F267" s="302"/>
      <c r="G267" s="302"/>
    </row>
    <row r="268" customFormat="false" ht="15" hidden="false" customHeight="false" outlineLevel="0" collapsed="false">
      <c r="A268" s="285" t="s">
        <v>2050</v>
      </c>
      <c r="B268" s="338" t="str">
        <f aca="false">IF(B267&gt;B155,"COMPRAR",IF(B267&lt;-B155,"VENDER","MANTENER"))</f>
        <v>COMPRAR</v>
      </c>
      <c r="C268" s="302"/>
      <c r="D268" s="302"/>
      <c r="E268" s="302"/>
      <c r="F268" s="302"/>
      <c r="G268" s="302"/>
    </row>
    <row r="269" customFormat="false" ht="15" hidden="false" customHeight="false" outlineLevel="0" collapsed="false">
      <c r="A269" s="286" t="s">
        <v>18</v>
      </c>
      <c r="B269" s="307" t="n">
        <f aca="false">Generales!B24</f>
        <v>23.357</v>
      </c>
      <c r="C269" s="302"/>
      <c r="D269" s="302"/>
      <c r="E269" s="302"/>
      <c r="F269" s="302"/>
      <c r="G269" s="302"/>
    </row>
    <row r="270" customFormat="false" ht="15" hidden="false" customHeight="false" outlineLevel="0" collapsed="false">
      <c r="A270" s="286" t="s">
        <v>2051</v>
      </c>
      <c r="B270" s="295" t="n">
        <f aca="false">B265/B269-1</f>
        <v>0.738358581364009</v>
      </c>
      <c r="C270" s="302"/>
      <c r="D270" s="302"/>
      <c r="E270" s="302"/>
      <c r="F270" s="302"/>
      <c r="G270" s="30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6796875" defaultRowHeight="15" zeroHeight="false" outlineLevelRow="0" outlineLevelCol="0"/>
  <cols>
    <col collapsed="false" customWidth="true" hidden="false" outlineLevel="0" max="1" min="1" style="0" width="61.16"/>
    <col collapsed="false" customWidth="true" hidden="false" outlineLevel="0" max="7" min="2" style="0" width="17.5"/>
  </cols>
  <sheetData>
    <row r="1" customFormat="false" ht="15" hidden="false" customHeight="true" outlineLevel="0" collapsed="false">
      <c r="A1" s="344" t="s">
        <v>2706</v>
      </c>
      <c r="B1" s="345"/>
      <c r="C1" s="345"/>
      <c r="D1" s="345"/>
      <c r="E1" s="345"/>
      <c r="F1" s="345"/>
      <c r="G1" s="345"/>
    </row>
    <row r="2" customFormat="false" ht="15" hidden="false" customHeight="true" outlineLevel="0" collapsed="false">
      <c r="A2" s="346" t="s">
        <v>2675</v>
      </c>
      <c r="B2" s="345"/>
      <c r="C2" s="345"/>
      <c r="D2" s="345"/>
      <c r="E2" s="345"/>
      <c r="F2" s="345"/>
      <c r="G2" s="345"/>
    </row>
    <row r="3" customFormat="false" ht="15" hidden="false" customHeight="true" outlineLevel="0" collapsed="false">
      <c r="A3" s="347"/>
      <c r="B3" s="345"/>
      <c r="C3" s="345"/>
      <c r="D3" s="345"/>
      <c r="E3" s="345"/>
      <c r="F3" s="345"/>
      <c r="G3" s="345"/>
    </row>
    <row r="4" customFormat="false" ht="15" hidden="false" customHeight="true" outlineLevel="0" collapsed="false">
      <c r="A4" s="345"/>
      <c r="B4" s="345"/>
      <c r="C4" s="345"/>
      <c r="D4" s="345"/>
      <c r="E4" s="345"/>
      <c r="F4" s="345"/>
      <c r="G4" s="345"/>
    </row>
    <row r="5" customFormat="false" ht="15" hidden="false" customHeight="true" outlineLevel="0" collapsed="false">
      <c r="A5" s="285" t="s">
        <v>1831</v>
      </c>
      <c r="B5" s="285" t="s">
        <v>1428</v>
      </c>
      <c r="C5" s="285" t="s">
        <v>1429</v>
      </c>
      <c r="D5" s="285" t="s">
        <v>1430</v>
      </c>
      <c r="E5" s="285" t="s">
        <v>1431</v>
      </c>
      <c r="F5" s="285" t="s">
        <v>1432</v>
      </c>
      <c r="G5" s="285" t="s">
        <v>1433</v>
      </c>
    </row>
    <row r="6" customFormat="false" ht="15" hidden="false" customHeight="true" outlineLevel="0" collapsed="false">
      <c r="A6" s="286" t="s">
        <v>1833</v>
      </c>
      <c r="B6" s="286"/>
      <c r="C6" s="287" t="n">
        <v>0.7</v>
      </c>
      <c r="D6" s="287" t="n">
        <v>0.7</v>
      </c>
      <c r="E6" s="287" t="n">
        <v>0.75</v>
      </c>
      <c r="F6" s="287" t="n">
        <v>0.8</v>
      </c>
      <c r="G6" s="287" t="n">
        <v>0.85</v>
      </c>
    </row>
    <row r="7" customFormat="false" ht="15" hidden="false" customHeight="true" outlineLevel="0" collapsed="false">
      <c r="A7" s="286" t="s">
        <v>1834</v>
      </c>
      <c r="B7" s="286"/>
      <c r="C7" s="287" t="n">
        <f aca="false">1-C6</f>
        <v>0.3</v>
      </c>
      <c r="D7" s="287" t="n">
        <f aca="false">1-D6</f>
        <v>0.3</v>
      </c>
      <c r="E7" s="287" t="n">
        <f aca="false">1-E6</f>
        <v>0.25</v>
      </c>
      <c r="F7" s="287" t="n">
        <f aca="false">1-F6</f>
        <v>0.2</v>
      </c>
      <c r="G7" s="287" t="n">
        <f aca="false">1-G6</f>
        <v>0.15</v>
      </c>
    </row>
    <row r="8" customFormat="false" ht="15" hidden="false" customHeight="true" outlineLevel="0" collapsed="false">
      <c r="A8" s="288"/>
      <c r="B8" s="288"/>
      <c r="C8" s="288"/>
      <c r="D8" s="288"/>
      <c r="E8" s="288"/>
      <c r="F8" s="288"/>
      <c r="G8" s="288"/>
    </row>
    <row r="9" customFormat="false" ht="15" hidden="false" customHeight="true" outlineLevel="0" collapsed="false">
      <c r="A9" s="285" t="s">
        <v>1835</v>
      </c>
      <c r="B9" s="285" t="s">
        <v>1428</v>
      </c>
      <c r="C9" s="285" t="s">
        <v>1429</v>
      </c>
      <c r="D9" s="285" t="s">
        <v>1430</v>
      </c>
      <c r="E9" s="285" t="s">
        <v>1431</v>
      </c>
      <c r="F9" s="285" t="s">
        <v>1432</v>
      </c>
      <c r="G9" s="285" t="s">
        <v>1433</v>
      </c>
    </row>
    <row r="10" customFormat="false" ht="15" hidden="false" customHeight="true" outlineLevel="0" collapsed="false">
      <c r="A10" s="286" t="s">
        <v>1837</v>
      </c>
      <c r="B10" s="286"/>
      <c r="C10" s="289" t="n">
        <f aca="false">Escenarios!$J$7</f>
        <v>0.0351</v>
      </c>
      <c r="D10" s="289" t="n">
        <f aca="false">Escenarios!$J$7</f>
        <v>0.0351</v>
      </c>
      <c r="E10" s="289" t="n">
        <f aca="false">Escenarios!$J$7</f>
        <v>0.0351</v>
      </c>
      <c r="F10" s="289" t="n">
        <f aca="false">Escenarios!$J$7</f>
        <v>0.0351</v>
      </c>
      <c r="G10" s="289" t="n">
        <f aca="false">Escenarios!$J$7</f>
        <v>0.0351</v>
      </c>
    </row>
    <row r="11" customFormat="false" ht="15" hidden="false" customHeight="true" outlineLevel="0" collapsed="false">
      <c r="A11" s="286" t="s">
        <v>1838</v>
      </c>
      <c r="B11" s="286"/>
      <c r="C11" s="289" t="n">
        <v>0.014</v>
      </c>
      <c r="D11" s="289" t="n">
        <v>0.018</v>
      </c>
      <c r="E11" s="289" t="n">
        <v>0.02</v>
      </c>
      <c r="F11" s="289" t="n">
        <v>0.02</v>
      </c>
      <c r="G11" s="289" t="n">
        <v>0.02</v>
      </c>
    </row>
    <row r="12" customFormat="false" ht="15" hidden="false" customHeight="true" outlineLevel="0" collapsed="false">
      <c r="A12" s="286" t="s">
        <v>1839</v>
      </c>
      <c r="B12" s="286"/>
      <c r="C12" s="290" t="n">
        <v>0.5</v>
      </c>
      <c r="D12" s="290" t="n">
        <v>0.5</v>
      </c>
      <c r="E12" s="290" t="n">
        <v>0.5</v>
      </c>
      <c r="F12" s="290" t="n">
        <v>0.5</v>
      </c>
      <c r="G12" s="290" t="n">
        <v>0.5</v>
      </c>
    </row>
    <row r="13" customFormat="false" ht="15" hidden="false" customHeight="true" outlineLevel="0" collapsed="false">
      <c r="A13" s="286" t="s">
        <v>1840</v>
      </c>
      <c r="B13" s="286"/>
      <c r="C13" s="289" t="n">
        <v>-0.04</v>
      </c>
      <c r="D13" s="289" t="n">
        <v>-0.015</v>
      </c>
      <c r="E13" s="289" t="n">
        <v>-0.005</v>
      </c>
      <c r="F13" s="289" t="n">
        <v>0</v>
      </c>
      <c r="G13" s="289" t="n">
        <v>0</v>
      </c>
    </row>
    <row r="14" customFormat="false" ht="15" hidden="false" customHeight="true" outlineLevel="0" collapsed="false">
      <c r="A14" s="285" t="s">
        <v>1841</v>
      </c>
      <c r="B14" s="285"/>
      <c r="C14" s="291" t="n">
        <f aca="false">C10+C11*C12+C13</f>
        <v>0.0021</v>
      </c>
      <c r="D14" s="291" t="n">
        <f aca="false">D10+D11*D12+D13</f>
        <v>0.0291</v>
      </c>
      <c r="E14" s="291" t="n">
        <f aca="false">E10+E11*E12+E13</f>
        <v>0.0401</v>
      </c>
      <c r="F14" s="291" t="n">
        <f aca="false">F10+F11*F12+F13</f>
        <v>0.0451</v>
      </c>
      <c r="G14" s="291" t="n">
        <f aca="false">G10+G11*G12+G13</f>
        <v>0.0451</v>
      </c>
    </row>
    <row r="15" customFormat="false" ht="15" hidden="false" customHeight="true" outlineLevel="0" collapsed="false">
      <c r="A15" s="286" t="s">
        <v>2676</v>
      </c>
      <c r="B15" s="286"/>
      <c r="C15" s="289" t="n">
        <v>-0.03</v>
      </c>
      <c r="D15" s="289" t="n">
        <v>-0.02</v>
      </c>
      <c r="E15" s="289" t="n">
        <v>-0.0125</v>
      </c>
      <c r="F15" s="289" t="n">
        <v>-0.01</v>
      </c>
      <c r="G15" s="289" t="n">
        <v>-0.0075</v>
      </c>
    </row>
    <row r="16" customFormat="false" ht="15" hidden="false" customHeight="true" outlineLevel="0" collapsed="false">
      <c r="A16" s="286" t="s">
        <v>2677</v>
      </c>
      <c r="B16" s="286"/>
      <c r="C16" s="289" t="n">
        <v>-0.01</v>
      </c>
      <c r="D16" s="289" t="n">
        <v>-0.005</v>
      </c>
      <c r="E16" s="289" t="n">
        <v>0</v>
      </c>
      <c r="F16" s="289" t="n">
        <v>0</v>
      </c>
      <c r="G16" s="289" t="n">
        <v>0</v>
      </c>
    </row>
    <row r="17" customFormat="false" ht="15" hidden="false" customHeight="true" outlineLevel="0" collapsed="false">
      <c r="A17" s="286" t="s">
        <v>2678</v>
      </c>
      <c r="B17" s="286"/>
      <c r="C17" s="289" t="n">
        <v>-0.003</v>
      </c>
      <c r="D17" s="289" t="n">
        <v>-0.002</v>
      </c>
      <c r="E17" s="289" t="n">
        <v>-0.001</v>
      </c>
      <c r="F17" s="289" t="n">
        <v>0</v>
      </c>
      <c r="G17" s="289" t="n">
        <v>0</v>
      </c>
    </row>
    <row r="18" customFormat="false" ht="15" hidden="false" customHeight="true" outlineLevel="0" collapsed="false">
      <c r="A18" s="286" t="s">
        <v>2679</v>
      </c>
      <c r="B18" s="286"/>
      <c r="C18" s="289" t="n">
        <v>-0.002</v>
      </c>
      <c r="D18" s="289" t="n">
        <v>-0.003</v>
      </c>
      <c r="E18" s="289" t="n">
        <v>-0.001</v>
      </c>
      <c r="F18" s="289" t="n">
        <v>0</v>
      </c>
      <c r="G18" s="289" t="n">
        <v>0</v>
      </c>
    </row>
    <row r="19" customFormat="false" ht="15" hidden="false" customHeight="true" outlineLevel="0" collapsed="false">
      <c r="A19" s="286" t="s">
        <v>2680</v>
      </c>
      <c r="B19" s="286"/>
      <c r="C19" s="289" t="n">
        <v>0.002</v>
      </c>
      <c r="D19" s="289" t="n">
        <v>0.003</v>
      </c>
      <c r="E19" s="289" t="n">
        <v>0.003</v>
      </c>
      <c r="F19" s="289" t="n">
        <v>0.002</v>
      </c>
      <c r="G19" s="289" t="n">
        <v>0.002</v>
      </c>
    </row>
    <row r="20" customFormat="false" ht="15" hidden="false" customHeight="true" outlineLevel="0" collapsed="false">
      <c r="A20" s="286" t="s">
        <v>2681</v>
      </c>
      <c r="B20" s="286"/>
      <c r="C20" s="289" t="n">
        <v>0.003</v>
      </c>
      <c r="D20" s="289" t="n">
        <v>0.004</v>
      </c>
      <c r="E20" s="289" t="n">
        <v>0.005</v>
      </c>
      <c r="F20" s="289" t="n">
        <v>0.005</v>
      </c>
      <c r="G20" s="289" t="n">
        <v>0.005</v>
      </c>
    </row>
    <row r="21" customFormat="false" ht="15" hidden="false" customHeight="true" outlineLevel="0" collapsed="false">
      <c r="A21" s="286" t="s">
        <v>2682</v>
      </c>
      <c r="B21" s="286"/>
      <c r="C21" s="289" t="n">
        <v>-0.002</v>
      </c>
      <c r="D21" s="289" t="n">
        <v>-0.002</v>
      </c>
      <c r="E21" s="289" t="n">
        <v>-0.001</v>
      </c>
      <c r="F21" s="289" t="n">
        <v>0</v>
      </c>
      <c r="G21" s="289" t="n">
        <v>0</v>
      </c>
    </row>
    <row r="22" customFormat="false" ht="15" hidden="false" customHeight="true" outlineLevel="0" collapsed="false">
      <c r="A22" s="286" t="s">
        <v>2683</v>
      </c>
      <c r="B22" s="286"/>
      <c r="C22" s="289" t="n">
        <v>0.001</v>
      </c>
      <c r="D22" s="289" t="n">
        <v>0.002</v>
      </c>
      <c r="E22" s="289" t="n">
        <v>0.002</v>
      </c>
      <c r="F22" s="289" t="n">
        <v>0.002</v>
      </c>
      <c r="G22" s="289" t="n">
        <v>0.002</v>
      </c>
    </row>
    <row r="23" customFormat="false" ht="15" hidden="false" customHeight="true" outlineLevel="0" collapsed="false">
      <c r="A23" s="285" t="s">
        <v>1850</v>
      </c>
      <c r="B23" s="285"/>
      <c r="C23" s="291" t="n">
        <f aca="false">C14+SUM(C15:C22)+Escenarios!$J$8</f>
        <v>-0.0389</v>
      </c>
      <c r="D23" s="291" t="n">
        <f aca="false">D14+SUM(D15:D22)+Escenarios!$J$8</f>
        <v>0.0061</v>
      </c>
      <c r="E23" s="291" t="n">
        <f aca="false">E14+SUM(E15:E22)+Escenarios!$J$8</f>
        <v>0.0346</v>
      </c>
      <c r="F23" s="291" t="n">
        <f aca="false">F14+SUM(F15:F22)+Escenarios!$J$8</f>
        <v>0.0441</v>
      </c>
      <c r="G23" s="291" t="n">
        <f aca="false">G14+SUM(G15:G22)+Escenarios!$J$8</f>
        <v>0.0466</v>
      </c>
    </row>
    <row r="24" customFormat="false" ht="15" hidden="false" customHeight="true" outlineLevel="0" collapsed="false">
      <c r="A24" s="288"/>
      <c r="B24" s="288"/>
      <c r="C24" s="288"/>
      <c r="D24" s="288"/>
      <c r="E24" s="288"/>
      <c r="F24" s="288"/>
      <c r="G24" s="288"/>
    </row>
    <row r="25" customFormat="false" ht="15" hidden="false" customHeight="true" outlineLevel="0" collapsed="false">
      <c r="A25" s="285" t="s">
        <v>1851</v>
      </c>
      <c r="B25" s="285" t="s">
        <v>1428</v>
      </c>
      <c r="C25" s="285" t="s">
        <v>1429</v>
      </c>
      <c r="D25" s="285" t="s">
        <v>1430</v>
      </c>
      <c r="E25" s="285" t="s">
        <v>1431</v>
      </c>
      <c r="F25" s="285" t="s">
        <v>1432</v>
      </c>
      <c r="G25" s="285" t="s">
        <v>1433</v>
      </c>
    </row>
    <row r="26" customFormat="false" ht="15" hidden="false" customHeight="true" outlineLevel="0" collapsed="false">
      <c r="A26" s="286" t="s">
        <v>1852</v>
      </c>
      <c r="B26" s="292" t="n">
        <f aca="false">'MC Soriana'!G6</f>
        <v>174278</v>
      </c>
      <c r="C26" s="292" t="n">
        <f aca="false">'MC Soriana'!F6</f>
        <v>163936.6</v>
      </c>
      <c r="D26" s="292" t="n">
        <f aca="false">C26+16*('MC Soriana'!$C$6-'MC Soriana'!$B$6)</f>
        <v>153151</v>
      </c>
      <c r="E26" s="292" t="n">
        <f aca="false">D26+16*('MC Soriana'!$C$6-'MC Soriana'!$B$6)</f>
        <v>142365.4</v>
      </c>
      <c r="F26" s="292" t="n">
        <f aca="false">E26+16*('MC Soriana'!$C$6-'MC Soriana'!$B$6)</f>
        <v>131579.8</v>
      </c>
      <c r="G26" s="292" t="n">
        <f aca="false">F26+16*('MC Soriana'!$C$6-'MC Soriana'!$B$6)</f>
        <v>120794.2</v>
      </c>
    </row>
    <row r="27" customFormat="false" ht="15" hidden="false" customHeight="true" outlineLevel="0" collapsed="false">
      <c r="A27" s="286" t="s">
        <v>1853</v>
      </c>
      <c r="B27" s="286"/>
      <c r="C27" s="287" t="n">
        <f aca="false">C26/B26-1</f>
        <v>-0.0593385280987848</v>
      </c>
      <c r="D27" s="287" t="n">
        <f aca="false">D26/C26-1</f>
        <v>-0.0657912876075262</v>
      </c>
      <c r="E27" s="287" t="n">
        <f aca="false">E26/D26-1</f>
        <v>-0.0704246136166266</v>
      </c>
      <c r="F27" s="287" t="n">
        <f aca="false">F26/E26-1</f>
        <v>-0.0757599810066209</v>
      </c>
      <c r="G27" s="287" t="n">
        <f aca="false">G26/F26-1</f>
        <v>-0.0819700288342129</v>
      </c>
    </row>
    <row r="28" customFormat="false" ht="15" hidden="false" customHeight="true" outlineLevel="0" collapsed="false">
      <c r="A28" s="285" t="s">
        <v>1854</v>
      </c>
      <c r="B28" s="285"/>
      <c r="C28" s="293" t="n">
        <f aca="false">C$6*C23+C$7*C27</f>
        <v>-0.0450315584296355</v>
      </c>
      <c r="D28" s="293" t="n">
        <f aca="false">D$6*D23+D$7*D27</f>
        <v>-0.0154673862822579</v>
      </c>
      <c r="E28" s="293" t="n">
        <f aca="false">E$6*E23+E$7*E27</f>
        <v>0.00834384659584337</v>
      </c>
      <c r="F28" s="293" t="n">
        <f aca="false">F$6*F23+F$7*F27</f>
        <v>0.0201280037986758</v>
      </c>
      <c r="G28" s="293" t="n">
        <f aca="false">G$6*G23+G$7*G27</f>
        <v>0.0273144956748681</v>
      </c>
    </row>
    <row r="29" customFormat="false" ht="15" hidden="false" customHeight="true" outlineLevel="0" collapsed="false">
      <c r="A29" s="288"/>
      <c r="B29" s="288"/>
      <c r="C29" s="288"/>
      <c r="D29" s="288"/>
      <c r="E29" s="288"/>
      <c r="F29" s="288"/>
      <c r="G29" s="288"/>
    </row>
    <row r="30" customFormat="false" ht="15" hidden="false" customHeight="true" outlineLevel="0" collapsed="false">
      <c r="A30" s="285" t="s">
        <v>1855</v>
      </c>
      <c r="B30" s="285" t="s">
        <v>1428</v>
      </c>
      <c r="C30" s="285" t="s">
        <v>1429</v>
      </c>
      <c r="D30" s="285" t="s">
        <v>1430</v>
      </c>
      <c r="E30" s="285" t="s">
        <v>1431</v>
      </c>
      <c r="F30" s="285" t="s">
        <v>1432</v>
      </c>
      <c r="G30" s="285" t="s">
        <v>1433</v>
      </c>
    </row>
    <row r="31" customFormat="false" ht="15" hidden="false" customHeight="true" outlineLevel="0" collapsed="false">
      <c r="A31" s="286" t="s">
        <v>1857</v>
      </c>
      <c r="B31" s="289" t="n">
        <f aca="false">Valuación!B10</f>
        <v>0.042542883699969</v>
      </c>
      <c r="C31" s="289" t="n">
        <f aca="false">B31+SUM(C32:C39)</f>
        <v>0.043742883699969</v>
      </c>
      <c r="D31" s="289" t="n">
        <f aca="false">C31+SUM(D32:D39)</f>
        <v>0.043442883699969</v>
      </c>
      <c r="E31" s="289" t="n">
        <f aca="false">D31+SUM(E32:E39)</f>
        <v>0.043742883699969</v>
      </c>
      <c r="F31" s="289" t="n">
        <f aca="false">E31+SUM(F32:F39)</f>
        <v>0.044042883699969</v>
      </c>
      <c r="G31" s="289" t="n">
        <f aca="false">F31+SUM(G32:G39)</f>
        <v>0.044342883699969</v>
      </c>
    </row>
    <row r="32" customFormat="false" ht="15" hidden="false" customHeight="true" outlineLevel="0" collapsed="false">
      <c r="A32" s="286" t="s">
        <v>2684</v>
      </c>
      <c r="B32" s="289"/>
      <c r="C32" s="289" t="n">
        <v>0.0055</v>
      </c>
      <c r="D32" s="289" t="n">
        <v>0.003</v>
      </c>
      <c r="E32" s="289" t="n">
        <v>0.002</v>
      </c>
      <c r="F32" s="289" t="n">
        <v>0.001</v>
      </c>
      <c r="G32" s="289" t="n">
        <v>0.001</v>
      </c>
    </row>
    <row r="33" customFormat="false" ht="15" hidden="false" customHeight="true" outlineLevel="0" collapsed="false">
      <c r="A33" s="286" t="s">
        <v>2685</v>
      </c>
      <c r="B33" s="289"/>
      <c r="C33" s="289" t="n">
        <v>-0.001</v>
      </c>
      <c r="D33" s="289" t="n">
        <v>-0.0015</v>
      </c>
      <c r="E33" s="289" t="n">
        <v>-0.0015</v>
      </c>
      <c r="F33" s="289" t="n">
        <v>-0.001</v>
      </c>
      <c r="G33" s="289" t="n">
        <v>-0.001</v>
      </c>
    </row>
    <row r="34" customFormat="false" ht="15" hidden="false" customHeight="true" outlineLevel="0" collapsed="false">
      <c r="A34" s="286" t="s">
        <v>2686</v>
      </c>
      <c r="B34" s="289"/>
      <c r="C34" s="289" t="n">
        <v>-0.0015</v>
      </c>
      <c r="D34" s="289" t="n">
        <v>-0.001</v>
      </c>
      <c r="E34" s="289" t="n">
        <v>-0.001</v>
      </c>
      <c r="F34" s="289" t="n">
        <v>-0.0005</v>
      </c>
      <c r="G34" s="289" t="n">
        <v>0</v>
      </c>
    </row>
    <row r="35" customFormat="false" ht="15" hidden="false" customHeight="true" outlineLevel="0" collapsed="false">
      <c r="A35" s="286" t="s">
        <v>2687</v>
      </c>
      <c r="B35" s="289"/>
      <c r="C35" s="289" t="n">
        <v>-0.0005</v>
      </c>
      <c r="D35" s="289" t="n">
        <v>-0.0005</v>
      </c>
      <c r="E35" s="289" t="n">
        <v>0</v>
      </c>
      <c r="F35" s="289" t="n">
        <v>0</v>
      </c>
      <c r="G35" s="289" t="n">
        <v>0</v>
      </c>
    </row>
    <row r="36" customFormat="false" ht="15" hidden="false" customHeight="true" outlineLevel="0" collapsed="false">
      <c r="A36" s="286" t="s">
        <v>2688</v>
      </c>
      <c r="B36" s="289"/>
      <c r="C36" s="289" t="n">
        <v>-0.0005</v>
      </c>
      <c r="D36" s="289" t="n">
        <v>-0.0005</v>
      </c>
      <c r="E36" s="289" t="n">
        <v>0</v>
      </c>
      <c r="F36" s="289" t="n">
        <v>0</v>
      </c>
      <c r="G36" s="289" t="n">
        <v>0</v>
      </c>
    </row>
    <row r="37" customFormat="false" ht="15" hidden="false" customHeight="true" outlineLevel="0" collapsed="false">
      <c r="A37" s="286" t="s">
        <v>2689</v>
      </c>
      <c r="B37" s="289"/>
      <c r="C37" s="289" t="n">
        <v>-0.0003</v>
      </c>
      <c r="D37" s="289" t="n">
        <v>-0.0003</v>
      </c>
      <c r="E37" s="289" t="n">
        <v>-0.0002</v>
      </c>
      <c r="F37" s="289" t="n">
        <v>-0.0002</v>
      </c>
      <c r="G37" s="289" t="n">
        <v>-0.0002</v>
      </c>
    </row>
    <row r="38" customFormat="false" ht="15" hidden="false" customHeight="true" outlineLevel="0" collapsed="false">
      <c r="A38" s="286" t="s">
        <v>2690</v>
      </c>
      <c r="B38" s="289"/>
      <c r="C38" s="289" t="n">
        <v>0.0005</v>
      </c>
      <c r="D38" s="289" t="n">
        <v>0.001</v>
      </c>
      <c r="E38" s="289" t="n">
        <v>0.001</v>
      </c>
      <c r="F38" s="289" t="n">
        <v>0.001</v>
      </c>
      <c r="G38" s="289" t="n">
        <v>0.0005</v>
      </c>
    </row>
    <row r="39" customFormat="false" ht="15" hidden="false" customHeight="true" outlineLevel="0" collapsed="false">
      <c r="A39" s="286" t="s">
        <v>2691</v>
      </c>
      <c r="B39" s="289"/>
      <c r="C39" s="289" t="n">
        <v>-0.001</v>
      </c>
      <c r="D39" s="289" t="n">
        <v>-0.0005</v>
      </c>
      <c r="E39" s="289" t="n">
        <v>0</v>
      </c>
      <c r="F39" s="289" t="n">
        <v>0</v>
      </c>
      <c r="G39" s="289" t="n">
        <v>0</v>
      </c>
    </row>
    <row r="40" customFormat="false" ht="15" hidden="false" customHeight="true" outlineLevel="0" collapsed="false">
      <c r="A40" s="286" t="s">
        <v>1866</v>
      </c>
      <c r="B40" s="289"/>
      <c r="C40" s="289" t="n">
        <f aca="false">'MC Soriana'!$F$9</f>
        <v>0.0492556268703877</v>
      </c>
      <c r="D40" s="289" t="n">
        <f aca="false">'MC Soriana'!$F$9</f>
        <v>0.0492556268703877</v>
      </c>
      <c r="E40" s="289" t="n">
        <f aca="false">'MC Soriana'!$F$9</f>
        <v>0.0492556268703877</v>
      </c>
      <c r="F40" s="289" t="n">
        <f aca="false">'MC Soriana'!$F$9</f>
        <v>0.0492556268703877</v>
      </c>
      <c r="G40" s="289" t="n">
        <f aca="false">'MC Soriana'!$F$9</f>
        <v>0.0492556268703877</v>
      </c>
    </row>
    <row r="41" customFormat="false" ht="15" hidden="false" customHeight="true" outlineLevel="0" collapsed="false">
      <c r="A41" s="285" t="s">
        <v>1867</v>
      </c>
      <c r="B41" s="291"/>
      <c r="C41" s="291" t="n">
        <f aca="false">C$6*C31+C$7*C40+Escenarios!$J$9</f>
        <v>0.0428967066510946</v>
      </c>
      <c r="D41" s="291" t="n">
        <f aca="false">D$6*D31+D$7*D40+Escenarios!$J$9</f>
        <v>0.0426867066510946</v>
      </c>
      <c r="E41" s="291" t="n">
        <f aca="false">E$6*E31+E$7*E40+Escenarios!$J$9</f>
        <v>0.0426210694925737</v>
      </c>
      <c r="F41" s="291" t="n">
        <f aca="false">F$6*F31+F$7*F40+Escenarios!$J$9</f>
        <v>0.0425854323340528</v>
      </c>
      <c r="G41" s="291" t="n">
        <f aca="false">G$6*G31+G$7*G40+Escenarios!$J$9</f>
        <v>0.0425797951755318</v>
      </c>
    </row>
    <row r="42" customFormat="false" ht="15" hidden="false" customHeight="true" outlineLevel="0" collapsed="false">
      <c r="A42" s="288"/>
      <c r="B42" s="288"/>
      <c r="C42" s="288"/>
      <c r="D42" s="288"/>
      <c r="E42" s="288"/>
      <c r="F42" s="288"/>
      <c r="G42" s="288"/>
    </row>
    <row r="43" customFormat="false" ht="15" hidden="false" customHeight="true" outlineLevel="0" collapsed="false">
      <c r="A43" s="285" t="s">
        <v>1868</v>
      </c>
      <c r="B43" s="285" t="s">
        <v>1428</v>
      </c>
      <c r="C43" s="285" t="s">
        <v>1429</v>
      </c>
      <c r="D43" s="285" t="s">
        <v>1430</v>
      </c>
      <c r="E43" s="285" t="s">
        <v>1431</v>
      </c>
      <c r="F43" s="285" t="s">
        <v>1432</v>
      </c>
      <c r="G43" s="285" t="s">
        <v>1433</v>
      </c>
    </row>
    <row r="44" customFormat="false" ht="15" hidden="false" customHeight="true" outlineLevel="0" collapsed="false">
      <c r="A44" s="286" t="s">
        <v>1869</v>
      </c>
      <c r="B44" s="286"/>
      <c r="C44" s="289" t="n">
        <f aca="false">Valuación!$B$11</f>
        <v>0.0244599047967777</v>
      </c>
      <c r="D44" s="289" t="n">
        <f aca="false">Valuación!$B$11</f>
        <v>0.0244599047967777</v>
      </c>
      <c r="E44" s="289" t="n">
        <f aca="false">Valuación!$B$11</f>
        <v>0.0244599047967777</v>
      </c>
      <c r="F44" s="289" t="n">
        <f aca="false">Valuación!$B$11</f>
        <v>0.0244599047967777</v>
      </c>
      <c r="G44" s="289" t="n">
        <f aca="false">Valuación!$B$11</f>
        <v>0.0244599047967777</v>
      </c>
    </row>
    <row r="45" customFormat="false" ht="15" hidden="false" customHeight="true" outlineLevel="0" collapsed="false">
      <c r="A45" s="286" t="s">
        <v>1870</v>
      </c>
      <c r="B45" s="286"/>
      <c r="C45" s="289" t="n">
        <f aca="false">'MC Soriana'!$F$12/'MC Soriana'!$F$6</f>
        <v>0.024136242913419</v>
      </c>
      <c r="D45" s="289" t="n">
        <f aca="false">'MC Soriana'!$F$12/'MC Soriana'!$F$6</f>
        <v>0.024136242913419</v>
      </c>
      <c r="E45" s="289" t="n">
        <f aca="false">'MC Soriana'!$F$12/'MC Soriana'!$F$6</f>
        <v>0.024136242913419</v>
      </c>
      <c r="F45" s="289" t="n">
        <f aca="false">'MC Soriana'!$F$12/'MC Soriana'!$F$6</f>
        <v>0.024136242913419</v>
      </c>
      <c r="G45" s="289" t="n">
        <f aca="false">'MC Soriana'!$F$12/'MC Soriana'!$F$6</f>
        <v>0.024136242913419</v>
      </c>
    </row>
    <row r="46" customFormat="false" ht="15" hidden="false" customHeight="true" outlineLevel="0" collapsed="false">
      <c r="A46" s="286" t="s">
        <v>1871</v>
      </c>
      <c r="B46" s="286"/>
      <c r="C46" s="289" t="n">
        <f aca="false">C$6*C44+C$7*C45</f>
        <v>0.0243628062317701</v>
      </c>
      <c r="D46" s="289" t="n">
        <f aca="false">D$6*D44+D$7*D45</f>
        <v>0.0243628062317701</v>
      </c>
      <c r="E46" s="289" t="n">
        <f aca="false">E$6*E44+E$7*E45</f>
        <v>0.024378989325938</v>
      </c>
      <c r="F46" s="289" t="n">
        <f aca="false">F$6*F44+F$7*F45</f>
        <v>0.024395172420106</v>
      </c>
      <c r="G46" s="289" t="n">
        <f aca="false">G$6*G44+G$7*G45</f>
        <v>0.0244113555142739</v>
      </c>
    </row>
    <row r="47" customFormat="false" ht="15" hidden="false" customHeight="true" outlineLevel="0" collapsed="false">
      <c r="A47" s="286" t="s">
        <v>1872</v>
      </c>
      <c r="B47" s="286"/>
      <c r="C47" s="292" t="n">
        <v>4000</v>
      </c>
      <c r="D47" s="292"/>
      <c r="E47" s="292"/>
      <c r="F47" s="292"/>
      <c r="G47" s="292"/>
    </row>
    <row r="48" customFormat="false" ht="15" hidden="false" customHeight="true" outlineLevel="0" collapsed="false">
      <c r="A48" s="286" t="s">
        <v>1873</v>
      </c>
      <c r="B48" s="286"/>
      <c r="C48" s="289"/>
      <c r="D48" s="289" t="n">
        <v>0.003</v>
      </c>
      <c r="E48" s="289" t="n">
        <v>0.003</v>
      </c>
      <c r="F48" s="289" t="n">
        <v>0.003</v>
      </c>
      <c r="G48" s="289" t="n">
        <v>0.003</v>
      </c>
    </row>
    <row r="49" customFormat="false" ht="15" hidden="false" customHeight="true" outlineLevel="0" collapsed="false">
      <c r="A49" s="286" t="s">
        <v>1874</v>
      </c>
      <c r="B49" s="286"/>
      <c r="C49" s="289" t="n">
        <f aca="false">C47/C67</f>
        <v>0.0235958656470585</v>
      </c>
      <c r="D49" s="289" t="n">
        <f aca="false">Valuación!$B$12*(1+'Variables Externas'!$J$22)+D48</f>
        <v>0.0195545165197307</v>
      </c>
      <c r="E49" s="289" t="n">
        <f aca="false">Valuación!$B$12*(1+'Variables Externas'!$J$22)+E48</f>
        <v>0.0195545165197307</v>
      </c>
      <c r="F49" s="289" t="n">
        <f aca="false">Valuación!$B$12*(1+'Variables Externas'!$J$22)+F48</f>
        <v>0.0195545165197307</v>
      </c>
      <c r="G49" s="289" t="n">
        <f aca="false">Valuación!$B$12*(1+'Variables Externas'!$J$22)+G48</f>
        <v>0.0195545165197307</v>
      </c>
    </row>
    <row r="50" customFormat="false" ht="15" hidden="false" customHeight="true" outlineLevel="0" collapsed="false">
      <c r="A50" s="286" t="s">
        <v>1875</v>
      </c>
      <c r="B50" s="286"/>
      <c r="C50" s="289" t="n">
        <f aca="false">'MC Soriana'!$F$13/'MC Soriana'!$F$6</f>
        <v>0.0202932109120233</v>
      </c>
      <c r="D50" s="289" t="n">
        <f aca="false">'MC Soriana'!$F$13/'MC Soriana'!$F$6</f>
        <v>0.0202932109120233</v>
      </c>
      <c r="E50" s="289" t="n">
        <f aca="false">'MC Soriana'!$F$13/'MC Soriana'!$F$6</f>
        <v>0.0202932109120233</v>
      </c>
      <c r="F50" s="289" t="n">
        <f aca="false">'MC Soriana'!$F$13/'MC Soriana'!$F$6</f>
        <v>0.0202932109120233</v>
      </c>
      <c r="G50" s="289" t="n">
        <f aca="false">'MC Soriana'!$F$13/'MC Soriana'!$F$6</f>
        <v>0.0202932109120233</v>
      </c>
    </row>
    <row r="51" customFormat="false" ht="15" hidden="false" customHeight="true" outlineLevel="0" collapsed="false">
      <c r="A51" s="285" t="s">
        <v>1876</v>
      </c>
      <c r="B51" s="285"/>
      <c r="C51" s="291" t="n">
        <f aca="false">C$6*C49+C$7*C50</f>
        <v>0.0226050692265479</v>
      </c>
      <c r="D51" s="291" t="n">
        <f aca="false">D$6*D49+D$7*D50</f>
        <v>0.0197761248374185</v>
      </c>
      <c r="E51" s="291" t="n">
        <f aca="false">E$6*E49+E$7*E50</f>
        <v>0.0197391901178039</v>
      </c>
      <c r="F51" s="291" t="n">
        <f aca="false">F$6*F49+F$7*F50</f>
        <v>0.0197022553981892</v>
      </c>
      <c r="G51" s="291" t="n">
        <f aca="false">G$6*G49+G$7*G50</f>
        <v>0.0196653206785746</v>
      </c>
    </row>
    <row r="52" customFormat="false" ht="15" hidden="false" customHeight="true" outlineLevel="0" collapsed="false">
      <c r="A52" s="286" t="s">
        <v>1877</v>
      </c>
      <c r="B52" s="286"/>
      <c r="C52" s="289" t="n">
        <v>0</v>
      </c>
      <c r="D52" s="289" t="n">
        <v>0.005</v>
      </c>
      <c r="E52" s="289" t="n">
        <v>0.005</v>
      </c>
      <c r="F52" s="289" t="n">
        <v>0.005</v>
      </c>
      <c r="G52" s="289" t="n">
        <v>0.005</v>
      </c>
    </row>
    <row r="53" customFormat="false" ht="15" hidden="false" customHeight="true" outlineLevel="0" collapsed="false">
      <c r="A53" s="286" t="s">
        <v>1878</v>
      </c>
      <c r="B53" s="286"/>
      <c r="C53" s="289" t="n">
        <f aca="false">WACC!$B$10+C52</f>
        <v>0.3</v>
      </c>
      <c r="D53" s="289" t="n">
        <f aca="false">WACC!$B$10+D52</f>
        <v>0.305</v>
      </c>
      <c r="E53" s="289" t="n">
        <f aca="false">WACC!$B$10+E52</f>
        <v>0.305</v>
      </c>
      <c r="F53" s="289" t="n">
        <f aca="false">WACC!$B$10+F52</f>
        <v>0.305</v>
      </c>
      <c r="G53" s="289" t="n">
        <f aca="false">WACC!$B$10+G52</f>
        <v>0.305</v>
      </c>
    </row>
    <row r="54" customFormat="false" ht="15" hidden="false" customHeight="true" outlineLevel="0" collapsed="false">
      <c r="A54" s="286" t="s">
        <v>1879</v>
      </c>
      <c r="B54" s="286"/>
      <c r="C54" s="289" t="n">
        <f aca="false">'MC Soriana'!$F$10</f>
        <v>0.191734007304675</v>
      </c>
      <c r="D54" s="289" t="n">
        <f aca="false">'MC Soriana'!$F$10</f>
        <v>0.191734007304675</v>
      </c>
      <c r="E54" s="289" t="n">
        <f aca="false">'MC Soriana'!$F$10</f>
        <v>0.191734007304675</v>
      </c>
      <c r="F54" s="289" t="n">
        <f aca="false">'MC Soriana'!$F$10</f>
        <v>0.191734007304675</v>
      </c>
      <c r="G54" s="289" t="n">
        <f aca="false">'MC Soriana'!$F$10</f>
        <v>0.191734007304675</v>
      </c>
    </row>
    <row r="55" customFormat="false" ht="15" hidden="false" customHeight="true" outlineLevel="0" collapsed="false">
      <c r="A55" s="285" t="s">
        <v>1880</v>
      </c>
      <c r="B55" s="285"/>
      <c r="C55" s="291" t="n">
        <f aca="false">C$6*C53+C$7*C54</f>
        <v>0.267520202191403</v>
      </c>
      <c r="D55" s="291" t="n">
        <f aca="false">D$6*D53+D$7*D54</f>
        <v>0.271020202191403</v>
      </c>
      <c r="E55" s="291" t="n">
        <f aca="false">E$6*E53+E$7*E54</f>
        <v>0.276683501826169</v>
      </c>
      <c r="F55" s="291" t="n">
        <f aca="false">F$6*F53+F$7*F54</f>
        <v>0.282346801460935</v>
      </c>
      <c r="G55" s="291" t="n">
        <f aca="false">G$6*G53+G$7*G54</f>
        <v>0.288010101095701</v>
      </c>
    </row>
    <row r="56" customFormat="false" ht="15" hidden="false" customHeight="true" outlineLevel="0" collapsed="false">
      <c r="A56" s="286" t="s">
        <v>1467</v>
      </c>
      <c r="B56" s="294" t="n">
        <f aca="false">Datos!G18/Datos!G7*365</f>
        <v>87.4443050938019</v>
      </c>
      <c r="C56" s="294" t="n">
        <v>88</v>
      </c>
      <c r="D56" s="294" t="n">
        <v>88</v>
      </c>
      <c r="E56" s="294" t="n">
        <v>87</v>
      </c>
      <c r="F56" s="294" t="n">
        <v>87</v>
      </c>
      <c r="G56" s="294" t="n">
        <v>87</v>
      </c>
    </row>
    <row r="57" customFormat="false" ht="15" hidden="false" customHeight="true" outlineLevel="0" collapsed="false">
      <c r="A57" s="286" t="s">
        <v>1468</v>
      </c>
      <c r="B57" s="295" t="n">
        <f aca="false">(Datos!G19-Datos!G17-Datos!G18)/Datos!G6</f>
        <v>0.0391572543165366</v>
      </c>
      <c r="C57" s="295" t="n">
        <f aca="false">$B57</f>
        <v>0.0391572543165366</v>
      </c>
      <c r="D57" s="295" t="n">
        <f aca="false">$B57</f>
        <v>0.0391572543165366</v>
      </c>
      <c r="E57" s="295" t="n">
        <f aca="false">$B57</f>
        <v>0.0391572543165366</v>
      </c>
      <c r="F57" s="295" t="n">
        <f aca="false">$B57</f>
        <v>0.0391572543165366</v>
      </c>
      <c r="G57" s="295" t="n">
        <f aca="false">$B57</f>
        <v>0.0391572543165366</v>
      </c>
    </row>
    <row r="58" customFormat="false" ht="15" hidden="false" customHeight="true" outlineLevel="0" collapsed="false">
      <c r="A58" s="286" t="s">
        <v>1469</v>
      </c>
      <c r="B58" s="295" t="n">
        <f aca="false">(Datos!G21-Datos!G25-Datos!G27)/Datos!G6</f>
        <v>0.200225333070445</v>
      </c>
      <c r="C58" s="295" t="n">
        <f aca="false">$B58</f>
        <v>0.200225333070445</v>
      </c>
      <c r="D58" s="295" t="n">
        <f aca="false">$B58</f>
        <v>0.200225333070445</v>
      </c>
      <c r="E58" s="295" t="n">
        <f aca="false">$B58</f>
        <v>0.200225333070445</v>
      </c>
      <c r="F58" s="295" t="n">
        <f aca="false">$B58</f>
        <v>0.200225333070445</v>
      </c>
      <c r="G58" s="295" t="n">
        <f aca="false">$B58</f>
        <v>0.200225333070445</v>
      </c>
    </row>
    <row r="59" customFormat="false" ht="15" hidden="false" customHeight="true" outlineLevel="0" collapsed="false">
      <c r="A59" s="286" t="s">
        <v>1464</v>
      </c>
      <c r="B59" s="295" t="n">
        <f aca="false">Datos!G7/Datos!G6</f>
        <v>0.759102047714278</v>
      </c>
      <c r="C59" s="295" t="n">
        <v>0.756</v>
      </c>
      <c r="D59" s="295" t="n">
        <v>0.757</v>
      </c>
      <c r="E59" s="295" t="n">
        <v>0.758</v>
      </c>
      <c r="F59" s="295" t="n">
        <v>0.758</v>
      </c>
      <c r="G59" s="295" t="n">
        <v>0.758</v>
      </c>
    </row>
    <row r="60" customFormat="false" ht="15" hidden="false" customHeight="true" outlineLevel="0" collapsed="false">
      <c r="A60" s="286" t="s">
        <v>1465</v>
      </c>
      <c r="B60" s="295" t="n">
        <f aca="false">-B70/B67</f>
        <v>0.173900797115737</v>
      </c>
      <c r="C60" s="295" t="n">
        <f aca="false">1-C59-C46-C41</f>
        <v>0.176740487117135</v>
      </c>
      <c r="D60" s="295" t="n">
        <f aca="false">1-D59-D46-D41</f>
        <v>0.175950487117135</v>
      </c>
      <c r="E60" s="295" t="n">
        <f aca="false">1-E59-E46-E41</f>
        <v>0.174999941181488</v>
      </c>
      <c r="F60" s="295" t="n">
        <f aca="false">1-F59-F46-F41</f>
        <v>0.175019395245841</v>
      </c>
      <c r="G60" s="295" t="n">
        <f aca="false">1-G59-G46-G41</f>
        <v>0.175008849310194</v>
      </c>
    </row>
    <row r="61" customFormat="false" ht="15" hidden="false" customHeight="true" outlineLevel="0" collapsed="false">
      <c r="A61" s="286" t="s">
        <v>1466</v>
      </c>
      <c r="B61" s="296" t="n">
        <f aca="false">Datos!G10/(Datos!G25+Datos!G26+Datos!G27+Datos!G28)</f>
        <v>0.130154966550936</v>
      </c>
      <c r="C61" s="296" t="n">
        <v>0.1</v>
      </c>
      <c r="D61" s="296" t="n">
        <v>0.0975</v>
      </c>
      <c r="E61" s="296" t="n">
        <v>0.0975</v>
      </c>
      <c r="F61" s="296" t="n">
        <v>0.0975</v>
      </c>
      <c r="G61" s="296" t="n">
        <v>0.0975</v>
      </c>
    </row>
    <row r="62" customFormat="false" ht="15" hidden="false" customHeight="true" outlineLevel="0" collapsed="false">
      <c r="A62" s="286" t="s">
        <v>1881</v>
      </c>
      <c r="B62" s="297"/>
      <c r="C62" s="297" t="n">
        <v>0</v>
      </c>
      <c r="D62" s="297" t="n">
        <v>-1500</v>
      </c>
      <c r="E62" s="297" t="n">
        <v>-1500</v>
      </c>
      <c r="F62" s="297" t="n">
        <v>-1500</v>
      </c>
      <c r="G62" s="297" t="n">
        <v>-1500</v>
      </c>
    </row>
    <row r="63" customFormat="false" ht="15" hidden="false" customHeight="true" outlineLevel="0" collapsed="false">
      <c r="A63" s="286" t="s">
        <v>1470</v>
      </c>
      <c r="B63" s="295" t="n">
        <f aca="false">'Proyección Soriana'!B14</f>
        <v>0.300144057623049</v>
      </c>
      <c r="C63" s="295" t="n">
        <f aca="false">$B63</f>
        <v>0.300144057623049</v>
      </c>
      <c r="D63" s="295" t="n">
        <f aca="false">$B63</f>
        <v>0.300144057623049</v>
      </c>
      <c r="E63" s="295" t="n">
        <f aca="false">$B63</f>
        <v>0.300144057623049</v>
      </c>
      <c r="F63" s="295" t="n">
        <f aca="false">$B63</f>
        <v>0.300144057623049</v>
      </c>
      <c r="G63" s="295" t="n">
        <f aca="false">$B63</f>
        <v>0.300144057623049</v>
      </c>
    </row>
    <row r="64" customFormat="false" ht="15" hidden="false" customHeight="true" outlineLevel="0" collapsed="false">
      <c r="A64" s="298"/>
      <c r="B64" s="298"/>
      <c r="C64" s="298"/>
      <c r="D64" s="298"/>
      <c r="E64" s="298"/>
      <c r="F64" s="298"/>
      <c r="G64" s="298"/>
    </row>
    <row r="65" customFormat="false" ht="15" hidden="false" customHeight="true" outlineLevel="0" collapsed="false">
      <c r="A65" s="348" t="s">
        <v>1882</v>
      </c>
      <c r="B65" s="298"/>
      <c r="C65" s="298"/>
      <c r="D65" s="298"/>
      <c r="E65" s="298"/>
      <c r="F65" s="298"/>
      <c r="G65" s="298"/>
    </row>
    <row r="66" customFormat="false" ht="15" hidden="false" customHeight="true" outlineLevel="0" collapsed="false">
      <c r="A66" s="285" t="s">
        <v>1884</v>
      </c>
      <c r="B66" s="300" t="s">
        <v>1428</v>
      </c>
      <c r="C66" s="300" t="s">
        <v>1429</v>
      </c>
      <c r="D66" s="300" t="s">
        <v>1430</v>
      </c>
      <c r="E66" s="300" t="s">
        <v>1431</v>
      </c>
      <c r="F66" s="300" t="s">
        <v>1432</v>
      </c>
      <c r="G66" s="300" t="s">
        <v>1433</v>
      </c>
    </row>
    <row r="67" customFormat="false" ht="15" hidden="false" customHeight="true" outlineLevel="0" collapsed="false">
      <c r="A67" s="286" t="s">
        <v>1442</v>
      </c>
      <c r="B67" s="297" t="n">
        <f aca="false">Datos!G6</f>
        <v>177515</v>
      </c>
      <c r="C67" s="297" t="n">
        <f aca="false">B67*(1+C28)</f>
        <v>169521.222905363</v>
      </c>
      <c r="D67" s="297" t="n">
        <f aca="false">C67*(1+D28)</f>
        <v>166899.172667645</v>
      </c>
      <c r="E67" s="297" t="n">
        <f aca="false">D67*(1+E28)</f>
        <v>168291.753761357</v>
      </c>
      <c r="F67" s="297" t="n">
        <f aca="false">E67*(1+F28)</f>
        <v>171679.130820352</v>
      </c>
      <c r="G67" s="297" t="n">
        <f aca="false">F67*(1+G28)</f>
        <v>176368.459696609</v>
      </c>
    </row>
    <row r="68" customFormat="false" ht="15" hidden="false" customHeight="true" outlineLevel="0" collapsed="false">
      <c r="A68" s="286" t="s">
        <v>86</v>
      </c>
      <c r="B68" s="297" t="n">
        <f aca="false">-Datos!G7</f>
        <v>-134752</v>
      </c>
      <c r="C68" s="297" t="n">
        <f aca="false">-C67*C59</f>
        <v>-128158.044516455</v>
      </c>
      <c r="D68" s="297" t="n">
        <f aca="false">-D67*D59</f>
        <v>-126342.673709407</v>
      </c>
      <c r="E68" s="297" t="n">
        <f aca="false">-E67*E59</f>
        <v>-127565.149351109</v>
      </c>
      <c r="F68" s="297" t="n">
        <f aca="false">-F67*F59</f>
        <v>-130132.781161827</v>
      </c>
      <c r="G68" s="297" t="n">
        <f aca="false">-G67*G59</f>
        <v>-133687.29245003</v>
      </c>
    </row>
    <row r="69" customFormat="false" ht="15" hidden="false" customHeight="true" outlineLevel="0" collapsed="false">
      <c r="A69" s="285" t="s">
        <v>80</v>
      </c>
      <c r="B69" s="301" t="n">
        <f aca="false">B67+B68</f>
        <v>42763</v>
      </c>
      <c r="C69" s="301" t="n">
        <f aca="false">C67+C68</f>
        <v>41363.1783889086</v>
      </c>
      <c r="D69" s="301" t="n">
        <f aca="false">D67+D68</f>
        <v>40556.4989582378</v>
      </c>
      <c r="E69" s="301" t="n">
        <f aca="false">E67+E68</f>
        <v>40726.6044102485</v>
      </c>
      <c r="F69" s="301" t="n">
        <f aca="false">F67+F68</f>
        <v>41546.3496585251</v>
      </c>
      <c r="G69" s="301" t="n">
        <f aca="false">G67+G68</f>
        <v>42681.1672465795</v>
      </c>
    </row>
    <row r="70" customFormat="false" ht="15" hidden="false" customHeight="true" outlineLevel="0" collapsed="false">
      <c r="A70" s="286" t="s">
        <v>1472</v>
      </c>
      <c r="B70" s="297" t="n">
        <f aca="false">-(Datos!G8-Datos!G9-Datos!G14)</f>
        <v>-30870</v>
      </c>
      <c r="C70" s="297" t="n">
        <f aca="false">-C67*C60</f>
        <v>-29961.2635129864</v>
      </c>
      <c r="D70" s="297" t="n">
        <f aca="false">-D67*D60</f>
        <v>-29365.9907303191</v>
      </c>
      <c r="E70" s="297" t="n">
        <f aca="false">-E67*E60</f>
        <v>-29451.047009567</v>
      </c>
      <c r="F70" s="297" t="n">
        <f aca="false">-F67*F60</f>
        <v>-30047.1776525096</v>
      </c>
      <c r="G70" s="297" t="n">
        <f aca="false">-G67*G60</f>
        <v>-30866.041186115</v>
      </c>
    </row>
    <row r="71" customFormat="false" ht="15" hidden="false" customHeight="true" outlineLevel="0" collapsed="false">
      <c r="A71" s="285" t="s">
        <v>1473</v>
      </c>
      <c r="B71" s="301" t="n">
        <f aca="false">B69+B70</f>
        <v>11893</v>
      </c>
      <c r="C71" s="301" t="n">
        <f aca="false">C69+C70</f>
        <v>11401.9148759223</v>
      </c>
      <c r="D71" s="301" t="n">
        <f aca="false">D69+D70</f>
        <v>11190.5082279188</v>
      </c>
      <c r="E71" s="301" t="n">
        <f aca="false">E69+E70</f>
        <v>11275.5574006814</v>
      </c>
      <c r="F71" s="301" t="n">
        <f aca="false">F69+F70</f>
        <v>11499.1720060155</v>
      </c>
      <c r="G71" s="301" t="n">
        <f aca="false">G69+G70</f>
        <v>11815.1260604645</v>
      </c>
    </row>
    <row r="72" customFormat="false" ht="15" hidden="false" customHeight="true" outlineLevel="0" collapsed="false">
      <c r="A72" s="286" t="s">
        <v>154</v>
      </c>
      <c r="B72" s="297" t="n">
        <f aca="false">-Datos!G14</f>
        <v>-4342</v>
      </c>
      <c r="C72" s="297" t="n">
        <f aca="false">-C67*C46</f>
        <v>-4130.01270581607</v>
      </c>
      <c r="D72" s="297" t="n">
        <f aca="false">-D67*D46</f>
        <v>-4066.13220394458</v>
      </c>
      <c r="E72" s="297" t="n">
        <f aca="false">-E67*E46</f>
        <v>-4102.78286859152</v>
      </c>
      <c r="F72" s="297" t="n">
        <f aca="false">-F67*F46</f>
        <v>-4188.14199729641</v>
      </c>
      <c r="G72" s="297" t="n">
        <f aca="false">-G67*G46</f>
        <v>-4305.39317115882</v>
      </c>
    </row>
    <row r="73" customFormat="false" ht="15" hidden="false" customHeight="true" outlineLevel="0" collapsed="false">
      <c r="A73" s="285" t="s">
        <v>81</v>
      </c>
      <c r="B73" s="301" t="n">
        <f aca="false">B71+B72</f>
        <v>7551</v>
      </c>
      <c r="C73" s="301" t="n">
        <f aca="false">C71+C72</f>
        <v>7271.9021701062</v>
      </c>
      <c r="D73" s="301" t="n">
        <f aca="false">D71+D72</f>
        <v>7124.37602397417</v>
      </c>
      <c r="E73" s="301" t="n">
        <f aca="false">E71+E72</f>
        <v>7172.77453208991</v>
      </c>
      <c r="F73" s="301" t="n">
        <f aca="false">F71+F72</f>
        <v>7311.03000871908</v>
      </c>
      <c r="G73" s="301" t="n">
        <f aca="false">G71+G72</f>
        <v>7509.73288930567</v>
      </c>
    </row>
    <row r="74" customFormat="false" ht="15" hidden="false" customHeight="true" outlineLevel="0" collapsed="false">
      <c r="A74" s="286" t="s">
        <v>88</v>
      </c>
      <c r="B74" s="297" t="n">
        <f aca="false">-Datos!G10</f>
        <v>-3074</v>
      </c>
      <c r="C74" s="297" t="n">
        <f aca="false">-C61*(B91+B92)</f>
        <v>-2361.8</v>
      </c>
      <c r="D74" s="297" t="n">
        <f aca="false">-D61*(C91+C92)</f>
        <v>-2302.755</v>
      </c>
      <c r="E74" s="297" t="n">
        <f aca="false">-E61*(D91+D92)</f>
        <v>-2156.505</v>
      </c>
      <c r="F74" s="297" t="n">
        <f aca="false">-F61*(E91+E92)</f>
        <v>-2010.255</v>
      </c>
      <c r="G74" s="297" t="n">
        <f aca="false">-G61*(F91+F92)</f>
        <v>-1864.005</v>
      </c>
    </row>
    <row r="75" customFormat="false" ht="15" hidden="false" customHeight="true" outlineLevel="0" collapsed="false">
      <c r="A75" s="286" t="s">
        <v>1474</v>
      </c>
      <c r="B75" s="297" t="n">
        <f aca="false">Datos!G11-Datos!G9+Datos!G10</f>
        <v>288</v>
      </c>
      <c r="C75" s="297" t="n">
        <v>0</v>
      </c>
      <c r="D75" s="297" t="n">
        <v>0</v>
      </c>
      <c r="E75" s="297" t="n">
        <v>0</v>
      </c>
      <c r="F75" s="297" t="n">
        <v>0</v>
      </c>
      <c r="G75" s="297" t="n">
        <v>0</v>
      </c>
    </row>
    <row r="76" customFormat="false" ht="15" hidden="false" customHeight="true" outlineLevel="0" collapsed="false">
      <c r="A76" s="286" t="s">
        <v>152</v>
      </c>
      <c r="B76" s="297" t="n">
        <f aca="false">B73+B74+B75</f>
        <v>4765</v>
      </c>
      <c r="C76" s="297" t="n">
        <f aca="false">C73+C74+C75</f>
        <v>4910.1021701062</v>
      </c>
      <c r="D76" s="297" t="n">
        <f aca="false">D73+D74+D75</f>
        <v>4821.62102397417</v>
      </c>
      <c r="E76" s="297" t="n">
        <f aca="false">E73+E74+E75</f>
        <v>5016.26953208991</v>
      </c>
      <c r="F76" s="297" t="n">
        <f aca="false">F73+F74+F75</f>
        <v>5300.77500871908</v>
      </c>
      <c r="G76" s="297" t="n">
        <f aca="false">G73+G74+G75</f>
        <v>5645.72788930567</v>
      </c>
    </row>
    <row r="77" customFormat="false" ht="15" hidden="false" customHeight="true" outlineLevel="0" collapsed="false">
      <c r="A77" s="286" t="s">
        <v>153</v>
      </c>
      <c r="B77" s="297" t="n">
        <f aca="false">-Datos!G12</f>
        <v>-1433</v>
      </c>
      <c r="C77" s="297" t="n">
        <f aca="false">-C76*C55</f>
        <v>-1313.55152532725</v>
      </c>
      <c r="D77" s="297" t="n">
        <f aca="false">-D76*D55</f>
        <v>-1306.7567048078</v>
      </c>
      <c r="E77" s="297" t="n">
        <f aca="false">-E76*E55</f>
        <v>-1387.91902024255</v>
      </c>
      <c r="F77" s="297" t="n">
        <f aca="false">-F76*F55</f>
        <v>-1496.65686897589</v>
      </c>
      <c r="G77" s="297" t="n">
        <f aca="false">-G76*G55</f>
        <v>-1626.02666015775</v>
      </c>
    </row>
    <row r="78" customFormat="false" ht="15" hidden="false" customHeight="true" outlineLevel="0" collapsed="false">
      <c r="A78" s="285" t="s">
        <v>89</v>
      </c>
      <c r="B78" s="301" t="n">
        <f aca="false">B76+B77</f>
        <v>3332</v>
      </c>
      <c r="C78" s="301" t="n">
        <f aca="false">C76+C77</f>
        <v>3596.55064477894</v>
      </c>
      <c r="D78" s="301" t="n">
        <f aca="false">D76+D77</f>
        <v>3514.86431916637</v>
      </c>
      <c r="E78" s="301" t="n">
        <f aca="false">E76+E77</f>
        <v>3628.35051184736</v>
      </c>
      <c r="F78" s="301" t="n">
        <f aca="false">F76+F77</f>
        <v>3804.11813974319</v>
      </c>
      <c r="G78" s="301" t="n">
        <f aca="false">G76+G77</f>
        <v>4019.70122914792</v>
      </c>
    </row>
    <row r="79" customFormat="false" ht="15" hidden="false" customHeight="true" outlineLevel="0" collapsed="false">
      <c r="A79" s="286" t="s">
        <v>1475</v>
      </c>
      <c r="B79" s="297"/>
      <c r="C79" s="297" t="n">
        <f aca="false">-C78*C63</f>
        <v>-1079.48330397075</v>
      </c>
      <c r="D79" s="297" t="n">
        <f aca="false">-D78*D63</f>
        <v>-1054.96563874907</v>
      </c>
      <c r="E79" s="297" t="n">
        <f aca="false">-E78*E63</f>
        <v>-1089.02784510453</v>
      </c>
      <c r="F79" s="297" t="n">
        <f aca="false">-F78*F63</f>
        <v>-1141.78345413997</v>
      </c>
      <c r="G79" s="297" t="n">
        <f aca="false">-G78*G63</f>
        <v>-1206.48943734882</v>
      </c>
    </row>
    <row r="80" customFormat="false" ht="15" hidden="false" customHeight="true" outlineLevel="0" collapsed="false">
      <c r="A80" s="286" t="s">
        <v>1885</v>
      </c>
      <c r="B80" s="295" t="n">
        <f aca="false">B71/B67</f>
        <v>0.0669971551699856</v>
      </c>
      <c r="C80" s="295" t="n">
        <f aca="false">C71/C67</f>
        <v>0.0672595128828648</v>
      </c>
      <c r="D80" s="295" t="n">
        <f aca="false">D71/D67</f>
        <v>0.0670495128828648</v>
      </c>
      <c r="E80" s="295" t="n">
        <f aca="false">E71/E67</f>
        <v>0.0670000588185117</v>
      </c>
      <c r="F80" s="295" t="n">
        <f aca="false">F71/F67</f>
        <v>0.0669806047541588</v>
      </c>
      <c r="G80" s="295" t="n">
        <f aca="false">G71/G67</f>
        <v>0.0669911506898058</v>
      </c>
    </row>
    <row r="81" customFormat="false" ht="15" hidden="false" customHeight="true" outlineLevel="0" collapsed="false">
      <c r="A81" s="286" t="s">
        <v>34</v>
      </c>
      <c r="B81" s="295" t="n">
        <f aca="false">B78/B67</f>
        <v>0.0187702447680478</v>
      </c>
      <c r="C81" s="295" t="n">
        <f aca="false">C78/C67</f>
        <v>0.0212159314517613</v>
      </c>
      <c r="D81" s="295" t="n">
        <f aca="false">D78/D67</f>
        <v>0.0210598067263383</v>
      </c>
      <c r="E81" s="295" t="n">
        <f aca="false">E78/E67</f>
        <v>0.021559882945854</v>
      </c>
      <c r="F81" s="295" t="n">
        <f aca="false">F78/F67</f>
        <v>0.0221583026519624</v>
      </c>
      <c r="G81" s="295" t="n">
        <f aca="false">G78/G67</f>
        <v>0.022791497051472</v>
      </c>
    </row>
    <row r="82" customFormat="false" ht="15" hidden="false" customHeight="true" outlineLevel="0" collapsed="false">
      <c r="A82" s="298"/>
      <c r="B82" s="298"/>
      <c r="C82" s="298"/>
      <c r="D82" s="298"/>
      <c r="E82" s="298"/>
      <c r="F82" s="298"/>
      <c r="G82" s="298"/>
    </row>
    <row r="83" customFormat="false" ht="15" hidden="false" customHeight="true" outlineLevel="0" collapsed="false">
      <c r="A83" s="285" t="s">
        <v>1886</v>
      </c>
      <c r="B83" s="300" t="s">
        <v>1428</v>
      </c>
      <c r="C83" s="300" t="s">
        <v>1429</v>
      </c>
      <c r="D83" s="300" t="s">
        <v>1430</v>
      </c>
      <c r="E83" s="300" t="s">
        <v>1431</v>
      </c>
      <c r="F83" s="300" t="s">
        <v>1432</v>
      </c>
      <c r="G83" s="300" t="s">
        <v>1433</v>
      </c>
    </row>
    <row r="84" customFormat="false" ht="15" hidden="false" customHeight="true" outlineLevel="0" collapsed="false">
      <c r="A84" s="286" t="s">
        <v>13</v>
      </c>
      <c r="B84" s="297" t="n">
        <f aca="false">Datos!G17</f>
        <v>9295</v>
      </c>
      <c r="C84" s="297" t="n">
        <f aca="false">B84+C108</f>
        <v>12207.1208928374</v>
      </c>
      <c r="D84" s="297" t="n">
        <f aca="false">C84+D108</f>
        <v>13947.8827502277</v>
      </c>
      <c r="E84" s="297" t="n">
        <f aca="false">D84+E108</f>
        <v>16047.1054306055</v>
      </c>
      <c r="F84" s="297" t="n">
        <f aca="false">E84+F108</f>
        <v>17948.7034764989</v>
      </c>
      <c r="G84" s="297" t="n">
        <f aca="false">F84+G108</f>
        <v>20007.0276377665</v>
      </c>
    </row>
    <row r="85" customFormat="false" ht="15" hidden="false" customHeight="true" outlineLevel="0" collapsed="false">
      <c r="A85" s="286" t="s">
        <v>156</v>
      </c>
      <c r="B85" s="297" t="n">
        <f aca="false">Datos!G18</f>
        <v>32283</v>
      </c>
      <c r="C85" s="297" t="n">
        <f aca="false">-C68*C56/365</f>
        <v>30898.3778560219</v>
      </c>
      <c r="D85" s="297" t="n">
        <f aca="false">-D68*D56/365</f>
        <v>30460.6994148708</v>
      </c>
      <c r="E85" s="297" t="n">
        <f aca="false">-E68*E56/365</f>
        <v>30405.9397083465</v>
      </c>
      <c r="F85" s="297" t="n">
        <f aca="false">-F68*F56/365</f>
        <v>31017.9505782984</v>
      </c>
      <c r="G85" s="297" t="n">
        <f aca="false">-G68*G56/365</f>
        <v>31865.1902552126</v>
      </c>
    </row>
    <row r="86" customFormat="false" ht="15" hidden="false" customHeight="true" outlineLevel="0" collapsed="false">
      <c r="A86" s="286" t="s">
        <v>1477</v>
      </c>
      <c r="B86" s="297" t="n">
        <f aca="false">Datos!G19-Datos!G17-Datos!G18</f>
        <v>6951</v>
      </c>
      <c r="C86" s="297" t="n">
        <f aca="false">C67*C57</f>
        <v>6637.9856373556</v>
      </c>
      <c r="D86" s="297" t="n">
        <f aca="false">D67*D57</f>
        <v>6535.31334936655</v>
      </c>
      <c r="E86" s="297" t="n">
        <f aca="false">E67*E57</f>
        <v>6589.84300140943</v>
      </c>
      <c r="F86" s="297" t="n">
        <f aca="false">F67*F57</f>
        <v>6722.48338637447</v>
      </c>
      <c r="G86" s="297" t="n">
        <f aca="false">G67*G57</f>
        <v>6906.10462975597</v>
      </c>
    </row>
    <row r="87" customFormat="false" ht="15" hidden="false" customHeight="true" outlineLevel="0" collapsed="false">
      <c r="A87" s="285" t="s">
        <v>157</v>
      </c>
      <c r="B87" s="301" t="n">
        <f aca="false">SUM(B84:B86)</f>
        <v>48529</v>
      </c>
      <c r="C87" s="301" t="n">
        <f aca="false">SUM(C84:C86)</f>
        <v>49743.4843862149</v>
      </c>
      <c r="D87" s="301" t="n">
        <f aca="false">SUM(D84:D86)</f>
        <v>50943.8955144651</v>
      </c>
      <c r="E87" s="301" t="n">
        <f aca="false">SUM(E84:E86)</f>
        <v>53042.8881403615</v>
      </c>
      <c r="F87" s="301" t="n">
        <f aca="false">SUM(F84:F86)</f>
        <v>55689.1374411717</v>
      </c>
      <c r="G87" s="301" t="n">
        <f aca="false">SUM(G84:G86)</f>
        <v>58778.3225227351</v>
      </c>
    </row>
    <row r="88" customFormat="false" ht="15" hidden="false" customHeight="true" outlineLevel="0" collapsed="false">
      <c r="A88" s="286" t="s">
        <v>1478</v>
      </c>
      <c r="B88" s="297" t="n">
        <f aca="false">Datos!G20-Datos!G19</f>
        <v>107509</v>
      </c>
      <c r="C88" s="297" t="n">
        <f aca="false">B88-C104+C72</f>
        <v>107211.026273329</v>
      </c>
      <c r="D88" s="297" t="n">
        <f aca="false">C88-D104+D72</f>
        <v>106445.512943321</v>
      </c>
      <c r="E88" s="297" t="n">
        <f aca="false">D88-E104+E72</f>
        <v>105664.672997484</v>
      </c>
      <c r="F88" s="297" t="n">
        <f aca="false">E88-F104+F72</f>
        <v>104858.997082149</v>
      </c>
      <c r="G88" s="297" t="n">
        <f aca="false">F88-G104+G72</f>
        <v>104021.94622851</v>
      </c>
    </row>
    <row r="89" customFormat="false" ht="15" hidden="false" customHeight="true" outlineLevel="0" collapsed="false">
      <c r="A89" s="285" t="s">
        <v>92</v>
      </c>
      <c r="B89" s="301" t="n">
        <f aca="false">B87+B88</f>
        <v>156038</v>
      </c>
      <c r="C89" s="301" t="n">
        <f aca="false">C87+C88</f>
        <v>156954.510659544</v>
      </c>
      <c r="D89" s="301" t="n">
        <f aca="false">D87+D88</f>
        <v>157389.408457786</v>
      </c>
      <c r="E89" s="301" t="n">
        <f aca="false">E87+E88</f>
        <v>158707.561137845</v>
      </c>
      <c r="F89" s="301" t="n">
        <f aca="false">F87+F88</f>
        <v>160548.134523321</v>
      </c>
      <c r="G89" s="301" t="n">
        <f aca="false">G87+G88</f>
        <v>162800.268751246</v>
      </c>
    </row>
    <row r="90" customFormat="false" ht="15" hidden="false" customHeight="true" outlineLevel="0" collapsed="false">
      <c r="A90" s="286" t="s">
        <v>1479</v>
      </c>
      <c r="B90" s="297" t="n">
        <f aca="false">Datos!G21-Datos!G25-Datos!G27</f>
        <v>35543</v>
      </c>
      <c r="C90" s="297" t="n">
        <f aca="false">C67*C58</f>
        <v>33942.4433187355</v>
      </c>
      <c r="D90" s="297" t="n">
        <f aca="false">D67*D58</f>
        <v>33417.4424365609</v>
      </c>
      <c r="E90" s="297" t="n">
        <f aca="false">E67*E58</f>
        <v>33696.272449877</v>
      </c>
      <c r="F90" s="297" t="n">
        <f aca="false">F67*F58</f>
        <v>34374.5111497494</v>
      </c>
      <c r="G90" s="297" t="n">
        <f aca="false">G67*G58</f>
        <v>35313.4335858749</v>
      </c>
    </row>
    <row r="91" customFormat="false" ht="15" hidden="false" customHeight="true" outlineLevel="0" collapsed="false">
      <c r="A91" s="286" t="s">
        <v>1480</v>
      </c>
      <c r="B91" s="297" t="n">
        <f aca="false">Datos!G25+Datos!G26</f>
        <v>11500</v>
      </c>
      <c r="C91" s="297" t="n">
        <f aca="false">MAX(0,B91+C62)</f>
        <v>11500</v>
      </c>
      <c r="D91" s="297" t="n">
        <f aca="false">MAX(0,C91+D62)</f>
        <v>10000</v>
      </c>
      <c r="E91" s="297" t="n">
        <f aca="false">MAX(0,D91+E62)</f>
        <v>8500</v>
      </c>
      <c r="F91" s="297" t="n">
        <f aca="false">MAX(0,E91+F62)</f>
        <v>7000</v>
      </c>
      <c r="G91" s="297" t="n">
        <f aca="false">MAX(0,F91+G62)</f>
        <v>5500</v>
      </c>
    </row>
    <row r="92" customFormat="false" ht="15" hidden="false" customHeight="true" outlineLevel="0" collapsed="false">
      <c r="A92" s="286" t="s">
        <v>1481</v>
      </c>
      <c r="B92" s="297" t="n">
        <f aca="false">Datos!G27+Datos!G28</f>
        <v>12118</v>
      </c>
      <c r="C92" s="297" t="n">
        <f aca="false">B92</f>
        <v>12118</v>
      </c>
      <c r="D92" s="297" t="n">
        <f aca="false">C92</f>
        <v>12118</v>
      </c>
      <c r="E92" s="297" t="n">
        <f aca="false">D92</f>
        <v>12118</v>
      </c>
      <c r="F92" s="297" t="n">
        <f aca="false">E92</f>
        <v>12118</v>
      </c>
      <c r="G92" s="297" t="n">
        <f aca="false">F92</f>
        <v>12118</v>
      </c>
    </row>
    <row r="93" customFormat="false" ht="15" hidden="false" customHeight="true" outlineLevel="0" collapsed="false">
      <c r="A93" s="286" t="s">
        <v>1482</v>
      </c>
      <c r="B93" s="297" t="n">
        <f aca="false">Datos!G23-Datos!G21-Datos!G26-Datos!G28</f>
        <v>12145</v>
      </c>
      <c r="C93" s="297" t="n">
        <f aca="false">B93</f>
        <v>12145</v>
      </c>
      <c r="D93" s="297" t="n">
        <f aca="false">C93</f>
        <v>12145</v>
      </c>
      <c r="E93" s="297" t="n">
        <f aca="false">D93</f>
        <v>12145</v>
      </c>
      <c r="F93" s="297" t="n">
        <f aca="false">E93</f>
        <v>12145</v>
      </c>
      <c r="G93" s="297" t="n">
        <f aca="false">F93</f>
        <v>12145</v>
      </c>
    </row>
    <row r="94" customFormat="false" ht="15" hidden="false" customHeight="true" outlineLevel="0" collapsed="false">
      <c r="A94" s="285" t="s">
        <v>93</v>
      </c>
      <c r="B94" s="301" t="n">
        <f aca="false">SUM(B90:B93)</f>
        <v>71306</v>
      </c>
      <c r="C94" s="301" t="n">
        <f aca="false">SUM(C90:C93)</f>
        <v>69705.4433187355</v>
      </c>
      <c r="D94" s="301" t="n">
        <f aca="false">SUM(D90:D93)</f>
        <v>67680.4424365609</v>
      </c>
      <c r="E94" s="301" t="n">
        <f aca="false">SUM(E90:E93)</f>
        <v>66459.272449877</v>
      </c>
      <c r="F94" s="301" t="n">
        <f aca="false">SUM(F90:F93)</f>
        <v>65637.5111497494</v>
      </c>
      <c r="G94" s="301" t="n">
        <f aca="false">SUM(G90:G93)</f>
        <v>65076.4335858749</v>
      </c>
    </row>
    <row r="95" customFormat="false" ht="15" hidden="false" customHeight="true" outlineLevel="0" collapsed="false">
      <c r="A95" s="286" t="s">
        <v>94</v>
      </c>
      <c r="B95" s="297" t="n">
        <f aca="false">Datos!G24</f>
        <v>84732</v>
      </c>
      <c r="C95" s="297" t="n">
        <f aca="false">B95+C78+C79</f>
        <v>87249.0673408082</v>
      </c>
      <c r="D95" s="297" t="n">
        <f aca="false">C95+D78+D79</f>
        <v>89708.9660212255</v>
      </c>
      <c r="E95" s="297" t="n">
        <f aca="false">D95+E78+E79</f>
        <v>92248.2886879683</v>
      </c>
      <c r="F95" s="297" t="n">
        <f aca="false">E95+F78+F79</f>
        <v>94910.6233735716</v>
      </c>
      <c r="G95" s="297" t="n">
        <f aca="false">F95+G78+G79</f>
        <v>97723.8351653707</v>
      </c>
    </row>
    <row r="96" customFormat="false" ht="15" hidden="false" customHeight="true" outlineLevel="0" collapsed="false">
      <c r="A96" s="285" t="s">
        <v>1483</v>
      </c>
      <c r="B96" s="301" t="n">
        <f aca="false">B94+B95</f>
        <v>156038</v>
      </c>
      <c r="C96" s="301" t="n">
        <f aca="false">C94+C95</f>
        <v>156954.510659544</v>
      </c>
      <c r="D96" s="301" t="n">
        <f aca="false">D94+D95</f>
        <v>157389.408457786</v>
      </c>
      <c r="E96" s="301" t="n">
        <f aca="false">E94+E95</f>
        <v>158707.561137845</v>
      </c>
      <c r="F96" s="301" t="n">
        <f aca="false">F94+F95</f>
        <v>160548.134523321</v>
      </c>
      <c r="G96" s="301" t="n">
        <f aca="false">G94+G95</f>
        <v>162800.268751246</v>
      </c>
    </row>
    <row r="97" customFormat="false" ht="15" hidden="false" customHeight="true" outlineLevel="0" collapsed="false">
      <c r="A97" s="286" t="s">
        <v>1484</v>
      </c>
      <c r="B97" s="297" t="n">
        <f aca="false">B89-B96</f>
        <v>0</v>
      </c>
      <c r="C97" s="297" t="n">
        <f aca="false">C89-C96</f>
        <v>0</v>
      </c>
      <c r="D97" s="297" t="n">
        <f aca="false">D89-D96</f>
        <v>0</v>
      </c>
      <c r="E97" s="297" t="n">
        <f aca="false">E89-E96</f>
        <v>0</v>
      </c>
      <c r="F97" s="297" t="n">
        <f aca="false">F89-F96</f>
        <v>0</v>
      </c>
      <c r="G97" s="297" t="n">
        <f aca="false">G89-G96</f>
        <v>0</v>
      </c>
    </row>
    <row r="98" customFormat="false" ht="15" hidden="false" customHeight="true" outlineLevel="0" collapsed="false">
      <c r="A98" s="298"/>
      <c r="B98" s="298"/>
      <c r="C98" s="298"/>
      <c r="D98" s="298"/>
      <c r="E98" s="298"/>
      <c r="F98" s="298"/>
      <c r="G98" s="298"/>
    </row>
    <row r="99" customFormat="false" ht="15" hidden="false" customHeight="true" outlineLevel="0" collapsed="false">
      <c r="A99" s="285" t="s">
        <v>1888</v>
      </c>
      <c r="B99" s="300" t="s">
        <v>1428</v>
      </c>
      <c r="C99" s="300" t="s">
        <v>1429</v>
      </c>
      <c r="D99" s="300" t="s">
        <v>1430</v>
      </c>
      <c r="E99" s="300" t="s">
        <v>1431</v>
      </c>
      <c r="F99" s="300" t="s">
        <v>1432</v>
      </c>
      <c r="G99" s="300" t="s">
        <v>1433</v>
      </c>
    </row>
    <row r="100" customFormat="false" ht="15" hidden="false" customHeight="true" outlineLevel="0" collapsed="false">
      <c r="A100" s="286" t="s">
        <v>89</v>
      </c>
      <c r="B100" s="302"/>
      <c r="C100" s="297" t="n">
        <f aca="false">C78</f>
        <v>3596.55064477894</v>
      </c>
      <c r="D100" s="297" t="n">
        <f aca="false">D78</f>
        <v>3514.86431916637</v>
      </c>
      <c r="E100" s="297" t="n">
        <f aca="false">E78</f>
        <v>3628.35051184736</v>
      </c>
      <c r="F100" s="297" t="n">
        <f aca="false">F78</f>
        <v>3804.11813974319</v>
      </c>
      <c r="G100" s="297" t="n">
        <f aca="false">G78</f>
        <v>4019.70122914792</v>
      </c>
    </row>
    <row r="101" customFormat="false" ht="15" hidden="false" customHeight="true" outlineLevel="0" collapsed="false">
      <c r="A101" s="286" t="s">
        <v>1445</v>
      </c>
      <c r="B101" s="302"/>
      <c r="C101" s="297" t="n">
        <f aca="false">-C72</f>
        <v>4130.01270581607</v>
      </c>
      <c r="D101" s="297" t="n">
        <f aca="false">-D72</f>
        <v>4066.13220394458</v>
      </c>
      <c r="E101" s="297" t="n">
        <f aca="false">-E72</f>
        <v>4102.78286859152</v>
      </c>
      <c r="F101" s="297" t="n">
        <f aca="false">-F72</f>
        <v>4188.14199729641</v>
      </c>
      <c r="G101" s="297" t="n">
        <f aca="false">-G72</f>
        <v>4305.39317115882</v>
      </c>
    </row>
    <row r="102" customFormat="false" ht="15" hidden="false" customHeight="true" outlineLevel="0" collapsed="false">
      <c r="A102" s="286" t="s">
        <v>1486</v>
      </c>
      <c r="B102" s="302"/>
      <c r="C102" s="297" t="n">
        <f aca="false">-(C85-B85)</f>
        <v>1384.62214397806</v>
      </c>
      <c r="D102" s="297" t="n">
        <f aca="false">-(D85-C85)</f>
        <v>437.678441151093</v>
      </c>
      <c r="E102" s="297" t="n">
        <f aca="false">-(E85-D85)</f>
        <v>54.7597065243572</v>
      </c>
      <c r="F102" s="297" t="n">
        <f aca="false">-(F85-E85)</f>
        <v>-612.010869951904</v>
      </c>
      <c r="G102" s="297" t="n">
        <f aca="false">-(G85-F85)</f>
        <v>-847.2396769142</v>
      </c>
    </row>
    <row r="103" customFormat="false" ht="15" hidden="false" customHeight="true" outlineLevel="0" collapsed="false">
      <c r="A103" s="286" t="s">
        <v>1487</v>
      </c>
      <c r="B103" s="302"/>
      <c r="C103" s="297" t="n">
        <f aca="false">-(C86-B86)</f>
        <v>313.014362644396</v>
      </c>
      <c r="D103" s="297" t="n">
        <f aca="false">-(D86-C86)</f>
        <v>102.672287989059</v>
      </c>
      <c r="E103" s="297" t="n">
        <f aca="false">-(E86-D86)</f>
        <v>-54.5296520428819</v>
      </c>
      <c r="F103" s="297" t="n">
        <f aca="false">-(F86-E86)</f>
        <v>-132.640384965046</v>
      </c>
      <c r="G103" s="297" t="n">
        <f aca="false">-(G86-F86)</f>
        <v>-183.621243381498</v>
      </c>
    </row>
    <row r="104" customFormat="false" ht="15" hidden="false" customHeight="true" outlineLevel="0" collapsed="false">
      <c r="A104" s="286" t="s">
        <v>1446</v>
      </c>
      <c r="B104" s="302"/>
      <c r="C104" s="297" t="n">
        <f aca="false">-C67*C51</f>
        <v>-3832.0389791448</v>
      </c>
      <c r="D104" s="297" t="n">
        <f aca="false">-D67*D51</f>
        <v>-3300.61887393722</v>
      </c>
      <c r="E104" s="297" t="n">
        <f aca="false">-E67*E51</f>
        <v>-3321.94292275407</v>
      </c>
      <c r="F104" s="297" t="n">
        <f aca="false">-F67*F51</f>
        <v>-3382.46608196171</v>
      </c>
      <c r="G104" s="297" t="n">
        <f aca="false">-G67*G51</f>
        <v>-3468.34231752008</v>
      </c>
    </row>
    <row r="105" customFormat="false" ht="15" hidden="false" customHeight="true" outlineLevel="0" collapsed="false">
      <c r="A105" s="286" t="s">
        <v>1488</v>
      </c>
      <c r="B105" s="302"/>
      <c r="C105" s="297" t="n">
        <f aca="false">C90-B90</f>
        <v>-1600.55668126454</v>
      </c>
      <c r="D105" s="297" t="n">
        <f aca="false">D90-C90</f>
        <v>-525.000882174521</v>
      </c>
      <c r="E105" s="297" t="n">
        <f aca="false">E90-D90</f>
        <v>278.830013316096</v>
      </c>
      <c r="F105" s="297" t="n">
        <f aca="false">F90-E90</f>
        <v>678.238699872338</v>
      </c>
      <c r="G105" s="297" t="n">
        <f aca="false">G90-F90</f>
        <v>938.922436125533</v>
      </c>
    </row>
    <row r="106" customFormat="false" ht="15" hidden="false" customHeight="true" outlineLevel="0" collapsed="false">
      <c r="A106" s="286" t="s">
        <v>2692</v>
      </c>
      <c r="B106" s="302"/>
      <c r="C106" s="297" t="n">
        <f aca="false">C79</f>
        <v>-1079.48330397075</v>
      </c>
      <c r="D106" s="297" t="n">
        <f aca="false">D79</f>
        <v>-1054.96563874907</v>
      </c>
      <c r="E106" s="297" t="n">
        <f aca="false">E79</f>
        <v>-1089.02784510453</v>
      </c>
      <c r="F106" s="297" t="n">
        <f aca="false">F79</f>
        <v>-1141.78345413997</v>
      </c>
      <c r="G106" s="297" t="n">
        <f aca="false">G79</f>
        <v>-1206.48943734882</v>
      </c>
    </row>
    <row r="107" customFormat="false" ht="15" hidden="false" customHeight="true" outlineLevel="0" collapsed="false">
      <c r="A107" s="286" t="s">
        <v>2693</v>
      </c>
      <c r="B107" s="302"/>
      <c r="C107" s="297" t="n">
        <f aca="false">C91-B91</f>
        <v>0</v>
      </c>
      <c r="D107" s="297" t="n">
        <f aca="false">D91-C91</f>
        <v>-1500</v>
      </c>
      <c r="E107" s="297" t="n">
        <f aca="false">E91-D91</f>
        <v>-1500</v>
      </c>
      <c r="F107" s="297" t="n">
        <f aca="false">F91-E91</f>
        <v>-1500</v>
      </c>
      <c r="G107" s="297" t="n">
        <f aca="false">G91-F91</f>
        <v>-1500</v>
      </c>
    </row>
    <row r="108" customFormat="false" ht="15" hidden="false" customHeight="true" outlineLevel="0" collapsed="false">
      <c r="A108" s="285" t="s">
        <v>1894</v>
      </c>
      <c r="B108" s="300"/>
      <c r="C108" s="301" t="n">
        <f aca="false">SUM(C100:C107)</f>
        <v>2912.12089283739</v>
      </c>
      <c r="D108" s="301" t="n">
        <f aca="false">SUM(D100:D107)</f>
        <v>1740.7618573903</v>
      </c>
      <c r="E108" s="301" t="n">
        <f aca="false">SUM(E100:E107)</f>
        <v>2099.22268037785</v>
      </c>
      <c r="F108" s="301" t="n">
        <f aca="false">SUM(F100:F107)</f>
        <v>1901.59804589331</v>
      </c>
      <c r="G108" s="301" t="n">
        <f aca="false">SUM(G100:G107)</f>
        <v>2058.32416126768</v>
      </c>
    </row>
    <row r="109" customFormat="false" ht="15" hidden="false" customHeight="true" outlineLevel="0" collapsed="false">
      <c r="A109" s="298"/>
      <c r="B109" s="298"/>
      <c r="C109" s="298"/>
      <c r="D109" s="298"/>
      <c r="E109" s="298"/>
      <c r="F109" s="298"/>
      <c r="G109" s="298"/>
    </row>
    <row r="110" customFormat="false" ht="15" hidden="false" customHeight="true" outlineLevel="0" collapsed="false">
      <c r="A110" s="285" t="s">
        <v>1895</v>
      </c>
      <c r="B110" s="300" t="s">
        <v>1428</v>
      </c>
      <c r="C110" s="300" t="s">
        <v>1429</v>
      </c>
      <c r="D110" s="300" t="s">
        <v>1430</v>
      </c>
      <c r="E110" s="300" t="s">
        <v>1431</v>
      </c>
      <c r="F110" s="300" t="s">
        <v>1432</v>
      </c>
      <c r="G110" s="300" t="s">
        <v>1433</v>
      </c>
    </row>
    <row r="111" customFormat="false" ht="15" hidden="false" customHeight="true" outlineLevel="0" collapsed="false">
      <c r="A111" s="286" t="s">
        <v>81</v>
      </c>
      <c r="B111" s="302"/>
      <c r="C111" s="297" t="n">
        <f aca="false">C73</f>
        <v>7271.9021701062</v>
      </c>
      <c r="D111" s="297" t="n">
        <f aca="false">D73</f>
        <v>7124.37602397417</v>
      </c>
      <c r="E111" s="297" t="n">
        <f aca="false">E73</f>
        <v>7172.77453208991</v>
      </c>
      <c r="F111" s="297" t="n">
        <f aca="false">F73</f>
        <v>7311.03000871908</v>
      </c>
      <c r="G111" s="297" t="n">
        <f aca="false">G73</f>
        <v>7509.73288930567</v>
      </c>
    </row>
    <row r="112" customFormat="false" ht="15" hidden="false" customHeight="true" outlineLevel="0" collapsed="false">
      <c r="A112" s="286" t="s">
        <v>1443</v>
      </c>
      <c r="B112" s="302"/>
      <c r="C112" s="297" t="n">
        <f aca="false">-C111*C55</f>
        <v>-1945.38073886291</v>
      </c>
      <c r="D112" s="297" t="n">
        <f aca="false">-D111*D55</f>
        <v>-1930.84983050506</v>
      </c>
      <c r="E112" s="297" t="n">
        <f aca="false">-E111*E55</f>
        <v>-1984.5883753482</v>
      </c>
      <c r="F112" s="297" t="n">
        <f aca="false">-F111*F55</f>
        <v>-2064.24593834675</v>
      </c>
      <c r="G112" s="297" t="n">
        <f aca="false">-G111*G55</f>
        <v>-2162.87892865064</v>
      </c>
    </row>
    <row r="113" customFormat="false" ht="15" hidden="false" customHeight="true" outlineLevel="0" collapsed="false">
      <c r="A113" s="286" t="s">
        <v>2694</v>
      </c>
      <c r="B113" s="302"/>
      <c r="C113" s="297" t="n">
        <f aca="false">C111+C112</f>
        <v>5326.52143124329</v>
      </c>
      <c r="D113" s="297" t="n">
        <f aca="false">D111+D112</f>
        <v>5193.52619346911</v>
      </c>
      <c r="E113" s="297" t="n">
        <f aca="false">E111+E112</f>
        <v>5188.18615674171</v>
      </c>
      <c r="F113" s="297" t="n">
        <f aca="false">F111+F112</f>
        <v>5246.78407037234</v>
      </c>
      <c r="G113" s="297" t="n">
        <f aca="false">G111+G112</f>
        <v>5346.85396065503</v>
      </c>
    </row>
    <row r="114" customFormat="false" ht="15" hidden="false" customHeight="true" outlineLevel="0" collapsed="false">
      <c r="A114" s="286" t="s">
        <v>1445</v>
      </c>
      <c r="B114" s="302"/>
      <c r="C114" s="297" t="n">
        <f aca="false">C101</f>
        <v>4130.01270581607</v>
      </c>
      <c r="D114" s="297" t="n">
        <f aca="false">D101</f>
        <v>4066.13220394458</v>
      </c>
      <c r="E114" s="297" t="n">
        <f aca="false">E101</f>
        <v>4102.78286859152</v>
      </c>
      <c r="F114" s="297" t="n">
        <f aca="false">F101</f>
        <v>4188.14199729641</v>
      </c>
      <c r="G114" s="297" t="n">
        <f aca="false">G101</f>
        <v>4305.39317115882</v>
      </c>
    </row>
    <row r="115" customFormat="false" ht="15" hidden="false" customHeight="true" outlineLevel="0" collapsed="false">
      <c r="A115" s="286" t="s">
        <v>1446</v>
      </c>
      <c r="B115" s="302"/>
      <c r="C115" s="297" t="n">
        <f aca="false">C104</f>
        <v>-3832.0389791448</v>
      </c>
      <c r="D115" s="297" t="n">
        <f aca="false">D104</f>
        <v>-3300.61887393722</v>
      </c>
      <c r="E115" s="297" t="n">
        <f aca="false">E104</f>
        <v>-3321.94292275407</v>
      </c>
      <c r="F115" s="297" t="n">
        <f aca="false">F104</f>
        <v>-3382.46608196171</v>
      </c>
      <c r="G115" s="297" t="n">
        <f aca="false">G104</f>
        <v>-3468.34231752008</v>
      </c>
    </row>
    <row r="116" customFormat="false" ht="15" hidden="false" customHeight="true" outlineLevel="0" collapsed="false">
      <c r="A116" s="286" t="s">
        <v>1447</v>
      </c>
      <c r="B116" s="302"/>
      <c r="C116" s="297" t="n">
        <f aca="false">C102+C103+C105</f>
        <v>97.0798253579187</v>
      </c>
      <c r="D116" s="297" t="n">
        <f aca="false">D102+D103+D105</f>
        <v>15.3498469656297</v>
      </c>
      <c r="E116" s="297" t="n">
        <f aca="false">E102+E103+E105</f>
        <v>279.060067797571</v>
      </c>
      <c r="F116" s="297" t="n">
        <f aca="false">F102+F103+F105</f>
        <v>-66.4125550446124</v>
      </c>
      <c r="G116" s="297" t="n">
        <f aca="false">G102+G103+G105</f>
        <v>-91.9384841701649</v>
      </c>
    </row>
    <row r="117" customFormat="false" ht="15" hidden="false" customHeight="true" outlineLevel="0" collapsed="false">
      <c r="A117" s="285" t="s">
        <v>2695</v>
      </c>
      <c r="B117" s="300"/>
      <c r="C117" s="301" t="n">
        <f aca="false">SUM(C113:C116)</f>
        <v>5721.57498327248</v>
      </c>
      <c r="D117" s="301" t="n">
        <f aca="false">SUM(D113:D116)</f>
        <v>5974.38937044211</v>
      </c>
      <c r="E117" s="301" t="n">
        <f aca="false">SUM(E113:E116)</f>
        <v>6248.08617037674</v>
      </c>
      <c r="F117" s="301" t="n">
        <f aca="false">SUM(F113:F116)</f>
        <v>5986.04743066243</v>
      </c>
      <c r="G117" s="301" t="n">
        <f aca="false">SUM(G113:G116)</f>
        <v>6091.9663301236</v>
      </c>
    </row>
    <row r="118" customFormat="false" ht="15" hidden="false" customHeight="true" outlineLevel="0" collapsed="false">
      <c r="A118" s="286" t="s">
        <v>1441</v>
      </c>
      <c r="B118" s="302"/>
      <c r="C118" s="303" t="n">
        <v>1</v>
      </c>
      <c r="D118" s="303" t="n">
        <f aca="false">C118+1</f>
        <v>2</v>
      </c>
      <c r="E118" s="303" t="n">
        <f aca="false">D118+1</f>
        <v>3</v>
      </c>
      <c r="F118" s="303" t="n">
        <f aca="false">E118+1</f>
        <v>4</v>
      </c>
      <c r="G118" s="303" t="n">
        <f aca="false">F118+1</f>
        <v>5</v>
      </c>
    </row>
    <row r="119" customFormat="false" ht="15" hidden="false" customHeight="true" outlineLevel="0" collapsed="false">
      <c r="A119" s="286" t="s">
        <v>1449</v>
      </c>
      <c r="B119" s="302"/>
      <c r="C119" s="304" t="n">
        <f aca="false">1/(1+$B$126)^C118</f>
        <v>0.912348263403136</v>
      </c>
      <c r="D119" s="304" t="n">
        <f aca="false">1/(1+$B$126)^D118</f>
        <v>0.832379353734718</v>
      </c>
      <c r="E119" s="304" t="n">
        <f aca="false">1/(1+$B$126)^E118</f>
        <v>0.759419857872495</v>
      </c>
      <c r="F119" s="304" t="n">
        <f aca="false">1/(1+$B$126)^F118</f>
        <v>0.692855388523827</v>
      </c>
      <c r="G119" s="304" t="n">
        <f aca="false">1/(1+$B$126)^G118</f>
        <v>0.632125410509219</v>
      </c>
    </row>
    <row r="120" customFormat="false" ht="15" hidden="false" customHeight="true" outlineLevel="0" collapsed="false">
      <c r="A120" s="286" t="s">
        <v>1450</v>
      </c>
      <c r="B120" s="302"/>
      <c r="C120" s="297" t="n">
        <f aca="false">C117*C119</f>
        <v>5220.06899991948</v>
      </c>
      <c r="D120" s="297" t="n">
        <f aca="false">D117*D119</f>
        <v>4972.95836312817</v>
      </c>
      <c r="E120" s="297" t="n">
        <f aca="false">E117*E119</f>
        <v>4744.92071148261</v>
      </c>
      <c r="F120" s="297" t="n">
        <f aca="false">F117*F119</f>
        <v>4147.46521829367</v>
      </c>
      <c r="G120" s="297" t="n">
        <f aca="false">G117*G119</f>
        <v>3850.88671723772</v>
      </c>
    </row>
    <row r="121" customFormat="false" ht="15" hidden="false" customHeight="true" outlineLevel="0" collapsed="false">
      <c r="A121" s="298"/>
      <c r="B121" s="298"/>
      <c r="C121" s="298"/>
      <c r="D121" s="298"/>
      <c r="E121" s="298"/>
      <c r="F121" s="298"/>
      <c r="G121" s="298"/>
    </row>
    <row r="122" customFormat="false" ht="15" hidden="false" customHeight="true" outlineLevel="0" collapsed="false">
      <c r="A122" s="285" t="s">
        <v>1901</v>
      </c>
      <c r="B122" s="300" t="s">
        <v>78</v>
      </c>
      <c r="C122" s="300"/>
      <c r="D122" s="300"/>
      <c r="E122" s="300"/>
      <c r="F122" s="300"/>
      <c r="G122" s="300"/>
    </row>
    <row r="123" customFormat="false" ht="15" hidden="false" customHeight="true" outlineLevel="0" collapsed="false">
      <c r="A123" s="286" t="s">
        <v>1903</v>
      </c>
      <c r="B123" s="296" t="n">
        <f aca="false">Escenarios!$J$11</f>
        <v>0.035</v>
      </c>
      <c r="C123" s="302"/>
      <c r="D123" s="302"/>
      <c r="E123" s="302"/>
      <c r="F123" s="302"/>
      <c r="G123" s="302"/>
    </row>
    <row r="124" customFormat="false" ht="15" hidden="false" customHeight="true" outlineLevel="0" collapsed="false">
      <c r="A124" s="286" t="s">
        <v>1904</v>
      </c>
      <c r="B124" s="296" t="n">
        <f aca="false">B220</f>
        <v>0.0960726732464153</v>
      </c>
      <c r="C124" s="302"/>
      <c r="D124" s="302"/>
      <c r="E124" s="302"/>
      <c r="F124" s="302"/>
      <c r="G124" s="302"/>
    </row>
    <row r="125" customFormat="false" ht="15" hidden="false" customHeight="true" outlineLevel="0" collapsed="false">
      <c r="A125" s="286" t="s">
        <v>1905</v>
      </c>
      <c r="B125" s="296" t="n">
        <v>0</v>
      </c>
      <c r="C125" s="302"/>
      <c r="D125" s="302"/>
      <c r="E125" s="302"/>
      <c r="F125" s="302"/>
      <c r="G125" s="302"/>
    </row>
    <row r="126" customFormat="false" ht="15" hidden="false" customHeight="true" outlineLevel="0" collapsed="false">
      <c r="A126" s="286" t="s">
        <v>1906</v>
      </c>
      <c r="B126" s="296" t="n">
        <f aca="false">B124+B125</f>
        <v>0.0960726732464153</v>
      </c>
      <c r="C126" s="302"/>
      <c r="D126" s="302"/>
      <c r="E126" s="302"/>
      <c r="F126" s="302"/>
      <c r="G126" s="302"/>
    </row>
    <row r="127" customFormat="false" ht="15" hidden="false" customHeight="true" outlineLevel="0" collapsed="false">
      <c r="A127" s="286" t="s">
        <v>1907</v>
      </c>
      <c r="B127" s="297" t="n">
        <f aca="false">G117</f>
        <v>6091.9663301236</v>
      </c>
      <c r="C127" s="302"/>
      <c r="D127" s="302"/>
      <c r="E127" s="302"/>
      <c r="F127" s="302"/>
      <c r="G127" s="302"/>
    </row>
    <row r="128" customFormat="false" ht="15" hidden="false" customHeight="true" outlineLevel="0" collapsed="false">
      <c r="A128" s="286" t="s">
        <v>2696</v>
      </c>
      <c r="B128" s="297" t="n">
        <f aca="false">B127*(1+B123)</f>
        <v>6305.18515167793</v>
      </c>
      <c r="C128" s="302"/>
      <c r="D128" s="302"/>
      <c r="E128" s="302"/>
      <c r="F128" s="302"/>
      <c r="G128" s="302"/>
    </row>
    <row r="129" customFormat="false" ht="15" hidden="false" customHeight="true" outlineLevel="0" collapsed="false">
      <c r="A129" s="285" t="s">
        <v>2697</v>
      </c>
      <c r="B129" s="301" t="n">
        <f aca="false">IF(B126&gt;B123,B128/(B126-B123),"REVISAR WACC/g")</f>
        <v>103240.693693525</v>
      </c>
      <c r="C129" s="300"/>
      <c r="D129" s="300"/>
      <c r="E129" s="300"/>
      <c r="F129" s="300"/>
      <c r="G129" s="300"/>
    </row>
    <row r="130" customFormat="false" ht="15" hidden="false" customHeight="true" outlineLevel="0" collapsed="false">
      <c r="A130" s="286" t="s">
        <v>1910</v>
      </c>
      <c r="B130" s="304" t="n">
        <f aca="false">G119</f>
        <v>0.632125410509219</v>
      </c>
      <c r="C130" s="302"/>
      <c r="D130" s="302"/>
      <c r="E130" s="302"/>
      <c r="F130" s="302"/>
      <c r="G130" s="302"/>
    </row>
    <row r="131" customFormat="false" ht="15" hidden="false" customHeight="true" outlineLevel="0" collapsed="false">
      <c r="A131" s="286" t="s">
        <v>1498</v>
      </c>
      <c r="B131" s="297" t="n">
        <f aca="false">B129*B130</f>
        <v>65261.0658822763</v>
      </c>
      <c r="C131" s="302"/>
      <c r="D131" s="302"/>
      <c r="E131" s="302"/>
      <c r="F131" s="302"/>
      <c r="G131" s="302"/>
    </row>
    <row r="132" customFormat="false" ht="15" hidden="false" customHeight="true" outlineLevel="0" collapsed="false">
      <c r="A132" s="298"/>
      <c r="B132" s="298"/>
      <c r="C132" s="298"/>
      <c r="D132" s="298"/>
      <c r="E132" s="298"/>
      <c r="F132" s="298"/>
      <c r="G132" s="298"/>
    </row>
    <row r="133" customFormat="false" ht="15" hidden="false" customHeight="true" outlineLevel="0" collapsed="false">
      <c r="A133" s="285" t="s">
        <v>1911</v>
      </c>
      <c r="B133" s="300" t="s">
        <v>78</v>
      </c>
      <c r="C133" s="300"/>
      <c r="D133" s="300"/>
      <c r="E133" s="300"/>
      <c r="F133" s="300"/>
      <c r="G133" s="300"/>
    </row>
    <row r="134" customFormat="false" ht="15" hidden="false" customHeight="true" outlineLevel="0" collapsed="false">
      <c r="A134" s="286" t="s">
        <v>1913</v>
      </c>
      <c r="B134" s="297" t="n">
        <f aca="false">SUM(C120:G120)</f>
        <v>22936.3000100617</v>
      </c>
      <c r="C134" s="302"/>
      <c r="D134" s="302"/>
      <c r="E134" s="302"/>
      <c r="F134" s="302"/>
      <c r="G134" s="302"/>
    </row>
    <row r="135" customFormat="false" ht="15" hidden="false" customHeight="true" outlineLevel="0" collapsed="false">
      <c r="A135" s="286" t="s">
        <v>1914</v>
      </c>
      <c r="B135" s="297" t="n">
        <f aca="false">B131</f>
        <v>65261.0658822763</v>
      </c>
      <c r="C135" s="302"/>
      <c r="D135" s="302"/>
      <c r="E135" s="302"/>
      <c r="F135" s="302"/>
      <c r="G135" s="302"/>
    </row>
    <row r="136" customFormat="false" ht="15" hidden="false" customHeight="true" outlineLevel="0" collapsed="false">
      <c r="A136" s="285" t="s">
        <v>1915</v>
      </c>
      <c r="B136" s="301" t="n">
        <f aca="false">B134+B135</f>
        <v>88197.365892338</v>
      </c>
      <c r="C136" s="300"/>
      <c r="D136" s="300"/>
      <c r="E136" s="300"/>
      <c r="F136" s="300"/>
      <c r="G136" s="300"/>
    </row>
    <row r="137" customFormat="false" ht="15" hidden="false" customHeight="true" outlineLevel="0" collapsed="false">
      <c r="A137" s="286" t="s">
        <v>1461</v>
      </c>
      <c r="B137" s="295" t="n">
        <f aca="false">B135/B136</f>
        <v>0.739943480420267</v>
      </c>
      <c r="C137" s="302"/>
      <c r="D137" s="302"/>
      <c r="E137" s="302"/>
      <c r="F137" s="302"/>
      <c r="G137" s="302"/>
    </row>
    <row r="138" customFormat="false" ht="15" hidden="false" customHeight="true" outlineLevel="0" collapsed="false">
      <c r="A138" s="298"/>
      <c r="B138" s="298"/>
      <c r="C138" s="298"/>
      <c r="D138" s="298"/>
      <c r="E138" s="298"/>
      <c r="F138" s="298"/>
      <c r="G138" s="298"/>
    </row>
    <row r="139" customFormat="false" ht="15" hidden="false" customHeight="true" outlineLevel="0" collapsed="false">
      <c r="A139" s="285" t="s">
        <v>1916</v>
      </c>
      <c r="B139" s="300" t="s">
        <v>78</v>
      </c>
      <c r="C139" s="300"/>
      <c r="D139" s="300"/>
      <c r="E139" s="300"/>
      <c r="F139" s="300"/>
      <c r="G139" s="300"/>
    </row>
    <row r="140" customFormat="false" ht="15" hidden="false" customHeight="true" outlineLevel="0" collapsed="false">
      <c r="A140" s="286" t="s">
        <v>1915</v>
      </c>
      <c r="B140" s="297" t="n">
        <f aca="false">B136</f>
        <v>88197.365892338</v>
      </c>
      <c r="C140" s="302"/>
      <c r="D140" s="302"/>
      <c r="E140" s="302"/>
      <c r="F140" s="302"/>
      <c r="G140" s="302"/>
    </row>
    <row r="141" customFormat="false" ht="15" hidden="false" customHeight="true" outlineLevel="0" collapsed="false">
      <c r="A141" s="286" t="s">
        <v>1502</v>
      </c>
      <c r="B141" s="297" t="n">
        <f aca="false">-B91</f>
        <v>-11500</v>
      </c>
      <c r="C141" s="302"/>
      <c r="D141" s="302"/>
      <c r="E141" s="302"/>
      <c r="F141" s="302"/>
      <c r="G141" s="302"/>
    </row>
    <row r="142" customFormat="false" ht="15" hidden="false" customHeight="true" outlineLevel="0" collapsed="false">
      <c r="A142" s="286" t="s">
        <v>1503</v>
      </c>
      <c r="B142" s="297" t="n">
        <f aca="false">-B92</f>
        <v>-12118</v>
      </c>
      <c r="C142" s="302"/>
      <c r="D142" s="302"/>
      <c r="E142" s="302"/>
      <c r="F142" s="302"/>
      <c r="G142" s="302"/>
    </row>
    <row r="143" customFormat="false" ht="15" hidden="false" customHeight="true" outlineLevel="0" collapsed="false">
      <c r="A143" s="286" t="s">
        <v>1504</v>
      </c>
      <c r="B143" s="297" t="n">
        <f aca="false">B84</f>
        <v>9295</v>
      </c>
      <c r="C143" s="302"/>
      <c r="D143" s="302"/>
      <c r="E143" s="302"/>
      <c r="F143" s="302"/>
      <c r="G143" s="302"/>
    </row>
    <row r="144" customFormat="false" ht="15" hidden="false" customHeight="true" outlineLevel="0" collapsed="false">
      <c r="A144" s="286" t="s">
        <v>1920</v>
      </c>
      <c r="B144" s="297" t="n">
        <f aca="false">-(B141+B142+B143)</f>
        <v>14323</v>
      </c>
      <c r="C144" s="302"/>
      <c r="D144" s="302"/>
      <c r="E144" s="302"/>
      <c r="F144" s="302"/>
      <c r="G144" s="302"/>
    </row>
    <row r="145" customFormat="false" ht="15" hidden="false" customHeight="true" outlineLevel="0" collapsed="false">
      <c r="A145" s="285" t="s">
        <v>1921</v>
      </c>
      <c r="B145" s="301" t="n">
        <f aca="false">SUM(B140:B143)</f>
        <v>73874.365892338</v>
      </c>
      <c r="C145" s="300"/>
      <c r="D145" s="300"/>
      <c r="E145" s="300"/>
      <c r="F145" s="300"/>
      <c r="G145" s="300"/>
    </row>
    <row r="146" customFormat="false" ht="15" hidden="false" customHeight="true" outlineLevel="0" collapsed="false">
      <c r="A146" s="298"/>
      <c r="B146" s="298"/>
      <c r="C146" s="298"/>
      <c r="D146" s="298"/>
      <c r="E146" s="298"/>
      <c r="F146" s="298"/>
      <c r="G146" s="298"/>
    </row>
    <row r="147" customFormat="false" ht="15" hidden="false" customHeight="true" outlineLevel="0" collapsed="false">
      <c r="A147" s="285" t="s">
        <v>1922</v>
      </c>
      <c r="B147" s="300" t="s">
        <v>78</v>
      </c>
      <c r="C147" s="300"/>
      <c r="D147" s="300"/>
      <c r="E147" s="300"/>
      <c r="F147" s="300"/>
      <c r="G147" s="300"/>
    </row>
    <row r="148" customFormat="false" ht="15" hidden="false" customHeight="true" outlineLevel="0" collapsed="false">
      <c r="A148" s="286" t="s">
        <v>1924</v>
      </c>
      <c r="B148" s="297" t="n">
        <f aca="false">B145</f>
        <v>73874.365892338</v>
      </c>
      <c r="C148" s="302"/>
      <c r="D148" s="302"/>
      <c r="E148" s="302"/>
      <c r="F148" s="302"/>
      <c r="G148" s="302"/>
    </row>
    <row r="149" customFormat="false" ht="15" hidden="false" customHeight="true" outlineLevel="0" collapsed="false">
      <c r="A149" s="286" t="s">
        <v>57</v>
      </c>
      <c r="B149" s="305" t="n">
        <f aca="false">Valuación!B40</f>
        <v>1800</v>
      </c>
      <c r="C149" s="302"/>
      <c r="D149" s="302"/>
      <c r="E149" s="302"/>
      <c r="F149" s="302"/>
      <c r="G149" s="302"/>
    </row>
    <row r="150" customFormat="false" ht="15" hidden="false" customHeight="true" outlineLevel="0" collapsed="false">
      <c r="A150" s="285" t="s">
        <v>1925</v>
      </c>
      <c r="B150" s="306" t="n">
        <f aca="false">B148/B149</f>
        <v>41.0413143846322</v>
      </c>
      <c r="C150" s="300"/>
      <c r="D150" s="300"/>
      <c r="E150" s="300"/>
      <c r="F150" s="300"/>
      <c r="G150" s="300"/>
    </row>
    <row r="151" customFormat="false" ht="15" hidden="false" customHeight="true" outlineLevel="0" collapsed="false">
      <c r="A151" s="286" t="s">
        <v>16</v>
      </c>
      <c r="B151" s="307" t="n">
        <f aca="false">Valuación!B42</f>
        <v>33.1</v>
      </c>
      <c r="C151" s="302"/>
      <c r="D151" s="302"/>
      <c r="E151" s="302"/>
      <c r="F151" s="302"/>
      <c r="G151" s="302"/>
    </row>
    <row r="152" customFormat="false" ht="15" hidden="false" customHeight="true" outlineLevel="0" collapsed="false">
      <c r="A152" s="286" t="s">
        <v>17</v>
      </c>
      <c r="B152" s="295" t="n">
        <f aca="false">B150/B151-1</f>
        <v>0.239918863584054</v>
      </c>
      <c r="C152" s="302"/>
      <c r="D152" s="302"/>
      <c r="E152" s="302"/>
      <c r="F152" s="302"/>
      <c r="G152" s="302"/>
    </row>
    <row r="153" customFormat="false" ht="15" hidden="false" customHeight="true" outlineLevel="0" collapsed="false">
      <c r="A153" s="286" t="s">
        <v>1926</v>
      </c>
      <c r="B153" s="307" t="n">
        <f aca="false">'Proyección Soriana'!B85</f>
        <v>50.1939335833512</v>
      </c>
      <c r="C153" s="302"/>
      <c r="D153" s="302"/>
      <c r="E153" s="302"/>
      <c r="F153" s="302"/>
      <c r="G153" s="302"/>
    </row>
    <row r="154" customFormat="false" ht="15" hidden="false" customHeight="true" outlineLevel="0" collapsed="false">
      <c r="A154" s="286" t="s">
        <v>1927</v>
      </c>
      <c r="B154" s="295" t="n">
        <f aca="false">B150/B153-1</f>
        <v>-0.182345127096291</v>
      </c>
      <c r="C154" s="302"/>
      <c r="D154" s="302"/>
      <c r="E154" s="302"/>
      <c r="F154" s="302"/>
      <c r="G154" s="302"/>
    </row>
    <row r="155" customFormat="false" ht="15" hidden="false" customHeight="true" outlineLevel="0" collapsed="false">
      <c r="A155" s="286" t="s">
        <v>2698</v>
      </c>
      <c r="B155" s="295" t="n">
        <v>0.15</v>
      </c>
      <c r="C155" s="302"/>
      <c r="D155" s="302"/>
      <c r="E155" s="302"/>
      <c r="F155" s="302"/>
      <c r="G155" s="302"/>
    </row>
    <row r="156" customFormat="false" ht="15" hidden="false" customHeight="true" outlineLevel="0" collapsed="false">
      <c r="A156" s="285" t="s">
        <v>1929</v>
      </c>
      <c r="B156" s="300" t="str">
        <f aca="false">IF(B152&gt;B155,"COMPRAR",IF(B152&lt;-B155,"VENDER","MANTENER"))</f>
        <v>COMPRAR</v>
      </c>
      <c r="C156" s="300"/>
      <c r="D156" s="300"/>
      <c r="E156" s="300"/>
      <c r="F156" s="300"/>
      <c r="G156" s="300"/>
    </row>
    <row r="157" customFormat="false" ht="15" hidden="false" customHeight="true" outlineLevel="0" collapsed="false">
      <c r="A157" s="286" t="s">
        <v>1930</v>
      </c>
      <c r="B157" s="302" t="str">
        <f aca="false" t="array" ref="B157:B157">IF(SUMPRODUCT(ABS(B97:G97))&lt;1,"PASS","FAIL")</f>
        <v>PASS</v>
      </c>
      <c r="C157" s="302"/>
      <c r="D157" s="302"/>
      <c r="E157" s="302"/>
      <c r="F157" s="302"/>
      <c r="G157" s="302"/>
    </row>
    <row r="158" customFormat="false" ht="15" hidden="false" customHeight="true" outlineLevel="0" collapsed="false">
      <c r="A158" s="286" t="s">
        <v>1931</v>
      </c>
      <c r="B158" s="302" t="str">
        <f aca="false">IF(B126&gt;B123,"PASS","FAIL")</f>
        <v>PASS</v>
      </c>
      <c r="C158" s="302"/>
      <c r="D158" s="302"/>
      <c r="E158" s="302"/>
      <c r="F158" s="302"/>
      <c r="G158" s="302"/>
    </row>
    <row r="159" customFormat="false" ht="15" hidden="false" customHeight="true" outlineLevel="0" collapsed="false">
      <c r="A159" s="298"/>
      <c r="B159" s="298"/>
      <c r="C159" s="298"/>
      <c r="D159" s="298"/>
      <c r="E159" s="298"/>
      <c r="F159" s="298"/>
      <c r="G159" s="298"/>
    </row>
    <row r="160" customFormat="false" ht="15" hidden="false" customHeight="true" outlineLevel="0" collapsed="false">
      <c r="A160" s="285" t="s">
        <v>1932</v>
      </c>
      <c r="B160" s="300"/>
      <c r="C160" s="300"/>
      <c r="D160" s="300"/>
      <c r="E160" s="300"/>
      <c r="F160" s="300"/>
      <c r="G160" s="300"/>
    </row>
    <row r="161" customFormat="false" ht="15" hidden="false" customHeight="true" outlineLevel="0" collapsed="false">
      <c r="A161" s="286" t="s">
        <v>1934</v>
      </c>
      <c r="B161" s="296" t="n">
        <v>0.005</v>
      </c>
      <c r="C161" s="302"/>
      <c r="D161" s="302"/>
      <c r="E161" s="302"/>
      <c r="F161" s="302"/>
      <c r="G161" s="302"/>
    </row>
    <row r="162" customFormat="false" ht="15" hidden="false" customHeight="true" outlineLevel="0" collapsed="false">
      <c r="A162" s="285" t="s">
        <v>2699</v>
      </c>
      <c r="B162" s="338" t="n">
        <f aca="false">$B$123-2*$B$161</f>
        <v>0.025</v>
      </c>
      <c r="C162" s="338" t="n">
        <f aca="false">B162+$B$161</f>
        <v>0.03</v>
      </c>
      <c r="D162" s="338" t="n">
        <f aca="false">C162+$B$161</f>
        <v>0.035</v>
      </c>
      <c r="E162" s="338" t="n">
        <f aca="false">D162+$B$161</f>
        <v>0.04</v>
      </c>
      <c r="F162" s="338" t="n">
        <f aca="false">E162+$B$161</f>
        <v>0.045</v>
      </c>
      <c r="G162" s="300"/>
    </row>
    <row r="163" customFormat="false" ht="15" hidden="false" customHeight="true" outlineLevel="0" collapsed="false">
      <c r="A163" s="338" t="n">
        <f aca="false">$B$126-2*$B$161</f>
        <v>0.0860726732464153</v>
      </c>
      <c r="B163" s="307" t="n">
        <f aca="false">IF($A163&lt;=B$162,"n.a.",(($B$243*(SUMPRODUCT($C$117:$G$117,(1+$A163)^(-$C$118:$G$118))+$G$117*(1+B$162)/($A163-B$162)*(1+$A163)^-5)+$B$244*(SUMPRODUCT($C$117:$G$117,(1+$A163)^(-$C$118:$G$118))+$B$236*(1+$A163)^-5))*(1+$A163)^$B$253+$B$257+$B$259+$B$260+$B$261)*(1+$B$221)^$B$254/$B$264)</f>
        <v>38.6175407359624</v>
      </c>
      <c r="C163" s="307" t="n">
        <f aca="false">IF($A163&lt;=C$162,"n.a.",(($B$243*(SUMPRODUCT($C$117:$G$117,(1+$A163)^(-$C$118:$G$118))+$G$117*(1+C$162)/($A163-C$162)*(1+$A163)^-5)+$B$244*(SUMPRODUCT($C$117:$G$117,(1+$A163)^(-$C$118:$G$118))+$B$236*(1+$A163)^-5))*(1+$A163)^$B$253+$B$257+$B$259+$B$260+$B$261)*(1+$B$221)^$B$254/$B$264)</f>
        <v>40.5181862357317</v>
      </c>
      <c r="D163" s="307" t="n">
        <f aca="false">IF($A163&lt;=D$162,"n.a.",(($B$243*(SUMPRODUCT($C$117:$G$117,(1+$A163)^(-$C$118:$G$118))+$G$117*(1+D$162)/($A163-D$162)*(1+$A163)^-5)+$B$244*(SUMPRODUCT($C$117:$G$117,(1+$A163)^(-$C$118:$G$118))+$B$236*(1+$A163)^-5))*(1+$A163)^$B$253+$B$257+$B$259+$B$260+$B$261)*(1+$B$221)^$B$254/$B$264)</f>
        <v>42.790977029443</v>
      </c>
      <c r="E163" s="307" t="n">
        <f aca="false">IF($A163&lt;=E$162,"n.a.",(($B$243*(SUMPRODUCT($C$117:$G$117,(1+$A163)^(-$C$118:$G$118))+$G$117*(1+E$162)/($A163-E$162)*(1+$A163)^-5)+$B$244*(SUMPRODUCT($C$117:$G$117,(1+$A163)^(-$C$118:$G$118))+$B$236*(1+$A163)^-5))*(1+$A163)^$B$253+$B$257+$B$259+$B$260+$B$261)*(1+$B$221)^$B$254/$B$264)</f>
        <v>45.5570734278791</v>
      </c>
      <c r="F163" s="307" t="n">
        <f aca="false">IF($A163&lt;=F$162,"n.a.",(($B$243*(SUMPRODUCT($C$117:$G$117,(1+$A163)^(-$C$118:$G$118))+$G$117*(1+F$162)/($A163-F$162)*(1+$A163)^-5)+$B$244*(SUMPRODUCT($C$117:$G$117,(1+$A163)^(-$C$118:$G$118))+$B$236*(1+$A163)^-5))*(1+$A163)^$B$253+$B$257+$B$259+$B$260+$B$261)*(1+$B$221)^$B$254/$B$264)</f>
        <v>48.996633757392</v>
      </c>
      <c r="G163" s="302"/>
    </row>
    <row r="164" customFormat="false" ht="15" hidden="false" customHeight="true" outlineLevel="0" collapsed="false">
      <c r="A164" s="338" t="n">
        <f aca="false">A163+$B$161</f>
        <v>0.0910726732464153</v>
      </c>
      <c r="B164" s="307" t="n">
        <f aca="false">IF($A164&lt;=B$162,"n.a.",(($B$243*(SUMPRODUCT($C$117:$G$117,(1+$A164)^(-$C$118:$G$118))+$G$117*(1+B$162)/($A164-B$162)*(1+$A164)^-5)+$B$244*(SUMPRODUCT($C$117:$G$117,(1+$A164)^(-$C$118:$G$118))+$B$236*(1+$A164)^-5))*(1+$A164)^$B$253+$B$257+$B$259+$B$260+$B$261)*(1+$B$221)^$B$254/$B$264)</f>
        <v>36.2877332334858</v>
      </c>
      <c r="C164" s="307" t="n">
        <f aca="false">IF($A164&lt;=C$162,"n.a.",(($B$243*(SUMPRODUCT($C$117:$G$117,(1+$A164)^(-$C$118:$G$118))+$G$117*(1+C$162)/($A164-C$162)*(1+$A164)^-5)+$B$244*(SUMPRODUCT($C$117:$G$117,(1+$A164)^(-$C$118:$G$118))+$B$236*(1+$A164)^-5))*(1+$A164)^$B$253+$B$257+$B$259+$B$260+$B$261)*(1+$B$221)^$B$254/$B$264)</f>
        <v>37.8749956468797</v>
      </c>
      <c r="D164" s="307" t="n">
        <f aca="false">IF($A164&lt;=D$162,"n.a.",(($B$243*(SUMPRODUCT($C$117:$G$117,(1+$A164)^(-$C$118:$G$118))+$G$117*(1+D$162)/($A164-D$162)*(1+$A164)^-5)+$B$244*(SUMPRODUCT($C$117:$G$117,(1+$A164)^(-$C$118:$G$118))+$B$236*(1+$A164)^-5))*(1+$A164)^$B$253+$B$257+$B$259+$B$260+$B$261)*(1+$B$221)^$B$254/$B$264)</f>
        <v>39.7453304236008</v>
      </c>
      <c r="E164" s="307" t="n">
        <f aca="false">IF($A164&lt;=E$162,"n.a.",(($B$243*(SUMPRODUCT($C$117:$G$117,(1+$A164)^(-$C$118:$G$118))+$G$117*(1+E$162)/($A164-E$162)*(1+$A164)^-5)+$B$244*(SUMPRODUCT($C$117:$G$117,(1+$A164)^(-$C$118:$G$118))+$B$236*(1+$A164)^-5))*(1+$A164)^$B$253+$B$257+$B$259+$B$260+$B$261)*(1+$B$221)^$B$254/$B$264)</f>
        <v>41.9818756721524</v>
      </c>
      <c r="F164" s="307" t="n">
        <f aca="false">IF($A164&lt;=F$162,"n.a.",(($B$243*(SUMPRODUCT($C$117:$G$117,(1+$A164)^(-$C$118:$G$118))+$G$117*(1+F$162)/($A164-F$162)*(1+$A164)^-5)+$B$244*(SUMPRODUCT($C$117:$G$117,(1+$A164)^(-$C$118:$G$118))+$B$236*(1+$A164)^-5))*(1+$A164)^$B$253+$B$257+$B$259+$B$260+$B$261)*(1+$B$221)^$B$254/$B$264)</f>
        <v>44.7038594878541</v>
      </c>
      <c r="G164" s="302"/>
    </row>
    <row r="165" customFormat="false" ht="15" hidden="false" customHeight="true" outlineLevel="0" collapsed="false">
      <c r="A165" s="338" t="n">
        <f aca="false">A164+$B$161</f>
        <v>0.0960726732464153</v>
      </c>
      <c r="B165" s="307" t="n">
        <f aca="false">IF($A165&lt;=B$162,"n.a.",(($B$243*(SUMPRODUCT($C$117:$G$117,(1+$A165)^(-$C$118:$G$118))+$G$117*(1+B$162)/($A165-B$162)*(1+$A165)^-5)+$B$244*(SUMPRODUCT($C$117:$G$117,(1+$A165)^(-$C$118:$G$118))+$B$236*(1+$A165)^-5))*(1+$A165)^$B$253+$B$257+$B$259+$B$260+$B$261)*(1+$B$221)^$B$254/$B$264)</f>
        <v>34.2441768310366</v>
      </c>
      <c r="C165" s="307" t="n">
        <f aca="false">IF($A165&lt;=C$162,"n.a.",(($B$243*(SUMPRODUCT($C$117:$G$117,(1+$A165)^(-$C$118:$G$118))+$G$117*(1+C$162)/($A165-C$162)*(1+$A165)^-5)+$B$244*(SUMPRODUCT($C$117:$G$117,(1+$A165)^(-$C$118:$G$118))+$B$236*(1+$A165)^-5))*(1+$A165)^$B$253+$B$257+$B$259+$B$260+$B$261)*(1+$B$221)^$B$254/$B$264)</f>
        <v>35.5864569600904</v>
      </c>
      <c r="D165" s="327" t="n">
        <f aca="false">IF($A165&lt;=D$162,"n.a.",(($B$243*(SUMPRODUCT($C$117:$G$117,(1+$A165)^(-$C$118:$G$118))+$G$117*(1+D$162)/($A165-D$162)*(1+$A165)^-5)+$B$244*(SUMPRODUCT($C$117:$G$117,(1+$A165)^(-$C$118:$G$118))+$B$236*(1+$A165)^-5))*(1+$A165)^$B$253+$B$257+$B$259+$B$260+$B$261)*(1+$B$221)^$B$254/$B$264)</f>
        <v>37.1485211689467</v>
      </c>
      <c r="E165" s="307" t="n">
        <f aca="false">IF($A165&lt;=E$162,"n.a.",(($B$243*(SUMPRODUCT($C$117:$G$117,(1+$A165)^(-$C$118:$G$118))+$G$117*(1+E$162)/($A165-E$162)*(1+$A165)^-5)+$B$244*(SUMPRODUCT($C$117:$G$117,(1+$A165)^(-$C$118:$G$118))+$B$236*(1+$A165)^-5))*(1+$A165)^$B$253+$B$257+$B$259+$B$260+$B$261)*(1+$B$221)^$B$254/$B$264)</f>
        <v>38.9891638935788</v>
      </c>
      <c r="F165" s="307" t="n">
        <f aca="false">IF($A165&lt;=F$162,"n.a.",(($B$243*(SUMPRODUCT($C$117:$G$117,(1+$A165)^(-$C$118:$G$118))+$G$117*(1+F$162)/($A165-F$162)*(1+$A165)^-5)+$B$244*(SUMPRODUCT($C$117:$G$117,(1+$A165)^(-$C$118:$G$118))+$B$236*(1+$A165)^-5))*(1+$A165)^$B$253+$B$257+$B$259+$B$260+$B$261)*(1+$B$221)^$B$254/$B$264)</f>
        <v>41.1902034033471</v>
      </c>
      <c r="G165" s="302"/>
    </row>
    <row r="166" customFormat="false" ht="15" hidden="false" customHeight="true" outlineLevel="0" collapsed="false">
      <c r="A166" s="338" t="n">
        <f aca="false">A165+$B$161</f>
        <v>0.101072673246415</v>
      </c>
      <c r="B166" s="307" t="n">
        <f aca="false">IF($A166&lt;=B$162,"n.a.",(($B$243*(SUMPRODUCT($C$117:$G$117,(1+$A166)^(-$C$118:$G$118))+$G$117*(1+B$162)/($A166-B$162)*(1+$A166)^-5)+$B$244*(SUMPRODUCT($C$117:$G$117,(1+$A166)^(-$C$118:$G$118))+$B$236*(1+$A166)^-5))*(1+$A166)^$B$253+$B$257+$B$259+$B$260+$B$261)*(1+$B$221)^$B$254/$B$264)</f>
        <v>32.4318360117318</v>
      </c>
      <c r="C166" s="307" t="n">
        <f aca="false">IF($A166&lt;=C$162,"n.a.",(($B$243*(SUMPRODUCT($C$117:$G$117,(1+$A166)^(-$C$118:$G$118))+$G$117*(1+C$162)/($A166-C$162)*(1+$A166)^-5)+$B$244*(SUMPRODUCT($C$117:$G$117,(1+$A166)^(-$C$118:$G$118))+$B$236*(1+$A166)^-5))*(1+$A166)^$B$253+$B$257+$B$259+$B$260+$B$261)*(1+$B$221)^$B$254/$B$264)</f>
        <v>33.5792447215657</v>
      </c>
      <c r="D166" s="307" t="n">
        <f aca="false">IF($A166&lt;=D$162,"n.a.",(($B$243*(SUMPRODUCT($C$117:$G$117,(1+$A166)^(-$C$118:$G$118))+$G$117*(1+D$162)/($A166-D$162)*(1+$A166)^-5)+$B$244*(SUMPRODUCT($C$117:$G$117,(1+$A166)^(-$C$118:$G$118))+$B$236*(1+$A166)^-5))*(1+$A166)^$B$253+$B$257+$B$259+$B$260+$B$261)*(1+$B$221)^$B$254/$B$264)</f>
        <v>34.9003120187486</v>
      </c>
      <c r="E166" s="307" t="n">
        <f aca="false">IF($A166&lt;=E$162,"n.a.",(($B$243*(SUMPRODUCT($C$117:$G$117,(1+$A166)^(-$C$118:$G$118))+$G$117*(1+E$162)/($A166-E$162)*(1+$A166)^-5)+$B$244*(SUMPRODUCT($C$117:$G$117,(1+$A166)^(-$C$118:$G$118))+$B$236*(1+$A166)^-5))*(1+$A166)^$B$253+$B$257+$B$259+$B$260+$B$261)*(1+$B$221)^$B$254/$B$264)</f>
        <v>36.4376900203692</v>
      </c>
      <c r="F166" s="307" t="n">
        <f aca="false">IF($A166&lt;=F$162,"n.a.",(($B$243*(SUMPRODUCT($C$117:$G$117,(1+$A166)^(-$C$118:$G$118))+$G$117*(1+F$162)/($A166-F$162)*(1+$A166)^-5)+$B$244*(SUMPRODUCT($C$117:$G$117,(1+$A166)^(-$C$118:$G$118))+$B$236*(1+$A166)^-5))*(1+$A166)^$B$253+$B$257+$B$259+$B$260+$B$261)*(1+$B$221)^$B$254/$B$264)</f>
        <v>38.2492439998078</v>
      </c>
      <c r="G166" s="302"/>
    </row>
    <row r="167" customFormat="false" ht="15" hidden="false" customHeight="true" outlineLevel="0" collapsed="false">
      <c r="A167" s="338" t="n">
        <f aca="false">A166+$B$161</f>
        <v>0.106072673246415</v>
      </c>
      <c r="B167" s="307" t="n">
        <f aca="false">IF($A167&lt;=B$162,"n.a.",(($B$243*(SUMPRODUCT($C$117:$G$117,(1+$A167)^(-$C$118:$G$118))+$G$117*(1+B$162)/($A167-B$162)*(1+$A167)^-5)+$B$244*(SUMPRODUCT($C$117:$G$117,(1+$A167)^(-$C$118:$G$118))+$B$236*(1+$A167)^-5))*(1+$A167)^$B$253+$B$257+$B$259+$B$260+$B$261)*(1+$B$221)^$B$254/$B$264)</f>
        <v>30.8092013148455</v>
      </c>
      <c r="C167" s="307" t="n">
        <f aca="false">IF($A167&lt;=C$162,"n.a.",(($B$243*(SUMPRODUCT($C$117:$G$117,(1+$A167)^(-$C$118:$G$118))+$G$117*(1+C$162)/($A167-C$162)*(1+$A167)^-5)+$B$244*(SUMPRODUCT($C$117:$G$117,(1+$A167)^(-$C$118:$G$118))+$B$236*(1+$A167)^-5))*(1+$A167)^$B$253+$B$257+$B$259+$B$260+$B$261)*(1+$B$221)^$B$254/$B$264)</f>
        <v>31.799256551382</v>
      </c>
      <c r="D167" s="307" t="n">
        <f aca="false">IF($A167&lt;=D$162,"n.a.",(($B$243*(SUMPRODUCT($C$117:$G$117,(1+$A167)^(-$C$118:$G$118))+$G$117*(1+D$162)/($A167-D$162)*(1+$A167)^-5)+$B$244*(SUMPRODUCT($C$117:$G$117,(1+$A167)^(-$C$118:$G$118))+$B$236*(1+$A167)^-5))*(1+$A167)^$B$253+$B$257+$B$259+$B$260+$B$261)*(1+$B$221)^$B$254/$B$264)</f>
        <v>32.9286136027108</v>
      </c>
      <c r="E167" s="307" t="n">
        <f aca="false">IF($A167&lt;=E$162,"n.a.",(($B$243*(SUMPRODUCT($C$117:$G$117,(1+$A167)^(-$C$118:$G$118))+$G$117*(1+E$162)/($A167-E$162)*(1+$A167)^-5)+$B$244*(SUMPRODUCT($C$117:$G$117,(1+$A167)^(-$C$118:$G$118))+$B$236*(1+$A167)^-5))*(1+$A167)^$B$253+$B$257+$B$259+$B$260+$B$261)*(1+$B$221)^$B$254/$B$264)</f>
        <v>34.2288971499477</v>
      </c>
      <c r="F167" s="307" t="n">
        <f aca="false">IF($A167&lt;=F$162,"n.a.",(($B$243*(SUMPRODUCT($C$117:$G$117,(1+$A167)^(-$C$118:$G$118))+$G$117*(1+F$162)/($A167-F$162)*(1+$A167)^-5)+$B$244*(SUMPRODUCT($C$117:$G$117,(1+$A167)^(-$C$118:$G$118))+$B$236*(1+$A167)^-5))*(1+$A167)^$B$253+$B$257+$B$259+$B$260+$B$261)*(1+$B$221)^$B$254/$B$264)</f>
        <v>35.7420882838544</v>
      </c>
      <c r="G167" s="302"/>
    </row>
    <row r="168" customFormat="false" ht="15" hidden="false" customHeight="true" outlineLevel="0" collapsed="false">
      <c r="A168" s="302" t="s">
        <v>1936</v>
      </c>
      <c r="B168" s="337" t="n">
        <f aca="false">D165-B265</f>
        <v>0</v>
      </c>
      <c r="C168" s="302"/>
      <c r="D168" s="302"/>
      <c r="E168" s="302"/>
      <c r="F168" s="302"/>
      <c r="G168" s="302"/>
    </row>
    <row r="169" customFormat="false" ht="15" hidden="false" customHeight="true" outlineLevel="0" collapsed="false">
      <c r="A169" s="298"/>
      <c r="B169" s="298"/>
      <c r="C169" s="298"/>
      <c r="D169" s="298"/>
      <c r="E169" s="298"/>
      <c r="F169" s="298"/>
      <c r="G169" s="298"/>
    </row>
    <row r="170" customFormat="false" ht="15" hidden="false" customHeight="true" outlineLevel="0" collapsed="false">
      <c r="A170" s="285" t="s">
        <v>1937</v>
      </c>
      <c r="B170" s="285" t="s">
        <v>1749</v>
      </c>
      <c r="C170" s="285" t="s">
        <v>1938</v>
      </c>
      <c r="D170" s="285" t="s">
        <v>1719</v>
      </c>
      <c r="E170" s="285" t="s">
        <v>1939</v>
      </c>
      <c r="F170" s="285" t="s">
        <v>1940</v>
      </c>
      <c r="G170" s="285" t="s">
        <v>1941</v>
      </c>
    </row>
    <row r="171" customFormat="false" ht="15" hidden="false" customHeight="false" outlineLevel="0" collapsed="false">
      <c r="A171" s="286" t="s">
        <v>1942</v>
      </c>
      <c r="B171" s="286" t="s">
        <v>1757</v>
      </c>
      <c r="C171" s="286" t="n">
        <v>4</v>
      </c>
      <c r="D171" s="286" t="s">
        <v>1943</v>
      </c>
      <c r="E171" s="286" t="s">
        <v>1944</v>
      </c>
      <c r="F171" s="286" t="s">
        <v>1442</v>
      </c>
      <c r="G171" s="286" t="n">
        <v>11</v>
      </c>
    </row>
    <row r="172" customFormat="false" ht="15" hidden="false" customHeight="false" outlineLevel="0" collapsed="false">
      <c r="A172" s="286" t="s">
        <v>1945</v>
      </c>
      <c r="B172" s="286" t="s">
        <v>1781</v>
      </c>
      <c r="C172" s="286" t="n">
        <v>3</v>
      </c>
      <c r="D172" s="286" t="s">
        <v>1943</v>
      </c>
      <c r="E172" s="286" t="s">
        <v>1944</v>
      </c>
      <c r="F172" s="286" t="s">
        <v>1761</v>
      </c>
      <c r="G172" s="286" t="n">
        <v>10</v>
      </c>
    </row>
    <row r="173" customFormat="false" ht="15" hidden="false" customHeight="false" outlineLevel="0" collapsed="false">
      <c r="A173" s="286" t="s">
        <v>1946</v>
      </c>
      <c r="B173" s="286" t="s">
        <v>1772</v>
      </c>
      <c r="C173" s="286" t="n">
        <v>5</v>
      </c>
      <c r="D173" s="286" t="s">
        <v>1943</v>
      </c>
      <c r="E173" s="286" t="s">
        <v>1948</v>
      </c>
      <c r="F173" s="286" t="s">
        <v>1442</v>
      </c>
      <c r="G173" s="286" t="n">
        <v>13</v>
      </c>
    </row>
    <row r="174" customFormat="false" ht="15" hidden="false" customHeight="false" outlineLevel="0" collapsed="false">
      <c r="A174" s="286" t="s">
        <v>1949</v>
      </c>
      <c r="B174" s="286" t="s">
        <v>1757</v>
      </c>
      <c r="C174" s="286" t="n">
        <v>3</v>
      </c>
      <c r="D174" s="286" t="s">
        <v>1950</v>
      </c>
      <c r="E174" s="286" t="s">
        <v>1944</v>
      </c>
      <c r="F174" s="286" t="s">
        <v>1442</v>
      </c>
      <c r="G174" s="286" t="n">
        <v>13</v>
      </c>
    </row>
    <row r="175" customFormat="false" ht="15" hidden="false" customHeight="false" outlineLevel="0" collapsed="false">
      <c r="A175" s="286" t="s">
        <v>1951</v>
      </c>
      <c r="B175" s="286" t="s">
        <v>1772</v>
      </c>
      <c r="C175" s="286" t="n">
        <v>3</v>
      </c>
      <c r="D175" s="286" t="s">
        <v>1950</v>
      </c>
      <c r="E175" s="286" t="s">
        <v>1948</v>
      </c>
      <c r="F175" s="286" t="s">
        <v>1442</v>
      </c>
      <c r="G175" s="286" t="n">
        <v>17</v>
      </c>
    </row>
    <row r="176" customFormat="false" ht="15" hidden="false" customHeight="false" outlineLevel="0" collapsed="false">
      <c r="A176" s="286" t="s">
        <v>1952</v>
      </c>
      <c r="B176" s="286" t="s">
        <v>1772</v>
      </c>
      <c r="C176" s="286" t="n">
        <v>3</v>
      </c>
      <c r="D176" s="286" t="s">
        <v>1943</v>
      </c>
      <c r="E176" s="286" t="s">
        <v>1944</v>
      </c>
      <c r="F176" s="286" t="s">
        <v>1953</v>
      </c>
      <c r="G176" s="286" t="s">
        <v>1954</v>
      </c>
    </row>
    <row r="177" customFormat="false" ht="15" hidden="false" customHeight="false" outlineLevel="0" collapsed="false">
      <c r="A177" s="286" t="s">
        <v>1955</v>
      </c>
      <c r="B177" s="286" t="s">
        <v>1772</v>
      </c>
      <c r="C177" s="286" t="n">
        <v>3</v>
      </c>
      <c r="D177" s="286" t="s">
        <v>1943</v>
      </c>
      <c r="E177" s="286" t="s">
        <v>1948</v>
      </c>
      <c r="F177" s="286" t="s">
        <v>1956</v>
      </c>
      <c r="G177" s="286" t="n">
        <v>125</v>
      </c>
    </row>
    <row r="178" customFormat="false" ht="15" hidden="false" customHeight="false" outlineLevel="0" collapsed="false">
      <c r="A178" s="286" t="s">
        <v>1957</v>
      </c>
      <c r="B178" s="286" t="s">
        <v>1772</v>
      </c>
      <c r="C178" s="286" t="n">
        <v>3</v>
      </c>
      <c r="D178" s="286" t="s">
        <v>1950</v>
      </c>
      <c r="E178" s="286" t="s">
        <v>1948</v>
      </c>
      <c r="F178" s="286" t="s">
        <v>1771</v>
      </c>
      <c r="G178" s="286" t="n">
        <v>35</v>
      </c>
    </row>
    <row r="179" customFormat="false" ht="15" hidden="false" customHeight="false" outlineLevel="0" collapsed="false">
      <c r="A179" s="286" t="s">
        <v>1958</v>
      </c>
      <c r="B179" s="286" t="s">
        <v>1772</v>
      </c>
      <c r="C179" s="286" t="n">
        <v>2</v>
      </c>
      <c r="D179" s="286" t="s">
        <v>1950</v>
      </c>
      <c r="E179" s="286" t="s">
        <v>1959</v>
      </c>
      <c r="F179" s="286" t="s">
        <v>5</v>
      </c>
      <c r="G179" s="286" t="n">
        <v>125</v>
      </c>
    </row>
    <row r="180" customFormat="false" ht="15" hidden="false" customHeight="false" outlineLevel="0" collapsed="false">
      <c r="A180" s="286" t="s">
        <v>1960</v>
      </c>
      <c r="B180" s="286" t="s">
        <v>1772</v>
      </c>
      <c r="C180" s="286" t="n">
        <v>4</v>
      </c>
      <c r="D180" s="286" t="s">
        <v>1943</v>
      </c>
      <c r="E180" s="286" t="s">
        <v>1959</v>
      </c>
      <c r="F180" s="286" t="s">
        <v>1442</v>
      </c>
      <c r="G180" s="286" t="n">
        <v>18</v>
      </c>
    </row>
    <row r="181" customFormat="false" ht="15" hidden="false" customHeight="false" outlineLevel="0" collapsed="false">
      <c r="A181" s="286" t="s">
        <v>1961</v>
      </c>
      <c r="B181" s="286" t="s">
        <v>1772</v>
      </c>
      <c r="C181" s="286" t="n">
        <v>3</v>
      </c>
      <c r="D181" s="286" t="s">
        <v>1943</v>
      </c>
      <c r="E181" s="286" t="s">
        <v>1944</v>
      </c>
      <c r="F181" s="286" t="s">
        <v>1442</v>
      </c>
      <c r="G181" s="286" t="n">
        <v>18</v>
      </c>
    </row>
    <row r="182" customFormat="false" ht="15" hidden="false" customHeight="false" outlineLevel="0" collapsed="false">
      <c r="A182" s="286" t="s">
        <v>1962</v>
      </c>
      <c r="B182" s="286" t="s">
        <v>1772</v>
      </c>
      <c r="C182" s="286" t="n">
        <v>2</v>
      </c>
      <c r="D182" s="286" t="s">
        <v>1943</v>
      </c>
      <c r="E182" s="286" t="s">
        <v>1948</v>
      </c>
      <c r="F182" s="286" t="s">
        <v>1771</v>
      </c>
      <c r="G182" s="286" t="n">
        <v>35</v>
      </c>
    </row>
    <row r="183" customFormat="false" ht="15" hidden="false" customHeight="false" outlineLevel="0" collapsed="false">
      <c r="A183" s="286" t="s">
        <v>1963</v>
      </c>
      <c r="B183" s="286" t="s">
        <v>1781</v>
      </c>
      <c r="C183" s="286" t="n">
        <v>4</v>
      </c>
      <c r="D183" s="286" t="s">
        <v>1943</v>
      </c>
      <c r="E183" s="286" t="s">
        <v>1964</v>
      </c>
      <c r="F183" s="286" t="s">
        <v>1965</v>
      </c>
      <c r="G183" s="286" t="s">
        <v>1966</v>
      </c>
    </row>
    <row r="184" customFormat="false" ht="15" hidden="false" customHeight="false" outlineLevel="0" collapsed="false">
      <c r="A184" s="286" t="s">
        <v>1967</v>
      </c>
      <c r="B184" s="286" t="s">
        <v>1772</v>
      </c>
      <c r="C184" s="286" t="n">
        <v>3</v>
      </c>
      <c r="D184" s="286" t="s">
        <v>1943</v>
      </c>
      <c r="E184" s="286" t="s">
        <v>1959</v>
      </c>
      <c r="F184" s="286" t="s">
        <v>1785</v>
      </c>
      <c r="G184" s="286" t="n">
        <v>33</v>
      </c>
    </row>
    <row r="185" customFormat="false" ht="15" hidden="false" customHeight="false" outlineLevel="0" collapsed="false">
      <c r="A185" s="286" t="s">
        <v>1968</v>
      </c>
      <c r="B185" s="286" t="s">
        <v>1772</v>
      </c>
      <c r="C185" s="286" t="n">
        <v>2</v>
      </c>
      <c r="D185" s="286" t="s">
        <v>1950</v>
      </c>
      <c r="E185" s="286" t="s">
        <v>1944</v>
      </c>
      <c r="F185" s="286" t="s">
        <v>1442</v>
      </c>
      <c r="G185" s="286" t="n">
        <v>21</v>
      </c>
    </row>
    <row r="186" customFormat="false" ht="15" hidden="false" customHeight="false" outlineLevel="0" collapsed="false">
      <c r="A186" s="286" t="s">
        <v>1969</v>
      </c>
      <c r="B186" s="286" t="s">
        <v>1772</v>
      </c>
      <c r="C186" s="286" t="n">
        <v>2</v>
      </c>
      <c r="D186" s="286" t="s">
        <v>1950</v>
      </c>
      <c r="E186" s="286" t="s">
        <v>1959</v>
      </c>
      <c r="F186" s="286" t="s">
        <v>1439</v>
      </c>
      <c r="G186" s="286" t="n">
        <v>52</v>
      </c>
    </row>
    <row r="187" customFormat="false" ht="15" hidden="false" customHeight="false" outlineLevel="0" collapsed="false">
      <c r="A187" s="286" t="s">
        <v>1970</v>
      </c>
      <c r="B187" s="286" t="s">
        <v>1757</v>
      </c>
      <c r="C187" s="286" t="n">
        <v>3</v>
      </c>
      <c r="D187" s="286" t="s">
        <v>1943</v>
      </c>
      <c r="E187" s="286" t="s">
        <v>1959</v>
      </c>
      <c r="F187" s="286" t="s">
        <v>1442</v>
      </c>
      <c r="G187" s="286" t="n">
        <v>19</v>
      </c>
    </row>
    <row r="188" customFormat="false" ht="15" hidden="false" customHeight="false" outlineLevel="0" collapsed="false">
      <c r="A188" s="286" t="s">
        <v>1971</v>
      </c>
      <c r="B188" s="286" t="s">
        <v>1772</v>
      </c>
      <c r="C188" s="286" t="n">
        <v>3</v>
      </c>
      <c r="D188" s="286" t="s">
        <v>1943</v>
      </c>
      <c r="E188" s="286" t="s">
        <v>1948</v>
      </c>
      <c r="F188" s="286" t="s">
        <v>1972</v>
      </c>
      <c r="G188" s="286" t="n">
        <v>34</v>
      </c>
    </row>
    <row r="189" customFormat="false" ht="15" hidden="false" customHeight="false" outlineLevel="0" collapsed="false">
      <c r="A189" s="286" t="s">
        <v>1973</v>
      </c>
      <c r="B189" s="286" t="s">
        <v>1772</v>
      </c>
      <c r="C189" s="286" t="n">
        <v>5</v>
      </c>
      <c r="D189" s="286" t="s">
        <v>1943</v>
      </c>
      <c r="E189" s="286" t="s">
        <v>1948</v>
      </c>
      <c r="F189" s="286" t="s">
        <v>1442</v>
      </c>
      <c r="G189" s="286" t="n">
        <v>15</v>
      </c>
    </row>
    <row r="190" customFormat="false" ht="15" hidden="false" customHeight="false" outlineLevel="0" collapsed="false">
      <c r="A190" s="286" t="s">
        <v>1974</v>
      </c>
      <c r="B190" s="286" t="s">
        <v>1772</v>
      </c>
      <c r="C190" s="286" t="n">
        <v>5</v>
      </c>
      <c r="D190" s="286" t="s">
        <v>1943</v>
      </c>
      <c r="E190" s="286" t="s">
        <v>1964</v>
      </c>
      <c r="F190" s="286" t="s">
        <v>1975</v>
      </c>
      <c r="G190" s="286" t="s">
        <v>1976</v>
      </c>
    </row>
    <row r="191" customFormat="false" ht="15" hidden="false" customHeight="false" outlineLevel="0" collapsed="false">
      <c r="A191" s="286" t="s">
        <v>1977</v>
      </c>
      <c r="B191" s="286" t="s">
        <v>1781</v>
      </c>
      <c r="C191" s="286" t="n">
        <v>4</v>
      </c>
      <c r="D191" s="286" t="s">
        <v>1943</v>
      </c>
      <c r="E191" s="286" t="s">
        <v>1978</v>
      </c>
      <c r="F191" s="286" t="s">
        <v>1979</v>
      </c>
      <c r="G191" s="286" t="s">
        <v>1980</v>
      </c>
    </row>
    <row r="192" customFormat="false" ht="15" hidden="false" customHeight="false" outlineLevel="0" collapsed="false">
      <c r="A192" s="286" t="s">
        <v>1981</v>
      </c>
      <c r="B192" s="286" t="s">
        <v>1781</v>
      </c>
      <c r="C192" s="286" t="n">
        <v>3</v>
      </c>
      <c r="D192" s="286" t="s">
        <v>1943</v>
      </c>
      <c r="E192" s="286" t="s">
        <v>1959</v>
      </c>
      <c r="F192" s="286" t="s">
        <v>1975</v>
      </c>
      <c r="G192" s="286" t="n">
        <v>16</v>
      </c>
    </row>
    <row r="193" customFormat="false" ht="15" hidden="false" customHeight="false" outlineLevel="0" collapsed="false">
      <c r="A193" s="286" t="s">
        <v>1982</v>
      </c>
      <c r="B193" s="286" t="s">
        <v>1781</v>
      </c>
      <c r="C193" s="286" t="n">
        <v>2</v>
      </c>
      <c r="D193" s="286" t="s">
        <v>1943</v>
      </c>
      <c r="E193" s="286" t="s">
        <v>1959</v>
      </c>
      <c r="F193" s="286" t="s">
        <v>1972</v>
      </c>
      <c r="G193" s="286" t="s">
        <v>1983</v>
      </c>
    </row>
    <row r="194" customFormat="false" ht="15" hidden="false" customHeight="false" outlineLevel="0" collapsed="false">
      <c r="A194" s="286" t="s">
        <v>1984</v>
      </c>
      <c r="B194" s="286" t="s">
        <v>1757</v>
      </c>
      <c r="C194" s="286" t="n">
        <v>2</v>
      </c>
      <c r="D194" s="286" t="s">
        <v>1943</v>
      </c>
      <c r="E194" s="286" t="s">
        <v>1959</v>
      </c>
      <c r="F194" s="286" t="s">
        <v>1827</v>
      </c>
      <c r="G194" s="286" t="n">
        <v>22</v>
      </c>
    </row>
    <row r="195" customFormat="false" ht="15" hidden="false" customHeight="false" outlineLevel="0" collapsed="false">
      <c r="A195" s="286" t="s">
        <v>1985</v>
      </c>
      <c r="B195" s="286" t="s">
        <v>1757</v>
      </c>
      <c r="C195" s="286" t="n">
        <v>2</v>
      </c>
      <c r="D195" s="286" t="s">
        <v>1950</v>
      </c>
      <c r="E195" s="286" t="s">
        <v>1978</v>
      </c>
      <c r="F195" s="286" t="s">
        <v>1972</v>
      </c>
      <c r="G195" s="286" t="n">
        <v>38</v>
      </c>
    </row>
    <row r="196" customFormat="false" ht="15" hidden="false" customHeight="false" outlineLevel="0" collapsed="false">
      <c r="A196" s="286" t="s">
        <v>1986</v>
      </c>
      <c r="B196" s="286" t="s">
        <v>1757</v>
      </c>
      <c r="C196" s="286" t="n">
        <v>4</v>
      </c>
      <c r="D196" s="286" t="s">
        <v>1943</v>
      </c>
      <c r="E196" s="286" t="s">
        <v>1948</v>
      </c>
      <c r="F196" s="286" t="s">
        <v>1972</v>
      </c>
      <c r="G196" s="286" t="n">
        <v>32</v>
      </c>
    </row>
    <row r="197" customFormat="false" ht="15" hidden="false" customHeight="false" outlineLevel="0" collapsed="false">
      <c r="A197" s="286" t="s">
        <v>1987</v>
      </c>
      <c r="B197" s="286" t="s">
        <v>1781</v>
      </c>
      <c r="C197" s="286" t="n">
        <v>3</v>
      </c>
      <c r="D197" s="286" t="s">
        <v>1943</v>
      </c>
      <c r="E197" s="286" t="s">
        <v>1948</v>
      </c>
      <c r="F197" s="286" t="s">
        <v>99</v>
      </c>
      <c r="G197" s="286" t="n">
        <v>47</v>
      </c>
    </row>
    <row r="198" customFormat="false" ht="15" hidden="false" customHeight="false" outlineLevel="0" collapsed="false">
      <c r="A198" s="286" t="s">
        <v>1988</v>
      </c>
      <c r="B198" s="286" t="s">
        <v>1772</v>
      </c>
      <c r="C198" s="286" t="n">
        <v>3</v>
      </c>
      <c r="D198" s="286" t="s">
        <v>1950</v>
      </c>
      <c r="E198" s="286" t="s">
        <v>1948</v>
      </c>
      <c r="F198" s="286" t="s">
        <v>1785</v>
      </c>
      <c r="G198" s="286" t="n">
        <v>36</v>
      </c>
    </row>
    <row r="199" customFormat="false" ht="15" hidden="false" customHeight="false" outlineLevel="0" collapsed="false">
      <c r="A199" s="286" t="s">
        <v>1989</v>
      </c>
      <c r="B199" s="286" t="s">
        <v>1772</v>
      </c>
      <c r="C199" s="286" t="n">
        <v>3</v>
      </c>
      <c r="D199" s="286" t="s">
        <v>1943</v>
      </c>
      <c r="E199" s="286" t="s">
        <v>1944</v>
      </c>
      <c r="F199" s="286" t="s">
        <v>1442</v>
      </c>
      <c r="G199" s="286" t="n">
        <v>17</v>
      </c>
    </row>
    <row r="200" customFormat="false" ht="15" hidden="false" customHeight="false" outlineLevel="0" collapsed="false">
      <c r="A200" s="286" t="s">
        <v>1990</v>
      </c>
      <c r="B200" s="286" t="s">
        <v>1772</v>
      </c>
      <c r="C200" s="286" t="n">
        <v>2</v>
      </c>
      <c r="D200" s="286" t="s">
        <v>1950</v>
      </c>
      <c r="E200" s="286" t="s">
        <v>1944</v>
      </c>
      <c r="F200" s="286" t="s">
        <v>1785</v>
      </c>
      <c r="G200" s="286" t="s">
        <v>1991</v>
      </c>
    </row>
    <row r="201" customFormat="false" ht="15" hidden="false" customHeight="true" outlineLevel="0" collapsed="false">
      <c r="A201" s="288"/>
      <c r="B201" s="288"/>
      <c r="C201" s="288"/>
      <c r="D201" s="288"/>
      <c r="E201" s="288"/>
      <c r="F201" s="288"/>
      <c r="G201" s="288"/>
    </row>
    <row r="202" customFormat="false" ht="15" hidden="false" customHeight="true" outlineLevel="0" collapsed="false">
      <c r="A202" s="288"/>
      <c r="B202" s="288"/>
      <c r="C202" s="288"/>
      <c r="D202" s="288"/>
      <c r="E202" s="288"/>
      <c r="F202" s="288"/>
      <c r="G202" s="288"/>
    </row>
    <row r="203" customFormat="false" ht="15" hidden="false" customHeight="true" outlineLevel="0" collapsed="false">
      <c r="A203" s="298"/>
      <c r="B203" s="298"/>
      <c r="C203" s="298"/>
      <c r="D203" s="298"/>
      <c r="E203" s="298"/>
      <c r="F203" s="298"/>
      <c r="G203" s="298"/>
    </row>
    <row r="204" customFormat="false" ht="15" hidden="false" customHeight="true" outlineLevel="0" collapsed="false">
      <c r="A204" s="298"/>
      <c r="B204" s="298"/>
      <c r="C204" s="298"/>
      <c r="D204" s="298"/>
      <c r="E204" s="298"/>
      <c r="F204" s="298"/>
      <c r="G204" s="298"/>
    </row>
    <row r="205" customFormat="false" ht="15" hidden="false" customHeight="true" outlineLevel="0" collapsed="false">
      <c r="A205" s="285" t="s">
        <v>1992</v>
      </c>
      <c r="B205" s="300" t="s">
        <v>78</v>
      </c>
      <c r="C205" s="300"/>
      <c r="D205" s="300"/>
      <c r="E205" s="300"/>
      <c r="F205" s="300"/>
      <c r="G205" s="300"/>
    </row>
    <row r="206" customFormat="false" ht="15" hidden="false" customHeight="false" outlineLevel="0" collapsed="false">
      <c r="A206" s="286" t="s">
        <v>1994</v>
      </c>
      <c r="B206" s="296" t="n">
        <f aca="false">C61+Escenarios!$J$15</f>
        <v>0.1</v>
      </c>
      <c r="C206" s="302"/>
      <c r="D206" s="302"/>
      <c r="E206" s="302"/>
      <c r="F206" s="302"/>
      <c r="G206" s="302"/>
    </row>
    <row r="207" customFormat="false" ht="15" hidden="false" customHeight="false" outlineLevel="0" collapsed="false">
      <c r="A207" s="286" t="s">
        <v>1995</v>
      </c>
      <c r="B207" s="296" t="n">
        <f aca="false">G55</f>
        <v>0.288010101095701</v>
      </c>
      <c r="C207" s="302"/>
      <c r="D207" s="302"/>
      <c r="E207" s="302"/>
      <c r="F207" s="302"/>
      <c r="G207" s="302"/>
    </row>
    <row r="208" customFormat="false" ht="15" hidden="false" customHeight="false" outlineLevel="0" collapsed="false">
      <c r="A208" s="286" t="s">
        <v>1996</v>
      </c>
      <c r="B208" s="296" t="n">
        <f aca="false">B206*(1-B207)</f>
        <v>0.0711989898904299</v>
      </c>
      <c r="C208" s="302"/>
      <c r="D208" s="302"/>
      <c r="E208" s="302"/>
      <c r="F208" s="302"/>
      <c r="G208" s="302"/>
    </row>
    <row r="209" customFormat="false" ht="15" hidden="false" customHeight="false" outlineLevel="0" collapsed="false">
      <c r="A209" s="286" t="s">
        <v>1997</v>
      </c>
      <c r="B209" s="297" t="n">
        <f aca="false">B91+B92</f>
        <v>23618</v>
      </c>
      <c r="C209" s="302"/>
      <c r="D209" s="302"/>
      <c r="E209" s="302"/>
      <c r="F209" s="302"/>
      <c r="G209" s="302"/>
    </row>
    <row r="210" customFormat="false" ht="15" hidden="false" customHeight="false" outlineLevel="0" collapsed="false">
      <c r="A210" s="286" t="s">
        <v>1998</v>
      </c>
      <c r="B210" s="296" t="n">
        <f aca="false">WACC!B5+Escenarios!$J$14</f>
        <v>0.09517</v>
      </c>
      <c r="C210" s="302"/>
      <c r="D210" s="302"/>
      <c r="E210" s="302"/>
      <c r="F210" s="302"/>
      <c r="G210" s="302"/>
    </row>
    <row r="211" customFormat="false" ht="15" hidden="false" customHeight="false" outlineLevel="0" collapsed="false">
      <c r="A211" s="286" t="s">
        <v>1999</v>
      </c>
      <c r="B211" s="296" t="n">
        <f aca="false">WACC!B8</f>
        <v>0.0423</v>
      </c>
      <c r="C211" s="302"/>
      <c r="D211" s="302"/>
      <c r="E211" s="302"/>
      <c r="F211" s="302"/>
      <c r="G211" s="302"/>
    </row>
    <row r="212" customFormat="false" ht="15" hidden="false" customHeight="false" outlineLevel="0" collapsed="false">
      <c r="A212" s="286" t="s">
        <v>2700</v>
      </c>
      <c r="B212" s="337" t="n">
        <f aca="false">Escenarios!$J$16</f>
        <v>0.170520815748403</v>
      </c>
      <c r="C212" s="302"/>
      <c r="D212" s="302"/>
      <c r="E212" s="302"/>
      <c r="F212" s="302"/>
      <c r="G212" s="302"/>
    </row>
    <row r="213" customFormat="false" ht="15" hidden="false" customHeight="false" outlineLevel="0" collapsed="false">
      <c r="A213" s="285" t="s">
        <v>2001</v>
      </c>
      <c r="B213" s="300" t="s">
        <v>2002</v>
      </c>
      <c r="C213" s="300" t="s">
        <v>2003</v>
      </c>
      <c r="D213" s="300" t="s">
        <v>1412</v>
      </c>
      <c r="E213" s="300" t="s">
        <v>2004</v>
      </c>
      <c r="F213" s="300" t="s">
        <v>2005</v>
      </c>
      <c r="G213" s="300" t="s">
        <v>2006</v>
      </c>
    </row>
    <row r="214" customFormat="false" ht="15" hidden="false" customHeight="false" outlineLevel="0" collapsed="false">
      <c r="A214" s="286" t="s">
        <v>2007</v>
      </c>
      <c r="B214" s="296" t="n">
        <f aca="false">WACC!B33</f>
        <v>0.100615773284249</v>
      </c>
      <c r="C214" s="297" t="n">
        <f aca="false">SUMPRODUCT($C$117:$G$117,(1+B214)^(-$C$118:$G$118))+$G$117*(1+$B$123)/(B214-$B$123)*(1+B214)^-5+$B$141+$B$142+$B$143</f>
        <v>67844.5591223749</v>
      </c>
      <c r="D214" s="304" t="n">
        <f aca="false">$B$209/C214</f>
        <v>0.348119293654764</v>
      </c>
      <c r="E214" s="304" t="n">
        <f aca="false">$B$212*(1+(1-$B$207)*D214)</f>
        <v>0.212785665314761</v>
      </c>
      <c r="F214" s="296" t="n">
        <f aca="false">$B$210+E214*$B$211</f>
        <v>0.104170833642814</v>
      </c>
      <c r="G214" s="296" t="n">
        <f aca="false">C214/(C214+$B$209)*F214+$B$209/(C214+$B$209)*$B$208</f>
        <v>0.0956566502084553</v>
      </c>
    </row>
    <row r="215" customFormat="false" ht="15" hidden="false" customHeight="false" outlineLevel="0" collapsed="false">
      <c r="A215" s="286" t="n">
        <v>1</v>
      </c>
      <c r="B215" s="296" t="n">
        <f aca="false">G214</f>
        <v>0.0956566502084553</v>
      </c>
      <c r="C215" s="297" t="n">
        <f aca="false">SUMPRODUCT($C$117:$G$117,(1+B215)^(-$C$118:$G$118))+$G$117*(1+$B$123)/(B215-$B$123)*(1+B215)^-5+$B$141+$B$142+$B$143</f>
        <v>74471.5979559281</v>
      </c>
      <c r="D215" s="304" t="n">
        <f aca="false">$B$209/C215</f>
        <v>0.317141039648122</v>
      </c>
      <c r="E215" s="304" t="n">
        <f aca="false">$B$212*(1+(1-$B$207)*D215)</f>
        <v>0.209024623426868</v>
      </c>
      <c r="F215" s="296" t="n">
        <f aca="false">$B$210+E215*$B$211</f>
        <v>0.104011741570957</v>
      </c>
      <c r="G215" s="296" t="n">
        <f aca="false">C215/(C215+$B$209)*F215+$B$209/(C215+$B$209)*$B$208</f>
        <v>0.0961110917024672</v>
      </c>
    </row>
    <row r="216" customFormat="false" ht="15" hidden="false" customHeight="false" outlineLevel="0" collapsed="false">
      <c r="A216" s="286" t="n">
        <v>2</v>
      </c>
      <c r="B216" s="296" t="n">
        <f aca="false">G215</f>
        <v>0.0961110917024672</v>
      </c>
      <c r="C216" s="297" t="n">
        <f aca="false">SUMPRODUCT($C$117:$G$117,(1+B216)^(-$C$118:$G$118))+$G$117*(1+$B$123)/(B216-$B$123)*(1+B216)^-5+$B$141+$B$142+$B$143</f>
        <v>73819.6228263229</v>
      </c>
      <c r="D216" s="304" t="n">
        <f aca="false">$B$209/C216</f>
        <v>0.3199420302589</v>
      </c>
      <c r="E216" s="304" t="n">
        <f aca="false">$B$212*(1+(1-$B$207)*D216)</f>
        <v>0.209364689171454</v>
      </c>
      <c r="F216" s="296" t="n">
        <f aca="false">$B$210+E216*$B$211</f>
        <v>0.104026126351953</v>
      </c>
      <c r="G216" s="296" t="n">
        <f aca="false">C216/(C216+$B$209)*F216+$B$209/(C216+$B$209)*$B$208</f>
        <v>0.0960691248728607</v>
      </c>
    </row>
    <row r="217" customFormat="false" ht="15" hidden="false" customHeight="false" outlineLevel="0" collapsed="false">
      <c r="A217" s="286" t="n">
        <v>3</v>
      </c>
      <c r="B217" s="296" t="n">
        <f aca="false">G216</f>
        <v>0.0960691248728607</v>
      </c>
      <c r="C217" s="297" t="n">
        <f aca="false">SUMPRODUCT($C$117:$G$117,(1+B217)^(-$C$118:$G$118))+$G$117*(1+$B$123)/(B217-$B$123)*(1+B217)^-5+$B$141+$B$142+$B$143</f>
        <v>73879.4254950781</v>
      </c>
      <c r="D217" s="304" t="n">
        <f aca="false">$B$209/C217</f>
        <v>0.319683048991406</v>
      </c>
      <c r="E217" s="304" t="n">
        <f aca="false">$B$212*(1+(1-$B$207)*D217)</f>
        <v>0.209333246489274</v>
      </c>
      <c r="F217" s="296" t="n">
        <f aca="false">$B$210+E217*$B$211</f>
        <v>0.104024796326496</v>
      </c>
      <c r="G217" s="296" t="n">
        <f aca="false">C217/(C217+$B$209)*F217+$B$209/(C217+$B$209)*$B$208</f>
        <v>0.0960729976767344</v>
      </c>
    </row>
    <row r="218" customFormat="false" ht="15" hidden="false" customHeight="false" outlineLevel="0" collapsed="false">
      <c r="A218" s="286" t="n">
        <v>4</v>
      </c>
      <c r="B218" s="296" t="n">
        <f aca="false">G217</f>
        <v>0.0960729976767344</v>
      </c>
      <c r="C218" s="297" t="n">
        <f aca="false">SUMPRODUCT($C$117:$G$117,(1+B218)^(-$C$118:$G$118))+$G$117*(1+$B$123)/(B218-$B$123)*(1+B218)^-5+$B$141+$B$142+$B$143</f>
        <v>73873.9033185476</v>
      </c>
      <c r="D218" s="304" t="n">
        <f aca="false">$B$209/C218</f>
        <v>0.319706945741829</v>
      </c>
      <c r="E218" s="304" t="n">
        <f aca="false">$B$212*(1+(1-$B$207)*D218)</f>
        <v>0.209336147772196</v>
      </c>
      <c r="F218" s="296" t="n">
        <f aca="false">$B$210+E218*$B$211</f>
        <v>0.104024919050764</v>
      </c>
      <c r="G218" s="296" t="n">
        <f aca="false">C218/(C218+$B$209)*F218+$B$209/(C218+$B$209)*$B$208</f>
        <v>0.0960726402612568</v>
      </c>
    </row>
    <row r="219" customFormat="false" ht="15" hidden="false" customHeight="false" outlineLevel="0" collapsed="false">
      <c r="A219" s="286" t="n">
        <v>5</v>
      </c>
      <c r="B219" s="296" t="n">
        <f aca="false">G218</f>
        <v>0.0960726402612568</v>
      </c>
      <c r="C219" s="297" t="n">
        <f aca="false">SUMPRODUCT($C$117:$G$117,(1+B219)^(-$C$118:$G$118))+$G$117*(1+$B$123)/(B219-$B$123)*(1+B219)^-5+$B$141+$B$142+$B$143</f>
        <v>73874.4129229576</v>
      </c>
      <c r="D219" s="304" t="n">
        <f aca="false">$B$209/C219</f>
        <v>0.319704740322347</v>
      </c>
      <c r="E219" s="304" t="n">
        <f aca="false">$B$212*(1+(1-$B$207)*D219)</f>
        <v>0.209335880014206</v>
      </c>
      <c r="F219" s="296" t="n">
        <f aca="false">$B$210+E219*$B$211</f>
        <v>0.104024907724601</v>
      </c>
      <c r="G219" s="296" t="n">
        <f aca="false">C219/(C219+$B$209)*F219+$B$209/(C219+$B$209)*$B$208</f>
        <v>0.0960726732464153</v>
      </c>
    </row>
    <row r="220" customFormat="false" ht="15" hidden="false" customHeight="false" outlineLevel="0" collapsed="false">
      <c r="A220" s="285" t="s">
        <v>2008</v>
      </c>
      <c r="B220" s="338" t="n">
        <f aca="false">G219</f>
        <v>0.0960726732464153</v>
      </c>
      <c r="C220" s="300"/>
      <c r="D220" s="300"/>
      <c r="E220" s="300"/>
      <c r="F220" s="300"/>
      <c r="G220" s="300"/>
    </row>
    <row r="221" customFormat="false" ht="15" hidden="false" customHeight="false" outlineLevel="0" collapsed="false">
      <c r="A221" s="285" t="s">
        <v>2009</v>
      </c>
      <c r="B221" s="338" t="n">
        <f aca="false">F219</f>
        <v>0.104024907724601</v>
      </c>
      <c r="C221" s="300"/>
      <c r="D221" s="300"/>
      <c r="E221" s="300"/>
      <c r="F221" s="300"/>
      <c r="G221" s="300"/>
    </row>
    <row r="222" customFormat="false" ht="15" hidden="false" customHeight="false" outlineLevel="0" collapsed="false">
      <c r="A222" s="286" t="s">
        <v>2010</v>
      </c>
      <c r="B222" s="337" t="n">
        <f aca="false">(G219-G218)*10000</f>
        <v>0.000329851585489926</v>
      </c>
      <c r="C222" s="303"/>
      <c r="D222" s="303"/>
      <c r="E222" s="303"/>
      <c r="F222" s="303"/>
      <c r="G222" s="303"/>
    </row>
    <row r="223" customFormat="false" ht="15" hidden="false" customHeight="false" outlineLevel="0" collapsed="false">
      <c r="A223" s="339"/>
      <c r="B223" s="339"/>
      <c r="C223" s="339"/>
      <c r="D223" s="339"/>
      <c r="E223" s="339"/>
      <c r="F223" s="339"/>
      <c r="G223" s="339"/>
    </row>
    <row r="224" customFormat="false" ht="15" hidden="false" customHeight="false" outlineLevel="0" collapsed="false">
      <c r="A224" s="339"/>
      <c r="B224" s="339"/>
      <c r="C224" s="339"/>
      <c r="D224" s="339"/>
      <c r="E224" s="339"/>
      <c r="F224" s="339"/>
      <c r="G224" s="339"/>
    </row>
    <row r="225" customFormat="false" ht="15" hidden="false" customHeight="false" outlineLevel="0" collapsed="false">
      <c r="A225" s="285" t="s">
        <v>2011</v>
      </c>
      <c r="B225" s="300" t="s">
        <v>1</v>
      </c>
      <c r="C225" s="300" t="s">
        <v>2</v>
      </c>
      <c r="D225" s="300" t="s">
        <v>3</v>
      </c>
      <c r="E225" s="300" t="s">
        <v>4</v>
      </c>
      <c r="F225" s="300"/>
      <c r="G225" s="300"/>
    </row>
    <row r="226" customFormat="false" ht="15" hidden="false" customHeight="false" outlineLevel="0" collapsed="false">
      <c r="A226" s="286" t="s">
        <v>1409</v>
      </c>
      <c r="B226" s="297" t="n">
        <f aca="false">WACC!B18</f>
        <v>59580</v>
      </c>
      <c r="C226" s="297" t="n">
        <f aca="false">WACC!C18</f>
        <v>813622.604529617</v>
      </c>
      <c r="D226" s="297" t="n">
        <f aca="false">WACC!D18</f>
        <v>89246.0254200776</v>
      </c>
      <c r="E226" s="297" t="n">
        <f aca="false">WACC!E18</f>
        <v>34190</v>
      </c>
      <c r="F226" s="303"/>
      <c r="G226" s="303"/>
    </row>
    <row r="227" customFormat="false" ht="15" hidden="false" customHeight="false" outlineLevel="0" collapsed="false">
      <c r="A227" s="286" t="s">
        <v>2013</v>
      </c>
      <c r="B227" s="297" t="n">
        <f aca="false">WACC!B21</f>
        <v>23618</v>
      </c>
      <c r="C227" s="297" t="n">
        <f aca="false">WACC!C21</f>
        <v>80848.1</v>
      </c>
      <c r="D227" s="297" t="n">
        <f aca="false">WACC!D21</f>
        <v>56744.34</v>
      </c>
      <c r="E227" s="297" t="n">
        <f aca="false">WACC!E21</f>
        <v>2441.8</v>
      </c>
      <c r="F227" s="303"/>
      <c r="G227" s="303"/>
    </row>
    <row r="228" customFormat="false" ht="15" hidden="false" customHeight="false" outlineLevel="0" collapsed="false">
      <c r="A228" s="286" t="s">
        <v>2701</v>
      </c>
      <c r="B228" s="297" t="n">
        <f aca="false">-WACC!B22</f>
        <v>-9295</v>
      </c>
      <c r="C228" s="297" t="n">
        <f aca="false">-WACC!C22</f>
        <v>-28591.2</v>
      </c>
      <c r="D228" s="297" t="n">
        <f aca="false">-WACC!D22</f>
        <v>-14640.16</v>
      </c>
      <c r="E228" s="297" t="n">
        <f aca="false">-WACC!E22</f>
        <v>-2962.8</v>
      </c>
      <c r="F228" s="303"/>
      <c r="G228" s="303"/>
    </row>
    <row r="229" customFormat="false" ht="15" hidden="false" customHeight="false" outlineLevel="0" collapsed="false">
      <c r="A229" s="286" t="s">
        <v>2015</v>
      </c>
      <c r="B229" s="297" t="n">
        <f aca="false">SUM(B226:B228)</f>
        <v>73903</v>
      </c>
      <c r="C229" s="297" t="n">
        <f aca="false">SUM(C226:C228)</f>
        <v>865879.504529617</v>
      </c>
      <c r="D229" s="297" t="n">
        <f aca="false">SUM(D226:D228)</f>
        <v>131350.205420078</v>
      </c>
      <c r="E229" s="297" t="n">
        <f aca="false">SUM(E226:E228)</f>
        <v>33669</v>
      </c>
      <c r="F229" s="303"/>
      <c r="G229" s="303"/>
    </row>
    <row r="230" customFormat="false" ht="15" hidden="false" customHeight="false" outlineLevel="0" collapsed="false">
      <c r="A230" s="286" t="s">
        <v>2016</v>
      </c>
      <c r="B230" s="297" t="n">
        <f aca="false">Datos!G9+Datos!G14</f>
        <v>11894</v>
      </c>
      <c r="C230" s="297" t="n">
        <f aca="false">Datos!G35+Datos!G40</f>
        <v>103446.9</v>
      </c>
      <c r="D230" s="297" t="n">
        <f aca="false">Datos!G61+Datos!G66</f>
        <v>24391.15</v>
      </c>
      <c r="E230" s="297" t="n">
        <f aca="false">Datos!G87+Datos!G92</f>
        <v>5214.81481788325</v>
      </c>
      <c r="F230" s="303"/>
      <c r="G230" s="303"/>
    </row>
    <row r="231" customFormat="false" ht="15" hidden="false" customHeight="false" outlineLevel="0" collapsed="false">
      <c r="A231" s="285" t="s">
        <v>2017</v>
      </c>
      <c r="B231" s="340" t="n">
        <f aca="false">B229/B230</f>
        <v>6.21346897595426</v>
      </c>
      <c r="C231" s="340" t="n">
        <f aca="false">C229/C230</f>
        <v>8.37027986850855</v>
      </c>
      <c r="D231" s="340" t="n">
        <f aca="false">D229/D230</f>
        <v>5.38515836358997</v>
      </c>
      <c r="E231" s="340" t="n">
        <f aca="false">E229/E230</f>
        <v>6.45641334847373</v>
      </c>
      <c r="F231" s="341"/>
      <c r="G231" s="341"/>
    </row>
    <row r="232" customFormat="false" ht="15" hidden="false" customHeight="false" outlineLevel="0" collapsed="false">
      <c r="A232" s="286" t="s">
        <v>2018</v>
      </c>
      <c r="B232" s="342" t="n">
        <f aca="false">MEDIAN(C231:E231)</f>
        <v>6.45641334847373</v>
      </c>
      <c r="C232" s="302"/>
      <c r="D232" s="302"/>
      <c r="E232" s="302"/>
      <c r="F232" s="302"/>
      <c r="G232" s="302"/>
    </row>
    <row r="233" customFormat="false" ht="15" hidden="false" customHeight="false" outlineLevel="0" collapsed="false">
      <c r="A233" s="286" t="s">
        <v>2702</v>
      </c>
      <c r="B233" s="296" t="n">
        <v>0.1</v>
      </c>
      <c r="C233" s="302"/>
      <c r="D233" s="302"/>
      <c r="E233" s="302"/>
      <c r="F233" s="302"/>
      <c r="G233" s="302"/>
    </row>
    <row r="234" customFormat="false" ht="15" hidden="false" customHeight="false" outlineLevel="0" collapsed="false">
      <c r="A234" s="286" t="s">
        <v>2020</v>
      </c>
      <c r="B234" s="342" t="n">
        <f aca="false">B232*(1-B233)</f>
        <v>5.81077201362635</v>
      </c>
      <c r="C234" s="302"/>
      <c r="D234" s="302"/>
      <c r="E234" s="302"/>
      <c r="F234" s="302"/>
      <c r="G234" s="302"/>
    </row>
    <row r="235" customFormat="false" ht="15" hidden="false" customHeight="false" outlineLevel="0" collapsed="false">
      <c r="A235" s="286" t="s">
        <v>2021</v>
      </c>
      <c r="B235" s="297" t="n">
        <f aca="false">G71</f>
        <v>11815.1260604645</v>
      </c>
      <c r="C235" s="302"/>
      <c r="D235" s="302"/>
      <c r="E235" s="302"/>
      <c r="F235" s="302"/>
      <c r="G235" s="302"/>
    </row>
    <row r="236" customFormat="false" ht="15" hidden="false" customHeight="false" outlineLevel="0" collapsed="false">
      <c r="A236" s="285" t="s">
        <v>2022</v>
      </c>
      <c r="B236" s="301" t="n">
        <f aca="false">B234*B235</f>
        <v>68655.0038496144</v>
      </c>
      <c r="C236" s="302"/>
      <c r="D236" s="302"/>
      <c r="E236" s="302"/>
      <c r="F236" s="302"/>
      <c r="G236" s="302"/>
    </row>
    <row r="237" customFormat="false" ht="15" hidden="false" customHeight="false" outlineLevel="0" collapsed="false">
      <c r="A237" s="286" t="s">
        <v>2023</v>
      </c>
      <c r="B237" s="297" t="n">
        <f aca="false">B236*G119</f>
        <v>43398.5724919495</v>
      </c>
      <c r="C237" s="302"/>
      <c r="D237" s="302"/>
      <c r="E237" s="302"/>
      <c r="F237" s="302"/>
      <c r="G237" s="302"/>
    </row>
    <row r="238" customFormat="false" ht="15" hidden="false" customHeight="false" outlineLevel="0" collapsed="false">
      <c r="A238" s="285" t="s">
        <v>2024</v>
      </c>
      <c r="B238" s="301" t="n">
        <f aca="false">B134+B237</f>
        <v>66334.8725020112</v>
      </c>
      <c r="C238" s="302"/>
      <c r="D238" s="302"/>
      <c r="E238" s="302"/>
      <c r="F238" s="302"/>
      <c r="G238" s="302"/>
    </row>
    <row r="239" customFormat="false" ht="15" hidden="false" customHeight="false" outlineLevel="0" collapsed="false">
      <c r="A239" s="286" t="s">
        <v>2025</v>
      </c>
      <c r="B239" s="297" t="n">
        <f aca="false">B238-B144</f>
        <v>52011.8725020112</v>
      </c>
      <c r="C239" s="302"/>
      <c r="D239" s="302"/>
      <c r="E239" s="302"/>
      <c r="F239" s="302"/>
      <c r="G239" s="302"/>
    </row>
    <row r="240" customFormat="false" ht="15" hidden="false" customHeight="false" outlineLevel="0" collapsed="false">
      <c r="A240" s="285" t="s">
        <v>2026</v>
      </c>
      <c r="B240" s="306" t="n">
        <f aca="false">B239/B149</f>
        <v>28.8954847233396</v>
      </c>
      <c r="C240" s="302"/>
      <c r="D240" s="302"/>
      <c r="E240" s="302"/>
      <c r="F240" s="302"/>
      <c r="G240" s="302"/>
    </row>
    <row r="241" customFormat="false" ht="15" hidden="false" customHeight="false" outlineLevel="0" collapsed="false">
      <c r="A241" s="286" t="s">
        <v>2027</v>
      </c>
      <c r="B241" s="342" t="n">
        <f aca="false">B129/G71</f>
        <v>8.73801034074339</v>
      </c>
      <c r="C241" s="302"/>
      <c r="D241" s="302"/>
      <c r="E241" s="302"/>
      <c r="F241" s="302"/>
      <c r="G241" s="302"/>
    </row>
    <row r="242" customFormat="false" ht="15" hidden="false" customHeight="false" outlineLevel="0" collapsed="false">
      <c r="A242" s="286" t="s">
        <v>2028</v>
      </c>
      <c r="B242" s="296" t="n">
        <f aca="false">(B236*B126-B127)/(B236+B127)</f>
        <v>0.00674145614518013</v>
      </c>
      <c r="C242" s="302"/>
      <c r="D242" s="302"/>
      <c r="E242" s="302"/>
      <c r="F242" s="302"/>
      <c r="G242" s="302"/>
    </row>
    <row r="243" customFormat="false" ht="15" hidden="false" customHeight="false" outlineLevel="0" collapsed="false">
      <c r="A243" s="286" t="s">
        <v>2029</v>
      </c>
      <c r="B243" s="296" t="n">
        <v>0.5</v>
      </c>
      <c r="C243" s="302"/>
      <c r="D243" s="302"/>
      <c r="E243" s="302"/>
      <c r="F243" s="302"/>
      <c r="G243" s="302"/>
    </row>
    <row r="244" customFormat="false" ht="15" hidden="false" customHeight="false" outlineLevel="0" collapsed="false">
      <c r="A244" s="286" t="s">
        <v>2030</v>
      </c>
      <c r="B244" s="296" t="n">
        <f aca="false">1-B243</f>
        <v>0.5</v>
      </c>
      <c r="C244" s="302"/>
      <c r="D244" s="302"/>
      <c r="E244" s="302"/>
      <c r="F244" s="302"/>
      <c r="G244" s="302"/>
    </row>
    <row r="245" customFormat="false" ht="15" hidden="false" customHeight="false" outlineLevel="0" collapsed="false">
      <c r="A245" s="286" t="s">
        <v>2031</v>
      </c>
      <c r="B245" s="297" t="n">
        <f aca="false">B243*B136+B244*B238</f>
        <v>77266.1191971746</v>
      </c>
      <c r="C245" s="302"/>
      <c r="D245" s="302"/>
      <c r="E245" s="302"/>
      <c r="F245" s="302"/>
      <c r="G245" s="302"/>
    </row>
    <row r="246" customFormat="false" ht="15" hidden="false" customHeight="false" outlineLevel="0" collapsed="false">
      <c r="A246" s="285" t="s">
        <v>2032</v>
      </c>
      <c r="B246" s="306" t="n">
        <f aca="false">B243*B150+B244*B240</f>
        <v>34.9683995539859</v>
      </c>
      <c r="C246" s="302"/>
      <c r="D246" s="302"/>
      <c r="E246" s="302"/>
      <c r="F246" s="302"/>
      <c r="G246" s="302"/>
    </row>
    <row r="247" customFormat="false" ht="15" hidden="false" customHeight="false" outlineLevel="0" collapsed="false">
      <c r="A247" s="339"/>
      <c r="B247" s="339"/>
      <c r="C247" s="339"/>
      <c r="D247" s="339"/>
      <c r="E247" s="339"/>
      <c r="F247" s="339"/>
      <c r="G247" s="339"/>
    </row>
    <row r="248" customFormat="false" ht="15" hidden="false" customHeight="false" outlineLevel="0" collapsed="false">
      <c r="A248" s="339"/>
      <c r="B248" s="339"/>
      <c r="C248" s="339"/>
      <c r="D248" s="339"/>
      <c r="E248" s="339"/>
      <c r="F248" s="339"/>
      <c r="G248" s="339"/>
    </row>
    <row r="249" customFormat="false" ht="15" hidden="false" customHeight="false" outlineLevel="0" collapsed="false">
      <c r="A249" s="285" t="s">
        <v>2033</v>
      </c>
      <c r="B249" s="300" t="s">
        <v>78</v>
      </c>
      <c r="C249" s="300"/>
      <c r="D249" s="300"/>
      <c r="E249" s="300"/>
      <c r="F249" s="300"/>
      <c r="G249" s="300"/>
    </row>
    <row r="250" customFormat="false" ht="15" hidden="false" customHeight="false" outlineLevel="0" collapsed="false">
      <c r="A250" s="286" t="s">
        <v>2035</v>
      </c>
      <c r="B250" s="343" t="n">
        <f aca="false">DATE(2025,12,31)</f>
        <v>46022</v>
      </c>
      <c r="C250" s="302"/>
      <c r="D250" s="302"/>
      <c r="E250" s="302"/>
      <c r="F250" s="302"/>
      <c r="G250" s="302"/>
    </row>
    <row r="251" customFormat="false" ht="15" hidden="false" customHeight="false" outlineLevel="0" collapsed="false">
      <c r="A251" s="286" t="s">
        <v>2036</v>
      </c>
      <c r="B251" s="343" t="n">
        <f aca="false">DATE(2026,6,30)</f>
        <v>46203</v>
      </c>
      <c r="C251" s="302"/>
      <c r="D251" s="302"/>
      <c r="E251" s="302"/>
      <c r="F251" s="302"/>
      <c r="G251" s="302"/>
    </row>
    <row r="252" customFormat="false" ht="15" hidden="false" customHeight="false" outlineLevel="0" collapsed="false">
      <c r="A252" s="286" t="s">
        <v>2037</v>
      </c>
      <c r="B252" s="343" t="n">
        <f aca="false">Rendimientos!H10</f>
        <v>46302</v>
      </c>
      <c r="C252" s="302"/>
      <c r="D252" s="302"/>
      <c r="E252" s="302"/>
      <c r="F252" s="302"/>
      <c r="G252" s="302"/>
    </row>
    <row r="253" customFormat="false" ht="15" hidden="false" customHeight="false" outlineLevel="0" collapsed="false">
      <c r="A253" s="286" t="s">
        <v>2038</v>
      </c>
      <c r="B253" s="337" t="n">
        <f aca="false">YEARFRAC(B250,B251)</f>
        <v>0.5</v>
      </c>
      <c r="C253" s="302"/>
      <c r="D253" s="302"/>
      <c r="E253" s="302"/>
      <c r="F253" s="302"/>
      <c r="G253" s="302"/>
    </row>
    <row r="254" customFormat="false" ht="15" hidden="false" customHeight="false" outlineLevel="0" collapsed="false">
      <c r="A254" s="286" t="s">
        <v>2039</v>
      </c>
      <c r="B254" s="337" t="n">
        <f aca="false">YEARFRAC(B251,B252)</f>
        <v>0.269444444444444</v>
      </c>
      <c r="C254" s="302"/>
      <c r="D254" s="302"/>
      <c r="E254" s="302"/>
      <c r="F254" s="302"/>
      <c r="G254" s="302"/>
    </row>
    <row r="255" customFormat="false" ht="15" hidden="false" customHeight="false" outlineLevel="0" collapsed="false">
      <c r="A255" s="286" t="s">
        <v>2040</v>
      </c>
      <c r="B255" s="297" t="n">
        <f aca="false">B245</f>
        <v>77266.1191971746</v>
      </c>
      <c r="C255" s="302"/>
      <c r="D255" s="302"/>
      <c r="E255" s="302"/>
      <c r="F255" s="302"/>
      <c r="G255" s="302"/>
    </row>
    <row r="256" customFormat="false" ht="15" hidden="false" customHeight="false" outlineLevel="0" collapsed="false">
      <c r="A256" s="286" t="s">
        <v>2671</v>
      </c>
      <c r="B256" s="297" t="n">
        <f aca="false">B255*(1+B126)^B253</f>
        <v>80892.5963473393</v>
      </c>
      <c r="C256" s="302"/>
      <c r="D256" s="302"/>
      <c r="E256" s="302"/>
      <c r="F256" s="302"/>
      <c r="G256" s="302"/>
    </row>
    <row r="257" customFormat="false" ht="15" hidden="false" customHeight="false" outlineLevel="0" collapsed="false">
      <c r="A257" s="286" t="s">
        <v>2672</v>
      </c>
      <c r="B257" s="297" t="n">
        <f aca="false">-((Datos!E15+Datos!F15)-(Datos!E16+Datos!F16))</f>
        <v>1060.497</v>
      </c>
      <c r="C257" s="302"/>
      <c r="D257" s="302"/>
      <c r="E257" s="302"/>
      <c r="F257" s="302"/>
      <c r="G257" s="302"/>
    </row>
    <row r="258" customFormat="false" ht="15" hidden="false" customHeight="false" outlineLevel="0" collapsed="false">
      <c r="A258" s="286" t="s">
        <v>2043</v>
      </c>
      <c r="B258" s="297" t="n">
        <f aca="false">B256+B257</f>
        <v>81953.0933473393</v>
      </c>
      <c r="C258" s="302"/>
      <c r="D258" s="302"/>
      <c r="E258" s="302"/>
      <c r="F258" s="302"/>
      <c r="G258" s="302"/>
    </row>
    <row r="259" customFormat="false" ht="15" hidden="false" customHeight="false" outlineLevel="0" collapsed="false">
      <c r="A259" s="286" t="s">
        <v>2258</v>
      </c>
      <c r="B259" s="297" t="n">
        <f aca="false">-(Datos!F25+Datos!F26)</f>
        <v>-11500</v>
      </c>
      <c r="C259" s="302"/>
      <c r="D259" s="302"/>
      <c r="E259" s="302"/>
      <c r="F259" s="302"/>
      <c r="G259" s="302"/>
    </row>
    <row r="260" customFormat="false" ht="15" hidden="false" customHeight="false" outlineLevel="0" collapsed="false">
      <c r="A260" s="286" t="s">
        <v>2259</v>
      </c>
      <c r="B260" s="297" t="n">
        <f aca="false">-(Datos!F27+Datos!F28)</f>
        <v>-12220.588</v>
      </c>
      <c r="C260" s="302"/>
      <c r="D260" s="302"/>
      <c r="E260" s="302"/>
      <c r="F260" s="302"/>
      <c r="G260" s="302"/>
    </row>
    <row r="261" customFormat="false" ht="15" hidden="false" customHeight="false" outlineLevel="0" collapsed="false">
      <c r="A261" s="286" t="s">
        <v>2046</v>
      </c>
      <c r="B261" s="297" t="n">
        <f aca="false">Datos!F17</f>
        <v>6875.384</v>
      </c>
      <c r="C261" s="302"/>
      <c r="D261" s="302"/>
      <c r="E261" s="302"/>
      <c r="F261" s="302"/>
      <c r="G261" s="302"/>
    </row>
    <row r="262" customFormat="false" ht="15" hidden="false" customHeight="false" outlineLevel="0" collapsed="false">
      <c r="A262" s="285" t="s">
        <v>2047</v>
      </c>
      <c r="B262" s="301" t="n">
        <f aca="false">SUM(B258:B261)</f>
        <v>65107.8893473393</v>
      </c>
      <c r="C262" s="302"/>
      <c r="D262" s="302"/>
      <c r="E262" s="302"/>
      <c r="F262" s="302"/>
      <c r="G262" s="302"/>
    </row>
    <row r="263" customFormat="false" ht="15" hidden="false" customHeight="false" outlineLevel="0" collapsed="false">
      <c r="A263" s="285" t="s">
        <v>2673</v>
      </c>
      <c r="B263" s="301" t="n">
        <f aca="false">B262*(1+B221)^B254</f>
        <v>66867.3381041042</v>
      </c>
      <c r="C263" s="302"/>
      <c r="D263" s="302"/>
      <c r="E263" s="302"/>
      <c r="F263" s="302"/>
      <c r="G263" s="302"/>
    </row>
    <row r="264" customFormat="false" ht="15" hidden="false" customHeight="false" outlineLevel="0" collapsed="false">
      <c r="A264" s="286" t="s">
        <v>57</v>
      </c>
      <c r="B264" s="305" t="n">
        <f aca="false">B149</f>
        <v>1800</v>
      </c>
      <c r="C264" s="302"/>
      <c r="D264" s="302"/>
      <c r="E264" s="302"/>
      <c r="F264" s="302"/>
      <c r="G264" s="302"/>
    </row>
    <row r="265" customFormat="false" ht="15" hidden="false" customHeight="false" outlineLevel="0" collapsed="false">
      <c r="A265" s="285" t="s">
        <v>2049</v>
      </c>
      <c r="B265" s="306" t="n">
        <f aca="false">B263/B264</f>
        <v>37.1485211689468</v>
      </c>
      <c r="C265" s="302"/>
      <c r="D265" s="302"/>
      <c r="E265" s="302"/>
      <c r="F265" s="302"/>
      <c r="G265" s="302"/>
    </row>
    <row r="266" customFormat="false" ht="15" hidden="false" customHeight="false" outlineLevel="0" collapsed="false">
      <c r="A266" s="286" t="s">
        <v>16</v>
      </c>
      <c r="B266" s="307" t="n">
        <f aca="false">B151</f>
        <v>33.1</v>
      </c>
      <c r="C266" s="302"/>
      <c r="D266" s="302"/>
      <c r="E266" s="302"/>
      <c r="F266" s="302"/>
      <c r="G266" s="302"/>
    </row>
    <row r="267" customFormat="false" ht="15" hidden="false" customHeight="false" outlineLevel="0" collapsed="false">
      <c r="A267" s="286" t="s">
        <v>17</v>
      </c>
      <c r="B267" s="295" t="n">
        <f aca="false">B265/B266-1</f>
        <v>0.122311817792954</v>
      </c>
      <c r="C267" s="302"/>
      <c r="D267" s="302"/>
      <c r="E267" s="302"/>
      <c r="F267" s="302"/>
      <c r="G267" s="302"/>
    </row>
    <row r="268" customFormat="false" ht="15" hidden="false" customHeight="false" outlineLevel="0" collapsed="false">
      <c r="A268" s="285" t="s">
        <v>2050</v>
      </c>
      <c r="B268" s="338" t="str">
        <f aca="false">IF(B267&gt;B155,"COMPRAR",IF(B267&lt;-B155,"VENDER","MANTENER"))</f>
        <v>MANTENER</v>
      </c>
      <c r="C268" s="302"/>
      <c r="D268" s="302"/>
      <c r="E268" s="302"/>
      <c r="F268" s="302"/>
      <c r="G268" s="302"/>
    </row>
    <row r="269" customFormat="false" ht="15" hidden="false" customHeight="false" outlineLevel="0" collapsed="false">
      <c r="A269" s="286" t="s">
        <v>18</v>
      </c>
      <c r="B269" s="307" t="n">
        <f aca="false">Generales!B24</f>
        <v>23.357</v>
      </c>
      <c r="C269" s="302"/>
      <c r="D269" s="302"/>
      <c r="E269" s="302"/>
      <c r="F269" s="302"/>
      <c r="G269" s="302"/>
    </row>
    <row r="270" customFormat="false" ht="15" hidden="false" customHeight="false" outlineLevel="0" collapsed="false">
      <c r="A270" s="286" t="s">
        <v>2051</v>
      </c>
      <c r="B270" s="295" t="n">
        <f aca="false">B265/B269-1</f>
        <v>0.590466291430696</v>
      </c>
      <c r="C270" s="302"/>
      <c r="D270" s="302"/>
      <c r="E270" s="302"/>
      <c r="F270" s="302"/>
      <c r="G270" s="30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6796875" defaultRowHeight="15" zeroHeight="false" outlineLevelRow="0" outlineLevelCol="0"/>
  <cols>
    <col collapsed="false" customWidth="true" hidden="false" outlineLevel="0" max="1" min="1" style="0" width="61.16"/>
    <col collapsed="false" customWidth="true" hidden="false" outlineLevel="0" max="7" min="2" style="0" width="17.5"/>
  </cols>
  <sheetData>
    <row r="1" customFormat="false" ht="15" hidden="false" customHeight="true" outlineLevel="0" collapsed="false">
      <c r="A1" s="344" t="s">
        <v>2707</v>
      </c>
      <c r="B1" s="345"/>
      <c r="C1" s="345"/>
      <c r="D1" s="345"/>
      <c r="E1" s="345"/>
      <c r="F1" s="345"/>
      <c r="G1" s="345"/>
    </row>
    <row r="2" customFormat="false" ht="15" hidden="false" customHeight="true" outlineLevel="0" collapsed="false">
      <c r="A2" s="346" t="s">
        <v>2675</v>
      </c>
      <c r="B2" s="345"/>
      <c r="C2" s="345"/>
      <c r="D2" s="345"/>
      <c r="E2" s="345"/>
      <c r="F2" s="345"/>
      <c r="G2" s="345"/>
    </row>
    <row r="3" customFormat="false" ht="15" hidden="false" customHeight="true" outlineLevel="0" collapsed="false">
      <c r="A3" s="347"/>
      <c r="B3" s="345"/>
      <c r="C3" s="345"/>
      <c r="D3" s="345"/>
      <c r="E3" s="345"/>
      <c r="F3" s="345"/>
      <c r="G3" s="345"/>
    </row>
    <row r="4" customFormat="false" ht="15" hidden="false" customHeight="true" outlineLevel="0" collapsed="false">
      <c r="A4" s="345"/>
      <c r="B4" s="345"/>
      <c r="C4" s="345"/>
      <c r="D4" s="345"/>
      <c r="E4" s="345"/>
      <c r="F4" s="345"/>
      <c r="G4" s="345"/>
    </row>
    <row r="5" customFormat="false" ht="15" hidden="false" customHeight="true" outlineLevel="0" collapsed="false">
      <c r="A5" s="285" t="s">
        <v>1831</v>
      </c>
      <c r="B5" s="285" t="s">
        <v>1428</v>
      </c>
      <c r="C5" s="285" t="s">
        <v>1429</v>
      </c>
      <c r="D5" s="285" t="s">
        <v>1430</v>
      </c>
      <c r="E5" s="285" t="s">
        <v>1431</v>
      </c>
      <c r="F5" s="285" t="s">
        <v>1432</v>
      </c>
      <c r="G5" s="285" t="s">
        <v>1433</v>
      </c>
    </row>
    <row r="6" customFormat="false" ht="15" hidden="false" customHeight="true" outlineLevel="0" collapsed="false">
      <c r="A6" s="286" t="s">
        <v>1833</v>
      </c>
      <c r="B6" s="286"/>
      <c r="C6" s="287" t="n">
        <v>0.7</v>
      </c>
      <c r="D6" s="287" t="n">
        <v>0.7</v>
      </c>
      <c r="E6" s="287" t="n">
        <v>0.75</v>
      </c>
      <c r="F6" s="287" t="n">
        <v>0.8</v>
      </c>
      <c r="G6" s="287" t="n">
        <v>0.85</v>
      </c>
    </row>
    <row r="7" customFormat="false" ht="15" hidden="false" customHeight="true" outlineLevel="0" collapsed="false">
      <c r="A7" s="286" t="s">
        <v>1834</v>
      </c>
      <c r="B7" s="286"/>
      <c r="C7" s="287" t="n">
        <f aca="false">1-C6</f>
        <v>0.3</v>
      </c>
      <c r="D7" s="287" t="n">
        <f aca="false">1-D6</f>
        <v>0.3</v>
      </c>
      <c r="E7" s="287" t="n">
        <f aca="false">1-E6</f>
        <v>0.25</v>
      </c>
      <c r="F7" s="287" t="n">
        <f aca="false">1-F6</f>
        <v>0.2</v>
      </c>
      <c r="G7" s="287" t="n">
        <f aca="false">1-G6</f>
        <v>0.15</v>
      </c>
    </row>
    <row r="8" customFormat="false" ht="15" hidden="false" customHeight="true" outlineLevel="0" collapsed="false">
      <c r="A8" s="288"/>
      <c r="B8" s="288"/>
      <c r="C8" s="288"/>
      <c r="D8" s="288"/>
      <c r="E8" s="288"/>
      <c r="F8" s="288"/>
      <c r="G8" s="288"/>
    </row>
    <row r="9" customFormat="false" ht="15" hidden="false" customHeight="true" outlineLevel="0" collapsed="false">
      <c r="A9" s="285" t="s">
        <v>1835</v>
      </c>
      <c r="B9" s="285" t="s">
        <v>1428</v>
      </c>
      <c r="C9" s="285" t="s">
        <v>1429</v>
      </c>
      <c r="D9" s="285" t="s">
        <v>1430</v>
      </c>
      <c r="E9" s="285" t="s">
        <v>1431</v>
      </c>
      <c r="F9" s="285" t="s">
        <v>1432</v>
      </c>
      <c r="G9" s="285" t="s">
        <v>1433</v>
      </c>
    </row>
    <row r="10" customFormat="false" ht="15" hidden="false" customHeight="true" outlineLevel="0" collapsed="false">
      <c r="A10" s="286" t="s">
        <v>1837</v>
      </c>
      <c r="B10" s="286"/>
      <c r="C10" s="289" t="n">
        <f aca="false">Escenarios!$K$7</f>
        <v>0.0351</v>
      </c>
      <c r="D10" s="289" t="n">
        <f aca="false">Escenarios!$K$7</f>
        <v>0.0351</v>
      </c>
      <c r="E10" s="289" t="n">
        <f aca="false">Escenarios!$K$7</f>
        <v>0.0351</v>
      </c>
      <c r="F10" s="289" t="n">
        <f aca="false">Escenarios!$K$7</f>
        <v>0.0351</v>
      </c>
      <c r="G10" s="289" t="n">
        <f aca="false">Escenarios!$K$7</f>
        <v>0.0351</v>
      </c>
    </row>
    <row r="11" customFormat="false" ht="15" hidden="false" customHeight="true" outlineLevel="0" collapsed="false">
      <c r="A11" s="286" t="s">
        <v>1838</v>
      </c>
      <c r="B11" s="286"/>
      <c r="C11" s="289" t="n">
        <v>0.014</v>
      </c>
      <c r="D11" s="289" t="n">
        <v>0.018</v>
      </c>
      <c r="E11" s="289" t="n">
        <v>0.02</v>
      </c>
      <c r="F11" s="289" t="n">
        <v>0.02</v>
      </c>
      <c r="G11" s="289" t="n">
        <v>0.02</v>
      </c>
    </row>
    <row r="12" customFormat="false" ht="15" hidden="false" customHeight="true" outlineLevel="0" collapsed="false">
      <c r="A12" s="286" t="s">
        <v>1839</v>
      </c>
      <c r="B12" s="286"/>
      <c r="C12" s="290" t="n">
        <v>0.5</v>
      </c>
      <c r="D12" s="290" t="n">
        <v>0.5</v>
      </c>
      <c r="E12" s="290" t="n">
        <v>0.5</v>
      </c>
      <c r="F12" s="290" t="n">
        <v>0.5</v>
      </c>
      <c r="G12" s="290" t="n">
        <v>0.5</v>
      </c>
    </row>
    <row r="13" customFormat="false" ht="15" hidden="false" customHeight="true" outlineLevel="0" collapsed="false">
      <c r="A13" s="286" t="s">
        <v>1840</v>
      </c>
      <c r="B13" s="286"/>
      <c r="C13" s="289" t="n">
        <v>-0.04</v>
      </c>
      <c r="D13" s="289" t="n">
        <v>-0.015</v>
      </c>
      <c r="E13" s="289" t="n">
        <v>-0.005</v>
      </c>
      <c r="F13" s="289" t="n">
        <v>0</v>
      </c>
      <c r="G13" s="289" t="n">
        <v>0</v>
      </c>
    </row>
    <row r="14" customFormat="false" ht="15" hidden="false" customHeight="true" outlineLevel="0" collapsed="false">
      <c r="A14" s="285" t="s">
        <v>1841</v>
      </c>
      <c r="B14" s="285"/>
      <c r="C14" s="291" t="n">
        <f aca="false">C10+C11*C12+C13</f>
        <v>0.0021</v>
      </c>
      <c r="D14" s="291" t="n">
        <f aca="false">D10+D11*D12+D13</f>
        <v>0.0291</v>
      </c>
      <c r="E14" s="291" t="n">
        <f aca="false">E10+E11*E12+E13</f>
        <v>0.0401</v>
      </c>
      <c r="F14" s="291" t="n">
        <f aca="false">F10+F11*F12+F13</f>
        <v>0.0451</v>
      </c>
      <c r="G14" s="291" t="n">
        <f aca="false">G10+G11*G12+G13</f>
        <v>0.0451</v>
      </c>
    </row>
    <row r="15" customFormat="false" ht="15" hidden="false" customHeight="true" outlineLevel="0" collapsed="false">
      <c r="A15" s="286" t="s">
        <v>2676</v>
      </c>
      <c r="B15" s="286"/>
      <c r="C15" s="289" t="n">
        <v>-0.03</v>
      </c>
      <c r="D15" s="289" t="n">
        <v>-0.02</v>
      </c>
      <c r="E15" s="289" t="n">
        <v>-0.0125</v>
      </c>
      <c r="F15" s="289" t="n">
        <v>-0.01</v>
      </c>
      <c r="G15" s="289" t="n">
        <v>-0.0075</v>
      </c>
    </row>
    <row r="16" customFormat="false" ht="15" hidden="false" customHeight="true" outlineLevel="0" collapsed="false">
      <c r="A16" s="286" t="s">
        <v>2677</v>
      </c>
      <c r="B16" s="286"/>
      <c r="C16" s="289" t="n">
        <v>-0.01</v>
      </c>
      <c r="D16" s="289" t="n">
        <v>-0.005</v>
      </c>
      <c r="E16" s="289" t="n">
        <v>0</v>
      </c>
      <c r="F16" s="289" t="n">
        <v>0</v>
      </c>
      <c r="G16" s="289" t="n">
        <v>0</v>
      </c>
    </row>
    <row r="17" customFormat="false" ht="15" hidden="false" customHeight="true" outlineLevel="0" collapsed="false">
      <c r="A17" s="286" t="s">
        <v>2678</v>
      </c>
      <c r="B17" s="286"/>
      <c r="C17" s="289" t="n">
        <v>-0.003</v>
      </c>
      <c r="D17" s="289" t="n">
        <v>-0.002</v>
      </c>
      <c r="E17" s="289" t="n">
        <v>-0.001</v>
      </c>
      <c r="F17" s="289" t="n">
        <v>0</v>
      </c>
      <c r="G17" s="289" t="n">
        <v>0</v>
      </c>
    </row>
    <row r="18" customFormat="false" ht="15" hidden="false" customHeight="true" outlineLevel="0" collapsed="false">
      <c r="A18" s="286" t="s">
        <v>2679</v>
      </c>
      <c r="B18" s="286"/>
      <c r="C18" s="289" t="n">
        <v>-0.002</v>
      </c>
      <c r="D18" s="289" t="n">
        <v>-0.003</v>
      </c>
      <c r="E18" s="289" t="n">
        <v>-0.001</v>
      </c>
      <c r="F18" s="289" t="n">
        <v>0</v>
      </c>
      <c r="G18" s="289" t="n">
        <v>0</v>
      </c>
    </row>
    <row r="19" customFormat="false" ht="15" hidden="false" customHeight="true" outlineLevel="0" collapsed="false">
      <c r="A19" s="286" t="s">
        <v>2680</v>
      </c>
      <c r="B19" s="286"/>
      <c r="C19" s="289" t="n">
        <v>0.002</v>
      </c>
      <c r="D19" s="289" t="n">
        <v>0.003</v>
      </c>
      <c r="E19" s="289" t="n">
        <v>0.003</v>
      </c>
      <c r="F19" s="289" t="n">
        <v>0.002</v>
      </c>
      <c r="G19" s="289" t="n">
        <v>0.002</v>
      </c>
    </row>
    <row r="20" customFormat="false" ht="15" hidden="false" customHeight="true" outlineLevel="0" collapsed="false">
      <c r="A20" s="286" t="s">
        <v>2681</v>
      </c>
      <c r="B20" s="286"/>
      <c r="C20" s="289" t="n">
        <v>0.003</v>
      </c>
      <c r="D20" s="289" t="n">
        <v>0.004</v>
      </c>
      <c r="E20" s="289" t="n">
        <v>0.005</v>
      </c>
      <c r="F20" s="289" t="n">
        <v>0.005</v>
      </c>
      <c r="G20" s="289" t="n">
        <v>0.005</v>
      </c>
    </row>
    <row r="21" customFormat="false" ht="15" hidden="false" customHeight="true" outlineLevel="0" collapsed="false">
      <c r="A21" s="286" t="s">
        <v>2682</v>
      </c>
      <c r="B21" s="286"/>
      <c r="C21" s="289" t="n">
        <v>-0.002</v>
      </c>
      <c r="D21" s="289" t="n">
        <v>-0.002</v>
      </c>
      <c r="E21" s="289" t="n">
        <v>-0.001</v>
      </c>
      <c r="F21" s="289" t="n">
        <v>0</v>
      </c>
      <c r="G21" s="289" t="n">
        <v>0</v>
      </c>
    </row>
    <row r="22" customFormat="false" ht="15" hidden="false" customHeight="true" outlineLevel="0" collapsed="false">
      <c r="A22" s="286" t="s">
        <v>2683</v>
      </c>
      <c r="B22" s="286"/>
      <c r="C22" s="289" t="n">
        <v>0.001</v>
      </c>
      <c r="D22" s="289" t="n">
        <v>0.002</v>
      </c>
      <c r="E22" s="289" t="n">
        <v>0.002</v>
      </c>
      <c r="F22" s="289" t="n">
        <v>0.002</v>
      </c>
      <c r="G22" s="289" t="n">
        <v>0.002</v>
      </c>
    </row>
    <row r="23" customFormat="false" ht="15" hidden="false" customHeight="true" outlineLevel="0" collapsed="false">
      <c r="A23" s="285" t="s">
        <v>1850</v>
      </c>
      <c r="B23" s="285"/>
      <c r="C23" s="291" t="n">
        <f aca="false">C14+SUM(C15:C22)+Escenarios!$K$8</f>
        <v>-0.0389</v>
      </c>
      <c r="D23" s="291" t="n">
        <f aca="false">D14+SUM(D15:D22)+Escenarios!$K$8</f>
        <v>0.0061</v>
      </c>
      <c r="E23" s="291" t="n">
        <f aca="false">E14+SUM(E15:E22)+Escenarios!$K$8</f>
        <v>0.0346</v>
      </c>
      <c r="F23" s="291" t="n">
        <f aca="false">F14+SUM(F15:F22)+Escenarios!$K$8</f>
        <v>0.0441</v>
      </c>
      <c r="G23" s="291" t="n">
        <f aca="false">G14+SUM(G15:G22)+Escenarios!$K$8</f>
        <v>0.0466</v>
      </c>
    </row>
    <row r="24" customFormat="false" ht="15" hidden="false" customHeight="true" outlineLevel="0" collapsed="false">
      <c r="A24" s="288"/>
      <c r="B24" s="288"/>
      <c r="C24" s="288"/>
      <c r="D24" s="288"/>
      <c r="E24" s="288"/>
      <c r="F24" s="288"/>
      <c r="G24" s="288"/>
    </row>
    <row r="25" customFormat="false" ht="15" hidden="false" customHeight="true" outlineLevel="0" collapsed="false">
      <c r="A25" s="285" t="s">
        <v>1851</v>
      </c>
      <c r="B25" s="285" t="s">
        <v>1428</v>
      </c>
      <c r="C25" s="285" t="s">
        <v>1429</v>
      </c>
      <c r="D25" s="285" t="s">
        <v>1430</v>
      </c>
      <c r="E25" s="285" t="s">
        <v>1431</v>
      </c>
      <c r="F25" s="285" t="s">
        <v>1432</v>
      </c>
      <c r="G25" s="285" t="s">
        <v>1433</v>
      </c>
    </row>
    <row r="26" customFormat="false" ht="15" hidden="false" customHeight="true" outlineLevel="0" collapsed="false">
      <c r="A26" s="286" t="s">
        <v>1852</v>
      </c>
      <c r="B26" s="292" t="n">
        <f aca="false">'MC Soriana'!G6</f>
        <v>174278</v>
      </c>
      <c r="C26" s="292" t="n">
        <f aca="false">'MC Soriana'!F6</f>
        <v>163936.6</v>
      </c>
      <c r="D26" s="292" t="n">
        <f aca="false">C26+16*('MC Soriana'!$C$6-'MC Soriana'!$B$6)</f>
        <v>153151</v>
      </c>
      <c r="E26" s="292" t="n">
        <f aca="false">D26+16*('MC Soriana'!$C$6-'MC Soriana'!$B$6)</f>
        <v>142365.4</v>
      </c>
      <c r="F26" s="292" t="n">
        <f aca="false">E26+16*('MC Soriana'!$C$6-'MC Soriana'!$B$6)</f>
        <v>131579.8</v>
      </c>
      <c r="G26" s="292" t="n">
        <f aca="false">F26+16*('MC Soriana'!$C$6-'MC Soriana'!$B$6)</f>
        <v>120794.2</v>
      </c>
    </row>
    <row r="27" customFormat="false" ht="15" hidden="false" customHeight="true" outlineLevel="0" collapsed="false">
      <c r="A27" s="286" t="s">
        <v>1853</v>
      </c>
      <c r="B27" s="286"/>
      <c r="C27" s="287" t="n">
        <f aca="false">C26/B26-1</f>
        <v>-0.0593385280987848</v>
      </c>
      <c r="D27" s="287" t="n">
        <f aca="false">D26/C26-1</f>
        <v>-0.0657912876075262</v>
      </c>
      <c r="E27" s="287" t="n">
        <f aca="false">E26/D26-1</f>
        <v>-0.0704246136166266</v>
      </c>
      <c r="F27" s="287" t="n">
        <f aca="false">F26/E26-1</f>
        <v>-0.0757599810066209</v>
      </c>
      <c r="G27" s="287" t="n">
        <f aca="false">G26/F26-1</f>
        <v>-0.0819700288342129</v>
      </c>
    </row>
    <row r="28" customFormat="false" ht="15" hidden="false" customHeight="true" outlineLevel="0" collapsed="false">
      <c r="A28" s="285" t="s">
        <v>1854</v>
      </c>
      <c r="B28" s="285"/>
      <c r="C28" s="293" t="n">
        <f aca="false">C$6*C23+C$7*C27</f>
        <v>-0.0450315584296355</v>
      </c>
      <c r="D28" s="293" t="n">
        <f aca="false">D$6*D23+D$7*D27</f>
        <v>-0.0154673862822579</v>
      </c>
      <c r="E28" s="293" t="n">
        <f aca="false">E$6*E23+E$7*E27</f>
        <v>0.00834384659584337</v>
      </c>
      <c r="F28" s="293" t="n">
        <f aca="false">F$6*F23+F$7*F27</f>
        <v>0.0201280037986758</v>
      </c>
      <c r="G28" s="293" t="n">
        <f aca="false">G$6*G23+G$7*G27</f>
        <v>0.0273144956748681</v>
      </c>
    </row>
    <row r="29" customFormat="false" ht="15" hidden="false" customHeight="true" outlineLevel="0" collapsed="false">
      <c r="A29" s="288"/>
      <c r="B29" s="288"/>
      <c r="C29" s="288"/>
      <c r="D29" s="288"/>
      <c r="E29" s="288"/>
      <c r="F29" s="288"/>
      <c r="G29" s="288"/>
    </row>
    <row r="30" customFormat="false" ht="15" hidden="false" customHeight="true" outlineLevel="0" collapsed="false">
      <c r="A30" s="285" t="s">
        <v>1855</v>
      </c>
      <c r="B30" s="285" t="s">
        <v>1428</v>
      </c>
      <c r="C30" s="285" t="s">
        <v>1429</v>
      </c>
      <c r="D30" s="285" t="s">
        <v>1430</v>
      </c>
      <c r="E30" s="285" t="s">
        <v>1431</v>
      </c>
      <c r="F30" s="285" t="s">
        <v>1432</v>
      </c>
      <c r="G30" s="285" t="s">
        <v>1433</v>
      </c>
    </row>
    <row r="31" customFormat="false" ht="15" hidden="false" customHeight="true" outlineLevel="0" collapsed="false">
      <c r="A31" s="286" t="s">
        <v>1857</v>
      </c>
      <c r="B31" s="289" t="n">
        <f aca="false">Valuación!B10</f>
        <v>0.042542883699969</v>
      </c>
      <c r="C31" s="289" t="n">
        <f aca="false">B31+SUM(C32:C39)</f>
        <v>0.043742883699969</v>
      </c>
      <c r="D31" s="289" t="n">
        <f aca="false">C31+SUM(D32:D39)</f>
        <v>0.043442883699969</v>
      </c>
      <c r="E31" s="289" t="n">
        <f aca="false">D31+SUM(E32:E39)</f>
        <v>0.043742883699969</v>
      </c>
      <c r="F31" s="289" t="n">
        <f aca="false">E31+SUM(F32:F39)</f>
        <v>0.044042883699969</v>
      </c>
      <c r="G31" s="289" t="n">
        <f aca="false">F31+SUM(G32:G39)</f>
        <v>0.044342883699969</v>
      </c>
    </row>
    <row r="32" customFormat="false" ht="15" hidden="false" customHeight="true" outlineLevel="0" collapsed="false">
      <c r="A32" s="286" t="s">
        <v>2684</v>
      </c>
      <c r="B32" s="289"/>
      <c r="C32" s="289" t="n">
        <v>0.0055</v>
      </c>
      <c r="D32" s="289" t="n">
        <v>0.003</v>
      </c>
      <c r="E32" s="289" t="n">
        <v>0.002</v>
      </c>
      <c r="F32" s="289" t="n">
        <v>0.001</v>
      </c>
      <c r="G32" s="289" t="n">
        <v>0.001</v>
      </c>
    </row>
    <row r="33" customFormat="false" ht="15" hidden="false" customHeight="true" outlineLevel="0" collapsed="false">
      <c r="A33" s="286" t="s">
        <v>2685</v>
      </c>
      <c r="B33" s="289"/>
      <c r="C33" s="289" t="n">
        <v>-0.001</v>
      </c>
      <c r="D33" s="289" t="n">
        <v>-0.0015</v>
      </c>
      <c r="E33" s="289" t="n">
        <v>-0.0015</v>
      </c>
      <c r="F33" s="289" t="n">
        <v>-0.001</v>
      </c>
      <c r="G33" s="289" t="n">
        <v>-0.001</v>
      </c>
    </row>
    <row r="34" customFormat="false" ht="15" hidden="false" customHeight="true" outlineLevel="0" collapsed="false">
      <c r="A34" s="286" t="s">
        <v>2686</v>
      </c>
      <c r="B34" s="289"/>
      <c r="C34" s="289" t="n">
        <v>-0.0015</v>
      </c>
      <c r="D34" s="289" t="n">
        <v>-0.001</v>
      </c>
      <c r="E34" s="289" t="n">
        <v>-0.001</v>
      </c>
      <c r="F34" s="289" t="n">
        <v>-0.0005</v>
      </c>
      <c r="G34" s="289" t="n">
        <v>0</v>
      </c>
    </row>
    <row r="35" customFormat="false" ht="15" hidden="false" customHeight="true" outlineLevel="0" collapsed="false">
      <c r="A35" s="286" t="s">
        <v>2687</v>
      </c>
      <c r="B35" s="289"/>
      <c r="C35" s="289" t="n">
        <v>-0.0005</v>
      </c>
      <c r="D35" s="289" t="n">
        <v>-0.0005</v>
      </c>
      <c r="E35" s="289" t="n">
        <v>0</v>
      </c>
      <c r="F35" s="289" t="n">
        <v>0</v>
      </c>
      <c r="G35" s="289" t="n">
        <v>0</v>
      </c>
    </row>
    <row r="36" customFormat="false" ht="15" hidden="false" customHeight="true" outlineLevel="0" collapsed="false">
      <c r="A36" s="286" t="s">
        <v>2688</v>
      </c>
      <c r="B36" s="289"/>
      <c r="C36" s="289" t="n">
        <v>-0.0005</v>
      </c>
      <c r="D36" s="289" t="n">
        <v>-0.0005</v>
      </c>
      <c r="E36" s="289" t="n">
        <v>0</v>
      </c>
      <c r="F36" s="289" t="n">
        <v>0</v>
      </c>
      <c r="G36" s="289" t="n">
        <v>0</v>
      </c>
    </row>
    <row r="37" customFormat="false" ht="15" hidden="false" customHeight="true" outlineLevel="0" collapsed="false">
      <c r="A37" s="286" t="s">
        <v>2689</v>
      </c>
      <c r="B37" s="289"/>
      <c r="C37" s="289" t="n">
        <v>-0.0003</v>
      </c>
      <c r="D37" s="289" t="n">
        <v>-0.0003</v>
      </c>
      <c r="E37" s="289" t="n">
        <v>-0.0002</v>
      </c>
      <c r="F37" s="289" t="n">
        <v>-0.0002</v>
      </c>
      <c r="G37" s="289" t="n">
        <v>-0.0002</v>
      </c>
    </row>
    <row r="38" customFormat="false" ht="15" hidden="false" customHeight="true" outlineLevel="0" collapsed="false">
      <c r="A38" s="286" t="s">
        <v>2690</v>
      </c>
      <c r="B38" s="289"/>
      <c r="C38" s="289" t="n">
        <v>0.0005</v>
      </c>
      <c r="D38" s="289" t="n">
        <v>0.001</v>
      </c>
      <c r="E38" s="289" t="n">
        <v>0.001</v>
      </c>
      <c r="F38" s="289" t="n">
        <v>0.001</v>
      </c>
      <c r="G38" s="289" t="n">
        <v>0.0005</v>
      </c>
    </row>
    <row r="39" customFormat="false" ht="15" hidden="false" customHeight="true" outlineLevel="0" collapsed="false">
      <c r="A39" s="286" t="s">
        <v>2691</v>
      </c>
      <c r="B39" s="289"/>
      <c r="C39" s="289" t="n">
        <v>-0.001</v>
      </c>
      <c r="D39" s="289" t="n">
        <v>-0.0005</v>
      </c>
      <c r="E39" s="289" t="n">
        <v>0</v>
      </c>
      <c r="F39" s="289" t="n">
        <v>0</v>
      </c>
      <c r="G39" s="289" t="n">
        <v>0</v>
      </c>
    </row>
    <row r="40" customFormat="false" ht="15" hidden="false" customHeight="true" outlineLevel="0" collapsed="false">
      <c r="A40" s="286" t="s">
        <v>1866</v>
      </c>
      <c r="B40" s="289"/>
      <c r="C40" s="289" t="n">
        <f aca="false">'MC Soriana'!$F$9</f>
        <v>0.0492556268703877</v>
      </c>
      <c r="D40" s="289" t="n">
        <f aca="false">'MC Soriana'!$F$9</f>
        <v>0.0492556268703877</v>
      </c>
      <c r="E40" s="289" t="n">
        <f aca="false">'MC Soriana'!$F$9</f>
        <v>0.0492556268703877</v>
      </c>
      <c r="F40" s="289" t="n">
        <f aca="false">'MC Soriana'!$F$9</f>
        <v>0.0492556268703877</v>
      </c>
      <c r="G40" s="289" t="n">
        <f aca="false">'MC Soriana'!$F$9</f>
        <v>0.0492556268703877</v>
      </c>
    </row>
    <row r="41" customFormat="false" ht="15" hidden="false" customHeight="true" outlineLevel="0" collapsed="false">
      <c r="A41" s="285" t="s">
        <v>1867</v>
      </c>
      <c r="B41" s="291"/>
      <c r="C41" s="291" t="n">
        <f aca="false">C$6*C31+C$7*C40+Escenarios!$K$9</f>
        <v>0.0478967066510946</v>
      </c>
      <c r="D41" s="291" t="n">
        <f aca="false">D$6*D31+D$7*D40+Escenarios!$K$9</f>
        <v>0.0476867066510946</v>
      </c>
      <c r="E41" s="291" t="n">
        <f aca="false">E$6*E31+E$7*E40+Escenarios!$K$9</f>
        <v>0.0476210694925737</v>
      </c>
      <c r="F41" s="291" t="n">
        <f aca="false">F$6*F31+F$7*F40+Escenarios!$K$9</f>
        <v>0.0475854323340528</v>
      </c>
      <c r="G41" s="291" t="n">
        <f aca="false">G$6*G31+G$7*G40+Escenarios!$K$9</f>
        <v>0.0475797951755318</v>
      </c>
    </row>
    <row r="42" customFormat="false" ht="15" hidden="false" customHeight="true" outlineLevel="0" collapsed="false">
      <c r="A42" s="288"/>
      <c r="B42" s="288"/>
      <c r="C42" s="288"/>
      <c r="D42" s="288"/>
      <c r="E42" s="288"/>
      <c r="F42" s="288"/>
      <c r="G42" s="288"/>
    </row>
    <row r="43" customFormat="false" ht="15" hidden="false" customHeight="true" outlineLevel="0" collapsed="false">
      <c r="A43" s="285" t="s">
        <v>1868</v>
      </c>
      <c r="B43" s="285" t="s">
        <v>1428</v>
      </c>
      <c r="C43" s="285" t="s">
        <v>1429</v>
      </c>
      <c r="D43" s="285" t="s">
        <v>1430</v>
      </c>
      <c r="E43" s="285" t="s">
        <v>1431</v>
      </c>
      <c r="F43" s="285" t="s">
        <v>1432</v>
      </c>
      <c r="G43" s="285" t="s">
        <v>1433</v>
      </c>
    </row>
    <row r="44" customFormat="false" ht="15" hidden="false" customHeight="true" outlineLevel="0" collapsed="false">
      <c r="A44" s="286" t="s">
        <v>1869</v>
      </c>
      <c r="B44" s="286"/>
      <c r="C44" s="289" t="n">
        <f aca="false">Valuación!$B$11</f>
        <v>0.0244599047967777</v>
      </c>
      <c r="D44" s="289" t="n">
        <f aca="false">Valuación!$B$11</f>
        <v>0.0244599047967777</v>
      </c>
      <c r="E44" s="289" t="n">
        <f aca="false">Valuación!$B$11</f>
        <v>0.0244599047967777</v>
      </c>
      <c r="F44" s="289" t="n">
        <f aca="false">Valuación!$B$11</f>
        <v>0.0244599047967777</v>
      </c>
      <c r="G44" s="289" t="n">
        <f aca="false">Valuación!$B$11</f>
        <v>0.0244599047967777</v>
      </c>
    </row>
    <row r="45" customFormat="false" ht="15" hidden="false" customHeight="true" outlineLevel="0" collapsed="false">
      <c r="A45" s="286" t="s">
        <v>1870</v>
      </c>
      <c r="B45" s="286"/>
      <c r="C45" s="289" t="n">
        <f aca="false">'MC Soriana'!$F$12/'MC Soriana'!$F$6</f>
        <v>0.024136242913419</v>
      </c>
      <c r="D45" s="289" t="n">
        <f aca="false">'MC Soriana'!$F$12/'MC Soriana'!$F$6</f>
        <v>0.024136242913419</v>
      </c>
      <c r="E45" s="289" t="n">
        <f aca="false">'MC Soriana'!$F$12/'MC Soriana'!$F$6</f>
        <v>0.024136242913419</v>
      </c>
      <c r="F45" s="289" t="n">
        <f aca="false">'MC Soriana'!$F$12/'MC Soriana'!$F$6</f>
        <v>0.024136242913419</v>
      </c>
      <c r="G45" s="289" t="n">
        <f aca="false">'MC Soriana'!$F$12/'MC Soriana'!$F$6</f>
        <v>0.024136242913419</v>
      </c>
    </row>
    <row r="46" customFormat="false" ht="15" hidden="false" customHeight="true" outlineLevel="0" collapsed="false">
      <c r="A46" s="286" t="s">
        <v>1871</v>
      </c>
      <c r="B46" s="286"/>
      <c r="C46" s="289" t="n">
        <f aca="false">C$6*C44+C$7*C45</f>
        <v>0.0243628062317701</v>
      </c>
      <c r="D46" s="289" t="n">
        <f aca="false">D$6*D44+D$7*D45</f>
        <v>0.0243628062317701</v>
      </c>
      <c r="E46" s="289" t="n">
        <f aca="false">E$6*E44+E$7*E45</f>
        <v>0.024378989325938</v>
      </c>
      <c r="F46" s="289" t="n">
        <f aca="false">F$6*F44+F$7*F45</f>
        <v>0.024395172420106</v>
      </c>
      <c r="G46" s="289" t="n">
        <f aca="false">G$6*G44+G$7*G45</f>
        <v>0.0244113555142739</v>
      </c>
    </row>
    <row r="47" customFormat="false" ht="15" hidden="false" customHeight="true" outlineLevel="0" collapsed="false">
      <c r="A47" s="286" t="s">
        <v>1872</v>
      </c>
      <c r="B47" s="286"/>
      <c r="C47" s="292" t="n">
        <v>4000</v>
      </c>
      <c r="D47" s="292"/>
      <c r="E47" s="292"/>
      <c r="F47" s="292"/>
      <c r="G47" s="292"/>
    </row>
    <row r="48" customFormat="false" ht="15" hidden="false" customHeight="true" outlineLevel="0" collapsed="false">
      <c r="A48" s="286" t="s">
        <v>1873</v>
      </c>
      <c r="B48" s="286"/>
      <c r="C48" s="289"/>
      <c r="D48" s="289" t="n">
        <v>0.003</v>
      </c>
      <c r="E48" s="289" t="n">
        <v>0.003</v>
      </c>
      <c r="F48" s="289" t="n">
        <v>0.003</v>
      </c>
      <c r="G48" s="289" t="n">
        <v>0.003</v>
      </c>
    </row>
    <row r="49" customFormat="false" ht="15" hidden="false" customHeight="true" outlineLevel="0" collapsed="false">
      <c r="A49" s="286" t="s">
        <v>1874</v>
      </c>
      <c r="B49" s="286"/>
      <c r="C49" s="289" t="n">
        <f aca="false">C47/C67</f>
        <v>0.0235958656470585</v>
      </c>
      <c r="D49" s="289" t="n">
        <f aca="false">Valuación!$B$12*(1+'Variables Externas'!$J$22)+D48</f>
        <v>0.0195545165197307</v>
      </c>
      <c r="E49" s="289" t="n">
        <f aca="false">Valuación!$B$12*(1+'Variables Externas'!$J$22)+E48</f>
        <v>0.0195545165197307</v>
      </c>
      <c r="F49" s="289" t="n">
        <f aca="false">Valuación!$B$12*(1+'Variables Externas'!$J$22)+F48</f>
        <v>0.0195545165197307</v>
      </c>
      <c r="G49" s="289" t="n">
        <f aca="false">Valuación!$B$12*(1+'Variables Externas'!$J$22)+G48</f>
        <v>0.0195545165197307</v>
      </c>
    </row>
    <row r="50" customFormat="false" ht="15" hidden="false" customHeight="true" outlineLevel="0" collapsed="false">
      <c r="A50" s="286" t="s">
        <v>1875</v>
      </c>
      <c r="B50" s="286"/>
      <c r="C50" s="289" t="n">
        <f aca="false">'MC Soriana'!$F$13/'MC Soriana'!$F$6</f>
        <v>0.0202932109120233</v>
      </c>
      <c r="D50" s="289" t="n">
        <f aca="false">'MC Soriana'!$F$13/'MC Soriana'!$F$6</f>
        <v>0.0202932109120233</v>
      </c>
      <c r="E50" s="289" t="n">
        <f aca="false">'MC Soriana'!$F$13/'MC Soriana'!$F$6</f>
        <v>0.0202932109120233</v>
      </c>
      <c r="F50" s="289" t="n">
        <f aca="false">'MC Soriana'!$F$13/'MC Soriana'!$F$6</f>
        <v>0.0202932109120233</v>
      </c>
      <c r="G50" s="289" t="n">
        <f aca="false">'MC Soriana'!$F$13/'MC Soriana'!$F$6</f>
        <v>0.0202932109120233</v>
      </c>
    </row>
    <row r="51" customFormat="false" ht="15" hidden="false" customHeight="true" outlineLevel="0" collapsed="false">
      <c r="A51" s="285" t="s">
        <v>1876</v>
      </c>
      <c r="B51" s="285"/>
      <c r="C51" s="291" t="n">
        <f aca="false">C$6*C49+C$7*C50</f>
        <v>0.0226050692265479</v>
      </c>
      <c r="D51" s="291" t="n">
        <f aca="false">D$6*D49+D$7*D50</f>
        <v>0.0197761248374185</v>
      </c>
      <c r="E51" s="291" t="n">
        <f aca="false">E$6*E49+E$7*E50</f>
        <v>0.0197391901178039</v>
      </c>
      <c r="F51" s="291" t="n">
        <f aca="false">F$6*F49+F$7*F50</f>
        <v>0.0197022553981892</v>
      </c>
      <c r="G51" s="291" t="n">
        <f aca="false">G$6*G49+G$7*G50</f>
        <v>0.0196653206785746</v>
      </c>
    </row>
    <row r="52" customFormat="false" ht="15" hidden="false" customHeight="true" outlineLevel="0" collapsed="false">
      <c r="A52" s="286" t="s">
        <v>1877</v>
      </c>
      <c r="B52" s="286"/>
      <c r="C52" s="289" t="n">
        <v>0</v>
      </c>
      <c r="D52" s="289" t="n">
        <v>0.005</v>
      </c>
      <c r="E52" s="289" t="n">
        <v>0.005</v>
      </c>
      <c r="F52" s="289" t="n">
        <v>0.005</v>
      </c>
      <c r="G52" s="289" t="n">
        <v>0.005</v>
      </c>
    </row>
    <row r="53" customFormat="false" ht="15" hidden="false" customHeight="true" outlineLevel="0" collapsed="false">
      <c r="A53" s="286" t="s">
        <v>1878</v>
      </c>
      <c r="B53" s="286"/>
      <c r="C53" s="289" t="n">
        <f aca="false">WACC!$B$10+C52</f>
        <v>0.3</v>
      </c>
      <c r="D53" s="289" t="n">
        <f aca="false">WACC!$B$10+D52</f>
        <v>0.305</v>
      </c>
      <c r="E53" s="289" t="n">
        <f aca="false">WACC!$B$10+E52</f>
        <v>0.305</v>
      </c>
      <c r="F53" s="289" t="n">
        <f aca="false">WACC!$B$10+F52</f>
        <v>0.305</v>
      </c>
      <c r="G53" s="289" t="n">
        <f aca="false">WACC!$B$10+G52</f>
        <v>0.305</v>
      </c>
    </row>
    <row r="54" customFormat="false" ht="15" hidden="false" customHeight="true" outlineLevel="0" collapsed="false">
      <c r="A54" s="286" t="s">
        <v>1879</v>
      </c>
      <c r="B54" s="286"/>
      <c r="C54" s="289" t="n">
        <f aca="false">'MC Soriana'!$F$10</f>
        <v>0.191734007304675</v>
      </c>
      <c r="D54" s="289" t="n">
        <f aca="false">'MC Soriana'!$F$10</f>
        <v>0.191734007304675</v>
      </c>
      <c r="E54" s="289" t="n">
        <f aca="false">'MC Soriana'!$F$10</f>
        <v>0.191734007304675</v>
      </c>
      <c r="F54" s="289" t="n">
        <f aca="false">'MC Soriana'!$F$10</f>
        <v>0.191734007304675</v>
      </c>
      <c r="G54" s="289" t="n">
        <f aca="false">'MC Soriana'!$F$10</f>
        <v>0.191734007304675</v>
      </c>
    </row>
    <row r="55" customFormat="false" ht="15" hidden="false" customHeight="true" outlineLevel="0" collapsed="false">
      <c r="A55" s="285" t="s">
        <v>1880</v>
      </c>
      <c r="B55" s="285"/>
      <c r="C55" s="291" t="n">
        <f aca="false">C$6*C53+C$7*C54</f>
        <v>0.267520202191403</v>
      </c>
      <c r="D55" s="291" t="n">
        <f aca="false">D$6*D53+D$7*D54</f>
        <v>0.271020202191403</v>
      </c>
      <c r="E55" s="291" t="n">
        <f aca="false">E$6*E53+E$7*E54</f>
        <v>0.276683501826169</v>
      </c>
      <c r="F55" s="291" t="n">
        <f aca="false">F$6*F53+F$7*F54</f>
        <v>0.282346801460935</v>
      </c>
      <c r="G55" s="291" t="n">
        <f aca="false">G$6*G53+G$7*G54</f>
        <v>0.288010101095701</v>
      </c>
    </row>
    <row r="56" customFormat="false" ht="15" hidden="false" customHeight="true" outlineLevel="0" collapsed="false">
      <c r="A56" s="286" t="s">
        <v>1467</v>
      </c>
      <c r="B56" s="294" t="n">
        <f aca="false">Datos!G18/Datos!G7*365</f>
        <v>87.4443050938019</v>
      </c>
      <c r="C56" s="294" t="n">
        <v>88</v>
      </c>
      <c r="D56" s="294" t="n">
        <v>88</v>
      </c>
      <c r="E56" s="294" t="n">
        <v>87</v>
      </c>
      <c r="F56" s="294" t="n">
        <v>87</v>
      </c>
      <c r="G56" s="294" t="n">
        <v>87</v>
      </c>
    </row>
    <row r="57" customFormat="false" ht="15" hidden="false" customHeight="true" outlineLevel="0" collapsed="false">
      <c r="A57" s="286" t="s">
        <v>1468</v>
      </c>
      <c r="B57" s="295" t="n">
        <f aca="false">(Datos!G19-Datos!G17-Datos!G18)/Datos!G6</f>
        <v>0.0391572543165366</v>
      </c>
      <c r="C57" s="295" t="n">
        <f aca="false">$B57</f>
        <v>0.0391572543165366</v>
      </c>
      <c r="D57" s="295" t="n">
        <f aca="false">$B57</f>
        <v>0.0391572543165366</v>
      </c>
      <c r="E57" s="295" t="n">
        <f aca="false">$B57</f>
        <v>0.0391572543165366</v>
      </c>
      <c r="F57" s="295" t="n">
        <f aca="false">$B57</f>
        <v>0.0391572543165366</v>
      </c>
      <c r="G57" s="295" t="n">
        <f aca="false">$B57</f>
        <v>0.0391572543165366</v>
      </c>
    </row>
    <row r="58" customFormat="false" ht="15" hidden="false" customHeight="true" outlineLevel="0" collapsed="false">
      <c r="A58" s="286" t="s">
        <v>1469</v>
      </c>
      <c r="B58" s="295" t="n">
        <f aca="false">(Datos!G21-Datos!G25-Datos!G27)/Datos!G6</f>
        <v>0.200225333070445</v>
      </c>
      <c r="C58" s="295" t="n">
        <f aca="false">$B58</f>
        <v>0.200225333070445</v>
      </c>
      <c r="D58" s="295" t="n">
        <f aca="false">$B58</f>
        <v>0.200225333070445</v>
      </c>
      <c r="E58" s="295" t="n">
        <f aca="false">$B58</f>
        <v>0.200225333070445</v>
      </c>
      <c r="F58" s="295" t="n">
        <f aca="false">$B58</f>
        <v>0.200225333070445</v>
      </c>
      <c r="G58" s="295" t="n">
        <f aca="false">$B58</f>
        <v>0.200225333070445</v>
      </c>
    </row>
    <row r="59" customFormat="false" ht="15" hidden="false" customHeight="true" outlineLevel="0" collapsed="false">
      <c r="A59" s="286" t="s">
        <v>1464</v>
      </c>
      <c r="B59" s="295" t="n">
        <f aca="false">Datos!G7/Datos!G6</f>
        <v>0.759102047714278</v>
      </c>
      <c r="C59" s="295" t="n">
        <v>0.756</v>
      </c>
      <c r="D59" s="295" t="n">
        <v>0.757</v>
      </c>
      <c r="E59" s="295" t="n">
        <v>0.758</v>
      </c>
      <c r="F59" s="295" t="n">
        <v>0.758</v>
      </c>
      <c r="G59" s="295" t="n">
        <v>0.758</v>
      </c>
    </row>
    <row r="60" customFormat="false" ht="15" hidden="false" customHeight="true" outlineLevel="0" collapsed="false">
      <c r="A60" s="286" t="s">
        <v>1465</v>
      </c>
      <c r="B60" s="295" t="n">
        <f aca="false">-B70/B67</f>
        <v>0.173900797115737</v>
      </c>
      <c r="C60" s="295" t="n">
        <f aca="false">1-C59-C46-C41</f>
        <v>0.171740487117135</v>
      </c>
      <c r="D60" s="295" t="n">
        <f aca="false">1-D59-D46-D41</f>
        <v>0.170950487117135</v>
      </c>
      <c r="E60" s="295" t="n">
        <f aca="false">1-E59-E46-E41</f>
        <v>0.169999941181488</v>
      </c>
      <c r="F60" s="295" t="n">
        <f aca="false">1-F59-F46-F41</f>
        <v>0.170019395245841</v>
      </c>
      <c r="G60" s="295" t="n">
        <f aca="false">1-G59-G46-G41</f>
        <v>0.170008849310194</v>
      </c>
    </row>
    <row r="61" customFormat="false" ht="15" hidden="false" customHeight="true" outlineLevel="0" collapsed="false">
      <c r="A61" s="286" t="s">
        <v>1466</v>
      </c>
      <c r="B61" s="296" t="n">
        <f aca="false">Datos!G10/(Datos!G25+Datos!G26+Datos!G27+Datos!G28)</f>
        <v>0.130154966550936</v>
      </c>
      <c r="C61" s="296" t="n">
        <v>0.1</v>
      </c>
      <c r="D61" s="296" t="n">
        <v>0.0975</v>
      </c>
      <c r="E61" s="296" t="n">
        <v>0.0975</v>
      </c>
      <c r="F61" s="296" t="n">
        <v>0.0975</v>
      </c>
      <c r="G61" s="296" t="n">
        <v>0.0975</v>
      </c>
    </row>
    <row r="62" customFormat="false" ht="15" hidden="false" customHeight="true" outlineLevel="0" collapsed="false">
      <c r="A62" s="286" t="s">
        <v>1881</v>
      </c>
      <c r="B62" s="297"/>
      <c r="C62" s="297" t="n">
        <v>0</v>
      </c>
      <c r="D62" s="297" t="n">
        <v>-1500</v>
      </c>
      <c r="E62" s="297" t="n">
        <v>-1500</v>
      </c>
      <c r="F62" s="297" t="n">
        <v>-1500</v>
      </c>
      <c r="G62" s="297" t="n">
        <v>-1500</v>
      </c>
    </row>
    <row r="63" customFormat="false" ht="15" hidden="false" customHeight="true" outlineLevel="0" collapsed="false">
      <c r="A63" s="286" t="s">
        <v>1470</v>
      </c>
      <c r="B63" s="295" t="n">
        <f aca="false">'Proyección Soriana'!B14</f>
        <v>0.300144057623049</v>
      </c>
      <c r="C63" s="295" t="n">
        <f aca="false">$B63</f>
        <v>0.300144057623049</v>
      </c>
      <c r="D63" s="295" t="n">
        <f aca="false">$B63</f>
        <v>0.300144057623049</v>
      </c>
      <c r="E63" s="295" t="n">
        <f aca="false">$B63</f>
        <v>0.300144057623049</v>
      </c>
      <c r="F63" s="295" t="n">
        <f aca="false">$B63</f>
        <v>0.300144057623049</v>
      </c>
      <c r="G63" s="295" t="n">
        <f aca="false">$B63</f>
        <v>0.300144057623049</v>
      </c>
    </row>
    <row r="64" customFormat="false" ht="15" hidden="false" customHeight="true" outlineLevel="0" collapsed="false">
      <c r="A64" s="298"/>
      <c r="B64" s="298"/>
      <c r="C64" s="298"/>
      <c r="D64" s="298"/>
      <c r="E64" s="298"/>
      <c r="F64" s="298"/>
      <c r="G64" s="298"/>
    </row>
    <row r="65" customFormat="false" ht="15" hidden="false" customHeight="true" outlineLevel="0" collapsed="false">
      <c r="A65" s="348" t="s">
        <v>1882</v>
      </c>
      <c r="B65" s="298"/>
      <c r="C65" s="298"/>
      <c r="D65" s="298"/>
      <c r="E65" s="298"/>
      <c r="F65" s="298"/>
      <c r="G65" s="298"/>
    </row>
    <row r="66" customFormat="false" ht="15" hidden="false" customHeight="true" outlineLevel="0" collapsed="false">
      <c r="A66" s="285" t="s">
        <v>1884</v>
      </c>
      <c r="B66" s="300" t="s">
        <v>1428</v>
      </c>
      <c r="C66" s="300" t="s">
        <v>1429</v>
      </c>
      <c r="D66" s="300" t="s">
        <v>1430</v>
      </c>
      <c r="E66" s="300" t="s">
        <v>1431</v>
      </c>
      <c r="F66" s="300" t="s">
        <v>1432</v>
      </c>
      <c r="G66" s="300" t="s">
        <v>1433</v>
      </c>
    </row>
    <row r="67" customFormat="false" ht="15" hidden="false" customHeight="true" outlineLevel="0" collapsed="false">
      <c r="A67" s="286" t="s">
        <v>1442</v>
      </c>
      <c r="B67" s="297" t="n">
        <f aca="false">Datos!G6</f>
        <v>177515</v>
      </c>
      <c r="C67" s="297" t="n">
        <f aca="false">B67*(1+C28)</f>
        <v>169521.222905363</v>
      </c>
      <c r="D67" s="297" t="n">
        <f aca="false">C67*(1+D28)</f>
        <v>166899.172667645</v>
      </c>
      <c r="E67" s="297" t="n">
        <f aca="false">D67*(1+E28)</f>
        <v>168291.753761357</v>
      </c>
      <c r="F67" s="297" t="n">
        <f aca="false">E67*(1+F28)</f>
        <v>171679.130820352</v>
      </c>
      <c r="G67" s="297" t="n">
        <f aca="false">F67*(1+G28)</f>
        <v>176368.459696609</v>
      </c>
    </row>
    <row r="68" customFormat="false" ht="15" hidden="false" customHeight="true" outlineLevel="0" collapsed="false">
      <c r="A68" s="286" t="s">
        <v>86</v>
      </c>
      <c r="B68" s="297" t="n">
        <f aca="false">-Datos!G7</f>
        <v>-134752</v>
      </c>
      <c r="C68" s="297" t="n">
        <f aca="false">-C67*C59</f>
        <v>-128158.044516455</v>
      </c>
      <c r="D68" s="297" t="n">
        <f aca="false">-D67*D59</f>
        <v>-126342.673709407</v>
      </c>
      <c r="E68" s="297" t="n">
        <f aca="false">-E67*E59</f>
        <v>-127565.149351109</v>
      </c>
      <c r="F68" s="297" t="n">
        <f aca="false">-F67*F59</f>
        <v>-130132.781161827</v>
      </c>
      <c r="G68" s="297" t="n">
        <f aca="false">-G67*G59</f>
        <v>-133687.29245003</v>
      </c>
    </row>
    <row r="69" customFormat="false" ht="15" hidden="false" customHeight="true" outlineLevel="0" collapsed="false">
      <c r="A69" s="285" t="s">
        <v>80</v>
      </c>
      <c r="B69" s="301" t="n">
        <f aca="false">B67+B68</f>
        <v>42763</v>
      </c>
      <c r="C69" s="301" t="n">
        <f aca="false">C67+C68</f>
        <v>41363.1783889086</v>
      </c>
      <c r="D69" s="301" t="n">
        <f aca="false">D67+D68</f>
        <v>40556.4989582378</v>
      </c>
      <c r="E69" s="301" t="n">
        <f aca="false">E67+E68</f>
        <v>40726.6044102485</v>
      </c>
      <c r="F69" s="301" t="n">
        <f aca="false">F67+F68</f>
        <v>41546.3496585251</v>
      </c>
      <c r="G69" s="301" t="n">
        <f aca="false">G67+G68</f>
        <v>42681.1672465795</v>
      </c>
    </row>
    <row r="70" customFormat="false" ht="15" hidden="false" customHeight="true" outlineLevel="0" collapsed="false">
      <c r="A70" s="286" t="s">
        <v>1472</v>
      </c>
      <c r="B70" s="297" t="n">
        <f aca="false">-(Datos!G8-Datos!G9-Datos!G14)</f>
        <v>-30870</v>
      </c>
      <c r="C70" s="297" t="n">
        <f aca="false">-C67*C60</f>
        <v>-29113.6573984596</v>
      </c>
      <c r="D70" s="297" t="n">
        <f aca="false">-D67*D60</f>
        <v>-28531.4948669808</v>
      </c>
      <c r="E70" s="297" t="n">
        <f aca="false">-E67*E60</f>
        <v>-28609.5882407602</v>
      </c>
      <c r="F70" s="297" t="n">
        <f aca="false">-F67*F60</f>
        <v>-29188.7819984079</v>
      </c>
      <c r="G70" s="297" t="n">
        <f aca="false">-G67*G60</f>
        <v>-29984.1988876319</v>
      </c>
    </row>
    <row r="71" customFormat="false" ht="15" hidden="false" customHeight="true" outlineLevel="0" collapsed="false">
      <c r="A71" s="285" t="s">
        <v>1473</v>
      </c>
      <c r="B71" s="301" t="n">
        <f aca="false">B69+B70</f>
        <v>11893</v>
      </c>
      <c r="C71" s="301" t="n">
        <f aca="false">C69+C70</f>
        <v>12249.5209904491</v>
      </c>
      <c r="D71" s="301" t="n">
        <f aca="false">D69+D70</f>
        <v>12025.004091257</v>
      </c>
      <c r="E71" s="301" t="n">
        <f aca="false">E69+E70</f>
        <v>12117.0161694882</v>
      </c>
      <c r="F71" s="301" t="n">
        <f aca="false">F69+F70</f>
        <v>12357.5676601173</v>
      </c>
      <c r="G71" s="301" t="n">
        <f aca="false">G69+G70</f>
        <v>12696.9683589475</v>
      </c>
    </row>
    <row r="72" customFormat="false" ht="15" hidden="false" customHeight="true" outlineLevel="0" collapsed="false">
      <c r="A72" s="286" t="s">
        <v>154</v>
      </c>
      <c r="B72" s="297" t="n">
        <f aca="false">-Datos!G14</f>
        <v>-4342</v>
      </c>
      <c r="C72" s="297" t="n">
        <f aca="false">-C67*C46</f>
        <v>-4130.01270581607</v>
      </c>
      <c r="D72" s="297" t="n">
        <f aca="false">-D67*D46</f>
        <v>-4066.13220394458</v>
      </c>
      <c r="E72" s="297" t="n">
        <f aca="false">-E67*E46</f>
        <v>-4102.78286859152</v>
      </c>
      <c r="F72" s="297" t="n">
        <f aca="false">-F67*F46</f>
        <v>-4188.14199729641</v>
      </c>
      <c r="G72" s="297" t="n">
        <f aca="false">-G67*G46</f>
        <v>-4305.39317115882</v>
      </c>
    </row>
    <row r="73" customFormat="false" ht="15" hidden="false" customHeight="true" outlineLevel="0" collapsed="false">
      <c r="A73" s="285" t="s">
        <v>81</v>
      </c>
      <c r="B73" s="301" t="n">
        <f aca="false">B71+B72</f>
        <v>7551</v>
      </c>
      <c r="C73" s="301" t="n">
        <f aca="false">C71+C72</f>
        <v>8119.50828463301</v>
      </c>
      <c r="D73" s="301" t="n">
        <f aca="false">D71+D72</f>
        <v>7958.8718873124</v>
      </c>
      <c r="E73" s="301" t="n">
        <f aca="false">E71+E72</f>
        <v>8014.23330089669</v>
      </c>
      <c r="F73" s="301" t="n">
        <f aca="false">F71+F72</f>
        <v>8169.42566282084</v>
      </c>
      <c r="G73" s="301" t="n">
        <f aca="false">G71+G72</f>
        <v>8391.57518778872</v>
      </c>
    </row>
    <row r="74" customFormat="false" ht="15" hidden="false" customHeight="true" outlineLevel="0" collapsed="false">
      <c r="A74" s="286" t="s">
        <v>88</v>
      </c>
      <c r="B74" s="297" t="n">
        <f aca="false">-Datos!G10</f>
        <v>-3074</v>
      </c>
      <c r="C74" s="297" t="n">
        <f aca="false">-C61*(B91+B92)</f>
        <v>-2361.8</v>
      </c>
      <c r="D74" s="297" t="n">
        <f aca="false">-D61*(C91+C92)</f>
        <v>-2302.755</v>
      </c>
      <c r="E74" s="297" t="n">
        <f aca="false">-E61*(D91+D92)</f>
        <v>-2156.505</v>
      </c>
      <c r="F74" s="297" t="n">
        <f aca="false">-F61*(E91+E92)</f>
        <v>-2010.255</v>
      </c>
      <c r="G74" s="297" t="n">
        <f aca="false">-G61*(F91+F92)</f>
        <v>-1864.005</v>
      </c>
    </row>
    <row r="75" customFormat="false" ht="15" hidden="false" customHeight="true" outlineLevel="0" collapsed="false">
      <c r="A75" s="286" t="s">
        <v>1474</v>
      </c>
      <c r="B75" s="297" t="n">
        <f aca="false">Datos!G11-Datos!G9+Datos!G10</f>
        <v>288</v>
      </c>
      <c r="C75" s="297" t="n">
        <v>0</v>
      </c>
      <c r="D75" s="297" t="n">
        <v>0</v>
      </c>
      <c r="E75" s="297" t="n">
        <v>0</v>
      </c>
      <c r="F75" s="297" t="n">
        <v>0</v>
      </c>
      <c r="G75" s="297" t="n">
        <v>0</v>
      </c>
    </row>
    <row r="76" customFormat="false" ht="15" hidden="false" customHeight="true" outlineLevel="0" collapsed="false">
      <c r="A76" s="286" t="s">
        <v>152</v>
      </c>
      <c r="B76" s="297" t="n">
        <f aca="false">B73+B74+B75</f>
        <v>4765</v>
      </c>
      <c r="C76" s="297" t="n">
        <f aca="false">C73+C74+C75</f>
        <v>5757.70828463301</v>
      </c>
      <c r="D76" s="297" t="n">
        <f aca="false">D73+D74+D75</f>
        <v>5656.1168873124</v>
      </c>
      <c r="E76" s="297" t="n">
        <f aca="false">E73+E74+E75</f>
        <v>5857.72830089669</v>
      </c>
      <c r="F76" s="297" t="n">
        <f aca="false">F73+F74+F75</f>
        <v>6159.17066282084</v>
      </c>
      <c r="G76" s="297" t="n">
        <f aca="false">G73+G74+G75</f>
        <v>6527.57018778872</v>
      </c>
    </row>
    <row r="77" customFormat="false" ht="15" hidden="false" customHeight="true" outlineLevel="0" collapsed="false">
      <c r="A77" s="286" t="s">
        <v>153</v>
      </c>
      <c r="B77" s="297" t="n">
        <f aca="false">-Datos!G12</f>
        <v>-1433</v>
      </c>
      <c r="C77" s="297" t="n">
        <f aca="false">-C76*C55</f>
        <v>-1540.30328446414</v>
      </c>
      <c r="D77" s="297" t="n">
        <f aca="false">-D76*D55</f>
        <v>-1532.92194241761</v>
      </c>
      <c r="E77" s="297" t="n">
        <f aca="false">-E76*E55</f>
        <v>-1620.73677903835</v>
      </c>
      <c r="F77" s="297" t="n">
        <f aca="false">-F76*F55</f>
        <v>-1739.02213629949</v>
      </c>
      <c r="G77" s="297" t="n">
        <f aca="false">-G76*G55</f>
        <v>-1880.00614969431</v>
      </c>
    </row>
    <row r="78" customFormat="false" ht="15" hidden="false" customHeight="true" outlineLevel="0" collapsed="false">
      <c r="A78" s="285" t="s">
        <v>89</v>
      </c>
      <c r="B78" s="301" t="n">
        <f aca="false">B76+B77</f>
        <v>3332</v>
      </c>
      <c r="C78" s="301" t="n">
        <f aca="false">C76+C77</f>
        <v>4217.40500016888</v>
      </c>
      <c r="D78" s="301" t="n">
        <f aca="false">D76+D77</f>
        <v>4123.19494489479</v>
      </c>
      <c r="E78" s="301" t="n">
        <f aca="false">E76+E77</f>
        <v>4236.99152185834</v>
      </c>
      <c r="F78" s="301" t="n">
        <f aca="false">F76+F77</f>
        <v>4420.14852652135</v>
      </c>
      <c r="G78" s="301" t="n">
        <f aca="false">G76+G77</f>
        <v>4647.5640380944</v>
      </c>
    </row>
    <row r="79" customFormat="false" ht="15" hidden="false" customHeight="true" outlineLevel="0" collapsed="false">
      <c r="A79" s="286" t="s">
        <v>1475</v>
      </c>
      <c r="B79" s="297"/>
      <c r="C79" s="297" t="n">
        <f aca="false">-C78*C63</f>
        <v>-1265.82904939042</v>
      </c>
      <c r="D79" s="297" t="n">
        <f aca="false">-D78*D63</f>
        <v>-1237.55246113157</v>
      </c>
      <c r="E79" s="297" t="n">
        <f aca="false">-E78*E63</f>
        <v>-1271.70782748502</v>
      </c>
      <c r="F79" s="297" t="n">
        <f aca="false">-F78*F63</f>
        <v>-1326.68131404666</v>
      </c>
      <c r="G79" s="297" t="n">
        <f aca="false">-G78*G63</f>
        <v>-1394.93872845662</v>
      </c>
    </row>
    <row r="80" customFormat="false" ht="15" hidden="false" customHeight="true" outlineLevel="0" collapsed="false">
      <c r="A80" s="286" t="s">
        <v>1885</v>
      </c>
      <c r="B80" s="295" t="n">
        <f aca="false">B71/B67</f>
        <v>0.0669971551699856</v>
      </c>
      <c r="C80" s="295" t="n">
        <f aca="false">C71/C67</f>
        <v>0.0722595128828648</v>
      </c>
      <c r="D80" s="295" t="n">
        <f aca="false">D71/D67</f>
        <v>0.0720495128828648</v>
      </c>
      <c r="E80" s="295" t="n">
        <f aca="false">E71/E67</f>
        <v>0.0720000588185117</v>
      </c>
      <c r="F80" s="295" t="n">
        <f aca="false">F71/F67</f>
        <v>0.0719806047541588</v>
      </c>
      <c r="G80" s="295" t="n">
        <f aca="false">G71/G67</f>
        <v>0.0719911506898058</v>
      </c>
    </row>
    <row r="81" customFormat="false" ht="15" hidden="false" customHeight="true" outlineLevel="0" collapsed="false">
      <c r="A81" s="286" t="s">
        <v>34</v>
      </c>
      <c r="B81" s="295" t="n">
        <f aca="false">B78/B67</f>
        <v>0.0187702447680478</v>
      </c>
      <c r="C81" s="295" t="n">
        <f aca="false">C78/C67</f>
        <v>0.0248783304408043</v>
      </c>
      <c r="D81" s="295" t="n">
        <f aca="false">D78/D67</f>
        <v>0.0247047057153813</v>
      </c>
      <c r="E81" s="295" t="n">
        <f aca="false">E78/E67</f>
        <v>0.0251764654367232</v>
      </c>
      <c r="F81" s="295" t="n">
        <f aca="false">F78/F67</f>
        <v>0.0257465686446577</v>
      </c>
      <c r="G81" s="295" t="n">
        <f aca="false">G78/G67</f>
        <v>0.0263514465459935</v>
      </c>
    </row>
    <row r="82" customFormat="false" ht="15" hidden="false" customHeight="true" outlineLevel="0" collapsed="false">
      <c r="A82" s="298"/>
      <c r="B82" s="298"/>
      <c r="C82" s="298"/>
      <c r="D82" s="298"/>
      <c r="E82" s="298"/>
      <c r="F82" s="298"/>
      <c r="G82" s="298"/>
    </row>
    <row r="83" customFormat="false" ht="15" hidden="false" customHeight="true" outlineLevel="0" collapsed="false">
      <c r="A83" s="285" t="s">
        <v>1886</v>
      </c>
      <c r="B83" s="300" t="s">
        <v>1428</v>
      </c>
      <c r="C83" s="300" t="s">
        <v>1429</v>
      </c>
      <c r="D83" s="300" t="s">
        <v>1430</v>
      </c>
      <c r="E83" s="300" t="s">
        <v>1431</v>
      </c>
      <c r="F83" s="300" t="s">
        <v>1432</v>
      </c>
      <c r="G83" s="300" t="s">
        <v>1433</v>
      </c>
    </row>
    <row r="84" customFormat="false" ht="15" hidden="false" customHeight="true" outlineLevel="0" collapsed="false">
      <c r="A84" s="286" t="s">
        <v>13</v>
      </c>
      <c r="B84" s="297" t="n">
        <f aca="false">Datos!G17</f>
        <v>9295</v>
      </c>
      <c r="C84" s="297" t="n">
        <f aca="false">B84+C108</f>
        <v>12641.6295028077</v>
      </c>
      <c r="D84" s="297" t="n">
        <f aca="false">C84+D108</f>
        <v>14808.1351635439</v>
      </c>
      <c r="E84" s="297" t="n">
        <f aca="false">D84+E108</f>
        <v>17333.3188715522</v>
      </c>
      <c r="F84" s="297" t="n">
        <f aca="false">E84+F108</f>
        <v>19666.049444317</v>
      </c>
      <c r="G84" s="297" t="n">
        <f aca="false">F84+G108</f>
        <v>22163.7871234233</v>
      </c>
    </row>
    <row r="85" customFormat="false" ht="15" hidden="false" customHeight="true" outlineLevel="0" collapsed="false">
      <c r="A85" s="286" t="s">
        <v>156</v>
      </c>
      <c r="B85" s="297" t="n">
        <f aca="false">Datos!G18</f>
        <v>32283</v>
      </c>
      <c r="C85" s="297" t="n">
        <f aca="false">-C68*C56/365</f>
        <v>30898.3778560219</v>
      </c>
      <c r="D85" s="297" t="n">
        <f aca="false">-D68*D56/365</f>
        <v>30460.6994148708</v>
      </c>
      <c r="E85" s="297" t="n">
        <f aca="false">-E68*E56/365</f>
        <v>30405.9397083465</v>
      </c>
      <c r="F85" s="297" t="n">
        <f aca="false">-F68*F56/365</f>
        <v>31017.9505782984</v>
      </c>
      <c r="G85" s="297" t="n">
        <f aca="false">-G68*G56/365</f>
        <v>31865.1902552126</v>
      </c>
    </row>
    <row r="86" customFormat="false" ht="15" hidden="false" customHeight="true" outlineLevel="0" collapsed="false">
      <c r="A86" s="286" t="s">
        <v>1477</v>
      </c>
      <c r="B86" s="297" t="n">
        <f aca="false">Datos!G19-Datos!G17-Datos!G18</f>
        <v>6951</v>
      </c>
      <c r="C86" s="297" t="n">
        <f aca="false">C67*C57</f>
        <v>6637.9856373556</v>
      </c>
      <c r="D86" s="297" t="n">
        <f aca="false">D67*D57</f>
        <v>6535.31334936655</v>
      </c>
      <c r="E86" s="297" t="n">
        <f aca="false">E67*E57</f>
        <v>6589.84300140943</v>
      </c>
      <c r="F86" s="297" t="n">
        <f aca="false">F67*F57</f>
        <v>6722.48338637447</v>
      </c>
      <c r="G86" s="297" t="n">
        <f aca="false">G67*G57</f>
        <v>6906.10462975597</v>
      </c>
    </row>
    <row r="87" customFormat="false" ht="15" hidden="false" customHeight="true" outlineLevel="0" collapsed="false">
      <c r="A87" s="285" t="s">
        <v>157</v>
      </c>
      <c r="B87" s="301" t="n">
        <f aca="false">SUM(B84:B86)</f>
        <v>48529</v>
      </c>
      <c r="C87" s="301" t="n">
        <f aca="false">SUM(C84:C86)</f>
        <v>50177.9929961852</v>
      </c>
      <c r="D87" s="301" t="n">
        <f aca="false">SUM(D84:D86)</f>
        <v>51804.1479277813</v>
      </c>
      <c r="E87" s="301" t="n">
        <f aca="false">SUM(E84:E86)</f>
        <v>54329.1015813081</v>
      </c>
      <c r="F87" s="301" t="n">
        <f aca="false">SUM(F84:F86)</f>
        <v>57406.4834089899</v>
      </c>
      <c r="G87" s="301" t="n">
        <f aca="false">SUM(G84:G86)</f>
        <v>60935.0820083919</v>
      </c>
    </row>
    <row r="88" customFormat="false" ht="15" hidden="false" customHeight="true" outlineLevel="0" collapsed="false">
      <c r="A88" s="286" t="s">
        <v>1478</v>
      </c>
      <c r="B88" s="297" t="n">
        <f aca="false">Datos!G20-Datos!G19</f>
        <v>107509</v>
      </c>
      <c r="C88" s="297" t="n">
        <f aca="false">B88-C104+C72</f>
        <v>107211.026273329</v>
      </c>
      <c r="D88" s="297" t="n">
        <f aca="false">C88-D104+D72</f>
        <v>106445.512943321</v>
      </c>
      <c r="E88" s="297" t="n">
        <f aca="false">D88-E104+E72</f>
        <v>105664.672997484</v>
      </c>
      <c r="F88" s="297" t="n">
        <f aca="false">E88-F104+F72</f>
        <v>104858.997082149</v>
      </c>
      <c r="G88" s="297" t="n">
        <f aca="false">F88-G104+G72</f>
        <v>104021.94622851</v>
      </c>
    </row>
    <row r="89" customFormat="false" ht="15" hidden="false" customHeight="true" outlineLevel="0" collapsed="false">
      <c r="A89" s="285" t="s">
        <v>92</v>
      </c>
      <c r="B89" s="301" t="n">
        <f aca="false">B87+B88</f>
        <v>156038</v>
      </c>
      <c r="C89" s="301" t="n">
        <f aca="false">C87+C88</f>
        <v>157389.019269514</v>
      </c>
      <c r="D89" s="301" t="n">
        <f aca="false">D87+D88</f>
        <v>158249.660871103</v>
      </c>
      <c r="E89" s="301" t="n">
        <f aca="false">E87+E88</f>
        <v>159993.774578792</v>
      </c>
      <c r="F89" s="301" t="n">
        <f aca="false">F87+F88</f>
        <v>162265.480491139</v>
      </c>
      <c r="G89" s="301" t="n">
        <f aca="false">G87+G88</f>
        <v>164957.028236902</v>
      </c>
    </row>
    <row r="90" customFormat="false" ht="15" hidden="false" customHeight="true" outlineLevel="0" collapsed="false">
      <c r="A90" s="286" t="s">
        <v>1479</v>
      </c>
      <c r="B90" s="297" t="n">
        <f aca="false">Datos!G21-Datos!G25-Datos!G27</f>
        <v>35543</v>
      </c>
      <c r="C90" s="297" t="n">
        <f aca="false">C67*C58</f>
        <v>33942.4433187355</v>
      </c>
      <c r="D90" s="297" t="n">
        <f aca="false">D67*D58</f>
        <v>33417.4424365609</v>
      </c>
      <c r="E90" s="297" t="n">
        <f aca="false">E67*E58</f>
        <v>33696.272449877</v>
      </c>
      <c r="F90" s="297" t="n">
        <f aca="false">F67*F58</f>
        <v>34374.5111497494</v>
      </c>
      <c r="G90" s="297" t="n">
        <f aca="false">G67*G58</f>
        <v>35313.4335858749</v>
      </c>
    </row>
    <row r="91" customFormat="false" ht="15" hidden="false" customHeight="true" outlineLevel="0" collapsed="false">
      <c r="A91" s="286" t="s">
        <v>1480</v>
      </c>
      <c r="B91" s="297" t="n">
        <f aca="false">Datos!G25+Datos!G26</f>
        <v>11500</v>
      </c>
      <c r="C91" s="297" t="n">
        <f aca="false">MAX(0,B91+C62)</f>
        <v>11500</v>
      </c>
      <c r="D91" s="297" t="n">
        <f aca="false">MAX(0,C91+D62)</f>
        <v>10000</v>
      </c>
      <c r="E91" s="297" t="n">
        <f aca="false">MAX(0,D91+E62)</f>
        <v>8500</v>
      </c>
      <c r="F91" s="297" t="n">
        <f aca="false">MAX(0,E91+F62)</f>
        <v>7000</v>
      </c>
      <c r="G91" s="297" t="n">
        <f aca="false">MAX(0,F91+G62)</f>
        <v>5500</v>
      </c>
    </row>
    <row r="92" customFormat="false" ht="15" hidden="false" customHeight="true" outlineLevel="0" collapsed="false">
      <c r="A92" s="286" t="s">
        <v>1481</v>
      </c>
      <c r="B92" s="297" t="n">
        <f aca="false">Datos!G27+Datos!G28</f>
        <v>12118</v>
      </c>
      <c r="C92" s="297" t="n">
        <f aca="false">B92</f>
        <v>12118</v>
      </c>
      <c r="D92" s="297" t="n">
        <f aca="false">C92</f>
        <v>12118</v>
      </c>
      <c r="E92" s="297" t="n">
        <f aca="false">D92</f>
        <v>12118</v>
      </c>
      <c r="F92" s="297" t="n">
        <f aca="false">E92</f>
        <v>12118</v>
      </c>
      <c r="G92" s="297" t="n">
        <f aca="false">F92</f>
        <v>12118</v>
      </c>
    </row>
    <row r="93" customFormat="false" ht="15" hidden="false" customHeight="true" outlineLevel="0" collapsed="false">
      <c r="A93" s="286" t="s">
        <v>1482</v>
      </c>
      <c r="B93" s="297" t="n">
        <f aca="false">Datos!G23-Datos!G21-Datos!G26-Datos!G28</f>
        <v>12145</v>
      </c>
      <c r="C93" s="297" t="n">
        <f aca="false">B93</f>
        <v>12145</v>
      </c>
      <c r="D93" s="297" t="n">
        <f aca="false">C93</f>
        <v>12145</v>
      </c>
      <c r="E93" s="297" t="n">
        <f aca="false">D93</f>
        <v>12145</v>
      </c>
      <c r="F93" s="297" t="n">
        <f aca="false">E93</f>
        <v>12145</v>
      </c>
      <c r="G93" s="297" t="n">
        <f aca="false">F93</f>
        <v>12145</v>
      </c>
    </row>
    <row r="94" customFormat="false" ht="15" hidden="false" customHeight="true" outlineLevel="0" collapsed="false">
      <c r="A94" s="285" t="s">
        <v>93</v>
      </c>
      <c r="B94" s="301" t="n">
        <f aca="false">SUM(B90:B93)</f>
        <v>71306</v>
      </c>
      <c r="C94" s="301" t="n">
        <f aca="false">SUM(C90:C93)</f>
        <v>69705.4433187355</v>
      </c>
      <c r="D94" s="301" t="n">
        <f aca="false">SUM(D90:D93)</f>
        <v>67680.4424365609</v>
      </c>
      <c r="E94" s="301" t="n">
        <f aca="false">SUM(E90:E93)</f>
        <v>66459.272449877</v>
      </c>
      <c r="F94" s="301" t="n">
        <f aca="false">SUM(F90:F93)</f>
        <v>65637.5111497494</v>
      </c>
      <c r="G94" s="301" t="n">
        <f aca="false">SUM(G90:G93)</f>
        <v>65076.4335858749</v>
      </c>
    </row>
    <row r="95" customFormat="false" ht="15" hidden="false" customHeight="true" outlineLevel="0" collapsed="false">
      <c r="A95" s="286" t="s">
        <v>94</v>
      </c>
      <c r="B95" s="297" t="n">
        <f aca="false">Datos!G24</f>
        <v>84732</v>
      </c>
      <c r="C95" s="297" t="n">
        <f aca="false">B95+C78+C79</f>
        <v>87683.5759507785</v>
      </c>
      <c r="D95" s="297" t="n">
        <f aca="false">C95+D78+D79</f>
        <v>90569.2184345417</v>
      </c>
      <c r="E95" s="297" t="n">
        <f aca="false">D95+E78+E79</f>
        <v>93534.502128915</v>
      </c>
      <c r="F95" s="297" t="n">
        <f aca="false">E95+F78+F79</f>
        <v>96627.9693413897</v>
      </c>
      <c r="G95" s="297" t="n">
        <f aca="false">F95+G78+G79</f>
        <v>99880.5946510275</v>
      </c>
    </row>
    <row r="96" customFormat="false" ht="15" hidden="false" customHeight="true" outlineLevel="0" collapsed="false">
      <c r="A96" s="285" t="s">
        <v>1483</v>
      </c>
      <c r="B96" s="301" t="n">
        <f aca="false">B94+B95</f>
        <v>156038</v>
      </c>
      <c r="C96" s="301" t="n">
        <f aca="false">C94+C95</f>
        <v>157389.019269514</v>
      </c>
      <c r="D96" s="301" t="n">
        <f aca="false">D94+D95</f>
        <v>158249.660871103</v>
      </c>
      <c r="E96" s="301" t="n">
        <f aca="false">E94+E95</f>
        <v>159993.774578792</v>
      </c>
      <c r="F96" s="301" t="n">
        <f aca="false">F94+F95</f>
        <v>162265.480491139</v>
      </c>
      <c r="G96" s="301" t="n">
        <f aca="false">G94+G95</f>
        <v>164957.028236902</v>
      </c>
    </row>
    <row r="97" customFormat="false" ht="15" hidden="false" customHeight="true" outlineLevel="0" collapsed="false">
      <c r="A97" s="286" t="s">
        <v>1484</v>
      </c>
      <c r="B97" s="297" t="n">
        <f aca="false">B89-B96</f>
        <v>0</v>
      </c>
      <c r="C97" s="297" t="n">
        <f aca="false">C89-C96</f>
        <v>0</v>
      </c>
      <c r="D97" s="297" t="n">
        <f aca="false">D89-D96</f>
        <v>0</v>
      </c>
      <c r="E97" s="297" t="n">
        <f aca="false">E89-E96</f>
        <v>0</v>
      </c>
      <c r="F97" s="297" t="n">
        <f aca="false">F89-F96</f>
        <v>0</v>
      </c>
      <c r="G97" s="297" t="n">
        <f aca="false">G89-G96</f>
        <v>0</v>
      </c>
    </row>
    <row r="98" customFormat="false" ht="15" hidden="false" customHeight="true" outlineLevel="0" collapsed="false">
      <c r="A98" s="298"/>
      <c r="B98" s="298"/>
      <c r="C98" s="298"/>
      <c r="D98" s="298"/>
      <c r="E98" s="298"/>
      <c r="F98" s="298"/>
      <c r="G98" s="298"/>
    </row>
    <row r="99" customFormat="false" ht="15" hidden="false" customHeight="true" outlineLevel="0" collapsed="false">
      <c r="A99" s="285" t="s">
        <v>1888</v>
      </c>
      <c r="B99" s="300" t="s">
        <v>1428</v>
      </c>
      <c r="C99" s="300" t="s">
        <v>1429</v>
      </c>
      <c r="D99" s="300" t="s">
        <v>1430</v>
      </c>
      <c r="E99" s="300" t="s">
        <v>1431</v>
      </c>
      <c r="F99" s="300" t="s">
        <v>1432</v>
      </c>
      <c r="G99" s="300" t="s">
        <v>1433</v>
      </c>
    </row>
    <row r="100" customFormat="false" ht="15" hidden="false" customHeight="true" outlineLevel="0" collapsed="false">
      <c r="A100" s="286" t="s">
        <v>89</v>
      </c>
      <c r="B100" s="302"/>
      <c r="C100" s="297" t="n">
        <f aca="false">C78</f>
        <v>4217.40500016888</v>
      </c>
      <c r="D100" s="297" t="n">
        <f aca="false">D78</f>
        <v>4123.19494489479</v>
      </c>
      <c r="E100" s="297" t="n">
        <f aca="false">E78</f>
        <v>4236.99152185834</v>
      </c>
      <c r="F100" s="297" t="n">
        <f aca="false">F78</f>
        <v>4420.14852652135</v>
      </c>
      <c r="G100" s="297" t="n">
        <f aca="false">G78</f>
        <v>4647.5640380944</v>
      </c>
    </row>
    <row r="101" customFormat="false" ht="15" hidden="false" customHeight="true" outlineLevel="0" collapsed="false">
      <c r="A101" s="286" t="s">
        <v>1445</v>
      </c>
      <c r="B101" s="302"/>
      <c r="C101" s="297" t="n">
        <f aca="false">-C72</f>
        <v>4130.01270581607</v>
      </c>
      <c r="D101" s="297" t="n">
        <f aca="false">-D72</f>
        <v>4066.13220394458</v>
      </c>
      <c r="E101" s="297" t="n">
        <f aca="false">-E72</f>
        <v>4102.78286859152</v>
      </c>
      <c r="F101" s="297" t="n">
        <f aca="false">-F72</f>
        <v>4188.14199729641</v>
      </c>
      <c r="G101" s="297" t="n">
        <f aca="false">-G72</f>
        <v>4305.39317115882</v>
      </c>
    </row>
    <row r="102" customFormat="false" ht="15" hidden="false" customHeight="true" outlineLevel="0" collapsed="false">
      <c r="A102" s="286" t="s">
        <v>1486</v>
      </c>
      <c r="B102" s="302"/>
      <c r="C102" s="297" t="n">
        <f aca="false">-(C85-B85)</f>
        <v>1384.62214397806</v>
      </c>
      <c r="D102" s="297" t="n">
        <f aca="false">-(D85-C85)</f>
        <v>437.678441151093</v>
      </c>
      <c r="E102" s="297" t="n">
        <f aca="false">-(E85-D85)</f>
        <v>54.7597065243572</v>
      </c>
      <c r="F102" s="297" t="n">
        <f aca="false">-(F85-E85)</f>
        <v>-612.010869951904</v>
      </c>
      <c r="G102" s="297" t="n">
        <f aca="false">-(G85-F85)</f>
        <v>-847.2396769142</v>
      </c>
    </row>
    <row r="103" customFormat="false" ht="15" hidden="false" customHeight="true" outlineLevel="0" collapsed="false">
      <c r="A103" s="286" t="s">
        <v>1487</v>
      </c>
      <c r="B103" s="302"/>
      <c r="C103" s="297" t="n">
        <f aca="false">-(C86-B86)</f>
        <v>313.014362644396</v>
      </c>
      <c r="D103" s="297" t="n">
        <f aca="false">-(D86-C86)</f>
        <v>102.672287989059</v>
      </c>
      <c r="E103" s="297" t="n">
        <f aca="false">-(E86-D86)</f>
        <v>-54.5296520428819</v>
      </c>
      <c r="F103" s="297" t="n">
        <f aca="false">-(F86-E86)</f>
        <v>-132.640384965046</v>
      </c>
      <c r="G103" s="297" t="n">
        <f aca="false">-(G86-F86)</f>
        <v>-183.621243381498</v>
      </c>
    </row>
    <row r="104" customFormat="false" ht="15" hidden="false" customHeight="true" outlineLevel="0" collapsed="false">
      <c r="A104" s="286" t="s">
        <v>1446</v>
      </c>
      <c r="B104" s="302"/>
      <c r="C104" s="297" t="n">
        <f aca="false">-C67*C51</f>
        <v>-3832.0389791448</v>
      </c>
      <c r="D104" s="297" t="n">
        <f aca="false">-D67*D51</f>
        <v>-3300.61887393722</v>
      </c>
      <c r="E104" s="297" t="n">
        <f aca="false">-E67*E51</f>
        <v>-3321.94292275407</v>
      </c>
      <c r="F104" s="297" t="n">
        <f aca="false">-F67*F51</f>
        <v>-3382.46608196171</v>
      </c>
      <c r="G104" s="297" t="n">
        <f aca="false">-G67*G51</f>
        <v>-3468.34231752008</v>
      </c>
    </row>
    <row r="105" customFormat="false" ht="15" hidden="false" customHeight="true" outlineLevel="0" collapsed="false">
      <c r="A105" s="286" t="s">
        <v>1488</v>
      </c>
      <c r="B105" s="302"/>
      <c r="C105" s="297" t="n">
        <f aca="false">C90-B90</f>
        <v>-1600.55668126454</v>
      </c>
      <c r="D105" s="297" t="n">
        <f aca="false">D90-C90</f>
        <v>-525.000882174521</v>
      </c>
      <c r="E105" s="297" t="n">
        <f aca="false">E90-D90</f>
        <v>278.830013316096</v>
      </c>
      <c r="F105" s="297" t="n">
        <f aca="false">F90-E90</f>
        <v>678.238699872338</v>
      </c>
      <c r="G105" s="297" t="n">
        <f aca="false">G90-F90</f>
        <v>938.922436125533</v>
      </c>
    </row>
    <row r="106" customFormat="false" ht="15" hidden="false" customHeight="true" outlineLevel="0" collapsed="false">
      <c r="A106" s="286" t="s">
        <v>2692</v>
      </c>
      <c r="B106" s="302"/>
      <c r="C106" s="297" t="n">
        <f aca="false">C79</f>
        <v>-1265.82904939042</v>
      </c>
      <c r="D106" s="297" t="n">
        <f aca="false">D79</f>
        <v>-1237.55246113157</v>
      </c>
      <c r="E106" s="297" t="n">
        <f aca="false">E79</f>
        <v>-1271.70782748502</v>
      </c>
      <c r="F106" s="297" t="n">
        <f aca="false">F79</f>
        <v>-1326.68131404666</v>
      </c>
      <c r="G106" s="297" t="n">
        <f aca="false">G79</f>
        <v>-1394.93872845662</v>
      </c>
    </row>
    <row r="107" customFormat="false" ht="15" hidden="false" customHeight="true" outlineLevel="0" collapsed="false">
      <c r="A107" s="286" t="s">
        <v>2693</v>
      </c>
      <c r="B107" s="302"/>
      <c r="C107" s="297" t="n">
        <f aca="false">C91-B91</f>
        <v>0</v>
      </c>
      <c r="D107" s="297" t="n">
        <f aca="false">D91-C91</f>
        <v>-1500</v>
      </c>
      <c r="E107" s="297" t="n">
        <f aca="false">E91-D91</f>
        <v>-1500</v>
      </c>
      <c r="F107" s="297" t="n">
        <f aca="false">F91-E91</f>
        <v>-1500</v>
      </c>
      <c r="G107" s="297" t="n">
        <f aca="false">G91-F91</f>
        <v>-1500</v>
      </c>
    </row>
    <row r="108" customFormat="false" ht="15" hidden="false" customHeight="true" outlineLevel="0" collapsed="false">
      <c r="A108" s="285" t="s">
        <v>1894</v>
      </c>
      <c r="B108" s="300"/>
      <c r="C108" s="301" t="n">
        <f aca="false">SUM(C100:C107)</f>
        <v>3346.62950280765</v>
      </c>
      <c r="D108" s="301" t="n">
        <f aca="false">SUM(D100:D107)</f>
        <v>2166.50566073622</v>
      </c>
      <c r="E108" s="301" t="n">
        <f aca="false">SUM(E100:E107)</f>
        <v>2525.18370800835</v>
      </c>
      <c r="F108" s="301" t="n">
        <f aca="false">SUM(F100:F107)</f>
        <v>2332.73057276478</v>
      </c>
      <c r="G108" s="301" t="n">
        <f aca="false">SUM(G100:G107)</f>
        <v>2497.73767910636</v>
      </c>
    </row>
    <row r="109" customFormat="false" ht="15" hidden="false" customHeight="true" outlineLevel="0" collapsed="false">
      <c r="A109" s="298"/>
      <c r="B109" s="298"/>
      <c r="C109" s="298"/>
      <c r="D109" s="298"/>
      <c r="E109" s="298"/>
      <c r="F109" s="298"/>
      <c r="G109" s="298"/>
    </row>
    <row r="110" customFormat="false" ht="15" hidden="false" customHeight="true" outlineLevel="0" collapsed="false">
      <c r="A110" s="285" t="s">
        <v>1895</v>
      </c>
      <c r="B110" s="300" t="s">
        <v>1428</v>
      </c>
      <c r="C110" s="300" t="s">
        <v>1429</v>
      </c>
      <c r="D110" s="300" t="s">
        <v>1430</v>
      </c>
      <c r="E110" s="300" t="s">
        <v>1431</v>
      </c>
      <c r="F110" s="300" t="s">
        <v>1432</v>
      </c>
      <c r="G110" s="300" t="s">
        <v>1433</v>
      </c>
    </row>
    <row r="111" customFormat="false" ht="15" hidden="false" customHeight="true" outlineLevel="0" collapsed="false">
      <c r="A111" s="286" t="s">
        <v>81</v>
      </c>
      <c r="B111" s="302"/>
      <c r="C111" s="297" t="n">
        <f aca="false">C73</f>
        <v>8119.50828463301</v>
      </c>
      <c r="D111" s="297" t="n">
        <f aca="false">D73</f>
        <v>7958.8718873124</v>
      </c>
      <c r="E111" s="297" t="n">
        <f aca="false">E73</f>
        <v>8014.23330089669</v>
      </c>
      <c r="F111" s="297" t="n">
        <f aca="false">F73</f>
        <v>8169.42566282084</v>
      </c>
      <c r="G111" s="297" t="n">
        <f aca="false">G73</f>
        <v>8391.57518778872</v>
      </c>
    </row>
    <row r="112" customFormat="false" ht="15" hidden="false" customHeight="true" outlineLevel="0" collapsed="false">
      <c r="A112" s="286" t="s">
        <v>1443</v>
      </c>
      <c r="B112" s="302"/>
      <c r="C112" s="297" t="n">
        <f aca="false">-C111*C55</f>
        <v>-2172.13249799979</v>
      </c>
      <c r="D112" s="297" t="n">
        <f aca="false">-D111*D55</f>
        <v>-2157.01506811488</v>
      </c>
      <c r="E112" s="297" t="n">
        <f aca="false">-E111*E55</f>
        <v>-2217.40613414399</v>
      </c>
      <c r="F112" s="297" t="n">
        <f aca="false">-F111*F55</f>
        <v>-2306.61120567034</v>
      </c>
      <c r="G112" s="297" t="n">
        <f aca="false">-G111*G55</f>
        <v>-2416.85841818721</v>
      </c>
    </row>
    <row r="113" customFormat="false" ht="15" hidden="false" customHeight="true" outlineLevel="0" collapsed="false">
      <c r="A113" s="286" t="s">
        <v>2694</v>
      </c>
      <c r="B113" s="302"/>
      <c r="C113" s="297" t="n">
        <f aca="false">C111+C112</f>
        <v>5947.37578663322</v>
      </c>
      <c r="D113" s="297" t="n">
        <f aca="false">D111+D112</f>
        <v>5801.85681919752</v>
      </c>
      <c r="E113" s="297" t="n">
        <f aca="false">E111+E112</f>
        <v>5796.8271667527</v>
      </c>
      <c r="F113" s="297" t="n">
        <f aca="false">F111+F112</f>
        <v>5862.8144571505</v>
      </c>
      <c r="G113" s="297" t="n">
        <f aca="false">G111+G112</f>
        <v>5974.71676960151</v>
      </c>
    </row>
    <row r="114" customFormat="false" ht="15" hidden="false" customHeight="true" outlineLevel="0" collapsed="false">
      <c r="A114" s="286" t="s">
        <v>1445</v>
      </c>
      <c r="B114" s="302"/>
      <c r="C114" s="297" t="n">
        <f aca="false">C101</f>
        <v>4130.01270581607</v>
      </c>
      <c r="D114" s="297" t="n">
        <f aca="false">D101</f>
        <v>4066.13220394458</v>
      </c>
      <c r="E114" s="297" t="n">
        <f aca="false">E101</f>
        <v>4102.78286859152</v>
      </c>
      <c r="F114" s="297" t="n">
        <f aca="false">F101</f>
        <v>4188.14199729641</v>
      </c>
      <c r="G114" s="297" t="n">
        <f aca="false">G101</f>
        <v>4305.39317115882</v>
      </c>
    </row>
    <row r="115" customFormat="false" ht="15" hidden="false" customHeight="true" outlineLevel="0" collapsed="false">
      <c r="A115" s="286" t="s">
        <v>1446</v>
      </c>
      <c r="B115" s="302"/>
      <c r="C115" s="297" t="n">
        <f aca="false">C104</f>
        <v>-3832.0389791448</v>
      </c>
      <c r="D115" s="297" t="n">
        <f aca="false">D104</f>
        <v>-3300.61887393722</v>
      </c>
      <c r="E115" s="297" t="n">
        <f aca="false">E104</f>
        <v>-3321.94292275407</v>
      </c>
      <c r="F115" s="297" t="n">
        <f aca="false">F104</f>
        <v>-3382.46608196171</v>
      </c>
      <c r="G115" s="297" t="n">
        <f aca="false">G104</f>
        <v>-3468.34231752008</v>
      </c>
    </row>
    <row r="116" customFormat="false" ht="15" hidden="false" customHeight="true" outlineLevel="0" collapsed="false">
      <c r="A116" s="286" t="s">
        <v>1447</v>
      </c>
      <c r="B116" s="302"/>
      <c r="C116" s="297" t="n">
        <f aca="false">C102+C103+C105</f>
        <v>97.0798253579187</v>
      </c>
      <c r="D116" s="297" t="n">
        <f aca="false">D102+D103+D105</f>
        <v>15.3498469656297</v>
      </c>
      <c r="E116" s="297" t="n">
        <f aca="false">E102+E103+E105</f>
        <v>279.060067797571</v>
      </c>
      <c r="F116" s="297" t="n">
        <f aca="false">F102+F103+F105</f>
        <v>-66.4125550446124</v>
      </c>
      <c r="G116" s="297" t="n">
        <f aca="false">G102+G103+G105</f>
        <v>-91.9384841701649</v>
      </c>
    </row>
    <row r="117" customFormat="false" ht="15" hidden="false" customHeight="true" outlineLevel="0" collapsed="false">
      <c r="A117" s="285" t="s">
        <v>2695</v>
      </c>
      <c r="B117" s="300"/>
      <c r="C117" s="301" t="n">
        <f aca="false">SUM(C113:C116)</f>
        <v>6342.42933866242</v>
      </c>
      <c r="D117" s="301" t="n">
        <f aca="false">SUM(D113:D116)</f>
        <v>6582.71999617052</v>
      </c>
      <c r="E117" s="301" t="n">
        <f aca="false">SUM(E113:E116)</f>
        <v>6856.72718038773</v>
      </c>
      <c r="F117" s="301" t="n">
        <f aca="false">SUM(F113:F116)</f>
        <v>6602.07781744059</v>
      </c>
      <c r="G117" s="301" t="n">
        <f aca="false">SUM(G113:G116)</f>
        <v>6719.82913907008</v>
      </c>
    </row>
    <row r="118" customFormat="false" ht="15" hidden="false" customHeight="true" outlineLevel="0" collapsed="false">
      <c r="A118" s="286" t="s">
        <v>1441</v>
      </c>
      <c r="B118" s="302"/>
      <c r="C118" s="303" t="n">
        <v>1</v>
      </c>
      <c r="D118" s="303" t="n">
        <f aca="false">C118+1</f>
        <v>2</v>
      </c>
      <c r="E118" s="303" t="n">
        <f aca="false">D118+1</f>
        <v>3</v>
      </c>
      <c r="F118" s="303" t="n">
        <f aca="false">E118+1</f>
        <v>4</v>
      </c>
      <c r="G118" s="303" t="n">
        <f aca="false">F118+1</f>
        <v>5</v>
      </c>
    </row>
    <row r="119" customFormat="false" ht="15" hidden="false" customHeight="true" outlineLevel="0" collapsed="false">
      <c r="A119" s="286" t="s">
        <v>1449</v>
      </c>
      <c r="B119" s="302"/>
      <c r="C119" s="304" t="n">
        <f aca="false">1/(1+$B$126)^C118</f>
        <v>0.911935830347166</v>
      </c>
      <c r="D119" s="304" t="n">
        <f aca="false">1/(1+$B$126)^D118</f>
        <v>0.831626958670975</v>
      </c>
      <c r="E119" s="304" t="n">
        <f aca="false">1/(1+$B$126)^E118</f>
        <v>0.758390421094704</v>
      </c>
      <c r="F119" s="304" t="n">
        <f aca="false">1/(1+$B$126)^F118</f>
        <v>0.691603398388336</v>
      </c>
      <c r="G119" s="304" t="n">
        <f aca="false">1/(1+$B$126)^G118</f>
        <v>0.630697919380189</v>
      </c>
    </row>
    <row r="120" customFormat="false" ht="15" hidden="false" customHeight="true" outlineLevel="0" collapsed="false">
      <c r="A120" s="286" t="s">
        <v>1450</v>
      </c>
      <c r="B120" s="302"/>
      <c r="C120" s="297" t="n">
        <f aca="false">C117*C119</f>
        <v>5783.88856537134</v>
      </c>
      <c r="D120" s="297" t="n">
        <f aca="false">D117*D119</f>
        <v>5474.3674101979</v>
      </c>
      <c r="E120" s="297" t="n">
        <f aca="false">E117*E119</f>
        <v>5200.07621366575</v>
      </c>
      <c r="F120" s="297" t="n">
        <f aca="false">F117*F119</f>
        <v>4566.01945496616</v>
      </c>
      <c r="G120" s="297" t="n">
        <f aca="false">G117*G119</f>
        <v>4238.18225660187</v>
      </c>
    </row>
    <row r="121" customFormat="false" ht="15" hidden="false" customHeight="true" outlineLevel="0" collapsed="false">
      <c r="A121" s="298"/>
      <c r="B121" s="298"/>
      <c r="C121" s="298"/>
      <c r="D121" s="298"/>
      <c r="E121" s="298"/>
      <c r="F121" s="298"/>
      <c r="G121" s="298"/>
    </row>
    <row r="122" customFormat="false" ht="15" hidden="false" customHeight="true" outlineLevel="0" collapsed="false">
      <c r="A122" s="285" t="s">
        <v>1901</v>
      </c>
      <c r="B122" s="300" t="s">
        <v>78</v>
      </c>
      <c r="C122" s="300"/>
      <c r="D122" s="300"/>
      <c r="E122" s="300"/>
      <c r="F122" s="300"/>
      <c r="G122" s="300"/>
    </row>
    <row r="123" customFormat="false" ht="15" hidden="false" customHeight="true" outlineLevel="0" collapsed="false">
      <c r="A123" s="286" t="s">
        <v>1903</v>
      </c>
      <c r="B123" s="296" t="n">
        <f aca="false">Escenarios!$K$11</f>
        <v>0.035</v>
      </c>
      <c r="C123" s="302"/>
      <c r="D123" s="302"/>
      <c r="E123" s="302"/>
      <c r="F123" s="302"/>
      <c r="G123" s="302"/>
    </row>
    <row r="124" customFormat="false" ht="15" hidden="false" customHeight="true" outlineLevel="0" collapsed="false">
      <c r="A124" s="286" t="s">
        <v>1904</v>
      </c>
      <c r="B124" s="296" t="n">
        <f aca="false">B220</f>
        <v>0.0965683842242593</v>
      </c>
      <c r="C124" s="302"/>
      <c r="D124" s="302"/>
      <c r="E124" s="302"/>
      <c r="F124" s="302"/>
      <c r="G124" s="302"/>
    </row>
    <row r="125" customFormat="false" ht="15" hidden="false" customHeight="true" outlineLevel="0" collapsed="false">
      <c r="A125" s="286" t="s">
        <v>1905</v>
      </c>
      <c r="B125" s="296" t="n">
        <v>0</v>
      </c>
      <c r="C125" s="302"/>
      <c r="D125" s="302"/>
      <c r="E125" s="302"/>
      <c r="F125" s="302"/>
      <c r="G125" s="302"/>
    </row>
    <row r="126" customFormat="false" ht="15" hidden="false" customHeight="true" outlineLevel="0" collapsed="false">
      <c r="A126" s="286" t="s">
        <v>1906</v>
      </c>
      <c r="B126" s="296" t="n">
        <f aca="false">B124+B125</f>
        <v>0.0965683842242593</v>
      </c>
      <c r="C126" s="302"/>
      <c r="D126" s="302"/>
      <c r="E126" s="302"/>
      <c r="F126" s="302"/>
      <c r="G126" s="302"/>
    </row>
    <row r="127" customFormat="false" ht="15" hidden="false" customHeight="true" outlineLevel="0" collapsed="false">
      <c r="A127" s="286" t="s">
        <v>1907</v>
      </c>
      <c r="B127" s="297" t="n">
        <f aca="false">G117</f>
        <v>6719.82913907008</v>
      </c>
      <c r="C127" s="302"/>
      <c r="D127" s="302"/>
      <c r="E127" s="302"/>
      <c r="F127" s="302"/>
      <c r="G127" s="302"/>
    </row>
    <row r="128" customFormat="false" ht="15" hidden="false" customHeight="true" outlineLevel="0" collapsed="false">
      <c r="A128" s="286" t="s">
        <v>2696</v>
      </c>
      <c r="B128" s="297" t="n">
        <f aca="false">B127*(1+B123)</f>
        <v>6955.02315893753</v>
      </c>
      <c r="C128" s="302"/>
      <c r="D128" s="302"/>
      <c r="E128" s="302"/>
      <c r="F128" s="302"/>
      <c r="G128" s="302"/>
    </row>
    <row r="129" customFormat="false" ht="15" hidden="false" customHeight="true" outlineLevel="0" collapsed="false">
      <c r="A129" s="285" t="s">
        <v>2697</v>
      </c>
      <c r="B129" s="301" t="n">
        <f aca="false">IF(B126&gt;B123,B128/(B126-B123),"REVISAR WACC/g")</f>
        <v>112964.198209332</v>
      </c>
      <c r="C129" s="300"/>
      <c r="D129" s="300"/>
      <c r="E129" s="300"/>
      <c r="F129" s="300"/>
      <c r="G129" s="300"/>
    </row>
    <row r="130" customFormat="false" ht="15" hidden="false" customHeight="true" outlineLevel="0" collapsed="false">
      <c r="A130" s="286" t="s">
        <v>1910</v>
      </c>
      <c r="B130" s="304" t="n">
        <f aca="false">G119</f>
        <v>0.630697919380189</v>
      </c>
      <c r="C130" s="302"/>
      <c r="D130" s="302"/>
      <c r="E130" s="302"/>
      <c r="F130" s="302"/>
      <c r="G130" s="302"/>
    </row>
    <row r="131" customFormat="false" ht="15" hidden="false" customHeight="true" outlineLevel="0" collapsed="false">
      <c r="A131" s="286" t="s">
        <v>1498</v>
      </c>
      <c r="B131" s="297" t="n">
        <f aca="false">B129*B130</f>
        <v>71246.2847750769</v>
      </c>
      <c r="C131" s="302"/>
      <c r="D131" s="302"/>
      <c r="E131" s="302"/>
      <c r="F131" s="302"/>
      <c r="G131" s="302"/>
    </row>
    <row r="132" customFormat="false" ht="15" hidden="false" customHeight="true" outlineLevel="0" collapsed="false">
      <c r="A132" s="298"/>
      <c r="B132" s="298"/>
      <c r="C132" s="298"/>
      <c r="D132" s="298"/>
      <c r="E132" s="298"/>
      <c r="F132" s="298"/>
      <c r="G132" s="298"/>
    </row>
    <row r="133" customFormat="false" ht="15" hidden="false" customHeight="true" outlineLevel="0" collapsed="false">
      <c r="A133" s="285" t="s">
        <v>1911</v>
      </c>
      <c r="B133" s="300" t="s">
        <v>78</v>
      </c>
      <c r="C133" s="300"/>
      <c r="D133" s="300"/>
      <c r="E133" s="300"/>
      <c r="F133" s="300"/>
      <c r="G133" s="300"/>
    </row>
    <row r="134" customFormat="false" ht="15" hidden="false" customHeight="true" outlineLevel="0" collapsed="false">
      <c r="A134" s="286" t="s">
        <v>1913</v>
      </c>
      <c r="B134" s="297" t="n">
        <f aca="false">SUM(C120:G120)</f>
        <v>25262.533900803</v>
      </c>
      <c r="C134" s="302"/>
      <c r="D134" s="302"/>
      <c r="E134" s="302"/>
      <c r="F134" s="302"/>
      <c r="G134" s="302"/>
    </row>
    <row r="135" customFormat="false" ht="15" hidden="false" customHeight="true" outlineLevel="0" collapsed="false">
      <c r="A135" s="286" t="s">
        <v>1914</v>
      </c>
      <c r="B135" s="297" t="n">
        <f aca="false">B131</f>
        <v>71246.2847750769</v>
      </c>
      <c r="C135" s="302"/>
      <c r="D135" s="302"/>
      <c r="E135" s="302"/>
      <c r="F135" s="302"/>
      <c r="G135" s="302"/>
    </row>
    <row r="136" customFormat="false" ht="15" hidden="false" customHeight="true" outlineLevel="0" collapsed="false">
      <c r="A136" s="285" t="s">
        <v>1915</v>
      </c>
      <c r="B136" s="301" t="n">
        <f aca="false">B134+B135</f>
        <v>96508.81867588</v>
      </c>
      <c r="C136" s="300"/>
      <c r="D136" s="300"/>
      <c r="E136" s="300"/>
      <c r="F136" s="300"/>
      <c r="G136" s="300"/>
    </row>
    <row r="137" customFormat="false" ht="15" hidden="false" customHeight="true" outlineLevel="0" collapsed="false">
      <c r="A137" s="286" t="s">
        <v>1461</v>
      </c>
      <c r="B137" s="295" t="n">
        <f aca="false">B135/B136</f>
        <v>0.738236005295579</v>
      </c>
      <c r="C137" s="302"/>
      <c r="D137" s="302"/>
      <c r="E137" s="302"/>
      <c r="F137" s="302"/>
      <c r="G137" s="302"/>
    </row>
    <row r="138" customFormat="false" ht="15" hidden="false" customHeight="true" outlineLevel="0" collapsed="false">
      <c r="A138" s="298"/>
      <c r="B138" s="298"/>
      <c r="C138" s="298"/>
      <c r="D138" s="298"/>
      <c r="E138" s="298"/>
      <c r="F138" s="298"/>
      <c r="G138" s="298"/>
    </row>
    <row r="139" customFormat="false" ht="15" hidden="false" customHeight="true" outlineLevel="0" collapsed="false">
      <c r="A139" s="285" t="s">
        <v>1916</v>
      </c>
      <c r="B139" s="300" t="s">
        <v>78</v>
      </c>
      <c r="C139" s="300"/>
      <c r="D139" s="300"/>
      <c r="E139" s="300"/>
      <c r="F139" s="300"/>
      <c r="G139" s="300"/>
    </row>
    <row r="140" customFormat="false" ht="15" hidden="false" customHeight="true" outlineLevel="0" collapsed="false">
      <c r="A140" s="286" t="s">
        <v>1915</v>
      </c>
      <c r="B140" s="297" t="n">
        <f aca="false">B136</f>
        <v>96508.81867588</v>
      </c>
      <c r="C140" s="302"/>
      <c r="D140" s="302"/>
      <c r="E140" s="302"/>
      <c r="F140" s="302"/>
      <c r="G140" s="302"/>
    </row>
    <row r="141" customFormat="false" ht="15" hidden="false" customHeight="true" outlineLevel="0" collapsed="false">
      <c r="A141" s="286" t="s">
        <v>1502</v>
      </c>
      <c r="B141" s="297" t="n">
        <f aca="false">-B91</f>
        <v>-11500</v>
      </c>
      <c r="C141" s="302"/>
      <c r="D141" s="302"/>
      <c r="E141" s="302"/>
      <c r="F141" s="302"/>
      <c r="G141" s="302"/>
    </row>
    <row r="142" customFormat="false" ht="15" hidden="false" customHeight="true" outlineLevel="0" collapsed="false">
      <c r="A142" s="286" t="s">
        <v>1503</v>
      </c>
      <c r="B142" s="297" t="n">
        <f aca="false">-B92</f>
        <v>-12118</v>
      </c>
      <c r="C142" s="302"/>
      <c r="D142" s="302"/>
      <c r="E142" s="302"/>
      <c r="F142" s="302"/>
      <c r="G142" s="302"/>
    </row>
    <row r="143" customFormat="false" ht="15" hidden="false" customHeight="true" outlineLevel="0" collapsed="false">
      <c r="A143" s="286" t="s">
        <v>1504</v>
      </c>
      <c r="B143" s="297" t="n">
        <f aca="false">B84</f>
        <v>9295</v>
      </c>
      <c r="C143" s="302"/>
      <c r="D143" s="302"/>
      <c r="E143" s="302"/>
      <c r="F143" s="302"/>
      <c r="G143" s="302"/>
    </row>
    <row r="144" customFormat="false" ht="15" hidden="false" customHeight="true" outlineLevel="0" collapsed="false">
      <c r="A144" s="286" t="s">
        <v>1920</v>
      </c>
      <c r="B144" s="297" t="n">
        <f aca="false">-(B141+B142+B143)</f>
        <v>14323</v>
      </c>
      <c r="C144" s="302"/>
      <c r="D144" s="302"/>
      <c r="E144" s="302"/>
      <c r="F144" s="302"/>
      <c r="G144" s="302"/>
    </row>
    <row r="145" customFormat="false" ht="15" hidden="false" customHeight="true" outlineLevel="0" collapsed="false">
      <c r="A145" s="285" t="s">
        <v>1921</v>
      </c>
      <c r="B145" s="301" t="n">
        <f aca="false">SUM(B140:B143)</f>
        <v>82185.81867588</v>
      </c>
      <c r="C145" s="300"/>
      <c r="D145" s="300"/>
      <c r="E145" s="300"/>
      <c r="F145" s="300"/>
      <c r="G145" s="300"/>
    </row>
    <row r="146" customFormat="false" ht="15" hidden="false" customHeight="true" outlineLevel="0" collapsed="false">
      <c r="A146" s="298"/>
      <c r="B146" s="298"/>
      <c r="C146" s="298"/>
      <c r="D146" s="298"/>
      <c r="E146" s="298"/>
      <c r="F146" s="298"/>
      <c r="G146" s="298"/>
    </row>
    <row r="147" customFormat="false" ht="15" hidden="false" customHeight="true" outlineLevel="0" collapsed="false">
      <c r="A147" s="285" t="s">
        <v>1922</v>
      </c>
      <c r="B147" s="300" t="s">
        <v>78</v>
      </c>
      <c r="C147" s="300"/>
      <c r="D147" s="300"/>
      <c r="E147" s="300"/>
      <c r="F147" s="300"/>
      <c r="G147" s="300"/>
    </row>
    <row r="148" customFormat="false" ht="15" hidden="false" customHeight="true" outlineLevel="0" collapsed="false">
      <c r="A148" s="286" t="s">
        <v>1924</v>
      </c>
      <c r="B148" s="297" t="n">
        <f aca="false">B145</f>
        <v>82185.81867588</v>
      </c>
      <c r="C148" s="302"/>
      <c r="D148" s="302"/>
      <c r="E148" s="302"/>
      <c r="F148" s="302"/>
      <c r="G148" s="302"/>
    </row>
    <row r="149" customFormat="false" ht="15" hidden="false" customHeight="true" outlineLevel="0" collapsed="false">
      <c r="A149" s="286" t="s">
        <v>57</v>
      </c>
      <c r="B149" s="305" t="n">
        <f aca="false">Valuación!B40</f>
        <v>1800</v>
      </c>
      <c r="C149" s="302"/>
      <c r="D149" s="302"/>
      <c r="E149" s="302"/>
      <c r="F149" s="302"/>
      <c r="G149" s="302"/>
    </row>
    <row r="150" customFormat="false" ht="15" hidden="false" customHeight="true" outlineLevel="0" collapsed="false">
      <c r="A150" s="285" t="s">
        <v>1925</v>
      </c>
      <c r="B150" s="306" t="n">
        <f aca="false">B148/B149</f>
        <v>45.6587881532666</v>
      </c>
      <c r="C150" s="300"/>
      <c r="D150" s="300"/>
      <c r="E150" s="300"/>
      <c r="F150" s="300"/>
      <c r="G150" s="300"/>
    </row>
    <row r="151" customFormat="false" ht="15" hidden="false" customHeight="true" outlineLevel="0" collapsed="false">
      <c r="A151" s="286" t="s">
        <v>16</v>
      </c>
      <c r="B151" s="307" t="n">
        <f aca="false">Valuación!B42</f>
        <v>33.1</v>
      </c>
      <c r="C151" s="302"/>
      <c r="D151" s="302"/>
      <c r="E151" s="302"/>
      <c r="F151" s="302"/>
      <c r="G151" s="302"/>
    </row>
    <row r="152" customFormat="false" ht="15" hidden="false" customHeight="true" outlineLevel="0" collapsed="false">
      <c r="A152" s="286" t="s">
        <v>17</v>
      </c>
      <c r="B152" s="295" t="n">
        <f aca="false">B150/B151-1</f>
        <v>0.379419581669687</v>
      </c>
      <c r="C152" s="302"/>
      <c r="D152" s="302"/>
      <c r="E152" s="302"/>
      <c r="F152" s="302"/>
      <c r="G152" s="302"/>
    </row>
    <row r="153" customFormat="false" ht="15" hidden="false" customHeight="true" outlineLevel="0" collapsed="false">
      <c r="A153" s="286" t="s">
        <v>1926</v>
      </c>
      <c r="B153" s="307" t="n">
        <f aca="false">'Proyección Soriana'!B85</f>
        <v>50.1939335833512</v>
      </c>
      <c r="C153" s="302"/>
      <c r="D153" s="302"/>
      <c r="E153" s="302"/>
      <c r="F153" s="302"/>
      <c r="G153" s="302"/>
    </row>
    <row r="154" customFormat="false" ht="15" hidden="false" customHeight="true" outlineLevel="0" collapsed="false">
      <c r="A154" s="286" t="s">
        <v>1927</v>
      </c>
      <c r="B154" s="295" t="n">
        <f aca="false">B150/B153-1</f>
        <v>-0.0903524610708891</v>
      </c>
      <c r="C154" s="302"/>
      <c r="D154" s="302"/>
      <c r="E154" s="302"/>
      <c r="F154" s="302"/>
      <c r="G154" s="302"/>
    </row>
    <row r="155" customFormat="false" ht="15" hidden="false" customHeight="true" outlineLevel="0" collapsed="false">
      <c r="A155" s="286" t="s">
        <v>2698</v>
      </c>
      <c r="B155" s="295" t="n">
        <v>0.15</v>
      </c>
      <c r="C155" s="302"/>
      <c r="D155" s="302"/>
      <c r="E155" s="302"/>
      <c r="F155" s="302"/>
      <c r="G155" s="302"/>
    </row>
    <row r="156" customFormat="false" ht="15" hidden="false" customHeight="true" outlineLevel="0" collapsed="false">
      <c r="A156" s="285" t="s">
        <v>1929</v>
      </c>
      <c r="B156" s="300" t="str">
        <f aca="false">IF(B152&gt;B155,"COMPRAR",IF(B152&lt;-B155,"VENDER","MANTENER"))</f>
        <v>COMPRAR</v>
      </c>
      <c r="C156" s="300"/>
      <c r="D156" s="300"/>
      <c r="E156" s="300"/>
      <c r="F156" s="300"/>
      <c r="G156" s="300"/>
    </row>
    <row r="157" customFormat="false" ht="15" hidden="false" customHeight="true" outlineLevel="0" collapsed="false">
      <c r="A157" s="286" t="s">
        <v>1930</v>
      </c>
      <c r="B157" s="302" t="str">
        <f aca="false" t="array" ref="B157:B157">IF(SUMPRODUCT(ABS(B97:G97))&lt;1,"PASS","FAIL")</f>
        <v>PASS</v>
      </c>
      <c r="C157" s="302"/>
      <c r="D157" s="302"/>
      <c r="E157" s="302"/>
      <c r="F157" s="302"/>
      <c r="G157" s="302"/>
    </row>
    <row r="158" customFormat="false" ht="15" hidden="false" customHeight="true" outlineLevel="0" collapsed="false">
      <c r="A158" s="286" t="s">
        <v>1931</v>
      </c>
      <c r="B158" s="302" t="str">
        <f aca="false">IF(B126&gt;B123,"PASS","FAIL")</f>
        <v>PASS</v>
      </c>
      <c r="C158" s="302"/>
      <c r="D158" s="302"/>
      <c r="E158" s="302"/>
      <c r="F158" s="302"/>
      <c r="G158" s="302"/>
    </row>
    <row r="159" customFormat="false" ht="15" hidden="false" customHeight="true" outlineLevel="0" collapsed="false">
      <c r="A159" s="298"/>
      <c r="B159" s="298"/>
      <c r="C159" s="298"/>
      <c r="D159" s="298"/>
      <c r="E159" s="298"/>
      <c r="F159" s="298"/>
      <c r="G159" s="298"/>
    </row>
    <row r="160" customFormat="false" ht="15" hidden="false" customHeight="true" outlineLevel="0" collapsed="false">
      <c r="A160" s="285" t="s">
        <v>1932</v>
      </c>
      <c r="B160" s="300"/>
      <c r="C160" s="300"/>
      <c r="D160" s="300"/>
      <c r="E160" s="300"/>
      <c r="F160" s="300"/>
      <c r="G160" s="300"/>
    </row>
    <row r="161" customFormat="false" ht="15" hidden="false" customHeight="true" outlineLevel="0" collapsed="false">
      <c r="A161" s="286" t="s">
        <v>1934</v>
      </c>
      <c r="B161" s="296" t="n">
        <v>0.005</v>
      </c>
      <c r="C161" s="302"/>
      <c r="D161" s="302"/>
      <c r="E161" s="302"/>
      <c r="F161" s="302"/>
      <c r="G161" s="302"/>
    </row>
    <row r="162" customFormat="false" ht="15" hidden="false" customHeight="true" outlineLevel="0" collapsed="false">
      <c r="A162" s="285" t="s">
        <v>2699</v>
      </c>
      <c r="B162" s="338" t="n">
        <f aca="false">$B$123-2*$B$161</f>
        <v>0.025</v>
      </c>
      <c r="C162" s="338" t="n">
        <f aca="false">B162+$B$161</f>
        <v>0.03</v>
      </c>
      <c r="D162" s="338" t="n">
        <f aca="false">C162+$B$161</f>
        <v>0.035</v>
      </c>
      <c r="E162" s="338" t="n">
        <f aca="false">D162+$B$161</f>
        <v>0.04</v>
      </c>
      <c r="F162" s="338" t="n">
        <f aca="false">E162+$B$161</f>
        <v>0.045</v>
      </c>
      <c r="G162" s="300"/>
    </row>
    <row r="163" customFormat="false" ht="15" hidden="false" customHeight="true" outlineLevel="0" collapsed="false">
      <c r="A163" s="338" t="n">
        <f aca="false">$B$126-2*$B$161</f>
        <v>0.0865683842242593</v>
      </c>
      <c r="B163" s="307" t="n">
        <f aca="false">IF($A163&lt;=B$162,"n.a.",(($B$243*(SUMPRODUCT($C$117:$G$117,(1+$A163)^(-$C$118:$G$118))+$G$117*(1+B$162)/($A163-B$162)*(1+$A163)^-5)+$B$244*(SUMPRODUCT($C$117:$G$117,(1+$A163)^(-$C$118:$G$118))+$B$236*(1+$A163)^-5))*(1+$A163)^$B$253+$B$257+$B$259+$B$260+$B$261)*(1+$B$221)^$B$254/$B$264)</f>
        <v>42.8664544600681</v>
      </c>
      <c r="C163" s="307" t="n">
        <f aca="false">IF($A163&lt;=C$162,"n.a.",(($B$243*(SUMPRODUCT($C$117:$G$117,(1+$A163)^(-$C$118:$G$118))+$G$117*(1+C$162)/($A163-C$162)*(1+$A163)^-5)+$B$244*(SUMPRODUCT($C$117:$G$117,(1+$A163)^(-$C$118:$G$118))+$B$236*(1+$A163)^-5))*(1+$A163)^$B$253+$B$257+$B$259+$B$260+$B$261)*(1+$B$221)^$B$254/$B$264)</f>
        <v>44.9245109754365</v>
      </c>
      <c r="D163" s="307" t="n">
        <f aca="false">IF($A163&lt;=D$162,"n.a.",(($B$243*(SUMPRODUCT($C$117:$G$117,(1+$A163)^(-$C$118:$G$118))+$G$117*(1+D$162)/($A163-D$162)*(1+$A163)^-5)+$B$244*(SUMPRODUCT($C$117:$G$117,(1+$A163)^(-$C$118:$G$118))+$B$236*(1+$A163)^-5))*(1+$A163)^$B$253+$B$257+$B$259+$B$260+$B$261)*(1+$B$221)^$B$254/$B$264)</f>
        <v>47.3816601803137</v>
      </c>
      <c r="E163" s="307" t="n">
        <f aca="false">IF($A163&lt;=E$162,"n.a.",(($B$243*(SUMPRODUCT($C$117:$G$117,(1+$A163)^(-$C$118:$G$118))+$G$117*(1+E$162)/($A163-E$162)*(1+$A163)^-5)+$B$244*(SUMPRODUCT($C$117:$G$117,(1+$A163)^(-$C$118:$G$118))+$B$236*(1+$A163)^-5))*(1+$A163)^$B$253+$B$257+$B$259+$B$260+$B$261)*(1+$B$221)^$B$254/$B$264)</f>
        <v>50.3664526018945</v>
      </c>
      <c r="F163" s="307" t="n">
        <f aca="false">IF($A163&lt;=F$162,"n.a.",(($B$243*(SUMPRODUCT($C$117:$G$117,(1+$A163)^(-$C$118:$G$118))+$G$117*(1+F$162)/($A163-F$162)*(1+$A163)^-5)+$B$244*(SUMPRODUCT($C$117:$G$117,(1+$A163)^(-$C$118:$G$118))+$B$236*(1+$A163)^-5))*(1+$A163)^$B$253+$B$257+$B$259+$B$260+$B$261)*(1+$B$221)^$B$254/$B$264)</f>
        <v>54.0692889112236</v>
      </c>
      <c r="G163" s="302"/>
    </row>
    <row r="164" customFormat="false" ht="15" hidden="false" customHeight="true" outlineLevel="0" collapsed="false">
      <c r="A164" s="338" t="n">
        <f aca="false">A163+$B$161</f>
        <v>0.0915683842242593</v>
      </c>
      <c r="B164" s="307" t="n">
        <f aca="false">IF($A164&lt;=B$162,"n.a.",(($B$243*(SUMPRODUCT($C$117:$G$117,(1+$A164)^(-$C$118:$G$118))+$G$117*(1+B$162)/($A164-B$162)*(1+$A164)^-5)+$B$244*(SUMPRODUCT($C$117:$G$117,(1+$A164)^(-$C$118:$G$118))+$B$236*(1+$A164)^-5))*(1+$A164)^$B$253+$B$257+$B$259+$B$260+$B$261)*(1+$B$221)^$B$254/$B$264)</f>
        <v>40.3392050962552</v>
      </c>
      <c r="C164" s="307" t="n">
        <f aca="false">IF($A164&lt;=C$162,"n.a.",(($B$243*(SUMPRODUCT($C$117:$G$117,(1+$A164)^(-$C$118:$G$118))+$G$117*(1+C$162)/($A164-C$162)*(1+$A164)^-5)+$B$244*(SUMPRODUCT($C$117:$G$117,(1+$A164)^(-$C$118:$G$118))+$B$236*(1+$A164)^-5))*(1+$A164)^$B$253+$B$257+$B$259+$B$260+$B$261)*(1+$B$221)^$B$254/$B$264)</f>
        <v>42.0602193224122</v>
      </c>
      <c r="D164" s="307" t="n">
        <f aca="false">IF($A164&lt;=D$162,"n.a.",(($B$243*(SUMPRODUCT($C$117:$G$117,(1+$A164)^(-$C$118:$G$118))+$G$117*(1+D$162)/($A164-D$162)*(1+$A164)^-5)+$B$244*(SUMPRODUCT($C$117:$G$117,(1+$A164)^(-$C$118:$G$118))+$B$236*(1+$A164)^-5))*(1+$A164)^$B$253+$B$257+$B$259+$B$260+$B$261)*(1+$B$221)^$B$254/$B$264)</f>
        <v>44.0854696072366</v>
      </c>
      <c r="E164" s="307" t="n">
        <f aca="false">IF($A164&lt;=E$162,"n.a.",(($B$243*(SUMPRODUCT($C$117:$G$117,(1+$A164)^(-$C$118:$G$118))+$G$117*(1+E$162)/($A164-E$162)*(1+$A164)^-5)+$B$244*(SUMPRODUCT($C$117:$G$117,(1+$A164)^(-$C$118:$G$118))+$B$236*(1+$A164)^-5))*(1+$A164)^$B$253+$B$257+$B$259+$B$260+$B$261)*(1+$B$221)^$B$254/$B$264)</f>
        <v>46.5034508870863</v>
      </c>
      <c r="F164" s="307" t="n">
        <f aca="false">IF($A164&lt;=F$162,"n.a.",(($B$243*(SUMPRODUCT($C$117:$G$117,(1+$A164)^(-$C$118:$G$118))+$G$117*(1+F$162)/($A164-F$162)*(1+$A164)^-5)+$B$244*(SUMPRODUCT($C$117:$G$117,(1+$A164)^(-$C$118:$G$118))+$B$236*(1+$A164)^-5))*(1+$A164)^$B$253+$B$257+$B$259+$B$260+$B$261)*(1+$B$221)^$B$254/$B$264)</f>
        <v>49.4406645431777</v>
      </c>
      <c r="G164" s="302"/>
    </row>
    <row r="165" customFormat="false" ht="15" hidden="false" customHeight="true" outlineLevel="0" collapsed="false">
      <c r="A165" s="338" t="n">
        <f aca="false">A164+$B$161</f>
        <v>0.0965683842242593</v>
      </c>
      <c r="B165" s="307" t="n">
        <f aca="false">IF($A165&lt;=B$162,"n.a.",(($B$243*(SUMPRODUCT($C$117:$G$117,(1+$A165)^(-$C$118:$G$118))+$G$117*(1+B$162)/($A165-B$162)*(1+$A165)^-5)+$B$244*(SUMPRODUCT($C$117:$G$117,(1+$A165)^(-$C$118:$G$118))+$B$236*(1+$A165)^-5))*(1+$A165)^$B$253+$B$257+$B$259+$B$260+$B$261)*(1+$B$221)^$B$254/$B$264)</f>
        <v>38.1206490159058</v>
      </c>
      <c r="C165" s="307" t="n">
        <f aca="false">IF($A165&lt;=C$162,"n.a.",(($B$243*(SUMPRODUCT($C$117:$G$117,(1+$A165)^(-$C$118:$G$118))+$G$117*(1+C$162)/($A165-C$162)*(1+$A165)^-5)+$B$244*(SUMPRODUCT($C$117:$G$117,(1+$A165)^(-$C$118:$G$118))+$B$236*(1+$A165)^-5))*(1+$A165)^$B$253+$B$257+$B$259+$B$260+$B$261)*(1+$B$221)^$B$254/$B$264)</f>
        <v>39.5776985035259</v>
      </c>
      <c r="D165" s="327" t="n">
        <f aca="false">IF($A165&lt;=D$162,"n.a.",(($B$243*(SUMPRODUCT($C$117:$G$117,(1+$A165)^(-$C$118:$G$118))+$G$117*(1+D$162)/($A165-D$162)*(1+$A165)^-5)+$B$244*(SUMPRODUCT($C$117:$G$117,(1+$A165)^(-$C$118:$G$118))+$B$236*(1+$A165)^-5))*(1+$A165)^$B$253+$B$257+$B$259+$B$260+$B$261)*(1+$B$221)^$B$254/$B$264)</f>
        <v>41.2714034606664</v>
      </c>
      <c r="E165" s="307" t="n">
        <f aca="false">IF($A165&lt;=E$162,"n.a.",(($B$243*(SUMPRODUCT($C$117:$G$117,(1+$A165)^(-$C$118:$G$118))+$G$117*(1+E$162)/($A165-E$162)*(1+$A165)^-5)+$B$244*(SUMPRODUCT($C$117:$G$117,(1+$A165)^(-$C$118:$G$118))+$B$236*(1+$A165)^-5))*(1+$A165)^$B$253+$B$257+$B$259+$B$260+$B$261)*(1+$B$221)^$B$254/$B$264)</f>
        <v>43.2645168206395</v>
      </c>
      <c r="F165" s="307" t="n">
        <f aca="false">IF($A165&lt;=F$162,"n.a.",(($B$243*(SUMPRODUCT($C$117:$G$117,(1+$A165)^(-$C$118:$G$118))+$G$117*(1+F$162)/($A165-F$162)*(1+$A165)^-5)+$B$244*(SUMPRODUCT($C$117:$G$117,(1+$A165)^(-$C$118:$G$118))+$B$236*(1+$A165)^-5))*(1+$A165)^$B$253+$B$257+$B$259+$B$260+$B$261)*(1+$B$221)^$B$254/$B$264)</f>
        <v>45.6441292710835</v>
      </c>
      <c r="G165" s="302"/>
    </row>
    <row r="166" customFormat="false" ht="15" hidden="false" customHeight="true" outlineLevel="0" collapsed="false">
      <c r="A166" s="338" t="n">
        <f aca="false">A165+$B$161</f>
        <v>0.101568384224259</v>
      </c>
      <c r="B166" s="307" t="n">
        <f aca="false">IF($A166&lt;=B$162,"n.a.",(($B$243*(SUMPRODUCT($C$117:$G$117,(1+$A166)^(-$C$118:$G$118))+$G$117*(1+B$162)/($A166-B$162)*(1+$A166)^-5)+$B$244*(SUMPRODUCT($C$117:$G$117,(1+$A166)^(-$C$118:$G$118))+$B$236*(1+$A166)^-5))*(1+$A166)^$B$253+$B$257+$B$259+$B$260+$B$261)*(1+$B$221)^$B$254/$B$264)</f>
        <v>36.1518155416287</v>
      </c>
      <c r="C166" s="307" t="n">
        <f aca="false">IF($A166&lt;=C$162,"n.a.",(($B$243*(SUMPRODUCT($C$117:$G$117,(1+$A166)^(-$C$118:$G$118))+$G$117*(1+C$162)/($A166-C$162)*(1+$A166)^-5)+$B$244*(SUMPRODUCT($C$117:$G$117,(1+$A166)^(-$C$118:$G$118))+$B$236*(1+$A166)^-5))*(1+$A166)^$B$253+$B$257+$B$259+$B$260+$B$261)*(1+$B$221)^$B$254/$B$264)</f>
        <v>37.3985608333721</v>
      </c>
      <c r="D166" s="307" t="n">
        <f aca="false">IF($A166&lt;=D$162,"n.a.",(($B$243*(SUMPRODUCT($C$117:$G$117,(1+$A166)^(-$C$118:$G$118))+$G$117*(1+D$162)/($A166-D$162)*(1+$A166)^-5)+$B$244*(SUMPRODUCT($C$117:$G$117,(1+$A166)^(-$C$118:$G$118))+$B$236*(1+$A166)^-5))*(1+$A166)^$B$253+$B$257+$B$259+$B$260+$B$261)*(1+$B$221)^$B$254/$B$264)</f>
        <v>38.8325940255614</v>
      </c>
      <c r="E166" s="307" t="n">
        <f aca="false">IF($A166&lt;=E$162,"n.a.",(($B$243*(SUMPRODUCT($C$117:$G$117,(1+$A166)^(-$C$118:$G$118))+$G$117*(1+E$162)/($A166-E$162)*(1+$A166)^-5)+$B$244*(SUMPRODUCT($C$117:$G$117,(1+$A166)^(-$C$118:$G$118))+$B$236*(1+$A166)^-5))*(1+$A166)^$B$253+$B$257+$B$259+$B$260+$B$261)*(1+$B$221)^$B$254/$B$264)</f>
        <v>40.4995443570029</v>
      </c>
      <c r="F166" s="307" t="n">
        <f aca="false">IF($A166&lt;=F$162,"n.a.",(($B$243*(SUMPRODUCT($C$117:$G$117,(1+$A166)^(-$C$118:$G$118))+$G$117*(1+F$162)/($A166-F$162)*(1+$A166)^-5)+$B$244*(SUMPRODUCT($C$117:$G$117,(1+$A166)^(-$C$118:$G$118))+$B$236*(1+$A166)^-5))*(1+$A166)^$B$253+$B$257+$B$259+$B$260+$B$261)*(1+$B$221)^$B$254/$B$264)</f>
        <v>42.4611734837292</v>
      </c>
      <c r="G166" s="302"/>
    </row>
    <row r="167" customFormat="false" ht="15" hidden="false" customHeight="true" outlineLevel="0" collapsed="false">
      <c r="A167" s="338" t="n">
        <f aca="false">A166+$B$161</f>
        <v>0.106568384224259</v>
      </c>
      <c r="B167" s="307" t="n">
        <f aca="false">IF($A167&lt;=B$162,"n.a.",(($B$243*(SUMPRODUCT($C$117:$G$117,(1+$A167)^(-$C$118:$G$118))+$G$117*(1+B$162)/($A167-B$162)*(1+$A167)^-5)+$B$244*(SUMPRODUCT($C$117:$G$117,(1+$A167)^(-$C$118:$G$118))+$B$236*(1+$A167)^-5))*(1+$A167)^$B$253+$B$257+$B$259+$B$260+$B$261)*(1+$B$221)^$B$254/$B$264)</f>
        <v>34.3881389814954</v>
      </c>
      <c r="C167" s="307" t="n">
        <f aca="false">IF($A167&lt;=C$162,"n.a.",(($B$243*(SUMPRODUCT($C$117:$G$117,(1+$A167)^(-$C$118:$G$118))+$G$117*(1+C$162)/($A167-C$162)*(1+$A167)^-5)+$B$244*(SUMPRODUCT($C$117:$G$117,(1+$A167)^(-$C$118:$G$118))+$B$236*(1+$A167)^-5))*(1+$A167)^$B$253+$B$257+$B$259+$B$260+$B$261)*(1+$B$221)^$B$254/$B$264)</f>
        <v>35.4648354965429</v>
      </c>
      <c r="D167" s="307" t="n">
        <f aca="false">IF($A167&lt;=D$162,"n.a.",(($B$243*(SUMPRODUCT($C$117:$G$117,(1+$A167)^(-$C$118:$G$118))+$G$117*(1+D$162)/($A167-D$162)*(1+$A167)^-5)+$B$244*(SUMPRODUCT($C$117:$G$117,(1+$A167)^(-$C$118:$G$118))+$B$236*(1+$A167)^-5))*(1+$A167)^$B$253+$B$257+$B$259+$B$260+$B$261)*(1+$B$221)^$B$254/$B$264)</f>
        <v>36.6919750496327</v>
      </c>
      <c r="E167" s="307" t="n">
        <f aca="false">IF($A167&lt;=E$162,"n.a.",(($B$243*(SUMPRODUCT($C$117:$G$117,(1+$A167)^(-$C$118:$G$118))+$G$117*(1+E$162)/($A167-E$162)*(1+$A167)^-5)+$B$244*(SUMPRODUCT($C$117:$G$117,(1+$A167)^(-$C$118:$G$118))+$B$236*(1+$A167)^-5))*(1+$A167)^$B$253+$B$257+$B$259+$B$260+$B$261)*(1+$B$221)^$B$254/$B$264)</f>
        <v>38.1034573004445</v>
      </c>
      <c r="F167" s="307" t="n">
        <f aca="false">IF($A167&lt;=F$162,"n.a.",(($B$243*(SUMPRODUCT($C$117:$G$117,(1+$A167)^(-$C$118:$G$118))+$G$117*(1+F$162)/($A167-F$162)*(1+$A167)^-5)+$B$244*(SUMPRODUCT($C$117:$G$117,(1+$A167)^(-$C$118:$G$118))+$B$236*(1+$A167)^-5))*(1+$A167)^$B$253+$B$257+$B$259+$B$260+$B$261)*(1+$B$221)^$B$254/$B$264)</f>
        <v>39.7441939435221</v>
      </c>
      <c r="G167" s="302"/>
    </row>
    <row r="168" customFormat="false" ht="15" hidden="false" customHeight="true" outlineLevel="0" collapsed="false">
      <c r="A168" s="302" t="s">
        <v>1936</v>
      </c>
      <c r="B168" s="337" t="n">
        <f aca="false">D165-B265</f>
        <v>0</v>
      </c>
      <c r="C168" s="302"/>
      <c r="D168" s="302"/>
      <c r="E168" s="302"/>
      <c r="F168" s="302"/>
      <c r="G168" s="302"/>
    </row>
    <row r="169" customFormat="false" ht="15" hidden="false" customHeight="true" outlineLevel="0" collapsed="false">
      <c r="A169" s="298"/>
      <c r="B169" s="298"/>
      <c r="C169" s="298"/>
      <c r="D169" s="298"/>
      <c r="E169" s="298"/>
      <c r="F169" s="298"/>
      <c r="G169" s="298"/>
    </row>
    <row r="170" customFormat="false" ht="15" hidden="false" customHeight="true" outlineLevel="0" collapsed="false">
      <c r="A170" s="285" t="s">
        <v>1937</v>
      </c>
      <c r="B170" s="285" t="s">
        <v>1749</v>
      </c>
      <c r="C170" s="285" t="s">
        <v>1938</v>
      </c>
      <c r="D170" s="285" t="s">
        <v>1719</v>
      </c>
      <c r="E170" s="285" t="s">
        <v>1939</v>
      </c>
      <c r="F170" s="285" t="s">
        <v>1940</v>
      </c>
      <c r="G170" s="285" t="s">
        <v>1941</v>
      </c>
    </row>
    <row r="171" customFormat="false" ht="15" hidden="false" customHeight="false" outlineLevel="0" collapsed="false">
      <c r="A171" s="286" t="s">
        <v>1942</v>
      </c>
      <c r="B171" s="286" t="s">
        <v>1757</v>
      </c>
      <c r="C171" s="286" t="n">
        <v>4</v>
      </c>
      <c r="D171" s="286" t="s">
        <v>1943</v>
      </c>
      <c r="E171" s="286" t="s">
        <v>1944</v>
      </c>
      <c r="F171" s="286" t="s">
        <v>1442</v>
      </c>
      <c r="G171" s="286" t="n">
        <v>11</v>
      </c>
    </row>
    <row r="172" customFormat="false" ht="15" hidden="false" customHeight="false" outlineLevel="0" collapsed="false">
      <c r="A172" s="286" t="s">
        <v>1945</v>
      </c>
      <c r="B172" s="286" t="s">
        <v>1781</v>
      </c>
      <c r="C172" s="286" t="n">
        <v>3</v>
      </c>
      <c r="D172" s="286" t="s">
        <v>1943</v>
      </c>
      <c r="E172" s="286" t="s">
        <v>1944</v>
      </c>
      <c r="F172" s="286" t="s">
        <v>1761</v>
      </c>
      <c r="G172" s="286" t="n">
        <v>10</v>
      </c>
    </row>
    <row r="173" customFormat="false" ht="15" hidden="false" customHeight="false" outlineLevel="0" collapsed="false">
      <c r="A173" s="286" t="s">
        <v>1946</v>
      </c>
      <c r="B173" s="286" t="s">
        <v>1772</v>
      </c>
      <c r="C173" s="286" t="n">
        <v>5</v>
      </c>
      <c r="D173" s="286" t="s">
        <v>1943</v>
      </c>
      <c r="E173" s="286" t="s">
        <v>1948</v>
      </c>
      <c r="F173" s="286" t="s">
        <v>1442</v>
      </c>
      <c r="G173" s="286" t="n">
        <v>13</v>
      </c>
    </row>
    <row r="174" customFormat="false" ht="15" hidden="false" customHeight="false" outlineLevel="0" collapsed="false">
      <c r="A174" s="286" t="s">
        <v>1949</v>
      </c>
      <c r="B174" s="286" t="s">
        <v>1757</v>
      </c>
      <c r="C174" s="286" t="n">
        <v>3</v>
      </c>
      <c r="D174" s="286" t="s">
        <v>1950</v>
      </c>
      <c r="E174" s="286" t="s">
        <v>1944</v>
      </c>
      <c r="F174" s="286" t="s">
        <v>1442</v>
      </c>
      <c r="G174" s="286" t="n">
        <v>13</v>
      </c>
    </row>
    <row r="175" customFormat="false" ht="15" hidden="false" customHeight="false" outlineLevel="0" collapsed="false">
      <c r="A175" s="286" t="s">
        <v>1951</v>
      </c>
      <c r="B175" s="286" t="s">
        <v>1772</v>
      </c>
      <c r="C175" s="286" t="n">
        <v>3</v>
      </c>
      <c r="D175" s="286" t="s">
        <v>1950</v>
      </c>
      <c r="E175" s="286" t="s">
        <v>1948</v>
      </c>
      <c r="F175" s="286" t="s">
        <v>1442</v>
      </c>
      <c r="G175" s="286" t="n">
        <v>17</v>
      </c>
    </row>
    <row r="176" customFormat="false" ht="15" hidden="false" customHeight="false" outlineLevel="0" collapsed="false">
      <c r="A176" s="286" t="s">
        <v>1952</v>
      </c>
      <c r="B176" s="286" t="s">
        <v>1772</v>
      </c>
      <c r="C176" s="286" t="n">
        <v>3</v>
      </c>
      <c r="D176" s="286" t="s">
        <v>1943</v>
      </c>
      <c r="E176" s="286" t="s">
        <v>1944</v>
      </c>
      <c r="F176" s="286" t="s">
        <v>1953</v>
      </c>
      <c r="G176" s="286" t="s">
        <v>1954</v>
      </c>
    </row>
    <row r="177" customFormat="false" ht="15" hidden="false" customHeight="false" outlineLevel="0" collapsed="false">
      <c r="A177" s="286" t="s">
        <v>1955</v>
      </c>
      <c r="B177" s="286" t="s">
        <v>1772</v>
      </c>
      <c r="C177" s="286" t="n">
        <v>3</v>
      </c>
      <c r="D177" s="286" t="s">
        <v>1943</v>
      </c>
      <c r="E177" s="286" t="s">
        <v>1948</v>
      </c>
      <c r="F177" s="286" t="s">
        <v>1956</v>
      </c>
      <c r="G177" s="286" t="n">
        <v>125</v>
      </c>
    </row>
    <row r="178" customFormat="false" ht="15" hidden="false" customHeight="false" outlineLevel="0" collapsed="false">
      <c r="A178" s="286" t="s">
        <v>1957</v>
      </c>
      <c r="B178" s="286" t="s">
        <v>1772</v>
      </c>
      <c r="C178" s="286" t="n">
        <v>3</v>
      </c>
      <c r="D178" s="286" t="s">
        <v>1950</v>
      </c>
      <c r="E178" s="286" t="s">
        <v>1948</v>
      </c>
      <c r="F178" s="286" t="s">
        <v>1771</v>
      </c>
      <c r="G178" s="286" t="n">
        <v>35</v>
      </c>
    </row>
    <row r="179" customFormat="false" ht="15" hidden="false" customHeight="false" outlineLevel="0" collapsed="false">
      <c r="A179" s="286" t="s">
        <v>1958</v>
      </c>
      <c r="B179" s="286" t="s">
        <v>1772</v>
      </c>
      <c r="C179" s="286" t="n">
        <v>2</v>
      </c>
      <c r="D179" s="286" t="s">
        <v>1950</v>
      </c>
      <c r="E179" s="286" t="s">
        <v>1959</v>
      </c>
      <c r="F179" s="286" t="s">
        <v>5</v>
      </c>
      <c r="G179" s="286" t="n">
        <v>125</v>
      </c>
    </row>
    <row r="180" customFormat="false" ht="15" hidden="false" customHeight="false" outlineLevel="0" collapsed="false">
      <c r="A180" s="286" t="s">
        <v>1960</v>
      </c>
      <c r="B180" s="286" t="s">
        <v>1772</v>
      </c>
      <c r="C180" s="286" t="n">
        <v>4</v>
      </c>
      <c r="D180" s="286" t="s">
        <v>1943</v>
      </c>
      <c r="E180" s="286" t="s">
        <v>1959</v>
      </c>
      <c r="F180" s="286" t="s">
        <v>1442</v>
      </c>
      <c r="G180" s="286" t="n">
        <v>18</v>
      </c>
    </row>
    <row r="181" customFormat="false" ht="15" hidden="false" customHeight="false" outlineLevel="0" collapsed="false">
      <c r="A181" s="286" t="s">
        <v>1961</v>
      </c>
      <c r="B181" s="286" t="s">
        <v>1772</v>
      </c>
      <c r="C181" s="286" t="n">
        <v>3</v>
      </c>
      <c r="D181" s="286" t="s">
        <v>1943</v>
      </c>
      <c r="E181" s="286" t="s">
        <v>1944</v>
      </c>
      <c r="F181" s="286" t="s">
        <v>1442</v>
      </c>
      <c r="G181" s="286" t="n">
        <v>18</v>
      </c>
    </row>
    <row r="182" customFormat="false" ht="15" hidden="false" customHeight="false" outlineLevel="0" collapsed="false">
      <c r="A182" s="286" t="s">
        <v>1962</v>
      </c>
      <c r="B182" s="286" t="s">
        <v>1772</v>
      </c>
      <c r="C182" s="286" t="n">
        <v>2</v>
      </c>
      <c r="D182" s="286" t="s">
        <v>1943</v>
      </c>
      <c r="E182" s="286" t="s">
        <v>1948</v>
      </c>
      <c r="F182" s="286" t="s">
        <v>1771</v>
      </c>
      <c r="G182" s="286" t="n">
        <v>35</v>
      </c>
    </row>
    <row r="183" customFormat="false" ht="15" hidden="false" customHeight="false" outlineLevel="0" collapsed="false">
      <c r="A183" s="286" t="s">
        <v>1963</v>
      </c>
      <c r="B183" s="286" t="s">
        <v>1781</v>
      </c>
      <c r="C183" s="286" t="n">
        <v>4</v>
      </c>
      <c r="D183" s="286" t="s">
        <v>1943</v>
      </c>
      <c r="E183" s="286" t="s">
        <v>1964</v>
      </c>
      <c r="F183" s="286" t="s">
        <v>1965</v>
      </c>
      <c r="G183" s="286" t="s">
        <v>1966</v>
      </c>
    </row>
    <row r="184" customFormat="false" ht="15" hidden="false" customHeight="false" outlineLevel="0" collapsed="false">
      <c r="A184" s="286" t="s">
        <v>1967</v>
      </c>
      <c r="B184" s="286" t="s">
        <v>1772</v>
      </c>
      <c r="C184" s="286" t="n">
        <v>3</v>
      </c>
      <c r="D184" s="286" t="s">
        <v>1943</v>
      </c>
      <c r="E184" s="286" t="s">
        <v>1959</v>
      </c>
      <c r="F184" s="286" t="s">
        <v>1785</v>
      </c>
      <c r="G184" s="286" t="n">
        <v>33</v>
      </c>
    </row>
    <row r="185" customFormat="false" ht="15" hidden="false" customHeight="false" outlineLevel="0" collapsed="false">
      <c r="A185" s="286" t="s">
        <v>1968</v>
      </c>
      <c r="B185" s="286" t="s">
        <v>1772</v>
      </c>
      <c r="C185" s="286" t="n">
        <v>2</v>
      </c>
      <c r="D185" s="286" t="s">
        <v>1950</v>
      </c>
      <c r="E185" s="286" t="s">
        <v>1944</v>
      </c>
      <c r="F185" s="286" t="s">
        <v>1442</v>
      </c>
      <c r="G185" s="286" t="n">
        <v>21</v>
      </c>
    </row>
    <row r="186" customFormat="false" ht="15" hidden="false" customHeight="false" outlineLevel="0" collapsed="false">
      <c r="A186" s="286" t="s">
        <v>1969</v>
      </c>
      <c r="B186" s="286" t="s">
        <v>1772</v>
      </c>
      <c r="C186" s="286" t="n">
        <v>2</v>
      </c>
      <c r="D186" s="286" t="s">
        <v>1950</v>
      </c>
      <c r="E186" s="286" t="s">
        <v>1959</v>
      </c>
      <c r="F186" s="286" t="s">
        <v>1439</v>
      </c>
      <c r="G186" s="286" t="n">
        <v>52</v>
      </c>
    </row>
    <row r="187" customFormat="false" ht="15" hidden="false" customHeight="false" outlineLevel="0" collapsed="false">
      <c r="A187" s="286" t="s">
        <v>1970</v>
      </c>
      <c r="B187" s="286" t="s">
        <v>1757</v>
      </c>
      <c r="C187" s="286" t="n">
        <v>3</v>
      </c>
      <c r="D187" s="286" t="s">
        <v>1943</v>
      </c>
      <c r="E187" s="286" t="s">
        <v>1959</v>
      </c>
      <c r="F187" s="286" t="s">
        <v>1442</v>
      </c>
      <c r="G187" s="286" t="n">
        <v>19</v>
      </c>
    </row>
    <row r="188" customFormat="false" ht="15" hidden="false" customHeight="false" outlineLevel="0" collapsed="false">
      <c r="A188" s="286" t="s">
        <v>1971</v>
      </c>
      <c r="B188" s="286" t="s">
        <v>1772</v>
      </c>
      <c r="C188" s="286" t="n">
        <v>3</v>
      </c>
      <c r="D188" s="286" t="s">
        <v>1943</v>
      </c>
      <c r="E188" s="286" t="s">
        <v>1948</v>
      </c>
      <c r="F188" s="286" t="s">
        <v>1972</v>
      </c>
      <c r="G188" s="286" t="n">
        <v>34</v>
      </c>
    </row>
    <row r="189" customFormat="false" ht="15" hidden="false" customHeight="false" outlineLevel="0" collapsed="false">
      <c r="A189" s="286" t="s">
        <v>1973</v>
      </c>
      <c r="B189" s="286" t="s">
        <v>1772</v>
      </c>
      <c r="C189" s="286" t="n">
        <v>5</v>
      </c>
      <c r="D189" s="286" t="s">
        <v>1943</v>
      </c>
      <c r="E189" s="286" t="s">
        <v>1948</v>
      </c>
      <c r="F189" s="286" t="s">
        <v>1442</v>
      </c>
      <c r="G189" s="286" t="n">
        <v>15</v>
      </c>
    </row>
    <row r="190" customFormat="false" ht="15" hidden="false" customHeight="false" outlineLevel="0" collapsed="false">
      <c r="A190" s="286" t="s">
        <v>1974</v>
      </c>
      <c r="B190" s="286" t="s">
        <v>1772</v>
      </c>
      <c r="C190" s="286" t="n">
        <v>5</v>
      </c>
      <c r="D190" s="286" t="s">
        <v>1943</v>
      </c>
      <c r="E190" s="286" t="s">
        <v>1964</v>
      </c>
      <c r="F190" s="286" t="s">
        <v>1975</v>
      </c>
      <c r="G190" s="286" t="s">
        <v>1976</v>
      </c>
    </row>
    <row r="191" customFormat="false" ht="15" hidden="false" customHeight="false" outlineLevel="0" collapsed="false">
      <c r="A191" s="286" t="s">
        <v>1977</v>
      </c>
      <c r="B191" s="286" t="s">
        <v>1781</v>
      </c>
      <c r="C191" s="286" t="n">
        <v>4</v>
      </c>
      <c r="D191" s="286" t="s">
        <v>1943</v>
      </c>
      <c r="E191" s="286" t="s">
        <v>1978</v>
      </c>
      <c r="F191" s="286" t="s">
        <v>1979</v>
      </c>
      <c r="G191" s="286" t="s">
        <v>1980</v>
      </c>
    </row>
    <row r="192" customFormat="false" ht="15" hidden="false" customHeight="false" outlineLevel="0" collapsed="false">
      <c r="A192" s="286" t="s">
        <v>1981</v>
      </c>
      <c r="B192" s="286" t="s">
        <v>1781</v>
      </c>
      <c r="C192" s="286" t="n">
        <v>3</v>
      </c>
      <c r="D192" s="286" t="s">
        <v>1943</v>
      </c>
      <c r="E192" s="286" t="s">
        <v>1959</v>
      </c>
      <c r="F192" s="286" t="s">
        <v>1975</v>
      </c>
      <c r="G192" s="286" t="n">
        <v>16</v>
      </c>
    </row>
    <row r="193" customFormat="false" ht="15" hidden="false" customHeight="false" outlineLevel="0" collapsed="false">
      <c r="A193" s="286" t="s">
        <v>1982</v>
      </c>
      <c r="B193" s="286" t="s">
        <v>1781</v>
      </c>
      <c r="C193" s="286" t="n">
        <v>2</v>
      </c>
      <c r="D193" s="286" t="s">
        <v>1943</v>
      </c>
      <c r="E193" s="286" t="s">
        <v>1959</v>
      </c>
      <c r="F193" s="286" t="s">
        <v>1972</v>
      </c>
      <c r="G193" s="286" t="s">
        <v>1983</v>
      </c>
    </row>
    <row r="194" customFormat="false" ht="15" hidden="false" customHeight="false" outlineLevel="0" collapsed="false">
      <c r="A194" s="286" t="s">
        <v>1984</v>
      </c>
      <c r="B194" s="286" t="s">
        <v>1757</v>
      </c>
      <c r="C194" s="286" t="n">
        <v>2</v>
      </c>
      <c r="D194" s="286" t="s">
        <v>1943</v>
      </c>
      <c r="E194" s="286" t="s">
        <v>1959</v>
      </c>
      <c r="F194" s="286" t="s">
        <v>1827</v>
      </c>
      <c r="G194" s="286" t="n">
        <v>22</v>
      </c>
    </row>
    <row r="195" customFormat="false" ht="15" hidden="false" customHeight="false" outlineLevel="0" collapsed="false">
      <c r="A195" s="286" t="s">
        <v>1985</v>
      </c>
      <c r="B195" s="286" t="s">
        <v>1757</v>
      </c>
      <c r="C195" s="286" t="n">
        <v>2</v>
      </c>
      <c r="D195" s="286" t="s">
        <v>1950</v>
      </c>
      <c r="E195" s="286" t="s">
        <v>1978</v>
      </c>
      <c r="F195" s="286" t="s">
        <v>1972</v>
      </c>
      <c r="G195" s="286" t="n">
        <v>38</v>
      </c>
    </row>
    <row r="196" customFormat="false" ht="15" hidden="false" customHeight="false" outlineLevel="0" collapsed="false">
      <c r="A196" s="286" t="s">
        <v>1986</v>
      </c>
      <c r="B196" s="286" t="s">
        <v>1757</v>
      </c>
      <c r="C196" s="286" t="n">
        <v>4</v>
      </c>
      <c r="D196" s="286" t="s">
        <v>1943</v>
      </c>
      <c r="E196" s="286" t="s">
        <v>1948</v>
      </c>
      <c r="F196" s="286" t="s">
        <v>1972</v>
      </c>
      <c r="G196" s="286" t="n">
        <v>32</v>
      </c>
    </row>
    <row r="197" customFormat="false" ht="15" hidden="false" customHeight="false" outlineLevel="0" collapsed="false">
      <c r="A197" s="286" t="s">
        <v>1987</v>
      </c>
      <c r="B197" s="286" t="s">
        <v>1781</v>
      </c>
      <c r="C197" s="286" t="n">
        <v>3</v>
      </c>
      <c r="D197" s="286" t="s">
        <v>1943</v>
      </c>
      <c r="E197" s="286" t="s">
        <v>1948</v>
      </c>
      <c r="F197" s="286" t="s">
        <v>99</v>
      </c>
      <c r="G197" s="286" t="n">
        <v>47</v>
      </c>
    </row>
    <row r="198" customFormat="false" ht="15" hidden="false" customHeight="false" outlineLevel="0" collapsed="false">
      <c r="A198" s="286" t="s">
        <v>1988</v>
      </c>
      <c r="B198" s="286" t="s">
        <v>1772</v>
      </c>
      <c r="C198" s="286" t="n">
        <v>3</v>
      </c>
      <c r="D198" s="286" t="s">
        <v>1950</v>
      </c>
      <c r="E198" s="286" t="s">
        <v>1948</v>
      </c>
      <c r="F198" s="286" t="s">
        <v>1785</v>
      </c>
      <c r="G198" s="286" t="n">
        <v>36</v>
      </c>
    </row>
    <row r="199" customFormat="false" ht="15" hidden="false" customHeight="false" outlineLevel="0" collapsed="false">
      <c r="A199" s="286" t="s">
        <v>1989</v>
      </c>
      <c r="B199" s="286" t="s">
        <v>1772</v>
      </c>
      <c r="C199" s="286" t="n">
        <v>3</v>
      </c>
      <c r="D199" s="286" t="s">
        <v>1943</v>
      </c>
      <c r="E199" s="286" t="s">
        <v>1944</v>
      </c>
      <c r="F199" s="286" t="s">
        <v>1442</v>
      </c>
      <c r="G199" s="286" t="n">
        <v>17</v>
      </c>
    </row>
    <row r="200" customFormat="false" ht="15" hidden="false" customHeight="false" outlineLevel="0" collapsed="false">
      <c r="A200" s="286" t="s">
        <v>1990</v>
      </c>
      <c r="B200" s="286" t="s">
        <v>1772</v>
      </c>
      <c r="C200" s="286" t="n">
        <v>2</v>
      </c>
      <c r="D200" s="286" t="s">
        <v>1950</v>
      </c>
      <c r="E200" s="286" t="s">
        <v>1944</v>
      </c>
      <c r="F200" s="286" t="s">
        <v>1785</v>
      </c>
      <c r="G200" s="286" t="s">
        <v>1991</v>
      </c>
    </row>
    <row r="201" customFormat="false" ht="15" hidden="false" customHeight="true" outlineLevel="0" collapsed="false">
      <c r="A201" s="288"/>
      <c r="B201" s="288"/>
      <c r="C201" s="288"/>
      <c r="D201" s="288"/>
      <c r="E201" s="288"/>
      <c r="F201" s="288"/>
      <c r="G201" s="288"/>
    </row>
    <row r="202" customFormat="false" ht="15" hidden="false" customHeight="true" outlineLevel="0" collapsed="false">
      <c r="A202" s="288"/>
      <c r="B202" s="288"/>
      <c r="C202" s="288"/>
      <c r="D202" s="288"/>
      <c r="E202" s="288"/>
      <c r="F202" s="288"/>
      <c r="G202" s="288"/>
    </row>
    <row r="203" customFormat="false" ht="15" hidden="false" customHeight="true" outlineLevel="0" collapsed="false">
      <c r="A203" s="298"/>
      <c r="B203" s="298"/>
      <c r="C203" s="298"/>
      <c r="D203" s="298"/>
      <c r="E203" s="298"/>
      <c r="F203" s="298"/>
      <c r="G203" s="298"/>
    </row>
    <row r="204" customFormat="false" ht="15" hidden="false" customHeight="true" outlineLevel="0" collapsed="false">
      <c r="A204" s="298"/>
      <c r="B204" s="298"/>
      <c r="C204" s="298"/>
      <c r="D204" s="298"/>
      <c r="E204" s="298"/>
      <c r="F204" s="298"/>
      <c r="G204" s="298"/>
    </row>
    <row r="205" customFormat="false" ht="15" hidden="false" customHeight="true" outlineLevel="0" collapsed="false">
      <c r="A205" s="285" t="s">
        <v>1992</v>
      </c>
      <c r="B205" s="300" t="s">
        <v>78</v>
      </c>
      <c r="C205" s="300"/>
      <c r="D205" s="300"/>
      <c r="E205" s="300"/>
      <c r="F205" s="300"/>
      <c r="G205" s="300"/>
    </row>
    <row r="206" customFormat="false" ht="15" hidden="false" customHeight="false" outlineLevel="0" collapsed="false">
      <c r="A206" s="286" t="s">
        <v>1994</v>
      </c>
      <c r="B206" s="296" t="n">
        <f aca="false">C61+Escenarios!$K$15</f>
        <v>0.1</v>
      </c>
      <c r="C206" s="302"/>
      <c r="D206" s="302"/>
      <c r="E206" s="302"/>
      <c r="F206" s="302"/>
      <c r="G206" s="302"/>
    </row>
    <row r="207" customFormat="false" ht="15" hidden="false" customHeight="false" outlineLevel="0" collapsed="false">
      <c r="A207" s="286" t="s">
        <v>1995</v>
      </c>
      <c r="B207" s="296" t="n">
        <f aca="false">G55</f>
        <v>0.288010101095701</v>
      </c>
      <c r="C207" s="302"/>
      <c r="D207" s="302"/>
      <c r="E207" s="302"/>
      <c r="F207" s="302"/>
      <c r="G207" s="302"/>
    </row>
    <row r="208" customFormat="false" ht="15" hidden="false" customHeight="false" outlineLevel="0" collapsed="false">
      <c r="A208" s="286" t="s">
        <v>1996</v>
      </c>
      <c r="B208" s="296" t="n">
        <f aca="false">B206*(1-B207)</f>
        <v>0.0711989898904299</v>
      </c>
      <c r="C208" s="302"/>
      <c r="D208" s="302"/>
      <c r="E208" s="302"/>
      <c r="F208" s="302"/>
      <c r="G208" s="302"/>
    </row>
    <row r="209" customFormat="false" ht="15" hidden="false" customHeight="false" outlineLevel="0" collapsed="false">
      <c r="A209" s="286" t="s">
        <v>1997</v>
      </c>
      <c r="B209" s="297" t="n">
        <f aca="false">B91+B92</f>
        <v>23618</v>
      </c>
      <c r="C209" s="302"/>
      <c r="D209" s="302"/>
      <c r="E209" s="302"/>
      <c r="F209" s="302"/>
      <c r="G209" s="302"/>
    </row>
    <row r="210" customFormat="false" ht="15" hidden="false" customHeight="false" outlineLevel="0" collapsed="false">
      <c r="A210" s="286" t="s">
        <v>1998</v>
      </c>
      <c r="B210" s="296" t="n">
        <f aca="false">WACC!B5+Escenarios!$K$14</f>
        <v>0.09517</v>
      </c>
      <c r="C210" s="302"/>
      <c r="D210" s="302"/>
      <c r="E210" s="302"/>
      <c r="F210" s="302"/>
      <c r="G210" s="302"/>
    </row>
    <row r="211" customFormat="false" ht="15" hidden="false" customHeight="false" outlineLevel="0" collapsed="false">
      <c r="A211" s="286" t="s">
        <v>1999</v>
      </c>
      <c r="B211" s="296" t="n">
        <f aca="false">WACC!B8</f>
        <v>0.0423</v>
      </c>
      <c r="C211" s="302"/>
      <c r="D211" s="302"/>
      <c r="E211" s="302"/>
      <c r="F211" s="302"/>
      <c r="G211" s="302"/>
    </row>
    <row r="212" customFormat="false" ht="15" hidden="false" customHeight="false" outlineLevel="0" collapsed="false">
      <c r="A212" s="286" t="s">
        <v>2700</v>
      </c>
      <c r="B212" s="337" t="n">
        <f aca="false">Escenarios!$K$16</f>
        <v>0.170520815748403</v>
      </c>
      <c r="C212" s="302"/>
      <c r="D212" s="302"/>
      <c r="E212" s="302"/>
      <c r="F212" s="302"/>
      <c r="G212" s="302"/>
    </row>
    <row r="213" customFormat="false" ht="15" hidden="false" customHeight="false" outlineLevel="0" collapsed="false">
      <c r="A213" s="285" t="s">
        <v>2001</v>
      </c>
      <c r="B213" s="300" t="s">
        <v>2002</v>
      </c>
      <c r="C213" s="300" t="s">
        <v>2003</v>
      </c>
      <c r="D213" s="300" t="s">
        <v>1412</v>
      </c>
      <c r="E213" s="300" t="s">
        <v>2004</v>
      </c>
      <c r="F213" s="300" t="s">
        <v>2005</v>
      </c>
      <c r="G213" s="300" t="s">
        <v>2006</v>
      </c>
    </row>
    <row r="214" customFormat="false" ht="15" hidden="false" customHeight="false" outlineLevel="0" collapsed="false">
      <c r="A214" s="286" t="s">
        <v>2007</v>
      </c>
      <c r="B214" s="296" t="n">
        <f aca="false">WACC!B33</f>
        <v>0.100615773284249</v>
      </c>
      <c r="C214" s="297" t="n">
        <f aca="false">SUMPRODUCT($C$117:$G$117,(1+B214)^(-$C$118:$G$118))+$G$117*(1+$B$123)/(B214-$B$123)*(1+B214)^-5+$B$141+$B$142+$B$143</f>
        <v>76308.1673392317</v>
      </c>
      <c r="D214" s="304" t="n">
        <f aca="false">$B$209/C214</f>
        <v>0.309508153891379</v>
      </c>
      <c r="E214" s="304" t="n">
        <f aca="false">$B$212*(1+(1-$B$207)*D214)</f>
        <v>0.208097921649213</v>
      </c>
      <c r="F214" s="296" t="n">
        <f aca="false">$B$210+E214*$B$211</f>
        <v>0.103972542085762</v>
      </c>
      <c r="G214" s="296" t="n">
        <f aca="false">C214/(C214+$B$209)*F214+$B$209/(C214+$B$209)*$B$208</f>
        <v>0.0962263653198542</v>
      </c>
    </row>
    <row r="215" customFormat="false" ht="15" hidden="false" customHeight="false" outlineLevel="0" collapsed="false">
      <c r="A215" s="286" t="n">
        <v>1</v>
      </c>
      <c r="B215" s="296" t="n">
        <f aca="false">G214</f>
        <v>0.0962263653198542</v>
      </c>
      <c r="C215" s="297" t="n">
        <f aca="false">SUMPRODUCT($C$117:$G$117,(1+B215)^(-$C$118:$G$118))+$G$117*(1+$B$123)/(B215-$B$123)*(1+B215)^-5+$B$141+$B$142+$B$143</f>
        <v>82718.0502546648</v>
      </c>
      <c r="D215" s="304" t="n">
        <f aca="false">$B$209/C215</f>
        <v>0.285524138048311</v>
      </c>
      <c r="E215" s="304" t="n">
        <f aca="false">$B$212*(1+(1-$B$207)*D215)</f>
        <v>0.205186043910515</v>
      </c>
      <c r="F215" s="296" t="n">
        <f aca="false">$B$210+E215*$B$211</f>
        <v>0.103849369657415</v>
      </c>
      <c r="G215" s="296" t="n">
        <f aca="false">C215/(C215+$B$209)*F215+$B$209/(C215+$B$209)*$B$208</f>
        <v>0.0965974859595546</v>
      </c>
    </row>
    <row r="216" customFormat="false" ht="15" hidden="false" customHeight="false" outlineLevel="0" collapsed="false">
      <c r="A216" s="286" t="n">
        <v>2</v>
      </c>
      <c r="B216" s="296" t="n">
        <f aca="false">G215</f>
        <v>0.0965974859595546</v>
      </c>
      <c r="C216" s="297" t="n">
        <f aca="false">SUMPRODUCT($C$117:$G$117,(1+B216)^(-$C$118:$G$118))+$G$117*(1+$B$123)/(B216-$B$123)*(1+B216)^-5+$B$141+$B$142+$B$143</f>
        <v>82140.8045315319</v>
      </c>
      <c r="D216" s="304" t="n">
        <f aca="false">$B$209/C216</f>
        <v>0.287530663166729</v>
      </c>
      <c r="E216" s="304" t="n">
        <f aca="false">$B$212*(1+(1-$B$207)*D216)</f>
        <v>0.205429654315991</v>
      </c>
      <c r="F216" s="296" t="n">
        <f aca="false">$B$210+E216*$B$211</f>
        <v>0.103859674377566</v>
      </c>
      <c r="G216" s="296" t="n">
        <f aca="false">C216/(C216+$B$209)*F216+$B$209/(C216+$B$209)*$B$208</f>
        <v>0.0965659076823576</v>
      </c>
    </row>
    <row r="217" customFormat="false" ht="15" hidden="false" customHeight="false" outlineLevel="0" collapsed="false">
      <c r="A217" s="286" t="n">
        <v>3</v>
      </c>
      <c r="B217" s="296" t="n">
        <f aca="false">G216</f>
        <v>0.0965659076823576</v>
      </c>
      <c r="C217" s="297" t="n">
        <f aca="false">SUMPRODUCT($C$117:$G$117,(1+B217)^(-$C$118:$G$118))+$G$117*(1+$B$123)/(B217-$B$123)*(1+B217)^-5+$B$141+$B$142+$B$143</f>
        <v>82189.6513169206</v>
      </c>
      <c r="D217" s="304" t="n">
        <f aca="false">$B$209/C217</f>
        <v>0.28735977853136</v>
      </c>
      <c r="E217" s="304" t="n">
        <f aca="false">$B$212*(1+(1-$B$207)*D217)</f>
        <v>0.205408907366486</v>
      </c>
      <c r="F217" s="296" t="n">
        <f aca="false">$B$210+E217*$B$211</f>
        <v>0.103858796781602</v>
      </c>
      <c r="G217" s="296" t="n">
        <f aca="false">C217/(C217+$B$209)*F217+$B$209/(C217+$B$209)*$B$208</f>
        <v>0.096568593194668</v>
      </c>
    </row>
    <row r="218" customFormat="false" ht="15" hidden="false" customHeight="false" outlineLevel="0" collapsed="false">
      <c r="A218" s="286" t="n">
        <v>4</v>
      </c>
      <c r="B218" s="296" t="n">
        <f aca="false">G217</f>
        <v>0.096568593194668</v>
      </c>
      <c r="C218" s="297" t="n">
        <f aca="false">SUMPRODUCT($C$117:$G$117,(1+B218)^(-$C$118:$G$118))+$G$117*(1+$B$123)/(B218-$B$123)*(1+B218)^-5+$B$141+$B$142+$B$143</f>
        <v>82185.4952920177</v>
      </c>
      <c r="D218" s="304" t="n">
        <f aca="false">$B$209/C218</f>
        <v>0.287374309981118</v>
      </c>
      <c r="E218" s="304" t="n">
        <f aca="false">$B$212*(1+(1-$B$207)*D218)</f>
        <v>0.205410671616699</v>
      </c>
      <c r="F218" s="296" t="n">
        <f aca="false">$B$210+E218*$B$211</f>
        <v>0.103858871409386</v>
      </c>
      <c r="G218" s="296" t="n">
        <f aca="false">C218/(C218+$B$209)*F218+$B$209/(C218+$B$209)*$B$208</f>
        <v>0.0965683648000749</v>
      </c>
    </row>
    <row r="219" customFormat="false" ht="15" hidden="false" customHeight="false" outlineLevel="0" collapsed="false">
      <c r="A219" s="286" t="n">
        <v>5</v>
      </c>
      <c r="B219" s="296" t="n">
        <f aca="false">G218</f>
        <v>0.0965683648000749</v>
      </c>
      <c r="C219" s="297" t="n">
        <f aca="false">SUMPRODUCT($C$117:$G$117,(1+B219)^(-$C$118:$G$118))+$G$117*(1+$B$123)/(B219-$B$123)*(1+B219)^-5+$B$141+$B$142+$B$143</f>
        <v>82185.848735117</v>
      </c>
      <c r="D219" s="304" t="n">
        <f aca="false">$B$209/C219</f>
        <v>0.287373074117909</v>
      </c>
      <c r="E219" s="304" t="n">
        <f aca="false">$B$212*(1+(1-$B$207)*D219)</f>
        <v>0.205410521571661</v>
      </c>
      <c r="F219" s="296" t="n">
        <f aca="false">$B$210+E219*$B$211</f>
        <v>0.103858865062481</v>
      </c>
      <c r="G219" s="296" t="n">
        <f aca="false">C219/(C219+$B$209)*F219+$B$209/(C219+$B$209)*$B$208</f>
        <v>0.0965683842242593</v>
      </c>
    </row>
    <row r="220" customFormat="false" ht="15" hidden="false" customHeight="false" outlineLevel="0" collapsed="false">
      <c r="A220" s="285" t="s">
        <v>2008</v>
      </c>
      <c r="B220" s="338" t="n">
        <f aca="false">G219</f>
        <v>0.0965683842242593</v>
      </c>
      <c r="C220" s="300"/>
      <c r="D220" s="300"/>
      <c r="E220" s="300"/>
      <c r="F220" s="300"/>
      <c r="G220" s="300"/>
    </row>
    <row r="221" customFormat="false" ht="15" hidden="false" customHeight="false" outlineLevel="0" collapsed="false">
      <c r="A221" s="285" t="s">
        <v>2009</v>
      </c>
      <c r="B221" s="338" t="n">
        <f aca="false">F219</f>
        <v>0.103858865062481</v>
      </c>
      <c r="C221" s="300"/>
      <c r="D221" s="300"/>
      <c r="E221" s="300"/>
      <c r="F221" s="300"/>
      <c r="G221" s="300"/>
    </row>
    <row r="222" customFormat="false" ht="15" hidden="false" customHeight="false" outlineLevel="0" collapsed="false">
      <c r="A222" s="286" t="s">
        <v>2010</v>
      </c>
      <c r="B222" s="337" t="n">
        <f aca="false">(G219-G218)*10000</f>
        <v>0.000194241843998189</v>
      </c>
      <c r="C222" s="303"/>
      <c r="D222" s="303"/>
      <c r="E222" s="303"/>
      <c r="F222" s="303"/>
      <c r="G222" s="303"/>
    </row>
    <row r="223" customFormat="false" ht="15" hidden="false" customHeight="false" outlineLevel="0" collapsed="false">
      <c r="A223" s="339"/>
      <c r="B223" s="339"/>
      <c r="C223" s="339"/>
      <c r="D223" s="339"/>
      <c r="E223" s="339"/>
      <c r="F223" s="339"/>
      <c r="G223" s="339"/>
    </row>
    <row r="224" customFormat="false" ht="15" hidden="false" customHeight="false" outlineLevel="0" collapsed="false">
      <c r="A224" s="339"/>
      <c r="B224" s="339"/>
      <c r="C224" s="339"/>
      <c r="D224" s="339"/>
      <c r="E224" s="339"/>
      <c r="F224" s="339"/>
      <c r="G224" s="339"/>
    </row>
    <row r="225" customFormat="false" ht="15" hidden="false" customHeight="false" outlineLevel="0" collapsed="false">
      <c r="A225" s="285" t="s">
        <v>2011</v>
      </c>
      <c r="B225" s="300" t="s">
        <v>1</v>
      </c>
      <c r="C225" s="300" t="s">
        <v>2</v>
      </c>
      <c r="D225" s="300" t="s">
        <v>3</v>
      </c>
      <c r="E225" s="300" t="s">
        <v>4</v>
      </c>
      <c r="F225" s="300"/>
      <c r="G225" s="300"/>
    </row>
    <row r="226" customFormat="false" ht="15" hidden="false" customHeight="false" outlineLevel="0" collapsed="false">
      <c r="A226" s="286" t="s">
        <v>1409</v>
      </c>
      <c r="B226" s="297" t="n">
        <f aca="false">WACC!B18</f>
        <v>59580</v>
      </c>
      <c r="C226" s="297" t="n">
        <f aca="false">WACC!C18</f>
        <v>813622.604529617</v>
      </c>
      <c r="D226" s="297" t="n">
        <f aca="false">WACC!D18</f>
        <v>89246.0254200776</v>
      </c>
      <c r="E226" s="297" t="n">
        <f aca="false">WACC!E18</f>
        <v>34190</v>
      </c>
      <c r="F226" s="303"/>
      <c r="G226" s="303"/>
    </row>
    <row r="227" customFormat="false" ht="15" hidden="false" customHeight="false" outlineLevel="0" collapsed="false">
      <c r="A227" s="286" t="s">
        <v>2013</v>
      </c>
      <c r="B227" s="297" t="n">
        <f aca="false">WACC!B21</f>
        <v>23618</v>
      </c>
      <c r="C227" s="297" t="n">
        <f aca="false">WACC!C21</f>
        <v>80848.1</v>
      </c>
      <c r="D227" s="297" t="n">
        <f aca="false">WACC!D21</f>
        <v>56744.34</v>
      </c>
      <c r="E227" s="297" t="n">
        <f aca="false">WACC!E21</f>
        <v>2441.8</v>
      </c>
      <c r="F227" s="303"/>
      <c r="G227" s="303"/>
    </row>
    <row r="228" customFormat="false" ht="15" hidden="false" customHeight="false" outlineLevel="0" collapsed="false">
      <c r="A228" s="286" t="s">
        <v>2701</v>
      </c>
      <c r="B228" s="297" t="n">
        <f aca="false">-WACC!B22</f>
        <v>-9295</v>
      </c>
      <c r="C228" s="297" t="n">
        <f aca="false">-WACC!C22</f>
        <v>-28591.2</v>
      </c>
      <c r="D228" s="297" t="n">
        <f aca="false">-WACC!D22</f>
        <v>-14640.16</v>
      </c>
      <c r="E228" s="297" t="n">
        <f aca="false">-WACC!E22</f>
        <v>-2962.8</v>
      </c>
      <c r="F228" s="303"/>
      <c r="G228" s="303"/>
    </row>
    <row r="229" customFormat="false" ht="15" hidden="false" customHeight="false" outlineLevel="0" collapsed="false">
      <c r="A229" s="286" t="s">
        <v>2015</v>
      </c>
      <c r="B229" s="297" t="n">
        <f aca="false">SUM(B226:B228)</f>
        <v>73903</v>
      </c>
      <c r="C229" s="297" t="n">
        <f aca="false">SUM(C226:C228)</f>
        <v>865879.504529617</v>
      </c>
      <c r="D229" s="297" t="n">
        <f aca="false">SUM(D226:D228)</f>
        <v>131350.205420078</v>
      </c>
      <c r="E229" s="297" t="n">
        <f aca="false">SUM(E226:E228)</f>
        <v>33669</v>
      </c>
      <c r="F229" s="303"/>
      <c r="G229" s="303"/>
    </row>
    <row r="230" customFormat="false" ht="15" hidden="false" customHeight="false" outlineLevel="0" collapsed="false">
      <c r="A230" s="286" t="s">
        <v>2016</v>
      </c>
      <c r="B230" s="297" t="n">
        <f aca="false">Datos!G9+Datos!G14</f>
        <v>11894</v>
      </c>
      <c r="C230" s="297" t="n">
        <f aca="false">Datos!G35+Datos!G40</f>
        <v>103446.9</v>
      </c>
      <c r="D230" s="297" t="n">
        <f aca="false">Datos!G61+Datos!G66</f>
        <v>24391.15</v>
      </c>
      <c r="E230" s="297" t="n">
        <f aca="false">Datos!G87+Datos!G92</f>
        <v>5214.81481788325</v>
      </c>
      <c r="F230" s="303"/>
      <c r="G230" s="303"/>
    </row>
    <row r="231" customFormat="false" ht="15" hidden="false" customHeight="false" outlineLevel="0" collapsed="false">
      <c r="A231" s="285" t="s">
        <v>2017</v>
      </c>
      <c r="B231" s="340" t="n">
        <f aca="false">B229/B230</f>
        <v>6.21346897595426</v>
      </c>
      <c r="C231" s="340" t="n">
        <f aca="false">C229/C230</f>
        <v>8.37027986850855</v>
      </c>
      <c r="D231" s="340" t="n">
        <f aca="false">D229/D230</f>
        <v>5.38515836358997</v>
      </c>
      <c r="E231" s="340" t="n">
        <f aca="false">E229/E230</f>
        <v>6.45641334847373</v>
      </c>
      <c r="F231" s="341"/>
      <c r="G231" s="341"/>
    </row>
    <row r="232" customFormat="false" ht="15" hidden="false" customHeight="false" outlineLevel="0" collapsed="false">
      <c r="A232" s="286" t="s">
        <v>2018</v>
      </c>
      <c r="B232" s="342" t="n">
        <f aca="false">MEDIAN(C231:E231)</f>
        <v>6.45641334847373</v>
      </c>
      <c r="C232" s="302"/>
      <c r="D232" s="302"/>
      <c r="E232" s="302"/>
      <c r="F232" s="302"/>
      <c r="G232" s="302"/>
    </row>
    <row r="233" customFormat="false" ht="15" hidden="false" customHeight="false" outlineLevel="0" collapsed="false">
      <c r="A233" s="286" t="s">
        <v>2702</v>
      </c>
      <c r="B233" s="296" t="n">
        <v>0.1</v>
      </c>
      <c r="C233" s="302"/>
      <c r="D233" s="302"/>
      <c r="E233" s="302"/>
      <c r="F233" s="302"/>
      <c r="G233" s="302"/>
    </row>
    <row r="234" customFormat="false" ht="15" hidden="false" customHeight="false" outlineLevel="0" collapsed="false">
      <c r="A234" s="286" t="s">
        <v>2020</v>
      </c>
      <c r="B234" s="342" t="n">
        <f aca="false">B232*(1-B233)</f>
        <v>5.81077201362635</v>
      </c>
      <c r="C234" s="302"/>
      <c r="D234" s="302"/>
      <c r="E234" s="302"/>
      <c r="F234" s="302"/>
      <c r="G234" s="302"/>
    </row>
    <row r="235" customFormat="false" ht="15" hidden="false" customHeight="false" outlineLevel="0" collapsed="false">
      <c r="A235" s="286" t="s">
        <v>2021</v>
      </c>
      <c r="B235" s="297" t="n">
        <f aca="false">G71</f>
        <v>12696.9683589475</v>
      </c>
      <c r="C235" s="302"/>
      <c r="D235" s="302"/>
      <c r="E235" s="302"/>
      <c r="F235" s="302"/>
      <c r="G235" s="302"/>
    </row>
    <row r="236" customFormat="false" ht="15" hidden="false" customHeight="false" outlineLevel="0" collapsed="false">
      <c r="A236" s="285" t="s">
        <v>2022</v>
      </c>
      <c r="B236" s="301" t="n">
        <f aca="false">B234*B235</f>
        <v>73779.1883980717</v>
      </c>
      <c r="C236" s="302"/>
      <c r="D236" s="302"/>
      <c r="E236" s="302"/>
      <c r="F236" s="302"/>
      <c r="G236" s="302"/>
    </row>
    <row r="237" customFormat="false" ht="15" hidden="false" customHeight="false" outlineLevel="0" collapsed="false">
      <c r="A237" s="286" t="s">
        <v>2023</v>
      </c>
      <c r="B237" s="297" t="n">
        <f aca="false">B236*G119</f>
        <v>46532.3806162228</v>
      </c>
      <c r="C237" s="302"/>
      <c r="D237" s="302"/>
      <c r="E237" s="302"/>
      <c r="F237" s="302"/>
      <c r="G237" s="302"/>
    </row>
    <row r="238" customFormat="false" ht="15" hidden="false" customHeight="false" outlineLevel="0" collapsed="false">
      <c r="A238" s="285" t="s">
        <v>2024</v>
      </c>
      <c r="B238" s="301" t="n">
        <f aca="false">B134+B237</f>
        <v>71794.9145170258</v>
      </c>
      <c r="C238" s="302"/>
      <c r="D238" s="302"/>
      <c r="E238" s="302"/>
      <c r="F238" s="302"/>
      <c r="G238" s="302"/>
    </row>
    <row r="239" customFormat="false" ht="15" hidden="false" customHeight="false" outlineLevel="0" collapsed="false">
      <c r="A239" s="286" t="s">
        <v>2025</v>
      </c>
      <c r="B239" s="297" t="n">
        <f aca="false">B238-B144</f>
        <v>57471.9145170258</v>
      </c>
      <c r="C239" s="302"/>
      <c r="D239" s="302"/>
      <c r="E239" s="302"/>
      <c r="F239" s="302"/>
      <c r="G239" s="302"/>
    </row>
    <row r="240" customFormat="false" ht="15" hidden="false" customHeight="false" outlineLevel="0" collapsed="false">
      <c r="A240" s="285" t="s">
        <v>2026</v>
      </c>
      <c r="B240" s="306" t="n">
        <f aca="false">B239/B149</f>
        <v>31.9288413983477</v>
      </c>
      <c r="C240" s="302"/>
      <c r="D240" s="302"/>
      <c r="E240" s="302"/>
      <c r="F240" s="302"/>
      <c r="G240" s="302"/>
    </row>
    <row r="241" customFormat="false" ht="15" hidden="false" customHeight="false" outlineLevel="0" collapsed="false">
      <c r="A241" s="286" t="s">
        <v>2027</v>
      </c>
      <c r="B241" s="342" t="n">
        <f aca="false">B129/G71</f>
        <v>8.89694256264932</v>
      </c>
      <c r="C241" s="302"/>
      <c r="D241" s="302"/>
      <c r="E241" s="302"/>
      <c r="F241" s="302"/>
      <c r="G241" s="302"/>
    </row>
    <row r="242" customFormat="false" ht="15" hidden="false" customHeight="false" outlineLevel="0" collapsed="false">
      <c r="A242" s="286" t="s">
        <v>2028</v>
      </c>
      <c r="B242" s="296" t="n">
        <f aca="false">(B236*B126-B127)/(B236+B127)</f>
        <v>0.00502997286547122</v>
      </c>
      <c r="C242" s="302"/>
      <c r="D242" s="302"/>
      <c r="E242" s="302"/>
      <c r="F242" s="302"/>
      <c r="G242" s="302"/>
    </row>
    <row r="243" customFormat="false" ht="15" hidden="false" customHeight="false" outlineLevel="0" collapsed="false">
      <c r="A243" s="286" t="s">
        <v>2029</v>
      </c>
      <c r="B243" s="296" t="n">
        <v>0.5</v>
      </c>
      <c r="C243" s="302"/>
      <c r="D243" s="302"/>
      <c r="E243" s="302"/>
      <c r="F243" s="302"/>
      <c r="G243" s="302"/>
    </row>
    <row r="244" customFormat="false" ht="15" hidden="false" customHeight="false" outlineLevel="0" collapsed="false">
      <c r="A244" s="286" t="s">
        <v>2030</v>
      </c>
      <c r="B244" s="296" t="n">
        <f aca="false">1-B243</f>
        <v>0.5</v>
      </c>
      <c r="C244" s="302"/>
      <c r="D244" s="302"/>
      <c r="E244" s="302"/>
      <c r="F244" s="302"/>
      <c r="G244" s="302"/>
    </row>
    <row r="245" customFormat="false" ht="15" hidden="false" customHeight="false" outlineLevel="0" collapsed="false">
      <c r="A245" s="286" t="s">
        <v>2031</v>
      </c>
      <c r="B245" s="297" t="n">
        <f aca="false">B243*B136+B244*B238</f>
        <v>84151.8665964529</v>
      </c>
      <c r="C245" s="302"/>
      <c r="D245" s="302"/>
      <c r="E245" s="302"/>
      <c r="F245" s="302"/>
      <c r="G245" s="302"/>
    </row>
    <row r="246" customFormat="false" ht="15" hidden="false" customHeight="false" outlineLevel="0" collapsed="false">
      <c r="A246" s="285" t="s">
        <v>2032</v>
      </c>
      <c r="B246" s="306" t="n">
        <f aca="false">B243*B150+B244*B240</f>
        <v>38.7938147758072</v>
      </c>
      <c r="C246" s="302"/>
      <c r="D246" s="302"/>
      <c r="E246" s="302"/>
      <c r="F246" s="302"/>
      <c r="G246" s="302"/>
    </row>
    <row r="247" customFormat="false" ht="15" hidden="false" customHeight="false" outlineLevel="0" collapsed="false">
      <c r="A247" s="339"/>
      <c r="B247" s="339"/>
      <c r="C247" s="339"/>
      <c r="D247" s="339"/>
      <c r="E247" s="339"/>
      <c r="F247" s="339"/>
      <c r="G247" s="339"/>
    </row>
    <row r="248" customFormat="false" ht="15" hidden="false" customHeight="false" outlineLevel="0" collapsed="false">
      <c r="A248" s="339"/>
      <c r="B248" s="339"/>
      <c r="C248" s="339"/>
      <c r="D248" s="339"/>
      <c r="E248" s="339"/>
      <c r="F248" s="339"/>
      <c r="G248" s="339"/>
    </row>
    <row r="249" customFormat="false" ht="15" hidden="false" customHeight="false" outlineLevel="0" collapsed="false">
      <c r="A249" s="285" t="s">
        <v>2033</v>
      </c>
      <c r="B249" s="300" t="s">
        <v>78</v>
      </c>
      <c r="C249" s="300"/>
      <c r="D249" s="300"/>
      <c r="E249" s="300"/>
      <c r="F249" s="300"/>
      <c r="G249" s="300"/>
    </row>
    <row r="250" customFormat="false" ht="15" hidden="false" customHeight="false" outlineLevel="0" collapsed="false">
      <c r="A250" s="286" t="s">
        <v>2035</v>
      </c>
      <c r="B250" s="343" t="n">
        <f aca="false">DATE(2025,12,31)</f>
        <v>46022</v>
      </c>
      <c r="C250" s="302"/>
      <c r="D250" s="302"/>
      <c r="E250" s="302"/>
      <c r="F250" s="302"/>
      <c r="G250" s="302"/>
    </row>
    <row r="251" customFormat="false" ht="15" hidden="false" customHeight="false" outlineLevel="0" collapsed="false">
      <c r="A251" s="286" t="s">
        <v>2036</v>
      </c>
      <c r="B251" s="343" t="n">
        <f aca="false">DATE(2026,6,30)</f>
        <v>46203</v>
      </c>
      <c r="C251" s="302"/>
      <c r="D251" s="302"/>
      <c r="E251" s="302"/>
      <c r="F251" s="302"/>
      <c r="G251" s="302"/>
    </row>
    <row r="252" customFormat="false" ht="15" hidden="false" customHeight="false" outlineLevel="0" collapsed="false">
      <c r="A252" s="286" t="s">
        <v>2037</v>
      </c>
      <c r="B252" s="343" t="n">
        <f aca="false">Rendimientos!H10</f>
        <v>46302</v>
      </c>
      <c r="C252" s="302"/>
      <c r="D252" s="302"/>
      <c r="E252" s="302"/>
      <c r="F252" s="302"/>
      <c r="G252" s="302"/>
    </row>
    <row r="253" customFormat="false" ht="15" hidden="false" customHeight="false" outlineLevel="0" collapsed="false">
      <c r="A253" s="286" t="s">
        <v>2038</v>
      </c>
      <c r="B253" s="337" t="n">
        <f aca="false">YEARFRAC(B250,B251)</f>
        <v>0.5</v>
      </c>
      <c r="C253" s="302"/>
      <c r="D253" s="302"/>
      <c r="E253" s="302"/>
      <c r="F253" s="302"/>
      <c r="G253" s="302"/>
    </row>
    <row r="254" customFormat="false" ht="15" hidden="false" customHeight="false" outlineLevel="0" collapsed="false">
      <c r="A254" s="286" t="s">
        <v>2039</v>
      </c>
      <c r="B254" s="337" t="n">
        <f aca="false">YEARFRAC(B251,B252)</f>
        <v>0.269444444444444</v>
      </c>
      <c r="C254" s="302"/>
      <c r="D254" s="302"/>
      <c r="E254" s="302"/>
      <c r="F254" s="302"/>
      <c r="G254" s="302"/>
    </row>
    <row r="255" customFormat="false" ht="15" hidden="false" customHeight="false" outlineLevel="0" collapsed="false">
      <c r="A255" s="286" t="s">
        <v>2040</v>
      </c>
      <c r="B255" s="297" t="n">
        <f aca="false">B245</f>
        <v>84151.8665964529</v>
      </c>
      <c r="C255" s="302"/>
      <c r="D255" s="302"/>
      <c r="E255" s="302"/>
      <c r="F255" s="302"/>
      <c r="G255" s="302"/>
    </row>
    <row r="256" customFormat="false" ht="15" hidden="false" customHeight="false" outlineLevel="0" collapsed="false">
      <c r="A256" s="286" t="s">
        <v>2671</v>
      </c>
      <c r="B256" s="297" t="n">
        <f aca="false">B255*(1+B126)^B253</f>
        <v>88121.4457663035</v>
      </c>
      <c r="C256" s="302"/>
      <c r="D256" s="302"/>
      <c r="E256" s="302"/>
      <c r="F256" s="302"/>
      <c r="G256" s="302"/>
    </row>
    <row r="257" customFormat="false" ht="15" hidden="false" customHeight="false" outlineLevel="0" collapsed="false">
      <c r="A257" s="286" t="s">
        <v>2672</v>
      </c>
      <c r="B257" s="297" t="n">
        <f aca="false">-((Datos!E15+Datos!F15)-(Datos!E16+Datos!F16))</f>
        <v>1060.497</v>
      </c>
      <c r="C257" s="302"/>
      <c r="D257" s="302"/>
      <c r="E257" s="302"/>
      <c r="F257" s="302"/>
      <c r="G257" s="302"/>
    </row>
    <row r="258" customFormat="false" ht="15" hidden="false" customHeight="false" outlineLevel="0" collapsed="false">
      <c r="A258" s="286" t="s">
        <v>2043</v>
      </c>
      <c r="B258" s="297" t="n">
        <f aca="false">B256+B257</f>
        <v>89181.9427663035</v>
      </c>
      <c r="C258" s="302"/>
      <c r="D258" s="302"/>
      <c r="E258" s="302"/>
      <c r="F258" s="302"/>
      <c r="G258" s="302"/>
    </row>
    <row r="259" customFormat="false" ht="15" hidden="false" customHeight="false" outlineLevel="0" collapsed="false">
      <c r="A259" s="286" t="s">
        <v>2258</v>
      </c>
      <c r="B259" s="297" t="n">
        <f aca="false">-(Datos!F25+Datos!F26)</f>
        <v>-11500</v>
      </c>
      <c r="C259" s="302"/>
      <c r="D259" s="302"/>
      <c r="E259" s="302"/>
      <c r="F259" s="302"/>
      <c r="G259" s="302"/>
    </row>
    <row r="260" customFormat="false" ht="15" hidden="false" customHeight="false" outlineLevel="0" collapsed="false">
      <c r="A260" s="286" t="s">
        <v>2259</v>
      </c>
      <c r="B260" s="297" t="n">
        <f aca="false">-(Datos!F27+Datos!F28)</f>
        <v>-12220.588</v>
      </c>
      <c r="C260" s="302"/>
      <c r="D260" s="302"/>
      <c r="E260" s="302"/>
      <c r="F260" s="302"/>
      <c r="G260" s="302"/>
    </row>
    <row r="261" customFormat="false" ht="15" hidden="false" customHeight="false" outlineLevel="0" collapsed="false">
      <c r="A261" s="286" t="s">
        <v>2046</v>
      </c>
      <c r="B261" s="297" t="n">
        <f aca="false">Datos!F17</f>
        <v>6875.384</v>
      </c>
      <c r="C261" s="302"/>
      <c r="D261" s="302"/>
      <c r="E261" s="302"/>
      <c r="F261" s="302"/>
      <c r="G261" s="302"/>
    </row>
    <row r="262" customFormat="false" ht="15" hidden="false" customHeight="false" outlineLevel="0" collapsed="false">
      <c r="A262" s="285" t="s">
        <v>2047</v>
      </c>
      <c r="B262" s="301" t="n">
        <f aca="false">SUM(B258:B261)</f>
        <v>72336.7387663035</v>
      </c>
      <c r="C262" s="302"/>
      <c r="D262" s="302"/>
      <c r="E262" s="302"/>
      <c r="F262" s="302"/>
      <c r="G262" s="302"/>
    </row>
    <row r="263" customFormat="false" ht="15" hidden="false" customHeight="false" outlineLevel="0" collapsed="false">
      <c r="A263" s="285" t="s">
        <v>2673</v>
      </c>
      <c r="B263" s="301" t="n">
        <f aca="false">B262*(1+B221)^B254</f>
        <v>74288.5262291996</v>
      </c>
      <c r="C263" s="302"/>
      <c r="D263" s="302"/>
      <c r="E263" s="302"/>
      <c r="F263" s="302"/>
      <c r="G263" s="302"/>
    </row>
    <row r="264" customFormat="false" ht="15" hidden="false" customHeight="false" outlineLevel="0" collapsed="false">
      <c r="A264" s="286" t="s">
        <v>57</v>
      </c>
      <c r="B264" s="305" t="n">
        <f aca="false">B149</f>
        <v>1800</v>
      </c>
      <c r="C264" s="302"/>
      <c r="D264" s="302"/>
      <c r="E264" s="302"/>
      <c r="F264" s="302"/>
      <c r="G264" s="302"/>
    </row>
    <row r="265" customFormat="false" ht="15" hidden="false" customHeight="false" outlineLevel="0" collapsed="false">
      <c r="A265" s="285" t="s">
        <v>2049</v>
      </c>
      <c r="B265" s="306" t="n">
        <f aca="false">B263/B264</f>
        <v>41.2714034606664</v>
      </c>
      <c r="C265" s="302"/>
      <c r="D265" s="302"/>
      <c r="E265" s="302"/>
      <c r="F265" s="302"/>
      <c r="G265" s="302"/>
    </row>
    <row r="266" customFormat="false" ht="15" hidden="false" customHeight="false" outlineLevel="0" collapsed="false">
      <c r="A266" s="286" t="s">
        <v>16</v>
      </c>
      <c r="B266" s="307" t="n">
        <f aca="false">B151</f>
        <v>33.1</v>
      </c>
      <c r="C266" s="302"/>
      <c r="D266" s="302"/>
      <c r="E266" s="302"/>
      <c r="F266" s="302"/>
      <c r="G266" s="302"/>
    </row>
    <row r="267" customFormat="false" ht="15" hidden="false" customHeight="false" outlineLevel="0" collapsed="false">
      <c r="A267" s="286" t="s">
        <v>17</v>
      </c>
      <c r="B267" s="295" t="n">
        <f aca="false">B265/B266-1</f>
        <v>0.246870195186297</v>
      </c>
      <c r="C267" s="302"/>
      <c r="D267" s="302"/>
      <c r="E267" s="302"/>
      <c r="F267" s="302"/>
      <c r="G267" s="302"/>
    </row>
    <row r="268" customFormat="false" ht="15" hidden="false" customHeight="false" outlineLevel="0" collapsed="false">
      <c r="A268" s="285" t="s">
        <v>2050</v>
      </c>
      <c r="B268" s="338" t="str">
        <f aca="false">IF(B267&gt;B155,"COMPRAR",IF(B267&lt;-B155,"VENDER","MANTENER"))</f>
        <v>COMPRAR</v>
      </c>
      <c r="C268" s="302"/>
      <c r="D268" s="302"/>
      <c r="E268" s="302"/>
      <c r="F268" s="302"/>
      <c r="G268" s="302"/>
    </row>
    <row r="269" customFormat="false" ht="15" hidden="false" customHeight="false" outlineLevel="0" collapsed="false">
      <c r="A269" s="286" t="s">
        <v>18</v>
      </c>
      <c r="B269" s="307" t="n">
        <f aca="false">Generales!B24</f>
        <v>23.357</v>
      </c>
      <c r="C269" s="302"/>
      <c r="D269" s="302"/>
      <c r="E269" s="302"/>
      <c r="F269" s="302"/>
      <c r="G269" s="302"/>
    </row>
    <row r="270" customFormat="false" ht="15" hidden="false" customHeight="false" outlineLevel="0" collapsed="false">
      <c r="A270" s="286" t="s">
        <v>2051</v>
      </c>
      <c r="B270" s="295" t="n">
        <f aca="false">B265/B269-1</f>
        <v>0.766982209216356</v>
      </c>
      <c r="C270" s="302"/>
      <c r="D270" s="302"/>
      <c r="E270" s="302"/>
      <c r="F270" s="302"/>
      <c r="G270" s="30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6796875" defaultRowHeight="15" zeroHeight="false" outlineLevelRow="0" outlineLevelCol="0"/>
  <cols>
    <col collapsed="false" customWidth="true" hidden="false" outlineLevel="0" max="1" min="1" style="0" width="61.16"/>
    <col collapsed="false" customWidth="true" hidden="false" outlineLevel="0" max="7" min="2" style="0" width="17.5"/>
  </cols>
  <sheetData>
    <row r="1" customFormat="false" ht="15" hidden="false" customHeight="true" outlineLevel="0" collapsed="false">
      <c r="A1" s="344" t="s">
        <v>2708</v>
      </c>
      <c r="B1" s="345"/>
      <c r="C1" s="345"/>
      <c r="D1" s="345"/>
      <c r="E1" s="345"/>
      <c r="F1" s="345"/>
      <c r="G1" s="345"/>
    </row>
    <row r="2" customFormat="false" ht="15" hidden="false" customHeight="true" outlineLevel="0" collapsed="false">
      <c r="A2" s="346" t="s">
        <v>2675</v>
      </c>
      <c r="B2" s="345"/>
      <c r="C2" s="345"/>
      <c r="D2" s="345"/>
      <c r="E2" s="345"/>
      <c r="F2" s="345"/>
      <c r="G2" s="345"/>
    </row>
    <row r="3" customFormat="false" ht="15" hidden="false" customHeight="true" outlineLevel="0" collapsed="false">
      <c r="A3" s="347"/>
      <c r="B3" s="345"/>
      <c r="C3" s="345"/>
      <c r="D3" s="345"/>
      <c r="E3" s="345"/>
      <c r="F3" s="345"/>
      <c r="G3" s="345"/>
    </row>
    <row r="4" customFormat="false" ht="15" hidden="false" customHeight="true" outlineLevel="0" collapsed="false">
      <c r="A4" s="345"/>
      <c r="B4" s="345"/>
      <c r="C4" s="345"/>
      <c r="D4" s="345"/>
      <c r="E4" s="345"/>
      <c r="F4" s="345"/>
      <c r="G4" s="345"/>
    </row>
    <row r="5" customFormat="false" ht="15" hidden="false" customHeight="true" outlineLevel="0" collapsed="false">
      <c r="A5" s="285" t="s">
        <v>1831</v>
      </c>
      <c r="B5" s="285" t="s">
        <v>1428</v>
      </c>
      <c r="C5" s="285" t="s">
        <v>1429</v>
      </c>
      <c r="D5" s="285" t="s">
        <v>1430</v>
      </c>
      <c r="E5" s="285" t="s">
        <v>1431</v>
      </c>
      <c r="F5" s="285" t="s">
        <v>1432</v>
      </c>
      <c r="G5" s="285" t="s">
        <v>1433</v>
      </c>
    </row>
    <row r="6" customFormat="false" ht="15" hidden="false" customHeight="true" outlineLevel="0" collapsed="false">
      <c r="A6" s="286" t="s">
        <v>1833</v>
      </c>
      <c r="B6" s="286"/>
      <c r="C6" s="287" t="n">
        <v>0.7</v>
      </c>
      <c r="D6" s="287" t="n">
        <v>0.7</v>
      </c>
      <c r="E6" s="287" t="n">
        <v>0.75</v>
      </c>
      <c r="F6" s="287" t="n">
        <v>0.8</v>
      </c>
      <c r="G6" s="287" t="n">
        <v>0.85</v>
      </c>
    </row>
    <row r="7" customFormat="false" ht="15" hidden="false" customHeight="true" outlineLevel="0" collapsed="false">
      <c r="A7" s="286" t="s">
        <v>1834</v>
      </c>
      <c r="B7" s="286"/>
      <c r="C7" s="287" t="n">
        <f aca="false">1-C6</f>
        <v>0.3</v>
      </c>
      <c r="D7" s="287" t="n">
        <f aca="false">1-D6</f>
        <v>0.3</v>
      </c>
      <c r="E7" s="287" t="n">
        <f aca="false">1-E6</f>
        <v>0.25</v>
      </c>
      <c r="F7" s="287" t="n">
        <f aca="false">1-F6</f>
        <v>0.2</v>
      </c>
      <c r="G7" s="287" t="n">
        <f aca="false">1-G6</f>
        <v>0.15</v>
      </c>
    </row>
    <row r="8" customFormat="false" ht="15" hidden="false" customHeight="true" outlineLevel="0" collapsed="false">
      <c r="A8" s="288"/>
      <c r="B8" s="288"/>
      <c r="C8" s="288"/>
      <c r="D8" s="288"/>
      <c r="E8" s="288"/>
      <c r="F8" s="288"/>
      <c r="G8" s="288"/>
    </row>
    <row r="9" customFormat="false" ht="15" hidden="false" customHeight="true" outlineLevel="0" collapsed="false">
      <c r="A9" s="285" t="s">
        <v>1835</v>
      </c>
      <c r="B9" s="285" t="s">
        <v>1428</v>
      </c>
      <c r="C9" s="285" t="s">
        <v>1429</v>
      </c>
      <c r="D9" s="285" t="s">
        <v>1430</v>
      </c>
      <c r="E9" s="285" t="s">
        <v>1431</v>
      </c>
      <c r="F9" s="285" t="s">
        <v>1432</v>
      </c>
      <c r="G9" s="285" t="s">
        <v>1433</v>
      </c>
    </row>
    <row r="10" customFormat="false" ht="15" hidden="false" customHeight="true" outlineLevel="0" collapsed="false">
      <c r="A10" s="286" t="s">
        <v>1837</v>
      </c>
      <c r="B10" s="286"/>
      <c r="C10" s="289" t="n">
        <f aca="false">Escenarios!$L$7</f>
        <v>0.0351</v>
      </c>
      <c r="D10" s="289" t="n">
        <f aca="false">Escenarios!$L$7</f>
        <v>0.0351</v>
      </c>
      <c r="E10" s="289" t="n">
        <f aca="false">Escenarios!$L$7</f>
        <v>0.0351</v>
      </c>
      <c r="F10" s="289" t="n">
        <f aca="false">Escenarios!$L$7</f>
        <v>0.0351</v>
      </c>
      <c r="G10" s="289" t="n">
        <f aca="false">Escenarios!$L$7</f>
        <v>0.0351</v>
      </c>
    </row>
    <row r="11" customFormat="false" ht="15" hidden="false" customHeight="true" outlineLevel="0" collapsed="false">
      <c r="A11" s="286" t="s">
        <v>1838</v>
      </c>
      <c r="B11" s="286"/>
      <c r="C11" s="289" t="n">
        <v>0.014</v>
      </c>
      <c r="D11" s="289" t="n">
        <v>0.018</v>
      </c>
      <c r="E11" s="289" t="n">
        <v>0.02</v>
      </c>
      <c r="F11" s="289" t="n">
        <v>0.02</v>
      </c>
      <c r="G11" s="289" t="n">
        <v>0.02</v>
      </c>
    </row>
    <row r="12" customFormat="false" ht="15" hidden="false" customHeight="true" outlineLevel="0" collapsed="false">
      <c r="A12" s="286" t="s">
        <v>1839</v>
      </c>
      <c r="B12" s="286"/>
      <c r="C12" s="290" t="n">
        <v>0.5</v>
      </c>
      <c r="D12" s="290" t="n">
        <v>0.5</v>
      </c>
      <c r="E12" s="290" t="n">
        <v>0.5</v>
      </c>
      <c r="F12" s="290" t="n">
        <v>0.5</v>
      </c>
      <c r="G12" s="290" t="n">
        <v>0.5</v>
      </c>
    </row>
    <row r="13" customFormat="false" ht="15" hidden="false" customHeight="true" outlineLevel="0" collapsed="false">
      <c r="A13" s="286" t="s">
        <v>1840</v>
      </c>
      <c r="B13" s="286"/>
      <c r="C13" s="289" t="n">
        <v>-0.04</v>
      </c>
      <c r="D13" s="289" t="n">
        <v>-0.015</v>
      </c>
      <c r="E13" s="289" t="n">
        <v>-0.005</v>
      </c>
      <c r="F13" s="289" t="n">
        <v>0</v>
      </c>
      <c r="G13" s="289" t="n">
        <v>0</v>
      </c>
    </row>
    <row r="14" customFormat="false" ht="15" hidden="false" customHeight="true" outlineLevel="0" collapsed="false">
      <c r="A14" s="285" t="s">
        <v>1841</v>
      </c>
      <c r="B14" s="285"/>
      <c r="C14" s="291" t="n">
        <f aca="false">C10+C11*C12+C13</f>
        <v>0.0021</v>
      </c>
      <c r="D14" s="291" t="n">
        <f aca="false">D10+D11*D12+D13</f>
        <v>0.0291</v>
      </c>
      <c r="E14" s="291" t="n">
        <f aca="false">E10+E11*E12+E13</f>
        <v>0.0401</v>
      </c>
      <c r="F14" s="291" t="n">
        <f aca="false">F10+F11*F12+F13</f>
        <v>0.0451</v>
      </c>
      <c r="G14" s="291" t="n">
        <f aca="false">G10+G11*G12+G13</f>
        <v>0.0451</v>
      </c>
    </row>
    <row r="15" customFormat="false" ht="15" hidden="false" customHeight="true" outlineLevel="0" collapsed="false">
      <c r="A15" s="286" t="s">
        <v>2676</v>
      </c>
      <c r="B15" s="286"/>
      <c r="C15" s="289" t="n">
        <v>-0.03</v>
      </c>
      <c r="D15" s="289" t="n">
        <v>-0.02</v>
      </c>
      <c r="E15" s="289" t="n">
        <v>-0.0125</v>
      </c>
      <c r="F15" s="289" t="n">
        <v>-0.01</v>
      </c>
      <c r="G15" s="289" t="n">
        <v>-0.0075</v>
      </c>
    </row>
    <row r="16" customFormat="false" ht="15" hidden="false" customHeight="true" outlineLevel="0" collapsed="false">
      <c r="A16" s="286" t="s">
        <v>2677</v>
      </c>
      <c r="B16" s="286"/>
      <c r="C16" s="289" t="n">
        <v>-0.01</v>
      </c>
      <c r="D16" s="289" t="n">
        <v>-0.005</v>
      </c>
      <c r="E16" s="289" t="n">
        <v>0</v>
      </c>
      <c r="F16" s="289" t="n">
        <v>0</v>
      </c>
      <c r="G16" s="289" t="n">
        <v>0</v>
      </c>
    </row>
    <row r="17" customFormat="false" ht="15" hidden="false" customHeight="true" outlineLevel="0" collapsed="false">
      <c r="A17" s="286" t="s">
        <v>2678</v>
      </c>
      <c r="B17" s="286"/>
      <c r="C17" s="289" t="n">
        <v>-0.003</v>
      </c>
      <c r="D17" s="289" t="n">
        <v>-0.002</v>
      </c>
      <c r="E17" s="289" t="n">
        <v>-0.001</v>
      </c>
      <c r="F17" s="289" t="n">
        <v>0</v>
      </c>
      <c r="G17" s="289" t="n">
        <v>0</v>
      </c>
    </row>
    <row r="18" customFormat="false" ht="15" hidden="false" customHeight="true" outlineLevel="0" collapsed="false">
      <c r="A18" s="286" t="s">
        <v>2679</v>
      </c>
      <c r="B18" s="286"/>
      <c r="C18" s="289" t="n">
        <v>-0.002</v>
      </c>
      <c r="D18" s="289" t="n">
        <v>-0.003</v>
      </c>
      <c r="E18" s="289" t="n">
        <v>-0.001</v>
      </c>
      <c r="F18" s="289" t="n">
        <v>0</v>
      </c>
      <c r="G18" s="289" t="n">
        <v>0</v>
      </c>
    </row>
    <row r="19" customFormat="false" ht="15" hidden="false" customHeight="true" outlineLevel="0" collapsed="false">
      <c r="A19" s="286" t="s">
        <v>2680</v>
      </c>
      <c r="B19" s="286"/>
      <c r="C19" s="289" t="n">
        <v>0.002</v>
      </c>
      <c r="D19" s="289" t="n">
        <v>0.003</v>
      </c>
      <c r="E19" s="289" t="n">
        <v>0.003</v>
      </c>
      <c r="F19" s="289" t="n">
        <v>0.002</v>
      </c>
      <c r="G19" s="289" t="n">
        <v>0.002</v>
      </c>
    </row>
    <row r="20" customFormat="false" ht="15" hidden="false" customHeight="true" outlineLevel="0" collapsed="false">
      <c r="A20" s="286" t="s">
        <v>2681</v>
      </c>
      <c r="B20" s="286"/>
      <c r="C20" s="289" t="n">
        <v>0.003</v>
      </c>
      <c r="D20" s="289" t="n">
        <v>0.004</v>
      </c>
      <c r="E20" s="289" t="n">
        <v>0.005</v>
      </c>
      <c r="F20" s="289" t="n">
        <v>0.005</v>
      </c>
      <c r="G20" s="289" t="n">
        <v>0.005</v>
      </c>
    </row>
    <row r="21" customFormat="false" ht="15" hidden="false" customHeight="true" outlineLevel="0" collapsed="false">
      <c r="A21" s="286" t="s">
        <v>2682</v>
      </c>
      <c r="B21" s="286"/>
      <c r="C21" s="289" t="n">
        <v>-0.002</v>
      </c>
      <c r="D21" s="289" t="n">
        <v>-0.002</v>
      </c>
      <c r="E21" s="289" t="n">
        <v>-0.001</v>
      </c>
      <c r="F21" s="289" t="n">
        <v>0</v>
      </c>
      <c r="G21" s="289" t="n">
        <v>0</v>
      </c>
    </row>
    <row r="22" customFormat="false" ht="15" hidden="false" customHeight="true" outlineLevel="0" collapsed="false">
      <c r="A22" s="286" t="s">
        <v>2683</v>
      </c>
      <c r="B22" s="286"/>
      <c r="C22" s="289" t="n">
        <v>0.001</v>
      </c>
      <c r="D22" s="289" t="n">
        <v>0.002</v>
      </c>
      <c r="E22" s="289" t="n">
        <v>0.002</v>
      </c>
      <c r="F22" s="289" t="n">
        <v>0.002</v>
      </c>
      <c r="G22" s="289" t="n">
        <v>0.002</v>
      </c>
    </row>
    <row r="23" customFormat="false" ht="15" hidden="false" customHeight="true" outlineLevel="0" collapsed="false">
      <c r="A23" s="285" t="s">
        <v>1850</v>
      </c>
      <c r="B23" s="285"/>
      <c r="C23" s="291" t="n">
        <f aca="false">C14+SUM(C15:C22)+Escenarios!$L$8</f>
        <v>-0.0389</v>
      </c>
      <c r="D23" s="291" t="n">
        <f aca="false">D14+SUM(D15:D22)+Escenarios!$L$8</f>
        <v>0.0061</v>
      </c>
      <c r="E23" s="291" t="n">
        <f aca="false">E14+SUM(E15:E22)+Escenarios!$L$8</f>
        <v>0.0346</v>
      </c>
      <c r="F23" s="291" t="n">
        <f aca="false">F14+SUM(F15:F22)+Escenarios!$L$8</f>
        <v>0.0441</v>
      </c>
      <c r="G23" s="291" t="n">
        <f aca="false">G14+SUM(G15:G22)+Escenarios!$L$8</f>
        <v>0.0466</v>
      </c>
    </row>
    <row r="24" customFormat="false" ht="15" hidden="false" customHeight="true" outlineLevel="0" collapsed="false">
      <c r="A24" s="288"/>
      <c r="B24" s="288"/>
      <c r="C24" s="288"/>
      <c r="D24" s="288"/>
      <c r="E24" s="288"/>
      <c r="F24" s="288"/>
      <c r="G24" s="288"/>
    </row>
    <row r="25" customFormat="false" ht="15" hidden="false" customHeight="true" outlineLevel="0" collapsed="false">
      <c r="A25" s="285" t="s">
        <v>1851</v>
      </c>
      <c r="B25" s="285" t="s">
        <v>1428</v>
      </c>
      <c r="C25" s="285" t="s">
        <v>1429</v>
      </c>
      <c r="D25" s="285" t="s">
        <v>1430</v>
      </c>
      <c r="E25" s="285" t="s">
        <v>1431</v>
      </c>
      <c r="F25" s="285" t="s">
        <v>1432</v>
      </c>
      <c r="G25" s="285" t="s">
        <v>1433</v>
      </c>
    </row>
    <row r="26" customFormat="false" ht="15" hidden="false" customHeight="true" outlineLevel="0" collapsed="false">
      <c r="A26" s="286" t="s">
        <v>1852</v>
      </c>
      <c r="B26" s="292" t="n">
        <f aca="false">'MC Soriana'!G6</f>
        <v>174278</v>
      </c>
      <c r="C26" s="292" t="n">
        <f aca="false">'MC Soriana'!F6</f>
        <v>163936.6</v>
      </c>
      <c r="D26" s="292" t="n">
        <f aca="false">C26+16*('MC Soriana'!$C$6-'MC Soriana'!$B$6)</f>
        <v>153151</v>
      </c>
      <c r="E26" s="292" t="n">
        <f aca="false">D26+16*('MC Soriana'!$C$6-'MC Soriana'!$B$6)</f>
        <v>142365.4</v>
      </c>
      <c r="F26" s="292" t="n">
        <f aca="false">E26+16*('MC Soriana'!$C$6-'MC Soriana'!$B$6)</f>
        <v>131579.8</v>
      </c>
      <c r="G26" s="292" t="n">
        <f aca="false">F26+16*('MC Soriana'!$C$6-'MC Soriana'!$B$6)</f>
        <v>120794.2</v>
      </c>
    </row>
    <row r="27" customFormat="false" ht="15" hidden="false" customHeight="true" outlineLevel="0" collapsed="false">
      <c r="A27" s="286" t="s">
        <v>1853</v>
      </c>
      <c r="B27" s="286"/>
      <c r="C27" s="287" t="n">
        <f aca="false">C26/B26-1</f>
        <v>-0.0593385280987848</v>
      </c>
      <c r="D27" s="287" t="n">
        <f aca="false">D26/C26-1</f>
        <v>-0.0657912876075262</v>
      </c>
      <c r="E27" s="287" t="n">
        <f aca="false">E26/D26-1</f>
        <v>-0.0704246136166266</v>
      </c>
      <c r="F27" s="287" t="n">
        <f aca="false">F26/E26-1</f>
        <v>-0.0757599810066209</v>
      </c>
      <c r="G27" s="287" t="n">
        <f aca="false">G26/F26-1</f>
        <v>-0.0819700288342129</v>
      </c>
    </row>
    <row r="28" customFormat="false" ht="15" hidden="false" customHeight="true" outlineLevel="0" collapsed="false">
      <c r="A28" s="285" t="s">
        <v>1854</v>
      </c>
      <c r="B28" s="285"/>
      <c r="C28" s="293" t="n">
        <f aca="false">C$6*C23+C$7*C27</f>
        <v>-0.0450315584296355</v>
      </c>
      <c r="D28" s="293" t="n">
        <f aca="false">D$6*D23+D$7*D27</f>
        <v>-0.0154673862822579</v>
      </c>
      <c r="E28" s="293" t="n">
        <f aca="false">E$6*E23+E$7*E27</f>
        <v>0.00834384659584337</v>
      </c>
      <c r="F28" s="293" t="n">
        <f aca="false">F$6*F23+F$7*F27</f>
        <v>0.0201280037986758</v>
      </c>
      <c r="G28" s="293" t="n">
        <f aca="false">G$6*G23+G$7*G27</f>
        <v>0.0273144956748681</v>
      </c>
    </row>
    <row r="29" customFormat="false" ht="15" hidden="false" customHeight="true" outlineLevel="0" collapsed="false">
      <c r="A29" s="288"/>
      <c r="B29" s="288"/>
      <c r="C29" s="288"/>
      <c r="D29" s="288"/>
      <c r="E29" s="288"/>
      <c r="F29" s="288"/>
      <c r="G29" s="288"/>
    </row>
    <row r="30" customFormat="false" ht="15" hidden="false" customHeight="true" outlineLevel="0" collapsed="false">
      <c r="A30" s="285" t="s">
        <v>1855</v>
      </c>
      <c r="B30" s="285" t="s">
        <v>1428</v>
      </c>
      <c r="C30" s="285" t="s">
        <v>1429</v>
      </c>
      <c r="D30" s="285" t="s">
        <v>1430</v>
      </c>
      <c r="E30" s="285" t="s">
        <v>1431</v>
      </c>
      <c r="F30" s="285" t="s">
        <v>1432</v>
      </c>
      <c r="G30" s="285" t="s">
        <v>1433</v>
      </c>
    </row>
    <row r="31" customFormat="false" ht="15" hidden="false" customHeight="true" outlineLevel="0" collapsed="false">
      <c r="A31" s="286" t="s">
        <v>1857</v>
      </c>
      <c r="B31" s="289" t="n">
        <f aca="false">Valuación!B10</f>
        <v>0.042542883699969</v>
      </c>
      <c r="C31" s="289" t="n">
        <f aca="false">B31+SUM(C32:C39)</f>
        <v>0.043742883699969</v>
      </c>
      <c r="D31" s="289" t="n">
        <f aca="false">C31+SUM(D32:D39)</f>
        <v>0.043442883699969</v>
      </c>
      <c r="E31" s="289" t="n">
        <f aca="false">D31+SUM(E32:E39)</f>
        <v>0.043742883699969</v>
      </c>
      <c r="F31" s="289" t="n">
        <f aca="false">E31+SUM(F32:F39)</f>
        <v>0.044042883699969</v>
      </c>
      <c r="G31" s="289" t="n">
        <f aca="false">F31+SUM(G32:G39)</f>
        <v>0.044342883699969</v>
      </c>
    </row>
    <row r="32" customFormat="false" ht="15" hidden="false" customHeight="true" outlineLevel="0" collapsed="false">
      <c r="A32" s="286" t="s">
        <v>2684</v>
      </c>
      <c r="B32" s="289"/>
      <c r="C32" s="289" t="n">
        <v>0.0055</v>
      </c>
      <c r="D32" s="289" t="n">
        <v>0.003</v>
      </c>
      <c r="E32" s="289" t="n">
        <v>0.002</v>
      </c>
      <c r="F32" s="289" t="n">
        <v>0.001</v>
      </c>
      <c r="G32" s="289" t="n">
        <v>0.001</v>
      </c>
    </row>
    <row r="33" customFormat="false" ht="15" hidden="false" customHeight="true" outlineLevel="0" collapsed="false">
      <c r="A33" s="286" t="s">
        <v>2685</v>
      </c>
      <c r="B33" s="289"/>
      <c r="C33" s="289" t="n">
        <v>-0.001</v>
      </c>
      <c r="D33" s="289" t="n">
        <v>-0.0015</v>
      </c>
      <c r="E33" s="289" t="n">
        <v>-0.0015</v>
      </c>
      <c r="F33" s="289" t="n">
        <v>-0.001</v>
      </c>
      <c r="G33" s="289" t="n">
        <v>-0.001</v>
      </c>
    </row>
    <row r="34" customFormat="false" ht="15" hidden="false" customHeight="true" outlineLevel="0" collapsed="false">
      <c r="A34" s="286" t="s">
        <v>2686</v>
      </c>
      <c r="B34" s="289"/>
      <c r="C34" s="289" t="n">
        <v>-0.0015</v>
      </c>
      <c r="D34" s="289" t="n">
        <v>-0.001</v>
      </c>
      <c r="E34" s="289" t="n">
        <v>-0.001</v>
      </c>
      <c r="F34" s="289" t="n">
        <v>-0.0005</v>
      </c>
      <c r="G34" s="289" t="n">
        <v>0</v>
      </c>
    </row>
    <row r="35" customFormat="false" ht="15" hidden="false" customHeight="true" outlineLevel="0" collapsed="false">
      <c r="A35" s="286" t="s">
        <v>2687</v>
      </c>
      <c r="B35" s="289"/>
      <c r="C35" s="289" t="n">
        <v>-0.0005</v>
      </c>
      <c r="D35" s="289" t="n">
        <v>-0.0005</v>
      </c>
      <c r="E35" s="289" t="n">
        <v>0</v>
      </c>
      <c r="F35" s="289" t="n">
        <v>0</v>
      </c>
      <c r="G35" s="289" t="n">
        <v>0</v>
      </c>
    </row>
    <row r="36" customFormat="false" ht="15" hidden="false" customHeight="true" outlineLevel="0" collapsed="false">
      <c r="A36" s="286" t="s">
        <v>2688</v>
      </c>
      <c r="B36" s="289"/>
      <c r="C36" s="289" t="n">
        <v>-0.0005</v>
      </c>
      <c r="D36" s="289" t="n">
        <v>-0.0005</v>
      </c>
      <c r="E36" s="289" t="n">
        <v>0</v>
      </c>
      <c r="F36" s="289" t="n">
        <v>0</v>
      </c>
      <c r="G36" s="289" t="n">
        <v>0</v>
      </c>
    </row>
    <row r="37" customFormat="false" ht="15" hidden="false" customHeight="true" outlineLevel="0" collapsed="false">
      <c r="A37" s="286" t="s">
        <v>2689</v>
      </c>
      <c r="B37" s="289"/>
      <c r="C37" s="289" t="n">
        <v>-0.0003</v>
      </c>
      <c r="D37" s="289" t="n">
        <v>-0.0003</v>
      </c>
      <c r="E37" s="289" t="n">
        <v>-0.0002</v>
      </c>
      <c r="F37" s="289" t="n">
        <v>-0.0002</v>
      </c>
      <c r="G37" s="289" t="n">
        <v>-0.0002</v>
      </c>
    </row>
    <row r="38" customFormat="false" ht="15" hidden="false" customHeight="true" outlineLevel="0" collapsed="false">
      <c r="A38" s="286" t="s">
        <v>2690</v>
      </c>
      <c r="B38" s="289"/>
      <c r="C38" s="289" t="n">
        <v>0.0005</v>
      </c>
      <c r="D38" s="289" t="n">
        <v>0.001</v>
      </c>
      <c r="E38" s="289" t="n">
        <v>0.001</v>
      </c>
      <c r="F38" s="289" t="n">
        <v>0.001</v>
      </c>
      <c r="G38" s="289" t="n">
        <v>0.0005</v>
      </c>
    </row>
    <row r="39" customFormat="false" ht="15" hidden="false" customHeight="true" outlineLevel="0" collapsed="false">
      <c r="A39" s="286" t="s">
        <v>2691</v>
      </c>
      <c r="B39" s="289"/>
      <c r="C39" s="289" t="n">
        <v>-0.001</v>
      </c>
      <c r="D39" s="289" t="n">
        <v>-0.0005</v>
      </c>
      <c r="E39" s="289" t="n">
        <v>0</v>
      </c>
      <c r="F39" s="289" t="n">
        <v>0</v>
      </c>
      <c r="G39" s="289" t="n">
        <v>0</v>
      </c>
    </row>
    <row r="40" customFormat="false" ht="15" hidden="false" customHeight="true" outlineLevel="0" collapsed="false">
      <c r="A40" s="286" t="s">
        <v>1866</v>
      </c>
      <c r="B40" s="289"/>
      <c r="C40" s="289" t="n">
        <f aca="false">'MC Soriana'!$F$9</f>
        <v>0.0492556268703877</v>
      </c>
      <c r="D40" s="289" t="n">
        <f aca="false">'MC Soriana'!$F$9</f>
        <v>0.0492556268703877</v>
      </c>
      <c r="E40" s="289" t="n">
        <f aca="false">'MC Soriana'!$F$9</f>
        <v>0.0492556268703877</v>
      </c>
      <c r="F40" s="289" t="n">
        <f aca="false">'MC Soriana'!$F$9</f>
        <v>0.0492556268703877</v>
      </c>
      <c r="G40" s="289" t="n">
        <f aca="false">'MC Soriana'!$F$9</f>
        <v>0.0492556268703877</v>
      </c>
    </row>
    <row r="41" customFormat="false" ht="15" hidden="false" customHeight="true" outlineLevel="0" collapsed="false">
      <c r="A41" s="285" t="s">
        <v>1867</v>
      </c>
      <c r="B41" s="291"/>
      <c r="C41" s="291" t="n">
        <f aca="false">C$6*C31+C$7*C40+Escenarios!$L$9</f>
        <v>0.0453967066510946</v>
      </c>
      <c r="D41" s="291" t="n">
        <f aca="false">D$6*D31+D$7*D40+Escenarios!$L$9</f>
        <v>0.0451867066510946</v>
      </c>
      <c r="E41" s="291" t="n">
        <f aca="false">E$6*E31+E$7*E40+Escenarios!$L$9</f>
        <v>0.0451210694925737</v>
      </c>
      <c r="F41" s="291" t="n">
        <f aca="false">F$6*F31+F$7*F40+Escenarios!$L$9</f>
        <v>0.0450854323340528</v>
      </c>
      <c r="G41" s="291" t="n">
        <f aca="false">G$6*G31+G$7*G40+Escenarios!$L$9</f>
        <v>0.0450797951755318</v>
      </c>
    </row>
    <row r="42" customFormat="false" ht="15" hidden="false" customHeight="true" outlineLevel="0" collapsed="false">
      <c r="A42" s="288"/>
      <c r="B42" s="288"/>
      <c r="C42" s="288"/>
      <c r="D42" s="288"/>
      <c r="E42" s="288"/>
      <c r="F42" s="288"/>
      <c r="G42" s="288"/>
    </row>
    <row r="43" customFormat="false" ht="15" hidden="false" customHeight="true" outlineLevel="0" collapsed="false">
      <c r="A43" s="285" t="s">
        <v>1868</v>
      </c>
      <c r="B43" s="285" t="s">
        <v>1428</v>
      </c>
      <c r="C43" s="285" t="s">
        <v>1429</v>
      </c>
      <c r="D43" s="285" t="s">
        <v>1430</v>
      </c>
      <c r="E43" s="285" t="s">
        <v>1431</v>
      </c>
      <c r="F43" s="285" t="s">
        <v>1432</v>
      </c>
      <c r="G43" s="285" t="s">
        <v>1433</v>
      </c>
    </row>
    <row r="44" customFormat="false" ht="15" hidden="false" customHeight="true" outlineLevel="0" collapsed="false">
      <c r="A44" s="286" t="s">
        <v>1869</v>
      </c>
      <c r="B44" s="286"/>
      <c r="C44" s="289" t="n">
        <f aca="false">Valuación!$B$11</f>
        <v>0.0244599047967777</v>
      </c>
      <c r="D44" s="289" t="n">
        <f aca="false">Valuación!$B$11</f>
        <v>0.0244599047967777</v>
      </c>
      <c r="E44" s="289" t="n">
        <f aca="false">Valuación!$B$11</f>
        <v>0.0244599047967777</v>
      </c>
      <c r="F44" s="289" t="n">
        <f aca="false">Valuación!$B$11</f>
        <v>0.0244599047967777</v>
      </c>
      <c r="G44" s="289" t="n">
        <f aca="false">Valuación!$B$11</f>
        <v>0.0244599047967777</v>
      </c>
    </row>
    <row r="45" customFormat="false" ht="15" hidden="false" customHeight="true" outlineLevel="0" collapsed="false">
      <c r="A45" s="286" t="s">
        <v>1870</v>
      </c>
      <c r="B45" s="286"/>
      <c r="C45" s="289" t="n">
        <f aca="false">'MC Soriana'!$F$12/'MC Soriana'!$F$6</f>
        <v>0.024136242913419</v>
      </c>
      <c r="D45" s="289" t="n">
        <f aca="false">'MC Soriana'!$F$12/'MC Soriana'!$F$6</f>
        <v>0.024136242913419</v>
      </c>
      <c r="E45" s="289" t="n">
        <f aca="false">'MC Soriana'!$F$12/'MC Soriana'!$F$6</f>
        <v>0.024136242913419</v>
      </c>
      <c r="F45" s="289" t="n">
        <f aca="false">'MC Soriana'!$F$12/'MC Soriana'!$F$6</f>
        <v>0.024136242913419</v>
      </c>
      <c r="G45" s="289" t="n">
        <f aca="false">'MC Soriana'!$F$12/'MC Soriana'!$F$6</f>
        <v>0.024136242913419</v>
      </c>
    </row>
    <row r="46" customFormat="false" ht="15" hidden="false" customHeight="true" outlineLevel="0" collapsed="false">
      <c r="A46" s="286" t="s">
        <v>1871</v>
      </c>
      <c r="B46" s="286"/>
      <c r="C46" s="289" t="n">
        <f aca="false">C$6*C44+C$7*C45</f>
        <v>0.0243628062317701</v>
      </c>
      <c r="D46" s="289" t="n">
        <f aca="false">D$6*D44+D$7*D45</f>
        <v>0.0243628062317701</v>
      </c>
      <c r="E46" s="289" t="n">
        <f aca="false">E$6*E44+E$7*E45</f>
        <v>0.024378989325938</v>
      </c>
      <c r="F46" s="289" t="n">
        <f aca="false">F$6*F44+F$7*F45</f>
        <v>0.024395172420106</v>
      </c>
      <c r="G46" s="289" t="n">
        <f aca="false">G$6*G44+G$7*G45</f>
        <v>0.0244113555142739</v>
      </c>
    </row>
    <row r="47" customFormat="false" ht="15" hidden="false" customHeight="true" outlineLevel="0" collapsed="false">
      <c r="A47" s="286" t="s">
        <v>1872</v>
      </c>
      <c r="B47" s="286"/>
      <c r="C47" s="292" t="n">
        <v>4000</v>
      </c>
      <c r="D47" s="292"/>
      <c r="E47" s="292"/>
      <c r="F47" s="292"/>
      <c r="G47" s="292"/>
    </row>
    <row r="48" customFormat="false" ht="15" hidden="false" customHeight="true" outlineLevel="0" collapsed="false">
      <c r="A48" s="286" t="s">
        <v>1873</v>
      </c>
      <c r="B48" s="286"/>
      <c r="C48" s="289"/>
      <c r="D48" s="289" t="n">
        <v>0.003</v>
      </c>
      <c r="E48" s="289" t="n">
        <v>0.003</v>
      </c>
      <c r="F48" s="289" t="n">
        <v>0.003</v>
      </c>
      <c r="G48" s="289" t="n">
        <v>0.003</v>
      </c>
    </row>
    <row r="49" customFormat="false" ht="15" hidden="false" customHeight="true" outlineLevel="0" collapsed="false">
      <c r="A49" s="286" t="s">
        <v>1874</v>
      </c>
      <c r="B49" s="286"/>
      <c r="C49" s="289" t="n">
        <f aca="false">C47/C67</f>
        <v>0.0235958656470585</v>
      </c>
      <c r="D49" s="289" t="n">
        <f aca="false">Valuación!$B$12*(1+'Variables Externas'!$J$22)+D48</f>
        <v>0.0195545165197307</v>
      </c>
      <c r="E49" s="289" t="n">
        <f aca="false">Valuación!$B$12*(1+'Variables Externas'!$J$22)+E48</f>
        <v>0.0195545165197307</v>
      </c>
      <c r="F49" s="289" t="n">
        <f aca="false">Valuación!$B$12*(1+'Variables Externas'!$J$22)+F48</f>
        <v>0.0195545165197307</v>
      </c>
      <c r="G49" s="289" t="n">
        <f aca="false">Valuación!$B$12*(1+'Variables Externas'!$J$22)+G48</f>
        <v>0.0195545165197307</v>
      </c>
    </row>
    <row r="50" customFormat="false" ht="15" hidden="false" customHeight="true" outlineLevel="0" collapsed="false">
      <c r="A50" s="286" t="s">
        <v>1875</v>
      </c>
      <c r="B50" s="286"/>
      <c r="C50" s="289" t="n">
        <f aca="false">'MC Soriana'!$F$13/'MC Soriana'!$F$6</f>
        <v>0.0202932109120233</v>
      </c>
      <c r="D50" s="289" t="n">
        <f aca="false">'MC Soriana'!$F$13/'MC Soriana'!$F$6</f>
        <v>0.0202932109120233</v>
      </c>
      <c r="E50" s="289" t="n">
        <f aca="false">'MC Soriana'!$F$13/'MC Soriana'!$F$6</f>
        <v>0.0202932109120233</v>
      </c>
      <c r="F50" s="289" t="n">
        <f aca="false">'MC Soriana'!$F$13/'MC Soriana'!$F$6</f>
        <v>0.0202932109120233</v>
      </c>
      <c r="G50" s="289" t="n">
        <f aca="false">'MC Soriana'!$F$13/'MC Soriana'!$F$6</f>
        <v>0.0202932109120233</v>
      </c>
    </row>
    <row r="51" customFormat="false" ht="15" hidden="false" customHeight="true" outlineLevel="0" collapsed="false">
      <c r="A51" s="285" t="s">
        <v>1876</v>
      </c>
      <c r="B51" s="285"/>
      <c r="C51" s="291" t="n">
        <f aca="false">C$6*C49+C$7*C50</f>
        <v>0.0226050692265479</v>
      </c>
      <c r="D51" s="291" t="n">
        <f aca="false">D$6*D49+D$7*D50</f>
        <v>0.0197761248374185</v>
      </c>
      <c r="E51" s="291" t="n">
        <f aca="false">E$6*E49+E$7*E50</f>
        <v>0.0197391901178039</v>
      </c>
      <c r="F51" s="291" t="n">
        <f aca="false">F$6*F49+F$7*F50</f>
        <v>0.0197022553981892</v>
      </c>
      <c r="G51" s="291" t="n">
        <f aca="false">G$6*G49+G$7*G50</f>
        <v>0.0196653206785746</v>
      </c>
    </row>
    <row r="52" customFormat="false" ht="15" hidden="false" customHeight="true" outlineLevel="0" collapsed="false">
      <c r="A52" s="286" t="s">
        <v>1877</v>
      </c>
      <c r="B52" s="286"/>
      <c r="C52" s="289" t="n">
        <v>0</v>
      </c>
      <c r="D52" s="289" t="n">
        <v>0.005</v>
      </c>
      <c r="E52" s="289" t="n">
        <v>0.005</v>
      </c>
      <c r="F52" s="289" t="n">
        <v>0.005</v>
      </c>
      <c r="G52" s="289" t="n">
        <v>0.005</v>
      </c>
    </row>
    <row r="53" customFormat="false" ht="15" hidden="false" customHeight="true" outlineLevel="0" collapsed="false">
      <c r="A53" s="286" t="s">
        <v>1878</v>
      </c>
      <c r="B53" s="286"/>
      <c r="C53" s="289" t="n">
        <f aca="false">WACC!$B$10+C52</f>
        <v>0.3</v>
      </c>
      <c r="D53" s="289" t="n">
        <f aca="false">WACC!$B$10+D52</f>
        <v>0.305</v>
      </c>
      <c r="E53" s="289" t="n">
        <f aca="false">WACC!$B$10+E52</f>
        <v>0.305</v>
      </c>
      <c r="F53" s="289" t="n">
        <f aca="false">WACC!$B$10+F52</f>
        <v>0.305</v>
      </c>
      <c r="G53" s="289" t="n">
        <f aca="false">WACC!$B$10+G52</f>
        <v>0.305</v>
      </c>
    </row>
    <row r="54" customFormat="false" ht="15" hidden="false" customHeight="true" outlineLevel="0" collapsed="false">
      <c r="A54" s="286" t="s">
        <v>1879</v>
      </c>
      <c r="B54" s="286"/>
      <c r="C54" s="289" t="n">
        <f aca="false">'MC Soriana'!$F$10</f>
        <v>0.191734007304675</v>
      </c>
      <c r="D54" s="289" t="n">
        <f aca="false">'MC Soriana'!$F$10</f>
        <v>0.191734007304675</v>
      </c>
      <c r="E54" s="289" t="n">
        <f aca="false">'MC Soriana'!$F$10</f>
        <v>0.191734007304675</v>
      </c>
      <c r="F54" s="289" t="n">
        <f aca="false">'MC Soriana'!$F$10</f>
        <v>0.191734007304675</v>
      </c>
      <c r="G54" s="289" t="n">
        <f aca="false">'MC Soriana'!$F$10</f>
        <v>0.191734007304675</v>
      </c>
    </row>
    <row r="55" customFormat="false" ht="15" hidden="false" customHeight="true" outlineLevel="0" collapsed="false">
      <c r="A55" s="285" t="s">
        <v>1880</v>
      </c>
      <c r="B55" s="285"/>
      <c r="C55" s="291" t="n">
        <f aca="false">C$6*C53+C$7*C54</f>
        <v>0.267520202191403</v>
      </c>
      <c r="D55" s="291" t="n">
        <f aca="false">D$6*D53+D$7*D54</f>
        <v>0.271020202191403</v>
      </c>
      <c r="E55" s="291" t="n">
        <f aca="false">E$6*E53+E$7*E54</f>
        <v>0.276683501826169</v>
      </c>
      <c r="F55" s="291" t="n">
        <f aca="false">F$6*F53+F$7*F54</f>
        <v>0.282346801460935</v>
      </c>
      <c r="G55" s="291" t="n">
        <f aca="false">G$6*G53+G$7*G54</f>
        <v>0.288010101095701</v>
      </c>
    </row>
    <row r="56" customFormat="false" ht="15" hidden="false" customHeight="true" outlineLevel="0" collapsed="false">
      <c r="A56" s="286" t="s">
        <v>1467</v>
      </c>
      <c r="B56" s="294" t="n">
        <f aca="false">Datos!G18/Datos!G7*365</f>
        <v>87.4443050938019</v>
      </c>
      <c r="C56" s="294" t="n">
        <v>88</v>
      </c>
      <c r="D56" s="294" t="n">
        <v>88</v>
      </c>
      <c r="E56" s="294" t="n">
        <v>87</v>
      </c>
      <c r="F56" s="294" t="n">
        <v>87</v>
      </c>
      <c r="G56" s="294" t="n">
        <v>87</v>
      </c>
    </row>
    <row r="57" customFormat="false" ht="15" hidden="false" customHeight="true" outlineLevel="0" collapsed="false">
      <c r="A57" s="286" t="s">
        <v>1468</v>
      </c>
      <c r="B57" s="295" t="n">
        <f aca="false">(Datos!G19-Datos!G17-Datos!G18)/Datos!G6</f>
        <v>0.0391572543165366</v>
      </c>
      <c r="C57" s="295" t="n">
        <f aca="false">$B57</f>
        <v>0.0391572543165366</v>
      </c>
      <c r="D57" s="295" t="n">
        <f aca="false">$B57</f>
        <v>0.0391572543165366</v>
      </c>
      <c r="E57" s="295" t="n">
        <f aca="false">$B57</f>
        <v>0.0391572543165366</v>
      </c>
      <c r="F57" s="295" t="n">
        <f aca="false">$B57</f>
        <v>0.0391572543165366</v>
      </c>
      <c r="G57" s="295" t="n">
        <f aca="false">$B57</f>
        <v>0.0391572543165366</v>
      </c>
    </row>
    <row r="58" customFormat="false" ht="15" hidden="false" customHeight="true" outlineLevel="0" collapsed="false">
      <c r="A58" s="286" t="s">
        <v>1469</v>
      </c>
      <c r="B58" s="295" t="n">
        <f aca="false">(Datos!G21-Datos!G25-Datos!G27)/Datos!G6</f>
        <v>0.200225333070445</v>
      </c>
      <c r="C58" s="295" t="n">
        <f aca="false">$B58</f>
        <v>0.200225333070445</v>
      </c>
      <c r="D58" s="295" t="n">
        <f aca="false">$B58</f>
        <v>0.200225333070445</v>
      </c>
      <c r="E58" s="295" t="n">
        <f aca="false">$B58</f>
        <v>0.200225333070445</v>
      </c>
      <c r="F58" s="295" t="n">
        <f aca="false">$B58</f>
        <v>0.200225333070445</v>
      </c>
      <c r="G58" s="295" t="n">
        <f aca="false">$B58</f>
        <v>0.200225333070445</v>
      </c>
    </row>
    <row r="59" customFormat="false" ht="15" hidden="false" customHeight="true" outlineLevel="0" collapsed="false">
      <c r="A59" s="286" t="s">
        <v>1464</v>
      </c>
      <c r="B59" s="295" t="n">
        <f aca="false">Datos!G7/Datos!G6</f>
        <v>0.759102047714278</v>
      </c>
      <c r="C59" s="295" t="n">
        <v>0.756</v>
      </c>
      <c r="D59" s="295" t="n">
        <v>0.757</v>
      </c>
      <c r="E59" s="295" t="n">
        <v>0.758</v>
      </c>
      <c r="F59" s="295" t="n">
        <v>0.758</v>
      </c>
      <c r="G59" s="295" t="n">
        <v>0.758</v>
      </c>
    </row>
    <row r="60" customFormat="false" ht="15" hidden="false" customHeight="true" outlineLevel="0" collapsed="false">
      <c r="A60" s="286" t="s">
        <v>1465</v>
      </c>
      <c r="B60" s="295" t="n">
        <f aca="false">-B70/B67</f>
        <v>0.173900797115737</v>
      </c>
      <c r="C60" s="295" t="n">
        <f aca="false">1-C59-C46-C41</f>
        <v>0.174240487117135</v>
      </c>
      <c r="D60" s="295" t="n">
        <f aca="false">1-D59-D46-D41</f>
        <v>0.173450487117135</v>
      </c>
      <c r="E60" s="295" t="n">
        <f aca="false">1-E59-E46-E41</f>
        <v>0.172499941181488</v>
      </c>
      <c r="F60" s="295" t="n">
        <f aca="false">1-F59-F46-F41</f>
        <v>0.172519395245841</v>
      </c>
      <c r="G60" s="295" t="n">
        <f aca="false">1-G59-G46-G41</f>
        <v>0.172508849310194</v>
      </c>
    </row>
    <row r="61" customFormat="false" ht="15" hidden="false" customHeight="true" outlineLevel="0" collapsed="false">
      <c r="A61" s="286" t="s">
        <v>1466</v>
      </c>
      <c r="B61" s="296" t="n">
        <f aca="false">Datos!G10/(Datos!G25+Datos!G26+Datos!G27+Datos!G28)</f>
        <v>0.130154966550936</v>
      </c>
      <c r="C61" s="296" t="n">
        <v>0.1</v>
      </c>
      <c r="D61" s="296" t="n">
        <v>0.0975</v>
      </c>
      <c r="E61" s="296" t="n">
        <v>0.0975</v>
      </c>
      <c r="F61" s="296" t="n">
        <v>0.0975</v>
      </c>
      <c r="G61" s="296" t="n">
        <v>0.0975</v>
      </c>
    </row>
    <row r="62" customFormat="false" ht="15" hidden="false" customHeight="true" outlineLevel="0" collapsed="false">
      <c r="A62" s="286" t="s">
        <v>1881</v>
      </c>
      <c r="B62" s="297"/>
      <c r="C62" s="297" t="n">
        <v>0</v>
      </c>
      <c r="D62" s="297" t="n">
        <v>-1500</v>
      </c>
      <c r="E62" s="297" t="n">
        <v>-1500</v>
      </c>
      <c r="F62" s="297" t="n">
        <v>-1500</v>
      </c>
      <c r="G62" s="297" t="n">
        <v>-1500</v>
      </c>
    </row>
    <row r="63" customFormat="false" ht="15" hidden="false" customHeight="true" outlineLevel="0" collapsed="false">
      <c r="A63" s="286" t="s">
        <v>1470</v>
      </c>
      <c r="B63" s="295" t="n">
        <f aca="false">'Proyección Soriana'!B14</f>
        <v>0.300144057623049</v>
      </c>
      <c r="C63" s="295" t="n">
        <f aca="false">$B63</f>
        <v>0.300144057623049</v>
      </c>
      <c r="D63" s="295" t="n">
        <f aca="false">$B63</f>
        <v>0.300144057623049</v>
      </c>
      <c r="E63" s="295" t="n">
        <f aca="false">$B63</f>
        <v>0.300144057623049</v>
      </c>
      <c r="F63" s="295" t="n">
        <f aca="false">$B63</f>
        <v>0.300144057623049</v>
      </c>
      <c r="G63" s="295" t="n">
        <f aca="false">$B63</f>
        <v>0.300144057623049</v>
      </c>
    </row>
    <row r="64" customFormat="false" ht="15" hidden="false" customHeight="true" outlineLevel="0" collapsed="false">
      <c r="A64" s="298"/>
      <c r="B64" s="298"/>
      <c r="C64" s="298"/>
      <c r="D64" s="298"/>
      <c r="E64" s="298"/>
      <c r="F64" s="298"/>
      <c r="G64" s="298"/>
    </row>
    <row r="65" customFormat="false" ht="15" hidden="false" customHeight="true" outlineLevel="0" collapsed="false">
      <c r="A65" s="348" t="s">
        <v>1882</v>
      </c>
      <c r="B65" s="298"/>
      <c r="C65" s="298"/>
      <c r="D65" s="298"/>
      <c r="E65" s="298"/>
      <c r="F65" s="298"/>
      <c r="G65" s="298"/>
    </row>
    <row r="66" customFormat="false" ht="15" hidden="false" customHeight="true" outlineLevel="0" collapsed="false">
      <c r="A66" s="285" t="s">
        <v>1884</v>
      </c>
      <c r="B66" s="300" t="s">
        <v>1428</v>
      </c>
      <c r="C66" s="300" t="s">
        <v>1429</v>
      </c>
      <c r="D66" s="300" t="s">
        <v>1430</v>
      </c>
      <c r="E66" s="300" t="s">
        <v>1431</v>
      </c>
      <c r="F66" s="300" t="s">
        <v>1432</v>
      </c>
      <c r="G66" s="300" t="s">
        <v>1433</v>
      </c>
    </row>
    <row r="67" customFormat="false" ht="15" hidden="false" customHeight="true" outlineLevel="0" collapsed="false">
      <c r="A67" s="286" t="s">
        <v>1442</v>
      </c>
      <c r="B67" s="297" t="n">
        <f aca="false">Datos!G6</f>
        <v>177515</v>
      </c>
      <c r="C67" s="297" t="n">
        <f aca="false">B67*(1+C28)</f>
        <v>169521.222905363</v>
      </c>
      <c r="D67" s="297" t="n">
        <f aca="false">C67*(1+D28)</f>
        <v>166899.172667645</v>
      </c>
      <c r="E67" s="297" t="n">
        <f aca="false">D67*(1+E28)</f>
        <v>168291.753761357</v>
      </c>
      <c r="F67" s="297" t="n">
        <f aca="false">E67*(1+F28)</f>
        <v>171679.130820352</v>
      </c>
      <c r="G67" s="297" t="n">
        <f aca="false">F67*(1+G28)</f>
        <v>176368.459696609</v>
      </c>
    </row>
    <row r="68" customFormat="false" ht="15" hidden="false" customHeight="true" outlineLevel="0" collapsed="false">
      <c r="A68" s="286" t="s">
        <v>86</v>
      </c>
      <c r="B68" s="297" t="n">
        <f aca="false">-Datos!G7</f>
        <v>-134752</v>
      </c>
      <c r="C68" s="297" t="n">
        <f aca="false">-C67*C59</f>
        <v>-128158.044516455</v>
      </c>
      <c r="D68" s="297" t="n">
        <f aca="false">-D67*D59</f>
        <v>-126342.673709407</v>
      </c>
      <c r="E68" s="297" t="n">
        <f aca="false">-E67*E59</f>
        <v>-127565.149351109</v>
      </c>
      <c r="F68" s="297" t="n">
        <f aca="false">-F67*F59</f>
        <v>-130132.781161827</v>
      </c>
      <c r="G68" s="297" t="n">
        <f aca="false">-G67*G59</f>
        <v>-133687.29245003</v>
      </c>
    </row>
    <row r="69" customFormat="false" ht="15" hidden="false" customHeight="true" outlineLevel="0" collapsed="false">
      <c r="A69" s="285" t="s">
        <v>80</v>
      </c>
      <c r="B69" s="301" t="n">
        <f aca="false">B67+B68</f>
        <v>42763</v>
      </c>
      <c r="C69" s="301" t="n">
        <f aca="false">C67+C68</f>
        <v>41363.1783889086</v>
      </c>
      <c r="D69" s="301" t="n">
        <f aca="false">D67+D68</f>
        <v>40556.4989582378</v>
      </c>
      <c r="E69" s="301" t="n">
        <f aca="false">E67+E68</f>
        <v>40726.6044102485</v>
      </c>
      <c r="F69" s="301" t="n">
        <f aca="false">F67+F68</f>
        <v>41546.3496585251</v>
      </c>
      <c r="G69" s="301" t="n">
        <f aca="false">G67+G68</f>
        <v>42681.1672465795</v>
      </c>
    </row>
    <row r="70" customFormat="false" ht="15" hidden="false" customHeight="true" outlineLevel="0" collapsed="false">
      <c r="A70" s="286" t="s">
        <v>1472</v>
      </c>
      <c r="B70" s="297" t="n">
        <f aca="false">-(Datos!G8-Datos!G9-Datos!G14)</f>
        <v>-30870</v>
      </c>
      <c r="C70" s="297" t="n">
        <f aca="false">-C67*C60</f>
        <v>-29537.460455723</v>
      </c>
      <c r="D70" s="297" t="n">
        <f aca="false">-D67*D60</f>
        <v>-28948.7427986499</v>
      </c>
      <c r="E70" s="297" t="n">
        <f aca="false">-E67*E60</f>
        <v>-29030.3176251636</v>
      </c>
      <c r="F70" s="297" t="n">
        <f aca="false">-F67*F60</f>
        <v>-29617.9798254587</v>
      </c>
      <c r="G70" s="297" t="n">
        <f aca="false">-G67*G60</f>
        <v>-30425.1200368734</v>
      </c>
    </row>
    <row r="71" customFormat="false" ht="15" hidden="false" customHeight="true" outlineLevel="0" collapsed="false">
      <c r="A71" s="285" t="s">
        <v>1473</v>
      </c>
      <c r="B71" s="301" t="n">
        <f aca="false">B69+B70</f>
        <v>11893</v>
      </c>
      <c r="C71" s="301" t="n">
        <f aca="false">C69+C70</f>
        <v>11825.7179331857</v>
      </c>
      <c r="D71" s="301" t="n">
        <f aca="false">D69+D70</f>
        <v>11607.7561595879</v>
      </c>
      <c r="E71" s="301" t="n">
        <f aca="false">E69+E70</f>
        <v>11696.2867850848</v>
      </c>
      <c r="F71" s="301" t="n">
        <f aca="false">F69+F70</f>
        <v>11928.3698330664</v>
      </c>
      <c r="G71" s="301" t="n">
        <f aca="false">G69+G70</f>
        <v>12256.047209706</v>
      </c>
    </row>
    <row r="72" customFormat="false" ht="15" hidden="false" customHeight="true" outlineLevel="0" collapsed="false">
      <c r="A72" s="286" t="s">
        <v>154</v>
      </c>
      <c r="B72" s="297" t="n">
        <f aca="false">-Datos!G14</f>
        <v>-4342</v>
      </c>
      <c r="C72" s="297" t="n">
        <f aca="false">-C67*C46</f>
        <v>-4130.01270581607</v>
      </c>
      <c r="D72" s="297" t="n">
        <f aca="false">-D67*D46</f>
        <v>-4066.13220394458</v>
      </c>
      <c r="E72" s="297" t="n">
        <f aca="false">-E67*E46</f>
        <v>-4102.78286859152</v>
      </c>
      <c r="F72" s="297" t="n">
        <f aca="false">-F67*F46</f>
        <v>-4188.14199729641</v>
      </c>
      <c r="G72" s="297" t="n">
        <f aca="false">-G67*G46</f>
        <v>-4305.39317115882</v>
      </c>
    </row>
    <row r="73" customFormat="false" ht="15" hidden="false" customHeight="true" outlineLevel="0" collapsed="false">
      <c r="A73" s="285" t="s">
        <v>81</v>
      </c>
      <c r="B73" s="301" t="n">
        <f aca="false">B71+B72</f>
        <v>7551</v>
      </c>
      <c r="C73" s="301" t="n">
        <f aca="false">C71+C72</f>
        <v>7695.70522736961</v>
      </c>
      <c r="D73" s="301" t="n">
        <f aca="false">D71+D72</f>
        <v>7541.62395564329</v>
      </c>
      <c r="E73" s="301" t="n">
        <f aca="false">E71+E72</f>
        <v>7593.5039164933</v>
      </c>
      <c r="F73" s="301" t="n">
        <f aca="false">F71+F72</f>
        <v>7740.22783576996</v>
      </c>
      <c r="G73" s="301" t="n">
        <f aca="false">G71+G72</f>
        <v>7950.65403854719</v>
      </c>
    </row>
    <row r="74" customFormat="false" ht="15" hidden="false" customHeight="true" outlineLevel="0" collapsed="false">
      <c r="A74" s="286" t="s">
        <v>88</v>
      </c>
      <c r="B74" s="297" t="n">
        <f aca="false">-Datos!G10</f>
        <v>-3074</v>
      </c>
      <c r="C74" s="297" t="n">
        <f aca="false">-C61*(B91+B92)</f>
        <v>-2361.8</v>
      </c>
      <c r="D74" s="297" t="n">
        <f aca="false">-D61*(C91+C92)</f>
        <v>-2302.755</v>
      </c>
      <c r="E74" s="297" t="n">
        <f aca="false">-E61*(D91+D92)</f>
        <v>-2156.505</v>
      </c>
      <c r="F74" s="297" t="n">
        <f aca="false">-F61*(E91+E92)</f>
        <v>-2010.255</v>
      </c>
      <c r="G74" s="297" t="n">
        <f aca="false">-G61*(F91+F92)</f>
        <v>-1864.005</v>
      </c>
    </row>
    <row r="75" customFormat="false" ht="15" hidden="false" customHeight="true" outlineLevel="0" collapsed="false">
      <c r="A75" s="286" t="s">
        <v>1474</v>
      </c>
      <c r="B75" s="297" t="n">
        <f aca="false">Datos!G11-Datos!G9+Datos!G10</f>
        <v>288</v>
      </c>
      <c r="C75" s="297" t="n">
        <v>0</v>
      </c>
      <c r="D75" s="297" t="n">
        <v>0</v>
      </c>
      <c r="E75" s="297" t="n">
        <v>0</v>
      </c>
      <c r="F75" s="297" t="n">
        <v>0</v>
      </c>
      <c r="G75" s="297" t="n">
        <v>0</v>
      </c>
    </row>
    <row r="76" customFormat="false" ht="15" hidden="false" customHeight="true" outlineLevel="0" collapsed="false">
      <c r="A76" s="286" t="s">
        <v>152</v>
      </c>
      <c r="B76" s="297" t="n">
        <f aca="false">B73+B74+B75</f>
        <v>4765</v>
      </c>
      <c r="C76" s="297" t="n">
        <f aca="false">C73+C74+C75</f>
        <v>5333.90522736961</v>
      </c>
      <c r="D76" s="297" t="n">
        <f aca="false">D73+D74+D75</f>
        <v>5238.86895564329</v>
      </c>
      <c r="E76" s="297" t="n">
        <f aca="false">E73+E74+E75</f>
        <v>5436.9989164933</v>
      </c>
      <c r="F76" s="297" t="n">
        <f aca="false">F73+F74+F75</f>
        <v>5729.97283576996</v>
      </c>
      <c r="G76" s="297" t="n">
        <f aca="false">G73+G74+G75</f>
        <v>6086.64903854719</v>
      </c>
    </row>
    <row r="77" customFormat="false" ht="15" hidden="false" customHeight="true" outlineLevel="0" collapsed="false">
      <c r="A77" s="286" t="s">
        <v>153</v>
      </c>
      <c r="B77" s="297" t="n">
        <f aca="false">-Datos!G12</f>
        <v>-1433</v>
      </c>
      <c r="C77" s="297" t="n">
        <f aca="false">-C76*C55</f>
        <v>-1426.9274048957</v>
      </c>
      <c r="D77" s="297" t="n">
        <f aca="false">-D76*D55</f>
        <v>-1419.83932361271</v>
      </c>
      <c r="E77" s="297" t="n">
        <f aca="false">-E76*E55</f>
        <v>-1504.32789964045</v>
      </c>
      <c r="F77" s="297" t="n">
        <f aca="false">-F76*F55</f>
        <v>-1617.83950263769</v>
      </c>
      <c r="G77" s="297" t="n">
        <f aca="false">-G76*G55</f>
        <v>-1753.01640492603</v>
      </c>
    </row>
    <row r="78" customFormat="false" ht="15" hidden="false" customHeight="true" outlineLevel="0" collapsed="false">
      <c r="A78" s="285" t="s">
        <v>89</v>
      </c>
      <c r="B78" s="301" t="n">
        <f aca="false">B76+B77</f>
        <v>3332</v>
      </c>
      <c r="C78" s="301" t="n">
        <f aca="false">C76+C77</f>
        <v>3906.97782247391</v>
      </c>
      <c r="D78" s="301" t="n">
        <f aca="false">D76+D77</f>
        <v>3819.02963203058</v>
      </c>
      <c r="E78" s="301" t="n">
        <f aca="false">E76+E77</f>
        <v>3932.67101685285</v>
      </c>
      <c r="F78" s="301" t="n">
        <f aca="false">F76+F77</f>
        <v>4112.13333313227</v>
      </c>
      <c r="G78" s="301" t="n">
        <f aca="false">G76+G77</f>
        <v>4333.63263362116</v>
      </c>
    </row>
    <row r="79" customFormat="false" ht="15" hidden="false" customHeight="true" outlineLevel="0" collapsed="false">
      <c r="A79" s="286" t="s">
        <v>1475</v>
      </c>
      <c r="B79" s="297"/>
      <c r="C79" s="297" t="n">
        <f aca="false">-C78*C63</f>
        <v>-1172.65617668058</v>
      </c>
      <c r="D79" s="297" t="n">
        <f aca="false">-D78*D63</f>
        <v>-1146.25904994032</v>
      </c>
      <c r="E79" s="297" t="n">
        <f aca="false">-E78*E63</f>
        <v>-1180.36783629478</v>
      </c>
      <c r="F79" s="297" t="n">
        <f aca="false">-F78*F63</f>
        <v>-1234.23238409331</v>
      </c>
      <c r="G79" s="297" t="n">
        <f aca="false">-G78*G63</f>
        <v>-1300.71408290272</v>
      </c>
    </row>
    <row r="80" customFormat="false" ht="15" hidden="false" customHeight="true" outlineLevel="0" collapsed="false">
      <c r="A80" s="286" t="s">
        <v>1885</v>
      </c>
      <c r="B80" s="295" t="n">
        <f aca="false">B71/B67</f>
        <v>0.0669971551699856</v>
      </c>
      <c r="C80" s="295" t="n">
        <f aca="false">C71/C67</f>
        <v>0.0697595128828648</v>
      </c>
      <c r="D80" s="295" t="n">
        <f aca="false">D71/D67</f>
        <v>0.0695495128828648</v>
      </c>
      <c r="E80" s="295" t="n">
        <f aca="false">E71/E67</f>
        <v>0.0695000588185117</v>
      </c>
      <c r="F80" s="295" t="n">
        <f aca="false">F71/F67</f>
        <v>0.0694806047541588</v>
      </c>
      <c r="G80" s="295" t="n">
        <f aca="false">G71/G67</f>
        <v>0.0694911506898058</v>
      </c>
    </row>
    <row r="81" customFormat="false" ht="15" hidden="false" customHeight="true" outlineLevel="0" collapsed="false">
      <c r="A81" s="286" t="s">
        <v>34</v>
      </c>
      <c r="B81" s="295" t="n">
        <f aca="false">B78/B67</f>
        <v>0.0187702447680478</v>
      </c>
      <c r="C81" s="295" t="n">
        <f aca="false">C78/C67</f>
        <v>0.0230471309462828</v>
      </c>
      <c r="D81" s="295" t="n">
        <f aca="false">D78/D67</f>
        <v>0.0228822562208598</v>
      </c>
      <c r="E81" s="295" t="n">
        <f aca="false">E78/E67</f>
        <v>0.0233681741912886</v>
      </c>
      <c r="F81" s="295" t="n">
        <f aca="false">F78/F67</f>
        <v>0.02395243564831</v>
      </c>
      <c r="G81" s="295" t="n">
        <f aca="false">G78/G67</f>
        <v>0.0245714717987327</v>
      </c>
    </row>
    <row r="82" customFormat="false" ht="15" hidden="false" customHeight="true" outlineLevel="0" collapsed="false">
      <c r="A82" s="298"/>
      <c r="B82" s="298"/>
      <c r="C82" s="298"/>
      <c r="D82" s="298"/>
      <c r="E82" s="298"/>
      <c r="F82" s="298"/>
      <c r="G82" s="298"/>
    </row>
    <row r="83" customFormat="false" ht="15" hidden="false" customHeight="true" outlineLevel="0" collapsed="false">
      <c r="A83" s="285" t="s">
        <v>1886</v>
      </c>
      <c r="B83" s="300" t="s">
        <v>1428</v>
      </c>
      <c r="C83" s="300" t="s">
        <v>1429</v>
      </c>
      <c r="D83" s="300" t="s">
        <v>1430</v>
      </c>
      <c r="E83" s="300" t="s">
        <v>1431</v>
      </c>
      <c r="F83" s="300" t="s">
        <v>1432</v>
      </c>
      <c r="G83" s="300" t="s">
        <v>1433</v>
      </c>
    </row>
    <row r="84" customFormat="false" ht="15" hidden="false" customHeight="true" outlineLevel="0" collapsed="false">
      <c r="A84" s="286" t="s">
        <v>13</v>
      </c>
      <c r="B84" s="297" t="n">
        <f aca="false">Datos!G17</f>
        <v>9295</v>
      </c>
      <c r="C84" s="297" t="n">
        <f aca="false">B84+C108</f>
        <v>12424.3751978225</v>
      </c>
      <c r="D84" s="297" t="n">
        <f aca="false">C84+D108</f>
        <v>14378.0089568858</v>
      </c>
      <c r="E84" s="297" t="n">
        <f aca="false">D84+E108</f>
        <v>16690.2121510789</v>
      </c>
      <c r="F84" s="297" t="n">
        <f aca="false">E84+F108</f>
        <v>18807.3764604079</v>
      </c>
      <c r="G84" s="297" t="n">
        <f aca="false">F84+G108</f>
        <v>21085.4073805949</v>
      </c>
    </row>
    <row r="85" customFormat="false" ht="15" hidden="false" customHeight="true" outlineLevel="0" collapsed="false">
      <c r="A85" s="286" t="s">
        <v>156</v>
      </c>
      <c r="B85" s="297" t="n">
        <f aca="false">Datos!G18</f>
        <v>32283</v>
      </c>
      <c r="C85" s="297" t="n">
        <f aca="false">-C68*C56/365</f>
        <v>30898.3778560219</v>
      </c>
      <c r="D85" s="297" t="n">
        <f aca="false">-D68*D56/365</f>
        <v>30460.6994148708</v>
      </c>
      <c r="E85" s="297" t="n">
        <f aca="false">-E68*E56/365</f>
        <v>30405.9397083465</v>
      </c>
      <c r="F85" s="297" t="n">
        <f aca="false">-F68*F56/365</f>
        <v>31017.9505782984</v>
      </c>
      <c r="G85" s="297" t="n">
        <f aca="false">-G68*G56/365</f>
        <v>31865.1902552126</v>
      </c>
    </row>
    <row r="86" customFormat="false" ht="15" hidden="false" customHeight="true" outlineLevel="0" collapsed="false">
      <c r="A86" s="286" t="s">
        <v>1477</v>
      </c>
      <c r="B86" s="297" t="n">
        <f aca="false">Datos!G19-Datos!G17-Datos!G18</f>
        <v>6951</v>
      </c>
      <c r="C86" s="297" t="n">
        <f aca="false">C67*C57</f>
        <v>6637.9856373556</v>
      </c>
      <c r="D86" s="297" t="n">
        <f aca="false">D67*D57</f>
        <v>6535.31334936655</v>
      </c>
      <c r="E86" s="297" t="n">
        <f aca="false">E67*E57</f>
        <v>6589.84300140943</v>
      </c>
      <c r="F86" s="297" t="n">
        <f aca="false">F67*F57</f>
        <v>6722.48338637447</v>
      </c>
      <c r="G86" s="297" t="n">
        <f aca="false">G67*G57</f>
        <v>6906.10462975597</v>
      </c>
    </row>
    <row r="87" customFormat="false" ht="15" hidden="false" customHeight="true" outlineLevel="0" collapsed="false">
      <c r="A87" s="285" t="s">
        <v>157</v>
      </c>
      <c r="B87" s="301" t="n">
        <f aca="false">SUM(B84:B86)</f>
        <v>48529</v>
      </c>
      <c r="C87" s="301" t="n">
        <f aca="false">SUM(C84:C86)</f>
        <v>49960.7386912001</v>
      </c>
      <c r="D87" s="301" t="n">
        <f aca="false">SUM(D84:D86)</f>
        <v>51374.0217211232</v>
      </c>
      <c r="E87" s="301" t="n">
        <f aca="false">SUM(E84:E86)</f>
        <v>53685.9948608348</v>
      </c>
      <c r="F87" s="301" t="n">
        <f aca="false">SUM(F84:F86)</f>
        <v>56547.8104250808</v>
      </c>
      <c r="G87" s="301" t="n">
        <f aca="false">SUM(G84:G86)</f>
        <v>59856.7022655635</v>
      </c>
    </row>
    <row r="88" customFormat="false" ht="15" hidden="false" customHeight="true" outlineLevel="0" collapsed="false">
      <c r="A88" s="286" t="s">
        <v>1478</v>
      </c>
      <c r="B88" s="297" t="n">
        <f aca="false">Datos!G20-Datos!G19</f>
        <v>107509</v>
      </c>
      <c r="C88" s="297" t="n">
        <f aca="false">B88-C104+C72</f>
        <v>107211.026273329</v>
      </c>
      <c r="D88" s="297" t="n">
        <f aca="false">C88-D104+D72</f>
        <v>106445.512943321</v>
      </c>
      <c r="E88" s="297" t="n">
        <f aca="false">D88-E104+E72</f>
        <v>105664.672997484</v>
      </c>
      <c r="F88" s="297" t="n">
        <f aca="false">E88-F104+F72</f>
        <v>104858.997082149</v>
      </c>
      <c r="G88" s="297" t="n">
        <f aca="false">F88-G104+G72</f>
        <v>104021.94622851</v>
      </c>
    </row>
    <row r="89" customFormat="false" ht="15" hidden="false" customHeight="true" outlineLevel="0" collapsed="false">
      <c r="A89" s="285" t="s">
        <v>92</v>
      </c>
      <c r="B89" s="301" t="n">
        <f aca="false">B87+B88</f>
        <v>156038</v>
      </c>
      <c r="C89" s="301" t="n">
        <f aca="false">C87+C88</f>
        <v>157171.764964529</v>
      </c>
      <c r="D89" s="301" t="n">
        <f aca="false">D87+D88</f>
        <v>157819.534664445</v>
      </c>
      <c r="E89" s="301" t="n">
        <f aca="false">E87+E88</f>
        <v>159350.667858319</v>
      </c>
      <c r="F89" s="301" t="n">
        <f aca="false">F87+F88</f>
        <v>161406.80750723</v>
      </c>
      <c r="G89" s="301" t="n">
        <f aca="false">G87+G88</f>
        <v>163878.648494074</v>
      </c>
    </row>
    <row r="90" customFormat="false" ht="15" hidden="false" customHeight="true" outlineLevel="0" collapsed="false">
      <c r="A90" s="286" t="s">
        <v>1479</v>
      </c>
      <c r="B90" s="297" t="n">
        <f aca="false">Datos!G21-Datos!G25-Datos!G27</f>
        <v>35543</v>
      </c>
      <c r="C90" s="297" t="n">
        <f aca="false">C67*C58</f>
        <v>33942.4433187355</v>
      </c>
      <c r="D90" s="297" t="n">
        <f aca="false">D67*D58</f>
        <v>33417.4424365609</v>
      </c>
      <c r="E90" s="297" t="n">
        <f aca="false">E67*E58</f>
        <v>33696.272449877</v>
      </c>
      <c r="F90" s="297" t="n">
        <f aca="false">F67*F58</f>
        <v>34374.5111497494</v>
      </c>
      <c r="G90" s="297" t="n">
        <f aca="false">G67*G58</f>
        <v>35313.4335858749</v>
      </c>
    </row>
    <row r="91" customFormat="false" ht="15" hidden="false" customHeight="true" outlineLevel="0" collapsed="false">
      <c r="A91" s="286" t="s">
        <v>1480</v>
      </c>
      <c r="B91" s="297" t="n">
        <f aca="false">Datos!G25+Datos!G26</f>
        <v>11500</v>
      </c>
      <c r="C91" s="297" t="n">
        <f aca="false">MAX(0,B91+C62)</f>
        <v>11500</v>
      </c>
      <c r="D91" s="297" t="n">
        <f aca="false">MAX(0,C91+D62)</f>
        <v>10000</v>
      </c>
      <c r="E91" s="297" t="n">
        <f aca="false">MAX(0,D91+E62)</f>
        <v>8500</v>
      </c>
      <c r="F91" s="297" t="n">
        <f aca="false">MAX(0,E91+F62)</f>
        <v>7000</v>
      </c>
      <c r="G91" s="297" t="n">
        <f aca="false">MAX(0,F91+G62)</f>
        <v>5500</v>
      </c>
    </row>
    <row r="92" customFormat="false" ht="15" hidden="false" customHeight="true" outlineLevel="0" collapsed="false">
      <c r="A92" s="286" t="s">
        <v>1481</v>
      </c>
      <c r="B92" s="297" t="n">
        <f aca="false">Datos!G27+Datos!G28</f>
        <v>12118</v>
      </c>
      <c r="C92" s="297" t="n">
        <f aca="false">B92</f>
        <v>12118</v>
      </c>
      <c r="D92" s="297" t="n">
        <f aca="false">C92</f>
        <v>12118</v>
      </c>
      <c r="E92" s="297" t="n">
        <f aca="false">D92</f>
        <v>12118</v>
      </c>
      <c r="F92" s="297" t="n">
        <f aca="false">E92</f>
        <v>12118</v>
      </c>
      <c r="G92" s="297" t="n">
        <f aca="false">F92</f>
        <v>12118</v>
      </c>
    </row>
    <row r="93" customFormat="false" ht="15" hidden="false" customHeight="true" outlineLevel="0" collapsed="false">
      <c r="A93" s="286" t="s">
        <v>1482</v>
      </c>
      <c r="B93" s="297" t="n">
        <f aca="false">Datos!G23-Datos!G21-Datos!G26-Datos!G28</f>
        <v>12145</v>
      </c>
      <c r="C93" s="297" t="n">
        <f aca="false">B93</f>
        <v>12145</v>
      </c>
      <c r="D93" s="297" t="n">
        <f aca="false">C93</f>
        <v>12145</v>
      </c>
      <c r="E93" s="297" t="n">
        <f aca="false">D93</f>
        <v>12145</v>
      </c>
      <c r="F93" s="297" t="n">
        <f aca="false">E93</f>
        <v>12145</v>
      </c>
      <c r="G93" s="297" t="n">
        <f aca="false">F93</f>
        <v>12145</v>
      </c>
    </row>
    <row r="94" customFormat="false" ht="15" hidden="false" customHeight="true" outlineLevel="0" collapsed="false">
      <c r="A94" s="285" t="s">
        <v>93</v>
      </c>
      <c r="B94" s="301" t="n">
        <f aca="false">SUM(B90:B93)</f>
        <v>71306</v>
      </c>
      <c r="C94" s="301" t="n">
        <f aca="false">SUM(C90:C93)</f>
        <v>69705.4433187355</v>
      </c>
      <c r="D94" s="301" t="n">
        <f aca="false">SUM(D90:D93)</f>
        <v>67680.4424365609</v>
      </c>
      <c r="E94" s="301" t="n">
        <f aca="false">SUM(E90:E93)</f>
        <v>66459.272449877</v>
      </c>
      <c r="F94" s="301" t="n">
        <f aca="false">SUM(F90:F93)</f>
        <v>65637.5111497494</v>
      </c>
      <c r="G94" s="301" t="n">
        <f aca="false">SUM(G90:G93)</f>
        <v>65076.4335858749</v>
      </c>
    </row>
    <row r="95" customFormat="false" ht="15" hidden="false" customHeight="true" outlineLevel="0" collapsed="false">
      <c r="A95" s="286" t="s">
        <v>94</v>
      </c>
      <c r="B95" s="297" t="n">
        <f aca="false">Datos!G24</f>
        <v>84732</v>
      </c>
      <c r="C95" s="297" t="n">
        <f aca="false">B95+C78+C79</f>
        <v>87466.3216457933</v>
      </c>
      <c r="D95" s="297" t="n">
        <f aca="false">C95+D78+D79</f>
        <v>90139.0922278836</v>
      </c>
      <c r="E95" s="297" t="n">
        <f aca="false">D95+E78+E79</f>
        <v>92891.3954084417</v>
      </c>
      <c r="F95" s="297" t="n">
        <f aca="false">E95+F78+F79</f>
        <v>95769.2963574806</v>
      </c>
      <c r="G95" s="297" t="n">
        <f aca="false">F95+G78+G79</f>
        <v>98802.2149081991</v>
      </c>
    </row>
    <row r="96" customFormat="false" ht="15" hidden="false" customHeight="true" outlineLevel="0" collapsed="false">
      <c r="A96" s="285" t="s">
        <v>1483</v>
      </c>
      <c r="B96" s="301" t="n">
        <f aca="false">B94+B95</f>
        <v>156038</v>
      </c>
      <c r="C96" s="301" t="n">
        <f aca="false">C94+C95</f>
        <v>157171.764964529</v>
      </c>
      <c r="D96" s="301" t="n">
        <f aca="false">D94+D95</f>
        <v>157819.534664445</v>
      </c>
      <c r="E96" s="301" t="n">
        <f aca="false">E94+E95</f>
        <v>159350.667858319</v>
      </c>
      <c r="F96" s="301" t="n">
        <f aca="false">F94+F95</f>
        <v>161406.80750723</v>
      </c>
      <c r="G96" s="301" t="n">
        <f aca="false">G94+G95</f>
        <v>163878.648494074</v>
      </c>
    </row>
    <row r="97" customFormat="false" ht="15" hidden="false" customHeight="true" outlineLevel="0" collapsed="false">
      <c r="A97" s="286" t="s">
        <v>1484</v>
      </c>
      <c r="B97" s="297" t="n">
        <f aca="false">B89-B96</f>
        <v>0</v>
      </c>
      <c r="C97" s="297" t="n">
        <f aca="false">C89-C96</f>
        <v>0</v>
      </c>
      <c r="D97" s="297" t="n">
        <f aca="false">D89-D96</f>
        <v>0</v>
      </c>
      <c r="E97" s="297" t="n">
        <f aca="false">E89-E96</f>
        <v>0</v>
      </c>
      <c r="F97" s="297" t="n">
        <f aca="false">F89-F96</f>
        <v>0</v>
      </c>
      <c r="G97" s="297" t="n">
        <f aca="false">G89-G96</f>
        <v>0</v>
      </c>
    </row>
    <row r="98" customFormat="false" ht="15" hidden="false" customHeight="true" outlineLevel="0" collapsed="false">
      <c r="A98" s="298"/>
      <c r="B98" s="298"/>
      <c r="C98" s="298"/>
      <c r="D98" s="298"/>
      <c r="E98" s="298"/>
      <c r="F98" s="298"/>
      <c r="G98" s="298"/>
    </row>
    <row r="99" customFormat="false" ht="15" hidden="false" customHeight="true" outlineLevel="0" collapsed="false">
      <c r="A99" s="285" t="s">
        <v>1888</v>
      </c>
      <c r="B99" s="300" t="s">
        <v>1428</v>
      </c>
      <c r="C99" s="300" t="s">
        <v>1429</v>
      </c>
      <c r="D99" s="300" t="s">
        <v>1430</v>
      </c>
      <c r="E99" s="300" t="s">
        <v>1431</v>
      </c>
      <c r="F99" s="300" t="s">
        <v>1432</v>
      </c>
      <c r="G99" s="300" t="s">
        <v>1433</v>
      </c>
    </row>
    <row r="100" customFormat="false" ht="15" hidden="false" customHeight="true" outlineLevel="0" collapsed="false">
      <c r="A100" s="286" t="s">
        <v>89</v>
      </c>
      <c r="B100" s="302"/>
      <c r="C100" s="297" t="n">
        <f aca="false">C78</f>
        <v>3906.97782247391</v>
      </c>
      <c r="D100" s="297" t="n">
        <f aca="false">D78</f>
        <v>3819.02963203058</v>
      </c>
      <c r="E100" s="297" t="n">
        <f aca="false">E78</f>
        <v>3932.67101685285</v>
      </c>
      <c r="F100" s="297" t="n">
        <f aca="false">F78</f>
        <v>4112.13333313227</v>
      </c>
      <c r="G100" s="297" t="n">
        <f aca="false">G78</f>
        <v>4333.63263362116</v>
      </c>
    </row>
    <row r="101" customFormat="false" ht="15" hidden="false" customHeight="true" outlineLevel="0" collapsed="false">
      <c r="A101" s="286" t="s">
        <v>1445</v>
      </c>
      <c r="B101" s="302"/>
      <c r="C101" s="297" t="n">
        <f aca="false">-C72</f>
        <v>4130.01270581607</v>
      </c>
      <c r="D101" s="297" t="n">
        <f aca="false">-D72</f>
        <v>4066.13220394458</v>
      </c>
      <c r="E101" s="297" t="n">
        <f aca="false">-E72</f>
        <v>4102.78286859152</v>
      </c>
      <c r="F101" s="297" t="n">
        <f aca="false">-F72</f>
        <v>4188.14199729641</v>
      </c>
      <c r="G101" s="297" t="n">
        <f aca="false">-G72</f>
        <v>4305.39317115882</v>
      </c>
    </row>
    <row r="102" customFormat="false" ht="15" hidden="false" customHeight="true" outlineLevel="0" collapsed="false">
      <c r="A102" s="286" t="s">
        <v>1486</v>
      </c>
      <c r="B102" s="302"/>
      <c r="C102" s="297" t="n">
        <f aca="false">-(C85-B85)</f>
        <v>1384.62214397806</v>
      </c>
      <c r="D102" s="297" t="n">
        <f aca="false">-(D85-C85)</f>
        <v>437.678441151093</v>
      </c>
      <c r="E102" s="297" t="n">
        <f aca="false">-(E85-D85)</f>
        <v>54.7597065243572</v>
      </c>
      <c r="F102" s="297" t="n">
        <f aca="false">-(F85-E85)</f>
        <v>-612.010869951904</v>
      </c>
      <c r="G102" s="297" t="n">
        <f aca="false">-(G85-F85)</f>
        <v>-847.2396769142</v>
      </c>
    </row>
    <row r="103" customFormat="false" ht="15" hidden="false" customHeight="true" outlineLevel="0" collapsed="false">
      <c r="A103" s="286" t="s">
        <v>1487</v>
      </c>
      <c r="B103" s="302"/>
      <c r="C103" s="297" t="n">
        <f aca="false">-(C86-B86)</f>
        <v>313.014362644396</v>
      </c>
      <c r="D103" s="297" t="n">
        <f aca="false">-(D86-C86)</f>
        <v>102.672287989059</v>
      </c>
      <c r="E103" s="297" t="n">
        <f aca="false">-(E86-D86)</f>
        <v>-54.5296520428819</v>
      </c>
      <c r="F103" s="297" t="n">
        <f aca="false">-(F86-E86)</f>
        <v>-132.640384965046</v>
      </c>
      <c r="G103" s="297" t="n">
        <f aca="false">-(G86-F86)</f>
        <v>-183.621243381498</v>
      </c>
    </row>
    <row r="104" customFormat="false" ht="15" hidden="false" customHeight="true" outlineLevel="0" collapsed="false">
      <c r="A104" s="286" t="s">
        <v>1446</v>
      </c>
      <c r="B104" s="302"/>
      <c r="C104" s="297" t="n">
        <f aca="false">-C67*C51</f>
        <v>-3832.0389791448</v>
      </c>
      <c r="D104" s="297" t="n">
        <f aca="false">-D67*D51</f>
        <v>-3300.61887393722</v>
      </c>
      <c r="E104" s="297" t="n">
        <f aca="false">-E67*E51</f>
        <v>-3321.94292275407</v>
      </c>
      <c r="F104" s="297" t="n">
        <f aca="false">-F67*F51</f>
        <v>-3382.46608196171</v>
      </c>
      <c r="G104" s="297" t="n">
        <f aca="false">-G67*G51</f>
        <v>-3468.34231752008</v>
      </c>
    </row>
    <row r="105" customFormat="false" ht="15" hidden="false" customHeight="true" outlineLevel="0" collapsed="false">
      <c r="A105" s="286" t="s">
        <v>1488</v>
      </c>
      <c r="B105" s="302"/>
      <c r="C105" s="297" t="n">
        <f aca="false">C90-B90</f>
        <v>-1600.55668126454</v>
      </c>
      <c r="D105" s="297" t="n">
        <f aca="false">D90-C90</f>
        <v>-525.000882174521</v>
      </c>
      <c r="E105" s="297" t="n">
        <f aca="false">E90-D90</f>
        <v>278.830013316096</v>
      </c>
      <c r="F105" s="297" t="n">
        <f aca="false">F90-E90</f>
        <v>678.238699872338</v>
      </c>
      <c r="G105" s="297" t="n">
        <f aca="false">G90-F90</f>
        <v>938.922436125533</v>
      </c>
    </row>
    <row r="106" customFormat="false" ht="15" hidden="false" customHeight="true" outlineLevel="0" collapsed="false">
      <c r="A106" s="286" t="s">
        <v>2692</v>
      </c>
      <c r="B106" s="302"/>
      <c r="C106" s="297" t="n">
        <f aca="false">C79</f>
        <v>-1172.65617668058</v>
      </c>
      <c r="D106" s="297" t="n">
        <f aca="false">D79</f>
        <v>-1146.25904994032</v>
      </c>
      <c r="E106" s="297" t="n">
        <f aca="false">E79</f>
        <v>-1180.36783629478</v>
      </c>
      <c r="F106" s="297" t="n">
        <f aca="false">F79</f>
        <v>-1234.23238409331</v>
      </c>
      <c r="G106" s="297" t="n">
        <f aca="false">G79</f>
        <v>-1300.71408290272</v>
      </c>
    </row>
    <row r="107" customFormat="false" ht="15" hidden="false" customHeight="true" outlineLevel="0" collapsed="false">
      <c r="A107" s="286" t="s">
        <v>2693</v>
      </c>
      <c r="B107" s="302"/>
      <c r="C107" s="297" t="n">
        <f aca="false">C91-B91</f>
        <v>0</v>
      </c>
      <c r="D107" s="297" t="n">
        <f aca="false">D91-C91</f>
        <v>-1500</v>
      </c>
      <c r="E107" s="297" t="n">
        <f aca="false">E91-D91</f>
        <v>-1500</v>
      </c>
      <c r="F107" s="297" t="n">
        <f aca="false">F91-E91</f>
        <v>-1500</v>
      </c>
      <c r="G107" s="297" t="n">
        <f aca="false">G91-F91</f>
        <v>-1500</v>
      </c>
    </row>
    <row r="108" customFormat="false" ht="15" hidden="false" customHeight="true" outlineLevel="0" collapsed="false">
      <c r="A108" s="285" t="s">
        <v>1894</v>
      </c>
      <c r="B108" s="300"/>
      <c r="C108" s="301" t="n">
        <f aca="false">SUM(C100:C107)</f>
        <v>3129.37519782252</v>
      </c>
      <c r="D108" s="301" t="n">
        <f aca="false">SUM(D100:D107)</f>
        <v>1953.63375906326</v>
      </c>
      <c r="E108" s="301" t="n">
        <f aca="false">SUM(E100:E107)</f>
        <v>2312.2031941931</v>
      </c>
      <c r="F108" s="301" t="n">
        <f aca="false">SUM(F100:F107)</f>
        <v>2117.16430932904</v>
      </c>
      <c r="G108" s="301" t="n">
        <f aca="false">SUM(G100:G107)</f>
        <v>2278.03092018702</v>
      </c>
    </row>
    <row r="109" customFormat="false" ht="15" hidden="false" customHeight="true" outlineLevel="0" collapsed="false">
      <c r="A109" s="298"/>
      <c r="B109" s="298"/>
      <c r="C109" s="298"/>
      <c r="D109" s="298"/>
      <c r="E109" s="298"/>
      <c r="F109" s="298"/>
      <c r="G109" s="298"/>
    </row>
    <row r="110" customFormat="false" ht="15" hidden="false" customHeight="true" outlineLevel="0" collapsed="false">
      <c r="A110" s="285" t="s">
        <v>1895</v>
      </c>
      <c r="B110" s="300" t="s">
        <v>1428</v>
      </c>
      <c r="C110" s="300" t="s">
        <v>1429</v>
      </c>
      <c r="D110" s="300" t="s">
        <v>1430</v>
      </c>
      <c r="E110" s="300" t="s">
        <v>1431</v>
      </c>
      <c r="F110" s="300" t="s">
        <v>1432</v>
      </c>
      <c r="G110" s="300" t="s">
        <v>1433</v>
      </c>
    </row>
    <row r="111" customFormat="false" ht="15" hidden="false" customHeight="true" outlineLevel="0" collapsed="false">
      <c r="A111" s="286" t="s">
        <v>81</v>
      </c>
      <c r="B111" s="302"/>
      <c r="C111" s="297" t="n">
        <f aca="false">C73</f>
        <v>7695.70522736961</v>
      </c>
      <c r="D111" s="297" t="n">
        <f aca="false">D73</f>
        <v>7541.62395564329</v>
      </c>
      <c r="E111" s="297" t="n">
        <f aca="false">E73</f>
        <v>7593.5039164933</v>
      </c>
      <c r="F111" s="297" t="n">
        <f aca="false">F73</f>
        <v>7740.22783576996</v>
      </c>
      <c r="G111" s="297" t="n">
        <f aca="false">G73</f>
        <v>7950.65403854719</v>
      </c>
    </row>
    <row r="112" customFormat="false" ht="15" hidden="false" customHeight="true" outlineLevel="0" collapsed="false">
      <c r="A112" s="286" t="s">
        <v>1443</v>
      </c>
      <c r="B112" s="302"/>
      <c r="C112" s="297" t="n">
        <f aca="false">-C111*C55</f>
        <v>-2058.75661843135</v>
      </c>
      <c r="D112" s="297" t="n">
        <f aca="false">-D111*D55</f>
        <v>-2043.93244930997</v>
      </c>
      <c r="E112" s="297" t="n">
        <f aca="false">-E111*E55</f>
        <v>-2100.99725474609</v>
      </c>
      <c r="F112" s="297" t="n">
        <f aca="false">-F111*F55</f>
        <v>-2185.42857200854</v>
      </c>
      <c r="G112" s="297" t="n">
        <f aca="false">-G111*G55</f>
        <v>-2289.86867341892</v>
      </c>
    </row>
    <row r="113" customFormat="false" ht="15" hidden="false" customHeight="true" outlineLevel="0" collapsed="false">
      <c r="A113" s="286" t="s">
        <v>2694</v>
      </c>
      <c r="B113" s="302"/>
      <c r="C113" s="297" t="n">
        <f aca="false">C111+C112</f>
        <v>5636.94860893826</v>
      </c>
      <c r="D113" s="297" t="n">
        <f aca="false">D111+D112</f>
        <v>5497.69150633332</v>
      </c>
      <c r="E113" s="297" t="n">
        <f aca="false">E111+E112</f>
        <v>5492.50666174721</v>
      </c>
      <c r="F113" s="297" t="n">
        <f aca="false">F111+F112</f>
        <v>5554.79926376142</v>
      </c>
      <c r="G113" s="297" t="n">
        <f aca="false">G111+G112</f>
        <v>5660.78536512827</v>
      </c>
    </row>
    <row r="114" customFormat="false" ht="15" hidden="false" customHeight="true" outlineLevel="0" collapsed="false">
      <c r="A114" s="286" t="s">
        <v>1445</v>
      </c>
      <c r="B114" s="302"/>
      <c r="C114" s="297" t="n">
        <f aca="false">C101</f>
        <v>4130.01270581607</v>
      </c>
      <c r="D114" s="297" t="n">
        <f aca="false">D101</f>
        <v>4066.13220394458</v>
      </c>
      <c r="E114" s="297" t="n">
        <f aca="false">E101</f>
        <v>4102.78286859152</v>
      </c>
      <c r="F114" s="297" t="n">
        <f aca="false">F101</f>
        <v>4188.14199729641</v>
      </c>
      <c r="G114" s="297" t="n">
        <f aca="false">G101</f>
        <v>4305.39317115882</v>
      </c>
    </row>
    <row r="115" customFormat="false" ht="15" hidden="false" customHeight="true" outlineLevel="0" collapsed="false">
      <c r="A115" s="286" t="s">
        <v>1446</v>
      </c>
      <c r="B115" s="302"/>
      <c r="C115" s="297" t="n">
        <f aca="false">C104</f>
        <v>-3832.0389791448</v>
      </c>
      <c r="D115" s="297" t="n">
        <f aca="false">D104</f>
        <v>-3300.61887393722</v>
      </c>
      <c r="E115" s="297" t="n">
        <f aca="false">E104</f>
        <v>-3321.94292275407</v>
      </c>
      <c r="F115" s="297" t="n">
        <f aca="false">F104</f>
        <v>-3382.46608196171</v>
      </c>
      <c r="G115" s="297" t="n">
        <f aca="false">G104</f>
        <v>-3468.34231752008</v>
      </c>
    </row>
    <row r="116" customFormat="false" ht="15" hidden="false" customHeight="true" outlineLevel="0" collapsed="false">
      <c r="A116" s="286" t="s">
        <v>1447</v>
      </c>
      <c r="B116" s="302"/>
      <c r="C116" s="297" t="n">
        <f aca="false">C102+C103+C105</f>
        <v>97.0798253579187</v>
      </c>
      <c r="D116" s="297" t="n">
        <f aca="false">D102+D103+D105</f>
        <v>15.3498469656297</v>
      </c>
      <c r="E116" s="297" t="n">
        <f aca="false">E102+E103+E105</f>
        <v>279.060067797571</v>
      </c>
      <c r="F116" s="297" t="n">
        <f aca="false">F102+F103+F105</f>
        <v>-66.4125550446124</v>
      </c>
      <c r="G116" s="297" t="n">
        <f aca="false">G102+G103+G105</f>
        <v>-91.9384841701649</v>
      </c>
    </row>
    <row r="117" customFormat="false" ht="15" hidden="false" customHeight="true" outlineLevel="0" collapsed="false">
      <c r="A117" s="285" t="s">
        <v>2695</v>
      </c>
      <c r="B117" s="300"/>
      <c r="C117" s="301" t="n">
        <f aca="false">SUM(C113:C116)</f>
        <v>6032.00216096745</v>
      </c>
      <c r="D117" s="301" t="n">
        <f aca="false">SUM(D113:D116)</f>
        <v>6278.55468330631</v>
      </c>
      <c r="E117" s="301" t="n">
        <f aca="false">SUM(E113:E116)</f>
        <v>6552.40667538223</v>
      </c>
      <c r="F117" s="301" t="n">
        <f aca="false">SUM(F113:F116)</f>
        <v>6294.0626240515</v>
      </c>
      <c r="G117" s="301" t="n">
        <f aca="false">SUM(G113:G116)</f>
        <v>6405.89773459684</v>
      </c>
    </row>
    <row r="118" customFormat="false" ht="15" hidden="false" customHeight="true" outlineLevel="0" collapsed="false">
      <c r="A118" s="286" t="s">
        <v>1441</v>
      </c>
      <c r="B118" s="302"/>
      <c r="C118" s="303" t="n">
        <v>1</v>
      </c>
      <c r="D118" s="303" t="n">
        <f aca="false">C118+1</f>
        <v>2</v>
      </c>
      <c r="E118" s="303" t="n">
        <f aca="false">D118+1</f>
        <v>3</v>
      </c>
      <c r="F118" s="303" t="n">
        <f aca="false">E118+1</f>
        <v>4</v>
      </c>
      <c r="G118" s="303" t="n">
        <f aca="false">F118+1</f>
        <v>5</v>
      </c>
    </row>
    <row r="119" customFormat="false" ht="15" hidden="false" customHeight="true" outlineLevel="0" collapsed="false">
      <c r="A119" s="286" t="s">
        <v>1449</v>
      </c>
      <c r="B119" s="302"/>
      <c r="C119" s="304" t="n">
        <f aca="false">1/(1+$B$126)^C118</f>
        <v>0.909155318604103</v>
      </c>
      <c r="D119" s="304" t="n">
        <f aca="false">1/(1+$B$126)^D118</f>
        <v>0.826563393346127</v>
      </c>
      <c r="E119" s="304" t="n">
        <f aca="false">1/(1+$B$126)^E118</f>
        <v>0.751474505224086</v>
      </c>
      <c r="F119" s="304" t="n">
        <f aca="false">1/(1+$B$126)^F118</f>
        <v>0.683207043219864</v>
      </c>
      <c r="G119" s="304" t="n">
        <f aca="false">1/(1+$B$126)^G118</f>
        <v>0.621141317051123</v>
      </c>
    </row>
    <row r="120" customFormat="false" ht="15" hidden="false" customHeight="true" outlineLevel="0" collapsed="false">
      <c r="A120" s="286" t="s">
        <v>1450</v>
      </c>
      <c r="B120" s="302"/>
      <c r="C120" s="297" t="n">
        <f aca="false">C117*C119</f>
        <v>5484.026846475</v>
      </c>
      <c r="D120" s="297" t="n">
        <f aca="false">D117*D119</f>
        <v>5189.62346434288</v>
      </c>
      <c r="E120" s="297" t="n">
        <f aca="false">E117*E119</f>
        <v>4923.96656440986</v>
      </c>
      <c r="F120" s="297" t="n">
        <f aca="false">F117*F119</f>
        <v>4300.14791521889</v>
      </c>
      <c r="G120" s="297" t="n">
        <f aca="false">G117*G119</f>
        <v>3978.96775576229</v>
      </c>
    </row>
    <row r="121" customFormat="false" ht="15" hidden="false" customHeight="true" outlineLevel="0" collapsed="false">
      <c r="A121" s="298"/>
      <c r="B121" s="298"/>
      <c r="C121" s="298"/>
      <c r="D121" s="298"/>
      <c r="E121" s="298"/>
      <c r="F121" s="298"/>
      <c r="G121" s="298"/>
    </row>
    <row r="122" customFormat="false" ht="15" hidden="false" customHeight="true" outlineLevel="0" collapsed="false">
      <c r="A122" s="285" t="s">
        <v>1901</v>
      </c>
      <c r="B122" s="300" t="s">
        <v>78</v>
      </c>
      <c r="C122" s="300"/>
      <c r="D122" s="300"/>
      <c r="E122" s="300"/>
      <c r="F122" s="300"/>
      <c r="G122" s="300"/>
    </row>
    <row r="123" customFormat="false" ht="15" hidden="false" customHeight="true" outlineLevel="0" collapsed="false">
      <c r="A123" s="286" t="s">
        <v>1903</v>
      </c>
      <c r="B123" s="296" t="n">
        <f aca="false">Escenarios!$L$11</f>
        <v>0.035</v>
      </c>
      <c r="C123" s="302"/>
      <c r="D123" s="302"/>
      <c r="E123" s="302"/>
      <c r="F123" s="302"/>
      <c r="G123" s="302"/>
    </row>
    <row r="124" customFormat="false" ht="15" hidden="false" customHeight="true" outlineLevel="0" collapsed="false">
      <c r="A124" s="286" t="s">
        <v>1904</v>
      </c>
      <c r="B124" s="296" t="n">
        <f aca="false">B220</f>
        <v>0.099922070010412</v>
      </c>
      <c r="C124" s="302"/>
      <c r="D124" s="302"/>
      <c r="E124" s="302"/>
      <c r="F124" s="302"/>
      <c r="G124" s="302"/>
    </row>
    <row r="125" customFormat="false" ht="15" hidden="false" customHeight="true" outlineLevel="0" collapsed="false">
      <c r="A125" s="286" t="s">
        <v>1905</v>
      </c>
      <c r="B125" s="296" t="n">
        <v>0</v>
      </c>
      <c r="C125" s="302"/>
      <c r="D125" s="302"/>
      <c r="E125" s="302"/>
      <c r="F125" s="302"/>
      <c r="G125" s="302"/>
    </row>
    <row r="126" customFormat="false" ht="15" hidden="false" customHeight="true" outlineLevel="0" collapsed="false">
      <c r="A126" s="286" t="s">
        <v>1906</v>
      </c>
      <c r="B126" s="296" t="n">
        <f aca="false">B124+B125</f>
        <v>0.099922070010412</v>
      </c>
      <c r="C126" s="302"/>
      <c r="D126" s="302"/>
      <c r="E126" s="302"/>
      <c r="F126" s="302"/>
      <c r="G126" s="302"/>
    </row>
    <row r="127" customFormat="false" ht="15" hidden="false" customHeight="true" outlineLevel="0" collapsed="false">
      <c r="A127" s="286" t="s">
        <v>1907</v>
      </c>
      <c r="B127" s="297" t="n">
        <f aca="false">G117</f>
        <v>6405.89773459684</v>
      </c>
      <c r="C127" s="302"/>
      <c r="D127" s="302"/>
      <c r="E127" s="302"/>
      <c r="F127" s="302"/>
      <c r="G127" s="302"/>
    </row>
    <row r="128" customFormat="false" ht="15" hidden="false" customHeight="true" outlineLevel="0" collapsed="false">
      <c r="A128" s="286" t="s">
        <v>2696</v>
      </c>
      <c r="B128" s="297" t="n">
        <f aca="false">B127*(1+B123)</f>
        <v>6630.10415530773</v>
      </c>
      <c r="C128" s="302"/>
      <c r="D128" s="302"/>
      <c r="E128" s="302"/>
      <c r="F128" s="302"/>
      <c r="G128" s="302"/>
    </row>
    <row r="129" customFormat="false" ht="15" hidden="false" customHeight="true" outlineLevel="0" collapsed="false">
      <c r="A129" s="285" t="s">
        <v>2697</v>
      </c>
      <c r="B129" s="301" t="n">
        <f aca="false">IF(B126&gt;B123,B128/(B126-B123),"REVISAR WACC/g")</f>
        <v>102124.041242746</v>
      </c>
      <c r="C129" s="300"/>
      <c r="D129" s="300"/>
      <c r="E129" s="300"/>
      <c r="F129" s="300"/>
      <c r="G129" s="300"/>
    </row>
    <row r="130" customFormat="false" ht="15" hidden="false" customHeight="true" outlineLevel="0" collapsed="false">
      <c r="A130" s="286" t="s">
        <v>1910</v>
      </c>
      <c r="B130" s="304" t="n">
        <f aca="false">G119</f>
        <v>0.621141317051123</v>
      </c>
      <c r="C130" s="302"/>
      <c r="D130" s="302"/>
      <c r="E130" s="302"/>
      <c r="F130" s="302"/>
      <c r="G130" s="302"/>
    </row>
    <row r="131" customFormat="false" ht="15" hidden="false" customHeight="true" outlineLevel="0" collapsed="false">
      <c r="A131" s="286" t="s">
        <v>1498</v>
      </c>
      <c r="B131" s="297" t="n">
        <f aca="false">B129*B130</f>
        <v>63433.4614801021</v>
      </c>
      <c r="C131" s="302"/>
      <c r="D131" s="302"/>
      <c r="E131" s="302"/>
      <c r="F131" s="302"/>
      <c r="G131" s="302"/>
    </row>
    <row r="132" customFormat="false" ht="15" hidden="false" customHeight="true" outlineLevel="0" collapsed="false">
      <c r="A132" s="298"/>
      <c r="B132" s="298"/>
      <c r="C132" s="298"/>
      <c r="D132" s="298"/>
      <c r="E132" s="298"/>
      <c r="F132" s="298"/>
      <c r="G132" s="298"/>
    </row>
    <row r="133" customFormat="false" ht="15" hidden="false" customHeight="true" outlineLevel="0" collapsed="false">
      <c r="A133" s="285" t="s">
        <v>1911</v>
      </c>
      <c r="B133" s="300" t="s">
        <v>78</v>
      </c>
      <c r="C133" s="300"/>
      <c r="D133" s="300"/>
      <c r="E133" s="300"/>
      <c r="F133" s="300"/>
      <c r="G133" s="300"/>
    </row>
    <row r="134" customFormat="false" ht="15" hidden="false" customHeight="true" outlineLevel="0" collapsed="false">
      <c r="A134" s="286" t="s">
        <v>1913</v>
      </c>
      <c r="B134" s="297" t="n">
        <f aca="false">SUM(C120:G120)</f>
        <v>23876.7325462089</v>
      </c>
      <c r="C134" s="302"/>
      <c r="D134" s="302"/>
      <c r="E134" s="302"/>
      <c r="F134" s="302"/>
      <c r="G134" s="302"/>
    </row>
    <row r="135" customFormat="false" ht="15" hidden="false" customHeight="true" outlineLevel="0" collapsed="false">
      <c r="A135" s="286" t="s">
        <v>1914</v>
      </c>
      <c r="B135" s="297" t="n">
        <f aca="false">B131</f>
        <v>63433.4614801021</v>
      </c>
      <c r="C135" s="302"/>
      <c r="D135" s="302"/>
      <c r="E135" s="302"/>
      <c r="F135" s="302"/>
      <c r="G135" s="302"/>
    </row>
    <row r="136" customFormat="false" ht="15" hidden="false" customHeight="true" outlineLevel="0" collapsed="false">
      <c r="A136" s="285" t="s">
        <v>1915</v>
      </c>
      <c r="B136" s="301" t="n">
        <f aca="false">B134+B135</f>
        <v>87310.194026311</v>
      </c>
      <c r="C136" s="300"/>
      <c r="D136" s="300"/>
      <c r="E136" s="300"/>
      <c r="F136" s="300"/>
      <c r="G136" s="300"/>
    </row>
    <row r="137" customFormat="false" ht="15" hidden="false" customHeight="true" outlineLevel="0" collapsed="false">
      <c r="A137" s="286" t="s">
        <v>1461</v>
      </c>
      <c r="B137" s="295" t="n">
        <f aca="false">B135/B136</f>
        <v>0.726529842105108</v>
      </c>
      <c r="C137" s="302"/>
      <c r="D137" s="302"/>
      <c r="E137" s="302"/>
      <c r="F137" s="302"/>
      <c r="G137" s="302"/>
    </row>
    <row r="138" customFormat="false" ht="15" hidden="false" customHeight="true" outlineLevel="0" collapsed="false">
      <c r="A138" s="298"/>
      <c r="B138" s="298"/>
      <c r="C138" s="298"/>
      <c r="D138" s="298"/>
      <c r="E138" s="298"/>
      <c r="F138" s="298"/>
      <c r="G138" s="298"/>
    </row>
    <row r="139" customFormat="false" ht="15" hidden="false" customHeight="true" outlineLevel="0" collapsed="false">
      <c r="A139" s="285" t="s">
        <v>1916</v>
      </c>
      <c r="B139" s="300" t="s">
        <v>78</v>
      </c>
      <c r="C139" s="300"/>
      <c r="D139" s="300"/>
      <c r="E139" s="300"/>
      <c r="F139" s="300"/>
      <c r="G139" s="300"/>
    </row>
    <row r="140" customFormat="false" ht="15" hidden="false" customHeight="true" outlineLevel="0" collapsed="false">
      <c r="A140" s="286" t="s">
        <v>1915</v>
      </c>
      <c r="B140" s="297" t="n">
        <f aca="false">B136</f>
        <v>87310.194026311</v>
      </c>
      <c r="C140" s="302"/>
      <c r="D140" s="302"/>
      <c r="E140" s="302"/>
      <c r="F140" s="302"/>
      <c r="G140" s="302"/>
    </row>
    <row r="141" customFormat="false" ht="15" hidden="false" customHeight="true" outlineLevel="0" collapsed="false">
      <c r="A141" s="286" t="s">
        <v>1502</v>
      </c>
      <c r="B141" s="297" t="n">
        <f aca="false">-B91</f>
        <v>-11500</v>
      </c>
      <c r="C141" s="302"/>
      <c r="D141" s="302"/>
      <c r="E141" s="302"/>
      <c r="F141" s="302"/>
      <c r="G141" s="302"/>
    </row>
    <row r="142" customFormat="false" ht="15" hidden="false" customHeight="true" outlineLevel="0" collapsed="false">
      <c r="A142" s="286" t="s">
        <v>1503</v>
      </c>
      <c r="B142" s="297" t="n">
        <f aca="false">-B92</f>
        <v>-12118</v>
      </c>
      <c r="C142" s="302"/>
      <c r="D142" s="302"/>
      <c r="E142" s="302"/>
      <c r="F142" s="302"/>
      <c r="G142" s="302"/>
    </row>
    <row r="143" customFormat="false" ht="15" hidden="false" customHeight="true" outlineLevel="0" collapsed="false">
      <c r="A143" s="286" t="s">
        <v>1504</v>
      </c>
      <c r="B143" s="297" t="n">
        <f aca="false">B84</f>
        <v>9295</v>
      </c>
      <c r="C143" s="302"/>
      <c r="D143" s="302"/>
      <c r="E143" s="302"/>
      <c r="F143" s="302"/>
      <c r="G143" s="302"/>
    </row>
    <row r="144" customFormat="false" ht="15" hidden="false" customHeight="true" outlineLevel="0" collapsed="false">
      <c r="A144" s="286" t="s">
        <v>1920</v>
      </c>
      <c r="B144" s="297" t="n">
        <f aca="false">-(B141+B142+B143)</f>
        <v>14323</v>
      </c>
      <c r="C144" s="302"/>
      <c r="D144" s="302"/>
      <c r="E144" s="302"/>
      <c r="F144" s="302"/>
      <c r="G144" s="302"/>
    </row>
    <row r="145" customFormat="false" ht="15" hidden="false" customHeight="true" outlineLevel="0" collapsed="false">
      <c r="A145" s="285" t="s">
        <v>1921</v>
      </c>
      <c r="B145" s="301" t="n">
        <f aca="false">SUM(B140:B143)</f>
        <v>72987.194026311</v>
      </c>
      <c r="C145" s="300"/>
      <c r="D145" s="300"/>
      <c r="E145" s="300"/>
      <c r="F145" s="300"/>
      <c r="G145" s="300"/>
    </row>
    <row r="146" customFormat="false" ht="15" hidden="false" customHeight="true" outlineLevel="0" collapsed="false">
      <c r="A146" s="298"/>
      <c r="B146" s="298"/>
      <c r="C146" s="298"/>
      <c r="D146" s="298"/>
      <c r="E146" s="298"/>
      <c r="F146" s="298"/>
      <c r="G146" s="298"/>
    </row>
    <row r="147" customFormat="false" ht="15" hidden="false" customHeight="true" outlineLevel="0" collapsed="false">
      <c r="A147" s="285" t="s">
        <v>1922</v>
      </c>
      <c r="B147" s="300" t="s">
        <v>78</v>
      </c>
      <c r="C147" s="300"/>
      <c r="D147" s="300"/>
      <c r="E147" s="300"/>
      <c r="F147" s="300"/>
      <c r="G147" s="300"/>
    </row>
    <row r="148" customFormat="false" ht="15" hidden="false" customHeight="true" outlineLevel="0" collapsed="false">
      <c r="A148" s="286" t="s">
        <v>1924</v>
      </c>
      <c r="B148" s="297" t="n">
        <f aca="false">B145</f>
        <v>72987.194026311</v>
      </c>
      <c r="C148" s="302"/>
      <c r="D148" s="302"/>
      <c r="E148" s="302"/>
      <c r="F148" s="302"/>
      <c r="G148" s="302"/>
    </row>
    <row r="149" customFormat="false" ht="15" hidden="false" customHeight="true" outlineLevel="0" collapsed="false">
      <c r="A149" s="286" t="s">
        <v>57</v>
      </c>
      <c r="B149" s="305" t="n">
        <f aca="false">Valuación!B40</f>
        <v>1800</v>
      </c>
      <c r="C149" s="302"/>
      <c r="D149" s="302"/>
      <c r="E149" s="302"/>
      <c r="F149" s="302"/>
      <c r="G149" s="302"/>
    </row>
    <row r="150" customFormat="false" ht="15" hidden="false" customHeight="true" outlineLevel="0" collapsed="false">
      <c r="A150" s="285" t="s">
        <v>1925</v>
      </c>
      <c r="B150" s="306" t="n">
        <f aca="false">B148/B149</f>
        <v>40.5484411257284</v>
      </c>
      <c r="C150" s="300"/>
      <c r="D150" s="300"/>
      <c r="E150" s="300"/>
      <c r="F150" s="300"/>
      <c r="G150" s="300"/>
    </row>
    <row r="151" customFormat="false" ht="15" hidden="false" customHeight="true" outlineLevel="0" collapsed="false">
      <c r="A151" s="286" t="s">
        <v>16</v>
      </c>
      <c r="B151" s="307" t="n">
        <f aca="false">Valuación!B42</f>
        <v>33.1</v>
      </c>
      <c r="C151" s="302"/>
      <c r="D151" s="302"/>
      <c r="E151" s="302"/>
      <c r="F151" s="302"/>
      <c r="G151" s="302"/>
    </row>
    <row r="152" customFormat="false" ht="15" hidden="false" customHeight="true" outlineLevel="0" collapsed="false">
      <c r="A152" s="286" t="s">
        <v>17</v>
      </c>
      <c r="B152" s="295" t="n">
        <f aca="false">B150/B151-1</f>
        <v>0.225028432801461</v>
      </c>
      <c r="C152" s="302"/>
      <c r="D152" s="302"/>
      <c r="E152" s="302"/>
      <c r="F152" s="302"/>
      <c r="G152" s="302"/>
    </row>
    <row r="153" customFormat="false" ht="15" hidden="false" customHeight="true" outlineLevel="0" collapsed="false">
      <c r="A153" s="286" t="s">
        <v>1926</v>
      </c>
      <c r="B153" s="307" t="n">
        <f aca="false">'Proyección Soriana'!B85</f>
        <v>50.1939335833512</v>
      </c>
      <c r="C153" s="302"/>
      <c r="D153" s="302"/>
      <c r="E153" s="302"/>
      <c r="F153" s="302"/>
      <c r="G153" s="302"/>
    </row>
    <row r="154" customFormat="false" ht="15" hidden="false" customHeight="true" outlineLevel="0" collapsed="false">
      <c r="A154" s="286" t="s">
        <v>1927</v>
      </c>
      <c r="B154" s="295" t="n">
        <f aca="false">B150/B153-1</f>
        <v>-0.192164506127133</v>
      </c>
      <c r="C154" s="302"/>
      <c r="D154" s="302"/>
      <c r="E154" s="302"/>
      <c r="F154" s="302"/>
      <c r="G154" s="302"/>
    </row>
    <row r="155" customFormat="false" ht="15" hidden="false" customHeight="true" outlineLevel="0" collapsed="false">
      <c r="A155" s="286" t="s">
        <v>2698</v>
      </c>
      <c r="B155" s="295" t="n">
        <v>0.15</v>
      </c>
      <c r="C155" s="302"/>
      <c r="D155" s="302"/>
      <c r="E155" s="302"/>
      <c r="F155" s="302"/>
      <c r="G155" s="302"/>
    </row>
    <row r="156" customFormat="false" ht="15" hidden="false" customHeight="true" outlineLevel="0" collapsed="false">
      <c r="A156" s="285" t="s">
        <v>1929</v>
      </c>
      <c r="B156" s="300" t="str">
        <f aca="false">IF(B152&gt;B155,"COMPRAR",IF(B152&lt;-B155,"VENDER","MANTENER"))</f>
        <v>COMPRAR</v>
      </c>
      <c r="C156" s="300"/>
      <c r="D156" s="300"/>
      <c r="E156" s="300"/>
      <c r="F156" s="300"/>
      <c r="G156" s="300"/>
    </row>
    <row r="157" customFormat="false" ht="15" hidden="false" customHeight="true" outlineLevel="0" collapsed="false">
      <c r="A157" s="286" t="s">
        <v>1930</v>
      </c>
      <c r="B157" s="302" t="str">
        <f aca="false" t="array" ref="B157:B157">IF(SUMPRODUCT(ABS(B97:G97))&lt;1,"PASS","FAIL")</f>
        <v>PASS</v>
      </c>
      <c r="C157" s="302"/>
      <c r="D157" s="302"/>
      <c r="E157" s="302"/>
      <c r="F157" s="302"/>
      <c r="G157" s="302"/>
    </row>
    <row r="158" customFormat="false" ht="15" hidden="false" customHeight="true" outlineLevel="0" collapsed="false">
      <c r="A158" s="286" t="s">
        <v>1931</v>
      </c>
      <c r="B158" s="302" t="str">
        <f aca="false">IF(B126&gt;B123,"PASS","FAIL")</f>
        <v>PASS</v>
      </c>
      <c r="C158" s="302"/>
      <c r="D158" s="302"/>
      <c r="E158" s="302"/>
      <c r="F158" s="302"/>
      <c r="G158" s="302"/>
    </row>
    <row r="159" customFormat="false" ht="15" hidden="false" customHeight="true" outlineLevel="0" collapsed="false">
      <c r="A159" s="298"/>
      <c r="B159" s="298"/>
      <c r="C159" s="298"/>
      <c r="D159" s="298"/>
      <c r="E159" s="298"/>
      <c r="F159" s="298"/>
      <c r="G159" s="298"/>
    </row>
    <row r="160" customFormat="false" ht="15" hidden="false" customHeight="true" outlineLevel="0" collapsed="false">
      <c r="A160" s="285" t="s">
        <v>1932</v>
      </c>
      <c r="B160" s="300"/>
      <c r="C160" s="300"/>
      <c r="D160" s="300"/>
      <c r="E160" s="300"/>
      <c r="F160" s="300"/>
      <c r="G160" s="300"/>
    </row>
    <row r="161" customFormat="false" ht="15" hidden="false" customHeight="true" outlineLevel="0" collapsed="false">
      <c r="A161" s="286" t="s">
        <v>1934</v>
      </c>
      <c r="B161" s="296" t="n">
        <v>0.005</v>
      </c>
      <c r="C161" s="302"/>
      <c r="D161" s="302"/>
      <c r="E161" s="302"/>
      <c r="F161" s="302"/>
      <c r="G161" s="302"/>
    </row>
    <row r="162" customFormat="false" ht="15" hidden="false" customHeight="true" outlineLevel="0" collapsed="false">
      <c r="A162" s="285" t="s">
        <v>2699</v>
      </c>
      <c r="B162" s="338" t="n">
        <f aca="false">$B$123-2*$B$161</f>
        <v>0.025</v>
      </c>
      <c r="C162" s="338" t="n">
        <f aca="false">B162+$B$161</f>
        <v>0.03</v>
      </c>
      <c r="D162" s="338" t="n">
        <f aca="false">C162+$B$161</f>
        <v>0.035</v>
      </c>
      <c r="E162" s="338" t="n">
        <f aca="false">D162+$B$161</f>
        <v>0.04</v>
      </c>
      <c r="F162" s="338" t="n">
        <f aca="false">E162+$B$161</f>
        <v>0.045</v>
      </c>
      <c r="G162" s="300"/>
    </row>
    <row r="163" customFormat="false" ht="15" hidden="false" customHeight="true" outlineLevel="0" collapsed="false">
      <c r="A163" s="338" t="n">
        <f aca="false">$B$126-2*$B$161</f>
        <v>0.089922070010412</v>
      </c>
      <c r="B163" s="307" t="n">
        <f aca="false">IF($A163&lt;=B$162,"n.a.",(($B$243*(SUMPRODUCT($C$117:$G$117,(1+$A163)^(-$C$118:$G$118))+$G$117*(1+B$162)/($A163-B$162)*(1+$A163)^-5)+$B$244*(SUMPRODUCT($C$117:$G$117,(1+$A163)^(-$C$118:$G$118))+$B$236*(1+$A163)^-5))*(1+$A163)^$B$253+$B$257+$B$259+$B$260+$B$261)*(1+$B$221)^$B$254/$B$264)</f>
        <v>39.0151304413325</v>
      </c>
      <c r="C163" s="307" t="n">
        <f aca="false">IF($A163&lt;=C$162,"n.a.",(($B$243*(SUMPRODUCT($C$117:$G$117,(1+$A163)^(-$C$118:$G$118))+$G$117*(1+C$162)/($A163-C$162)*(1+$A163)^-5)+$B$244*(SUMPRODUCT($C$117:$G$117,(1+$A163)^(-$C$118:$G$118))+$B$236*(1+$A163)^-5))*(1+$A163)^$B$253+$B$257+$B$259+$B$260+$B$261)*(1+$B$221)^$B$254/$B$264)</f>
        <v>40.7549879546444</v>
      </c>
      <c r="D163" s="307" t="n">
        <f aca="false">IF($A163&lt;=D$162,"n.a.",(($B$243*(SUMPRODUCT($C$117:$G$117,(1+$A163)^(-$C$118:$G$118))+$G$117*(1+D$162)/($A163-D$162)*(1+$A163)^-5)+$B$244*(SUMPRODUCT($C$117:$G$117,(1+$A163)^(-$C$118:$G$118))+$B$236*(1+$A163)^-5))*(1+$A163)^$B$253+$B$257+$B$259+$B$260+$B$261)*(1+$B$221)^$B$254/$B$264)</f>
        <v>42.8116320553849</v>
      </c>
      <c r="E163" s="307" t="n">
        <f aca="false">IF($A163&lt;=E$162,"n.a.",(($B$243*(SUMPRODUCT($C$117:$G$117,(1+$A163)^(-$C$118:$G$118))+$G$117*(1+E$162)/($A163-E$162)*(1+$A163)^-5)+$B$244*(SUMPRODUCT($C$117:$G$117,(1+$A163)^(-$C$118:$G$118))+$B$236*(1+$A163)^-5))*(1+$A163)^$B$253+$B$257+$B$259+$B$260+$B$261)*(1+$B$221)^$B$254/$B$264)</f>
        <v>45.2802470740603</v>
      </c>
      <c r="F163" s="307" t="n">
        <f aca="false">IF($A163&lt;=F$162,"n.a.",(($B$243*(SUMPRODUCT($C$117:$G$117,(1+$A163)^(-$C$118:$G$118))+$G$117*(1+F$162)/($A163-F$162)*(1+$A163)^-5)+$B$244*(SUMPRODUCT($C$117:$G$117,(1+$A163)^(-$C$118:$G$118))+$B$236*(1+$A163)^-5))*(1+$A163)^$B$253+$B$257+$B$259+$B$260+$B$261)*(1+$B$221)^$B$254/$B$264)</f>
        <v>48.2983948765331</v>
      </c>
      <c r="G163" s="302"/>
    </row>
    <row r="164" customFormat="false" ht="15" hidden="false" customHeight="true" outlineLevel="0" collapsed="false">
      <c r="A164" s="338" t="n">
        <f aca="false">A163+$B$161</f>
        <v>0.094922070010412</v>
      </c>
      <c r="B164" s="307" t="n">
        <f aca="false">IF($A164&lt;=B$162,"n.a.",(($B$243*(SUMPRODUCT($C$117:$G$117,(1+$A164)^(-$C$118:$G$118))+$G$117*(1+B$162)/($A164-B$162)*(1+$A164)^-5)+$B$244*(SUMPRODUCT($C$117:$G$117,(1+$A164)^(-$C$118:$G$118))+$B$236*(1+$A164)^-5))*(1+$A164)^$B$253+$B$257+$B$259+$B$260+$B$261)*(1+$B$221)^$B$254/$B$264)</f>
        <v>36.8038971446346</v>
      </c>
      <c r="C164" s="307" t="n">
        <f aca="false">IF($A164&lt;=C$162,"n.a.",(($B$243*(SUMPRODUCT($C$117:$G$117,(1+$A164)^(-$C$118:$G$118))+$G$117*(1+C$162)/($A164-C$162)*(1+$A164)^-5)+$B$244*(SUMPRODUCT($C$117:$G$117,(1+$A164)^(-$C$118:$G$118))+$B$236*(1+$A164)^-5))*(1+$A164)^$B$253+$B$257+$B$259+$B$260+$B$261)*(1+$B$221)^$B$254/$B$264)</f>
        <v>38.2712313550875</v>
      </c>
      <c r="D164" s="307" t="n">
        <f aca="false">IF($A164&lt;=D$162,"n.a.",(($B$243*(SUMPRODUCT($C$117:$G$117,(1+$A164)^(-$C$118:$G$118))+$G$117*(1+D$162)/($A164-D$162)*(1+$A164)^-5)+$B$244*(SUMPRODUCT($C$117:$G$117,(1+$A164)^(-$C$118:$G$118))+$B$236*(1+$A164)^-5))*(1+$A164)^$B$253+$B$257+$B$259+$B$260+$B$261)*(1+$B$221)^$B$254/$B$264)</f>
        <v>39.9834393174316</v>
      </c>
      <c r="E164" s="307" t="n">
        <f aca="false">IF($A164&lt;=E$162,"n.a.",(($B$243*(SUMPRODUCT($C$117:$G$117,(1+$A164)^(-$C$118:$G$118))+$G$117*(1+E$162)/($A164-E$162)*(1+$A164)^-5)+$B$244*(SUMPRODUCT($C$117:$G$117,(1+$A164)^(-$C$118:$G$118))+$B$236*(1+$A164)^-5))*(1+$A164)^$B$253+$B$257+$B$259+$B$260+$B$261)*(1+$B$221)^$B$254/$B$264)</f>
        <v>42.0073995429403</v>
      </c>
      <c r="F164" s="307" t="n">
        <f aca="false">IF($A164&lt;=F$162,"n.a.",(($B$243*(SUMPRODUCT($C$117:$G$117,(1+$A164)^(-$C$118:$G$118))+$G$117*(1+F$162)/($A164-F$162)*(1+$A164)^-5)+$B$244*(SUMPRODUCT($C$117:$G$117,(1+$A164)^(-$C$118:$G$118))+$B$236*(1+$A164)^-5))*(1+$A164)^$B$253+$B$257+$B$259+$B$260+$B$261)*(1+$B$221)^$B$254/$B$264)</f>
        <v>44.4367837072174</v>
      </c>
      <c r="G164" s="302"/>
    </row>
    <row r="165" customFormat="false" ht="15" hidden="false" customHeight="true" outlineLevel="0" collapsed="false">
      <c r="A165" s="338" t="n">
        <f aca="false">A164+$B$161</f>
        <v>0.0999220700104121</v>
      </c>
      <c r="B165" s="307" t="n">
        <f aca="false">IF($A165&lt;=B$162,"n.a.",(($B$243*(SUMPRODUCT($C$117:$G$117,(1+$A165)^(-$C$118:$G$118))+$G$117*(1+B$162)/($A165-B$162)*(1+$A165)^-5)+$B$244*(SUMPRODUCT($C$117:$G$117,(1+$A165)^(-$C$118:$G$118))+$B$236*(1+$A165)^-5))*(1+$A165)^$B$253+$B$257+$B$259+$B$260+$B$261)*(1+$B$221)^$B$254/$B$264)</f>
        <v>34.8478905991901</v>
      </c>
      <c r="C165" s="307" t="n">
        <f aca="false">IF($A165&lt;=C$162,"n.a.",(($B$243*(SUMPRODUCT($C$117:$G$117,(1+$A165)^(-$C$118:$G$118))+$G$117*(1+C$162)/($A165-C$162)*(1+$A165)^-5)+$B$244*(SUMPRODUCT($C$117:$G$117,(1+$A165)^(-$C$118:$G$118))+$B$236*(1+$A165)^-5))*(1+$A165)^$B$253+$B$257+$B$259+$B$260+$B$261)*(1+$B$221)^$B$254/$B$264)</f>
        <v>36.0992618152193</v>
      </c>
      <c r="D165" s="327" t="n">
        <f aca="false">IF($A165&lt;=D$162,"n.a.",(($B$243*(SUMPRODUCT($C$117:$G$117,(1+$A165)^(-$C$118:$G$118))+$G$117*(1+D$162)/($A165-D$162)*(1+$A165)^-5)+$B$244*(SUMPRODUCT($C$117:$G$117,(1+$A165)^(-$C$118:$G$118))+$B$236*(1+$A165)^-5))*(1+$A165)^$B$253+$B$257+$B$259+$B$260+$B$261)*(1+$B$221)^$B$254/$B$264)</f>
        <v>37.5433827719497</v>
      </c>
      <c r="E165" s="307" t="n">
        <f aca="false">IF($A165&lt;=E$162,"n.a.",(($B$243*(SUMPRODUCT($C$117:$G$117,(1+$A165)^(-$C$118:$G$118))+$G$117*(1+E$162)/($A165-E$162)*(1+$A165)^-5)+$B$244*(SUMPRODUCT($C$117:$G$117,(1+$A165)^(-$C$118:$G$118))+$B$236*(1+$A165)^-5))*(1+$A165)^$B$253+$B$257+$B$259+$B$260+$B$261)*(1+$B$221)^$B$254/$B$264)</f>
        <v>39.2285035733917</v>
      </c>
      <c r="F165" s="307" t="n">
        <f aca="false">IF($A165&lt;=F$162,"n.a.",(($B$243*(SUMPRODUCT($C$117:$G$117,(1+$A165)^(-$C$118:$G$118))+$G$117*(1+F$162)/($A165-F$162)*(1+$A165)^-5)+$B$244*(SUMPRODUCT($C$117:$G$117,(1+$A165)^(-$C$118:$G$118))+$B$236*(1+$A165)^-5))*(1+$A165)^$B$253+$B$257+$B$259+$B$260+$B$261)*(1+$B$221)^$B$254/$B$264)</f>
        <v>41.2204447115621</v>
      </c>
      <c r="G165" s="302"/>
    </row>
    <row r="166" customFormat="false" ht="15" hidden="false" customHeight="true" outlineLevel="0" collapsed="false">
      <c r="A166" s="338" t="n">
        <f aca="false">A165+$B$161</f>
        <v>0.104922070010412</v>
      </c>
      <c r="B166" s="307" t="n">
        <f aca="false">IF($A166&lt;=B$162,"n.a.",(($B$243*(SUMPRODUCT($C$117:$G$117,(1+$A166)^(-$C$118:$G$118))+$G$117*(1+B$162)/($A166-B$162)*(1+$A166)^-5)+$B$244*(SUMPRODUCT($C$117:$G$117,(1+$A166)^(-$C$118:$G$118))+$B$236*(1+$A166)^-5))*(1+$A166)^$B$253+$B$257+$B$259+$B$260+$B$261)*(1+$B$221)^$B$254/$B$264)</f>
        <v>33.1005622163873</v>
      </c>
      <c r="C166" s="307" t="n">
        <f aca="false">IF($A166&lt;=C$162,"n.a.",(($B$243*(SUMPRODUCT($C$117:$G$117,(1+$A166)^(-$C$118:$G$118))+$G$117*(1+C$162)/($A166-C$162)*(1+$A166)^-5)+$B$244*(SUMPRODUCT($C$117:$G$117,(1+$A166)^(-$C$118:$G$118))+$B$236*(1+$A166)^-5))*(1+$A166)^$B$253+$B$257+$B$259+$B$260+$B$261)*(1+$B$221)^$B$254/$B$264)</f>
        <v>34.1781177263577</v>
      </c>
      <c r="D166" s="307" t="n">
        <f aca="false">IF($A166&lt;=D$162,"n.a.",(($B$243*(SUMPRODUCT($C$117:$G$117,(1+$A166)^(-$C$118:$G$118))+$G$117*(1+D$162)/($A166-D$162)*(1+$A166)^-5)+$B$244*(SUMPRODUCT($C$117:$G$117,(1+$A166)^(-$C$118:$G$118))+$B$236*(1+$A166)^-5))*(1+$A166)^$B$253+$B$257+$B$259+$B$260+$B$261)*(1+$B$221)^$B$254/$B$264)</f>
        <v>35.4097813040398</v>
      </c>
      <c r="E166" s="307" t="n">
        <f aca="false">IF($A166&lt;=E$162,"n.a.",(($B$243*(SUMPRODUCT($C$117:$G$117,(1+$A166)^(-$C$118:$G$118))+$G$117*(1+E$162)/($A166-E$162)*(1+$A166)^-5)+$B$244*(SUMPRODUCT($C$117:$G$117,(1+$A166)^(-$C$118:$G$118))+$B$236*(1+$A166)^-5))*(1+$A166)^$B$253+$B$257+$B$259+$B$260+$B$261)*(1+$B$221)^$B$254/$B$264)</f>
        <v>36.831159038631</v>
      </c>
      <c r="F166" s="307" t="n">
        <f aca="false">IF($A166&lt;=F$162,"n.a.",(($B$243*(SUMPRODUCT($C$117:$G$117,(1+$A166)^(-$C$118:$G$118))+$G$117*(1+F$162)/($A166-F$162)*(1+$A166)^-5)+$B$244*(SUMPRODUCT($C$117:$G$117,(1+$A166)^(-$C$118:$G$118))+$B$236*(1+$A166)^-5))*(1+$A166)^$B$253+$B$257+$B$259+$B$260+$B$261)*(1+$B$221)^$B$254/$B$264)</f>
        <v>38.4897411512326</v>
      </c>
      <c r="G166" s="302"/>
    </row>
    <row r="167" customFormat="false" ht="15" hidden="false" customHeight="true" outlineLevel="0" collapsed="false">
      <c r="A167" s="338" t="n">
        <f aca="false">A166+$B$161</f>
        <v>0.109922070010412</v>
      </c>
      <c r="B167" s="307" t="n">
        <f aca="false">IF($A167&lt;=B$162,"n.a.",(($B$243*(SUMPRODUCT($C$117:$G$117,(1+$A167)^(-$C$118:$G$118))+$G$117*(1+B$162)/($A167-B$162)*(1+$A167)^-5)+$B$244*(SUMPRODUCT($C$117:$G$117,(1+$A167)^(-$C$118:$G$118))+$B$236*(1+$A167)^-5))*(1+$A167)^$B$253+$B$257+$B$259+$B$260+$B$261)*(1+$B$221)^$B$254/$B$264)</f>
        <v>31.5262772414256</v>
      </c>
      <c r="C167" s="307" t="n">
        <f aca="false">IF($A167&lt;=C$162,"n.a.",(($B$243*(SUMPRODUCT($C$117:$G$117,(1+$A167)^(-$C$118:$G$118))+$G$117*(1+C$162)/($A167-C$162)*(1+$A167)^-5)+$B$244*(SUMPRODUCT($C$117:$G$117,(1+$A167)^(-$C$118:$G$118))+$B$236*(1+$A167)^-5))*(1+$A167)^$B$253+$B$257+$B$259+$B$260+$B$261)*(1+$B$221)^$B$254/$B$264)</f>
        <v>32.4620403348152</v>
      </c>
      <c r="D167" s="307" t="n">
        <f aca="false">IF($A167&lt;=D$162,"n.a.",(($B$243*(SUMPRODUCT($C$117:$G$117,(1+$A167)^(-$C$118:$G$118))+$G$117*(1+D$162)/($A167-D$162)*(1+$A167)^-5)+$B$244*(SUMPRODUCT($C$117:$G$117,(1+$A167)^(-$C$118:$G$118))+$B$236*(1+$A167)^-5))*(1+$A167)^$B$253+$B$257+$B$259+$B$260+$B$261)*(1+$B$221)^$B$254/$B$264)</f>
        <v>33.5227016181852</v>
      </c>
      <c r="E167" s="307" t="n">
        <f aca="false">IF($A167&lt;=E$162,"n.a.",(($B$243*(SUMPRODUCT($C$117:$G$117,(1+$A167)^(-$C$118:$G$118))+$G$117*(1+E$162)/($A167-E$162)*(1+$A167)^-5)+$B$244*(SUMPRODUCT($C$117:$G$117,(1+$A167)^(-$C$118:$G$118))+$B$236*(1+$A167)^-5))*(1+$A167)^$B$253+$B$257+$B$259+$B$260+$B$261)*(1+$B$221)^$B$254/$B$264)</f>
        <v>34.7350548184582</v>
      </c>
      <c r="F167" s="307" t="n">
        <f aca="false">IF($A167&lt;=F$162,"n.a.",(($B$243*(SUMPRODUCT($C$117:$G$117,(1+$A167)^(-$C$118:$G$118))+$G$117*(1+F$162)/($A167-F$162)*(1+$A167)^-5)+$B$244*(SUMPRODUCT($C$117:$G$117,(1+$A167)^(-$C$118:$G$118))+$B$236*(1+$A167)^-5))*(1+$A167)^$B$253+$B$257+$B$259+$B$260+$B$261)*(1+$B$221)^$B$254/$B$264)</f>
        <v>36.1341477822782</v>
      </c>
      <c r="G167" s="302"/>
    </row>
    <row r="168" customFormat="false" ht="15" hidden="false" customHeight="true" outlineLevel="0" collapsed="false">
      <c r="A168" s="302" t="s">
        <v>1936</v>
      </c>
      <c r="B168" s="337" t="n">
        <f aca="false">D165-B265</f>
        <v>0</v>
      </c>
      <c r="C168" s="302"/>
      <c r="D168" s="302"/>
      <c r="E168" s="302"/>
      <c r="F168" s="302"/>
      <c r="G168" s="302"/>
    </row>
    <row r="169" customFormat="false" ht="15" hidden="false" customHeight="true" outlineLevel="0" collapsed="false">
      <c r="A169" s="298"/>
      <c r="B169" s="298"/>
      <c r="C169" s="298"/>
      <c r="D169" s="298"/>
      <c r="E169" s="298"/>
      <c r="F169" s="298"/>
      <c r="G169" s="298"/>
    </row>
    <row r="170" customFormat="false" ht="15" hidden="false" customHeight="true" outlineLevel="0" collapsed="false">
      <c r="A170" s="285" t="s">
        <v>1937</v>
      </c>
      <c r="B170" s="285" t="s">
        <v>1749</v>
      </c>
      <c r="C170" s="285" t="s">
        <v>1938</v>
      </c>
      <c r="D170" s="285" t="s">
        <v>1719</v>
      </c>
      <c r="E170" s="285" t="s">
        <v>1939</v>
      </c>
      <c r="F170" s="285" t="s">
        <v>1940</v>
      </c>
      <c r="G170" s="285" t="s">
        <v>1941</v>
      </c>
    </row>
    <row r="171" customFormat="false" ht="15" hidden="false" customHeight="false" outlineLevel="0" collapsed="false">
      <c r="A171" s="286" t="s">
        <v>1942</v>
      </c>
      <c r="B171" s="286" t="s">
        <v>1757</v>
      </c>
      <c r="C171" s="286" t="n">
        <v>4</v>
      </c>
      <c r="D171" s="286" t="s">
        <v>1943</v>
      </c>
      <c r="E171" s="286" t="s">
        <v>1944</v>
      </c>
      <c r="F171" s="286" t="s">
        <v>1442</v>
      </c>
      <c r="G171" s="286" t="n">
        <v>11</v>
      </c>
    </row>
    <row r="172" customFormat="false" ht="15" hidden="false" customHeight="false" outlineLevel="0" collapsed="false">
      <c r="A172" s="286" t="s">
        <v>1945</v>
      </c>
      <c r="B172" s="286" t="s">
        <v>1781</v>
      </c>
      <c r="C172" s="286" t="n">
        <v>3</v>
      </c>
      <c r="D172" s="286" t="s">
        <v>1943</v>
      </c>
      <c r="E172" s="286" t="s">
        <v>1944</v>
      </c>
      <c r="F172" s="286" t="s">
        <v>1761</v>
      </c>
      <c r="G172" s="286" t="n">
        <v>10</v>
      </c>
    </row>
    <row r="173" customFormat="false" ht="15" hidden="false" customHeight="false" outlineLevel="0" collapsed="false">
      <c r="A173" s="286" t="s">
        <v>1946</v>
      </c>
      <c r="B173" s="286" t="s">
        <v>1772</v>
      </c>
      <c r="C173" s="286" t="n">
        <v>5</v>
      </c>
      <c r="D173" s="286" t="s">
        <v>1943</v>
      </c>
      <c r="E173" s="286" t="s">
        <v>1948</v>
      </c>
      <c r="F173" s="286" t="s">
        <v>1442</v>
      </c>
      <c r="G173" s="286" t="n">
        <v>13</v>
      </c>
    </row>
    <row r="174" customFormat="false" ht="15" hidden="false" customHeight="false" outlineLevel="0" collapsed="false">
      <c r="A174" s="286" t="s">
        <v>1949</v>
      </c>
      <c r="B174" s="286" t="s">
        <v>1757</v>
      </c>
      <c r="C174" s="286" t="n">
        <v>3</v>
      </c>
      <c r="D174" s="286" t="s">
        <v>1950</v>
      </c>
      <c r="E174" s="286" t="s">
        <v>1944</v>
      </c>
      <c r="F174" s="286" t="s">
        <v>1442</v>
      </c>
      <c r="G174" s="286" t="n">
        <v>13</v>
      </c>
    </row>
    <row r="175" customFormat="false" ht="15" hidden="false" customHeight="false" outlineLevel="0" collapsed="false">
      <c r="A175" s="286" t="s">
        <v>1951</v>
      </c>
      <c r="B175" s="286" t="s">
        <v>1772</v>
      </c>
      <c r="C175" s="286" t="n">
        <v>3</v>
      </c>
      <c r="D175" s="286" t="s">
        <v>1950</v>
      </c>
      <c r="E175" s="286" t="s">
        <v>1948</v>
      </c>
      <c r="F175" s="286" t="s">
        <v>1442</v>
      </c>
      <c r="G175" s="286" t="n">
        <v>17</v>
      </c>
    </row>
    <row r="176" customFormat="false" ht="15" hidden="false" customHeight="false" outlineLevel="0" collapsed="false">
      <c r="A176" s="286" t="s">
        <v>1952</v>
      </c>
      <c r="B176" s="286" t="s">
        <v>1772</v>
      </c>
      <c r="C176" s="286" t="n">
        <v>3</v>
      </c>
      <c r="D176" s="286" t="s">
        <v>1943</v>
      </c>
      <c r="E176" s="286" t="s">
        <v>1944</v>
      </c>
      <c r="F176" s="286" t="s">
        <v>1953</v>
      </c>
      <c r="G176" s="286" t="s">
        <v>1954</v>
      </c>
    </row>
    <row r="177" customFormat="false" ht="15" hidden="false" customHeight="false" outlineLevel="0" collapsed="false">
      <c r="A177" s="286" t="s">
        <v>1955</v>
      </c>
      <c r="B177" s="286" t="s">
        <v>1772</v>
      </c>
      <c r="C177" s="286" t="n">
        <v>3</v>
      </c>
      <c r="D177" s="286" t="s">
        <v>1943</v>
      </c>
      <c r="E177" s="286" t="s">
        <v>1948</v>
      </c>
      <c r="F177" s="286" t="s">
        <v>1956</v>
      </c>
      <c r="G177" s="286" t="n">
        <v>125</v>
      </c>
    </row>
    <row r="178" customFormat="false" ht="15" hidden="false" customHeight="false" outlineLevel="0" collapsed="false">
      <c r="A178" s="286" t="s">
        <v>1957</v>
      </c>
      <c r="B178" s="286" t="s">
        <v>1772</v>
      </c>
      <c r="C178" s="286" t="n">
        <v>3</v>
      </c>
      <c r="D178" s="286" t="s">
        <v>1950</v>
      </c>
      <c r="E178" s="286" t="s">
        <v>1948</v>
      </c>
      <c r="F178" s="286" t="s">
        <v>1771</v>
      </c>
      <c r="G178" s="286" t="n">
        <v>35</v>
      </c>
    </row>
    <row r="179" customFormat="false" ht="15" hidden="false" customHeight="false" outlineLevel="0" collapsed="false">
      <c r="A179" s="286" t="s">
        <v>1958</v>
      </c>
      <c r="B179" s="286" t="s">
        <v>1772</v>
      </c>
      <c r="C179" s="286" t="n">
        <v>2</v>
      </c>
      <c r="D179" s="286" t="s">
        <v>1950</v>
      </c>
      <c r="E179" s="286" t="s">
        <v>1959</v>
      </c>
      <c r="F179" s="286" t="s">
        <v>5</v>
      </c>
      <c r="G179" s="286" t="n">
        <v>125</v>
      </c>
    </row>
    <row r="180" customFormat="false" ht="15" hidden="false" customHeight="false" outlineLevel="0" collapsed="false">
      <c r="A180" s="286" t="s">
        <v>1960</v>
      </c>
      <c r="B180" s="286" t="s">
        <v>1772</v>
      </c>
      <c r="C180" s="286" t="n">
        <v>4</v>
      </c>
      <c r="D180" s="286" t="s">
        <v>1943</v>
      </c>
      <c r="E180" s="286" t="s">
        <v>1959</v>
      </c>
      <c r="F180" s="286" t="s">
        <v>1442</v>
      </c>
      <c r="G180" s="286" t="n">
        <v>18</v>
      </c>
    </row>
    <row r="181" customFormat="false" ht="15" hidden="false" customHeight="false" outlineLevel="0" collapsed="false">
      <c r="A181" s="286" t="s">
        <v>1961</v>
      </c>
      <c r="B181" s="286" t="s">
        <v>1772</v>
      </c>
      <c r="C181" s="286" t="n">
        <v>3</v>
      </c>
      <c r="D181" s="286" t="s">
        <v>1943</v>
      </c>
      <c r="E181" s="286" t="s">
        <v>1944</v>
      </c>
      <c r="F181" s="286" t="s">
        <v>1442</v>
      </c>
      <c r="G181" s="286" t="n">
        <v>18</v>
      </c>
    </row>
    <row r="182" customFormat="false" ht="15" hidden="false" customHeight="false" outlineLevel="0" collapsed="false">
      <c r="A182" s="286" t="s">
        <v>1962</v>
      </c>
      <c r="B182" s="286" t="s">
        <v>1772</v>
      </c>
      <c r="C182" s="286" t="n">
        <v>2</v>
      </c>
      <c r="D182" s="286" t="s">
        <v>1943</v>
      </c>
      <c r="E182" s="286" t="s">
        <v>1948</v>
      </c>
      <c r="F182" s="286" t="s">
        <v>1771</v>
      </c>
      <c r="G182" s="286" t="n">
        <v>35</v>
      </c>
    </row>
    <row r="183" customFormat="false" ht="15" hidden="false" customHeight="false" outlineLevel="0" collapsed="false">
      <c r="A183" s="286" t="s">
        <v>1963</v>
      </c>
      <c r="B183" s="286" t="s">
        <v>1781</v>
      </c>
      <c r="C183" s="286" t="n">
        <v>4</v>
      </c>
      <c r="D183" s="286" t="s">
        <v>1943</v>
      </c>
      <c r="E183" s="286" t="s">
        <v>1964</v>
      </c>
      <c r="F183" s="286" t="s">
        <v>1965</v>
      </c>
      <c r="G183" s="286" t="s">
        <v>1966</v>
      </c>
    </row>
    <row r="184" customFormat="false" ht="15" hidden="false" customHeight="false" outlineLevel="0" collapsed="false">
      <c r="A184" s="286" t="s">
        <v>1967</v>
      </c>
      <c r="B184" s="286" t="s">
        <v>1772</v>
      </c>
      <c r="C184" s="286" t="n">
        <v>3</v>
      </c>
      <c r="D184" s="286" t="s">
        <v>1943</v>
      </c>
      <c r="E184" s="286" t="s">
        <v>1959</v>
      </c>
      <c r="F184" s="286" t="s">
        <v>1785</v>
      </c>
      <c r="G184" s="286" t="n">
        <v>33</v>
      </c>
    </row>
    <row r="185" customFormat="false" ht="15" hidden="false" customHeight="false" outlineLevel="0" collapsed="false">
      <c r="A185" s="286" t="s">
        <v>1968</v>
      </c>
      <c r="B185" s="286" t="s">
        <v>1772</v>
      </c>
      <c r="C185" s="286" t="n">
        <v>2</v>
      </c>
      <c r="D185" s="286" t="s">
        <v>1950</v>
      </c>
      <c r="E185" s="286" t="s">
        <v>1944</v>
      </c>
      <c r="F185" s="286" t="s">
        <v>1442</v>
      </c>
      <c r="G185" s="286" t="n">
        <v>21</v>
      </c>
    </row>
    <row r="186" customFormat="false" ht="15" hidden="false" customHeight="false" outlineLevel="0" collapsed="false">
      <c r="A186" s="286" t="s">
        <v>1969</v>
      </c>
      <c r="B186" s="286" t="s">
        <v>1772</v>
      </c>
      <c r="C186" s="286" t="n">
        <v>2</v>
      </c>
      <c r="D186" s="286" t="s">
        <v>1950</v>
      </c>
      <c r="E186" s="286" t="s">
        <v>1959</v>
      </c>
      <c r="F186" s="286" t="s">
        <v>1439</v>
      </c>
      <c r="G186" s="286" t="n">
        <v>52</v>
      </c>
    </row>
    <row r="187" customFormat="false" ht="15" hidden="false" customHeight="false" outlineLevel="0" collapsed="false">
      <c r="A187" s="286" t="s">
        <v>1970</v>
      </c>
      <c r="B187" s="286" t="s">
        <v>1757</v>
      </c>
      <c r="C187" s="286" t="n">
        <v>3</v>
      </c>
      <c r="D187" s="286" t="s">
        <v>1943</v>
      </c>
      <c r="E187" s="286" t="s">
        <v>1959</v>
      </c>
      <c r="F187" s="286" t="s">
        <v>1442</v>
      </c>
      <c r="G187" s="286" t="n">
        <v>19</v>
      </c>
    </row>
    <row r="188" customFormat="false" ht="15" hidden="false" customHeight="false" outlineLevel="0" collapsed="false">
      <c r="A188" s="286" t="s">
        <v>1971</v>
      </c>
      <c r="B188" s="286" t="s">
        <v>1772</v>
      </c>
      <c r="C188" s="286" t="n">
        <v>3</v>
      </c>
      <c r="D188" s="286" t="s">
        <v>1943</v>
      </c>
      <c r="E188" s="286" t="s">
        <v>1948</v>
      </c>
      <c r="F188" s="286" t="s">
        <v>1972</v>
      </c>
      <c r="G188" s="286" t="n">
        <v>34</v>
      </c>
    </row>
    <row r="189" customFormat="false" ht="15" hidden="false" customHeight="false" outlineLevel="0" collapsed="false">
      <c r="A189" s="286" t="s">
        <v>1973</v>
      </c>
      <c r="B189" s="286" t="s">
        <v>1772</v>
      </c>
      <c r="C189" s="286" t="n">
        <v>5</v>
      </c>
      <c r="D189" s="286" t="s">
        <v>1943</v>
      </c>
      <c r="E189" s="286" t="s">
        <v>1948</v>
      </c>
      <c r="F189" s="286" t="s">
        <v>1442</v>
      </c>
      <c r="G189" s="286" t="n">
        <v>15</v>
      </c>
    </row>
    <row r="190" customFormat="false" ht="15" hidden="false" customHeight="false" outlineLevel="0" collapsed="false">
      <c r="A190" s="286" t="s">
        <v>1974</v>
      </c>
      <c r="B190" s="286" t="s">
        <v>1772</v>
      </c>
      <c r="C190" s="286" t="n">
        <v>5</v>
      </c>
      <c r="D190" s="286" t="s">
        <v>1943</v>
      </c>
      <c r="E190" s="286" t="s">
        <v>1964</v>
      </c>
      <c r="F190" s="286" t="s">
        <v>1975</v>
      </c>
      <c r="G190" s="286" t="s">
        <v>1976</v>
      </c>
    </row>
    <row r="191" customFormat="false" ht="15" hidden="false" customHeight="false" outlineLevel="0" collapsed="false">
      <c r="A191" s="286" t="s">
        <v>1977</v>
      </c>
      <c r="B191" s="286" t="s">
        <v>1781</v>
      </c>
      <c r="C191" s="286" t="n">
        <v>4</v>
      </c>
      <c r="D191" s="286" t="s">
        <v>1943</v>
      </c>
      <c r="E191" s="286" t="s">
        <v>1978</v>
      </c>
      <c r="F191" s="286" t="s">
        <v>1979</v>
      </c>
      <c r="G191" s="286" t="s">
        <v>1980</v>
      </c>
    </row>
    <row r="192" customFormat="false" ht="15" hidden="false" customHeight="false" outlineLevel="0" collapsed="false">
      <c r="A192" s="286" t="s">
        <v>1981</v>
      </c>
      <c r="B192" s="286" t="s">
        <v>1781</v>
      </c>
      <c r="C192" s="286" t="n">
        <v>3</v>
      </c>
      <c r="D192" s="286" t="s">
        <v>1943</v>
      </c>
      <c r="E192" s="286" t="s">
        <v>1959</v>
      </c>
      <c r="F192" s="286" t="s">
        <v>1975</v>
      </c>
      <c r="G192" s="286" t="n">
        <v>16</v>
      </c>
    </row>
    <row r="193" customFormat="false" ht="15" hidden="false" customHeight="false" outlineLevel="0" collapsed="false">
      <c r="A193" s="286" t="s">
        <v>1982</v>
      </c>
      <c r="B193" s="286" t="s">
        <v>1781</v>
      </c>
      <c r="C193" s="286" t="n">
        <v>2</v>
      </c>
      <c r="D193" s="286" t="s">
        <v>1943</v>
      </c>
      <c r="E193" s="286" t="s">
        <v>1959</v>
      </c>
      <c r="F193" s="286" t="s">
        <v>1972</v>
      </c>
      <c r="G193" s="286" t="s">
        <v>1983</v>
      </c>
    </row>
    <row r="194" customFormat="false" ht="15" hidden="false" customHeight="false" outlineLevel="0" collapsed="false">
      <c r="A194" s="286" t="s">
        <v>1984</v>
      </c>
      <c r="B194" s="286" t="s">
        <v>1757</v>
      </c>
      <c r="C194" s="286" t="n">
        <v>2</v>
      </c>
      <c r="D194" s="286" t="s">
        <v>1943</v>
      </c>
      <c r="E194" s="286" t="s">
        <v>1959</v>
      </c>
      <c r="F194" s="286" t="s">
        <v>1827</v>
      </c>
      <c r="G194" s="286" t="n">
        <v>22</v>
      </c>
    </row>
    <row r="195" customFormat="false" ht="15" hidden="false" customHeight="false" outlineLevel="0" collapsed="false">
      <c r="A195" s="286" t="s">
        <v>1985</v>
      </c>
      <c r="B195" s="286" t="s">
        <v>1757</v>
      </c>
      <c r="C195" s="286" t="n">
        <v>2</v>
      </c>
      <c r="D195" s="286" t="s">
        <v>1950</v>
      </c>
      <c r="E195" s="286" t="s">
        <v>1978</v>
      </c>
      <c r="F195" s="286" t="s">
        <v>1972</v>
      </c>
      <c r="G195" s="286" t="n">
        <v>38</v>
      </c>
    </row>
    <row r="196" customFormat="false" ht="15" hidden="false" customHeight="false" outlineLevel="0" collapsed="false">
      <c r="A196" s="286" t="s">
        <v>1986</v>
      </c>
      <c r="B196" s="286" t="s">
        <v>1757</v>
      </c>
      <c r="C196" s="286" t="n">
        <v>4</v>
      </c>
      <c r="D196" s="286" t="s">
        <v>1943</v>
      </c>
      <c r="E196" s="286" t="s">
        <v>1948</v>
      </c>
      <c r="F196" s="286" t="s">
        <v>1972</v>
      </c>
      <c r="G196" s="286" t="n">
        <v>32</v>
      </c>
    </row>
    <row r="197" customFormat="false" ht="15" hidden="false" customHeight="false" outlineLevel="0" collapsed="false">
      <c r="A197" s="286" t="s">
        <v>1987</v>
      </c>
      <c r="B197" s="286" t="s">
        <v>1781</v>
      </c>
      <c r="C197" s="286" t="n">
        <v>3</v>
      </c>
      <c r="D197" s="286" t="s">
        <v>1943</v>
      </c>
      <c r="E197" s="286" t="s">
        <v>1948</v>
      </c>
      <c r="F197" s="286" t="s">
        <v>99</v>
      </c>
      <c r="G197" s="286" t="n">
        <v>47</v>
      </c>
    </row>
    <row r="198" customFormat="false" ht="15" hidden="false" customHeight="false" outlineLevel="0" collapsed="false">
      <c r="A198" s="286" t="s">
        <v>1988</v>
      </c>
      <c r="B198" s="286" t="s">
        <v>1772</v>
      </c>
      <c r="C198" s="286" t="n">
        <v>3</v>
      </c>
      <c r="D198" s="286" t="s">
        <v>1950</v>
      </c>
      <c r="E198" s="286" t="s">
        <v>1948</v>
      </c>
      <c r="F198" s="286" t="s">
        <v>1785</v>
      </c>
      <c r="G198" s="286" t="n">
        <v>36</v>
      </c>
    </row>
    <row r="199" customFormat="false" ht="15" hidden="false" customHeight="false" outlineLevel="0" collapsed="false">
      <c r="A199" s="286" t="s">
        <v>1989</v>
      </c>
      <c r="B199" s="286" t="s">
        <v>1772</v>
      </c>
      <c r="C199" s="286" t="n">
        <v>3</v>
      </c>
      <c r="D199" s="286" t="s">
        <v>1943</v>
      </c>
      <c r="E199" s="286" t="s">
        <v>1944</v>
      </c>
      <c r="F199" s="286" t="s">
        <v>1442</v>
      </c>
      <c r="G199" s="286" t="n">
        <v>17</v>
      </c>
    </row>
    <row r="200" customFormat="false" ht="15" hidden="false" customHeight="false" outlineLevel="0" collapsed="false">
      <c r="A200" s="286" t="s">
        <v>1990</v>
      </c>
      <c r="B200" s="286" t="s">
        <v>1772</v>
      </c>
      <c r="C200" s="286" t="n">
        <v>2</v>
      </c>
      <c r="D200" s="286" t="s">
        <v>1950</v>
      </c>
      <c r="E200" s="286" t="s">
        <v>1944</v>
      </c>
      <c r="F200" s="286" t="s">
        <v>1785</v>
      </c>
      <c r="G200" s="286" t="s">
        <v>1991</v>
      </c>
    </row>
    <row r="201" customFormat="false" ht="15" hidden="false" customHeight="true" outlineLevel="0" collapsed="false">
      <c r="A201" s="288"/>
      <c r="B201" s="288"/>
      <c r="C201" s="288"/>
      <c r="D201" s="288"/>
      <c r="E201" s="288"/>
      <c r="F201" s="288"/>
      <c r="G201" s="288"/>
    </row>
    <row r="202" customFormat="false" ht="15" hidden="false" customHeight="true" outlineLevel="0" collapsed="false">
      <c r="A202" s="288"/>
      <c r="B202" s="288"/>
      <c r="C202" s="288"/>
      <c r="D202" s="288"/>
      <c r="E202" s="288"/>
      <c r="F202" s="288"/>
      <c r="G202" s="288"/>
    </row>
    <row r="203" customFormat="false" ht="15" hidden="false" customHeight="true" outlineLevel="0" collapsed="false">
      <c r="A203" s="298"/>
      <c r="B203" s="298"/>
      <c r="C203" s="298"/>
      <c r="D203" s="298"/>
      <c r="E203" s="298"/>
      <c r="F203" s="298"/>
      <c r="G203" s="298"/>
    </row>
    <row r="204" customFormat="false" ht="15" hidden="false" customHeight="true" outlineLevel="0" collapsed="false">
      <c r="A204" s="298"/>
      <c r="B204" s="298"/>
      <c r="C204" s="298"/>
      <c r="D204" s="298"/>
      <c r="E204" s="298"/>
      <c r="F204" s="298"/>
      <c r="G204" s="298"/>
    </row>
    <row r="205" customFormat="false" ht="15" hidden="false" customHeight="true" outlineLevel="0" collapsed="false">
      <c r="A205" s="285" t="s">
        <v>1992</v>
      </c>
      <c r="B205" s="300" t="s">
        <v>78</v>
      </c>
      <c r="C205" s="300"/>
      <c r="D205" s="300"/>
      <c r="E205" s="300"/>
      <c r="F205" s="300"/>
      <c r="G205" s="300"/>
    </row>
    <row r="206" customFormat="false" ht="15" hidden="false" customHeight="false" outlineLevel="0" collapsed="false">
      <c r="A206" s="286" t="s">
        <v>1994</v>
      </c>
      <c r="B206" s="296" t="n">
        <f aca="false">C61+Escenarios!$L$15</f>
        <v>0.1</v>
      </c>
      <c r="C206" s="302"/>
      <c r="D206" s="302"/>
      <c r="E206" s="302"/>
      <c r="F206" s="302"/>
      <c r="G206" s="302"/>
    </row>
    <row r="207" customFormat="false" ht="15" hidden="false" customHeight="false" outlineLevel="0" collapsed="false">
      <c r="A207" s="286" t="s">
        <v>1995</v>
      </c>
      <c r="B207" s="296" t="n">
        <f aca="false">G55</f>
        <v>0.288010101095701</v>
      </c>
      <c r="C207" s="302"/>
      <c r="D207" s="302"/>
      <c r="E207" s="302"/>
      <c r="F207" s="302"/>
      <c r="G207" s="302"/>
    </row>
    <row r="208" customFormat="false" ht="15" hidden="false" customHeight="false" outlineLevel="0" collapsed="false">
      <c r="A208" s="286" t="s">
        <v>1996</v>
      </c>
      <c r="B208" s="296" t="n">
        <f aca="false">B206*(1-B207)</f>
        <v>0.0711989898904299</v>
      </c>
      <c r="C208" s="302"/>
      <c r="D208" s="302"/>
      <c r="E208" s="302"/>
      <c r="F208" s="302"/>
      <c r="G208" s="302"/>
    </row>
    <row r="209" customFormat="false" ht="15" hidden="false" customHeight="false" outlineLevel="0" collapsed="false">
      <c r="A209" s="286" t="s">
        <v>1997</v>
      </c>
      <c r="B209" s="297" t="n">
        <f aca="false">B91+B92</f>
        <v>23618</v>
      </c>
      <c r="C209" s="302"/>
      <c r="D209" s="302"/>
      <c r="E209" s="302"/>
      <c r="F209" s="302"/>
      <c r="G209" s="302"/>
    </row>
    <row r="210" customFormat="false" ht="15" hidden="false" customHeight="false" outlineLevel="0" collapsed="false">
      <c r="A210" s="286" t="s">
        <v>1998</v>
      </c>
      <c r="B210" s="296" t="n">
        <f aca="false">WACC!B5+Escenarios!$L$14</f>
        <v>0.09517</v>
      </c>
      <c r="C210" s="302"/>
      <c r="D210" s="302"/>
      <c r="E210" s="302"/>
      <c r="F210" s="302"/>
      <c r="G210" s="302"/>
    </row>
    <row r="211" customFormat="false" ht="15" hidden="false" customHeight="false" outlineLevel="0" collapsed="false">
      <c r="A211" s="286" t="s">
        <v>1999</v>
      </c>
      <c r="B211" s="296" t="n">
        <f aca="false">WACC!B8</f>
        <v>0.0423</v>
      </c>
      <c r="C211" s="302"/>
      <c r="D211" s="302"/>
      <c r="E211" s="302"/>
      <c r="F211" s="302"/>
      <c r="G211" s="302"/>
    </row>
    <row r="212" customFormat="false" ht="15" hidden="false" customHeight="false" outlineLevel="0" collapsed="false">
      <c r="A212" s="286" t="s">
        <v>2700</v>
      </c>
      <c r="B212" s="337" t="n">
        <f aca="false">Escenarios!$L$16</f>
        <v>0.269890009304152</v>
      </c>
      <c r="C212" s="302"/>
      <c r="D212" s="302"/>
      <c r="E212" s="302"/>
      <c r="F212" s="302"/>
      <c r="G212" s="302"/>
    </row>
    <row r="213" customFormat="false" ht="15" hidden="false" customHeight="false" outlineLevel="0" collapsed="false">
      <c r="A213" s="285" t="s">
        <v>2001</v>
      </c>
      <c r="B213" s="300" t="s">
        <v>2002</v>
      </c>
      <c r="C213" s="300" t="s">
        <v>2003</v>
      </c>
      <c r="D213" s="300" t="s">
        <v>1412</v>
      </c>
      <c r="E213" s="300" t="s">
        <v>2004</v>
      </c>
      <c r="F213" s="300" t="s">
        <v>2005</v>
      </c>
      <c r="G213" s="300" t="s">
        <v>2006</v>
      </c>
    </row>
    <row r="214" customFormat="false" ht="15" hidden="false" customHeight="false" outlineLevel="0" collapsed="false">
      <c r="A214" s="286" t="s">
        <v>2007</v>
      </c>
      <c r="B214" s="296" t="n">
        <f aca="false">WACC!B33</f>
        <v>0.100615773284249</v>
      </c>
      <c r="C214" s="297" t="n">
        <f aca="false">SUMPRODUCT($C$117:$G$117,(1+B214)^(-$C$118:$G$118))+$G$117*(1+$B$123)/(B214-$B$123)*(1+B214)^-5+$B$141+$B$142+$B$143</f>
        <v>72076.3632308033</v>
      </c>
      <c r="D214" s="304" t="n">
        <f aca="false">$B$209/C214</f>
        <v>0.327680239975071</v>
      </c>
      <c r="E214" s="304" t="n">
        <f aca="false">$B$212*(1+(1-$B$207)*D214)</f>
        <v>0.332856703574408</v>
      </c>
      <c r="F214" s="296" t="n">
        <f aca="false">$B$210+E214*$B$211</f>
        <v>0.109249838561197</v>
      </c>
      <c r="G214" s="296" t="n">
        <f aca="false">C214/(C214+$B$209)*F214+$B$209/(C214+$B$209)*$B$208</f>
        <v>0.0998586381438994</v>
      </c>
    </row>
    <row r="215" customFormat="false" ht="15" hidden="false" customHeight="false" outlineLevel="0" collapsed="false">
      <c r="A215" s="286" t="n">
        <v>1</v>
      </c>
      <c r="B215" s="296" t="n">
        <f aca="false">G214</f>
        <v>0.0998586381438994</v>
      </c>
      <c r="C215" s="297" t="n">
        <f aca="false">SUMPRODUCT($C$117:$G$117,(1+B215)^(-$C$118:$G$118))+$G$117*(1+$B$123)/(B215-$B$123)*(1+B215)^-5+$B$141+$B$142+$B$143</f>
        <v>73071.4504726087</v>
      </c>
      <c r="D215" s="304" t="n">
        <f aca="false">$B$209/C215</f>
        <v>0.323217889438959</v>
      </c>
      <c r="E215" s="304" t="n">
        <f aca="false">$B$212*(1+(1-$B$207)*D215)</f>
        <v>0.331999222934271</v>
      </c>
      <c r="F215" s="296" t="n">
        <f aca="false">$B$210+E215*$B$211</f>
        <v>0.10921356713012</v>
      </c>
      <c r="G215" s="296" t="n">
        <f aca="false">C215/(C215+$B$209)*F215+$B$209/(C215+$B$209)*$B$208</f>
        <v>0.0999278769037455</v>
      </c>
    </row>
    <row r="216" customFormat="false" ht="15" hidden="false" customHeight="false" outlineLevel="0" collapsed="false">
      <c r="A216" s="286" t="n">
        <v>2</v>
      </c>
      <c r="B216" s="296" t="n">
        <f aca="false">G215</f>
        <v>0.0999278769037455</v>
      </c>
      <c r="C216" s="297" t="n">
        <f aca="false">SUMPRODUCT($C$117:$G$117,(1+B216)^(-$C$118:$G$118))+$G$117*(1+$B$123)/(B216-$B$123)*(1+B216)^-5+$B$141+$B$142+$B$143</f>
        <v>72979.4889504461</v>
      </c>
      <c r="D216" s="304" t="n">
        <f aca="false">$B$209/C216</f>
        <v>0.323625176603208</v>
      </c>
      <c r="E216" s="304" t="n">
        <f aca="false">$B$212*(1+(1-$B$207)*D216)</f>
        <v>0.332077486812353</v>
      </c>
      <c r="F216" s="296" t="n">
        <f aca="false">$B$210+E216*$B$211</f>
        <v>0.109216877692163</v>
      </c>
      <c r="G216" s="296" t="n">
        <f aca="false">C216/(C216+$B$209)*F216+$B$209/(C216+$B$209)*$B$208</f>
        <v>0.099921537990714</v>
      </c>
    </row>
    <row r="217" customFormat="false" ht="15" hidden="false" customHeight="false" outlineLevel="0" collapsed="false">
      <c r="A217" s="286" t="n">
        <v>3</v>
      </c>
      <c r="B217" s="296" t="n">
        <f aca="false">G216</f>
        <v>0.099921537990714</v>
      </c>
      <c r="C217" s="297" t="n">
        <f aca="false">SUMPRODUCT($C$117:$G$117,(1+B217)^(-$C$118:$G$118))+$G$117*(1+$B$123)/(B217-$B$123)*(1+B217)^-5+$B$141+$B$142+$B$143</f>
        <v>72987.9000237279</v>
      </c>
      <c r="D217" s="304" t="n">
        <f aca="false">$B$209/C217</f>
        <v>0.323587882269828</v>
      </c>
      <c r="E217" s="304" t="n">
        <f aca="false">$B$212*(1+(1-$B$207)*D217)</f>
        <v>0.33207032037202</v>
      </c>
      <c r="F217" s="296" t="n">
        <f aca="false">$B$210+E217*$B$211</f>
        <v>0.109216574551736</v>
      </c>
      <c r="G217" s="296" t="n">
        <f aca="false">C217/(C217+$B$209)*F217+$B$209/(C217+$B$209)*$B$208</f>
        <v>0.0999221182679049</v>
      </c>
    </row>
    <row r="218" customFormat="false" ht="15" hidden="false" customHeight="false" outlineLevel="0" collapsed="false">
      <c r="A218" s="286" t="n">
        <v>4</v>
      </c>
      <c r="B218" s="296" t="n">
        <f aca="false">G217</f>
        <v>0.0999221182679049</v>
      </c>
      <c r="C218" s="297" t="n">
        <f aca="false">SUMPRODUCT($C$117:$G$117,(1+B218)^(-$C$118:$G$118))+$G$117*(1+$B$123)/(B218-$B$123)*(1+B218)^-5+$B$141+$B$142+$B$143</f>
        <v>72987.1299885292</v>
      </c>
      <c r="D218" s="304" t="n">
        <f aca="false">$B$209/C218</f>
        <v>0.323591296214988</v>
      </c>
      <c r="E218" s="304" t="n">
        <f aca="false">$B$212*(1+(1-$B$207)*D218)</f>
        <v>0.332070976392174</v>
      </c>
      <c r="F218" s="296" t="n">
        <f aca="false">$B$210+E218*$B$211</f>
        <v>0.109216602301389</v>
      </c>
      <c r="G218" s="296" t="n">
        <f aca="false">C218/(C218+$B$209)*F218+$B$209/(C218+$B$209)*$B$208</f>
        <v>0.0999220651476307</v>
      </c>
    </row>
    <row r="219" customFormat="false" ht="15" hidden="false" customHeight="false" outlineLevel="0" collapsed="false">
      <c r="A219" s="286" t="n">
        <v>5</v>
      </c>
      <c r="B219" s="296" t="n">
        <f aca="false">G218</f>
        <v>0.0999220651476307</v>
      </c>
      <c r="C219" s="297" t="n">
        <f aca="false">SUMPRODUCT($C$117:$G$117,(1+B219)^(-$C$118:$G$118))+$G$117*(1+$B$123)/(B219-$B$123)*(1+B219)^-5+$B$141+$B$142+$B$143</f>
        <v>72987.2004792361</v>
      </c>
      <c r="D219" s="304" t="n">
        <f aca="false">$B$209/C219</f>
        <v>0.323590983691983</v>
      </c>
      <c r="E219" s="304" t="n">
        <f aca="false">$B$212*(1+(1-$B$207)*D219)</f>
        <v>0.332070916338078</v>
      </c>
      <c r="F219" s="296" t="n">
        <f aca="false">$B$210+E219*$B$211</f>
        <v>0.109216599761101</v>
      </c>
      <c r="G219" s="296" t="n">
        <f aca="false">C219/(C219+$B$209)*F219+$B$209/(C219+$B$209)*$B$208</f>
        <v>0.099922070010412</v>
      </c>
    </row>
    <row r="220" customFormat="false" ht="15" hidden="false" customHeight="false" outlineLevel="0" collapsed="false">
      <c r="A220" s="285" t="s">
        <v>2008</v>
      </c>
      <c r="B220" s="338" t="n">
        <f aca="false">G219</f>
        <v>0.099922070010412</v>
      </c>
      <c r="C220" s="300"/>
      <c r="D220" s="300"/>
      <c r="E220" s="300"/>
      <c r="F220" s="300"/>
      <c r="G220" s="300"/>
    </row>
    <row r="221" customFormat="false" ht="15" hidden="false" customHeight="false" outlineLevel="0" collapsed="false">
      <c r="A221" s="285" t="s">
        <v>2009</v>
      </c>
      <c r="B221" s="338" t="n">
        <f aca="false">F219</f>
        <v>0.109216599761101</v>
      </c>
      <c r="C221" s="300"/>
      <c r="D221" s="300"/>
      <c r="E221" s="300"/>
      <c r="F221" s="300"/>
      <c r="G221" s="300"/>
    </row>
    <row r="222" customFormat="false" ht="15" hidden="false" customHeight="false" outlineLevel="0" collapsed="false">
      <c r="A222" s="286" t="s">
        <v>2010</v>
      </c>
      <c r="B222" s="337" t="n">
        <f aca="false">(G219-G218)*10000</f>
        <v>4.86278137201701E-005</v>
      </c>
      <c r="C222" s="303"/>
      <c r="D222" s="303"/>
      <c r="E222" s="303"/>
      <c r="F222" s="303"/>
      <c r="G222" s="303"/>
    </row>
    <row r="223" customFormat="false" ht="15" hidden="false" customHeight="false" outlineLevel="0" collapsed="false">
      <c r="A223" s="339"/>
      <c r="B223" s="339"/>
      <c r="C223" s="339"/>
      <c r="D223" s="339"/>
      <c r="E223" s="339"/>
      <c r="F223" s="339"/>
      <c r="G223" s="339"/>
    </row>
    <row r="224" customFormat="false" ht="15" hidden="false" customHeight="false" outlineLevel="0" collapsed="false">
      <c r="A224" s="339"/>
      <c r="B224" s="339"/>
      <c r="C224" s="339"/>
      <c r="D224" s="339"/>
      <c r="E224" s="339"/>
      <c r="F224" s="339"/>
      <c r="G224" s="339"/>
    </row>
    <row r="225" customFormat="false" ht="15" hidden="false" customHeight="false" outlineLevel="0" collapsed="false">
      <c r="A225" s="285" t="s">
        <v>2011</v>
      </c>
      <c r="B225" s="300" t="s">
        <v>1</v>
      </c>
      <c r="C225" s="300" t="s">
        <v>2</v>
      </c>
      <c r="D225" s="300" t="s">
        <v>3</v>
      </c>
      <c r="E225" s="300" t="s">
        <v>4</v>
      </c>
      <c r="F225" s="300"/>
      <c r="G225" s="300"/>
    </row>
    <row r="226" customFormat="false" ht="15" hidden="false" customHeight="false" outlineLevel="0" collapsed="false">
      <c r="A226" s="286" t="s">
        <v>1409</v>
      </c>
      <c r="B226" s="297" t="n">
        <f aca="false">WACC!B18</f>
        <v>59580</v>
      </c>
      <c r="C226" s="297" t="n">
        <f aca="false">WACC!C18</f>
        <v>813622.604529617</v>
      </c>
      <c r="D226" s="297" t="n">
        <f aca="false">WACC!D18</f>
        <v>89246.0254200776</v>
      </c>
      <c r="E226" s="297" t="n">
        <f aca="false">WACC!E18</f>
        <v>34190</v>
      </c>
      <c r="F226" s="303"/>
      <c r="G226" s="303"/>
    </row>
    <row r="227" customFormat="false" ht="15" hidden="false" customHeight="false" outlineLevel="0" collapsed="false">
      <c r="A227" s="286" t="s">
        <v>2013</v>
      </c>
      <c r="B227" s="297" t="n">
        <f aca="false">WACC!B21</f>
        <v>23618</v>
      </c>
      <c r="C227" s="297" t="n">
        <f aca="false">WACC!C21</f>
        <v>80848.1</v>
      </c>
      <c r="D227" s="297" t="n">
        <f aca="false">WACC!D21</f>
        <v>56744.34</v>
      </c>
      <c r="E227" s="297" t="n">
        <f aca="false">WACC!E21</f>
        <v>2441.8</v>
      </c>
      <c r="F227" s="303"/>
      <c r="G227" s="303"/>
    </row>
    <row r="228" customFormat="false" ht="15" hidden="false" customHeight="false" outlineLevel="0" collapsed="false">
      <c r="A228" s="286" t="s">
        <v>2701</v>
      </c>
      <c r="B228" s="297" t="n">
        <f aca="false">-WACC!B22</f>
        <v>-9295</v>
      </c>
      <c r="C228" s="297" t="n">
        <f aca="false">-WACC!C22</f>
        <v>-28591.2</v>
      </c>
      <c r="D228" s="297" t="n">
        <f aca="false">-WACC!D22</f>
        <v>-14640.16</v>
      </c>
      <c r="E228" s="297" t="n">
        <f aca="false">-WACC!E22</f>
        <v>-2962.8</v>
      </c>
      <c r="F228" s="303"/>
      <c r="G228" s="303"/>
    </row>
    <row r="229" customFormat="false" ht="15" hidden="false" customHeight="false" outlineLevel="0" collapsed="false">
      <c r="A229" s="286" t="s">
        <v>2015</v>
      </c>
      <c r="B229" s="297" t="n">
        <f aca="false">SUM(B226:B228)</f>
        <v>73903</v>
      </c>
      <c r="C229" s="297" t="n">
        <f aca="false">SUM(C226:C228)</f>
        <v>865879.504529617</v>
      </c>
      <c r="D229" s="297" t="n">
        <f aca="false">SUM(D226:D228)</f>
        <v>131350.205420078</v>
      </c>
      <c r="E229" s="297" t="n">
        <f aca="false">SUM(E226:E228)</f>
        <v>33669</v>
      </c>
      <c r="F229" s="303"/>
      <c r="G229" s="303"/>
    </row>
    <row r="230" customFormat="false" ht="15" hidden="false" customHeight="false" outlineLevel="0" collapsed="false">
      <c r="A230" s="286" t="s">
        <v>2016</v>
      </c>
      <c r="B230" s="297" t="n">
        <f aca="false">Datos!G9+Datos!G14</f>
        <v>11894</v>
      </c>
      <c r="C230" s="297" t="n">
        <f aca="false">Datos!G35+Datos!G40</f>
        <v>103446.9</v>
      </c>
      <c r="D230" s="297" t="n">
        <f aca="false">Datos!G61+Datos!G66</f>
        <v>24391.15</v>
      </c>
      <c r="E230" s="297" t="n">
        <f aca="false">Datos!G87+Datos!G92</f>
        <v>5214.81481788325</v>
      </c>
      <c r="F230" s="303"/>
      <c r="G230" s="303"/>
    </row>
    <row r="231" customFormat="false" ht="15" hidden="false" customHeight="false" outlineLevel="0" collapsed="false">
      <c r="A231" s="285" t="s">
        <v>2017</v>
      </c>
      <c r="B231" s="340" t="n">
        <f aca="false">B229/B230</f>
        <v>6.21346897595426</v>
      </c>
      <c r="C231" s="340" t="n">
        <f aca="false">C229/C230</f>
        <v>8.37027986850855</v>
      </c>
      <c r="D231" s="340" t="n">
        <f aca="false">D229/D230</f>
        <v>5.38515836358997</v>
      </c>
      <c r="E231" s="340" t="n">
        <f aca="false">E229/E230</f>
        <v>6.45641334847373</v>
      </c>
      <c r="F231" s="341"/>
      <c r="G231" s="341"/>
    </row>
    <row r="232" customFormat="false" ht="15" hidden="false" customHeight="false" outlineLevel="0" collapsed="false">
      <c r="A232" s="286" t="s">
        <v>2018</v>
      </c>
      <c r="B232" s="342" t="n">
        <f aca="false">MEDIAN(C231:E231)</f>
        <v>6.45641334847373</v>
      </c>
      <c r="C232" s="302"/>
      <c r="D232" s="302"/>
      <c r="E232" s="302"/>
      <c r="F232" s="302"/>
      <c r="G232" s="302"/>
    </row>
    <row r="233" customFormat="false" ht="15" hidden="false" customHeight="false" outlineLevel="0" collapsed="false">
      <c r="A233" s="286" t="s">
        <v>2702</v>
      </c>
      <c r="B233" s="296" t="n">
        <v>0.1</v>
      </c>
      <c r="C233" s="302"/>
      <c r="D233" s="302"/>
      <c r="E233" s="302"/>
      <c r="F233" s="302"/>
      <c r="G233" s="302"/>
    </row>
    <row r="234" customFormat="false" ht="15" hidden="false" customHeight="false" outlineLevel="0" collapsed="false">
      <c r="A234" s="286" t="s">
        <v>2020</v>
      </c>
      <c r="B234" s="342" t="n">
        <f aca="false">B232*(1-B233)</f>
        <v>5.81077201362635</v>
      </c>
      <c r="C234" s="302"/>
      <c r="D234" s="302"/>
      <c r="E234" s="302"/>
      <c r="F234" s="302"/>
      <c r="G234" s="302"/>
    </row>
    <row r="235" customFormat="false" ht="15" hidden="false" customHeight="false" outlineLevel="0" collapsed="false">
      <c r="A235" s="286" t="s">
        <v>2021</v>
      </c>
      <c r="B235" s="297" t="n">
        <f aca="false">G71</f>
        <v>12256.047209706</v>
      </c>
      <c r="C235" s="302"/>
      <c r="D235" s="302"/>
      <c r="E235" s="302"/>
      <c r="F235" s="302"/>
      <c r="G235" s="302"/>
    </row>
    <row r="236" customFormat="false" ht="15" hidden="false" customHeight="false" outlineLevel="0" collapsed="false">
      <c r="A236" s="285" t="s">
        <v>2022</v>
      </c>
      <c r="B236" s="301" t="n">
        <f aca="false">B234*B235</f>
        <v>71217.0961238431</v>
      </c>
      <c r="C236" s="302"/>
      <c r="D236" s="302"/>
      <c r="E236" s="302"/>
      <c r="F236" s="302"/>
      <c r="G236" s="302"/>
    </row>
    <row r="237" customFormat="false" ht="15" hidden="false" customHeight="false" outlineLevel="0" collapsed="false">
      <c r="A237" s="286" t="s">
        <v>2023</v>
      </c>
      <c r="B237" s="297" t="n">
        <f aca="false">B236*G119</f>
        <v>44235.8808829203</v>
      </c>
      <c r="C237" s="302"/>
      <c r="D237" s="302"/>
      <c r="E237" s="302"/>
      <c r="F237" s="302"/>
      <c r="G237" s="302"/>
    </row>
    <row r="238" customFormat="false" ht="15" hidden="false" customHeight="false" outlineLevel="0" collapsed="false">
      <c r="A238" s="285" t="s">
        <v>2024</v>
      </c>
      <c r="B238" s="301" t="n">
        <f aca="false">B134+B237</f>
        <v>68112.6134291292</v>
      </c>
      <c r="C238" s="302"/>
      <c r="D238" s="302"/>
      <c r="E238" s="302"/>
      <c r="F238" s="302"/>
      <c r="G238" s="302"/>
    </row>
    <row r="239" customFormat="false" ht="15" hidden="false" customHeight="false" outlineLevel="0" collapsed="false">
      <c r="A239" s="286" t="s">
        <v>2025</v>
      </c>
      <c r="B239" s="297" t="n">
        <f aca="false">B238-B144</f>
        <v>53789.6134291292</v>
      </c>
      <c r="C239" s="302"/>
      <c r="D239" s="302"/>
      <c r="E239" s="302"/>
      <c r="F239" s="302"/>
      <c r="G239" s="302"/>
    </row>
    <row r="240" customFormat="false" ht="15" hidden="false" customHeight="false" outlineLevel="0" collapsed="false">
      <c r="A240" s="285" t="s">
        <v>2026</v>
      </c>
      <c r="B240" s="306" t="n">
        <f aca="false">B239/B149</f>
        <v>29.8831185717384</v>
      </c>
      <c r="C240" s="302"/>
      <c r="D240" s="302"/>
      <c r="E240" s="302"/>
      <c r="F240" s="302"/>
      <c r="G240" s="302"/>
    </row>
    <row r="241" customFormat="false" ht="15" hidden="false" customHeight="false" outlineLevel="0" collapsed="false">
      <c r="A241" s="286" t="s">
        <v>2027</v>
      </c>
      <c r="B241" s="342" t="n">
        <f aca="false">B129/G71</f>
        <v>8.33254306999322</v>
      </c>
      <c r="C241" s="302"/>
      <c r="D241" s="302"/>
      <c r="E241" s="302"/>
      <c r="F241" s="302"/>
      <c r="G241" s="302"/>
    </row>
    <row r="242" customFormat="false" ht="15" hidden="false" customHeight="false" outlineLevel="0" collapsed="false">
      <c r="A242" s="286" t="s">
        <v>2028</v>
      </c>
      <c r="B242" s="296" t="n">
        <f aca="false">(B236*B126-B127)/(B236+B127)</f>
        <v>0.00915014862121066</v>
      </c>
      <c r="C242" s="302"/>
      <c r="D242" s="302"/>
      <c r="E242" s="302"/>
      <c r="F242" s="302"/>
      <c r="G242" s="302"/>
    </row>
    <row r="243" customFormat="false" ht="15" hidden="false" customHeight="false" outlineLevel="0" collapsed="false">
      <c r="A243" s="286" t="s">
        <v>2029</v>
      </c>
      <c r="B243" s="296" t="n">
        <v>0.5</v>
      </c>
      <c r="C243" s="302"/>
      <c r="D243" s="302"/>
      <c r="E243" s="302"/>
      <c r="F243" s="302"/>
      <c r="G243" s="302"/>
    </row>
    <row r="244" customFormat="false" ht="15" hidden="false" customHeight="false" outlineLevel="0" collapsed="false">
      <c r="A244" s="286" t="s">
        <v>2030</v>
      </c>
      <c r="B244" s="296" t="n">
        <f aca="false">1-B243</f>
        <v>0.5</v>
      </c>
      <c r="C244" s="302"/>
      <c r="D244" s="302"/>
      <c r="E244" s="302"/>
      <c r="F244" s="302"/>
      <c r="G244" s="302"/>
    </row>
    <row r="245" customFormat="false" ht="15" hidden="false" customHeight="false" outlineLevel="0" collapsed="false">
      <c r="A245" s="286" t="s">
        <v>2031</v>
      </c>
      <c r="B245" s="297" t="n">
        <f aca="false">B243*B136+B244*B238</f>
        <v>77711.4037277201</v>
      </c>
      <c r="C245" s="302"/>
      <c r="D245" s="302"/>
      <c r="E245" s="302"/>
      <c r="F245" s="302"/>
      <c r="G245" s="302"/>
    </row>
    <row r="246" customFormat="false" ht="15" hidden="false" customHeight="false" outlineLevel="0" collapsed="false">
      <c r="A246" s="285" t="s">
        <v>2032</v>
      </c>
      <c r="B246" s="306" t="n">
        <f aca="false">B243*B150+B244*B240</f>
        <v>35.2157798487334</v>
      </c>
      <c r="C246" s="302"/>
      <c r="D246" s="302"/>
      <c r="E246" s="302"/>
      <c r="F246" s="302"/>
      <c r="G246" s="302"/>
    </row>
    <row r="247" customFormat="false" ht="15" hidden="false" customHeight="false" outlineLevel="0" collapsed="false">
      <c r="A247" s="339"/>
      <c r="B247" s="339"/>
      <c r="C247" s="339"/>
      <c r="D247" s="339"/>
      <c r="E247" s="339"/>
      <c r="F247" s="339"/>
      <c r="G247" s="339"/>
    </row>
    <row r="248" customFormat="false" ht="15" hidden="false" customHeight="false" outlineLevel="0" collapsed="false">
      <c r="A248" s="339"/>
      <c r="B248" s="339"/>
      <c r="C248" s="339"/>
      <c r="D248" s="339"/>
      <c r="E248" s="339"/>
      <c r="F248" s="339"/>
      <c r="G248" s="339"/>
    </row>
    <row r="249" customFormat="false" ht="15" hidden="false" customHeight="false" outlineLevel="0" collapsed="false">
      <c r="A249" s="285" t="s">
        <v>2033</v>
      </c>
      <c r="B249" s="300" t="s">
        <v>78</v>
      </c>
      <c r="C249" s="300"/>
      <c r="D249" s="300"/>
      <c r="E249" s="300"/>
      <c r="F249" s="300"/>
      <c r="G249" s="300"/>
    </row>
    <row r="250" customFormat="false" ht="15" hidden="false" customHeight="false" outlineLevel="0" collapsed="false">
      <c r="A250" s="286" t="s">
        <v>2035</v>
      </c>
      <c r="B250" s="343" t="n">
        <f aca="false">DATE(2025,12,31)</f>
        <v>46022</v>
      </c>
      <c r="C250" s="302"/>
      <c r="D250" s="302"/>
      <c r="E250" s="302"/>
      <c r="F250" s="302"/>
      <c r="G250" s="302"/>
    </row>
    <row r="251" customFormat="false" ht="15" hidden="false" customHeight="false" outlineLevel="0" collapsed="false">
      <c r="A251" s="286" t="s">
        <v>2036</v>
      </c>
      <c r="B251" s="343" t="n">
        <f aca="false">DATE(2026,6,30)</f>
        <v>46203</v>
      </c>
      <c r="C251" s="302"/>
      <c r="D251" s="302"/>
      <c r="E251" s="302"/>
      <c r="F251" s="302"/>
      <c r="G251" s="302"/>
    </row>
    <row r="252" customFormat="false" ht="15" hidden="false" customHeight="false" outlineLevel="0" collapsed="false">
      <c r="A252" s="286" t="s">
        <v>2037</v>
      </c>
      <c r="B252" s="343" t="n">
        <f aca="false">Rendimientos!H10</f>
        <v>46302</v>
      </c>
      <c r="C252" s="302"/>
      <c r="D252" s="302"/>
      <c r="E252" s="302"/>
      <c r="F252" s="302"/>
      <c r="G252" s="302"/>
    </row>
    <row r="253" customFormat="false" ht="15" hidden="false" customHeight="false" outlineLevel="0" collapsed="false">
      <c r="A253" s="286" t="s">
        <v>2038</v>
      </c>
      <c r="B253" s="337" t="n">
        <f aca="false">YEARFRAC(B250,B251)</f>
        <v>0.5</v>
      </c>
      <c r="C253" s="302"/>
      <c r="D253" s="302"/>
      <c r="E253" s="302"/>
      <c r="F253" s="302"/>
      <c r="G253" s="302"/>
    </row>
    <row r="254" customFormat="false" ht="15" hidden="false" customHeight="false" outlineLevel="0" collapsed="false">
      <c r="A254" s="286" t="s">
        <v>2039</v>
      </c>
      <c r="B254" s="337" t="n">
        <f aca="false">YEARFRAC(B251,B252)</f>
        <v>0.269444444444444</v>
      </c>
      <c r="C254" s="302"/>
      <c r="D254" s="302"/>
      <c r="E254" s="302"/>
      <c r="F254" s="302"/>
      <c r="G254" s="302"/>
    </row>
    <row r="255" customFormat="false" ht="15" hidden="false" customHeight="false" outlineLevel="0" collapsed="false">
      <c r="A255" s="286" t="s">
        <v>2040</v>
      </c>
      <c r="B255" s="297" t="n">
        <f aca="false">B245</f>
        <v>77711.4037277201</v>
      </c>
      <c r="C255" s="302"/>
      <c r="D255" s="302"/>
      <c r="E255" s="302"/>
      <c r="F255" s="302"/>
      <c r="G255" s="302"/>
    </row>
    <row r="256" customFormat="false" ht="15" hidden="false" customHeight="false" outlineLevel="0" collapsed="false">
      <c r="A256" s="286" t="s">
        <v>2671</v>
      </c>
      <c r="B256" s="297" t="n">
        <f aca="false">B255*(1+B126)^B253</f>
        <v>81501.5206741949</v>
      </c>
      <c r="C256" s="302"/>
      <c r="D256" s="302"/>
      <c r="E256" s="302"/>
      <c r="F256" s="302"/>
      <c r="G256" s="302"/>
    </row>
    <row r="257" customFormat="false" ht="15" hidden="false" customHeight="false" outlineLevel="0" collapsed="false">
      <c r="A257" s="286" t="s">
        <v>2672</v>
      </c>
      <c r="B257" s="297" t="n">
        <f aca="false">-((Datos!E15+Datos!F15)-(Datos!E16+Datos!F16))</f>
        <v>1060.497</v>
      </c>
      <c r="C257" s="302"/>
      <c r="D257" s="302"/>
      <c r="E257" s="302"/>
      <c r="F257" s="302"/>
      <c r="G257" s="302"/>
    </row>
    <row r="258" customFormat="false" ht="15" hidden="false" customHeight="false" outlineLevel="0" collapsed="false">
      <c r="A258" s="286" t="s">
        <v>2043</v>
      </c>
      <c r="B258" s="297" t="n">
        <f aca="false">B256+B257</f>
        <v>82562.0176741949</v>
      </c>
      <c r="C258" s="302"/>
      <c r="D258" s="302"/>
      <c r="E258" s="302"/>
      <c r="F258" s="302"/>
      <c r="G258" s="302"/>
    </row>
    <row r="259" customFormat="false" ht="15" hidden="false" customHeight="false" outlineLevel="0" collapsed="false">
      <c r="A259" s="286" t="s">
        <v>2258</v>
      </c>
      <c r="B259" s="297" t="n">
        <f aca="false">-(Datos!F25+Datos!F26)</f>
        <v>-11500</v>
      </c>
      <c r="C259" s="302"/>
      <c r="D259" s="302"/>
      <c r="E259" s="302"/>
      <c r="F259" s="302"/>
      <c r="G259" s="302"/>
    </row>
    <row r="260" customFormat="false" ht="15" hidden="false" customHeight="false" outlineLevel="0" collapsed="false">
      <c r="A260" s="286" t="s">
        <v>2259</v>
      </c>
      <c r="B260" s="297" t="n">
        <f aca="false">-(Datos!F27+Datos!F28)</f>
        <v>-12220.588</v>
      </c>
      <c r="C260" s="302"/>
      <c r="D260" s="302"/>
      <c r="E260" s="302"/>
      <c r="F260" s="302"/>
      <c r="G260" s="302"/>
    </row>
    <row r="261" customFormat="false" ht="15" hidden="false" customHeight="false" outlineLevel="0" collapsed="false">
      <c r="A261" s="286" t="s">
        <v>2046</v>
      </c>
      <c r="B261" s="297" t="n">
        <f aca="false">Datos!F17</f>
        <v>6875.384</v>
      </c>
      <c r="C261" s="302"/>
      <c r="D261" s="302"/>
      <c r="E261" s="302"/>
      <c r="F261" s="302"/>
      <c r="G261" s="302"/>
    </row>
    <row r="262" customFormat="false" ht="15" hidden="false" customHeight="false" outlineLevel="0" collapsed="false">
      <c r="A262" s="285" t="s">
        <v>2047</v>
      </c>
      <c r="B262" s="301" t="n">
        <f aca="false">SUM(B258:B261)</f>
        <v>65716.8136741949</v>
      </c>
      <c r="C262" s="302"/>
      <c r="D262" s="302"/>
      <c r="E262" s="302"/>
      <c r="F262" s="302"/>
      <c r="G262" s="302"/>
    </row>
    <row r="263" customFormat="false" ht="15" hidden="false" customHeight="false" outlineLevel="0" collapsed="false">
      <c r="A263" s="285" t="s">
        <v>2673</v>
      </c>
      <c r="B263" s="301" t="n">
        <f aca="false">B262*(1+B221)^B254</f>
        <v>67578.0889895095</v>
      </c>
      <c r="C263" s="302"/>
      <c r="D263" s="302"/>
      <c r="E263" s="302"/>
      <c r="F263" s="302"/>
      <c r="G263" s="302"/>
    </row>
    <row r="264" customFormat="false" ht="15" hidden="false" customHeight="false" outlineLevel="0" collapsed="false">
      <c r="A264" s="286" t="s">
        <v>57</v>
      </c>
      <c r="B264" s="305" t="n">
        <f aca="false">B149</f>
        <v>1800</v>
      </c>
      <c r="C264" s="302"/>
      <c r="D264" s="302"/>
      <c r="E264" s="302"/>
      <c r="F264" s="302"/>
      <c r="G264" s="302"/>
    </row>
    <row r="265" customFormat="false" ht="15" hidden="false" customHeight="false" outlineLevel="0" collapsed="false">
      <c r="A265" s="285" t="s">
        <v>2049</v>
      </c>
      <c r="B265" s="306" t="n">
        <f aca="false">B263/B264</f>
        <v>37.5433827719497</v>
      </c>
      <c r="C265" s="302"/>
      <c r="D265" s="302"/>
      <c r="E265" s="302"/>
      <c r="F265" s="302"/>
      <c r="G265" s="302"/>
    </row>
    <row r="266" customFormat="false" ht="15" hidden="false" customHeight="false" outlineLevel="0" collapsed="false">
      <c r="A266" s="286" t="s">
        <v>16</v>
      </c>
      <c r="B266" s="307" t="n">
        <f aca="false">B151</f>
        <v>33.1</v>
      </c>
      <c r="C266" s="302"/>
      <c r="D266" s="302"/>
      <c r="E266" s="302"/>
      <c r="F266" s="302"/>
      <c r="G266" s="302"/>
    </row>
    <row r="267" customFormat="false" ht="15" hidden="false" customHeight="false" outlineLevel="0" collapsed="false">
      <c r="A267" s="286" t="s">
        <v>17</v>
      </c>
      <c r="B267" s="295" t="n">
        <f aca="false">B265/B266-1</f>
        <v>0.134241171357997</v>
      </c>
      <c r="C267" s="302"/>
      <c r="D267" s="302"/>
      <c r="E267" s="302"/>
      <c r="F267" s="302"/>
      <c r="G267" s="302"/>
    </row>
    <row r="268" customFormat="false" ht="15" hidden="false" customHeight="false" outlineLevel="0" collapsed="false">
      <c r="A268" s="285" t="s">
        <v>2050</v>
      </c>
      <c r="B268" s="338" t="str">
        <f aca="false">IF(B267&gt;B155,"COMPRAR",IF(B267&lt;-B155,"VENDER","MANTENER"))</f>
        <v>MANTENER</v>
      </c>
      <c r="C268" s="302"/>
      <c r="D268" s="302"/>
      <c r="E268" s="302"/>
      <c r="F268" s="302"/>
      <c r="G268" s="302"/>
    </row>
    <row r="269" customFormat="false" ht="15" hidden="false" customHeight="false" outlineLevel="0" collapsed="false">
      <c r="A269" s="286" t="s">
        <v>18</v>
      </c>
      <c r="B269" s="307" t="n">
        <f aca="false">Generales!B24</f>
        <v>23.357</v>
      </c>
      <c r="C269" s="302"/>
      <c r="D269" s="302"/>
      <c r="E269" s="302"/>
      <c r="F269" s="302"/>
      <c r="G269" s="302"/>
    </row>
    <row r="270" customFormat="false" ht="15" hidden="false" customHeight="false" outlineLevel="0" collapsed="false">
      <c r="A270" s="286" t="s">
        <v>2051</v>
      </c>
      <c r="B270" s="295" t="n">
        <f aca="false">B265/B269-1</f>
        <v>0.60737178455922</v>
      </c>
      <c r="C270" s="302"/>
      <c r="D270" s="302"/>
      <c r="E270" s="302"/>
      <c r="F270" s="302"/>
      <c r="G270" s="30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6796875" defaultRowHeight="15" zeroHeight="false" outlineLevelRow="0" outlineLevelCol="0"/>
  <cols>
    <col collapsed="false" customWidth="true" hidden="false" outlineLevel="0" max="1" min="1" style="0" width="61.16"/>
    <col collapsed="false" customWidth="true" hidden="false" outlineLevel="0" max="7" min="2" style="0" width="17.5"/>
  </cols>
  <sheetData>
    <row r="1" customFormat="false" ht="15" hidden="false" customHeight="true" outlineLevel="0" collapsed="false">
      <c r="A1" s="344" t="s">
        <v>2709</v>
      </c>
      <c r="B1" s="345"/>
      <c r="C1" s="345"/>
      <c r="D1" s="345"/>
      <c r="E1" s="345"/>
      <c r="F1" s="345"/>
      <c r="G1" s="345"/>
    </row>
    <row r="2" customFormat="false" ht="15" hidden="false" customHeight="true" outlineLevel="0" collapsed="false">
      <c r="A2" s="346" t="s">
        <v>2675</v>
      </c>
      <c r="B2" s="345"/>
      <c r="C2" s="345"/>
      <c r="D2" s="345"/>
      <c r="E2" s="345"/>
      <c r="F2" s="345"/>
      <c r="G2" s="345"/>
    </row>
    <row r="3" customFormat="false" ht="15" hidden="false" customHeight="true" outlineLevel="0" collapsed="false">
      <c r="A3" s="347"/>
      <c r="B3" s="345"/>
      <c r="C3" s="345"/>
      <c r="D3" s="345"/>
      <c r="E3" s="345"/>
      <c r="F3" s="345"/>
      <c r="G3" s="345"/>
    </row>
    <row r="4" customFormat="false" ht="15" hidden="false" customHeight="true" outlineLevel="0" collapsed="false">
      <c r="A4" s="345"/>
      <c r="B4" s="345"/>
      <c r="C4" s="345"/>
      <c r="D4" s="345"/>
      <c r="E4" s="345"/>
      <c r="F4" s="345"/>
      <c r="G4" s="345"/>
    </row>
    <row r="5" customFormat="false" ht="15" hidden="false" customHeight="true" outlineLevel="0" collapsed="false">
      <c r="A5" s="285" t="s">
        <v>1831</v>
      </c>
      <c r="B5" s="285" t="s">
        <v>1428</v>
      </c>
      <c r="C5" s="285" t="s">
        <v>1429</v>
      </c>
      <c r="D5" s="285" t="s">
        <v>1430</v>
      </c>
      <c r="E5" s="285" t="s">
        <v>1431</v>
      </c>
      <c r="F5" s="285" t="s">
        <v>1432</v>
      </c>
      <c r="G5" s="285" t="s">
        <v>1433</v>
      </c>
    </row>
    <row r="6" customFormat="false" ht="15" hidden="false" customHeight="true" outlineLevel="0" collapsed="false">
      <c r="A6" s="286" t="s">
        <v>1833</v>
      </c>
      <c r="B6" s="286"/>
      <c r="C6" s="287" t="n">
        <v>0.7</v>
      </c>
      <c r="D6" s="287" t="n">
        <v>0.7</v>
      </c>
      <c r="E6" s="287" t="n">
        <v>0.75</v>
      </c>
      <c r="F6" s="287" t="n">
        <v>0.8</v>
      </c>
      <c r="G6" s="287" t="n">
        <v>0.85</v>
      </c>
    </row>
    <row r="7" customFormat="false" ht="15" hidden="false" customHeight="true" outlineLevel="0" collapsed="false">
      <c r="A7" s="286" t="s">
        <v>1834</v>
      </c>
      <c r="B7" s="286"/>
      <c r="C7" s="287" t="n">
        <f aca="false">1-C6</f>
        <v>0.3</v>
      </c>
      <c r="D7" s="287" t="n">
        <f aca="false">1-D6</f>
        <v>0.3</v>
      </c>
      <c r="E7" s="287" t="n">
        <f aca="false">1-E6</f>
        <v>0.25</v>
      </c>
      <c r="F7" s="287" t="n">
        <f aca="false">1-F6</f>
        <v>0.2</v>
      </c>
      <c r="G7" s="287" t="n">
        <f aca="false">1-G6</f>
        <v>0.15</v>
      </c>
    </row>
    <row r="8" customFormat="false" ht="15" hidden="false" customHeight="true" outlineLevel="0" collapsed="false">
      <c r="A8" s="288"/>
      <c r="B8" s="288"/>
      <c r="C8" s="288"/>
      <c r="D8" s="288"/>
      <c r="E8" s="288"/>
      <c r="F8" s="288"/>
      <c r="G8" s="288"/>
    </row>
    <row r="9" customFormat="false" ht="15" hidden="false" customHeight="true" outlineLevel="0" collapsed="false">
      <c r="A9" s="285" t="s">
        <v>1835</v>
      </c>
      <c r="B9" s="285" t="s">
        <v>1428</v>
      </c>
      <c r="C9" s="285" t="s">
        <v>1429</v>
      </c>
      <c r="D9" s="285" t="s">
        <v>1430</v>
      </c>
      <c r="E9" s="285" t="s">
        <v>1431</v>
      </c>
      <c r="F9" s="285" t="s">
        <v>1432</v>
      </c>
      <c r="G9" s="285" t="s">
        <v>1433</v>
      </c>
    </row>
    <row r="10" customFormat="false" ht="15" hidden="false" customHeight="true" outlineLevel="0" collapsed="false">
      <c r="A10" s="286" t="s">
        <v>1837</v>
      </c>
      <c r="B10" s="286"/>
      <c r="C10" s="289" t="n">
        <f aca="false">Escenarios!$M$7</f>
        <v>0.0351</v>
      </c>
      <c r="D10" s="289" t="n">
        <f aca="false">Escenarios!$M$7</f>
        <v>0.0351</v>
      </c>
      <c r="E10" s="289" t="n">
        <f aca="false">Escenarios!$M$7</f>
        <v>0.0351</v>
      </c>
      <c r="F10" s="289" t="n">
        <f aca="false">Escenarios!$M$7</f>
        <v>0.0351</v>
      </c>
      <c r="G10" s="289" t="n">
        <f aca="false">Escenarios!$M$7</f>
        <v>0.0351</v>
      </c>
    </row>
    <row r="11" customFormat="false" ht="15" hidden="false" customHeight="true" outlineLevel="0" collapsed="false">
      <c r="A11" s="286" t="s">
        <v>1838</v>
      </c>
      <c r="B11" s="286"/>
      <c r="C11" s="289" t="n">
        <v>0.014</v>
      </c>
      <c r="D11" s="289" t="n">
        <v>0.018</v>
      </c>
      <c r="E11" s="289" t="n">
        <v>0.02</v>
      </c>
      <c r="F11" s="289" t="n">
        <v>0.02</v>
      </c>
      <c r="G11" s="289" t="n">
        <v>0.02</v>
      </c>
    </row>
    <row r="12" customFormat="false" ht="15" hidden="false" customHeight="true" outlineLevel="0" collapsed="false">
      <c r="A12" s="286" t="s">
        <v>1839</v>
      </c>
      <c r="B12" s="286"/>
      <c r="C12" s="290" t="n">
        <v>0.5</v>
      </c>
      <c r="D12" s="290" t="n">
        <v>0.5</v>
      </c>
      <c r="E12" s="290" t="n">
        <v>0.5</v>
      </c>
      <c r="F12" s="290" t="n">
        <v>0.5</v>
      </c>
      <c r="G12" s="290" t="n">
        <v>0.5</v>
      </c>
    </row>
    <row r="13" customFormat="false" ht="15" hidden="false" customHeight="true" outlineLevel="0" collapsed="false">
      <c r="A13" s="286" t="s">
        <v>1840</v>
      </c>
      <c r="B13" s="286"/>
      <c r="C13" s="289" t="n">
        <v>-0.04</v>
      </c>
      <c r="D13" s="289" t="n">
        <v>-0.015</v>
      </c>
      <c r="E13" s="289" t="n">
        <v>-0.005</v>
      </c>
      <c r="F13" s="289" t="n">
        <v>0</v>
      </c>
      <c r="G13" s="289" t="n">
        <v>0</v>
      </c>
    </row>
    <row r="14" customFormat="false" ht="15" hidden="false" customHeight="true" outlineLevel="0" collapsed="false">
      <c r="A14" s="285" t="s">
        <v>1841</v>
      </c>
      <c r="B14" s="285"/>
      <c r="C14" s="291" t="n">
        <f aca="false">C10+C11*C12+C13</f>
        <v>0.0021</v>
      </c>
      <c r="D14" s="291" t="n">
        <f aca="false">D10+D11*D12+D13</f>
        <v>0.0291</v>
      </c>
      <c r="E14" s="291" t="n">
        <f aca="false">E10+E11*E12+E13</f>
        <v>0.0401</v>
      </c>
      <c r="F14" s="291" t="n">
        <f aca="false">F10+F11*F12+F13</f>
        <v>0.0451</v>
      </c>
      <c r="G14" s="291" t="n">
        <f aca="false">G10+G11*G12+G13</f>
        <v>0.0451</v>
      </c>
    </row>
    <row r="15" customFormat="false" ht="15" hidden="false" customHeight="true" outlineLevel="0" collapsed="false">
      <c r="A15" s="286" t="s">
        <v>2676</v>
      </c>
      <c r="B15" s="286"/>
      <c r="C15" s="289" t="n">
        <v>-0.03</v>
      </c>
      <c r="D15" s="289" t="n">
        <v>-0.02</v>
      </c>
      <c r="E15" s="289" t="n">
        <v>-0.0125</v>
      </c>
      <c r="F15" s="289" t="n">
        <v>-0.01</v>
      </c>
      <c r="G15" s="289" t="n">
        <v>-0.0075</v>
      </c>
    </row>
    <row r="16" customFormat="false" ht="15" hidden="false" customHeight="true" outlineLevel="0" collapsed="false">
      <c r="A16" s="286" t="s">
        <v>2677</v>
      </c>
      <c r="B16" s="286"/>
      <c r="C16" s="289" t="n">
        <v>-0.01</v>
      </c>
      <c r="D16" s="289" t="n">
        <v>-0.005</v>
      </c>
      <c r="E16" s="289" t="n">
        <v>0</v>
      </c>
      <c r="F16" s="289" t="n">
        <v>0</v>
      </c>
      <c r="G16" s="289" t="n">
        <v>0</v>
      </c>
    </row>
    <row r="17" customFormat="false" ht="15" hidden="false" customHeight="true" outlineLevel="0" collapsed="false">
      <c r="A17" s="286" t="s">
        <v>2678</v>
      </c>
      <c r="B17" s="286"/>
      <c r="C17" s="289" t="n">
        <v>-0.003</v>
      </c>
      <c r="D17" s="289" t="n">
        <v>-0.002</v>
      </c>
      <c r="E17" s="289" t="n">
        <v>-0.001</v>
      </c>
      <c r="F17" s="289" t="n">
        <v>0</v>
      </c>
      <c r="G17" s="289" t="n">
        <v>0</v>
      </c>
    </row>
    <row r="18" customFormat="false" ht="15" hidden="false" customHeight="true" outlineLevel="0" collapsed="false">
      <c r="A18" s="286" t="s">
        <v>2679</v>
      </c>
      <c r="B18" s="286"/>
      <c r="C18" s="289" t="n">
        <v>-0.002</v>
      </c>
      <c r="D18" s="289" t="n">
        <v>-0.003</v>
      </c>
      <c r="E18" s="289" t="n">
        <v>-0.001</v>
      </c>
      <c r="F18" s="289" t="n">
        <v>0</v>
      </c>
      <c r="G18" s="289" t="n">
        <v>0</v>
      </c>
    </row>
    <row r="19" customFormat="false" ht="15" hidden="false" customHeight="true" outlineLevel="0" collapsed="false">
      <c r="A19" s="286" t="s">
        <v>2680</v>
      </c>
      <c r="B19" s="286"/>
      <c r="C19" s="289" t="n">
        <v>0.002</v>
      </c>
      <c r="D19" s="289" t="n">
        <v>0.003</v>
      </c>
      <c r="E19" s="289" t="n">
        <v>0.003</v>
      </c>
      <c r="F19" s="289" t="n">
        <v>0.002</v>
      </c>
      <c r="G19" s="289" t="n">
        <v>0.002</v>
      </c>
    </row>
    <row r="20" customFormat="false" ht="15" hidden="false" customHeight="true" outlineLevel="0" collapsed="false">
      <c r="A20" s="286" t="s">
        <v>2681</v>
      </c>
      <c r="B20" s="286"/>
      <c r="C20" s="289" t="n">
        <v>0.003</v>
      </c>
      <c r="D20" s="289" t="n">
        <v>0.004</v>
      </c>
      <c r="E20" s="289" t="n">
        <v>0.005</v>
      </c>
      <c r="F20" s="289" t="n">
        <v>0.005</v>
      </c>
      <c r="G20" s="289" t="n">
        <v>0.005</v>
      </c>
    </row>
    <row r="21" customFormat="false" ht="15" hidden="false" customHeight="true" outlineLevel="0" collapsed="false">
      <c r="A21" s="286" t="s">
        <v>2682</v>
      </c>
      <c r="B21" s="286"/>
      <c r="C21" s="289" t="n">
        <v>-0.002</v>
      </c>
      <c r="D21" s="289" t="n">
        <v>-0.002</v>
      </c>
      <c r="E21" s="289" t="n">
        <v>-0.001</v>
      </c>
      <c r="F21" s="289" t="n">
        <v>0</v>
      </c>
      <c r="G21" s="289" t="n">
        <v>0</v>
      </c>
    </row>
    <row r="22" customFormat="false" ht="15" hidden="false" customHeight="true" outlineLevel="0" collapsed="false">
      <c r="A22" s="286" t="s">
        <v>2683</v>
      </c>
      <c r="B22" s="286"/>
      <c r="C22" s="289" t="n">
        <v>0.001</v>
      </c>
      <c r="D22" s="289" t="n">
        <v>0.002</v>
      </c>
      <c r="E22" s="289" t="n">
        <v>0.002</v>
      </c>
      <c r="F22" s="289" t="n">
        <v>0.002</v>
      </c>
      <c r="G22" s="289" t="n">
        <v>0.002</v>
      </c>
    </row>
    <row r="23" customFormat="false" ht="15" hidden="false" customHeight="true" outlineLevel="0" collapsed="false">
      <c r="A23" s="285" t="s">
        <v>1850</v>
      </c>
      <c r="B23" s="285"/>
      <c r="C23" s="291" t="n">
        <f aca="false">C14+SUM(C15:C22)+Escenarios!$M$8</f>
        <v>-0.0389</v>
      </c>
      <c r="D23" s="291" t="n">
        <f aca="false">D14+SUM(D15:D22)+Escenarios!$M$8</f>
        <v>0.0061</v>
      </c>
      <c r="E23" s="291" t="n">
        <f aca="false">E14+SUM(E15:E22)+Escenarios!$M$8</f>
        <v>0.0346</v>
      </c>
      <c r="F23" s="291" t="n">
        <f aca="false">F14+SUM(F15:F22)+Escenarios!$M$8</f>
        <v>0.0441</v>
      </c>
      <c r="G23" s="291" t="n">
        <f aca="false">G14+SUM(G15:G22)+Escenarios!$M$8</f>
        <v>0.0466</v>
      </c>
    </row>
    <row r="24" customFormat="false" ht="15" hidden="false" customHeight="true" outlineLevel="0" collapsed="false">
      <c r="A24" s="288"/>
      <c r="B24" s="288"/>
      <c r="C24" s="288"/>
      <c r="D24" s="288"/>
      <c r="E24" s="288"/>
      <c r="F24" s="288"/>
      <c r="G24" s="288"/>
    </row>
    <row r="25" customFormat="false" ht="15" hidden="false" customHeight="true" outlineLevel="0" collapsed="false">
      <c r="A25" s="285" t="s">
        <v>1851</v>
      </c>
      <c r="B25" s="285" t="s">
        <v>1428</v>
      </c>
      <c r="C25" s="285" t="s">
        <v>1429</v>
      </c>
      <c r="D25" s="285" t="s">
        <v>1430</v>
      </c>
      <c r="E25" s="285" t="s">
        <v>1431</v>
      </c>
      <c r="F25" s="285" t="s">
        <v>1432</v>
      </c>
      <c r="G25" s="285" t="s">
        <v>1433</v>
      </c>
    </row>
    <row r="26" customFormat="false" ht="15" hidden="false" customHeight="true" outlineLevel="0" collapsed="false">
      <c r="A26" s="286" t="s">
        <v>1852</v>
      </c>
      <c r="B26" s="292" t="n">
        <f aca="false">'MC Soriana'!G6</f>
        <v>174278</v>
      </c>
      <c r="C26" s="292" t="n">
        <f aca="false">'MC Soriana'!F6</f>
        <v>163936.6</v>
      </c>
      <c r="D26" s="292" t="n">
        <f aca="false">C26+16*('MC Soriana'!$C$6-'MC Soriana'!$B$6)</f>
        <v>153151</v>
      </c>
      <c r="E26" s="292" t="n">
        <f aca="false">D26+16*('MC Soriana'!$C$6-'MC Soriana'!$B$6)</f>
        <v>142365.4</v>
      </c>
      <c r="F26" s="292" t="n">
        <f aca="false">E26+16*('MC Soriana'!$C$6-'MC Soriana'!$B$6)</f>
        <v>131579.8</v>
      </c>
      <c r="G26" s="292" t="n">
        <f aca="false">F26+16*('MC Soriana'!$C$6-'MC Soriana'!$B$6)</f>
        <v>120794.2</v>
      </c>
    </row>
    <row r="27" customFormat="false" ht="15" hidden="false" customHeight="true" outlineLevel="0" collapsed="false">
      <c r="A27" s="286" t="s">
        <v>1853</v>
      </c>
      <c r="B27" s="286"/>
      <c r="C27" s="287" t="n">
        <f aca="false">C26/B26-1</f>
        <v>-0.0593385280987848</v>
      </c>
      <c r="D27" s="287" t="n">
        <f aca="false">D26/C26-1</f>
        <v>-0.0657912876075262</v>
      </c>
      <c r="E27" s="287" t="n">
        <f aca="false">E26/D26-1</f>
        <v>-0.0704246136166266</v>
      </c>
      <c r="F27" s="287" t="n">
        <f aca="false">F26/E26-1</f>
        <v>-0.0757599810066209</v>
      </c>
      <c r="G27" s="287" t="n">
        <f aca="false">G26/F26-1</f>
        <v>-0.0819700288342129</v>
      </c>
    </row>
    <row r="28" customFormat="false" ht="15" hidden="false" customHeight="true" outlineLevel="0" collapsed="false">
      <c r="A28" s="285" t="s">
        <v>1854</v>
      </c>
      <c r="B28" s="285"/>
      <c r="C28" s="293" t="n">
        <f aca="false">C$6*C23+C$7*C27</f>
        <v>-0.0450315584296355</v>
      </c>
      <c r="D28" s="293" t="n">
        <f aca="false">D$6*D23+D$7*D27</f>
        <v>-0.0154673862822579</v>
      </c>
      <c r="E28" s="293" t="n">
        <f aca="false">E$6*E23+E$7*E27</f>
        <v>0.00834384659584337</v>
      </c>
      <c r="F28" s="293" t="n">
        <f aca="false">F$6*F23+F$7*F27</f>
        <v>0.0201280037986758</v>
      </c>
      <c r="G28" s="293" t="n">
        <f aca="false">G$6*G23+G$7*G27</f>
        <v>0.0273144956748681</v>
      </c>
    </row>
    <row r="29" customFormat="false" ht="15" hidden="false" customHeight="true" outlineLevel="0" collapsed="false">
      <c r="A29" s="288"/>
      <c r="B29" s="288"/>
      <c r="C29" s="288"/>
      <c r="D29" s="288"/>
      <c r="E29" s="288"/>
      <c r="F29" s="288"/>
      <c r="G29" s="288"/>
    </row>
    <row r="30" customFormat="false" ht="15" hidden="false" customHeight="true" outlineLevel="0" collapsed="false">
      <c r="A30" s="285" t="s">
        <v>1855</v>
      </c>
      <c r="B30" s="285" t="s">
        <v>1428</v>
      </c>
      <c r="C30" s="285" t="s">
        <v>1429</v>
      </c>
      <c r="D30" s="285" t="s">
        <v>1430</v>
      </c>
      <c r="E30" s="285" t="s">
        <v>1431</v>
      </c>
      <c r="F30" s="285" t="s">
        <v>1432</v>
      </c>
      <c r="G30" s="285" t="s">
        <v>1433</v>
      </c>
    </row>
    <row r="31" customFormat="false" ht="15" hidden="false" customHeight="true" outlineLevel="0" collapsed="false">
      <c r="A31" s="286" t="s">
        <v>1857</v>
      </c>
      <c r="B31" s="289" t="n">
        <f aca="false">Valuación!B10</f>
        <v>0.042542883699969</v>
      </c>
      <c r="C31" s="289" t="n">
        <f aca="false">B31+SUM(C32:C39)</f>
        <v>0.043742883699969</v>
      </c>
      <c r="D31" s="289" t="n">
        <f aca="false">C31+SUM(D32:D39)</f>
        <v>0.043442883699969</v>
      </c>
      <c r="E31" s="289" t="n">
        <f aca="false">D31+SUM(E32:E39)</f>
        <v>0.043742883699969</v>
      </c>
      <c r="F31" s="289" t="n">
        <f aca="false">E31+SUM(F32:F39)</f>
        <v>0.044042883699969</v>
      </c>
      <c r="G31" s="289" t="n">
        <f aca="false">F31+SUM(G32:G39)</f>
        <v>0.044342883699969</v>
      </c>
    </row>
    <row r="32" customFormat="false" ht="15" hidden="false" customHeight="true" outlineLevel="0" collapsed="false">
      <c r="A32" s="286" t="s">
        <v>2684</v>
      </c>
      <c r="B32" s="289"/>
      <c r="C32" s="289" t="n">
        <v>0.0055</v>
      </c>
      <c r="D32" s="289" t="n">
        <v>0.003</v>
      </c>
      <c r="E32" s="289" t="n">
        <v>0.002</v>
      </c>
      <c r="F32" s="289" t="n">
        <v>0.001</v>
      </c>
      <c r="G32" s="289" t="n">
        <v>0.001</v>
      </c>
    </row>
    <row r="33" customFormat="false" ht="15" hidden="false" customHeight="true" outlineLevel="0" collapsed="false">
      <c r="A33" s="286" t="s">
        <v>2685</v>
      </c>
      <c r="B33" s="289"/>
      <c r="C33" s="289" t="n">
        <v>-0.001</v>
      </c>
      <c r="D33" s="289" t="n">
        <v>-0.0015</v>
      </c>
      <c r="E33" s="289" t="n">
        <v>-0.0015</v>
      </c>
      <c r="F33" s="289" t="n">
        <v>-0.001</v>
      </c>
      <c r="G33" s="289" t="n">
        <v>-0.001</v>
      </c>
    </row>
    <row r="34" customFormat="false" ht="15" hidden="false" customHeight="true" outlineLevel="0" collapsed="false">
      <c r="A34" s="286" t="s">
        <v>2686</v>
      </c>
      <c r="B34" s="289"/>
      <c r="C34" s="289" t="n">
        <v>-0.0015</v>
      </c>
      <c r="D34" s="289" t="n">
        <v>-0.001</v>
      </c>
      <c r="E34" s="289" t="n">
        <v>-0.001</v>
      </c>
      <c r="F34" s="289" t="n">
        <v>-0.0005</v>
      </c>
      <c r="G34" s="289" t="n">
        <v>0</v>
      </c>
    </row>
    <row r="35" customFormat="false" ht="15" hidden="false" customHeight="true" outlineLevel="0" collapsed="false">
      <c r="A35" s="286" t="s">
        <v>2687</v>
      </c>
      <c r="B35" s="289"/>
      <c r="C35" s="289" t="n">
        <v>-0.0005</v>
      </c>
      <c r="D35" s="289" t="n">
        <v>-0.0005</v>
      </c>
      <c r="E35" s="289" t="n">
        <v>0</v>
      </c>
      <c r="F35" s="289" t="n">
        <v>0</v>
      </c>
      <c r="G35" s="289" t="n">
        <v>0</v>
      </c>
    </row>
    <row r="36" customFormat="false" ht="15" hidden="false" customHeight="true" outlineLevel="0" collapsed="false">
      <c r="A36" s="286" t="s">
        <v>2688</v>
      </c>
      <c r="B36" s="289"/>
      <c r="C36" s="289" t="n">
        <v>-0.0005</v>
      </c>
      <c r="D36" s="289" t="n">
        <v>-0.0005</v>
      </c>
      <c r="E36" s="289" t="n">
        <v>0</v>
      </c>
      <c r="F36" s="289" t="n">
        <v>0</v>
      </c>
      <c r="G36" s="289" t="n">
        <v>0</v>
      </c>
    </row>
    <row r="37" customFormat="false" ht="15" hidden="false" customHeight="true" outlineLevel="0" collapsed="false">
      <c r="A37" s="286" t="s">
        <v>2689</v>
      </c>
      <c r="B37" s="289"/>
      <c r="C37" s="289" t="n">
        <v>-0.0003</v>
      </c>
      <c r="D37" s="289" t="n">
        <v>-0.0003</v>
      </c>
      <c r="E37" s="289" t="n">
        <v>-0.0002</v>
      </c>
      <c r="F37" s="289" t="n">
        <v>-0.0002</v>
      </c>
      <c r="G37" s="289" t="n">
        <v>-0.0002</v>
      </c>
    </row>
    <row r="38" customFormat="false" ht="15" hidden="false" customHeight="true" outlineLevel="0" collapsed="false">
      <c r="A38" s="286" t="s">
        <v>2690</v>
      </c>
      <c r="B38" s="289"/>
      <c r="C38" s="289" t="n">
        <v>0.0005</v>
      </c>
      <c r="D38" s="289" t="n">
        <v>0.001</v>
      </c>
      <c r="E38" s="289" t="n">
        <v>0.001</v>
      </c>
      <c r="F38" s="289" t="n">
        <v>0.001</v>
      </c>
      <c r="G38" s="289" t="n">
        <v>0.0005</v>
      </c>
    </row>
    <row r="39" customFormat="false" ht="15" hidden="false" customHeight="true" outlineLevel="0" collapsed="false">
      <c r="A39" s="286" t="s">
        <v>2691</v>
      </c>
      <c r="B39" s="289"/>
      <c r="C39" s="289" t="n">
        <v>-0.001</v>
      </c>
      <c r="D39" s="289" t="n">
        <v>-0.0005</v>
      </c>
      <c r="E39" s="289" t="n">
        <v>0</v>
      </c>
      <c r="F39" s="289" t="n">
        <v>0</v>
      </c>
      <c r="G39" s="289" t="n">
        <v>0</v>
      </c>
    </row>
    <row r="40" customFormat="false" ht="15" hidden="false" customHeight="true" outlineLevel="0" collapsed="false">
      <c r="A40" s="286" t="s">
        <v>1866</v>
      </c>
      <c r="B40" s="289"/>
      <c r="C40" s="289" t="n">
        <f aca="false">'MC Soriana'!$F$9</f>
        <v>0.0492556268703877</v>
      </c>
      <c r="D40" s="289" t="n">
        <f aca="false">'MC Soriana'!$F$9</f>
        <v>0.0492556268703877</v>
      </c>
      <c r="E40" s="289" t="n">
        <f aca="false">'MC Soriana'!$F$9</f>
        <v>0.0492556268703877</v>
      </c>
      <c r="F40" s="289" t="n">
        <f aca="false">'MC Soriana'!$F$9</f>
        <v>0.0492556268703877</v>
      </c>
      <c r="G40" s="289" t="n">
        <f aca="false">'MC Soriana'!$F$9</f>
        <v>0.0492556268703877</v>
      </c>
    </row>
    <row r="41" customFormat="false" ht="15" hidden="false" customHeight="true" outlineLevel="0" collapsed="false">
      <c r="A41" s="285" t="s">
        <v>1867</v>
      </c>
      <c r="B41" s="291"/>
      <c r="C41" s="291" t="n">
        <f aca="false">C$6*C31+C$7*C40+Escenarios!$M$9</f>
        <v>0.0453967066510946</v>
      </c>
      <c r="D41" s="291" t="n">
        <f aca="false">D$6*D31+D$7*D40+Escenarios!$M$9</f>
        <v>0.0451867066510946</v>
      </c>
      <c r="E41" s="291" t="n">
        <f aca="false">E$6*E31+E$7*E40+Escenarios!$M$9</f>
        <v>0.0451210694925737</v>
      </c>
      <c r="F41" s="291" t="n">
        <f aca="false">F$6*F31+F$7*F40+Escenarios!$M$9</f>
        <v>0.0450854323340528</v>
      </c>
      <c r="G41" s="291" t="n">
        <f aca="false">G$6*G31+G$7*G40+Escenarios!$M$9</f>
        <v>0.0450797951755318</v>
      </c>
    </row>
    <row r="42" customFormat="false" ht="15" hidden="false" customHeight="true" outlineLevel="0" collapsed="false">
      <c r="A42" s="288"/>
      <c r="B42" s="288"/>
      <c r="C42" s="288"/>
      <c r="D42" s="288"/>
      <c r="E42" s="288"/>
      <c r="F42" s="288"/>
      <c r="G42" s="288"/>
    </row>
    <row r="43" customFormat="false" ht="15" hidden="false" customHeight="true" outlineLevel="0" collapsed="false">
      <c r="A43" s="285" t="s">
        <v>1868</v>
      </c>
      <c r="B43" s="285" t="s">
        <v>1428</v>
      </c>
      <c r="C43" s="285" t="s">
        <v>1429</v>
      </c>
      <c r="D43" s="285" t="s">
        <v>1430</v>
      </c>
      <c r="E43" s="285" t="s">
        <v>1431</v>
      </c>
      <c r="F43" s="285" t="s">
        <v>1432</v>
      </c>
      <c r="G43" s="285" t="s">
        <v>1433</v>
      </c>
    </row>
    <row r="44" customFormat="false" ht="15" hidden="false" customHeight="true" outlineLevel="0" collapsed="false">
      <c r="A44" s="286" t="s">
        <v>1869</v>
      </c>
      <c r="B44" s="286"/>
      <c r="C44" s="289" t="n">
        <f aca="false">Valuación!$B$11</f>
        <v>0.0244599047967777</v>
      </c>
      <c r="D44" s="289" t="n">
        <f aca="false">Valuación!$B$11</f>
        <v>0.0244599047967777</v>
      </c>
      <c r="E44" s="289" t="n">
        <f aca="false">Valuación!$B$11</f>
        <v>0.0244599047967777</v>
      </c>
      <c r="F44" s="289" t="n">
        <f aca="false">Valuación!$B$11</f>
        <v>0.0244599047967777</v>
      </c>
      <c r="G44" s="289" t="n">
        <f aca="false">Valuación!$B$11</f>
        <v>0.0244599047967777</v>
      </c>
    </row>
    <row r="45" customFormat="false" ht="15" hidden="false" customHeight="true" outlineLevel="0" collapsed="false">
      <c r="A45" s="286" t="s">
        <v>1870</v>
      </c>
      <c r="B45" s="286"/>
      <c r="C45" s="289" t="n">
        <f aca="false">'MC Soriana'!$F$12/'MC Soriana'!$F$6</f>
        <v>0.024136242913419</v>
      </c>
      <c r="D45" s="289" t="n">
        <f aca="false">'MC Soriana'!$F$12/'MC Soriana'!$F$6</f>
        <v>0.024136242913419</v>
      </c>
      <c r="E45" s="289" t="n">
        <f aca="false">'MC Soriana'!$F$12/'MC Soriana'!$F$6</f>
        <v>0.024136242913419</v>
      </c>
      <c r="F45" s="289" t="n">
        <f aca="false">'MC Soriana'!$F$12/'MC Soriana'!$F$6</f>
        <v>0.024136242913419</v>
      </c>
      <c r="G45" s="289" t="n">
        <f aca="false">'MC Soriana'!$F$12/'MC Soriana'!$F$6</f>
        <v>0.024136242913419</v>
      </c>
    </row>
    <row r="46" customFormat="false" ht="15" hidden="false" customHeight="true" outlineLevel="0" collapsed="false">
      <c r="A46" s="286" t="s">
        <v>1871</v>
      </c>
      <c r="B46" s="286"/>
      <c r="C46" s="289" t="n">
        <f aca="false">C$6*C44+C$7*C45</f>
        <v>0.0243628062317701</v>
      </c>
      <c r="D46" s="289" t="n">
        <f aca="false">D$6*D44+D$7*D45</f>
        <v>0.0243628062317701</v>
      </c>
      <c r="E46" s="289" t="n">
        <f aca="false">E$6*E44+E$7*E45</f>
        <v>0.024378989325938</v>
      </c>
      <c r="F46" s="289" t="n">
        <f aca="false">F$6*F44+F$7*F45</f>
        <v>0.024395172420106</v>
      </c>
      <c r="G46" s="289" t="n">
        <f aca="false">G$6*G44+G$7*G45</f>
        <v>0.0244113555142739</v>
      </c>
    </row>
    <row r="47" customFormat="false" ht="15" hidden="false" customHeight="true" outlineLevel="0" collapsed="false">
      <c r="A47" s="286" t="s">
        <v>1872</v>
      </c>
      <c r="B47" s="286"/>
      <c r="C47" s="292" t="n">
        <v>4000</v>
      </c>
      <c r="D47" s="292"/>
      <c r="E47" s="292"/>
      <c r="F47" s="292"/>
      <c r="G47" s="292"/>
    </row>
    <row r="48" customFormat="false" ht="15" hidden="false" customHeight="true" outlineLevel="0" collapsed="false">
      <c r="A48" s="286" t="s">
        <v>1873</v>
      </c>
      <c r="B48" s="286"/>
      <c r="C48" s="289"/>
      <c r="D48" s="289" t="n">
        <v>0.003</v>
      </c>
      <c r="E48" s="289" t="n">
        <v>0.003</v>
      </c>
      <c r="F48" s="289" t="n">
        <v>0.003</v>
      </c>
      <c r="G48" s="289" t="n">
        <v>0.003</v>
      </c>
    </row>
    <row r="49" customFormat="false" ht="15" hidden="false" customHeight="true" outlineLevel="0" collapsed="false">
      <c r="A49" s="286" t="s">
        <v>1874</v>
      </c>
      <c r="B49" s="286"/>
      <c r="C49" s="289" t="n">
        <f aca="false">C47/C67</f>
        <v>0.0235958656470585</v>
      </c>
      <c r="D49" s="289" t="n">
        <f aca="false">Valuación!$B$12*(1+'Variables Externas'!$J$22)+D48</f>
        <v>0.0195545165197307</v>
      </c>
      <c r="E49" s="289" t="n">
        <f aca="false">Valuación!$B$12*(1+'Variables Externas'!$J$22)+E48</f>
        <v>0.0195545165197307</v>
      </c>
      <c r="F49" s="289" t="n">
        <f aca="false">Valuación!$B$12*(1+'Variables Externas'!$J$22)+F48</f>
        <v>0.0195545165197307</v>
      </c>
      <c r="G49" s="289" t="n">
        <f aca="false">Valuación!$B$12*(1+'Variables Externas'!$J$22)+G48</f>
        <v>0.0195545165197307</v>
      </c>
    </row>
    <row r="50" customFormat="false" ht="15" hidden="false" customHeight="true" outlineLevel="0" collapsed="false">
      <c r="A50" s="286" t="s">
        <v>1875</v>
      </c>
      <c r="B50" s="286"/>
      <c r="C50" s="289" t="n">
        <f aca="false">'MC Soriana'!$F$13/'MC Soriana'!$F$6</f>
        <v>0.0202932109120233</v>
      </c>
      <c r="D50" s="289" t="n">
        <f aca="false">'MC Soriana'!$F$13/'MC Soriana'!$F$6</f>
        <v>0.0202932109120233</v>
      </c>
      <c r="E50" s="289" t="n">
        <f aca="false">'MC Soriana'!$F$13/'MC Soriana'!$F$6</f>
        <v>0.0202932109120233</v>
      </c>
      <c r="F50" s="289" t="n">
        <f aca="false">'MC Soriana'!$F$13/'MC Soriana'!$F$6</f>
        <v>0.0202932109120233</v>
      </c>
      <c r="G50" s="289" t="n">
        <f aca="false">'MC Soriana'!$F$13/'MC Soriana'!$F$6</f>
        <v>0.0202932109120233</v>
      </c>
    </row>
    <row r="51" customFormat="false" ht="15" hidden="false" customHeight="true" outlineLevel="0" collapsed="false">
      <c r="A51" s="285" t="s">
        <v>1876</v>
      </c>
      <c r="B51" s="285"/>
      <c r="C51" s="291" t="n">
        <f aca="false">C$6*C49+C$7*C50</f>
        <v>0.0226050692265479</v>
      </c>
      <c r="D51" s="291" t="n">
        <f aca="false">D$6*D49+D$7*D50</f>
        <v>0.0197761248374185</v>
      </c>
      <c r="E51" s="291" t="n">
        <f aca="false">E$6*E49+E$7*E50</f>
        <v>0.0197391901178039</v>
      </c>
      <c r="F51" s="291" t="n">
        <f aca="false">F$6*F49+F$7*F50</f>
        <v>0.0197022553981892</v>
      </c>
      <c r="G51" s="291" t="n">
        <f aca="false">G$6*G49+G$7*G50</f>
        <v>0.0196653206785746</v>
      </c>
    </row>
    <row r="52" customFormat="false" ht="15" hidden="false" customHeight="true" outlineLevel="0" collapsed="false">
      <c r="A52" s="286" t="s">
        <v>1877</v>
      </c>
      <c r="B52" s="286"/>
      <c r="C52" s="289" t="n">
        <v>0</v>
      </c>
      <c r="D52" s="289" t="n">
        <v>0.005</v>
      </c>
      <c r="E52" s="289" t="n">
        <v>0.005</v>
      </c>
      <c r="F52" s="289" t="n">
        <v>0.005</v>
      </c>
      <c r="G52" s="289" t="n">
        <v>0.005</v>
      </c>
    </row>
    <row r="53" customFormat="false" ht="15" hidden="false" customHeight="true" outlineLevel="0" collapsed="false">
      <c r="A53" s="286" t="s">
        <v>1878</v>
      </c>
      <c r="B53" s="286"/>
      <c r="C53" s="289" t="n">
        <f aca="false">WACC!$B$10+C52</f>
        <v>0.3</v>
      </c>
      <c r="D53" s="289" t="n">
        <f aca="false">WACC!$B$10+D52</f>
        <v>0.305</v>
      </c>
      <c r="E53" s="289" t="n">
        <f aca="false">WACC!$B$10+E52</f>
        <v>0.305</v>
      </c>
      <c r="F53" s="289" t="n">
        <f aca="false">WACC!$B$10+F52</f>
        <v>0.305</v>
      </c>
      <c r="G53" s="289" t="n">
        <f aca="false">WACC!$B$10+G52</f>
        <v>0.305</v>
      </c>
    </row>
    <row r="54" customFormat="false" ht="15" hidden="false" customHeight="true" outlineLevel="0" collapsed="false">
      <c r="A54" s="286" t="s">
        <v>1879</v>
      </c>
      <c r="B54" s="286"/>
      <c r="C54" s="289" t="n">
        <f aca="false">'MC Soriana'!$F$10</f>
        <v>0.191734007304675</v>
      </c>
      <c r="D54" s="289" t="n">
        <f aca="false">'MC Soriana'!$F$10</f>
        <v>0.191734007304675</v>
      </c>
      <c r="E54" s="289" t="n">
        <f aca="false">'MC Soriana'!$F$10</f>
        <v>0.191734007304675</v>
      </c>
      <c r="F54" s="289" t="n">
        <f aca="false">'MC Soriana'!$F$10</f>
        <v>0.191734007304675</v>
      </c>
      <c r="G54" s="289" t="n">
        <f aca="false">'MC Soriana'!$F$10</f>
        <v>0.191734007304675</v>
      </c>
    </row>
    <row r="55" customFormat="false" ht="15" hidden="false" customHeight="true" outlineLevel="0" collapsed="false">
      <c r="A55" s="285" t="s">
        <v>1880</v>
      </c>
      <c r="B55" s="285"/>
      <c r="C55" s="291" t="n">
        <f aca="false">C$6*C53+C$7*C54</f>
        <v>0.267520202191403</v>
      </c>
      <c r="D55" s="291" t="n">
        <f aca="false">D$6*D53+D$7*D54</f>
        <v>0.271020202191403</v>
      </c>
      <c r="E55" s="291" t="n">
        <f aca="false">E$6*E53+E$7*E54</f>
        <v>0.276683501826169</v>
      </c>
      <c r="F55" s="291" t="n">
        <f aca="false">F$6*F53+F$7*F54</f>
        <v>0.282346801460935</v>
      </c>
      <c r="G55" s="291" t="n">
        <f aca="false">G$6*G53+G$7*G54</f>
        <v>0.288010101095701</v>
      </c>
    </row>
    <row r="56" customFormat="false" ht="15" hidden="false" customHeight="true" outlineLevel="0" collapsed="false">
      <c r="A56" s="286" t="s">
        <v>1467</v>
      </c>
      <c r="B56" s="294" t="n">
        <f aca="false">Datos!G18/Datos!G7*365</f>
        <v>87.4443050938019</v>
      </c>
      <c r="C56" s="294" t="n">
        <v>88</v>
      </c>
      <c r="D56" s="294" t="n">
        <v>88</v>
      </c>
      <c r="E56" s="294" t="n">
        <v>87</v>
      </c>
      <c r="F56" s="294" t="n">
        <v>87</v>
      </c>
      <c r="G56" s="294" t="n">
        <v>87</v>
      </c>
    </row>
    <row r="57" customFormat="false" ht="15" hidden="false" customHeight="true" outlineLevel="0" collapsed="false">
      <c r="A57" s="286" t="s">
        <v>1468</v>
      </c>
      <c r="B57" s="295" t="n">
        <f aca="false">(Datos!G19-Datos!G17-Datos!G18)/Datos!G6</f>
        <v>0.0391572543165366</v>
      </c>
      <c r="C57" s="295" t="n">
        <f aca="false">$B57</f>
        <v>0.0391572543165366</v>
      </c>
      <c r="D57" s="295" t="n">
        <f aca="false">$B57</f>
        <v>0.0391572543165366</v>
      </c>
      <c r="E57" s="295" t="n">
        <f aca="false">$B57</f>
        <v>0.0391572543165366</v>
      </c>
      <c r="F57" s="295" t="n">
        <f aca="false">$B57</f>
        <v>0.0391572543165366</v>
      </c>
      <c r="G57" s="295" t="n">
        <f aca="false">$B57</f>
        <v>0.0391572543165366</v>
      </c>
    </row>
    <row r="58" customFormat="false" ht="15" hidden="false" customHeight="true" outlineLevel="0" collapsed="false">
      <c r="A58" s="286" t="s">
        <v>1469</v>
      </c>
      <c r="B58" s="295" t="n">
        <f aca="false">(Datos!G21-Datos!G25-Datos!G27)/Datos!G6</f>
        <v>0.200225333070445</v>
      </c>
      <c r="C58" s="295" t="n">
        <f aca="false">$B58</f>
        <v>0.200225333070445</v>
      </c>
      <c r="D58" s="295" t="n">
        <f aca="false">$B58</f>
        <v>0.200225333070445</v>
      </c>
      <c r="E58" s="295" t="n">
        <f aca="false">$B58</f>
        <v>0.200225333070445</v>
      </c>
      <c r="F58" s="295" t="n">
        <f aca="false">$B58</f>
        <v>0.200225333070445</v>
      </c>
      <c r="G58" s="295" t="n">
        <f aca="false">$B58</f>
        <v>0.200225333070445</v>
      </c>
    </row>
    <row r="59" customFormat="false" ht="15" hidden="false" customHeight="true" outlineLevel="0" collapsed="false">
      <c r="A59" s="286" t="s">
        <v>1464</v>
      </c>
      <c r="B59" s="295" t="n">
        <f aca="false">Datos!G7/Datos!G6</f>
        <v>0.759102047714278</v>
      </c>
      <c r="C59" s="295" t="n">
        <v>0.756</v>
      </c>
      <c r="D59" s="295" t="n">
        <v>0.757</v>
      </c>
      <c r="E59" s="295" t="n">
        <v>0.758</v>
      </c>
      <c r="F59" s="295" t="n">
        <v>0.758</v>
      </c>
      <c r="G59" s="295" t="n">
        <v>0.758</v>
      </c>
    </row>
    <row r="60" customFormat="false" ht="15" hidden="false" customHeight="true" outlineLevel="0" collapsed="false">
      <c r="A60" s="286" t="s">
        <v>1465</v>
      </c>
      <c r="B60" s="295" t="n">
        <f aca="false">-B70/B67</f>
        <v>0.173900797115737</v>
      </c>
      <c r="C60" s="295" t="n">
        <f aca="false">1-C59-C46-C41</f>
        <v>0.174240487117135</v>
      </c>
      <c r="D60" s="295" t="n">
        <f aca="false">1-D59-D46-D41</f>
        <v>0.173450487117135</v>
      </c>
      <c r="E60" s="295" t="n">
        <f aca="false">1-E59-E46-E41</f>
        <v>0.172499941181488</v>
      </c>
      <c r="F60" s="295" t="n">
        <f aca="false">1-F59-F46-F41</f>
        <v>0.172519395245841</v>
      </c>
      <c r="G60" s="295" t="n">
        <f aca="false">1-G59-G46-G41</f>
        <v>0.172508849310194</v>
      </c>
    </row>
    <row r="61" customFormat="false" ht="15" hidden="false" customHeight="true" outlineLevel="0" collapsed="false">
      <c r="A61" s="286" t="s">
        <v>1466</v>
      </c>
      <c r="B61" s="296" t="n">
        <f aca="false">Datos!G10/(Datos!G25+Datos!G26+Datos!G27+Datos!G28)</f>
        <v>0.130154966550936</v>
      </c>
      <c r="C61" s="296" t="n">
        <v>0.1</v>
      </c>
      <c r="D61" s="296" t="n">
        <v>0.0975</v>
      </c>
      <c r="E61" s="296" t="n">
        <v>0.0975</v>
      </c>
      <c r="F61" s="296" t="n">
        <v>0.0975</v>
      </c>
      <c r="G61" s="296" t="n">
        <v>0.0975</v>
      </c>
    </row>
    <row r="62" customFormat="false" ht="15" hidden="false" customHeight="true" outlineLevel="0" collapsed="false">
      <c r="A62" s="286" t="s">
        <v>1881</v>
      </c>
      <c r="B62" s="297"/>
      <c r="C62" s="297" t="n">
        <v>0</v>
      </c>
      <c r="D62" s="297" t="n">
        <v>-1500</v>
      </c>
      <c r="E62" s="297" t="n">
        <v>-1500</v>
      </c>
      <c r="F62" s="297" t="n">
        <v>-1500</v>
      </c>
      <c r="G62" s="297" t="n">
        <v>-1500</v>
      </c>
    </row>
    <row r="63" customFormat="false" ht="15" hidden="false" customHeight="true" outlineLevel="0" collapsed="false">
      <c r="A63" s="286" t="s">
        <v>1470</v>
      </c>
      <c r="B63" s="295" t="n">
        <f aca="false">'Proyección Soriana'!B14</f>
        <v>0.300144057623049</v>
      </c>
      <c r="C63" s="295" t="n">
        <f aca="false">$B63</f>
        <v>0.300144057623049</v>
      </c>
      <c r="D63" s="295" t="n">
        <f aca="false">$B63</f>
        <v>0.300144057623049</v>
      </c>
      <c r="E63" s="295" t="n">
        <f aca="false">$B63</f>
        <v>0.300144057623049</v>
      </c>
      <c r="F63" s="295" t="n">
        <f aca="false">$B63</f>
        <v>0.300144057623049</v>
      </c>
      <c r="G63" s="295" t="n">
        <f aca="false">$B63</f>
        <v>0.300144057623049</v>
      </c>
    </row>
    <row r="64" customFormat="false" ht="15" hidden="false" customHeight="true" outlineLevel="0" collapsed="false">
      <c r="A64" s="298"/>
      <c r="B64" s="298"/>
      <c r="C64" s="298"/>
      <c r="D64" s="298"/>
      <c r="E64" s="298"/>
      <c r="F64" s="298"/>
      <c r="G64" s="298"/>
    </row>
    <row r="65" customFormat="false" ht="15" hidden="false" customHeight="true" outlineLevel="0" collapsed="false">
      <c r="A65" s="348" t="s">
        <v>1882</v>
      </c>
      <c r="B65" s="298"/>
      <c r="C65" s="298"/>
      <c r="D65" s="298"/>
      <c r="E65" s="298"/>
      <c r="F65" s="298"/>
      <c r="G65" s="298"/>
    </row>
    <row r="66" customFormat="false" ht="15" hidden="false" customHeight="true" outlineLevel="0" collapsed="false">
      <c r="A66" s="285" t="s">
        <v>1884</v>
      </c>
      <c r="B66" s="300" t="s">
        <v>1428</v>
      </c>
      <c r="C66" s="300" t="s">
        <v>1429</v>
      </c>
      <c r="D66" s="300" t="s">
        <v>1430</v>
      </c>
      <c r="E66" s="300" t="s">
        <v>1431</v>
      </c>
      <c r="F66" s="300" t="s">
        <v>1432</v>
      </c>
      <c r="G66" s="300" t="s">
        <v>1433</v>
      </c>
    </row>
    <row r="67" customFormat="false" ht="15" hidden="false" customHeight="true" outlineLevel="0" collapsed="false">
      <c r="A67" s="286" t="s">
        <v>1442</v>
      </c>
      <c r="B67" s="297" t="n">
        <f aca="false">Datos!G6</f>
        <v>177515</v>
      </c>
      <c r="C67" s="297" t="n">
        <f aca="false">B67*(1+C28)</f>
        <v>169521.222905363</v>
      </c>
      <c r="D67" s="297" t="n">
        <f aca="false">C67*(1+D28)</f>
        <v>166899.172667645</v>
      </c>
      <c r="E67" s="297" t="n">
        <f aca="false">D67*(1+E28)</f>
        <v>168291.753761357</v>
      </c>
      <c r="F67" s="297" t="n">
        <f aca="false">E67*(1+F28)</f>
        <v>171679.130820352</v>
      </c>
      <c r="G67" s="297" t="n">
        <f aca="false">F67*(1+G28)</f>
        <v>176368.459696609</v>
      </c>
    </row>
    <row r="68" customFormat="false" ht="15" hidden="false" customHeight="true" outlineLevel="0" collapsed="false">
      <c r="A68" s="286" t="s">
        <v>86</v>
      </c>
      <c r="B68" s="297" t="n">
        <f aca="false">-Datos!G7</f>
        <v>-134752</v>
      </c>
      <c r="C68" s="297" t="n">
        <f aca="false">-C67*C59</f>
        <v>-128158.044516455</v>
      </c>
      <c r="D68" s="297" t="n">
        <f aca="false">-D67*D59</f>
        <v>-126342.673709407</v>
      </c>
      <c r="E68" s="297" t="n">
        <f aca="false">-E67*E59</f>
        <v>-127565.149351109</v>
      </c>
      <c r="F68" s="297" t="n">
        <f aca="false">-F67*F59</f>
        <v>-130132.781161827</v>
      </c>
      <c r="G68" s="297" t="n">
        <f aca="false">-G67*G59</f>
        <v>-133687.29245003</v>
      </c>
    </row>
    <row r="69" customFormat="false" ht="15" hidden="false" customHeight="true" outlineLevel="0" collapsed="false">
      <c r="A69" s="285" t="s">
        <v>80</v>
      </c>
      <c r="B69" s="301" t="n">
        <f aca="false">B67+B68</f>
        <v>42763</v>
      </c>
      <c r="C69" s="301" t="n">
        <f aca="false">C67+C68</f>
        <v>41363.1783889086</v>
      </c>
      <c r="D69" s="301" t="n">
        <f aca="false">D67+D68</f>
        <v>40556.4989582378</v>
      </c>
      <c r="E69" s="301" t="n">
        <f aca="false">E67+E68</f>
        <v>40726.6044102485</v>
      </c>
      <c r="F69" s="301" t="n">
        <f aca="false">F67+F68</f>
        <v>41546.3496585251</v>
      </c>
      <c r="G69" s="301" t="n">
        <f aca="false">G67+G68</f>
        <v>42681.1672465795</v>
      </c>
    </row>
    <row r="70" customFormat="false" ht="15" hidden="false" customHeight="true" outlineLevel="0" collapsed="false">
      <c r="A70" s="286" t="s">
        <v>1472</v>
      </c>
      <c r="B70" s="297" t="n">
        <f aca="false">-(Datos!G8-Datos!G9-Datos!G14)</f>
        <v>-30870</v>
      </c>
      <c r="C70" s="297" t="n">
        <f aca="false">-C67*C60</f>
        <v>-29537.460455723</v>
      </c>
      <c r="D70" s="297" t="n">
        <f aca="false">-D67*D60</f>
        <v>-28948.7427986499</v>
      </c>
      <c r="E70" s="297" t="n">
        <f aca="false">-E67*E60</f>
        <v>-29030.3176251636</v>
      </c>
      <c r="F70" s="297" t="n">
        <f aca="false">-F67*F60</f>
        <v>-29617.9798254587</v>
      </c>
      <c r="G70" s="297" t="n">
        <f aca="false">-G67*G60</f>
        <v>-30425.1200368734</v>
      </c>
    </row>
    <row r="71" customFormat="false" ht="15" hidden="false" customHeight="true" outlineLevel="0" collapsed="false">
      <c r="A71" s="285" t="s">
        <v>1473</v>
      </c>
      <c r="B71" s="301" t="n">
        <f aca="false">B69+B70</f>
        <v>11893</v>
      </c>
      <c r="C71" s="301" t="n">
        <f aca="false">C69+C70</f>
        <v>11825.7179331857</v>
      </c>
      <c r="D71" s="301" t="n">
        <f aca="false">D69+D70</f>
        <v>11607.7561595879</v>
      </c>
      <c r="E71" s="301" t="n">
        <f aca="false">E69+E70</f>
        <v>11696.2867850848</v>
      </c>
      <c r="F71" s="301" t="n">
        <f aca="false">F69+F70</f>
        <v>11928.3698330664</v>
      </c>
      <c r="G71" s="301" t="n">
        <f aca="false">G69+G70</f>
        <v>12256.047209706</v>
      </c>
    </row>
    <row r="72" customFormat="false" ht="15" hidden="false" customHeight="true" outlineLevel="0" collapsed="false">
      <c r="A72" s="286" t="s">
        <v>154</v>
      </c>
      <c r="B72" s="297" t="n">
        <f aca="false">-Datos!G14</f>
        <v>-4342</v>
      </c>
      <c r="C72" s="297" t="n">
        <f aca="false">-C67*C46</f>
        <v>-4130.01270581607</v>
      </c>
      <c r="D72" s="297" t="n">
        <f aca="false">-D67*D46</f>
        <v>-4066.13220394458</v>
      </c>
      <c r="E72" s="297" t="n">
        <f aca="false">-E67*E46</f>
        <v>-4102.78286859152</v>
      </c>
      <c r="F72" s="297" t="n">
        <f aca="false">-F67*F46</f>
        <v>-4188.14199729641</v>
      </c>
      <c r="G72" s="297" t="n">
        <f aca="false">-G67*G46</f>
        <v>-4305.39317115882</v>
      </c>
    </row>
    <row r="73" customFormat="false" ht="15" hidden="false" customHeight="true" outlineLevel="0" collapsed="false">
      <c r="A73" s="285" t="s">
        <v>81</v>
      </c>
      <c r="B73" s="301" t="n">
        <f aca="false">B71+B72</f>
        <v>7551</v>
      </c>
      <c r="C73" s="301" t="n">
        <f aca="false">C71+C72</f>
        <v>7695.70522736961</v>
      </c>
      <c r="D73" s="301" t="n">
        <f aca="false">D71+D72</f>
        <v>7541.62395564329</v>
      </c>
      <c r="E73" s="301" t="n">
        <f aca="false">E71+E72</f>
        <v>7593.5039164933</v>
      </c>
      <c r="F73" s="301" t="n">
        <f aca="false">F71+F72</f>
        <v>7740.22783576996</v>
      </c>
      <c r="G73" s="301" t="n">
        <f aca="false">G71+G72</f>
        <v>7950.65403854719</v>
      </c>
    </row>
    <row r="74" customFormat="false" ht="15" hidden="false" customHeight="true" outlineLevel="0" collapsed="false">
      <c r="A74" s="286" t="s">
        <v>88</v>
      </c>
      <c r="B74" s="297" t="n">
        <f aca="false">-Datos!G10</f>
        <v>-3074</v>
      </c>
      <c r="C74" s="297" t="n">
        <f aca="false">-C61*(B91+B92)</f>
        <v>-2361.8</v>
      </c>
      <c r="D74" s="297" t="n">
        <f aca="false">-D61*(C91+C92)</f>
        <v>-2302.755</v>
      </c>
      <c r="E74" s="297" t="n">
        <f aca="false">-E61*(D91+D92)</f>
        <v>-2156.505</v>
      </c>
      <c r="F74" s="297" t="n">
        <f aca="false">-F61*(E91+E92)</f>
        <v>-2010.255</v>
      </c>
      <c r="G74" s="297" t="n">
        <f aca="false">-G61*(F91+F92)</f>
        <v>-1864.005</v>
      </c>
    </row>
    <row r="75" customFormat="false" ht="15" hidden="false" customHeight="true" outlineLevel="0" collapsed="false">
      <c r="A75" s="286" t="s">
        <v>1474</v>
      </c>
      <c r="B75" s="297" t="n">
        <f aca="false">Datos!G11-Datos!G9+Datos!G10</f>
        <v>288</v>
      </c>
      <c r="C75" s="297" t="n">
        <v>0</v>
      </c>
      <c r="D75" s="297" t="n">
        <v>0</v>
      </c>
      <c r="E75" s="297" t="n">
        <v>0</v>
      </c>
      <c r="F75" s="297" t="n">
        <v>0</v>
      </c>
      <c r="G75" s="297" t="n">
        <v>0</v>
      </c>
    </row>
    <row r="76" customFormat="false" ht="15" hidden="false" customHeight="true" outlineLevel="0" collapsed="false">
      <c r="A76" s="286" t="s">
        <v>152</v>
      </c>
      <c r="B76" s="297" t="n">
        <f aca="false">B73+B74+B75</f>
        <v>4765</v>
      </c>
      <c r="C76" s="297" t="n">
        <f aca="false">C73+C74+C75</f>
        <v>5333.90522736961</v>
      </c>
      <c r="D76" s="297" t="n">
        <f aca="false">D73+D74+D75</f>
        <v>5238.86895564329</v>
      </c>
      <c r="E76" s="297" t="n">
        <f aca="false">E73+E74+E75</f>
        <v>5436.9989164933</v>
      </c>
      <c r="F76" s="297" t="n">
        <f aca="false">F73+F74+F75</f>
        <v>5729.97283576996</v>
      </c>
      <c r="G76" s="297" t="n">
        <f aca="false">G73+G74+G75</f>
        <v>6086.64903854719</v>
      </c>
    </row>
    <row r="77" customFormat="false" ht="15" hidden="false" customHeight="true" outlineLevel="0" collapsed="false">
      <c r="A77" s="286" t="s">
        <v>153</v>
      </c>
      <c r="B77" s="297" t="n">
        <f aca="false">-Datos!G12</f>
        <v>-1433</v>
      </c>
      <c r="C77" s="297" t="n">
        <f aca="false">-C76*C55</f>
        <v>-1426.9274048957</v>
      </c>
      <c r="D77" s="297" t="n">
        <f aca="false">-D76*D55</f>
        <v>-1419.83932361271</v>
      </c>
      <c r="E77" s="297" t="n">
        <f aca="false">-E76*E55</f>
        <v>-1504.32789964045</v>
      </c>
      <c r="F77" s="297" t="n">
        <f aca="false">-F76*F55</f>
        <v>-1617.83950263769</v>
      </c>
      <c r="G77" s="297" t="n">
        <f aca="false">-G76*G55</f>
        <v>-1753.01640492603</v>
      </c>
    </row>
    <row r="78" customFormat="false" ht="15" hidden="false" customHeight="true" outlineLevel="0" collapsed="false">
      <c r="A78" s="285" t="s">
        <v>89</v>
      </c>
      <c r="B78" s="301" t="n">
        <f aca="false">B76+B77</f>
        <v>3332</v>
      </c>
      <c r="C78" s="301" t="n">
        <f aca="false">C76+C77</f>
        <v>3906.97782247391</v>
      </c>
      <c r="D78" s="301" t="n">
        <f aca="false">D76+D77</f>
        <v>3819.02963203058</v>
      </c>
      <c r="E78" s="301" t="n">
        <f aca="false">E76+E77</f>
        <v>3932.67101685285</v>
      </c>
      <c r="F78" s="301" t="n">
        <f aca="false">F76+F77</f>
        <v>4112.13333313227</v>
      </c>
      <c r="G78" s="301" t="n">
        <f aca="false">G76+G77</f>
        <v>4333.63263362116</v>
      </c>
    </row>
    <row r="79" customFormat="false" ht="15" hidden="false" customHeight="true" outlineLevel="0" collapsed="false">
      <c r="A79" s="286" t="s">
        <v>1475</v>
      </c>
      <c r="B79" s="297"/>
      <c r="C79" s="297" t="n">
        <f aca="false">-C78*C63</f>
        <v>-1172.65617668058</v>
      </c>
      <c r="D79" s="297" t="n">
        <f aca="false">-D78*D63</f>
        <v>-1146.25904994032</v>
      </c>
      <c r="E79" s="297" t="n">
        <f aca="false">-E78*E63</f>
        <v>-1180.36783629478</v>
      </c>
      <c r="F79" s="297" t="n">
        <f aca="false">-F78*F63</f>
        <v>-1234.23238409331</v>
      </c>
      <c r="G79" s="297" t="n">
        <f aca="false">-G78*G63</f>
        <v>-1300.71408290272</v>
      </c>
    </row>
    <row r="80" customFormat="false" ht="15" hidden="false" customHeight="true" outlineLevel="0" collapsed="false">
      <c r="A80" s="286" t="s">
        <v>1885</v>
      </c>
      <c r="B80" s="295" t="n">
        <f aca="false">B71/B67</f>
        <v>0.0669971551699856</v>
      </c>
      <c r="C80" s="295" t="n">
        <f aca="false">C71/C67</f>
        <v>0.0697595128828648</v>
      </c>
      <c r="D80" s="295" t="n">
        <f aca="false">D71/D67</f>
        <v>0.0695495128828648</v>
      </c>
      <c r="E80" s="295" t="n">
        <f aca="false">E71/E67</f>
        <v>0.0695000588185117</v>
      </c>
      <c r="F80" s="295" t="n">
        <f aca="false">F71/F67</f>
        <v>0.0694806047541588</v>
      </c>
      <c r="G80" s="295" t="n">
        <f aca="false">G71/G67</f>
        <v>0.0694911506898058</v>
      </c>
    </row>
    <row r="81" customFormat="false" ht="15" hidden="false" customHeight="true" outlineLevel="0" collapsed="false">
      <c r="A81" s="286" t="s">
        <v>34</v>
      </c>
      <c r="B81" s="295" t="n">
        <f aca="false">B78/B67</f>
        <v>0.0187702447680478</v>
      </c>
      <c r="C81" s="295" t="n">
        <f aca="false">C78/C67</f>
        <v>0.0230471309462828</v>
      </c>
      <c r="D81" s="295" t="n">
        <f aca="false">D78/D67</f>
        <v>0.0228822562208598</v>
      </c>
      <c r="E81" s="295" t="n">
        <f aca="false">E78/E67</f>
        <v>0.0233681741912886</v>
      </c>
      <c r="F81" s="295" t="n">
        <f aca="false">F78/F67</f>
        <v>0.02395243564831</v>
      </c>
      <c r="G81" s="295" t="n">
        <f aca="false">G78/G67</f>
        <v>0.0245714717987327</v>
      </c>
    </row>
    <row r="82" customFormat="false" ht="15" hidden="false" customHeight="true" outlineLevel="0" collapsed="false">
      <c r="A82" s="298"/>
      <c r="B82" s="298"/>
      <c r="C82" s="298"/>
      <c r="D82" s="298"/>
      <c r="E82" s="298"/>
      <c r="F82" s="298"/>
      <c r="G82" s="298"/>
    </row>
    <row r="83" customFormat="false" ht="15" hidden="false" customHeight="true" outlineLevel="0" collapsed="false">
      <c r="A83" s="285" t="s">
        <v>1886</v>
      </c>
      <c r="B83" s="300" t="s">
        <v>1428</v>
      </c>
      <c r="C83" s="300" t="s">
        <v>1429</v>
      </c>
      <c r="D83" s="300" t="s">
        <v>1430</v>
      </c>
      <c r="E83" s="300" t="s">
        <v>1431</v>
      </c>
      <c r="F83" s="300" t="s">
        <v>1432</v>
      </c>
      <c r="G83" s="300" t="s">
        <v>1433</v>
      </c>
    </row>
    <row r="84" customFormat="false" ht="15" hidden="false" customHeight="true" outlineLevel="0" collapsed="false">
      <c r="A84" s="286" t="s">
        <v>13</v>
      </c>
      <c r="B84" s="297" t="n">
        <f aca="false">Datos!G17</f>
        <v>9295</v>
      </c>
      <c r="C84" s="297" t="n">
        <f aca="false">B84+C108</f>
        <v>12424.3751978225</v>
      </c>
      <c r="D84" s="297" t="n">
        <f aca="false">C84+D108</f>
        <v>14378.0089568858</v>
      </c>
      <c r="E84" s="297" t="n">
        <f aca="false">D84+E108</f>
        <v>16690.2121510789</v>
      </c>
      <c r="F84" s="297" t="n">
        <f aca="false">E84+F108</f>
        <v>18807.3764604079</v>
      </c>
      <c r="G84" s="297" t="n">
        <f aca="false">F84+G108</f>
        <v>21085.4073805949</v>
      </c>
    </row>
    <row r="85" customFormat="false" ht="15" hidden="false" customHeight="true" outlineLevel="0" collapsed="false">
      <c r="A85" s="286" t="s">
        <v>156</v>
      </c>
      <c r="B85" s="297" t="n">
        <f aca="false">Datos!G18</f>
        <v>32283</v>
      </c>
      <c r="C85" s="297" t="n">
        <f aca="false">-C68*C56/365</f>
        <v>30898.3778560219</v>
      </c>
      <c r="D85" s="297" t="n">
        <f aca="false">-D68*D56/365</f>
        <v>30460.6994148708</v>
      </c>
      <c r="E85" s="297" t="n">
        <f aca="false">-E68*E56/365</f>
        <v>30405.9397083465</v>
      </c>
      <c r="F85" s="297" t="n">
        <f aca="false">-F68*F56/365</f>
        <v>31017.9505782984</v>
      </c>
      <c r="G85" s="297" t="n">
        <f aca="false">-G68*G56/365</f>
        <v>31865.1902552126</v>
      </c>
    </row>
    <row r="86" customFormat="false" ht="15" hidden="false" customHeight="true" outlineLevel="0" collapsed="false">
      <c r="A86" s="286" t="s">
        <v>1477</v>
      </c>
      <c r="B86" s="297" t="n">
        <f aca="false">Datos!G19-Datos!G17-Datos!G18</f>
        <v>6951</v>
      </c>
      <c r="C86" s="297" t="n">
        <f aca="false">C67*C57</f>
        <v>6637.9856373556</v>
      </c>
      <c r="D86" s="297" t="n">
        <f aca="false">D67*D57</f>
        <v>6535.31334936655</v>
      </c>
      <c r="E86" s="297" t="n">
        <f aca="false">E67*E57</f>
        <v>6589.84300140943</v>
      </c>
      <c r="F86" s="297" t="n">
        <f aca="false">F67*F57</f>
        <v>6722.48338637447</v>
      </c>
      <c r="G86" s="297" t="n">
        <f aca="false">G67*G57</f>
        <v>6906.10462975597</v>
      </c>
    </row>
    <row r="87" customFormat="false" ht="15" hidden="false" customHeight="true" outlineLevel="0" collapsed="false">
      <c r="A87" s="285" t="s">
        <v>157</v>
      </c>
      <c r="B87" s="301" t="n">
        <f aca="false">SUM(B84:B86)</f>
        <v>48529</v>
      </c>
      <c r="C87" s="301" t="n">
        <f aca="false">SUM(C84:C86)</f>
        <v>49960.7386912001</v>
      </c>
      <c r="D87" s="301" t="n">
        <f aca="false">SUM(D84:D86)</f>
        <v>51374.0217211232</v>
      </c>
      <c r="E87" s="301" t="n">
        <f aca="false">SUM(E84:E86)</f>
        <v>53685.9948608348</v>
      </c>
      <c r="F87" s="301" t="n">
        <f aca="false">SUM(F84:F86)</f>
        <v>56547.8104250808</v>
      </c>
      <c r="G87" s="301" t="n">
        <f aca="false">SUM(G84:G86)</f>
        <v>59856.7022655635</v>
      </c>
    </row>
    <row r="88" customFormat="false" ht="15" hidden="false" customHeight="true" outlineLevel="0" collapsed="false">
      <c r="A88" s="286" t="s">
        <v>1478</v>
      </c>
      <c r="B88" s="297" t="n">
        <f aca="false">Datos!G20-Datos!G19</f>
        <v>107509</v>
      </c>
      <c r="C88" s="297" t="n">
        <f aca="false">B88-C104+C72</f>
        <v>107211.026273329</v>
      </c>
      <c r="D88" s="297" t="n">
        <f aca="false">C88-D104+D72</f>
        <v>106445.512943321</v>
      </c>
      <c r="E88" s="297" t="n">
        <f aca="false">D88-E104+E72</f>
        <v>105664.672997484</v>
      </c>
      <c r="F88" s="297" t="n">
        <f aca="false">E88-F104+F72</f>
        <v>104858.997082149</v>
      </c>
      <c r="G88" s="297" t="n">
        <f aca="false">F88-G104+G72</f>
        <v>104021.94622851</v>
      </c>
    </row>
    <row r="89" customFormat="false" ht="15" hidden="false" customHeight="true" outlineLevel="0" collapsed="false">
      <c r="A89" s="285" t="s">
        <v>92</v>
      </c>
      <c r="B89" s="301" t="n">
        <f aca="false">B87+B88</f>
        <v>156038</v>
      </c>
      <c r="C89" s="301" t="n">
        <f aca="false">C87+C88</f>
        <v>157171.764964529</v>
      </c>
      <c r="D89" s="301" t="n">
        <f aca="false">D87+D88</f>
        <v>157819.534664445</v>
      </c>
      <c r="E89" s="301" t="n">
        <f aca="false">E87+E88</f>
        <v>159350.667858319</v>
      </c>
      <c r="F89" s="301" t="n">
        <f aca="false">F87+F88</f>
        <v>161406.80750723</v>
      </c>
      <c r="G89" s="301" t="n">
        <f aca="false">G87+G88</f>
        <v>163878.648494074</v>
      </c>
    </row>
    <row r="90" customFormat="false" ht="15" hidden="false" customHeight="true" outlineLevel="0" collapsed="false">
      <c r="A90" s="286" t="s">
        <v>1479</v>
      </c>
      <c r="B90" s="297" t="n">
        <f aca="false">Datos!G21-Datos!G25-Datos!G27</f>
        <v>35543</v>
      </c>
      <c r="C90" s="297" t="n">
        <f aca="false">C67*C58</f>
        <v>33942.4433187355</v>
      </c>
      <c r="D90" s="297" t="n">
        <f aca="false">D67*D58</f>
        <v>33417.4424365609</v>
      </c>
      <c r="E90" s="297" t="n">
        <f aca="false">E67*E58</f>
        <v>33696.272449877</v>
      </c>
      <c r="F90" s="297" t="n">
        <f aca="false">F67*F58</f>
        <v>34374.5111497494</v>
      </c>
      <c r="G90" s="297" t="n">
        <f aca="false">G67*G58</f>
        <v>35313.4335858749</v>
      </c>
    </row>
    <row r="91" customFormat="false" ht="15" hidden="false" customHeight="true" outlineLevel="0" collapsed="false">
      <c r="A91" s="286" t="s">
        <v>1480</v>
      </c>
      <c r="B91" s="297" t="n">
        <f aca="false">Datos!G25+Datos!G26</f>
        <v>11500</v>
      </c>
      <c r="C91" s="297" t="n">
        <f aca="false">MAX(0,B91+C62)</f>
        <v>11500</v>
      </c>
      <c r="D91" s="297" t="n">
        <f aca="false">MAX(0,C91+D62)</f>
        <v>10000</v>
      </c>
      <c r="E91" s="297" t="n">
        <f aca="false">MAX(0,D91+E62)</f>
        <v>8500</v>
      </c>
      <c r="F91" s="297" t="n">
        <f aca="false">MAX(0,E91+F62)</f>
        <v>7000</v>
      </c>
      <c r="G91" s="297" t="n">
        <f aca="false">MAX(0,F91+G62)</f>
        <v>5500</v>
      </c>
    </row>
    <row r="92" customFormat="false" ht="15" hidden="false" customHeight="true" outlineLevel="0" collapsed="false">
      <c r="A92" s="286" t="s">
        <v>1481</v>
      </c>
      <c r="B92" s="297" t="n">
        <f aca="false">Datos!G27+Datos!G28</f>
        <v>12118</v>
      </c>
      <c r="C92" s="297" t="n">
        <f aca="false">B92</f>
        <v>12118</v>
      </c>
      <c r="D92" s="297" t="n">
        <f aca="false">C92</f>
        <v>12118</v>
      </c>
      <c r="E92" s="297" t="n">
        <f aca="false">D92</f>
        <v>12118</v>
      </c>
      <c r="F92" s="297" t="n">
        <f aca="false">E92</f>
        <v>12118</v>
      </c>
      <c r="G92" s="297" t="n">
        <f aca="false">F92</f>
        <v>12118</v>
      </c>
    </row>
    <row r="93" customFormat="false" ht="15" hidden="false" customHeight="true" outlineLevel="0" collapsed="false">
      <c r="A93" s="286" t="s">
        <v>1482</v>
      </c>
      <c r="B93" s="297" t="n">
        <f aca="false">Datos!G23-Datos!G21-Datos!G26-Datos!G28</f>
        <v>12145</v>
      </c>
      <c r="C93" s="297" t="n">
        <f aca="false">B93</f>
        <v>12145</v>
      </c>
      <c r="D93" s="297" t="n">
        <f aca="false">C93</f>
        <v>12145</v>
      </c>
      <c r="E93" s="297" t="n">
        <f aca="false">D93</f>
        <v>12145</v>
      </c>
      <c r="F93" s="297" t="n">
        <f aca="false">E93</f>
        <v>12145</v>
      </c>
      <c r="G93" s="297" t="n">
        <f aca="false">F93</f>
        <v>12145</v>
      </c>
    </row>
    <row r="94" customFormat="false" ht="15" hidden="false" customHeight="true" outlineLevel="0" collapsed="false">
      <c r="A94" s="285" t="s">
        <v>93</v>
      </c>
      <c r="B94" s="301" t="n">
        <f aca="false">SUM(B90:B93)</f>
        <v>71306</v>
      </c>
      <c r="C94" s="301" t="n">
        <f aca="false">SUM(C90:C93)</f>
        <v>69705.4433187355</v>
      </c>
      <c r="D94" s="301" t="n">
        <f aca="false">SUM(D90:D93)</f>
        <v>67680.4424365609</v>
      </c>
      <c r="E94" s="301" t="n">
        <f aca="false">SUM(E90:E93)</f>
        <v>66459.272449877</v>
      </c>
      <c r="F94" s="301" t="n">
        <f aca="false">SUM(F90:F93)</f>
        <v>65637.5111497494</v>
      </c>
      <c r="G94" s="301" t="n">
        <f aca="false">SUM(G90:G93)</f>
        <v>65076.4335858749</v>
      </c>
    </row>
    <row r="95" customFormat="false" ht="15" hidden="false" customHeight="true" outlineLevel="0" collapsed="false">
      <c r="A95" s="286" t="s">
        <v>94</v>
      </c>
      <c r="B95" s="297" t="n">
        <f aca="false">Datos!G24</f>
        <v>84732</v>
      </c>
      <c r="C95" s="297" t="n">
        <f aca="false">B95+C78+C79</f>
        <v>87466.3216457933</v>
      </c>
      <c r="D95" s="297" t="n">
        <f aca="false">C95+D78+D79</f>
        <v>90139.0922278836</v>
      </c>
      <c r="E95" s="297" t="n">
        <f aca="false">D95+E78+E79</f>
        <v>92891.3954084417</v>
      </c>
      <c r="F95" s="297" t="n">
        <f aca="false">E95+F78+F79</f>
        <v>95769.2963574806</v>
      </c>
      <c r="G95" s="297" t="n">
        <f aca="false">F95+G78+G79</f>
        <v>98802.2149081991</v>
      </c>
    </row>
    <row r="96" customFormat="false" ht="15" hidden="false" customHeight="true" outlineLevel="0" collapsed="false">
      <c r="A96" s="285" t="s">
        <v>1483</v>
      </c>
      <c r="B96" s="301" t="n">
        <f aca="false">B94+B95</f>
        <v>156038</v>
      </c>
      <c r="C96" s="301" t="n">
        <f aca="false">C94+C95</f>
        <v>157171.764964529</v>
      </c>
      <c r="D96" s="301" t="n">
        <f aca="false">D94+D95</f>
        <v>157819.534664445</v>
      </c>
      <c r="E96" s="301" t="n">
        <f aca="false">E94+E95</f>
        <v>159350.667858319</v>
      </c>
      <c r="F96" s="301" t="n">
        <f aca="false">F94+F95</f>
        <v>161406.80750723</v>
      </c>
      <c r="G96" s="301" t="n">
        <f aca="false">G94+G95</f>
        <v>163878.648494074</v>
      </c>
    </row>
    <row r="97" customFormat="false" ht="15" hidden="false" customHeight="true" outlineLevel="0" collapsed="false">
      <c r="A97" s="286" t="s">
        <v>1484</v>
      </c>
      <c r="B97" s="297" t="n">
        <f aca="false">B89-B96</f>
        <v>0</v>
      </c>
      <c r="C97" s="297" t="n">
        <f aca="false">C89-C96</f>
        <v>0</v>
      </c>
      <c r="D97" s="297" t="n">
        <f aca="false">D89-D96</f>
        <v>0</v>
      </c>
      <c r="E97" s="297" t="n">
        <f aca="false">E89-E96</f>
        <v>0</v>
      </c>
      <c r="F97" s="297" t="n">
        <f aca="false">F89-F96</f>
        <v>0</v>
      </c>
      <c r="G97" s="297" t="n">
        <f aca="false">G89-G96</f>
        <v>0</v>
      </c>
    </row>
    <row r="98" customFormat="false" ht="15" hidden="false" customHeight="true" outlineLevel="0" collapsed="false">
      <c r="A98" s="298"/>
      <c r="B98" s="298"/>
      <c r="C98" s="298"/>
      <c r="D98" s="298"/>
      <c r="E98" s="298"/>
      <c r="F98" s="298"/>
      <c r="G98" s="298"/>
    </row>
    <row r="99" customFormat="false" ht="15" hidden="false" customHeight="true" outlineLevel="0" collapsed="false">
      <c r="A99" s="285" t="s">
        <v>1888</v>
      </c>
      <c r="B99" s="300" t="s">
        <v>1428</v>
      </c>
      <c r="C99" s="300" t="s">
        <v>1429</v>
      </c>
      <c r="D99" s="300" t="s">
        <v>1430</v>
      </c>
      <c r="E99" s="300" t="s">
        <v>1431</v>
      </c>
      <c r="F99" s="300" t="s">
        <v>1432</v>
      </c>
      <c r="G99" s="300" t="s">
        <v>1433</v>
      </c>
    </row>
    <row r="100" customFormat="false" ht="15" hidden="false" customHeight="true" outlineLevel="0" collapsed="false">
      <c r="A100" s="286" t="s">
        <v>89</v>
      </c>
      <c r="B100" s="302"/>
      <c r="C100" s="297" t="n">
        <f aca="false">C78</f>
        <v>3906.97782247391</v>
      </c>
      <c r="D100" s="297" t="n">
        <f aca="false">D78</f>
        <v>3819.02963203058</v>
      </c>
      <c r="E100" s="297" t="n">
        <f aca="false">E78</f>
        <v>3932.67101685285</v>
      </c>
      <c r="F100" s="297" t="n">
        <f aca="false">F78</f>
        <v>4112.13333313227</v>
      </c>
      <c r="G100" s="297" t="n">
        <f aca="false">G78</f>
        <v>4333.63263362116</v>
      </c>
    </row>
    <row r="101" customFormat="false" ht="15" hidden="false" customHeight="true" outlineLevel="0" collapsed="false">
      <c r="A101" s="286" t="s">
        <v>1445</v>
      </c>
      <c r="B101" s="302"/>
      <c r="C101" s="297" t="n">
        <f aca="false">-C72</f>
        <v>4130.01270581607</v>
      </c>
      <c r="D101" s="297" t="n">
        <f aca="false">-D72</f>
        <v>4066.13220394458</v>
      </c>
      <c r="E101" s="297" t="n">
        <f aca="false">-E72</f>
        <v>4102.78286859152</v>
      </c>
      <c r="F101" s="297" t="n">
        <f aca="false">-F72</f>
        <v>4188.14199729641</v>
      </c>
      <c r="G101" s="297" t="n">
        <f aca="false">-G72</f>
        <v>4305.39317115882</v>
      </c>
    </row>
    <row r="102" customFormat="false" ht="15" hidden="false" customHeight="true" outlineLevel="0" collapsed="false">
      <c r="A102" s="286" t="s">
        <v>1486</v>
      </c>
      <c r="B102" s="302"/>
      <c r="C102" s="297" t="n">
        <f aca="false">-(C85-B85)</f>
        <v>1384.62214397806</v>
      </c>
      <c r="D102" s="297" t="n">
        <f aca="false">-(D85-C85)</f>
        <v>437.678441151093</v>
      </c>
      <c r="E102" s="297" t="n">
        <f aca="false">-(E85-D85)</f>
        <v>54.7597065243572</v>
      </c>
      <c r="F102" s="297" t="n">
        <f aca="false">-(F85-E85)</f>
        <v>-612.010869951904</v>
      </c>
      <c r="G102" s="297" t="n">
        <f aca="false">-(G85-F85)</f>
        <v>-847.2396769142</v>
      </c>
    </row>
    <row r="103" customFormat="false" ht="15" hidden="false" customHeight="true" outlineLevel="0" collapsed="false">
      <c r="A103" s="286" t="s">
        <v>1487</v>
      </c>
      <c r="B103" s="302"/>
      <c r="C103" s="297" t="n">
        <f aca="false">-(C86-B86)</f>
        <v>313.014362644396</v>
      </c>
      <c r="D103" s="297" t="n">
        <f aca="false">-(D86-C86)</f>
        <v>102.672287989059</v>
      </c>
      <c r="E103" s="297" t="n">
        <f aca="false">-(E86-D86)</f>
        <v>-54.5296520428819</v>
      </c>
      <c r="F103" s="297" t="n">
        <f aca="false">-(F86-E86)</f>
        <v>-132.640384965046</v>
      </c>
      <c r="G103" s="297" t="n">
        <f aca="false">-(G86-F86)</f>
        <v>-183.621243381498</v>
      </c>
    </row>
    <row r="104" customFormat="false" ht="15" hidden="false" customHeight="true" outlineLevel="0" collapsed="false">
      <c r="A104" s="286" t="s">
        <v>1446</v>
      </c>
      <c r="B104" s="302"/>
      <c r="C104" s="297" t="n">
        <f aca="false">-C67*C51</f>
        <v>-3832.0389791448</v>
      </c>
      <c r="D104" s="297" t="n">
        <f aca="false">-D67*D51</f>
        <v>-3300.61887393722</v>
      </c>
      <c r="E104" s="297" t="n">
        <f aca="false">-E67*E51</f>
        <v>-3321.94292275407</v>
      </c>
      <c r="F104" s="297" t="n">
        <f aca="false">-F67*F51</f>
        <v>-3382.46608196171</v>
      </c>
      <c r="G104" s="297" t="n">
        <f aca="false">-G67*G51</f>
        <v>-3468.34231752008</v>
      </c>
    </row>
    <row r="105" customFormat="false" ht="15" hidden="false" customHeight="true" outlineLevel="0" collapsed="false">
      <c r="A105" s="286" t="s">
        <v>1488</v>
      </c>
      <c r="B105" s="302"/>
      <c r="C105" s="297" t="n">
        <f aca="false">C90-B90</f>
        <v>-1600.55668126454</v>
      </c>
      <c r="D105" s="297" t="n">
        <f aca="false">D90-C90</f>
        <v>-525.000882174521</v>
      </c>
      <c r="E105" s="297" t="n">
        <f aca="false">E90-D90</f>
        <v>278.830013316096</v>
      </c>
      <c r="F105" s="297" t="n">
        <f aca="false">F90-E90</f>
        <v>678.238699872338</v>
      </c>
      <c r="G105" s="297" t="n">
        <f aca="false">G90-F90</f>
        <v>938.922436125533</v>
      </c>
    </row>
    <row r="106" customFormat="false" ht="15" hidden="false" customHeight="true" outlineLevel="0" collapsed="false">
      <c r="A106" s="286" t="s">
        <v>2692</v>
      </c>
      <c r="B106" s="302"/>
      <c r="C106" s="297" t="n">
        <f aca="false">C79</f>
        <v>-1172.65617668058</v>
      </c>
      <c r="D106" s="297" t="n">
        <f aca="false">D79</f>
        <v>-1146.25904994032</v>
      </c>
      <c r="E106" s="297" t="n">
        <f aca="false">E79</f>
        <v>-1180.36783629478</v>
      </c>
      <c r="F106" s="297" t="n">
        <f aca="false">F79</f>
        <v>-1234.23238409331</v>
      </c>
      <c r="G106" s="297" t="n">
        <f aca="false">G79</f>
        <v>-1300.71408290272</v>
      </c>
    </row>
    <row r="107" customFormat="false" ht="15" hidden="false" customHeight="true" outlineLevel="0" collapsed="false">
      <c r="A107" s="286" t="s">
        <v>2693</v>
      </c>
      <c r="B107" s="302"/>
      <c r="C107" s="297" t="n">
        <f aca="false">C91-B91</f>
        <v>0</v>
      </c>
      <c r="D107" s="297" t="n">
        <f aca="false">D91-C91</f>
        <v>-1500</v>
      </c>
      <c r="E107" s="297" t="n">
        <f aca="false">E91-D91</f>
        <v>-1500</v>
      </c>
      <c r="F107" s="297" t="n">
        <f aca="false">F91-E91</f>
        <v>-1500</v>
      </c>
      <c r="G107" s="297" t="n">
        <f aca="false">G91-F91</f>
        <v>-1500</v>
      </c>
    </row>
    <row r="108" customFormat="false" ht="15" hidden="false" customHeight="true" outlineLevel="0" collapsed="false">
      <c r="A108" s="285" t="s">
        <v>1894</v>
      </c>
      <c r="B108" s="300"/>
      <c r="C108" s="301" t="n">
        <f aca="false">SUM(C100:C107)</f>
        <v>3129.37519782252</v>
      </c>
      <c r="D108" s="301" t="n">
        <f aca="false">SUM(D100:D107)</f>
        <v>1953.63375906326</v>
      </c>
      <c r="E108" s="301" t="n">
        <f aca="false">SUM(E100:E107)</f>
        <v>2312.2031941931</v>
      </c>
      <c r="F108" s="301" t="n">
        <f aca="false">SUM(F100:F107)</f>
        <v>2117.16430932904</v>
      </c>
      <c r="G108" s="301" t="n">
        <f aca="false">SUM(G100:G107)</f>
        <v>2278.03092018702</v>
      </c>
    </row>
    <row r="109" customFormat="false" ht="15" hidden="false" customHeight="true" outlineLevel="0" collapsed="false">
      <c r="A109" s="298"/>
      <c r="B109" s="298"/>
      <c r="C109" s="298"/>
      <c r="D109" s="298"/>
      <c r="E109" s="298"/>
      <c r="F109" s="298"/>
      <c r="G109" s="298"/>
    </row>
    <row r="110" customFormat="false" ht="15" hidden="false" customHeight="true" outlineLevel="0" collapsed="false">
      <c r="A110" s="285" t="s">
        <v>1895</v>
      </c>
      <c r="B110" s="300" t="s">
        <v>1428</v>
      </c>
      <c r="C110" s="300" t="s">
        <v>1429</v>
      </c>
      <c r="D110" s="300" t="s">
        <v>1430</v>
      </c>
      <c r="E110" s="300" t="s">
        <v>1431</v>
      </c>
      <c r="F110" s="300" t="s">
        <v>1432</v>
      </c>
      <c r="G110" s="300" t="s">
        <v>1433</v>
      </c>
    </row>
    <row r="111" customFormat="false" ht="15" hidden="false" customHeight="true" outlineLevel="0" collapsed="false">
      <c r="A111" s="286" t="s">
        <v>81</v>
      </c>
      <c r="B111" s="302"/>
      <c r="C111" s="297" t="n">
        <f aca="false">C73</f>
        <v>7695.70522736961</v>
      </c>
      <c r="D111" s="297" t="n">
        <f aca="false">D73</f>
        <v>7541.62395564329</v>
      </c>
      <c r="E111" s="297" t="n">
        <f aca="false">E73</f>
        <v>7593.5039164933</v>
      </c>
      <c r="F111" s="297" t="n">
        <f aca="false">F73</f>
        <v>7740.22783576996</v>
      </c>
      <c r="G111" s="297" t="n">
        <f aca="false">G73</f>
        <v>7950.65403854719</v>
      </c>
    </row>
    <row r="112" customFormat="false" ht="15" hidden="false" customHeight="true" outlineLevel="0" collapsed="false">
      <c r="A112" s="286" t="s">
        <v>1443</v>
      </c>
      <c r="B112" s="302"/>
      <c r="C112" s="297" t="n">
        <f aca="false">-C111*C55</f>
        <v>-2058.75661843135</v>
      </c>
      <c r="D112" s="297" t="n">
        <f aca="false">-D111*D55</f>
        <v>-2043.93244930997</v>
      </c>
      <c r="E112" s="297" t="n">
        <f aca="false">-E111*E55</f>
        <v>-2100.99725474609</v>
      </c>
      <c r="F112" s="297" t="n">
        <f aca="false">-F111*F55</f>
        <v>-2185.42857200854</v>
      </c>
      <c r="G112" s="297" t="n">
        <f aca="false">-G111*G55</f>
        <v>-2289.86867341892</v>
      </c>
    </row>
    <row r="113" customFormat="false" ht="15" hidden="false" customHeight="true" outlineLevel="0" collapsed="false">
      <c r="A113" s="286" t="s">
        <v>2694</v>
      </c>
      <c r="B113" s="302"/>
      <c r="C113" s="297" t="n">
        <f aca="false">C111+C112</f>
        <v>5636.94860893826</v>
      </c>
      <c r="D113" s="297" t="n">
        <f aca="false">D111+D112</f>
        <v>5497.69150633332</v>
      </c>
      <c r="E113" s="297" t="n">
        <f aca="false">E111+E112</f>
        <v>5492.50666174721</v>
      </c>
      <c r="F113" s="297" t="n">
        <f aca="false">F111+F112</f>
        <v>5554.79926376142</v>
      </c>
      <c r="G113" s="297" t="n">
        <f aca="false">G111+G112</f>
        <v>5660.78536512827</v>
      </c>
    </row>
    <row r="114" customFormat="false" ht="15" hidden="false" customHeight="true" outlineLevel="0" collapsed="false">
      <c r="A114" s="286" t="s">
        <v>1445</v>
      </c>
      <c r="B114" s="302"/>
      <c r="C114" s="297" t="n">
        <f aca="false">C101</f>
        <v>4130.01270581607</v>
      </c>
      <c r="D114" s="297" t="n">
        <f aca="false">D101</f>
        <v>4066.13220394458</v>
      </c>
      <c r="E114" s="297" t="n">
        <f aca="false">E101</f>
        <v>4102.78286859152</v>
      </c>
      <c r="F114" s="297" t="n">
        <f aca="false">F101</f>
        <v>4188.14199729641</v>
      </c>
      <c r="G114" s="297" t="n">
        <f aca="false">G101</f>
        <v>4305.39317115882</v>
      </c>
    </row>
    <row r="115" customFormat="false" ht="15" hidden="false" customHeight="true" outlineLevel="0" collapsed="false">
      <c r="A115" s="286" t="s">
        <v>1446</v>
      </c>
      <c r="B115" s="302"/>
      <c r="C115" s="297" t="n">
        <f aca="false">C104</f>
        <v>-3832.0389791448</v>
      </c>
      <c r="D115" s="297" t="n">
        <f aca="false">D104</f>
        <v>-3300.61887393722</v>
      </c>
      <c r="E115" s="297" t="n">
        <f aca="false">E104</f>
        <v>-3321.94292275407</v>
      </c>
      <c r="F115" s="297" t="n">
        <f aca="false">F104</f>
        <v>-3382.46608196171</v>
      </c>
      <c r="G115" s="297" t="n">
        <f aca="false">G104</f>
        <v>-3468.34231752008</v>
      </c>
    </row>
    <row r="116" customFormat="false" ht="15" hidden="false" customHeight="true" outlineLevel="0" collapsed="false">
      <c r="A116" s="286" t="s">
        <v>1447</v>
      </c>
      <c r="B116" s="302"/>
      <c r="C116" s="297" t="n">
        <f aca="false">C102+C103+C105</f>
        <v>97.0798253579187</v>
      </c>
      <c r="D116" s="297" t="n">
        <f aca="false">D102+D103+D105</f>
        <v>15.3498469656297</v>
      </c>
      <c r="E116" s="297" t="n">
        <f aca="false">E102+E103+E105</f>
        <v>279.060067797571</v>
      </c>
      <c r="F116" s="297" t="n">
        <f aca="false">F102+F103+F105</f>
        <v>-66.4125550446124</v>
      </c>
      <c r="G116" s="297" t="n">
        <f aca="false">G102+G103+G105</f>
        <v>-91.9384841701649</v>
      </c>
    </row>
    <row r="117" customFormat="false" ht="15" hidden="false" customHeight="true" outlineLevel="0" collapsed="false">
      <c r="A117" s="285" t="s">
        <v>2695</v>
      </c>
      <c r="B117" s="300"/>
      <c r="C117" s="301" t="n">
        <f aca="false">SUM(C113:C116)</f>
        <v>6032.00216096745</v>
      </c>
      <c r="D117" s="301" t="n">
        <f aca="false">SUM(D113:D116)</f>
        <v>6278.55468330631</v>
      </c>
      <c r="E117" s="301" t="n">
        <f aca="false">SUM(E113:E116)</f>
        <v>6552.40667538223</v>
      </c>
      <c r="F117" s="301" t="n">
        <f aca="false">SUM(F113:F116)</f>
        <v>6294.0626240515</v>
      </c>
      <c r="G117" s="301" t="n">
        <f aca="false">SUM(G113:G116)</f>
        <v>6405.89773459684</v>
      </c>
    </row>
    <row r="118" customFormat="false" ht="15" hidden="false" customHeight="true" outlineLevel="0" collapsed="false">
      <c r="A118" s="286" t="s">
        <v>1441</v>
      </c>
      <c r="B118" s="302"/>
      <c r="C118" s="303" t="n">
        <v>1</v>
      </c>
      <c r="D118" s="303" t="n">
        <f aca="false">C118+1</f>
        <v>2</v>
      </c>
      <c r="E118" s="303" t="n">
        <f aca="false">D118+1</f>
        <v>3</v>
      </c>
      <c r="F118" s="303" t="n">
        <f aca="false">E118+1</f>
        <v>4</v>
      </c>
      <c r="G118" s="303" t="n">
        <f aca="false">F118+1</f>
        <v>5</v>
      </c>
    </row>
    <row r="119" customFormat="false" ht="15" hidden="false" customHeight="true" outlineLevel="0" collapsed="false">
      <c r="A119" s="286" t="s">
        <v>1449</v>
      </c>
      <c r="B119" s="302"/>
      <c r="C119" s="304" t="n">
        <f aca="false">1/(1+$B$126)^C118</f>
        <v>0.915151146095477</v>
      </c>
      <c r="D119" s="304" t="n">
        <f aca="false">1/(1+$B$126)^D118</f>
        <v>0.837501620199865</v>
      </c>
      <c r="E119" s="304" t="n">
        <f aca="false">1/(1+$B$126)^E118</f>
        <v>0.766440567582725</v>
      </c>
      <c r="F119" s="304" t="n">
        <f aca="false">1/(1+$B$126)^F118</f>
        <v>0.701408963837399</v>
      </c>
      <c r="G119" s="304" t="n">
        <f aca="false">1/(1+$B$126)^G118</f>
        <v>0.641895217137436</v>
      </c>
    </row>
    <row r="120" customFormat="false" ht="15" hidden="false" customHeight="true" outlineLevel="0" collapsed="false">
      <c r="A120" s="286" t="s">
        <v>1450</v>
      </c>
      <c r="B120" s="302"/>
      <c r="C120" s="297" t="n">
        <f aca="false">C117*C119</f>
        <v>5520.19369085976</v>
      </c>
      <c r="D120" s="297" t="n">
        <f aca="false">D117*D119</f>
        <v>5258.29971978248</v>
      </c>
      <c r="E120" s="297" t="n">
        <f aca="false">E117*E119</f>
        <v>5022.0302913128</v>
      </c>
      <c r="F120" s="297" t="n">
        <f aca="false">F117*F119</f>
        <v>4414.71194346366</v>
      </c>
      <c r="G120" s="297" t="n">
        <f aca="false">G117*G119</f>
        <v>4111.91511730925</v>
      </c>
    </row>
    <row r="121" customFormat="false" ht="15" hidden="false" customHeight="true" outlineLevel="0" collapsed="false">
      <c r="A121" s="298"/>
      <c r="B121" s="298"/>
      <c r="C121" s="298"/>
      <c r="D121" s="298"/>
      <c r="E121" s="298"/>
      <c r="F121" s="298"/>
      <c r="G121" s="298"/>
    </row>
    <row r="122" customFormat="false" ht="15" hidden="false" customHeight="true" outlineLevel="0" collapsed="false">
      <c r="A122" s="285" t="s">
        <v>1901</v>
      </c>
      <c r="B122" s="300" t="s">
        <v>78</v>
      </c>
      <c r="C122" s="300"/>
      <c r="D122" s="300"/>
      <c r="E122" s="300"/>
      <c r="F122" s="300"/>
      <c r="G122" s="300"/>
    </row>
    <row r="123" customFormat="false" ht="15" hidden="false" customHeight="true" outlineLevel="0" collapsed="false">
      <c r="A123" s="286" t="s">
        <v>1903</v>
      </c>
      <c r="B123" s="296" t="n">
        <f aca="false">Escenarios!$M$11</f>
        <v>0.035</v>
      </c>
      <c r="C123" s="302"/>
      <c r="D123" s="302"/>
      <c r="E123" s="302"/>
      <c r="F123" s="302"/>
      <c r="G123" s="302"/>
    </row>
    <row r="124" customFormat="false" ht="15" hidden="false" customHeight="true" outlineLevel="0" collapsed="false">
      <c r="A124" s="286" t="s">
        <v>1904</v>
      </c>
      <c r="B124" s="296" t="n">
        <f aca="false">B220</f>
        <v>0.0927156724509757</v>
      </c>
      <c r="C124" s="302"/>
      <c r="D124" s="302"/>
      <c r="E124" s="302"/>
      <c r="F124" s="302"/>
      <c r="G124" s="302"/>
    </row>
    <row r="125" customFormat="false" ht="15" hidden="false" customHeight="true" outlineLevel="0" collapsed="false">
      <c r="A125" s="286" t="s">
        <v>1905</v>
      </c>
      <c r="B125" s="296" t="n">
        <v>0</v>
      </c>
      <c r="C125" s="302"/>
      <c r="D125" s="302"/>
      <c r="E125" s="302"/>
      <c r="F125" s="302"/>
      <c r="G125" s="302"/>
    </row>
    <row r="126" customFormat="false" ht="15" hidden="false" customHeight="true" outlineLevel="0" collapsed="false">
      <c r="A126" s="286" t="s">
        <v>1906</v>
      </c>
      <c r="B126" s="296" t="n">
        <f aca="false">B124+B125</f>
        <v>0.0927156724509757</v>
      </c>
      <c r="C126" s="302"/>
      <c r="D126" s="302"/>
      <c r="E126" s="302"/>
      <c r="F126" s="302"/>
      <c r="G126" s="302"/>
    </row>
    <row r="127" customFormat="false" ht="15" hidden="false" customHeight="true" outlineLevel="0" collapsed="false">
      <c r="A127" s="286" t="s">
        <v>1907</v>
      </c>
      <c r="B127" s="297" t="n">
        <f aca="false">G117</f>
        <v>6405.89773459684</v>
      </c>
      <c r="C127" s="302"/>
      <c r="D127" s="302"/>
      <c r="E127" s="302"/>
      <c r="F127" s="302"/>
      <c r="G127" s="302"/>
    </row>
    <row r="128" customFormat="false" ht="15" hidden="false" customHeight="true" outlineLevel="0" collapsed="false">
      <c r="A128" s="286" t="s">
        <v>2696</v>
      </c>
      <c r="B128" s="297" t="n">
        <f aca="false">B127*(1+B123)</f>
        <v>6630.10415530773</v>
      </c>
      <c r="C128" s="302"/>
      <c r="D128" s="302"/>
      <c r="E128" s="302"/>
      <c r="F128" s="302"/>
      <c r="G128" s="302"/>
    </row>
    <row r="129" customFormat="false" ht="15" hidden="false" customHeight="true" outlineLevel="0" collapsed="false">
      <c r="A129" s="285" t="s">
        <v>2697</v>
      </c>
      <c r="B129" s="301" t="n">
        <f aca="false">IF(B126&gt;B123,B128/(B126-B123),"REVISAR WACC/g")</f>
        <v>114875.282115779</v>
      </c>
      <c r="C129" s="300"/>
      <c r="D129" s="300"/>
      <c r="E129" s="300"/>
      <c r="F129" s="300"/>
      <c r="G129" s="300"/>
    </row>
    <row r="130" customFormat="false" ht="15" hidden="false" customHeight="true" outlineLevel="0" collapsed="false">
      <c r="A130" s="286" t="s">
        <v>1910</v>
      </c>
      <c r="B130" s="304" t="n">
        <f aca="false">G119</f>
        <v>0.641895217137436</v>
      </c>
      <c r="C130" s="302"/>
      <c r="D130" s="302"/>
      <c r="E130" s="302"/>
      <c r="F130" s="302"/>
      <c r="G130" s="302"/>
    </row>
    <row r="131" customFormat="false" ht="15" hidden="false" customHeight="true" outlineLevel="0" collapsed="false">
      <c r="A131" s="286" t="s">
        <v>1498</v>
      </c>
      <c r="B131" s="297" t="n">
        <f aca="false">B129*B130</f>
        <v>73737.8941574323</v>
      </c>
      <c r="C131" s="302"/>
      <c r="D131" s="302"/>
      <c r="E131" s="302"/>
      <c r="F131" s="302"/>
      <c r="G131" s="302"/>
    </row>
    <row r="132" customFormat="false" ht="15" hidden="false" customHeight="true" outlineLevel="0" collapsed="false">
      <c r="A132" s="298"/>
      <c r="B132" s="298"/>
      <c r="C132" s="298"/>
      <c r="D132" s="298"/>
      <c r="E132" s="298"/>
      <c r="F132" s="298"/>
      <c r="G132" s="298"/>
    </row>
    <row r="133" customFormat="false" ht="15" hidden="false" customHeight="true" outlineLevel="0" collapsed="false">
      <c r="A133" s="285" t="s">
        <v>1911</v>
      </c>
      <c r="B133" s="300" t="s">
        <v>78</v>
      </c>
      <c r="C133" s="300"/>
      <c r="D133" s="300"/>
      <c r="E133" s="300"/>
      <c r="F133" s="300"/>
      <c r="G133" s="300"/>
    </row>
    <row r="134" customFormat="false" ht="15" hidden="false" customHeight="true" outlineLevel="0" collapsed="false">
      <c r="A134" s="286" t="s">
        <v>1913</v>
      </c>
      <c r="B134" s="297" t="n">
        <f aca="false">SUM(C120:G120)</f>
        <v>24327.150762728</v>
      </c>
      <c r="C134" s="302"/>
      <c r="D134" s="302"/>
      <c r="E134" s="302"/>
      <c r="F134" s="302"/>
      <c r="G134" s="302"/>
    </row>
    <row r="135" customFormat="false" ht="15" hidden="false" customHeight="true" outlineLevel="0" collapsed="false">
      <c r="A135" s="286" t="s">
        <v>1914</v>
      </c>
      <c r="B135" s="297" t="n">
        <f aca="false">B131</f>
        <v>73737.8941574323</v>
      </c>
      <c r="C135" s="302"/>
      <c r="D135" s="302"/>
      <c r="E135" s="302"/>
      <c r="F135" s="302"/>
      <c r="G135" s="302"/>
    </row>
    <row r="136" customFormat="false" ht="15" hidden="false" customHeight="true" outlineLevel="0" collapsed="false">
      <c r="A136" s="285" t="s">
        <v>1915</v>
      </c>
      <c r="B136" s="301" t="n">
        <f aca="false">B134+B135</f>
        <v>98065.0449201602</v>
      </c>
      <c r="C136" s="300"/>
      <c r="D136" s="300"/>
      <c r="E136" s="300"/>
      <c r="F136" s="300"/>
      <c r="G136" s="300"/>
    </row>
    <row r="137" customFormat="false" ht="15" hidden="false" customHeight="true" outlineLevel="0" collapsed="false">
      <c r="A137" s="286" t="s">
        <v>1461</v>
      </c>
      <c r="B137" s="295" t="n">
        <f aca="false">B135/B136</f>
        <v>0.751928418708889</v>
      </c>
      <c r="C137" s="302"/>
      <c r="D137" s="302"/>
      <c r="E137" s="302"/>
      <c r="F137" s="302"/>
      <c r="G137" s="302"/>
    </row>
    <row r="138" customFormat="false" ht="15" hidden="false" customHeight="true" outlineLevel="0" collapsed="false">
      <c r="A138" s="298"/>
      <c r="B138" s="298"/>
      <c r="C138" s="298"/>
      <c r="D138" s="298"/>
      <c r="E138" s="298"/>
      <c r="F138" s="298"/>
      <c r="G138" s="298"/>
    </row>
    <row r="139" customFormat="false" ht="15" hidden="false" customHeight="true" outlineLevel="0" collapsed="false">
      <c r="A139" s="285" t="s">
        <v>1916</v>
      </c>
      <c r="B139" s="300" t="s">
        <v>78</v>
      </c>
      <c r="C139" s="300"/>
      <c r="D139" s="300"/>
      <c r="E139" s="300"/>
      <c r="F139" s="300"/>
      <c r="G139" s="300"/>
    </row>
    <row r="140" customFormat="false" ht="15" hidden="false" customHeight="true" outlineLevel="0" collapsed="false">
      <c r="A140" s="286" t="s">
        <v>1915</v>
      </c>
      <c r="B140" s="297" t="n">
        <f aca="false">B136</f>
        <v>98065.0449201602</v>
      </c>
      <c r="C140" s="302"/>
      <c r="D140" s="302"/>
      <c r="E140" s="302"/>
      <c r="F140" s="302"/>
      <c r="G140" s="302"/>
    </row>
    <row r="141" customFormat="false" ht="15" hidden="false" customHeight="true" outlineLevel="0" collapsed="false">
      <c r="A141" s="286" t="s">
        <v>1502</v>
      </c>
      <c r="B141" s="297" t="n">
        <f aca="false">-B91</f>
        <v>-11500</v>
      </c>
      <c r="C141" s="302"/>
      <c r="D141" s="302"/>
      <c r="E141" s="302"/>
      <c r="F141" s="302"/>
      <c r="G141" s="302"/>
    </row>
    <row r="142" customFormat="false" ht="15" hidden="false" customHeight="true" outlineLevel="0" collapsed="false">
      <c r="A142" s="286" t="s">
        <v>1503</v>
      </c>
      <c r="B142" s="297" t="n">
        <f aca="false">-B92</f>
        <v>-12118</v>
      </c>
      <c r="C142" s="302"/>
      <c r="D142" s="302"/>
      <c r="E142" s="302"/>
      <c r="F142" s="302"/>
      <c r="G142" s="302"/>
    </row>
    <row r="143" customFormat="false" ht="15" hidden="false" customHeight="true" outlineLevel="0" collapsed="false">
      <c r="A143" s="286" t="s">
        <v>1504</v>
      </c>
      <c r="B143" s="297" t="n">
        <f aca="false">B84</f>
        <v>9295</v>
      </c>
      <c r="C143" s="302"/>
      <c r="D143" s="302"/>
      <c r="E143" s="302"/>
      <c r="F143" s="302"/>
      <c r="G143" s="302"/>
    </row>
    <row r="144" customFormat="false" ht="15" hidden="false" customHeight="true" outlineLevel="0" collapsed="false">
      <c r="A144" s="286" t="s">
        <v>1920</v>
      </c>
      <c r="B144" s="297" t="n">
        <f aca="false">-(B141+B142+B143)</f>
        <v>14323</v>
      </c>
      <c r="C144" s="302"/>
      <c r="D144" s="302"/>
      <c r="E144" s="302"/>
      <c r="F144" s="302"/>
      <c r="G144" s="302"/>
    </row>
    <row r="145" customFormat="false" ht="15" hidden="false" customHeight="true" outlineLevel="0" collapsed="false">
      <c r="A145" s="285" t="s">
        <v>1921</v>
      </c>
      <c r="B145" s="301" t="n">
        <f aca="false">SUM(B140:B143)</f>
        <v>83742.0449201602</v>
      </c>
      <c r="C145" s="300"/>
      <c r="D145" s="300"/>
      <c r="E145" s="300"/>
      <c r="F145" s="300"/>
      <c r="G145" s="300"/>
    </row>
    <row r="146" customFormat="false" ht="15" hidden="false" customHeight="true" outlineLevel="0" collapsed="false">
      <c r="A146" s="298"/>
      <c r="B146" s="298"/>
      <c r="C146" s="298"/>
      <c r="D146" s="298"/>
      <c r="E146" s="298"/>
      <c r="F146" s="298"/>
      <c r="G146" s="298"/>
    </row>
    <row r="147" customFormat="false" ht="15" hidden="false" customHeight="true" outlineLevel="0" collapsed="false">
      <c r="A147" s="285" t="s">
        <v>1922</v>
      </c>
      <c r="B147" s="300" t="s">
        <v>78</v>
      </c>
      <c r="C147" s="300"/>
      <c r="D147" s="300"/>
      <c r="E147" s="300"/>
      <c r="F147" s="300"/>
      <c r="G147" s="300"/>
    </row>
    <row r="148" customFormat="false" ht="15" hidden="false" customHeight="true" outlineLevel="0" collapsed="false">
      <c r="A148" s="286" t="s">
        <v>1924</v>
      </c>
      <c r="B148" s="297" t="n">
        <f aca="false">B145</f>
        <v>83742.0449201602</v>
      </c>
      <c r="C148" s="302"/>
      <c r="D148" s="302"/>
      <c r="E148" s="302"/>
      <c r="F148" s="302"/>
      <c r="G148" s="302"/>
    </row>
    <row r="149" customFormat="false" ht="15" hidden="false" customHeight="true" outlineLevel="0" collapsed="false">
      <c r="A149" s="286" t="s">
        <v>57</v>
      </c>
      <c r="B149" s="305" t="n">
        <f aca="false">Valuación!B40</f>
        <v>1800</v>
      </c>
      <c r="C149" s="302"/>
      <c r="D149" s="302"/>
      <c r="E149" s="302"/>
      <c r="F149" s="302"/>
      <c r="G149" s="302"/>
    </row>
    <row r="150" customFormat="false" ht="15" hidden="false" customHeight="true" outlineLevel="0" collapsed="false">
      <c r="A150" s="285" t="s">
        <v>1925</v>
      </c>
      <c r="B150" s="306" t="n">
        <f aca="false">B148/B149</f>
        <v>46.5233582889779</v>
      </c>
      <c r="C150" s="300"/>
      <c r="D150" s="300"/>
      <c r="E150" s="300"/>
      <c r="F150" s="300"/>
      <c r="G150" s="300"/>
    </row>
    <row r="151" customFormat="false" ht="15" hidden="false" customHeight="true" outlineLevel="0" collapsed="false">
      <c r="A151" s="286" t="s">
        <v>16</v>
      </c>
      <c r="B151" s="307" t="n">
        <f aca="false">Valuación!B42</f>
        <v>33.1</v>
      </c>
      <c r="C151" s="302"/>
      <c r="D151" s="302"/>
      <c r="E151" s="302"/>
      <c r="F151" s="302"/>
      <c r="G151" s="302"/>
    </row>
    <row r="152" customFormat="false" ht="15" hidden="false" customHeight="true" outlineLevel="0" collapsed="false">
      <c r="A152" s="286" t="s">
        <v>17</v>
      </c>
      <c r="B152" s="295" t="n">
        <f aca="false">B150/B151-1</f>
        <v>0.405539525346764</v>
      </c>
      <c r="C152" s="302"/>
      <c r="D152" s="302"/>
      <c r="E152" s="302"/>
      <c r="F152" s="302"/>
      <c r="G152" s="302"/>
    </row>
    <row r="153" customFormat="false" ht="15" hidden="false" customHeight="true" outlineLevel="0" collapsed="false">
      <c r="A153" s="286" t="s">
        <v>1926</v>
      </c>
      <c r="B153" s="307" t="n">
        <f aca="false">'Proyección Soriana'!B85</f>
        <v>50.1939335833512</v>
      </c>
      <c r="C153" s="302"/>
      <c r="D153" s="302"/>
      <c r="E153" s="302"/>
      <c r="F153" s="302"/>
      <c r="G153" s="302"/>
    </row>
    <row r="154" customFormat="false" ht="15" hidden="false" customHeight="true" outlineLevel="0" collapsed="false">
      <c r="A154" s="286" t="s">
        <v>1927</v>
      </c>
      <c r="B154" s="295" t="n">
        <f aca="false">B150/B153-1</f>
        <v>-0.0731278669020429</v>
      </c>
      <c r="C154" s="302"/>
      <c r="D154" s="302"/>
      <c r="E154" s="302"/>
      <c r="F154" s="302"/>
      <c r="G154" s="302"/>
    </row>
    <row r="155" customFormat="false" ht="15" hidden="false" customHeight="true" outlineLevel="0" collapsed="false">
      <c r="A155" s="286" t="s">
        <v>2698</v>
      </c>
      <c r="B155" s="295" t="n">
        <v>0.15</v>
      </c>
      <c r="C155" s="302"/>
      <c r="D155" s="302"/>
      <c r="E155" s="302"/>
      <c r="F155" s="302"/>
      <c r="G155" s="302"/>
    </row>
    <row r="156" customFormat="false" ht="15" hidden="false" customHeight="true" outlineLevel="0" collapsed="false">
      <c r="A156" s="285" t="s">
        <v>1929</v>
      </c>
      <c r="B156" s="300" t="str">
        <f aca="false">IF(B152&gt;B155,"COMPRAR",IF(B152&lt;-B155,"VENDER","MANTENER"))</f>
        <v>COMPRAR</v>
      </c>
      <c r="C156" s="300"/>
      <c r="D156" s="300"/>
      <c r="E156" s="300"/>
      <c r="F156" s="300"/>
      <c r="G156" s="300"/>
    </row>
    <row r="157" customFormat="false" ht="15" hidden="false" customHeight="true" outlineLevel="0" collapsed="false">
      <c r="A157" s="286" t="s">
        <v>1930</v>
      </c>
      <c r="B157" s="302" t="str">
        <f aca="false" t="array" ref="B157:B157">IF(SUMPRODUCT(ABS(B97:G97))&lt;1,"PASS","FAIL")</f>
        <v>PASS</v>
      </c>
      <c r="C157" s="302"/>
      <c r="D157" s="302"/>
      <c r="E157" s="302"/>
      <c r="F157" s="302"/>
      <c r="G157" s="302"/>
    </row>
    <row r="158" customFormat="false" ht="15" hidden="false" customHeight="true" outlineLevel="0" collapsed="false">
      <c r="A158" s="286" t="s">
        <v>1931</v>
      </c>
      <c r="B158" s="302" t="str">
        <f aca="false">IF(B126&gt;B123,"PASS","FAIL")</f>
        <v>PASS</v>
      </c>
      <c r="C158" s="302"/>
      <c r="D158" s="302"/>
      <c r="E158" s="302"/>
      <c r="F158" s="302"/>
      <c r="G158" s="302"/>
    </row>
    <row r="159" customFormat="false" ht="15" hidden="false" customHeight="true" outlineLevel="0" collapsed="false">
      <c r="A159" s="298"/>
      <c r="B159" s="298"/>
      <c r="C159" s="298"/>
      <c r="D159" s="298"/>
      <c r="E159" s="298"/>
      <c r="F159" s="298"/>
      <c r="G159" s="298"/>
    </row>
    <row r="160" customFormat="false" ht="15" hidden="false" customHeight="true" outlineLevel="0" collapsed="false">
      <c r="A160" s="285" t="s">
        <v>1932</v>
      </c>
      <c r="B160" s="300"/>
      <c r="C160" s="300"/>
      <c r="D160" s="300"/>
      <c r="E160" s="300"/>
      <c r="F160" s="300"/>
      <c r="G160" s="300"/>
    </row>
    <row r="161" customFormat="false" ht="15" hidden="false" customHeight="true" outlineLevel="0" collapsed="false">
      <c r="A161" s="286" t="s">
        <v>1934</v>
      </c>
      <c r="B161" s="296" t="n">
        <v>0.005</v>
      </c>
      <c r="C161" s="302"/>
      <c r="D161" s="302"/>
      <c r="E161" s="302"/>
      <c r="F161" s="302"/>
      <c r="G161" s="302"/>
    </row>
    <row r="162" customFormat="false" ht="15" hidden="false" customHeight="true" outlineLevel="0" collapsed="false">
      <c r="A162" s="285" t="s">
        <v>2699</v>
      </c>
      <c r="B162" s="338" t="n">
        <f aca="false">$B$123-2*$B$161</f>
        <v>0.025</v>
      </c>
      <c r="C162" s="338" t="n">
        <f aca="false">B162+$B$161</f>
        <v>0.03</v>
      </c>
      <c r="D162" s="338" t="n">
        <f aca="false">C162+$B$161</f>
        <v>0.035</v>
      </c>
      <c r="E162" s="338" t="n">
        <f aca="false">D162+$B$161</f>
        <v>0.04</v>
      </c>
      <c r="F162" s="338" t="n">
        <f aca="false">E162+$B$161</f>
        <v>0.045</v>
      </c>
      <c r="G162" s="300"/>
    </row>
    <row r="163" customFormat="false" ht="15" hidden="false" customHeight="true" outlineLevel="0" collapsed="false">
      <c r="A163" s="338" t="n">
        <f aca="false">$B$126-2*$B$161</f>
        <v>0.0827156724509757</v>
      </c>
      <c r="B163" s="307" t="n">
        <f aca="false">IF($A163&lt;=B$162,"n.a.",(($B$243*(SUMPRODUCT($C$117:$G$117,(1+$A163)^(-$C$118:$G$118))+$G$117*(1+B$162)/($A163-B$162)*(1+$A163)^-5)+$B$244*(SUMPRODUCT($C$117:$G$117,(1+$A163)^(-$C$118:$G$118))+$B$236*(1+$A163)^-5))*(1+$A163)^$B$253+$B$257+$B$259+$B$260+$B$261)*(1+$B$221)^$B$254/$B$264)</f>
        <v>42.6722735825499</v>
      </c>
      <c r="C163" s="307" t="n">
        <f aca="false">IF($A163&lt;=C$162,"n.a.",(($B$243*(SUMPRODUCT($C$117:$G$117,(1+$A163)^(-$C$118:$G$118))+$G$117*(1+C$162)/($A163-C$162)*(1+$A163)^-5)+$B$244*(SUMPRODUCT($C$117:$G$117,(1+$A163)^(-$C$118:$G$118))+$B$236*(1+$A163)^-5))*(1+$A163)^$B$253+$B$257+$B$259+$B$260+$B$261)*(1+$B$221)^$B$254/$B$264)</f>
        <v>44.9433780926891</v>
      </c>
      <c r="D163" s="307" t="n">
        <f aca="false">IF($A163&lt;=D$162,"n.a.",(($B$243*(SUMPRODUCT($C$117:$G$117,(1+$A163)^(-$C$118:$G$118))+$G$117*(1+D$162)/($A163-D$162)*(1+$A163)^-5)+$B$244*(SUMPRODUCT($C$117:$G$117,(1+$A163)^(-$C$118:$G$118))+$B$236*(1+$A163)^-5))*(1+$A163)^$B$253+$B$257+$B$259+$B$260+$B$261)*(1+$B$221)^$B$254/$B$264)</f>
        <v>47.6904487568153</v>
      </c>
      <c r="E163" s="307" t="n">
        <f aca="false">IF($A163&lt;=E$162,"n.a.",(($B$243*(SUMPRODUCT($C$117:$G$117,(1+$A163)^(-$C$118:$G$118))+$G$117*(1+E$162)/($A163-E$162)*(1+$A163)^-5)+$B$244*(SUMPRODUCT($C$117:$G$117,(1+$A163)^(-$C$118:$G$118))+$B$236*(1+$A163)^-5))*(1+$A163)^$B$253+$B$257+$B$259+$B$260+$B$261)*(1+$B$221)^$B$254/$B$264)</f>
        <v>51.0806254535759</v>
      </c>
      <c r="F163" s="307" t="n">
        <f aca="false">IF($A163&lt;=F$162,"n.a.",(($B$243*(SUMPRODUCT($C$117:$G$117,(1+$A163)^(-$C$118:$G$118))+$G$117*(1+F$162)/($A163-F$162)*(1+$A163)^-5)+$B$244*(SUMPRODUCT($C$117:$G$117,(1+$A163)^(-$C$118:$G$118))+$B$236*(1+$A163)^-5))*(1+$A163)^$B$253+$B$257+$B$259+$B$260+$B$261)*(1+$B$221)^$B$254/$B$264)</f>
        <v>55.36967958681</v>
      </c>
      <c r="G163" s="302"/>
    </row>
    <row r="164" customFormat="false" ht="15" hidden="false" customHeight="true" outlineLevel="0" collapsed="false">
      <c r="A164" s="338" t="n">
        <f aca="false">A163+$B$161</f>
        <v>0.0877156724509757</v>
      </c>
      <c r="B164" s="307" t="n">
        <f aca="false">IF($A164&lt;=B$162,"n.a.",(($B$243*(SUMPRODUCT($C$117:$G$117,(1+$A164)^(-$C$118:$G$118))+$G$117*(1+B$162)/($A164-B$162)*(1+$A164)^-5)+$B$244*(SUMPRODUCT($C$117:$G$117,(1+$A164)^(-$C$118:$G$118))+$B$236*(1+$A164)^-5))*(1+$A164)^$B$253+$B$257+$B$259+$B$260+$B$261)*(1+$B$221)^$B$254/$B$264)</f>
        <v>39.9854600003074</v>
      </c>
      <c r="C164" s="307" t="n">
        <f aca="false">IF($A164&lt;=C$162,"n.a.",(($B$243*(SUMPRODUCT($C$117:$G$117,(1+$A164)^(-$C$118:$G$118))+$G$117*(1+C$162)/($A164-C$162)*(1+$A164)^-5)+$B$244*(SUMPRODUCT($C$117:$G$117,(1+$A164)^(-$C$118:$G$118))+$B$236*(1+$A164)^-5))*(1+$A164)^$B$253+$B$257+$B$259+$B$260+$B$261)*(1+$B$221)^$B$254/$B$264)</f>
        <v>41.8639003883068</v>
      </c>
      <c r="D164" s="307" t="n">
        <f aca="false">IF($A164&lt;=D$162,"n.a.",(($B$243*(SUMPRODUCT($C$117:$G$117,(1+$A164)^(-$C$118:$G$118))+$G$117*(1+D$162)/($A164-D$162)*(1+$A164)^-5)+$B$244*(SUMPRODUCT($C$117:$G$117,(1+$A164)^(-$C$118:$G$118))+$B$236*(1+$A164)^-5))*(1+$A164)^$B$253+$B$257+$B$259+$B$260+$B$261)*(1+$B$221)^$B$254/$B$264)</f>
        <v>44.0986751073814</v>
      </c>
      <c r="E164" s="307" t="n">
        <f aca="false">IF($A164&lt;=E$162,"n.a.",(($B$243*(SUMPRODUCT($C$117:$G$117,(1+$A164)^(-$C$118:$G$118))+$G$117*(1+E$162)/($A164-E$162)*(1+$A164)^-5)+$B$244*(SUMPRODUCT($C$117:$G$117,(1+$A164)^(-$C$118:$G$118))+$B$236*(1+$A164)^-5))*(1+$A164)^$B$253+$B$257+$B$259+$B$260+$B$261)*(1+$B$221)^$B$254/$B$264)</f>
        <v>46.8018021736582</v>
      </c>
      <c r="F164" s="307" t="n">
        <f aca="false">IF($A164&lt;=F$162,"n.a.",(($B$243*(SUMPRODUCT($C$117:$G$117,(1+$A164)^(-$C$118:$G$118))+$G$117*(1+F$162)/($A164-F$162)*(1+$A164)^-5)+$B$244*(SUMPRODUCT($C$117:$G$117,(1+$A164)^(-$C$118:$G$118))+$B$236*(1+$A164)^-5))*(1+$A164)^$B$253+$B$257+$B$259+$B$260+$B$261)*(1+$B$221)^$B$254/$B$264)</f>
        <v>50.1377478077287</v>
      </c>
      <c r="G164" s="302"/>
    </row>
    <row r="165" customFormat="false" ht="15" hidden="false" customHeight="true" outlineLevel="0" collapsed="false">
      <c r="A165" s="338" t="n">
        <f aca="false">A164+$B$161</f>
        <v>0.0927156724509757</v>
      </c>
      <c r="B165" s="307" t="n">
        <f aca="false">IF($A165&lt;=B$162,"n.a.",(($B$243*(SUMPRODUCT($C$117:$G$117,(1+$A165)^(-$C$118:$G$118))+$G$117*(1+B$162)/($A165-B$162)*(1+$A165)^-5)+$B$244*(SUMPRODUCT($C$117:$G$117,(1+$A165)^(-$C$118:$G$118))+$B$236*(1+$A165)^-5))*(1+$A165)^$B$253+$B$257+$B$259+$B$260+$B$261)*(1+$B$221)^$B$254/$B$264)</f>
        <v>37.6489702921267</v>
      </c>
      <c r="C165" s="307" t="n">
        <f aca="false">IF($A165&lt;=C$162,"n.a.",(($B$243*(SUMPRODUCT($C$117:$G$117,(1+$A165)^(-$C$118:$G$118))+$G$117*(1+C$162)/($A165-C$162)*(1+$A165)^-5)+$B$244*(SUMPRODUCT($C$117:$G$117,(1+$A165)^(-$C$118:$G$118))+$B$236*(1+$A165)^-5))*(1+$A165)^$B$253+$B$257+$B$259+$B$260+$B$261)*(1+$B$221)^$B$254/$B$264)</f>
        <v>39.2245149993724</v>
      </c>
      <c r="D165" s="327" t="n">
        <f aca="false">IF($A165&lt;=D$162,"n.a.",(($B$243*(SUMPRODUCT($C$117:$G$117,(1+$A165)^(-$C$118:$G$118))+$G$117*(1+D$162)/($A165-D$162)*(1+$A165)^-5)+$B$244*(SUMPRODUCT($C$117:$G$117,(1+$A165)^(-$C$118:$G$118))+$B$236*(1+$A165)^-5))*(1+$A165)^$B$253+$B$257+$B$259+$B$260+$B$261)*(1+$B$221)^$B$254/$B$264)</f>
        <v>41.073043567039</v>
      </c>
      <c r="E165" s="307" t="n">
        <f aca="false">IF($A165&lt;=E$162,"n.a.",(($B$243*(SUMPRODUCT($C$117:$G$117,(1+$A165)^(-$C$118:$G$118))+$G$117*(1+E$162)/($A165-E$162)*(1+$A165)^-5)+$B$244*(SUMPRODUCT($C$117:$G$117,(1+$A165)^(-$C$118:$G$118))+$B$236*(1+$A165)^-5))*(1+$A165)^$B$253+$B$257+$B$259+$B$260+$B$261)*(1+$B$221)^$B$254/$B$264)</f>
        <v>43.272232285989</v>
      </c>
      <c r="F165" s="307" t="n">
        <f aca="false">IF($A165&lt;=F$162,"n.a.",(($B$243*(SUMPRODUCT($C$117:$G$117,(1+$A165)^(-$C$118:$G$118))+$G$117*(1+F$162)/($A165-F$162)*(1+$A165)^-5)+$B$244*(SUMPRODUCT($C$117:$G$117,(1+$A165)^(-$C$118:$G$118))+$B$236*(1+$A165)^-5))*(1+$A165)^$B$253+$B$257+$B$259+$B$260+$B$261)*(1+$B$221)^$B$254/$B$264)</f>
        <v>45.9323154251548</v>
      </c>
      <c r="G165" s="302"/>
    </row>
    <row r="166" customFormat="false" ht="15" hidden="false" customHeight="true" outlineLevel="0" collapsed="false">
      <c r="A166" s="338" t="n">
        <f aca="false">A165+$B$161</f>
        <v>0.0977156724509757</v>
      </c>
      <c r="B166" s="307" t="n">
        <f aca="false">IF($A166&lt;=B$162,"n.a.",(($B$243*(SUMPRODUCT($C$117:$G$117,(1+$A166)^(-$C$118:$G$118))+$G$117*(1+B$162)/($A166-B$162)*(1+$A166)^-5)+$B$244*(SUMPRODUCT($C$117:$G$117,(1+$A166)^(-$C$118:$G$118))+$B$236*(1+$A166)^-5))*(1+$A166)^$B$253+$B$257+$B$259+$B$260+$B$261)*(1+$B$221)^$B$254/$B$264)</f>
        <v>35.5921083888584</v>
      </c>
      <c r="C166" s="307" t="n">
        <f aca="false">IF($A166&lt;=C$162,"n.a.",(($B$243*(SUMPRODUCT($C$117:$G$117,(1+$A166)^(-$C$118:$G$118))+$G$117*(1+C$162)/($A166-C$162)*(1+$A166)^-5)+$B$244*(SUMPRODUCT($C$117:$G$117,(1+$A166)^(-$C$118:$G$118))+$B$236*(1+$A166)^-5))*(1+$A166)^$B$253+$B$257+$B$259+$B$260+$B$261)*(1+$B$221)^$B$254/$B$264)</f>
        <v>36.929440784154</v>
      </c>
      <c r="D166" s="307" t="n">
        <f aca="false">IF($A166&lt;=D$162,"n.a.",(($B$243*(SUMPRODUCT($C$117:$G$117,(1+$A166)^(-$C$118:$G$118))+$G$117*(1+D$162)/($A166-D$162)*(1+$A166)^-5)+$B$244*(SUMPRODUCT($C$117:$G$117,(1+$A166)^(-$C$118:$G$118))+$B$236*(1+$A166)^-5))*(1+$A166)^$B$253+$B$257+$B$259+$B$260+$B$261)*(1+$B$221)^$B$254/$B$264)</f>
        <v>38.4800105319378</v>
      </c>
      <c r="E166" s="307" t="n">
        <f aca="false">IF($A166&lt;=E$162,"n.a.",(($B$243*(SUMPRODUCT($C$117:$G$117,(1+$A166)^(-$C$118:$G$118))+$G$117*(1+E$162)/($A166-E$162)*(1+$A166)^-5)+$B$244*(SUMPRODUCT($C$117:$G$117,(1+$A166)^(-$C$118:$G$118))+$B$236*(1+$A166)^-5))*(1+$A166)^$B$253+$B$257+$B$259+$B$260+$B$261)*(1+$B$221)^$B$254/$B$264)</f>
        <v>40.2992368996545</v>
      </c>
      <c r="F166" s="307" t="n">
        <f aca="false">IF($A166&lt;=F$162,"n.a.",(($B$243*(SUMPRODUCT($C$117:$G$117,(1+$A166)^(-$C$118:$G$118))+$G$117*(1+F$162)/($A166-F$162)*(1+$A166)^-5)+$B$244*(SUMPRODUCT($C$117:$G$117,(1+$A166)^(-$C$118:$G$118))+$B$236*(1+$A166)^-5))*(1+$A166)^$B$253+$B$257+$B$259+$B$260+$B$261)*(1+$B$221)^$B$254/$B$264)</f>
        <v>42.4635648819638</v>
      </c>
      <c r="G166" s="302"/>
    </row>
    <row r="167" customFormat="false" ht="15" hidden="false" customHeight="true" outlineLevel="0" collapsed="false">
      <c r="A167" s="338" t="n">
        <f aca="false">A166+$B$161</f>
        <v>0.102715672450976</v>
      </c>
      <c r="B167" s="307" t="n">
        <f aca="false">IF($A167&lt;=B$162,"n.a.",(($B$243*(SUMPRODUCT($C$117:$G$117,(1+$A167)^(-$C$118:$G$118))+$G$117*(1+B$162)/($A167-B$162)*(1+$A167)^-5)+$B$244*(SUMPRODUCT($C$117:$G$117,(1+$A167)^(-$C$118:$G$118))+$B$236*(1+$A167)^-5))*(1+$A167)^$B$253+$B$257+$B$259+$B$260+$B$261)*(1+$B$221)^$B$254/$B$264)</f>
        <v>33.762315153763</v>
      </c>
      <c r="C167" s="307" t="n">
        <f aca="false">IF($A167&lt;=C$162,"n.a.",(($B$243*(SUMPRODUCT($C$117:$G$117,(1+$A167)^(-$C$118:$G$118))+$G$117*(1+C$162)/($A167-C$162)*(1+$A167)^-5)+$B$244*(SUMPRODUCT($C$117:$G$117,(1+$A167)^(-$C$118:$G$118))+$B$236*(1+$A167)^-5))*(1+$A167)^$B$253+$B$257+$B$259+$B$260+$B$261)*(1+$B$221)^$B$254/$B$264)</f>
        <v>34.9091795315296</v>
      </c>
      <c r="D167" s="307" t="n">
        <f aca="false">IF($A167&lt;=D$162,"n.a.",(($B$243*(SUMPRODUCT($C$117:$G$117,(1+$A167)^(-$C$118:$G$118))+$G$117*(1+D$162)/($A167-D$162)*(1+$A167)^-5)+$B$244*(SUMPRODUCT($C$117:$G$117,(1+$A167)^(-$C$118:$G$118))+$B$236*(1+$A167)^-5))*(1+$A167)^$B$253+$B$257+$B$259+$B$260+$B$261)*(1+$B$221)^$B$254/$B$264)</f>
        <v>36.2254085978912</v>
      </c>
      <c r="E167" s="307" t="n">
        <f aca="false">IF($A167&lt;=E$162,"n.a.",(($B$243*(SUMPRODUCT($C$117:$G$117,(1+$A167)^(-$C$118:$G$118))+$G$117*(1+E$162)/($A167-E$162)*(1+$A167)^-5)+$B$244*(SUMPRODUCT($C$117:$G$117,(1+$A167)^(-$C$118:$G$118))+$B$236*(1+$A167)^-5))*(1+$A167)^$B$253+$B$257+$B$259+$B$260+$B$261)*(1+$B$221)^$B$254/$B$264)</f>
        <v>37.7515100956439</v>
      </c>
      <c r="F167" s="307" t="n">
        <f aca="false">IF($A167&lt;=F$162,"n.a.",(($B$243*(SUMPRODUCT($C$117:$G$117,(1+$A167)^(-$C$118:$G$118))+$G$117*(1+F$162)/($A167-F$162)*(1+$A167)^-5)+$B$244*(SUMPRODUCT($C$117:$G$117,(1+$A167)^(-$C$118:$G$118))+$B$236*(1+$A167)^-5))*(1+$A167)^$B$253+$B$257+$B$259+$B$260+$B$261)*(1+$B$221)^$B$254/$B$264)</f>
        <v>39.5420287669207</v>
      </c>
      <c r="G167" s="302"/>
    </row>
    <row r="168" customFormat="false" ht="15" hidden="false" customHeight="true" outlineLevel="0" collapsed="false">
      <c r="A168" s="302" t="s">
        <v>1936</v>
      </c>
      <c r="B168" s="337" t="n">
        <f aca="false">D165-B265</f>
        <v>0</v>
      </c>
      <c r="C168" s="302"/>
      <c r="D168" s="302"/>
      <c r="E168" s="302"/>
      <c r="F168" s="302"/>
      <c r="G168" s="302"/>
    </row>
    <row r="169" customFormat="false" ht="15" hidden="false" customHeight="true" outlineLevel="0" collapsed="false">
      <c r="A169" s="298"/>
      <c r="B169" s="298"/>
      <c r="C169" s="298"/>
      <c r="D169" s="298"/>
      <c r="E169" s="298"/>
      <c r="F169" s="298"/>
      <c r="G169" s="298"/>
    </row>
    <row r="170" customFormat="false" ht="15" hidden="false" customHeight="true" outlineLevel="0" collapsed="false">
      <c r="A170" s="285" t="s">
        <v>1937</v>
      </c>
      <c r="B170" s="285" t="s">
        <v>1749</v>
      </c>
      <c r="C170" s="285" t="s">
        <v>1938</v>
      </c>
      <c r="D170" s="285" t="s">
        <v>1719</v>
      </c>
      <c r="E170" s="285" t="s">
        <v>1939</v>
      </c>
      <c r="F170" s="285" t="s">
        <v>1940</v>
      </c>
      <c r="G170" s="285" t="s">
        <v>1941</v>
      </c>
    </row>
    <row r="171" customFormat="false" ht="15" hidden="false" customHeight="false" outlineLevel="0" collapsed="false">
      <c r="A171" s="286" t="s">
        <v>1942</v>
      </c>
      <c r="B171" s="286" t="s">
        <v>1757</v>
      </c>
      <c r="C171" s="286" t="n">
        <v>4</v>
      </c>
      <c r="D171" s="286" t="s">
        <v>1943</v>
      </c>
      <c r="E171" s="286" t="s">
        <v>1944</v>
      </c>
      <c r="F171" s="286" t="s">
        <v>1442</v>
      </c>
      <c r="G171" s="286" t="n">
        <v>11</v>
      </c>
    </row>
    <row r="172" customFormat="false" ht="15" hidden="false" customHeight="false" outlineLevel="0" collapsed="false">
      <c r="A172" s="286" t="s">
        <v>1945</v>
      </c>
      <c r="B172" s="286" t="s">
        <v>1781</v>
      </c>
      <c r="C172" s="286" t="n">
        <v>3</v>
      </c>
      <c r="D172" s="286" t="s">
        <v>1943</v>
      </c>
      <c r="E172" s="286" t="s">
        <v>1944</v>
      </c>
      <c r="F172" s="286" t="s">
        <v>1761</v>
      </c>
      <c r="G172" s="286" t="n">
        <v>10</v>
      </c>
    </row>
    <row r="173" customFormat="false" ht="15" hidden="false" customHeight="false" outlineLevel="0" collapsed="false">
      <c r="A173" s="286" t="s">
        <v>1946</v>
      </c>
      <c r="B173" s="286" t="s">
        <v>1772</v>
      </c>
      <c r="C173" s="286" t="n">
        <v>5</v>
      </c>
      <c r="D173" s="286" t="s">
        <v>1943</v>
      </c>
      <c r="E173" s="286" t="s">
        <v>1948</v>
      </c>
      <c r="F173" s="286" t="s">
        <v>1442</v>
      </c>
      <c r="G173" s="286" t="n">
        <v>13</v>
      </c>
    </row>
    <row r="174" customFormat="false" ht="15" hidden="false" customHeight="false" outlineLevel="0" collapsed="false">
      <c r="A174" s="286" t="s">
        <v>1949</v>
      </c>
      <c r="B174" s="286" t="s">
        <v>1757</v>
      </c>
      <c r="C174" s="286" t="n">
        <v>3</v>
      </c>
      <c r="D174" s="286" t="s">
        <v>1950</v>
      </c>
      <c r="E174" s="286" t="s">
        <v>1944</v>
      </c>
      <c r="F174" s="286" t="s">
        <v>1442</v>
      </c>
      <c r="G174" s="286" t="n">
        <v>13</v>
      </c>
    </row>
    <row r="175" customFormat="false" ht="15" hidden="false" customHeight="false" outlineLevel="0" collapsed="false">
      <c r="A175" s="286" t="s">
        <v>1951</v>
      </c>
      <c r="B175" s="286" t="s">
        <v>1772</v>
      </c>
      <c r="C175" s="286" t="n">
        <v>3</v>
      </c>
      <c r="D175" s="286" t="s">
        <v>1950</v>
      </c>
      <c r="E175" s="286" t="s">
        <v>1948</v>
      </c>
      <c r="F175" s="286" t="s">
        <v>1442</v>
      </c>
      <c r="G175" s="286" t="n">
        <v>17</v>
      </c>
    </row>
    <row r="176" customFormat="false" ht="15" hidden="false" customHeight="false" outlineLevel="0" collapsed="false">
      <c r="A176" s="286" t="s">
        <v>1952</v>
      </c>
      <c r="B176" s="286" t="s">
        <v>1772</v>
      </c>
      <c r="C176" s="286" t="n">
        <v>3</v>
      </c>
      <c r="D176" s="286" t="s">
        <v>1943</v>
      </c>
      <c r="E176" s="286" t="s">
        <v>1944</v>
      </c>
      <c r="F176" s="286" t="s">
        <v>1953</v>
      </c>
      <c r="G176" s="286" t="s">
        <v>1954</v>
      </c>
    </row>
    <row r="177" customFormat="false" ht="15" hidden="false" customHeight="false" outlineLevel="0" collapsed="false">
      <c r="A177" s="286" t="s">
        <v>1955</v>
      </c>
      <c r="B177" s="286" t="s">
        <v>1772</v>
      </c>
      <c r="C177" s="286" t="n">
        <v>3</v>
      </c>
      <c r="D177" s="286" t="s">
        <v>1943</v>
      </c>
      <c r="E177" s="286" t="s">
        <v>1948</v>
      </c>
      <c r="F177" s="286" t="s">
        <v>1956</v>
      </c>
      <c r="G177" s="286" t="n">
        <v>125</v>
      </c>
    </row>
    <row r="178" customFormat="false" ht="15" hidden="false" customHeight="false" outlineLevel="0" collapsed="false">
      <c r="A178" s="286" t="s">
        <v>1957</v>
      </c>
      <c r="B178" s="286" t="s">
        <v>1772</v>
      </c>
      <c r="C178" s="286" t="n">
        <v>3</v>
      </c>
      <c r="D178" s="286" t="s">
        <v>1950</v>
      </c>
      <c r="E178" s="286" t="s">
        <v>1948</v>
      </c>
      <c r="F178" s="286" t="s">
        <v>1771</v>
      </c>
      <c r="G178" s="286" t="n">
        <v>35</v>
      </c>
    </row>
    <row r="179" customFormat="false" ht="15" hidden="false" customHeight="false" outlineLevel="0" collapsed="false">
      <c r="A179" s="286" t="s">
        <v>1958</v>
      </c>
      <c r="B179" s="286" t="s">
        <v>1772</v>
      </c>
      <c r="C179" s="286" t="n">
        <v>2</v>
      </c>
      <c r="D179" s="286" t="s">
        <v>1950</v>
      </c>
      <c r="E179" s="286" t="s">
        <v>1959</v>
      </c>
      <c r="F179" s="286" t="s">
        <v>5</v>
      </c>
      <c r="G179" s="286" t="n">
        <v>125</v>
      </c>
    </row>
    <row r="180" customFormat="false" ht="15" hidden="false" customHeight="false" outlineLevel="0" collapsed="false">
      <c r="A180" s="286" t="s">
        <v>1960</v>
      </c>
      <c r="B180" s="286" t="s">
        <v>1772</v>
      </c>
      <c r="C180" s="286" t="n">
        <v>4</v>
      </c>
      <c r="D180" s="286" t="s">
        <v>1943</v>
      </c>
      <c r="E180" s="286" t="s">
        <v>1959</v>
      </c>
      <c r="F180" s="286" t="s">
        <v>1442</v>
      </c>
      <c r="G180" s="286" t="n">
        <v>18</v>
      </c>
    </row>
    <row r="181" customFormat="false" ht="15" hidden="false" customHeight="false" outlineLevel="0" collapsed="false">
      <c r="A181" s="286" t="s">
        <v>1961</v>
      </c>
      <c r="B181" s="286" t="s">
        <v>1772</v>
      </c>
      <c r="C181" s="286" t="n">
        <v>3</v>
      </c>
      <c r="D181" s="286" t="s">
        <v>1943</v>
      </c>
      <c r="E181" s="286" t="s">
        <v>1944</v>
      </c>
      <c r="F181" s="286" t="s">
        <v>1442</v>
      </c>
      <c r="G181" s="286" t="n">
        <v>18</v>
      </c>
    </row>
    <row r="182" customFormat="false" ht="15" hidden="false" customHeight="false" outlineLevel="0" collapsed="false">
      <c r="A182" s="286" t="s">
        <v>1962</v>
      </c>
      <c r="B182" s="286" t="s">
        <v>1772</v>
      </c>
      <c r="C182" s="286" t="n">
        <v>2</v>
      </c>
      <c r="D182" s="286" t="s">
        <v>1943</v>
      </c>
      <c r="E182" s="286" t="s">
        <v>1948</v>
      </c>
      <c r="F182" s="286" t="s">
        <v>1771</v>
      </c>
      <c r="G182" s="286" t="n">
        <v>35</v>
      </c>
    </row>
    <row r="183" customFormat="false" ht="15" hidden="false" customHeight="false" outlineLevel="0" collapsed="false">
      <c r="A183" s="286" t="s">
        <v>1963</v>
      </c>
      <c r="B183" s="286" t="s">
        <v>1781</v>
      </c>
      <c r="C183" s="286" t="n">
        <v>4</v>
      </c>
      <c r="D183" s="286" t="s">
        <v>1943</v>
      </c>
      <c r="E183" s="286" t="s">
        <v>1964</v>
      </c>
      <c r="F183" s="286" t="s">
        <v>1965</v>
      </c>
      <c r="G183" s="286" t="s">
        <v>1966</v>
      </c>
    </row>
    <row r="184" customFormat="false" ht="15" hidden="false" customHeight="false" outlineLevel="0" collapsed="false">
      <c r="A184" s="286" t="s">
        <v>1967</v>
      </c>
      <c r="B184" s="286" t="s">
        <v>1772</v>
      </c>
      <c r="C184" s="286" t="n">
        <v>3</v>
      </c>
      <c r="D184" s="286" t="s">
        <v>1943</v>
      </c>
      <c r="E184" s="286" t="s">
        <v>1959</v>
      </c>
      <c r="F184" s="286" t="s">
        <v>1785</v>
      </c>
      <c r="G184" s="286" t="n">
        <v>33</v>
      </c>
    </row>
    <row r="185" customFormat="false" ht="15" hidden="false" customHeight="false" outlineLevel="0" collapsed="false">
      <c r="A185" s="286" t="s">
        <v>1968</v>
      </c>
      <c r="B185" s="286" t="s">
        <v>1772</v>
      </c>
      <c r="C185" s="286" t="n">
        <v>2</v>
      </c>
      <c r="D185" s="286" t="s">
        <v>1950</v>
      </c>
      <c r="E185" s="286" t="s">
        <v>1944</v>
      </c>
      <c r="F185" s="286" t="s">
        <v>1442</v>
      </c>
      <c r="G185" s="286" t="n">
        <v>21</v>
      </c>
    </row>
    <row r="186" customFormat="false" ht="15" hidden="false" customHeight="false" outlineLevel="0" collapsed="false">
      <c r="A186" s="286" t="s">
        <v>1969</v>
      </c>
      <c r="B186" s="286" t="s">
        <v>1772</v>
      </c>
      <c r="C186" s="286" t="n">
        <v>2</v>
      </c>
      <c r="D186" s="286" t="s">
        <v>1950</v>
      </c>
      <c r="E186" s="286" t="s">
        <v>1959</v>
      </c>
      <c r="F186" s="286" t="s">
        <v>1439</v>
      </c>
      <c r="G186" s="286" t="n">
        <v>52</v>
      </c>
    </row>
    <row r="187" customFormat="false" ht="15" hidden="false" customHeight="false" outlineLevel="0" collapsed="false">
      <c r="A187" s="286" t="s">
        <v>1970</v>
      </c>
      <c r="B187" s="286" t="s">
        <v>1757</v>
      </c>
      <c r="C187" s="286" t="n">
        <v>3</v>
      </c>
      <c r="D187" s="286" t="s">
        <v>1943</v>
      </c>
      <c r="E187" s="286" t="s">
        <v>1959</v>
      </c>
      <c r="F187" s="286" t="s">
        <v>1442</v>
      </c>
      <c r="G187" s="286" t="n">
        <v>19</v>
      </c>
    </row>
    <row r="188" customFormat="false" ht="15" hidden="false" customHeight="false" outlineLevel="0" collapsed="false">
      <c r="A188" s="286" t="s">
        <v>1971</v>
      </c>
      <c r="B188" s="286" t="s">
        <v>1772</v>
      </c>
      <c r="C188" s="286" t="n">
        <v>3</v>
      </c>
      <c r="D188" s="286" t="s">
        <v>1943</v>
      </c>
      <c r="E188" s="286" t="s">
        <v>1948</v>
      </c>
      <c r="F188" s="286" t="s">
        <v>1972</v>
      </c>
      <c r="G188" s="286" t="n">
        <v>34</v>
      </c>
    </row>
    <row r="189" customFormat="false" ht="15" hidden="false" customHeight="false" outlineLevel="0" collapsed="false">
      <c r="A189" s="286" t="s">
        <v>1973</v>
      </c>
      <c r="B189" s="286" t="s">
        <v>1772</v>
      </c>
      <c r="C189" s="286" t="n">
        <v>5</v>
      </c>
      <c r="D189" s="286" t="s">
        <v>1943</v>
      </c>
      <c r="E189" s="286" t="s">
        <v>1948</v>
      </c>
      <c r="F189" s="286" t="s">
        <v>1442</v>
      </c>
      <c r="G189" s="286" t="n">
        <v>15</v>
      </c>
    </row>
    <row r="190" customFormat="false" ht="15" hidden="false" customHeight="false" outlineLevel="0" collapsed="false">
      <c r="A190" s="286" t="s">
        <v>1974</v>
      </c>
      <c r="B190" s="286" t="s">
        <v>1772</v>
      </c>
      <c r="C190" s="286" t="n">
        <v>5</v>
      </c>
      <c r="D190" s="286" t="s">
        <v>1943</v>
      </c>
      <c r="E190" s="286" t="s">
        <v>1964</v>
      </c>
      <c r="F190" s="286" t="s">
        <v>1975</v>
      </c>
      <c r="G190" s="286" t="s">
        <v>1976</v>
      </c>
    </row>
    <row r="191" customFormat="false" ht="15" hidden="false" customHeight="false" outlineLevel="0" collapsed="false">
      <c r="A191" s="286" t="s">
        <v>1977</v>
      </c>
      <c r="B191" s="286" t="s">
        <v>1781</v>
      </c>
      <c r="C191" s="286" t="n">
        <v>4</v>
      </c>
      <c r="D191" s="286" t="s">
        <v>1943</v>
      </c>
      <c r="E191" s="286" t="s">
        <v>1978</v>
      </c>
      <c r="F191" s="286" t="s">
        <v>1979</v>
      </c>
      <c r="G191" s="286" t="s">
        <v>1980</v>
      </c>
    </row>
    <row r="192" customFormat="false" ht="15" hidden="false" customHeight="false" outlineLevel="0" collapsed="false">
      <c r="A192" s="286" t="s">
        <v>1981</v>
      </c>
      <c r="B192" s="286" t="s">
        <v>1781</v>
      </c>
      <c r="C192" s="286" t="n">
        <v>3</v>
      </c>
      <c r="D192" s="286" t="s">
        <v>1943</v>
      </c>
      <c r="E192" s="286" t="s">
        <v>1959</v>
      </c>
      <c r="F192" s="286" t="s">
        <v>1975</v>
      </c>
      <c r="G192" s="286" t="n">
        <v>16</v>
      </c>
    </row>
    <row r="193" customFormat="false" ht="15" hidden="false" customHeight="false" outlineLevel="0" collapsed="false">
      <c r="A193" s="286" t="s">
        <v>1982</v>
      </c>
      <c r="B193" s="286" t="s">
        <v>1781</v>
      </c>
      <c r="C193" s="286" t="n">
        <v>2</v>
      </c>
      <c r="D193" s="286" t="s">
        <v>1943</v>
      </c>
      <c r="E193" s="286" t="s">
        <v>1959</v>
      </c>
      <c r="F193" s="286" t="s">
        <v>1972</v>
      </c>
      <c r="G193" s="286" t="s">
        <v>1983</v>
      </c>
    </row>
    <row r="194" customFormat="false" ht="15" hidden="false" customHeight="false" outlineLevel="0" collapsed="false">
      <c r="A194" s="286" t="s">
        <v>1984</v>
      </c>
      <c r="B194" s="286" t="s">
        <v>1757</v>
      </c>
      <c r="C194" s="286" t="n">
        <v>2</v>
      </c>
      <c r="D194" s="286" t="s">
        <v>1943</v>
      </c>
      <c r="E194" s="286" t="s">
        <v>1959</v>
      </c>
      <c r="F194" s="286" t="s">
        <v>1827</v>
      </c>
      <c r="G194" s="286" t="n">
        <v>22</v>
      </c>
    </row>
    <row r="195" customFormat="false" ht="15" hidden="false" customHeight="false" outlineLevel="0" collapsed="false">
      <c r="A195" s="286" t="s">
        <v>1985</v>
      </c>
      <c r="B195" s="286" t="s">
        <v>1757</v>
      </c>
      <c r="C195" s="286" t="n">
        <v>2</v>
      </c>
      <c r="D195" s="286" t="s">
        <v>1950</v>
      </c>
      <c r="E195" s="286" t="s">
        <v>1978</v>
      </c>
      <c r="F195" s="286" t="s">
        <v>1972</v>
      </c>
      <c r="G195" s="286" t="n">
        <v>38</v>
      </c>
    </row>
    <row r="196" customFormat="false" ht="15" hidden="false" customHeight="false" outlineLevel="0" collapsed="false">
      <c r="A196" s="286" t="s">
        <v>1986</v>
      </c>
      <c r="B196" s="286" t="s">
        <v>1757</v>
      </c>
      <c r="C196" s="286" t="n">
        <v>4</v>
      </c>
      <c r="D196" s="286" t="s">
        <v>1943</v>
      </c>
      <c r="E196" s="286" t="s">
        <v>1948</v>
      </c>
      <c r="F196" s="286" t="s">
        <v>1972</v>
      </c>
      <c r="G196" s="286" t="n">
        <v>32</v>
      </c>
    </row>
    <row r="197" customFormat="false" ht="15" hidden="false" customHeight="false" outlineLevel="0" collapsed="false">
      <c r="A197" s="286" t="s">
        <v>1987</v>
      </c>
      <c r="B197" s="286" t="s">
        <v>1781</v>
      </c>
      <c r="C197" s="286" t="n">
        <v>3</v>
      </c>
      <c r="D197" s="286" t="s">
        <v>1943</v>
      </c>
      <c r="E197" s="286" t="s">
        <v>1948</v>
      </c>
      <c r="F197" s="286" t="s">
        <v>99</v>
      </c>
      <c r="G197" s="286" t="n">
        <v>47</v>
      </c>
    </row>
    <row r="198" customFormat="false" ht="15" hidden="false" customHeight="false" outlineLevel="0" collapsed="false">
      <c r="A198" s="286" t="s">
        <v>1988</v>
      </c>
      <c r="B198" s="286" t="s">
        <v>1772</v>
      </c>
      <c r="C198" s="286" t="n">
        <v>3</v>
      </c>
      <c r="D198" s="286" t="s">
        <v>1950</v>
      </c>
      <c r="E198" s="286" t="s">
        <v>1948</v>
      </c>
      <c r="F198" s="286" t="s">
        <v>1785</v>
      </c>
      <c r="G198" s="286" t="n">
        <v>36</v>
      </c>
    </row>
    <row r="199" customFormat="false" ht="15" hidden="false" customHeight="false" outlineLevel="0" collapsed="false">
      <c r="A199" s="286" t="s">
        <v>1989</v>
      </c>
      <c r="B199" s="286" t="s">
        <v>1772</v>
      </c>
      <c r="C199" s="286" t="n">
        <v>3</v>
      </c>
      <c r="D199" s="286" t="s">
        <v>1943</v>
      </c>
      <c r="E199" s="286" t="s">
        <v>1944</v>
      </c>
      <c r="F199" s="286" t="s">
        <v>1442</v>
      </c>
      <c r="G199" s="286" t="n">
        <v>17</v>
      </c>
    </row>
    <row r="200" customFormat="false" ht="15" hidden="false" customHeight="false" outlineLevel="0" collapsed="false">
      <c r="A200" s="286" t="s">
        <v>1990</v>
      </c>
      <c r="B200" s="286" t="s">
        <v>1772</v>
      </c>
      <c r="C200" s="286" t="n">
        <v>2</v>
      </c>
      <c r="D200" s="286" t="s">
        <v>1950</v>
      </c>
      <c r="E200" s="286" t="s">
        <v>1944</v>
      </c>
      <c r="F200" s="286" t="s">
        <v>1785</v>
      </c>
      <c r="G200" s="286" t="s">
        <v>1991</v>
      </c>
    </row>
    <row r="201" customFormat="false" ht="15" hidden="false" customHeight="true" outlineLevel="0" collapsed="false">
      <c r="A201" s="288"/>
      <c r="B201" s="288"/>
      <c r="C201" s="288"/>
      <c r="D201" s="288"/>
      <c r="E201" s="288"/>
      <c r="F201" s="288"/>
      <c r="G201" s="288"/>
    </row>
    <row r="202" customFormat="false" ht="15" hidden="false" customHeight="true" outlineLevel="0" collapsed="false">
      <c r="A202" s="288"/>
      <c r="B202" s="288"/>
      <c r="C202" s="288"/>
      <c r="D202" s="288"/>
      <c r="E202" s="288"/>
      <c r="F202" s="288"/>
      <c r="G202" s="288"/>
    </row>
    <row r="203" customFormat="false" ht="15" hidden="false" customHeight="true" outlineLevel="0" collapsed="false">
      <c r="A203" s="298"/>
      <c r="B203" s="298"/>
      <c r="C203" s="298"/>
      <c r="D203" s="298"/>
      <c r="E203" s="298"/>
      <c r="F203" s="298"/>
      <c r="G203" s="298"/>
    </row>
    <row r="204" customFormat="false" ht="15" hidden="false" customHeight="true" outlineLevel="0" collapsed="false">
      <c r="A204" s="298"/>
      <c r="B204" s="298"/>
      <c r="C204" s="298"/>
      <c r="D204" s="298"/>
      <c r="E204" s="298"/>
      <c r="F204" s="298"/>
      <c r="G204" s="298"/>
    </row>
    <row r="205" customFormat="false" ht="15" hidden="false" customHeight="true" outlineLevel="0" collapsed="false">
      <c r="A205" s="285" t="s">
        <v>1992</v>
      </c>
      <c r="B205" s="300" t="s">
        <v>78</v>
      </c>
      <c r="C205" s="300"/>
      <c r="D205" s="300"/>
      <c r="E205" s="300"/>
      <c r="F205" s="300"/>
      <c r="G205" s="300"/>
    </row>
    <row r="206" customFormat="false" ht="15" hidden="false" customHeight="false" outlineLevel="0" collapsed="false">
      <c r="A206" s="286" t="s">
        <v>1994</v>
      </c>
      <c r="B206" s="296" t="n">
        <f aca="false">C61+Escenarios!$M$15</f>
        <v>0.1</v>
      </c>
      <c r="C206" s="302"/>
      <c r="D206" s="302"/>
      <c r="E206" s="302"/>
      <c r="F206" s="302"/>
      <c r="G206" s="302"/>
    </row>
    <row r="207" customFormat="false" ht="15" hidden="false" customHeight="false" outlineLevel="0" collapsed="false">
      <c r="A207" s="286" t="s">
        <v>1995</v>
      </c>
      <c r="B207" s="296" t="n">
        <f aca="false">G55</f>
        <v>0.288010101095701</v>
      </c>
      <c r="C207" s="302"/>
      <c r="D207" s="302"/>
      <c r="E207" s="302"/>
      <c r="F207" s="302"/>
      <c r="G207" s="302"/>
    </row>
    <row r="208" customFormat="false" ht="15" hidden="false" customHeight="false" outlineLevel="0" collapsed="false">
      <c r="A208" s="286" t="s">
        <v>1996</v>
      </c>
      <c r="B208" s="296" t="n">
        <f aca="false">B206*(1-B207)</f>
        <v>0.0711989898904299</v>
      </c>
      <c r="C208" s="302"/>
      <c r="D208" s="302"/>
      <c r="E208" s="302"/>
      <c r="F208" s="302"/>
      <c r="G208" s="302"/>
    </row>
    <row r="209" customFormat="false" ht="15" hidden="false" customHeight="false" outlineLevel="0" collapsed="false">
      <c r="A209" s="286" t="s">
        <v>1997</v>
      </c>
      <c r="B209" s="297" t="n">
        <f aca="false">B91+B92</f>
        <v>23618</v>
      </c>
      <c r="C209" s="302"/>
      <c r="D209" s="302"/>
      <c r="E209" s="302"/>
      <c r="F209" s="302"/>
      <c r="G209" s="302"/>
    </row>
    <row r="210" customFormat="false" ht="15" hidden="false" customHeight="false" outlineLevel="0" collapsed="false">
      <c r="A210" s="286" t="s">
        <v>1998</v>
      </c>
      <c r="B210" s="296" t="n">
        <f aca="false">WACC!B5+Escenarios!$M$14</f>
        <v>0.09517</v>
      </c>
      <c r="C210" s="302"/>
      <c r="D210" s="302"/>
      <c r="E210" s="302"/>
      <c r="F210" s="302"/>
      <c r="G210" s="302"/>
    </row>
    <row r="211" customFormat="false" ht="15" hidden="false" customHeight="false" outlineLevel="0" collapsed="false">
      <c r="A211" s="286" t="s">
        <v>1999</v>
      </c>
      <c r="B211" s="296" t="n">
        <f aca="false">WACC!B8</f>
        <v>0.0423</v>
      </c>
      <c r="C211" s="302"/>
      <c r="D211" s="302"/>
      <c r="E211" s="302"/>
      <c r="F211" s="302"/>
      <c r="G211" s="302"/>
    </row>
    <row r="212" customFormat="false" ht="15" hidden="false" customHeight="false" outlineLevel="0" collapsed="false">
      <c r="A212" s="286" t="s">
        <v>2700</v>
      </c>
      <c r="B212" s="337" t="n">
        <f aca="false">Escenarios!$M$16</f>
        <v>0.0711516221926528</v>
      </c>
      <c r="C212" s="302"/>
      <c r="D212" s="302"/>
      <c r="E212" s="302"/>
      <c r="F212" s="302"/>
      <c r="G212" s="302"/>
    </row>
    <row r="213" customFormat="false" ht="15" hidden="false" customHeight="false" outlineLevel="0" collapsed="false">
      <c r="A213" s="285" t="s">
        <v>2001</v>
      </c>
      <c r="B213" s="300" t="s">
        <v>2002</v>
      </c>
      <c r="C213" s="300" t="s">
        <v>2003</v>
      </c>
      <c r="D213" s="300" t="s">
        <v>1412</v>
      </c>
      <c r="E213" s="300" t="s">
        <v>2004</v>
      </c>
      <c r="F213" s="300" t="s">
        <v>2005</v>
      </c>
      <c r="G213" s="300" t="s">
        <v>2006</v>
      </c>
    </row>
    <row r="214" customFormat="false" ht="15" hidden="false" customHeight="false" outlineLevel="0" collapsed="false">
      <c r="A214" s="286" t="s">
        <v>2007</v>
      </c>
      <c r="B214" s="296" t="n">
        <f aca="false">WACC!B33</f>
        <v>0.100615773284249</v>
      </c>
      <c r="C214" s="297" t="n">
        <f aca="false">SUMPRODUCT($C$117:$G$117,(1+B214)^(-$C$118:$G$118))+$G$117*(1+$B$123)/(B214-$B$123)*(1+B214)^-5+$B$141+$B$142+$B$143</f>
        <v>72076.3632308033</v>
      </c>
      <c r="D214" s="304" t="n">
        <f aca="false">$B$209/C214</f>
        <v>0.327680239975071</v>
      </c>
      <c r="E214" s="304" t="n">
        <f aca="false">$B$212*(1+(1-$B$207)*D214)</f>
        <v>0.0877516528977114</v>
      </c>
      <c r="F214" s="296" t="n">
        <f aca="false">$B$210+E214*$B$211</f>
        <v>0.0988818949175732</v>
      </c>
      <c r="G214" s="296" t="n">
        <f aca="false">C214/(C214+$B$209)*F214+$B$209/(C214+$B$209)*$B$208</f>
        <v>0.092049571373561</v>
      </c>
    </row>
    <row r="215" customFormat="false" ht="15" hidden="false" customHeight="false" outlineLevel="0" collapsed="false">
      <c r="A215" s="286" t="n">
        <v>1</v>
      </c>
      <c r="B215" s="296" t="n">
        <f aca="false">G214</f>
        <v>0.092049571373561</v>
      </c>
      <c r="C215" s="297" t="n">
        <f aca="false">SUMPRODUCT($C$117:$G$117,(1+B215)^(-$C$118:$G$118))+$G$117*(1+$B$123)/(B215-$B$123)*(1+B215)^-5+$B$141+$B$142+$B$143</f>
        <v>84873.0990150802</v>
      </c>
      <c r="D215" s="304" t="n">
        <f aca="false">$B$209/C215</f>
        <v>0.278274273875679</v>
      </c>
      <c r="E215" s="304" t="n">
        <f aca="false">$B$212*(1+(1-$B$207)*D215)</f>
        <v>0.0852487843868565</v>
      </c>
      <c r="F215" s="296" t="n">
        <f aca="false">$B$210+E215*$B$211</f>
        <v>0.098776023579564</v>
      </c>
      <c r="G215" s="296" t="n">
        <f aca="false">C215/(C215+$B$209)*F215+$B$209/(C215+$B$209)*$B$208</f>
        <v>0.092772633554181</v>
      </c>
    </row>
    <row r="216" customFormat="false" ht="15" hidden="false" customHeight="false" outlineLevel="0" collapsed="false">
      <c r="A216" s="286" t="n">
        <v>2</v>
      </c>
      <c r="B216" s="296" t="n">
        <f aca="false">G215</f>
        <v>0.092772633554181</v>
      </c>
      <c r="C216" s="297" t="n">
        <f aca="false">SUMPRODUCT($C$117:$G$117,(1+B216)^(-$C$118:$G$118))+$G$117*(1+$B$123)/(B216-$B$123)*(1+B216)^-5+$B$141+$B$142+$B$143</f>
        <v>83646.5325643186</v>
      </c>
      <c r="D216" s="304" t="n">
        <f aca="false">$B$209/C216</f>
        <v>0.282354800324082</v>
      </c>
      <c r="E216" s="304" t="n">
        <f aca="false">$B$212*(1+(1-$B$207)*D216)</f>
        <v>0.0854555007404012</v>
      </c>
      <c r="F216" s="296" t="n">
        <f aca="false">$B$210+E216*$B$211</f>
        <v>0.098784767681319</v>
      </c>
      <c r="G216" s="296" t="n">
        <f aca="false">C216/(C216+$B$209)*F216+$B$209/(C216+$B$209)*$B$208</f>
        <v>0.0927108037690207</v>
      </c>
    </row>
    <row r="217" customFormat="false" ht="15" hidden="false" customHeight="false" outlineLevel="0" collapsed="false">
      <c r="A217" s="286" t="n">
        <v>3</v>
      </c>
      <c r="B217" s="296" t="n">
        <f aca="false">G216</f>
        <v>0.0927108037690207</v>
      </c>
      <c r="C217" s="297" t="n">
        <f aca="false">SUMPRODUCT($C$117:$G$117,(1+B217)^(-$C$118:$G$118))+$G$117*(1+$B$123)/(B217-$B$123)*(1+B217)^-5+$B$141+$B$142+$B$143</f>
        <v>83750.2174582744</v>
      </c>
      <c r="D217" s="304" t="n">
        <f aca="false">$B$209/C217</f>
        <v>0.282005237917941</v>
      </c>
      <c r="E217" s="304" t="n">
        <f aca="false">$B$212*(1+(1-$B$207)*D217)</f>
        <v>0.0854377921758697</v>
      </c>
      <c r="F217" s="296" t="n">
        <f aca="false">$B$210+E217*$B$211</f>
        <v>0.0987840186090393</v>
      </c>
      <c r="G217" s="296" t="n">
        <f aca="false">C217/(C217+$B$209)*F217+$B$209/(C217+$B$209)*$B$208</f>
        <v>0.0927160850650247</v>
      </c>
    </row>
    <row r="218" customFormat="false" ht="15" hidden="false" customHeight="false" outlineLevel="0" collapsed="false">
      <c r="A218" s="286" t="n">
        <v>4</v>
      </c>
      <c r="B218" s="296" t="n">
        <f aca="false">G217</f>
        <v>0.0927160850650247</v>
      </c>
      <c r="C218" s="297" t="n">
        <f aca="false">SUMPRODUCT($C$117:$G$117,(1+B218)^(-$C$118:$G$118))+$G$117*(1+$B$123)/(B218-$B$123)*(1+B218)^-5+$B$141+$B$142+$B$143</f>
        <v>83741.3523721675</v>
      </c>
      <c r="D218" s="304" t="n">
        <f aca="false">$B$209/C218</f>
        <v>0.282035091755334</v>
      </c>
      <c r="E218" s="304" t="n">
        <f aca="false">$B$212*(1+(1-$B$207)*D218)</f>
        <v>0.0854393045484724</v>
      </c>
      <c r="F218" s="296" t="n">
        <f aca="false">$B$210+E218*$B$211</f>
        <v>0.0987840825824004</v>
      </c>
      <c r="G218" s="296" t="n">
        <f aca="false">C218/(C218+$B$209)*F218+$B$209/(C218+$B$209)*$B$208</f>
        <v>0.0927156339116178</v>
      </c>
    </row>
    <row r="219" customFormat="false" ht="15" hidden="false" customHeight="false" outlineLevel="0" collapsed="false">
      <c r="A219" s="286" t="n">
        <v>5</v>
      </c>
      <c r="B219" s="296" t="n">
        <f aca="false">G218</f>
        <v>0.0927156339116178</v>
      </c>
      <c r="C219" s="297" t="n">
        <f aca="false">SUMPRODUCT($C$117:$G$117,(1+B219)^(-$C$118:$G$118))+$G$117*(1+$B$123)/(B219-$B$123)*(1+B219)^-5+$B$141+$B$142+$B$143</f>
        <v>83742.1096066714</v>
      </c>
      <c r="D219" s="304" t="n">
        <f aca="false">$B$209/C219</f>
        <v>0.282032541464879</v>
      </c>
      <c r="E219" s="304" t="n">
        <f aca="false">$B$212*(1+(1-$B$207)*D219)</f>
        <v>0.0854391753527057</v>
      </c>
      <c r="F219" s="296" t="n">
        <f aca="false">$B$210+E219*$B$211</f>
        <v>0.0987840771174195</v>
      </c>
      <c r="G219" s="296" t="n">
        <f aca="false">C219/(C219+$B$209)*F219+$B$209/(C219+$B$209)*$B$208</f>
        <v>0.0927156724509757</v>
      </c>
    </row>
    <row r="220" customFormat="false" ht="15" hidden="false" customHeight="false" outlineLevel="0" collapsed="false">
      <c r="A220" s="285" t="s">
        <v>2008</v>
      </c>
      <c r="B220" s="338" t="n">
        <f aca="false">G219</f>
        <v>0.0927156724509757</v>
      </c>
      <c r="C220" s="300"/>
      <c r="D220" s="300"/>
      <c r="E220" s="300"/>
      <c r="F220" s="300"/>
      <c r="G220" s="300"/>
    </row>
    <row r="221" customFormat="false" ht="15" hidden="false" customHeight="false" outlineLevel="0" collapsed="false">
      <c r="A221" s="285" t="s">
        <v>2009</v>
      </c>
      <c r="B221" s="338" t="n">
        <f aca="false">F219</f>
        <v>0.0987840771174195</v>
      </c>
      <c r="C221" s="300"/>
      <c r="D221" s="300"/>
      <c r="E221" s="300"/>
      <c r="F221" s="300"/>
      <c r="G221" s="300"/>
    </row>
    <row r="222" customFormat="false" ht="15" hidden="false" customHeight="false" outlineLevel="0" collapsed="false">
      <c r="A222" s="286" t="s">
        <v>2010</v>
      </c>
      <c r="B222" s="337" t="n">
        <f aca="false">(G219-G218)*10000</f>
        <v>0.000385393578716808</v>
      </c>
      <c r="C222" s="303"/>
      <c r="D222" s="303"/>
      <c r="E222" s="303"/>
      <c r="F222" s="303"/>
      <c r="G222" s="303"/>
    </row>
    <row r="223" customFormat="false" ht="15" hidden="false" customHeight="false" outlineLevel="0" collapsed="false">
      <c r="A223" s="339"/>
      <c r="B223" s="339"/>
      <c r="C223" s="339"/>
      <c r="D223" s="339"/>
      <c r="E223" s="339"/>
      <c r="F223" s="339"/>
      <c r="G223" s="339"/>
    </row>
    <row r="224" customFormat="false" ht="15" hidden="false" customHeight="false" outlineLevel="0" collapsed="false">
      <c r="A224" s="339"/>
      <c r="B224" s="339"/>
      <c r="C224" s="339"/>
      <c r="D224" s="339"/>
      <c r="E224" s="339"/>
      <c r="F224" s="339"/>
      <c r="G224" s="339"/>
    </row>
    <row r="225" customFormat="false" ht="15" hidden="false" customHeight="false" outlineLevel="0" collapsed="false">
      <c r="A225" s="285" t="s">
        <v>2011</v>
      </c>
      <c r="B225" s="300" t="s">
        <v>1</v>
      </c>
      <c r="C225" s="300" t="s">
        <v>2</v>
      </c>
      <c r="D225" s="300" t="s">
        <v>3</v>
      </c>
      <c r="E225" s="300" t="s">
        <v>4</v>
      </c>
      <c r="F225" s="300"/>
      <c r="G225" s="300"/>
    </row>
    <row r="226" customFormat="false" ht="15" hidden="false" customHeight="false" outlineLevel="0" collapsed="false">
      <c r="A226" s="286" t="s">
        <v>1409</v>
      </c>
      <c r="B226" s="297" t="n">
        <f aca="false">WACC!B18</f>
        <v>59580</v>
      </c>
      <c r="C226" s="297" t="n">
        <f aca="false">WACC!C18</f>
        <v>813622.604529617</v>
      </c>
      <c r="D226" s="297" t="n">
        <f aca="false">WACC!D18</f>
        <v>89246.0254200776</v>
      </c>
      <c r="E226" s="297" t="n">
        <f aca="false">WACC!E18</f>
        <v>34190</v>
      </c>
      <c r="F226" s="303"/>
      <c r="G226" s="303"/>
    </row>
    <row r="227" customFormat="false" ht="15" hidden="false" customHeight="false" outlineLevel="0" collapsed="false">
      <c r="A227" s="286" t="s">
        <v>2013</v>
      </c>
      <c r="B227" s="297" t="n">
        <f aca="false">WACC!B21</f>
        <v>23618</v>
      </c>
      <c r="C227" s="297" t="n">
        <f aca="false">WACC!C21</f>
        <v>80848.1</v>
      </c>
      <c r="D227" s="297" t="n">
        <f aca="false">WACC!D21</f>
        <v>56744.34</v>
      </c>
      <c r="E227" s="297" t="n">
        <f aca="false">WACC!E21</f>
        <v>2441.8</v>
      </c>
      <c r="F227" s="303"/>
      <c r="G227" s="303"/>
    </row>
    <row r="228" customFormat="false" ht="15" hidden="false" customHeight="false" outlineLevel="0" collapsed="false">
      <c r="A228" s="286" t="s">
        <v>2701</v>
      </c>
      <c r="B228" s="297" t="n">
        <f aca="false">-WACC!B22</f>
        <v>-9295</v>
      </c>
      <c r="C228" s="297" t="n">
        <f aca="false">-WACC!C22</f>
        <v>-28591.2</v>
      </c>
      <c r="D228" s="297" t="n">
        <f aca="false">-WACC!D22</f>
        <v>-14640.16</v>
      </c>
      <c r="E228" s="297" t="n">
        <f aca="false">-WACC!E22</f>
        <v>-2962.8</v>
      </c>
      <c r="F228" s="303"/>
      <c r="G228" s="303"/>
    </row>
    <row r="229" customFormat="false" ht="15" hidden="false" customHeight="false" outlineLevel="0" collapsed="false">
      <c r="A229" s="286" t="s">
        <v>2015</v>
      </c>
      <c r="B229" s="297" t="n">
        <f aca="false">SUM(B226:B228)</f>
        <v>73903</v>
      </c>
      <c r="C229" s="297" t="n">
        <f aca="false">SUM(C226:C228)</f>
        <v>865879.504529617</v>
      </c>
      <c r="D229" s="297" t="n">
        <f aca="false">SUM(D226:D228)</f>
        <v>131350.205420078</v>
      </c>
      <c r="E229" s="297" t="n">
        <f aca="false">SUM(E226:E228)</f>
        <v>33669</v>
      </c>
      <c r="F229" s="303"/>
      <c r="G229" s="303"/>
    </row>
    <row r="230" customFormat="false" ht="15" hidden="false" customHeight="false" outlineLevel="0" collapsed="false">
      <c r="A230" s="286" t="s">
        <v>2016</v>
      </c>
      <c r="B230" s="297" t="n">
        <f aca="false">Datos!G9+Datos!G14</f>
        <v>11894</v>
      </c>
      <c r="C230" s="297" t="n">
        <f aca="false">Datos!G35+Datos!G40</f>
        <v>103446.9</v>
      </c>
      <c r="D230" s="297" t="n">
        <f aca="false">Datos!G61+Datos!G66</f>
        <v>24391.15</v>
      </c>
      <c r="E230" s="297" t="n">
        <f aca="false">Datos!G87+Datos!G92</f>
        <v>5214.81481788325</v>
      </c>
      <c r="F230" s="303"/>
      <c r="G230" s="303"/>
    </row>
    <row r="231" customFormat="false" ht="15" hidden="false" customHeight="false" outlineLevel="0" collapsed="false">
      <c r="A231" s="285" t="s">
        <v>2017</v>
      </c>
      <c r="B231" s="340" t="n">
        <f aca="false">B229/B230</f>
        <v>6.21346897595426</v>
      </c>
      <c r="C231" s="340" t="n">
        <f aca="false">C229/C230</f>
        <v>8.37027986850855</v>
      </c>
      <c r="D231" s="340" t="n">
        <f aca="false">D229/D230</f>
        <v>5.38515836358997</v>
      </c>
      <c r="E231" s="340" t="n">
        <f aca="false">E229/E230</f>
        <v>6.45641334847373</v>
      </c>
      <c r="F231" s="341"/>
      <c r="G231" s="341"/>
    </row>
    <row r="232" customFormat="false" ht="15" hidden="false" customHeight="false" outlineLevel="0" collapsed="false">
      <c r="A232" s="286" t="s">
        <v>2018</v>
      </c>
      <c r="B232" s="342" t="n">
        <f aca="false">MEDIAN(C231:E231)</f>
        <v>6.45641334847373</v>
      </c>
      <c r="C232" s="302"/>
      <c r="D232" s="302"/>
      <c r="E232" s="302"/>
      <c r="F232" s="302"/>
      <c r="G232" s="302"/>
    </row>
    <row r="233" customFormat="false" ht="15" hidden="false" customHeight="false" outlineLevel="0" collapsed="false">
      <c r="A233" s="286" t="s">
        <v>2702</v>
      </c>
      <c r="B233" s="296" t="n">
        <v>0.1</v>
      </c>
      <c r="C233" s="302"/>
      <c r="D233" s="302"/>
      <c r="E233" s="302"/>
      <c r="F233" s="302"/>
      <c r="G233" s="302"/>
    </row>
    <row r="234" customFormat="false" ht="15" hidden="false" customHeight="false" outlineLevel="0" collapsed="false">
      <c r="A234" s="286" t="s">
        <v>2020</v>
      </c>
      <c r="B234" s="342" t="n">
        <f aca="false">B232*(1-B233)</f>
        <v>5.81077201362635</v>
      </c>
      <c r="C234" s="302"/>
      <c r="D234" s="302"/>
      <c r="E234" s="302"/>
      <c r="F234" s="302"/>
      <c r="G234" s="302"/>
    </row>
    <row r="235" customFormat="false" ht="15" hidden="false" customHeight="false" outlineLevel="0" collapsed="false">
      <c r="A235" s="286" t="s">
        <v>2021</v>
      </c>
      <c r="B235" s="297" t="n">
        <f aca="false">G71</f>
        <v>12256.047209706</v>
      </c>
      <c r="C235" s="302"/>
      <c r="D235" s="302"/>
      <c r="E235" s="302"/>
      <c r="F235" s="302"/>
      <c r="G235" s="302"/>
    </row>
    <row r="236" customFormat="false" ht="15" hidden="false" customHeight="false" outlineLevel="0" collapsed="false">
      <c r="A236" s="285" t="s">
        <v>2022</v>
      </c>
      <c r="B236" s="301" t="n">
        <f aca="false">B234*B235</f>
        <v>71217.0961238431</v>
      </c>
      <c r="C236" s="302"/>
      <c r="D236" s="302"/>
      <c r="E236" s="302"/>
      <c r="F236" s="302"/>
      <c r="G236" s="302"/>
    </row>
    <row r="237" customFormat="false" ht="15" hidden="false" customHeight="false" outlineLevel="0" collapsed="false">
      <c r="A237" s="286" t="s">
        <v>2023</v>
      </c>
      <c r="B237" s="297" t="n">
        <f aca="false">B236*G119</f>
        <v>45713.9133803119</v>
      </c>
      <c r="C237" s="302"/>
      <c r="D237" s="302"/>
      <c r="E237" s="302"/>
      <c r="F237" s="302"/>
      <c r="G237" s="302"/>
    </row>
    <row r="238" customFormat="false" ht="15" hidden="false" customHeight="false" outlineLevel="0" collapsed="false">
      <c r="A238" s="285" t="s">
        <v>2024</v>
      </c>
      <c r="B238" s="301" t="n">
        <f aca="false">B134+B237</f>
        <v>70041.0641430398</v>
      </c>
      <c r="C238" s="302"/>
      <c r="D238" s="302"/>
      <c r="E238" s="302"/>
      <c r="F238" s="302"/>
      <c r="G238" s="302"/>
    </row>
    <row r="239" customFormat="false" ht="15" hidden="false" customHeight="false" outlineLevel="0" collapsed="false">
      <c r="A239" s="286" t="s">
        <v>2025</v>
      </c>
      <c r="B239" s="297" t="n">
        <f aca="false">B238-B144</f>
        <v>55718.0641430398</v>
      </c>
      <c r="C239" s="302"/>
      <c r="D239" s="302"/>
      <c r="E239" s="302"/>
      <c r="F239" s="302"/>
      <c r="G239" s="302"/>
    </row>
    <row r="240" customFormat="false" ht="15" hidden="false" customHeight="false" outlineLevel="0" collapsed="false">
      <c r="A240" s="285" t="s">
        <v>2026</v>
      </c>
      <c r="B240" s="306" t="n">
        <f aca="false">B239/B149</f>
        <v>30.9544800794666</v>
      </c>
      <c r="C240" s="302"/>
      <c r="D240" s="302"/>
      <c r="E240" s="302"/>
      <c r="F240" s="302"/>
      <c r="G240" s="302"/>
    </row>
    <row r="241" customFormat="false" ht="15" hidden="false" customHeight="false" outlineLevel="0" collapsed="false">
      <c r="A241" s="286" t="s">
        <v>2027</v>
      </c>
      <c r="B241" s="342" t="n">
        <f aca="false">B129/G71</f>
        <v>9.372947097071</v>
      </c>
      <c r="C241" s="302"/>
      <c r="D241" s="302"/>
      <c r="E241" s="302"/>
      <c r="F241" s="302"/>
      <c r="G241" s="302"/>
    </row>
    <row r="242" customFormat="false" ht="15" hidden="false" customHeight="false" outlineLevel="0" collapsed="false">
      <c r="A242" s="286" t="s">
        <v>2028</v>
      </c>
      <c r="B242" s="296" t="n">
        <f aca="false">(B236*B126-B127)/(B236+B127)</f>
        <v>0.00253846460612412</v>
      </c>
      <c r="C242" s="302"/>
      <c r="D242" s="302"/>
      <c r="E242" s="302"/>
      <c r="F242" s="302"/>
      <c r="G242" s="302"/>
    </row>
    <row r="243" customFormat="false" ht="15" hidden="false" customHeight="false" outlineLevel="0" collapsed="false">
      <c r="A243" s="286" t="s">
        <v>2029</v>
      </c>
      <c r="B243" s="296" t="n">
        <v>0.5</v>
      </c>
      <c r="C243" s="302"/>
      <c r="D243" s="302"/>
      <c r="E243" s="302"/>
      <c r="F243" s="302"/>
      <c r="G243" s="302"/>
    </row>
    <row r="244" customFormat="false" ht="15" hidden="false" customHeight="false" outlineLevel="0" collapsed="false">
      <c r="A244" s="286" t="s">
        <v>2030</v>
      </c>
      <c r="B244" s="296" t="n">
        <f aca="false">1-B243</f>
        <v>0.5</v>
      </c>
      <c r="C244" s="302"/>
      <c r="D244" s="302"/>
      <c r="E244" s="302"/>
      <c r="F244" s="302"/>
      <c r="G244" s="302"/>
    </row>
    <row r="245" customFormat="false" ht="15" hidden="false" customHeight="false" outlineLevel="0" collapsed="false">
      <c r="A245" s="286" t="s">
        <v>2031</v>
      </c>
      <c r="B245" s="297" t="n">
        <f aca="false">B243*B136+B244*B238</f>
        <v>84053.0545316</v>
      </c>
      <c r="C245" s="302"/>
      <c r="D245" s="302"/>
      <c r="E245" s="302"/>
      <c r="F245" s="302"/>
      <c r="G245" s="302"/>
    </row>
    <row r="246" customFormat="false" ht="15" hidden="false" customHeight="false" outlineLevel="0" collapsed="false">
      <c r="A246" s="285" t="s">
        <v>2032</v>
      </c>
      <c r="B246" s="306" t="n">
        <f aca="false">B243*B150+B244*B240</f>
        <v>38.7389191842222</v>
      </c>
      <c r="C246" s="302"/>
      <c r="D246" s="302"/>
      <c r="E246" s="302"/>
      <c r="F246" s="302"/>
      <c r="G246" s="302"/>
    </row>
    <row r="247" customFormat="false" ht="15" hidden="false" customHeight="false" outlineLevel="0" collapsed="false">
      <c r="A247" s="339"/>
      <c r="B247" s="339"/>
      <c r="C247" s="339"/>
      <c r="D247" s="339"/>
      <c r="E247" s="339"/>
      <c r="F247" s="339"/>
      <c r="G247" s="339"/>
    </row>
    <row r="248" customFormat="false" ht="15" hidden="false" customHeight="false" outlineLevel="0" collapsed="false">
      <c r="A248" s="339"/>
      <c r="B248" s="339"/>
      <c r="C248" s="339"/>
      <c r="D248" s="339"/>
      <c r="E248" s="339"/>
      <c r="F248" s="339"/>
      <c r="G248" s="339"/>
    </row>
    <row r="249" customFormat="false" ht="15" hidden="false" customHeight="false" outlineLevel="0" collapsed="false">
      <c r="A249" s="285" t="s">
        <v>2033</v>
      </c>
      <c r="B249" s="300" t="s">
        <v>78</v>
      </c>
      <c r="C249" s="300"/>
      <c r="D249" s="300"/>
      <c r="E249" s="300"/>
      <c r="F249" s="300"/>
      <c r="G249" s="300"/>
    </row>
    <row r="250" customFormat="false" ht="15" hidden="false" customHeight="false" outlineLevel="0" collapsed="false">
      <c r="A250" s="286" t="s">
        <v>2035</v>
      </c>
      <c r="B250" s="343" t="n">
        <f aca="false">DATE(2025,12,31)</f>
        <v>46022</v>
      </c>
      <c r="C250" s="302"/>
      <c r="D250" s="302"/>
      <c r="E250" s="302"/>
      <c r="F250" s="302"/>
      <c r="G250" s="302"/>
    </row>
    <row r="251" customFormat="false" ht="15" hidden="false" customHeight="false" outlineLevel="0" collapsed="false">
      <c r="A251" s="286" t="s">
        <v>2036</v>
      </c>
      <c r="B251" s="343" t="n">
        <f aca="false">DATE(2026,6,30)</f>
        <v>46203</v>
      </c>
      <c r="C251" s="302"/>
      <c r="D251" s="302"/>
      <c r="E251" s="302"/>
      <c r="F251" s="302"/>
      <c r="G251" s="302"/>
    </row>
    <row r="252" customFormat="false" ht="15" hidden="false" customHeight="false" outlineLevel="0" collapsed="false">
      <c r="A252" s="286" t="s">
        <v>2037</v>
      </c>
      <c r="B252" s="343" t="n">
        <f aca="false">Rendimientos!H10</f>
        <v>46302</v>
      </c>
      <c r="C252" s="302"/>
      <c r="D252" s="302"/>
      <c r="E252" s="302"/>
      <c r="F252" s="302"/>
      <c r="G252" s="302"/>
    </row>
    <row r="253" customFormat="false" ht="15" hidden="false" customHeight="false" outlineLevel="0" collapsed="false">
      <c r="A253" s="286" t="s">
        <v>2038</v>
      </c>
      <c r="B253" s="337" t="n">
        <f aca="false">YEARFRAC(B250,B251)</f>
        <v>0.5</v>
      </c>
      <c r="C253" s="302"/>
      <c r="D253" s="302"/>
      <c r="E253" s="302"/>
      <c r="F253" s="302"/>
      <c r="G253" s="302"/>
    </row>
    <row r="254" customFormat="false" ht="15" hidden="false" customHeight="false" outlineLevel="0" collapsed="false">
      <c r="A254" s="286" t="s">
        <v>2039</v>
      </c>
      <c r="B254" s="337" t="n">
        <f aca="false">YEARFRAC(B251,B252)</f>
        <v>0.269444444444444</v>
      </c>
      <c r="C254" s="302"/>
      <c r="D254" s="302"/>
      <c r="E254" s="302"/>
      <c r="F254" s="302"/>
      <c r="G254" s="302"/>
    </row>
    <row r="255" customFormat="false" ht="15" hidden="false" customHeight="false" outlineLevel="0" collapsed="false">
      <c r="A255" s="286" t="s">
        <v>2040</v>
      </c>
      <c r="B255" s="297" t="n">
        <f aca="false">B245</f>
        <v>84053.0545316</v>
      </c>
      <c r="C255" s="302"/>
      <c r="D255" s="302"/>
      <c r="E255" s="302"/>
      <c r="F255" s="302"/>
      <c r="G255" s="302"/>
    </row>
    <row r="256" customFormat="false" ht="15" hidden="false" customHeight="false" outlineLevel="0" collapsed="false">
      <c r="A256" s="286" t="s">
        <v>2671</v>
      </c>
      <c r="B256" s="297" t="n">
        <f aca="false">B255*(1+B126)^B253</f>
        <v>87863.2142117801</v>
      </c>
      <c r="C256" s="302"/>
      <c r="D256" s="302"/>
      <c r="E256" s="302"/>
      <c r="F256" s="302"/>
      <c r="G256" s="302"/>
    </row>
    <row r="257" customFormat="false" ht="15" hidden="false" customHeight="false" outlineLevel="0" collapsed="false">
      <c r="A257" s="286" t="s">
        <v>2672</v>
      </c>
      <c r="B257" s="297" t="n">
        <f aca="false">-((Datos!E15+Datos!F15)-(Datos!E16+Datos!F16))</f>
        <v>1060.497</v>
      </c>
      <c r="C257" s="302"/>
      <c r="D257" s="302"/>
      <c r="E257" s="302"/>
      <c r="F257" s="302"/>
      <c r="G257" s="302"/>
    </row>
    <row r="258" customFormat="false" ht="15" hidden="false" customHeight="false" outlineLevel="0" collapsed="false">
      <c r="A258" s="286" t="s">
        <v>2043</v>
      </c>
      <c r="B258" s="297" t="n">
        <f aca="false">B256+B257</f>
        <v>88923.7112117801</v>
      </c>
      <c r="C258" s="302"/>
      <c r="D258" s="302"/>
      <c r="E258" s="302"/>
      <c r="F258" s="302"/>
      <c r="G258" s="302"/>
    </row>
    <row r="259" customFormat="false" ht="15" hidden="false" customHeight="false" outlineLevel="0" collapsed="false">
      <c r="A259" s="286" t="s">
        <v>2258</v>
      </c>
      <c r="B259" s="297" t="n">
        <f aca="false">-(Datos!F25+Datos!F26)</f>
        <v>-11500</v>
      </c>
      <c r="C259" s="302"/>
      <c r="D259" s="302"/>
      <c r="E259" s="302"/>
      <c r="F259" s="302"/>
      <c r="G259" s="302"/>
    </row>
    <row r="260" customFormat="false" ht="15" hidden="false" customHeight="false" outlineLevel="0" collapsed="false">
      <c r="A260" s="286" t="s">
        <v>2259</v>
      </c>
      <c r="B260" s="297" t="n">
        <f aca="false">-(Datos!F27+Datos!F28)</f>
        <v>-12220.588</v>
      </c>
      <c r="C260" s="302"/>
      <c r="D260" s="302"/>
      <c r="E260" s="302"/>
      <c r="F260" s="302"/>
      <c r="G260" s="302"/>
    </row>
    <row r="261" customFormat="false" ht="15" hidden="false" customHeight="false" outlineLevel="0" collapsed="false">
      <c r="A261" s="286" t="s">
        <v>2046</v>
      </c>
      <c r="B261" s="297" t="n">
        <f aca="false">Datos!F17</f>
        <v>6875.384</v>
      </c>
      <c r="C261" s="302"/>
      <c r="D261" s="302"/>
      <c r="E261" s="302"/>
      <c r="F261" s="302"/>
      <c r="G261" s="302"/>
    </row>
    <row r="262" customFormat="false" ht="15" hidden="false" customHeight="false" outlineLevel="0" collapsed="false">
      <c r="A262" s="285" t="s">
        <v>2047</v>
      </c>
      <c r="B262" s="301" t="n">
        <f aca="false">SUM(B258:B261)</f>
        <v>72078.5072117801</v>
      </c>
      <c r="C262" s="302"/>
      <c r="D262" s="302"/>
      <c r="E262" s="302"/>
      <c r="F262" s="302"/>
      <c r="G262" s="302"/>
    </row>
    <row r="263" customFormat="false" ht="15" hidden="false" customHeight="false" outlineLevel="0" collapsed="false">
      <c r="A263" s="285" t="s">
        <v>2673</v>
      </c>
      <c r="B263" s="301" t="n">
        <f aca="false">B262*(1+B221)^B254</f>
        <v>73931.4784206702</v>
      </c>
      <c r="C263" s="302"/>
      <c r="D263" s="302"/>
      <c r="E263" s="302"/>
      <c r="F263" s="302"/>
      <c r="G263" s="302"/>
    </row>
    <row r="264" customFormat="false" ht="15" hidden="false" customHeight="false" outlineLevel="0" collapsed="false">
      <c r="A264" s="286" t="s">
        <v>57</v>
      </c>
      <c r="B264" s="305" t="n">
        <f aca="false">B149</f>
        <v>1800</v>
      </c>
      <c r="C264" s="302"/>
      <c r="D264" s="302"/>
      <c r="E264" s="302"/>
      <c r="F264" s="302"/>
      <c r="G264" s="302"/>
    </row>
    <row r="265" customFormat="false" ht="15" hidden="false" customHeight="false" outlineLevel="0" collapsed="false">
      <c r="A265" s="285" t="s">
        <v>2049</v>
      </c>
      <c r="B265" s="306" t="n">
        <f aca="false">B263/B264</f>
        <v>41.073043567039</v>
      </c>
      <c r="C265" s="302"/>
      <c r="D265" s="302"/>
      <c r="E265" s="302"/>
      <c r="F265" s="302"/>
      <c r="G265" s="302"/>
    </row>
    <row r="266" customFormat="false" ht="15" hidden="false" customHeight="false" outlineLevel="0" collapsed="false">
      <c r="A266" s="286" t="s">
        <v>16</v>
      </c>
      <c r="B266" s="307" t="n">
        <f aca="false">B151</f>
        <v>33.1</v>
      </c>
      <c r="C266" s="302"/>
      <c r="D266" s="302"/>
      <c r="E266" s="302"/>
      <c r="F266" s="302"/>
      <c r="G266" s="302"/>
    </row>
    <row r="267" customFormat="false" ht="15" hidden="false" customHeight="false" outlineLevel="0" collapsed="false">
      <c r="A267" s="286" t="s">
        <v>17</v>
      </c>
      <c r="B267" s="295" t="n">
        <f aca="false">B265/B266-1</f>
        <v>0.240877449155257</v>
      </c>
      <c r="C267" s="302"/>
      <c r="D267" s="302"/>
      <c r="E267" s="302"/>
      <c r="F267" s="302"/>
      <c r="G267" s="302"/>
    </row>
    <row r="268" customFormat="false" ht="15" hidden="false" customHeight="false" outlineLevel="0" collapsed="false">
      <c r="A268" s="285" t="s">
        <v>2050</v>
      </c>
      <c r="B268" s="338" t="str">
        <f aca="false">IF(B267&gt;B155,"COMPRAR",IF(B267&lt;-B155,"VENDER","MANTENER"))</f>
        <v>COMPRAR</v>
      </c>
      <c r="C268" s="302"/>
      <c r="D268" s="302"/>
      <c r="E268" s="302"/>
      <c r="F268" s="302"/>
      <c r="G268" s="302"/>
    </row>
    <row r="269" customFormat="false" ht="15" hidden="false" customHeight="false" outlineLevel="0" collapsed="false">
      <c r="A269" s="286" t="s">
        <v>18</v>
      </c>
      <c r="B269" s="307" t="n">
        <f aca="false">Generales!B24</f>
        <v>23.357</v>
      </c>
      <c r="C269" s="302"/>
      <c r="D269" s="302"/>
      <c r="E269" s="302"/>
      <c r="F269" s="302"/>
      <c r="G269" s="302"/>
    </row>
    <row r="270" customFormat="false" ht="15" hidden="false" customHeight="false" outlineLevel="0" collapsed="false">
      <c r="A270" s="286" t="s">
        <v>2051</v>
      </c>
      <c r="B270" s="295" t="n">
        <f aca="false">B265/B269-1</f>
        <v>0.758489684764268</v>
      </c>
      <c r="C270" s="302"/>
      <c r="D270" s="302"/>
      <c r="E270" s="302"/>
      <c r="F270" s="302"/>
      <c r="G270" s="30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6796875" defaultRowHeight="15" zeroHeight="false" outlineLevelRow="0" outlineLevelCol="0"/>
  <cols>
    <col collapsed="false" customWidth="true" hidden="false" outlineLevel="0" max="1" min="1" style="0" width="61.16"/>
    <col collapsed="false" customWidth="true" hidden="false" outlineLevel="0" max="7" min="2" style="0" width="17.5"/>
  </cols>
  <sheetData>
    <row r="1" customFormat="false" ht="15" hidden="false" customHeight="true" outlineLevel="0" collapsed="false">
      <c r="A1" s="344" t="s">
        <v>2710</v>
      </c>
      <c r="B1" s="345"/>
      <c r="C1" s="345"/>
      <c r="D1" s="345"/>
      <c r="E1" s="345"/>
      <c r="F1" s="345"/>
      <c r="G1" s="345"/>
    </row>
    <row r="2" customFormat="false" ht="15" hidden="false" customHeight="true" outlineLevel="0" collapsed="false">
      <c r="A2" s="346" t="s">
        <v>2675</v>
      </c>
      <c r="B2" s="345"/>
      <c r="C2" s="345"/>
      <c r="D2" s="345"/>
      <c r="E2" s="345"/>
      <c r="F2" s="345"/>
      <c r="G2" s="345"/>
    </row>
    <row r="3" customFormat="false" ht="15" hidden="false" customHeight="true" outlineLevel="0" collapsed="false">
      <c r="A3" s="347"/>
      <c r="B3" s="345"/>
      <c r="C3" s="345"/>
      <c r="D3" s="345"/>
      <c r="E3" s="345"/>
      <c r="F3" s="345"/>
      <c r="G3" s="345"/>
    </row>
    <row r="4" customFormat="false" ht="15" hidden="false" customHeight="true" outlineLevel="0" collapsed="false">
      <c r="A4" s="345"/>
      <c r="B4" s="345"/>
      <c r="C4" s="345"/>
      <c r="D4" s="345"/>
      <c r="E4" s="345"/>
      <c r="F4" s="345"/>
      <c r="G4" s="345"/>
    </row>
    <row r="5" customFormat="false" ht="15" hidden="false" customHeight="true" outlineLevel="0" collapsed="false">
      <c r="A5" s="285" t="s">
        <v>1831</v>
      </c>
      <c r="B5" s="285" t="s">
        <v>1428</v>
      </c>
      <c r="C5" s="285" t="s">
        <v>1429</v>
      </c>
      <c r="D5" s="285" t="s">
        <v>1430</v>
      </c>
      <c r="E5" s="285" t="s">
        <v>1431</v>
      </c>
      <c r="F5" s="285" t="s">
        <v>1432</v>
      </c>
      <c r="G5" s="285" t="s">
        <v>1433</v>
      </c>
    </row>
    <row r="6" customFormat="false" ht="15" hidden="false" customHeight="true" outlineLevel="0" collapsed="false">
      <c r="A6" s="286" t="s">
        <v>1833</v>
      </c>
      <c r="B6" s="286"/>
      <c r="C6" s="287" t="n">
        <v>0.7</v>
      </c>
      <c r="D6" s="287" t="n">
        <v>0.7</v>
      </c>
      <c r="E6" s="287" t="n">
        <v>0.75</v>
      </c>
      <c r="F6" s="287" t="n">
        <v>0.8</v>
      </c>
      <c r="G6" s="287" t="n">
        <v>0.85</v>
      </c>
    </row>
    <row r="7" customFormat="false" ht="15" hidden="false" customHeight="true" outlineLevel="0" collapsed="false">
      <c r="A7" s="286" t="s">
        <v>1834</v>
      </c>
      <c r="B7" s="286"/>
      <c r="C7" s="287" t="n">
        <f aca="false">1-C6</f>
        <v>0.3</v>
      </c>
      <c r="D7" s="287" t="n">
        <f aca="false">1-D6</f>
        <v>0.3</v>
      </c>
      <c r="E7" s="287" t="n">
        <f aca="false">1-E6</f>
        <v>0.25</v>
      </c>
      <c r="F7" s="287" t="n">
        <f aca="false">1-F6</f>
        <v>0.2</v>
      </c>
      <c r="G7" s="287" t="n">
        <f aca="false">1-G6</f>
        <v>0.15</v>
      </c>
    </row>
    <row r="8" customFormat="false" ht="15" hidden="false" customHeight="true" outlineLevel="0" collapsed="false">
      <c r="A8" s="288"/>
      <c r="B8" s="288"/>
      <c r="C8" s="288"/>
      <c r="D8" s="288"/>
      <c r="E8" s="288"/>
      <c r="F8" s="288"/>
      <c r="G8" s="288"/>
    </row>
    <row r="9" customFormat="false" ht="15" hidden="false" customHeight="true" outlineLevel="0" collapsed="false">
      <c r="A9" s="285" t="s">
        <v>1835</v>
      </c>
      <c r="B9" s="285" t="s">
        <v>1428</v>
      </c>
      <c r="C9" s="285" t="s">
        <v>1429</v>
      </c>
      <c r="D9" s="285" t="s">
        <v>1430</v>
      </c>
      <c r="E9" s="285" t="s">
        <v>1431</v>
      </c>
      <c r="F9" s="285" t="s">
        <v>1432</v>
      </c>
      <c r="G9" s="285" t="s">
        <v>1433</v>
      </c>
    </row>
    <row r="10" customFormat="false" ht="15" hidden="false" customHeight="true" outlineLevel="0" collapsed="false">
      <c r="A10" s="286" t="s">
        <v>1837</v>
      </c>
      <c r="B10" s="286"/>
      <c r="C10" s="289" t="n">
        <f aca="false">Escenarios!$N$7</f>
        <v>0.0351</v>
      </c>
      <c r="D10" s="289" t="n">
        <f aca="false">Escenarios!$N$7</f>
        <v>0.0351</v>
      </c>
      <c r="E10" s="289" t="n">
        <f aca="false">Escenarios!$N$7</f>
        <v>0.0351</v>
      </c>
      <c r="F10" s="289" t="n">
        <f aca="false">Escenarios!$N$7</f>
        <v>0.0351</v>
      </c>
      <c r="G10" s="289" t="n">
        <f aca="false">Escenarios!$N$7</f>
        <v>0.0351</v>
      </c>
    </row>
    <row r="11" customFormat="false" ht="15" hidden="false" customHeight="true" outlineLevel="0" collapsed="false">
      <c r="A11" s="286" t="s">
        <v>1838</v>
      </c>
      <c r="B11" s="286"/>
      <c r="C11" s="289" t="n">
        <v>0.014</v>
      </c>
      <c r="D11" s="289" t="n">
        <v>0.018</v>
      </c>
      <c r="E11" s="289" t="n">
        <v>0.02</v>
      </c>
      <c r="F11" s="289" t="n">
        <v>0.02</v>
      </c>
      <c r="G11" s="289" t="n">
        <v>0.02</v>
      </c>
    </row>
    <row r="12" customFormat="false" ht="15" hidden="false" customHeight="true" outlineLevel="0" collapsed="false">
      <c r="A12" s="286" t="s">
        <v>1839</v>
      </c>
      <c r="B12" s="286"/>
      <c r="C12" s="290" t="n">
        <v>0.5</v>
      </c>
      <c r="D12" s="290" t="n">
        <v>0.5</v>
      </c>
      <c r="E12" s="290" t="n">
        <v>0.5</v>
      </c>
      <c r="F12" s="290" t="n">
        <v>0.5</v>
      </c>
      <c r="G12" s="290" t="n">
        <v>0.5</v>
      </c>
    </row>
    <row r="13" customFormat="false" ht="15" hidden="false" customHeight="true" outlineLevel="0" collapsed="false">
      <c r="A13" s="286" t="s">
        <v>1840</v>
      </c>
      <c r="B13" s="286"/>
      <c r="C13" s="289" t="n">
        <v>-0.04</v>
      </c>
      <c r="D13" s="289" t="n">
        <v>-0.015</v>
      </c>
      <c r="E13" s="289" t="n">
        <v>-0.005</v>
      </c>
      <c r="F13" s="289" t="n">
        <v>0</v>
      </c>
      <c r="G13" s="289" t="n">
        <v>0</v>
      </c>
    </row>
    <row r="14" customFormat="false" ht="15" hidden="false" customHeight="true" outlineLevel="0" collapsed="false">
      <c r="A14" s="285" t="s">
        <v>1841</v>
      </c>
      <c r="B14" s="285"/>
      <c r="C14" s="291" t="n">
        <f aca="false">C10+C11*C12+C13</f>
        <v>0.0021</v>
      </c>
      <c r="D14" s="291" t="n">
        <f aca="false">D10+D11*D12+D13</f>
        <v>0.0291</v>
      </c>
      <c r="E14" s="291" t="n">
        <f aca="false">E10+E11*E12+E13</f>
        <v>0.0401</v>
      </c>
      <c r="F14" s="291" t="n">
        <f aca="false">F10+F11*F12+F13</f>
        <v>0.0451</v>
      </c>
      <c r="G14" s="291" t="n">
        <f aca="false">G10+G11*G12+G13</f>
        <v>0.0451</v>
      </c>
    </row>
    <row r="15" customFormat="false" ht="15" hidden="false" customHeight="true" outlineLevel="0" collapsed="false">
      <c r="A15" s="286" t="s">
        <v>2676</v>
      </c>
      <c r="B15" s="286"/>
      <c r="C15" s="289" t="n">
        <v>-0.03</v>
      </c>
      <c r="D15" s="289" t="n">
        <v>-0.02</v>
      </c>
      <c r="E15" s="289" t="n">
        <v>-0.0125</v>
      </c>
      <c r="F15" s="289" t="n">
        <v>-0.01</v>
      </c>
      <c r="G15" s="289" t="n">
        <v>-0.0075</v>
      </c>
    </row>
    <row r="16" customFormat="false" ht="15" hidden="false" customHeight="true" outlineLevel="0" collapsed="false">
      <c r="A16" s="286" t="s">
        <v>2677</v>
      </c>
      <c r="B16" s="286"/>
      <c r="C16" s="289" t="n">
        <v>-0.01</v>
      </c>
      <c r="D16" s="289" t="n">
        <v>-0.005</v>
      </c>
      <c r="E16" s="289" t="n">
        <v>0</v>
      </c>
      <c r="F16" s="289" t="n">
        <v>0</v>
      </c>
      <c r="G16" s="289" t="n">
        <v>0</v>
      </c>
    </row>
    <row r="17" customFormat="false" ht="15" hidden="false" customHeight="true" outlineLevel="0" collapsed="false">
      <c r="A17" s="286" t="s">
        <v>2678</v>
      </c>
      <c r="B17" s="286"/>
      <c r="C17" s="289" t="n">
        <v>-0.003</v>
      </c>
      <c r="D17" s="289" t="n">
        <v>-0.002</v>
      </c>
      <c r="E17" s="289" t="n">
        <v>-0.001</v>
      </c>
      <c r="F17" s="289" t="n">
        <v>0</v>
      </c>
      <c r="G17" s="289" t="n">
        <v>0</v>
      </c>
    </row>
    <row r="18" customFormat="false" ht="15" hidden="false" customHeight="true" outlineLevel="0" collapsed="false">
      <c r="A18" s="286" t="s">
        <v>2679</v>
      </c>
      <c r="B18" s="286"/>
      <c r="C18" s="289" t="n">
        <v>-0.002</v>
      </c>
      <c r="D18" s="289" t="n">
        <v>-0.003</v>
      </c>
      <c r="E18" s="289" t="n">
        <v>-0.001</v>
      </c>
      <c r="F18" s="289" t="n">
        <v>0</v>
      </c>
      <c r="G18" s="289" t="n">
        <v>0</v>
      </c>
    </row>
    <row r="19" customFormat="false" ht="15" hidden="false" customHeight="true" outlineLevel="0" collapsed="false">
      <c r="A19" s="286" t="s">
        <v>2680</v>
      </c>
      <c r="B19" s="286"/>
      <c r="C19" s="289" t="n">
        <v>0.002</v>
      </c>
      <c r="D19" s="289" t="n">
        <v>0.003</v>
      </c>
      <c r="E19" s="289" t="n">
        <v>0.003</v>
      </c>
      <c r="F19" s="289" t="n">
        <v>0.002</v>
      </c>
      <c r="G19" s="289" t="n">
        <v>0.002</v>
      </c>
    </row>
    <row r="20" customFormat="false" ht="15" hidden="false" customHeight="true" outlineLevel="0" collapsed="false">
      <c r="A20" s="286" t="s">
        <v>2681</v>
      </c>
      <c r="B20" s="286"/>
      <c r="C20" s="289" t="n">
        <v>0.003</v>
      </c>
      <c r="D20" s="289" t="n">
        <v>0.004</v>
      </c>
      <c r="E20" s="289" t="n">
        <v>0.005</v>
      </c>
      <c r="F20" s="289" t="n">
        <v>0.005</v>
      </c>
      <c r="G20" s="289" t="n">
        <v>0.005</v>
      </c>
    </row>
    <row r="21" customFormat="false" ht="15" hidden="false" customHeight="true" outlineLevel="0" collapsed="false">
      <c r="A21" s="286" t="s">
        <v>2682</v>
      </c>
      <c r="B21" s="286"/>
      <c r="C21" s="289" t="n">
        <v>-0.002</v>
      </c>
      <c r="D21" s="289" t="n">
        <v>-0.002</v>
      </c>
      <c r="E21" s="289" t="n">
        <v>-0.001</v>
      </c>
      <c r="F21" s="289" t="n">
        <v>0</v>
      </c>
      <c r="G21" s="289" t="n">
        <v>0</v>
      </c>
    </row>
    <row r="22" customFormat="false" ht="15" hidden="false" customHeight="true" outlineLevel="0" collapsed="false">
      <c r="A22" s="286" t="s">
        <v>2683</v>
      </c>
      <c r="B22" s="286"/>
      <c r="C22" s="289" t="n">
        <v>0.001</v>
      </c>
      <c r="D22" s="289" t="n">
        <v>0.002</v>
      </c>
      <c r="E22" s="289" t="n">
        <v>0.002</v>
      </c>
      <c r="F22" s="289" t="n">
        <v>0.002</v>
      </c>
      <c r="G22" s="289" t="n">
        <v>0.002</v>
      </c>
    </row>
    <row r="23" customFormat="false" ht="15" hidden="false" customHeight="true" outlineLevel="0" collapsed="false">
      <c r="A23" s="285" t="s">
        <v>1850</v>
      </c>
      <c r="B23" s="285"/>
      <c r="C23" s="291" t="n">
        <f aca="false">C14+SUM(C15:C22)+Escenarios!$N$8</f>
        <v>-0.0389</v>
      </c>
      <c r="D23" s="291" t="n">
        <f aca="false">D14+SUM(D15:D22)+Escenarios!$N$8</f>
        <v>0.0061</v>
      </c>
      <c r="E23" s="291" t="n">
        <f aca="false">E14+SUM(E15:E22)+Escenarios!$N$8</f>
        <v>0.0346</v>
      </c>
      <c r="F23" s="291" t="n">
        <f aca="false">F14+SUM(F15:F22)+Escenarios!$N$8</f>
        <v>0.0441</v>
      </c>
      <c r="G23" s="291" t="n">
        <f aca="false">G14+SUM(G15:G22)+Escenarios!$N$8</f>
        <v>0.0466</v>
      </c>
    </row>
    <row r="24" customFormat="false" ht="15" hidden="false" customHeight="true" outlineLevel="0" collapsed="false">
      <c r="A24" s="288"/>
      <c r="B24" s="288"/>
      <c r="C24" s="288"/>
      <c r="D24" s="288"/>
      <c r="E24" s="288"/>
      <c r="F24" s="288"/>
      <c r="G24" s="288"/>
    </row>
    <row r="25" customFormat="false" ht="15" hidden="false" customHeight="true" outlineLevel="0" collapsed="false">
      <c r="A25" s="285" t="s">
        <v>1851</v>
      </c>
      <c r="B25" s="285" t="s">
        <v>1428</v>
      </c>
      <c r="C25" s="285" t="s">
        <v>1429</v>
      </c>
      <c r="D25" s="285" t="s">
        <v>1430</v>
      </c>
      <c r="E25" s="285" t="s">
        <v>1431</v>
      </c>
      <c r="F25" s="285" t="s">
        <v>1432</v>
      </c>
      <c r="G25" s="285" t="s">
        <v>1433</v>
      </c>
    </row>
    <row r="26" customFormat="false" ht="15" hidden="false" customHeight="true" outlineLevel="0" collapsed="false">
      <c r="A26" s="286" t="s">
        <v>1852</v>
      </c>
      <c r="B26" s="292" t="n">
        <f aca="false">'MC Soriana'!G6</f>
        <v>174278</v>
      </c>
      <c r="C26" s="292" t="n">
        <f aca="false">'MC Soriana'!F6</f>
        <v>163936.6</v>
      </c>
      <c r="D26" s="292" t="n">
        <f aca="false">C26+16*('MC Soriana'!$C$6-'MC Soriana'!$B$6)</f>
        <v>153151</v>
      </c>
      <c r="E26" s="292" t="n">
        <f aca="false">D26+16*('MC Soriana'!$C$6-'MC Soriana'!$B$6)</f>
        <v>142365.4</v>
      </c>
      <c r="F26" s="292" t="n">
        <f aca="false">E26+16*('MC Soriana'!$C$6-'MC Soriana'!$B$6)</f>
        <v>131579.8</v>
      </c>
      <c r="G26" s="292" t="n">
        <f aca="false">F26+16*('MC Soriana'!$C$6-'MC Soriana'!$B$6)</f>
        <v>120794.2</v>
      </c>
    </row>
    <row r="27" customFormat="false" ht="15" hidden="false" customHeight="true" outlineLevel="0" collapsed="false">
      <c r="A27" s="286" t="s">
        <v>1853</v>
      </c>
      <c r="B27" s="286"/>
      <c r="C27" s="287" t="n">
        <f aca="false">C26/B26-1</f>
        <v>-0.0593385280987848</v>
      </c>
      <c r="D27" s="287" t="n">
        <f aca="false">D26/C26-1</f>
        <v>-0.0657912876075262</v>
      </c>
      <c r="E27" s="287" t="n">
        <f aca="false">E26/D26-1</f>
        <v>-0.0704246136166266</v>
      </c>
      <c r="F27" s="287" t="n">
        <f aca="false">F26/E26-1</f>
        <v>-0.0757599810066209</v>
      </c>
      <c r="G27" s="287" t="n">
        <f aca="false">G26/F26-1</f>
        <v>-0.0819700288342129</v>
      </c>
    </row>
    <row r="28" customFormat="false" ht="15" hidden="false" customHeight="true" outlineLevel="0" collapsed="false">
      <c r="A28" s="285" t="s">
        <v>1854</v>
      </c>
      <c r="B28" s="285"/>
      <c r="C28" s="293" t="n">
        <f aca="false">C$6*C23+C$7*C27</f>
        <v>-0.0450315584296355</v>
      </c>
      <c r="D28" s="293" t="n">
        <f aca="false">D$6*D23+D$7*D27</f>
        <v>-0.0154673862822579</v>
      </c>
      <c r="E28" s="293" t="n">
        <f aca="false">E$6*E23+E$7*E27</f>
        <v>0.00834384659584337</v>
      </c>
      <c r="F28" s="293" t="n">
        <f aca="false">F$6*F23+F$7*F27</f>
        <v>0.0201280037986758</v>
      </c>
      <c r="G28" s="293" t="n">
        <f aca="false">G$6*G23+G$7*G27</f>
        <v>0.0273144956748681</v>
      </c>
    </row>
    <row r="29" customFormat="false" ht="15" hidden="false" customHeight="true" outlineLevel="0" collapsed="false">
      <c r="A29" s="288"/>
      <c r="B29" s="288"/>
      <c r="C29" s="288"/>
      <c r="D29" s="288"/>
      <c r="E29" s="288"/>
      <c r="F29" s="288"/>
      <c r="G29" s="288"/>
    </row>
    <row r="30" customFormat="false" ht="15" hidden="false" customHeight="true" outlineLevel="0" collapsed="false">
      <c r="A30" s="285" t="s">
        <v>1855</v>
      </c>
      <c r="B30" s="285" t="s">
        <v>1428</v>
      </c>
      <c r="C30" s="285" t="s">
        <v>1429</v>
      </c>
      <c r="D30" s="285" t="s">
        <v>1430</v>
      </c>
      <c r="E30" s="285" t="s">
        <v>1431</v>
      </c>
      <c r="F30" s="285" t="s">
        <v>1432</v>
      </c>
      <c r="G30" s="285" t="s">
        <v>1433</v>
      </c>
    </row>
    <row r="31" customFormat="false" ht="15" hidden="false" customHeight="true" outlineLevel="0" collapsed="false">
      <c r="A31" s="286" t="s">
        <v>1857</v>
      </c>
      <c r="B31" s="289" t="n">
        <f aca="false">Valuación!B10</f>
        <v>0.042542883699969</v>
      </c>
      <c r="C31" s="289" t="n">
        <f aca="false">B31+SUM(C32:C39)</f>
        <v>0.043742883699969</v>
      </c>
      <c r="D31" s="289" t="n">
        <f aca="false">C31+SUM(D32:D39)</f>
        <v>0.043442883699969</v>
      </c>
      <c r="E31" s="289" t="n">
        <f aca="false">D31+SUM(E32:E39)</f>
        <v>0.043742883699969</v>
      </c>
      <c r="F31" s="289" t="n">
        <f aca="false">E31+SUM(F32:F39)</f>
        <v>0.044042883699969</v>
      </c>
      <c r="G31" s="289" t="n">
        <f aca="false">F31+SUM(G32:G39)</f>
        <v>0.044342883699969</v>
      </c>
    </row>
    <row r="32" customFormat="false" ht="15" hidden="false" customHeight="true" outlineLevel="0" collapsed="false">
      <c r="A32" s="286" t="s">
        <v>2684</v>
      </c>
      <c r="B32" s="289"/>
      <c r="C32" s="289" t="n">
        <v>0.0055</v>
      </c>
      <c r="D32" s="289" t="n">
        <v>0.003</v>
      </c>
      <c r="E32" s="289" t="n">
        <v>0.002</v>
      </c>
      <c r="F32" s="289" t="n">
        <v>0.001</v>
      </c>
      <c r="G32" s="289" t="n">
        <v>0.001</v>
      </c>
    </row>
    <row r="33" customFormat="false" ht="15" hidden="false" customHeight="true" outlineLevel="0" collapsed="false">
      <c r="A33" s="286" t="s">
        <v>2685</v>
      </c>
      <c r="B33" s="289"/>
      <c r="C33" s="289" t="n">
        <v>-0.001</v>
      </c>
      <c r="D33" s="289" t="n">
        <v>-0.0015</v>
      </c>
      <c r="E33" s="289" t="n">
        <v>-0.0015</v>
      </c>
      <c r="F33" s="289" t="n">
        <v>-0.001</v>
      </c>
      <c r="G33" s="289" t="n">
        <v>-0.001</v>
      </c>
    </row>
    <row r="34" customFormat="false" ht="15" hidden="false" customHeight="true" outlineLevel="0" collapsed="false">
      <c r="A34" s="286" t="s">
        <v>2686</v>
      </c>
      <c r="B34" s="289"/>
      <c r="C34" s="289" t="n">
        <v>-0.0015</v>
      </c>
      <c r="D34" s="289" t="n">
        <v>-0.001</v>
      </c>
      <c r="E34" s="289" t="n">
        <v>-0.001</v>
      </c>
      <c r="F34" s="289" t="n">
        <v>-0.0005</v>
      </c>
      <c r="G34" s="289" t="n">
        <v>0</v>
      </c>
    </row>
    <row r="35" customFormat="false" ht="15" hidden="false" customHeight="true" outlineLevel="0" collapsed="false">
      <c r="A35" s="286" t="s">
        <v>2687</v>
      </c>
      <c r="B35" s="289"/>
      <c r="C35" s="289" t="n">
        <v>-0.0005</v>
      </c>
      <c r="D35" s="289" t="n">
        <v>-0.0005</v>
      </c>
      <c r="E35" s="289" t="n">
        <v>0</v>
      </c>
      <c r="F35" s="289" t="n">
        <v>0</v>
      </c>
      <c r="G35" s="289" t="n">
        <v>0</v>
      </c>
    </row>
    <row r="36" customFormat="false" ht="15" hidden="false" customHeight="true" outlineLevel="0" collapsed="false">
      <c r="A36" s="286" t="s">
        <v>2688</v>
      </c>
      <c r="B36" s="289"/>
      <c r="C36" s="289" t="n">
        <v>-0.0005</v>
      </c>
      <c r="D36" s="289" t="n">
        <v>-0.0005</v>
      </c>
      <c r="E36" s="289" t="n">
        <v>0</v>
      </c>
      <c r="F36" s="289" t="n">
        <v>0</v>
      </c>
      <c r="G36" s="289" t="n">
        <v>0</v>
      </c>
    </row>
    <row r="37" customFormat="false" ht="15" hidden="false" customHeight="true" outlineLevel="0" collapsed="false">
      <c r="A37" s="286" t="s">
        <v>2689</v>
      </c>
      <c r="B37" s="289"/>
      <c r="C37" s="289" t="n">
        <v>-0.0003</v>
      </c>
      <c r="D37" s="289" t="n">
        <v>-0.0003</v>
      </c>
      <c r="E37" s="289" t="n">
        <v>-0.0002</v>
      </c>
      <c r="F37" s="289" t="n">
        <v>-0.0002</v>
      </c>
      <c r="G37" s="289" t="n">
        <v>-0.0002</v>
      </c>
    </row>
    <row r="38" customFormat="false" ht="15" hidden="false" customHeight="true" outlineLevel="0" collapsed="false">
      <c r="A38" s="286" t="s">
        <v>2690</v>
      </c>
      <c r="B38" s="289"/>
      <c r="C38" s="289" t="n">
        <v>0.0005</v>
      </c>
      <c r="D38" s="289" t="n">
        <v>0.001</v>
      </c>
      <c r="E38" s="289" t="n">
        <v>0.001</v>
      </c>
      <c r="F38" s="289" t="n">
        <v>0.001</v>
      </c>
      <c r="G38" s="289" t="n">
        <v>0.0005</v>
      </c>
    </row>
    <row r="39" customFormat="false" ht="15" hidden="false" customHeight="true" outlineLevel="0" collapsed="false">
      <c r="A39" s="286" t="s">
        <v>2691</v>
      </c>
      <c r="B39" s="289"/>
      <c r="C39" s="289" t="n">
        <v>-0.001</v>
      </c>
      <c r="D39" s="289" t="n">
        <v>-0.0005</v>
      </c>
      <c r="E39" s="289" t="n">
        <v>0</v>
      </c>
      <c r="F39" s="289" t="n">
        <v>0</v>
      </c>
      <c r="G39" s="289" t="n">
        <v>0</v>
      </c>
    </row>
    <row r="40" customFormat="false" ht="15" hidden="false" customHeight="true" outlineLevel="0" collapsed="false">
      <c r="A40" s="286" t="s">
        <v>1866</v>
      </c>
      <c r="B40" s="289"/>
      <c r="C40" s="289" t="n">
        <f aca="false">'MC Soriana'!$F$9</f>
        <v>0.0492556268703877</v>
      </c>
      <c r="D40" s="289" t="n">
        <f aca="false">'MC Soriana'!$F$9</f>
        <v>0.0492556268703877</v>
      </c>
      <c r="E40" s="289" t="n">
        <f aca="false">'MC Soriana'!$F$9</f>
        <v>0.0492556268703877</v>
      </c>
      <c r="F40" s="289" t="n">
        <f aca="false">'MC Soriana'!$F$9</f>
        <v>0.0492556268703877</v>
      </c>
      <c r="G40" s="289" t="n">
        <f aca="false">'MC Soriana'!$F$9</f>
        <v>0.0492556268703877</v>
      </c>
    </row>
    <row r="41" customFormat="false" ht="15" hidden="false" customHeight="true" outlineLevel="0" collapsed="false">
      <c r="A41" s="285" t="s">
        <v>1867</v>
      </c>
      <c r="B41" s="291"/>
      <c r="C41" s="291" t="n">
        <f aca="false">C$6*C31+C$7*C40+Escenarios!$N$9</f>
        <v>0.0453967066510946</v>
      </c>
      <c r="D41" s="291" t="n">
        <f aca="false">D$6*D31+D$7*D40+Escenarios!$N$9</f>
        <v>0.0451867066510946</v>
      </c>
      <c r="E41" s="291" t="n">
        <f aca="false">E$6*E31+E$7*E40+Escenarios!$N$9</f>
        <v>0.0451210694925737</v>
      </c>
      <c r="F41" s="291" t="n">
        <f aca="false">F$6*F31+F$7*F40+Escenarios!$N$9</f>
        <v>0.0450854323340528</v>
      </c>
      <c r="G41" s="291" t="n">
        <f aca="false">G$6*G31+G$7*G40+Escenarios!$N$9</f>
        <v>0.0450797951755318</v>
      </c>
    </row>
    <row r="42" customFormat="false" ht="15" hidden="false" customHeight="true" outlineLevel="0" collapsed="false">
      <c r="A42" s="288"/>
      <c r="B42" s="288"/>
      <c r="C42" s="288"/>
      <c r="D42" s="288"/>
      <c r="E42" s="288"/>
      <c r="F42" s="288"/>
      <c r="G42" s="288"/>
    </row>
    <row r="43" customFormat="false" ht="15" hidden="false" customHeight="true" outlineLevel="0" collapsed="false">
      <c r="A43" s="285" t="s">
        <v>1868</v>
      </c>
      <c r="B43" s="285" t="s">
        <v>1428</v>
      </c>
      <c r="C43" s="285" t="s">
        <v>1429</v>
      </c>
      <c r="D43" s="285" t="s">
        <v>1430</v>
      </c>
      <c r="E43" s="285" t="s">
        <v>1431</v>
      </c>
      <c r="F43" s="285" t="s">
        <v>1432</v>
      </c>
      <c r="G43" s="285" t="s">
        <v>1433</v>
      </c>
    </row>
    <row r="44" customFormat="false" ht="15" hidden="false" customHeight="true" outlineLevel="0" collapsed="false">
      <c r="A44" s="286" t="s">
        <v>1869</v>
      </c>
      <c r="B44" s="286"/>
      <c r="C44" s="289" t="n">
        <f aca="false">Valuación!$B$11</f>
        <v>0.0244599047967777</v>
      </c>
      <c r="D44" s="289" t="n">
        <f aca="false">Valuación!$B$11</f>
        <v>0.0244599047967777</v>
      </c>
      <c r="E44" s="289" t="n">
        <f aca="false">Valuación!$B$11</f>
        <v>0.0244599047967777</v>
      </c>
      <c r="F44" s="289" t="n">
        <f aca="false">Valuación!$B$11</f>
        <v>0.0244599047967777</v>
      </c>
      <c r="G44" s="289" t="n">
        <f aca="false">Valuación!$B$11</f>
        <v>0.0244599047967777</v>
      </c>
    </row>
    <row r="45" customFormat="false" ht="15" hidden="false" customHeight="true" outlineLevel="0" collapsed="false">
      <c r="A45" s="286" t="s">
        <v>1870</v>
      </c>
      <c r="B45" s="286"/>
      <c r="C45" s="289" t="n">
        <f aca="false">'MC Soriana'!$F$12/'MC Soriana'!$F$6</f>
        <v>0.024136242913419</v>
      </c>
      <c r="D45" s="289" t="n">
        <f aca="false">'MC Soriana'!$F$12/'MC Soriana'!$F$6</f>
        <v>0.024136242913419</v>
      </c>
      <c r="E45" s="289" t="n">
        <f aca="false">'MC Soriana'!$F$12/'MC Soriana'!$F$6</f>
        <v>0.024136242913419</v>
      </c>
      <c r="F45" s="289" t="n">
        <f aca="false">'MC Soriana'!$F$12/'MC Soriana'!$F$6</f>
        <v>0.024136242913419</v>
      </c>
      <c r="G45" s="289" t="n">
        <f aca="false">'MC Soriana'!$F$12/'MC Soriana'!$F$6</f>
        <v>0.024136242913419</v>
      </c>
    </row>
    <row r="46" customFormat="false" ht="15" hidden="false" customHeight="true" outlineLevel="0" collapsed="false">
      <c r="A46" s="286" t="s">
        <v>1871</v>
      </c>
      <c r="B46" s="286"/>
      <c r="C46" s="289" t="n">
        <f aca="false">C$6*C44+C$7*C45</f>
        <v>0.0243628062317701</v>
      </c>
      <c r="D46" s="289" t="n">
        <f aca="false">D$6*D44+D$7*D45</f>
        <v>0.0243628062317701</v>
      </c>
      <c r="E46" s="289" t="n">
        <f aca="false">E$6*E44+E$7*E45</f>
        <v>0.024378989325938</v>
      </c>
      <c r="F46" s="289" t="n">
        <f aca="false">F$6*F44+F$7*F45</f>
        <v>0.024395172420106</v>
      </c>
      <c r="G46" s="289" t="n">
        <f aca="false">G$6*G44+G$7*G45</f>
        <v>0.0244113555142739</v>
      </c>
    </row>
    <row r="47" customFormat="false" ht="15" hidden="false" customHeight="true" outlineLevel="0" collapsed="false">
      <c r="A47" s="286" t="s">
        <v>1872</v>
      </c>
      <c r="B47" s="286"/>
      <c r="C47" s="292" t="n">
        <v>4000</v>
      </c>
      <c r="D47" s="292"/>
      <c r="E47" s="292"/>
      <c r="F47" s="292"/>
      <c r="G47" s="292"/>
    </row>
    <row r="48" customFormat="false" ht="15" hidden="false" customHeight="true" outlineLevel="0" collapsed="false">
      <c r="A48" s="286" t="s">
        <v>1873</v>
      </c>
      <c r="B48" s="286"/>
      <c r="C48" s="289"/>
      <c r="D48" s="289" t="n">
        <v>0.003</v>
      </c>
      <c r="E48" s="289" t="n">
        <v>0.003</v>
      </c>
      <c r="F48" s="289" t="n">
        <v>0.003</v>
      </c>
      <c r="G48" s="289" t="n">
        <v>0.003</v>
      </c>
    </row>
    <row r="49" customFormat="false" ht="15" hidden="false" customHeight="true" outlineLevel="0" collapsed="false">
      <c r="A49" s="286" t="s">
        <v>1874</v>
      </c>
      <c r="B49" s="286"/>
      <c r="C49" s="289" t="n">
        <f aca="false">C47/C67</f>
        <v>0.0235958656470585</v>
      </c>
      <c r="D49" s="289" t="n">
        <f aca="false">Valuación!$B$12*(1+'Variables Externas'!$J$22)+D48</f>
        <v>0.0195545165197307</v>
      </c>
      <c r="E49" s="289" t="n">
        <f aca="false">Valuación!$B$12*(1+'Variables Externas'!$J$22)+E48</f>
        <v>0.0195545165197307</v>
      </c>
      <c r="F49" s="289" t="n">
        <f aca="false">Valuación!$B$12*(1+'Variables Externas'!$J$22)+F48</f>
        <v>0.0195545165197307</v>
      </c>
      <c r="G49" s="289" t="n">
        <f aca="false">Valuación!$B$12*(1+'Variables Externas'!$J$22)+G48</f>
        <v>0.0195545165197307</v>
      </c>
    </row>
    <row r="50" customFormat="false" ht="15" hidden="false" customHeight="true" outlineLevel="0" collapsed="false">
      <c r="A50" s="286" t="s">
        <v>1875</v>
      </c>
      <c r="B50" s="286"/>
      <c r="C50" s="289" t="n">
        <f aca="false">'MC Soriana'!$F$13/'MC Soriana'!$F$6</f>
        <v>0.0202932109120233</v>
      </c>
      <c r="D50" s="289" t="n">
        <f aca="false">'MC Soriana'!$F$13/'MC Soriana'!$F$6</f>
        <v>0.0202932109120233</v>
      </c>
      <c r="E50" s="289" t="n">
        <f aca="false">'MC Soriana'!$F$13/'MC Soriana'!$F$6</f>
        <v>0.0202932109120233</v>
      </c>
      <c r="F50" s="289" t="n">
        <f aca="false">'MC Soriana'!$F$13/'MC Soriana'!$F$6</f>
        <v>0.0202932109120233</v>
      </c>
      <c r="G50" s="289" t="n">
        <f aca="false">'MC Soriana'!$F$13/'MC Soriana'!$F$6</f>
        <v>0.0202932109120233</v>
      </c>
    </row>
    <row r="51" customFormat="false" ht="15" hidden="false" customHeight="true" outlineLevel="0" collapsed="false">
      <c r="A51" s="285" t="s">
        <v>1876</v>
      </c>
      <c r="B51" s="285"/>
      <c r="C51" s="291" t="n">
        <f aca="false">C$6*C49+C$7*C50</f>
        <v>0.0226050692265479</v>
      </c>
      <c r="D51" s="291" t="n">
        <f aca="false">D$6*D49+D$7*D50</f>
        <v>0.0197761248374185</v>
      </c>
      <c r="E51" s="291" t="n">
        <f aca="false">E$6*E49+E$7*E50</f>
        <v>0.0197391901178039</v>
      </c>
      <c r="F51" s="291" t="n">
        <f aca="false">F$6*F49+F$7*F50</f>
        <v>0.0197022553981892</v>
      </c>
      <c r="G51" s="291" t="n">
        <f aca="false">G$6*G49+G$7*G50</f>
        <v>0.0196653206785746</v>
      </c>
    </row>
    <row r="52" customFormat="false" ht="15" hidden="false" customHeight="true" outlineLevel="0" collapsed="false">
      <c r="A52" s="286" t="s">
        <v>1877</v>
      </c>
      <c r="B52" s="286"/>
      <c r="C52" s="289" t="n">
        <v>0</v>
      </c>
      <c r="D52" s="289" t="n">
        <v>0.005</v>
      </c>
      <c r="E52" s="289" t="n">
        <v>0.005</v>
      </c>
      <c r="F52" s="289" t="n">
        <v>0.005</v>
      </c>
      <c r="G52" s="289" t="n">
        <v>0.005</v>
      </c>
    </row>
    <row r="53" customFormat="false" ht="15" hidden="false" customHeight="true" outlineLevel="0" collapsed="false">
      <c r="A53" s="286" t="s">
        <v>1878</v>
      </c>
      <c r="B53" s="286"/>
      <c r="C53" s="289" t="n">
        <f aca="false">WACC!$B$10+C52</f>
        <v>0.3</v>
      </c>
      <c r="D53" s="289" t="n">
        <f aca="false">WACC!$B$10+D52</f>
        <v>0.305</v>
      </c>
      <c r="E53" s="289" t="n">
        <f aca="false">WACC!$B$10+E52</f>
        <v>0.305</v>
      </c>
      <c r="F53" s="289" t="n">
        <f aca="false">WACC!$B$10+F52</f>
        <v>0.305</v>
      </c>
      <c r="G53" s="289" t="n">
        <f aca="false">WACC!$B$10+G52</f>
        <v>0.305</v>
      </c>
    </row>
    <row r="54" customFormat="false" ht="15" hidden="false" customHeight="true" outlineLevel="0" collapsed="false">
      <c r="A54" s="286" t="s">
        <v>1879</v>
      </c>
      <c r="B54" s="286"/>
      <c r="C54" s="289" t="n">
        <f aca="false">'MC Soriana'!$F$10</f>
        <v>0.191734007304675</v>
      </c>
      <c r="D54" s="289" t="n">
        <f aca="false">'MC Soriana'!$F$10</f>
        <v>0.191734007304675</v>
      </c>
      <c r="E54" s="289" t="n">
        <f aca="false">'MC Soriana'!$F$10</f>
        <v>0.191734007304675</v>
      </c>
      <c r="F54" s="289" t="n">
        <f aca="false">'MC Soriana'!$F$10</f>
        <v>0.191734007304675</v>
      </c>
      <c r="G54" s="289" t="n">
        <f aca="false">'MC Soriana'!$F$10</f>
        <v>0.191734007304675</v>
      </c>
    </row>
    <row r="55" customFormat="false" ht="15" hidden="false" customHeight="true" outlineLevel="0" collapsed="false">
      <c r="A55" s="285" t="s">
        <v>1880</v>
      </c>
      <c r="B55" s="285"/>
      <c r="C55" s="291" t="n">
        <f aca="false">C$6*C53+C$7*C54</f>
        <v>0.267520202191403</v>
      </c>
      <c r="D55" s="291" t="n">
        <f aca="false">D$6*D53+D$7*D54</f>
        <v>0.271020202191403</v>
      </c>
      <c r="E55" s="291" t="n">
        <f aca="false">E$6*E53+E$7*E54</f>
        <v>0.276683501826169</v>
      </c>
      <c r="F55" s="291" t="n">
        <f aca="false">F$6*F53+F$7*F54</f>
        <v>0.282346801460935</v>
      </c>
      <c r="G55" s="291" t="n">
        <f aca="false">G$6*G53+G$7*G54</f>
        <v>0.288010101095701</v>
      </c>
    </row>
    <row r="56" customFormat="false" ht="15" hidden="false" customHeight="true" outlineLevel="0" collapsed="false">
      <c r="A56" s="286" t="s">
        <v>1467</v>
      </c>
      <c r="B56" s="294" t="n">
        <f aca="false">Datos!G18/Datos!G7*365</f>
        <v>87.4443050938019</v>
      </c>
      <c r="C56" s="294" t="n">
        <v>88</v>
      </c>
      <c r="D56" s="294" t="n">
        <v>88</v>
      </c>
      <c r="E56" s="294" t="n">
        <v>87</v>
      </c>
      <c r="F56" s="294" t="n">
        <v>87</v>
      </c>
      <c r="G56" s="294" t="n">
        <v>87</v>
      </c>
    </row>
    <row r="57" customFormat="false" ht="15" hidden="false" customHeight="true" outlineLevel="0" collapsed="false">
      <c r="A57" s="286" t="s">
        <v>1468</v>
      </c>
      <c r="B57" s="295" t="n">
        <f aca="false">(Datos!G19-Datos!G17-Datos!G18)/Datos!G6</f>
        <v>0.0391572543165366</v>
      </c>
      <c r="C57" s="295" t="n">
        <f aca="false">$B57</f>
        <v>0.0391572543165366</v>
      </c>
      <c r="D57" s="295" t="n">
        <f aca="false">$B57</f>
        <v>0.0391572543165366</v>
      </c>
      <c r="E57" s="295" t="n">
        <f aca="false">$B57</f>
        <v>0.0391572543165366</v>
      </c>
      <c r="F57" s="295" t="n">
        <f aca="false">$B57</f>
        <v>0.0391572543165366</v>
      </c>
      <c r="G57" s="295" t="n">
        <f aca="false">$B57</f>
        <v>0.0391572543165366</v>
      </c>
    </row>
    <row r="58" customFormat="false" ht="15" hidden="false" customHeight="true" outlineLevel="0" collapsed="false">
      <c r="A58" s="286" t="s">
        <v>1469</v>
      </c>
      <c r="B58" s="295" t="n">
        <f aca="false">(Datos!G21-Datos!G25-Datos!G27)/Datos!G6</f>
        <v>0.200225333070445</v>
      </c>
      <c r="C58" s="295" t="n">
        <f aca="false">$B58</f>
        <v>0.200225333070445</v>
      </c>
      <c r="D58" s="295" t="n">
        <f aca="false">$B58</f>
        <v>0.200225333070445</v>
      </c>
      <c r="E58" s="295" t="n">
        <f aca="false">$B58</f>
        <v>0.200225333070445</v>
      </c>
      <c r="F58" s="295" t="n">
        <f aca="false">$B58</f>
        <v>0.200225333070445</v>
      </c>
      <c r="G58" s="295" t="n">
        <f aca="false">$B58</f>
        <v>0.200225333070445</v>
      </c>
    </row>
    <row r="59" customFormat="false" ht="15" hidden="false" customHeight="true" outlineLevel="0" collapsed="false">
      <c r="A59" s="286" t="s">
        <v>1464</v>
      </c>
      <c r="B59" s="295" t="n">
        <f aca="false">Datos!G7/Datos!G6</f>
        <v>0.759102047714278</v>
      </c>
      <c r="C59" s="295" t="n">
        <v>0.756</v>
      </c>
      <c r="D59" s="295" t="n">
        <v>0.757</v>
      </c>
      <c r="E59" s="295" t="n">
        <v>0.758</v>
      </c>
      <c r="F59" s="295" t="n">
        <v>0.758</v>
      </c>
      <c r="G59" s="295" t="n">
        <v>0.758</v>
      </c>
    </row>
    <row r="60" customFormat="false" ht="15" hidden="false" customHeight="true" outlineLevel="0" collapsed="false">
      <c r="A60" s="286" t="s">
        <v>1465</v>
      </c>
      <c r="B60" s="295" t="n">
        <f aca="false">-B70/B67</f>
        <v>0.173900797115737</v>
      </c>
      <c r="C60" s="295" t="n">
        <f aca="false">1-C59-C46-C41</f>
        <v>0.174240487117135</v>
      </c>
      <c r="D60" s="295" t="n">
        <f aca="false">1-D59-D46-D41</f>
        <v>0.173450487117135</v>
      </c>
      <c r="E60" s="295" t="n">
        <f aca="false">1-E59-E46-E41</f>
        <v>0.172499941181488</v>
      </c>
      <c r="F60" s="295" t="n">
        <f aca="false">1-F59-F46-F41</f>
        <v>0.172519395245841</v>
      </c>
      <c r="G60" s="295" t="n">
        <f aca="false">1-G59-G46-G41</f>
        <v>0.172508849310194</v>
      </c>
    </row>
    <row r="61" customFormat="false" ht="15" hidden="false" customHeight="true" outlineLevel="0" collapsed="false">
      <c r="A61" s="286" t="s">
        <v>1466</v>
      </c>
      <c r="B61" s="296" t="n">
        <f aca="false">Datos!G10/(Datos!G25+Datos!G26+Datos!G27+Datos!G28)</f>
        <v>0.130154966550936</v>
      </c>
      <c r="C61" s="296" t="n">
        <v>0.1</v>
      </c>
      <c r="D61" s="296" t="n">
        <v>0.0975</v>
      </c>
      <c r="E61" s="296" t="n">
        <v>0.0975</v>
      </c>
      <c r="F61" s="296" t="n">
        <v>0.0975</v>
      </c>
      <c r="G61" s="296" t="n">
        <v>0.0975</v>
      </c>
    </row>
    <row r="62" customFormat="false" ht="15" hidden="false" customHeight="true" outlineLevel="0" collapsed="false">
      <c r="A62" s="286" t="s">
        <v>1881</v>
      </c>
      <c r="B62" s="297"/>
      <c r="C62" s="297" t="n">
        <v>0</v>
      </c>
      <c r="D62" s="297" t="n">
        <v>-1500</v>
      </c>
      <c r="E62" s="297" t="n">
        <v>-1500</v>
      </c>
      <c r="F62" s="297" t="n">
        <v>-1500</v>
      </c>
      <c r="G62" s="297" t="n">
        <v>-1500</v>
      </c>
    </row>
    <row r="63" customFormat="false" ht="15" hidden="false" customHeight="true" outlineLevel="0" collapsed="false">
      <c r="A63" s="286" t="s">
        <v>1470</v>
      </c>
      <c r="B63" s="295" t="n">
        <f aca="false">'Proyección Soriana'!B14</f>
        <v>0.300144057623049</v>
      </c>
      <c r="C63" s="295" t="n">
        <f aca="false">$B63</f>
        <v>0.300144057623049</v>
      </c>
      <c r="D63" s="295" t="n">
        <f aca="false">$B63</f>
        <v>0.300144057623049</v>
      </c>
      <c r="E63" s="295" t="n">
        <f aca="false">$B63</f>
        <v>0.300144057623049</v>
      </c>
      <c r="F63" s="295" t="n">
        <f aca="false">$B63</f>
        <v>0.300144057623049</v>
      </c>
      <c r="G63" s="295" t="n">
        <f aca="false">$B63</f>
        <v>0.300144057623049</v>
      </c>
    </row>
    <row r="64" customFormat="false" ht="15" hidden="false" customHeight="true" outlineLevel="0" collapsed="false">
      <c r="A64" s="298"/>
      <c r="B64" s="298"/>
      <c r="C64" s="298"/>
      <c r="D64" s="298"/>
      <c r="E64" s="298"/>
      <c r="F64" s="298"/>
      <c r="G64" s="298"/>
    </row>
    <row r="65" customFormat="false" ht="15" hidden="false" customHeight="true" outlineLevel="0" collapsed="false">
      <c r="A65" s="348" t="s">
        <v>1882</v>
      </c>
      <c r="B65" s="298"/>
      <c r="C65" s="298"/>
      <c r="D65" s="298"/>
      <c r="E65" s="298"/>
      <c r="F65" s="298"/>
      <c r="G65" s="298"/>
    </row>
    <row r="66" customFormat="false" ht="15" hidden="false" customHeight="true" outlineLevel="0" collapsed="false">
      <c r="A66" s="285" t="s">
        <v>1884</v>
      </c>
      <c r="B66" s="300" t="s">
        <v>1428</v>
      </c>
      <c r="C66" s="300" t="s">
        <v>1429</v>
      </c>
      <c r="D66" s="300" t="s">
        <v>1430</v>
      </c>
      <c r="E66" s="300" t="s">
        <v>1431</v>
      </c>
      <c r="F66" s="300" t="s">
        <v>1432</v>
      </c>
      <c r="G66" s="300" t="s">
        <v>1433</v>
      </c>
    </row>
    <row r="67" customFormat="false" ht="15" hidden="false" customHeight="true" outlineLevel="0" collapsed="false">
      <c r="A67" s="286" t="s">
        <v>1442</v>
      </c>
      <c r="B67" s="297" t="n">
        <f aca="false">Datos!G6</f>
        <v>177515</v>
      </c>
      <c r="C67" s="297" t="n">
        <f aca="false">B67*(1+C28)</f>
        <v>169521.222905363</v>
      </c>
      <c r="D67" s="297" t="n">
        <f aca="false">C67*(1+D28)</f>
        <v>166899.172667645</v>
      </c>
      <c r="E67" s="297" t="n">
        <f aca="false">D67*(1+E28)</f>
        <v>168291.753761357</v>
      </c>
      <c r="F67" s="297" t="n">
        <f aca="false">E67*(1+F28)</f>
        <v>171679.130820352</v>
      </c>
      <c r="G67" s="297" t="n">
        <f aca="false">F67*(1+G28)</f>
        <v>176368.459696609</v>
      </c>
    </row>
    <row r="68" customFormat="false" ht="15" hidden="false" customHeight="true" outlineLevel="0" collapsed="false">
      <c r="A68" s="286" t="s">
        <v>86</v>
      </c>
      <c r="B68" s="297" t="n">
        <f aca="false">-Datos!G7</f>
        <v>-134752</v>
      </c>
      <c r="C68" s="297" t="n">
        <f aca="false">-C67*C59</f>
        <v>-128158.044516455</v>
      </c>
      <c r="D68" s="297" t="n">
        <f aca="false">-D67*D59</f>
        <v>-126342.673709407</v>
      </c>
      <c r="E68" s="297" t="n">
        <f aca="false">-E67*E59</f>
        <v>-127565.149351109</v>
      </c>
      <c r="F68" s="297" t="n">
        <f aca="false">-F67*F59</f>
        <v>-130132.781161827</v>
      </c>
      <c r="G68" s="297" t="n">
        <f aca="false">-G67*G59</f>
        <v>-133687.29245003</v>
      </c>
    </row>
    <row r="69" customFormat="false" ht="15" hidden="false" customHeight="true" outlineLevel="0" collapsed="false">
      <c r="A69" s="285" t="s">
        <v>80</v>
      </c>
      <c r="B69" s="301" t="n">
        <f aca="false">B67+B68</f>
        <v>42763</v>
      </c>
      <c r="C69" s="301" t="n">
        <f aca="false">C67+C68</f>
        <v>41363.1783889086</v>
      </c>
      <c r="D69" s="301" t="n">
        <f aca="false">D67+D68</f>
        <v>40556.4989582378</v>
      </c>
      <c r="E69" s="301" t="n">
        <f aca="false">E67+E68</f>
        <v>40726.6044102485</v>
      </c>
      <c r="F69" s="301" t="n">
        <f aca="false">F67+F68</f>
        <v>41546.3496585251</v>
      </c>
      <c r="G69" s="301" t="n">
        <f aca="false">G67+G68</f>
        <v>42681.1672465795</v>
      </c>
    </row>
    <row r="70" customFormat="false" ht="15" hidden="false" customHeight="true" outlineLevel="0" collapsed="false">
      <c r="A70" s="286" t="s">
        <v>1472</v>
      </c>
      <c r="B70" s="297" t="n">
        <f aca="false">-(Datos!G8-Datos!G9-Datos!G14)</f>
        <v>-30870</v>
      </c>
      <c r="C70" s="297" t="n">
        <f aca="false">-C67*C60</f>
        <v>-29537.460455723</v>
      </c>
      <c r="D70" s="297" t="n">
        <f aca="false">-D67*D60</f>
        <v>-28948.7427986499</v>
      </c>
      <c r="E70" s="297" t="n">
        <f aca="false">-E67*E60</f>
        <v>-29030.3176251636</v>
      </c>
      <c r="F70" s="297" t="n">
        <f aca="false">-F67*F60</f>
        <v>-29617.9798254587</v>
      </c>
      <c r="G70" s="297" t="n">
        <f aca="false">-G67*G60</f>
        <v>-30425.1200368734</v>
      </c>
    </row>
    <row r="71" customFormat="false" ht="15" hidden="false" customHeight="true" outlineLevel="0" collapsed="false">
      <c r="A71" s="285" t="s">
        <v>1473</v>
      </c>
      <c r="B71" s="301" t="n">
        <f aca="false">B69+B70</f>
        <v>11893</v>
      </c>
      <c r="C71" s="301" t="n">
        <f aca="false">C69+C70</f>
        <v>11825.7179331857</v>
      </c>
      <c r="D71" s="301" t="n">
        <f aca="false">D69+D70</f>
        <v>11607.7561595879</v>
      </c>
      <c r="E71" s="301" t="n">
        <f aca="false">E69+E70</f>
        <v>11696.2867850848</v>
      </c>
      <c r="F71" s="301" t="n">
        <f aca="false">F69+F70</f>
        <v>11928.3698330664</v>
      </c>
      <c r="G71" s="301" t="n">
        <f aca="false">G69+G70</f>
        <v>12256.047209706</v>
      </c>
    </row>
    <row r="72" customFormat="false" ht="15" hidden="false" customHeight="true" outlineLevel="0" collapsed="false">
      <c r="A72" s="286" t="s">
        <v>154</v>
      </c>
      <c r="B72" s="297" t="n">
        <f aca="false">-Datos!G14</f>
        <v>-4342</v>
      </c>
      <c r="C72" s="297" t="n">
        <f aca="false">-C67*C46</f>
        <v>-4130.01270581607</v>
      </c>
      <c r="D72" s="297" t="n">
        <f aca="false">-D67*D46</f>
        <v>-4066.13220394458</v>
      </c>
      <c r="E72" s="297" t="n">
        <f aca="false">-E67*E46</f>
        <v>-4102.78286859152</v>
      </c>
      <c r="F72" s="297" t="n">
        <f aca="false">-F67*F46</f>
        <v>-4188.14199729641</v>
      </c>
      <c r="G72" s="297" t="n">
        <f aca="false">-G67*G46</f>
        <v>-4305.39317115882</v>
      </c>
    </row>
    <row r="73" customFormat="false" ht="15" hidden="false" customHeight="true" outlineLevel="0" collapsed="false">
      <c r="A73" s="285" t="s">
        <v>81</v>
      </c>
      <c r="B73" s="301" t="n">
        <f aca="false">B71+B72</f>
        <v>7551</v>
      </c>
      <c r="C73" s="301" t="n">
        <f aca="false">C71+C72</f>
        <v>7695.70522736961</v>
      </c>
      <c r="D73" s="301" t="n">
        <f aca="false">D71+D72</f>
        <v>7541.62395564329</v>
      </c>
      <c r="E73" s="301" t="n">
        <f aca="false">E71+E72</f>
        <v>7593.5039164933</v>
      </c>
      <c r="F73" s="301" t="n">
        <f aca="false">F71+F72</f>
        <v>7740.22783576996</v>
      </c>
      <c r="G73" s="301" t="n">
        <f aca="false">G71+G72</f>
        <v>7950.65403854719</v>
      </c>
    </row>
    <row r="74" customFormat="false" ht="15" hidden="false" customHeight="true" outlineLevel="0" collapsed="false">
      <c r="A74" s="286" t="s">
        <v>88</v>
      </c>
      <c r="B74" s="297" t="n">
        <f aca="false">-Datos!G10</f>
        <v>-3074</v>
      </c>
      <c r="C74" s="297" t="n">
        <f aca="false">-C61*(B91+B92)</f>
        <v>-2361.8</v>
      </c>
      <c r="D74" s="297" t="n">
        <f aca="false">-D61*(C91+C92)</f>
        <v>-2302.755</v>
      </c>
      <c r="E74" s="297" t="n">
        <f aca="false">-E61*(D91+D92)</f>
        <v>-2156.505</v>
      </c>
      <c r="F74" s="297" t="n">
        <f aca="false">-F61*(E91+E92)</f>
        <v>-2010.255</v>
      </c>
      <c r="G74" s="297" t="n">
        <f aca="false">-G61*(F91+F92)</f>
        <v>-1864.005</v>
      </c>
    </row>
    <row r="75" customFormat="false" ht="15" hidden="false" customHeight="true" outlineLevel="0" collapsed="false">
      <c r="A75" s="286" t="s">
        <v>1474</v>
      </c>
      <c r="B75" s="297" t="n">
        <f aca="false">Datos!G11-Datos!G9+Datos!G10</f>
        <v>288</v>
      </c>
      <c r="C75" s="297" t="n">
        <v>0</v>
      </c>
      <c r="D75" s="297" t="n">
        <v>0</v>
      </c>
      <c r="E75" s="297" t="n">
        <v>0</v>
      </c>
      <c r="F75" s="297" t="n">
        <v>0</v>
      </c>
      <c r="G75" s="297" t="n">
        <v>0</v>
      </c>
    </row>
    <row r="76" customFormat="false" ht="15" hidden="false" customHeight="true" outlineLevel="0" collapsed="false">
      <c r="A76" s="286" t="s">
        <v>152</v>
      </c>
      <c r="B76" s="297" t="n">
        <f aca="false">B73+B74+B75</f>
        <v>4765</v>
      </c>
      <c r="C76" s="297" t="n">
        <f aca="false">C73+C74+C75</f>
        <v>5333.90522736961</v>
      </c>
      <c r="D76" s="297" t="n">
        <f aca="false">D73+D74+D75</f>
        <v>5238.86895564329</v>
      </c>
      <c r="E76" s="297" t="n">
        <f aca="false">E73+E74+E75</f>
        <v>5436.9989164933</v>
      </c>
      <c r="F76" s="297" t="n">
        <f aca="false">F73+F74+F75</f>
        <v>5729.97283576996</v>
      </c>
      <c r="G76" s="297" t="n">
        <f aca="false">G73+G74+G75</f>
        <v>6086.64903854719</v>
      </c>
    </row>
    <row r="77" customFormat="false" ht="15" hidden="false" customHeight="true" outlineLevel="0" collapsed="false">
      <c r="A77" s="286" t="s">
        <v>153</v>
      </c>
      <c r="B77" s="297" t="n">
        <f aca="false">-Datos!G12</f>
        <v>-1433</v>
      </c>
      <c r="C77" s="297" t="n">
        <f aca="false">-C76*C55</f>
        <v>-1426.9274048957</v>
      </c>
      <c r="D77" s="297" t="n">
        <f aca="false">-D76*D55</f>
        <v>-1419.83932361271</v>
      </c>
      <c r="E77" s="297" t="n">
        <f aca="false">-E76*E55</f>
        <v>-1504.32789964045</v>
      </c>
      <c r="F77" s="297" t="n">
        <f aca="false">-F76*F55</f>
        <v>-1617.83950263769</v>
      </c>
      <c r="G77" s="297" t="n">
        <f aca="false">-G76*G55</f>
        <v>-1753.01640492603</v>
      </c>
    </row>
    <row r="78" customFormat="false" ht="15" hidden="false" customHeight="true" outlineLevel="0" collapsed="false">
      <c r="A78" s="285" t="s">
        <v>89</v>
      </c>
      <c r="B78" s="301" t="n">
        <f aca="false">B76+B77</f>
        <v>3332</v>
      </c>
      <c r="C78" s="301" t="n">
        <f aca="false">C76+C77</f>
        <v>3906.97782247391</v>
      </c>
      <c r="D78" s="301" t="n">
        <f aca="false">D76+D77</f>
        <v>3819.02963203058</v>
      </c>
      <c r="E78" s="301" t="n">
        <f aca="false">E76+E77</f>
        <v>3932.67101685285</v>
      </c>
      <c r="F78" s="301" t="n">
        <f aca="false">F76+F77</f>
        <v>4112.13333313227</v>
      </c>
      <c r="G78" s="301" t="n">
        <f aca="false">G76+G77</f>
        <v>4333.63263362116</v>
      </c>
    </row>
    <row r="79" customFormat="false" ht="15" hidden="false" customHeight="true" outlineLevel="0" collapsed="false">
      <c r="A79" s="286" t="s">
        <v>1475</v>
      </c>
      <c r="B79" s="297"/>
      <c r="C79" s="297" t="n">
        <f aca="false">-C78*C63</f>
        <v>-1172.65617668058</v>
      </c>
      <c r="D79" s="297" t="n">
        <f aca="false">-D78*D63</f>
        <v>-1146.25904994032</v>
      </c>
      <c r="E79" s="297" t="n">
        <f aca="false">-E78*E63</f>
        <v>-1180.36783629478</v>
      </c>
      <c r="F79" s="297" t="n">
        <f aca="false">-F78*F63</f>
        <v>-1234.23238409331</v>
      </c>
      <c r="G79" s="297" t="n">
        <f aca="false">-G78*G63</f>
        <v>-1300.71408290272</v>
      </c>
    </row>
    <row r="80" customFormat="false" ht="15" hidden="false" customHeight="true" outlineLevel="0" collapsed="false">
      <c r="A80" s="286" t="s">
        <v>1885</v>
      </c>
      <c r="B80" s="295" t="n">
        <f aca="false">B71/B67</f>
        <v>0.0669971551699856</v>
      </c>
      <c r="C80" s="295" t="n">
        <f aca="false">C71/C67</f>
        <v>0.0697595128828648</v>
      </c>
      <c r="D80" s="295" t="n">
        <f aca="false">D71/D67</f>
        <v>0.0695495128828648</v>
      </c>
      <c r="E80" s="295" t="n">
        <f aca="false">E71/E67</f>
        <v>0.0695000588185117</v>
      </c>
      <c r="F80" s="295" t="n">
        <f aca="false">F71/F67</f>
        <v>0.0694806047541588</v>
      </c>
      <c r="G80" s="295" t="n">
        <f aca="false">G71/G67</f>
        <v>0.0694911506898058</v>
      </c>
    </row>
    <row r="81" customFormat="false" ht="15" hidden="false" customHeight="true" outlineLevel="0" collapsed="false">
      <c r="A81" s="286" t="s">
        <v>34</v>
      </c>
      <c r="B81" s="295" t="n">
        <f aca="false">B78/B67</f>
        <v>0.0187702447680478</v>
      </c>
      <c r="C81" s="295" t="n">
        <f aca="false">C78/C67</f>
        <v>0.0230471309462828</v>
      </c>
      <c r="D81" s="295" t="n">
        <f aca="false">D78/D67</f>
        <v>0.0228822562208598</v>
      </c>
      <c r="E81" s="295" t="n">
        <f aca="false">E78/E67</f>
        <v>0.0233681741912886</v>
      </c>
      <c r="F81" s="295" t="n">
        <f aca="false">F78/F67</f>
        <v>0.02395243564831</v>
      </c>
      <c r="G81" s="295" t="n">
        <f aca="false">G78/G67</f>
        <v>0.0245714717987327</v>
      </c>
    </row>
    <row r="82" customFormat="false" ht="15" hidden="false" customHeight="true" outlineLevel="0" collapsed="false">
      <c r="A82" s="298"/>
      <c r="B82" s="298"/>
      <c r="C82" s="298"/>
      <c r="D82" s="298"/>
      <c r="E82" s="298"/>
      <c r="F82" s="298"/>
      <c r="G82" s="298"/>
    </row>
    <row r="83" customFormat="false" ht="15" hidden="false" customHeight="true" outlineLevel="0" collapsed="false">
      <c r="A83" s="285" t="s">
        <v>1886</v>
      </c>
      <c r="B83" s="300" t="s">
        <v>1428</v>
      </c>
      <c r="C83" s="300" t="s">
        <v>1429</v>
      </c>
      <c r="D83" s="300" t="s">
        <v>1430</v>
      </c>
      <c r="E83" s="300" t="s">
        <v>1431</v>
      </c>
      <c r="F83" s="300" t="s">
        <v>1432</v>
      </c>
      <c r="G83" s="300" t="s">
        <v>1433</v>
      </c>
    </row>
    <row r="84" customFormat="false" ht="15" hidden="false" customHeight="true" outlineLevel="0" collapsed="false">
      <c r="A84" s="286" t="s">
        <v>13</v>
      </c>
      <c r="B84" s="297" t="n">
        <f aca="false">Datos!G17</f>
        <v>9295</v>
      </c>
      <c r="C84" s="297" t="n">
        <f aca="false">B84+C108</f>
        <v>12424.3751978225</v>
      </c>
      <c r="D84" s="297" t="n">
        <f aca="false">C84+D108</f>
        <v>14378.0089568858</v>
      </c>
      <c r="E84" s="297" t="n">
        <f aca="false">D84+E108</f>
        <v>16690.2121510789</v>
      </c>
      <c r="F84" s="297" t="n">
        <f aca="false">E84+F108</f>
        <v>18807.3764604079</v>
      </c>
      <c r="G84" s="297" t="n">
        <f aca="false">F84+G108</f>
        <v>21085.4073805949</v>
      </c>
    </row>
    <row r="85" customFormat="false" ht="15" hidden="false" customHeight="true" outlineLevel="0" collapsed="false">
      <c r="A85" s="286" t="s">
        <v>156</v>
      </c>
      <c r="B85" s="297" t="n">
        <f aca="false">Datos!G18</f>
        <v>32283</v>
      </c>
      <c r="C85" s="297" t="n">
        <f aca="false">-C68*C56/365</f>
        <v>30898.3778560219</v>
      </c>
      <c r="D85" s="297" t="n">
        <f aca="false">-D68*D56/365</f>
        <v>30460.6994148708</v>
      </c>
      <c r="E85" s="297" t="n">
        <f aca="false">-E68*E56/365</f>
        <v>30405.9397083465</v>
      </c>
      <c r="F85" s="297" t="n">
        <f aca="false">-F68*F56/365</f>
        <v>31017.9505782984</v>
      </c>
      <c r="G85" s="297" t="n">
        <f aca="false">-G68*G56/365</f>
        <v>31865.1902552126</v>
      </c>
    </row>
    <row r="86" customFormat="false" ht="15" hidden="false" customHeight="true" outlineLevel="0" collapsed="false">
      <c r="A86" s="286" t="s">
        <v>1477</v>
      </c>
      <c r="B86" s="297" t="n">
        <f aca="false">Datos!G19-Datos!G17-Datos!G18</f>
        <v>6951</v>
      </c>
      <c r="C86" s="297" t="n">
        <f aca="false">C67*C57</f>
        <v>6637.9856373556</v>
      </c>
      <c r="D86" s="297" t="n">
        <f aca="false">D67*D57</f>
        <v>6535.31334936655</v>
      </c>
      <c r="E86" s="297" t="n">
        <f aca="false">E67*E57</f>
        <v>6589.84300140943</v>
      </c>
      <c r="F86" s="297" t="n">
        <f aca="false">F67*F57</f>
        <v>6722.48338637447</v>
      </c>
      <c r="G86" s="297" t="n">
        <f aca="false">G67*G57</f>
        <v>6906.10462975597</v>
      </c>
    </row>
    <row r="87" customFormat="false" ht="15" hidden="false" customHeight="true" outlineLevel="0" collapsed="false">
      <c r="A87" s="285" t="s">
        <v>157</v>
      </c>
      <c r="B87" s="301" t="n">
        <f aca="false">SUM(B84:B86)</f>
        <v>48529</v>
      </c>
      <c r="C87" s="301" t="n">
        <f aca="false">SUM(C84:C86)</f>
        <v>49960.7386912001</v>
      </c>
      <c r="D87" s="301" t="n">
        <f aca="false">SUM(D84:D86)</f>
        <v>51374.0217211232</v>
      </c>
      <c r="E87" s="301" t="n">
        <f aca="false">SUM(E84:E86)</f>
        <v>53685.9948608348</v>
      </c>
      <c r="F87" s="301" t="n">
        <f aca="false">SUM(F84:F86)</f>
        <v>56547.8104250808</v>
      </c>
      <c r="G87" s="301" t="n">
        <f aca="false">SUM(G84:G86)</f>
        <v>59856.7022655635</v>
      </c>
    </row>
    <row r="88" customFormat="false" ht="15" hidden="false" customHeight="true" outlineLevel="0" collapsed="false">
      <c r="A88" s="286" t="s">
        <v>1478</v>
      </c>
      <c r="B88" s="297" t="n">
        <f aca="false">Datos!G20-Datos!G19</f>
        <v>107509</v>
      </c>
      <c r="C88" s="297" t="n">
        <f aca="false">B88-C104+C72</f>
        <v>107211.026273329</v>
      </c>
      <c r="D88" s="297" t="n">
        <f aca="false">C88-D104+D72</f>
        <v>106445.512943321</v>
      </c>
      <c r="E88" s="297" t="n">
        <f aca="false">D88-E104+E72</f>
        <v>105664.672997484</v>
      </c>
      <c r="F88" s="297" t="n">
        <f aca="false">E88-F104+F72</f>
        <v>104858.997082149</v>
      </c>
      <c r="G88" s="297" t="n">
        <f aca="false">F88-G104+G72</f>
        <v>104021.94622851</v>
      </c>
    </row>
    <row r="89" customFormat="false" ht="15" hidden="false" customHeight="true" outlineLevel="0" collapsed="false">
      <c r="A89" s="285" t="s">
        <v>92</v>
      </c>
      <c r="B89" s="301" t="n">
        <f aca="false">B87+B88</f>
        <v>156038</v>
      </c>
      <c r="C89" s="301" t="n">
        <f aca="false">C87+C88</f>
        <v>157171.764964529</v>
      </c>
      <c r="D89" s="301" t="n">
        <f aca="false">D87+D88</f>
        <v>157819.534664445</v>
      </c>
      <c r="E89" s="301" t="n">
        <f aca="false">E87+E88</f>
        <v>159350.667858319</v>
      </c>
      <c r="F89" s="301" t="n">
        <f aca="false">F87+F88</f>
        <v>161406.80750723</v>
      </c>
      <c r="G89" s="301" t="n">
        <f aca="false">G87+G88</f>
        <v>163878.648494074</v>
      </c>
    </row>
    <row r="90" customFormat="false" ht="15" hidden="false" customHeight="true" outlineLevel="0" collapsed="false">
      <c r="A90" s="286" t="s">
        <v>1479</v>
      </c>
      <c r="B90" s="297" t="n">
        <f aca="false">Datos!G21-Datos!G25-Datos!G27</f>
        <v>35543</v>
      </c>
      <c r="C90" s="297" t="n">
        <f aca="false">C67*C58</f>
        <v>33942.4433187355</v>
      </c>
      <c r="D90" s="297" t="n">
        <f aca="false">D67*D58</f>
        <v>33417.4424365609</v>
      </c>
      <c r="E90" s="297" t="n">
        <f aca="false">E67*E58</f>
        <v>33696.272449877</v>
      </c>
      <c r="F90" s="297" t="n">
        <f aca="false">F67*F58</f>
        <v>34374.5111497494</v>
      </c>
      <c r="G90" s="297" t="n">
        <f aca="false">G67*G58</f>
        <v>35313.4335858749</v>
      </c>
    </row>
    <row r="91" customFormat="false" ht="15" hidden="false" customHeight="true" outlineLevel="0" collapsed="false">
      <c r="A91" s="286" t="s">
        <v>1480</v>
      </c>
      <c r="B91" s="297" t="n">
        <f aca="false">Datos!G25+Datos!G26</f>
        <v>11500</v>
      </c>
      <c r="C91" s="297" t="n">
        <f aca="false">MAX(0,B91+C62)</f>
        <v>11500</v>
      </c>
      <c r="D91" s="297" t="n">
        <f aca="false">MAX(0,C91+D62)</f>
        <v>10000</v>
      </c>
      <c r="E91" s="297" t="n">
        <f aca="false">MAX(0,D91+E62)</f>
        <v>8500</v>
      </c>
      <c r="F91" s="297" t="n">
        <f aca="false">MAX(0,E91+F62)</f>
        <v>7000</v>
      </c>
      <c r="G91" s="297" t="n">
        <f aca="false">MAX(0,F91+G62)</f>
        <v>5500</v>
      </c>
    </row>
    <row r="92" customFormat="false" ht="15" hidden="false" customHeight="true" outlineLevel="0" collapsed="false">
      <c r="A92" s="286" t="s">
        <v>1481</v>
      </c>
      <c r="B92" s="297" t="n">
        <f aca="false">Datos!G27+Datos!G28</f>
        <v>12118</v>
      </c>
      <c r="C92" s="297" t="n">
        <f aca="false">B92</f>
        <v>12118</v>
      </c>
      <c r="D92" s="297" t="n">
        <f aca="false">C92</f>
        <v>12118</v>
      </c>
      <c r="E92" s="297" t="n">
        <f aca="false">D92</f>
        <v>12118</v>
      </c>
      <c r="F92" s="297" t="n">
        <f aca="false">E92</f>
        <v>12118</v>
      </c>
      <c r="G92" s="297" t="n">
        <f aca="false">F92</f>
        <v>12118</v>
      </c>
    </row>
    <row r="93" customFormat="false" ht="15" hidden="false" customHeight="true" outlineLevel="0" collapsed="false">
      <c r="A93" s="286" t="s">
        <v>1482</v>
      </c>
      <c r="B93" s="297" t="n">
        <f aca="false">Datos!G23-Datos!G21-Datos!G26-Datos!G28</f>
        <v>12145</v>
      </c>
      <c r="C93" s="297" t="n">
        <f aca="false">B93</f>
        <v>12145</v>
      </c>
      <c r="D93" s="297" t="n">
        <f aca="false">C93</f>
        <v>12145</v>
      </c>
      <c r="E93" s="297" t="n">
        <f aca="false">D93</f>
        <v>12145</v>
      </c>
      <c r="F93" s="297" t="n">
        <f aca="false">E93</f>
        <v>12145</v>
      </c>
      <c r="G93" s="297" t="n">
        <f aca="false">F93</f>
        <v>12145</v>
      </c>
    </row>
    <row r="94" customFormat="false" ht="15" hidden="false" customHeight="true" outlineLevel="0" collapsed="false">
      <c r="A94" s="285" t="s">
        <v>93</v>
      </c>
      <c r="B94" s="301" t="n">
        <f aca="false">SUM(B90:B93)</f>
        <v>71306</v>
      </c>
      <c r="C94" s="301" t="n">
        <f aca="false">SUM(C90:C93)</f>
        <v>69705.4433187355</v>
      </c>
      <c r="D94" s="301" t="n">
        <f aca="false">SUM(D90:D93)</f>
        <v>67680.4424365609</v>
      </c>
      <c r="E94" s="301" t="n">
        <f aca="false">SUM(E90:E93)</f>
        <v>66459.272449877</v>
      </c>
      <c r="F94" s="301" t="n">
        <f aca="false">SUM(F90:F93)</f>
        <v>65637.5111497494</v>
      </c>
      <c r="G94" s="301" t="n">
        <f aca="false">SUM(G90:G93)</f>
        <v>65076.4335858749</v>
      </c>
    </row>
    <row r="95" customFormat="false" ht="15" hidden="false" customHeight="true" outlineLevel="0" collapsed="false">
      <c r="A95" s="286" t="s">
        <v>94</v>
      </c>
      <c r="B95" s="297" t="n">
        <f aca="false">Datos!G24</f>
        <v>84732</v>
      </c>
      <c r="C95" s="297" t="n">
        <f aca="false">B95+C78+C79</f>
        <v>87466.3216457933</v>
      </c>
      <c r="D95" s="297" t="n">
        <f aca="false">C95+D78+D79</f>
        <v>90139.0922278836</v>
      </c>
      <c r="E95" s="297" t="n">
        <f aca="false">D95+E78+E79</f>
        <v>92891.3954084417</v>
      </c>
      <c r="F95" s="297" t="n">
        <f aca="false">E95+F78+F79</f>
        <v>95769.2963574806</v>
      </c>
      <c r="G95" s="297" t="n">
        <f aca="false">F95+G78+G79</f>
        <v>98802.2149081991</v>
      </c>
    </row>
    <row r="96" customFormat="false" ht="15" hidden="false" customHeight="true" outlineLevel="0" collapsed="false">
      <c r="A96" s="285" t="s">
        <v>1483</v>
      </c>
      <c r="B96" s="301" t="n">
        <f aca="false">B94+B95</f>
        <v>156038</v>
      </c>
      <c r="C96" s="301" t="n">
        <f aca="false">C94+C95</f>
        <v>157171.764964529</v>
      </c>
      <c r="D96" s="301" t="n">
        <f aca="false">D94+D95</f>
        <v>157819.534664445</v>
      </c>
      <c r="E96" s="301" t="n">
        <f aca="false">E94+E95</f>
        <v>159350.667858319</v>
      </c>
      <c r="F96" s="301" t="n">
        <f aca="false">F94+F95</f>
        <v>161406.80750723</v>
      </c>
      <c r="G96" s="301" t="n">
        <f aca="false">G94+G95</f>
        <v>163878.648494074</v>
      </c>
    </row>
    <row r="97" customFormat="false" ht="15" hidden="false" customHeight="true" outlineLevel="0" collapsed="false">
      <c r="A97" s="286" t="s">
        <v>1484</v>
      </c>
      <c r="B97" s="297" t="n">
        <f aca="false">B89-B96</f>
        <v>0</v>
      </c>
      <c r="C97" s="297" t="n">
        <f aca="false">C89-C96</f>
        <v>0</v>
      </c>
      <c r="D97" s="297" t="n">
        <f aca="false">D89-D96</f>
        <v>0</v>
      </c>
      <c r="E97" s="297" t="n">
        <f aca="false">E89-E96</f>
        <v>0</v>
      </c>
      <c r="F97" s="297" t="n">
        <f aca="false">F89-F96</f>
        <v>0</v>
      </c>
      <c r="G97" s="297" t="n">
        <f aca="false">G89-G96</f>
        <v>0</v>
      </c>
    </row>
    <row r="98" customFormat="false" ht="15" hidden="false" customHeight="true" outlineLevel="0" collapsed="false">
      <c r="A98" s="298"/>
      <c r="B98" s="298"/>
      <c r="C98" s="298"/>
      <c r="D98" s="298"/>
      <c r="E98" s="298"/>
      <c r="F98" s="298"/>
      <c r="G98" s="298"/>
    </row>
    <row r="99" customFormat="false" ht="15" hidden="false" customHeight="true" outlineLevel="0" collapsed="false">
      <c r="A99" s="285" t="s">
        <v>1888</v>
      </c>
      <c r="B99" s="300" t="s">
        <v>1428</v>
      </c>
      <c r="C99" s="300" t="s">
        <v>1429</v>
      </c>
      <c r="D99" s="300" t="s">
        <v>1430</v>
      </c>
      <c r="E99" s="300" t="s">
        <v>1431</v>
      </c>
      <c r="F99" s="300" t="s">
        <v>1432</v>
      </c>
      <c r="G99" s="300" t="s">
        <v>1433</v>
      </c>
    </row>
    <row r="100" customFormat="false" ht="15" hidden="false" customHeight="true" outlineLevel="0" collapsed="false">
      <c r="A100" s="286" t="s">
        <v>89</v>
      </c>
      <c r="B100" s="302"/>
      <c r="C100" s="297" t="n">
        <f aca="false">C78</f>
        <v>3906.97782247391</v>
      </c>
      <c r="D100" s="297" t="n">
        <f aca="false">D78</f>
        <v>3819.02963203058</v>
      </c>
      <c r="E100" s="297" t="n">
        <f aca="false">E78</f>
        <v>3932.67101685285</v>
      </c>
      <c r="F100" s="297" t="n">
        <f aca="false">F78</f>
        <v>4112.13333313227</v>
      </c>
      <c r="G100" s="297" t="n">
        <f aca="false">G78</f>
        <v>4333.63263362116</v>
      </c>
    </row>
    <row r="101" customFormat="false" ht="15" hidden="false" customHeight="true" outlineLevel="0" collapsed="false">
      <c r="A101" s="286" t="s">
        <v>1445</v>
      </c>
      <c r="B101" s="302"/>
      <c r="C101" s="297" t="n">
        <f aca="false">-C72</f>
        <v>4130.01270581607</v>
      </c>
      <c r="D101" s="297" t="n">
        <f aca="false">-D72</f>
        <v>4066.13220394458</v>
      </c>
      <c r="E101" s="297" t="n">
        <f aca="false">-E72</f>
        <v>4102.78286859152</v>
      </c>
      <c r="F101" s="297" t="n">
        <f aca="false">-F72</f>
        <v>4188.14199729641</v>
      </c>
      <c r="G101" s="297" t="n">
        <f aca="false">-G72</f>
        <v>4305.39317115882</v>
      </c>
    </row>
    <row r="102" customFormat="false" ht="15" hidden="false" customHeight="true" outlineLevel="0" collapsed="false">
      <c r="A102" s="286" t="s">
        <v>1486</v>
      </c>
      <c r="B102" s="302"/>
      <c r="C102" s="297" t="n">
        <f aca="false">-(C85-B85)</f>
        <v>1384.62214397806</v>
      </c>
      <c r="D102" s="297" t="n">
        <f aca="false">-(D85-C85)</f>
        <v>437.678441151093</v>
      </c>
      <c r="E102" s="297" t="n">
        <f aca="false">-(E85-D85)</f>
        <v>54.7597065243572</v>
      </c>
      <c r="F102" s="297" t="n">
        <f aca="false">-(F85-E85)</f>
        <v>-612.010869951904</v>
      </c>
      <c r="G102" s="297" t="n">
        <f aca="false">-(G85-F85)</f>
        <v>-847.2396769142</v>
      </c>
    </row>
    <row r="103" customFormat="false" ht="15" hidden="false" customHeight="true" outlineLevel="0" collapsed="false">
      <c r="A103" s="286" t="s">
        <v>1487</v>
      </c>
      <c r="B103" s="302"/>
      <c r="C103" s="297" t="n">
        <f aca="false">-(C86-B86)</f>
        <v>313.014362644396</v>
      </c>
      <c r="D103" s="297" t="n">
        <f aca="false">-(D86-C86)</f>
        <v>102.672287989059</v>
      </c>
      <c r="E103" s="297" t="n">
        <f aca="false">-(E86-D86)</f>
        <v>-54.5296520428819</v>
      </c>
      <c r="F103" s="297" t="n">
        <f aca="false">-(F86-E86)</f>
        <v>-132.640384965046</v>
      </c>
      <c r="G103" s="297" t="n">
        <f aca="false">-(G86-F86)</f>
        <v>-183.621243381498</v>
      </c>
    </row>
    <row r="104" customFormat="false" ht="15" hidden="false" customHeight="true" outlineLevel="0" collapsed="false">
      <c r="A104" s="286" t="s">
        <v>1446</v>
      </c>
      <c r="B104" s="302"/>
      <c r="C104" s="297" t="n">
        <f aca="false">-C67*C51</f>
        <v>-3832.0389791448</v>
      </c>
      <c r="D104" s="297" t="n">
        <f aca="false">-D67*D51</f>
        <v>-3300.61887393722</v>
      </c>
      <c r="E104" s="297" t="n">
        <f aca="false">-E67*E51</f>
        <v>-3321.94292275407</v>
      </c>
      <c r="F104" s="297" t="n">
        <f aca="false">-F67*F51</f>
        <v>-3382.46608196171</v>
      </c>
      <c r="G104" s="297" t="n">
        <f aca="false">-G67*G51</f>
        <v>-3468.34231752008</v>
      </c>
    </row>
    <row r="105" customFormat="false" ht="15" hidden="false" customHeight="true" outlineLevel="0" collapsed="false">
      <c r="A105" s="286" t="s">
        <v>1488</v>
      </c>
      <c r="B105" s="302"/>
      <c r="C105" s="297" t="n">
        <f aca="false">C90-B90</f>
        <v>-1600.55668126454</v>
      </c>
      <c r="D105" s="297" t="n">
        <f aca="false">D90-C90</f>
        <v>-525.000882174521</v>
      </c>
      <c r="E105" s="297" t="n">
        <f aca="false">E90-D90</f>
        <v>278.830013316096</v>
      </c>
      <c r="F105" s="297" t="n">
        <f aca="false">F90-E90</f>
        <v>678.238699872338</v>
      </c>
      <c r="G105" s="297" t="n">
        <f aca="false">G90-F90</f>
        <v>938.922436125533</v>
      </c>
    </row>
    <row r="106" customFormat="false" ht="15" hidden="false" customHeight="true" outlineLevel="0" collapsed="false">
      <c r="A106" s="286" t="s">
        <v>2692</v>
      </c>
      <c r="B106" s="302"/>
      <c r="C106" s="297" t="n">
        <f aca="false">C79</f>
        <v>-1172.65617668058</v>
      </c>
      <c r="D106" s="297" t="n">
        <f aca="false">D79</f>
        <v>-1146.25904994032</v>
      </c>
      <c r="E106" s="297" t="n">
        <f aca="false">E79</f>
        <v>-1180.36783629478</v>
      </c>
      <c r="F106" s="297" t="n">
        <f aca="false">F79</f>
        <v>-1234.23238409331</v>
      </c>
      <c r="G106" s="297" t="n">
        <f aca="false">G79</f>
        <v>-1300.71408290272</v>
      </c>
    </row>
    <row r="107" customFormat="false" ht="15" hidden="false" customHeight="true" outlineLevel="0" collapsed="false">
      <c r="A107" s="286" t="s">
        <v>2693</v>
      </c>
      <c r="B107" s="302"/>
      <c r="C107" s="297" t="n">
        <f aca="false">C91-B91</f>
        <v>0</v>
      </c>
      <c r="D107" s="297" t="n">
        <f aca="false">D91-C91</f>
        <v>-1500</v>
      </c>
      <c r="E107" s="297" t="n">
        <f aca="false">E91-D91</f>
        <v>-1500</v>
      </c>
      <c r="F107" s="297" t="n">
        <f aca="false">F91-E91</f>
        <v>-1500</v>
      </c>
      <c r="G107" s="297" t="n">
        <f aca="false">G91-F91</f>
        <v>-1500</v>
      </c>
    </row>
    <row r="108" customFormat="false" ht="15" hidden="false" customHeight="true" outlineLevel="0" collapsed="false">
      <c r="A108" s="285" t="s">
        <v>1894</v>
      </c>
      <c r="B108" s="300"/>
      <c r="C108" s="301" t="n">
        <f aca="false">SUM(C100:C107)</f>
        <v>3129.37519782252</v>
      </c>
      <c r="D108" s="301" t="n">
        <f aca="false">SUM(D100:D107)</f>
        <v>1953.63375906326</v>
      </c>
      <c r="E108" s="301" t="n">
        <f aca="false">SUM(E100:E107)</f>
        <v>2312.2031941931</v>
      </c>
      <c r="F108" s="301" t="n">
        <f aca="false">SUM(F100:F107)</f>
        <v>2117.16430932904</v>
      </c>
      <c r="G108" s="301" t="n">
        <f aca="false">SUM(G100:G107)</f>
        <v>2278.03092018702</v>
      </c>
    </row>
    <row r="109" customFormat="false" ht="15" hidden="false" customHeight="true" outlineLevel="0" collapsed="false">
      <c r="A109" s="298"/>
      <c r="B109" s="298"/>
      <c r="C109" s="298"/>
      <c r="D109" s="298"/>
      <c r="E109" s="298"/>
      <c r="F109" s="298"/>
      <c r="G109" s="298"/>
    </row>
    <row r="110" customFormat="false" ht="15" hidden="false" customHeight="true" outlineLevel="0" collapsed="false">
      <c r="A110" s="285" t="s">
        <v>1895</v>
      </c>
      <c r="B110" s="300" t="s">
        <v>1428</v>
      </c>
      <c r="C110" s="300" t="s">
        <v>1429</v>
      </c>
      <c r="D110" s="300" t="s">
        <v>1430</v>
      </c>
      <c r="E110" s="300" t="s">
        <v>1431</v>
      </c>
      <c r="F110" s="300" t="s">
        <v>1432</v>
      </c>
      <c r="G110" s="300" t="s">
        <v>1433</v>
      </c>
    </row>
    <row r="111" customFormat="false" ht="15" hidden="false" customHeight="true" outlineLevel="0" collapsed="false">
      <c r="A111" s="286" t="s">
        <v>81</v>
      </c>
      <c r="B111" s="302"/>
      <c r="C111" s="297" t="n">
        <f aca="false">C73</f>
        <v>7695.70522736961</v>
      </c>
      <c r="D111" s="297" t="n">
        <f aca="false">D73</f>
        <v>7541.62395564329</v>
      </c>
      <c r="E111" s="297" t="n">
        <f aca="false">E73</f>
        <v>7593.5039164933</v>
      </c>
      <c r="F111" s="297" t="n">
        <f aca="false">F73</f>
        <v>7740.22783576996</v>
      </c>
      <c r="G111" s="297" t="n">
        <f aca="false">G73</f>
        <v>7950.65403854719</v>
      </c>
    </row>
    <row r="112" customFormat="false" ht="15" hidden="false" customHeight="true" outlineLevel="0" collapsed="false">
      <c r="A112" s="286" t="s">
        <v>1443</v>
      </c>
      <c r="B112" s="302"/>
      <c r="C112" s="297" t="n">
        <f aca="false">-C111*C55</f>
        <v>-2058.75661843135</v>
      </c>
      <c r="D112" s="297" t="n">
        <f aca="false">-D111*D55</f>
        <v>-2043.93244930997</v>
      </c>
      <c r="E112" s="297" t="n">
        <f aca="false">-E111*E55</f>
        <v>-2100.99725474609</v>
      </c>
      <c r="F112" s="297" t="n">
        <f aca="false">-F111*F55</f>
        <v>-2185.42857200854</v>
      </c>
      <c r="G112" s="297" t="n">
        <f aca="false">-G111*G55</f>
        <v>-2289.86867341892</v>
      </c>
    </row>
    <row r="113" customFormat="false" ht="15" hidden="false" customHeight="true" outlineLevel="0" collapsed="false">
      <c r="A113" s="286" t="s">
        <v>2694</v>
      </c>
      <c r="B113" s="302"/>
      <c r="C113" s="297" t="n">
        <f aca="false">C111+C112</f>
        <v>5636.94860893826</v>
      </c>
      <c r="D113" s="297" t="n">
        <f aca="false">D111+D112</f>
        <v>5497.69150633332</v>
      </c>
      <c r="E113" s="297" t="n">
        <f aca="false">E111+E112</f>
        <v>5492.50666174721</v>
      </c>
      <c r="F113" s="297" t="n">
        <f aca="false">F111+F112</f>
        <v>5554.79926376142</v>
      </c>
      <c r="G113" s="297" t="n">
        <f aca="false">G111+G112</f>
        <v>5660.78536512827</v>
      </c>
    </row>
    <row r="114" customFormat="false" ht="15" hidden="false" customHeight="true" outlineLevel="0" collapsed="false">
      <c r="A114" s="286" t="s">
        <v>1445</v>
      </c>
      <c r="B114" s="302"/>
      <c r="C114" s="297" t="n">
        <f aca="false">C101</f>
        <v>4130.01270581607</v>
      </c>
      <c r="D114" s="297" t="n">
        <f aca="false">D101</f>
        <v>4066.13220394458</v>
      </c>
      <c r="E114" s="297" t="n">
        <f aca="false">E101</f>
        <v>4102.78286859152</v>
      </c>
      <c r="F114" s="297" t="n">
        <f aca="false">F101</f>
        <v>4188.14199729641</v>
      </c>
      <c r="G114" s="297" t="n">
        <f aca="false">G101</f>
        <v>4305.39317115882</v>
      </c>
    </row>
    <row r="115" customFormat="false" ht="15" hidden="false" customHeight="true" outlineLevel="0" collapsed="false">
      <c r="A115" s="286" t="s">
        <v>1446</v>
      </c>
      <c r="B115" s="302"/>
      <c r="C115" s="297" t="n">
        <f aca="false">C104</f>
        <v>-3832.0389791448</v>
      </c>
      <c r="D115" s="297" t="n">
        <f aca="false">D104</f>
        <v>-3300.61887393722</v>
      </c>
      <c r="E115" s="297" t="n">
        <f aca="false">E104</f>
        <v>-3321.94292275407</v>
      </c>
      <c r="F115" s="297" t="n">
        <f aca="false">F104</f>
        <v>-3382.46608196171</v>
      </c>
      <c r="G115" s="297" t="n">
        <f aca="false">G104</f>
        <v>-3468.34231752008</v>
      </c>
    </row>
    <row r="116" customFormat="false" ht="15" hidden="false" customHeight="true" outlineLevel="0" collapsed="false">
      <c r="A116" s="286" t="s">
        <v>1447</v>
      </c>
      <c r="B116" s="302"/>
      <c r="C116" s="297" t="n">
        <f aca="false">C102+C103+C105</f>
        <v>97.0798253579187</v>
      </c>
      <c r="D116" s="297" t="n">
        <f aca="false">D102+D103+D105</f>
        <v>15.3498469656297</v>
      </c>
      <c r="E116" s="297" t="n">
        <f aca="false">E102+E103+E105</f>
        <v>279.060067797571</v>
      </c>
      <c r="F116" s="297" t="n">
        <f aca="false">F102+F103+F105</f>
        <v>-66.4125550446124</v>
      </c>
      <c r="G116" s="297" t="n">
        <f aca="false">G102+G103+G105</f>
        <v>-91.9384841701649</v>
      </c>
    </row>
    <row r="117" customFormat="false" ht="15" hidden="false" customHeight="true" outlineLevel="0" collapsed="false">
      <c r="A117" s="285" t="s">
        <v>2695</v>
      </c>
      <c r="B117" s="300"/>
      <c r="C117" s="301" t="n">
        <f aca="false">SUM(C113:C116)</f>
        <v>6032.00216096745</v>
      </c>
      <c r="D117" s="301" t="n">
        <f aca="false">SUM(D113:D116)</f>
        <v>6278.55468330631</v>
      </c>
      <c r="E117" s="301" t="n">
        <f aca="false">SUM(E113:E116)</f>
        <v>6552.40667538223</v>
      </c>
      <c r="F117" s="301" t="n">
        <f aca="false">SUM(F113:F116)</f>
        <v>6294.0626240515</v>
      </c>
      <c r="G117" s="301" t="n">
        <f aca="false">SUM(G113:G116)</f>
        <v>6405.89773459684</v>
      </c>
    </row>
    <row r="118" customFormat="false" ht="15" hidden="false" customHeight="true" outlineLevel="0" collapsed="false">
      <c r="A118" s="286" t="s">
        <v>1441</v>
      </c>
      <c r="B118" s="302"/>
      <c r="C118" s="303" t="n">
        <v>1</v>
      </c>
      <c r="D118" s="303" t="n">
        <f aca="false">C118+1</f>
        <v>2</v>
      </c>
      <c r="E118" s="303" t="n">
        <f aca="false">D118+1</f>
        <v>3</v>
      </c>
      <c r="F118" s="303" t="n">
        <f aca="false">E118+1</f>
        <v>4</v>
      </c>
      <c r="G118" s="303" t="n">
        <f aca="false">F118+1</f>
        <v>5</v>
      </c>
    </row>
    <row r="119" customFormat="false" ht="15" hidden="false" customHeight="true" outlineLevel="0" collapsed="false">
      <c r="A119" s="286" t="s">
        <v>1449</v>
      </c>
      <c r="B119" s="302"/>
      <c r="C119" s="304" t="n">
        <f aca="false">1/(1+$B$126)^C118</f>
        <v>0.912396210780612</v>
      </c>
      <c r="D119" s="304" t="n">
        <f aca="false">1/(1+$B$126)^D118</f>
        <v>0.832466845446819</v>
      </c>
      <c r="E119" s="304" t="n">
        <f aca="false">1/(1+$B$126)^E118</f>
        <v>0.759539595386167</v>
      </c>
      <c r="F119" s="304" t="n">
        <f aca="false">1/(1+$B$126)^F118</f>
        <v>0.693001048768178</v>
      </c>
      <c r="G119" s="304" t="n">
        <f aca="false">1/(1+$B$126)^G118</f>
        <v>0.632291530963075</v>
      </c>
    </row>
    <row r="120" customFormat="false" ht="15" hidden="false" customHeight="true" outlineLevel="0" collapsed="false">
      <c r="A120" s="286" t="s">
        <v>1450</v>
      </c>
      <c r="B120" s="302"/>
      <c r="C120" s="297" t="n">
        <f aca="false">C117*C119</f>
        <v>5503.57591508717</v>
      </c>
      <c r="D120" s="297" t="n">
        <f aca="false">D117*D119</f>
        <v>5226.68861117736</v>
      </c>
      <c r="E120" s="297" t="n">
        <f aca="false">E117*E119</f>
        <v>4976.81231502544</v>
      </c>
      <c r="F120" s="297" t="n">
        <f aca="false">F117*F119</f>
        <v>4361.79199948028</v>
      </c>
      <c r="G120" s="297" t="n">
        <f aca="false">G117*G119</f>
        <v>4050.39488580113</v>
      </c>
    </row>
    <row r="121" customFormat="false" ht="15" hidden="false" customHeight="true" outlineLevel="0" collapsed="false">
      <c r="A121" s="298"/>
      <c r="B121" s="298"/>
      <c r="C121" s="298"/>
      <c r="D121" s="298"/>
      <c r="E121" s="298"/>
      <c r="F121" s="298"/>
      <c r="G121" s="298"/>
    </row>
    <row r="122" customFormat="false" ht="15" hidden="false" customHeight="true" outlineLevel="0" collapsed="false">
      <c r="A122" s="285" t="s">
        <v>1901</v>
      </c>
      <c r="B122" s="300" t="s">
        <v>78</v>
      </c>
      <c r="C122" s="300"/>
      <c r="D122" s="300"/>
      <c r="E122" s="300"/>
      <c r="F122" s="300"/>
      <c r="G122" s="300"/>
    </row>
    <row r="123" customFormat="false" ht="15" hidden="false" customHeight="true" outlineLevel="0" collapsed="false">
      <c r="A123" s="286" t="s">
        <v>1903</v>
      </c>
      <c r="B123" s="296" t="n">
        <f aca="false">Escenarios!$N$11</f>
        <v>0.03</v>
      </c>
      <c r="C123" s="302"/>
      <c r="D123" s="302"/>
      <c r="E123" s="302"/>
      <c r="F123" s="302"/>
      <c r="G123" s="302"/>
    </row>
    <row r="124" customFormat="false" ht="15" hidden="false" customHeight="true" outlineLevel="0" collapsed="false">
      <c r="A124" s="286" t="s">
        <v>1904</v>
      </c>
      <c r="B124" s="296" t="n">
        <f aca="false">B220</f>
        <v>0.0960150734782619</v>
      </c>
      <c r="C124" s="302"/>
      <c r="D124" s="302"/>
      <c r="E124" s="302"/>
      <c r="F124" s="302"/>
      <c r="G124" s="302"/>
    </row>
    <row r="125" customFormat="false" ht="15" hidden="false" customHeight="true" outlineLevel="0" collapsed="false">
      <c r="A125" s="286" t="s">
        <v>1905</v>
      </c>
      <c r="B125" s="296" t="n">
        <v>0</v>
      </c>
      <c r="C125" s="302"/>
      <c r="D125" s="302"/>
      <c r="E125" s="302"/>
      <c r="F125" s="302"/>
      <c r="G125" s="302"/>
    </row>
    <row r="126" customFormat="false" ht="15" hidden="false" customHeight="true" outlineLevel="0" collapsed="false">
      <c r="A126" s="286" t="s">
        <v>1906</v>
      </c>
      <c r="B126" s="296" t="n">
        <f aca="false">B124+B125</f>
        <v>0.0960150734782619</v>
      </c>
      <c r="C126" s="302"/>
      <c r="D126" s="302"/>
      <c r="E126" s="302"/>
      <c r="F126" s="302"/>
      <c r="G126" s="302"/>
    </row>
    <row r="127" customFormat="false" ht="15" hidden="false" customHeight="true" outlineLevel="0" collapsed="false">
      <c r="A127" s="286" t="s">
        <v>1907</v>
      </c>
      <c r="B127" s="297" t="n">
        <f aca="false">G117</f>
        <v>6405.89773459684</v>
      </c>
      <c r="C127" s="302"/>
      <c r="D127" s="302"/>
      <c r="E127" s="302"/>
      <c r="F127" s="302"/>
      <c r="G127" s="302"/>
    </row>
    <row r="128" customFormat="false" ht="15" hidden="false" customHeight="true" outlineLevel="0" collapsed="false">
      <c r="A128" s="286" t="s">
        <v>2696</v>
      </c>
      <c r="B128" s="297" t="n">
        <f aca="false">B127*(1+B123)</f>
        <v>6598.07466663475</v>
      </c>
      <c r="C128" s="302"/>
      <c r="D128" s="302"/>
      <c r="E128" s="302"/>
      <c r="F128" s="302"/>
      <c r="G128" s="302"/>
    </row>
    <row r="129" customFormat="false" ht="15" hidden="false" customHeight="true" outlineLevel="0" collapsed="false">
      <c r="A129" s="285" t="s">
        <v>2697</v>
      </c>
      <c r="B129" s="301" t="n">
        <f aca="false">IF(B126&gt;B123,B128/(B126-B123),"REVISAR WACC/g")</f>
        <v>99948.0015546363</v>
      </c>
      <c r="C129" s="300"/>
      <c r="D129" s="300"/>
      <c r="E129" s="300"/>
      <c r="F129" s="300"/>
      <c r="G129" s="300"/>
    </row>
    <row r="130" customFormat="false" ht="15" hidden="false" customHeight="true" outlineLevel="0" collapsed="false">
      <c r="A130" s="286" t="s">
        <v>1910</v>
      </c>
      <c r="B130" s="304" t="n">
        <f aca="false">G119</f>
        <v>0.632291530963075</v>
      </c>
      <c r="C130" s="302"/>
      <c r="D130" s="302"/>
      <c r="E130" s="302"/>
      <c r="F130" s="302"/>
      <c r="G130" s="302"/>
    </row>
    <row r="131" customFormat="false" ht="15" hidden="false" customHeight="true" outlineLevel="0" collapsed="false">
      <c r="A131" s="286" t="s">
        <v>1498</v>
      </c>
      <c r="B131" s="297" t="n">
        <f aca="false">B129*B130</f>
        <v>63196.2749196808</v>
      </c>
      <c r="C131" s="302"/>
      <c r="D131" s="302"/>
      <c r="E131" s="302"/>
      <c r="F131" s="302"/>
      <c r="G131" s="302"/>
    </row>
    <row r="132" customFormat="false" ht="15" hidden="false" customHeight="true" outlineLevel="0" collapsed="false">
      <c r="A132" s="298"/>
      <c r="B132" s="298"/>
      <c r="C132" s="298"/>
      <c r="D132" s="298"/>
      <c r="E132" s="298"/>
      <c r="F132" s="298"/>
      <c r="G132" s="298"/>
    </row>
    <row r="133" customFormat="false" ht="15" hidden="false" customHeight="true" outlineLevel="0" collapsed="false">
      <c r="A133" s="285" t="s">
        <v>1911</v>
      </c>
      <c r="B133" s="300" t="s">
        <v>78</v>
      </c>
      <c r="C133" s="300"/>
      <c r="D133" s="300"/>
      <c r="E133" s="300"/>
      <c r="F133" s="300"/>
      <c r="G133" s="300"/>
    </row>
    <row r="134" customFormat="false" ht="15" hidden="false" customHeight="true" outlineLevel="0" collapsed="false">
      <c r="A134" s="286" t="s">
        <v>1913</v>
      </c>
      <c r="B134" s="297" t="n">
        <f aca="false">SUM(C120:G120)</f>
        <v>24119.2637265714</v>
      </c>
      <c r="C134" s="302"/>
      <c r="D134" s="302"/>
      <c r="E134" s="302"/>
      <c r="F134" s="302"/>
      <c r="G134" s="302"/>
    </row>
    <row r="135" customFormat="false" ht="15" hidden="false" customHeight="true" outlineLevel="0" collapsed="false">
      <c r="A135" s="286" t="s">
        <v>1914</v>
      </c>
      <c r="B135" s="297" t="n">
        <f aca="false">B131</f>
        <v>63196.2749196808</v>
      </c>
      <c r="C135" s="302"/>
      <c r="D135" s="302"/>
      <c r="E135" s="302"/>
      <c r="F135" s="302"/>
      <c r="G135" s="302"/>
    </row>
    <row r="136" customFormat="false" ht="15" hidden="false" customHeight="true" outlineLevel="0" collapsed="false">
      <c r="A136" s="285" t="s">
        <v>1915</v>
      </c>
      <c r="B136" s="301" t="n">
        <f aca="false">B134+B135</f>
        <v>87315.5386462522</v>
      </c>
      <c r="C136" s="300"/>
      <c r="D136" s="300"/>
      <c r="E136" s="300"/>
      <c r="F136" s="300"/>
      <c r="G136" s="300"/>
    </row>
    <row r="137" customFormat="false" ht="15" hidden="false" customHeight="true" outlineLevel="0" collapsed="false">
      <c r="A137" s="286" t="s">
        <v>1461</v>
      </c>
      <c r="B137" s="295" t="n">
        <f aca="false">B135/B136</f>
        <v>0.723768940780546</v>
      </c>
      <c r="C137" s="302"/>
      <c r="D137" s="302"/>
      <c r="E137" s="302"/>
      <c r="F137" s="302"/>
      <c r="G137" s="302"/>
    </row>
    <row r="138" customFormat="false" ht="15" hidden="false" customHeight="true" outlineLevel="0" collapsed="false">
      <c r="A138" s="298"/>
      <c r="B138" s="298"/>
      <c r="C138" s="298"/>
      <c r="D138" s="298"/>
      <c r="E138" s="298"/>
      <c r="F138" s="298"/>
      <c r="G138" s="298"/>
    </row>
    <row r="139" customFormat="false" ht="15" hidden="false" customHeight="true" outlineLevel="0" collapsed="false">
      <c r="A139" s="285" t="s">
        <v>1916</v>
      </c>
      <c r="B139" s="300" t="s">
        <v>78</v>
      </c>
      <c r="C139" s="300"/>
      <c r="D139" s="300"/>
      <c r="E139" s="300"/>
      <c r="F139" s="300"/>
      <c r="G139" s="300"/>
    </row>
    <row r="140" customFormat="false" ht="15" hidden="false" customHeight="true" outlineLevel="0" collapsed="false">
      <c r="A140" s="286" t="s">
        <v>1915</v>
      </c>
      <c r="B140" s="297" t="n">
        <f aca="false">B136</f>
        <v>87315.5386462522</v>
      </c>
      <c r="C140" s="302"/>
      <c r="D140" s="302"/>
      <c r="E140" s="302"/>
      <c r="F140" s="302"/>
      <c r="G140" s="302"/>
    </row>
    <row r="141" customFormat="false" ht="15" hidden="false" customHeight="true" outlineLevel="0" collapsed="false">
      <c r="A141" s="286" t="s">
        <v>1502</v>
      </c>
      <c r="B141" s="297" t="n">
        <f aca="false">-B91</f>
        <v>-11500</v>
      </c>
      <c r="C141" s="302"/>
      <c r="D141" s="302"/>
      <c r="E141" s="302"/>
      <c r="F141" s="302"/>
      <c r="G141" s="302"/>
    </row>
    <row r="142" customFormat="false" ht="15" hidden="false" customHeight="true" outlineLevel="0" collapsed="false">
      <c r="A142" s="286" t="s">
        <v>1503</v>
      </c>
      <c r="B142" s="297" t="n">
        <f aca="false">-B92</f>
        <v>-12118</v>
      </c>
      <c r="C142" s="302"/>
      <c r="D142" s="302"/>
      <c r="E142" s="302"/>
      <c r="F142" s="302"/>
      <c r="G142" s="302"/>
    </row>
    <row r="143" customFormat="false" ht="15" hidden="false" customHeight="true" outlineLevel="0" collapsed="false">
      <c r="A143" s="286" t="s">
        <v>1504</v>
      </c>
      <c r="B143" s="297" t="n">
        <f aca="false">B84</f>
        <v>9295</v>
      </c>
      <c r="C143" s="302"/>
      <c r="D143" s="302"/>
      <c r="E143" s="302"/>
      <c r="F143" s="302"/>
      <c r="G143" s="302"/>
    </row>
    <row r="144" customFormat="false" ht="15" hidden="false" customHeight="true" outlineLevel="0" collapsed="false">
      <c r="A144" s="286" t="s">
        <v>1920</v>
      </c>
      <c r="B144" s="297" t="n">
        <f aca="false">-(B141+B142+B143)</f>
        <v>14323</v>
      </c>
      <c r="C144" s="302"/>
      <c r="D144" s="302"/>
      <c r="E144" s="302"/>
      <c r="F144" s="302"/>
      <c r="G144" s="302"/>
    </row>
    <row r="145" customFormat="false" ht="15" hidden="false" customHeight="true" outlineLevel="0" collapsed="false">
      <c r="A145" s="285" t="s">
        <v>1921</v>
      </c>
      <c r="B145" s="301" t="n">
        <f aca="false">SUM(B140:B143)</f>
        <v>72992.5386462522</v>
      </c>
      <c r="C145" s="300"/>
      <c r="D145" s="300"/>
      <c r="E145" s="300"/>
      <c r="F145" s="300"/>
      <c r="G145" s="300"/>
    </row>
    <row r="146" customFormat="false" ht="15" hidden="false" customHeight="true" outlineLevel="0" collapsed="false">
      <c r="A146" s="298"/>
      <c r="B146" s="298"/>
      <c r="C146" s="298"/>
      <c r="D146" s="298"/>
      <c r="E146" s="298"/>
      <c r="F146" s="298"/>
      <c r="G146" s="298"/>
    </row>
    <row r="147" customFormat="false" ht="15" hidden="false" customHeight="true" outlineLevel="0" collapsed="false">
      <c r="A147" s="285" t="s">
        <v>1922</v>
      </c>
      <c r="B147" s="300" t="s">
        <v>78</v>
      </c>
      <c r="C147" s="300"/>
      <c r="D147" s="300"/>
      <c r="E147" s="300"/>
      <c r="F147" s="300"/>
      <c r="G147" s="300"/>
    </row>
    <row r="148" customFormat="false" ht="15" hidden="false" customHeight="true" outlineLevel="0" collapsed="false">
      <c r="A148" s="286" t="s">
        <v>1924</v>
      </c>
      <c r="B148" s="297" t="n">
        <f aca="false">B145</f>
        <v>72992.5386462522</v>
      </c>
      <c r="C148" s="302"/>
      <c r="D148" s="302"/>
      <c r="E148" s="302"/>
      <c r="F148" s="302"/>
      <c r="G148" s="302"/>
    </row>
    <row r="149" customFormat="false" ht="15" hidden="false" customHeight="true" outlineLevel="0" collapsed="false">
      <c r="A149" s="286" t="s">
        <v>57</v>
      </c>
      <c r="B149" s="305" t="n">
        <f aca="false">Valuación!B40</f>
        <v>1800</v>
      </c>
      <c r="C149" s="302"/>
      <c r="D149" s="302"/>
      <c r="E149" s="302"/>
      <c r="F149" s="302"/>
      <c r="G149" s="302"/>
    </row>
    <row r="150" customFormat="false" ht="15" hidden="false" customHeight="true" outlineLevel="0" collapsed="false">
      <c r="A150" s="285" t="s">
        <v>1925</v>
      </c>
      <c r="B150" s="306" t="n">
        <f aca="false">B148/B149</f>
        <v>40.551410359029</v>
      </c>
      <c r="C150" s="300"/>
      <c r="D150" s="300"/>
      <c r="E150" s="300"/>
      <c r="F150" s="300"/>
      <c r="G150" s="300"/>
    </row>
    <row r="151" customFormat="false" ht="15" hidden="false" customHeight="true" outlineLevel="0" collapsed="false">
      <c r="A151" s="286" t="s">
        <v>16</v>
      </c>
      <c r="B151" s="307" t="n">
        <f aca="false">Valuación!B42</f>
        <v>33.1</v>
      </c>
      <c r="C151" s="302"/>
      <c r="D151" s="302"/>
      <c r="E151" s="302"/>
      <c r="F151" s="302"/>
      <c r="G151" s="302"/>
    </row>
    <row r="152" customFormat="false" ht="15" hidden="false" customHeight="true" outlineLevel="0" collapsed="false">
      <c r="A152" s="286" t="s">
        <v>17</v>
      </c>
      <c r="B152" s="295" t="n">
        <f aca="false">B150/B151-1</f>
        <v>0.225118137735014</v>
      </c>
      <c r="C152" s="302"/>
      <c r="D152" s="302"/>
      <c r="E152" s="302"/>
      <c r="F152" s="302"/>
      <c r="G152" s="302"/>
    </row>
    <row r="153" customFormat="false" ht="15" hidden="false" customHeight="true" outlineLevel="0" collapsed="false">
      <c r="A153" s="286" t="s">
        <v>1926</v>
      </c>
      <c r="B153" s="307" t="n">
        <f aca="false">'Proyección Soriana'!B85</f>
        <v>50.1939335833512</v>
      </c>
      <c r="C153" s="302"/>
      <c r="D153" s="302"/>
      <c r="E153" s="302"/>
      <c r="F153" s="302"/>
      <c r="G153" s="302"/>
    </row>
    <row r="154" customFormat="false" ht="15" hidden="false" customHeight="true" outlineLevel="0" collapsed="false">
      <c r="A154" s="286" t="s">
        <v>1927</v>
      </c>
      <c r="B154" s="295" t="n">
        <f aca="false">B150/B153-1</f>
        <v>-0.192105350904806</v>
      </c>
      <c r="C154" s="302"/>
      <c r="D154" s="302"/>
      <c r="E154" s="302"/>
      <c r="F154" s="302"/>
      <c r="G154" s="302"/>
    </row>
    <row r="155" customFormat="false" ht="15" hidden="false" customHeight="true" outlineLevel="0" collapsed="false">
      <c r="A155" s="286" t="s">
        <v>2698</v>
      </c>
      <c r="B155" s="295" t="n">
        <v>0.15</v>
      </c>
      <c r="C155" s="302"/>
      <c r="D155" s="302"/>
      <c r="E155" s="302"/>
      <c r="F155" s="302"/>
      <c r="G155" s="302"/>
    </row>
    <row r="156" customFormat="false" ht="15" hidden="false" customHeight="true" outlineLevel="0" collapsed="false">
      <c r="A156" s="285" t="s">
        <v>1929</v>
      </c>
      <c r="B156" s="300" t="str">
        <f aca="false">IF(B152&gt;B155,"COMPRAR",IF(B152&lt;-B155,"VENDER","MANTENER"))</f>
        <v>COMPRAR</v>
      </c>
      <c r="C156" s="300"/>
      <c r="D156" s="300"/>
      <c r="E156" s="300"/>
      <c r="F156" s="300"/>
      <c r="G156" s="300"/>
    </row>
    <row r="157" customFormat="false" ht="15" hidden="false" customHeight="true" outlineLevel="0" collapsed="false">
      <c r="A157" s="286" t="s">
        <v>1930</v>
      </c>
      <c r="B157" s="302" t="str">
        <f aca="false" t="array" ref="B157:B157">IF(SUMPRODUCT(ABS(B97:G97))&lt;1,"PASS","FAIL")</f>
        <v>PASS</v>
      </c>
      <c r="C157" s="302"/>
      <c r="D157" s="302"/>
      <c r="E157" s="302"/>
      <c r="F157" s="302"/>
      <c r="G157" s="302"/>
    </row>
    <row r="158" customFormat="false" ht="15" hidden="false" customHeight="true" outlineLevel="0" collapsed="false">
      <c r="A158" s="286" t="s">
        <v>1931</v>
      </c>
      <c r="B158" s="302" t="str">
        <f aca="false">IF(B126&gt;B123,"PASS","FAIL")</f>
        <v>PASS</v>
      </c>
      <c r="C158" s="302"/>
      <c r="D158" s="302"/>
      <c r="E158" s="302"/>
      <c r="F158" s="302"/>
      <c r="G158" s="302"/>
    </row>
    <row r="159" customFormat="false" ht="15" hidden="false" customHeight="true" outlineLevel="0" collapsed="false">
      <c r="A159" s="298"/>
      <c r="B159" s="298"/>
      <c r="C159" s="298"/>
      <c r="D159" s="298"/>
      <c r="E159" s="298"/>
      <c r="F159" s="298"/>
      <c r="G159" s="298"/>
    </row>
    <row r="160" customFormat="false" ht="15" hidden="false" customHeight="true" outlineLevel="0" collapsed="false">
      <c r="A160" s="285" t="s">
        <v>1932</v>
      </c>
      <c r="B160" s="300"/>
      <c r="C160" s="300"/>
      <c r="D160" s="300"/>
      <c r="E160" s="300"/>
      <c r="F160" s="300"/>
      <c r="G160" s="300"/>
    </row>
    <row r="161" customFormat="false" ht="15" hidden="false" customHeight="true" outlineLevel="0" collapsed="false">
      <c r="A161" s="286" t="s">
        <v>1934</v>
      </c>
      <c r="B161" s="296" t="n">
        <v>0.005</v>
      </c>
      <c r="C161" s="302"/>
      <c r="D161" s="302"/>
      <c r="E161" s="302"/>
      <c r="F161" s="302"/>
      <c r="G161" s="302"/>
    </row>
    <row r="162" customFormat="false" ht="15" hidden="false" customHeight="true" outlineLevel="0" collapsed="false">
      <c r="A162" s="285" t="s">
        <v>2699</v>
      </c>
      <c r="B162" s="338" t="n">
        <f aca="false">$B$123-2*$B$161</f>
        <v>0.02</v>
      </c>
      <c r="C162" s="338" t="n">
        <f aca="false">B162+$B$161</f>
        <v>0.025</v>
      </c>
      <c r="D162" s="338" t="n">
        <f aca="false">C162+$B$161</f>
        <v>0.03</v>
      </c>
      <c r="E162" s="338" t="n">
        <f aca="false">D162+$B$161</f>
        <v>0.035</v>
      </c>
      <c r="F162" s="338" t="n">
        <f aca="false">E162+$B$161</f>
        <v>0.04</v>
      </c>
      <c r="G162" s="300"/>
    </row>
    <row r="163" customFormat="false" ht="15" hidden="false" customHeight="true" outlineLevel="0" collapsed="false">
      <c r="A163" s="338" t="n">
        <f aca="false">$B$126-2*$B$161</f>
        <v>0.0860150734782619</v>
      </c>
      <c r="B163" s="307" t="n">
        <f aca="false">IF($A163&lt;=B$162,"n.a.",(($B$243*(SUMPRODUCT($C$117:$G$117,(1+$A163)^(-$C$118:$G$118))+$G$117*(1+B$162)/($A163-B$162)*(1+$A163)^-5)+$B$244*(SUMPRODUCT($C$117:$G$117,(1+$A163)^(-$C$118:$G$118))+$B$236*(1+$A163)^-5))*(1+$A163)^$B$253+$B$257+$B$259+$B$260+$B$261)*(1+$B$221)^$B$254/$B$264)</f>
        <v>39.2088648459004</v>
      </c>
      <c r="C163" s="307" t="n">
        <f aca="false">IF($A163&lt;=C$162,"n.a.",(($B$243*(SUMPRODUCT($C$117:$G$117,(1+$A163)^(-$C$118:$G$118))+$G$117*(1+C$162)/($A163-C$162)*(1+$A163)^-5)+$B$244*(SUMPRODUCT($C$117:$G$117,(1+$A163)^(-$C$118:$G$118))+$B$236*(1+$A163)^-5))*(1+$A163)^$B$253+$B$257+$B$259+$B$260+$B$261)*(1+$B$221)^$B$254/$B$264)</f>
        <v>40.9083770585804</v>
      </c>
      <c r="D163" s="307" t="n">
        <f aca="false">IF($A163&lt;=D$162,"n.a.",(($B$243*(SUMPRODUCT($C$117:$G$117,(1+$A163)^(-$C$118:$G$118))+$G$117*(1+D$162)/($A163-D$162)*(1+$A163)^-5)+$B$244*(SUMPRODUCT($C$117:$G$117,(1+$A163)^(-$C$118:$G$118))+$B$236*(1+$A163)^-5))*(1+$A163)^$B$253+$B$257+$B$259+$B$260+$B$261)*(1+$B$221)^$B$254/$B$264)</f>
        <v>42.9112919282862</v>
      </c>
      <c r="E163" s="307" t="n">
        <f aca="false">IF($A163&lt;=E$162,"n.a.",(($B$243*(SUMPRODUCT($C$117:$G$117,(1+$A163)^(-$C$118:$G$118))+$G$117*(1+E$162)/($A163-E$162)*(1+$A163)^-5)+$B$244*(SUMPRODUCT($C$117:$G$117,(1+$A163)^(-$C$118:$G$118))+$B$236*(1+$A163)^-5))*(1+$A163)^$B$253+$B$257+$B$259+$B$260+$B$261)*(1+$B$221)^$B$254/$B$264)</f>
        <v>45.306819163935</v>
      </c>
      <c r="F163" s="307" t="n">
        <f aca="false">IF($A163&lt;=F$162,"n.a.",(($B$243*(SUMPRODUCT($C$117:$G$117,(1+$A163)^(-$C$118:$G$118))+$G$117*(1+F$162)/($A163-F$162)*(1+$A163)^-5)+$B$244*(SUMPRODUCT($C$117:$G$117,(1+$A163)^(-$C$118:$G$118))+$B$236*(1+$A163)^-5))*(1+$A163)^$B$253+$B$257+$B$259+$B$260+$B$261)*(1+$B$221)^$B$254/$B$264)</f>
        <v>48.2229425987359</v>
      </c>
      <c r="G163" s="302"/>
    </row>
    <row r="164" customFormat="false" ht="15" hidden="false" customHeight="true" outlineLevel="0" collapsed="false">
      <c r="A164" s="338" t="n">
        <f aca="false">A163+$B$161</f>
        <v>0.0910150734782619</v>
      </c>
      <c r="B164" s="307" t="n">
        <f aca="false">IF($A164&lt;=B$162,"n.a.",(($B$243*(SUMPRODUCT($C$117:$G$117,(1+$A164)^(-$C$118:$G$118))+$G$117*(1+B$162)/($A164-B$162)*(1+$A164)^-5)+$B$244*(SUMPRODUCT($C$117:$G$117,(1+$A164)^(-$C$118:$G$118))+$B$236*(1+$A164)^-5))*(1+$A164)^$B$253+$B$257+$B$259+$B$260+$B$261)*(1+$B$221)^$B$254/$B$264)</f>
        <v>37.0217323449431</v>
      </c>
      <c r="C164" s="307" t="n">
        <f aca="false">IF($A164&lt;=C$162,"n.a.",(($B$243*(SUMPRODUCT($C$117:$G$117,(1+$A164)^(-$C$118:$G$118))+$G$117*(1+C$162)/($A164-C$162)*(1+$A164)^-5)+$B$244*(SUMPRODUCT($C$117:$G$117,(1+$A164)^(-$C$118:$G$118))+$B$236*(1+$A164)^-5))*(1+$A164)^$B$253+$B$257+$B$259+$B$260+$B$261)*(1+$B$221)^$B$254/$B$264)</f>
        <v>38.4586396267314</v>
      </c>
      <c r="D164" s="307" t="n">
        <f aca="false">IF($A164&lt;=D$162,"n.a.",(($B$243*(SUMPRODUCT($C$117:$G$117,(1+$A164)^(-$C$118:$G$118))+$G$117*(1+D$162)/($A164-D$162)*(1+$A164)^-5)+$B$244*(SUMPRODUCT($C$117:$G$117,(1+$A164)^(-$C$118:$G$118))+$B$236*(1+$A164)^-5))*(1+$A164)^$B$253+$B$257+$B$259+$B$260+$B$261)*(1+$B$221)^$B$254/$B$264)</f>
        <v>40.1310472857012</v>
      </c>
      <c r="E164" s="307" t="n">
        <f aca="false">IF($A164&lt;=E$162,"n.a.",(($B$243*(SUMPRODUCT($C$117:$G$117,(1+$A164)^(-$C$118:$G$118))+$G$117*(1+E$162)/($A164-E$162)*(1+$A164)^-5)+$B$244*(SUMPRODUCT($C$117:$G$117,(1+$A164)^(-$C$118:$G$118))+$B$236*(1+$A164)^-5))*(1+$A164)^$B$253+$B$257+$B$259+$B$260+$B$261)*(1+$B$221)^$B$254/$B$264)</f>
        <v>42.1020188052751</v>
      </c>
      <c r="F164" s="307" t="n">
        <f aca="false">IF($A164&lt;=F$162,"n.a.",(($B$243*(SUMPRODUCT($C$117:$G$117,(1+$A164)^(-$C$118:$G$118))+$G$117*(1+F$162)/($A164-F$162)*(1+$A164)^-5)+$B$244*(SUMPRODUCT($C$117:$G$117,(1+$A164)^(-$C$118:$G$118))+$B$236*(1+$A164)^-5))*(1+$A164)^$B$253+$B$257+$B$259+$B$260+$B$261)*(1+$B$221)^$B$254/$B$264)</f>
        <v>44.4593411394595</v>
      </c>
      <c r="G164" s="302"/>
    </row>
    <row r="165" customFormat="false" ht="15" hidden="false" customHeight="true" outlineLevel="0" collapsed="false">
      <c r="A165" s="338" t="n">
        <f aca="false">A164+$B$161</f>
        <v>0.0960150734782619</v>
      </c>
      <c r="B165" s="307" t="n">
        <f aca="false">IF($A165&lt;=B$162,"n.a.",(($B$243*(SUMPRODUCT($C$117:$G$117,(1+$A165)^(-$C$118:$G$118))+$G$117*(1+B$162)/($A165-B$162)*(1+$A165)^-5)+$B$244*(SUMPRODUCT($C$117:$G$117,(1+$A165)^(-$C$118:$G$118))+$B$236*(1+$A165)^-5))*(1+$A165)^$B$253+$B$257+$B$259+$B$260+$B$261)*(1+$B$221)^$B$254/$B$264)</f>
        <v>35.082511369954</v>
      </c>
      <c r="C165" s="307" t="n">
        <f aca="false">IF($A165&lt;=C$162,"n.a.",(($B$243*(SUMPRODUCT($C$117:$G$117,(1+$A165)^(-$C$118:$G$118))+$G$117*(1+C$162)/($A165-C$162)*(1+$A165)^-5)+$B$244*(SUMPRODUCT($C$117:$G$117,(1+$A165)^(-$C$118:$G$118))+$B$236*(1+$A165)^-5))*(1+$A165)^$B$253+$B$257+$B$259+$B$260+$B$261)*(1+$B$221)^$B$254/$B$264)</f>
        <v>36.310577971218</v>
      </c>
      <c r="D165" s="327" t="n">
        <f aca="false">IF($A165&lt;=D$162,"n.a.",(($B$243*(SUMPRODUCT($C$117:$G$117,(1+$A165)^(-$C$118:$G$118))+$G$117*(1+D$162)/($A165-D$162)*(1+$A165)^-5)+$B$244*(SUMPRODUCT($C$117:$G$117,(1+$A165)^(-$C$118:$G$118))+$B$236*(1+$A165)^-5))*(1+$A165)^$B$253+$B$257+$B$259+$B$260+$B$261)*(1+$B$221)^$B$254/$B$264)</f>
        <v>37.724672783398</v>
      </c>
      <c r="E165" s="307" t="n">
        <f aca="false">IF($A165&lt;=E$162,"n.a.",(($B$243*(SUMPRODUCT($C$117:$G$117,(1+$A165)^(-$C$118:$G$118))+$G$117*(1+E$162)/($A165-E$162)*(1+$A165)^-5)+$B$244*(SUMPRODUCT($C$117:$G$117,(1+$A165)^(-$C$118:$G$118))+$B$236*(1+$A165)^-5))*(1+$A165)^$B$253+$B$257+$B$259+$B$260+$B$261)*(1+$B$221)^$B$254/$B$264)</f>
        <v>39.3705291475302</v>
      </c>
      <c r="F165" s="307" t="n">
        <f aca="false">IF($A165&lt;=F$162,"n.a.",(($B$243*(SUMPRODUCT($C$117:$G$117,(1+$A165)^(-$C$118:$G$118))+$G$117*(1+F$162)/($A165-F$162)*(1+$A165)^-5)+$B$244*(SUMPRODUCT($C$117:$G$117,(1+$A165)^(-$C$118:$G$118))+$B$236*(1+$A165)^-5))*(1+$A165)^$B$253+$B$257+$B$259+$B$260+$B$261)*(1+$B$221)^$B$254/$B$264)</f>
        <v>41.3102093454865</v>
      </c>
      <c r="G165" s="302"/>
    </row>
    <row r="166" customFormat="false" ht="15" hidden="false" customHeight="true" outlineLevel="0" collapsed="false">
      <c r="A166" s="338" t="n">
        <f aca="false">A165+$B$161</f>
        <v>0.101015073478262</v>
      </c>
      <c r="B166" s="307" t="n">
        <f aca="false">IF($A166&lt;=B$162,"n.a.",(($B$243*(SUMPRODUCT($C$117:$G$117,(1+$A166)^(-$C$118:$G$118))+$G$117*(1+B$162)/($A166-B$162)*(1+$A166)^-5)+$B$244*(SUMPRODUCT($C$117:$G$117,(1+$A166)^(-$C$118:$G$118))+$B$236*(1+$A166)^-5))*(1+$A166)^$B$253+$B$257+$B$259+$B$260+$B$261)*(1+$B$221)^$B$254/$B$264)</f>
        <v>33.3466591826318</v>
      </c>
      <c r="C166" s="307" t="n">
        <f aca="false">IF($A166&lt;=C$162,"n.a.",(($B$243*(SUMPRODUCT($C$117:$G$117,(1+$A166)^(-$C$118:$G$118))+$G$117*(1+C$162)/($A166-C$162)*(1+$A166)^-5)+$B$244*(SUMPRODUCT($C$117:$G$117,(1+$A166)^(-$C$118:$G$118))+$B$236*(1+$A166)^-5))*(1+$A166)^$B$253+$B$257+$B$259+$B$260+$B$261)*(1+$B$221)^$B$254/$B$264)</f>
        <v>34.4061276828596</v>
      </c>
      <c r="D166" s="307" t="n">
        <f aca="false">IF($A166&lt;=D$162,"n.a.",(($B$243*(SUMPRODUCT($C$117:$G$117,(1+$A166)^(-$C$118:$G$118))+$G$117*(1+D$162)/($A166-D$162)*(1+$A166)^-5)+$B$244*(SUMPRODUCT($C$117:$G$117,(1+$A166)^(-$C$118:$G$118))+$B$236*(1+$A166)^-5))*(1+$A166)^$B$253+$B$257+$B$259+$B$260+$B$261)*(1+$B$221)^$B$254/$B$264)</f>
        <v>35.6147854253616</v>
      </c>
      <c r="E166" s="307" t="n">
        <f aca="false">IF($A166&lt;=E$162,"n.a.",(($B$243*(SUMPRODUCT($C$117:$G$117,(1+$A166)^(-$C$118:$G$118))+$G$117*(1+E$162)/($A166-E$162)*(1+$A166)^-5)+$B$244*(SUMPRODUCT($C$117:$G$117,(1+$A166)^(-$C$118:$G$118))+$B$236*(1+$A166)^-5))*(1+$A166)^$B$253+$B$257+$B$259+$B$260+$B$261)*(1+$B$221)^$B$254/$B$264)</f>
        <v>37.0065313140732</v>
      </c>
      <c r="F166" s="307" t="n">
        <f aca="false">IF($A166&lt;=F$162,"n.a.",(($B$243*(SUMPRODUCT($C$117:$G$117,(1+$A166)^(-$C$118:$G$118))+$G$117*(1+F$162)/($A166-F$162)*(1+$A166)^-5)+$B$244*(SUMPRODUCT($C$117:$G$117,(1+$A166)^(-$C$118:$G$118))+$B$236*(1+$A166)^-5))*(1+$A166)^$B$253+$B$257+$B$259+$B$260+$B$261)*(1+$B$221)^$B$254/$B$264)</f>
        <v>38.626375901905</v>
      </c>
      <c r="G166" s="302"/>
    </row>
    <row r="167" customFormat="false" ht="15" hidden="false" customHeight="true" outlineLevel="0" collapsed="false">
      <c r="A167" s="338" t="n">
        <f aca="false">A166+$B$161</f>
        <v>0.106015073478262</v>
      </c>
      <c r="B167" s="307" t="n">
        <f aca="false">IF($A167&lt;=B$162,"n.a.",(($B$243*(SUMPRODUCT($C$117:$G$117,(1+$A167)^(-$C$118:$G$118))+$G$117*(1+B$162)/($A167-B$162)*(1+$A167)^-5)+$B$244*(SUMPRODUCT($C$117:$G$117,(1+$A167)^(-$C$118:$G$118))+$B$236*(1+$A167)^-5))*(1+$A167)^$B$253+$B$257+$B$259+$B$260+$B$261)*(1+$B$221)^$B$254/$B$264)</f>
        <v>31.7799407386989</v>
      </c>
      <c r="C167" s="307" t="n">
        <f aca="false">IF($A167&lt;=C$162,"n.a.",(($B$243*(SUMPRODUCT($C$117:$G$117,(1+$A167)^(-$C$118:$G$118))+$G$117*(1+C$162)/($A167-C$162)*(1+$A167)^-5)+$B$244*(SUMPRODUCT($C$117:$G$117,(1+$A167)^(-$C$118:$G$118))+$B$236*(1+$A167)^-5))*(1+$A167)^$B$253+$B$257+$B$259+$B$260+$B$261)*(1+$B$221)^$B$254/$B$264)</f>
        <v>32.701505733642</v>
      </c>
      <c r="D167" s="307" t="n">
        <f aca="false">IF($A167&lt;=D$162,"n.a.",(($B$243*(SUMPRODUCT($C$117:$G$117,(1+$A167)^(-$C$118:$G$118))+$G$117*(1+D$162)/($A167-D$162)*(1+$A167)^-5)+$B$244*(SUMPRODUCT($C$117:$G$117,(1+$A167)^(-$C$118:$G$118))+$B$236*(1+$A167)^-5))*(1+$A167)^$B$253+$B$257+$B$259+$B$260+$B$261)*(1+$B$221)^$B$254/$B$264)</f>
        <v>33.7443052354762</v>
      </c>
      <c r="E167" s="307" t="n">
        <f aca="false">IF($A167&lt;=E$162,"n.a.",(($B$243*(SUMPRODUCT($C$117:$G$117,(1+$A167)^(-$C$118:$G$118))+$G$117*(1+E$162)/($A167-E$162)*(1+$A167)^-5)+$B$244*(SUMPRODUCT($C$117:$G$117,(1+$A167)^(-$C$118:$G$118))+$B$236*(1+$A167)^-5))*(1+$A167)^$B$253+$B$257+$B$259+$B$260+$B$261)*(1+$B$221)^$B$254/$B$264)</f>
        <v>34.9339467316588</v>
      </c>
      <c r="F167" s="307" t="n">
        <f aca="false">IF($A167&lt;=F$162,"n.a.",(($B$243*(SUMPRODUCT($C$117:$G$117,(1+$A167)^(-$C$118:$G$118))+$G$117*(1+F$162)/($A167-F$162)*(1+$A167)^-5)+$B$244*(SUMPRODUCT($C$117:$G$117,(1+$A167)^(-$C$118:$G$118))+$B$236*(1+$A167)^-5))*(1+$A167)^$B$253+$B$257+$B$259+$B$260+$B$261)*(1+$B$221)^$B$254/$B$264)</f>
        <v>36.3037957824954</v>
      </c>
      <c r="G167" s="302"/>
    </row>
    <row r="168" customFormat="false" ht="15" hidden="false" customHeight="true" outlineLevel="0" collapsed="false">
      <c r="A168" s="302" t="s">
        <v>1936</v>
      </c>
      <c r="B168" s="337" t="n">
        <f aca="false">D165-B265</f>
        <v>0</v>
      </c>
      <c r="C168" s="302"/>
      <c r="D168" s="302"/>
      <c r="E168" s="302"/>
      <c r="F168" s="302"/>
      <c r="G168" s="302"/>
    </row>
    <row r="169" customFormat="false" ht="15" hidden="false" customHeight="true" outlineLevel="0" collapsed="false">
      <c r="A169" s="298"/>
      <c r="B169" s="298"/>
      <c r="C169" s="298"/>
      <c r="D169" s="298"/>
      <c r="E169" s="298"/>
      <c r="F169" s="298"/>
      <c r="G169" s="298"/>
    </row>
    <row r="170" customFormat="false" ht="15" hidden="false" customHeight="true" outlineLevel="0" collapsed="false">
      <c r="A170" s="285" t="s">
        <v>1937</v>
      </c>
      <c r="B170" s="285" t="s">
        <v>1749</v>
      </c>
      <c r="C170" s="285" t="s">
        <v>1938</v>
      </c>
      <c r="D170" s="285" t="s">
        <v>1719</v>
      </c>
      <c r="E170" s="285" t="s">
        <v>1939</v>
      </c>
      <c r="F170" s="285" t="s">
        <v>1940</v>
      </c>
      <c r="G170" s="285" t="s">
        <v>1941</v>
      </c>
    </row>
    <row r="171" customFormat="false" ht="15" hidden="false" customHeight="false" outlineLevel="0" collapsed="false">
      <c r="A171" s="286" t="s">
        <v>1942</v>
      </c>
      <c r="B171" s="286" t="s">
        <v>1757</v>
      </c>
      <c r="C171" s="286" t="n">
        <v>4</v>
      </c>
      <c r="D171" s="286" t="s">
        <v>1943</v>
      </c>
      <c r="E171" s="286" t="s">
        <v>1944</v>
      </c>
      <c r="F171" s="286" t="s">
        <v>1442</v>
      </c>
      <c r="G171" s="286" t="n">
        <v>11</v>
      </c>
    </row>
    <row r="172" customFormat="false" ht="15" hidden="false" customHeight="false" outlineLevel="0" collapsed="false">
      <c r="A172" s="286" t="s">
        <v>1945</v>
      </c>
      <c r="B172" s="286" t="s">
        <v>1781</v>
      </c>
      <c r="C172" s="286" t="n">
        <v>3</v>
      </c>
      <c r="D172" s="286" t="s">
        <v>1943</v>
      </c>
      <c r="E172" s="286" t="s">
        <v>1944</v>
      </c>
      <c r="F172" s="286" t="s">
        <v>1761</v>
      </c>
      <c r="G172" s="286" t="n">
        <v>10</v>
      </c>
    </row>
    <row r="173" customFormat="false" ht="15" hidden="false" customHeight="false" outlineLevel="0" collapsed="false">
      <c r="A173" s="286" t="s">
        <v>1946</v>
      </c>
      <c r="B173" s="286" t="s">
        <v>1772</v>
      </c>
      <c r="C173" s="286" t="n">
        <v>5</v>
      </c>
      <c r="D173" s="286" t="s">
        <v>1943</v>
      </c>
      <c r="E173" s="286" t="s">
        <v>1948</v>
      </c>
      <c r="F173" s="286" t="s">
        <v>1442</v>
      </c>
      <c r="G173" s="286" t="n">
        <v>13</v>
      </c>
    </row>
    <row r="174" customFormat="false" ht="15" hidden="false" customHeight="false" outlineLevel="0" collapsed="false">
      <c r="A174" s="286" t="s">
        <v>1949</v>
      </c>
      <c r="B174" s="286" t="s">
        <v>1757</v>
      </c>
      <c r="C174" s="286" t="n">
        <v>3</v>
      </c>
      <c r="D174" s="286" t="s">
        <v>1950</v>
      </c>
      <c r="E174" s="286" t="s">
        <v>1944</v>
      </c>
      <c r="F174" s="286" t="s">
        <v>1442</v>
      </c>
      <c r="G174" s="286" t="n">
        <v>13</v>
      </c>
    </row>
    <row r="175" customFormat="false" ht="15" hidden="false" customHeight="false" outlineLevel="0" collapsed="false">
      <c r="A175" s="286" t="s">
        <v>1951</v>
      </c>
      <c r="B175" s="286" t="s">
        <v>1772</v>
      </c>
      <c r="C175" s="286" t="n">
        <v>3</v>
      </c>
      <c r="D175" s="286" t="s">
        <v>1950</v>
      </c>
      <c r="E175" s="286" t="s">
        <v>1948</v>
      </c>
      <c r="F175" s="286" t="s">
        <v>1442</v>
      </c>
      <c r="G175" s="286" t="n">
        <v>17</v>
      </c>
    </row>
    <row r="176" customFormat="false" ht="15" hidden="false" customHeight="false" outlineLevel="0" collapsed="false">
      <c r="A176" s="286" t="s">
        <v>1952</v>
      </c>
      <c r="B176" s="286" t="s">
        <v>1772</v>
      </c>
      <c r="C176" s="286" t="n">
        <v>3</v>
      </c>
      <c r="D176" s="286" t="s">
        <v>1943</v>
      </c>
      <c r="E176" s="286" t="s">
        <v>1944</v>
      </c>
      <c r="F176" s="286" t="s">
        <v>1953</v>
      </c>
      <c r="G176" s="286" t="s">
        <v>1954</v>
      </c>
    </row>
    <row r="177" customFormat="false" ht="15" hidden="false" customHeight="false" outlineLevel="0" collapsed="false">
      <c r="A177" s="286" t="s">
        <v>1955</v>
      </c>
      <c r="B177" s="286" t="s">
        <v>1772</v>
      </c>
      <c r="C177" s="286" t="n">
        <v>3</v>
      </c>
      <c r="D177" s="286" t="s">
        <v>1943</v>
      </c>
      <c r="E177" s="286" t="s">
        <v>1948</v>
      </c>
      <c r="F177" s="286" t="s">
        <v>1956</v>
      </c>
      <c r="G177" s="286" t="n">
        <v>125</v>
      </c>
    </row>
    <row r="178" customFormat="false" ht="15" hidden="false" customHeight="false" outlineLevel="0" collapsed="false">
      <c r="A178" s="286" t="s">
        <v>1957</v>
      </c>
      <c r="B178" s="286" t="s">
        <v>1772</v>
      </c>
      <c r="C178" s="286" t="n">
        <v>3</v>
      </c>
      <c r="D178" s="286" t="s">
        <v>1950</v>
      </c>
      <c r="E178" s="286" t="s">
        <v>1948</v>
      </c>
      <c r="F178" s="286" t="s">
        <v>1771</v>
      </c>
      <c r="G178" s="286" t="n">
        <v>35</v>
      </c>
    </row>
    <row r="179" customFormat="false" ht="15" hidden="false" customHeight="false" outlineLevel="0" collapsed="false">
      <c r="A179" s="286" t="s">
        <v>1958</v>
      </c>
      <c r="B179" s="286" t="s">
        <v>1772</v>
      </c>
      <c r="C179" s="286" t="n">
        <v>2</v>
      </c>
      <c r="D179" s="286" t="s">
        <v>1950</v>
      </c>
      <c r="E179" s="286" t="s">
        <v>1959</v>
      </c>
      <c r="F179" s="286" t="s">
        <v>5</v>
      </c>
      <c r="G179" s="286" t="n">
        <v>125</v>
      </c>
    </row>
    <row r="180" customFormat="false" ht="15" hidden="false" customHeight="false" outlineLevel="0" collapsed="false">
      <c r="A180" s="286" t="s">
        <v>1960</v>
      </c>
      <c r="B180" s="286" t="s">
        <v>1772</v>
      </c>
      <c r="C180" s="286" t="n">
        <v>4</v>
      </c>
      <c r="D180" s="286" t="s">
        <v>1943</v>
      </c>
      <c r="E180" s="286" t="s">
        <v>1959</v>
      </c>
      <c r="F180" s="286" t="s">
        <v>1442</v>
      </c>
      <c r="G180" s="286" t="n">
        <v>18</v>
      </c>
    </row>
    <row r="181" customFormat="false" ht="15" hidden="false" customHeight="false" outlineLevel="0" collapsed="false">
      <c r="A181" s="286" t="s">
        <v>1961</v>
      </c>
      <c r="B181" s="286" t="s">
        <v>1772</v>
      </c>
      <c r="C181" s="286" t="n">
        <v>3</v>
      </c>
      <c r="D181" s="286" t="s">
        <v>1943</v>
      </c>
      <c r="E181" s="286" t="s">
        <v>1944</v>
      </c>
      <c r="F181" s="286" t="s">
        <v>1442</v>
      </c>
      <c r="G181" s="286" t="n">
        <v>18</v>
      </c>
    </row>
    <row r="182" customFormat="false" ht="15" hidden="false" customHeight="false" outlineLevel="0" collapsed="false">
      <c r="A182" s="286" t="s">
        <v>1962</v>
      </c>
      <c r="B182" s="286" t="s">
        <v>1772</v>
      </c>
      <c r="C182" s="286" t="n">
        <v>2</v>
      </c>
      <c r="D182" s="286" t="s">
        <v>1943</v>
      </c>
      <c r="E182" s="286" t="s">
        <v>1948</v>
      </c>
      <c r="F182" s="286" t="s">
        <v>1771</v>
      </c>
      <c r="G182" s="286" t="n">
        <v>35</v>
      </c>
    </row>
    <row r="183" customFormat="false" ht="15" hidden="false" customHeight="false" outlineLevel="0" collapsed="false">
      <c r="A183" s="286" t="s">
        <v>1963</v>
      </c>
      <c r="B183" s="286" t="s">
        <v>1781</v>
      </c>
      <c r="C183" s="286" t="n">
        <v>4</v>
      </c>
      <c r="D183" s="286" t="s">
        <v>1943</v>
      </c>
      <c r="E183" s="286" t="s">
        <v>1964</v>
      </c>
      <c r="F183" s="286" t="s">
        <v>1965</v>
      </c>
      <c r="G183" s="286" t="s">
        <v>1966</v>
      </c>
    </row>
    <row r="184" customFormat="false" ht="15" hidden="false" customHeight="false" outlineLevel="0" collapsed="false">
      <c r="A184" s="286" t="s">
        <v>1967</v>
      </c>
      <c r="B184" s="286" t="s">
        <v>1772</v>
      </c>
      <c r="C184" s="286" t="n">
        <v>3</v>
      </c>
      <c r="D184" s="286" t="s">
        <v>1943</v>
      </c>
      <c r="E184" s="286" t="s">
        <v>1959</v>
      </c>
      <c r="F184" s="286" t="s">
        <v>1785</v>
      </c>
      <c r="G184" s="286" t="n">
        <v>33</v>
      </c>
    </row>
    <row r="185" customFormat="false" ht="15" hidden="false" customHeight="false" outlineLevel="0" collapsed="false">
      <c r="A185" s="286" t="s">
        <v>1968</v>
      </c>
      <c r="B185" s="286" t="s">
        <v>1772</v>
      </c>
      <c r="C185" s="286" t="n">
        <v>2</v>
      </c>
      <c r="D185" s="286" t="s">
        <v>1950</v>
      </c>
      <c r="E185" s="286" t="s">
        <v>1944</v>
      </c>
      <c r="F185" s="286" t="s">
        <v>1442</v>
      </c>
      <c r="G185" s="286" t="n">
        <v>21</v>
      </c>
    </row>
    <row r="186" customFormat="false" ht="15" hidden="false" customHeight="false" outlineLevel="0" collapsed="false">
      <c r="A186" s="286" t="s">
        <v>1969</v>
      </c>
      <c r="B186" s="286" t="s">
        <v>1772</v>
      </c>
      <c r="C186" s="286" t="n">
        <v>2</v>
      </c>
      <c r="D186" s="286" t="s">
        <v>1950</v>
      </c>
      <c r="E186" s="286" t="s">
        <v>1959</v>
      </c>
      <c r="F186" s="286" t="s">
        <v>1439</v>
      </c>
      <c r="G186" s="286" t="n">
        <v>52</v>
      </c>
    </row>
    <row r="187" customFormat="false" ht="15" hidden="false" customHeight="false" outlineLevel="0" collapsed="false">
      <c r="A187" s="286" t="s">
        <v>1970</v>
      </c>
      <c r="B187" s="286" t="s">
        <v>1757</v>
      </c>
      <c r="C187" s="286" t="n">
        <v>3</v>
      </c>
      <c r="D187" s="286" t="s">
        <v>1943</v>
      </c>
      <c r="E187" s="286" t="s">
        <v>1959</v>
      </c>
      <c r="F187" s="286" t="s">
        <v>1442</v>
      </c>
      <c r="G187" s="286" t="n">
        <v>19</v>
      </c>
    </row>
    <row r="188" customFormat="false" ht="15" hidden="false" customHeight="false" outlineLevel="0" collapsed="false">
      <c r="A188" s="286" t="s">
        <v>1971</v>
      </c>
      <c r="B188" s="286" t="s">
        <v>1772</v>
      </c>
      <c r="C188" s="286" t="n">
        <v>3</v>
      </c>
      <c r="D188" s="286" t="s">
        <v>1943</v>
      </c>
      <c r="E188" s="286" t="s">
        <v>1948</v>
      </c>
      <c r="F188" s="286" t="s">
        <v>1972</v>
      </c>
      <c r="G188" s="286" t="n">
        <v>34</v>
      </c>
    </row>
    <row r="189" customFormat="false" ht="15" hidden="false" customHeight="false" outlineLevel="0" collapsed="false">
      <c r="A189" s="286" t="s">
        <v>1973</v>
      </c>
      <c r="B189" s="286" t="s">
        <v>1772</v>
      </c>
      <c r="C189" s="286" t="n">
        <v>5</v>
      </c>
      <c r="D189" s="286" t="s">
        <v>1943</v>
      </c>
      <c r="E189" s="286" t="s">
        <v>1948</v>
      </c>
      <c r="F189" s="286" t="s">
        <v>1442</v>
      </c>
      <c r="G189" s="286" t="n">
        <v>15</v>
      </c>
    </row>
    <row r="190" customFormat="false" ht="15" hidden="false" customHeight="false" outlineLevel="0" collapsed="false">
      <c r="A190" s="286" t="s">
        <v>1974</v>
      </c>
      <c r="B190" s="286" t="s">
        <v>1772</v>
      </c>
      <c r="C190" s="286" t="n">
        <v>5</v>
      </c>
      <c r="D190" s="286" t="s">
        <v>1943</v>
      </c>
      <c r="E190" s="286" t="s">
        <v>1964</v>
      </c>
      <c r="F190" s="286" t="s">
        <v>1975</v>
      </c>
      <c r="G190" s="286" t="s">
        <v>1976</v>
      </c>
    </row>
    <row r="191" customFormat="false" ht="15" hidden="false" customHeight="false" outlineLevel="0" collapsed="false">
      <c r="A191" s="286" t="s">
        <v>1977</v>
      </c>
      <c r="B191" s="286" t="s">
        <v>1781</v>
      </c>
      <c r="C191" s="286" t="n">
        <v>4</v>
      </c>
      <c r="D191" s="286" t="s">
        <v>1943</v>
      </c>
      <c r="E191" s="286" t="s">
        <v>1978</v>
      </c>
      <c r="F191" s="286" t="s">
        <v>1979</v>
      </c>
      <c r="G191" s="286" t="s">
        <v>1980</v>
      </c>
    </row>
    <row r="192" customFormat="false" ht="15" hidden="false" customHeight="false" outlineLevel="0" collapsed="false">
      <c r="A192" s="286" t="s">
        <v>1981</v>
      </c>
      <c r="B192" s="286" t="s">
        <v>1781</v>
      </c>
      <c r="C192" s="286" t="n">
        <v>3</v>
      </c>
      <c r="D192" s="286" t="s">
        <v>1943</v>
      </c>
      <c r="E192" s="286" t="s">
        <v>1959</v>
      </c>
      <c r="F192" s="286" t="s">
        <v>1975</v>
      </c>
      <c r="G192" s="286" t="n">
        <v>16</v>
      </c>
    </row>
    <row r="193" customFormat="false" ht="15" hidden="false" customHeight="false" outlineLevel="0" collapsed="false">
      <c r="A193" s="286" t="s">
        <v>1982</v>
      </c>
      <c r="B193" s="286" t="s">
        <v>1781</v>
      </c>
      <c r="C193" s="286" t="n">
        <v>2</v>
      </c>
      <c r="D193" s="286" t="s">
        <v>1943</v>
      </c>
      <c r="E193" s="286" t="s">
        <v>1959</v>
      </c>
      <c r="F193" s="286" t="s">
        <v>1972</v>
      </c>
      <c r="G193" s="286" t="s">
        <v>1983</v>
      </c>
    </row>
    <row r="194" customFormat="false" ht="15" hidden="false" customHeight="false" outlineLevel="0" collapsed="false">
      <c r="A194" s="286" t="s">
        <v>1984</v>
      </c>
      <c r="B194" s="286" t="s">
        <v>1757</v>
      </c>
      <c r="C194" s="286" t="n">
        <v>2</v>
      </c>
      <c r="D194" s="286" t="s">
        <v>1943</v>
      </c>
      <c r="E194" s="286" t="s">
        <v>1959</v>
      </c>
      <c r="F194" s="286" t="s">
        <v>1827</v>
      </c>
      <c r="G194" s="286" t="n">
        <v>22</v>
      </c>
    </row>
    <row r="195" customFormat="false" ht="15" hidden="false" customHeight="false" outlineLevel="0" collapsed="false">
      <c r="A195" s="286" t="s">
        <v>1985</v>
      </c>
      <c r="B195" s="286" t="s">
        <v>1757</v>
      </c>
      <c r="C195" s="286" t="n">
        <v>2</v>
      </c>
      <c r="D195" s="286" t="s">
        <v>1950</v>
      </c>
      <c r="E195" s="286" t="s">
        <v>1978</v>
      </c>
      <c r="F195" s="286" t="s">
        <v>1972</v>
      </c>
      <c r="G195" s="286" t="n">
        <v>38</v>
      </c>
    </row>
    <row r="196" customFormat="false" ht="15" hidden="false" customHeight="false" outlineLevel="0" collapsed="false">
      <c r="A196" s="286" t="s">
        <v>1986</v>
      </c>
      <c r="B196" s="286" t="s">
        <v>1757</v>
      </c>
      <c r="C196" s="286" t="n">
        <v>4</v>
      </c>
      <c r="D196" s="286" t="s">
        <v>1943</v>
      </c>
      <c r="E196" s="286" t="s">
        <v>1948</v>
      </c>
      <c r="F196" s="286" t="s">
        <v>1972</v>
      </c>
      <c r="G196" s="286" t="n">
        <v>32</v>
      </c>
    </row>
    <row r="197" customFormat="false" ht="15" hidden="false" customHeight="false" outlineLevel="0" collapsed="false">
      <c r="A197" s="286" t="s">
        <v>1987</v>
      </c>
      <c r="B197" s="286" t="s">
        <v>1781</v>
      </c>
      <c r="C197" s="286" t="n">
        <v>3</v>
      </c>
      <c r="D197" s="286" t="s">
        <v>1943</v>
      </c>
      <c r="E197" s="286" t="s">
        <v>1948</v>
      </c>
      <c r="F197" s="286" t="s">
        <v>99</v>
      </c>
      <c r="G197" s="286" t="n">
        <v>47</v>
      </c>
    </row>
    <row r="198" customFormat="false" ht="15" hidden="false" customHeight="false" outlineLevel="0" collapsed="false">
      <c r="A198" s="286" t="s">
        <v>1988</v>
      </c>
      <c r="B198" s="286" t="s">
        <v>1772</v>
      </c>
      <c r="C198" s="286" t="n">
        <v>3</v>
      </c>
      <c r="D198" s="286" t="s">
        <v>1950</v>
      </c>
      <c r="E198" s="286" t="s">
        <v>1948</v>
      </c>
      <c r="F198" s="286" t="s">
        <v>1785</v>
      </c>
      <c r="G198" s="286" t="n">
        <v>36</v>
      </c>
    </row>
    <row r="199" customFormat="false" ht="15" hidden="false" customHeight="false" outlineLevel="0" collapsed="false">
      <c r="A199" s="286" t="s">
        <v>1989</v>
      </c>
      <c r="B199" s="286" t="s">
        <v>1772</v>
      </c>
      <c r="C199" s="286" t="n">
        <v>3</v>
      </c>
      <c r="D199" s="286" t="s">
        <v>1943</v>
      </c>
      <c r="E199" s="286" t="s">
        <v>1944</v>
      </c>
      <c r="F199" s="286" t="s">
        <v>1442</v>
      </c>
      <c r="G199" s="286" t="n">
        <v>17</v>
      </c>
    </row>
    <row r="200" customFormat="false" ht="15" hidden="false" customHeight="false" outlineLevel="0" collapsed="false">
      <c r="A200" s="286" t="s">
        <v>1990</v>
      </c>
      <c r="B200" s="286" t="s">
        <v>1772</v>
      </c>
      <c r="C200" s="286" t="n">
        <v>2</v>
      </c>
      <c r="D200" s="286" t="s">
        <v>1950</v>
      </c>
      <c r="E200" s="286" t="s">
        <v>1944</v>
      </c>
      <c r="F200" s="286" t="s">
        <v>1785</v>
      </c>
      <c r="G200" s="286" t="s">
        <v>1991</v>
      </c>
    </row>
    <row r="201" customFormat="false" ht="15" hidden="false" customHeight="true" outlineLevel="0" collapsed="false">
      <c r="A201" s="288"/>
      <c r="B201" s="288"/>
      <c r="C201" s="288"/>
      <c r="D201" s="288"/>
      <c r="E201" s="288"/>
      <c r="F201" s="288"/>
      <c r="G201" s="288"/>
    </row>
    <row r="202" customFormat="false" ht="15" hidden="false" customHeight="true" outlineLevel="0" collapsed="false">
      <c r="A202" s="288"/>
      <c r="B202" s="288"/>
      <c r="C202" s="288"/>
      <c r="D202" s="288"/>
      <c r="E202" s="288"/>
      <c r="F202" s="288"/>
      <c r="G202" s="288"/>
    </row>
    <row r="203" customFormat="false" ht="15" hidden="false" customHeight="true" outlineLevel="0" collapsed="false">
      <c r="A203" s="298"/>
      <c r="B203" s="298"/>
      <c r="C203" s="298"/>
      <c r="D203" s="298"/>
      <c r="E203" s="298"/>
      <c r="F203" s="298"/>
      <c r="G203" s="298"/>
    </row>
    <row r="204" customFormat="false" ht="15" hidden="false" customHeight="true" outlineLevel="0" collapsed="false">
      <c r="A204" s="298"/>
      <c r="B204" s="298"/>
      <c r="C204" s="298"/>
      <c r="D204" s="298"/>
      <c r="E204" s="298"/>
      <c r="F204" s="298"/>
      <c r="G204" s="298"/>
    </row>
    <row r="205" customFormat="false" ht="15" hidden="false" customHeight="true" outlineLevel="0" collapsed="false">
      <c r="A205" s="285" t="s">
        <v>1992</v>
      </c>
      <c r="B205" s="300" t="s">
        <v>78</v>
      </c>
      <c r="C205" s="300"/>
      <c r="D205" s="300"/>
      <c r="E205" s="300"/>
      <c r="F205" s="300"/>
      <c r="G205" s="300"/>
    </row>
    <row r="206" customFormat="false" ht="15" hidden="false" customHeight="false" outlineLevel="0" collapsed="false">
      <c r="A206" s="286" t="s">
        <v>1994</v>
      </c>
      <c r="B206" s="296" t="n">
        <f aca="false">C61+Escenarios!$N$15</f>
        <v>0.1</v>
      </c>
      <c r="C206" s="302"/>
      <c r="D206" s="302"/>
      <c r="E206" s="302"/>
      <c r="F206" s="302"/>
      <c r="G206" s="302"/>
    </row>
    <row r="207" customFormat="false" ht="15" hidden="false" customHeight="false" outlineLevel="0" collapsed="false">
      <c r="A207" s="286" t="s">
        <v>1995</v>
      </c>
      <c r="B207" s="296" t="n">
        <f aca="false">G55</f>
        <v>0.288010101095701</v>
      </c>
      <c r="C207" s="302"/>
      <c r="D207" s="302"/>
      <c r="E207" s="302"/>
      <c r="F207" s="302"/>
      <c r="G207" s="302"/>
    </row>
    <row r="208" customFormat="false" ht="15" hidden="false" customHeight="false" outlineLevel="0" collapsed="false">
      <c r="A208" s="286" t="s">
        <v>1996</v>
      </c>
      <c r="B208" s="296" t="n">
        <f aca="false">B206*(1-B207)</f>
        <v>0.0711989898904299</v>
      </c>
      <c r="C208" s="302"/>
      <c r="D208" s="302"/>
      <c r="E208" s="302"/>
      <c r="F208" s="302"/>
      <c r="G208" s="302"/>
    </row>
    <row r="209" customFormat="false" ht="15" hidden="false" customHeight="false" outlineLevel="0" collapsed="false">
      <c r="A209" s="286" t="s">
        <v>1997</v>
      </c>
      <c r="B209" s="297" t="n">
        <f aca="false">B91+B92</f>
        <v>23618</v>
      </c>
      <c r="C209" s="302"/>
      <c r="D209" s="302"/>
      <c r="E209" s="302"/>
      <c r="F209" s="302"/>
      <c r="G209" s="302"/>
    </row>
    <row r="210" customFormat="false" ht="15" hidden="false" customHeight="false" outlineLevel="0" collapsed="false">
      <c r="A210" s="286" t="s">
        <v>1998</v>
      </c>
      <c r="B210" s="296" t="n">
        <f aca="false">WACC!B5+Escenarios!$N$14</f>
        <v>0.09517</v>
      </c>
      <c r="C210" s="302"/>
      <c r="D210" s="302"/>
      <c r="E210" s="302"/>
      <c r="F210" s="302"/>
      <c r="G210" s="302"/>
    </row>
    <row r="211" customFormat="false" ht="15" hidden="false" customHeight="false" outlineLevel="0" collapsed="false">
      <c r="A211" s="286" t="s">
        <v>1999</v>
      </c>
      <c r="B211" s="296" t="n">
        <f aca="false">WACC!B8</f>
        <v>0.0423</v>
      </c>
      <c r="C211" s="302"/>
      <c r="D211" s="302"/>
      <c r="E211" s="302"/>
      <c r="F211" s="302"/>
      <c r="G211" s="302"/>
    </row>
    <row r="212" customFormat="false" ht="15" hidden="false" customHeight="false" outlineLevel="0" collapsed="false">
      <c r="A212" s="286" t="s">
        <v>2700</v>
      </c>
      <c r="B212" s="337" t="n">
        <f aca="false">Escenarios!$N$16</f>
        <v>0.170520815748403</v>
      </c>
      <c r="C212" s="302"/>
      <c r="D212" s="302"/>
      <c r="E212" s="302"/>
      <c r="F212" s="302"/>
      <c r="G212" s="302"/>
    </row>
    <row r="213" customFormat="false" ht="15" hidden="false" customHeight="false" outlineLevel="0" collapsed="false">
      <c r="A213" s="285" t="s">
        <v>2001</v>
      </c>
      <c r="B213" s="300" t="s">
        <v>2002</v>
      </c>
      <c r="C213" s="300" t="s">
        <v>2003</v>
      </c>
      <c r="D213" s="300" t="s">
        <v>1412</v>
      </c>
      <c r="E213" s="300" t="s">
        <v>2004</v>
      </c>
      <c r="F213" s="300" t="s">
        <v>2005</v>
      </c>
      <c r="G213" s="300" t="s">
        <v>2006</v>
      </c>
    </row>
    <row r="214" customFormat="false" ht="15" hidden="false" customHeight="false" outlineLevel="0" collapsed="false">
      <c r="A214" s="286" t="s">
        <v>2007</v>
      </c>
      <c r="B214" s="296" t="n">
        <f aca="false">WACC!B33</f>
        <v>0.100615773284249</v>
      </c>
      <c r="C214" s="297" t="n">
        <f aca="false">SUMPRODUCT($C$117:$G$117,(1+B214)^(-$C$118:$G$118))+$G$117*(1+$B$123)/(B214-$B$123)*(1+B214)^-5+$B$141+$B$142+$B$143</f>
        <v>67365.5367815987</v>
      </c>
      <c r="D214" s="304" t="n">
        <f aca="false">$B$209/C214</f>
        <v>0.350594697650378</v>
      </c>
      <c r="E214" s="304" t="n">
        <f aca="false">$B$212*(1+(1-$B$207)*D214)</f>
        <v>0.213086201881959</v>
      </c>
      <c r="F214" s="296" t="n">
        <f aca="false">$B$210+E214*$B$211</f>
        <v>0.104183546339607</v>
      </c>
      <c r="G214" s="296" t="n">
        <f aca="false">C214/(C214+$B$209)*F214+$B$209/(C214+$B$209)*$B$208</f>
        <v>0.0956212362583151</v>
      </c>
    </row>
    <row r="215" customFormat="false" ht="15" hidden="false" customHeight="false" outlineLevel="0" collapsed="false">
      <c r="A215" s="286" t="n">
        <v>1</v>
      </c>
      <c r="B215" s="296" t="n">
        <f aca="false">G214</f>
        <v>0.0956212362583151</v>
      </c>
      <c r="C215" s="297" t="n">
        <f aca="false">SUMPRODUCT($C$117:$G$117,(1+B215)^(-$C$118:$G$118))+$G$117*(1+$B$123)/(B215-$B$123)*(1+B215)^-5+$B$141+$B$142+$B$143</f>
        <v>73510.835745877</v>
      </c>
      <c r="D215" s="304" t="n">
        <f aca="false">$B$209/C215</f>
        <v>0.321285967712926</v>
      </c>
      <c r="E215" s="304" t="n">
        <f aca="false">$B$212*(1+(1-$B$207)*D215)</f>
        <v>0.209527855406007</v>
      </c>
      <c r="F215" s="296" t="n">
        <f aca="false">$B$210+E215*$B$211</f>
        <v>0.104033028283674</v>
      </c>
      <c r="G215" s="296" t="n">
        <f aca="false">C215/(C215+$B$209)*F215+$B$209/(C215+$B$209)*$B$208</f>
        <v>0.0960490520235184</v>
      </c>
    </row>
    <row r="216" customFormat="false" ht="15" hidden="false" customHeight="false" outlineLevel="0" collapsed="false">
      <c r="A216" s="286" t="n">
        <v>2</v>
      </c>
      <c r="B216" s="296" t="n">
        <f aca="false">G215</f>
        <v>0.0960490520235184</v>
      </c>
      <c r="C216" s="297" t="n">
        <f aca="false">SUMPRODUCT($C$117:$G$117,(1+B216)^(-$C$118:$G$118))+$G$117*(1+$B$123)/(B216-$B$123)*(1+B216)^-5+$B$141+$B$142+$B$143</f>
        <v>72948.111460536</v>
      </c>
      <c r="D216" s="304" t="n">
        <f aca="false">$B$209/C216</f>
        <v>0.323764378914416</v>
      </c>
      <c r="E216" s="304" t="n">
        <f aca="false">$B$212*(1+(1-$B$207)*D216)</f>
        <v>0.20982875707536</v>
      </c>
      <c r="F216" s="296" t="n">
        <f aca="false">$B$210+E216*$B$211</f>
        <v>0.104045756424288</v>
      </c>
      <c r="G216" s="296" t="n">
        <f aca="false">C216/(C216+$B$209)*F216+$B$209/(C216+$B$209)*$B$208</f>
        <v>0.0960121417300304</v>
      </c>
    </row>
    <row r="217" customFormat="false" ht="15" hidden="false" customHeight="false" outlineLevel="0" collapsed="false">
      <c r="A217" s="286" t="n">
        <v>3</v>
      </c>
      <c r="B217" s="296" t="n">
        <f aca="false">G216</f>
        <v>0.0960121417300304</v>
      </c>
      <c r="C217" s="297" t="n">
        <f aca="false">SUMPRODUCT($C$117:$G$117,(1+B217)^(-$C$118:$G$118))+$G$117*(1+$B$123)/(B217-$B$123)*(1+B217)^-5+$B$141+$B$142+$B$143</f>
        <v>72996.3740677545</v>
      </c>
      <c r="D217" s="304" t="n">
        <f aca="false">$B$209/C217</f>
        <v>0.323550317418205</v>
      </c>
      <c r="E217" s="304" t="n">
        <f aca="false">$B$212*(1+(1-$B$207)*D217)</f>
        <v>0.20980276806211</v>
      </c>
      <c r="F217" s="296" t="n">
        <f aca="false">$B$210+E217*$B$211</f>
        <v>0.104044657089027</v>
      </c>
      <c r="G217" s="296" t="n">
        <f aca="false">C217/(C217+$B$209)*F217+$B$209/(C217+$B$209)*$B$208</f>
        <v>0.0960153242347622</v>
      </c>
    </row>
    <row r="218" customFormat="false" ht="15" hidden="false" customHeight="false" outlineLevel="0" collapsed="false">
      <c r="A218" s="286" t="n">
        <v>4</v>
      </c>
      <c r="B218" s="296" t="n">
        <f aca="false">G217</f>
        <v>0.0960153242347622</v>
      </c>
      <c r="C218" s="297" t="n">
        <f aca="false">SUMPRODUCT($C$117:$G$117,(1+B218)^(-$C$118:$G$118))+$G$117*(1+$B$123)/(B218-$B$123)*(1+B218)^-5+$B$141+$B$142+$B$143</f>
        <v>72992.2106131125</v>
      </c>
      <c r="D218" s="304" t="n">
        <f aca="false">$B$209/C218</f>
        <v>0.323568772634997</v>
      </c>
      <c r="E218" s="304" t="n">
        <f aca="false">$B$212*(1+(1-$B$207)*D218)</f>
        <v>0.209805008693341</v>
      </c>
      <c r="F218" s="296" t="n">
        <f aca="false">$B$210+E218*$B$211</f>
        <v>0.104044751867728</v>
      </c>
      <c r="G218" s="296" t="n">
        <f aca="false">C218/(C218+$B$209)*F218+$B$209/(C218+$B$209)*$B$208</f>
        <v>0.0960150498159812</v>
      </c>
    </row>
    <row r="219" customFormat="false" ht="15" hidden="false" customHeight="false" outlineLevel="0" collapsed="false">
      <c r="A219" s="286" t="n">
        <v>5</v>
      </c>
      <c r="B219" s="296" t="n">
        <f aca="false">G218</f>
        <v>0.0960150498159812</v>
      </c>
      <c r="C219" s="297" t="n">
        <f aca="false">SUMPRODUCT($C$117:$G$117,(1+B219)^(-$C$118:$G$118))+$G$117*(1+$B$123)/(B219-$B$123)*(1+B219)^-5+$B$141+$B$142+$B$143</f>
        <v>72992.5696007616</v>
      </c>
      <c r="D219" s="304" t="n">
        <f aca="false">$B$209/C219</f>
        <v>0.323567181278594</v>
      </c>
      <c r="E219" s="304" t="n">
        <f aca="false">$B$212*(1+(1-$B$207)*D219)</f>
        <v>0.209804815488195</v>
      </c>
      <c r="F219" s="296" t="n">
        <f aca="false">$B$210+E219*$B$211</f>
        <v>0.104044743695151</v>
      </c>
      <c r="G219" s="296" t="n">
        <f aca="false">C219/(C219+$B$209)*F219+$B$209/(C219+$B$209)*$B$208</f>
        <v>0.0960150734782619</v>
      </c>
    </row>
    <row r="220" customFormat="false" ht="15" hidden="false" customHeight="false" outlineLevel="0" collapsed="false">
      <c r="A220" s="285" t="s">
        <v>2008</v>
      </c>
      <c r="B220" s="338" t="n">
        <f aca="false">G219</f>
        <v>0.0960150734782619</v>
      </c>
      <c r="C220" s="300"/>
      <c r="D220" s="300"/>
      <c r="E220" s="300"/>
      <c r="F220" s="300"/>
      <c r="G220" s="300"/>
    </row>
    <row r="221" customFormat="false" ht="15" hidden="false" customHeight="false" outlineLevel="0" collapsed="false">
      <c r="A221" s="285" t="s">
        <v>2009</v>
      </c>
      <c r="B221" s="338" t="n">
        <f aca="false">F219</f>
        <v>0.104044743695151</v>
      </c>
      <c r="C221" s="300"/>
      <c r="D221" s="300"/>
      <c r="E221" s="300"/>
      <c r="F221" s="300"/>
      <c r="G221" s="300"/>
    </row>
    <row r="222" customFormat="false" ht="15" hidden="false" customHeight="false" outlineLevel="0" collapsed="false">
      <c r="A222" s="286" t="s">
        <v>2010</v>
      </c>
      <c r="B222" s="337" t="n">
        <f aca="false">(G219-G218)*10000</f>
        <v>0.000236622807320286</v>
      </c>
      <c r="C222" s="303"/>
      <c r="D222" s="303"/>
      <c r="E222" s="303"/>
      <c r="F222" s="303"/>
      <c r="G222" s="303"/>
    </row>
    <row r="223" customFormat="false" ht="15" hidden="false" customHeight="false" outlineLevel="0" collapsed="false">
      <c r="A223" s="339"/>
      <c r="B223" s="339"/>
      <c r="C223" s="339"/>
      <c r="D223" s="339"/>
      <c r="E223" s="339"/>
      <c r="F223" s="339"/>
      <c r="G223" s="339"/>
    </row>
    <row r="224" customFormat="false" ht="15" hidden="false" customHeight="false" outlineLevel="0" collapsed="false">
      <c r="A224" s="339"/>
      <c r="B224" s="339"/>
      <c r="C224" s="339"/>
      <c r="D224" s="339"/>
      <c r="E224" s="339"/>
      <c r="F224" s="339"/>
      <c r="G224" s="339"/>
    </row>
    <row r="225" customFormat="false" ht="15" hidden="false" customHeight="false" outlineLevel="0" collapsed="false">
      <c r="A225" s="285" t="s">
        <v>2011</v>
      </c>
      <c r="B225" s="300" t="s">
        <v>1</v>
      </c>
      <c r="C225" s="300" t="s">
        <v>2</v>
      </c>
      <c r="D225" s="300" t="s">
        <v>3</v>
      </c>
      <c r="E225" s="300" t="s">
        <v>4</v>
      </c>
      <c r="F225" s="300"/>
      <c r="G225" s="300"/>
    </row>
    <row r="226" customFormat="false" ht="15" hidden="false" customHeight="false" outlineLevel="0" collapsed="false">
      <c r="A226" s="286" t="s">
        <v>1409</v>
      </c>
      <c r="B226" s="297" t="n">
        <f aca="false">WACC!B18</f>
        <v>59580</v>
      </c>
      <c r="C226" s="297" t="n">
        <f aca="false">WACC!C18</f>
        <v>813622.604529617</v>
      </c>
      <c r="D226" s="297" t="n">
        <f aca="false">WACC!D18</f>
        <v>89246.0254200776</v>
      </c>
      <c r="E226" s="297" t="n">
        <f aca="false">WACC!E18</f>
        <v>34190</v>
      </c>
      <c r="F226" s="303"/>
      <c r="G226" s="303"/>
    </row>
    <row r="227" customFormat="false" ht="15" hidden="false" customHeight="false" outlineLevel="0" collapsed="false">
      <c r="A227" s="286" t="s">
        <v>2013</v>
      </c>
      <c r="B227" s="297" t="n">
        <f aca="false">WACC!B21</f>
        <v>23618</v>
      </c>
      <c r="C227" s="297" t="n">
        <f aca="false">WACC!C21</f>
        <v>80848.1</v>
      </c>
      <c r="D227" s="297" t="n">
        <f aca="false">WACC!D21</f>
        <v>56744.34</v>
      </c>
      <c r="E227" s="297" t="n">
        <f aca="false">WACC!E21</f>
        <v>2441.8</v>
      </c>
      <c r="F227" s="303"/>
      <c r="G227" s="303"/>
    </row>
    <row r="228" customFormat="false" ht="15" hidden="false" customHeight="false" outlineLevel="0" collapsed="false">
      <c r="A228" s="286" t="s">
        <v>2701</v>
      </c>
      <c r="B228" s="297" t="n">
        <f aca="false">-WACC!B22</f>
        <v>-9295</v>
      </c>
      <c r="C228" s="297" t="n">
        <f aca="false">-WACC!C22</f>
        <v>-28591.2</v>
      </c>
      <c r="D228" s="297" t="n">
        <f aca="false">-WACC!D22</f>
        <v>-14640.16</v>
      </c>
      <c r="E228" s="297" t="n">
        <f aca="false">-WACC!E22</f>
        <v>-2962.8</v>
      </c>
      <c r="F228" s="303"/>
      <c r="G228" s="303"/>
    </row>
    <row r="229" customFormat="false" ht="15" hidden="false" customHeight="false" outlineLevel="0" collapsed="false">
      <c r="A229" s="286" t="s">
        <v>2015</v>
      </c>
      <c r="B229" s="297" t="n">
        <f aca="false">SUM(B226:B228)</f>
        <v>73903</v>
      </c>
      <c r="C229" s="297" t="n">
        <f aca="false">SUM(C226:C228)</f>
        <v>865879.504529617</v>
      </c>
      <c r="D229" s="297" t="n">
        <f aca="false">SUM(D226:D228)</f>
        <v>131350.205420078</v>
      </c>
      <c r="E229" s="297" t="n">
        <f aca="false">SUM(E226:E228)</f>
        <v>33669</v>
      </c>
      <c r="F229" s="303"/>
      <c r="G229" s="303"/>
    </row>
    <row r="230" customFormat="false" ht="15" hidden="false" customHeight="false" outlineLevel="0" collapsed="false">
      <c r="A230" s="286" t="s">
        <v>2016</v>
      </c>
      <c r="B230" s="297" t="n">
        <f aca="false">Datos!G9+Datos!G14</f>
        <v>11894</v>
      </c>
      <c r="C230" s="297" t="n">
        <f aca="false">Datos!G35+Datos!G40</f>
        <v>103446.9</v>
      </c>
      <c r="D230" s="297" t="n">
        <f aca="false">Datos!G61+Datos!G66</f>
        <v>24391.15</v>
      </c>
      <c r="E230" s="297" t="n">
        <f aca="false">Datos!G87+Datos!G92</f>
        <v>5214.81481788325</v>
      </c>
      <c r="F230" s="303"/>
      <c r="G230" s="303"/>
    </row>
    <row r="231" customFormat="false" ht="15" hidden="false" customHeight="false" outlineLevel="0" collapsed="false">
      <c r="A231" s="285" t="s">
        <v>2017</v>
      </c>
      <c r="B231" s="340" t="n">
        <f aca="false">B229/B230</f>
        <v>6.21346897595426</v>
      </c>
      <c r="C231" s="340" t="n">
        <f aca="false">C229/C230</f>
        <v>8.37027986850855</v>
      </c>
      <c r="D231" s="340" t="n">
        <f aca="false">D229/D230</f>
        <v>5.38515836358997</v>
      </c>
      <c r="E231" s="340" t="n">
        <f aca="false">E229/E230</f>
        <v>6.45641334847373</v>
      </c>
      <c r="F231" s="341"/>
      <c r="G231" s="341"/>
    </row>
    <row r="232" customFormat="false" ht="15" hidden="false" customHeight="false" outlineLevel="0" collapsed="false">
      <c r="A232" s="286" t="s">
        <v>2018</v>
      </c>
      <c r="B232" s="342" t="n">
        <f aca="false">MEDIAN(C231:E231)</f>
        <v>6.45641334847373</v>
      </c>
      <c r="C232" s="302"/>
      <c r="D232" s="302"/>
      <c r="E232" s="302"/>
      <c r="F232" s="302"/>
      <c r="G232" s="302"/>
    </row>
    <row r="233" customFormat="false" ht="15" hidden="false" customHeight="false" outlineLevel="0" collapsed="false">
      <c r="A233" s="286" t="s">
        <v>2702</v>
      </c>
      <c r="B233" s="296" t="n">
        <v>0.1</v>
      </c>
      <c r="C233" s="302"/>
      <c r="D233" s="302"/>
      <c r="E233" s="302"/>
      <c r="F233" s="302"/>
      <c r="G233" s="302"/>
    </row>
    <row r="234" customFormat="false" ht="15" hidden="false" customHeight="false" outlineLevel="0" collapsed="false">
      <c r="A234" s="286" t="s">
        <v>2020</v>
      </c>
      <c r="B234" s="342" t="n">
        <f aca="false">B232*(1-B233)</f>
        <v>5.81077201362635</v>
      </c>
      <c r="C234" s="302"/>
      <c r="D234" s="302"/>
      <c r="E234" s="302"/>
      <c r="F234" s="302"/>
      <c r="G234" s="302"/>
    </row>
    <row r="235" customFormat="false" ht="15" hidden="false" customHeight="false" outlineLevel="0" collapsed="false">
      <c r="A235" s="286" t="s">
        <v>2021</v>
      </c>
      <c r="B235" s="297" t="n">
        <f aca="false">G71</f>
        <v>12256.047209706</v>
      </c>
      <c r="C235" s="302"/>
      <c r="D235" s="302"/>
      <c r="E235" s="302"/>
      <c r="F235" s="302"/>
      <c r="G235" s="302"/>
    </row>
    <row r="236" customFormat="false" ht="15" hidden="false" customHeight="false" outlineLevel="0" collapsed="false">
      <c r="A236" s="285" t="s">
        <v>2022</v>
      </c>
      <c r="B236" s="301" t="n">
        <f aca="false">B234*B235</f>
        <v>71217.0961238431</v>
      </c>
      <c r="C236" s="302"/>
      <c r="D236" s="302"/>
      <c r="E236" s="302"/>
      <c r="F236" s="302"/>
      <c r="G236" s="302"/>
    </row>
    <row r="237" customFormat="false" ht="15" hidden="false" customHeight="false" outlineLevel="0" collapsed="false">
      <c r="A237" s="286" t="s">
        <v>2023</v>
      </c>
      <c r="B237" s="297" t="n">
        <f aca="false">B236*G119</f>
        <v>45029.9667388892</v>
      </c>
      <c r="C237" s="302"/>
      <c r="D237" s="302"/>
      <c r="E237" s="302"/>
      <c r="F237" s="302"/>
      <c r="G237" s="302"/>
    </row>
    <row r="238" customFormat="false" ht="15" hidden="false" customHeight="false" outlineLevel="0" collapsed="false">
      <c r="A238" s="285" t="s">
        <v>2024</v>
      </c>
      <c r="B238" s="301" t="n">
        <f aca="false">B134+B237</f>
        <v>69149.2304654606</v>
      </c>
      <c r="C238" s="302"/>
      <c r="D238" s="302"/>
      <c r="E238" s="302"/>
      <c r="F238" s="302"/>
      <c r="G238" s="302"/>
    </row>
    <row r="239" customFormat="false" ht="15" hidden="false" customHeight="false" outlineLevel="0" collapsed="false">
      <c r="A239" s="286" t="s">
        <v>2025</v>
      </c>
      <c r="B239" s="297" t="n">
        <f aca="false">B238-B144</f>
        <v>54826.2304654606</v>
      </c>
      <c r="C239" s="302"/>
      <c r="D239" s="302"/>
      <c r="E239" s="302"/>
      <c r="F239" s="302"/>
      <c r="G239" s="302"/>
    </row>
    <row r="240" customFormat="false" ht="15" hidden="false" customHeight="false" outlineLevel="0" collapsed="false">
      <c r="A240" s="285" t="s">
        <v>2026</v>
      </c>
      <c r="B240" s="306" t="n">
        <f aca="false">B239/B149</f>
        <v>30.4590169252559</v>
      </c>
      <c r="C240" s="302"/>
      <c r="D240" s="302"/>
      <c r="E240" s="302"/>
      <c r="F240" s="302"/>
      <c r="G240" s="302"/>
    </row>
    <row r="241" customFormat="false" ht="15" hidden="false" customHeight="false" outlineLevel="0" collapsed="false">
      <c r="A241" s="286" t="s">
        <v>2027</v>
      </c>
      <c r="B241" s="342" t="n">
        <f aca="false">B129/G71</f>
        <v>8.15499482373761</v>
      </c>
      <c r="C241" s="302"/>
      <c r="D241" s="302"/>
      <c r="E241" s="302"/>
      <c r="F241" s="302"/>
      <c r="G241" s="302"/>
    </row>
    <row r="242" customFormat="false" ht="15" hidden="false" customHeight="false" outlineLevel="0" collapsed="false">
      <c r="A242" s="286" t="s">
        <v>2028</v>
      </c>
      <c r="B242" s="296" t="n">
        <f aca="false">(B236*B126-B127)/(B236+B127)</f>
        <v>0.00556558000623182</v>
      </c>
      <c r="C242" s="302"/>
      <c r="D242" s="302"/>
      <c r="E242" s="302"/>
      <c r="F242" s="302"/>
      <c r="G242" s="302"/>
    </row>
    <row r="243" customFormat="false" ht="15" hidden="false" customHeight="false" outlineLevel="0" collapsed="false">
      <c r="A243" s="286" t="s">
        <v>2029</v>
      </c>
      <c r="B243" s="296" t="n">
        <v>0.5</v>
      </c>
      <c r="C243" s="302"/>
      <c r="D243" s="302"/>
      <c r="E243" s="302"/>
      <c r="F243" s="302"/>
      <c r="G243" s="302"/>
    </row>
    <row r="244" customFormat="false" ht="15" hidden="false" customHeight="false" outlineLevel="0" collapsed="false">
      <c r="A244" s="286" t="s">
        <v>2030</v>
      </c>
      <c r="B244" s="296" t="n">
        <f aca="false">1-B243</f>
        <v>0.5</v>
      </c>
      <c r="C244" s="302"/>
      <c r="D244" s="302"/>
      <c r="E244" s="302"/>
      <c r="F244" s="302"/>
      <c r="G244" s="302"/>
    </row>
    <row r="245" customFormat="false" ht="15" hidden="false" customHeight="false" outlineLevel="0" collapsed="false">
      <c r="A245" s="286" t="s">
        <v>2031</v>
      </c>
      <c r="B245" s="297" t="n">
        <f aca="false">B243*B136+B244*B238</f>
        <v>78232.3845558564</v>
      </c>
      <c r="C245" s="302"/>
      <c r="D245" s="302"/>
      <c r="E245" s="302"/>
      <c r="F245" s="302"/>
      <c r="G245" s="302"/>
    </row>
    <row r="246" customFormat="false" ht="15" hidden="false" customHeight="false" outlineLevel="0" collapsed="false">
      <c r="A246" s="285" t="s">
        <v>2032</v>
      </c>
      <c r="B246" s="306" t="n">
        <f aca="false">B243*B150+B244*B240</f>
        <v>35.5052136421424</v>
      </c>
      <c r="C246" s="302"/>
      <c r="D246" s="302"/>
      <c r="E246" s="302"/>
      <c r="F246" s="302"/>
      <c r="G246" s="302"/>
    </row>
    <row r="247" customFormat="false" ht="15" hidden="false" customHeight="false" outlineLevel="0" collapsed="false">
      <c r="A247" s="339"/>
      <c r="B247" s="339"/>
      <c r="C247" s="339"/>
      <c r="D247" s="339"/>
      <c r="E247" s="339"/>
      <c r="F247" s="339"/>
      <c r="G247" s="339"/>
    </row>
    <row r="248" customFormat="false" ht="15" hidden="false" customHeight="false" outlineLevel="0" collapsed="false">
      <c r="A248" s="339"/>
      <c r="B248" s="339"/>
      <c r="C248" s="339"/>
      <c r="D248" s="339"/>
      <c r="E248" s="339"/>
      <c r="F248" s="339"/>
      <c r="G248" s="339"/>
    </row>
    <row r="249" customFormat="false" ht="15" hidden="false" customHeight="false" outlineLevel="0" collapsed="false">
      <c r="A249" s="285" t="s">
        <v>2033</v>
      </c>
      <c r="B249" s="300" t="s">
        <v>78</v>
      </c>
      <c r="C249" s="300"/>
      <c r="D249" s="300"/>
      <c r="E249" s="300"/>
      <c r="F249" s="300"/>
      <c r="G249" s="300"/>
    </row>
    <row r="250" customFormat="false" ht="15" hidden="false" customHeight="false" outlineLevel="0" collapsed="false">
      <c r="A250" s="286" t="s">
        <v>2035</v>
      </c>
      <c r="B250" s="343" t="n">
        <f aca="false">DATE(2025,12,31)</f>
        <v>46022</v>
      </c>
      <c r="C250" s="302"/>
      <c r="D250" s="302"/>
      <c r="E250" s="302"/>
      <c r="F250" s="302"/>
      <c r="G250" s="302"/>
    </row>
    <row r="251" customFormat="false" ht="15" hidden="false" customHeight="false" outlineLevel="0" collapsed="false">
      <c r="A251" s="286" t="s">
        <v>2036</v>
      </c>
      <c r="B251" s="343" t="n">
        <f aca="false">DATE(2026,6,30)</f>
        <v>46203</v>
      </c>
      <c r="C251" s="302"/>
      <c r="D251" s="302"/>
      <c r="E251" s="302"/>
      <c r="F251" s="302"/>
      <c r="G251" s="302"/>
    </row>
    <row r="252" customFormat="false" ht="15" hidden="false" customHeight="false" outlineLevel="0" collapsed="false">
      <c r="A252" s="286" t="s">
        <v>2037</v>
      </c>
      <c r="B252" s="343" t="n">
        <f aca="false">Rendimientos!H10</f>
        <v>46302</v>
      </c>
      <c r="C252" s="302"/>
      <c r="D252" s="302"/>
      <c r="E252" s="302"/>
      <c r="F252" s="302"/>
      <c r="G252" s="302"/>
    </row>
    <row r="253" customFormat="false" ht="15" hidden="false" customHeight="false" outlineLevel="0" collapsed="false">
      <c r="A253" s="286" t="s">
        <v>2038</v>
      </c>
      <c r="B253" s="337" t="n">
        <f aca="false">YEARFRAC(B250,B251)</f>
        <v>0.5</v>
      </c>
      <c r="C253" s="302"/>
      <c r="D253" s="302"/>
      <c r="E253" s="302"/>
      <c r="F253" s="302"/>
      <c r="G253" s="302"/>
    </row>
    <row r="254" customFormat="false" ht="15" hidden="false" customHeight="false" outlineLevel="0" collapsed="false">
      <c r="A254" s="286" t="s">
        <v>2039</v>
      </c>
      <c r="B254" s="337" t="n">
        <f aca="false">YEARFRAC(B251,B252)</f>
        <v>0.269444444444444</v>
      </c>
      <c r="C254" s="302"/>
      <c r="D254" s="302"/>
      <c r="E254" s="302"/>
      <c r="F254" s="302"/>
      <c r="G254" s="302"/>
    </row>
    <row r="255" customFormat="false" ht="15" hidden="false" customHeight="false" outlineLevel="0" collapsed="false">
      <c r="A255" s="286" t="s">
        <v>2040</v>
      </c>
      <c r="B255" s="297" t="n">
        <f aca="false">B245</f>
        <v>78232.3845558564</v>
      </c>
      <c r="C255" s="302"/>
      <c r="D255" s="302"/>
      <c r="E255" s="302"/>
      <c r="F255" s="302"/>
      <c r="G255" s="302"/>
    </row>
    <row r="256" customFormat="false" ht="15" hidden="false" customHeight="false" outlineLevel="0" collapsed="false">
      <c r="A256" s="286" t="s">
        <v>2671</v>
      </c>
      <c r="B256" s="297" t="n">
        <f aca="false">B255*(1+B126)^B253</f>
        <v>81902.0611642411</v>
      </c>
      <c r="C256" s="302"/>
      <c r="D256" s="302"/>
      <c r="E256" s="302"/>
      <c r="F256" s="302"/>
      <c r="G256" s="302"/>
    </row>
    <row r="257" customFormat="false" ht="15" hidden="false" customHeight="false" outlineLevel="0" collapsed="false">
      <c r="A257" s="286" t="s">
        <v>2672</v>
      </c>
      <c r="B257" s="297" t="n">
        <f aca="false">-((Datos!E15+Datos!F15)-(Datos!E16+Datos!F16))</f>
        <v>1060.497</v>
      </c>
      <c r="C257" s="302"/>
      <c r="D257" s="302"/>
      <c r="E257" s="302"/>
      <c r="F257" s="302"/>
      <c r="G257" s="302"/>
    </row>
    <row r="258" customFormat="false" ht="15" hidden="false" customHeight="false" outlineLevel="0" collapsed="false">
      <c r="A258" s="286" t="s">
        <v>2043</v>
      </c>
      <c r="B258" s="297" t="n">
        <f aca="false">B256+B257</f>
        <v>82962.5581642411</v>
      </c>
      <c r="C258" s="302"/>
      <c r="D258" s="302"/>
      <c r="E258" s="302"/>
      <c r="F258" s="302"/>
      <c r="G258" s="302"/>
    </row>
    <row r="259" customFormat="false" ht="15" hidden="false" customHeight="false" outlineLevel="0" collapsed="false">
      <c r="A259" s="286" t="s">
        <v>2258</v>
      </c>
      <c r="B259" s="297" t="n">
        <f aca="false">-(Datos!F25+Datos!F26)</f>
        <v>-11500</v>
      </c>
      <c r="C259" s="302"/>
      <c r="D259" s="302"/>
      <c r="E259" s="302"/>
      <c r="F259" s="302"/>
      <c r="G259" s="302"/>
    </row>
    <row r="260" customFormat="false" ht="15" hidden="false" customHeight="false" outlineLevel="0" collapsed="false">
      <c r="A260" s="286" t="s">
        <v>2259</v>
      </c>
      <c r="B260" s="297" t="n">
        <f aca="false">-(Datos!F27+Datos!F28)</f>
        <v>-12220.588</v>
      </c>
      <c r="C260" s="302"/>
      <c r="D260" s="302"/>
      <c r="E260" s="302"/>
      <c r="F260" s="302"/>
      <c r="G260" s="302"/>
    </row>
    <row r="261" customFormat="false" ht="15" hidden="false" customHeight="false" outlineLevel="0" collapsed="false">
      <c r="A261" s="286" t="s">
        <v>2046</v>
      </c>
      <c r="B261" s="297" t="n">
        <f aca="false">Datos!F17</f>
        <v>6875.384</v>
      </c>
      <c r="C261" s="302"/>
      <c r="D261" s="302"/>
      <c r="E261" s="302"/>
      <c r="F261" s="302"/>
      <c r="G261" s="302"/>
    </row>
    <row r="262" customFormat="false" ht="15" hidden="false" customHeight="false" outlineLevel="0" collapsed="false">
      <c r="A262" s="285" t="s">
        <v>2047</v>
      </c>
      <c r="B262" s="301" t="n">
        <f aca="false">SUM(B258:B261)</f>
        <v>66117.3541642411</v>
      </c>
      <c r="C262" s="302"/>
      <c r="D262" s="302"/>
      <c r="E262" s="302"/>
      <c r="F262" s="302"/>
      <c r="G262" s="302"/>
    </row>
    <row r="263" customFormat="false" ht="15" hidden="false" customHeight="false" outlineLevel="0" collapsed="false">
      <c r="A263" s="285" t="s">
        <v>2673</v>
      </c>
      <c r="B263" s="301" t="n">
        <f aca="false">B262*(1+B221)^B254</f>
        <v>67904.4110101165</v>
      </c>
      <c r="C263" s="302"/>
      <c r="D263" s="302"/>
      <c r="E263" s="302"/>
      <c r="F263" s="302"/>
      <c r="G263" s="302"/>
    </row>
    <row r="264" customFormat="false" ht="15" hidden="false" customHeight="false" outlineLevel="0" collapsed="false">
      <c r="A264" s="286" t="s">
        <v>57</v>
      </c>
      <c r="B264" s="305" t="n">
        <f aca="false">B149</f>
        <v>1800</v>
      </c>
      <c r="C264" s="302"/>
      <c r="D264" s="302"/>
      <c r="E264" s="302"/>
      <c r="F264" s="302"/>
      <c r="G264" s="302"/>
    </row>
    <row r="265" customFormat="false" ht="15" hidden="false" customHeight="false" outlineLevel="0" collapsed="false">
      <c r="A265" s="285" t="s">
        <v>2049</v>
      </c>
      <c r="B265" s="306" t="n">
        <f aca="false">B263/B264</f>
        <v>37.724672783398</v>
      </c>
      <c r="C265" s="302"/>
      <c r="D265" s="302"/>
      <c r="E265" s="302"/>
      <c r="F265" s="302"/>
      <c r="G265" s="302"/>
    </row>
    <row r="266" customFormat="false" ht="15" hidden="false" customHeight="false" outlineLevel="0" collapsed="false">
      <c r="A266" s="286" t="s">
        <v>16</v>
      </c>
      <c r="B266" s="307" t="n">
        <f aca="false">B151</f>
        <v>33.1</v>
      </c>
      <c r="C266" s="302"/>
      <c r="D266" s="302"/>
      <c r="E266" s="302"/>
      <c r="F266" s="302"/>
      <c r="G266" s="302"/>
    </row>
    <row r="267" customFormat="false" ht="15" hidden="false" customHeight="false" outlineLevel="0" collapsed="false">
      <c r="A267" s="286" t="s">
        <v>17</v>
      </c>
      <c r="B267" s="295" t="n">
        <f aca="false">B265/B266-1</f>
        <v>0.139718210978792</v>
      </c>
      <c r="C267" s="302"/>
      <c r="D267" s="302"/>
      <c r="E267" s="302"/>
      <c r="F267" s="302"/>
      <c r="G267" s="302"/>
    </row>
    <row r="268" customFormat="false" ht="15" hidden="false" customHeight="false" outlineLevel="0" collapsed="false">
      <c r="A268" s="285" t="s">
        <v>2050</v>
      </c>
      <c r="B268" s="338" t="str">
        <f aca="false">IF(B267&gt;B155,"COMPRAR",IF(B267&lt;-B155,"VENDER","MANTENER"))</f>
        <v>MANTENER</v>
      </c>
      <c r="C268" s="302"/>
      <c r="D268" s="302"/>
      <c r="E268" s="302"/>
      <c r="F268" s="302"/>
      <c r="G268" s="302"/>
    </row>
    <row r="269" customFormat="false" ht="15" hidden="false" customHeight="false" outlineLevel="0" collapsed="false">
      <c r="A269" s="286" t="s">
        <v>18</v>
      </c>
      <c r="B269" s="307" t="n">
        <f aca="false">Generales!B24</f>
        <v>23.357</v>
      </c>
      <c r="C269" s="302"/>
      <c r="D269" s="302"/>
      <c r="E269" s="302"/>
      <c r="F269" s="302"/>
      <c r="G269" s="302"/>
    </row>
    <row r="270" customFormat="false" ht="15" hidden="false" customHeight="false" outlineLevel="0" collapsed="false">
      <c r="A270" s="286" t="s">
        <v>2051</v>
      </c>
      <c r="B270" s="295" t="n">
        <f aca="false">B265/B269-1</f>
        <v>0.615133483897677</v>
      </c>
      <c r="C270" s="302"/>
      <c r="D270" s="302"/>
      <c r="E270" s="302"/>
      <c r="F270" s="302"/>
      <c r="G270" s="30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6796875" defaultRowHeight="15" zeroHeight="false" outlineLevelRow="0" outlineLevelCol="0"/>
  <cols>
    <col collapsed="false" customWidth="true" hidden="false" outlineLevel="0" max="1" min="1" style="0" width="61.16"/>
    <col collapsed="false" customWidth="true" hidden="false" outlineLevel="0" max="7" min="2" style="0" width="17.5"/>
  </cols>
  <sheetData>
    <row r="1" customFormat="false" ht="15" hidden="false" customHeight="true" outlineLevel="0" collapsed="false">
      <c r="A1" s="344" t="s">
        <v>2711</v>
      </c>
      <c r="B1" s="345"/>
      <c r="C1" s="345"/>
      <c r="D1" s="345"/>
      <c r="E1" s="345"/>
      <c r="F1" s="345"/>
      <c r="G1" s="345"/>
    </row>
    <row r="2" customFormat="false" ht="15" hidden="false" customHeight="true" outlineLevel="0" collapsed="false">
      <c r="A2" s="346" t="s">
        <v>2675</v>
      </c>
      <c r="B2" s="345"/>
      <c r="C2" s="345"/>
      <c r="D2" s="345"/>
      <c r="E2" s="345"/>
      <c r="F2" s="345"/>
      <c r="G2" s="345"/>
    </row>
    <row r="3" customFormat="false" ht="15" hidden="false" customHeight="true" outlineLevel="0" collapsed="false">
      <c r="A3" s="347"/>
      <c r="B3" s="345"/>
      <c r="C3" s="345"/>
      <c r="D3" s="345"/>
      <c r="E3" s="345"/>
      <c r="F3" s="345"/>
      <c r="G3" s="345"/>
    </row>
    <row r="4" customFormat="false" ht="15" hidden="false" customHeight="true" outlineLevel="0" collapsed="false">
      <c r="A4" s="345"/>
      <c r="B4" s="345"/>
      <c r="C4" s="345"/>
      <c r="D4" s="345"/>
      <c r="E4" s="345"/>
      <c r="F4" s="345"/>
      <c r="G4" s="345"/>
    </row>
    <row r="5" customFormat="false" ht="15" hidden="false" customHeight="true" outlineLevel="0" collapsed="false">
      <c r="A5" s="285" t="s">
        <v>1831</v>
      </c>
      <c r="B5" s="285" t="s">
        <v>1428</v>
      </c>
      <c r="C5" s="285" t="s">
        <v>1429</v>
      </c>
      <c r="D5" s="285" t="s">
        <v>1430</v>
      </c>
      <c r="E5" s="285" t="s">
        <v>1431</v>
      </c>
      <c r="F5" s="285" t="s">
        <v>1432</v>
      </c>
      <c r="G5" s="285" t="s">
        <v>1433</v>
      </c>
    </row>
    <row r="6" customFormat="false" ht="15" hidden="false" customHeight="true" outlineLevel="0" collapsed="false">
      <c r="A6" s="286" t="s">
        <v>1833</v>
      </c>
      <c r="B6" s="286"/>
      <c r="C6" s="287" t="n">
        <v>0.7</v>
      </c>
      <c r="D6" s="287" t="n">
        <v>0.7</v>
      </c>
      <c r="E6" s="287" t="n">
        <v>0.75</v>
      </c>
      <c r="F6" s="287" t="n">
        <v>0.8</v>
      </c>
      <c r="G6" s="287" t="n">
        <v>0.85</v>
      </c>
    </row>
    <row r="7" customFormat="false" ht="15" hidden="false" customHeight="true" outlineLevel="0" collapsed="false">
      <c r="A7" s="286" t="s">
        <v>1834</v>
      </c>
      <c r="B7" s="286"/>
      <c r="C7" s="287" t="n">
        <f aca="false">1-C6</f>
        <v>0.3</v>
      </c>
      <c r="D7" s="287" t="n">
        <f aca="false">1-D6</f>
        <v>0.3</v>
      </c>
      <c r="E7" s="287" t="n">
        <f aca="false">1-E6</f>
        <v>0.25</v>
      </c>
      <c r="F7" s="287" t="n">
        <f aca="false">1-F6</f>
        <v>0.2</v>
      </c>
      <c r="G7" s="287" t="n">
        <f aca="false">1-G6</f>
        <v>0.15</v>
      </c>
    </row>
    <row r="8" customFormat="false" ht="15" hidden="false" customHeight="true" outlineLevel="0" collapsed="false">
      <c r="A8" s="288"/>
      <c r="B8" s="288"/>
      <c r="C8" s="288"/>
      <c r="D8" s="288"/>
      <c r="E8" s="288"/>
      <c r="F8" s="288"/>
      <c r="G8" s="288"/>
    </row>
    <row r="9" customFormat="false" ht="15" hidden="false" customHeight="true" outlineLevel="0" collapsed="false">
      <c r="A9" s="285" t="s">
        <v>1835</v>
      </c>
      <c r="B9" s="285" t="s">
        <v>1428</v>
      </c>
      <c r="C9" s="285" t="s">
        <v>1429</v>
      </c>
      <c r="D9" s="285" t="s">
        <v>1430</v>
      </c>
      <c r="E9" s="285" t="s">
        <v>1431</v>
      </c>
      <c r="F9" s="285" t="s">
        <v>1432</v>
      </c>
      <c r="G9" s="285" t="s">
        <v>1433</v>
      </c>
    </row>
    <row r="10" customFormat="false" ht="15" hidden="false" customHeight="true" outlineLevel="0" collapsed="false">
      <c r="A10" s="286" t="s">
        <v>1837</v>
      </c>
      <c r="B10" s="286"/>
      <c r="C10" s="289" t="n">
        <f aca="false">Escenarios!$O$7</f>
        <v>0.0351</v>
      </c>
      <c r="D10" s="289" t="n">
        <f aca="false">Escenarios!$O$7</f>
        <v>0.0351</v>
      </c>
      <c r="E10" s="289" t="n">
        <f aca="false">Escenarios!$O$7</f>
        <v>0.0351</v>
      </c>
      <c r="F10" s="289" t="n">
        <f aca="false">Escenarios!$O$7</f>
        <v>0.0351</v>
      </c>
      <c r="G10" s="289" t="n">
        <f aca="false">Escenarios!$O$7</f>
        <v>0.0351</v>
      </c>
    </row>
    <row r="11" customFormat="false" ht="15" hidden="false" customHeight="true" outlineLevel="0" collapsed="false">
      <c r="A11" s="286" t="s">
        <v>1838</v>
      </c>
      <c r="B11" s="286"/>
      <c r="C11" s="289" t="n">
        <v>0.014</v>
      </c>
      <c r="D11" s="289" t="n">
        <v>0.018</v>
      </c>
      <c r="E11" s="289" t="n">
        <v>0.02</v>
      </c>
      <c r="F11" s="289" t="n">
        <v>0.02</v>
      </c>
      <c r="G11" s="289" t="n">
        <v>0.02</v>
      </c>
    </row>
    <row r="12" customFormat="false" ht="15" hidden="false" customHeight="true" outlineLevel="0" collapsed="false">
      <c r="A12" s="286" t="s">
        <v>1839</v>
      </c>
      <c r="B12" s="286"/>
      <c r="C12" s="290" t="n">
        <v>0.5</v>
      </c>
      <c r="D12" s="290" t="n">
        <v>0.5</v>
      </c>
      <c r="E12" s="290" t="n">
        <v>0.5</v>
      </c>
      <c r="F12" s="290" t="n">
        <v>0.5</v>
      </c>
      <c r="G12" s="290" t="n">
        <v>0.5</v>
      </c>
    </row>
    <row r="13" customFormat="false" ht="15" hidden="false" customHeight="true" outlineLevel="0" collapsed="false">
      <c r="A13" s="286" t="s">
        <v>1840</v>
      </c>
      <c r="B13" s="286"/>
      <c r="C13" s="289" t="n">
        <v>-0.04</v>
      </c>
      <c r="D13" s="289" t="n">
        <v>-0.015</v>
      </c>
      <c r="E13" s="289" t="n">
        <v>-0.005</v>
      </c>
      <c r="F13" s="289" t="n">
        <v>0</v>
      </c>
      <c r="G13" s="289" t="n">
        <v>0</v>
      </c>
    </row>
    <row r="14" customFormat="false" ht="15" hidden="false" customHeight="true" outlineLevel="0" collapsed="false">
      <c r="A14" s="285" t="s">
        <v>1841</v>
      </c>
      <c r="B14" s="285"/>
      <c r="C14" s="291" t="n">
        <f aca="false">C10+C11*C12+C13</f>
        <v>0.0021</v>
      </c>
      <c r="D14" s="291" t="n">
        <f aca="false">D10+D11*D12+D13</f>
        <v>0.0291</v>
      </c>
      <c r="E14" s="291" t="n">
        <f aca="false">E10+E11*E12+E13</f>
        <v>0.0401</v>
      </c>
      <c r="F14" s="291" t="n">
        <f aca="false">F10+F11*F12+F13</f>
        <v>0.0451</v>
      </c>
      <c r="G14" s="291" t="n">
        <f aca="false">G10+G11*G12+G13</f>
        <v>0.0451</v>
      </c>
    </row>
    <row r="15" customFormat="false" ht="15" hidden="false" customHeight="true" outlineLevel="0" collapsed="false">
      <c r="A15" s="286" t="s">
        <v>2676</v>
      </c>
      <c r="B15" s="286"/>
      <c r="C15" s="289" t="n">
        <v>-0.03</v>
      </c>
      <c r="D15" s="289" t="n">
        <v>-0.02</v>
      </c>
      <c r="E15" s="289" t="n">
        <v>-0.0125</v>
      </c>
      <c r="F15" s="289" t="n">
        <v>-0.01</v>
      </c>
      <c r="G15" s="289" t="n">
        <v>-0.0075</v>
      </c>
    </row>
    <row r="16" customFormat="false" ht="15" hidden="false" customHeight="true" outlineLevel="0" collapsed="false">
      <c r="A16" s="286" t="s">
        <v>2677</v>
      </c>
      <c r="B16" s="286"/>
      <c r="C16" s="289" t="n">
        <v>-0.01</v>
      </c>
      <c r="D16" s="289" t="n">
        <v>-0.005</v>
      </c>
      <c r="E16" s="289" t="n">
        <v>0</v>
      </c>
      <c r="F16" s="289" t="n">
        <v>0</v>
      </c>
      <c r="G16" s="289" t="n">
        <v>0</v>
      </c>
    </row>
    <row r="17" customFormat="false" ht="15" hidden="false" customHeight="true" outlineLevel="0" collapsed="false">
      <c r="A17" s="286" t="s">
        <v>2678</v>
      </c>
      <c r="B17" s="286"/>
      <c r="C17" s="289" t="n">
        <v>-0.003</v>
      </c>
      <c r="D17" s="289" t="n">
        <v>-0.002</v>
      </c>
      <c r="E17" s="289" t="n">
        <v>-0.001</v>
      </c>
      <c r="F17" s="289" t="n">
        <v>0</v>
      </c>
      <c r="G17" s="289" t="n">
        <v>0</v>
      </c>
    </row>
    <row r="18" customFormat="false" ht="15" hidden="false" customHeight="true" outlineLevel="0" collapsed="false">
      <c r="A18" s="286" t="s">
        <v>2679</v>
      </c>
      <c r="B18" s="286"/>
      <c r="C18" s="289" t="n">
        <v>-0.002</v>
      </c>
      <c r="D18" s="289" t="n">
        <v>-0.003</v>
      </c>
      <c r="E18" s="289" t="n">
        <v>-0.001</v>
      </c>
      <c r="F18" s="289" t="n">
        <v>0</v>
      </c>
      <c r="G18" s="289" t="n">
        <v>0</v>
      </c>
    </row>
    <row r="19" customFormat="false" ht="15" hidden="false" customHeight="true" outlineLevel="0" collapsed="false">
      <c r="A19" s="286" t="s">
        <v>2680</v>
      </c>
      <c r="B19" s="286"/>
      <c r="C19" s="289" t="n">
        <v>0.002</v>
      </c>
      <c r="D19" s="289" t="n">
        <v>0.003</v>
      </c>
      <c r="E19" s="289" t="n">
        <v>0.003</v>
      </c>
      <c r="F19" s="289" t="n">
        <v>0.002</v>
      </c>
      <c r="G19" s="289" t="n">
        <v>0.002</v>
      </c>
    </row>
    <row r="20" customFormat="false" ht="15" hidden="false" customHeight="true" outlineLevel="0" collapsed="false">
      <c r="A20" s="286" t="s">
        <v>2681</v>
      </c>
      <c r="B20" s="286"/>
      <c r="C20" s="289" t="n">
        <v>0.003</v>
      </c>
      <c r="D20" s="289" t="n">
        <v>0.004</v>
      </c>
      <c r="E20" s="289" t="n">
        <v>0.005</v>
      </c>
      <c r="F20" s="289" t="n">
        <v>0.005</v>
      </c>
      <c r="G20" s="289" t="n">
        <v>0.005</v>
      </c>
    </row>
    <row r="21" customFormat="false" ht="15" hidden="false" customHeight="true" outlineLevel="0" collapsed="false">
      <c r="A21" s="286" t="s">
        <v>2682</v>
      </c>
      <c r="B21" s="286"/>
      <c r="C21" s="289" t="n">
        <v>-0.002</v>
      </c>
      <c r="D21" s="289" t="n">
        <v>-0.002</v>
      </c>
      <c r="E21" s="289" t="n">
        <v>-0.001</v>
      </c>
      <c r="F21" s="289" t="n">
        <v>0</v>
      </c>
      <c r="G21" s="289" t="n">
        <v>0</v>
      </c>
    </row>
    <row r="22" customFormat="false" ht="15" hidden="false" customHeight="true" outlineLevel="0" collapsed="false">
      <c r="A22" s="286" t="s">
        <v>2683</v>
      </c>
      <c r="B22" s="286"/>
      <c r="C22" s="289" t="n">
        <v>0.001</v>
      </c>
      <c r="D22" s="289" t="n">
        <v>0.002</v>
      </c>
      <c r="E22" s="289" t="n">
        <v>0.002</v>
      </c>
      <c r="F22" s="289" t="n">
        <v>0.002</v>
      </c>
      <c r="G22" s="289" t="n">
        <v>0.002</v>
      </c>
    </row>
    <row r="23" customFormat="false" ht="15" hidden="false" customHeight="true" outlineLevel="0" collapsed="false">
      <c r="A23" s="285" t="s">
        <v>1850</v>
      </c>
      <c r="B23" s="285"/>
      <c r="C23" s="291" t="n">
        <f aca="false">C14+SUM(C15:C22)+Escenarios!$O$8</f>
        <v>-0.0389</v>
      </c>
      <c r="D23" s="291" t="n">
        <f aca="false">D14+SUM(D15:D22)+Escenarios!$O$8</f>
        <v>0.0061</v>
      </c>
      <c r="E23" s="291" t="n">
        <f aca="false">E14+SUM(E15:E22)+Escenarios!$O$8</f>
        <v>0.0346</v>
      </c>
      <c r="F23" s="291" t="n">
        <f aca="false">F14+SUM(F15:F22)+Escenarios!$O$8</f>
        <v>0.0441</v>
      </c>
      <c r="G23" s="291" t="n">
        <f aca="false">G14+SUM(G15:G22)+Escenarios!$O$8</f>
        <v>0.0466</v>
      </c>
    </row>
    <row r="24" customFormat="false" ht="15" hidden="false" customHeight="true" outlineLevel="0" collapsed="false">
      <c r="A24" s="288"/>
      <c r="B24" s="288"/>
      <c r="C24" s="288"/>
      <c r="D24" s="288"/>
      <c r="E24" s="288"/>
      <c r="F24" s="288"/>
      <c r="G24" s="288"/>
    </row>
    <row r="25" customFormat="false" ht="15" hidden="false" customHeight="true" outlineLevel="0" collapsed="false">
      <c r="A25" s="285" t="s">
        <v>1851</v>
      </c>
      <c r="B25" s="285" t="s">
        <v>1428</v>
      </c>
      <c r="C25" s="285" t="s">
        <v>1429</v>
      </c>
      <c r="D25" s="285" t="s">
        <v>1430</v>
      </c>
      <c r="E25" s="285" t="s">
        <v>1431</v>
      </c>
      <c r="F25" s="285" t="s">
        <v>1432</v>
      </c>
      <c r="G25" s="285" t="s">
        <v>1433</v>
      </c>
    </row>
    <row r="26" customFormat="false" ht="15" hidden="false" customHeight="true" outlineLevel="0" collapsed="false">
      <c r="A26" s="286" t="s">
        <v>1852</v>
      </c>
      <c r="B26" s="292" t="n">
        <f aca="false">'MC Soriana'!G6</f>
        <v>174278</v>
      </c>
      <c r="C26" s="292" t="n">
        <f aca="false">'MC Soriana'!F6</f>
        <v>163936.6</v>
      </c>
      <c r="D26" s="292" t="n">
        <f aca="false">C26+16*('MC Soriana'!$C$6-'MC Soriana'!$B$6)</f>
        <v>153151</v>
      </c>
      <c r="E26" s="292" t="n">
        <f aca="false">D26+16*('MC Soriana'!$C$6-'MC Soriana'!$B$6)</f>
        <v>142365.4</v>
      </c>
      <c r="F26" s="292" t="n">
        <f aca="false">E26+16*('MC Soriana'!$C$6-'MC Soriana'!$B$6)</f>
        <v>131579.8</v>
      </c>
      <c r="G26" s="292" t="n">
        <f aca="false">F26+16*('MC Soriana'!$C$6-'MC Soriana'!$B$6)</f>
        <v>120794.2</v>
      </c>
    </row>
    <row r="27" customFormat="false" ht="15" hidden="false" customHeight="true" outlineLevel="0" collapsed="false">
      <c r="A27" s="286" t="s">
        <v>1853</v>
      </c>
      <c r="B27" s="286"/>
      <c r="C27" s="287" t="n">
        <f aca="false">C26/B26-1</f>
        <v>-0.0593385280987848</v>
      </c>
      <c r="D27" s="287" t="n">
        <f aca="false">D26/C26-1</f>
        <v>-0.0657912876075262</v>
      </c>
      <c r="E27" s="287" t="n">
        <f aca="false">E26/D26-1</f>
        <v>-0.0704246136166266</v>
      </c>
      <c r="F27" s="287" t="n">
        <f aca="false">F26/E26-1</f>
        <v>-0.0757599810066209</v>
      </c>
      <c r="G27" s="287" t="n">
        <f aca="false">G26/F26-1</f>
        <v>-0.0819700288342129</v>
      </c>
    </row>
    <row r="28" customFormat="false" ht="15" hidden="false" customHeight="true" outlineLevel="0" collapsed="false">
      <c r="A28" s="285" t="s">
        <v>1854</v>
      </c>
      <c r="B28" s="285"/>
      <c r="C28" s="293" t="n">
        <f aca="false">C$6*C23+C$7*C27</f>
        <v>-0.0450315584296355</v>
      </c>
      <c r="D28" s="293" t="n">
        <f aca="false">D$6*D23+D$7*D27</f>
        <v>-0.0154673862822579</v>
      </c>
      <c r="E28" s="293" t="n">
        <f aca="false">E$6*E23+E$7*E27</f>
        <v>0.00834384659584337</v>
      </c>
      <c r="F28" s="293" t="n">
        <f aca="false">F$6*F23+F$7*F27</f>
        <v>0.0201280037986758</v>
      </c>
      <c r="G28" s="293" t="n">
        <f aca="false">G$6*G23+G$7*G27</f>
        <v>0.0273144956748681</v>
      </c>
    </row>
    <row r="29" customFormat="false" ht="15" hidden="false" customHeight="true" outlineLevel="0" collapsed="false">
      <c r="A29" s="288"/>
      <c r="B29" s="288"/>
      <c r="C29" s="288"/>
      <c r="D29" s="288"/>
      <c r="E29" s="288"/>
      <c r="F29" s="288"/>
      <c r="G29" s="288"/>
    </row>
    <row r="30" customFormat="false" ht="15" hidden="false" customHeight="true" outlineLevel="0" collapsed="false">
      <c r="A30" s="285" t="s">
        <v>1855</v>
      </c>
      <c r="B30" s="285" t="s">
        <v>1428</v>
      </c>
      <c r="C30" s="285" t="s">
        <v>1429</v>
      </c>
      <c r="D30" s="285" t="s">
        <v>1430</v>
      </c>
      <c r="E30" s="285" t="s">
        <v>1431</v>
      </c>
      <c r="F30" s="285" t="s">
        <v>1432</v>
      </c>
      <c r="G30" s="285" t="s">
        <v>1433</v>
      </c>
    </row>
    <row r="31" customFormat="false" ht="15" hidden="false" customHeight="true" outlineLevel="0" collapsed="false">
      <c r="A31" s="286" t="s">
        <v>1857</v>
      </c>
      <c r="B31" s="289" t="n">
        <f aca="false">Valuación!B10</f>
        <v>0.042542883699969</v>
      </c>
      <c r="C31" s="289" t="n">
        <f aca="false">B31+SUM(C32:C39)</f>
        <v>0.043742883699969</v>
      </c>
      <c r="D31" s="289" t="n">
        <f aca="false">C31+SUM(D32:D39)</f>
        <v>0.043442883699969</v>
      </c>
      <c r="E31" s="289" t="n">
        <f aca="false">D31+SUM(E32:E39)</f>
        <v>0.043742883699969</v>
      </c>
      <c r="F31" s="289" t="n">
        <f aca="false">E31+SUM(F32:F39)</f>
        <v>0.044042883699969</v>
      </c>
      <c r="G31" s="289" t="n">
        <f aca="false">F31+SUM(G32:G39)</f>
        <v>0.044342883699969</v>
      </c>
    </row>
    <row r="32" customFormat="false" ht="15" hidden="false" customHeight="true" outlineLevel="0" collapsed="false">
      <c r="A32" s="286" t="s">
        <v>2684</v>
      </c>
      <c r="B32" s="289"/>
      <c r="C32" s="289" t="n">
        <v>0.0055</v>
      </c>
      <c r="D32" s="289" t="n">
        <v>0.003</v>
      </c>
      <c r="E32" s="289" t="n">
        <v>0.002</v>
      </c>
      <c r="F32" s="289" t="n">
        <v>0.001</v>
      </c>
      <c r="G32" s="289" t="n">
        <v>0.001</v>
      </c>
    </row>
    <row r="33" customFormat="false" ht="15" hidden="false" customHeight="true" outlineLevel="0" collapsed="false">
      <c r="A33" s="286" t="s">
        <v>2685</v>
      </c>
      <c r="B33" s="289"/>
      <c r="C33" s="289" t="n">
        <v>-0.001</v>
      </c>
      <c r="D33" s="289" t="n">
        <v>-0.0015</v>
      </c>
      <c r="E33" s="289" t="n">
        <v>-0.0015</v>
      </c>
      <c r="F33" s="289" t="n">
        <v>-0.001</v>
      </c>
      <c r="G33" s="289" t="n">
        <v>-0.001</v>
      </c>
    </row>
    <row r="34" customFormat="false" ht="15" hidden="false" customHeight="true" outlineLevel="0" collapsed="false">
      <c r="A34" s="286" t="s">
        <v>2686</v>
      </c>
      <c r="B34" s="289"/>
      <c r="C34" s="289" t="n">
        <v>-0.0015</v>
      </c>
      <c r="D34" s="289" t="n">
        <v>-0.001</v>
      </c>
      <c r="E34" s="289" t="n">
        <v>-0.001</v>
      </c>
      <c r="F34" s="289" t="n">
        <v>-0.0005</v>
      </c>
      <c r="G34" s="289" t="n">
        <v>0</v>
      </c>
    </row>
    <row r="35" customFormat="false" ht="15" hidden="false" customHeight="true" outlineLevel="0" collapsed="false">
      <c r="A35" s="286" t="s">
        <v>2687</v>
      </c>
      <c r="B35" s="289"/>
      <c r="C35" s="289" t="n">
        <v>-0.0005</v>
      </c>
      <c r="D35" s="289" t="n">
        <v>-0.0005</v>
      </c>
      <c r="E35" s="289" t="n">
        <v>0</v>
      </c>
      <c r="F35" s="289" t="n">
        <v>0</v>
      </c>
      <c r="G35" s="289" t="n">
        <v>0</v>
      </c>
    </row>
    <row r="36" customFormat="false" ht="15" hidden="false" customHeight="true" outlineLevel="0" collapsed="false">
      <c r="A36" s="286" t="s">
        <v>2688</v>
      </c>
      <c r="B36" s="289"/>
      <c r="C36" s="289" t="n">
        <v>-0.0005</v>
      </c>
      <c r="D36" s="289" t="n">
        <v>-0.0005</v>
      </c>
      <c r="E36" s="289" t="n">
        <v>0</v>
      </c>
      <c r="F36" s="289" t="n">
        <v>0</v>
      </c>
      <c r="G36" s="289" t="n">
        <v>0</v>
      </c>
    </row>
    <row r="37" customFormat="false" ht="15" hidden="false" customHeight="true" outlineLevel="0" collapsed="false">
      <c r="A37" s="286" t="s">
        <v>2689</v>
      </c>
      <c r="B37" s="289"/>
      <c r="C37" s="289" t="n">
        <v>-0.0003</v>
      </c>
      <c r="D37" s="289" t="n">
        <v>-0.0003</v>
      </c>
      <c r="E37" s="289" t="n">
        <v>-0.0002</v>
      </c>
      <c r="F37" s="289" t="n">
        <v>-0.0002</v>
      </c>
      <c r="G37" s="289" t="n">
        <v>-0.0002</v>
      </c>
    </row>
    <row r="38" customFormat="false" ht="15" hidden="false" customHeight="true" outlineLevel="0" collapsed="false">
      <c r="A38" s="286" t="s">
        <v>2690</v>
      </c>
      <c r="B38" s="289"/>
      <c r="C38" s="289" t="n">
        <v>0.0005</v>
      </c>
      <c r="D38" s="289" t="n">
        <v>0.001</v>
      </c>
      <c r="E38" s="289" t="n">
        <v>0.001</v>
      </c>
      <c r="F38" s="289" t="n">
        <v>0.001</v>
      </c>
      <c r="G38" s="289" t="n">
        <v>0.0005</v>
      </c>
    </row>
    <row r="39" customFormat="false" ht="15" hidden="false" customHeight="true" outlineLevel="0" collapsed="false">
      <c r="A39" s="286" t="s">
        <v>2691</v>
      </c>
      <c r="B39" s="289"/>
      <c r="C39" s="289" t="n">
        <v>-0.001</v>
      </c>
      <c r="D39" s="289" t="n">
        <v>-0.0005</v>
      </c>
      <c r="E39" s="289" t="n">
        <v>0</v>
      </c>
      <c r="F39" s="289" t="n">
        <v>0</v>
      </c>
      <c r="G39" s="289" t="n">
        <v>0</v>
      </c>
    </row>
    <row r="40" customFormat="false" ht="15" hidden="false" customHeight="true" outlineLevel="0" collapsed="false">
      <c r="A40" s="286" t="s">
        <v>1866</v>
      </c>
      <c r="B40" s="289"/>
      <c r="C40" s="289" t="n">
        <f aca="false">'MC Soriana'!$F$9</f>
        <v>0.0492556268703877</v>
      </c>
      <c r="D40" s="289" t="n">
        <f aca="false">'MC Soriana'!$F$9</f>
        <v>0.0492556268703877</v>
      </c>
      <c r="E40" s="289" t="n">
        <f aca="false">'MC Soriana'!$F$9</f>
        <v>0.0492556268703877</v>
      </c>
      <c r="F40" s="289" t="n">
        <f aca="false">'MC Soriana'!$F$9</f>
        <v>0.0492556268703877</v>
      </c>
      <c r="G40" s="289" t="n">
        <f aca="false">'MC Soriana'!$F$9</f>
        <v>0.0492556268703877</v>
      </c>
    </row>
    <row r="41" customFormat="false" ht="15" hidden="false" customHeight="true" outlineLevel="0" collapsed="false">
      <c r="A41" s="285" t="s">
        <v>1867</v>
      </c>
      <c r="B41" s="291"/>
      <c r="C41" s="291" t="n">
        <f aca="false">C$6*C31+C$7*C40+Escenarios!$O$9</f>
        <v>0.0453967066510946</v>
      </c>
      <c r="D41" s="291" t="n">
        <f aca="false">D$6*D31+D$7*D40+Escenarios!$O$9</f>
        <v>0.0451867066510946</v>
      </c>
      <c r="E41" s="291" t="n">
        <f aca="false">E$6*E31+E$7*E40+Escenarios!$O$9</f>
        <v>0.0451210694925737</v>
      </c>
      <c r="F41" s="291" t="n">
        <f aca="false">F$6*F31+F$7*F40+Escenarios!$O$9</f>
        <v>0.0450854323340528</v>
      </c>
      <c r="G41" s="291" t="n">
        <f aca="false">G$6*G31+G$7*G40+Escenarios!$O$9</f>
        <v>0.0450797951755318</v>
      </c>
    </row>
    <row r="42" customFormat="false" ht="15" hidden="false" customHeight="true" outlineLevel="0" collapsed="false">
      <c r="A42" s="288"/>
      <c r="B42" s="288"/>
      <c r="C42" s="288"/>
      <c r="D42" s="288"/>
      <c r="E42" s="288"/>
      <c r="F42" s="288"/>
      <c r="G42" s="288"/>
    </row>
    <row r="43" customFormat="false" ht="15" hidden="false" customHeight="true" outlineLevel="0" collapsed="false">
      <c r="A43" s="285" t="s">
        <v>1868</v>
      </c>
      <c r="B43" s="285" t="s">
        <v>1428</v>
      </c>
      <c r="C43" s="285" t="s">
        <v>1429</v>
      </c>
      <c r="D43" s="285" t="s">
        <v>1430</v>
      </c>
      <c r="E43" s="285" t="s">
        <v>1431</v>
      </c>
      <c r="F43" s="285" t="s">
        <v>1432</v>
      </c>
      <c r="G43" s="285" t="s">
        <v>1433</v>
      </c>
    </row>
    <row r="44" customFormat="false" ht="15" hidden="false" customHeight="true" outlineLevel="0" collapsed="false">
      <c r="A44" s="286" t="s">
        <v>1869</v>
      </c>
      <c r="B44" s="286"/>
      <c r="C44" s="289" t="n">
        <f aca="false">Valuación!$B$11</f>
        <v>0.0244599047967777</v>
      </c>
      <c r="D44" s="289" t="n">
        <f aca="false">Valuación!$B$11</f>
        <v>0.0244599047967777</v>
      </c>
      <c r="E44" s="289" t="n">
        <f aca="false">Valuación!$B$11</f>
        <v>0.0244599047967777</v>
      </c>
      <c r="F44" s="289" t="n">
        <f aca="false">Valuación!$B$11</f>
        <v>0.0244599047967777</v>
      </c>
      <c r="G44" s="289" t="n">
        <f aca="false">Valuación!$B$11</f>
        <v>0.0244599047967777</v>
      </c>
    </row>
    <row r="45" customFormat="false" ht="15" hidden="false" customHeight="true" outlineLevel="0" collapsed="false">
      <c r="A45" s="286" t="s">
        <v>1870</v>
      </c>
      <c r="B45" s="286"/>
      <c r="C45" s="289" t="n">
        <f aca="false">'MC Soriana'!$F$12/'MC Soriana'!$F$6</f>
        <v>0.024136242913419</v>
      </c>
      <c r="D45" s="289" t="n">
        <f aca="false">'MC Soriana'!$F$12/'MC Soriana'!$F$6</f>
        <v>0.024136242913419</v>
      </c>
      <c r="E45" s="289" t="n">
        <f aca="false">'MC Soriana'!$F$12/'MC Soriana'!$F$6</f>
        <v>0.024136242913419</v>
      </c>
      <c r="F45" s="289" t="n">
        <f aca="false">'MC Soriana'!$F$12/'MC Soriana'!$F$6</f>
        <v>0.024136242913419</v>
      </c>
      <c r="G45" s="289" t="n">
        <f aca="false">'MC Soriana'!$F$12/'MC Soriana'!$F$6</f>
        <v>0.024136242913419</v>
      </c>
    </row>
    <row r="46" customFormat="false" ht="15" hidden="false" customHeight="true" outlineLevel="0" collapsed="false">
      <c r="A46" s="286" t="s">
        <v>1871</v>
      </c>
      <c r="B46" s="286"/>
      <c r="C46" s="289" t="n">
        <f aca="false">C$6*C44+C$7*C45</f>
        <v>0.0243628062317701</v>
      </c>
      <c r="D46" s="289" t="n">
        <f aca="false">D$6*D44+D$7*D45</f>
        <v>0.0243628062317701</v>
      </c>
      <c r="E46" s="289" t="n">
        <f aca="false">E$6*E44+E$7*E45</f>
        <v>0.024378989325938</v>
      </c>
      <c r="F46" s="289" t="n">
        <f aca="false">F$6*F44+F$7*F45</f>
        <v>0.024395172420106</v>
      </c>
      <c r="G46" s="289" t="n">
        <f aca="false">G$6*G44+G$7*G45</f>
        <v>0.0244113555142739</v>
      </c>
    </row>
    <row r="47" customFormat="false" ht="15" hidden="false" customHeight="true" outlineLevel="0" collapsed="false">
      <c r="A47" s="286" t="s">
        <v>1872</v>
      </c>
      <c r="B47" s="286"/>
      <c r="C47" s="292" t="n">
        <v>4000</v>
      </c>
      <c r="D47" s="292"/>
      <c r="E47" s="292"/>
      <c r="F47" s="292"/>
      <c r="G47" s="292"/>
    </row>
    <row r="48" customFormat="false" ht="15" hidden="false" customHeight="true" outlineLevel="0" collapsed="false">
      <c r="A48" s="286" t="s">
        <v>1873</v>
      </c>
      <c r="B48" s="286"/>
      <c r="C48" s="289"/>
      <c r="D48" s="289" t="n">
        <v>0.003</v>
      </c>
      <c r="E48" s="289" t="n">
        <v>0.003</v>
      </c>
      <c r="F48" s="289" t="n">
        <v>0.003</v>
      </c>
      <c r="G48" s="289" t="n">
        <v>0.003</v>
      </c>
    </row>
    <row r="49" customFormat="false" ht="15" hidden="false" customHeight="true" outlineLevel="0" collapsed="false">
      <c r="A49" s="286" t="s">
        <v>1874</v>
      </c>
      <c r="B49" s="286"/>
      <c r="C49" s="289" t="n">
        <f aca="false">C47/C67</f>
        <v>0.0235958656470585</v>
      </c>
      <c r="D49" s="289" t="n">
        <f aca="false">Valuación!$B$12*(1+'Variables Externas'!$J$22)+D48</f>
        <v>0.0195545165197307</v>
      </c>
      <c r="E49" s="289" t="n">
        <f aca="false">Valuación!$B$12*(1+'Variables Externas'!$J$22)+E48</f>
        <v>0.0195545165197307</v>
      </c>
      <c r="F49" s="289" t="n">
        <f aca="false">Valuación!$B$12*(1+'Variables Externas'!$J$22)+F48</f>
        <v>0.0195545165197307</v>
      </c>
      <c r="G49" s="289" t="n">
        <f aca="false">Valuación!$B$12*(1+'Variables Externas'!$J$22)+G48</f>
        <v>0.0195545165197307</v>
      </c>
    </row>
    <row r="50" customFormat="false" ht="15" hidden="false" customHeight="true" outlineLevel="0" collapsed="false">
      <c r="A50" s="286" t="s">
        <v>1875</v>
      </c>
      <c r="B50" s="286"/>
      <c r="C50" s="289" t="n">
        <f aca="false">'MC Soriana'!$F$13/'MC Soriana'!$F$6</f>
        <v>0.0202932109120233</v>
      </c>
      <c r="D50" s="289" t="n">
        <f aca="false">'MC Soriana'!$F$13/'MC Soriana'!$F$6</f>
        <v>0.0202932109120233</v>
      </c>
      <c r="E50" s="289" t="n">
        <f aca="false">'MC Soriana'!$F$13/'MC Soriana'!$F$6</f>
        <v>0.0202932109120233</v>
      </c>
      <c r="F50" s="289" t="n">
        <f aca="false">'MC Soriana'!$F$13/'MC Soriana'!$F$6</f>
        <v>0.0202932109120233</v>
      </c>
      <c r="G50" s="289" t="n">
        <f aca="false">'MC Soriana'!$F$13/'MC Soriana'!$F$6</f>
        <v>0.0202932109120233</v>
      </c>
    </row>
    <row r="51" customFormat="false" ht="15" hidden="false" customHeight="true" outlineLevel="0" collapsed="false">
      <c r="A51" s="285" t="s">
        <v>1876</v>
      </c>
      <c r="B51" s="285"/>
      <c r="C51" s="291" t="n">
        <f aca="false">C$6*C49+C$7*C50</f>
        <v>0.0226050692265479</v>
      </c>
      <c r="D51" s="291" t="n">
        <f aca="false">D$6*D49+D$7*D50</f>
        <v>0.0197761248374185</v>
      </c>
      <c r="E51" s="291" t="n">
        <f aca="false">E$6*E49+E$7*E50</f>
        <v>0.0197391901178039</v>
      </c>
      <c r="F51" s="291" t="n">
        <f aca="false">F$6*F49+F$7*F50</f>
        <v>0.0197022553981892</v>
      </c>
      <c r="G51" s="291" t="n">
        <f aca="false">G$6*G49+G$7*G50</f>
        <v>0.0196653206785746</v>
      </c>
    </row>
    <row r="52" customFormat="false" ht="15" hidden="false" customHeight="true" outlineLevel="0" collapsed="false">
      <c r="A52" s="286" t="s">
        <v>1877</v>
      </c>
      <c r="B52" s="286"/>
      <c r="C52" s="289" t="n">
        <v>0</v>
      </c>
      <c r="D52" s="289" t="n">
        <v>0.005</v>
      </c>
      <c r="E52" s="289" t="n">
        <v>0.005</v>
      </c>
      <c r="F52" s="289" t="n">
        <v>0.005</v>
      </c>
      <c r="G52" s="289" t="n">
        <v>0.005</v>
      </c>
    </row>
    <row r="53" customFormat="false" ht="15" hidden="false" customHeight="true" outlineLevel="0" collapsed="false">
      <c r="A53" s="286" t="s">
        <v>1878</v>
      </c>
      <c r="B53" s="286"/>
      <c r="C53" s="289" t="n">
        <f aca="false">WACC!$B$10+C52</f>
        <v>0.3</v>
      </c>
      <c r="D53" s="289" t="n">
        <f aca="false">WACC!$B$10+D52</f>
        <v>0.305</v>
      </c>
      <c r="E53" s="289" t="n">
        <f aca="false">WACC!$B$10+E52</f>
        <v>0.305</v>
      </c>
      <c r="F53" s="289" t="n">
        <f aca="false">WACC!$B$10+F52</f>
        <v>0.305</v>
      </c>
      <c r="G53" s="289" t="n">
        <f aca="false">WACC!$B$10+G52</f>
        <v>0.305</v>
      </c>
    </row>
    <row r="54" customFormat="false" ht="15" hidden="false" customHeight="true" outlineLevel="0" collapsed="false">
      <c r="A54" s="286" t="s">
        <v>1879</v>
      </c>
      <c r="B54" s="286"/>
      <c r="C54" s="289" t="n">
        <f aca="false">'MC Soriana'!$F$10</f>
        <v>0.191734007304675</v>
      </c>
      <c r="D54" s="289" t="n">
        <f aca="false">'MC Soriana'!$F$10</f>
        <v>0.191734007304675</v>
      </c>
      <c r="E54" s="289" t="n">
        <f aca="false">'MC Soriana'!$F$10</f>
        <v>0.191734007304675</v>
      </c>
      <c r="F54" s="289" t="n">
        <f aca="false">'MC Soriana'!$F$10</f>
        <v>0.191734007304675</v>
      </c>
      <c r="G54" s="289" t="n">
        <f aca="false">'MC Soriana'!$F$10</f>
        <v>0.191734007304675</v>
      </c>
    </row>
    <row r="55" customFormat="false" ht="15" hidden="false" customHeight="true" outlineLevel="0" collapsed="false">
      <c r="A55" s="285" t="s">
        <v>1880</v>
      </c>
      <c r="B55" s="285"/>
      <c r="C55" s="291" t="n">
        <f aca="false">C$6*C53+C$7*C54</f>
        <v>0.267520202191403</v>
      </c>
      <c r="D55" s="291" t="n">
        <f aca="false">D$6*D53+D$7*D54</f>
        <v>0.271020202191403</v>
      </c>
      <c r="E55" s="291" t="n">
        <f aca="false">E$6*E53+E$7*E54</f>
        <v>0.276683501826169</v>
      </c>
      <c r="F55" s="291" t="n">
        <f aca="false">F$6*F53+F$7*F54</f>
        <v>0.282346801460935</v>
      </c>
      <c r="G55" s="291" t="n">
        <f aca="false">G$6*G53+G$7*G54</f>
        <v>0.288010101095701</v>
      </c>
    </row>
    <row r="56" customFormat="false" ht="15" hidden="false" customHeight="true" outlineLevel="0" collapsed="false">
      <c r="A56" s="286" t="s">
        <v>1467</v>
      </c>
      <c r="B56" s="294" t="n">
        <f aca="false">Datos!G18/Datos!G7*365</f>
        <v>87.4443050938019</v>
      </c>
      <c r="C56" s="294" t="n">
        <v>88</v>
      </c>
      <c r="D56" s="294" t="n">
        <v>88</v>
      </c>
      <c r="E56" s="294" t="n">
        <v>87</v>
      </c>
      <c r="F56" s="294" t="n">
        <v>87</v>
      </c>
      <c r="G56" s="294" t="n">
        <v>87</v>
      </c>
    </row>
    <row r="57" customFormat="false" ht="15" hidden="false" customHeight="true" outlineLevel="0" collapsed="false">
      <c r="A57" s="286" t="s">
        <v>1468</v>
      </c>
      <c r="B57" s="295" t="n">
        <f aca="false">(Datos!G19-Datos!G17-Datos!G18)/Datos!G6</f>
        <v>0.0391572543165366</v>
      </c>
      <c r="C57" s="295" t="n">
        <f aca="false">$B57</f>
        <v>0.0391572543165366</v>
      </c>
      <c r="D57" s="295" t="n">
        <f aca="false">$B57</f>
        <v>0.0391572543165366</v>
      </c>
      <c r="E57" s="295" t="n">
        <f aca="false">$B57</f>
        <v>0.0391572543165366</v>
      </c>
      <c r="F57" s="295" t="n">
        <f aca="false">$B57</f>
        <v>0.0391572543165366</v>
      </c>
      <c r="G57" s="295" t="n">
        <f aca="false">$B57</f>
        <v>0.0391572543165366</v>
      </c>
    </row>
    <row r="58" customFormat="false" ht="15" hidden="false" customHeight="true" outlineLevel="0" collapsed="false">
      <c r="A58" s="286" t="s">
        <v>1469</v>
      </c>
      <c r="B58" s="295" t="n">
        <f aca="false">(Datos!G21-Datos!G25-Datos!G27)/Datos!G6</f>
        <v>0.200225333070445</v>
      </c>
      <c r="C58" s="295" t="n">
        <f aca="false">$B58</f>
        <v>0.200225333070445</v>
      </c>
      <c r="D58" s="295" t="n">
        <f aca="false">$B58</f>
        <v>0.200225333070445</v>
      </c>
      <c r="E58" s="295" t="n">
        <f aca="false">$B58</f>
        <v>0.200225333070445</v>
      </c>
      <c r="F58" s="295" t="n">
        <f aca="false">$B58</f>
        <v>0.200225333070445</v>
      </c>
      <c r="G58" s="295" t="n">
        <f aca="false">$B58</f>
        <v>0.200225333070445</v>
      </c>
    </row>
    <row r="59" customFormat="false" ht="15" hidden="false" customHeight="true" outlineLevel="0" collapsed="false">
      <c r="A59" s="286" t="s">
        <v>1464</v>
      </c>
      <c r="B59" s="295" t="n">
        <f aca="false">Datos!G7/Datos!G6</f>
        <v>0.759102047714278</v>
      </c>
      <c r="C59" s="295" t="n">
        <v>0.756</v>
      </c>
      <c r="D59" s="295" t="n">
        <v>0.757</v>
      </c>
      <c r="E59" s="295" t="n">
        <v>0.758</v>
      </c>
      <c r="F59" s="295" t="n">
        <v>0.758</v>
      </c>
      <c r="G59" s="295" t="n">
        <v>0.758</v>
      </c>
    </row>
    <row r="60" customFormat="false" ht="15" hidden="false" customHeight="true" outlineLevel="0" collapsed="false">
      <c r="A60" s="286" t="s">
        <v>1465</v>
      </c>
      <c r="B60" s="295" t="n">
        <f aca="false">-B70/B67</f>
        <v>0.173900797115737</v>
      </c>
      <c r="C60" s="295" t="n">
        <f aca="false">1-C59-C46-C41</f>
        <v>0.174240487117135</v>
      </c>
      <c r="D60" s="295" t="n">
        <f aca="false">1-D59-D46-D41</f>
        <v>0.173450487117135</v>
      </c>
      <c r="E60" s="295" t="n">
        <f aca="false">1-E59-E46-E41</f>
        <v>0.172499941181488</v>
      </c>
      <c r="F60" s="295" t="n">
        <f aca="false">1-F59-F46-F41</f>
        <v>0.172519395245841</v>
      </c>
      <c r="G60" s="295" t="n">
        <f aca="false">1-G59-G46-G41</f>
        <v>0.172508849310194</v>
      </c>
    </row>
    <row r="61" customFormat="false" ht="15" hidden="false" customHeight="true" outlineLevel="0" collapsed="false">
      <c r="A61" s="286" t="s">
        <v>1466</v>
      </c>
      <c r="B61" s="296" t="n">
        <f aca="false">Datos!G10/(Datos!G25+Datos!G26+Datos!G27+Datos!G28)</f>
        <v>0.130154966550936</v>
      </c>
      <c r="C61" s="296" t="n">
        <v>0.1</v>
      </c>
      <c r="D61" s="296" t="n">
        <v>0.0975</v>
      </c>
      <c r="E61" s="296" t="n">
        <v>0.0975</v>
      </c>
      <c r="F61" s="296" t="n">
        <v>0.0975</v>
      </c>
      <c r="G61" s="296" t="n">
        <v>0.0975</v>
      </c>
    </row>
    <row r="62" customFormat="false" ht="15" hidden="false" customHeight="true" outlineLevel="0" collapsed="false">
      <c r="A62" s="286" t="s">
        <v>1881</v>
      </c>
      <c r="B62" s="297"/>
      <c r="C62" s="297" t="n">
        <v>0</v>
      </c>
      <c r="D62" s="297" t="n">
        <v>-1500</v>
      </c>
      <c r="E62" s="297" t="n">
        <v>-1500</v>
      </c>
      <c r="F62" s="297" t="n">
        <v>-1500</v>
      </c>
      <c r="G62" s="297" t="n">
        <v>-1500</v>
      </c>
    </row>
    <row r="63" customFormat="false" ht="15" hidden="false" customHeight="true" outlineLevel="0" collapsed="false">
      <c r="A63" s="286" t="s">
        <v>1470</v>
      </c>
      <c r="B63" s="295" t="n">
        <f aca="false">'Proyección Soriana'!B14</f>
        <v>0.300144057623049</v>
      </c>
      <c r="C63" s="295" t="n">
        <f aca="false">$B63</f>
        <v>0.300144057623049</v>
      </c>
      <c r="D63" s="295" t="n">
        <f aca="false">$B63</f>
        <v>0.300144057623049</v>
      </c>
      <c r="E63" s="295" t="n">
        <f aca="false">$B63</f>
        <v>0.300144057623049</v>
      </c>
      <c r="F63" s="295" t="n">
        <f aca="false">$B63</f>
        <v>0.300144057623049</v>
      </c>
      <c r="G63" s="295" t="n">
        <f aca="false">$B63</f>
        <v>0.300144057623049</v>
      </c>
    </row>
    <row r="64" customFormat="false" ht="15" hidden="false" customHeight="true" outlineLevel="0" collapsed="false">
      <c r="A64" s="298"/>
      <c r="B64" s="298"/>
      <c r="C64" s="298"/>
      <c r="D64" s="298"/>
      <c r="E64" s="298"/>
      <c r="F64" s="298"/>
      <c r="G64" s="298"/>
    </row>
    <row r="65" customFormat="false" ht="15" hidden="false" customHeight="true" outlineLevel="0" collapsed="false">
      <c r="A65" s="348" t="s">
        <v>1882</v>
      </c>
      <c r="B65" s="298"/>
      <c r="C65" s="298"/>
      <c r="D65" s="298"/>
      <c r="E65" s="298"/>
      <c r="F65" s="298"/>
      <c r="G65" s="298"/>
    </row>
    <row r="66" customFormat="false" ht="15" hidden="false" customHeight="true" outlineLevel="0" collapsed="false">
      <c r="A66" s="285" t="s">
        <v>1884</v>
      </c>
      <c r="B66" s="300" t="s">
        <v>1428</v>
      </c>
      <c r="C66" s="300" t="s">
        <v>1429</v>
      </c>
      <c r="D66" s="300" t="s">
        <v>1430</v>
      </c>
      <c r="E66" s="300" t="s">
        <v>1431</v>
      </c>
      <c r="F66" s="300" t="s">
        <v>1432</v>
      </c>
      <c r="G66" s="300" t="s">
        <v>1433</v>
      </c>
    </row>
    <row r="67" customFormat="false" ht="15" hidden="false" customHeight="true" outlineLevel="0" collapsed="false">
      <c r="A67" s="286" t="s">
        <v>1442</v>
      </c>
      <c r="B67" s="297" t="n">
        <f aca="false">Datos!G6</f>
        <v>177515</v>
      </c>
      <c r="C67" s="297" t="n">
        <f aca="false">B67*(1+C28)</f>
        <v>169521.222905363</v>
      </c>
      <c r="D67" s="297" t="n">
        <f aca="false">C67*(1+D28)</f>
        <v>166899.172667645</v>
      </c>
      <c r="E67" s="297" t="n">
        <f aca="false">D67*(1+E28)</f>
        <v>168291.753761357</v>
      </c>
      <c r="F67" s="297" t="n">
        <f aca="false">E67*(1+F28)</f>
        <v>171679.130820352</v>
      </c>
      <c r="G67" s="297" t="n">
        <f aca="false">F67*(1+G28)</f>
        <v>176368.459696609</v>
      </c>
    </row>
    <row r="68" customFormat="false" ht="15" hidden="false" customHeight="true" outlineLevel="0" collapsed="false">
      <c r="A68" s="286" t="s">
        <v>86</v>
      </c>
      <c r="B68" s="297" t="n">
        <f aca="false">-Datos!G7</f>
        <v>-134752</v>
      </c>
      <c r="C68" s="297" t="n">
        <f aca="false">-C67*C59</f>
        <v>-128158.044516455</v>
      </c>
      <c r="D68" s="297" t="n">
        <f aca="false">-D67*D59</f>
        <v>-126342.673709407</v>
      </c>
      <c r="E68" s="297" t="n">
        <f aca="false">-E67*E59</f>
        <v>-127565.149351109</v>
      </c>
      <c r="F68" s="297" t="n">
        <f aca="false">-F67*F59</f>
        <v>-130132.781161827</v>
      </c>
      <c r="G68" s="297" t="n">
        <f aca="false">-G67*G59</f>
        <v>-133687.29245003</v>
      </c>
    </row>
    <row r="69" customFormat="false" ht="15" hidden="false" customHeight="true" outlineLevel="0" collapsed="false">
      <c r="A69" s="285" t="s">
        <v>80</v>
      </c>
      <c r="B69" s="301" t="n">
        <f aca="false">B67+B68</f>
        <v>42763</v>
      </c>
      <c r="C69" s="301" t="n">
        <f aca="false">C67+C68</f>
        <v>41363.1783889086</v>
      </c>
      <c r="D69" s="301" t="n">
        <f aca="false">D67+D68</f>
        <v>40556.4989582378</v>
      </c>
      <c r="E69" s="301" t="n">
        <f aca="false">E67+E68</f>
        <v>40726.6044102485</v>
      </c>
      <c r="F69" s="301" t="n">
        <f aca="false">F67+F68</f>
        <v>41546.3496585251</v>
      </c>
      <c r="G69" s="301" t="n">
        <f aca="false">G67+G68</f>
        <v>42681.1672465795</v>
      </c>
    </row>
    <row r="70" customFormat="false" ht="15" hidden="false" customHeight="true" outlineLevel="0" collapsed="false">
      <c r="A70" s="286" t="s">
        <v>1472</v>
      </c>
      <c r="B70" s="297" t="n">
        <f aca="false">-(Datos!G8-Datos!G9-Datos!G14)</f>
        <v>-30870</v>
      </c>
      <c r="C70" s="297" t="n">
        <f aca="false">-C67*C60</f>
        <v>-29537.460455723</v>
      </c>
      <c r="D70" s="297" t="n">
        <f aca="false">-D67*D60</f>
        <v>-28948.7427986499</v>
      </c>
      <c r="E70" s="297" t="n">
        <f aca="false">-E67*E60</f>
        <v>-29030.3176251636</v>
      </c>
      <c r="F70" s="297" t="n">
        <f aca="false">-F67*F60</f>
        <v>-29617.9798254587</v>
      </c>
      <c r="G70" s="297" t="n">
        <f aca="false">-G67*G60</f>
        <v>-30425.1200368734</v>
      </c>
    </row>
    <row r="71" customFormat="false" ht="15" hidden="false" customHeight="true" outlineLevel="0" collapsed="false">
      <c r="A71" s="285" t="s">
        <v>1473</v>
      </c>
      <c r="B71" s="301" t="n">
        <f aca="false">B69+B70</f>
        <v>11893</v>
      </c>
      <c r="C71" s="301" t="n">
        <f aca="false">C69+C70</f>
        <v>11825.7179331857</v>
      </c>
      <c r="D71" s="301" t="n">
        <f aca="false">D69+D70</f>
        <v>11607.7561595879</v>
      </c>
      <c r="E71" s="301" t="n">
        <f aca="false">E69+E70</f>
        <v>11696.2867850848</v>
      </c>
      <c r="F71" s="301" t="n">
        <f aca="false">F69+F70</f>
        <v>11928.3698330664</v>
      </c>
      <c r="G71" s="301" t="n">
        <f aca="false">G69+G70</f>
        <v>12256.047209706</v>
      </c>
    </row>
    <row r="72" customFormat="false" ht="15" hidden="false" customHeight="true" outlineLevel="0" collapsed="false">
      <c r="A72" s="286" t="s">
        <v>154</v>
      </c>
      <c r="B72" s="297" t="n">
        <f aca="false">-Datos!G14</f>
        <v>-4342</v>
      </c>
      <c r="C72" s="297" t="n">
        <f aca="false">-C67*C46</f>
        <v>-4130.01270581607</v>
      </c>
      <c r="D72" s="297" t="n">
        <f aca="false">-D67*D46</f>
        <v>-4066.13220394458</v>
      </c>
      <c r="E72" s="297" t="n">
        <f aca="false">-E67*E46</f>
        <v>-4102.78286859152</v>
      </c>
      <c r="F72" s="297" t="n">
        <f aca="false">-F67*F46</f>
        <v>-4188.14199729641</v>
      </c>
      <c r="G72" s="297" t="n">
        <f aca="false">-G67*G46</f>
        <v>-4305.39317115882</v>
      </c>
    </row>
    <row r="73" customFormat="false" ht="15" hidden="false" customHeight="true" outlineLevel="0" collapsed="false">
      <c r="A73" s="285" t="s">
        <v>81</v>
      </c>
      <c r="B73" s="301" t="n">
        <f aca="false">B71+B72</f>
        <v>7551</v>
      </c>
      <c r="C73" s="301" t="n">
        <f aca="false">C71+C72</f>
        <v>7695.70522736961</v>
      </c>
      <c r="D73" s="301" t="n">
        <f aca="false">D71+D72</f>
        <v>7541.62395564329</v>
      </c>
      <c r="E73" s="301" t="n">
        <f aca="false">E71+E72</f>
        <v>7593.5039164933</v>
      </c>
      <c r="F73" s="301" t="n">
        <f aca="false">F71+F72</f>
        <v>7740.22783576996</v>
      </c>
      <c r="G73" s="301" t="n">
        <f aca="false">G71+G72</f>
        <v>7950.65403854719</v>
      </c>
    </row>
    <row r="74" customFormat="false" ht="15" hidden="false" customHeight="true" outlineLevel="0" collapsed="false">
      <c r="A74" s="286" t="s">
        <v>88</v>
      </c>
      <c r="B74" s="297" t="n">
        <f aca="false">-Datos!G10</f>
        <v>-3074</v>
      </c>
      <c r="C74" s="297" t="n">
        <f aca="false">-C61*(B91+B92)</f>
        <v>-2361.8</v>
      </c>
      <c r="D74" s="297" t="n">
        <f aca="false">-D61*(C91+C92)</f>
        <v>-2302.755</v>
      </c>
      <c r="E74" s="297" t="n">
        <f aca="false">-E61*(D91+D92)</f>
        <v>-2156.505</v>
      </c>
      <c r="F74" s="297" t="n">
        <f aca="false">-F61*(E91+E92)</f>
        <v>-2010.255</v>
      </c>
      <c r="G74" s="297" t="n">
        <f aca="false">-G61*(F91+F92)</f>
        <v>-1864.005</v>
      </c>
    </row>
    <row r="75" customFormat="false" ht="15" hidden="false" customHeight="true" outlineLevel="0" collapsed="false">
      <c r="A75" s="286" t="s">
        <v>1474</v>
      </c>
      <c r="B75" s="297" t="n">
        <f aca="false">Datos!G11-Datos!G9+Datos!G10</f>
        <v>288</v>
      </c>
      <c r="C75" s="297" t="n">
        <v>0</v>
      </c>
      <c r="D75" s="297" t="n">
        <v>0</v>
      </c>
      <c r="E75" s="297" t="n">
        <v>0</v>
      </c>
      <c r="F75" s="297" t="n">
        <v>0</v>
      </c>
      <c r="G75" s="297" t="n">
        <v>0</v>
      </c>
    </row>
    <row r="76" customFormat="false" ht="15" hidden="false" customHeight="true" outlineLevel="0" collapsed="false">
      <c r="A76" s="286" t="s">
        <v>152</v>
      </c>
      <c r="B76" s="297" t="n">
        <f aca="false">B73+B74+B75</f>
        <v>4765</v>
      </c>
      <c r="C76" s="297" t="n">
        <f aca="false">C73+C74+C75</f>
        <v>5333.90522736961</v>
      </c>
      <c r="D76" s="297" t="n">
        <f aca="false">D73+D74+D75</f>
        <v>5238.86895564329</v>
      </c>
      <c r="E76" s="297" t="n">
        <f aca="false">E73+E74+E75</f>
        <v>5436.9989164933</v>
      </c>
      <c r="F76" s="297" t="n">
        <f aca="false">F73+F74+F75</f>
        <v>5729.97283576996</v>
      </c>
      <c r="G76" s="297" t="n">
        <f aca="false">G73+G74+G75</f>
        <v>6086.64903854719</v>
      </c>
    </row>
    <row r="77" customFormat="false" ht="15" hidden="false" customHeight="true" outlineLevel="0" collapsed="false">
      <c r="A77" s="286" t="s">
        <v>153</v>
      </c>
      <c r="B77" s="297" t="n">
        <f aca="false">-Datos!G12</f>
        <v>-1433</v>
      </c>
      <c r="C77" s="297" t="n">
        <f aca="false">-C76*C55</f>
        <v>-1426.9274048957</v>
      </c>
      <c r="D77" s="297" t="n">
        <f aca="false">-D76*D55</f>
        <v>-1419.83932361271</v>
      </c>
      <c r="E77" s="297" t="n">
        <f aca="false">-E76*E55</f>
        <v>-1504.32789964045</v>
      </c>
      <c r="F77" s="297" t="n">
        <f aca="false">-F76*F55</f>
        <v>-1617.83950263769</v>
      </c>
      <c r="G77" s="297" t="n">
        <f aca="false">-G76*G55</f>
        <v>-1753.01640492603</v>
      </c>
    </row>
    <row r="78" customFormat="false" ht="15" hidden="false" customHeight="true" outlineLevel="0" collapsed="false">
      <c r="A78" s="285" t="s">
        <v>89</v>
      </c>
      <c r="B78" s="301" t="n">
        <f aca="false">B76+B77</f>
        <v>3332</v>
      </c>
      <c r="C78" s="301" t="n">
        <f aca="false">C76+C77</f>
        <v>3906.97782247391</v>
      </c>
      <c r="D78" s="301" t="n">
        <f aca="false">D76+D77</f>
        <v>3819.02963203058</v>
      </c>
      <c r="E78" s="301" t="n">
        <f aca="false">E76+E77</f>
        <v>3932.67101685285</v>
      </c>
      <c r="F78" s="301" t="n">
        <f aca="false">F76+F77</f>
        <v>4112.13333313227</v>
      </c>
      <c r="G78" s="301" t="n">
        <f aca="false">G76+G77</f>
        <v>4333.63263362116</v>
      </c>
    </row>
    <row r="79" customFormat="false" ht="15" hidden="false" customHeight="true" outlineLevel="0" collapsed="false">
      <c r="A79" s="286" t="s">
        <v>1475</v>
      </c>
      <c r="B79" s="297"/>
      <c r="C79" s="297" t="n">
        <f aca="false">-C78*C63</f>
        <v>-1172.65617668058</v>
      </c>
      <c r="D79" s="297" t="n">
        <f aca="false">-D78*D63</f>
        <v>-1146.25904994032</v>
      </c>
      <c r="E79" s="297" t="n">
        <f aca="false">-E78*E63</f>
        <v>-1180.36783629478</v>
      </c>
      <c r="F79" s="297" t="n">
        <f aca="false">-F78*F63</f>
        <v>-1234.23238409331</v>
      </c>
      <c r="G79" s="297" t="n">
        <f aca="false">-G78*G63</f>
        <v>-1300.71408290272</v>
      </c>
    </row>
    <row r="80" customFormat="false" ht="15" hidden="false" customHeight="true" outlineLevel="0" collapsed="false">
      <c r="A80" s="286" t="s">
        <v>1885</v>
      </c>
      <c r="B80" s="295" t="n">
        <f aca="false">B71/B67</f>
        <v>0.0669971551699856</v>
      </c>
      <c r="C80" s="295" t="n">
        <f aca="false">C71/C67</f>
        <v>0.0697595128828648</v>
      </c>
      <c r="D80" s="295" t="n">
        <f aca="false">D71/D67</f>
        <v>0.0695495128828648</v>
      </c>
      <c r="E80" s="295" t="n">
        <f aca="false">E71/E67</f>
        <v>0.0695000588185117</v>
      </c>
      <c r="F80" s="295" t="n">
        <f aca="false">F71/F67</f>
        <v>0.0694806047541588</v>
      </c>
      <c r="G80" s="295" t="n">
        <f aca="false">G71/G67</f>
        <v>0.0694911506898058</v>
      </c>
    </row>
    <row r="81" customFormat="false" ht="15" hidden="false" customHeight="true" outlineLevel="0" collapsed="false">
      <c r="A81" s="286" t="s">
        <v>34</v>
      </c>
      <c r="B81" s="295" t="n">
        <f aca="false">B78/B67</f>
        <v>0.0187702447680478</v>
      </c>
      <c r="C81" s="295" t="n">
        <f aca="false">C78/C67</f>
        <v>0.0230471309462828</v>
      </c>
      <c r="D81" s="295" t="n">
        <f aca="false">D78/D67</f>
        <v>0.0228822562208598</v>
      </c>
      <c r="E81" s="295" t="n">
        <f aca="false">E78/E67</f>
        <v>0.0233681741912886</v>
      </c>
      <c r="F81" s="295" t="n">
        <f aca="false">F78/F67</f>
        <v>0.02395243564831</v>
      </c>
      <c r="G81" s="295" t="n">
        <f aca="false">G78/G67</f>
        <v>0.0245714717987327</v>
      </c>
    </row>
    <row r="82" customFormat="false" ht="15" hidden="false" customHeight="true" outlineLevel="0" collapsed="false">
      <c r="A82" s="298"/>
      <c r="B82" s="298"/>
      <c r="C82" s="298"/>
      <c r="D82" s="298"/>
      <c r="E82" s="298"/>
      <c r="F82" s="298"/>
      <c r="G82" s="298"/>
    </row>
    <row r="83" customFormat="false" ht="15" hidden="false" customHeight="true" outlineLevel="0" collapsed="false">
      <c r="A83" s="285" t="s">
        <v>1886</v>
      </c>
      <c r="B83" s="300" t="s">
        <v>1428</v>
      </c>
      <c r="C83" s="300" t="s">
        <v>1429</v>
      </c>
      <c r="D83" s="300" t="s">
        <v>1430</v>
      </c>
      <c r="E83" s="300" t="s">
        <v>1431</v>
      </c>
      <c r="F83" s="300" t="s">
        <v>1432</v>
      </c>
      <c r="G83" s="300" t="s">
        <v>1433</v>
      </c>
    </row>
    <row r="84" customFormat="false" ht="15" hidden="false" customHeight="true" outlineLevel="0" collapsed="false">
      <c r="A84" s="286" t="s">
        <v>13</v>
      </c>
      <c r="B84" s="297" t="n">
        <f aca="false">Datos!G17</f>
        <v>9295</v>
      </c>
      <c r="C84" s="297" t="n">
        <f aca="false">B84+C108</f>
        <v>12424.3751978225</v>
      </c>
      <c r="D84" s="297" t="n">
        <f aca="false">C84+D108</f>
        <v>14378.0089568858</v>
      </c>
      <c r="E84" s="297" t="n">
        <f aca="false">D84+E108</f>
        <v>16690.2121510789</v>
      </c>
      <c r="F84" s="297" t="n">
        <f aca="false">E84+F108</f>
        <v>18807.3764604079</v>
      </c>
      <c r="G84" s="297" t="n">
        <f aca="false">F84+G108</f>
        <v>21085.4073805949</v>
      </c>
    </row>
    <row r="85" customFormat="false" ht="15" hidden="false" customHeight="true" outlineLevel="0" collapsed="false">
      <c r="A85" s="286" t="s">
        <v>156</v>
      </c>
      <c r="B85" s="297" t="n">
        <f aca="false">Datos!G18</f>
        <v>32283</v>
      </c>
      <c r="C85" s="297" t="n">
        <f aca="false">-C68*C56/365</f>
        <v>30898.3778560219</v>
      </c>
      <c r="D85" s="297" t="n">
        <f aca="false">-D68*D56/365</f>
        <v>30460.6994148708</v>
      </c>
      <c r="E85" s="297" t="n">
        <f aca="false">-E68*E56/365</f>
        <v>30405.9397083465</v>
      </c>
      <c r="F85" s="297" t="n">
        <f aca="false">-F68*F56/365</f>
        <v>31017.9505782984</v>
      </c>
      <c r="G85" s="297" t="n">
        <f aca="false">-G68*G56/365</f>
        <v>31865.1902552126</v>
      </c>
    </row>
    <row r="86" customFormat="false" ht="15" hidden="false" customHeight="true" outlineLevel="0" collapsed="false">
      <c r="A86" s="286" t="s">
        <v>1477</v>
      </c>
      <c r="B86" s="297" t="n">
        <f aca="false">Datos!G19-Datos!G17-Datos!G18</f>
        <v>6951</v>
      </c>
      <c r="C86" s="297" t="n">
        <f aca="false">C67*C57</f>
        <v>6637.9856373556</v>
      </c>
      <c r="D86" s="297" t="n">
        <f aca="false">D67*D57</f>
        <v>6535.31334936655</v>
      </c>
      <c r="E86" s="297" t="n">
        <f aca="false">E67*E57</f>
        <v>6589.84300140943</v>
      </c>
      <c r="F86" s="297" t="n">
        <f aca="false">F67*F57</f>
        <v>6722.48338637447</v>
      </c>
      <c r="G86" s="297" t="n">
        <f aca="false">G67*G57</f>
        <v>6906.10462975597</v>
      </c>
    </row>
    <row r="87" customFormat="false" ht="15" hidden="false" customHeight="true" outlineLevel="0" collapsed="false">
      <c r="A87" s="285" t="s">
        <v>157</v>
      </c>
      <c r="B87" s="301" t="n">
        <f aca="false">SUM(B84:B86)</f>
        <v>48529</v>
      </c>
      <c r="C87" s="301" t="n">
        <f aca="false">SUM(C84:C86)</f>
        <v>49960.7386912001</v>
      </c>
      <c r="D87" s="301" t="n">
        <f aca="false">SUM(D84:D86)</f>
        <v>51374.0217211232</v>
      </c>
      <c r="E87" s="301" t="n">
        <f aca="false">SUM(E84:E86)</f>
        <v>53685.9948608348</v>
      </c>
      <c r="F87" s="301" t="n">
        <f aca="false">SUM(F84:F86)</f>
        <v>56547.8104250808</v>
      </c>
      <c r="G87" s="301" t="n">
        <f aca="false">SUM(G84:G86)</f>
        <v>59856.7022655635</v>
      </c>
    </row>
    <row r="88" customFormat="false" ht="15" hidden="false" customHeight="true" outlineLevel="0" collapsed="false">
      <c r="A88" s="286" t="s">
        <v>1478</v>
      </c>
      <c r="B88" s="297" t="n">
        <f aca="false">Datos!G20-Datos!G19</f>
        <v>107509</v>
      </c>
      <c r="C88" s="297" t="n">
        <f aca="false">B88-C104+C72</f>
        <v>107211.026273329</v>
      </c>
      <c r="D88" s="297" t="n">
        <f aca="false">C88-D104+D72</f>
        <v>106445.512943321</v>
      </c>
      <c r="E88" s="297" t="n">
        <f aca="false">D88-E104+E72</f>
        <v>105664.672997484</v>
      </c>
      <c r="F88" s="297" t="n">
        <f aca="false">E88-F104+F72</f>
        <v>104858.997082149</v>
      </c>
      <c r="G88" s="297" t="n">
        <f aca="false">F88-G104+G72</f>
        <v>104021.94622851</v>
      </c>
    </row>
    <row r="89" customFormat="false" ht="15" hidden="false" customHeight="true" outlineLevel="0" collapsed="false">
      <c r="A89" s="285" t="s">
        <v>92</v>
      </c>
      <c r="B89" s="301" t="n">
        <f aca="false">B87+B88</f>
        <v>156038</v>
      </c>
      <c r="C89" s="301" t="n">
        <f aca="false">C87+C88</f>
        <v>157171.764964529</v>
      </c>
      <c r="D89" s="301" t="n">
        <f aca="false">D87+D88</f>
        <v>157819.534664445</v>
      </c>
      <c r="E89" s="301" t="n">
        <f aca="false">E87+E88</f>
        <v>159350.667858319</v>
      </c>
      <c r="F89" s="301" t="n">
        <f aca="false">F87+F88</f>
        <v>161406.80750723</v>
      </c>
      <c r="G89" s="301" t="n">
        <f aca="false">G87+G88</f>
        <v>163878.648494074</v>
      </c>
    </row>
    <row r="90" customFormat="false" ht="15" hidden="false" customHeight="true" outlineLevel="0" collapsed="false">
      <c r="A90" s="286" t="s">
        <v>1479</v>
      </c>
      <c r="B90" s="297" t="n">
        <f aca="false">Datos!G21-Datos!G25-Datos!G27</f>
        <v>35543</v>
      </c>
      <c r="C90" s="297" t="n">
        <f aca="false">C67*C58</f>
        <v>33942.4433187355</v>
      </c>
      <c r="D90" s="297" t="n">
        <f aca="false">D67*D58</f>
        <v>33417.4424365609</v>
      </c>
      <c r="E90" s="297" t="n">
        <f aca="false">E67*E58</f>
        <v>33696.272449877</v>
      </c>
      <c r="F90" s="297" t="n">
        <f aca="false">F67*F58</f>
        <v>34374.5111497494</v>
      </c>
      <c r="G90" s="297" t="n">
        <f aca="false">G67*G58</f>
        <v>35313.4335858749</v>
      </c>
    </row>
    <row r="91" customFormat="false" ht="15" hidden="false" customHeight="true" outlineLevel="0" collapsed="false">
      <c r="A91" s="286" t="s">
        <v>1480</v>
      </c>
      <c r="B91" s="297" t="n">
        <f aca="false">Datos!G25+Datos!G26</f>
        <v>11500</v>
      </c>
      <c r="C91" s="297" t="n">
        <f aca="false">MAX(0,B91+C62)</f>
        <v>11500</v>
      </c>
      <c r="D91" s="297" t="n">
        <f aca="false">MAX(0,C91+D62)</f>
        <v>10000</v>
      </c>
      <c r="E91" s="297" t="n">
        <f aca="false">MAX(0,D91+E62)</f>
        <v>8500</v>
      </c>
      <c r="F91" s="297" t="n">
        <f aca="false">MAX(0,E91+F62)</f>
        <v>7000</v>
      </c>
      <c r="G91" s="297" t="n">
        <f aca="false">MAX(0,F91+G62)</f>
        <v>5500</v>
      </c>
    </row>
    <row r="92" customFormat="false" ht="15" hidden="false" customHeight="true" outlineLevel="0" collapsed="false">
      <c r="A92" s="286" t="s">
        <v>1481</v>
      </c>
      <c r="B92" s="297" t="n">
        <f aca="false">Datos!G27+Datos!G28</f>
        <v>12118</v>
      </c>
      <c r="C92" s="297" t="n">
        <f aca="false">B92</f>
        <v>12118</v>
      </c>
      <c r="D92" s="297" t="n">
        <f aca="false">C92</f>
        <v>12118</v>
      </c>
      <c r="E92" s="297" t="n">
        <f aca="false">D92</f>
        <v>12118</v>
      </c>
      <c r="F92" s="297" t="n">
        <f aca="false">E92</f>
        <v>12118</v>
      </c>
      <c r="G92" s="297" t="n">
        <f aca="false">F92</f>
        <v>12118</v>
      </c>
    </row>
    <row r="93" customFormat="false" ht="15" hidden="false" customHeight="true" outlineLevel="0" collapsed="false">
      <c r="A93" s="286" t="s">
        <v>1482</v>
      </c>
      <c r="B93" s="297" t="n">
        <f aca="false">Datos!G23-Datos!G21-Datos!G26-Datos!G28</f>
        <v>12145</v>
      </c>
      <c r="C93" s="297" t="n">
        <f aca="false">B93</f>
        <v>12145</v>
      </c>
      <c r="D93" s="297" t="n">
        <f aca="false">C93</f>
        <v>12145</v>
      </c>
      <c r="E93" s="297" t="n">
        <f aca="false">D93</f>
        <v>12145</v>
      </c>
      <c r="F93" s="297" t="n">
        <f aca="false">E93</f>
        <v>12145</v>
      </c>
      <c r="G93" s="297" t="n">
        <f aca="false">F93</f>
        <v>12145</v>
      </c>
    </row>
    <row r="94" customFormat="false" ht="15" hidden="false" customHeight="true" outlineLevel="0" collapsed="false">
      <c r="A94" s="285" t="s">
        <v>93</v>
      </c>
      <c r="B94" s="301" t="n">
        <f aca="false">SUM(B90:B93)</f>
        <v>71306</v>
      </c>
      <c r="C94" s="301" t="n">
        <f aca="false">SUM(C90:C93)</f>
        <v>69705.4433187355</v>
      </c>
      <c r="D94" s="301" t="n">
        <f aca="false">SUM(D90:D93)</f>
        <v>67680.4424365609</v>
      </c>
      <c r="E94" s="301" t="n">
        <f aca="false">SUM(E90:E93)</f>
        <v>66459.272449877</v>
      </c>
      <c r="F94" s="301" t="n">
        <f aca="false">SUM(F90:F93)</f>
        <v>65637.5111497494</v>
      </c>
      <c r="G94" s="301" t="n">
        <f aca="false">SUM(G90:G93)</f>
        <v>65076.4335858749</v>
      </c>
    </row>
    <row r="95" customFormat="false" ht="15" hidden="false" customHeight="true" outlineLevel="0" collapsed="false">
      <c r="A95" s="286" t="s">
        <v>94</v>
      </c>
      <c r="B95" s="297" t="n">
        <f aca="false">Datos!G24</f>
        <v>84732</v>
      </c>
      <c r="C95" s="297" t="n">
        <f aca="false">B95+C78+C79</f>
        <v>87466.3216457933</v>
      </c>
      <c r="D95" s="297" t="n">
        <f aca="false">C95+D78+D79</f>
        <v>90139.0922278836</v>
      </c>
      <c r="E95" s="297" t="n">
        <f aca="false">D95+E78+E79</f>
        <v>92891.3954084417</v>
      </c>
      <c r="F95" s="297" t="n">
        <f aca="false">E95+F78+F79</f>
        <v>95769.2963574806</v>
      </c>
      <c r="G95" s="297" t="n">
        <f aca="false">F95+G78+G79</f>
        <v>98802.2149081991</v>
      </c>
    </row>
    <row r="96" customFormat="false" ht="15" hidden="false" customHeight="true" outlineLevel="0" collapsed="false">
      <c r="A96" s="285" t="s">
        <v>1483</v>
      </c>
      <c r="B96" s="301" t="n">
        <f aca="false">B94+B95</f>
        <v>156038</v>
      </c>
      <c r="C96" s="301" t="n">
        <f aca="false">C94+C95</f>
        <v>157171.764964529</v>
      </c>
      <c r="D96" s="301" t="n">
        <f aca="false">D94+D95</f>
        <v>157819.534664445</v>
      </c>
      <c r="E96" s="301" t="n">
        <f aca="false">E94+E95</f>
        <v>159350.667858319</v>
      </c>
      <c r="F96" s="301" t="n">
        <f aca="false">F94+F95</f>
        <v>161406.80750723</v>
      </c>
      <c r="G96" s="301" t="n">
        <f aca="false">G94+G95</f>
        <v>163878.648494074</v>
      </c>
    </row>
    <row r="97" customFormat="false" ht="15" hidden="false" customHeight="true" outlineLevel="0" collapsed="false">
      <c r="A97" s="286" t="s">
        <v>1484</v>
      </c>
      <c r="B97" s="297" t="n">
        <f aca="false">B89-B96</f>
        <v>0</v>
      </c>
      <c r="C97" s="297" t="n">
        <f aca="false">C89-C96</f>
        <v>0</v>
      </c>
      <c r="D97" s="297" t="n">
        <f aca="false">D89-D96</f>
        <v>0</v>
      </c>
      <c r="E97" s="297" t="n">
        <f aca="false">E89-E96</f>
        <v>0</v>
      </c>
      <c r="F97" s="297" t="n">
        <f aca="false">F89-F96</f>
        <v>0</v>
      </c>
      <c r="G97" s="297" t="n">
        <f aca="false">G89-G96</f>
        <v>0</v>
      </c>
    </row>
    <row r="98" customFormat="false" ht="15" hidden="false" customHeight="true" outlineLevel="0" collapsed="false">
      <c r="A98" s="298"/>
      <c r="B98" s="298"/>
      <c r="C98" s="298"/>
      <c r="D98" s="298"/>
      <c r="E98" s="298"/>
      <c r="F98" s="298"/>
      <c r="G98" s="298"/>
    </row>
    <row r="99" customFormat="false" ht="15" hidden="false" customHeight="true" outlineLevel="0" collapsed="false">
      <c r="A99" s="285" t="s">
        <v>1888</v>
      </c>
      <c r="B99" s="300" t="s">
        <v>1428</v>
      </c>
      <c r="C99" s="300" t="s">
        <v>1429</v>
      </c>
      <c r="D99" s="300" t="s">
        <v>1430</v>
      </c>
      <c r="E99" s="300" t="s">
        <v>1431</v>
      </c>
      <c r="F99" s="300" t="s">
        <v>1432</v>
      </c>
      <c r="G99" s="300" t="s">
        <v>1433</v>
      </c>
    </row>
    <row r="100" customFormat="false" ht="15" hidden="false" customHeight="true" outlineLevel="0" collapsed="false">
      <c r="A100" s="286" t="s">
        <v>89</v>
      </c>
      <c r="B100" s="302"/>
      <c r="C100" s="297" t="n">
        <f aca="false">C78</f>
        <v>3906.97782247391</v>
      </c>
      <c r="D100" s="297" t="n">
        <f aca="false">D78</f>
        <v>3819.02963203058</v>
      </c>
      <c r="E100" s="297" t="n">
        <f aca="false">E78</f>
        <v>3932.67101685285</v>
      </c>
      <c r="F100" s="297" t="n">
        <f aca="false">F78</f>
        <v>4112.13333313227</v>
      </c>
      <c r="G100" s="297" t="n">
        <f aca="false">G78</f>
        <v>4333.63263362116</v>
      </c>
    </row>
    <row r="101" customFormat="false" ht="15" hidden="false" customHeight="true" outlineLevel="0" collapsed="false">
      <c r="A101" s="286" t="s">
        <v>1445</v>
      </c>
      <c r="B101" s="302"/>
      <c r="C101" s="297" t="n">
        <f aca="false">-C72</f>
        <v>4130.01270581607</v>
      </c>
      <c r="D101" s="297" t="n">
        <f aca="false">-D72</f>
        <v>4066.13220394458</v>
      </c>
      <c r="E101" s="297" t="n">
        <f aca="false">-E72</f>
        <v>4102.78286859152</v>
      </c>
      <c r="F101" s="297" t="n">
        <f aca="false">-F72</f>
        <v>4188.14199729641</v>
      </c>
      <c r="G101" s="297" t="n">
        <f aca="false">-G72</f>
        <v>4305.39317115882</v>
      </c>
    </row>
    <row r="102" customFormat="false" ht="15" hidden="false" customHeight="true" outlineLevel="0" collapsed="false">
      <c r="A102" s="286" t="s">
        <v>1486</v>
      </c>
      <c r="B102" s="302"/>
      <c r="C102" s="297" t="n">
        <f aca="false">-(C85-B85)</f>
        <v>1384.62214397806</v>
      </c>
      <c r="D102" s="297" t="n">
        <f aca="false">-(D85-C85)</f>
        <v>437.678441151093</v>
      </c>
      <c r="E102" s="297" t="n">
        <f aca="false">-(E85-D85)</f>
        <v>54.7597065243572</v>
      </c>
      <c r="F102" s="297" t="n">
        <f aca="false">-(F85-E85)</f>
        <v>-612.010869951904</v>
      </c>
      <c r="G102" s="297" t="n">
        <f aca="false">-(G85-F85)</f>
        <v>-847.2396769142</v>
      </c>
    </row>
    <row r="103" customFormat="false" ht="15" hidden="false" customHeight="true" outlineLevel="0" collapsed="false">
      <c r="A103" s="286" t="s">
        <v>1487</v>
      </c>
      <c r="B103" s="302"/>
      <c r="C103" s="297" t="n">
        <f aca="false">-(C86-B86)</f>
        <v>313.014362644396</v>
      </c>
      <c r="D103" s="297" t="n">
        <f aca="false">-(D86-C86)</f>
        <v>102.672287989059</v>
      </c>
      <c r="E103" s="297" t="n">
        <f aca="false">-(E86-D86)</f>
        <v>-54.5296520428819</v>
      </c>
      <c r="F103" s="297" t="n">
        <f aca="false">-(F86-E86)</f>
        <v>-132.640384965046</v>
      </c>
      <c r="G103" s="297" t="n">
        <f aca="false">-(G86-F86)</f>
        <v>-183.621243381498</v>
      </c>
    </row>
    <row r="104" customFormat="false" ht="15" hidden="false" customHeight="true" outlineLevel="0" collapsed="false">
      <c r="A104" s="286" t="s">
        <v>1446</v>
      </c>
      <c r="B104" s="302"/>
      <c r="C104" s="297" t="n">
        <f aca="false">-C67*C51</f>
        <v>-3832.0389791448</v>
      </c>
      <c r="D104" s="297" t="n">
        <f aca="false">-D67*D51</f>
        <v>-3300.61887393722</v>
      </c>
      <c r="E104" s="297" t="n">
        <f aca="false">-E67*E51</f>
        <v>-3321.94292275407</v>
      </c>
      <c r="F104" s="297" t="n">
        <f aca="false">-F67*F51</f>
        <v>-3382.46608196171</v>
      </c>
      <c r="G104" s="297" t="n">
        <f aca="false">-G67*G51</f>
        <v>-3468.34231752008</v>
      </c>
    </row>
    <row r="105" customFormat="false" ht="15" hidden="false" customHeight="true" outlineLevel="0" collapsed="false">
      <c r="A105" s="286" t="s">
        <v>1488</v>
      </c>
      <c r="B105" s="302"/>
      <c r="C105" s="297" t="n">
        <f aca="false">C90-B90</f>
        <v>-1600.55668126454</v>
      </c>
      <c r="D105" s="297" t="n">
        <f aca="false">D90-C90</f>
        <v>-525.000882174521</v>
      </c>
      <c r="E105" s="297" t="n">
        <f aca="false">E90-D90</f>
        <v>278.830013316096</v>
      </c>
      <c r="F105" s="297" t="n">
        <f aca="false">F90-E90</f>
        <v>678.238699872338</v>
      </c>
      <c r="G105" s="297" t="n">
        <f aca="false">G90-F90</f>
        <v>938.922436125533</v>
      </c>
    </row>
    <row r="106" customFormat="false" ht="15" hidden="false" customHeight="true" outlineLevel="0" collapsed="false">
      <c r="A106" s="286" t="s">
        <v>2692</v>
      </c>
      <c r="B106" s="302"/>
      <c r="C106" s="297" t="n">
        <f aca="false">C79</f>
        <v>-1172.65617668058</v>
      </c>
      <c r="D106" s="297" t="n">
        <f aca="false">D79</f>
        <v>-1146.25904994032</v>
      </c>
      <c r="E106" s="297" t="n">
        <f aca="false">E79</f>
        <v>-1180.36783629478</v>
      </c>
      <c r="F106" s="297" t="n">
        <f aca="false">F79</f>
        <v>-1234.23238409331</v>
      </c>
      <c r="G106" s="297" t="n">
        <f aca="false">G79</f>
        <v>-1300.71408290272</v>
      </c>
    </row>
    <row r="107" customFormat="false" ht="15" hidden="false" customHeight="true" outlineLevel="0" collapsed="false">
      <c r="A107" s="286" t="s">
        <v>2693</v>
      </c>
      <c r="B107" s="302"/>
      <c r="C107" s="297" t="n">
        <f aca="false">C91-B91</f>
        <v>0</v>
      </c>
      <c r="D107" s="297" t="n">
        <f aca="false">D91-C91</f>
        <v>-1500</v>
      </c>
      <c r="E107" s="297" t="n">
        <f aca="false">E91-D91</f>
        <v>-1500</v>
      </c>
      <c r="F107" s="297" t="n">
        <f aca="false">F91-E91</f>
        <v>-1500</v>
      </c>
      <c r="G107" s="297" t="n">
        <f aca="false">G91-F91</f>
        <v>-1500</v>
      </c>
    </row>
    <row r="108" customFormat="false" ht="15" hidden="false" customHeight="true" outlineLevel="0" collapsed="false">
      <c r="A108" s="285" t="s">
        <v>1894</v>
      </c>
      <c r="B108" s="300"/>
      <c r="C108" s="301" t="n">
        <f aca="false">SUM(C100:C107)</f>
        <v>3129.37519782252</v>
      </c>
      <c r="D108" s="301" t="n">
        <f aca="false">SUM(D100:D107)</f>
        <v>1953.63375906326</v>
      </c>
      <c r="E108" s="301" t="n">
        <f aca="false">SUM(E100:E107)</f>
        <v>2312.2031941931</v>
      </c>
      <c r="F108" s="301" t="n">
        <f aca="false">SUM(F100:F107)</f>
        <v>2117.16430932904</v>
      </c>
      <c r="G108" s="301" t="n">
        <f aca="false">SUM(G100:G107)</f>
        <v>2278.03092018702</v>
      </c>
    </row>
    <row r="109" customFormat="false" ht="15" hidden="false" customHeight="true" outlineLevel="0" collapsed="false">
      <c r="A109" s="298"/>
      <c r="B109" s="298"/>
      <c r="C109" s="298"/>
      <c r="D109" s="298"/>
      <c r="E109" s="298"/>
      <c r="F109" s="298"/>
      <c r="G109" s="298"/>
    </row>
    <row r="110" customFormat="false" ht="15" hidden="false" customHeight="true" outlineLevel="0" collapsed="false">
      <c r="A110" s="285" t="s">
        <v>1895</v>
      </c>
      <c r="B110" s="300" t="s">
        <v>1428</v>
      </c>
      <c r="C110" s="300" t="s">
        <v>1429</v>
      </c>
      <c r="D110" s="300" t="s">
        <v>1430</v>
      </c>
      <c r="E110" s="300" t="s">
        <v>1431</v>
      </c>
      <c r="F110" s="300" t="s">
        <v>1432</v>
      </c>
      <c r="G110" s="300" t="s">
        <v>1433</v>
      </c>
    </row>
    <row r="111" customFormat="false" ht="15" hidden="false" customHeight="true" outlineLevel="0" collapsed="false">
      <c r="A111" s="286" t="s">
        <v>81</v>
      </c>
      <c r="B111" s="302"/>
      <c r="C111" s="297" t="n">
        <f aca="false">C73</f>
        <v>7695.70522736961</v>
      </c>
      <c r="D111" s="297" t="n">
        <f aca="false">D73</f>
        <v>7541.62395564329</v>
      </c>
      <c r="E111" s="297" t="n">
        <f aca="false">E73</f>
        <v>7593.5039164933</v>
      </c>
      <c r="F111" s="297" t="n">
        <f aca="false">F73</f>
        <v>7740.22783576996</v>
      </c>
      <c r="G111" s="297" t="n">
        <f aca="false">G73</f>
        <v>7950.65403854719</v>
      </c>
    </row>
    <row r="112" customFormat="false" ht="15" hidden="false" customHeight="true" outlineLevel="0" collapsed="false">
      <c r="A112" s="286" t="s">
        <v>1443</v>
      </c>
      <c r="B112" s="302"/>
      <c r="C112" s="297" t="n">
        <f aca="false">-C111*C55</f>
        <v>-2058.75661843135</v>
      </c>
      <c r="D112" s="297" t="n">
        <f aca="false">-D111*D55</f>
        <v>-2043.93244930997</v>
      </c>
      <c r="E112" s="297" t="n">
        <f aca="false">-E111*E55</f>
        <v>-2100.99725474609</v>
      </c>
      <c r="F112" s="297" t="n">
        <f aca="false">-F111*F55</f>
        <v>-2185.42857200854</v>
      </c>
      <c r="G112" s="297" t="n">
        <f aca="false">-G111*G55</f>
        <v>-2289.86867341892</v>
      </c>
    </row>
    <row r="113" customFormat="false" ht="15" hidden="false" customHeight="true" outlineLevel="0" collapsed="false">
      <c r="A113" s="286" t="s">
        <v>2694</v>
      </c>
      <c r="B113" s="302"/>
      <c r="C113" s="297" t="n">
        <f aca="false">C111+C112</f>
        <v>5636.94860893826</v>
      </c>
      <c r="D113" s="297" t="n">
        <f aca="false">D111+D112</f>
        <v>5497.69150633332</v>
      </c>
      <c r="E113" s="297" t="n">
        <f aca="false">E111+E112</f>
        <v>5492.50666174721</v>
      </c>
      <c r="F113" s="297" t="n">
        <f aca="false">F111+F112</f>
        <v>5554.79926376142</v>
      </c>
      <c r="G113" s="297" t="n">
        <f aca="false">G111+G112</f>
        <v>5660.78536512827</v>
      </c>
    </row>
    <row r="114" customFormat="false" ht="15" hidden="false" customHeight="true" outlineLevel="0" collapsed="false">
      <c r="A114" s="286" t="s">
        <v>1445</v>
      </c>
      <c r="B114" s="302"/>
      <c r="C114" s="297" t="n">
        <f aca="false">C101</f>
        <v>4130.01270581607</v>
      </c>
      <c r="D114" s="297" t="n">
        <f aca="false">D101</f>
        <v>4066.13220394458</v>
      </c>
      <c r="E114" s="297" t="n">
        <f aca="false">E101</f>
        <v>4102.78286859152</v>
      </c>
      <c r="F114" s="297" t="n">
        <f aca="false">F101</f>
        <v>4188.14199729641</v>
      </c>
      <c r="G114" s="297" t="n">
        <f aca="false">G101</f>
        <v>4305.39317115882</v>
      </c>
    </row>
    <row r="115" customFormat="false" ht="15" hidden="false" customHeight="true" outlineLevel="0" collapsed="false">
      <c r="A115" s="286" t="s">
        <v>1446</v>
      </c>
      <c r="B115" s="302"/>
      <c r="C115" s="297" t="n">
        <f aca="false">C104</f>
        <v>-3832.0389791448</v>
      </c>
      <c r="D115" s="297" t="n">
        <f aca="false">D104</f>
        <v>-3300.61887393722</v>
      </c>
      <c r="E115" s="297" t="n">
        <f aca="false">E104</f>
        <v>-3321.94292275407</v>
      </c>
      <c r="F115" s="297" t="n">
        <f aca="false">F104</f>
        <v>-3382.46608196171</v>
      </c>
      <c r="G115" s="297" t="n">
        <f aca="false">G104</f>
        <v>-3468.34231752008</v>
      </c>
    </row>
    <row r="116" customFormat="false" ht="15" hidden="false" customHeight="true" outlineLevel="0" collapsed="false">
      <c r="A116" s="286" t="s">
        <v>1447</v>
      </c>
      <c r="B116" s="302"/>
      <c r="C116" s="297" t="n">
        <f aca="false">C102+C103+C105</f>
        <v>97.0798253579187</v>
      </c>
      <c r="D116" s="297" t="n">
        <f aca="false">D102+D103+D105</f>
        <v>15.3498469656297</v>
      </c>
      <c r="E116" s="297" t="n">
        <f aca="false">E102+E103+E105</f>
        <v>279.060067797571</v>
      </c>
      <c r="F116" s="297" t="n">
        <f aca="false">F102+F103+F105</f>
        <v>-66.4125550446124</v>
      </c>
      <c r="G116" s="297" t="n">
        <f aca="false">G102+G103+G105</f>
        <v>-91.9384841701649</v>
      </c>
    </row>
    <row r="117" customFormat="false" ht="15" hidden="false" customHeight="true" outlineLevel="0" collapsed="false">
      <c r="A117" s="285" t="s">
        <v>2695</v>
      </c>
      <c r="B117" s="300"/>
      <c r="C117" s="301" t="n">
        <f aca="false">SUM(C113:C116)</f>
        <v>6032.00216096745</v>
      </c>
      <c r="D117" s="301" t="n">
        <f aca="false">SUM(D113:D116)</f>
        <v>6278.55468330631</v>
      </c>
      <c r="E117" s="301" t="n">
        <f aca="false">SUM(E113:E116)</f>
        <v>6552.40667538223</v>
      </c>
      <c r="F117" s="301" t="n">
        <f aca="false">SUM(F113:F116)</f>
        <v>6294.0626240515</v>
      </c>
      <c r="G117" s="301" t="n">
        <f aca="false">SUM(G113:G116)</f>
        <v>6405.89773459684</v>
      </c>
    </row>
    <row r="118" customFormat="false" ht="15" hidden="false" customHeight="true" outlineLevel="0" collapsed="false">
      <c r="A118" s="286" t="s">
        <v>1441</v>
      </c>
      <c r="B118" s="302"/>
      <c r="C118" s="303" t="n">
        <v>1</v>
      </c>
      <c r="D118" s="303" t="n">
        <f aca="false">C118+1</f>
        <v>2</v>
      </c>
      <c r="E118" s="303" t="n">
        <f aca="false">D118+1</f>
        <v>3</v>
      </c>
      <c r="F118" s="303" t="n">
        <f aca="false">E118+1</f>
        <v>4</v>
      </c>
      <c r="G118" s="303" t="n">
        <f aca="false">F118+1</f>
        <v>5</v>
      </c>
    </row>
    <row r="119" customFormat="false" ht="15" hidden="false" customHeight="true" outlineLevel="0" collapsed="false">
      <c r="A119" s="286" t="s">
        <v>1449</v>
      </c>
      <c r="B119" s="302"/>
      <c r="C119" s="304" t="n">
        <f aca="false">1/(1+$B$126)^C118</f>
        <v>0.911859505495127</v>
      </c>
      <c r="D119" s="304" t="n">
        <f aca="false">1/(1+$B$126)^D118</f>
        <v>0.831487757761818</v>
      </c>
      <c r="E119" s="304" t="n">
        <f aca="false">1/(1+$B$126)^E118</f>
        <v>0.758200015617944</v>
      </c>
      <c r="F119" s="304" t="n">
        <f aca="false">1/(1+$B$126)^F118</f>
        <v>0.691371891307776</v>
      </c>
      <c r="G119" s="304" t="n">
        <f aca="false">1/(1+$B$126)^G118</f>
        <v>0.63043403092114</v>
      </c>
    </row>
    <row r="120" customFormat="false" ht="15" hidden="false" customHeight="true" outlineLevel="0" collapsed="false">
      <c r="A120" s="286" t="s">
        <v>1450</v>
      </c>
      <c r="B120" s="302"/>
      <c r="C120" s="297" t="n">
        <f aca="false">C117*C119</f>
        <v>5500.33850764532</v>
      </c>
      <c r="D120" s="297" t="n">
        <f aca="false">D117*D119</f>
        <v>5220.54135560733</v>
      </c>
      <c r="E120" s="297" t="n">
        <f aca="false">E117*E119</f>
        <v>4968.03484360993</v>
      </c>
      <c r="F120" s="297" t="n">
        <f aca="false">F117*F119</f>
        <v>4351.53798040007</v>
      </c>
      <c r="G120" s="297" t="n">
        <f aca="false">G117*G119</f>
        <v>4038.49593049049</v>
      </c>
    </row>
    <row r="121" customFormat="false" ht="15" hidden="false" customHeight="true" outlineLevel="0" collapsed="false">
      <c r="A121" s="298"/>
      <c r="B121" s="298"/>
      <c r="C121" s="298"/>
      <c r="D121" s="298"/>
      <c r="E121" s="298"/>
      <c r="F121" s="298"/>
      <c r="G121" s="298"/>
    </row>
    <row r="122" customFormat="false" ht="15" hidden="false" customHeight="true" outlineLevel="0" collapsed="false">
      <c r="A122" s="285" t="s">
        <v>1901</v>
      </c>
      <c r="B122" s="300" t="s">
        <v>78</v>
      </c>
      <c r="C122" s="300"/>
      <c r="D122" s="300"/>
      <c r="E122" s="300"/>
      <c r="F122" s="300"/>
      <c r="G122" s="300"/>
    </row>
    <row r="123" customFormat="false" ht="15" hidden="false" customHeight="true" outlineLevel="0" collapsed="false">
      <c r="A123" s="286" t="s">
        <v>1903</v>
      </c>
      <c r="B123" s="296" t="n">
        <f aca="false">Escenarios!$O$11</f>
        <v>0.04</v>
      </c>
      <c r="C123" s="302"/>
      <c r="D123" s="302"/>
      <c r="E123" s="302"/>
      <c r="F123" s="302"/>
      <c r="G123" s="302"/>
    </row>
    <row r="124" customFormat="false" ht="15" hidden="false" customHeight="true" outlineLevel="0" collapsed="false">
      <c r="A124" s="286" t="s">
        <v>1904</v>
      </c>
      <c r="B124" s="296" t="n">
        <f aca="false">B220</f>
        <v>0.0966601696574008</v>
      </c>
      <c r="C124" s="302"/>
      <c r="D124" s="302"/>
      <c r="E124" s="302"/>
      <c r="F124" s="302"/>
      <c r="G124" s="302"/>
    </row>
    <row r="125" customFormat="false" ht="15" hidden="false" customHeight="true" outlineLevel="0" collapsed="false">
      <c r="A125" s="286" t="s">
        <v>1905</v>
      </c>
      <c r="B125" s="296" t="n">
        <v>0</v>
      </c>
      <c r="C125" s="302"/>
      <c r="D125" s="302"/>
      <c r="E125" s="302"/>
      <c r="F125" s="302"/>
      <c r="G125" s="302"/>
    </row>
    <row r="126" customFormat="false" ht="15" hidden="false" customHeight="true" outlineLevel="0" collapsed="false">
      <c r="A126" s="286" t="s">
        <v>1906</v>
      </c>
      <c r="B126" s="296" t="n">
        <f aca="false">B124+B125</f>
        <v>0.0966601696574008</v>
      </c>
      <c r="C126" s="302"/>
      <c r="D126" s="302"/>
      <c r="E126" s="302"/>
      <c r="F126" s="302"/>
      <c r="G126" s="302"/>
    </row>
    <row r="127" customFormat="false" ht="15" hidden="false" customHeight="true" outlineLevel="0" collapsed="false">
      <c r="A127" s="286" t="s">
        <v>1907</v>
      </c>
      <c r="B127" s="297" t="n">
        <f aca="false">G117</f>
        <v>6405.89773459684</v>
      </c>
      <c r="C127" s="302"/>
      <c r="D127" s="302"/>
      <c r="E127" s="302"/>
      <c r="F127" s="302"/>
      <c r="G127" s="302"/>
    </row>
    <row r="128" customFormat="false" ht="15" hidden="false" customHeight="true" outlineLevel="0" collapsed="false">
      <c r="A128" s="286" t="s">
        <v>2696</v>
      </c>
      <c r="B128" s="297" t="n">
        <f aca="false">B127*(1+B123)</f>
        <v>6662.13364398072</v>
      </c>
      <c r="C128" s="302"/>
      <c r="D128" s="302"/>
      <c r="E128" s="302"/>
      <c r="F128" s="302"/>
      <c r="G128" s="302"/>
    </row>
    <row r="129" customFormat="false" ht="15" hidden="false" customHeight="true" outlineLevel="0" collapsed="false">
      <c r="A129" s="285" t="s">
        <v>2697</v>
      </c>
      <c r="B129" s="301" t="n">
        <f aca="false">IF(B126&gt;B123,B128/(B126-B123),"REVISAR WACC/g")</f>
        <v>117580.54528011</v>
      </c>
      <c r="C129" s="300"/>
      <c r="D129" s="300"/>
      <c r="E129" s="300"/>
      <c r="F129" s="300"/>
      <c r="G129" s="300"/>
    </row>
    <row r="130" customFormat="false" ht="15" hidden="false" customHeight="true" outlineLevel="0" collapsed="false">
      <c r="A130" s="286" t="s">
        <v>1910</v>
      </c>
      <c r="B130" s="304" t="n">
        <f aca="false">G119</f>
        <v>0.63043403092114</v>
      </c>
      <c r="C130" s="302"/>
      <c r="D130" s="302"/>
      <c r="E130" s="302"/>
      <c r="F130" s="302"/>
      <c r="G130" s="302"/>
    </row>
    <row r="131" customFormat="false" ht="15" hidden="false" customHeight="true" outlineLevel="0" collapsed="false">
      <c r="A131" s="286" t="s">
        <v>1498</v>
      </c>
      <c r="B131" s="297" t="n">
        <f aca="false">B129*B130</f>
        <v>74126.7771188452</v>
      </c>
      <c r="C131" s="302"/>
      <c r="D131" s="302"/>
      <c r="E131" s="302"/>
      <c r="F131" s="302"/>
      <c r="G131" s="302"/>
    </row>
    <row r="132" customFormat="false" ht="15" hidden="false" customHeight="true" outlineLevel="0" collapsed="false">
      <c r="A132" s="298"/>
      <c r="B132" s="298"/>
      <c r="C132" s="298"/>
      <c r="D132" s="298"/>
      <c r="E132" s="298"/>
      <c r="F132" s="298"/>
      <c r="G132" s="298"/>
    </row>
    <row r="133" customFormat="false" ht="15" hidden="false" customHeight="true" outlineLevel="0" collapsed="false">
      <c r="A133" s="285" t="s">
        <v>1911</v>
      </c>
      <c r="B133" s="300" t="s">
        <v>78</v>
      </c>
      <c r="C133" s="300"/>
      <c r="D133" s="300"/>
      <c r="E133" s="300"/>
      <c r="F133" s="300"/>
      <c r="G133" s="300"/>
    </row>
    <row r="134" customFormat="false" ht="15" hidden="false" customHeight="true" outlineLevel="0" collapsed="false">
      <c r="A134" s="286" t="s">
        <v>1913</v>
      </c>
      <c r="B134" s="297" t="n">
        <f aca="false">SUM(C120:G120)</f>
        <v>24078.9486177531</v>
      </c>
      <c r="C134" s="302"/>
      <c r="D134" s="302"/>
      <c r="E134" s="302"/>
      <c r="F134" s="302"/>
      <c r="G134" s="302"/>
    </row>
    <row r="135" customFormat="false" ht="15" hidden="false" customHeight="true" outlineLevel="0" collapsed="false">
      <c r="A135" s="286" t="s">
        <v>1914</v>
      </c>
      <c r="B135" s="297" t="n">
        <f aca="false">B131</f>
        <v>74126.7771188452</v>
      </c>
      <c r="C135" s="302"/>
      <c r="D135" s="302"/>
      <c r="E135" s="302"/>
      <c r="F135" s="302"/>
      <c r="G135" s="302"/>
    </row>
    <row r="136" customFormat="false" ht="15" hidden="false" customHeight="true" outlineLevel="0" collapsed="false">
      <c r="A136" s="285" t="s">
        <v>1915</v>
      </c>
      <c r="B136" s="301" t="n">
        <f aca="false">B134+B135</f>
        <v>98205.7257365983</v>
      </c>
      <c r="C136" s="300"/>
      <c r="D136" s="300"/>
      <c r="E136" s="300"/>
      <c r="F136" s="300"/>
      <c r="G136" s="300"/>
    </row>
    <row r="137" customFormat="false" ht="15" hidden="false" customHeight="true" outlineLevel="0" collapsed="false">
      <c r="A137" s="286" t="s">
        <v>1461</v>
      </c>
      <c r="B137" s="295" t="n">
        <f aca="false">B135/B136</f>
        <v>0.754811153452129</v>
      </c>
      <c r="C137" s="302"/>
      <c r="D137" s="302"/>
      <c r="E137" s="302"/>
      <c r="F137" s="302"/>
      <c r="G137" s="302"/>
    </row>
    <row r="138" customFormat="false" ht="15" hidden="false" customHeight="true" outlineLevel="0" collapsed="false">
      <c r="A138" s="298"/>
      <c r="B138" s="298"/>
      <c r="C138" s="298"/>
      <c r="D138" s="298"/>
      <c r="E138" s="298"/>
      <c r="F138" s="298"/>
      <c r="G138" s="298"/>
    </row>
    <row r="139" customFormat="false" ht="15" hidden="false" customHeight="true" outlineLevel="0" collapsed="false">
      <c r="A139" s="285" t="s">
        <v>1916</v>
      </c>
      <c r="B139" s="300" t="s">
        <v>78</v>
      </c>
      <c r="C139" s="300"/>
      <c r="D139" s="300"/>
      <c r="E139" s="300"/>
      <c r="F139" s="300"/>
      <c r="G139" s="300"/>
    </row>
    <row r="140" customFormat="false" ht="15" hidden="false" customHeight="true" outlineLevel="0" collapsed="false">
      <c r="A140" s="286" t="s">
        <v>1915</v>
      </c>
      <c r="B140" s="297" t="n">
        <f aca="false">B136</f>
        <v>98205.7257365983</v>
      </c>
      <c r="C140" s="302"/>
      <c r="D140" s="302"/>
      <c r="E140" s="302"/>
      <c r="F140" s="302"/>
      <c r="G140" s="302"/>
    </row>
    <row r="141" customFormat="false" ht="15" hidden="false" customHeight="true" outlineLevel="0" collapsed="false">
      <c r="A141" s="286" t="s">
        <v>1502</v>
      </c>
      <c r="B141" s="297" t="n">
        <f aca="false">-B91</f>
        <v>-11500</v>
      </c>
      <c r="C141" s="302"/>
      <c r="D141" s="302"/>
      <c r="E141" s="302"/>
      <c r="F141" s="302"/>
      <c r="G141" s="302"/>
    </row>
    <row r="142" customFormat="false" ht="15" hidden="false" customHeight="true" outlineLevel="0" collapsed="false">
      <c r="A142" s="286" t="s">
        <v>1503</v>
      </c>
      <c r="B142" s="297" t="n">
        <f aca="false">-B92</f>
        <v>-12118</v>
      </c>
      <c r="C142" s="302"/>
      <c r="D142" s="302"/>
      <c r="E142" s="302"/>
      <c r="F142" s="302"/>
      <c r="G142" s="302"/>
    </row>
    <row r="143" customFormat="false" ht="15" hidden="false" customHeight="true" outlineLevel="0" collapsed="false">
      <c r="A143" s="286" t="s">
        <v>1504</v>
      </c>
      <c r="B143" s="297" t="n">
        <f aca="false">B84</f>
        <v>9295</v>
      </c>
      <c r="C143" s="302"/>
      <c r="D143" s="302"/>
      <c r="E143" s="302"/>
      <c r="F143" s="302"/>
      <c r="G143" s="302"/>
    </row>
    <row r="144" customFormat="false" ht="15" hidden="false" customHeight="true" outlineLevel="0" collapsed="false">
      <c r="A144" s="286" t="s">
        <v>1920</v>
      </c>
      <c r="B144" s="297" t="n">
        <f aca="false">-(B141+B142+B143)</f>
        <v>14323</v>
      </c>
      <c r="C144" s="302"/>
      <c r="D144" s="302"/>
      <c r="E144" s="302"/>
      <c r="F144" s="302"/>
      <c r="G144" s="302"/>
    </row>
    <row r="145" customFormat="false" ht="15" hidden="false" customHeight="true" outlineLevel="0" collapsed="false">
      <c r="A145" s="285" t="s">
        <v>1921</v>
      </c>
      <c r="B145" s="301" t="n">
        <f aca="false">SUM(B140:B143)</f>
        <v>83882.7257365983</v>
      </c>
      <c r="C145" s="300"/>
      <c r="D145" s="300"/>
      <c r="E145" s="300"/>
      <c r="F145" s="300"/>
      <c r="G145" s="300"/>
    </row>
    <row r="146" customFormat="false" ht="15" hidden="false" customHeight="true" outlineLevel="0" collapsed="false">
      <c r="A146" s="298"/>
      <c r="B146" s="298"/>
      <c r="C146" s="298"/>
      <c r="D146" s="298"/>
      <c r="E146" s="298"/>
      <c r="F146" s="298"/>
      <c r="G146" s="298"/>
    </row>
    <row r="147" customFormat="false" ht="15" hidden="false" customHeight="true" outlineLevel="0" collapsed="false">
      <c r="A147" s="285" t="s">
        <v>1922</v>
      </c>
      <c r="B147" s="300" t="s">
        <v>78</v>
      </c>
      <c r="C147" s="300"/>
      <c r="D147" s="300"/>
      <c r="E147" s="300"/>
      <c r="F147" s="300"/>
      <c r="G147" s="300"/>
    </row>
    <row r="148" customFormat="false" ht="15" hidden="false" customHeight="true" outlineLevel="0" collapsed="false">
      <c r="A148" s="286" t="s">
        <v>1924</v>
      </c>
      <c r="B148" s="297" t="n">
        <f aca="false">B145</f>
        <v>83882.7257365983</v>
      </c>
      <c r="C148" s="302"/>
      <c r="D148" s="302"/>
      <c r="E148" s="302"/>
      <c r="F148" s="302"/>
      <c r="G148" s="302"/>
    </row>
    <row r="149" customFormat="false" ht="15" hidden="false" customHeight="true" outlineLevel="0" collapsed="false">
      <c r="A149" s="286" t="s">
        <v>57</v>
      </c>
      <c r="B149" s="305" t="n">
        <f aca="false">Valuación!B40</f>
        <v>1800</v>
      </c>
      <c r="C149" s="302"/>
      <c r="D149" s="302"/>
      <c r="E149" s="302"/>
      <c r="F149" s="302"/>
      <c r="G149" s="302"/>
    </row>
    <row r="150" customFormat="false" ht="15" hidden="false" customHeight="true" outlineLevel="0" collapsed="false">
      <c r="A150" s="285" t="s">
        <v>1925</v>
      </c>
      <c r="B150" s="306" t="n">
        <f aca="false">B148/B149</f>
        <v>46.6015142981102</v>
      </c>
      <c r="C150" s="300"/>
      <c r="D150" s="300"/>
      <c r="E150" s="300"/>
      <c r="F150" s="300"/>
      <c r="G150" s="300"/>
    </row>
    <row r="151" customFormat="false" ht="15" hidden="false" customHeight="true" outlineLevel="0" collapsed="false">
      <c r="A151" s="286" t="s">
        <v>16</v>
      </c>
      <c r="B151" s="307" t="n">
        <f aca="false">Valuación!B42</f>
        <v>33.1</v>
      </c>
      <c r="C151" s="302"/>
      <c r="D151" s="302"/>
      <c r="E151" s="302"/>
      <c r="F151" s="302"/>
      <c r="G151" s="302"/>
    </row>
    <row r="152" customFormat="false" ht="15" hidden="false" customHeight="true" outlineLevel="0" collapsed="false">
      <c r="A152" s="286" t="s">
        <v>17</v>
      </c>
      <c r="B152" s="295" t="n">
        <f aca="false">B150/B151-1</f>
        <v>0.407900734081879</v>
      </c>
      <c r="C152" s="302"/>
      <c r="D152" s="302"/>
      <c r="E152" s="302"/>
      <c r="F152" s="302"/>
      <c r="G152" s="302"/>
    </row>
    <row r="153" customFormat="false" ht="15" hidden="false" customHeight="true" outlineLevel="0" collapsed="false">
      <c r="A153" s="286" t="s">
        <v>1926</v>
      </c>
      <c r="B153" s="307" t="n">
        <f aca="false">'Proyección Soriana'!B85</f>
        <v>50.1939335833512</v>
      </c>
      <c r="C153" s="302"/>
      <c r="D153" s="302"/>
      <c r="E153" s="302"/>
      <c r="F153" s="302"/>
      <c r="G153" s="302"/>
    </row>
    <row r="154" customFormat="false" ht="15" hidden="false" customHeight="true" outlineLevel="0" collapsed="false">
      <c r="A154" s="286" t="s">
        <v>1927</v>
      </c>
      <c r="B154" s="295" t="n">
        <f aca="false">B150/B153-1</f>
        <v>-0.0715707861244921</v>
      </c>
      <c r="C154" s="302"/>
      <c r="D154" s="302"/>
      <c r="E154" s="302"/>
      <c r="F154" s="302"/>
      <c r="G154" s="302"/>
    </row>
    <row r="155" customFormat="false" ht="15" hidden="false" customHeight="true" outlineLevel="0" collapsed="false">
      <c r="A155" s="286" t="s">
        <v>2698</v>
      </c>
      <c r="B155" s="295" t="n">
        <v>0.15</v>
      </c>
      <c r="C155" s="302"/>
      <c r="D155" s="302"/>
      <c r="E155" s="302"/>
      <c r="F155" s="302"/>
      <c r="G155" s="302"/>
    </row>
    <row r="156" customFormat="false" ht="15" hidden="false" customHeight="true" outlineLevel="0" collapsed="false">
      <c r="A156" s="285" t="s">
        <v>1929</v>
      </c>
      <c r="B156" s="300" t="str">
        <f aca="false">IF(B152&gt;B155,"COMPRAR",IF(B152&lt;-B155,"VENDER","MANTENER"))</f>
        <v>COMPRAR</v>
      </c>
      <c r="C156" s="300"/>
      <c r="D156" s="300"/>
      <c r="E156" s="300"/>
      <c r="F156" s="300"/>
      <c r="G156" s="300"/>
    </row>
    <row r="157" customFormat="false" ht="15" hidden="false" customHeight="true" outlineLevel="0" collapsed="false">
      <c r="A157" s="286" t="s">
        <v>1930</v>
      </c>
      <c r="B157" s="302" t="str">
        <f aca="false" t="array" ref="B157:B157">IF(SUMPRODUCT(ABS(B97:G97))&lt;1,"PASS","FAIL")</f>
        <v>PASS</v>
      </c>
      <c r="C157" s="302"/>
      <c r="D157" s="302"/>
      <c r="E157" s="302"/>
      <c r="F157" s="302"/>
      <c r="G157" s="302"/>
    </row>
    <row r="158" customFormat="false" ht="15" hidden="false" customHeight="true" outlineLevel="0" collapsed="false">
      <c r="A158" s="286" t="s">
        <v>1931</v>
      </c>
      <c r="B158" s="302" t="str">
        <f aca="false">IF(B126&gt;B123,"PASS","FAIL")</f>
        <v>PASS</v>
      </c>
      <c r="C158" s="302"/>
      <c r="D158" s="302"/>
      <c r="E158" s="302"/>
      <c r="F158" s="302"/>
      <c r="G158" s="302"/>
    </row>
    <row r="159" customFormat="false" ht="15" hidden="false" customHeight="true" outlineLevel="0" collapsed="false">
      <c r="A159" s="298"/>
      <c r="B159" s="298"/>
      <c r="C159" s="298"/>
      <c r="D159" s="298"/>
      <c r="E159" s="298"/>
      <c r="F159" s="298"/>
      <c r="G159" s="298"/>
    </row>
    <row r="160" customFormat="false" ht="15" hidden="false" customHeight="true" outlineLevel="0" collapsed="false">
      <c r="A160" s="285" t="s">
        <v>1932</v>
      </c>
      <c r="B160" s="300"/>
      <c r="C160" s="300"/>
      <c r="D160" s="300"/>
      <c r="E160" s="300"/>
      <c r="F160" s="300"/>
      <c r="G160" s="300"/>
    </row>
    <row r="161" customFormat="false" ht="15" hidden="false" customHeight="true" outlineLevel="0" collapsed="false">
      <c r="A161" s="286" t="s">
        <v>1934</v>
      </c>
      <c r="B161" s="296" t="n">
        <v>0.005</v>
      </c>
      <c r="C161" s="302"/>
      <c r="D161" s="302"/>
      <c r="E161" s="302"/>
      <c r="F161" s="302"/>
      <c r="G161" s="302"/>
    </row>
    <row r="162" customFormat="false" ht="15" hidden="false" customHeight="true" outlineLevel="0" collapsed="false">
      <c r="A162" s="285" t="s">
        <v>2699</v>
      </c>
      <c r="B162" s="338" t="n">
        <f aca="false">$B$123-2*$B$161</f>
        <v>0.03</v>
      </c>
      <c r="C162" s="338" t="n">
        <f aca="false">B162+$B$161</f>
        <v>0.035</v>
      </c>
      <c r="D162" s="338" t="n">
        <f aca="false">C162+$B$161</f>
        <v>0.04</v>
      </c>
      <c r="E162" s="338" t="n">
        <f aca="false">D162+$B$161</f>
        <v>0.045</v>
      </c>
      <c r="F162" s="338" t="n">
        <f aca="false">E162+$B$161</f>
        <v>0.05</v>
      </c>
      <c r="G162" s="300"/>
    </row>
    <row r="163" customFormat="false" ht="15" hidden="false" customHeight="true" outlineLevel="0" collapsed="false">
      <c r="A163" s="338" t="n">
        <f aca="false">$B$126-2*$B$161</f>
        <v>0.0866601696574008</v>
      </c>
      <c r="B163" s="307" t="n">
        <f aca="false">IF($A163&lt;=B$162,"n.a.",(($B$243*(SUMPRODUCT($C$117:$G$117,(1+$A163)^(-$C$118:$G$118))+$G$117*(1+B$162)/($A163-B$162)*(1+$A163)^-5)+$B$244*(SUMPRODUCT($C$117:$G$117,(1+$A163)^(-$C$118:$G$118))+$B$236*(1+$A163)^-5))*(1+$A163)^$B$253+$B$257+$B$259+$B$260+$B$261)*(1+$B$221)^$B$254/$B$264)</f>
        <v>42.5259444866616</v>
      </c>
      <c r="C163" s="307" t="n">
        <f aca="false">IF($A163&lt;=C$162,"n.a.",(($B$243*(SUMPRODUCT($C$117:$G$117,(1+$A163)^(-$C$118:$G$118))+$G$117*(1+C$162)/($A163-C$162)*(1+$A163)^-5)+$B$244*(SUMPRODUCT($C$117:$G$117,(1+$A163)^(-$C$118:$G$118))+$B$236*(1+$A163)^-5))*(1+$A163)^$B$253+$B$257+$B$259+$B$260+$B$261)*(1+$B$221)^$B$254/$B$264)</f>
        <v>44.8596461620154</v>
      </c>
      <c r="D163" s="307" t="n">
        <f aca="false">IF($A163&lt;=D$162,"n.a.",(($B$243*(SUMPRODUCT($C$117:$G$117,(1+$A163)^(-$C$118:$G$118))+$G$117*(1+D$162)/($A163-D$162)*(1+$A163)^-5)+$B$244*(SUMPRODUCT($C$117:$G$117,(1+$A163)^(-$C$118:$G$118))+$B$236*(1+$A163)^-5))*(1+$A163)^$B$253+$B$257+$B$259+$B$260+$B$261)*(1+$B$221)^$B$254/$B$264)</f>
        <v>47.6934963992988</v>
      </c>
      <c r="E163" s="307" t="n">
        <f aca="false">IF($A163&lt;=E$162,"n.a.",(($B$243*(SUMPRODUCT($C$117:$G$117,(1+$A163)^(-$C$118:$G$118))+$G$117*(1+E$162)/($A163-E$162)*(1+$A163)^-5)+$B$244*(SUMPRODUCT($C$117:$G$117,(1+$A163)^(-$C$118:$G$118))+$B$236*(1+$A163)^-5))*(1+$A163)^$B$253+$B$257+$B$259+$B$260+$B$261)*(1+$B$221)^$B$254/$B$264)</f>
        <v>51.2075767606043</v>
      </c>
      <c r="F163" s="307" t="n">
        <f aca="false">IF($A163&lt;=F$162,"n.a.",(($B$243*(SUMPRODUCT($C$117:$G$117,(1+$A163)^(-$C$118:$G$118))+$G$117*(1+F$162)/($A163-F$162)*(1+$A163)^-5)+$B$244*(SUMPRODUCT($C$117:$G$117,(1+$A163)^(-$C$118:$G$118))+$B$236*(1+$A163)^-5))*(1+$A163)^$B$253+$B$257+$B$259+$B$260+$B$261)*(1+$B$221)^$B$254/$B$264)</f>
        <v>55.6802125225381</v>
      </c>
      <c r="G163" s="302"/>
    </row>
    <row r="164" customFormat="false" ht="15" hidden="false" customHeight="true" outlineLevel="0" collapsed="false">
      <c r="A164" s="338" t="n">
        <f aca="false">A163+$B$161</f>
        <v>0.0916601696574008</v>
      </c>
      <c r="B164" s="307" t="n">
        <f aca="false">IF($A164&lt;=B$162,"n.a.",(($B$243*(SUMPRODUCT($C$117:$G$117,(1+$A164)^(-$C$118:$G$118))+$G$117*(1+B$162)/($A164-B$162)*(1+$A164)^-5)+$B$244*(SUMPRODUCT($C$117:$G$117,(1+$A164)^(-$C$118:$G$118))+$B$236*(1+$A164)^-5))*(1+$A164)^$B$253+$B$257+$B$259+$B$260+$B$261)*(1+$B$221)^$B$254/$B$264)</f>
        <v>39.7993602935226</v>
      </c>
      <c r="C164" s="307" t="n">
        <f aca="false">IF($A164&lt;=C$162,"n.a.",(($B$243*(SUMPRODUCT($C$117:$G$117,(1+$A164)^(-$C$118:$G$118))+$G$117*(1+C$162)/($A164-C$162)*(1+$A164)^-5)+$B$244*(SUMPRODUCT($C$117:$G$117,(1+$A164)^(-$C$118:$G$118))+$B$236*(1+$A164)^-5))*(1+$A164)^$B$253+$B$257+$B$259+$B$260+$B$261)*(1+$B$221)^$B$254/$B$264)</f>
        <v>41.7234195546956</v>
      </c>
      <c r="D164" s="307" t="n">
        <f aca="false">IF($A164&lt;=D$162,"n.a.",(($B$243*(SUMPRODUCT($C$117:$G$117,(1+$A164)^(-$C$118:$G$118))+$G$117*(1+D$162)/($A164-D$162)*(1+$A164)^-5)+$B$244*(SUMPRODUCT($C$117:$G$117,(1+$A164)^(-$C$118:$G$118))+$B$236*(1+$A164)^-5))*(1+$A164)^$B$253+$B$257+$B$259+$B$260+$B$261)*(1+$B$221)^$B$254/$B$264)</f>
        <v>44.0199242170224</v>
      </c>
      <c r="E164" s="307" t="n">
        <f aca="false">IF($A164&lt;=E$162,"n.a.",(($B$243*(SUMPRODUCT($C$117:$G$117,(1+$A164)^(-$C$118:$G$118))+$G$117*(1+E$162)/($A164-E$162)*(1+$A164)^-5)+$B$244*(SUMPRODUCT($C$117:$G$117,(1+$A164)^(-$C$118:$G$118))+$B$236*(1+$A164)^-5))*(1+$A164)^$B$253+$B$257+$B$259+$B$260+$B$261)*(1+$B$221)^$B$254/$B$264)</f>
        <v>46.8086055429124</v>
      </c>
      <c r="F164" s="307" t="n">
        <f aca="false">IF($A164&lt;=F$162,"n.a.",(($B$243*(SUMPRODUCT($C$117:$G$117,(1+$A164)^(-$C$118:$G$118))+$G$117*(1+F$162)/($A164-F$162)*(1+$A164)^-5)+$B$244*(SUMPRODUCT($C$117:$G$117,(1+$A164)^(-$C$118:$G$118))+$B$236*(1+$A164)^-5))*(1+$A164)^$B$253+$B$257+$B$259+$B$260+$B$261)*(1+$B$221)^$B$254/$B$264)</f>
        <v>50.2666747634805</v>
      </c>
      <c r="G164" s="302"/>
    </row>
    <row r="165" customFormat="false" ht="15" hidden="false" customHeight="true" outlineLevel="0" collapsed="false">
      <c r="A165" s="338" t="n">
        <f aca="false">A164+$B$161</f>
        <v>0.0966601696574008</v>
      </c>
      <c r="B165" s="307" t="n">
        <f aca="false">IF($A165&lt;=B$162,"n.a.",(($B$243*(SUMPRODUCT($C$117:$G$117,(1+$A165)^(-$C$118:$G$118))+$G$117*(1+B$162)/($A165-B$162)*(1+$A165)^-5)+$B$244*(SUMPRODUCT($C$117:$G$117,(1+$A165)^(-$C$118:$G$118))+$B$236*(1+$A165)^-5))*(1+$A165)^$B$253+$B$257+$B$259+$B$260+$B$261)*(1+$B$221)^$B$254/$B$264)</f>
        <v>37.4352026142376</v>
      </c>
      <c r="C165" s="307" t="n">
        <f aca="false">IF($A165&lt;=C$162,"n.a.",(($B$243*(SUMPRODUCT($C$117:$G$117,(1+$A165)^(-$C$118:$G$118))+$G$117*(1+C$162)/($A165-C$162)*(1+$A165)^-5)+$B$244*(SUMPRODUCT($C$117:$G$117,(1+$A165)^(-$C$118:$G$118))+$B$236*(1+$A165)^-5))*(1+$A165)^$B$253+$B$257+$B$259+$B$260+$B$261)*(1+$B$221)^$B$254/$B$264)</f>
        <v>39.0446759319495</v>
      </c>
      <c r="D165" s="327" t="n">
        <f aca="false">IF($A165&lt;=D$162,"n.a.",(($B$243*(SUMPRODUCT($C$117:$G$117,(1+$A165)^(-$C$118:$G$118))+$G$117*(1+D$162)/($A165-D$162)*(1+$A165)^-5)+$B$244*(SUMPRODUCT($C$117:$G$117,(1+$A165)^(-$C$118:$G$118))+$B$236*(1+$A165)^-5))*(1+$A165)^$B$253+$B$257+$B$259+$B$260+$B$261)*(1+$B$221)^$B$254/$B$264)</f>
        <v>40.9382065208352</v>
      </c>
      <c r="E165" s="307" t="n">
        <f aca="false">IF($A165&lt;=E$162,"n.a.",(($B$243*(SUMPRODUCT($C$117:$G$117,(1+$A165)^(-$C$118:$G$118))+$G$117*(1+E$162)/($A165-E$162)*(1+$A165)^-5)+$B$244*(SUMPRODUCT($C$117:$G$117,(1+$A165)^(-$C$118:$G$118))+$B$236*(1+$A165)^-5))*(1+$A165)^$B$253+$B$257+$B$259+$B$260+$B$261)*(1+$B$221)^$B$254/$B$264)</f>
        <v>43.1982729924798</v>
      </c>
      <c r="F165" s="307" t="n">
        <f aca="false">IF($A165&lt;=F$162,"n.a.",(($B$243*(SUMPRODUCT($C$117:$G$117,(1+$A165)^(-$C$118:$G$118))+$G$117*(1+F$162)/($A165-F$162)*(1+$A165)^-5)+$B$244*(SUMPRODUCT($C$117:$G$117,(1+$A165)^(-$C$118:$G$118))+$B$236*(1+$A165)^-5))*(1+$A165)^$B$253+$B$257+$B$259+$B$260+$B$261)*(1+$B$221)^$B$254/$B$264)</f>
        <v>45.9427068567506</v>
      </c>
      <c r="G165" s="302"/>
    </row>
    <row r="166" customFormat="false" ht="15" hidden="false" customHeight="true" outlineLevel="0" collapsed="false">
      <c r="A166" s="338" t="n">
        <f aca="false">A165+$B$161</f>
        <v>0.101660169657401</v>
      </c>
      <c r="B166" s="307" t="n">
        <f aca="false">IF($A166&lt;=B$162,"n.a.",(($B$243*(SUMPRODUCT($C$117:$G$117,(1+$A166)^(-$C$118:$G$118))+$G$117*(1+B$162)/($A166-B$162)*(1+$A166)^-5)+$B$244*(SUMPRODUCT($C$117:$G$117,(1+$A166)^(-$C$118:$G$118))+$B$236*(1+$A166)^-5))*(1+$A166)^$B$253+$B$257+$B$259+$B$260+$B$261)*(1+$B$221)^$B$254/$B$264)</f>
        <v>35.3591724484265</v>
      </c>
      <c r="C166" s="307" t="n">
        <f aca="false">IF($A166&lt;=C$162,"n.a.",(($B$243*(SUMPRODUCT($C$117:$G$117,(1+$A166)^(-$C$118:$G$118))+$G$117*(1+C$162)/($A166-C$162)*(1+$A166)^-5)+$B$244*(SUMPRODUCT($C$117:$G$117,(1+$A166)^(-$C$118:$G$118))+$B$236*(1+$A166)^-5))*(1+$A166)^$B$253+$B$257+$B$259+$B$260+$B$261)*(1+$B$221)^$B$254/$B$264)</f>
        <v>36.7221733500538</v>
      </c>
      <c r="D166" s="307" t="n">
        <f aca="false">IF($A166&lt;=D$162,"n.a.",(($B$243*(SUMPRODUCT($C$117:$G$117,(1+$A166)^(-$C$118:$G$118))+$G$117*(1+D$162)/($A166-D$162)*(1+$A166)^-5)+$B$244*(SUMPRODUCT($C$117:$G$117,(1+$A166)^(-$C$118:$G$118))+$B$236*(1+$A166)^-5))*(1+$A166)^$B$253+$B$257+$B$259+$B$260+$B$261)*(1+$B$221)^$B$254/$B$264)</f>
        <v>38.306224714111</v>
      </c>
      <c r="E166" s="307" t="n">
        <f aca="false">IF($A166&lt;=E$162,"n.a.",(($B$243*(SUMPRODUCT($C$117:$G$117,(1+$A166)^(-$C$118:$G$118))+$G$117*(1+E$162)/($A166-E$162)*(1+$A166)^-5)+$B$244*(SUMPRODUCT($C$117:$G$117,(1+$A166)^(-$C$118:$G$118))+$B$236*(1+$A166)^-5))*(1+$A166)^$B$253+$B$257+$B$259+$B$260+$B$261)*(1+$B$221)^$B$254/$B$264)</f>
        <v>40.1698466078074</v>
      </c>
      <c r="F166" s="307" t="n">
        <f aca="false">IF($A166&lt;=F$162,"n.a.",(($B$243*(SUMPRODUCT($C$117:$G$117,(1+$A166)^(-$C$118:$G$118))+$G$117*(1+F$162)/($A166-F$162)*(1+$A166)^-5)+$B$244*(SUMPRODUCT($C$117:$G$117,(1+$A166)^(-$C$118:$G$118))+$B$236*(1+$A166)^-5))*(1+$A166)^$B$253+$B$257+$B$259+$B$260+$B$261)*(1+$B$221)^$B$254/$B$264)</f>
        <v>42.3942148765266</v>
      </c>
      <c r="G166" s="302"/>
    </row>
    <row r="167" customFormat="false" ht="15" hidden="false" customHeight="true" outlineLevel="0" collapsed="false">
      <c r="A167" s="338" t="n">
        <f aca="false">A166+$B$161</f>
        <v>0.106660169657401</v>
      </c>
      <c r="B167" s="307" t="n">
        <f aca="false">IF($A167&lt;=B$162,"n.a.",(($B$243*(SUMPRODUCT($C$117:$G$117,(1+$A167)^(-$C$118:$G$118))+$G$117*(1+B$162)/($A167-B$162)*(1+$A167)^-5)+$B$244*(SUMPRODUCT($C$117:$G$117,(1+$A167)^(-$C$118:$G$118))+$B$236*(1+$A167)^-5))*(1+$A167)^$B$253+$B$257+$B$259+$B$260+$B$261)*(1+$B$221)^$B$254/$B$264)</f>
        <v>33.5162986881754</v>
      </c>
      <c r="C167" s="307" t="n">
        <f aca="false">IF($A167&lt;=C$162,"n.a.",(($B$243*(SUMPRODUCT($C$117:$G$117,(1+$A167)^(-$C$118:$G$118))+$G$117*(1+C$162)/($A167-C$162)*(1+$A167)^-5)+$B$244*(SUMPRODUCT($C$117:$G$117,(1+$A167)^(-$C$118:$G$118))+$B$236*(1+$A167)^-5))*(1+$A167)^$B$253+$B$257+$B$259+$B$260+$B$261)*(1+$B$221)^$B$254/$B$264)</f>
        <v>34.6828653785588</v>
      </c>
      <c r="D167" s="307" t="n">
        <f aca="false">IF($A167&lt;=D$162,"n.a.",(($B$243*(SUMPRODUCT($C$117:$G$117,(1+$A167)^(-$C$118:$G$118))+$G$117*(1+D$162)/($A167-D$162)*(1+$A167)^-5)+$B$244*(SUMPRODUCT($C$117:$G$117,(1+$A167)^(-$C$118:$G$118))+$B$236*(1+$A167)^-5))*(1+$A167)^$B$253+$B$257+$B$259+$B$260+$B$261)*(1+$B$221)^$B$254/$B$264)</f>
        <v>36.0244341273497</v>
      </c>
      <c r="E167" s="307" t="n">
        <f aca="false">IF($A167&lt;=E$162,"n.a.",(($B$243*(SUMPRODUCT($C$117:$G$117,(1+$A167)^(-$C$118:$G$118))+$G$117*(1+E$162)/($A167-E$162)*(1+$A167)^-5)+$B$244*(SUMPRODUCT($C$117:$G$117,(1+$A167)^(-$C$118:$G$118))+$B$236*(1+$A167)^-5))*(1+$A167)^$B$253+$B$257+$B$259+$B$260+$B$261)*(1+$B$221)^$B$254/$B$264)</f>
        <v>37.5835774881218</v>
      </c>
      <c r="F167" s="307" t="n">
        <f aca="false">IF($A167&lt;=F$162,"n.a.",(($B$243*(SUMPRODUCT($C$117:$G$117,(1+$A167)^(-$C$118:$G$118))+$G$117*(1+F$162)/($A167-F$162)*(1+$A167)^-5)+$B$244*(SUMPRODUCT($C$117:$G$117,(1+$A167)^(-$C$118:$G$118))+$B$236*(1+$A167)^-5))*(1+$A167)^$B$253+$B$257+$B$259+$B$260+$B$261)*(1+$B$221)^$B$254/$B$264)</f>
        <v>39.4178953445229</v>
      </c>
      <c r="G167" s="302"/>
    </row>
    <row r="168" customFormat="false" ht="15" hidden="false" customHeight="true" outlineLevel="0" collapsed="false">
      <c r="A168" s="302" t="s">
        <v>1936</v>
      </c>
      <c r="B168" s="337" t="n">
        <f aca="false">D165-B265</f>
        <v>0</v>
      </c>
      <c r="C168" s="302"/>
      <c r="D168" s="302"/>
      <c r="E168" s="302"/>
      <c r="F168" s="302"/>
      <c r="G168" s="302"/>
    </row>
    <row r="169" customFormat="false" ht="15" hidden="false" customHeight="true" outlineLevel="0" collapsed="false">
      <c r="A169" s="298"/>
      <c r="B169" s="298"/>
      <c r="C169" s="298"/>
      <c r="D169" s="298"/>
      <c r="E169" s="298"/>
      <c r="F169" s="298"/>
      <c r="G169" s="298"/>
    </row>
    <row r="170" customFormat="false" ht="15" hidden="false" customHeight="true" outlineLevel="0" collapsed="false">
      <c r="A170" s="285" t="s">
        <v>1937</v>
      </c>
      <c r="B170" s="285" t="s">
        <v>1749</v>
      </c>
      <c r="C170" s="285" t="s">
        <v>1938</v>
      </c>
      <c r="D170" s="285" t="s">
        <v>1719</v>
      </c>
      <c r="E170" s="285" t="s">
        <v>1939</v>
      </c>
      <c r="F170" s="285" t="s">
        <v>1940</v>
      </c>
      <c r="G170" s="285" t="s">
        <v>1941</v>
      </c>
    </row>
    <row r="171" customFormat="false" ht="15" hidden="false" customHeight="false" outlineLevel="0" collapsed="false">
      <c r="A171" s="286" t="s">
        <v>1942</v>
      </c>
      <c r="B171" s="286" t="s">
        <v>1757</v>
      </c>
      <c r="C171" s="286" t="n">
        <v>4</v>
      </c>
      <c r="D171" s="286" t="s">
        <v>1943</v>
      </c>
      <c r="E171" s="286" t="s">
        <v>1944</v>
      </c>
      <c r="F171" s="286" t="s">
        <v>1442</v>
      </c>
      <c r="G171" s="286" t="n">
        <v>11</v>
      </c>
    </row>
    <row r="172" customFormat="false" ht="15" hidden="false" customHeight="false" outlineLevel="0" collapsed="false">
      <c r="A172" s="286" t="s">
        <v>1945</v>
      </c>
      <c r="B172" s="286" t="s">
        <v>1781</v>
      </c>
      <c r="C172" s="286" t="n">
        <v>3</v>
      </c>
      <c r="D172" s="286" t="s">
        <v>1943</v>
      </c>
      <c r="E172" s="286" t="s">
        <v>1944</v>
      </c>
      <c r="F172" s="286" t="s">
        <v>1761</v>
      </c>
      <c r="G172" s="286" t="n">
        <v>10</v>
      </c>
    </row>
    <row r="173" customFormat="false" ht="15" hidden="false" customHeight="false" outlineLevel="0" collapsed="false">
      <c r="A173" s="286" t="s">
        <v>1946</v>
      </c>
      <c r="B173" s="286" t="s">
        <v>1772</v>
      </c>
      <c r="C173" s="286" t="n">
        <v>5</v>
      </c>
      <c r="D173" s="286" t="s">
        <v>1943</v>
      </c>
      <c r="E173" s="286" t="s">
        <v>1948</v>
      </c>
      <c r="F173" s="286" t="s">
        <v>1442</v>
      </c>
      <c r="G173" s="286" t="n">
        <v>13</v>
      </c>
    </row>
    <row r="174" customFormat="false" ht="15" hidden="false" customHeight="false" outlineLevel="0" collapsed="false">
      <c r="A174" s="286" t="s">
        <v>1949</v>
      </c>
      <c r="B174" s="286" t="s">
        <v>1757</v>
      </c>
      <c r="C174" s="286" t="n">
        <v>3</v>
      </c>
      <c r="D174" s="286" t="s">
        <v>1950</v>
      </c>
      <c r="E174" s="286" t="s">
        <v>1944</v>
      </c>
      <c r="F174" s="286" t="s">
        <v>1442</v>
      </c>
      <c r="G174" s="286" t="n">
        <v>13</v>
      </c>
    </row>
    <row r="175" customFormat="false" ht="15" hidden="false" customHeight="false" outlineLevel="0" collapsed="false">
      <c r="A175" s="286" t="s">
        <v>1951</v>
      </c>
      <c r="B175" s="286" t="s">
        <v>1772</v>
      </c>
      <c r="C175" s="286" t="n">
        <v>3</v>
      </c>
      <c r="D175" s="286" t="s">
        <v>1950</v>
      </c>
      <c r="E175" s="286" t="s">
        <v>1948</v>
      </c>
      <c r="F175" s="286" t="s">
        <v>1442</v>
      </c>
      <c r="G175" s="286" t="n">
        <v>17</v>
      </c>
    </row>
    <row r="176" customFormat="false" ht="15" hidden="false" customHeight="false" outlineLevel="0" collapsed="false">
      <c r="A176" s="286" t="s">
        <v>1952</v>
      </c>
      <c r="B176" s="286" t="s">
        <v>1772</v>
      </c>
      <c r="C176" s="286" t="n">
        <v>3</v>
      </c>
      <c r="D176" s="286" t="s">
        <v>1943</v>
      </c>
      <c r="E176" s="286" t="s">
        <v>1944</v>
      </c>
      <c r="F176" s="286" t="s">
        <v>1953</v>
      </c>
      <c r="G176" s="286" t="s">
        <v>1954</v>
      </c>
    </row>
    <row r="177" customFormat="false" ht="15" hidden="false" customHeight="false" outlineLevel="0" collapsed="false">
      <c r="A177" s="286" t="s">
        <v>1955</v>
      </c>
      <c r="B177" s="286" t="s">
        <v>1772</v>
      </c>
      <c r="C177" s="286" t="n">
        <v>3</v>
      </c>
      <c r="D177" s="286" t="s">
        <v>1943</v>
      </c>
      <c r="E177" s="286" t="s">
        <v>1948</v>
      </c>
      <c r="F177" s="286" t="s">
        <v>1956</v>
      </c>
      <c r="G177" s="286" t="n">
        <v>125</v>
      </c>
    </row>
    <row r="178" customFormat="false" ht="15" hidden="false" customHeight="false" outlineLevel="0" collapsed="false">
      <c r="A178" s="286" t="s">
        <v>1957</v>
      </c>
      <c r="B178" s="286" t="s">
        <v>1772</v>
      </c>
      <c r="C178" s="286" t="n">
        <v>3</v>
      </c>
      <c r="D178" s="286" t="s">
        <v>1950</v>
      </c>
      <c r="E178" s="286" t="s">
        <v>1948</v>
      </c>
      <c r="F178" s="286" t="s">
        <v>1771</v>
      </c>
      <c r="G178" s="286" t="n">
        <v>35</v>
      </c>
    </row>
    <row r="179" customFormat="false" ht="15" hidden="false" customHeight="false" outlineLevel="0" collapsed="false">
      <c r="A179" s="286" t="s">
        <v>1958</v>
      </c>
      <c r="B179" s="286" t="s">
        <v>1772</v>
      </c>
      <c r="C179" s="286" t="n">
        <v>2</v>
      </c>
      <c r="D179" s="286" t="s">
        <v>1950</v>
      </c>
      <c r="E179" s="286" t="s">
        <v>1959</v>
      </c>
      <c r="F179" s="286" t="s">
        <v>5</v>
      </c>
      <c r="G179" s="286" t="n">
        <v>125</v>
      </c>
    </row>
    <row r="180" customFormat="false" ht="15" hidden="false" customHeight="false" outlineLevel="0" collapsed="false">
      <c r="A180" s="286" t="s">
        <v>1960</v>
      </c>
      <c r="B180" s="286" t="s">
        <v>1772</v>
      </c>
      <c r="C180" s="286" t="n">
        <v>4</v>
      </c>
      <c r="D180" s="286" t="s">
        <v>1943</v>
      </c>
      <c r="E180" s="286" t="s">
        <v>1959</v>
      </c>
      <c r="F180" s="286" t="s">
        <v>1442</v>
      </c>
      <c r="G180" s="286" t="n">
        <v>18</v>
      </c>
    </row>
    <row r="181" customFormat="false" ht="15" hidden="false" customHeight="false" outlineLevel="0" collapsed="false">
      <c r="A181" s="286" t="s">
        <v>1961</v>
      </c>
      <c r="B181" s="286" t="s">
        <v>1772</v>
      </c>
      <c r="C181" s="286" t="n">
        <v>3</v>
      </c>
      <c r="D181" s="286" t="s">
        <v>1943</v>
      </c>
      <c r="E181" s="286" t="s">
        <v>1944</v>
      </c>
      <c r="F181" s="286" t="s">
        <v>1442</v>
      </c>
      <c r="G181" s="286" t="n">
        <v>18</v>
      </c>
    </row>
    <row r="182" customFormat="false" ht="15" hidden="false" customHeight="false" outlineLevel="0" collapsed="false">
      <c r="A182" s="286" t="s">
        <v>1962</v>
      </c>
      <c r="B182" s="286" t="s">
        <v>1772</v>
      </c>
      <c r="C182" s="286" t="n">
        <v>2</v>
      </c>
      <c r="D182" s="286" t="s">
        <v>1943</v>
      </c>
      <c r="E182" s="286" t="s">
        <v>1948</v>
      </c>
      <c r="F182" s="286" t="s">
        <v>1771</v>
      </c>
      <c r="G182" s="286" t="n">
        <v>35</v>
      </c>
    </row>
    <row r="183" customFormat="false" ht="15" hidden="false" customHeight="false" outlineLevel="0" collapsed="false">
      <c r="A183" s="286" t="s">
        <v>1963</v>
      </c>
      <c r="B183" s="286" t="s">
        <v>1781</v>
      </c>
      <c r="C183" s="286" t="n">
        <v>4</v>
      </c>
      <c r="D183" s="286" t="s">
        <v>1943</v>
      </c>
      <c r="E183" s="286" t="s">
        <v>1964</v>
      </c>
      <c r="F183" s="286" t="s">
        <v>1965</v>
      </c>
      <c r="G183" s="286" t="s">
        <v>1966</v>
      </c>
    </row>
    <row r="184" customFormat="false" ht="15" hidden="false" customHeight="false" outlineLevel="0" collapsed="false">
      <c r="A184" s="286" t="s">
        <v>1967</v>
      </c>
      <c r="B184" s="286" t="s">
        <v>1772</v>
      </c>
      <c r="C184" s="286" t="n">
        <v>3</v>
      </c>
      <c r="D184" s="286" t="s">
        <v>1943</v>
      </c>
      <c r="E184" s="286" t="s">
        <v>1959</v>
      </c>
      <c r="F184" s="286" t="s">
        <v>1785</v>
      </c>
      <c r="G184" s="286" t="n">
        <v>33</v>
      </c>
    </row>
    <row r="185" customFormat="false" ht="15" hidden="false" customHeight="false" outlineLevel="0" collapsed="false">
      <c r="A185" s="286" t="s">
        <v>1968</v>
      </c>
      <c r="B185" s="286" t="s">
        <v>1772</v>
      </c>
      <c r="C185" s="286" t="n">
        <v>2</v>
      </c>
      <c r="D185" s="286" t="s">
        <v>1950</v>
      </c>
      <c r="E185" s="286" t="s">
        <v>1944</v>
      </c>
      <c r="F185" s="286" t="s">
        <v>1442</v>
      </c>
      <c r="G185" s="286" t="n">
        <v>21</v>
      </c>
    </row>
    <row r="186" customFormat="false" ht="15" hidden="false" customHeight="false" outlineLevel="0" collapsed="false">
      <c r="A186" s="286" t="s">
        <v>1969</v>
      </c>
      <c r="B186" s="286" t="s">
        <v>1772</v>
      </c>
      <c r="C186" s="286" t="n">
        <v>2</v>
      </c>
      <c r="D186" s="286" t="s">
        <v>1950</v>
      </c>
      <c r="E186" s="286" t="s">
        <v>1959</v>
      </c>
      <c r="F186" s="286" t="s">
        <v>1439</v>
      </c>
      <c r="G186" s="286" t="n">
        <v>52</v>
      </c>
    </row>
    <row r="187" customFormat="false" ht="15" hidden="false" customHeight="false" outlineLevel="0" collapsed="false">
      <c r="A187" s="286" t="s">
        <v>1970</v>
      </c>
      <c r="B187" s="286" t="s">
        <v>1757</v>
      </c>
      <c r="C187" s="286" t="n">
        <v>3</v>
      </c>
      <c r="D187" s="286" t="s">
        <v>1943</v>
      </c>
      <c r="E187" s="286" t="s">
        <v>1959</v>
      </c>
      <c r="F187" s="286" t="s">
        <v>1442</v>
      </c>
      <c r="G187" s="286" t="n">
        <v>19</v>
      </c>
    </row>
    <row r="188" customFormat="false" ht="15" hidden="false" customHeight="false" outlineLevel="0" collapsed="false">
      <c r="A188" s="286" t="s">
        <v>1971</v>
      </c>
      <c r="B188" s="286" t="s">
        <v>1772</v>
      </c>
      <c r="C188" s="286" t="n">
        <v>3</v>
      </c>
      <c r="D188" s="286" t="s">
        <v>1943</v>
      </c>
      <c r="E188" s="286" t="s">
        <v>1948</v>
      </c>
      <c r="F188" s="286" t="s">
        <v>1972</v>
      </c>
      <c r="G188" s="286" t="n">
        <v>34</v>
      </c>
    </row>
    <row r="189" customFormat="false" ht="15" hidden="false" customHeight="false" outlineLevel="0" collapsed="false">
      <c r="A189" s="286" t="s">
        <v>1973</v>
      </c>
      <c r="B189" s="286" t="s">
        <v>1772</v>
      </c>
      <c r="C189" s="286" t="n">
        <v>5</v>
      </c>
      <c r="D189" s="286" t="s">
        <v>1943</v>
      </c>
      <c r="E189" s="286" t="s">
        <v>1948</v>
      </c>
      <c r="F189" s="286" t="s">
        <v>1442</v>
      </c>
      <c r="G189" s="286" t="n">
        <v>15</v>
      </c>
    </row>
    <row r="190" customFormat="false" ht="15" hidden="false" customHeight="false" outlineLevel="0" collapsed="false">
      <c r="A190" s="286" t="s">
        <v>1974</v>
      </c>
      <c r="B190" s="286" t="s">
        <v>1772</v>
      </c>
      <c r="C190" s="286" t="n">
        <v>5</v>
      </c>
      <c r="D190" s="286" t="s">
        <v>1943</v>
      </c>
      <c r="E190" s="286" t="s">
        <v>1964</v>
      </c>
      <c r="F190" s="286" t="s">
        <v>1975</v>
      </c>
      <c r="G190" s="286" t="s">
        <v>1976</v>
      </c>
    </row>
    <row r="191" customFormat="false" ht="15" hidden="false" customHeight="false" outlineLevel="0" collapsed="false">
      <c r="A191" s="286" t="s">
        <v>1977</v>
      </c>
      <c r="B191" s="286" t="s">
        <v>1781</v>
      </c>
      <c r="C191" s="286" t="n">
        <v>4</v>
      </c>
      <c r="D191" s="286" t="s">
        <v>1943</v>
      </c>
      <c r="E191" s="286" t="s">
        <v>1978</v>
      </c>
      <c r="F191" s="286" t="s">
        <v>1979</v>
      </c>
      <c r="G191" s="286" t="s">
        <v>1980</v>
      </c>
    </row>
    <row r="192" customFormat="false" ht="15" hidden="false" customHeight="false" outlineLevel="0" collapsed="false">
      <c r="A192" s="286" t="s">
        <v>1981</v>
      </c>
      <c r="B192" s="286" t="s">
        <v>1781</v>
      </c>
      <c r="C192" s="286" t="n">
        <v>3</v>
      </c>
      <c r="D192" s="286" t="s">
        <v>1943</v>
      </c>
      <c r="E192" s="286" t="s">
        <v>1959</v>
      </c>
      <c r="F192" s="286" t="s">
        <v>1975</v>
      </c>
      <c r="G192" s="286" t="n">
        <v>16</v>
      </c>
    </row>
    <row r="193" customFormat="false" ht="15" hidden="false" customHeight="false" outlineLevel="0" collapsed="false">
      <c r="A193" s="286" t="s">
        <v>1982</v>
      </c>
      <c r="B193" s="286" t="s">
        <v>1781</v>
      </c>
      <c r="C193" s="286" t="n">
        <v>2</v>
      </c>
      <c r="D193" s="286" t="s">
        <v>1943</v>
      </c>
      <c r="E193" s="286" t="s">
        <v>1959</v>
      </c>
      <c r="F193" s="286" t="s">
        <v>1972</v>
      </c>
      <c r="G193" s="286" t="s">
        <v>1983</v>
      </c>
    </row>
    <row r="194" customFormat="false" ht="15" hidden="false" customHeight="false" outlineLevel="0" collapsed="false">
      <c r="A194" s="286" t="s">
        <v>1984</v>
      </c>
      <c r="B194" s="286" t="s">
        <v>1757</v>
      </c>
      <c r="C194" s="286" t="n">
        <v>2</v>
      </c>
      <c r="D194" s="286" t="s">
        <v>1943</v>
      </c>
      <c r="E194" s="286" t="s">
        <v>1959</v>
      </c>
      <c r="F194" s="286" t="s">
        <v>1827</v>
      </c>
      <c r="G194" s="286" t="n">
        <v>22</v>
      </c>
    </row>
    <row r="195" customFormat="false" ht="15" hidden="false" customHeight="false" outlineLevel="0" collapsed="false">
      <c r="A195" s="286" t="s">
        <v>1985</v>
      </c>
      <c r="B195" s="286" t="s">
        <v>1757</v>
      </c>
      <c r="C195" s="286" t="n">
        <v>2</v>
      </c>
      <c r="D195" s="286" t="s">
        <v>1950</v>
      </c>
      <c r="E195" s="286" t="s">
        <v>1978</v>
      </c>
      <c r="F195" s="286" t="s">
        <v>1972</v>
      </c>
      <c r="G195" s="286" t="n">
        <v>38</v>
      </c>
    </row>
    <row r="196" customFormat="false" ht="15" hidden="false" customHeight="false" outlineLevel="0" collapsed="false">
      <c r="A196" s="286" t="s">
        <v>1986</v>
      </c>
      <c r="B196" s="286" t="s">
        <v>1757</v>
      </c>
      <c r="C196" s="286" t="n">
        <v>4</v>
      </c>
      <c r="D196" s="286" t="s">
        <v>1943</v>
      </c>
      <c r="E196" s="286" t="s">
        <v>1948</v>
      </c>
      <c r="F196" s="286" t="s">
        <v>1972</v>
      </c>
      <c r="G196" s="286" t="n">
        <v>32</v>
      </c>
    </row>
    <row r="197" customFormat="false" ht="15" hidden="false" customHeight="false" outlineLevel="0" collapsed="false">
      <c r="A197" s="286" t="s">
        <v>1987</v>
      </c>
      <c r="B197" s="286" t="s">
        <v>1781</v>
      </c>
      <c r="C197" s="286" t="n">
        <v>3</v>
      </c>
      <c r="D197" s="286" t="s">
        <v>1943</v>
      </c>
      <c r="E197" s="286" t="s">
        <v>1948</v>
      </c>
      <c r="F197" s="286" t="s">
        <v>99</v>
      </c>
      <c r="G197" s="286" t="n">
        <v>47</v>
      </c>
    </row>
    <row r="198" customFormat="false" ht="15" hidden="false" customHeight="false" outlineLevel="0" collapsed="false">
      <c r="A198" s="286" t="s">
        <v>1988</v>
      </c>
      <c r="B198" s="286" t="s">
        <v>1772</v>
      </c>
      <c r="C198" s="286" t="n">
        <v>3</v>
      </c>
      <c r="D198" s="286" t="s">
        <v>1950</v>
      </c>
      <c r="E198" s="286" t="s">
        <v>1948</v>
      </c>
      <c r="F198" s="286" t="s">
        <v>1785</v>
      </c>
      <c r="G198" s="286" t="n">
        <v>36</v>
      </c>
    </row>
    <row r="199" customFormat="false" ht="15" hidden="false" customHeight="false" outlineLevel="0" collapsed="false">
      <c r="A199" s="286" t="s">
        <v>1989</v>
      </c>
      <c r="B199" s="286" t="s">
        <v>1772</v>
      </c>
      <c r="C199" s="286" t="n">
        <v>3</v>
      </c>
      <c r="D199" s="286" t="s">
        <v>1943</v>
      </c>
      <c r="E199" s="286" t="s">
        <v>1944</v>
      </c>
      <c r="F199" s="286" t="s">
        <v>1442</v>
      </c>
      <c r="G199" s="286" t="n">
        <v>17</v>
      </c>
    </row>
    <row r="200" customFormat="false" ht="15" hidden="false" customHeight="false" outlineLevel="0" collapsed="false">
      <c r="A200" s="286" t="s">
        <v>1990</v>
      </c>
      <c r="B200" s="286" t="s">
        <v>1772</v>
      </c>
      <c r="C200" s="286" t="n">
        <v>2</v>
      </c>
      <c r="D200" s="286" t="s">
        <v>1950</v>
      </c>
      <c r="E200" s="286" t="s">
        <v>1944</v>
      </c>
      <c r="F200" s="286" t="s">
        <v>1785</v>
      </c>
      <c r="G200" s="286" t="s">
        <v>1991</v>
      </c>
    </row>
    <row r="201" customFormat="false" ht="15" hidden="false" customHeight="true" outlineLevel="0" collapsed="false">
      <c r="A201" s="288"/>
      <c r="B201" s="288"/>
      <c r="C201" s="288"/>
      <c r="D201" s="288"/>
      <c r="E201" s="288"/>
      <c r="F201" s="288"/>
      <c r="G201" s="288"/>
    </row>
    <row r="202" customFormat="false" ht="15" hidden="false" customHeight="true" outlineLevel="0" collapsed="false">
      <c r="A202" s="288"/>
      <c r="B202" s="288"/>
      <c r="C202" s="288"/>
      <c r="D202" s="288"/>
      <c r="E202" s="288"/>
      <c r="F202" s="288"/>
      <c r="G202" s="288"/>
    </row>
    <row r="203" customFormat="false" ht="15" hidden="false" customHeight="true" outlineLevel="0" collapsed="false">
      <c r="A203" s="298"/>
      <c r="B203" s="298"/>
      <c r="C203" s="298"/>
      <c r="D203" s="298"/>
      <c r="E203" s="298"/>
      <c r="F203" s="298"/>
      <c r="G203" s="298"/>
    </row>
    <row r="204" customFormat="false" ht="15" hidden="false" customHeight="true" outlineLevel="0" collapsed="false">
      <c r="A204" s="298"/>
      <c r="B204" s="298"/>
      <c r="C204" s="298"/>
      <c r="D204" s="298"/>
      <c r="E204" s="298"/>
      <c r="F204" s="298"/>
      <c r="G204" s="298"/>
    </row>
    <row r="205" customFormat="false" ht="15" hidden="false" customHeight="true" outlineLevel="0" collapsed="false">
      <c r="A205" s="285" t="s">
        <v>1992</v>
      </c>
      <c r="B205" s="300" t="s">
        <v>78</v>
      </c>
      <c r="C205" s="300"/>
      <c r="D205" s="300"/>
      <c r="E205" s="300"/>
      <c r="F205" s="300"/>
      <c r="G205" s="300"/>
    </row>
    <row r="206" customFormat="false" ht="15" hidden="false" customHeight="false" outlineLevel="0" collapsed="false">
      <c r="A206" s="286" t="s">
        <v>1994</v>
      </c>
      <c r="B206" s="296" t="n">
        <f aca="false">C61+Escenarios!$O$15</f>
        <v>0.1</v>
      </c>
      <c r="C206" s="302"/>
      <c r="D206" s="302"/>
      <c r="E206" s="302"/>
      <c r="F206" s="302"/>
      <c r="G206" s="302"/>
    </row>
    <row r="207" customFormat="false" ht="15" hidden="false" customHeight="false" outlineLevel="0" collapsed="false">
      <c r="A207" s="286" t="s">
        <v>1995</v>
      </c>
      <c r="B207" s="296" t="n">
        <f aca="false">G55</f>
        <v>0.288010101095701</v>
      </c>
      <c r="C207" s="302"/>
      <c r="D207" s="302"/>
      <c r="E207" s="302"/>
      <c r="F207" s="302"/>
      <c r="G207" s="302"/>
    </row>
    <row r="208" customFormat="false" ht="15" hidden="false" customHeight="false" outlineLevel="0" collapsed="false">
      <c r="A208" s="286" t="s">
        <v>1996</v>
      </c>
      <c r="B208" s="296" t="n">
        <f aca="false">B206*(1-B207)</f>
        <v>0.0711989898904299</v>
      </c>
      <c r="C208" s="302"/>
      <c r="D208" s="302"/>
      <c r="E208" s="302"/>
      <c r="F208" s="302"/>
      <c r="G208" s="302"/>
    </row>
    <row r="209" customFormat="false" ht="15" hidden="false" customHeight="false" outlineLevel="0" collapsed="false">
      <c r="A209" s="286" t="s">
        <v>1997</v>
      </c>
      <c r="B209" s="297" t="n">
        <f aca="false">B91+B92</f>
        <v>23618</v>
      </c>
      <c r="C209" s="302"/>
      <c r="D209" s="302"/>
      <c r="E209" s="302"/>
      <c r="F209" s="302"/>
      <c r="G209" s="302"/>
    </row>
    <row r="210" customFormat="false" ht="15" hidden="false" customHeight="false" outlineLevel="0" collapsed="false">
      <c r="A210" s="286" t="s">
        <v>1998</v>
      </c>
      <c r="B210" s="296" t="n">
        <f aca="false">WACC!B5+Escenarios!$O$14</f>
        <v>0.09517</v>
      </c>
      <c r="C210" s="302"/>
      <c r="D210" s="302"/>
      <c r="E210" s="302"/>
      <c r="F210" s="302"/>
      <c r="G210" s="302"/>
    </row>
    <row r="211" customFormat="false" ht="15" hidden="false" customHeight="false" outlineLevel="0" collapsed="false">
      <c r="A211" s="286" t="s">
        <v>1999</v>
      </c>
      <c r="B211" s="296" t="n">
        <f aca="false">WACC!B8</f>
        <v>0.0423</v>
      </c>
      <c r="C211" s="302"/>
      <c r="D211" s="302"/>
      <c r="E211" s="302"/>
      <c r="F211" s="302"/>
      <c r="G211" s="302"/>
    </row>
    <row r="212" customFormat="false" ht="15" hidden="false" customHeight="false" outlineLevel="0" collapsed="false">
      <c r="A212" s="286" t="s">
        <v>2700</v>
      </c>
      <c r="B212" s="337" t="n">
        <f aca="false">Escenarios!$O$16</f>
        <v>0.170520815748403</v>
      </c>
      <c r="C212" s="302"/>
      <c r="D212" s="302"/>
      <c r="E212" s="302"/>
      <c r="F212" s="302"/>
      <c r="G212" s="302"/>
    </row>
    <row r="213" customFormat="false" ht="15" hidden="false" customHeight="false" outlineLevel="0" collapsed="false">
      <c r="A213" s="285" t="s">
        <v>2001</v>
      </c>
      <c r="B213" s="300" t="s">
        <v>2002</v>
      </c>
      <c r="C213" s="300" t="s">
        <v>2003</v>
      </c>
      <c r="D213" s="300" t="s">
        <v>1412</v>
      </c>
      <c r="E213" s="300" t="s">
        <v>2004</v>
      </c>
      <c r="F213" s="300" t="s">
        <v>2005</v>
      </c>
      <c r="G213" s="300" t="s">
        <v>2006</v>
      </c>
    </row>
    <row r="214" customFormat="false" ht="15" hidden="false" customHeight="false" outlineLevel="0" collapsed="false">
      <c r="A214" s="286" t="s">
        <v>2007</v>
      </c>
      <c r="B214" s="296" t="n">
        <f aca="false">WACC!B33</f>
        <v>0.100615773284249</v>
      </c>
      <c r="C214" s="297" t="n">
        <f aca="false">SUMPRODUCT($C$117:$G$117,(1+B214)^(-$C$118:$G$118))+$G$117*(1+$B$123)/(B214-$B$123)*(1+B214)^-5+$B$141+$B$142+$B$143</f>
        <v>77564.3514968032</v>
      </c>
      <c r="D214" s="304" t="n">
        <f aca="false">$B$209/C214</f>
        <v>0.304495551683603</v>
      </c>
      <c r="E214" s="304" t="n">
        <f aca="false">$B$212*(1+(1-$B$207)*D214)</f>
        <v>0.207489346134701</v>
      </c>
      <c r="F214" s="296" t="n">
        <f aca="false">$B$210+E214*$B$211</f>
        <v>0.103946799341498</v>
      </c>
      <c r="G214" s="296" t="n">
        <f aca="false">C214/(C214+$B$209)*F214+$B$209/(C214+$B$209)*$B$208</f>
        <v>0.096302800638426</v>
      </c>
    </row>
    <row r="215" customFormat="false" ht="15" hidden="false" customHeight="false" outlineLevel="0" collapsed="false">
      <c r="A215" s="286" t="n">
        <v>1</v>
      </c>
      <c r="B215" s="296" t="n">
        <f aca="false">G214</f>
        <v>0.096302800638426</v>
      </c>
      <c r="C215" s="297" t="n">
        <f aca="false">SUMPRODUCT($C$117:$G$117,(1+B215)^(-$C$118:$G$118))+$G$117*(1+$B$123)/(B215-$B$123)*(1+B215)^-5+$B$141+$B$142+$B$143</f>
        <v>84497.212843487</v>
      </c>
      <c r="D215" s="304" t="n">
        <f aca="false">$B$209/C215</f>
        <v>0.279512178037722</v>
      </c>
      <c r="E215" s="304" t="n">
        <f aca="false">$B$212*(1+(1-$B$207)*D215)</f>
        <v>0.204456137266219</v>
      </c>
      <c r="F215" s="296" t="n">
        <f aca="false">$B$210+E215*$B$211</f>
        <v>0.103818494606361</v>
      </c>
      <c r="G215" s="296" t="n">
        <f aca="false">C215/(C215+$B$209)*F215+$B$209/(C215+$B$209)*$B$208</f>
        <v>0.096692693878427</v>
      </c>
    </row>
    <row r="216" customFormat="false" ht="15" hidden="false" customHeight="false" outlineLevel="0" collapsed="false">
      <c r="A216" s="286" t="n">
        <v>2</v>
      </c>
      <c r="B216" s="296" t="n">
        <f aca="false">G215</f>
        <v>0.096692693878427</v>
      </c>
      <c r="C216" s="297" t="n">
        <f aca="false">SUMPRODUCT($C$117:$G$117,(1+B216)^(-$C$118:$G$118))+$G$117*(1+$B$123)/(B216-$B$123)*(1+B216)^-5+$B$141+$B$142+$B$143</f>
        <v>83827.1851520365</v>
      </c>
      <c r="D216" s="304" t="n">
        <f aca="false">$B$209/C216</f>
        <v>0.281746308875388</v>
      </c>
      <c r="E216" s="304" t="n">
        <f aca="false">$B$212*(1+(1-$B$207)*D216)</f>
        <v>0.204727381076851</v>
      </c>
      <c r="F216" s="296" t="n">
        <f aca="false">$B$210+E216*$B$211</f>
        <v>0.103829968219551</v>
      </c>
      <c r="G216" s="296" t="n">
        <f aca="false">C216/(C216+$B$209)*F216+$B$209/(C216+$B$209)*$B$208</f>
        <v>0.0966572089648047</v>
      </c>
    </row>
    <row r="217" customFormat="false" ht="15" hidden="false" customHeight="false" outlineLevel="0" collapsed="false">
      <c r="A217" s="286" t="n">
        <v>3</v>
      </c>
      <c r="B217" s="296" t="n">
        <f aca="false">G216</f>
        <v>0.0966572089648047</v>
      </c>
      <c r="C217" s="297" t="n">
        <f aca="false">SUMPRODUCT($C$117:$G$117,(1+B217)^(-$C$118:$G$118))+$G$117*(1+$B$123)/(B217-$B$123)*(1+B217)^-5+$B$141+$B$142+$B$143</f>
        <v>83887.7847792904</v>
      </c>
      <c r="D217" s="304" t="n">
        <f aca="false">$B$209/C217</f>
        <v>0.281542778393054</v>
      </c>
      <c r="E217" s="304" t="n">
        <f aca="false">$B$212*(1+(1-$B$207)*D217)</f>
        <v>0.204702670624501</v>
      </c>
      <c r="F217" s="296" t="n">
        <f aca="false">$B$210+E217*$B$211</f>
        <v>0.103828922967416</v>
      </c>
      <c r="G217" s="296" t="n">
        <f aca="false">C217/(C217+$B$209)*F217+$B$209/(C217+$B$209)*$B$208</f>
        <v>0.0966604365367148</v>
      </c>
    </row>
    <row r="218" customFormat="false" ht="15" hidden="false" customHeight="false" outlineLevel="0" collapsed="false">
      <c r="A218" s="286" t="n">
        <v>4</v>
      </c>
      <c r="B218" s="296" t="n">
        <f aca="false">G217</f>
        <v>0.0966604365367148</v>
      </c>
      <c r="C218" s="297" t="n">
        <f aca="false">SUMPRODUCT($C$117:$G$117,(1+B218)^(-$C$118:$G$118))+$G$117*(1+$B$123)/(B218-$B$123)*(1+B218)^-5+$B$141+$B$142+$B$143</f>
        <v>83882.2697361821</v>
      </c>
      <c r="D218" s="304" t="n">
        <f aca="false">$B$209/C218</f>
        <v>0.281561289105325</v>
      </c>
      <c r="E218" s="304" t="n">
        <f aca="false">$B$212*(1+(1-$B$207)*D218)</f>
        <v>0.204704917993388</v>
      </c>
      <c r="F218" s="296" t="n">
        <f aca="false">$B$210+E218*$B$211</f>
        <v>0.10382901803112</v>
      </c>
      <c r="G218" s="296" t="n">
        <f aca="false">C218/(C218+$B$209)*F218+$B$209/(C218+$B$209)*$B$208</f>
        <v>0.0966601429527777</v>
      </c>
    </row>
    <row r="219" customFormat="false" ht="15" hidden="false" customHeight="false" outlineLevel="0" collapsed="false">
      <c r="A219" s="286" t="n">
        <v>5</v>
      </c>
      <c r="B219" s="296" t="n">
        <f aca="false">G218</f>
        <v>0.0966601429527777</v>
      </c>
      <c r="C219" s="297" t="n">
        <f aca="false">SUMPRODUCT($C$117:$G$117,(1+B219)^(-$C$118:$G$118))+$G$117*(1+$B$123)/(B219-$B$123)*(1+B219)^-5+$B$141+$B$142+$B$143</f>
        <v>83882.7713653962</v>
      </c>
      <c r="D219" s="304" t="n">
        <f aca="false">$B$209/C219</f>
        <v>0.28155960533444</v>
      </c>
      <c r="E219" s="304" t="n">
        <f aca="false">$B$212*(1+(1-$B$207)*D219)</f>
        <v>0.204704713568283</v>
      </c>
      <c r="F219" s="296" t="n">
        <f aca="false">$B$210+E219*$B$211</f>
        <v>0.103829009383938</v>
      </c>
      <c r="G219" s="296" t="n">
        <f aca="false">C219/(C219+$B$209)*F219+$B$209/(C219+$B$209)*$B$208</f>
        <v>0.0966601696574008</v>
      </c>
    </row>
    <row r="220" customFormat="false" ht="15" hidden="false" customHeight="false" outlineLevel="0" collapsed="false">
      <c r="A220" s="285" t="s">
        <v>2008</v>
      </c>
      <c r="B220" s="338" t="n">
        <f aca="false">G219</f>
        <v>0.0966601696574008</v>
      </c>
      <c r="C220" s="300"/>
      <c r="D220" s="300"/>
      <c r="E220" s="300"/>
      <c r="F220" s="300"/>
      <c r="G220" s="300"/>
    </row>
    <row r="221" customFormat="false" ht="15" hidden="false" customHeight="false" outlineLevel="0" collapsed="false">
      <c r="A221" s="285" t="s">
        <v>2009</v>
      </c>
      <c r="B221" s="338" t="n">
        <f aca="false">F219</f>
        <v>0.103829009383938</v>
      </c>
      <c r="C221" s="300"/>
      <c r="D221" s="300"/>
      <c r="E221" s="300"/>
      <c r="F221" s="300"/>
      <c r="G221" s="300"/>
    </row>
    <row r="222" customFormat="false" ht="15" hidden="false" customHeight="false" outlineLevel="0" collapsed="false">
      <c r="A222" s="286" t="s">
        <v>2010</v>
      </c>
      <c r="B222" s="337" t="n">
        <f aca="false">(G219-G218)*10000</f>
        <v>0.000267046231378076</v>
      </c>
      <c r="C222" s="303"/>
      <c r="D222" s="303"/>
      <c r="E222" s="303"/>
      <c r="F222" s="303"/>
      <c r="G222" s="303"/>
    </row>
    <row r="223" customFormat="false" ht="15" hidden="false" customHeight="false" outlineLevel="0" collapsed="false">
      <c r="A223" s="339"/>
      <c r="B223" s="339"/>
      <c r="C223" s="339"/>
      <c r="D223" s="339"/>
      <c r="E223" s="339"/>
      <c r="F223" s="339"/>
      <c r="G223" s="339"/>
    </row>
    <row r="224" customFormat="false" ht="15" hidden="false" customHeight="false" outlineLevel="0" collapsed="false">
      <c r="A224" s="339"/>
      <c r="B224" s="339"/>
      <c r="C224" s="339"/>
      <c r="D224" s="339"/>
      <c r="E224" s="339"/>
      <c r="F224" s="339"/>
      <c r="G224" s="339"/>
    </row>
    <row r="225" customFormat="false" ht="15" hidden="false" customHeight="false" outlineLevel="0" collapsed="false">
      <c r="A225" s="285" t="s">
        <v>2011</v>
      </c>
      <c r="B225" s="300" t="s">
        <v>1</v>
      </c>
      <c r="C225" s="300" t="s">
        <v>2</v>
      </c>
      <c r="D225" s="300" t="s">
        <v>3</v>
      </c>
      <c r="E225" s="300" t="s">
        <v>4</v>
      </c>
      <c r="F225" s="300"/>
      <c r="G225" s="300"/>
    </row>
    <row r="226" customFormat="false" ht="15" hidden="false" customHeight="false" outlineLevel="0" collapsed="false">
      <c r="A226" s="286" t="s">
        <v>1409</v>
      </c>
      <c r="B226" s="297" t="n">
        <f aca="false">WACC!B18</f>
        <v>59580</v>
      </c>
      <c r="C226" s="297" t="n">
        <f aca="false">WACC!C18</f>
        <v>813622.604529617</v>
      </c>
      <c r="D226" s="297" t="n">
        <f aca="false">WACC!D18</f>
        <v>89246.0254200776</v>
      </c>
      <c r="E226" s="297" t="n">
        <f aca="false">WACC!E18</f>
        <v>34190</v>
      </c>
      <c r="F226" s="303"/>
      <c r="G226" s="303"/>
    </row>
    <row r="227" customFormat="false" ht="15" hidden="false" customHeight="false" outlineLevel="0" collapsed="false">
      <c r="A227" s="286" t="s">
        <v>2013</v>
      </c>
      <c r="B227" s="297" t="n">
        <f aca="false">WACC!B21</f>
        <v>23618</v>
      </c>
      <c r="C227" s="297" t="n">
        <f aca="false">WACC!C21</f>
        <v>80848.1</v>
      </c>
      <c r="D227" s="297" t="n">
        <f aca="false">WACC!D21</f>
        <v>56744.34</v>
      </c>
      <c r="E227" s="297" t="n">
        <f aca="false">WACC!E21</f>
        <v>2441.8</v>
      </c>
      <c r="F227" s="303"/>
      <c r="G227" s="303"/>
    </row>
    <row r="228" customFormat="false" ht="15" hidden="false" customHeight="false" outlineLevel="0" collapsed="false">
      <c r="A228" s="286" t="s">
        <v>2701</v>
      </c>
      <c r="B228" s="297" t="n">
        <f aca="false">-WACC!B22</f>
        <v>-9295</v>
      </c>
      <c r="C228" s="297" t="n">
        <f aca="false">-WACC!C22</f>
        <v>-28591.2</v>
      </c>
      <c r="D228" s="297" t="n">
        <f aca="false">-WACC!D22</f>
        <v>-14640.16</v>
      </c>
      <c r="E228" s="297" t="n">
        <f aca="false">-WACC!E22</f>
        <v>-2962.8</v>
      </c>
      <c r="F228" s="303"/>
      <c r="G228" s="303"/>
    </row>
    <row r="229" customFormat="false" ht="15" hidden="false" customHeight="false" outlineLevel="0" collapsed="false">
      <c r="A229" s="286" t="s">
        <v>2015</v>
      </c>
      <c r="B229" s="297" t="n">
        <f aca="false">SUM(B226:B228)</f>
        <v>73903</v>
      </c>
      <c r="C229" s="297" t="n">
        <f aca="false">SUM(C226:C228)</f>
        <v>865879.504529617</v>
      </c>
      <c r="D229" s="297" t="n">
        <f aca="false">SUM(D226:D228)</f>
        <v>131350.205420078</v>
      </c>
      <c r="E229" s="297" t="n">
        <f aca="false">SUM(E226:E228)</f>
        <v>33669</v>
      </c>
      <c r="F229" s="303"/>
      <c r="G229" s="303"/>
    </row>
    <row r="230" customFormat="false" ht="15" hidden="false" customHeight="false" outlineLevel="0" collapsed="false">
      <c r="A230" s="286" t="s">
        <v>2016</v>
      </c>
      <c r="B230" s="297" t="n">
        <f aca="false">Datos!G9+Datos!G14</f>
        <v>11894</v>
      </c>
      <c r="C230" s="297" t="n">
        <f aca="false">Datos!G35+Datos!G40</f>
        <v>103446.9</v>
      </c>
      <c r="D230" s="297" t="n">
        <f aca="false">Datos!G61+Datos!G66</f>
        <v>24391.15</v>
      </c>
      <c r="E230" s="297" t="n">
        <f aca="false">Datos!G87+Datos!G92</f>
        <v>5214.81481788325</v>
      </c>
      <c r="F230" s="303"/>
      <c r="G230" s="303"/>
    </row>
    <row r="231" customFormat="false" ht="15" hidden="false" customHeight="false" outlineLevel="0" collapsed="false">
      <c r="A231" s="285" t="s">
        <v>2017</v>
      </c>
      <c r="B231" s="340" t="n">
        <f aca="false">B229/B230</f>
        <v>6.21346897595426</v>
      </c>
      <c r="C231" s="340" t="n">
        <f aca="false">C229/C230</f>
        <v>8.37027986850855</v>
      </c>
      <c r="D231" s="340" t="n">
        <f aca="false">D229/D230</f>
        <v>5.38515836358997</v>
      </c>
      <c r="E231" s="340" t="n">
        <f aca="false">E229/E230</f>
        <v>6.45641334847373</v>
      </c>
      <c r="F231" s="341"/>
      <c r="G231" s="341"/>
    </row>
    <row r="232" customFormat="false" ht="15" hidden="false" customHeight="false" outlineLevel="0" collapsed="false">
      <c r="A232" s="286" t="s">
        <v>2018</v>
      </c>
      <c r="B232" s="342" t="n">
        <f aca="false">MEDIAN(C231:E231)</f>
        <v>6.45641334847373</v>
      </c>
      <c r="C232" s="302"/>
      <c r="D232" s="302"/>
      <c r="E232" s="302"/>
      <c r="F232" s="302"/>
      <c r="G232" s="302"/>
    </row>
    <row r="233" customFormat="false" ht="15" hidden="false" customHeight="false" outlineLevel="0" collapsed="false">
      <c r="A233" s="286" t="s">
        <v>2702</v>
      </c>
      <c r="B233" s="296" t="n">
        <v>0.1</v>
      </c>
      <c r="C233" s="302"/>
      <c r="D233" s="302"/>
      <c r="E233" s="302"/>
      <c r="F233" s="302"/>
      <c r="G233" s="302"/>
    </row>
    <row r="234" customFormat="false" ht="15" hidden="false" customHeight="false" outlineLevel="0" collapsed="false">
      <c r="A234" s="286" t="s">
        <v>2020</v>
      </c>
      <c r="B234" s="342" t="n">
        <f aca="false">B232*(1-B233)</f>
        <v>5.81077201362635</v>
      </c>
      <c r="C234" s="302"/>
      <c r="D234" s="302"/>
      <c r="E234" s="302"/>
      <c r="F234" s="302"/>
      <c r="G234" s="302"/>
    </row>
    <row r="235" customFormat="false" ht="15" hidden="false" customHeight="false" outlineLevel="0" collapsed="false">
      <c r="A235" s="286" t="s">
        <v>2021</v>
      </c>
      <c r="B235" s="297" t="n">
        <f aca="false">G71</f>
        <v>12256.047209706</v>
      </c>
      <c r="C235" s="302"/>
      <c r="D235" s="302"/>
      <c r="E235" s="302"/>
      <c r="F235" s="302"/>
      <c r="G235" s="302"/>
    </row>
    <row r="236" customFormat="false" ht="15" hidden="false" customHeight="false" outlineLevel="0" collapsed="false">
      <c r="A236" s="285" t="s">
        <v>2022</v>
      </c>
      <c r="B236" s="301" t="n">
        <f aca="false">B234*B235</f>
        <v>71217.0961238431</v>
      </c>
      <c r="C236" s="302"/>
      <c r="D236" s="302"/>
      <c r="E236" s="302"/>
      <c r="F236" s="302"/>
      <c r="G236" s="302"/>
    </row>
    <row r="237" customFormat="false" ht="15" hidden="false" customHeight="false" outlineLevel="0" collapsed="false">
      <c r="A237" s="286" t="s">
        <v>2023</v>
      </c>
      <c r="B237" s="297" t="n">
        <f aca="false">B236*G119</f>
        <v>44897.6809798527</v>
      </c>
      <c r="C237" s="302"/>
      <c r="D237" s="302"/>
      <c r="E237" s="302"/>
      <c r="F237" s="302"/>
      <c r="G237" s="302"/>
    </row>
    <row r="238" customFormat="false" ht="15" hidden="false" customHeight="false" outlineLevel="0" collapsed="false">
      <c r="A238" s="285" t="s">
        <v>2024</v>
      </c>
      <c r="B238" s="301" t="n">
        <f aca="false">B134+B237</f>
        <v>68976.6295976058</v>
      </c>
      <c r="C238" s="302"/>
      <c r="D238" s="302"/>
      <c r="E238" s="302"/>
      <c r="F238" s="302"/>
      <c r="G238" s="302"/>
    </row>
    <row r="239" customFormat="false" ht="15" hidden="false" customHeight="false" outlineLevel="0" collapsed="false">
      <c r="A239" s="286" t="s">
        <v>2025</v>
      </c>
      <c r="B239" s="297" t="n">
        <f aca="false">B238-B144</f>
        <v>54653.6295976058</v>
      </c>
      <c r="C239" s="302"/>
      <c r="D239" s="302"/>
      <c r="E239" s="302"/>
      <c r="F239" s="302"/>
      <c r="G239" s="302"/>
    </row>
    <row r="240" customFormat="false" ht="15" hidden="false" customHeight="false" outlineLevel="0" collapsed="false">
      <c r="A240" s="285" t="s">
        <v>2026</v>
      </c>
      <c r="B240" s="306" t="n">
        <f aca="false">B239/B149</f>
        <v>30.3631275542254</v>
      </c>
      <c r="C240" s="302"/>
      <c r="D240" s="302"/>
      <c r="E240" s="302"/>
      <c r="F240" s="302"/>
      <c r="G240" s="302"/>
    </row>
    <row r="241" customFormat="false" ht="15" hidden="false" customHeight="false" outlineLevel="0" collapsed="false">
      <c r="A241" s="286" t="s">
        <v>2027</v>
      </c>
      <c r="B241" s="342" t="n">
        <f aca="false">B129/G71</f>
        <v>9.59367594365934</v>
      </c>
      <c r="C241" s="302"/>
      <c r="D241" s="302"/>
      <c r="E241" s="302"/>
      <c r="F241" s="302"/>
      <c r="G241" s="302"/>
    </row>
    <row r="242" customFormat="false" ht="15" hidden="false" customHeight="false" outlineLevel="0" collapsed="false">
      <c r="A242" s="286" t="s">
        <v>2028</v>
      </c>
      <c r="B242" s="296" t="n">
        <f aca="false">(B236*B126-B127)/(B236+B127)</f>
        <v>0.00615743912316621</v>
      </c>
      <c r="C242" s="302"/>
      <c r="D242" s="302"/>
      <c r="E242" s="302"/>
      <c r="F242" s="302"/>
      <c r="G242" s="302"/>
    </row>
    <row r="243" customFormat="false" ht="15" hidden="false" customHeight="false" outlineLevel="0" collapsed="false">
      <c r="A243" s="286" t="s">
        <v>2029</v>
      </c>
      <c r="B243" s="296" t="n">
        <v>0.5</v>
      </c>
      <c r="C243" s="302"/>
      <c r="D243" s="302"/>
      <c r="E243" s="302"/>
      <c r="F243" s="302"/>
      <c r="G243" s="302"/>
    </row>
    <row r="244" customFormat="false" ht="15" hidden="false" customHeight="false" outlineLevel="0" collapsed="false">
      <c r="A244" s="286" t="s">
        <v>2030</v>
      </c>
      <c r="B244" s="296" t="n">
        <f aca="false">1-B243</f>
        <v>0.5</v>
      </c>
      <c r="C244" s="302"/>
      <c r="D244" s="302"/>
      <c r="E244" s="302"/>
      <c r="F244" s="302"/>
      <c r="G244" s="302"/>
    </row>
    <row r="245" customFormat="false" ht="15" hidden="false" customHeight="false" outlineLevel="0" collapsed="false">
      <c r="A245" s="286" t="s">
        <v>2031</v>
      </c>
      <c r="B245" s="297" t="n">
        <f aca="false">B243*B136+B244*B238</f>
        <v>83591.1776671021</v>
      </c>
      <c r="C245" s="302"/>
      <c r="D245" s="302"/>
      <c r="E245" s="302"/>
      <c r="F245" s="302"/>
      <c r="G245" s="302"/>
    </row>
    <row r="246" customFormat="false" ht="15" hidden="false" customHeight="false" outlineLevel="0" collapsed="false">
      <c r="A246" s="285" t="s">
        <v>2032</v>
      </c>
      <c r="B246" s="306" t="n">
        <f aca="false">B243*B150+B244*B240</f>
        <v>38.4823209261678</v>
      </c>
      <c r="C246" s="302"/>
      <c r="D246" s="302"/>
      <c r="E246" s="302"/>
      <c r="F246" s="302"/>
      <c r="G246" s="302"/>
    </row>
    <row r="247" customFormat="false" ht="15" hidden="false" customHeight="false" outlineLevel="0" collapsed="false">
      <c r="A247" s="339"/>
      <c r="B247" s="339"/>
      <c r="C247" s="339"/>
      <c r="D247" s="339"/>
      <c r="E247" s="339"/>
      <c r="F247" s="339"/>
      <c r="G247" s="339"/>
    </row>
    <row r="248" customFormat="false" ht="15" hidden="false" customHeight="false" outlineLevel="0" collapsed="false">
      <c r="A248" s="339"/>
      <c r="B248" s="339"/>
      <c r="C248" s="339"/>
      <c r="D248" s="339"/>
      <c r="E248" s="339"/>
      <c r="F248" s="339"/>
      <c r="G248" s="339"/>
    </row>
    <row r="249" customFormat="false" ht="15" hidden="false" customHeight="false" outlineLevel="0" collapsed="false">
      <c r="A249" s="285" t="s">
        <v>2033</v>
      </c>
      <c r="B249" s="300" t="s">
        <v>78</v>
      </c>
      <c r="C249" s="300"/>
      <c r="D249" s="300"/>
      <c r="E249" s="300"/>
      <c r="F249" s="300"/>
      <c r="G249" s="300"/>
    </row>
    <row r="250" customFormat="false" ht="15" hidden="false" customHeight="false" outlineLevel="0" collapsed="false">
      <c r="A250" s="286" t="s">
        <v>2035</v>
      </c>
      <c r="B250" s="343" t="n">
        <f aca="false">DATE(2025,12,31)</f>
        <v>46022</v>
      </c>
      <c r="C250" s="302"/>
      <c r="D250" s="302"/>
      <c r="E250" s="302"/>
      <c r="F250" s="302"/>
      <c r="G250" s="302"/>
    </row>
    <row r="251" customFormat="false" ht="15" hidden="false" customHeight="false" outlineLevel="0" collapsed="false">
      <c r="A251" s="286" t="s">
        <v>2036</v>
      </c>
      <c r="B251" s="343" t="n">
        <f aca="false">DATE(2026,6,30)</f>
        <v>46203</v>
      </c>
      <c r="C251" s="302"/>
      <c r="D251" s="302"/>
      <c r="E251" s="302"/>
      <c r="F251" s="302"/>
      <c r="G251" s="302"/>
    </row>
    <row r="252" customFormat="false" ht="15" hidden="false" customHeight="false" outlineLevel="0" collapsed="false">
      <c r="A252" s="286" t="s">
        <v>2037</v>
      </c>
      <c r="B252" s="343" t="n">
        <f aca="false">Rendimientos!H10</f>
        <v>46302</v>
      </c>
      <c r="C252" s="302"/>
      <c r="D252" s="302"/>
      <c r="E252" s="302"/>
      <c r="F252" s="302"/>
      <c r="G252" s="302"/>
    </row>
    <row r="253" customFormat="false" ht="15" hidden="false" customHeight="false" outlineLevel="0" collapsed="false">
      <c r="A253" s="286" t="s">
        <v>2038</v>
      </c>
      <c r="B253" s="337" t="n">
        <f aca="false">YEARFRAC(B250,B251)</f>
        <v>0.5</v>
      </c>
      <c r="C253" s="302"/>
      <c r="D253" s="302"/>
      <c r="E253" s="302"/>
      <c r="F253" s="302"/>
      <c r="G253" s="302"/>
    </row>
    <row r="254" customFormat="false" ht="15" hidden="false" customHeight="false" outlineLevel="0" collapsed="false">
      <c r="A254" s="286" t="s">
        <v>2039</v>
      </c>
      <c r="B254" s="337" t="n">
        <f aca="false">YEARFRAC(B251,B252)</f>
        <v>0.269444444444444</v>
      </c>
      <c r="C254" s="302"/>
      <c r="D254" s="302"/>
      <c r="E254" s="302"/>
      <c r="F254" s="302"/>
      <c r="G254" s="302"/>
    </row>
    <row r="255" customFormat="false" ht="15" hidden="false" customHeight="false" outlineLevel="0" collapsed="false">
      <c r="A255" s="286" t="s">
        <v>2040</v>
      </c>
      <c r="B255" s="297" t="n">
        <f aca="false">B245</f>
        <v>83591.1776671021</v>
      </c>
      <c r="C255" s="302"/>
      <c r="D255" s="302"/>
      <c r="E255" s="302"/>
      <c r="F255" s="302"/>
      <c r="G255" s="302"/>
    </row>
    <row r="256" customFormat="false" ht="15" hidden="false" customHeight="false" outlineLevel="0" collapsed="false">
      <c r="A256" s="286" t="s">
        <v>2671</v>
      </c>
      <c r="B256" s="297" t="n">
        <f aca="false">B255*(1+B126)^B253</f>
        <v>87537.9715768138</v>
      </c>
      <c r="C256" s="302"/>
      <c r="D256" s="302"/>
      <c r="E256" s="302"/>
      <c r="F256" s="302"/>
      <c r="G256" s="302"/>
    </row>
    <row r="257" customFormat="false" ht="15" hidden="false" customHeight="false" outlineLevel="0" collapsed="false">
      <c r="A257" s="286" t="s">
        <v>2672</v>
      </c>
      <c r="B257" s="297" t="n">
        <f aca="false">-((Datos!E15+Datos!F15)-(Datos!E16+Datos!F16))</f>
        <v>1060.497</v>
      </c>
      <c r="C257" s="302"/>
      <c r="D257" s="302"/>
      <c r="E257" s="302"/>
      <c r="F257" s="302"/>
      <c r="G257" s="302"/>
    </row>
    <row r="258" customFormat="false" ht="15" hidden="false" customHeight="false" outlineLevel="0" collapsed="false">
      <c r="A258" s="286" t="s">
        <v>2043</v>
      </c>
      <c r="B258" s="297" t="n">
        <f aca="false">B256+B257</f>
        <v>88598.4685768138</v>
      </c>
      <c r="C258" s="302"/>
      <c r="D258" s="302"/>
      <c r="E258" s="302"/>
      <c r="F258" s="302"/>
      <c r="G258" s="302"/>
    </row>
    <row r="259" customFormat="false" ht="15" hidden="false" customHeight="false" outlineLevel="0" collapsed="false">
      <c r="A259" s="286" t="s">
        <v>2258</v>
      </c>
      <c r="B259" s="297" t="n">
        <f aca="false">-(Datos!F25+Datos!F26)</f>
        <v>-11500</v>
      </c>
      <c r="C259" s="302"/>
      <c r="D259" s="302"/>
      <c r="E259" s="302"/>
      <c r="F259" s="302"/>
      <c r="G259" s="302"/>
    </row>
    <row r="260" customFormat="false" ht="15" hidden="false" customHeight="false" outlineLevel="0" collapsed="false">
      <c r="A260" s="286" t="s">
        <v>2259</v>
      </c>
      <c r="B260" s="297" t="n">
        <f aca="false">-(Datos!F27+Datos!F28)</f>
        <v>-12220.588</v>
      </c>
      <c r="C260" s="302"/>
      <c r="D260" s="302"/>
      <c r="E260" s="302"/>
      <c r="F260" s="302"/>
      <c r="G260" s="302"/>
    </row>
    <row r="261" customFormat="false" ht="15" hidden="false" customHeight="false" outlineLevel="0" collapsed="false">
      <c r="A261" s="286" t="s">
        <v>2046</v>
      </c>
      <c r="B261" s="297" t="n">
        <f aca="false">Datos!F17</f>
        <v>6875.384</v>
      </c>
      <c r="C261" s="302"/>
      <c r="D261" s="302"/>
      <c r="E261" s="302"/>
      <c r="F261" s="302"/>
      <c r="G261" s="302"/>
    </row>
    <row r="262" customFormat="false" ht="15" hidden="false" customHeight="false" outlineLevel="0" collapsed="false">
      <c r="A262" s="285" t="s">
        <v>2047</v>
      </c>
      <c r="B262" s="301" t="n">
        <f aca="false">SUM(B258:B261)</f>
        <v>71753.2645768138</v>
      </c>
      <c r="C262" s="302"/>
      <c r="D262" s="302"/>
      <c r="E262" s="302"/>
      <c r="F262" s="302"/>
      <c r="G262" s="302"/>
    </row>
    <row r="263" customFormat="false" ht="15" hidden="false" customHeight="false" outlineLevel="0" collapsed="false">
      <c r="A263" s="285" t="s">
        <v>2673</v>
      </c>
      <c r="B263" s="301" t="n">
        <f aca="false">B262*(1+B221)^B254</f>
        <v>73688.7717375033</v>
      </c>
      <c r="C263" s="302"/>
      <c r="D263" s="302"/>
      <c r="E263" s="302"/>
      <c r="F263" s="302"/>
      <c r="G263" s="302"/>
    </row>
    <row r="264" customFormat="false" ht="15" hidden="false" customHeight="false" outlineLevel="0" collapsed="false">
      <c r="A264" s="286" t="s">
        <v>57</v>
      </c>
      <c r="B264" s="305" t="n">
        <f aca="false">B149</f>
        <v>1800</v>
      </c>
      <c r="C264" s="302"/>
      <c r="D264" s="302"/>
      <c r="E264" s="302"/>
      <c r="F264" s="302"/>
      <c r="G264" s="302"/>
    </row>
    <row r="265" customFormat="false" ht="15" hidden="false" customHeight="false" outlineLevel="0" collapsed="false">
      <c r="A265" s="285" t="s">
        <v>2049</v>
      </c>
      <c r="B265" s="306" t="n">
        <f aca="false">B263/B264</f>
        <v>40.9382065208352</v>
      </c>
      <c r="C265" s="302"/>
      <c r="D265" s="302"/>
      <c r="E265" s="302"/>
      <c r="F265" s="302"/>
      <c r="G265" s="302"/>
    </row>
    <row r="266" customFormat="false" ht="15" hidden="false" customHeight="false" outlineLevel="0" collapsed="false">
      <c r="A266" s="286" t="s">
        <v>16</v>
      </c>
      <c r="B266" s="307" t="n">
        <f aca="false">B151</f>
        <v>33.1</v>
      </c>
      <c r="C266" s="302"/>
      <c r="D266" s="302"/>
      <c r="E266" s="302"/>
      <c r="F266" s="302"/>
      <c r="G266" s="302"/>
    </row>
    <row r="267" customFormat="false" ht="15" hidden="false" customHeight="false" outlineLevel="0" collapsed="false">
      <c r="A267" s="286" t="s">
        <v>17</v>
      </c>
      <c r="B267" s="295" t="n">
        <f aca="false">B265/B266-1</f>
        <v>0.236803822381727</v>
      </c>
      <c r="C267" s="302"/>
      <c r="D267" s="302"/>
      <c r="E267" s="302"/>
      <c r="F267" s="302"/>
      <c r="G267" s="302"/>
    </row>
    <row r="268" customFormat="false" ht="15" hidden="false" customHeight="false" outlineLevel="0" collapsed="false">
      <c r="A268" s="285" t="s">
        <v>2050</v>
      </c>
      <c r="B268" s="338" t="str">
        <f aca="false">IF(B267&gt;B155,"COMPRAR",IF(B267&lt;-B155,"VENDER","MANTENER"))</f>
        <v>COMPRAR</v>
      </c>
      <c r="C268" s="302"/>
      <c r="D268" s="302"/>
      <c r="E268" s="302"/>
      <c r="F268" s="302"/>
      <c r="G268" s="302"/>
    </row>
    <row r="269" customFormat="false" ht="15" hidden="false" customHeight="false" outlineLevel="0" collapsed="false">
      <c r="A269" s="286" t="s">
        <v>18</v>
      </c>
      <c r="B269" s="307" t="n">
        <f aca="false">Generales!B24</f>
        <v>23.357</v>
      </c>
      <c r="C269" s="302"/>
      <c r="D269" s="302"/>
      <c r="E269" s="302"/>
      <c r="F269" s="302"/>
      <c r="G269" s="302"/>
    </row>
    <row r="270" customFormat="false" ht="15" hidden="false" customHeight="false" outlineLevel="0" collapsed="false">
      <c r="A270" s="286" t="s">
        <v>2051</v>
      </c>
      <c r="B270" s="295" t="n">
        <f aca="false">B265/B269-1</f>
        <v>0.752716809557527</v>
      </c>
      <c r="C270" s="302"/>
      <c r="D270" s="302"/>
      <c r="E270" s="302"/>
      <c r="F270" s="302"/>
      <c r="G270" s="30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2026-10-08T15:53:48Z</dcterms:created>
  <dc:creator/>
  <dc:description/>
  <dc:language>en-US</dc:language>
  <cp:lastModifiedBy/>
  <dcterms:modified xsi:type="dcterms:W3CDTF">2026-10-13T07:50:30Z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